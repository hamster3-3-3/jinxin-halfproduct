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worksheets/sheet32.xml" ContentType="application/vnd.openxmlformats-officedocument.spreadsheetml.worksheet+xml"/>
  <Override PartName="/xl/worksheets/sheet31.xml" ContentType="application/vnd.openxmlformats-officedocument.spreadsheetml.worksheet+xml"/>
  <Override PartName="/xl/worksheets/sheet30.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20.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19.xml" ContentType="application/vnd.openxmlformats-officedocument.spreadsheetml.worksheet+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5" yWindow="90" windowWidth="23175" windowHeight="5325" tabRatio="924" firstSheet="2" activeTab="2"/>
  </bookViews>
  <sheets>
    <sheet name="填寫舉例" sheetId="1" state="hidden" r:id="rId1"/>
    <sheet name="生產管理報表(月)" sheetId="13" state="hidden" r:id="rId2"/>
    <sheet name="生產管理報表(週) " sheetId="39" r:id="rId3"/>
    <sheet name="（１）收支狀況" sheetId="3" r:id="rId4"/>
    <sheet name="（２）ＫＰＩ達成進度" sheetId="5" r:id="rId5"/>
    <sheet name="（３）業績構成比" sheetId="7" r:id="rId6"/>
    <sheet name="（４）訂單數量構成比" sheetId="6" r:id="rId7"/>
    <sheet name="（５-1）品群別人時生產性（18℃-飯糰）" sheetId="8" r:id="rId8"/>
    <sheet name="（５-2）品群別人時生產性（18-壽司手卷)" sheetId="30" r:id="rId9"/>
    <sheet name="（５-3）品群別人時生產性（4℃-飯糰)" sheetId="32" r:id="rId10"/>
    <sheet name="（５-4）品群別人時生產性（4℃-壽司手卷)" sheetId="31" r:id="rId11"/>
    <sheet name="（５-5）品群別人時生產性(主食) " sheetId="33" r:id="rId12"/>
    <sheet name="（５-6）品群別人時生產性(便當)" sheetId="34" r:id="rId13"/>
    <sheet name="（５-7）品群別人時生產性(熱食義麵) " sheetId="35" r:id="rId14"/>
    <sheet name="（５-8）品群別人時生產性(季節調理麵) " sheetId="36" r:id="rId15"/>
    <sheet name="（５-9）品群別人時生產性(微波小吃)" sheetId="37" r:id="rId16"/>
    <sheet name="生產管理報表 6-1" sheetId="15" r:id="rId17"/>
    <sheet name="生產管理報表 6-2" sheetId="22" r:id="rId18"/>
    <sheet name="生產管理報表 6-3" sheetId="23" r:id="rId19"/>
    <sheet name="生產管理報表 6-4" sheetId="24" r:id="rId20"/>
    <sheet name="生產管理報表 6-5" sheetId="25" r:id="rId21"/>
    <sheet name="生產管理報表 7-1(月)" sheetId="40" state="hidden" r:id="rId22"/>
    <sheet name="生產管理報表 7-1 (週)" sheetId="41" r:id="rId23"/>
    <sheet name="生產管理報表 8-1(報廢)" sheetId="19" r:id="rId24"/>
    <sheet name="生產管理報表 8-2(報廢)" sheetId="20" r:id="rId25"/>
    <sheet name="生產管理報表 8-3(超用)" sheetId="44" r:id="rId26"/>
    <sheet name="生產管理報表 8-4(超用)" sheetId="45" r:id="rId27"/>
    <sheet name="生產管理報表 9" sheetId="21" r:id="rId28"/>
    <sheet name="報廢20大－原因別分析" sheetId="46" r:id="rId29"/>
    <sheet name="超用20大－原因別分析" sheetId="47" r:id="rId30"/>
    <sheet name="日別報廢率總表  " sheetId="48" r:id="rId31"/>
    <sheet name="鮮食品群番" sheetId="38" state="hidden" r:id="rId32"/>
  </sheets>
  <definedNames>
    <definedName name="_xlnm._FilterDatabase" localSheetId="7" hidden="1">'（５-1）品群別人時生產性（18℃-飯糰）'!#REF!</definedName>
    <definedName name="_xlnm._FilterDatabase" localSheetId="8" hidden="1">'（５-2）品群別人時生產性（18-壽司手卷)'!#REF!</definedName>
    <definedName name="_xlnm._FilterDatabase" localSheetId="9" hidden="1">'（５-3）品群別人時生產性（4℃-飯糰)'!#REF!</definedName>
    <definedName name="_xlnm._FilterDatabase" localSheetId="10" hidden="1">'（５-4）品群別人時生產性（4℃-壽司手卷)'!#REF!</definedName>
    <definedName name="_xlnm._FilterDatabase" localSheetId="11" hidden="1">'（５-5）品群別人時生產性(主食) '!#REF!</definedName>
    <definedName name="_xlnm._FilterDatabase" localSheetId="12" hidden="1">'（５-6）品群別人時生產性(便當)'!#REF!</definedName>
    <definedName name="_xlnm._FilterDatabase" localSheetId="13" hidden="1">'（５-7）品群別人時生產性(熱食義麵) '!#REF!</definedName>
    <definedName name="_xlnm._FilterDatabase" localSheetId="14" hidden="1">'（５-8）品群別人時生產性(季節調理麵) '!#REF!</definedName>
    <definedName name="_xlnm._FilterDatabase" localSheetId="15" hidden="1">'（５-9）品群別人時生產性(微波小吃)'!#REF!</definedName>
    <definedName name="_xlnm._FilterDatabase" localSheetId="25" hidden="1">'生產管理報表 8-3(超用)'!$R$24:$W$28</definedName>
    <definedName name="_xlnm._FilterDatabase" localSheetId="26" hidden="1">'生產管理報表 8-4(超用)'!$R$24:$W$29</definedName>
    <definedName name="_xlnm._FilterDatabase" localSheetId="28" hidden="1">'報廢20大－原因別分析'!#REF!</definedName>
    <definedName name="_xlnm._FilterDatabase" localSheetId="29" hidden="1">'超用20大－原因別分析'!#REF!</definedName>
    <definedName name="_xlnm.Print_Area" localSheetId="16">'生產管理報表 6-1'!$A$1:$L$35</definedName>
    <definedName name="_xlnm.Print_Area" localSheetId="17">'生產管理報表 6-2'!$A$1:$L$35</definedName>
    <definedName name="_xlnm.Print_Area" localSheetId="18">'生產管理報表 6-3'!$A$1:$L$35</definedName>
    <definedName name="_xlnm.Print_Area" localSheetId="19">'生產管理報表 6-4'!$A$1:$L$35</definedName>
    <definedName name="_xlnm.Print_Area" localSheetId="20">'生產管理報表 6-5'!$A$1:$L$35</definedName>
    <definedName name="_xlnm.Print_Area" localSheetId="22">'生產管理報表 7-1 (週)'!$A$1:$M$2</definedName>
    <definedName name="_xlnm.Print_Area" localSheetId="21">'生產管理報表 7-1(月)'!$A$1:$M$15</definedName>
    <definedName name="_xlnm.Print_Area" localSheetId="25">'生產管理報表 8-3(超用)'!$A$1:$Q$30</definedName>
    <definedName name="_xlnm.Print_Area" localSheetId="26">'生產管理報表 8-4(超用)'!$A$1:$Q$38</definedName>
    <definedName name="_xlnm.Print_Area" localSheetId="27">'生產管理報表 9'!#REF!</definedName>
    <definedName name="_xlnm.Print_Area" localSheetId="1">'生產管理報表(月)'!$A$1:$K$36</definedName>
    <definedName name="_xlnm.Print_Area" localSheetId="2">'生產管理報表(週) '!$A$1:$K$36</definedName>
    <definedName name="_xlnm.Print_Area" localSheetId="31">鮮食品群番!$B$2:$F$20</definedName>
  </definedNames>
  <calcPr calcId="145621"/>
</workbook>
</file>

<file path=xl/calcChain.xml><?xml version="1.0" encoding="utf-8"?>
<calcChain xmlns="http://schemas.openxmlformats.org/spreadsheetml/2006/main">
  <c r="AC55" i="37" l="1"/>
  <c r="AH55" i="37"/>
  <c r="AM55" i="37"/>
  <c r="AZ61" i="37"/>
  <c r="AZ60" i="37"/>
  <c r="AZ59" i="37"/>
  <c r="AZ58" i="37"/>
  <c r="AZ57" i="37"/>
  <c r="AZ56" i="37"/>
  <c r="AZ55" i="37"/>
  <c r="AR55" i="37"/>
  <c r="AW55" i="37"/>
  <c r="I35" i="32" l="1"/>
  <c r="J35" i="32"/>
  <c r="K35" i="32"/>
  <c r="I30" i="30"/>
  <c r="J30" i="30"/>
  <c r="K30" i="30"/>
  <c r="I31" i="30"/>
  <c r="J31" i="30"/>
  <c r="K31" i="30"/>
  <c r="I54" i="37"/>
  <c r="J54" i="37"/>
  <c r="K54" i="37"/>
  <c r="M55" i="37" s="1"/>
  <c r="I55" i="37"/>
  <c r="J55" i="37"/>
  <c r="K55" i="37"/>
  <c r="M61" i="32"/>
  <c r="M60" i="32"/>
  <c r="M59" i="32"/>
  <c r="M58" i="32"/>
  <c r="M57" i="32"/>
  <c r="M56" i="32"/>
  <c r="M55" i="32"/>
  <c r="M54" i="32"/>
  <c r="M53" i="32"/>
  <c r="M52" i="32"/>
  <c r="M51" i="32"/>
  <c r="M50" i="32"/>
  <c r="M49" i="32"/>
  <c r="M48" i="32"/>
  <c r="M47" i="32"/>
  <c r="M61" i="35"/>
  <c r="M60" i="35"/>
  <c r="M59" i="35"/>
  <c r="M58" i="35"/>
  <c r="M57" i="35"/>
  <c r="M56" i="35"/>
  <c r="M55" i="35"/>
  <c r="M54" i="35"/>
  <c r="M53" i="35"/>
  <c r="M52" i="35"/>
  <c r="M51" i="35"/>
  <c r="M50" i="35"/>
  <c r="M49" i="35"/>
  <c r="M48" i="35"/>
  <c r="M47" i="35"/>
  <c r="M60" i="37"/>
  <c r="M59" i="37"/>
  <c r="M58" i="37"/>
  <c r="M57" i="37"/>
  <c r="M56" i="37"/>
  <c r="M54" i="37"/>
  <c r="M52" i="37"/>
  <c r="M50" i="37"/>
  <c r="M48" i="37"/>
  <c r="S54" i="37"/>
  <c r="S53" i="37"/>
  <c r="S52" i="37"/>
  <c r="S51" i="37"/>
  <c r="S50" i="37"/>
  <c r="S49" i="37"/>
  <c r="S48" i="37"/>
  <c r="T47" i="37"/>
  <c r="S47" i="37"/>
  <c r="X54" i="37"/>
  <c r="X53" i="37"/>
  <c r="X52" i="37"/>
  <c r="X51" i="37"/>
  <c r="X50" i="37"/>
  <c r="X49" i="37"/>
  <c r="X48" i="37"/>
  <c r="Y47" i="37"/>
  <c r="X47" i="37"/>
  <c r="AC54" i="37"/>
  <c r="AC53" i="37"/>
  <c r="AC52" i="37"/>
  <c r="AC51" i="37"/>
  <c r="AC50" i="37"/>
  <c r="AC49" i="37"/>
  <c r="AC48" i="37"/>
  <c r="AD47" i="37"/>
  <c r="AC47" i="37"/>
  <c r="AH54" i="37"/>
  <c r="AH53" i="37"/>
  <c r="AH52" i="37"/>
  <c r="AH51" i="37"/>
  <c r="AH50" i="37"/>
  <c r="AH49" i="37"/>
  <c r="AH48" i="37"/>
  <c r="AI47" i="37"/>
  <c r="AH47" i="37"/>
  <c r="AM54" i="37"/>
  <c r="AM53" i="37"/>
  <c r="AM52" i="37"/>
  <c r="AM51" i="37"/>
  <c r="AM50" i="37"/>
  <c r="AM49" i="37"/>
  <c r="AM48" i="37"/>
  <c r="AN47" i="37"/>
  <c r="AM47" i="37"/>
  <c r="AR54" i="37"/>
  <c r="AR53" i="37"/>
  <c r="AR52" i="37"/>
  <c r="AR51" i="37"/>
  <c r="AR50" i="37"/>
  <c r="AR49" i="37"/>
  <c r="AR48" i="37"/>
  <c r="AS47" i="37"/>
  <c r="AR47" i="37"/>
  <c r="AW54" i="37"/>
  <c r="AW53" i="37"/>
  <c r="AW52" i="37"/>
  <c r="AW51" i="37"/>
  <c r="AW50" i="37"/>
  <c r="AW49" i="37"/>
  <c r="AW48" i="37"/>
  <c r="AX47" i="37"/>
  <c r="AW47" i="37"/>
  <c r="M61" i="36"/>
  <c r="M60" i="36"/>
  <c r="M59" i="36"/>
  <c r="M58" i="36"/>
  <c r="M57" i="36"/>
  <c r="M56" i="36"/>
  <c r="M55" i="36"/>
  <c r="M54" i="36"/>
  <c r="M53" i="36"/>
  <c r="M52" i="36"/>
  <c r="M51" i="36"/>
  <c r="M50" i="36"/>
  <c r="M49" i="36"/>
  <c r="M48" i="36"/>
  <c r="M47" i="36"/>
  <c r="S61" i="36"/>
  <c r="S60" i="36"/>
  <c r="S59" i="36"/>
  <c r="S58" i="36"/>
  <c r="S57" i="36"/>
  <c r="S56" i="36"/>
  <c r="S55" i="36"/>
  <c r="S54" i="36"/>
  <c r="S53" i="36"/>
  <c r="S52" i="36"/>
  <c r="S51" i="36"/>
  <c r="S50" i="36"/>
  <c r="S49" i="36"/>
  <c r="S48" i="36"/>
  <c r="T47" i="36"/>
  <c r="S47" i="36"/>
  <c r="X61" i="36"/>
  <c r="X60" i="36"/>
  <c r="X59" i="36"/>
  <c r="X58" i="36"/>
  <c r="X57" i="36"/>
  <c r="X56" i="36"/>
  <c r="X55" i="36"/>
  <c r="X54" i="36"/>
  <c r="X53" i="36"/>
  <c r="X52" i="36"/>
  <c r="X51" i="36"/>
  <c r="X50" i="36"/>
  <c r="X49" i="36"/>
  <c r="X48" i="36"/>
  <c r="Y47" i="36"/>
  <c r="X47" i="36"/>
  <c r="AC61" i="36"/>
  <c r="AC60" i="36"/>
  <c r="AC59" i="36"/>
  <c r="AC58" i="36"/>
  <c r="AC57" i="36"/>
  <c r="AC56" i="36"/>
  <c r="AC55" i="36"/>
  <c r="AC54" i="36"/>
  <c r="AC53" i="36"/>
  <c r="AC52" i="36"/>
  <c r="AC51" i="36"/>
  <c r="AC50" i="36"/>
  <c r="AC49" i="36"/>
  <c r="AC48" i="36"/>
  <c r="AD47" i="36"/>
  <c r="AC47" i="36"/>
  <c r="AH61" i="36"/>
  <c r="AH60" i="36"/>
  <c r="AH59" i="36"/>
  <c r="AH58" i="36"/>
  <c r="AH57" i="36"/>
  <c r="AH56" i="36"/>
  <c r="AH55" i="36"/>
  <c r="AH54" i="36"/>
  <c r="AH53" i="36"/>
  <c r="AH52" i="36"/>
  <c r="AH51" i="36"/>
  <c r="AH50" i="36"/>
  <c r="AH49" i="36"/>
  <c r="AH48" i="36"/>
  <c r="AI47" i="36"/>
  <c r="AH47" i="36"/>
  <c r="AM61" i="36"/>
  <c r="AM60" i="36"/>
  <c r="AM59" i="36"/>
  <c r="AM58" i="36"/>
  <c r="AM57" i="36"/>
  <c r="AM56" i="36"/>
  <c r="AM55" i="36"/>
  <c r="AM54" i="36"/>
  <c r="AM53" i="36"/>
  <c r="AM52" i="36"/>
  <c r="AM51" i="36"/>
  <c r="AM50" i="36"/>
  <c r="AM49" i="36"/>
  <c r="AM48" i="36"/>
  <c r="AN47" i="36"/>
  <c r="AM47" i="36"/>
  <c r="AR61" i="36"/>
  <c r="AR60" i="36"/>
  <c r="AR59" i="36"/>
  <c r="AR58" i="36"/>
  <c r="AR57" i="36"/>
  <c r="AR56" i="36"/>
  <c r="AR55" i="36"/>
  <c r="AR54" i="36"/>
  <c r="AR53" i="36"/>
  <c r="AR52" i="36"/>
  <c r="AR51" i="36"/>
  <c r="AR50" i="36"/>
  <c r="AR49" i="36"/>
  <c r="AR48" i="36"/>
  <c r="AS47" i="36"/>
  <c r="AR47" i="36"/>
  <c r="AW61" i="36"/>
  <c r="AW60" i="36"/>
  <c r="AW59" i="36"/>
  <c r="AW58" i="36"/>
  <c r="AW57" i="36"/>
  <c r="AW56" i="36"/>
  <c r="AW55" i="36"/>
  <c r="AW54" i="36"/>
  <c r="AW53" i="36"/>
  <c r="AW52" i="36"/>
  <c r="AW51" i="36"/>
  <c r="AW50" i="36"/>
  <c r="AW49" i="36"/>
  <c r="AW48" i="36"/>
  <c r="AX47" i="36"/>
  <c r="AW47" i="36"/>
  <c r="AZ57" i="36"/>
  <c r="AZ51" i="36"/>
  <c r="S61" i="35"/>
  <c r="S60" i="35"/>
  <c r="S59" i="35"/>
  <c r="S58" i="35"/>
  <c r="S57" i="35"/>
  <c r="S56" i="35"/>
  <c r="S55" i="35"/>
  <c r="S54" i="35"/>
  <c r="S53" i="35"/>
  <c r="S52" i="35"/>
  <c r="S51" i="35"/>
  <c r="S50" i="35"/>
  <c r="S49" i="35"/>
  <c r="S48" i="35"/>
  <c r="T47" i="35"/>
  <c r="S47" i="35"/>
  <c r="X61" i="35"/>
  <c r="X60" i="35"/>
  <c r="X59" i="35"/>
  <c r="X58" i="35"/>
  <c r="X57" i="35"/>
  <c r="X56" i="35"/>
  <c r="X55" i="35"/>
  <c r="X54" i="35"/>
  <c r="X53" i="35"/>
  <c r="X52" i="35"/>
  <c r="X51" i="35"/>
  <c r="X50" i="35"/>
  <c r="X49" i="35"/>
  <c r="X48" i="35"/>
  <c r="Y47" i="35"/>
  <c r="X47" i="35"/>
  <c r="AC61" i="35"/>
  <c r="AC60" i="35"/>
  <c r="AC59" i="35"/>
  <c r="AC58" i="35"/>
  <c r="AC57" i="35"/>
  <c r="AC56" i="35"/>
  <c r="AC55" i="35"/>
  <c r="AC54" i="35"/>
  <c r="AC53" i="35"/>
  <c r="AC52" i="35"/>
  <c r="AC51" i="35"/>
  <c r="AC50" i="35"/>
  <c r="AC49" i="35"/>
  <c r="AC48" i="35"/>
  <c r="AD47" i="35"/>
  <c r="AC47" i="35"/>
  <c r="AH61" i="35"/>
  <c r="AH60" i="35"/>
  <c r="AH59" i="35"/>
  <c r="AH58" i="35"/>
  <c r="AH57" i="35"/>
  <c r="AH56" i="35"/>
  <c r="AH55" i="35"/>
  <c r="AH54" i="35"/>
  <c r="AH53" i="35"/>
  <c r="AH52" i="35"/>
  <c r="AH51" i="35"/>
  <c r="AH50" i="35"/>
  <c r="AH49" i="35"/>
  <c r="AH48" i="35"/>
  <c r="AI47" i="35"/>
  <c r="AH47" i="35"/>
  <c r="AM61" i="35"/>
  <c r="AM60" i="35"/>
  <c r="AM59" i="35"/>
  <c r="AM58" i="35"/>
  <c r="AM57" i="35"/>
  <c r="AM56" i="35"/>
  <c r="AM55" i="35"/>
  <c r="AM54" i="35"/>
  <c r="AM53" i="35"/>
  <c r="AM52" i="35"/>
  <c r="AM51" i="35"/>
  <c r="AM50" i="35"/>
  <c r="AM49" i="35"/>
  <c r="AM48" i="35"/>
  <c r="AN47" i="35"/>
  <c r="AM47" i="35"/>
  <c r="AR61" i="35"/>
  <c r="AR60" i="35"/>
  <c r="AR59" i="35"/>
  <c r="AR58" i="35"/>
  <c r="AR57" i="35"/>
  <c r="AR56" i="35"/>
  <c r="AR55" i="35"/>
  <c r="AR54" i="35"/>
  <c r="AR53" i="35"/>
  <c r="AR52" i="35"/>
  <c r="AR51" i="35"/>
  <c r="AR50" i="35"/>
  <c r="AR49" i="35"/>
  <c r="AR48" i="35"/>
  <c r="AS47" i="35"/>
  <c r="AR47" i="35"/>
  <c r="AW61" i="35"/>
  <c r="AW60" i="35"/>
  <c r="AW59" i="35"/>
  <c r="AW58" i="35"/>
  <c r="AW57" i="35"/>
  <c r="AW56" i="35"/>
  <c r="AW55" i="35"/>
  <c r="AW54" i="35"/>
  <c r="AW53" i="35"/>
  <c r="AW52" i="35"/>
  <c r="AW51" i="35"/>
  <c r="AW50" i="35"/>
  <c r="AW49" i="35"/>
  <c r="AW48" i="35"/>
  <c r="AX47" i="35"/>
  <c r="AW47" i="35"/>
  <c r="M61" i="34"/>
  <c r="M60" i="34"/>
  <c r="M59" i="34"/>
  <c r="M58" i="34"/>
  <c r="M57" i="34"/>
  <c r="M56" i="34"/>
  <c r="M55" i="34"/>
  <c r="M54" i="34"/>
  <c r="M53" i="34"/>
  <c r="M52" i="34"/>
  <c r="M51" i="34"/>
  <c r="M50" i="34"/>
  <c r="M49" i="34"/>
  <c r="M48" i="34"/>
  <c r="M47" i="34"/>
  <c r="S61" i="34"/>
  <c r="S60" i="34"/>
  <c r="S59" i="34"/>
  <c r="S58" i="34"/>
  <c r="S57" i="34"/>
  <c r="S56" i="34"/>
  <c r="S55" i="34"/>
  <c r="S54" i="34"/>
  <c r="S53" i="34"/>
  <c r="S52" i="34"/>
  <c r="S51" i="34"/>
  <c r="S50" i="34"/>
  <c r="S49" i="34"/>
  <c r="S48" i="34"/>
  <c r="T47" i="34"/>
  <c r="S47" i="34"/>
  <c r="X61" i="34"/>
  <c r="X60" i="34"/>
  <c r="X59" i="34"/>
  <c r="X58" i="34"/>
  <c r="X57" i="34"/>
  <c r="X56" i="34"/>
  <c r="X55" i="34"/>
  <c r="X54" i="34"/>
  <c r="X53" i="34"/>
  <c r="X52" i="34"/>
  <c r="X51" i="34"/>
  <c r="X50" i="34"/>
  <c r="X49" i="34"/>
  <c r="X48" i="34"/>
  <c r="Y47" i="34"/>
  <c r="X47" i="34"/>
  <c r="AC61" i="34"/>
  <c r="AC60" i="34"/>
  <c r="AC59" i="34"/>
  <c r="AC58" i="34"/>
  <c r="AC57" i="34"/>
  <c r="AC56" i="34"/>
  <c r="AC55" i="34"/>
  <c r="AC54" i="34"/>
  <c r="AC53" i="34"/>
  <c r="AC52" i="34"/>
  <c r="AC51" i="34"/>
  <c r="AC50" i="34"/>
  <c r="AC49" i="34"/>
  <c r="AC48" i="34"/>
  <c r="AD47" i="34"/>
  <c r="AC47" i="34"/>
  <c r="AH61" i="34"/>
  <c r="AH60" i="34"/>
  <c r="AH59" i="34"/>
  <c r="AH58" i="34"/>
  <c r="AH57" i="34"/>
  <c r="AH56" i="34"/>
  <c r="AH55" i="34"/>
  <c r="AH54" i="34"/>
  <c r="AH53" i="34"/>
  <c r="AH52" i="34"/>
  <c r="AH51" i="34"/>
  <c r="AH50" i="34"/>
  <c r="AH49" i="34"/>
  <c r="AH48" i="34"/>
  <c r="AI47" i="34"/>
  <c r="AH47" i="34"/>
  <c r="AM61" i="34"/>
  <c r="AM60" i="34"/>
  <c r="AM59" i="34"/>
  <c r="AM58" i="34"/>
  <c r="AM57" i="34"/>
  <c r="AM56" i="34"/>
  <c r="AM55" i="34"/>
  <c r="AM54" i="34"/>
  <c r="AM53" i="34"/>
  <c r="AM52" i="34"/>
  <c r="AM51" i="34"/>
  <c r="AM50" i="34"/>
  <c r="AM49" i="34"/>
  <c r="AM48" i="34"/>
  <c r="AN47" i="34"/>
  <c r="AM47" i="34"/>
  <c r="AR61" i="34"/>
  <c r="AR60" i="34"/>
  <c r="AR59" i="34"/>
  <c r="AR58" i="34"/>
  <c r="AR57" i="34"/>
  <c r="AR56" i="34"/>
  <c r="AR55" i="34"/>
  <c r="AR54" i="34"/>
  <c r="AR53" i="34"/>
  <c r="AR52" i="34"/>
  <c r="AR51" i="34"/>
  <c r="AR50" i="34"/>
  <c r="AR49" i="34"/>
  <c r="AR48" i="34"/>
  <c r="AS47" i="34"/>
  <c r="AR47" i="34"/>
  <c r="AW61" i="34"/>
  <c r="AW60" i="34"/>
  <c r="AW59" i="34"/>
  <c r="AW58" i="34"/>
  <c r="AW57" i="34"/>
  <c r="AW56" i="34"/>
  <c r="AW55" i="34"/>
  <c r="AW54" i="34"/>
  <c r="AW53" i="34"/>
  <c r="AW52" i="34"/>
  <c r="AW51" i="34"/>
  <c r="AW50" i="34"/>
  <c r="AW49" i="34"/>
  <c r="AW48" i="34"/>
  <c r="AX47" i="34"/>
  <c r="AW47" i="34"/>
  <c r="S106" i="33"/>
  <c r="S105" i="33"/>
  <c r="S104" i="33"/>
  <c r="S103" i="33"/>
  <c r="S102" i="33"/>
  <c r="S101" i="33"/>
  <c r="S100" i="33"/>
  <c r="S99" i="33"/>
  <c r="S98" i="33"/>
  <c r="S97" i="33"/>
  <c r="S96" i="33"/>
  <c r="S95" i="33"/>
  <c r="S94" i="33"/>
  <c r="S93" i="33"/>
  <c r="S92" i="33"/>
  <c r="S91" i="33"/>
  <c r="S90" i="33"/>
  <c r="S89" i="33"/>
  <c r="S88" i="33"/>
  <c r="S87" i="33"/>
  <c r="S86" i="33"/>
  <c r="S85" i="33"/>
  <c r="S84" i="33"/>
  <c r="S83" i="33"/>
  <c r="S82" i="33"/>
  <c r="S81" i="33"/>
  <c r="S80" i="33"/>
  <c r="S79" i="33"/>
  <c r="S78" i="33"/>
  <c r="T77" i="33"/>
  <c r="S77" i="33"/>
  <c r="X106" i="33"/>
  <c r="X105" i="33"/>
  <c r="X104" i="33"/>
  <c r="X103" i="33"/>
  <c r="X102" i="33"/>
  <c r="X101" i="33"/>
  <c r="X100" i="33"/>
  <c r="X99" i="33"/>
  <c r="X98" i="33"/>
  <c r="X97" i="33"/>
  <c r="X96" i="33"/>
  <c r="X95" i="33"/>
  <c r="X94" i="33"/>
  <c r="X93" i="33"/>
  <c r="X92" i="33"/>
  <c r="X91" i="33"/>
  <c r="X90" i="33"/>
  <c r="X89" i="33"/>
  <c r="X88" i="33"/>
  <c r="X87" i="33"/>
  <c r="X86" i="33"/>
  <c r="X85" i="33"/>
  <c r="X84" i="33"/>
  <c r="X83" i="33"/>
  <c r="X82" i="33"/>
  <c r="X81" i="33"/>
  <c r="X80" i="33"/>
  <c r="X79" i="33"/>
  <c r="X78" i="33"/>
  <c r="Y77" i="33"/>
  <c r="X77" i="33"/>
  <c r="AC106" i="33"/>
  <c r="AC105" i="33"/>
  <c r="AC104" i="33"/>
  <c r="AC103" i="33"/>
  <c r="AC102" i="33"/>
  <c r="AC101" i="33"/>
  <c r="AC100" i="33"/>
  <c r="AC99" i="33"/>
  <c r="AC98" i="33"/>
  <c r="AC97" i="33"/>
  <c r="AC96" i="33"/>
  <c r="AC95" i="33"/>
  <c r="AC94" i="33"/>
  <c r="AC93" i="33"/>
  <c r="AC92" i="33"/>
  <c r="AC91" i="33"/>
  <c r="AC90" i="33"/>
  <c r="AC89" i="33"/>
  <c r="AC88" i="33"/>
  <c r="AC87" i="33"/>
  <c r="AC86" i="33"/>
  <c r="AC85" i="33"/>
  <c r="AC84" i="33"/>
  <c r="AC83" i="33"/>
  <c r="AC82" i="33"/>
  <c r="AC81" i="33"/>
  <c r="AC80" i="33"/>
  <c r="AC79" i="33"/>
  <c r="AC78" i="33"/>
  <c r="AD77" i="33"/>
  <c r="AC77" i="33"/>
  <c r="AH106" i="33"/>
  <c r="AH105" i="33"/>
  <c r="AH104" i="33"/>
  <c r="AH103" i="33"/>
  <c r="AH102" i="33"/>
  <c r="AH101" i="33"/>
  <c r="AH100" i="33"/>
  <c r="AH99" i="33"/>
  <c r="AH98" i="33"/>
  <c r="AH97" i="33"/>
  <c r="AH96" i="33"/>
  <c r="AH95" i="33"/>
  <c r="AH94" i="33"/>
  <c r="AH93" i="33"/>
  <c r="AH92" i="33"/>
  <c r="AH91" i="33"/>
  <c r="AH90" i="33"/>
  <c r="AH89" i="33"/>
  <c r="AH88" i="33"/>
  <c r="AH87" i="33"/>
  <c r="AH86" i="33"/>
  <c r="AH85" i="33"/>
  <c r="AH84" i="33"/>
  <c r="AH83" i="33"/>
  <c r="AH82" i="33"/>
  <c r="AH81" i="33"/>
  <c r="AH80" i="33"/>
  <c r="AH79" i="33"/>
  <c r="AH78" i="33"/>
  <c r="AI77" i="33"/>
  <c r="AH77" i="33"/>
  <c r="AM106" i="33"/>
  <c r="AM105" i="33"/>
  <c r="AM104" i="33"/>
  <c r="AM103" i="33"/>
  <c r="AM102" i="33"/>
  <c r="AM101" i="33"/>
  <c r="AM100" i="33"/>
  <c r="AM99" i="33"/>
  <c r="AM98" i="33"/>
  <c r="AM97" i="33"/>
  <c r="AM96" i="33"/>
  <c r="AM95" i="33"/>
  <c r="AM94" i="33"/>
  <c r="AM93" i="33"/>
  <c r="AM92" i="33"/>
  <c r="AM91" i="33"/>
  <c r="AM90" i="33"/>
  <c r="AM89" i="33"/>
  <c r="AM88" i="33"/>
  <c r="AM87" i="33"/>
  <c r="AM86" i="33"/>
  <c r="AM85" i="33"/>
  <c r="AM84" i="33"/>
  <c r="AM83" i="33"/>
  <c r="AM82" i="33"/>
  <c r="AM81" i="33"/>
  <c r="AM80" i="33"/>
  <c r="AM79" i="33"/>
  <c r="AM78" i="33"/>
  <c r="AN77" i="33"/>
  <c r="AM77" i="33"/>
  <c r="AR106" i="33"/>
  <c r="AR105" i="33"/>
  <c r="AR104" i="33"/>
  <c r="AR103" i="33"/>
  <c r="AR102" i="33"/>
  <c r="AR101" i="33"/>
  <c r="AR100" i="33"/>
  <c r="AR99" i="33"/>
  <c r="AR98" i="33"/>
  <c r="AR97" i="33"/>
  <c r="AR96" i="33"/>
  <c r="AR95" i="33"/>
  <c r="AR94" i="33"/>
  <c r="AR93" i="33"/>
  <c r="AR92" i="33"/>
  <c r="AR91" i="33"/>
  <c r="AR90" i="33"/>
  <c r="AR89" i="33"/>
  <c r="AR88" i="33"/>
  <c r="AR87" i="33"/>
  <c r="AR86" i="33"/>
  <c r="AR85" i="33"/>
  <c r="AR84" i="33"/>
  <c r="AR83" i="33"/>
  <c r="AR82" i="33"/>
  <c r="AR81" i="33"/>
  <c r="AR80" i="33"/>
  <c r="AR79" i="33"/>
  <c r="AR78" i="33"/>
  <c r="AS77" i="33"/>
  <c r="AR77" i="33"/>
  <c r="AW106" i="33"/>
  <c r="AW105" i="33"/>
  <c r="AW104" i="33"/>
  <c r="AW103" i="33"/>
  <c r="AW102" i="33"/>
  <c r="AW101" i="33"/>
  <c r="AW100" i="33"/>
  <c r="AW99" i="33"/>
  <c r="AW98" i="33"/>
  <c r="AW97" i="33"/>
  <c r="AW96" i="33"/>
  <c r="AW95" i="33"/>
  <c r="AW94" i="33"/>
  <c r="AW93" i="33"/>
  <c r="AW92" i="33"/>
  <c r="AW91" i="33"/>
  <c r="AW90" i="33"/>
  <c r="AW89" i="33"/>
  <c r="AW88" i="33"/>
  <c r="AW87" i="33"/>
  <c r="AW86" i="33"/>
  <c r="AW85" i="33"/>
  <c r="AW84" i="33"/>
  <c r="AW83" i="33"/>
  <c r="AW82" i="33"/>
  <c r="AW81" i="33"/>
  <c r="AW80" i="33"/>
  <c r="AW79" i="33"/>
  <c r="AW78" i="33"/>
  <c r="AX77" i="33"/>
  <c r="AW77" i="33"/>
  <c r="P107" i="33"/>
  <c r="U107" i="33"/>
  <c r="Z107" i="33" s="1"/>
  <c r="AE107" i="33" s="1"/>
  <c r="AJ107" i="33" s="1"/>
  <c r="AO107" i="33" s="1"/>
  <c r="AT107" i="33" s="1"/>
  <c r="M61" i="31"/>
  <c r="M60" i="31"/>
  <c r="M59" i="31"/>
  <c r="M58" i="31"/>
  <c r="M57" i="31"/>
  <c r="M56" i="31"/>
  <c r="M55" i="31"/>
  <c r="M54" i="31"/>
  <c r="M53" i="31"/>
  <c r="M52" i="31"/>
  <c r="M51" i="31"/>
  <c r="M50" i="31"/>
  <c r="M49" i="31"/>
  <c r="M48" i="31"/>
  <c r="M47" i="31"/>
  <c r="S61" i="31"/>
  <c r="S60" i="31"/>
  <c r="S59" i="31"/>
  <c r="S58" i="31"/>
  <c r="S57" i="31"/>
  <c r="S56" i="31"/>
  <c r="S55" i="31"/>
  <c r="S54" i="31"/>
  <c r="S53" i="31"/>
  <c r="S52" i="31"/>
  <c r="S51" i="31"/>
  <c r="S50" i="31"/>
  <c r="S49" i="31"/>
  <c r="S48" i="31"/>
  <c r="T47" i="31"/>
  <c r="S47" i="31"/>
  <c r="X61" i="31"/>
  <c r="X60" i="31"/>
  <c r="X59" i="31"/>
  <c r="X58" i="31"/>
  <c r="X57" i="31"/>
  <c r="X56" i="31"/>
  <c r="X55" i="31"/>
  <c r="X54" i="31"/>
  <c r="X53" i="31"/>
  <c r="X52" i="31"/>
  <c r="X51" i="31"/>
  <c r="X50" i="31"/>
  <c r="X49" i="31"/>
  <c r="X48" i="31"/>
  <c r="Y47" i="31"/>
  <c r="X47" i="31"/>
  <c r="AC61" i="31"/>
  <c r="AC60" i="31"/>
  <c r="AC59" i="31"/>
  <c r="AC58" i="31"/>
  <c r="AC57" i="31"/>
  <c r="AC56" i="31"/>
  <c r="AC55" i="31"/>
  <c r="AC54" i="31"/>
  <c r="AC53" i="31"/>
  <c r="AC52" i="31"/>
  <c r="AC51" i="31"/>
  <c r="AC50" i="31"/>
  <c r="AC49" i="31"/>
  <c r="AC48" i="31"/>
  <c r="AD47" i="31"/>
  <c r="AC47" i="31"/>
  <c r="AH61" i="31"/>
  <c r="AH60" i="31"/>
  <c r="AH59" i="31"/>
  <c r="AH58" i="31"/>
  <c r="AH57" i="31"/>
  <c r="AH56" i="31"/>
  <c r="AH55" i="31"/>
  <c r="AH54" i="31"/>
  <c r="AH53" i="31"/>
  <c r="AH52" i="31"/>
  <c r="AH51" i="31"/>
  <c r="AH50" i="31"/>
  <c r="AH49" i="31"/>
  <c r="AH48" i="31"/>
  <c r="AI47" i="31"/>
  <c r="AH47" i="31"/>
  <c r="AM61" i="31"/>
  <c r="AM60" i="31"/>
  <c r="AM59" i="31"/>
  <c r="AM58" i="31"/>
  <c r="AM57" i="31"/>
  <c r="AM56" i="31"/>
  <c r="AM55" i="31"/>
  <c r="AM54" i="31"/>
  <c r="AM53" i="31"/>
  <c r="AM52" i="31"/>
  <c r="AM51" i="31"/>
  <c r="AM50" i="31"/>
  <c r="AM49" i="31"/>
  <c r="AM48" i="31"/>
  <c r="AN47" i="31"/>
  <c r="AM47" i="31"/>
  <c r="AR61" i="31"/>
  <c r="AR60" i="31"/>
  <c r="AR59" i="31"/>
  <c r="AR58" i="31"/>
  <c r="AR57" i="31"/>
  <c r="AR56" i="31"/>
  <c r="AR55" i="31"/>
  <c r="AR54" i="31"/>
  <c r="AR53" i="31"/>
  <c r="AR52" i="31"/>
  <c r="AR51" i="31"/>
  <c r="AR50" i="31"/>
  <c r="AR49" i="31"/>
  <c r="AR48" i="31"/>
  <c r="AS47" i="31"/>
  <c r="AR47" i="31"/>
  <c r="AW61" i="31"/>
  <c r="AW60" i="31"/>
  <c r="AW59" i="31"/>
  <c r="AW58" i="31"/>
  <c r="AW57" i="31"/>
  <c r="AW56" i="31"/>
  <c r="AW55" i="31"/>
  <c r="AW54" i="31"/>
  <c r="AW53" i="31"/>
  <c r="AW52" i="31"/>
  <c r="AW51" i="31"/>
  <c r="AW50" i="31"/>
  <c r="AW49" i="31"/>
  <c r="AW48" i="31"/>
  <c r="AX47" i="31"/>
  <c r="AW47" i="31"/>
  <c r="S61" i="32"/>
  <c r="S60" i="32"/>
  <c r="S59" i="32"/>
  <c r="S58" i="32"/>
  <c r="S57" i="32"/>
  <c r="S56" i="32"/>
  <c r="S55" i="32"/>
  <c r="S54" i="32"/>
  <c r="S53" i="32"/>
  <c r="S52" i="32"/>
  <c r="S51" i="32"/>
  <c r="S50" i="32"/>
  <c r="S49" i="32"/>
  <c r="S48" i="32"/>
  <c r="T47" i="32"/>
  <c r="S47" i="32"/>
  <c r="X61" i="32"/>
  <c r="X60" i="32"/>
  <c r="X59" i="32"/>
  <c r="X58" i="32"/>
  <c r="X57" i="32"/>
  <c r="X56" i="32"/>
  <c r="X55" i="32"/>
  <c r="X54" i="32"/>
  <c r="X53" i="32"/>
  <c r="X52" i="32"/>
  <c r="X51" i="32"/>
  <c r="X50" i="32"/>
  <c r="X49" i="32"/>
  <c r="X48" i="32"/>
  <c r="Y47" i="32"/>
  <c r="X47" i="32"/>
  <c r="AC61" i="32"/>
  <c r="AC60" i="32"/>
  <c r="AC59" i="32"/>
  <c r="AC58" i="32"/>
  <c r="AC57" i="32"/>
  <c r="AC56" i="32"/>
  <c r="AC55" i="32"/>
  <c r="AC54" i="32"/>
  <c r="AC53" i="32"/>
  <c r="AC52" i="32"/>
  <c r="AC51" i="32"/>
  <c r="AC50" i="32"/>
  <c r="AC49" i="32"/>
  <c r="AC48" i="32"/>
  <c r="AD47" i="32"/>
  <c r="AC47" i="32"/>
  <c r="AH61" i="32"/>
  <c r="AH60" i="32"/>
  <c r="AH59" i="32"/>
  <c r="AH58" i="32"/>
  <c r="AH57" i="32"/>
  <c r="AH56" i="32"/>
  <c r="AH55" i="32"/>
  <c r="AH54" i="32"/>
  <c r="AH53" i="32"/>
  <c r="AH52" i="32"/>
  <c r="AH51" i="32"/>
  <c r="AH50" i="32"/>
  <c r="AH49" i="32"/>
  <c r="AH48" i="32"/>
  <c r="AI47" i="32"/>
  <c r="AH47" i="32"/>
  <c r="AM61" i="32"/>
  <c r="AM60" i="32"/>
  <c r="AM59" i="32"/>
  <c r="AM58" i="32"/>
  <c r="AM57" i="32"/>
  <c r="AM56" i="32"/>
  <c r="AM55" i="32"/>
  <c r="AM54" i="32"/>
  <c r="AM53" i="32"/>
  <c r="AM52" i="32"/>
  <c r="AM51" i="32"/>
  <c r="AM50" i="32"/>
  <c r="AM49" i="32"/>
  <c r="AM48" i="32"/>
  <c r="AN47" i="32"/>
  <c r="AM47" i="32"/>
  <c r="AR61" i="32"/>
  <c r="AR60" i="32"/>
  <c r="AR59" i="32"/>
  <c r="AR58" i="32"/>
  <c r="AR57" i="32"/>
  <c r="AR56" i="32"/>
  <c r="AR55" i="32"/>
  <c r="AR54" i="32"/>
  <c r="AR53" i="32"/>
  <c r="AR52" i="32"/>
  <c r="AR51" i="32"/>
  <c r="AR50" i="32"/>
  <c r="AR49" i="32"/>
  <c r="AR48" i="32"/>
  <c r="AS47" i="32"/>
  <c r="AR47" i="32"/>
  <c r="AT47" i="32"/>
  <c r="AW61" i="32"/>
  <c r="AW60" i="32"/>
  <c r="AW59" i="32"/>
  <c r="AW58" i="32"/>
  <c r="AW57" i="32"/>
  <c r="AW56" i="32"/>
  <c r="AW55" i="32"/>
  <c r="AW54" i="32"/>
  <c r="AW53" i="32"/>
  <c r="AW52" i="32"/>
  <c r="AW51" i="32"/>
  <c r="AW50" i="32"/>
  <c r="AW49" i="32"/>
  <c r="AW48" i="32"/>
  <c r="AX47" i="32"/>
  <c r="AW47" i="32"/>
  <c r="S53" i="30"/>
  <c r="S52" i="30"/>
  <c r="S51" i="30"/>
  <c r="S50" i="30"/>
  <c r="S49" i="30"/>
  <c r="S48" i="30"/>
  <c r="T47" i="30"/>
  <c r="S47" i="30"/>
  <c r="X53" i="30"/>
  <c r="X52" i="30"/>
  <c r="X51" i="30"/>
  <c r="X50" i="30"/>
  <c r="X49" i="30"/>
  <c r="X48" i="30"/>
  <c r="Y47" i="30"/>
  <c r="X47" i="30"/>
  <c r="AC53" i="30"/>
  <c r="AC52" i="30"/>
  <c r="AC51" i="30"/>
  <c r="AC50" i="30"/>
  <c r="AC49" i="30"/>
  <c r="AC48" i="30"/>
  <c r="AD47" i="30"/>
  <c r="AC47" i="30"/>
  <c r="AH53" i="30"/>
  <c r="AH52" i="30"/>
  <c r="AH51" i="30"/>
  <c r="AH50" i="30"/>
  <c r="AH49" i="30"/>
  <c r="AH48" i="30"/>
  <c r="AI47" i="30"/>
  <c r="AH47" i="30"/>
  <c r="AM53" i="30"/>
  <c r="AM52" i="30"/>
  <c r="AM51" i="30"/>
  <c r="AM50" i="30"/>
  <c r="AM49" i="30"/>
  <c r="AM48" i="30"/>
  <c r="AN47" i="30"/>
  <c r="AM47" i="30"/>
  <c r="AR53" i="30"/>
  <c r="AR52" i="30"/>
  <c r="AR51" i="30"/>
  <c r="AR50" i="30"/>
  <c r="AR49" i="30"/>
  <c r="AR48" i="30"/>
  <c r="AS47" i="30"/>
  <c r="AR47" i="30"/>
  <c r="AW53" i="30"/>
  <c r="AW52" i="30"/>
  <c r="AW51" i="30"/>
  <c r="AW50" i="30"/>
  <c r="AW49" i="30"/>
  <c r="AW48" i="30"/>
  <c r="AX47" i="30"/>
  <c r="AW47" i="30"/>
  <c r="S106" i="8"/>
  <c r="S105" i="8"/>
  <c r="S104" i="8"/>
  <c r="S103" i="8"/>
  <c r="S102" i="8"/>
  <c r="S101" i="8"/>
  <c r="S100" i="8"/>
  <c r="S99" i="8"/>
  <c r="S98" i="8"/>
  <c r="S97" i="8"/>
  <c r="S96" i="8"/>
  <c r="S95" i="8"/>
  <c r="S94" i="8"/>
  <c r="S93" i="8"/>
  <c r="S92" i="8"/>
  <c r="S91" i="8"/>
  <c r="S90" i="8"/>
  <c r="S89" i="8"/>
  <c r="S88" i="8"/>
  <c r="S87" i="8"/>
  <c r="S86" i="8"/>
  <c r="S85" i="8"/>
  <c r="S84" i="8"/>
  <c r="S83" i="8"/>
  <c r="S82" i="8"/>
  <c r="S81" i="8"/>
  <c r="S80" i="8"/>
  <c r="S79" i="8"/>
  <c r="S78" i="8"/>
  <c r="T77" i="8"/>
  <c r="S77" i="8"/>
  <c r="X106" i="8"/>
  <c r="X105" i="8"/>
  <c r="X104" i="8"/>
  <c r="X103" i="8"/>
  <c r="X102" i="8"/>
  <c r="X101" i="8"/>
  <c r="X100" i="8"/>
  <c r="X99" i="8"/>
  <c r="X98" i="8"/>
  <c r="X97" i="8"/>
  <c r="X96" i="8"/>
  <c r="X95" i="8"/>
  <c r="X94" i="8"/>
  <c r="X93" i="8"/>
  <c r="X92" i="8"/>
  <c r="X91" i="8"/>
  <c r="X90" i="8"/>
  <c r="X89" i="8"/>
  <c r="X88" i="8"/>
  <c r="X87" i="8"/>
  <c r="X86" i="8"/>
  <c r="X85" i="8"/>
  <c r="X84" i="8"/>
  <c r="X83" i="8"/>
  <c r="X82" i="8"/>
  <c r="X81" i="8"/>
  <c r="X80" i="8"/>
  <c r="X79" i="8"/>
  <c r="X78" i="8"/>
  <c r="Y77" i="8"/>
  <c r="X77" i="8"/>
  <c r="AC106" i="8"/>
  <c r="AC105" i="8"/>
  <c r="AC104" i="8"/>
  <c r="AC103" i="8"/>
  <c r="AC102" i="8"/>
  <c r="AC101" i="8"/>
  <c r="AC100" i="8"/>
  <c r="AC99" i="8"/>
  <c r="AC98" i="8"/>
  <c r="AC97" i="8"/>
  <c r="AC96" i="8"/>
  <c r="AC95" i="8"/>
  <c r="AC94" i="8"/>
  <c r="AC93" i="8"/>
  <c r="AC92" i="8"/>
  <c r="AC91" i="8"/>
  <c r="AC90" i="8"/>
  <c r="AC89" i="8"/>
  <c r="AC88" i="8"/>
  <c r="AC87" i="8"/>
  <c r="AC86" i="8"/>
  <c r="AC85" i="8"/>
  <c r="AC84" i="8"/>
  <c r="AC83" i="8"/>
  <c r="AC82" i="8"/>
  <c r="AC81" i="8"/>
  <c r="AC80" i="8"/>
  <c r="AC79" i="8"/>
  <c r="AC78" i="8"/>
  <c r="AD77" i="8"/>
  <c r="AC77" i="8"/>
  <c r="AH106" i="8"/>
  <c r="AH105" i="8"/>
  <c r="AH104" i="8"/>
  <c r="AH103" i="8"/>
  <c r="AH102" i="8"/>
  <c r="AH101" i="8"/>
  <c r="AH100" i="8"/>
  <c r="AH99" i="8"/>
  <c r="AH98" i="8"/>
  <c r="AH97" i="8"/>
  <c r="AH96" i="8"/>
  <c r="AH95" i="8"/>
  <c r="AH94" i="8"/>
  <c r="AH93" i="8"/>
  <c r="AH92" i="8"/>
  <c r="AH91" i="8"/>
  <c r="AH90" i="8"/>
  <c r="AH89" i="8"/>
  <c r="AH88" i="8"/>
  <c r="AH87" i="8"/>
  <c r="AH86" i="8"/>
  <c r="AH85" i="8"/>
  <c r="AH84" i="8"/>
  <c r="AH83" i="8"/>
  <c r="AH82" i="8"/>
  <c r="AH81" i="8"/>
  <c r="AH80" i="8"/>
  <c r="AH79" i="8"/>
  <c r="AH78" i="8"/>
  <c r="AI77" i="8"/>
  <c r="AH77" i="8"/>
  <c r="AM106" i="8"/>
  <c r="AM105" i="8"/>
  <c r="AM104" i="8"/>
  <c r="AM103" i="8"/>
  <c r="AM102" i="8"/>
  <c r="AM101" i="8"/>
  <c r="AM100" i="8"/>
  <c r="AM99" i="8"/>
  <c r="AM98" i="8"/>
  <c r="AM97" i="8"/>
  <c r="AM96" i="8"/>
  <c r="AM95" i="8"/>
  <c r="AM94" i="8"/>
  <c r="AM93" i="8"/>
  <c r="AM92" i="8"/>
  <c r="AM91" i="8"/>
  <c r="AM90" i="8"/>
  <c r="AM89" i="8"/>
  <c r="AM88" i="8"/>
  <c r="AM87" i="8"/>
  <c r="AM86" i="8"/>
  <c r="AM85" i="8"/>
  <c r="AM84" i="8"/>
  <c r="AM83" i="8"/>
  <c r="AM82" i="8"/>
  <c r="AM81" i="8"/>
  <c r="AM80" i="8"/>
  <c r="AM79" i="8"/>
  <c r="AM78" i="8"/>
  <c r="AN77" i="8"/>
  <c r="AM77" i="8"/>
  <c r="AR106" i="8"/>
  <c r="AR105" i="8"/>
  <c r="AR104" i="8"/>
  <c r="AR103" i="8"/>
  <c r="AR102" i="8"/>
  <c r="AR101" i="8"/>
  <c r="AR100" i="8"/>
  <c r="AR99" i="8"/>
  <c r="AR98" i="8"/>
  <c r="AR97" i="8"/>
  <c r="AR96" i="8"/>
  <c r="AR95" i="8"/>
  <c r="AR94" i="8"/>
  <c r="AR93" i="8"/>
  <c r="AR92" i="8"/>
  <c r="AR91" i="8"/>
  <c r="AR90" i="8"/>
  <c r="AR89" i="8"/>
  <c r="AR88" i="8"/>
  <c r="AR87" i="8"/>
  <c r="AR86" i="8"/>
  <c r="AR85" i="8"/>
  <c r="AR84" i="8"/>
  <c r="AR83" i="8"/>
  <c r="AR82" i="8"/>
  <c r="AR81" i="8"/>
  <c r="AR80" i="8"/>
  <c r="AR79" i="8"/>
  <c r="AR78" i="8"/>
  <c r="AS77" i="8"/>
  <c r="AR77" i="8"/>
  <c r="AW106" i="8"/>
  <c r="AW105" i="8"/>
  <c r="AW104" i="8"/>
  <c r="AW103" i="8"/>
  <c r="AW102" i="8"/>
  <c r="AW101" i="8"/>
  <c r="AW100" i="8"/>
  <c r="AW99" i="8"/>
  <c r="AW98" i="8"/>
  <c r="AW97" i="8"/>
  <c r="AW96" i="8"/>
  <c r="AW95" i="8"/>
  <c r="AW94" i="8"/>
  <c r="AW93" i="8"/>
  <c r="AW92" i="8"/>
  <c r="AW91" i="8"/>
  <c r="AW90" i="8"/>
  <c r="AW89" i="8"/>
  <c r="AW88" i="8"/>
  <c r="AW87" i="8"/>
  <c r="AW86" i="8"/>
  <c r="AW85" i="8"/>
  <c r="AW84" i="8"/>
  <c r="AW83" i="8"/>
  <c r="AW82" i="8"/>
  <c r="AW81" i="8"/>
  <c r="AW80" i="8"/>
  <c r="AW79" i="8"/>
  <c r="AW78" i="8"/>
  <c r="AX77" i="8"/>
  <c r="AW77" i="8"/>
  <c r="M49" i="37" l="1"/>
  <c r="M53" i="37"/>
  <c r="M61" i="37"/>
  <c r="M47" i="37"/>
  <c r="M51" i="37"/>
  <c r="AZ49" i="36"/>
  <c r="AZ53" i="36"/>
  <c r="AZ61" i="36"/>
  <c r="AZ50" i="36"/>
  <c r="AZ54" i="36"/>
  <c r="AZ58" i="36"/>
  <c r="AZ55" i="36"/>
  <c r="AZ59" i="36"/>
  <c r="AZ48" i="36"/>
  <c r="AZ52" i="36"/>
  <c r="AZ56" i="36"/>
  <c r="AZ60" i="36"/>
  <c r="C8" i="39"/>
  <c r="I7" i="39" l="1"/>
  <c r="H23" i="39"/>
  <c r="H22" i="39"/>
  <c r="H21" i="39"/>
  <c r="H20" i="39"/>
  <c r="H19" i="39"/>
  <c r="H18" i="39"/>
  <c r="H17" i="39"/>
  <c r="H16" i="39"/>
  <c r="H15" i="39"/>
  <c r="B23" i="39"/>
  <c r="B22" i="39"/>
  <c r="B21" i="39"/>
  <c r="B20" i="39"/>
  <c r="B19" i="39"/>
  <c r="B18" i="39"/>
  <c r="B17" i="39"/>
  <c r="B16" i="39"/>
  <c r="B15" i="39"/>
  <c r="P26" i="3" l="1"/>
  <c r="P33" i="3"/>
  <c r="B54" i="48" l="1"/>
  <c r="F52" i="48"/>
  <c r="D52" i="48"/>
  <c r="F51" i="48"/>
  <c r="D51" i="48"/>
  <c r="F50" i="48"/>
  <c r="D50" i="48"/>
  <c r="F49" i="48"/>
  <c r="D49" i="48"/>
  <c r="F48" i="48"/>
  <c r="D48" i="48"/>
  <c r="F47" i="48"/>
  <c r="D47" i="48"/>
  <c r="I46" i="48"/>
  <c r="H46" i="48"/>
  <c r="G46" i="48"/>
  <c r="F46" i="48"/>
  <c r="D46" i="48"/>
  <c r="F45" i="48"/>
  <c r="D45" i="48"/>
  <c r="F44" i="48"/>
  <c r="D44" i="48"/>
  <c r="F43" i="48"/>
  <c r="D43" i="48"/>
  <c r="F42" i="48"/>
  <c r="D42" i="48"/>
  <c r="F41" i="48"/>
  <c r="D41" i="48"/>
  <c r="F40" i="48"/>
  <c r="D40" i="48"/>
  <c r="I39" i="48"/>
  <c r="H39" i="48"/>
  <c r="G39" i="48"/>
  <c r="F39" i="48"/>
  <c r="D39" i="48"/>
  <c r="F38" i="48"/>
  <c r="D38" i="48"/>
  <c r="F37" i="48"/>
  <c r="D37" i="48"/>
  <c r="F36" i="48"/>
  <c r="D36" i="48"/>
  <c r="F35" i="48"/>
  <c r="D35" i="48"/>
  <c r="F34" i="48"/>
  <c r="D34" i="48"/>
  <c r="F33" i="48"/>
  <c r="D33" i="48"/>
  <c r="I32" i="48"/>
  <c r="H32" i="48"/>
  <c r="G32" i="48"/>
  <c r="F32" i="48"/>
  <c r="D32" i="48"/>
  <c r="F31" i="48"/>
  <c r="D31" i="48"/>
  <c r="F30" i="48"/>
  <c r="D30" i="48"/>
  <c r="F29" i="48"/>
  <c r="D29" i="48"/>
  <c r="F28" i="48"/>
  <c r="D28" i="48"/>
  <c r="F27" i="48"/>
  <c r="D27" i="48"/>
  <c r="F26" i="48"/>
  <c r="D26" i="48"/>
  <c r="I25" i="48"/>
  <c r="H25" i="48"/>
  <c r="G25" i="48"/>
  <c r="F25" i="48"/>
  <c r="D25" i="48"/>
  <c r="F24" i="48"/>
  <c r="D24" i="48"/>
  <c r="F23" i="48"/>
  <c r="D23" i="48"/>
  <c r="F22" i="48"/>
  <c r="D22" i="48"/>
  <c r="F21" i="48"/>
  <c r="D21" i="48"/>
  <c r="F20" i="48"/>
  <c r="D20" i="48"/>
  <c r="F19" i="48"/>
  <c r="D19" i="48"/>
  <c r="I18" i="48"/>
  <c r="H18" i="48"/>
  <c r="G18" i="48"/>
  <c r="F18" i="48"/>
  <c r="D18" i="48"/>
  <c r="F17" i="48"/>
  <c r="D17" i="48"/>
  <c r="F16" i="48"/>
  <c r="D16" i="48"/>
  <c r="F15" i="48"/>
  <c r="D15" i="48"/>
  <c r="F14" i="48"/>
  <c r="D14" i="48"/>
  <c r="F13" i="48"/>
  <c r="D13" i="48"/>
  <c r="F12" i="48"/>
  <c r="D12" i="48"/>
  <c r="G11" i="48"/>
  <c r="F11" i="48"/>
  <c r="H11" i="48"/>
  <c r="F10" i="48"/>
  <c r="D10" i="48"/>
  <c r="F9" i="48"/>
  <c r="D9" i="48"/>
  <c r="F8" i="48"/>
  <c r="D8" i="48"/>
  <c r="F7" i="48"/>
  <c r="H4" i="48"/>
  <c r="F6" i="48"/>
  <c r="D6" i="48"/>
  <c r="A6" i="48"/>
  <c r="A7" i="48" s="1"/>
  <c r="A8" i="48" s="1"/>
  <c r="A9" i="48" s="1"/>
  <c r="A10" i="48" s="1"/>
  <c r="A11" i="48" s="1"/>
  <c r="A12" i="48" s="1"/>
  <c r="A13" i="48" s="1"/>
  <c r="A14" i="48" s="1"/>
  <c r="A15" i="48" s="1"/>
  <c r="A16" i="48" s="1"/>
  <c r="A17" i="48" s="1"/>
  <c r="A18" i="48" s="1"/>
  <c r="A19" i="48" s="1"/>
  <c r="A20" i="48" s="1"/>
  <c r="A21" i="48" s="1"/>
  <c r="A22" i="48" s="1"/>
  <c r="A23" i="48" s="1"/>
  <c r="A24" i="48" s="1"/>
  <c r="A25" i="48" s="1"/>
  <c r="A26" i="48" s="1"/>
  <c r="A27" i="48" s="1"/>
  <c r="A28" i="48" s="1"/>
  <c r="A29" i="48" s="1"/>
  <c r="A30" i="48" s="1"/>
  <c r="A31" i="48" s="1"/>
  <c r="A32" i="48" s="1"/>
  <c r="A33" i="48" s="1"/>
  <c r="A34" i="48" s="1"/>
  <c r="A35" i="48" s="1"/>
  <c r="A36" i="48" s="1"/>
  <c r="A37" i="48" s="1"/>
  <c r="A38" i="48" s="1"/>
  <c r="A39" i="48" s="1"/>
  <c r="A40" i="48" s="1"/>
  <c r="A41" i="48" s="1"/>
  <c r="A42" i="48" s="1"/>
  <c r="A43" i="48" s="1"/>
  <c r="A44" i="48" s="1"/>
  <c r="A45" i="48" s="1"/>
  <c r="A46" i="48" s="1"/>
  <c r="A47" i="48" s="1"/>
  <c r="A48" i="48" s="1"/>
  <c r="A49" i="48" s="1"/>
  <c r="A50" i="48" s="1"/>
  <c r="A51" i="48" s="1"/>
  <c r="A52" i="48" s="1"/>
  <c r="F5" i="48"/>
  <c r="D5" i="48"/>
  <c r="A5" i="48"/>
  <c r="I4" i="48"/>
  <c r="G4" i="48"/>
  <c r="F4" i="48"/>
  <c r="D4" i="48"/>
  <c r="AJ8" i="47"/>
  <c r="AI8" i="47"/>
  <c r="AH8" i="47"/>
  <c r="AG8" i="47"/>
  <c r="AF8" i="47"/>
  <c r="AE8" i="47"/>
  <c r="AD8" i="47"/>
  <c r="AJ7" i="47"/>
  <c r="AI7" i="47"/>
  <c r="AI9" i="47" s="1"/>
  <c r="AH7" i="47"/>
  <c r="AG7" i="47"/>
  <c r="AF7" i="47"/>
  <c r="AE7" i="47"/>
  <c r="AE9" i="47" s="1"/>
  <c r="AD7" i="47"/>
  <c r="AD9" i="47" s="1"/>
  <c r="AC7" i="47"/>
  <c r="AJ8" i="46"/>
  <c r="AI8" i="46"/>
  <c r="AH8" i="46"/>
  <c r="AG8" i="46"/>
  <c r="AF8" i="46"/>
  <c r="AE8" i="46"/>
  <c r="AD8" i="46"/>
  <c r="AJ7" i="46"/>
  <c r="AI7" i="46"/>
  <c r="AH7" i="46"/>
  <c r="AG7" i="46"/>
  <c r="AF7" i="46"/>
  <c r="AE7" i="46"/>
  <c r="AE9" i="46" s="1"/>
  <c r="AD7" i="46"/>
  <c r="AD9" i="46" s="1"/>
  <c r="AC7" i="46"/>
  <c r="AF9" i="47" l="1"/>
  <c r="AJ9" i="47"/>
  <c r="AG9" i="47"/>
  <c r="AH9" i="47"/>
  <c r="B2" i="48"/>
  <c r="D2" i="48" s="1"/>
  <c r="D7" i="48"/>
  <c r="D11" i="48"/>
  <c r="F2" i="48"/>
  <c r="I2" i="48" s="1"/>
  <c r="I11" i="48"/>
  <c r="AF9" i="46"/>
  <c r="AJ9" i="46"/>
  <c r="AG9" i="46"/>
  <c r="AH9" i="46"/>
  <c r="AI9" i="46"/>
  <c r="AW41" i="37" l="1"/>
  <c r="AW40" i="37"/>
  <c r="AW39" i="37"/>
  <c r="AW38" i="37"/>
  <c r="AW37" i="37"/>
  <c r="AW36" i="37"/>
  <c r="AW35" i="37"/>
  <c r="AW34" i="37"/>
  <c r="AW33" i="37"/>
  <c r="AW32" i="37"/>
  <c r="AW31" i="37"/>
  <c r="AW30" i="37"/>
  <c r="AW29" i="37"/>
  <c r="AW28" i="37"/>
  <c r="AW27" i="37"/>
  <c r="AR41" i="37"/>
  <c r="AR40" i="37"/>
  <c r="AR39" i="37"/>
  <c r="AR38" i="37"/>
  <c r="AR37" i="37"/>
  <c r="AR36" i="37"/>
  <c r="AR35" i="37"/>
  <c r="AR34" i="37"/>
  <c r="AR33" i="37"/>
  <c r="AR32" i="37"/>
  <c r="AR31" i="37"/>
  <c r="AR30" i="37"/>
  <c r="AR29" i="37"/>
  <c r="AR28" i="37"/>
  <c r="AR27" i="37"/>
  <c r="AM41" i="37"/>
  <c r="AM40" i="37"/>
  <c r="AM39" i="37"/>
  <c r="AM38" i="37"/>
  <c r="AM37" i="37"/>
  <c r="AM36" i="37"/>
  <c r="AM35" i="37"/>
  <c r="AM34" i="37"/>
  <c r="AM33" i="37"/>
  <c r="AM32" i="37"/>
  <c r="AM31" i="37"/>
  <c r="AM30" i="37"/>
  <c r="AM29" i="37"/>
  <c r="AM28" i="37"/>
  <c r="AM27" i="37"/>
  <c r="AH41" i="37"/>
  <c r="AH40" i="37"/>
  <c r="AH39" i="37"/>
  <c r="AH38" i="37"/>
  <c r="AH37" i="37"/>
  <c r="AH36" i="37"/>
  <c r="AH35" i="37"/>
  <c r="AH34" i="37"/>
  <c r="AH33" i="37"/>
  <c r="AH32" i="37"/>
  <c r="AH31" i="37"/>
  <c r="AH30" i="37"/>
  <c r="AH29" i="37"/>
  <c r="AH28" i="37"/>
  <c r="AH27" i="37"/>
  <c r="AC41" i="37"/>
  <c r="AC40" i="37"/>
  <c r="AC39" i="37"/>
  <c r="AC38" i="37"/>
  <c r="AC37" i="37"/>
  <c r="AC36" i="37"/>
  <c r="AC35" i="37"/>
  <c r="AC34" i="37"/>
  <c r="AC33" i="37"/>
  <c r="AC32" i="37"/>
  <c r="AC31" i="37"/>
  <c r="AC30" i="37"/>
  <c r="AC29" i="37"/>
  <c r="AC28" i="37"/>
  <c r="AC27" i="37"/>
  <c r="X41" i="37"/>
  <c r="X40" i="37"/>
  <c r="X39" i="37"/>
  <c r="X38" i="37"/>
  <c r="X37" i="37"/>
  <c r="X36" i="37"/>
  <c r="X35" i="37"/>
  <c r="X34" i="37"/>
  <c r="X33" i="37"/>
  <c r="X32" i="37"/>
  <c r="X31" i="37"/>
  <c r="X30" i="37"/>
  <c r="X29" i="37"/>
  <c r="X28" i="37"/>
  <c r="X27" i="37"/>
  <c r="S28" i="37"/>
  <c r="S29" i="37"/>
  <c r="S30" i="37"/>
  <c r="S31" i="37"/>
  <c r="S32" i="37"/>
  <c r="S33" i="37"/>
  <c r="S34" i="37"/>
  <c r="S35" i="37"/>
  <c r="S36" i="37"/>
  <c r="S37" i="37"/>
  <c r="S38" i="37"/>
  <c r="S39" i="37"/>
  <c r="S40" i="37"/>
  <c r="S41" i="37"/>
  <c r="S27" i="37"/>
  <c r="AW41" i="36"/>
  <c r="AW40" i="36"/>
  <c r="AW39" i="36"/>
  <c r="AW38" i="36"/>
  <c r="AW37" i="36"/>
  <c r="AW36" i="36"/>
  <c r="AW35" i="36"/>
  <c r="AW34" i="36"/>
  <c r="AW33" i="36"/>
  <c r="AW32" i="36"/>
  <c r="AW31" i="36"/>
  <c r="AW30" i="36"/>
  <c r="AW29" i="36"/>
  <c r="AW28" i="36"/>
  <c r="AW27" i="36"/>
  <c r="AR41" i="36"/>
  <c r="AR40" i="36"/>
  <c r="AR39" i="36"/>
  <c r="AR38" i="36"/>
  <c r="AR37" i="36"/>
  <c r="AR36" i="36"/>
  <c r="AR35" i="36"/>
  <c r="AR34" i="36"/>
  <c r="AR33" i="36"/>
  <c r="AR32" i="36"/>
  <c r="AR31" i="36"/>
  <c r="AR30" i="36"/>
  <c r="AR29" i="36"/>
  <c r="AR28" i="36"/>
  <c r="AR27" i="36"/>
  <c r="AM41" i="36"/>
  <c r="AM40" i="36"/>
  <c r="AM39" i="36"/>
  <c r="AM38" i="36"/>
  <c r="AM37" i="36"/>
  <c r="AM36" i="36"/>
  <c r="AM35" i="36"/>
  <c r="AM34" i="36"/>
  <c r="AM33" i="36"/>
  <c r="AM32" i="36"/>
  <c r="AM31" i="36"/>
  <c r="AM30" i="36"/>
  <c r="AM29" i="36"/>
  <c r="AM28" i="36"/>
  <c r="AM27" i="36"/>
  <c r="AH41" i="36"/>
  <c r="AH40" i="36"/>
  <c r="AH39" i="36"/>
  <c r="AH38" i="36"/>
  <c r="AH37" i="36"/>
  <c r="AH36" i="36"/>
  <c r="AH35" i="36"/>
  <c r="AH34" i="36"/>
  <c r="AH33" i="36"/>
  <c r="AH32" i="36"/>
  <c r="AH31" i="36"/>
  <c r="AH30" i="36"/>
  <c r="AH29" i="36"/>
  <c r="AH28" i="36"/>
  <c r="AH27" i="36"/>
  <c r="AC41" i="36"/>
  <c r="AC40" i="36"/>
  <c r="AC39" i="36"/>
  <c r="AC38" i="36"/>
  <c r="AC37" i="36"/>
  <c r="AC36" i="36"/>
  <c r="AC35" i="36"/>
  <c r="AC34" i="36"/>
  <c r="AC33" i="36"/>
  <c r="AC32" i="36"/>
  <c r="AC31" i="36"/>
  <c r="AC30" i="36"/>
  <c r="AC29" i="36"/>
  <c r="AC28" i="36"/>
  <c r="AC27" i="36"/>
  <c r="X41" i="36"/>
  <c r="X40" i="36"/>
  <c r="X39" i="36"/>
  <c r="X38" i="36"/>
  <c r="X37" i="36"/>
  <c r="X36" i="36"/>
  <c r="X35" i="36"/>
  <c r="X34" i="36"/>
  <c r="X33" i="36"/>
  <c r="X32" i="36"/>
  <c r="X31" i="36"/>
  <c r="X30" i="36"/>
  <c r="X29" i="36"/>
  <c r="X28" i="36"/>
  <c r="X27" i="36"/>
  <c r="S28" i="36"/>
  <c r="S29" i="36"/>
  <c r="S30" i="36"/>
  <c r="S31" i="36"/>
  <c r="S32" i="36"/>
  <c r="S33" i="36"/>
  <c r="S34" i="36"/>
  <c r="S35" i="36"/>
  <c r="S36" i="36"/>
  <c r="S37" i="36"/>
  <c r="S38" i="36"/>
  <c r="S39" i="36"/>
  <c r="S40" i="36"/>
  <c r="S41" i="36"/>
  <c r="S27" i="36"/>
  <c r="AW41" i="35"/>
  <c r="AW40" i="35"/>
  <c r="AW39" i="35"/>
  <c r="AW38" i="35"/>
  <c r="AW37" i="35"/>
  <c r="AW36" i="35"/>
  <c r="AW35" i="35"/>
  <c r="AW34" i="35"/>
  <c r="AW33" i="35"/>
  <c r="AW32" i="35"/>
  <c r="AW31" i="35"/>
  <c r="AW30" i="35"/>
  <c r="AW29" i="35"/>
  <c r="AW28" i="35"/>
  <c r="AW27" i="35"/>
  <c r="AR41" i="35"/>
  <c r="AR40" i="35"/>
  <c r="AR39" i="35"/>
  <c r="AR38" i="35"/>
  <c r="AR37" i="35"/>
  <c r="AR36" i="35"/>
  <c r="AR35" i="35"/>
  <c r="AR34" i="35"/>
  <c r="AR33" i="35"/>
  <c r="AR32" i="35"/>
  <c r="AR31" i="35"/>
  <c r="AR30" i="35"/>
  <c r="AR29" i="35"/>
  <c r="AR28" i="35"/>
  <c r="AR27" i="35"/>
  <c r="AM41" i="35"/>
  <c r="AM40" i="35"/>
  <c r="AM39" i="35"/>
  <c r="AM38" i="35"/>
  <c r="AM37" i="35"/>
  <c r="AM36" i="35"/>
  <c r="AM35" i="35"/>
  <c r="AM34" i="35"/>
  <c r="AM33" i="35"/>
  <c r="AM32" i="35"/>
  <c r="AM31" i="35"/>
  <c r="AM30" i="35"/>
  <c r="AM29" i="35"/>
  <c r="AM28" i="35"/>
  <c r="AM27" i="35"/>
  <c r="AH41" i="35"/>
  <c r="AH40" i="35"/>
  <c r="AH39" i="35"/>
  <c r="AH38" i="35"/>
  <c r="AH37" i="35"/>
  <c r="AH36" i="35"/>
  <c r="AH35" i="35"/>
  <c r="AH34" i="35"/>
  <c r="AH33" i="35"/>
  <c r="AH32" i="35"/>
  <c r="AH31" i="35"/>
  <c r="AH30" i="35"/>
  <c r="AH29" i="35"/>
  <c r="AH28" i="35"/>
  <c r="AH27" i="35"/>
  <c r="AC41" i="35"/>
  <c r="AC40" i="35"/>
  <c r="AC39" i="35"/>
  <c r="AC38" i="35"/>
  <c r="AC37" i="35"/>
  <c r="AC36" i="35"/>
  <c r="AC35" i="35"/>
  <c r="AC34" i="35"/>
  <c r="AC33" i="35"/>
  <c r="AC32" i="35"/>
  <c r="AC31" i="35"/>
  <c r="AC30" i="35"/>
  <c r="AC29" i="35"/>
  <c r="AC28" i="35"/>
  <c r="AC27" i="35"/>
  <c r="X41" i="35"/>
  <c r="X40" i="35"/>
  <c r="X39" i="35"/>
  <c r="X38" i="35"/>
  <c r="X37" i="35"/>
  <c r="X36" i="35"/>
  <c r="X35" i="35"/>
  <c r="X34" i="35"/>
  <c r="X33" i="35"/>
  <c r="X32" i="35"/>
  <c r="X31" i="35"/>
  <c r="X30" i="35"/>
  <c r="X29" i="35"/>
  <c r="X28" i="35"/>
  <c r="X27" i="35"/>
  <c r="S28" i="35"/>
  <c r="S29" i="35"/>
  <c r="S30" i="35"/>
  <c r="S31" i="35"/>
  <c r="S32" i="35"/>
  <c r="S33" i="35"/>
  <c r="S34" i="35"/>
  <c r="S35" i="35"/>
  <c r="S36" i="35"/>
  <c r="S37" i="35"/>
  <c r="S38" i="35"/>
  <c r="S39" i="35"/>
  <c r="S40" i="35"/>
  <c r="S41" i="35"/>
  <c r="S27" i="35"/>
  <c r="AW41" i="34"/>
  <c r="AW40" i="34"/>
  <c r="AW39" i="34"/>
  <c r="AW38" i="34"/>
  <c r="AW37" i="34"/>
  <c r="AW36" i="34"/>
  <c r="AW35" i="34"/>
  <c r="AW34" i="34"/>
  <c r="AW33" i="34"/>
  <c r="AW32" i="34"/>
  <c r="AW31" i="34"/>
  <c r="AW30" i="34"/>
  <c r="AW29" i="34"/>
  <c r="AW28" i="34"/>
  <c r="AW27" i="34"/>
  <c r="AR41" i="34"/>
  <c r="AR40" i="34"/>
  <c r="AR39" i="34"/>
  <c r="AR38" i="34"/>
  <c r="AR37" i="34"/>
  <c r="AR36" i="34"/>
  <c r="AR35" i="34"/>
  <c r="AR34" i="34"/>
  <c r="AR33" i="34"/>
  <c r="AR32" i="34"/>
  <c r="AR31" i="34"/>
  <c r="AR30" i="34"/>
  <c r="AR29" i="34"/>
  <c r="AR28" i="34"/>
  <c r="AR27" i="34"/>
  <c r="AM41" i="34"/>
  <c r="AM40" i="34"/>
  <c r="AM39" i="34"/>
  <c r="AM38" i="34"/>
  <c r="AM37" i="34"/>
  <c r="AM36" i="34"/>
  <c r="AM35" i="34"/>
  <c r="AM34" i="34"/>
  <c r="AM33" i="34"/>
  <c r="AM32" i="34"/>
  <c r="AM31" i="34"/>
  <c r="AM30" i="34"/>
  <c r="AM29" i="34"/>
  <c r="AM28" i="34"/>
  <c r="AM27" i="34"/>
  <c r="AH41" i="34"/>
  <c r="AH40" i="34"/>
  <c r="AH39" i="34"/>
  <c r="AH38" i="34"/>
  <c r="AH37" i="34"/>
  <c r="AH36" i="34"/>
  <c r="AH35" i="34"/>
  <c r="AH34" i="34"/>
  <c r="AH33" i="34"/>
  <c r="AH32" i="34"/>
  <c r="AH31" i="34"/>
  <c r="AH30" i="34"/>
  <c r="AH29" i="34"/>
  <c r="AH28" i="34"/>
  <c r="AH27" i="34"/>
  <c r="AC41" i="34"/>
  <c r="AC40" i="34"/>
  <c r="AC39" i="34"/>
  <c r="AC38" i="34"/>
  <c r="AC37" i="34"/>
  <c r="AC36" i="34"/>
  <c r="AC35" i="34"/>
  <c r="AC34" i="34"/>
  <c r="AC33" i="34"/>
  <c r="AC32" i="34"/>
  <c r="AC31" i="34"/>
  <c r="AC30" i="34"/>
  <c r="AC29" i="34"/>
  <c r="AC28" i="34"/>
  <c r="AC27" i="34"/>
  <c r="X41" i="34"/>
  <c r="X40" i="34"/>
  <c r="X39" i="34"/>
  <c r="X38" i="34"/>
  <c r="X37" i="34"/>
  <c r="X36" i="34"/>
  <c r="X35" i="34"/>
  <c r="X34" i="34"/>
  <c r="X33" i="34"/>
  <c r="X32" i="34"/>
  <c r="X31" i="34"/>
  <c r="X30" i="34"/>
  <c r="X29" i="34"/>
  <c r="X28" i="34"/>
  <c r="X27" i="34"/>
  <c r="S28" i="34"/>
  <c r="S29" i="34"/>
  <c r="S30" i="34"/>
  <c r="S31" i="34"/>
  <c r="S32" i="34"/>
  <c r="S33" i="34"/>
  <c r="S34" i="34"/>
  <c r="S35" i="34"/>
  <c r="S36" i="34"/>
  <c r="S37" i="34"/>
  <c r="S38" i="34"/>
  <c r="S39" i="34"/>
  <c r="S40" i="34"/>
  <c r="S41" i="34"/>
  <c r="S27" i="34"/>
  <c r="AW41" i="31"/>
  <c r="AW40" i="31"/>
  <c r="AW39" i="31"/>
  <c r="AW38" i="31"/>
  <c r="AW37" i="31"/>
  <c r="AW36" i="31"/>
  <c r="AW35" i="31"/>
  <c r="AW34" i="31"/>
  <c r="AW33" i="31"/>
  <c r="AW32" i="31"/>
  <c r="AW31" i="31"/>
  <c r="AW30" i="31"/>
  <c r="AW29" i="31"/>
  <c r="AW28" i="31"/>
  <c r="AW27" i="31"/>
  <c r="AR41" i="31"/>
  <c r="AR40" i="31"/>
  <c r="AR39" i="31"/>
  <c r="AR38" i="31"/>
  <c r="AR37" i="31"/>
  <c r="AR36" i="31"/>
  <c r="AR35" i="31"/>
  <c r="AR34" i="31"/>
  <c r="AR33" i="31"/>
  <c r="AR32" i="31"/>
  <c r="AR31" i="31"/>
  <c r="AR30" i="31"/>
  <c r="AR29" i="31"/>
  <c r="AR28" i="31"/>
  <c r="AR27" i="31"/>
  <c r="AM41" i="31"/>
  <c r="AM40" i="31"/>
  <c r="AM39" i="31"/>
  <c r="AM38" i="31"/>
  <c r="AM37" i="31"/>
  <c r="AM36" i="31"/>
  <c r="AM35" i="31"/>
  <c r="AM34" i="31"/>
  <c r="AM33" i="31"/>
  <c r="AM32" i="31"/>
  <c r="AM31" i="31"/>
  <c r="AM30" i="31"/>
  <c r="AM29" i="31"/>
  <c r="AM28" i="31"/>
  <c r="AM27" i="31"/>
  <c r="AH41" i="31"/>
  <c r="AH40" i="31"/>
  <c r="AH39" i="31"/>
  <c r="AH38" i="31"/>
  <c r="AH37" i="31"/>
  <c r="AH36" i="31"/>
  <c r="AH35" i="31"/>
  <c r="AH34" i="31"/>
  <c r="AH33" i="31"/>
  <c r="AH32" i="31"/>
  <c r="AH31" i="31"/>
  <c r="AH30" i="31"/>
  <c r="AH29" i="31"/>
  <c r="AH28" i="31"/>
  <c r="AH27" i="31"/>
  <c r="AC41" i="31"/>
  <c r="AC40" i="31"/>
  <c r="AC39" i="31"/>
  <c r="AC38" i="31"/>
  <c r="AC37" i="31"/>
  <c r="AC36" i="31"/>
  <c r="AC35" i="31"/>
  <c r="AC34" i="31"/>
  <c r="AC33" i="31"/>
  <c r="AC32" i="31"/>
  <c r="AC31" i="31"/>
  <c r="AC30" i="31"/>
  <c r="AC29" i="31"/>
  <c r="AC28" i="31"/>
  <c r="AC27" i="31"/>
  <c r="X41" i="31"/>
  <c r="X40" i="31"/>
  <c r="X39" i="31"/>
  <c r="X38" i="31"/>
  <c r="X37" i="31"/>
  <c r="X36" i="31"/>
  <c r="X35" i="31"/>
  <c r="X34" i="31"/>
  <c r="X33" i="31"/>
  <c r="X32" i="31"/>
  <c r="X31" i="31"/>
  <c r="X30" i="31"/>
  <c r="X29" i="31"/>
  <c r="X28" i="31"/>
  <c r="X27" i="31"/>
  <c r="S28" i="31"/>
  <c r="S29" i="31"/>
  <c r="S30" i="31"/>
  <c r="S31" i="31"/>
  <c r="S32" i="31"/>
  <c r="S33" i="31"/>
  <c r="S34" i="31"/>
  <c r="S35" i="31"/>
  <c r="S36" i="31"/>
  <c r="S37" i="31"/>
  <c r="S38" i="31"/>
  <c r="S39" i="31"/>
  <c r="S40" i="31"/>
  <c r="S41" i="31"/>
  <c r="S27" i="31"/>
  <c r="AW41" i="32"/>
  <c r="AW40" i="32"/>
  <c r="AW39" i="32"/>
  <c r="AW38" i="32"/>
  <c r="AW37" i="32"/>
  <c r="AW36" i="32"/>
  <c r="AW35" i="32"/>
  <c r="AW34" i="32"/>
  <c r="AW33" i="32"/>
  <c r="AW32" i="32"/>
  <c r="AW31" i="32"/>
  <c r="AW30" i="32"/>
  <c r="AW29" i="32"/>
  <c r="AW28" i="32"/>
  <c r="AW27" i="32"/>
  <c r="AR41" i="32"/>
  <c r="AR40" i="32"/>
  <c r="AR39" i="32"/>
  <c r="AR38" i="32"/>
  <c r="AR37" i="32"/>
  <c r="AR36" i="32"/>
  <c r="AR35" i="32"/>
  <c r="AR34" i="32"/>
  <c r="AR33" i="32"/>
  <c r="AR32" i="32"/>
  <c r="AR31" i="32"/>
  <c r="AR30" i="32"/>
  <c r="AR29" i="32"/>
  <c r="AR28" i="32"/>
  <c r="AR27" i="32"/>
  <c r="AM41" i="32"/>
  <c r="AM40" i="32"/>
  <c r="AM39" i="32"/>
  <c r="AM38" i="32"/>
  <c r="AM37" i="32"/>
  <c r="AM36" i="32"/>
  <c r="AM35" i="32"/>
  <c r="AM34" i="32"/>
  <c r="AM33" i="32"/>
  <c r="AM32" i="32"/>
  <c r="AM31" i="32"/>
  <c r="AM30" i="32"/>
  <c r="AM29" i="32"/>
  <c r="AM28" i="32"/>
  <c r="AM27" i="32"/>
  <c r="AH41" i="32"/>
  <c r="AH40" i="32"/>
  <c r="AH39" i="32"/>
  <c r="AH38" i="32"/>
  <c r="AH37" i="32"/>
  <c r="AH36" i="32"/>
  <c r="AH35" i="32"/>
  <c r="AH34" i="32"/>
  <c r="AH33" i="32"/>
  <c r="AH32" i="32"/>
  <c r="AH31" i="32"/>
  <c r="AH30" i="32"/>
  <c r="AH29" i="32"/>
  <c r="AH28" i="32"/>
  <c r="AH27" i="32"/>
  <c r="AC41" i="32"/>
  <c r="AC40" i="32"/>
  <c r="AC39" i="32"/>
  <c r="AC38" i="32"/>
  <c r="AC37" i="32"/>
  <c r="AC36" i="32"/>
  <c r="AC35" i="32"/>
  <c r="AC34" i="32"/>
  <c r="AC33" i="32"/>
  <c r="AC32" i="32"/>
  <c r="AC31" i="32"/>
  <c r="AC30" i="32"/>
  <c r="AC29" i="32"/>
  <c r="AC28" i="32"/>
  <c r="AC27" i="32"/>
  <c r="X41" i="32"/>
  <c r="X40" i="32"/>
  <c r="X39" i="32"/>
  <c r="X38" i="32"/>
  <c r="X37" i="32"/>
  <c r="X36" i="32"/>
  <c r="X35" i="32"/>
  <c r="X34" i="32"/>
  <c r="X33" i="32"/>
  <c r="X32" i="32"/>
  <c r="X31" i="32"/>
  <c r="X30" i="32"/>
  <c r="X29" i="32"/>
  <c r="X28" i="32"/>
  <c r="X27" i="32"/>
  <c r="S28" i="32"/>
  <c r="S29" i="32"/>
  <c r="S30" i="32"/>
  <c r="S31" i="32"/>
  <c r="S32" i="32"/>
  <c r="S33" i="32"/>
  <c r="S34" i="32"/>
  <c r="S35" i="32"/>
  <c r="S36" i="32"/>
  <c r="S37" i="32"/>
  <c r="S38" i="32"/>
  <c r="S39" i="32"/>
  <c r="S40" i="32"/>
  <c r="S41" i="32"/>
  <c r="S27" i="32"/>
  <c r="AW41" i="30"/>
  <c r="AW40" i="30"/>
  <c r="AW39" i="30"/>
  <c r="AW38" i="30"/>
  <c r="AW37" i="30"/>
  <c r="AW36" i="30"/>
  <c r="AW35" i="30"/>
  <c r="AW34" i="30"/>
  <c r="AW33" i="30"/>
  <c r="AW32" i="30"/>
  <c r="AW31" i="30"/>
  <c r="AW30" i="30"/>
  <c r="AW29" i="30"/>
  <c r="AW28" i="30"/>
  <c r="AW27" i="30"/>
  <c r="AR41" i="30"/>
  <c r="AR40" i="30"/>
  <c r="AR39" i="30"/>
  <c r="AR38" i="30"/>
  <c r="AR37" i="30"/>
  <c r="AR36" i="30"/>
  <c r="AR35" i="30"/>
  <c r="AR34" i="30"/>
  <c r="AR33" i="30"/>
  <c r="AR32" i="30"/>
  <c r="AR31" i="30"/>
  <c r="AR30" i="30"/>
  <c r="AR29" i="30"/>
  <c r="AR28" i="30"/>
  <c r="AR27" i="30"/>
  <c r="AM41" i="30"/>
  <c r="AM40" i="30"/>
  <c r="AM39" i="30"/>
  <c r="AM38" i="30"/>
  <c r="AM37" i="30"/>
  <c r="AM36" i="30"/>
  <c r="AM35" i="30"/>
  <c r="AM34" i="30"/>
  <c r="AM33" i="30"/>
  <c r="AM32" i="30"/>
  <c r="AM31" i="30"/>
  <c r="AM30" i="30"/>
  <c r="AM29" i="30"/>
  <c r="AM28" i="30"/>
  <c r="AM27" i="30"/>
  <c r="AH41" i="30"/>
  <c r="AH40" i="30"/>
  <c r="AH39" i="30"/>
  <c r="AH38" i="30"/>
  <c r="AH37" i="30"/>
  <c r="AH36" i="30"/>
  <c r="AH35" i="30"/>
  <c r="AH34" i="30"/>
  <c r="AH33" i="30"/>
  <c r="AH32" i="30"/>
  <c r="AH31" i="30"/>
  <c r="AH30" i="30"/>
  <c r="AH29" i="30"/>
  <c r="AH28" i="30"/>
  <c r="AH27" i="30"/>
  <c r="AC41" i="30"/>
  <c r="AC40" i="30"/>
  <c r="AC39" i="30"/>
  <c r="AC38" i="30"/>
  <c r="AC37" i="30"/>
  <c r="AC36" i="30"/>
  <c r="AC35" i="30"/>
  <c r="AC34" i="30"/>
  <c r="AC33" i="30"/>
  <c r="AC32" i="30"/>
  <c r="AC31" i="30"/>
  <c r="AC30" i="30"/>
  <c r="AC29" i="30"/>
  <c r="AC28" i="30"/>
  <c r="AC27" i="30"/>
  <c r="X41" i="30"/>
  <c r="X40" i="30"/>
  <c r="X39" i="30"/>
  <c r="X38" i="30"/>
  <c r="X37" i="30"/>
  <c r="X36" i="30"/>
  <c r="X35" i="30"/>
  <c r="X34" i="30"/>
  <c r="X33" i="30"/>
  <c r="X32" i="30"/>
  <c r="X31" i="30"/>
  <c r="X30" i="30"/>
  <c r="X29" i="30"/>
  <c r="X28" i="30"/>
  <c r="X27" i="30"/>
  <c r="S28" i="30"/>
  <c r="S29" i="30"/>
  <c r="S30" i="30"/>
  <c r="S31" i="30"/>
  <c r="S32" i="30"/>
  <c r="S33" i="30"/>
  <c r="S34" i="30"/>
  <c r="S35" i="30"/>
  <c r="S36" i="30"/>
  <c r="S37" i="30"/>
  <c r="S38" i="30"/>
  <c r="S39" i="30"/>
  <c r="S40" i="30"/>
  <c r="S41" i="30"/>
  <c r="S27" i="30"/>
  <c r="M14" i="7" l="1"/>
  <c r="M19" i="35" l="1"/>
  <c r="M15" i="35"/>
  <c r="M11" i="35"/>
  <c r="M17" i="36"/>
  <c r="S21" i="35"/>
  <c r="S20" i="35"/>
  <c r="S19" i="35"/>
  <c r="S18" i="35"/>
  <c r="S17" i="35"/>
  <c r="S16" i="35"/>
  <c r="S15" i="35"/>
  <c r="S14" i="35"/>
  <c r="S13" i="35"/>
  <c r="S12" i="35"/>
  <c r="S11" i="35"/>
  <c r="S10" i="35"/>
  <c r="S9" i="35"/>
  <c r="S8" i="35"/>
  <c r="T7" i="35"/>
  <c r="S7" i="35"/>
  <c r="X21" i="35"/>
  <c r="X20" i="35"/>
  <c r="X19" i="35"/>
  <c r="X18" i="35"/>
  <c r="X17" i="35"/>
  <c r="X16" i="35"/>
  <c r="X15" i="35"/>
  <c r="X14" i="35"/>
  <c r="X13" i="35"/>
  <c r="X12" i="35"/>
  <c r="X11" i="35"/>
  <c r="X10" i="35"/>
  <c r="X9" i="35"/>
  <c r="X8" i="35"/>
  <c r="Y7" i="35"/>
  <c r="X7" i="35"/>
  <c r="AC21" i="35"/>
  <c r="AC20" i="35"/>
  <c r="AC19" i="35"/>
  <c r="AC18" i="35"/>
  <c r="AC17" i="35"/>
  <c r="AC16" i="35"/>
  <c r="AC15" i="35"/>
  <c r="AC14" i="35"/>
  <c r="AC13" i="35"/>
  <c r="AC12" i="35"/>
  <c r="AC11" i="35"/>
  <c r="AC10" i="35"/>
  <c r="AC9" i="35"/>
  <c r="AC8" i="35"/>
  <c r="AD7" i="35"/>
  <c r="AC7" i="35"/>
  <c r="AH21" i="35"/>
  <c r="AH20" i="35"/>
  <c r="AH19" i="35"/>
  <c r="AH18" i="35"/>
  <c r="AH17" i="35"/>
  <c r="AH16" i="35"/>
  <c r="AH15" i="35"/>
  <c r="AH14" i="35"/>
  <c r="AH13" i="35"/>
  <c r="AH12" i="35"/>
  <c r="AH11" i="35"/>
  <c r="AH10" i="35"/>
  <c r="AH9" i="35"/>
  <c r="AH8" i="35"/>
  <c r="AI7" i="35"/>
  <c r="AH7" i="35"/>
  <c r="AM21" i="35"/>
  <c r="AM20" i="35"/>
  <c r="AM19" i="35"/>
  <c r="AM18" i="35"/>
  <c r="AM17" i="35"/>
  <c r="AM16" i="35"/>
  <c r="AM15" i="35"/>
  <c r="AM14" i="35"/>
  <c r="AM13" i="35"/>
  <c r="AM12" i="35"/>
  <c r="AM11" i="35"/>
  <c r="AM10" i="35"/>
  <c r="AM9" i="35"/>
  <c r="AM8" i="35"/>
  <c r="AN7" i="35"/>
  <c r="AM7" i="35"/>
  <c r="AR21" i="35"/>
  <c r="AR20" i="35"/>
  <c r="AR19" i="35"/>
  <c r="AR18" i="35"/>
  <c r="AR17" i="35"/>
  <c r="AR16" i="35"/>
  <c r="AR15" i="35"/>
  <c r="AR14" i="35"/>
  <c r="AR13" i="35"/>
  <c r="AR12" i="35"/>
  <c r="AR11" i="35"/>
  <c r="AR10" i="35"/>
  <c r="AR9" i="35"/>
  <c r="AR8" i="35"/>
  <c r="AS7" i="35"/>
  <c r="AR7" i="35"/>
  <c r="AW21" i="35"/>
  <c r="AW20" i="35"/>
  <c r="AW19" i="35"/>
  <c r="AW18" i="35"/>
  <c r="AW17" i="35"/>
  <c r="AW16" i="35"/>
  <c r="AW15" i="35"/>
  <c r="AW14" i="35"/>
  <c r="AW13" i="35"/>
  <c r="AW12" i="35"/>
  <c r="AW11" i="35"/>
  <c r="AW10" i="35"/>
  <c r="AW9" i="35"/>
  <c r="AW8" i="35"/>
  <c r="AX7" i="35"/>
  <c r="AW7" i="35"/>
  <c r="S21" i="36"/>
  <c r="S20" i="36"/>
  <c r="S19" i="36"/>
  <c r="S18" i="36"/>
  <c r="S17" i="36"/>
  <c r="S16" i="36"/>
  <c r="S15" i="36"/>
  <c r="S14" i="36"/>
  <c r="S13" i="36"/>
  <c r="S12" i="36"/>
  <c r="S11" i="36"/>
  <c r="S10" i="36"/>
  <c r="S9" i="36"/>
  <c r="S8" i="36"/>
  <c r="T7" i="36"/>
  <c r="S7" i="36"/>
  <c r="X21" i="36"/>
  <c r="X20" i="36"/>
  <c r="X19" i="36"/>
  <c r="X18" i="36"/>
  <c r="X17" i="36"/>
  <c r="X16" i="36"/>
  <c r="X15" i="36"/>
  <c r="X14" i="36"/>
  <c r="X13" i="36"/>
  <c r="X12" i="36"/>
  <c r="X11" i="36"/>
  <c r="X10" i="36"/>
  <c r="X9" i="36"/>
  <c r="X8" i="36"/>
  <c r="Y7" i="36"/>
  <c r="X7" i="36"/>
  <c r="AC21" i="36"/>
  <c r="AC20" i="36"/>
  <c r="AC19" i="36"/>
  <c r="AC18" i="36"/>
  <c r="AC17" i="36"/>
  <c r="AC16" i="36"/>
  <c r="AC15" i="36"/>
  <c r="AC14" i="36"/>
  <c r="AC13" i="36"/>
  <c r="AC12" i="36"/>
  <c r="AC11" i="36"/>
  <c r="AC10" i="36"/>
  <c r="AC9" i="36"/>
  <c r="AC8" i="36"/>
  <c r="AD7" i="36"/>
  <c r="AC7" i="36"/>
  <c r="AH21" i="36"/>
  <c r="AH20" i="36"/>
  <c r="AH19" i="36"/>
  <c r="AH18" i="36"/>
  <c r="AH17" i="36"/>
  <c r="AH16" i="36"/>
  <c r="AH15" i="36"/>
  <c r="AH14" i="36"/>
  <c r="AH13" i="36"/>
  <c r="AH12" i="36"/>
  <c r="AH11" i="36"/>
  <c r="AH10" i="36"/>
  <c r="AH9" i="36"/>
  <c r="AH8" i="36"/>
  <c r="AI7" i="36"/>
  <c r="AH7" i="36"/>
  <c r="AM21" i="36"/>
  <c r="AM20" i="36"/>
  <c r="AM19" i="36"/>
  <c r="AM18" i="36"/>
  <c r="AM17" i="36"/>
  <c r="AM16" i="36"/>
  <c r="AM15" i="36"/>
  <c r="AM14" i="36"/>
  <c r="AM13" i="36"/>
  <c r="AM12" i="36"/>
  <c r="AM11" i="36"/>
  <c r="AM10" i="36"/>
  <c r="AM9" i="36"/>
  <c r="AM8" i="36"/>
  <c r="AN7" i="36"/>
  <c r="AM7" i="36"/>
  <c r="AR21" i="36"/>
  <c r="AR20" i="36"/>
  <c r="AR19" i="36"/>
  <c r="AR18" i="36"/>
  <c r="AR17" i="36"/>
  <c r="AR16" i="36"/>
  <c r="AR15" i="36"/>
  <c r="AR14" i="36"/>
  <c r="AR13" i="36"/>
  <c r="AR12" i="36"/>
  <c r="AR11" i="36"/>
  <c r="AR10" i="36"/>
  <c r="AR9" i="36"/>
  <c r="AR8" i="36"/>
  <c r="AS7" i="36"/>
  <c r="AR7" i="36"/>
  <c r="AW21" i="36"/>
  <c r="AW20" i="36"/>
  <c r="AW19" i="36"/>
  <c r="AW18" i="36"/>
  <c r="AW17" i="36"/>
  <c r="AW16" i="36"/>
  <c r="AW15" i="36"/>
  <c r="AW14" i="36"/>
  <c r="AW13" i="36"/>
  <c r="AW12" i="36"/>
  <c r="AW11" i="36"/>
  <c r="AW10" i="36"/>
  <c r="AW9" i="36"/>
  <c r="AW8" i="36"/>
  <c r="AX7" i="36"/>
  <c r="AW7" i="36"/>
  <c r="S21" i="37"/>
  <c r="S20" i="37"/>
  <c r="S19" i="37"/>
  <c r="S18" i="37"/>
  <c r="S17" i="37"/>
  <c r="S16" i="37"/>
  <c r="S15" i="37"/>
  <c r="S14" i="37"/>
  <c r="S13" i="37"/>
  <c r="S12" i="37"/>
  <c r="S11" i="37"/>
  <c r="S10" i="37"/>
  <c r="S9" i="37"/>
  <c r="S8" i="37"/>
  <c r="T7" i="37"/>
  <c r="S7" i="37"/>
  <c r="X21" i="37"/>
  <c r="X20" i="37"/>
  <c r="X19" i="37"/>
  <c r="X18" i="37"/>
  <c r="X17" i="37"/>
  <c r="X16" i="37"/>
  <c r="X15" i="37"/>
  <c r="X14" i="37"/>
  <c r="X13" i="37"/>
  <c r="X12" i="37"/>
  <c r="X11" i="37"/>
  <c r="X10" i="37"/>
  <c r="X9" i="37"/>
  <c r="X8" i="37"/>
  <c r="Y7" i="37"/>
  <c r="X7" i="37"/>
  <c r="AC21" i="37"/>
  <c r="AC20" i="37"/>
  <c r="AC19" i="37"/>
  <c r="AC18" i="37"/>
  <c r="AC17" i="37"/>
  <c r="AC16" i="37"/>
  <c r="AC15" i="37"/>
  <c r="AC14" i="37"/>
  <c r="AC13" i="37"/>
  <c r="AC12" i="37"/>
  <c r="AC11" i="37"/>
  <c r="AC10" i="37"/>
  <c r="AC9" i="37"/>
  <c r="AC8" i="37"/>
  <c r="AD7" i="37"/>
  <c r="AC7" i="37"/>
  <c r="AH21" i="37"/>
  <c r="AH20" i="37"/>
  <c r="AH19" i="37"/>
  <c r="AH18" i="37"/>
  <c r="AH17" i="37"/>
  <c r="AH16" i="37"/>
  <c r="AH15" i="37"/>
  <c r="AH14" i="37"/>
  <c r="AH13" i="37"/>
  <c r="AH12" i="37"/>
  <c r="AH11" i="37"/>
  <c r="AH10" i="37"/>
  <c r="AH9" i="37"/>
  <c r="AH8" i="37"/>
  <c r="AI7" i="37"/>
  <c r="AH7" i="37"/>
  <c r="AM21" i="37"/>
  <c r="AM20" i="37"/>
  <c r="AM19" i="37"/>
  <c r="AM18" i="37"/>
  <c r="AM17" i="37"/>
  <c r="AM16" i="37"/>
  <c r="AM15" i="37"/>
  <c r="AM14" i="37"/>
  <c r="AM13" i="37"/>
  <c r="AM12" i="37"/>
  <c r="AM11" i="37"/>
  <c r="AM10" i="37"/>
  <c r="AM9" i="37"/>
  <c r="AM8" i="37"/>
  <c r="AN7" i="37"/>
  <c r="AM7" i="37"/>
  <c r="AR21" i="37"/>
  <c r="AR20" i="37"/>
  <c r="AR19" i="37"/>
  <c r="AR18" i="37"/>
  <c r="AR17" i="37"/>
  <c r="AR16" i="37"/>
  <c r="AR15" i="37"/>
  <c r="AR14" i="37"/>
  <c r="AR13" i="37"/>
  <c r="AR12" i="37"/>
  <c r="AR11" i="37"/>
  <c r="AR10" i="37"/>
  <c r="AR9" i="37"/>
  <c r="AR8" i="37"/>
  <c r="AS7" i="37"/>
  <c r="AR7" i="37"/>
  <c r="AW21" i="37"/>
  <c r="AW20" i="37"/>
  <c r="AW19" i="37"/>
  <c r="AW18" i="37"/>
  <c r="AW17" i="37"/>
  <c r="AW16" i="37"/>
  <c r="AW15" i="37"/>
  <c r="AW14" i="37"/>
  <c r="AW13" i="37"/>
  <c r="AW12" i="37"/>
  <c r="AW11" i="37"/>
  <c r="AW10" i="37"/>
  <c r="AW9" i="37"/>
  <c r="AW8" i="37"/>
  <c r="AX7" i="37"/>
  <c r="AW7" i="37"/>
  <c r="S21" i="34"/>
  <c r="S20" i="34"/>
  <c r="S19" i="34"/>
  <c r="S18" i="34"/>
  <c r="S17" i="34"/>
  <c r="S16" i="34"/>
  <c r="S15" i="34"/>
  <c r="S14" i="34"/>
  <c r="S13" i="34"/>
  <c r="S12" i="34"/>
  <c r="S11" i="34"/>
  <c r="S10" i="34"/>
  <c r="S9" i="34"/>
  <c r="S8" i="34"/>
  <c r="T7" i="34"/>
  <c r="S7" i="34"/>
  <c r="X21" i="34"/>
  <c r="X20" i="34"/>
  <c r="X19" i="34"/>
  <c r="X18" i="34"/>
  <c r="X17" i="34"/>
  <c r="X16" i="34"/>
  <c r="X15" i="34"/>
  <c r="X14" i="34"/>
  <c r="X13" i="34"/>
  <c r="X12" i="34"/>
  <c r="X11" i="34"/>
  <c r="X10" i="34"/>
  <c r="X9" i="34"/>
  <c r="X8" i="34"/>
  <c r="Y7" i="34"/>
  <c r="X7" i="34"/>
  <c r="AC21" i="34"/>
  <c r="AC20" i="34"/>
  <c r="AC19" i="34"/>
  <c r="AC18" i="34"/>
  <c r="AC17" i="34"/>
  <c r="AC16" i="34"/>
  <c r="AC15" i="34"/>
  <c r="AC14" i="34"/>
  <c r="AC13" i="34"/>
  <c r="AC12" i="34"/>
  <c r="AC11" i="34"/>
  <c r="AC10" i="34"/>
  <c r="AC9" i="34"/>
  <c r="AC8" i="34"/>
  <c r="AD7" i="34"/>
  <c r="AC7" i="34"/>
  <c r="AH21" i="34"/>
  <c r="AH20" i="34"/>
  <c r="AH19" i="34"/>
  <c r="AH18" i="34"/>
  <c r="AH17" i="34"/>
  <c r="AH16" i="34"/>
  <c r="AH15" i="34"/>
  <c r="AH14" i="34"/>
  <c r="AH13" i="34"/>
  <c r="AH12" i="34"/>
  <c r="AH11" i="34"/>
  <c r="AH10" i="34"/>
  <c r="AH9" i="34"/>
  <c r="AH8" i="34"/>
  <c r="AI7" i="34"/>
  <c r="AH7" i="34"/>
  <c r="AM21" i="34"/>
  <c r="AM20" i="34"/>
  <c r="AM19" i="34"/>
  <c r="AM18" i="34"/>
  <c r="AM17" i="34"/>
  <c r="AM16" i="34"/>
  <c r="AM15" i="34"/>
  <c r="AM14" i="34"/>
  <c r="AM13" i="34"/>
  <c r="AM12" i="34"/>
  <c r="AM11" i="34"/>
  <c r="AM10" i="34"/>
  <c r="AM9" i="34"/>
  <c r="AM8" i="34"/>
  <c r="AN7" i="34"/>
  <c r="AM7" i="34"/>
  <c r="AR21" i="34"/>
  <c r="AR20" i="34"/>
  <c r="AR19" i="34"/>
  <c r="AR18" i="34"/>
  <c r="AR17" i="34"/>
  <c r="AR16" i="34"/>
  <c r="AR15" i="34"/>
  <c r="AR14" i="34"/>
  <c r="AR13" i="34"/>
  <c r="AR12" i="34"/>
  <c r="AR11" i="34"/>
  <c r="AR10" i="34"/>
  <c r="AR9" i="34"/>
  <c r="AR8" i="34"/>
  <c r="AS7" i="34"/>
  <c r="AR7" i="34"/>
  <c r="AW21" i="34"/>
  <c r="AW20" i="34"/>
  <c r="AW19" i="34"/>
  <c r="AW18" i="34"/>
  <c r="AW17" i="34"/>
  <c r="AW16" i="34"/>
  <c r="AW15" i="34"/>
  <c r="AW14" i="34"/>
  <c r="AW13" i="34"/>
  <c r="AW12" i="34"/>
  <c r="AW11" i="34"/>
  <c r="AW10" i="34"/>
  <c r="AW9" i="34"/>
  <c r="AW8" i="34"/>
  <c r="AX7" i="34"/>
  <c r="AW7" i="34"/>
  <c r="K40" i="35"/>
  <c r="M40" i="35" s="1"/>
  <c r="J40" i="35"/>
  <c r="I40" i="35"/>
  <c r="K39" i="35"/>
  <c r="M39" i="35" s="1"/>
  <c r="J39" i="35"/>
  <c r="I39" i="35"/>
  <c r="K38" i="35"/>
  <c r="M38" i="35" s="1"/>
  <c r="J38" i="35"/>
  <c r="I38" i="35"/>
  <c r="K37" i="35"/>
  <c r="M37" i="35" s="1"/>
  <c r="J37" i="35"/>
  <c r="I37" i="35"/>
  <c r="K36" i="35"/>
  <c r="M36" i="35" s="1"/>
  <c r="J36" i="35"/>
  <c r="I36" i="35"/>
  <c r="K35" i="35"/>
  <c r="M35" i="35" s="1"/>
  <c r="J35" i="35"/>
  <c r="I35" i="35"/>
  <c r="K34" i="35"/>
  <c r="M34" i="35" s="1"/>
  <c r="J34" i="35"/>
  <c r="I34" i="35"/>
  <c r="K33" i="35"/>
  <c r="M33" i="35" s="1"/>
  <c r="J33" i="35"/>
  <c r="I33" i="35"/>
  <c r="K32" i="35"/>
  <c r="J32" i="35"/>
  <c r="I32" i="35"/>
  <c r="K31" i="35"/>
  <c r="J31" i="35"/>
  <c r="I31" i="35"/>
  <c r="K30" i="35"/>
  <c r="J30" i="35"/>
  <c r="I30" i="35"/>
  <c r="K29" i="35"/>
  <c r="J29" i="35"/>
  <c r="I29" i="35"/>
  <c r="K28" i="35"/>
  <c r="J28" i="35"/>
  <c r="I28" i="35"/>
  <c r="AX27" i="35"/>
  <c r="AS27" i="35"/>
  <c r="AN27" i="35"/>
  <c r="AI27" i="35"/>
  <c r="AD27" i="35"/>
  <c r="Y27" i="35"/>
  <c r="T27" i="35"/>
  <c r="K27" i="35"/>
  <c r="J27" i="35"/>
  <c r="I27" i="35"/>
  <c r="H27" i="35"/>
  <c r="K40" i="36"/>
  <c r="M40" i="36" s="1"/>
  <c r="J40" i="36"/>
  <c r="I40" i="36"/>
  <c r="K39" i="36"/>
  <c r="M39" i="36" s="1"/>
  <c r="J39" i="36"/>
  <c r="I39" i="36"/>
  <c r="K38" i="36"/>
  <c r="M38" i="36" s="1"/>
  <c r="J38" i="36"/>
  <c r="I38" i="36"/>
  <c r="K37" i="36"/>
  <c r="M37" i="36" s="1"/>
  <c r="J37" i="36"/>
  <c r="I37" i="36"/>
  <c r="K36" i="36"/>
  <c r="M36" i="36" s="1"/>
  <c r="J36" i="36"/>
  <c r="I36" i="36"/>
  <c r="K35" i="36"/>
  <c r="M35" i="36" s="1"/>
  <c r="J35" i="36"/>
  <c r="I35" i="36"/>
  <c r="K34" i="36"/>
  <c r="M34" i="36" s="1"/>
  <c r="J34" i="36"/>
  <c r="I34" i="36"/>
  <c r="K33" i="36"/>
  <c r="J33" i="36"/>
  <c r="I33" i="36"/>
  <c r="K32" i="36"/>
  <c r="J32" i="36"/>
  <c r="I32" i="36"/>
  <c r="K31" i="36"/>
  <c r="J31" i="36"/>
  <c r="I31" i="36"/>
  <c r="K30" i="36"/>
  <c r="J30" i="36"/>
  <c r="I30" i="36"/>
  <c r="K29" i="36"/>
  <c r="J29" i="36"/>
  <c r="I29" i="36"/>
  <c r="K28" i="36"/>
  <c r="M28" i="36" s="1"/>
  <c r="J28" i="36"/>
  <c r="I28" i="36"/>
  <c r="AX27" i="36"/>
  <c r="AS27" i="36"/>
  <c r="AN27" i="36"/>
  <c r="AI27" i="36"/>
  <c r="AD27" i="36"/>
  <c r="Y27" i="36"/>
  <c r="T27" i="36"/>
  <c r="K27" i="36"/>
  <c r="J27" i="36"/>
  <c r="I27" i="36"/>
  <c r="H27" i="36"/>
  <c r="K40" i="37"/>
  <c r="M40" i="37" s="1"/>
  <c r="J40" i="37"/>
  <c r="I40" i="37"/>
  <c r="K39" i="37"/>
  <c r="M39" i="37" s="1"/>
  <c r="J39" i="37"/>
  <c r="I39" i="37"/>
  <c r="K38" i="37"/>
  <c r="M38" i="37" s="1"/>
  <c r="J38" i="37"/>
  <c r="I38" i="37"/>
  <c r="K37" i="37"/>
  <c r="M37" i="37" s="1"/>
  <c r="J37" i="37"/>
  <c r="I37" i="37"/>
  <c r="K36" i="37"/>
  <c r="M36" i="37" s="1"/>
  <c r="J36" i="37"/>
  <c r="I36" i="37"/>
  <c r="K35" i="37"/>
  <c r="M35" i="37" s="1"/>
  <c r="J35" i="37"/>
  <c r="I35" i="37"/>
  <c r="K34" i="37"/>
  <c r="M34" i="37" s="1"/>
  <c r="J34" i="37"/>
  <c r="I34" i="37"/>
  <c r="K33" i="37"/>
  <c r="J33" i="37"/>
  <c r="I33" i="37"/>
  <c r="K32" i="37"/>
  <c r="J32" i="37"/>
  <c r="I32" i="37"/>
  <c r="K31" i="37"/>
  <c r="J31" i="37"/>
  <c r="I31" i="37"/>
  <c r="K30" i="37"/>
  <c r="J30" i="37"/>
  <c r="I30" i="37"/>
  <c r="K29" i="37"/>
  <c r="J29" i="37"/>
  <c r="I29" i="37"/>
  <c r="K28" i="37"/>
  <c r="J28" i="37"/>
  <c r="I28" i="37"/>
  <c r="AX27" i="37"/>
  <c r="AS27" i="37"/>
  <c r="AN27" i="37"/>
  <c r="AI27" i="37"/>
  <c r="AD27" i="37"/>
  <c r="Y27" i="37"/>
  <c r="T27" i="37"/>
  <c r="K27" i="37"/>
  <c r="J27" i="37"/>
  <c r="I27" i="37"/>
  <c r="H27" i="37"/>
  <c r="K40" i="34"/>
  <c r="M40" i="34" s="1"/>
  <c r="J40" i="34"/>
  <c r="I40" i="34"/>
  <c r="K39" i="34"/>
  <c r="M39" i="34" s="1"/>
  <c r="J39" i="34"/>
  <c r="I39" i="34"/>
  <c r="K38" i="34"/>
  <c r="J38" i="34"/>
  <c r="I38" i="34"/>
  <c r="K37" i="34"/>
  <c r="J37" i="34"/>
  <c r="I37" i="34"/>
  <c r="K36" i="34"/>
  <c r="J36" i="34"/>
  <c r="I36" i="34"/>
  <c r="K35" i="34"/>
  <c r="J35" i="34"/>
  <c r="I35" i="34"/>
  <c r="K34" i="34"/>
  <c r="J34" i="34"/>
  <c r="I34" i="34"/>
  <c r="K33" i="34"/>
  <c r="J33" i="34"/>
  <c r="I33" i="34"/>
  <c r="K32" i="34"/>
  <c r="J32" i="34"/>
  <c r="I32" i="34"/>
  <c r="K31" i="34"/>
  <c r="J31" i="34"/>
  <c r="I31" i="34"/>
  <c r="K30" i="34"/>
  <c r="J30" i="34"/>
  <c r="I30" i="34"/>
  <c r="K29" i="34"/>
  <c r="J29" i="34"/>
  <c r="I29" i="34"/>
  <c r="K28" i="34"/>
  <c r="M28" i="34" s="1"/>
  <c r="J28" i="34"/>
  <c r="I28" i="34"/>
  <c r="AX27" i="34"/>
  <c r="AS27" i="34"/>
  <c r="AN27" i="34"/>
  <c r="AI27" i="34"/>
  <c r="AD27" i="34"/>
  <c r="Y27" i="34"/>
  <c r="T27" i="34"/>
  <c r="K27" i="34"/>
  <c r="J27" i="34"/>
  <c r="I27" i="34"/>
  <c r="H27" i="34"/>
  <c r="K60" i="35"/>
  <c r="J60" i="35"/>
  <c r="I60" i="35"/>
  <c r="K59" i="35"/>
  <c r="J59" i="35"/>
  <c r="I59" i="35"/>
  <c r="K58" i="35"/>
  <c r="J58" i="35"/>
  <c r="I58" i="35"/>
  <c r="K57" i="35"/>
  <c r="J57" i="35"/>
  <c r="I57" i="35"/>
  <c r="K56" i="35"/>
  <c r="J56" i="35"/>
  <c r="I56" i="35"/>
  <c r="K55" i="35"/>
  <c r="J55" i="35"/>
  <c r="I55" i="35"/>
  <c r="K54" i="35"/>
  <c r="J54" i="35"/>
  <c r="I54" i="35"/>
  <c r="K53" i="35"/>
  <c r="J53" i="35"/>
  <c r="I53" i="35"/>
  <c r="K52" i="35"/>
  <c r="J52" i="35"/>
  <c r="I52" i="35"/>
  <c r="K51" i="35"/>
  <c r="J51" i="35"/>
  <c r="I51" i="35"/>
  <c r="K50" i="35"/>
  <c r="J50" i="35"/>
  <c r="I50" i="35"/>
  <c r="K49" i="35"/>
  <c r="J49" i="35"/>
  <c r="I49" i="35"/>
  <c r="K48" i="35"/>
  <c r="J48" i="35"/>
  <c r="I48" i="35"/>
  <c r="K47" i="35"/>
  <c r="J47" i="35"/>
  <c r="I47" i="35"/>
  <c r="H47" i="35"/>
  <c r="K60" i="36"/>
  <c r="J60" i="36"/>
  <c r="I60" i="36"/>
  <c r="K59" i="36"/>
  <c r="J59" i="36"/>
  <c r="I59" i="36"/>
  <c r="K58" i="36"/>
  <c r="J58" i="36"/>
  <c r="I58" i="36"/>
  <c r="K57" i="36"/>
  <c r="J57" i="36"/>
  <c r="I57" i="36"/>
  <c r="K56" i="36"/>
  <c r="J56" i="36"/>
  <c r="I56" i="36"/>
  <c r="K55" i="36"/>
  <c r="J55" i="36"/>
  <c r="I55" i="36"/>
  <c r="K54" i="36"/>
  <c r="J54" i="36"/>
  <c r="I54" i="36"/>
  <c r="K53" i="36"/>
  <c r="J53" i="36"/>
  <c r="I53" i="36"/>
  <c r="K52" i="36"/>
  <c r="J52" i="36"/>
  <c r="I52" i="36"/>
  <c r="K51" i="36"/>
  <c r="J51" i="36"/>
  <c r="I51" i="36"/>
  <c r="K50" i="36"/>
  <c r="J50" i="36"/>
  <c r="I50" i="36"/>
  <c r="K49" i="36"/>
  <c r="J49" i="36"/>
  <c r="I49" i="36"/>
  <c r="K48" i="36"/>
  <c r="J48" i="36"/>
  <c r="I48" i="36"/>
  <c r="K47" i="36"/>
  <c r="J47" i="36"/>
  <c r="I47" i="36"/>
  <c r="H47" i="36"/>
  <c r="K60" i="37"/>
  <c r="J60" i="37"/>
  <c r="I60" i="37"/>
  <c r="K59" i="37"/>
  <c r="J59" i="37"/>
  <c r="I59" i="37"/>
  <c r="K58" i="37"/>
  <c r="J58" i="37"/>
  <c r="I58" i="37"/>
  <c r="K57" i="37"/>
  <c r="J57" i="37"/>
  <c r="I57" i="37"/>
  <c r="K56" i="37"/>
  <c r="J56" i="37"/>
  <c r="I56" i="37"/>
  <c r="K53" i="37"/>
  <c r="J53" i="37"/>
  <c r="I53" i="37"/>
  <c r="K52" i="37"/>
  <c r="J52" i="37"/>
  <c r="I52" i="37"/>
  <c r="K51" i="37"/>
  <c r="J51" i="37"/>
  <c r="I51" i="37"/>
  <c r="K50" i="37"/>
  <c r="J50" i="37"/>
  <c r="I50" i="37"/>
  <c r="K49" i="37"/>
  <c r="J49" i="37"/>
  <c r="I49" i="37"/>
  <c r="K48" i="37"/>
  <c r="J48" i="37"/>
  <c r="I48" i="37"/>
  <c r="K47" i="37"/>
  <c r="J47" i="37"/>
  <c r="I47" i="37"/>
  <c r="H47" i="37"/>
  <c r="K60" i="34"/>
  <c r="J60" i="34"/>
  <c r="I60" i="34"/>
  <c r="K59" i="34"/>
  <c r="J59" i="34"/>
  <c r="I59" i="34"/>
  <c r="K58" i="34"/>
  <c r="J58" i="34"/>
  <c r="I58" i="34"/>
  <c r="K57" i="34"/>
  <c r="J57" i="34"/>
  <c r="I57" i="34"/>
  <c r="K56" i="34"/>
  <c r="J56" i="34"/>
  <c r="I56" i="34"/>
  <c r="K55" i="34"/>
  <c r="J55" i="34"/>
  <c r="I55" i="34"/>
  <c r="K54" i="34"/>
  <c r="J54" i="34"/>
  <c r="I54" i="34"/>
  <c r="K53" i="34"/>
  <c r="J53" i="34"/>
  <c r="I53" i="34"/>
  <c r="K52" i="34"/>
  <c r="J52" i="34"/>
  <c r="I52" i="34"/>
  <c r="K51" i="34"/>
  <c r="J51" i="34"/>
  <c r="I51" i="34"/>
  <c r="K50" i="34"/>
  <c r="J50" i="34"/>
  <c r="I50" i="34"/>
  <c r="K49" i="34"/>
  <c r="J49" i="34"/>
  <c r="I49" i="34"/>
  <c r="K48" i="34"/>
  <c r="J48" i="34"/>
  <c r="I48" i="34"/>
  <c r="K47" i="34"/>
  <c r="J47" i="34"/>
  <c r="I47" i="34"/>
  <c r="H47" i="34"/>
  <c r="AW81" i="35"/>
  <c r="AR81" i="35"/>
  <c r="AM81" i="35"/>
  <c r="AH81" i="35"/>
  <c r="AC81" i="35"/>
  <c r="X81" i="35"/>
  <c r="S81" i="35"/>
  <c r="AW80" i="35"/>
  <c r="AR80" i="35"/>
  <c r="AM80" i="35"/>
  <c r="AH80" i="35"/>
  <c r="AC80" i="35"/>
  <c r="X80" i="35"/>
  <c r="S80" i="35"/>
  <c r="M80" i="35"/>
  <c r="K80" i="35"/>
  <c r="J80" i="35"/>
  <c r="I80" i="35"/>
  <c r="AW79" i="35"/>
  <c r="AR79" i="35"/>
  <c r="AM79" i="35"/>
  <c r="AH79" i="35"/>
  <c r="AC79" i="35"/>
  <c r="X79" i="35"/>
  <c r="S79" i="35"/>
  <c r="K79" i="35"/>
  <c r="M79" i="35" s="1"/>
  <c r="J79" i="35"/>
  <c r="I79" i="35"/>
  <c r="AW78" i="35"/>
  <c r="AR78" i="35"/>
  <c r="AM78" i="35"/>
  <c r="AH78" i="35"/>
  <c r="AC78" i="35"/>
  <c r="X78" i="35"/>
  <c r="S78" i="35"/>
  <c r="K78" i="35"/>
  <c r="M78" i="35" s="1"/>
  <c r="J78" i="35"/>
  <c r="I78" i="35"/>
  <c r="AW77" i="35"/>
  <c r="AR77" i="35"/>
  <c r="AM77" i="35"/>
  <c r="AH77" i="35"/>
  <c r="AC77" i="35"/>
  <c r="X77" i="35"/>
  <c r="S77" i="35"/>
  <c r="K77" i="35"/>
  <c r="M77" i="35" s="1"/>
  <c r="J77" i="35"/>
  <c r="I77" i="35"/>
  <c r="AW76" i="35"/>
  <c r="AR76" i="35"/>
  <c r="AM76" i="35"/>
  <c r="AH76" i="35"/>
  <c r="AC76" i="35"/>
  <c r="X76" i="35"/>
  <c r="S76" i="35"/>
  <c r="K76" i="35"/>
  <c r="M76" i="35" s="1"/>
  <c r="J76" i="35"/>
  <c r="I76" i="35"/>
  <c r="AW75" i="35"/>
  <c r="AR75" i="35"/>
  <c r="AM75" i="35"/>
  <c r="AH75" i="35"/>
  <c r="AC75" i="35"/>
  <c r="X75" i="35"/>
  <c r="S75" i="35"/>
  <c r="K75" i="35"/>
  <c r="M75" i="35" s="1"/>
  <c r="J75" i="35"/>
  <c r="I75" i="35"/>
  <c r="AW74" i="35"/>
  <c r="AR74" i="35"/>
  <c r="AM74" i="35"/>
  <c r="AH74" i="35"/>
  <c r="AC74" i="35"/>
  <c r="X74" i="35"/>
  <c r="S74" i="35"/>
  <c r="K74" i="35"/>
  <c r="M74" i="35" s="1"/>
  <c r="J74" i="35"/>
  <c r="I74" i="35"/>
  <c r="AW73" i="35"/>
  <c r="AR73" i="35"/>
  <c r="AM73" i="35"/>
  <c r="AH73" i="35"/>
  <c r="AC73" i="35"/>
  <c r="X73" i="35"/>
  <c r="S73" i="35"/>
  <c r="M73" i="35"/>
  <c r="K73" i="35"/>
  <c r="J73" i="35"/>
  <c r="I73" i="35"/>
  <c r="AW72" i="35"/>
  <c r="AR72" i="35"/>
  <c r="AM72" i="35"/>
  <c r="AH72" i="35"/>
  <c r="AC72" i="35"/>
  <c r="X72" i="35"/>
  <c r="S72" i="35"/>
  <c r="K72" i="35"/>
  <c r="M72" i="35" s="1"/>
  <c r="J72" i="35"/>
  <c r="I72" i="35"/>
  <c r="AW71" i="35"/>
  <c r="AR71" i="35"/>
  <c r="AM71" i="35"/>
  <c r="AH71" i="35"/>
  <c r="AC71" i="35"/>
  <c r="X71" i="35"/>
  <c r="S71" i="35"/>
  <c r="K71" i="35"/>
  <c r="M71" i="35" s="1"/>
  <c r="J71" i="35"/>
  <c r="I71" i="35"/>
  <c r="AW70" i="35"/>
  <c r="AR70" i="35"/>
  <c r="AM70" i="35"/>
  <c r="AH70" i="35"/>
  <c r="AC70" i="35"/>
  <c r="X70" i="35"/>
  <c r="S70" i="35"/>
  <c r="K70" i="35"/>
  <c r="M70" i="35" s="1"/>
  <c r="J70" i="35"/>
  <c r="I70" i="35"/>
  <c r="AW69" i="35"/>
  <c r="AR69" i="35"/>
  <c r="AM69" i="35"/>
  <c r="AH69" i="35"/>
  <c r="AC69" i="35"/>
  <c r="X69" i="35"/>
  <c r="S69" i="35"/>
  <c r="M69" i="35"/>
  <c r="K69" i="35"/>
  <c r="J69" i="35"/>
  <c r="I69" i="35"/>
  <c r="AW68" i="35"/>
  <c r="AR68" i="35"/>
  <c r="AM68" i="35"/>
  <c r="AH68" i="35"/>
  <c r="AC68" i="35"/>
  <c r="X68" i="35"/>
  <c r="S68" i="35"/>
  <c r="K68" i="35"/>
  <c r="M68" i="35" s="1"/>
  <c r="J68" i="35"/>
  <c r="I68" i="35"/>
  <c r="AX67" i="35"/>
  <c r="AW67" i="35"/>
  <c r="AS67" i="35"/>
  <c r="AR67" i="35"/>
  <c r="AN67" i="35"/>
  <c r="AM67" i="35"/>
  <c r="AI67" i="35"/>
  <c r="AH67" i="35"/>
  <c r="AD67" i="35"/>
  <c r="AC67" i="35"/>
  <c r="Y67" i="35"/>
  <c r="X67" i="35"/>
  <c r="T67" i="35"/>
  <c r="S67" i="35"/>
  <c r="K67" i="35"/>
  <c r="M67" i="35" s="1"/>
  <c r="J67" i="35"/>
  <c r="I67" i="35"/>
  <c r="H67" i="35"/>
  <c r="AW81" i="36"/>
  <c r="AR81" i="36"/>
  <c r="AM81" i="36"/>
  <c r="AH81" i="36"/>
  <c r="AC81" i="36"/>
  <c r="X81" i="36"/>
  <c r="S81" i="36"/>
  <c r="AW80" i="36"/>
  <c r="AR80" i="36"/>
  <c r="AM80" i="36"/>
  <c r="AH80" i="36"/>
  <c r="AC80" i="36"/>
  <c r="X80" i="36"/>
  <c r="S80" i="36"/>
  <c r="K80" i="36"/>
  <c r="M80" i="36" s="1"/>
  <c r="J80" i="36"/>
  <c r="I80" i="36"/>
  <c r="AW79" i="36"/>
  <c r="AR79" i="36"/>
  <c r="AM79" i="36"/>
  <c r="AH79" i="36"/>
  <c r="AC79" i="36"/>
  <c r="X79" i="36"/>
  <c r="S79" i="36"/>
  <c r="K79" i="36"/>
  <c r="M79" i="36" s="1"/>
  <c r="J79" i="36"/>
  <c r="I79" i="36"/>
  <c r="AW78" i="36"/>
  <c r="AR78" i="36"/>
  <c r="AM78" i="36"/>
  <c r="AH78" i="36"/>
  <c r="AC78" i="36"/>
  <c r="X78" i="36"/>
  <c r="S78" i="36"/>
  <c r="M78" i="36"/>
  <c r="K78" i="36"/>
  <c r="J78" i="36"/>
  <c r="I78" i="36"/>
  <c r="AW77" i="36"/>
  <c r="AR77" i="36"/>
  <c r="AM77" i="36"/>
  <c r="AH77" i="36"/>
  <c r="AC77" i="36"/>
  <c r="X77" i="36"/>
  <c r="S77" i="36"/>
  <c r="K77" i="36"/>
  <c r="M77" i="36" s="1"/>
  <c r="J77" i="36"/>
  <c r="I77" i="36"/>
  <c r="AW76" i="36"/>
  <c r="AR76" i="36"/>
  <c r="AM76" i="36"/>
  <c r="AH76" i="36"/>
  <c r="AC76" i="36"/>
  <c r="X76" i="36"/>
  <c r="S76" i="36"/>
  <c r="K76" i="36"/>
  <c r="M76" i="36" s="1"/>
  <c r="J76" i="36"/>
  <c r="I76" i="36"/>
  <c r="AW75" i="36"/>
  <c r="AR75" i="36"/>
  <c r="AM75" i="36"/>
  <c r="AH75" i="36"/>
  <c r="AC75" i="36"/>
  <c r="X75" i="36"/>
  <c r="S75" i="36"/>
  <c r="K75" i="36"/>
  <c r="M75" i="36" s="1"/>
  <c r="J75" i="36"/>
  <c r="I75" i="36"/>
  <c r="AW74" i="36"/>
  <c r="AR74" i="36"/>
  <c r="AM74" i="36"/>
  <c r="AH74" i="36"/>
  <c r="AC74" i="36"/>
  <c r="X74" i="36"/>
  <c r="S74" i="36"/>
  <c r="M74" i="36"/>
  <c r="K74" i="36"/>
  <c r="J74" i="36"/>
  <c r="I74" i="36"/>
  <c r="AW73" i="36"/>
  <c r="AR73" i="36"/>
  <c r="AM73" i="36"/>
  <c r="AH73" i="36"/>
  <c r="AC73" i="36"/>
  <c r="X73" i="36"/>
  <c r="S73" i="36"/>
  <c r="K73" i="36"/>
  <c r="M73" i="36" s="1"/>
  <c r="J73" i="36"/>
  <c r="I73" i="36"/>
  <c r="AW72" i="36"/>
  <c r="AR72" i="36"/>
  <c r="AM72" i="36"/>
  <c r="AH72" i="36"/>
  <c r="AC72" i="36"/>
  <c r="X72" i="36"/>
  <c r="S72" i="36"/>
  <c r="K72" i="36"/>
  <c r="M72" i="36" s="1"/>
  <c r="J72" i="36"/>
  <c r="I72" i="36"/>
  <c r="AW71" i="36"/>
  <c r="AR71" i="36"/>
  <c r="AM71" i="36"/>
  <c r="AH71" i="36"/>
  <c r="AC71" i="36"/>
  <c r="X71" i="36"/>
  <c r="S71" i="36"/>
  <c r="K71" i="36"/>
  <c r="M71" i="36" s="1"/>
  <c r="J71" i="36"/>
  <c r="I71" i="36"/>
  <c r="AW70" i="36"/>
  <c r="AR70" i="36"/>
  <c r="AM70" i="36"/>
  <c r="AH70" i="36"/>
  <c r="AC70" i="36"/>
  <c r="X70" i="36"/>
  <c r="S70" i="36"/>
  <c r="M70" i="36"/>
  <c r="K70" i="36"/>
  <c r="J70" i="36"/>
  <c r="I70" i="36"/>
  <c r="AW69" i="36"/>
  <c r="AR69" i="36"/>
  <c r="AM69" i="36"/>
  <c r="AH69" i="36"/>
  <c r="AC69" i="36"/>
  <c r="X69" i="36"/>
  <c r="S69" i="36"/>
  <c r="K69" i="36"/>
  <c r="M69" i="36" s="1"/>
  <c r="J69" i="36"/>
  <c r="I69" i="36"/>
  <c r="AW68" i="36"/>
  <c r="AR68" i="36"/>
  <c r="AM68" i="36"/>
  <c r="AH68" i="36"/>
  <c r="AC68" i="36"/>
  <c r="X68" i="36"/>
  <c r="S68" i="36"/>
  <c r="K68" i="36"/>
  <c r="M68" i="36" s="1"/>
  <c r="J68" i="36"/>
  <c r="I68" i="36"/>
  <c r="AX67" i="36"/>
  <c r="AW67" i="36"/>
  <c r="AS67" i="36"/>
  <c r="AR67" i="36"/>
  <c r="AN67" i="36"/>
  <c r="AM67" i="36"/>
  <c r="AI67" i="36"/>
  <c r="AH67" i="36"/>
  <c r="AD67" i="36"/>
  <c r="AC67" i="36"/>
  <c r="Y67" i="36"/>
  <c r="X67" i="36"/>
  <c r="T67" i="36"/>
  <c r="S67" i="36"/>
  <c r="K67" i="36"/>
  <c r="J67" i="36"/>
  <c r="I67" i="36"/>
  <c r="H67" i="36"/>
  <c r="AW81" i="37"/>
  <c r="AR81" i="37"/>
  <c r="AM81" i="37"/>
  <c r="AH81" i="37"/>
  <c r="AC81" i="37"/>
  <c r="X81" i="37"/>
  <c r="S81" i="37"/>
  <c r="AW80" i="37"/>
  <c r="AR80" i="37"/>
  <c r="AM80" i="37"/>
  <c r="AH80" i="37"/>
  <c r="AC80" i="37"/>
  <c r="X80" i="37"/>
  <c r="S80" i="37"/>
  <c r="K80" i="37"/>
  <c r="M80" i="37" s="1"/>
  <c r="J80" i="37"/>
  <c r="I80" i="37"/>
  <c r="AW79" i="37"/>
  <c r="AR79" i="37"/>
  <c r="AM79" i="37"/>
  <c r="AH79" i="37"/>
  <c r="AC79" i="37"/>
  <c r="X79" i="37"/>
  <c r="S79" i="37"/>
  <c r="M79" i="37"/>
  <c r="K79" i="37"/>
  <c r="J79" i="37"/>
  <c r="I79" i="37"/>
  <c r="AW78" i="37"/>
  <c r="AR78" i="37"/>
  <c r="AM78" i="37"/>
  <c r="AH78" i="37"/>
  <c r="AC78" i="37"/>
  <c r="X78" i="37"/>
  <c r="S78" i="37"/>
  <c r="K78" i="37"/>
  <c r="M78" i="37" s="1"/>
  <c r="J78" i="37"/>
  <c r="I78" i="37"/>
  <c r="AW77" i="37"/>
  <c r="AR77" i="37"/>
  <c r="AM77" i="37"/>
  <c r="AH77" i="37"/>
  <c r="AC77" i="37"/>
  <c r="X77" i="37"/>
  <c r="S77" i="37"/>
  <c r="K77" i="37"/>
  <c r="M77" i="37" s="1"/>
  <c r="J77" i="37"/>
  <c r="I77" i="37"/>
  <c r="AW76" i="37"/>
  <c r="AR76" i="37"/>
  <c r="AM76" i="37"/>
  <c r="AH76" i="37"/>
  <c r="AC76" i="37"/>
  <c r="X76" i="37"/>
  <c r="S76" i="37"/>
  <c r="K76" i="37"/>
  <c r="M76" i="37" s="1"/>
  <c r="J76" i="37"/>
  <c r="I76" i="37"/>
  <c r="AW75" i="37"/>
  <c r="AR75" i="37"/>
  <c r="AM75" i="37"/>
  <c r="AH75" i="37"/>
  <c r="AC75" i="37"/>
  <c r="X75" i="37"/>
  <c r="S75" i="37"/>
  <c r="M75" i="37"/>
  <c r="K75" i="37"/>
  <c r="J75" i="37"/>
  <c r="I75" i="37"/>
  <c r="AW74" i="37"/>
  <c r="AR74" i="37"/>
  <c r="AM74" i="37"/>
  <c r="AH74" i="37"/>
  <c r="AC74" i="37"/>
  <c r="X74" i="37"/>
  <c r="S74" i="37"/>
  <c r="K74" i="37"/>
  <c r="M74" i="37" s="1"/>
  <c r="J74" i="37"/>
  <c r="I74" i="37"/>
  <c r="AW73" i="37"/>
  <c r="AR73" i="37"/>
  <c r="AM73" i="37"/>
  <c r="AH73" i="37"/>
  <c r="AC73" i="37"/>
  <c r="X73" i="37"/>
  <c r="S73" i="37"/>
  <c r="K73" i="37"/>
  <c r="M73" i="37" s="1"/>
  <c r="J73" i="37"/>
  <c r="I73" i="37"/>
  <c r="AW72" i="37"/>
  <c r="AR72" i="37"/>
  <c r="AM72" i="37"/>
  <c r="AH72" i="37"/>
  <c r="AC72" i="37"/>
  <c r="X72" i="37"/>
  <c r="S72" i="37"/>
  <c r="K72" i="37"/>
  <c r="M72" i="37" s="1"/>
  <c r="J72" i="37"/>
  <c r="I72" i="37"/>
  <c r="AW71" i="37"/>
  <c r="AR71" i="37"/>
  <c r="AM71" i="37"/>
  <c r="AH71" i="37"/>
  <c r="AC71" i="37"/>
  <c r="X71" i="37"/>
  <c r="S71" i="37"/>
  <c r="M71" i="37"/>
  <c r="K71" i="37"/>
  <c r="J71" i="37"/>
  <c r="I71" i="37"/>
  <c r="AW70" i="37"/>
  <c r="AR70" i="37"/>
  <c r="AM70" i="37"/>
  <c r="AH70" i="37"/>
  <c r="AC70" i="37"/>
  <c r="X70" i="37"/>
  <c r="S70" i="37"/>
  <c r="K70" i="37"/>
  <c r="M70" i="37" s="1"/>
  <c r="J70" i="37"/>
  <c r="I70" i="37"/>
  <c r="AW69" i="37"/>
  <c r="AR69" i="37"/>
  <c r="AM69" i="37"/>
  <c r="AH69" i="37"/>
  <c r="AC69" i="37"/>
  <c r="X69" i="37"/>
  <c r="S69" i="37"/>
  <c r="K69" i="37"/>
  <c r="J69" i="37"/>
  <c r="I69" i="37"/>
  <c r="AW68" i="37"/>
  <c r="AR68" i="37"/>
  <c r="AM68" i="37"/>
  <c r="AH68" i="37"/>
  <c r="AC68" i="37"/>
  <c r="X68" i="37"/>
  <c r="S68" i="37"/>
  <c r="K68" i="37"/>
  <c r="M68" i="37" s="1"/>
  <c r="J68" i="37"/>
  <c r="I68" i="37"/>
  <c r="AX67" i="37"/>
  <c r="AW67" i="37"/>
  <c r="AS67" i="37"/>
  <c r="AR67" i="37"/>
  <c r="AN67" i="37"/>
  <c r="AM67" i="37"/>
  <c r="AI67" i="37"/>
  <c r="AH67" i="37"/>
  <c r="AD67" i="37"/>
  <c r="AC67" i="37"/>
  <c r="Y67" i="37"/>
  <c r="X67" i="37"/>
  <c r="T67" i="37"/>
  <c r="S67" i="37"/>
  <c r="K67" i="37"/>
  <c r="M67" i="37" s="1"/>
  <c r="J67" i="37"/>
  <c r="I67" i="37"/>
  <c r="H67" i="37"/>
  <c r="AW81" i="34"/>
  <c r="AR81" i="34"/>
  <c r="AM81" i="34"/>
  <c r="AH81" i="34"/>
  <c r="AC81" i="34"/>
  <c r="X81" i="34"/>
  <c r="S81" i="34"/>
  <c r="AW80" i="34"/>
  <c r="AR80" i="34"/>
  <c r="AM80" i="34"/>
  <c r="AH80" i="34"/>
  <c r="AC80" i="34"/>
  <c r="X80" i="34"/>
  <c r="S80" i="34"/>
  <c r="K80" i="34"/>
  <c r="M80" i="34" s="1"/>
  <c r="J80" i="34"/>
  <c r="I80" i="34"/>
  <c r="AW79" i="34"/>
  <c r="AR79" i="34"/>
  <c r="AM79" i="34"/>
  <c r="AH79" i="34"/>
  <c r="AC79" i="34"/>
  <c r="X79" i="34"/>
  <c r="S79" i="34"/>
  <c r="M79" i="34"/>
  <c r="K79" i="34"/>
  <c r="J79" i="34"/>
  <c r="I79" i="34"/>
  <c r="AW78" i="34"/>
  <c r="AR78" i="34"/>
  <c r="AM78" i="34"/>
  <c r="AH78" i="34"/>
  <c r="AC78" i="34"/>
  <c r="X78" i="34"/>
  <c r="S78" i="34"/>
  <c r="K78" i="34"/>
  <c r="M78" i="34" s="1"/>
  <c r="J78" i="34"/>
  <c r="I78" i="34"/>
  <c r="AW77" i="34"/>
  <c r="AR77" i="34"/>
  <c r="AM77" i="34"/>
  <c r="AH77" i="34"/>
  <c r="AC77" i="34"/>
  <c r="X77" i="34"/>
  <c r="S77" i="34"/>
  <c r="K77" i="34"/>
  <c r="M77" i="34" s="1"/>
  <c r="J77" i="34"/>
  <c r="I77" i="34"/>
  <c r="AW76" i="34"/>
  <c r="AR76" i="34"/>
  <c r="AM76" i="34"/>
  <c r="AH76" i="34"/>
  <c r="AC76" i="34"/>
  <c r="X76" i="34"/>
  <c r="S76" i="34"/>
  <c r="K76" i="34"/>
  <c r="M76" i="34" s="1"/>
  <c r="J76" i="34"/>
  <c r="I76" i="34"/>
  <c r="AW75" i="34"/>
  <c r="AR75" i="34"/>
  <c r="AM75" i="34"/>
  <c r="AH75" i="34"/>
  <c r="AC75" i="34"/>
  <c r="X75" i="34"/>
  <c r="S75" i="34"/>
  <c r="M75" i="34"/>
  <c r="K75" i="34"/>
  <c r="J75" i="34"/>
  <c r="I75" i="34"/>
  <c r="AW74" i="34"/>
  <c r="AR74" i="34"/>
  <c r="AM74" i="34"/>
  <c r="AH74" i="34"/>
  <c r="AC74" i="34"/>
  <c r="X74" i="34"/>
  <c r="S74" i="34"/>
  <c r="K74" i="34"/>
  <c r="M74" i="34" s="1"/>
  <c r="J74" i="34"/>
  <c r="I74" i="34"/>
  <c r="AW73" i="34"/>
  <c r="AR73" i="34"/>
  <c r="AM73" i="34"/>
  <c r="AH73" i="34"/>
  <c r="AC73" i="34"/>
  <c r="X73" i="34"/>
  <c r="S73" i="34"/>
  <c r="K73" i="34"/>
  <c r="M73" i="34" s="1"/>
  <c r="J73" i="34"/>
  <c r="I73" i="34"/>
  <c r="AW72" i="34"/>
  <c r="AR72" i="34"/>
  <c r="AM72" i="34"/>
  <c r="AH72" i="34"/>
  <c r="AC72" i="34"/>
  <c r="X72" i="34"/>
  <c r="S72" i="34"/>
  <c r="K72" i="34"/>
  <c r="M72" i="34" s="1"/>
  <c r="J72" i="34"/>
  <c r="I72" i="34"/>
  <c r="AW71" i="34"/>
  <c r="AR71" i="34"/>
  <c r="AM71" i="34"/>
  <c r="AH71" i="34"/>
  <c r="AC71" i="34"/>
  <c r="X71" i="34"/>
  <c r="S71" i="34"/>
  <c r="M71" i="34"/>
  <c r="K71" i="34"/>
  <c r="J71" i="34"/>
  <c r="I71" i="34"/>
  <c r="AW70" i="34"/>
  <c r="AR70" i="34"/>
  <c r="AM70" i="34"/>
  <c r="AH70" i="34"/>
  <c r="AC70" i="34"/>
  <c r="X70" i="34"/>
  <c r="S70" i="34"/>
  <c r="K70" i="34"/>
  <c r="M70" i="34" s="1"/>
  <c r="J70" i="34"/>
  <c r="I70" i="34"/>
  <c r="AW69" i="34"/>
  <c r="AR69" i="34"/>
  <c r="AM69" i="34"/>
  <c r="AH69" i="34"/>
  <c r="AC69" i="34"/>
  <c r="X69" i="34"/>
  <c r="S69" i="34"/>
  <c r="K69" i="34"/>
  <c r="M69" i="34" s="1"/>
  <c r="J69" i="34"/>
  <c r="I69" i="34"/>
  <c r="AW68" i="34"/>
  <c r="AR68" i="34"/>
  <c r="AM68" i="34"/>
  <c r="AH68" i="34"/>
  <c r="AC68" i="34"/>
  <c r="X68" i="34"/>
  <c r="S68" i="34"/>
  <c r="K68" i="34"/>
  <c r="M68" i="34" s="1"/>
  <c r="J68" i="34"/>
  <c r="I68" i="34"/>
  <c r="AX67" i="34"/>
  <c r="AW67" i="34"/>
  <c r="AS67" i="34"/>
  <c r="AR67" i="34"/>
  <c r="AN67" i="34"/>
  <c r="AM67" i="34"/>
  <c r="AI67" i="34"/>
  <c r="AH67" i="34"/>
  <c r="AD67" i="34"/>
  <c r="AC67" i="34"/>
  <c r="Y67" i="34"/>
  <c r="X67" i="34"/>
  <c r="T67" i="34"/>
  <c r="S67" i="34"/>
  <c r="K67" i="34"/>
  <c r="J67" i="34"/>
  <c r="I67" i="34"/>
  <c r="H67" i="34"/>
  <c r="AW101" i="35"/>
  <c r="AR101" i="35"/>
  <c r="AM101" i="35"/>
  <c r="AH101" i="35"/>
  <c r="AC101" i="35"/>
  <c r="X101" i="35"/>
  <c r="S101" i="35"/>
  <c r="AW100" i="35"/>
  <c r="AR100" i="35"/>
  <c r="AM100" i="35"/>
  <c r="AH100" i="35"/>
  <c r="AC100" i="35"/>
  <c r="X100" i="35"/>
  <c r="S100" i="35"/>
  <c r="K100" i="35"/>
  <c r="M100" i="35" s="1"/>
  <c r="J100" i="35"/>
  <c r="I100" i="35"/>
  <c r="AW99" i="35"/>
  <c r="AR99" i="35"/>
  <c r="AM99" i="35"/>
  <c r="AH99" i="35"/>
  <c r="AC99" i="35"/>
  <c r="X99" i="35"/>
  <c r="S99" i="35"/>
  <c r="K99" i="35"/>
  <c r="M99" i="35" s="1"/>
  <c r="J99" i="35"/>
  <c r="I99" i="35"/>
  <c r="AW98" i="35"/>
  <c r="AR98" i="35"/>
  <c r="AM98" i="35"/>
  <c r="AH98" i="35"/>
  <c r="AC98" i="35"/>
  <c r="X98" i="35"/>
  <c r="S98" i="35"/>
  <c r="M98" i="35"/>
  <c r="K98" i="35"/>
  <c r="J98" i="35"/>
  <c r="I98" i="35"/>
  <c r="AW97" i="35"/>
  <c r="AR97" i="35"/>
  <c r="AM97" i="35"/>
  <c r="AH97" i="35"/>
  <c r="AC97" i="35"/>
  <c r="X97" i="35"/>
  <c r="S97" i="35"/>
  <c r="K97" i="35"/>
  <c r="M97" i="35" s="1"/>
  <c r="J97" i="35"/>
  <c r="I97" i="35"/>
  <c r="AW96" i="35"/>
  <c r="AR96" i="35"/>
  <c r="AM96" i="35"/>
  <c r="AH96" i="35"/>
  <c r="AC96" i="35"/>
  <c r="X96" i="35"/>
  <c r="S96" i="35"/>
  <c r="K96" i="35"/>
  <c r="M96" i="35" s="1"/>
  <c r="J96" i="35"/>
  <c r="I96" i="35"/>
  <c r="AW95" i="35"/>
  <c r="AR95" i="35"/>
  <c r="AM95" i="35"/>
  <c r="AH95" i="35"/>
  <c r="AC95" i="35"/>
  <c r="X95" i="35"/>
  <c r="S95" i="35"/>
  <c r="K95" i="35"/>
  <c r="M95" i="35" s="1"/>
  <c r="J95" i="35"/>
  <c r="I95" i="35"/>
  <c r="AW94" i="35"/>
  <c r="AR94" i="35"/>
  <c r="AM94" i="35"/>
  <c r="AH94" i="35"/>
  <c r="AC94" i="35"/>
  <c r="X94" i="35"/>
  <c r="S94" i="35"/>
  <c r="M94" i="35"/>
  <c r="K94" i="35"/>
  <c r="J94" i="35"/>
  <c r="I94" i="35"/>
  <c r="AW93" i="35"/>
  <c r="AR93" i="35"/>
  <c r="AM93" i="35"/>
  <c r="AH93" i="35"/>
  <c r="AC93" i="35"/>
  <c r="X93" i="35"/>
  <c r="S93" i="35"/>
  <c r="K93" i="35"/>
  <c r="M93" i="35" s="1"/>
  <c r="J93" i="35"/>
  <c r="I93" i="35"/>
  <c r="AW92" i="35"/>
  <c r="AR92" i="35"/>
  <c r="AM92" i="35"/>
  <c r="AH92" i="35"/>
  <c r="AC92" i="35"/>
  <c r="X92" i="35"/>
  <c r="S92" i="35"/>
  <c r="K92" i="35"/>
  <c r="M92" i="35" s="1"/>
  <c r="J92" i="35"/>
  <c r="I92" i="35"/>
  <c r="AW91" i="35"/>
  <c r="AR91" i="35"/>
  <c r="AM91" i="35"/>
  <c r="AH91" i="35"/>
  <c r="AC91" i="35"/>
  <c r="X91" i="35"/>
  <c r="S91" i="35"/>
  <c r="K91" i="35"/>
  <c r="M91" i="35" s="1"/>
  <c r="J91" i="35"/>
  <c r="I91" i="35"/>
  <c r="AW90" i="35"/>
  <c r="AR90" i="35"/>
  <c r="AM90" i="35"/>
  <c r="AH90" i="35"/>
  <c r="AC90" i="35"/>
  <c r="X90" i="35"/>
  <c r="S90" i="35"/>
  <c r="M90" i="35"/>
  <c r="K90" i="35"/>
  <c r="J90" i="35"/>
  <c r="I90" i="35"/>
  <c r="AW89" i="35"/>
  <c r="AR89" i="35"/>
  <c r="AM89" i="35"/>
  <c r="AH89" i="35"/>
  <c r="AC89" i="35"/>
  <c r="X89" i="35"/>
  <c r="S89" i="35"/>
  <c r="K89" i="35"/>
  <c r="M89" i="35" s="1"/>
  <c r="J89" i="35"/>
  <c r="I89" i="35"/>
  <c r="AW88" i="35"/>
  <c r="AR88" i="35"/>
  <c r="AM88" i="35"/>
  <c r="AH88" i="35"/>
  <c r="AC88" i="35"/>
  <c r="X88" i="35"/>
  <c r="S88" i="35"/>
  <c r="K88" i="35"/>
  <c r="M88" i="35" s="1"/>
  <c r="J88" i="35"/>
  <c r="I88" i="35"/>
  <c r="AX87" i="35"/>
  <c r="AW87" i="35"/>
  <c r="AS87" i="35"/>
  <c r="AR87" i="35"/>
  <c r="AN87" i="35"/>
  <c r="AM87" i="35"/>
  <c r="AI87" i="35"/>
  <c r="AH87" i="35"/>
  <c r="AD87" i="35"/>
  <c r="AC87" i="35"/>
  <c r="Y87" i="35"/>
  <c r="X87" i="35"/>
  <c r="T87" i="35"/>
  <c r="S87" i="35"/>
  <c r="M87" i="35"/>
  <c r="K87" i="35"/>
  <c r="J87" i="35"/>
  <c r="I87" i="35"/>
  <c r="H87" i="35"/>
  <c r="AW101" i="36"/>
  <c r="AR101" i="36"/>
  <c r="AM101" i="36"/>
  <c r="AH101" i="36"/>
  <c r="AC101" i="36"/>
  <c r="X101" i="36"/>
  <c r="S101" i="36"/>
  <c r="AW100" i="36"/>
  <c r="AR100" i="36"/>
  <c r="AM100" i="36"/>
  <c r="AH100" i="36"/>
  <c r="AC100" i="36"/>
  <c r="X100" i="36"/>
  <c r="S100" i="36"/>
  <c r="M100" i="36"/>
  <c r="K100" i="36"/>
  <c r="J100" i="36"/>
  <c r="I100" i="36"/>
  <c r="AW99" i="36"/>
  <c r="AR99" i="36"/>
  <c r="AM99" i="36"/>
  <c r="AH99" i="36"/>
  <c r="AC99" i="36"/>
  <c r="X99" i="36"/>
  <c r="S99" i="36"/>
  <c r="K99" i="36"/>
  <c r="M99" i="36" s="1"/>
  <c r="J99" i="36"/>
  <c r="I99" i="36"/>
  <c r="AW98" i="36"/>
  <c r="AR98" i="36"/>
  <c r="AM98" i="36"/>
  <c r="AH98" i="36"/>
  <c r="AC98" i="36"/>
  <c r="X98" i="36"/>
  <c r="S98" i="36"/>
  <c r="K98" i="36"/>
  <c r="M98" i="36" s="1"/>
  <c r="J98" i="36"/>
  <c r="I98" i="36"/>
  <c r="AW97" i="36"/>
  <c r="AR97" i="36"/>
  <c r="AM97" i="36"/>
  <c r="AH97" i="36"/>
  <c r="AC97" i="36"/>
  <c r="X97" i="36"/>
  <c r="S97" i="36"/>
  <c r="K97" i="36"/>
  <c r="M97" i="36" s="1"/>
  <c r="J97" i="36"/>
  <c r="I97" i="36"/>
  <c r="AW96" i="36"/>
  <c r="AR96" i="36"/>
  <c r="AM96" i="36"/>
  <c r="AH96" i="36"/>
  <c r="AC96" i="36"/>
  <c r="X96" i="36"/>
  <c r="S96" i="36"/>
  <c r="M96" i="36"/>
  <c r="K96" i="36"/>
  <c r="J96" i="36"/>
  <c r="I96" i="36"/>
  <c r="AW95" i="36"/>
  <c r="AR95" i="36"/>
  <c r="AM95" i="36"/>
  <c r="AH95" i="36"/>
  <c r="AC95" i="36"/>
  <c r="X95" i="36"/>
  <c r="S95" i="36"/>
  <c r="K95" i="36"/>
  <c r="M95" i="36" s="1"/>
  <c r="J95" i="36"/>
  <c r="I95" i="36"/>
  <c r="AW94" i="36"/>
  <c r="AR94" i="36"/>
  <c r="AM94" i="36"/>
  <c r="AH94" i="36"/>
  <c r="AC94" i="36"/>
  <c r="X94" i="36"/>
  <c r="S94" i="36"/>
  <c r="K94" i="36"/>
  <c r="M94" i="36" s="1"/>
  <c r="J94" i="36"/>
  <c r="I94" i="36"/>
  <c r="AW93" i="36"/>
  <c r="AR93" i="36"/>
  <c r="AM93" i="36"/>
  <c r="AH93" i="36"/>
  <c r="AC93" i="36"/>
  <c r="X93" i="36"/>
  <c r="S93" i="36"/>
  <c r="K93" i="36"/>
  <c r="M93" i="36" s="1"/>
  <c r="J93" i="36"/>
  <c r="I93" i="36"/>
  <c r="AW92" i="36"/>
  <c r="AR92" i="36"/>
  <c r="AM92" i="36"/>
  <c r="AH92" i="36"/>
  <c r="AC92" i="36"/>
  <c r="X92" i="36"/>
  <c r="S92" i="36"/>
  <c r="M92" i="36"/>
  <c r="K92" i="36"/>
  <c r="J92" i="36"/>
  <c r="I92" i="36"/>
  <c r="AW91" i="36"/>
  <c r="AR91" i="36"/>
  <c r="AM91" i="36"/>
  <c r="AH91" i="36"/>
  <c r="AC91" i="36"/>
  <c r="X91" i="36"/>
  <c r="S91" i="36"/>
  <c r="K91" i="36"/>
  <c r="M91" i="36" s="1"/>
  <c r="J91" i="36"/>
  <c r="I91" i="36"/>
  <c r="AW90" i="36"/>
  <c r="AR90" i="36"/>
  <c r="AM90" i="36"/>
  <c r="AH90" i="36"/>
  <c r="AC90" i="36"/>
  <c r="X90" i="36"/>
  <c r="S90" i="36"/>
  <c r="K90" i="36"/>
  <c r="J90" i="36"/>
  <c r="I90" i="36"/>
  <c r="AW89" i="36"/>
  <c r="AR89" i="36"/>
  <c r="AM89" i="36"/>
  <c r="AH89" i="36"/>
  <c r="AC89" i="36"/>
  <c r="X89" i="36"/>
  <c r="S89" i="36"/>
  <c r="K89" i="36"/>
  <c r="M89" i="36" s="1"/>
  <c r="J89" i="36"/>
  <c r="I89" i="36"/>
  <c r="AW88" i="36"/>
  <c r="AR88" i="36"/>
  <c r="AM88" i="36"/>
  <c r="AH88" i="36"/>
  <c r="AC88" i="36"/>
  <c r="X88" i="36"/>
  <c r="S88" i="36"/>
  <c r="M88" i="36"/>
  <c r="K88" i="36"/>
  <c r="J88" i="36"/>
  <c r="I88" i="36"/>
  <c r="AX87" i="36"/>
  <c r="AW87" i="36"/>
  <c r="AS87" i="36"/>
  <c r="AR87" i="36"/>
  <c r="AN87" i="36"/>
  <c r="AM87" i="36"/>
  <c r="AI87" i="36"/>
  <c r="AH87" i="36"/>
  <c r="AD87" i="36"/>
  <c r="AC87" i="36"/>
  <c r="Y87" i="36"/>
  <c r="X87" i="36"/>
  <c r="T87" i="36"/>
  <c r="S87" i="36"/>
  <c r="K87" i="36"/>
  <c r="M87" i="36" s="1"/>
  <c r="J87" i="36"/>
  <c r="I87" i="36"/>
  <c r="H87" i="36"/>
  <c r="AW101" i="37"/>
  <c r="AR101" i="37"/>
  <c r="AM101" i="37"/>
  <c r="AH101" i="37"/>
  <c r="AC101" i="37"/>
  <c r="X101" i="37"/>
  <c r="S101" i="37"/>
  <c r="AW100" i="37"/>
  <c r="AR100" i="37"/>
  <c r="AM100" i="37"/>
  <c r="AH100" i="37"/>
  <c r="AC100" i="37"/>
  <c r="X100" i="37"/>
  <c r="S100" i="37"/>
  <c r="K100" i="37"/>
  <c r="M100" i="37" s="1"/>
  <c r="J100" i="37"/>
  <c r="I100" i="37"/>
  <c r="AW99" i="37"/>
  <c r="AR99" i="37"/>
  <c r="AM99" i="37"/>
  <c r="AH99" i="37"/>
  <c r="AC99" i="37"/>
  <c r="X99" i="37"/>
  <c r="S99" i="37"/>
  <c r="K99" i="37"/>
  <c r="M99" i="37" s="1"/>
  <c r="J99" i="37"/>
  <c r="I99" i="37"/>
  <c r="AW98" i="37"/>
  <c r="AR98" i="37"/>
  <c r="AM98" i="37"/>
  <c r="AH98" i="37"/>
  <c r="AC98" i="37"/>
  <c r="X98" i="37"/>
  <c r="S98" i="37"/>
  <c r="K98" i="37"/>
  <c r="M98" i="37" s="1"/>
  <c r="J98" i="37"/>
  <c r="I98" i="37"/>
  <c r="AW97" i="37"/>
  <c r="AR97" i="37"/>
  <c r="AM97" i="37"/>
  <c r="AH97" i="37"/>
  <c r="AC97" i="37"/>
  <c r="X97" i="37"/>
  <c r="S97" i="37"/>
  <c r="M97" i="37"/>
  <c r="K97" i="37"/>
  <c r="J97" i="37"/>
  <c r="I97" i="37"/>
  <c r="AW96" i="37"/>
  <c r="AR96" i="37"/>
  <c r="AM96" i="37"/>
  <c r="AH96" i="37"/>
  <c r="AC96" i="37"/>
  <c r="X96" i="37"/>
  <c r="S96" i="37"/>
  <c r="K96" i="37"/>
  <c r="M96" i="37" s="1"/>
  <c r="J96" i="37"/>
  <c r="I96" i="37"/>
  <c r="AW95" i="37"/>
  <c r="AR95" i="37"/>
  <c r="AM95" i="37"/>
  <c r="AH95" i="37"/>
  <c r="AC95" i="37"/>
  <c r="X95" i="37"/>
  <c r="S95" i="37"/>
  <c r="K95" i="37"/>
  <c r="M95" i="37" s="1"/>
  <c r="J95" i="37"/>
  <c r="I95" i="37"/>
  <c r="AW94" i="37"/>
  <c r="AR94" i="37"/>
  <c r="AM94" i="37"/>
  <c r="AH94" i="37"/>
  <c r="AC94" i="37"/>
  <c r="X94" i="37"/>
  <c r="S94" i="37"/>
  <c r="K94" i="37"/>
  <c r="M94" i="37" s="1"/>
  <c r="J94" i="37"/>
  <c r="I94" i="37"/>
  <c r="AW93" i="37"/>
  <c r="AR93" i="37"/>
  <c r="AM93" i="37"/>
  <c r="AH93" i="37"/>
  <c r="AC93" i="37"/>
  <c r="X93" i="37"/>
  <c r="S93" i="37"/>
  <c r="M93" i="37"/>
  <c r="K93" i="37"/>
  <c r="J93" i="37"/>
  <c r="I93" i="37"/>
  <c r="AW92" i="37"/>
  <c r="AR92" i="37"/>
  <c r="AM92" i="37"/>
  <c r="AH92" i="37"/>
  <c r="AC92" i="37"/>
  <c r="X92" i="37"/>
  <c r="S92" i="37"/>
  <c r="K92" i="37"/>
  <c r="M92" i="37" s="1"/>
  <c r="J92" i="37"/>
  <c r="I92" i="37"/>
  <c r="AW91" i="37"/>
  <c r="AR91" i="37"/>
  <c r="AM91" i="37"/>
  <c r="AH91" i="37"/>
  <c r="AC91" i="37"/>
  <c r="X91" i="37"/>
  <c r="S91" i="37"/>
  <c r="K91" i="37"/>
  <c r="M91" i="37" s="1"/>
  <c r="J91" i="37"/>
  <c r="I91" i="37"/>
  <c r="AW90" i="37"/>
  <c r="AR90" i="37"/>
  <c r="AM90" i="37"/>
  <c r="AH90" i="37"/>
  <c r="AC90" i="37"/>
  <c r="X90" i="37"/>
  <c r="S90" i="37"/>
  <c r="K90" i="37"/>
  <c r="M90" i="37" s="1"/>
  <c r="J90" i="37"/>
  <c r="I90" i="37"/>
  <c r="AW89" i="37"/>
  <c r="AR89" i="37"/>
  <c r="AM89" i="37"/>
  <c r="AH89" i="37"/>
  <c r="AC89" i="37"/>
  <c r="X89" i="37"/>
  <c r="S89" i="37"/>
  <c r="M89" i="37"/>
  <c r="K89" i="37"/>
  <c r="J89" i="37"/>
  <c r="I89" i="37"/>
  <c r="AW88" i="37"/>
  <c r="AR88" i="37"/>
  <c r="AM88" i="37"/>
  <c r="AH88" i="37"/>
  <c r="AC88" i="37"/>
  <c r="X88" i="37"/>
  <c r="S88" i="37"/>
  <c r="K88" i="37"/>
  <c r="M88" i="37" s="1"/>
  <c r="J88" i="37"/>
  <c r="I88" i="37"/>
  <c r="AX87" i="37"/>
  <c r="AW87" i="37"/>
  <c r="AS87" i="37"/>
  <c r="AR87" i="37"/>
  <c r="AN87" i="37"/>
  <c r="AM87" i="37"/>
  <c r="AI87" i="37"/>
  <c r="AH87" i="37"/>
  <c r="AD87" i="37"/>
  <c r="AC87" i="37"/>
  <c r="Y87" i="37"/>
  <c r="X87" i="37"/>
  <c r="T87" i="37"/>
  <c r="S87" i="37"/>
  <c r="K87" i="37"/>
  <c r="J87" i="37"/>
  <c r="I87" i="37"/>
  <c r="H87" i="37"/>
  <c r="AW101" i="34"/>
  <c r="AR101" i="34"/>
  <c r="AM101" i="34"/>
  <c r="AH101" i="34"/>
  <c r="AC101" i="34"/>
  <c r="X101" i="34"/>
  <c r="S101" i="34"/>
  <c r="AW100" i="34"/>
  <c r="AR100" i="34"/>
  <c r="AM100" i="34"/>
  <c r="AH100" i="34"/>
  <c r="AC100" i="34"/>
  <c r="X100" i="34"/>
  <c r="S100" i="34"/>
  <c r="K100" i="34"/>
  <c r="M100" i="34" s="1"/>
  <c r="J100" i="34"/>
  <c r="I100" i="34"/>
  <c r="AW99" i="34"/>
  <c r="AR99" i="34"/>
  <c r="AM99" i="34"/>
  <c r="AH99" i="34"/>
  <c r="AC99" i="34"/>
  <c r="X99" i="34"/>
  <c r="S99" i="34"/>
  <c r="K99" i="34"/>
  <c r="M99" i="34" s="1"/>
  <c r="J99" i="34"/>
  <c r="I99" i="34"/>
  <c r="AW98" i="34"/>
  <c r="AR98" i="34"/>
  <c r="AM98" i="34"/>
  <c r="AH98" i="34"/>
  <c r="AC98" i="34"/>
  <c r="X98" i="34"/>
  <c r="S98" i="34"/>
  <c r="M98" i="34"/>
  <c r="K98" i="34"/>
  <c r="J98" i="34"/>
  <c r="I98" i="34"/>
  <c r="AW97" i="34"/>
  <c r="AR97" i="34"/>
  <c r="AM97" i="34"/>
  <c r="AH97" i="34"/>
  <c r="AC97" i="34"/>
  <c r="X97" i="34"/>
  <c r="S97" i="34"/>
  <c r="K97" i="34"/>
  <c r="M97" i="34" s="1"/>
  <c r="J97" i="34"/>
  <c r="I97" i="34"/>
  <c r="AW96" i="34"/>
  <c r="AR96" i="34"/>
  <c r="AM96" i="34"/>
  <c r="AH96" i="34"/>
  <c r="AC96" i="34"/>
  <c r="X96" i="34"/>
  <c r="S96" i="34"/>
  <c r="K96" i="34"/>
  <c r="M96" i="34" s="1"/>
  <c r="J96" i="34"/>
  <c r="I96" i="34"/>
  <c r="AW95" i="34"/>
  <c r="AR95" i="34"/>
  <c r="AM95" i="34"/>
  <c r="AH95" i="34"/>
  <c r="AC95" i="34"/>
  <c r="X95" i="34"/>
  <c r="S95" i="34"/>
  <c r="K95" i="34"/>
  <c r="M95" i="34" s="1"/>
  <c r="J95" i="34"/>
  <c r="I95" i="34"/>
  <c r="AW94" i="34"/>
  <c r="AR94" i="34"/>
  <c r="AM94" i="34"/>
  <c r="AH94" i="34"/>
  <c r="AC94" i="34"/>
  <c r="X94" i="34"/>
  <c r="S94" i="34"/>
  <c r="M94" i="34"/>
  <c r="K94" i="34"/>
  <c r="J94" i="34"/>
  <c r="I94" i="34"/>
  <c r="AW93" i="34"/>
  <c r="AR93" i="34"/>
  <c r="AM93" i="34"/>
  <c r="AH93" i="34"/>
  <c r="AC93" i="34"/>
  <c r="X93" i="34"/>
  <c r="S93" i="34"/>
  <c r="K93" i="34"/>
  <c r="M93" i="34" s="1"/>
  <c r="J93" i="34"/>
  <c r="I93" i="34"/>
  <c r="AW92" i="34"/>
  <c r="AR92" i="34"/>
  <c r="AM92" i="34"/>
  <c r="AH92" i="34"/>
  <c r="AC92" i="34"/>
  <c r="X92" i="34"/>
  <c r="S92" i="34"/>
  <c r="K92" i="34"/>
  <c r="M92" i="34" s="1"/>
  <c r="J92" i="34"/>
  <c r="I92" i="34"/>
  <c r="AW91" i="34"/>
  <c r="AR91" i="34"/>
  <c r="AM91" i="34"/>
  <c r="AH91" i="34"/>
  <c r="AC91" i="34"/>
  <c r="X91" i="34"/>
  <c r="S91" i="34"/>
  <c r="K91" i="34"/>
  <c r="M91" i="34" s="1"/>
  <c r="J91" i="34"/>
  <c r="I91" i="34"/>
  <c r="AW90" i="34"/>
  <c r="AR90" i="34"/>
  <c r="AM90" i="34"/>
  <c r="AH90" i="34"/>
  <c r="AC90" i="34"/>
  <c r="X90" i="34"/>
  <c r="S90" i="34"/>
  <c r="M90" i="34"/>
  <c r="K90" i="34"/>
  <c r="J90" i="34"/>
  <c r="I90" i="34"/>
  <c r="AW89" i="34"/>
  <c r="AR89" i="34"/>
  <c r="AM89" i="34"/>
  <c r="AH89" i="34"/>
  <c r="AC89" i="34"/>
  <c r="X89" i="34"/>
  <c r="S89" i="34"/>
  <c r="K89" i="34"/>
  <c r="M89" i="34" s="1"/>
  <c r="J89" i="34"/>
  <c r="I89" i="34"/>
  <c r="AW88" i="34"/>
  <c r="AR88" i="34"/>
  <c r="AM88" i="34"/>
  <c r="AH88" i="34"/>
  <c r="AC88" i="34"/>
  <c r="X88" i="34"/>
  <c r="S88" i="34"/>
  <c r="K88" i="34"/>
  <c r="M88" i="34" s="1"/>
  <c r="J88" i="34"/>
  <c r="I88" i="34"/>
  <c r="AX87" i="34"/>
  <c r="AW87" i="34"/>
  <c r="AS87" i="34"/>
  <c r="AR87" i="34"/>
  <c r="AN87" i="34"/>
  <c r="AM87" i="34"/>
  <c r="AI87" i="34"/>
  <c r="AH87" i="34"/>
  <c r="AD87" i="34"/>
  <c r="AC87" i="34"/>
  <c r="Y87" i="34"/>
  <c r="X87" i="34"/>
  <c r="T87" i="34"/>
  <c r="S87" i="34"/>
  <c r="K87" i="34"/>
  <c r="J87" i="34"/>
  <c r="I87" i="34"/>
  <c r="H87" i="34"/>
  <c r="K20" i="35"/>
  <c r="M20" i="35" s="1"/>
  <c r="J20" i="35"/>
  <c r="I20" i="35"/>
  <c r="K19" i="35"/>
  <c r="J19" i="35"/>
  <c r="I19" i="35"/>
  <c r="K18" i="35"/>
  <c r="M18" i="35" s="1"/>
  <c r="J18" i="35"/>
  <c r="I18" i="35"/>
  <c r="K17" i="35"/>
  <c r="M17" i="35" s="1"/>
  <c r="J17" i="35"/>
  <c r="I17" i="35"/>
  <c r="K16" i="35"/>
  <c r="M16" i="35" s="1"/>
  <c r="J16" i="35"/>
  <c r="I16" i="35"/>
  <c r="K15" i="35"/>
  <c r="J15" i="35"/>
  <c r="I15" i="35"/>
  <c r="K14" i="35"/>
  <c r="M14" i="35" s="1"/>
  <c r="J14" i="35"/>
  <c r="I14" i="35"/>
  <c r="K13" i="35"/>
  <c r="M13" i="35" s="1"/>
  <c r="J13" i="35"/>
  <c r="I13" i="35"/>
  <c r="K12" i="35"/>
  <c r="J12" i="35"/>
  <c r="I12" i="35"/>
  <c r="K11" i="35"/>
  <c r="J11" i="35"/>
  <c r="I11" i="35"/>
  <c r="K10" i="35"/>
  <c r="J10" i="35"/>
  <c r="I10" i="35"/>
  <c r="K9" i="35"/>
  <c r="M9" i="35" s="1"/>
  <c r="J9" i="35"/>
  <c r="I9" i="35"/>
  <c r="K8" i="35"/>
  <c r="M8" i="35" s="1"/>
  <c r="J8" i="35"/>
  <c r="I8" i="35"/>
  <c r="K7" i="35"/>
  <c r="J7" i="35"/>
  <c r="I7" i="35"/>
  <c r="H7" i="35"/>
  <c r="K20" i="36"/>
  <c r="M20" i="36" s="1"/>
  <c r="J20" i="36"/>
  <c r="I20" i="36"/>
  <c r="K19" i="36"/>
  <c r="M19" i="36" s="1"/>
  <c r="J19" i="36"/>
  <c r="I19" i="36"/>
  <c r="K18" i="36"/>
  <c r="M18" i="36" s="1"/>
  <c r="J18" i="36"/>
  <c r="I18" i="36"/>
  <c r="K17" i="36"/>
  <c r="J17" i="36"/>
  <c r="I17" i="36"/>
  <c r="K16" i="36"/>
  <c r="M16" i="36" s="1"/>
  <c r="J16" i="36"/>
  <c r="I16" i="36"/>
  <c r="K15" i="36"/>
  <c r="M15" i="36" s="1"/>
  <c r="J15" i="36"/>
  <c r="I15" i="36"/>
  <c r="K14" i="36"/>
  <c r="M14" i="36" s="1"/>
  <c r="J14" i="36"/>
  <c r="I14" i="36"/>
  <c r="K13" i="36"/>
  <c r="J13" i="36"/>
  <c r="I13" i="36"/>
  <c r="K12" i="36"/>
  <c r="J12" i="36"/>
  <c r="I12" i="36"/>
  <c r="K11" i="36"/>
  <c r="J11" i="36"/>
  <c r="I11" i="36"/>
  <c r="K10" i="36"/>
  <c r="M10" i="36" s="1"/>
  <c r="J10" i="36"/>
  <c r="I10" i="36"/>
  <c r="K9" i="36"/>
  <c r="J9" i="36"/>
  <c r="I9" i="36"/>
  <c r="K8" i="36"/>
  <c r="M13" i="36" s="1"/>
  <c r="J8" i="36"/>
  <c r="I8" i="36"/>
  <c r="K7" i="36"/>
  <c r="J7" i="36"/>
  <c r="I7" i="36"/>
  <c r="H7" i="36"/>
  <c r="K20" i="37"/>
  <c r="M20" i="37" s="1"/>
  <c r="J20" i="37"/>
  <c r="I20" i="37"/>
  <c r="K19" i="37"/>
  <c r="M19" i="37" s="1"/>
  <c r="J19" i="37"/>
  <c r="I19" i="37"/>
  <c r="K18" i="37"/>
  <c r="M18" i="37" s="1"/>
  <c r="J18" i="37"/>
  <c r="I18" i="37"/>
  <c r="K17" i="37"/>
  <c r="M17" i="37" s="1"/>
  <c r="J17" i="37"/>
  <c r="I17" i="37"/>
  <c r="K16" i="37"/>
  <c r="M16" i="37" s="1"/>
  <c r="J16" i="37"/>
  <c r="I16" i="37"/>
  <c r="K15" i="37"/>
  <c r="M15" i="37" s="1"/>
  <c r="J15" i="37"/>
  <c r="I15" i="37"/>
  <c r="K14" i="37"/>
  <c r="M14" i="37" s="1"/>
  <c r="J14" i="37"/>
  <c r="I14" i="37"/>
  <c r="K13" i="37"/>
  <c r="J13" i="37"/>
  <c r="I13" i="37"/>
  <c r="K12" i="37"/>
  <c r="J12" i="37"/>
  <c r="I12" i="37"/>
  <c r="K11" i="37"/>
  <c r="M11" i="37" s="1"/>
  <c r="J11" i="37"/>
  <c r="I11" i="37"/>
  <c r="K10" i="37"/>
  <c r="J10" i="37"/>
  <c r="I10" i="37"/>
  <c r="K9" i="37"/>
  <c r="J9" i="37"/>
  <c r="I9" i="37"/>
  <c r="K8" i="37"/>
  <c r="J8" i="37"/>
  <c r="I8" i="37"/>
  <c r="L7" i="37"/>
  <c r="K7" i="37"/>
  <c r="J7" i="37"/>
  <c r="I7" i="37"/>
  <c r="H7" i="37"/>
  <c r="K20" i="34"/>
  <c r="M20" i="34" s="1"/>
  <c r="J20" i="34"/>
  <c r="I20" i="34"/>
  <c r="K19" i="34"/>
  <c r="M19" i="34" s="1"/>
  <c r="J19" i="34"/>
  <c r="I19" i="34"/>
  <c r="K18" i="34"/>
  <c r="J18" i="34"/>
  <c r="I18" i="34"/>
  <c r="K17" i="34"/>
  <c r="M17" i="34" s="1"/>
  <c r="J17" i="34"/>
  <c r="I17" i="34"/>
  <c r="K16" i="34"/>
  <c r="J16" i="34"/>
  <c r="I16" i="34"/>
  <c r="K15" i="34"/>
  <c r="J15" i="34"/>
  <c r="I15" i="34"/>
  <c r="K14" i="34"/>
  <c r="J14" i="34"/>
  <c r="I14" i="34"/>
  <c r="K13" i="34"/>
  <c r="M13" i="34" s="1"/>
  <c r="J13" i="34"/>
  <c r="I13" i="34"/>
  <c r="K12" i="34"/>
  <c r="J12" i="34"/>
  <c r="I12" i="34"/>
  <c r="K11" i="34"/>
  <c r="J11" i="34"/>
  <c r="I11" i="34"/>
  <c r="K10" i="34"/>
  <c r="J10" i="34"/>
  <c r="I10" i="34"/>
  <c r="K9" i="34"/>
  <c r="M9" i="34" s="1"/>
  <c r="J9" i="34"/>
  <c r="I9" i="34"/>
  <c r="K8" i="34"/>
  <c r="J8" i="34"/>
  <c r="I8" i="34"/>
  <c r="K7" i="34"/>
  <c r="M7" i="34" s="1"/>
  <c r="J7" i="34"/>
  <c r="I7" i="34"/>
  <c r="H7" i="34"/>
  <c r="M19" i="31"/>
  <c r="M11" i="31"/>
  <c r="M17" i="30"/>
  <c r="S36" i="8"/>
  <c r="S35" i="8"/>
  <c r="S34" i="8"/>
  <c r="S33" i="8"/>
  <c r="S32" i="8"/>
  <c r="S31" i="8"/>
  <c r="S30" i="8"/>
  <c r="S29" i="8"/>
  <c r="S28" i="8"/>
  <c r="S27" i="8"/>
  <c r="S26" i="8"/>
  <c r="S25" i="8"/>
  <c r="S24" i="8"/>
  <c r="S23" i="8"/>
  <c r="S22" i="8"/>
  <c r="S21" i="8"/>
  <c r="S20" i="8"/>
  <c r="S19" i="8"/>
  <c r="S18" i="8"/>
  <c r="S17" i="8"/>
  <c r="S16" i="8"/>
  <c r="S15" i="8"/>
  <c r="S14" i="8"/>
  <c r="S13" i="8"/>
  <c r="S12" i="8"/>
  <c r="S11" i="8"/>
  <c r="S10" i="8"/>
  <c r="S9" i="8"/>
  <c r="S8" i="8"/>
  <c r="T7" i="8"/>
  <c r="S7" i="8"/>
  <c r="X36" i="8"/>
  <c r="X35" i="8"/>
  <c r="X34" i="8"/>
  <c r="X33" i="8"/>
  <c r="X32" i="8"/>
  <c r="X31" i="8"/>
  <c r="X30" i="8"/>
  <c r="X29" i="8"/>
  <c r="X28" i="8"/>
  <c r="X27" i="8"/>
  <c r="X26" i="8"/>
  <c r="X25" i="8"/>
  <c r="X24" i="8"/>
  <c r="X23" i="8"/>
  <c r="X22" i="8"/>
  <c r="X21" i="8"/>
  <c r="X20" i="8"/>
  <c r="X19" i="8"/>
  <c r="X18" i="8"/>
  <c r="X17" i="8"/>
  <c r="X16" i="8"/>
  <c r="X15" i="8"/>
  <c r="X14" i="8"/>
  <c r="X13" i="8"/>
  <c r="X12" i="8"/>
  <c r="X11" i="8"/>
  <c r="X10" i="8"/>
  <c r="X9" i="8"/>
  <c r="X8" i="8"/>
  <c r="Y7" i="8"/>
  <c r="X7" i="8"/>
  <c r="AC36" i="8"/>
  <c r="AC35" i="8"/>
  <c r="AC34" i="8"/>
  <c r="AC33" i="8"/>
  <c r="AC32" i="8"/>
  <c r="AC31" i="8"/>
  <c r="AC30" i="8"/>
  <c r="AC29" i="8"/>
  <c r="AC28" i="8"/>
  <c r="AC27" i="8"/>
  <c r="AC26" i="8"/>
  <c r="AC25" i="8"/>
  <c r="AC24" i="8"/>
  <c r="AC23" i="8"/>
  <c r="AC22" i="8"/>
  <c r="AC21" i="8"/>
  <c r="AC20" i="8"/>
  <c r="AC19" i="8"/>
  <c r="AC18" i="8"/>
  <c r="AC17" i="8"/>
  <c r="AC16" i="8"/>
  <c r="AC15" i="8"/>
  <c r="AC14" i="8"/>
  <c r="AC13" i="8"/>
  <c r="AC12" i="8"/>
  <c r="AC11" i="8"/>
  <c r="AC10" i="8"/>
  <c r="AC9" i="8"/>
  <c r="AC8" i="8"/>
  <c r="AD7" i="8"/>
  <c r="AC7" i="8"/>
  <c r="AH36" i="8"/>
  <c r="AH35" i="8"/>
  <c r="AH34" i="8"/>
  <c r="AH33" i="8"/>
  <c r="AH32" i="8"/>
  <c r="AH31" i="8"/>
  <c r="AH30" i="8"/>
  <c r="AH29" i="8"/>
  <c r="AH28" i="8"/>
  <c r="AH27" i="8"/>
  <c r="AH26" i="8"/>
  <c r="AH25" i="8"/>
  <c r="AH24" i="8"/>
  <c r="AH23" i="8"/>
  <c r="AH22" i="8"/>
  <c r="AH21" i="8"/>
  <c r="AH20" i="8"/>
  <c r="AH19" i="8"/>
  <c r="AH18" i="8"/>
  <c r="AH17" i="8"/>
  <c r="AH16" i="8"/>
  <c r="AH15" i="8"/>
  <c r="AH14" i="8"/>
  <c r="AH13" i="8"/>
  <c r="AH12" i="8"/>
  <c r="AH11" i="8"/>
  <c r="AH10" i="8"/>
  <c r="AH9" i="8"/>
  <c r="AH8" i="8"/>
  <c r="AI7" i="8"/>
  <c r="AH7" i="8"/>
  <c r="AM36" i="8"/>
  <c r="AM35" i="8"/>
  <c r="AM34" i="8"/>
  <c r="AM33" i="8"/>
  <c r="AM32" i="8"/>
  <c r="AM31" i="8"/>
  <c r="AM30" i="8"/>
  <c r="AM29" i="8"/>
  <c r="AM28" i="8"/>
  <c r="AM27" i="8"/>
  <c r="AM26" i="8"/>
  <c r="AM25" i="8"/>
  <c r="AM24" i="8"/>
  <c r="AM23" i="8"/>
  <c r="AM22" i="8"/>
  <c r="AM21" i="8"/>
  <c r="AM20" i="8"/>
  <c r="AM19" i="8"/>
  <c r="AM18" i="8"/>
  <c r="AM17" i="8"/>
  <c r="AM16" i="8"/>
  <c r="AM15" i="8"/>
  <c r="AM14" i="8"/>
  <c r="AM13" i="8"/>
  <c r="AM12" i="8"/>
  <c r="AM11" i="8"/>
  <c r="AM10" i="8"/>
  <c r="AM9" i="8"/>
  <c r="AM8" i="8"/>
  <c r="AN7" i="8"/>
  <c r="AM7" i="8"/>
  <c r="AR36" i="8"/>
  <c r="AR35" i="8"/>
  <c r="AR34" i="8"/>
  <c r="AR33" i="8"/>
  <c r="AR32" i="8"/>
  <c r="AR31" i="8"/>
  <c r="AR30" i="8"/>
  <c r="AR29" i="8"/>
  <c r="AR28" i="8"/>
  <c r="AR27" i="8"/>
  <c r="AR26" i="8"/>
  <c r="AR25" i="8"/>
  <c r="AR24" i="8"/>
  <c r="AR23" i="8"/>
  <c r="AR22" i="8"/>
  <c r="AR21" i="8"/>
  <c r="AR20" i="8"/>
  <c r="AR19" i="8"/>
  <c r="AR18" i="8"/>
  <c r="AR17" i="8"/>
  <c r="AR16" i="8"/>
  <c r="AR15" i="8"/>
  <c r="AR14" i="8"/>
  <c r="AR13" i="8"/>
  <c r="AR12" i="8"/>
  <c r="AR11" i="8"/>
  <c r="AR10" i="8"/>
  <c r="AR9" i="8"/>
  <c r="AR8" i="8"/>
  <c r="AS7" i="8"/>
  <c r="AR7" i="8"/>
  <c r="AW36" i="8"/>
  <c r="AW35" i="8"/>
  <c r="AW34" i="8"/>
  <c r="AW33" i="8"/>
  <c r="AW32" i="8"/>
  <c r="AW31" i="8"/>
  <c r="AW30" i="8"/>
  <c r="AW29" i="8"/>
  <c r="AW28" i="8"/>
  <c r="AW27" i="8"/>
  <c r="AW26" i="8"/>
  <c r="AW25" i="8"/>
  <c r="AW24" i="8"/>
  <c r="AW23" i="8"/>
  <c r="AW22" i="8"/>
  <c r="AW21" i="8"/>
  <c r="AW20" i="8"/>
  <c r="AW19" i="8"/>
  <c r="AW18" i="8"/>
  <c r="AW17" i="8"/>
  <c r="AW16" i="8"/>
  <c r="AW15" i="8"/>
  <c r="AW14" i="8"/>
  <c r="AW13" i="8"/>
  <c r="AW12" i="8"/>
  <c r="AW11" i="8"/>
  <c r="AW10" i="8"/>
  <c r="AW9" i="8"/>
  <c r="AW8" i="8"/>
  <c r="AX7" i="8"/>
  <c r="AW7" i="8"/>
  <c r="S36" i="33"/>
  <c r="S35" i="33"/>
  <c r="S34" i="33"/>
  <c r="S33" i="33"/>
  <c r="S32" i="33"/>
  <c r="S31" i="33"/>
  <c r="S30" i="33"/>
  <c r="S29" i="33"/>
  <c r="S28" i="33"/>
  <c r="S27" i="33"/>
  <c r="S26" i="33"/>
  <c r="S25" i="33"/>
  <c r="S24" i="33"/>
  <c r="S23" i="33"/>
  <c r="S22" i="33"/>
  <c r="S21" i="33"/>
  <c r="S20" i="33"/>
  <c r="S19" i="33"/>
  <c r="S18" i="33"/>
  <c r="S17" i="33"/>
  <c r="S16" i="33"/>
  <c r="S15" i="33"/>
  <c r="S14" i="33"/>
  <c r="S13" i="33"/>
  <c r="S12" i="33"/>
  <c r="S11" i="33"/>
  <c r="S10" i="33"/>
  <c r="S9" i="33"/>
  <c r="S8" i="33"/>
  <c r="T7" i="33"/>
  <c r="S7" i="33"/>
  <c r="X36" i="33"/>
  <c r="X35" i="33"/>
  <c r="X34" i="33"/>
  <c r="X33" i="33"/>
  <c r="X32" i="33"/>
  <c r="X31" i="33"/>
  <c r="X30" i="33"/>
  <c r="X29" i="33"/>
  <c r="X28" i="33"/>
  <c r="X27" i="33"/>
  <c r="X26" i="33"/>
  <c r="X25" i="33"/>
  <c r="X24" i="33"/>
  <c r="X23" i="33"/>
  <c r="X22" i="33"/>
  <c r="X21" i="33"/>
  <c r="X20" i="33"/>
  <c r="X19" i="33"/>
  <c r="X18" i="33"/>
  <c r="X17" i="33"/>
  <c r="X16" i="33"/>
  <c r="X15" i="33"/>
  <c r="X14" i="33"/>
  <c r="X13" i="33"/>
  <c r="X12" i="33"/>
  <c r="X11" i="33"/>
  <c r="X10" i="33"/>
  <c r="X9" i="33"/>
  <c r="X8" i="33"/>
  <c r="Y7" i="33"/>
  <c r="X7" i="33"/>
  <c r="AC36" i="33"/>
  <c r="AC35" i="33"/>
  <c r="AC34" i="33"/>
  <c r="AC33" i="33"/>
  <c r="AC32" i="33"/>
  <c r="AC31" i="33"/>
  <c r="AC30" i="33"/>
  <c r="AC29" i="33"/>
  <c r="AC28" i="33"/>
  <c r="AC27" i="33"/>
  <c r="AC26" i="33"/>
  <c r="AC25" i="33"/>
  <c r="AC24" i="33"/>
  <c r="AC23" i="33"/>
  <c r="AC22" i="33"/>
  <c r="AC21" i="33"/>
  <c r="AC20" i="33"/>
  <c r="AC19" i="33"/>
  <c r="AC18" i="33"/>
  <c r="AC17" i="33"/>
  <c r="AC16" i="33"/>
  <c r="AC15" i="33"/>
  <c r="AC14" i="33"/>
  <c r="AC13" i="33"/>
  <c r="AC12" i="33"/>
  <c r="AC11" i="33"/>
  <c r="AC10" i="33"/>
  <c r="AC9" i="33"/>
  <c r="AC8" i="33"/>
  <c r="AD7" i="33"/>
  <c r="AC7" i="33"/>
  <c r="AH36" i="33"/>
  <c r="AH35" i="33"/>
  <c r="AH34" i="33"/>
  <c r="AH33" i="33"/>
  <c r="AH32" i="33"/>
  <c r="AH31" i="33"/>
  <c r="AH30" i="33"/>
  <c r="AH29" i="33"/>
  <c r="AH28" i="33"/>
  <c r="AH27" i="33"/>
  <c r="AH26" i="33"/>
  <c r="AH25" i="33"/>
  <c r="AH24" i="33"/>
  <c r="AH23" i="33"/>
  <c r="AH22" i="33"/>
  <c r="AH21" i="33"/>
  <c r="AH20" i="33"/>
  <c r="AH19" i="33"/>
  <c r="AH18" i="33"/>
  <c r="AH17" i="33"/>
  <c r="AH16" i="33"/>
  <c r="AH15" i="33"/>
  <c r="AH14" i="33"/>
  <c r="AH13" i="33"/>
  <c r="AH12" i="33"/>
  <c r="AH11" i="33"/>
  <c r="AH10" i="33"/>
  <c r="AH9" i="33"/>
  <c r="AH8" i="33"/>
  <c r="AI7" i="33"/>
  <c r="AH7" i="33"/>
  <c r="AM36" i="33"/>
  <c r="AM35" i="33"/>
  <c r="AM34" i="33"/>
  <c r="AM33" i="33"/>
  <c r="AM32" i="33"/>
  <c r="AM31" i="33"/>
  <c r="AM30" i="33"/>
  <c r="AM29" i="33"/>
  <c r="AM28" i="33"/>
  <c r="AM27" i="33"/>
  <c r="AM26" i="33"/>
  <c r="AM25" i="33"/>
  <c r="AM24" i="33"/>
  <c r="AM23" i="33"/>
  <c r="AM22" i="33"/>
  <c r="AM21" i="33"/>
  <c r="AM20" i="33"/>
  <c r="AM19" i="33"/>
  <c r="AM18" i="33"/>
  <c r="AM17" i="33"/>
  <c r="AM16" i="33"/>
  <c r="AM15" i="33"/>
  <c r="AM14" i="33"/>
  <c r="AM13" i="33"/>
  <c r="AM12" i="33"/>
  <c r="AM11" i="33"/>
  <c r="AM10" i="33"/>
  <c r="AM9" i="33"/>
  <c r="AM8" i="33"/>
  <c r="AN7" i="33"/>
  <c r="AM7" i="33"/>
  <c r="AR36" i="33"/>
  <c r="AR35" i="33"/>
  <c r="AR34" i="33"/>
  <c r="AR33" i="33"/>
  <c r="AR32" i="33"/>
  <c r="AR31" i="33"/>
  <c r="AR30" i="33"/>
  <c r="AR29" i="33"/>
  <c r="AR28" i="33"/>
  <c r="AR27" i="33"/>
  <c r="AR26" i="33"/>
  <c r="AR25" i="33"/>
  <c r="AR24" i="33"/>
  <c r="AR23" i="33"/>
  <c r="AR22" i="33"/>
  <c r="AR21" i="33"/>
  <c r="AR20" i="33"/>
  <c r="AR19" i="33"/>
  <c r="AR18" i="33"/>
  <c r="AR17" i="33"/>
  <c r="AR16" i="33"/>
  <c r="AR15" i="33"/>
  <c r="AR14" i="33"/>
  <c r="AR13" i="33"/>
  <c r="AR12" i="33"/>
  <c r="AR11" i="33"/>
  <c r="AR10" i="33"/>
  <c r="AR9" i="33"/>
  <c r="AR8" i="33"/>
  <c r="AS7" i="33"/>
  <c r="AR7" i="33"/>
  <c r="AW36" i="33"/>
  <c r="AW35" i="33"/>
  <c r="AW34" i="33"/>
  <c r="AW33" i="33"/>
  <c r="AW32" i="33"/>
  <c r="AW31" i="33"/>
  <c r="AW30" i="33"/>
  <c r="AW29" i="33"/>
  <c r="AW28" i="33"/>
  <c r="AW27" i="33"/>
  <c r="AW26" i="33"/>
  <c r="AW25" i="33"/>
  <c r="AW24" i="33"/>
  <c r="AW23" i="33"/>
  <c r="AW22" i="33"/>
  <c r="AW21" i="33"/>
  <c r="AW20" i="33"/>
  <c r="AW19" i="33"/>
  <c r="AW18" i="33"/>
  <c r="AW17" i="33"/>
  <c r="AW16" i="33"/>
  <c r="AW15" i="33"/>
  <c r="AW14" i="33"/>
  <c r="AW13" i="33"/>
  <c r="AW12" i="33"/>
  <c r="AW11" i="33"/>
  <c r="AW10" i="33"/>
  <c r="AW9" i="33"/>
  <c r="AW8" i="33"/>
  <c r="AX7" i="33"/>
  <c r="AW7" i="33"/>
  <c r="K40" i="32"/>
  <c r="M40" i="32" s="1"/>
  <c r="J40" i="32"/>
  <c r="I40" i="32"/>
  <c r="K39" i="32"/>
  <c r="M39" i="32" s="1"/>
  <c r="J39" i="32"/>
  <c r="I39" i="32"/>
  <c r="K38" i="32"/>
  <c r="M38" i="32" s="1"/>
  <c r="J38" i="32"/>
  <c r="I38" i="32"/>
  <c r="K37" i="32"/>
  <c r="M37" i="32" s="1"/>
  <c r="J37" i="32"/>
  <c r="I37" i="32"/>
  <c r="K36" i="32"/>
  <c r="M36" i="32" s="1"/>
  <c r="J36" i="32"/>
  <c r="I36" i="32"/>
  <c r="K34" i="32"/>
  <c r="J34" i="32"/>
  <c r="I34" i="32"/>
  <c r="K33" i="32"/>
  <c r="J33" i="32"/>
  <c r="I33" i="32"/>
  <c r="K32" i="32"/>
  <c r="J32" i="32"/>
  <c r="I32" i="32"/>
  <c r="K31" i="32"/>
  <c r="J31" i="32"/>
  <c r="I31" i="32"/>
  <c r="K30" i="32"/>
  <c r="J30" i="32"/>
  <c r="I30" i="32"/>
  <c r="K29" i="32"/>
  <c r="M29" i="32" s="1"/>
  <c r="J29" i="32"/>
  <c r="I29" i="32"/>
  <c r="K28" i="32"/>
  <c r="J28" i="32"/>
  <c r="I28" i="32"/>
  <c r="AX27" i="32"/>
  <c r="AS27" i="32"/>
  <c r="AN27" i="32"/>
  <c r="AI27" i="32"/>
  <c r="AD27" i="32"/>
  <c r="Y27" i="32"/>
  <c r="T27" i="32"/>
  <c r="K27" i="32"/>
  <c r="J27" i="32"/>
  <c r="I27" i="32"/>
  <c r="H27" i="32"/>
  <c r="K40" i="31"/>
  <c r="M40" i="31" s="1"/>
  <c r="J40" i="31"/>
  <c r="I40" i="31"/>
  <c r="K39" i="31"/>
  <c r="M39" i="31" s="1"/>
  <c r="J39" i="31"/>
  <c r="I39" i="31"/>
  <c r="K38" i="31"/>
  <c r="M38" i="31" s="1"/>
  <c r="J38" i="31"/>
  <c r="I38" i="31"/>
  <c r="K37" i="31"/>
  <c r="M37" i="31" s="1"/>
  <c r="J37" i="31"/>
  <c r="I37" i="31"/>
  <c r="K36" i="31"/>
  <c r="M36" i="31" s="1"/>
  <c r="J36" i="31"/>
  <c r="I36" i="31"/>
  <c r="K35" i="31"/>
  <c r="M35" i="31" s="1"/>
  <c r="J35" i="31"/>
  <c r="I35" i="31"/>
  <c r="K34" i="31"/>
  <c r="M34" i="31" s="1"/>
  <c r="J34" i="31"/>
  <c r="I34" i="31"/>
  <c r="K33" i="31"/>
  <c r="M33" i="31" s="1"/>
  <c r="J33" i="31"/>
  <c r="I33" i="31"/>
  <c r="K32" i="31"/>
  <c r="M32" i="31" s="1"/>
  <c r="J32" i="31"/>
  <c r="I32" i="31"/>
  <c r="K31" i="31"/>
  <c r="M31" i="31" s="1"/>
  <c r="J31" i="31"/>
  <c r="I31" i="31"/>
  <c r="K30" i="31"/>
  <c r="M30" i="31" s="1"/>
  <c r="J30" i="31"/>
  <c r="I30" i="31"/>
  <c r="K29" i="31"/>
  <c r="J29" i="31"/>
  <c r="I29" i="31"/>
  <c r="K28" i="31"/>
  <c r="J28" i="31"/>
  <c r="I28" i="31"/>
  <c r="AX27" i="31"/>
  <c r="AS27" i="31"/>
  <c r="AN27" i="31"/>
  <c r="AI27" i="31"/>
  <c r="AD27" i="31"/>
  <c r="Y27" i="31"/>
  <c r="T27" i="31"/>
  <c r="K27" i="31"/>
  <c r="J27" i="31"/>
  <c r="I27" i="31"/>
  <c r="H27" i="31"/>
  <c r="K41" i="30"/>
  <c r="M41" i="30" s="1"/>
  <c r="J41" i="30"/>
  <c r="I41" i="30"/>
  <c r="K40" i="30"/>
  <c r="M40" i="30" s="1"/>
  <c r="J40" i="30"/>
  <c r="I40" i="30"/>
  <c r="K39" i="30"/>
  <c r="M39" i="30" s="1"/>
  <c r="J39" i="30"/>
  <c r="I39" i="30"/>
  <c r="K38" i="30"/>
  <c r="M38" i="30" s="1"/>
  <c r="J38" i="30"/>
  <c r="I38" i="30"/>
  <c r="K37" i="30"/>
  <c r="M37" i="30" s="1"/>
  <c r="J37" i="30"/>
  <c r="I37" i="30"/>
  <c r="K36" i="30"/>
  <c r="M36" i="30" s="1"/>
  <c r="J36" i="30"/>
  <c r="I36" i="30"/>
  <c r="K35" i="30"/>
  <c r="M35" i="30" s="1"/>
  <c r="J35" i="30"/>
  <c r="I35" i="30"/>
  <c r="K34" i="30"/>
  <c r="M34" i="30" s="1"/>
  <c r="J34" i="30"/>
  <c r="I34" i="30"/>
  <c r="K33" i="30"/>
  <c r="M33" i="30" s="1"/>
  <c r="J33" i="30"/>
  <c r="I33" i="30"/>
  <c r="K32" i="30"/>
  <c r="M32" i="30" s="1"/>
  <c r="J32" i="30"/>
  <c r="I32" i="30"/>
  <c r="K29" i="30"/>
  <c r="J29" i="30"/>
  <c r="I29" i="30"/>
  <c r="K28" i="30"/>
  <c r="J28" i="30"/>
  <c r="I28" i="30"/>
  <c r="AX27" i="30"/>
  <c r="AS27" i="30"/>
  <c r="AN27" i="30"/>
  <c r="AI27" i="30"/>
  <c r="AD27" i="30"/>
  <c r="Y27" i="30"/>
  <c r="T27" i="30"/>
  <c r="K27" i="30"/>
  <c r="M27" i="30" s="1"/>
  <c r="J27" i="30"/>
  <c r="I27" i="30"/>
  <c r="H27" i="30"/>
  <c r="K60" i="32"/>
  <c r="J60" i="32"/>
  <c r="I60" i="32"/>
  <c r="K59" i="32"/>
  <c r="J59" i="32"/>
  <c r="I59" i="32"/>
  <c r="K58" i="32"/>
  <c r="J58" i="32"/>
  <c r="I58" i="32"/>
  <c r="K57" i="32"/>
  <c r="J57" i="32"/>
  <c r="I57" i="32"/>
  <c r="K56" i="32"/>
  <c r="J56" i="32"/>
  <c r="I56" i="32"/>
  <c r="K55" i="32"/>
  <c r="J55" i="32"/>
  <c r="I55" i="32"/>
  <c r="K54" i="32"/>
  <c r="J54" i="32"/>
  <c r="I54" i="32"/>
  <c r="K53" i="32"/>
  <c r="J53" i="32"/>
  <c r="I53" i="32"/>
  <c r="K52" i="32"/>
  <c r="J52" i="32"/>
  <c r="I52" i="32"/>
  <c r="K51" i="32"/>
  <c r="J51" i="32"/>
  <c r="I51" i="32"/>
  <c r="K50" i="32"/>
  <c r="J50" i="32"/>
  <c r="I50" i="32"/>
  <c r="K49" i="32"/>
  <c r="J49" i="32"/>
  <c r="I49" i="32"/>
  <c r="K48" i="32"/>
  <c r="J48" i="32"/>
  <c r="I48" i="32"/>
  <c r="K47" i="32"/>
  <c r="J47" i="32"/>
  <c r="I47" i="32"/>
  <c r="H47" i="32"/>
  <c r="K60" i="31"/>
  <c r="J60" i="31"/>
  <c r="I60" i="31"/>
  <c r="K59" i="31"/>
  <c r="J59" i="31"/>
  <c r="I59" i="31"/>
  <c r="K58" i="31"/>
  <c r="J58" i="31"/>
  <c r="I58" i="31"/>
  <c r="K57" i="31"/>
  <c r="J57" i="31"/>
  <c r="I57" i="31"/>
  <c r="K56" i="31"/>
  <c r="J56" i="31"/>
  <c r="I56" i="31"/>
  <c r="K55" i="31"/>
  <c r="J55" i="31"/>
  <c r="I55" i="31"/>
  <c r="K54" i="31"/>
  <c r="J54" i="31"/>
  <c r="I54" i="31"/>
  <c r="K53" i="31"/>
  <c r="J53" i="31"/>
  <c r="I53" i="31"/>
  <c r="K52" i="31"/>
  <c r="J52" i="31"/>
  <c r="I52" i="31"/>
  <c r="K51" i="31"/>
  <c r="J51" i="31"/>
  <c r="I51" i="31"/>
  <c r="K50" i="31"/>
  <c r="J50" i="31"/>
  <c r="I50" i="31"/>
  <c r="K49" i="31"/>
  <c r="J49" i="31"/>
  <c r="I49" i="31"/>
  <c r="K48" i="31"/>
  <c r="J48" i="31"/>
  <c r="I48" i="31"/>
  <c r="K47" i="31"/>
  <c r="J47" i="31"/>
  <c r="I47" i="31"/>
  <c r="H47" i="31"/>
  <c r="K61" i="30"/>
  <c r="M61" i="30" s="1"/>
  <c r="J61" i="30"/>
  <c r="I61" i="30"/>
  <c r="K60" i="30"/>
  <c r="M60" i="30" s="1"/>
  <c r="J60" i="30"/>
  <c r="I60" i="30"/>
  <c r="K59" i="30"/>
  <c r="M59" i="30" s="1"/>
  <c r="J59" i="30"/>
  <c r="I59" i="30"/>
  <c r="K58" i="30"/>
  <c r="M58" i="30" s="1"/>
  <c r="J58" i="30"/>
  <c r="I58" i="30"/>
  <c r="K57" i="30"/>
  <c r="M57" i="30" s="1"/>
  <c r="J57" i="30"/>
  <c r="I57" i="30"/>
  <c r="K56" i="30"/>
  <c r="M56" i="30" s="1"/>
  <c r="J56" i="30"/>
  <c r="I56" i="30"/>
  <c r="K55" i="30"/>
  <c r="M55" i="30" s="1"/>
  <c r="J55" i="30"/>
  <c r="I55" i="30"/>
  <c r="K54" i="30"/>
  <c r="J54" i="30"/>
  <c r="I54" i="30"/>
  <c r="K53" i="30"/>
  <c r="J53" i="30"/>
  <c r="I53" i="30"/>
  <c r="K52" i="30"/>
  <c r="J52" i="30"/>
  <c r="I52" i="30"/>
  <c r="K51" i="30"/>
  <c r="J51" i="30"/>
  <c r="I51" i="30"/>
  <c r="K50" i="30"/>
  <c r="J50" i="30"/>
  <c r="I50" i="30"/>
  <c r="K49" i="30"/>
  <c r="J49" i="30"/>
  <c r="I49" i="30"/>
  <c r="K48" i="30"/>
  <c r="J48" i="30"/>
  <c r="I48" i="30"/>
  <c r="K47" i="30"/>
  <c r="J47" i="30"/>
  <c r="I47" i="30"/>
  <c r="H47" i="30"/>
  <c r="AW81" i="32"/>
  <c r="AR81" i="32"/>
  <c r="AM81" i="32"/>
  <c r="AH81" i="32"/>
  <c r="AC81" i="32"/>
  <c r="X81" i="32"/>
  <c r="S81" i="32"/>
  <c r="AW80" i="32"/>
  <c r="AR80" i="32"/>
  <c r="AM80" i="32"/>
  <c r="AH80" i="32"/>
  <c r="AC80" i="32"/>
  <c r="X80" i="32"/>
  <c r="S80" i="32"/>
  <c r="K80" i="32"/>
  <c r="M80" i="32" s="1"/>
  <c r="J80" i="32"/>
  <c r="I80" i="32"/>
  <c r="AW79" i="32"/>
  <c r="AR79" i="32"/>
  <c r="AM79" i="32"/>
  <c r="AH79" i="32"/>
  <c r="AC79" i="32"/>
  <c r="X79" i="32"/>
  <c r="S79" i="32"/>
  <c r="K79" i="32"/>
  <c r="M79" i="32" s="1"/>
  <c r="J79" i="32"/>
  <c r="I79" i="32"/>
  <c r="AW78" i="32"/>
  <c r="AR78" i="32"/>
  <c r="AM78" i="32"/>
  <c r="AH78" i="32"/>
  <c r="AC78" i="32"/>
  <c r="X78" i="32"/>
  <c r="S78" i="32"/>
  <c r="K78" i="32"/>
  <c r="M78" i="32" s="1"/>
  <c r="J78" i="32"/>
  <c r="I78" i="32"/>
  <c r="AW77" i="32"/>
  <c r="AR77" i="32"/>
  <c r="AM77" i="32"/>
  <c r="AH77" i="32"/>
  <c r="AC77" i="32"/>
  <c r="X77" i="32"/>
  <c r="S77" i="32"/>
  <c r="M77" i="32"/>
  <c r="K77" i="32"/>
  <c r="J77" i="32"/>
  <c r="I77" i="32"/>
  <c r="AW76" i="32"/>
  <c r="AR76" i="32"/>
  <c r="AM76" i="32"/>
  <c r="AH76" i="32"/>
  <c r="AC76" i="32"/>
  <c r="X76" i="32"/>
  <c r="S76" i="32"/>
  <c r="K76" i="32"/>
  <c r="M76" i="32" s="1"/>
  <c r="J76" i="32"/>
  <c r="I76" i="32"/>
  <c r="AW75" i="32"/>
  <c r="AR75" i="32"/>
  <c r="AM75" i="32"/>
  <c r="AH75" i="32"/>
  <c r="AC75" i="32"/>
  <c r="X75" i="32"/>
  <c r="S75" i="32"/>
  <c r="K75" i="32"/>
  <c r="M75" i="32" s="1"/>
  <c r="J75" i="32"/>
  <c r="I75" i="32"/>
  <c r="AW74" i="32"/>
  <c r="AR74" i="32"/>
  <c r="AM74" i="32"/>
  <c r="AH74" i="32"/>
  <c r="AC74" i="32"/>
  <c r="X74" i="32"/>
  <c r="S74" i="32"/>
  <c r="K74" i="32"/>
  <c r="M74" i="32" s="1"/>
  <c r="J74" i="32"/>
  <c r="I74" i="32"/>
  <c r="AW73" i="32"/>
  <c r="AR73" i="32"/>
  <c r="AM73" i="32"/>
  <c r="AH73" i="32"/>
  <c r="AC73" i="32"/>
  <c r="X73" i="32"/>
  <c r="S73" i="32"/>
  <c r="M73" i="32"/>
  <c r="K73" i="32"/>
  <c r="J73" i="32"/>
  <c r="I73" i="32"/>
  <c r="AW72" i="32"/>
  <c r="AR72" i="32"/>
  <c r="AM72" i="32"/>
  <c r="AH72" i="32"/>
  <c r="AC72" i="32"/>
  <c r="X72" i="32"/>
  <c r="S72" i="32"/>
  <c r="K72" i="32"/>
  <c r="M72" i="32" s="1"/>
  <c r="J72" i="32"/>
  <c r="I72" i="32"/>
  <c r="AW71" i="32"/>
  <c r="AR71" i="32"/>
  <c r="AM71" i="32"/>
  <c r="AH71" i="32"/>
  <c r="AC71" i="32"/>
  <c r="X71" i="32"/>
  <c r="S71" i="32"/>
  <c r="K71" i="32"/>
  <c r="M71" i="32" s="1"/>
  <c r="J71" i="32"/>
  <c r="I71" i="32"/>
  <c r="AW70" i="32"/>
  <c r="AR70" i="32"/>
  <c r="AM70" i="32"/>
  <c r="AH70" i="32"/>
  <c r="AC70" i="32"/>
  <c r="X70" i="32"/>
  <c r="S70" i="32"/>
  <c r="K70" i="32"/>
  <c r="M70" i="32" s="1"/>
  <c r="J70" i="32"/>
  <c r="I70" i="32"/>
  <c r="AW69" i="32"/>
  <c r="AR69" i="32"/>
  <c r="AM69" i="32"/>
  <c r="AH69" i="32"/>
  <c r="AC69" i="32"/>
  <c r="X69" i="32"/>
  <c r="S69" i="32"/>
  <c r="M69" i="32"/>
  <c r="K69" i="32"/>
  <c r="J69" i="32"/>
  <c r="I69" i="32"/>
  <c r="AW68" i="32"/>
  <c r="AR68" i="32"/>
  <c r="AM68" i="32"/>
  <c r="AH68" i="32"/>
  <c r="AC68" i="32"/>
  <c r="X68" i="32"/>
  <c r="S68" i="32"/>
  <c r="K68" i="32"/>
  <c r="M68" i="32" s="1"/>
  <c r="J68" i="32"/>
  <c r="I68" i="32"/>
  <c r="AX67" i="32"/>
  <c r="AW67" i="32"/>
  <c r="AS67" i="32"/>
  <c r="AR67" i="32"/>
  <c r="AN67" i="32"/>
  <c r="AM67" i="32"/>
  <c r="AI67" i="32"/>
  <c r="AH67" i="32"/>
  <c r="AD67" i="32"/>
  <c r="AC67" i="32"/>
  <c r="Y67" i="32"/>
  <c r="X67" i="32"/>
  <c r="T67" i="32"/>
  <c r="S67" i="32"/>
  <c r="L67" i="32"/>
  <c r="K67" i="32"/>
  <c r="J67" i="32"/>
  <c r="I67" i="32"/>
  <c r="H67" i="32"/>
  <c r="AW81" i="31"/>
  <c r="AR81" i="31"/>
  <c r="AM81" i="31"/>
  <c r="AH81" i="31"/>
  <c r="AC81" i="31"/>
  <c r="X81" i="31"/>
  <c r="S81" i="31"/>
  <c r="AW80" i="31"/>
  <c r="AR80" i="31"/>
  <c r="AM80" i="31"/>
  <c r="AH80" i="31"/>
  <c r="AC80" i="31"/>
  <c r="X80" i="31"/>
  <c r="S80" i="31"/>
  <c r="M80" i="31"/>
  <c r="K80" i="31"/>
  <c r="J80" i="31"/>
  <c r="I80" i="31"/>
  <c r="AW79" i="31"/>
  <c r="AR79" i="31"/>
  <c r="AM79" i="31"/>
  <c r="AH79" i="31"/>
  <c r="AC79" i="31"/>
  <c r="X79" i="31"/>
  <c r="S79" i="31"/>
  <c r="K79" i="31"/>
  <c r="M79" i="31" s="1"/>
  <c r="J79" i="31"/>
  <c r="I79" i="31"/>
  <c r="AW78" i="31"/>
  <c r="AR78" i="31"/>
  <c r="AM78" i="31"/>
  <c r="AH78" i="31"/>
  <c r="AC78" i="31"/>
  <c r="X78" i="31"/>
  <c r="S78" i="31"/>
  <c r="K78" i="31"/>
  <c r="M78" i="31" s="1"/>
  <c r="J78" i="31"/>
  <c r="I78" i="31"/>
  <c r="AW77" i="31"/>
  <c r="AR77" i="31"/>
  <c r="AM77" i="31"/>
  <c r="AH77" i="31"/>
  <c r="AC77" i="31"/>
  <c r="X77" i="31"/>
  <c r="S77" i="31"/>
  <c r="K77" i="31"/>
  <c r="M77" i="31" s="1"/>
  <c r="J77" i="31"/>
  <c r="I77" i="31"/>
  <c r="AW76" i="31"/>
  <c r="AR76" i="31"/>
  <c r="AM76" i="31"/>
  <c r="AH76" i="31"/>
  <c r="AC76" i="31"/>
  <c r="X76" i="31"/>
  <c r="S76" i="31"/>
  <c r="M76" i="31"/>
  <c r="K76" i="31"/>
  <c r="J76" i="31"/>
  <c r="I76" i="31"/>
  <c r="AW75" i="31"/>
  <c r="AR75" i="31"/>
  <c r="AM75" i="31"/>
  <c r="AH75" i="31"/>
  <c r="AC75" i="31"/>
  <c r="X75" i="31"/>
  <c r="S75" i="31"/>
  <c r="K75" i="31"/>
  <c r="M75" i="31" s="1"/>
  <c r="J75" i="31"/>
  <c r="I75" i="31"/>
  <c r="AW74" i="31"/>
  <c r="AR74" i="31"/>
  <c r="AM74" i="31"/>
  <c r="AH74" i="31"/>
  <c r="AC74" i="31"/>
  <c r="X74" i="31"/>
  <c r="S74" i="31"/>
  <c r="K74" i="31"/>
  <c r="M74" i="31" s="1"/>
  <c r="J74" i="31"/>
  <c r="I74" i="31"/>
  <c r="AW73" i="31"/>
  <c r="AR73" i="31"/>
  <c r="AM73" i="31"/>
  <c r="AH73" i="31"/>
  <c r="AC73" i="31"/>
  <c r="X73" i="31"/>
  <c r="S73" i="31"/>
  <c r="K73" i="31"/>
  <c r="M73" i="31" s="1"/>
  <c r="J73" i="31"/>
  <c r="I73" i="31"/>
  <c r="AW72" i="31"/>
  <c r="AR72" i="31"/>
  <c r="AM72" i="31"/>
  <c r="AH72" i="31"/>
  <c r="AC72" i="31"/>
  <c r="X72" i="31"/>
  <c r="S72" i="31"/>
  <c r="M72" i="31"/>
  <c r="K72" i="31"/>
  <c r="J72" i="31"/>
  <c r="I72" i="31"/>
  <c r="AW71" i="31"/>
  <c r="AR71" i="31"/>
  <c r="AM71" i="31"/>
  <c r="AH71" i="31"/>
  <c r="AC71" i="31"/>
  <c r="X71" i="31"/>
  <c r="S71" i="31"/>
  <c r="K71" i="31"/>
  <c r="M71" i="31" s="1"/>
  <c r="J71" i="31"/>
  <c r="I71" i="31"/>
  <c r="AW70" i="31"/>
  <c r="AR70" i="31"/>
  <c r="AM70" i="31"/>
  <c r="AH70" i="31"/>
  <c r="AC70" i="31"/>
  <c r="X70" i="31"/>
  <c r="S70" i="31"/>
  <c r="K70" i="31"/>
  <c r="M70" i="31" s="1"/>
  <c r="J70" i="31"/>
  <c r="I70" i="31"/>
  <c r="AW69" i="31"/>
  <c r="AR69" i="31"/>
  <c r="AM69" i="31"/>
  <c r="AH69" i="31"/>
  <c r="AC69" i="31"/>
  <c r="X69" i="31"/>
  <c r="S69" i="31"/>
  <c r="K69" i="31"/>
  <c r="M69" i="31" s="1"/>
  <c r="J69" i="31"/>
  <c r="I69" i="31"/>
  <c r="AW68" i="31"/>
  <c r="AR68" i="31"/>
  <c r="AM68" i="31"/>
  <c r="AH68" i="31"/>
  <c r="AC68" i="31"/>
  <c r="X68" i="31"/>
  <c r="S68" i="31"/>
  <c r="M68" i="31"/>
  <c r="K68" i="31"/>
  <c r="J68" i="31"/>
  <c r="I68" i="31"/>
  <c r="AX67" i="31"/>
  <c r="AW67" i="31"/>
  <c r="AS67" i="31"/>
  <c r="AR67" i="31"/>
  <c r="AN67" i="31"/>
  <c r="AM67" i="31"/>
  <c r="AI67" i="31"/>
  <c r="AH67" i="31"/>
  <c r="AD67" i="31"/>
  <c r="AC67" i="31"/>
  <c r="Y67" i="31"/>
  <c r="X67" i="31"/>
  <c r="T67" i="31"/>
  <c r="S67" i="31"/>
  <c r="K67" i="31"/>
  <c r="M67" i="31" s="1"/>
  <c r="J67" i="31"/>
  <c r="I67" i="31"/>
  <c r="H67" i="31"/>
  <c r="AW81" i="30"/>
  <c r="AR81" i="30"/>
  <c r="AM81" i="30"/>
  <c r="AH81" i="30"/>
  <c r="AC81" i="30"/>
  <c r="X81" i="30"/>
  <c r="S81" i="30"/>
  <c r="K81" i="30"/>
  <c r="M81" i="30" s="1"/>
  <c r="J81" i="30"/>
  <c r="I81" i="30"/>
  <c r="AW80" i="30"/>
  <c r="AR80" i="30"/>
  <c r="AM80" i="30"/>
  <c r="AH80" i="30"/>
  <c r="AC80" i="30"/>
  <c r="X80" i="30"/>
  <c r="S80" i="30"/>
  <c r="K80" i="30"/>
  <c r="M80" i="30" s="1"/>
  <c r="J80" i="30"/>
  <c r="I80" i="30"/>
  <c r="AW79" i="30"/>
  <c r="AR79" i="30"/>
  <c r="AM79" i="30"/>
  <c r="AH79" i="30"/>
  <c r="AC79" i="30"/>
  <c r="X79" i="30"/>
  <c r="S79" i="30"/>
  <c r="K79" i="30"/>
  <c r="M79" i="30" s="1"/>
  <c r="J79" i="30"/>
  <c r="I79" i="30"/>
  <c r="AW78" i="30"/>
  <c r="AR78" i="30"/>
  <c r="AM78" i="30"/>
  <c r="AH78" i="30"/>
  <c r="AC78" i="30"/>
  <c r="X78" i="30"/>
  <c r="S78" i="30"/>
  <c r="M78" i="30"/>
  <c r="K78" i="30"/>
  <c r="J78" i="30"/>
  <c r="I78" i="30"/>
  <c r="AW77" i="30"/>
  <c r="AR77" i="30"/>
  <c r="AM77" i="30"/>
  <c r="AH77" i="30"/>
  <c r="AC77" i="30"/>
  <c r="X77" i="30"/>
  <c r="S77" i="30"/>
  <c r="K77" i="30"/>
  <c r="M77" i="30" s="1"/>
  <c r="J77" i="30"/>
  <c r="I77" i="30"/>
  <c r="AW76" i="30"/>
  <c r="AR76" i="30"/>
  <c r="AM76" i="30"/>
  <c r="AH76" i="30"/>
  <c r="AC76" i="30"/>
  <c r="X76" i="30"/>
  <c r="S76" i="30"/>
  <c r="K76" i="30"/>
  <c r="M76" i="30" s="1"/>
  <c r="J76" i="30"/>
  <c r="I76" i="30"/>
  <c r="AW75" i="30"/>
  <c r="AR75" i="30"/>
  <c r="AM75" i="30"/>
  <c r="AH75" i="30"/>
  <c r="AC75" i="30"/>
  <c r="X75" i="30"/>
  <c r="S75" i="30"/>
  <c r="K75" i="30"/>
  <c r="M75" i="30" s="1"/>
  <c r="J75" i="30"/>
  <c r="I75" i="30"/>
  <c r="AW74" i="30"/>
  <c r="AR74" i="30"/>
  <c r="AM74" i="30"/>
  <c r="AH74" i="30"/>
  <c r="AC74" i="30"/>
  <c r="X74" i="30"/>
  <c r="S74" i="30"/>
  <c r="M74" i="30"/>
  <c r="K74" i="30"/>
  <c r="J74" i="30"/>
  <c r="I74" i="30"/>
  <c r="AW73" i="30"/>
  <c r="AR73" i="30"/>
  <c r="AM73" i="30"/>
  <c r="AH73" i="30"/>
  <c r="AC73" i="30"/>
  <c r="X73" i="30"/>
  <c r="S73" i="30"/>
  <c r="K73" i="30"/>
  <c r="M73" i="30" s="1"/>
  <c r="J73" i="30"/>
  <c r="I73" i="30"/>
  <c r="AW72" i="30"/>
  <c r="AR72" i="30"/>
  <c r="AM72" i="30"/>
  <c r="AH72" i="30"/>
  <c r="AC72" i="30"/>
  <c r="X72" i="30"/>
  <c r="S72" i="30"/>
  <c r="K72" i="30"/>
  <c r="M72" i="30" s="1"/>
  <c r="J72" i="30"/>
  <c r="I72" i="30"/>
  <c r="AW71" i="30"/>
  <c r="AR71" i="30"/>
  <c r="AM71" i="30"/>
  <c r="AH71" i="30"/>
  <c r="AC71" i="30"/>
  <c r="X71" i="30"/>
  <c r="S71" i="30"/>
  <c r="K71" i="30"/>
  <c r="M71" i="30" s="1"/>
  <c r="J71" i="30"/>
  <c r="I71" i="30"/>
  <c r="AW70" i="30"/>
  <c r="AR70" i="30"/>
  <c r="AM70" i="30"/>
  <c r="AH70" i="30"/>
  <c r="AC70" i="30"/>
  <c r="X70" i="30"/>
  <c r="S70" i="30"/>
  <c r="M70" i="30"/>
  <c r="K70" i="30"/>
  <c r="J70" i="30"/>
  <c r="I70" i="30"/>
  <c r="AW69" i="30"/>
  <c r="AR69" i="30"/>
  <c r="AM69" i="30"/>
  <c r="AH69" i="30"/>
  <c r="AC69" i="30"/>
  <c r="X69" i="30"/>
  <c r="S69" i="30"/>
  <c r="K69" i="30"/>
  <c r="M69" i="30" s="1"/>
  <c r="J69" i="30"/>
  <c r="I69" i="30"/>
  <c r="AW68" i="30"/>
  <c r="AR68" i="30"/>
  <c r="AM68" i="30"/>
  <c r="AH68" i="30"/>
  <c r="AC68" i="30"/>
  <c r="X68" i="30"/>
  <c r="S68" i="30"/>
  <c r="K68" i="30"/>
  <c r="M68" i="30" s="1"/>
  <c r="J68" i="30"/>
  <c r="I68" i="30"/>
  <c r="AX67" i="30"/>
  <c r="AW67" i="30"/>
  <c r="AS67" i="30"/>
  <c r="AR67" i="30"/>
  <c r="AN67" i="30"/>
  <c r="AM67" i="30"/>
  <c r="AI67" i="30"/>
  <c r="AH67" i="30"/>
  <c r="AD67" i="30"/>
  <c r="AC67" i="30"/>
  <c r="Y67" i="30"/>
  <c r="X67" i="30"/>
  <c r="T67" i="30"/>
  <c r="S67" i="30"/>
  <c r="K67" i="30"/>
  <c r="J67" i="30"/>
  <c r="I67" i="30"/>
  <c r="H67" i="30"/>
  <c r="AW101" i="32"/>
  <c r="AR101" i="32"/>
  <c r="AM101" i="32"/>
  <c r="AH101" i="32"/>
  <c r="AC101" i="32"/>
  <c r="X101" i="32"/>
  <c r="S101" i="32"/>
  <c r="AW100" i="32"/>
  <c r="AR100" i="32"/>
  <c r="AM100" i="32"/>
  <c r="AH100" i="32"/>
  <c r="AC100" i="32"/>
  <c r="X100" i="32"/>
  <c r="S100" i="32"/>
  <c r="K100" i="32"/>
  <c r="M100" i="32" s="1"/>
  <c r="J100" i="32"/>
  <c r="I100" i="32"/>
  <c r="AW99" i="32"/>
  <c r="AR99" i="32"/>
  <c r="AM99" i="32"/>
  <c r="AH99" i="32"/>
  <c r="AC99" i="32"/>
  <c r="X99" i="32"/>
  <c r="S99" i="32"/>
  <c r="K99" i="32"/>
  <c r="M99" i="32" s="1"/>
  <c r="J99" i="32"/>
  <c r="I99" i="32"/>
  <c r="AW98" i="32"/>
  <c r="AR98" i="32"/>
  <c r="AM98" i="32"/>
  <c r="AH98" i="32"/>
  <c r="AC98" i="32"/>
  <c r="X98" i="32"/>
  <c r="S98" i="32"/>
  <c r="M98" i="32"/>
  <c r="K98" i="32"/>
  <c r="J98" i="32"/>
  <c r="I98" i="32"/>
  <c r="AW97" i="32"/>
  <c r="AR97" i="32"/>
  <c r="AM97" i="32"/>
  <c r="AH97" i="32"/>
  <c r="AC97" i="32"/>
  <c r="X97" i="32"/>
  <c r="S97" i="32"/>
  <c r="K97" i="32"/>
  <c r="M97" i="32" s="1"/>
  <c r="J97" i="32"/>
  <c r="I97" i="32"/>
  <c r="AW96" i="32"/>
  <c r="AR96" i="32"/>
  <c r="AM96" i="32"/>
  <c r="AH96" i="32"/>
  <c r="AC96" i="32"/>
  <c r="X96" i="32"/>
  <c r="S96" i="32"/>
  <c r="K96" i="32"/>
  <c r="M96" i="32" s="1"/>
  <c r="J96" i="32"/>
  <c r="I96" i="32"/>
  <c r="AW95" i="32"/>
  <c r="AR95" i="32"/>
  <c r="AM95" i="32"/>
  <c r="AH95" i="32"/>
  <c r="AC95" i="32"/>
  <c r="X95" i="32"/>
  <c r="S95" i="32"/>
  <c r="K95" i="32"/>
  <c r="M95" i="32" s="1"/>
  <c r="J95" i="32"/>
  <c r="I95" i="32"/>
  <c r="AW94" i="32"/>
  <c r="AR94" i="32"/>
  <c r="AM94" i="32"/>
  <c r="AH94" i="32"/>
  <c r="AC94" i="32"/>
  <c r="X94" i="32"/>
  <c r="S94" i="32"/>
  <c r="M94" i="32"/>
  <c r="K94" i="32"/>
  <c r="J94" i="32"/>
  <c r="I94" i="32"/>
  <c r="AW93" i="32"/>
  <c r="AR93" i="32"/>
  <c r="AM93" i="32"/>
  <c r="AH93" i="32"/>
  <c r="AC93" i="32"/>
  <c r="X93" i="32"/>
  <c r="S93" i="32"/>
  <c r="K93" i="32"/>
  <c r="M93" i="32" s="1"/>
  <c r="J93" i="32"/>
  <c r="I93" i="32"/>
  <c r="AW92" i="32"/>
  <c r="AR92" i="32"/>
  <c r="AM92" i="32"/>
  <c r="AH92" i="32"/>
  <c r="AC92" i="32"/>
  <c r="X92" i="32"/>
  <c r="S92" i="32"/>
  <c r="K92" i="32"/>
  <c r="M92" i="32" s="1"/>
  <c r="J92" i="32"/>
  <c r="I92" i="32"/>
  <c r="AW91" i="32"/>
  <c r="AR91" i="32"/>
  <c r="AM91" i="32"/>
  <c r="AH91" i="32"/>
  <c r="AC91" i="32"/>
  <c r="X91" i="32"/>
  <c r="S91" i="32"/>
  <c r="K91" i="32"/>
  <c r="M91" i="32" s="1"/>
  <c r="J91" i="32"/>
  <c r="I91" i="32"/>
  <c r="AW90" i="32"/>
  <c r="AR90" i="32"/>
  <c r="AM90" i="32"/>
  <c r="AH90" i="32"/>
  <c r="AC90" i="32"/>
  <c r="X90" i="32"/>
  <c r="S90" i="32"/>
  <c r="M90" i="32"/>
  <c r="K90" i="32"/>
  <c r="J90" i="32"/>
  <c r="I90" i="32"/>
  <c r="AW89" i="32"/>
  <c r="AR89" i="32"/>
  <c r="AM89" i="32"/>
  <c r="AH89" i="32"/>
  <c r="AC89" i="32"/>
  <c r="X89" i="32"/>
  <c r="S89" i="32"/>
  <c r="K89" i="32"/>
  <c r="M89" i="32" s="1"/>
  <c r="J89" i="32"/>
  <c r="I89" i="32"/>
  <c r="AW88" i="32"/>
  <c r="AR88" i="32"/>
  <c r="AM88" i="32"/>
  <c r="AH88" i="32"/>
  <c r="AC88" i="32"/>
  <c r="X88" i="32"/>
  <c r="S88" i="32"/>
  <c r="K88" i="32"/>
  <c r="J88" i="32"/>
  <c r="I88" i="32"/>
  <c r="AX87" i="32"/>
  <c r="AW87" i="32"/>
  <c r="AS87" i="32"/>
  <c r="AR87" i="32"/>
  <c r="AN87" i="32"/>
  <c r="AM87" i="32"/>
  <c r="AI87" i="32"/>
  <c r="AH87" i="32"/>
  <c r="AD87" i="32"/>
  <c r="AC87" i="32"/>
  <c r="Y87" i="32"/>
  <c r="X87" i="32"/>
  <c r="T87" i="32"/>
  <c r="S87" i="32"/>
  <c r="M87" i="32"/>
  <c r="K87" i="32"/>
  <c r="J87" i="32"/>
  <c r="I87" i="32"/>
  <c r="H87" i="32"/>
  <c r="AW101" i="31"/>
  <c r="AR101" i="31"/>
  <c r="AM101" i="31"/>
  <c r="AH101" i="31"/>
  <c r="AC101" i="31"/>
  <c r="X101" i="31"/>
  <c r="S101" i="31"/>
  <c r="AW100" i="31"/>
  <c r="AR100" i="31"/>
  <c r="AM100" i="31"/>
  <c r="AH100" i="31"/>
  <c r="AC100" i="31"/>
  <c r="X100" i="31"/>
  <c r="S100" i="31"/>
  <c r="K100" i="31"/>
  <c r="M100" i="31" s="1"/>
  <c r="J100" i="31"/>
  <c r="I100" i="31"/>
  <c r="AW99" i="31"/>
  <c r="AR99" i="31"/>
  <c r="AM99" i="31"/>
  <c r="AH99" i="31"/>
  <c r="AC99" i="31"/>
  <c r="X99" i="31"/>
  <c r="S99" i="31"/>
  <c r="M99" i="31"/>
  <c r="K99" i="31"/>
  <c r="J99" i="31"/>
  <c r="I99" i="31"/>
  <c r="AW98" i="31"/>
  <c r="AR98" i="31"/>
  <c r="AM98" i="31"/>
  <c r="AH98" i="31"/>
  <c r="AC98" i="31"/>
  <c r="X98" i="31"/>
  <c r="S98" i="31"/>
  <c r="K98" i="31"/>
  <c r="M98" i="31" s="1"/>
  <c r="J98" i="31"/>
  <c r="I98" i="31"/>
  <c r="AW97" i="31"/>
  <c r="AR97" i="31"/>
  <c r="AM97" i="31"/>
  <c r="AH97" i="31"/>
  <c r="AC97" i="31"/>
  <c r="X97" i="31"/>
  <c r="S97" i="31"/>
  <c r="K97" i="31"/>
  <c r="M97" i="31" s="1"/>
  <c r="J97" i="31"/>
  <c r="I97" i="31"/>
  <c r="AW96" i="31"/>
  <c r="AR96" i="31"/>
  <c r="AM96" i="31"/>
  <c r="AH96" i="31"/>
  <c r="AC96" i="31"/>
  <c r="X96" i="31"/>
  <c r="S96" i="31"/>
  <c r="K96" i="31"/>
  <c r="M96" i="31" s="1"/>
  <c r="J96" i="31"/>
  <c r="I96" i="31"/>
  <c r="AW95" i="31"/>
  <c r="AR95" i="31"/>
  <c r="AM95" i="31"/>
  <c r="AH95" i="31"/>
  <c r="AC95" i="31"/>
  <c r="X95" i="31"/>
  <c r="S95" i="31"/>
  <c r="M95" i="31"/>
  <c r="K95" i="31"/>
  <c r="J95" i="31"/>
  <c r="I95" i="31"/>
  <c r="AW94" i="31"/>
  <c r="AR94" i="31"/>
  <c r="AM94" i="31"/>
  <c r="AH94" i="31"/>
  <c r="AC94" i="31"/>
  <c r="X94" i="31"/>
  <c r="S94" i="31"/>
  <c r="K94" i="31"/>
  <c r="M94" i="31" s="1"/>
  <c r="J94" i="31"/>
  <c r="I94" i="31"/>
  <c r="AW93" i="31"/>
  <c r="AR93" i="31"/>
  <c r="AM93" i="31"/>
  <c r="AH93" i="31"/>
  <c r="AC93" i="31"/>
  <c r="X93" i="31"/>
  <c r="S93" i="31"/>
  <c r="K93" i="31"/>
  <c r="M93" i="31" s="1"/>
  <c r="J93" i="31"/>
  <c r="I93" i="31"/>
  <c r="AW92" i="31"/>
  <c r="AR92" i="31"/>
  <c r="AM92" i="31"/>
  <c r="AH92" i="31"/>
  <c r="AC92" i="31"/>
  <c r="X92" i="31"/>
  <c r="S92" i="31"/>
  <c r="K92" i="31"/>
  <c r="M92" i="31" s="1"/>
  <c r="J92" i="31"/>
  <c r="I92" i="31"/>
  <c r="AW91" i="31"/>
  <c r="AR91" i="31"/>
  <c r="AM91" i="31"/>
  <c r="AH91" i="31"/>
  <c r="AC91" i="31"/>
  <c r="X91" i="31"/>
  <c r="S91" i="31"/>
  <c r="M91" i="31"/>
  <c r="K91" i="31"/>
  <c r="J91" i="31"/>
  <c r="I91" i="31"/>
  <c r="AW90" i="31"/>
  <c r="AR90" i="31"/>
  <c r="AM90" i="31"/>
  <c r="AH90" i="31"/>
  <c r="AC90" i="31"/>
  <c r="X90" i="31"/>
  <c r="S90" i="31"/>
  <c r="K90" i="31"/>
  <c r="M90" i="31" s="1"/>
  <c r="J90" i="31"/>
  <c r="I90" i="31"/>
  <c r="AW89" i="31"/>
  <c r="AR89" i="31"/>
  <c r="AM89" i="31"/>
  <c r="AH89" i="31"/>
  <c r="AC89" i="31"/>
  <c r="X89" i="31"/>
  <c r="S89" i="31"/>
  <c r="K89" i="31"/>
  <c r="M89" i="31" s="1"/>
  <c r="J89" i="31"/>
  <c r="I89" i="31"/>
  <c r="AW88" i="31"/>
  <c r="AR88" i="31"/>
  <c r="AM88" i="31"/>
  <c r="AH88" i="31"/>
  <c r="AC88" i="31"/>
  <c r="X88" i="31"/>
  <c r="S88" i="31"/>
  <c r="K88" i="31"/>
  <c r="M88" i="31" s="1"/>
  <c r="J88" i="31"/>
  <c r="I88" i="31"/>
  <c r="AX87" i="31"/>
  <c r="AW87" i="31"/>
  <c r="AS87" i="31"/>
  <c r="AR87" i="31"/>
  <c r="AN87" i="31"/>
  <c r="AM87" i="31"/>
  <c r="AI87" i="31"/>
  <c r="AH87" i="31"/>
  <c r="AD87" i="31"/>
  <c r="AC87" i="31"/>
  <c r="Y87" i="31"/>
  <c r="X87" i="31"/>
  <c r="T87" i="31"/>
  <c r="S87" i="31"/>
  <c r="M87" i="31"/>
  <c r="L87" i="31"/>
  <c r="K87" i="31"/>
  <c r="J87" i="31"/>
  <c r="I87" i="31"/>
  <c r="H87" i="31"/>
  <c r="AW101" i="30"/>
  <c r="AR101" i="30"/>
  <c r="AM101" i="30"/>
  <c r="AH101" i="30"/>
  <c r="AC101" i="30"/>
  <c r="X101" i="30"/>
  <c r="S101" i="30"/>
  <c r="M101" i="30"/>
  <c r="K101" i="30"/>
  <c r="J101" i="30"/>
  <c r="I101" i="30"/>
  <c r="AW100" i="30"/>
  <c r="AR100" i="30"/>
  <c r="AM100" i="30"/>
  <c r="AH100" i="30"/>
  <c r="AC100" i="30"/>
  <c r="X100" i="30"/>
  <c r="S100" i="30"/>
  <c r="K100" i="30"/>
  <c r="M100" i="30" s="1"/>
  <c r="J100" i="30"/>
  <c r="I100" i="30"/>
  <c r="AW99" i="30"/>
  <c r="AR99" i="30"/>
  <c r="AM99" i="30"/>
  <c r="AH99" i="30"/>
  <c r="AC99" i="30"/>
  <c r="X99" i="30"/>
  <c r="S99" i="30"/>
  <c r="K99" i="30"/>
  <c r="M99" i="30" s="1"/>
  <c r="J99" i="30"/>
  <c r="I99" i="30"/>
  <c r="AW98" i="30"/>
  <c r="AR98" i="30"/>
  <c r="AM98" i="30"/>
  <c r="AH98" i="30"/>
  <c r="AC98" i="30"/>
  <c r="X98" i="30"/>
  <c r="S98" i="30"/>
  <c r="K98" i="30"/>
  <c r="M98" i="30" s="1"/>
  <c r="J98" i="30"/>
  <c r="I98" i="30"/>
  <c r="AW97" i="30"/>
  <c r="AR97" i="30"/>
  <c r="AM97" i="30"/>
  <c r="AH97" i="30"/>
  <c r="AC97" i="30"/>
  <c r="X97" i="30"/>
  <c r="S97" i="30"/>
  <c r="M97" i="30"/>
  <c r="K97" i="30"/>
  <c r="J97" i="30"/>
  <c r="I97" i="30"/>
  <c r="AW96" i="30"/>
  <c r="AR96" i="30"/>
  <c r="AM96" i="30"/>
  <c r="AH96" i="30"/>
  <c r="AC96" i="30"/>
  <c r="X96" i="30"/>
  <c r="S96" i="30"/>
  <c r="K96" i="30"/>
  <c r="M96" i="30" s="1"/>
  <c r="J96" i="30"/>
  <c r="I96" i="30"/>
  <c r="AW95" i="30"/>
  <c r="AR95" i="30"/>
  <c r="AM95" i="30"/>
  <c r="AH95" i="30"/>
  <c r="AC95" i="30"/>
  <c r="X95" i="30"/>
  <c r="S95" i="30"/>
  <c r="K95" i="30"/>
  <c r="M95" i="30" s="1"/>
  <c r="J95" i="30"/>
  <c r="I95" i="30"/>
  <c r="AW94" i="30"/>
  <c r="AR94" i="30"/>
  <c r="AM94" i="30"/>
  <c r="AH94" i="30"/>
  <c r="AC94" i="30"/>
  <c r="X94" i="30"/>
  <c r="S94" i="30"/>
  <c r="K94" i="30"/>
  <c r="M94" i="30" s="1"/>
  <c r="J94" i="30"/>
  <c r="I94" i="30"/>
  <c r="AW93" i="30"/>
  <c r="AR93" i="30"/>
  <c r="AM93" i="30"/>
  <c r="AH93" i="30"/>
  <c r="AC93" i="30"/>
  <c r="X93" i="30"/>
  <c r="S93" i="30"/>
  <c r="M93" i="30"/>
  <c r="K93" i="30"/>
  <c r="J93" i="30"/>
  <c r="I93" i="30"/>
  <c r="AW92" i="30"/>
  <c r="AR92" i="30"/>
  <c r="AM92" i="30"/>
  <c r="AH92" i="30"/>
  <c r="AC92" i="30"/>
  <c r="X92" i="30"/>
  <c r="S92" i="30"/>
  <c r="K92" i="30"/>
  <c r="M92" i="30" s="1"/>
  <c r="J92" i="30"/>
  <c r="I92" i="30"/>
  <c r="AW91" i="30"/>
  <c r="AR91" i="30"/>
  <c r="AM91" i="30"/>
  <c r="AH91" i="30"/>
  <c r="AC91" i="30"/>
  <c r="X91" i="30"/>
  <c r="S91" i="30"/>
  <c r="K91" i="30"/>
  <c r="M91" i="30" s="1"/>
  <c r="J91" i="30"/>
  <c r="I91" i="30"/>
  <c r="AW90" i="30"/>
  <c r="AR90" i="30"/>
  <c r="AM90" i="30"/>
  <c r="AH90" i="30"/>
  <c r="AC90" i="30"/>
  <c r="X90" i="30"/>
  <c r="S90" i="30"/>
  <c r="K90" i="30"/>
  <c r="M90" i="30" s="1"/>
  <c r="J90" i="30"/>
  <c r="I90" i="30"/>
  <c r="AW89" i="30"/>
  <c r="AR89" i="30"/>
  <c r="AM89" i="30"/>
  <c r="AH89" i="30"/>
  <c r="AC89" i="30"/>
  <c r="X89" i="30"/>
  <c r="S89" i="30"/>
  <c r="M89" i="30"/>
  <c r="K89" i="30"/>
  <c r="J89" i="30"/>
  <c r="I89" i="30"/>
  <c r="AW88" i="30"/>
  <c r="AR88" i="30"/>
  <c r="AM88" i="30"/>
  <c r="AH88" i="30"/>
  <c r="AC88" i="30"/>
  <c r="X88" i="30"/>
  <c r="S88" i="30"/>
  <c r="K88" i="30"/>
  <c r="M88" i="30" s="1"/>
  <c r="J88" i="30"/>
  <c r="I88" i="30"/>
  <c r="AX87" i="30"/>
  <c r="AW87" i="30"/>
  <c r="AS87" i="30"/>
  <c r="AR87" i="30"/>
  <c r="AN87" i="30"/>
  <c r="AM87" i="30"/>
  <c r="AI87" i="30"/>
  <c r="AH87" i="30"/>
  <c r="AD87" i="30"/>
  <c r="AC87" i="30"/>
  <c r="Y87" i="30"/>
  <c r="X87" i="30"/>
  <c r="T87" i="30"/>
  <c r="S87" i="30"/>
  <c r="K87" i="30"/>
  <c r="M87" i="30" s="1"/>
  <c r="J87" i="30"/>
  <c r="I87" i="30"/>
  <c r="H87" i="30"/>
  <c r="S21" i="32"/>
  <c r="S20" i="32"/>
  <c r="S19" i="32"/>
  <c r="S18" i="32"/>
  <c r="S17" i="32"/>
  <c r="S16" i="32"/>
  <c r="S15" i="32"/>
  <c r="S14" i="32"/>
  <c r="S13" i="32"/>
  <c r="S12" i="32"/>
  <c r="S11" i="32"/>
  <c r="S10" i="32"/>
  <c r="S9" i="32"/>
  <c r="S8" i="32"/>
  <c r="T7" i="32"/>
  <c r="S7" i="32"/>
  <c r="X21" i="32"/>
  <c r="X20" i="32"/>
  <c r="X19" i="32"/>
  <c r="X18" i="32"/>
  <c r="X17" i="32"/>
  <c r="X16" i="32"/>
  <c r="X15" i="32"/>
  <c r="X14" i="32"/>
  <c r="X13" i="32"/>
  <c r="X12" i="32"/>
  <c r="X11" i="32"/>
  <c r="X10" i="32"/>
  <c r="X9" i="32"/>
  <c r="X8" i="32"/>
  <c r="Y7" i="32"/>
  <c r="X7" i="32"/>
  <c r="AC21" i="32"/>
  <c r="AC20" i="32"/>
  <c r="AC19" i="32"/>
  <c r="AC18" i="32"/>
  <c r="AC17" i="32"/>
  <c r="AC16" i="32"/>
  <c r="AC15" i="32"/>
  <c r="AC14" i="32"/>
  <c r="AC13" i="32"/>
  <c r="AC12" i="32"/>
  <c r="AC11" i="32"/>
  <c r="AE7" i="32" s="1"/>
  <c r="I7" i="32" s="1"/>
  <c r="AC10" i="32"/>
  <c r="AC9" i="32"/>
  <c r="AC8" i="32"/>
  <c r="AD7" i="32"/>
  <c r="AC7" i="32"/>
  <c r="AH21" i="32"/>
  <c r="AH20" i="32"/>
  <c r="AH19" i="32"/>
  <c r="AH18" i="32"/>
  <c r="AH17" i="32"/>
  <c r="AH16" i="32"/>
  <c r="AH15" i="32"/>
  <c r="AH14" i="32"/>
  <c r="AH13" i="32"/>
  <c r="AH12" i="32"/>
  <c r="AH11" i="32"/>
  <c r="AH10" i="32"/>
  <c r="AH9" i="32"/>
  <c r="AH8" i="32"/>
  <c r="AI7" i="32"/>
  <c r="AH7" i="32"/>
  <c r="AM21" i="32"/>
  <c r="AM20" i="32"/>
  <c r="AM19" i="32"/>
  <c r="AM18" i="32"/>
  <c r="AM17" i="32"/>
  <c r="AM16" i="32"/>
  <c r="AM15" i="32"/>
  <c r="AM14" i="32"/>
  <c r="AM13" i="32"/>
  <c r="AM12" i="32"/>
  <c r="AM11" i="32"/>
  <c r="AM10" i="32"/>
  <c r="AM9" i="32"/>
  <c r="AM8" i="32"/>
  <c r="AN7" i="32"/>
  <c r="AM7" i="32"/>
  <c r="AR21" i="32"/>
  <c r="AR20" i="32"/>
  <c r="AR19" i="32"/>
  <c r="AR18" i="32"/>
  <c r="AR17" i="32"/>
  <c r="AR16" i="32"/>
  <c r="AR15" i="32"/>
  <c r="AR14" i="32"/>
  <c r="AR13" i="32"/>
  <c r="AR12" i="32"/>
  <c r="AR11" i="32"/>
  <c r="AR10" i="32"/>
  <c r="AR9" i="32"/>
  <c r="AR8" i="32"/>
  <c r="AS7" i="32"/>
  <c r="AR7" i="32"/>
  <c r="AW21" i="32"/>
  <c r="AW20" i="32"/>
  <c r="AW19" i="32"/>
  <c r="AW18" i="32"/>
  <c r="AW17" i="32"/>
  <c r="AW16" i="32"/>
  <c r="AW15" i="32"/>
  <c r="AW14" i="32"/>
  <c r="AW13" i="32"/>
  <c r="AW12" i="32"/>
  <c r="AW11" i="32"/>
  <c r="AW10" i="32"/>
  <c r="AW9" i="32"/>
  <c r="AW8" i="32"/>
  <c r="AX7" i="32"/>
  <c r="AW7" i="32"/>
  <c r="S21" i="31"/>
  <c r="S20" i="31"/>
  <c r="S19" i="31"/>
  <c r="S18" i="31"/>
  <c r="S17" i="31"/>
  <c r="S16" i="31"/>
  <c r="S15" i="31"/>
  <c r="S14" i="31"/>
  <c r="S13" i="31"/>
  <c r="S12" i="31"/>
  <c r="S11" i="31"/>
  <c r="S10" i="31"/>
  <c r="S9" i="31"/>
  <c r="S8" i="31"/>
  <c r="T7" i="31"/>
  <c r="S7" i="31"/>
  <c r="X21" i="31"/>
  <c r="X20" i="31"/>
  <c r="X19" i="31"/>
  <c r="X18" i="31"/>
  <c r="X17" i="31"/>
  <c r="X16" i="31"/>
  <c r="X15" i="31"/>
  <c r="X14" i="31"/>
  <c r="X13" i="31"/>
  <c r="X12" i="31"/>
  <c r="X11" i="31"/>
  <c r="X10" i="31"/>
  <c r="X9" i="31"/>
  <c r="X8" i="31"/>
  <c r="Y7" i="31"/>
  <c r="X7" i="31"/>
  <c r="AC21" i="31"/>
  <c r="AC20" i="31"/>
  <c r="AC19" i="31"/>
  <c r="AC18" i="31"/>
  <c r="AC17" i="31"/>
  <c r="AC16" i="31"/>
  <c r="AC15" i="31"/>
  <c r="AC14" i="31"/>
  <c r="AC13" i="31"/>
  <c r="AC12" i="31"/>
  <c r="AC11" i="31"/>
  <c r="AC10" i="31"/>
  <c r="AC9" i="31"/>
  <c r="AC8" i="31"/>
  <c r="AD7" i="31"/>
  <c r="AC7" i="31"/>
  <c r="AH21" i="31"/>
  <c r="AH20" i="31"/>
  <c r="AH19" i="31"/>
  <c r="AH18" i="31"/>
  <c r="AH17" i="31"/>
  <c r="AH16" i="31"/>
  <c r="AH15" i="31"/>
  <c r="AH14" i="31"/>
  <c r="AH13" i="31"/>
  <c r="AH12" i="31"/>
  <c r="AH11" i="31"/>
  <c r="AH10" i="31"/>
  <c r="AH9" i="31"/>
  <c r="AH8" i="31"/>
  <c r="AI7" i="31"/>
  <c r="AH7" i="31"/>
  <c r="AM21" i="31"/>
  <c r="AM20" i="31"/>
  <c r="AM19" i="31"/>
  <c r="AM18" i="31"/>
  <c r="AM17" i="31"/>
  <c r="AM16" i="31"/>
  <c r="AM15" i="31"/>
  <c r="AM14" i="31"/>
  <c r="AM13" i="31"/>
  <c r="AM12" i="31"/>
  <c r="AM11" i="31"/>
  <c r="AM10" i="31"/>
  <c r="AM9" i="31"/>
  <c r="AM8" i="31"/>
  <c r="AN7" i="31"/>
  <c r="AM7" i="31"/>
  <c r="AR21" i="31"/>
  <c r="AR20" i="31"/>
  <c r="AR19" i="31"/>
  <c r="AR18" i="31"/>
  <c r="AR17" i="31"/>
  <c r="AR16" i="31"/>
  <c r="AR15" i="31"/>
  <c r="AR14" i="31"/>
  <c r="AR13" i="31"/>
  <c r="AR12" i="31"/>
  <c r="AR11" i="31"/>
  <c r="AR10" i="31"/>
  <c r="AR9" i="31"/>
  <c r="AR8" i="31"/>
  <c r="AS7" i="31"/>
  <c r="AR7" i="31"/>
  <c r="AW21" i="31"/>
  <c r="AW20" i="31"/>
  <c r="AW19" i="31"/>
  <c r="AW18" i="31"/>
  <c r="AW17" i="31"/>
  <c r="AW16" i="31"/>
  <c r="AW15" i="31"/>
  <c r="AW14" i="31"/>
  <c r="AW13" i="31"/>
  <c r="AW12" i="31"/>
  <c r="AW11" i="31"/>
  <c r="AW10" i="31"/>
  <c r="AW9" i="31"/>
  <c r="AW8" i="31"/>
  <c r="AX7" i="31"/>
  <c r="AW7" i="31"/>
  <c r="S21" i="30"/>
  <c r="S20" i="30"/>
  <c r="S19" i="30"/>
  <c r="S18" i="30"/>
  <c r="S17" i="30"/>
  <c r="S16" i="30"/>
  <c r="S15" i="30"/>
  <c r="S14" i="30"/>
  <c r="S13" i="30"/>
  <c r="S12" i="30"/>
  <c r="S11" i="30"/>
  <c r="S10" i="30"/>
  <c r="S9" i="30"/>
  <c r="S8" i="30"/>
  <c r="T7" i="30"/>
  <c r="S7" i="30"/>
  <c r="X21" i="30"/>
  <c r="X20" i="30"/>
  <c r="X19" i="30"/>
  <c r="X18" i="30"/>
  <c r="X17" i="30"/>
  <c r="X16" i="30"/>
  <c r="X15" i="30"/>
  <c r="X14" i="30"/>
  <c r="X13" i="30"/>
  <c r="X12" i="30"/>
  <c r="X11" i="30"/>
  <c r="X10" i="30"/>
  <c r="X9" i="30"/>
  <c r="X8" i="30"/>
  <c r="Y7" i="30"/>
  <c r="X7" i="30"/>
  <c r="AC21" i="30"/>
  <c r="AC20" i="30"/>
  <c r="AC19" i="30"/>
  <c r="AC18" i="30"/>
  <c r="AC17" i="30"/>
  <c r="AC16" i="30"/>
  <c r="AC15" i="30"/>
  <c r="AC14" i="30"/>
  <c r="AC13" i="30"/>
  <c r="AC12" i="30"/>
  <c r="AC11" i="30"/>
  <c r="AC10" i="30"/>
  <c r="AC9" i="30"/>
  <c r="AC8" i="30"/>
  <c r="AD7" i="30"/>
  <c r="AC7" i="30"/>
  <c r="AH21" i="30"/>
  <c r="AH20" i="30"/>
  <c r="AH19" i="30"/>
  <c r="AH18" i="30"/>
  <c r="AH17" i="30"/>
  <c r="AH16" i="30"/>
  <c r="AH15" i="30"/>
  <c r="AH14" i="30"/>
  <c r="AH13" i="30"/>
  <c r="AH12" i="30"/>
  <c r="AH11" i="30"/>
  <c r="AH10" i="30"/>
  <c r="AH9" i="30"/>
  <c r="AH8" i="30"/>
  <c r="AI7" i="30"/>
  <c r="AH7" i="30"/>
  <c r="AM21" i="30"/>
  <c r="AM20" i="30"/>
  <c r="AM19" i="30"/>
  <c r="AM18" i="30"/>
  <c r="AM17" i="30"/>
  <c r="AM16" i="30"/>
  <c r="AM15" i="30"/>
  <c r="AM14" i="30"/>
  <c r="AM13" i="30"/>
  <c r="AM12" i="30"/>
  <c r="AM11" i="30"/>
  <c r="AM10" i="30"/>
  <c r="AM9" i="30"/>
  <c r="AM8" i="30"/>
  <c r="AN7" i="30"/>
  <c r="AM7" i="30"/>
  <c r="AR21" i="30"/>
  <c r="AR20" i="30"/>
  <c r="AR19" i="30"/>
  <c r="AR18" i="30"/>
  <c r="AR17" i="30"/>
  <c r="AR16" i="30"/>
  <c r="AR15" i="30"/>
  <c r="AR14" i="30"/>
  <c r="AR13" i="30"/>
  <c r="AR12" i="30"/>
  <c r="AR11" i="30"/>
  <c r="AR10" i="30"/>
  <c r="AR9" i="30"/>
  <c r="AR8" i="30"/>
  <c r="AS7" i="30"/>
  <c r="AR7" i="30"/>
  <c r="AW21" i="30"/>
  <c r="AW20" i="30"/>
  <c r="AW19" i="30"/>
  <c r="AW18" i="30"/>
  <c r="AW17" i="30"/>
  <c r="AW16" i="30"/>
  <c r="AW15" i="30"/>
  <c r="AW14" i="30"/>
  <c r="AW13" i="30"/>
  <c r="AW12" i="30"/>
  <c r="AW11" i="30"/>
  <c r="AW10" i="30"/>
  <c r="AW9" i="30"/>
  <c r="AW8" i="30"/>
  <c r="AX7" i="30"/>
  <c r="AW7" i="30"/>
  <c r="K20" i="32"/>
  <c r="M20" i="32" s="1"/>
  <c r="J20" i="32"/>
  <c r="I20" i="32"/>
  <c r="K19" i="32"/>
  <c r="M19" i="32" s="1"/>
  <c r="J19" i="32"/>
  <c r="I19" i="32"/>
  <c r="K18" i="32"/>
  <c r="M18" i="32" s="1"/>
  <c r="J18" i="32"/>
  <c r="I18" i="32"/>
  <c r="K17" i="32"/>
  <c r="M17" i="32" s="1"/>
  <c r="J17" i="32"/>
  <c r="I17" i="32"/>
  <c r="K16" i="32"/>
  <c r="M16" i="32" s="1"/>
  <c r="J16" i="32"/>
  <c r="I16" i="32"/>
  <c r="K15" i="32"/>
  <c r="M15" i="32" s="1"/>
  <c r="J15" i="32"/>
  <c r="I15" i="32"/>
  <c r="K14" i="32"/>
  <c r="J14" i="32"/>
  <c r="I14" i="32"/>
  <c r="K13" i="32"/>
  <c r="M13" i="32" s="1"/>
  <c r="J13" i="32"/>
  <c r="I13" i="32"/>
  <c r="K12" i="32"/>
  <c r="J12" i="32"/>
  <c r="I12" i="32"/>
  <c r="K11" i="32"/>
  <c r="M11" i="32" s="1"/>
  <c r="J11" i="32"/>
  <c r="I11" i="32"/>
  <c r="K10" i="32"/>
  <c r="J10" i="32"/>
  <c r="I10" i="32"/>
  <c r="K9" i="32"/>
  <c r="M9" i="32" s="1"/>
  <c r="J9" i="32"/>
  <c r="I9" i="32"/>
  <c r="K8" i="32"/>
  <c r="J8" i="32"/>
  <c r="I8" i="32"/>
  <c r="K7" i="32"/>
  <c r="M7" i="32" s="1"/>
  <c r="J7" i="32"/>
  <c r="H7" i="32"/>
  <c r="K20" i="31"/>
  <c r="M20" i="31" s="1"/>
  <c r="J20" i="31"/>
  <c r="I20" i="31"/>
  <c r="K19" i="31"/>
  <c r="J19" i="31"/>
  <c r="I19" i="31"/>
  <c r="K18" i="31"/>
  <c r="M18" i="31" s="1"/>
  <c r="J18" i="31"/>
  <c r="I18" i="31"/>
  <c r="K17" i="31"/>
  <c r="M17" i="31" s="1"/>
  <c r="J17" i="31"/>
  <c r="I17" i="31"/>
  <c r="K16" i="31"/>
  <c r="M16" i="31" s="1"/>
  <c r="J16" i="31"/>
  <c r="I16" i="31"/>
  <c r="K15" i="31"/>
  <c r="M15" i="31" s="1"/>
  <c r="J15" i="31"/>
  <c r="I15" i="31"/>
  <c r="K14" i="31"/>
  <c r="M14" i="31" s="1"/>
  <c r="J14" i="31"/>
  <c r="I14" i="31"/>
  <c r="K13" i="31"/>
  <c r="M13" i="31" s="1"/>
  <c r="J13" i="31"/>
  <c r="I13" i="31"/>
  <c r="K12" i="31"/>
  <c r="M12" i="31" s="1"/>
  <c r="J12" i="31"/>
  <c r="I12" i="31"/>
  <c r="K11" i="31"/>
  <c r="J11" i="31"/>
  <c r="I11" i="31"/>
  <c r="K10" i="31"/>
  <c r="M10" i="31" s="1"/>
  <c r="J10" i="31"/>
  <c r="I10" i="31"/>
  <c r="K9" i="31"/>
  <c r="M9" i="31" s="1"/>
  <c r="J9" i="31"/>
  <c r="I9" i="31"/>
  <c r="K8" i="31"/>
  <c r="J8" i="31"/>
  <c r="I8" i="31"/>
  <c r="K7" i="31"/>
  <c r="M21" i="31" s="1"/>
  <c r="J7" i="31"/>
  <c r="H7" i="31"/>
  <c r="K21" i="30"/>
  <c r="M21" i="30" s="1"/>
  <c r="J21" i="30"/>
  <c r="I21" i="30"/>
  <c r="K20" i="30"/>
  <c r="M20" i="30" s="1"/>
  <c r="J20" i="30"/>
  <c r="I20" i="30"/>
  <c r="K19" i="30"/>
  <c r="M19" i="30" s="1"/>
  <c r="J19" i="30"/>
  <c r="I19" i="30"/>
  <c r="K18" i="30"/>
  <c r="M18" i="30" s="1"/>
  <c r="J18" i="30"/>
  <c r="I18" i="30"/>
  <c r="K17" i="30"/>
  <c r="J17" i="30"/>
  <c r="I17" i="30"/>
  <c r="K16" i="30"/>
  <c r="M16" i="30" s="1"/>
  <c r="J16" i="30"/>
  <c r="I16" i="30"/>
  <c r="K15" i="30"/>
  <c r="M15" i="30" s="1"/>
  <c r="J15" i="30"/>
  <c r="I15" i="30"/>
  <c r="K14" i="30"/>
  <c r="M14" i="30" s="1"/>
  <c r="J14" i="30"/>
  <c r="I14" i="30"/>
  <c r="K13" i="30"/>
  <c r="M13" i="30" s="1"/>
  <c r="J13" i="30"/>
  <c r="I13" i="30"/>
  <c r="K12" i="30"/>
  <c r="M12" i="30" s="1"/>
  <c r="J12" i="30"/>
  <c r="I12" i="30"/>
  <c r="K11" i="30"/>
  <c r="M11" i="30" s="1"/>
  <c r="J11" i="30"/>
  <c r="I11" i="30"/>
  <c r="K10" i="30"/>
  <c r="J10" i="30"/>
  <c r="I10" i="30"/>
  <c r="K9" i="30"/>
  <c r="J9" i="30"/>
  <c r="I9" i="30"/>
  <c r="K8" i="30"/>
  <c r="M8" i="30" s="1"/>
  <c r="J8" i="30"/>
  <c r="I8" i="30"/>
  <c r="K7" i="30"/>
  <c r="M7" i="30" s="1"/>
  <c r="J7" i="30"/>
  <c r="I7" i="30"/>
  <c r="H7" i="30"/>
  <c r="S176" i="8"/>
  <c r="S175" i="8"/>
  <c r="S174" i="8"/>
  <c r="S173" i="8"/>
  <c r="S172" i="8"/>
  <c r="S171" i="8"/>
  <c r="S170" i="8"/>
  <c r="S169" i="8"/>
  <c r="S168" i="8"/>
  <c r="S167" i="8"/>
  <c r="S166" i="8"/>
  <c r="S165" i="8"/>
  <c r="S164" i="8"/>
  <c r="S163" i="8"/>
  <c r="S162" i="8"/>
  <c r="S161" i="8"/>
  <c r="S160" i="8"/>
  <c r="S159" i="8"/>
  <c r="S158" i="8"/>
  <c r="S157" i="8"/>
  <c r="S156" i="8"/>
  <c r="S155" i="8"/>
  <c r="S154" i="8"/>
  <c r="S153" i="8"/>
  <c r="S152" i="8"/>
  <c r="S151" i="8"/>
  <c r="S150" i="8"/>
  <c r="S149" i="8"/>
  <c r="S148" i="8"/>
  <c r="T147" i="8"/>
  <c r="S147" i="8"/>
  <c r="X176" i="8"/>
  <c r="X175" i="8"/>
  <c r="X174" i="8"/>
  <c r="X173" i="8"/>
  <c r="X172" i="8"/>
  <c r="X171" i="8"/>
  <c r="X170" i="8"/>
  <c r="X169" i="8"/>
  <c r="X168" i="8"/>
  <c r="X167" i="8"/>
  <c r="X166" i="8"/>
  <c r="X165" i="8"/>
  <c r="X164" i="8"/>
  <c r="X163" i="8"/>
  <c r="X162" i="8"/>
  <c r="X161" i="8"/>
  <c r="X160" i="8"/>
  <c r="X159" i="8"/>
  <c r="X158" i="8"/>
  <c r="X157" i="8"/>
  <c r="X156" i="8"/>
  <c r="X155" i="8"/>
  <c r="X154" i="8"/>
  <c r="X153" i="8"/>
  <c r="X152" i="8"/>
  <c r="X151" i="8"/>
  <c r="X150" i="8"/>
  <c r="X149" i="8"/>
  <c r="X148" i="8"/>
  <c r="Y147" i="8"/>
  <c r="X147" i="8"/>
  <c r="AC176" i="8"/>
  <c r="AC175" i="8"/>
  <c r="AC174" i="8"/>
  <c r="AC173" i="8"/>
  <c r="AC172" i="8"/>
  <c r="AC171" i="8"/>
  <c r="AC170" i="8"/>
  <c r="AC169" i="8"/>
  <c r="AC168" i="8"/>
  <c r="AC167" i="8"/>
  <c r="AC166" i="8"/>
  <c r="AC165" i="8"/>
  <c r="AC164" i="8"/>
  <c r="AC163" i="8"/>
  <c r="AC162" i="8"/>
  <c r="AC161" i="8"/>
  <c r="AC160" i="8"/>
  <c r="AC159" i="8"/>
  <c r="AC158" i="8"/>
  <c r="AC157" i="8"/>
  <c r="AC156" i="8"/>
  <c r="AC155" i="8"/>
  <c r="AC154" i="8"/>
  <c r="AC153" i="8"/>
  <c r="AC152" i="8"/>
  <c r="AC151" i="8"/>
  <c r="AC150" i="8"/>
  <c r="AC149" i="8"/>
  <c r="AC148" i="8"/>
  <c r="AD147" i="8"/>
  <c r="AC147" i="8"/>
  <c r="AH176" i="8"/>
  <c r="AH175" i="8"/>
  <c r="AH174" i="8"/>
  <c r="AH173" i="8"/>
  <c r="AH172" i="8"/>
  <c r="AH171" i="8"/>
  <c r="AH170" i="8"/>
  <c r="AH169" i="8"/>
  <c r="AH168" i="8"/>
  <c r="AH167" i="8"/>
  <c r="AH166" i="8"/>
  <c r="AH165" i="8"/>
  <c r="AH164" i="8"/>
  <c r="AH163" i="8"/>
  <c r="AH162" i="8"/>
  <c r="AH161" i="8"/>
  <c r="AH160" i="8"/>
  <c r="AH159" i="8"/>
  <c r="AH158" i="8"/>
  <c r="AH157" i="8"/>
  <c r="AH156" i="8"/>
  <c r="AH155" i="8"/>
  <c r="AH154" i="8"/>
  <c r="AH153" i="8"/>
  <c r="AH152" i="8"/>
  <c r="AH151" i="8"/>
  <c r="AH150" i="8"/>
  <c r="AH149" i="8"/>
  <c r="AH148" i="8"/>
  <c r="AI147" i="8"/>
  <c r="AH147" i="8"/>
  <c r="AM176" i="8"/>
  <c r="AM175" i="8"/>
  <c r="AM174" i="8"/>
  <c r="AM173" i="8"/>
  <c r="AM172" i="8"/>
  <c r="AM171" i="8"/>
  <c r="AM170" i="8"/>
  <c r="AM169" i="8"/>
  <c r="AM168" i="8"/>
  <c r="AM167" i="8"/>
  <c r="AM166" i="8"/>
  <c r="AM165" i="8"/>
  <c r="AM164" i="8"/>
  <c r="AM163" i="8"/>
  <c r="AM162" i="8"/>
  <c r="AM161" i="8"/>
  <c r="AM160" i="8"/>
  <c r="AM159" i="8"/>
  <c r="AM158" i="8"/>
  <c r="AM157" i="8"/>
  <c r="AM156" i="8"/>
  <c r="AM155" i="8"/>
  <c r="AM154" i="8"/>
  <c r="AM153" i="8"/>
  <c r="AM152" i="8"/>
  <c r="AM151" i="8"/>
  <c r="AM150" i="8"/>
  <c r="AM149" i="8"/>
  <c r="AM148" i="8"/>
  <c r="AN147" i="8"/>
  <c r="AM147" i="8"/>
  <c r="AR176" i="8"/>
  <c r="AR175" i="8"/>
  <c r="AR174" i="8"/>
  <c r="AR173" i="8"/>
  <c r="AR172" i="8"/>
  <c r="AR171" i="8"/>
  <c r="AR170" i="8"/>
  <c r="AR169" i="8"/>
  <c r="AR168" i="8"/>
  <c r="AR167" i="8"/>
  <c r="AR166" i="8"/>
  <c r="AR165" i="8"/>
  <c r="AR164" i="8"/>
  <c r="AR163" i="8"/>
  <c r="AR162" i="8"/>
  <c r="AR161" i="8"/>
  <c r="AR160" i="8"/>
  <c r="AR159" i="8"/>
  <c r="AR158" i="8"/>
  <c r="AR157" i="8"/>
  <c r="AR156" i="8"/>
  <c r="AR155" i="8"/>
  <c r="AR154" i="8"/>
  <c r="AR153" i="8"/>
  <c r="AR152" i="8"/>
  <c r="AR151" i="8"/>
  <c r="AR150" i="8"/>
  <c r="AR149" i="8"/>
  <c r="AR148" i="8"/>
  <c r="AS147" i="8"/>
  <c r="AR147" i="8"/>
  <c r="AW176" i="8"/>
  <c r="AW175" i="8"/>
  <c r="AW174" i="8"/>
  <c r="AW173" i="8"/>
  <c r="AW172" i="8"/>
  <c r="AW171" i="8"/>
  <c r="AW170" i="8"/>
  <c r="AW169" i="8"/>
  <c r="AW168" i="8"/>
  <c r="AW167" i="8"/>
  <c r="AW166" i="8"/>
  <c r="AW165" i="8"/>
  <c r="AW164" i="8"/>
  <c r="AW163" i="8"/>
  <c r="AW162" i="8"/>
  <c r="AW161" i="8"/>
  <c r="AW160" i="8"/>
  <c r="AW159" i="8"/>
  <c r="AW158" i="8"/>
  <c r="AW157" i="8"/>
  <c r="AW156" i="8"/>
  <c r="AW155" i="8"/>
  <c r="AW154" i="8"/>
  <c r="AW153" i="8"/>
  <c r="AW152" i="8"/>
  <c r="AW151" i="8"/>
  <c r="AW150" i="8"/>
  <c r="AW149" i="8"/>
  <c r="AW148" i="8"/>
  <c r="AX147" i="8"/>
  <c r="AW147" i="8"/>
  <c r="S176" i="33"/>
  <c r="S175" i="33"/>
  <c r="S174" i="33"/>
  <c r="S173" i="33"/>
  <c r="S172" i="33"/>
  <c r="S171" i="33"/>
  <c r="S170" i="33"/>
  <c r="S169" i="33"/>
  <c r="S168" i="33"/>
  <c r="S167" i="33"/>
  <c r="S166" i="33"/>
  <c r="S165" i="33"/>
  <c r="S164" i="33"/>
  <c r="S163" i="33"/>
  <c r="S162" i="33"/>
  <c r="S161" i="33"/>
  <c r="S160" i="33"/>
  <c r="S159" i="33"/>
  <c r="S158" i="33"/>
  <c r="S157" i="33"/>
  <c r="S156" i="33"/>
  <c r="S155" i="33"/>
  <c r="S154" i="33"/>
  <c r="S153" i="33"/>
  <c r="S152" i="33"/>
  <c r="S151" i="33"/>
  <c r="S150" i="33"/>
  <c r="S149" i="33"/>
  <c r="S148" i="33"/>
  <c r="T147" i="33"/>
  <c r="S147" i="33"/>
  <c r="X176" i="33"/>
  <c r="X175" i="33"/>
  <c r="X174" i="33"/>
  <c r="X173" i="33"/>
  <c r="X172" i="33"/>
  <c r="X171" i="33"/>
  <c r="X170" i="33"/>
  <c r="X169" i="33"/>
  <c r="X168" i="33"/>
  <c r="X167" i="33"/>
  <c r="X166" i="33"/>
  <c r="X165" i="33"/>
  <c r="X164" i="33"/>
  <c r="X163" i="33"/>
  <c r="X162" i="33"/>
  <c r="X161" i="33"/>
  <c r="X160" i="33"/>
  <c r="X159" i="33"/>
  <c r="X158" i="33"/>
  <c r="X157" i="33"/>
  <c r="X156" i="33"/>
  <c r="X155" i="33"/>
  <c r="X154" i="33"/>
  <c r="X153" i="33"/>
  <c r="X152" i="33"/>
  <c r="X151" i="33"/>
  <c r="X150" i="33"/>
  <c r="X149" i="33"/>
  <c r="X148" i="33"/>
  <c r="Y147" i="33"/>
  <c r="X147" i="33"/>
  <c r="AC176" i="33"/>
  <c r="AC175" i="33"/>
  <c r="AC174" i="33"/>
  <c r="AC173" i="33"/>
  <c r="AC172" i="33"/>
  <c r="AC171" i="33"/>
  <c r="AC170" i="33"/>
  <c r="AC169" i="33"/>
  <c r="AC168" i="33"/>
  <c r="AC167" i="33"/>
  <c r="AC166" i="33"/>
  <c r="AC165" i="33"/>
  <c r="AC164" i="33"/>
  <c r="AC163" i="33"/>
  <c r="AC162" i="33"/>
  <c r="AC161" i="33"/>
  <c r="AC160" i="33"/>
  <c r="AC159" i="33"/>
  <c r="AC158" i="33"/>
  <c r="AC157" i="33"/>
  <c r="AC156" i="33"/>
  <c r="AC155" i="33"/>
  <c r="AC154" i="33"/>
  <c r="AC153" i="33"/>
  <c r="AC152" i="33"/>
  <c r="AC151" i="33"/>
  <c r="AC150" i="33"/>
  <c r="AC149" i="33"/>
  <c r="AC148" i="33"/>
  <c r="AD147" i="33"/>
  <c r="AC147" i="33"/>
  <c r="AH176" i="33"/>
  <c r="AH175" i="33"/>
  <c r="AH174" i="33"/>
  <c r="AH173" i="33"/>
  <c r="AH172" i="33"/>
  <c r="AH171" i="33"/>
  <c r="AH170" i="33"/>
  <c r="AH169" i="33"/>
  <c r="AH168" i="33"/>
  <c r="AH167" i="33"/>
  <c r="AH166" i="33"/>
  <c r="AH165" i="33"/>
  <c r="AH164" i="33"/>
  <c r="AH163" i="33"/>
  <c r="AH162" i="33"/>
  <c r="AH161" i="33"/>
  <c r="AH160" i="33"/>
  <c r="AH159" i="33"/>
  <c r="AH158" i="33"/>
  <c r="AH157" i="33"/>
  <c r="AH156" i="33"/>
  <c r="AH155" i="33"/>
  <c r="AH154" i="33"/>
  <c r="AH153" i="33"/>
  <c r="AH152" i="33"/>
  <c r="AH151" i="33"/>
  <c r="AH150" i="33"/>
  <c r="AH149" i="33"/>
  <c r="AH148" i="33"/>
  <c r="AI147" i="33"/>
  <c r="AH147" i="33"/>
  <c r="AM176" i="33"/>
  <c r="AM175" i="33"/>
  <c r="AM174" i="33"/>
  <c r="AM173" i="33"/>
  <c r="AM172" i="33"/>
  <c r="AM171" i="33"/>
  <c r="AM170" i="33"/>
  <c r="AM169" i="33"/>
  <c r="AM168" i="33"/>
  <c r="AM167" i="33"/>
  <c r="AM166" i="33"/>
  <c r="AM165" i="33"/>
  <c r="AM164" i="33"/>
  <c r="AM163" i="33"/>
  <c r="AM162" i="33"/>
  <c r="AM161" i="33"/>
  <c r="AM160" i="33"/>
  <c r="AM159" i="33"/>
  <c r="AM158" i="33"/>
  <c r="AM157" i="33"/>
  <c r="AM156" i="33"/>
  <c r="AM155" i="33"/>
  <c r="AM154" i="33"/>
  <c r="AM153" i="33"/>
  <c r="AM152" i="33"/>
  <c r="AM151" i="33"/>
  <c r="AM150" i="33"/>
  <c r="AM149" i="33"/>
  <c r="AM148" i="33"/>
  <c r="AN147" i="33"/>
  <c r="AM147" i="33"/>
  <c r="AR176" i="33"/>
  <c r="AR175" i="33"/>
  <c r="AR174" i="33"/>
  <c r="AR173" i="33"/>
  <c r="AR172" i="33"/>
  <c r="AR171" i="33"/>
  <c r="AR170" i="33"/>
  <c r="AR169" i="33"/>
  <c r="AR168" i="33"/>
  <c r="AR167" i="33"/>
  <c r="AR166" i="33"/>
  <c r="AR165" i="33"/>
  <c r="AR164" i="33"/>
  <c r="AR163" i="33"/>
  <c r="AR162" i="33"/>
  <c r="AR161" i="33"/>
  <c r="AR160" i="33"/>
  <c r="AR159" i="33"/>
  <c r="AR158" i="33"/>
  <c r="AR157" i="33"/>
  <c r="AR156" i="33"/>
  <c r="AR155" i="33"/>
  <c r="AR154" i="33"/>
  <c r="AR153" i="33"/>
  <c r="AR152" i="33"/>
  <c r="AR151" i="33"/>
  <c r="AR150" i="33"/>
  <c r="AR149" i="33"/>
  <c r="AR148" i="33"/>
  <c r="AS147" i="33"/>
  <c r="AR147" i="33"/>
  <c r="AW176" i="33"/>
  <c r="AW175" i="33"/>
  <c r="AW174" i="33"/>
  <c r="AW173" i="33"/>
  <c r="AW172" i="33"/>
  <c r="AW171" i="33"/>
  <c r="AW170" i="33"/>
  <c r="AW169" i="33"/>
  <c r="AW168" i="33"/>
  <c r="AW167" i="33"/>
  <c r="AW166" i="33"/>
  <c r="AW165" i="33"/>
  <c r="AW164" i="33"/>
  <c r="AW163" i="33"/>
  <c r="AW162" i="33"/>
  <c r="AW161" i="33"/>
  <c r="AW160" i="33"/>
  <c r="AW159" i="33"/>
  <c r="AW158" i="33"/>
  <c r="AW157" i="33"/>
  <c r="AW156" i="33"/>
  <c r="AW155" i="33"/>
  <c r="AW154" i="33"/>
  <c r="AW153" i="33"/>
  <c r="AW152" i="33"/>
  <c r="AW151" i="33"/>
  <c r="AW150" i="33"/>
  <c r="AW149" i="33"/>
  <c r="AW148" i="33"/>
  <c r="AX147" i="33"/>
  <c r="AW147" i="33"/>
  <c r="S141" i="8"/>
  <c r="S140" i="8"/>
  <c r="S139" i="8"/>
  <c r="S138" i="8"/>
  <c r="S137" i="8"/>
  <c r="S136" i="8"/>
  <c r="S135" i="8"/>
  <c r="S134" i="8"/>
  <c r="S133" i="8"/>
  <c r="S132" i="8"/>
  <c r="S131" i="8"/>
  <c r="S130" i="8"/>
  <c r="S129" i="8"/>
  <c r="S128" i="8"/>
  <c r="S127" i="8"/>
  <c r="S126" i="8"/>
  <c r="S125" i="8"/>
  <c r="S124" i="8"/>
  <c r="S123" i="8"/>
  <c r="S122" i="8"/>
  <c r="S121" i="8"/>
  <c r="S120" i="8"/>
  <c r="S119" i="8"/>
  <c r="S118" i="8"/>
  <c r="S117" i="8"/>
  <c r="S116" i="8"/>
  <c r="S115" i="8"/>
  <c r="S114" i="8"/>
  <c r="S113" i="8"/>
  <c r="T112" i="8"/>
  <c r="S112" i="8"/>
  <c r="X141" i="8"/>
  <c r="X140" i="8"/>
  <c r="X139" i="8"/>
  <c r="X138" i="8"/>
  <c r="X137" i="8"/>
  <c r="X136" i="8"/>
  <c r="X135" i="8"/>
  <c r="X134" i="8"/>
  <c r="X133" i="8"/>
  <c r="X132" i="8"/>
  <c r="X131" i="8"/>
  <c r="X130" i="8"/>
  <c r="X129" i="8"/>
  <c r="X128" i="8"/>
  <c r="X127" i="8"/>
  <c r="X126" i="8"/>
  <c r="X125" i="8"/>
  <c r="X124" i="8"/>
  <c r="X123" i="8"/>
  <c r="X122" i="8"/>
  <c r="X121" i="8"/>
  <c r="X120" i="8"/>
  <c r="X119" i="8"/>
  <c r="X118" i="8"/>
  <c r="X117" i="8"/>
  <c r="X116" i="8"/>
  <c r="X115" i="8"/>
  <c r="X114" i="8"/>
  <c r="X113" i="8"/>
  <c r="Y112" i="8"/>
  <c r="X112" i="8"/>
  <c r="AC141" i="8"/>
  <c r="AC140" i="8"/>
  <c r="AC139" i="8"/>
  <c r="AC138" i="8"/>
  <c r="AC137" i="8"/>
  <c r="AC136" i="8"/>
  <c r="AC135" i="8"/>
  <c r="AC134" i="8"/>
  <c r="AC133" i="8"/>
  <c r="AC132" i="8"/>
  <c r="AC131" i="8"/>
  <c r="AC130" i="8"/>
  <c r="AC129" i="8"/>
  <c r="AC128" i="8"/>
  <c r="AC127" i="8"/>
  <c r="AC126" i="8"/>
  <c r="AC125" i="8"/>
  <c r="AC124" i="8"/>
  <c r="AC123" i="8"/>
  <c r="AC122" i="8"/>
  <c r="AC121" i="8"/>
  <c r="AC120" i="8"/>
  <c r="AC119" i="8"/>
  <c r="AC118" i="8"/>
  <c r="AC117" i="8"/>
  <c r="AC116" i="8"/>
  <c r="AC115" i="8"/>
  <c r="AC114" i="8"/>
  <c r="AC113" i="8"/>
  <c r="AD112" i="8"/>
  <c r="AC112" i="8"/>
  <c r="AH141" i="8"/>
  <c r="AH140" i="8"/>
  <c r="AH139" i="8"/>
  <c r="AH138" i="8"/>
  <c r="AH137" i="8"/>
  <c r="AH136" i="8"/>
  <c r="AH135" i="8"/>
  <c r="AH134" i="8"/>
  <c r="AH133" i="8"/>
  <c r="AH132" i="8"/>
  <c r="AH131" i="8"/>
  <c r="AH130" i="8"/>
  <c r="AH129" i="8"/>
  <c r="AH128" i="8"/>
  <c r="AH127" i="8"/>
  <c r="AH126" i="8"/>
  <c r="AH125" i="8"/>
  <c r="AH124" i="8"/>
  <c r="AH123" i="8"/>
  <c r="AH122" i="8"/>
  <c r="AH121" i="8"/>
  <c r="AH120" i="8"/>
  <c r="AH119" i="8"/>
  <c r="AH118" i="8"/>
  <c r="AH117" i="8"/>
  <c r="AH116" i="8"/>
  <c r="AH115" i="8"/>
  <c r="AH114" i="8"/>
  <c r="AH113" i="8"/>
  <c r="AI112" i="8"/>
  <c r="AH112" i="8"/>
  <c r="AM141" i="8"/>
  <c r="AM140" i="8"/>
  <c r="AM139" i="8"/>
  <c r="AM138" i="8"/>
  <c r="AM137" i="8"/>
  <c r="AM136" i="8"/>
  <c r="AM135" i="8"/>
  <c r="AM134" i="8"/>
  <c r="AM133" i="8"/>
  <c r="AM132" i="8"/>
  <c r="AM131" i="8"/>
  <c r="AM130" i="8"/>
  <c r="AM129" i="8"/>
  <c r="AM128" i="8"/>
  <c r="AM127" i="8"/>
  <c r="AM126" i="8"/>
  <c r="AM125" i="8"/>
  <c r="AM124" i="8"/>
  <c r="AM123" i="8"/>
  <c r="AM122" i="8"/>
  <c r="AM121" i="8"/>
  <c r="AM120" i="8"/>
  <c r="AM119" i="8"/>
  <c r="AM118" i="8"/>
  <c r="AM117" i="8"/>
  <c r="AM116" i="8"/>
  <c r="AM115" i="8"/>
  <c r="AM114" i="8"/>
  <c r="AM113" i="8"/>
  <c r="AN112" i="8"/>
  <c r="AM112" i="8"/>
  <c r="AR141" i="8"/>
  <c r="AR140" i="8"/>
  <c r="AR139" i="8"/>
  <c r="AR138" i="8"/>
  <c r="AR137" i="8"/>
  <c r="AR136" i="8"/>
  <c r="AR135" i="8"/>
  <c r="AR134" i="8"/>
  <c r="AR133" i="8"/>
  <c r="AR132" i="8"/>
  <c r="AR131" i="8"/>
  <c r="AR130" i="8"/>
  <c r="AR129" i="8"/>
  <c r="AR128" i="8"/>
  <c r="AR127" i="8"/>
  <c r="AR126" i="8"/>
  <c r="AR125" i="8"/>
  <c r="AR124" i="8"/>
  <c r="AR123" i="8"/>
  <c r="AR122" i="8"/>
  <c r="AR121" i="8"/>
  <c r="AR120" i="8"/>
  <c r="AR119" i="8"/>
  <c r="AR118" i="8"/>
  <c r="AR117" i="8"/>
  <c r="AR116" i="8"/>
  <c r="AR115" i="8"/>
  <c r="AR114" i="8"/>
  <c r="AR113" i="8"/>
  <c r="AS112" i="8"/>
  <c r="AR112" i="8"/>
  <c r="AW141" i="8"/>
  <c r="AW140" i="8"/>
  <c r="AW139" i="8"/>
  <c r="AW138" i="8"/>
  <c r="AW137" i="8"/>
  <c r="AW136" i="8"/>
  <c r="AW135" i="8"/>
  <c r="AW134" i="8"/>
  <c r="AW133" i="8"/>
  <c r="AW132" i="8"/>
  <c r="AW131" i="8"/>
  <c r="AW130" i="8"/>
  <c r="AW129" i="8"/>
  <c r="AW128" i="8"/>
  <c r="AW127" i="8"/>
  <c r="AW126" i="8"/>
  <c r="AW125" i="8"/>
  <c r="AW124" i="8"/>
  <c r="AW123" i="8"/>
  <c r="AW122" i="8"/>
  <c r="AW121" i="8"/>
  <c r="AW120" i="8"/>
  <c r="AW119" i="8"/>
  <c r="AW118" i="8"/>
  <c r="AW117" i="8"/>
  <c r="AW116" i="8"/>
  <c r="AW115" i="8"/>
  <c r="AW114" i="8"/>
  <c r="AW113" i="8"/>
  <c r="AX112" i="8"/>
  <c r="AW112" i="8"/>
  <c r="S141" i="33"/>
  <c r="S140" i="33"/>
  <c r="S139" i="33"/>
  <c r="S138" i="33"/>
  <c r="S137" i="33"/>
  <c r="S136" i="33"/>
  <c r="S135" i="33"/>
  <c r="S134" i="33"/>
  <c r="S133" i="33"/>
  <c r="S132" i="33"/>
  <c r="S131" i="33"/>
  <c r="S130" i="33"/>
  <c r="S129" i="33"/>
  <c r="S128" i="33"/>
  <c r="S127" i="33"/>
  <c r="S126" i="33"/>
  <c r="S125" i="33"/>
  <c r="S124" i="33"/>
  <c r="S123" i="33"/>
  <c r="S122" i="33"/>
  <c r="S121" i="33"/>
  <c r="S120" i="33"/>
  <c r="S119" i="33"/>
  <c r="S118" i="33"/>
  <c r="S117" i="33"/>
  <c r="S116" i="33"/>
  <c r="S115" i="33"/>
  <c r="S114" i="33"/>
  <c r="S113" i="33"/>
  <c r="T112" i="33"/>
  <c r="S112" i="33"/>
  <c r="X141" i="33"/>
  <c r="X140" i="33"/>
  <c r="X139" i="33"/>
  <c r="X138" i="33"/>
  <c r="X137" i="33"/>
  <c r="X136" i="33"/>
  <c r="X135" i="33"/>
  <c r="X134" i="33"/>
  <c r="X133" i="33"/>
  <c r="X132" i="33"/>
  <c r="X131" i="33"/>
  <c r="X130" i="33"/>
  <c r="X129" i="33"/>
  <c r="X128" i="33"/>
  <c r="X127" i="33"/>
  <c r="X126" i="33"/>
  <c r="X125" i="33"/>
  <c r="X124" i="33"/>
  <c r="X123" i="33"/>
  <c r="X122" i="33"/>
  <c r="X121" i="33"/>
  <c r="X120" i="33"/>
  <c r="X119" i="33"/>
  <c r="X118" i="33"/>
  <c r="X117" i="33"/>
  <c r="X116" i="33"/>
  <c r="X115" i="33"/>
  <c r="X114" i="33"/>
  <c r="X113" i="33"/>
  <c r="Y112" i="33"/>
  <c r="X112" i="33"/>
  <c r="AC141" i="33"/>
  <c r="AC140" i="33"/>
  <c r="AC139" i="33"/>
  <c r="AC138" i="33"/>
  <c r="AC137" i="33"/>
  <c r="AC136" i="33"/>
  <c r="AC135" i="33"/>
  <c r="AC134" i="33"/>
  <c r="AC133" i="33"/>
  <c r="AC132" i="33"/>
  <c r="AC131" i="33"/>
  <c r="AC130" i="33"/>
  <c r="AC129" i="33"/>
  <c r="AC128" i="33"/>
  <c r="AC127" i="33"/>
  <c r="AC126" i="33"/>
  <c r="AC125" i="33"/>
  <c r="AC124" i="33"/>
  <c r="AC123" i="33"/>
  <c r="AC122" i="33"/>
  <c r="AC121" i="33"/>
  <c r="AC120" i="33"/>
  <c r="AC119" i="33"/>
  <c r="AC118" i="33"/>
  <c r="AC117" i="33"/>
  <c r="AC116" i="33"/>
  <c r="AC115" i="33"/>
  <c r="AC114" i="33"/>
  <c r="AC113" i="33"/>
  <c r="AD112" i="33"/>
  <c r="AC112" i="33"/>
  <c r="AH141" i="33"/>
  <c r="AH140" i="33"/>
  <c r="AH139" i="33"/>
  <c r="AH138" i="33"/>
  <c r="AH137" i="33"/>
  <c r="AH136" i="33"/>
  <c r="AH135" i="33"/>
  <c r="AH134" i="33"/>
  <c r="AH133" i="33"/>
  <c r="AH132" i="33"/>
  <c r="AH131" i="33"/>
  <c r="AH130" i="33"/>
  <c r="AH129" i="33"/>
  <c r="AH128" i="33"/>
  <c r="AH127" i="33"/>
  <c r="AH126" i="33"/>
  <c r="AH125" i="33"/>
  <c r="AH124" i="33"/>
  <c r="AH123" i="33"/>
  <c r="AH122" i="33"/>
  <c r="AH121" i="33"/>
  <c r="AH120" i="33"/>
  <c r="AH119" i="33"/>
  <c r="AH118" i="33"/>
  <c r="AH117" i="33"/>
  <c r="AH116" i="33"/>
  <c r="AH115" i="33"/>
  <c r="AH114" i="33"/>
  <c r="AH113" i="33"/>
  <c r="AI112" i="33"/>
  <c r="AH112" i="33"/>
  <c r="AM141" i="33"/>
  <c r="AM140" i="33"/>
  <c r="AM139" i="33"/>
  <c r="AM138" i="33"/>
  <c r="AM137" i="33"/>
  <c r="AM136" i="33"/>
  <c r="AM135" i="33"/>
  <c r="AM134" i="33"/>
  <c r="AM133" i="33"/>
  <c r="AM132" i="33"/>
  <c r="AM131" i="33"/>
  <c r="AM130" i="33"/>
  <c r="AM129" i="33"/>
  <c r="AM128" i="33"/>
  <c r="AM127" i="33"/>
  <c r="AM126" i="33"/>
  <c r="AM125" i="33"/>
  <c r="AM124" i="33"/>
  <c r="AM123" i="33"/>
  <c r="AM122" i="33"/>
  <c r="AM121" i="33"/>
  <c r="AM120" i="33"/>
  <c r="AM119" i="33"/>
  <c r="AM118" i="33"/>
  <c r="AM117" i="33"/>
  <c r="AM116" i="33"/>
  <c r="AM115" i="33"/>
  <c r="AM114" i="33"/>
  <c r="AM113" i="33"/>
  <c r="AN112" i="33"/>
  <c r="AM112" i="33"/>
  <c r="AR141" i="33"/>
  <c r="AR140" i="33"/>
  <c r="AR139" i="33"/>
  <c r="AR138" i="33"/>
  <c r="AR137" i="33"/>
  <c r="AR136" i="33"/>
  <c r="AR135" i="33"/>
  <c r="AR134" i="33"/>
  <c r="AR133" i="33"/>
  <c r="AR132" i="33"/>
  <c r="AR131" i="33"/>
  <c r="AR130" i="33"/>
  <c r="AR129" i="33"/>
  <c r="AR128" i="33"/>
  <c r="AR127" i="33"/>
  <c r="AR126" i="33"/>
  <c r="AR125" i="33"/>
  <c r="AR124" i="33"/>
  <c r="AR123" i="33"/>
  <c r="AR122" i="33"/>
  <c r="AR121" i="33"/>
  <c r="AR120" i="33"/>
  <c r="AR119" i="33"/>
  <c r="AR118" i="33"/>
  <c r="AR117" i="33"/>
  <c r="AR116" i="33"/>
  <c r="AR115" i="33"/>
  <c r="AR114" i="33"/>
  <c r="AR113" i="33"/>
  <c r="AS112" i="33"/>
  <c r="AR112" i="33"/>
  <c r="AW141" i="33"/>
  <c r="AW140" i="33"/>
  <c r="AW139" i="33"/>
  <c r="AW138" i="33"/>
  <c r="AW137" i="33"/>
  <c r="AW136" i="33"/>
  <c r="AW135" i="33"/>
  <c r="AW134" i="33"/>
  <c r="AW133" i="33"/>
  <c r="AW132" i="33"/>
  <c r="AW131" i="33"/>
  <c r="AW130" i="33"/>
  <c r="AW129" i="33"/>
  <c r="AW128" i="33"/>
  <c r="AW127" i="33"/>
  <c r="AW126" i="33"/>
  <c r="AW125" i="33"/>
  <c r="AW124" i="33"/>
  <c r="AW123" i="33"/>
  <c r="AW122" i="33"/>
  <c r="AW121" i="33"/>
  <c r="AW120" i="33"/>
  <c r="AW119" i="33"/>
  <c r="AW118" i="33"/>
  <c r="AW117" i="33"/>
  <c r="AW116" i="33"/>
  <c r="AW115" i="33"/>
  <c r="AW114" i="33"/>
  <c r="AW113" i="33"/>
  <c r="AX112" i="33"/>
  <c r="AW112" i="33"/>
  <c r="S71" i="8"/>
  <c r="S70" i="8"/>
  <c r="S69" i="8"/>
  <c r="S68" i="8"/>
  <c r="S67" i="8"/>
  <c r="S66" i="8"/>
  <c r="S65" i="8"/>
  <c r="S64" i="8"/>
  <c r="S63" i="8"/>
  <c r="S62" i="8"/>
  <c r="S61" i="8"/>
  <c r="S60" i="8"/>
  <c r="S59" i="8"/>
  <c r="S58" i="8"/>
  <c r="S57" i="8"/>
  <c r="S56" i="8"/>
  <c r="S55" i="8"/>
  <c r="S54" i="8"/>
  <c r="S53" i="8"/>
  <c r="S52" i="8"/>
  <c r="S51" i="8"/>
  <c r="S50" i="8"/>
  <c r="S49" i="8"/>
  <c r="S48" i="8"/>
  <c r="S47" i="8"/>
  <c r="S46" i="8"/>
  <c r="S45" i="8"/>
  <c r="S44" i="8"/>
  <c r="S43" i="8"/>
  <c r="T42" i="8"/>
  <c r="S42" i="8"/>
  <c r="X71" i="8"/>
  <c r="X70" i="8"/>
  <c r="X69" i="8"/>
  <c r="X68" i="8"/>
  <c r="X67" i="8"/>
  <c r="X66" i="8"/>
  <c r="X65" i="8"/>
  <c r="X64" i="8"/>
  <c r="X63" i="8"/>
  <c r="X62" i="8"/>
  <c r="X61" i="8"/>
  <c r="X60" i="8"/>
  <c r="X59" i="8"/>
  <c r="X58" i="8"/>
  <c r="X57" i="8"/>
  <c r="X56" i="8"/>
  <c r="X55" i="8"/>
  <c r="X54" i="8"/>
  <c r="X53" i="8"/>
  <c r="X52" i="8"/>
  <c r="X51" i="8"/>
  <c r="X50" i="8"/>
  <c r="X49" i="8"/>
  <c r="X48" i="8"/>
  <c r="X47" i="8"/>
  <c r="X46" i="8"/>
  <c r="X45" i="8"/>
  <c r="X44" i="8"/>
  <c r="X43" i="8"/>
  <c r="Y42" i="8"/>
  <c r="X42" i="8"/>
  <c r="AC71" i="8"/>
  <c r="AC70" i="8"/>
  <c r="AC69" i="8"/>
  <c r="AC68" i="8"/>
  <c r="AC67" i="8"/>
  <c r="AC66" i="8"/>
  <c r="AC65" i="8"/>
  <c r="AC64" i="8"/>
  <c r="AC63" i="8"/>
  <c r="AC62" i="8"/>
  <c r="AC61" i="8"/>
  <c r="AC60" i="8"/>
  <c r="AC59" i="8"/>
  <c r="AC58" i="8"/>
  <c r="AC57" i="8"/>
  <c r="AC56" i="8"/>
  <c r="AC55" i="8"/>
  <c r="AC54" i="8"/>
  <c r="AC53" i="8"/>
  <c r="AC52" i="8"/>
  <c r="AC51" i="8"/>
  <c r="AC50" i="8"/>
  <c r="AC49" i="8"/>
  <c r="AC48" i="8"/>
  <c r="AC47" i="8"/>
  <c r="AC46" i="8"/>
  <c r="AC45" i="8"/>
  <c r="AC44" i="8"/>
  <c r="AC43" i="8"/>
  <c r="AD42" i="8"/>
  <c r="AC42" i="8"/>
  <c r="AH71" i="8"/>
  <c r="AH70" i="8"/>
  <c r="AH69" i="8"/>
  <c r="AH68" i="8"/>
  <c r="AH67" i="8"/>
  <c r="AH66" i="8"/>
  <c r="AH65" i="8"/>
  <c r="AH64" i="8"/>
  <c r="AH63" i="8"/>
  <c r="AH62" i="8"/>
  <c r="AH61" i="8"/>
  <c r="AH60" i="8"/>
  <c r="AH59" i="8"/>
  <c r="AH58" i="8"/>
  <c r="AH57" i="8"/>
  <c r="AH56" i="8"/>
  <c r="AH55" i="8"/>
  <c r="AH54" i="8"/>
  <c r="AH53" i="8"/>
  <c r="AH52" i="8"/>
  <c r="AH51" i="8"/>
  <c r="AH50" i="8"/>
  <c r="AH49" i="8"/>
  <c r="AH48" i="8"/>
  <c r="AH47" i="8"/>
  <c r="AH46" i="8"/>
  <c r="AH45" i="8"/>
  <c r="AH44" i="8"/>
  <c r="AH43" i="8"/>
  <c r="AI42" i="8"/>
  <c r="AH42" i="8"/>
  <c r="AM71" i="8"/>
  <c r="AM70" i="8"/>
  <c r="AM69" i="8"/>
  <c r="AM68" i="8"/>
  <c r="AM67" i="8"/>
  <c r="AM66" i="8"/>
  <c r="AM65" i="8"/>
  <c r="AM64" i="8"/>
  <c r="AM63" i="8"/>
  <c r="AM62" i="8"/>
  <c r="AM61" i="8"/>
  <c r="AM60" i="8"/>
  <c r="AM59" i="8"/>
  <c r="AM58" i="8"/>
  <c r="AM57" i="8"/>
  <c r="AM56" i="8"/>
  <c r="AM55" i="8"/>
  <c r="AM54" i="8"/>
  <c r="AM53" i="8"/>
  <c r="AM52" i="8"/>
  <c r="AM51" i="8"/>
  <c r="AM50" i="8"/>
  <c r="AM49" i="8"/>
  <c r="AM48" i="8"/>
  <c r="AM47" i="8"/>
  <c r="AM46" i="8"/>
  <c r="AM45" i="8"/>
  <c r="AM44" i="8"/>
  <c r="AM43" i="8"/>
  <c r="AN42" i="8"/>
  <c r="AM42" i="8"/>
  <c r="AR71" i="8"/>
  <c r="AR70" i="8"/>
  <c r="AR69" i="8"/>
  <c r="AR68" i="8"/>
  <c r="AR67" i="8"/>
  <c r="AR66" i="8"/>
  <c r="AR65" i="8"/>
  <c r="AR64" i="8"/>
  <c r="AR63" i="8"/>
  <c r="AR62" i="8"/>
  <c r="AR61" i="8"/>
  <c r="AR60" i="8"/>
  <c r="AR59" i="8"/>
  <c r="AR58" i="8"/>
  <c r="AR57" i="8"/>
  <c r="AR56" i="8"/>
  <c r="AR55" i="8"/>
  <c r="AR54" i="8"/>
  <c r="AR53" i="8"/>
  <c r="AR52" i="8"/>
  <c r="AR51" i="8"/>
  <c r="AR50" i="8"/>
  <c r="AR49" i="8"/>
  <c r="AR48" i="8"/>
  <c r="AR47" i="8"/>
  <c r="AR46" i="8"/>
  <c r="AR45" i="8"/>
  <c r="AR44" i="8"/>
  <c r="AR43" i="8"/>
  <c r="AS42" i="8"/>
  <c r="AR42" i="8"/>
  <c r="AW71" i="8"/>
  <c r="AW70" i="8"/>
  <c r="AW69" i="8"/>
  <c r="AW68" i="8"/>
  <c r="AW67" i="8"/>
  <c r="AW66" i="8"/>
  <c r="AW65" i="8"/>
  <c r="AW64" i="8"/>
  <c r="AW63" i="8"/>
  <c r="AW62" i="8"/>
  <c r="AW61" i="8"/>
  <c r="AW60" i="8"/>
  <c r="AW59" i="8"/>
  <c r="AW58" i="8"/>
  <c r="AW57" i="8"/>
  <c r="AW56" i="8"/>
  <c r="AW55" i="8"/>
  <c r="AW54" i="8"/>
  <c r="AW53" i="8"/>
  <c r="AW52" i="8"/>
  <c r="AW51" i="8"/>
  <c r="AW50" i="8"/>
  <c r="AW49" i="8"/>
  <c r="AW48" i="8"/>
  <c r="AW47" i="8"/>
  <c r="AW46" i="8"/>
  <c r="AW45" i="8"/>
  <c r="AW44" i="8"/>
  <c r="AW43" i="8"/>
  <c r="AX42" i="8"/>
  <c r="AW42" i="8"/>
  <c r="S71" i="33"/>
  <c r="S70" i="33"/>
  <c r="S69" i="33"/>
  <c r="S68" i="33"/>
  <c r="S67" i="33"/>
  <c r="S66" i="33"/>
  <c r="S65" i="33"/>
  <c r="S64" i="33"/>
  <c r="S63" i="33"/>
  <c r="S62" i="33"/>
  <c r="S61" i="33"/>
  <c r="S60" i="33"/>
  <c r="S59" i="33"/>
  <c r="S58" i="33"/>
  <c r="S57" i="33"/>
  <c r="S56" i="33"/>
  <c r="S55" i="33"/>
  <c r="S54" i="33"/>
  <c r="S53" i="33"/>
  <c r="S52" i="33"/>
  <c r="S51" i="33"/>
  <c r="S50" i="33"/>
  <c r="S49" i="33"/>
  <c r="S48" i="33"/>
  <c r="S47" i="33"/>
  <c r="S46" i="33"/>
  <c r="S45" i="33"/>
  <c r="S44" i="33"/>
  <c r="S43" i="33"/>
  <c r="T42" i="33"/>
  <c r="S42" i="33"/>
  <c r="X71" i="33"/>
  <c r="X70" i="33"/>
  <c r="X69" i="33"/>
  <c r="X68" i="33"/>
  <c r="X67" i="33"/>
  <c r="X66" i="33"/>
  <c r="X65" i="33"/>
  <c r="X64" i="33"/>
  <c r="X63" i="33"/>
  <c r="X62" i="33"/>
  <c r="X61" i="33"/>
  <c r="X60" i="33"/>
  <c r="X59" i="33"/>
  <c r="X58" i="33"/>
  <c r="X57" i="33"/>
  <c r="X56" i="33"/>
  <c r="X55" i="33"/>
  <c r="X54" i="33"/>
  <c r="X53" i="33"/>
  <c r="X52" i="33"/>
  <c r="X51" i="33"/>
  <c r="X50" i="33"/>
  <c r="X49" i="33"/>
  <c r="X48" i="33"/>
  <c r="X47" i="33"/>
  <c r="X46" i="33"/>
  <c r="X45" i="33"/>
  <c r="X44" i="33"/>
  <c r="X43" i="33"/>
  <c r="Y42" i="33"/>
  <c r="X42" i="33"/>
  <c r="AC71" i="33"/>
  <c r="AC70" i="33"/>
  <c r="AC69" i="33"/>
  <c r="AC68" i="33"/>
  <c r="AC67" i="33"/>
  <c r="AC66" i="33"/>
  <c r="AC65" i="33"/>
  <c r="AC64" i="33"/>
  <c r="AC63" i="33"/>
  <c r="AC62" i="33"/>
  <c r="AC61" i="33"/>
  <c r="AC60" i="33"/>
  <c r="AC59" i="33"/>
  <c r="AC58" i="33"/>
  <c r="AC57" i="33"/>
  <c r="AC56" i="33"/>
  <c r="AC55" i="33"/>
  <c r="AC54" i="33"/>
  <c r="AC53" i="33"/>
  <c r="AC52" i="33"/>
  <c r="AC51" i="33"/>
  <c r="AC50" i="33"/>
  <c r="AC49" i="33"/>
  <c r="AC48" i="33"/>
  <c r="AC47" i="33"/>
  <c r="AC46" i="33"/>
  <c r="AC45" i="33"/>
  <c r="AC44" i="33"/>
  <c r="AC43" i="33"/>
  <c r="AD42" i="33"/>
  <c r="AC42" i="33"/>
  <c r="AH71" i="33"/>
  <c r="AH70" i="33"/>
  <c r="AH69" i="33"/>
  <c r="AH68" i="33"/>
  <c r="AH67" i="33"/>
  <c r="AH66" i="33"/>
  <c r="AH65" i="33"/>
  <c r="AH64" i="33"/>
  <c r="AH63" i="33"/>
  <c r="AH62" i="33"/>
  <c r="AH61" i="33"/>
  <c r="AH60" i="33"/>
  <c r="AH59" i="33"/>
  <c r="AH58" i="33"/>
  <c r="AH57" i="33"/>
  <c r="AH56" i="33"/>
  <c r="AH55" i="33"/>
  <c r="AH54" i="33"/>
  <c r="AH53" i="33"/>
  <c r="AH52" i="33"/>
  <c r="AH51" i="33"/>
  <c r="AH50" i="33"/>
  <c r="AH49" i="33"/>
  <c r="AH48" i="33"/>
  <c r="AH47" i="33"/>
  <c r="AH46" i="33"/>
  <c r="AH45" i="33"/>
  <c r="AH44" i="33"/>
  <c r="AH43" i="33"/>
  <c r="AI42" i="33"/>
  <c r="AH42" i="33"/>
  <c r="AM71" i="33"/>
  <c r="AM70" i="33"/>
  <c r="AM69" i="33"/>
  <c r="AM68" i="33"/>
  <c r="AM67" i="33"/>
  <c r="AM66" i="33"/>
  <c r="AM65" i="33"/>
  <c r="AM64" i="33"/>
  <c r="AM63" i="33"/>
  <c r="AM62" i="33"/>
  <c r="AM61" i="33"/>
  <c r="AM60" i="33"/>
  <c r="AM59" i="33"/>
  <c r="AM58" i="33"/>
  <c r="AM57" i="33"/>
  <c r="AM56" i="33"/>
  <c r="AM55" i="33"/>
  <c r="AM54" i="33"/>
  <c r="AM53" i="33"/>
  <c r="AM52" i="33"/>
  <c r="AM51" i="33"/>
  <c r="AM50" i="33"/>
  <c r="AM49" i="33"/>
  <c r="AM48" i="33"/>
  <c r="AM47" i="33"/>
  <c r="AM46" i="33"/>
  <c r="AM45" i="33"/>
  <c r="AM44" i="33"/>
  <c r="AM43" i="33"/>
  <c r="AN42" i="33"/>
  <c r="AM42" i="33"/>
  <c r="AR71" i="33"/>
  <c r="AR70" i="33"/>
  <c r="AR69" i="33"/>
  <c r="AR68" i="33"/>
  <c r="AR67" i="33"/>
  <c r="AR66" i="33"/>
  <c r="AR65" i="33"/>
  <c r="AR64" i="33"/>
  <c r="AR63" i="33"/>
  <c r="AR62" i="33"/>
  <c r="AR61" i="33"/>
  <c r="AR60" i="33"/>
  <c r="AR59" i="33"/>
  <c r="AR58" i="33"/>
  <c r="AR57" i="33"/>
  <c r="AR56" i="33"/>
  <c r="AR55" i="33"/>
  <c r="AR54" i="33"/>
  <c r="AR53" i="33"/>
  <c r="AR52" i="33"/>
  <c r="AR51" i="33"/>
  <c r="AR50" i="33"/>
  <c r="AR49" i="33"/>
  <c r="AR48" i="33"/>
  <c r="AR47" i="33"/>
  <c r="AR46" i="33"/>
  <c r="AR45" i="33"/>
  <c r="AR44" i="33"/>
  <c r="AR43" i="33"/>
  <c r="AS42" i="33"/>
  <c r="AR42" i="33"/>
  <c r="AW71" i="33"/>
  <c r="AW70" i="33"/>
  <c r="AW69" i="33"/>
  <c r="AW68" i="33"/>
  <c r="AW67" i="33"/>
  <c r="AW66" i="33"/>
  <c r="AW65" i="33"/>
  <c r="AW64" i="33"/>
  <c r="AW63" i="33"/>
  <c r="AW62" i="33"/>
  <c r="AW61" i="33"/>
  <c r="AW60" i="33"/>
  <c r="AW59" i="33"/>
  <c r="AW58" i="33"/>
  <c r="AW57" i="33"/>
  <c r="AW56" i="33"/>
  <c r="AW55" i="33"/>
  <c r="AW54" i="33"/>
  <c r="AW53" i="33"/>
  <c r="AW52" i="33"/>
  <c r="AW51" i="33"/>
  <c r="AW50" i="33"/>
  <c r="AW49" i="33"/>
  <c r="AW48" i="33"/>
  <c r="AW47" i="33"/>
  <c r="AW46" i="33"/>
  <c r="AW45" i="33"/>
  <c r="AW44" i="33"/>
  <c r="AW43" i="33"/>
  <c r="AX42" i="33"/>
  <c r="AW42" i="33"/>
  <c r="K36" i="8"/>
  <c r="M36" i="8" s="1"/>
  <c r="J36" i="8"/>
  <c r="I36" i="8"/>
  <c r="K35" i="8"/>
  <c r="M35" i="8" s="1"/>
  <c r="J35" i="8"/>
  <c r="I35" i="8"/>
  <c r="K34" i="8"/>
  <c r="M34" i="8" s="1"/>
  <c r="J34" i="8"/>
  <c r="I34" i="8"/>
  <c r="K33" i="8"/>
  <c r="M33" i="8" s="1"/>
  <c r="J33" i="8"/>
  <c r="I33" i="8"/>
  <c r="K32" i="8"/>
  <c r="M32" i="8" s="1"/>
  <c r="J32" i="8"/>
  <c r="I32" i="8"/>
  <c r="K31" i="8"/>
  <c r="M31" i="8" s="1"/>
  <c r="J31" i="8"/>
  <c r="I31" i="8"/>
  <c r="K30" i="8"/>
  <c r="M30" i="8" s="1"/>
  <c r="J30" i="8"/>
  <c r="I30" i="8"/>
  <c r="K29" i="8"/>
  <c r="M29" i="8" s="1"/>
  <c r="J29" i="8"/>
  <c r="I29" i="8"/>
  <c r="K28" i="8"/>
  <c r="J28" i="8"/>
  <c r="I28" i="8"/>
  <c r="K27" i="8"/>
  <c r="M27" i="8" s="1"/>
  <c r="J27" i="8"/>
  <c r="I27" i="8"/>
  <c r="K26" i="8"/>
  <c r="J26" i="8"/>
  <c r="I26" i="8"/>
  <c r="K25" i="8"/>
  <c r="M25" i="8" s="1"/>
  <c r="J25" i="8"/>
  <c r="I25" i="8"/>
  <c r="K24" i="8"/>
  <c r="J24" i="8"/>
  <c r="I24" i="8"/>
  <c r="K23" i="8"/>
  <c r="M23" i="8" s="1"/>
  <c r="J23" i="8"/>
  <c r="I23" i="8"/>
  <c r="K22" i="8"/>
  <c r="J22" i="8"/>
  <c r="I22" i="8"/>
  <c r="K21" i="8"/>
  <c r="M21" i="8" s="1"/>
  <c r="J21" i="8"/>
  <c r="I21" i="8"/>
  <c r="K20" i="8"/>
  <c r="J20" i="8"/>
  <c r="I20" i="8"/>
  <c r="K19" i="8"/>
  <c r="M19" i="8" s="1"/>
  <c r="J19" i="8"/>
  <c r="I19" i="8"/>
  <c r="K18" i="8"/>
  <c r="J18" i="8"/>
  <c r="I18" i="8"/>
  <c r="K17" i="8"/>
  <c r="M17" i="8" s="1"/>
  <c r="J17" i="8"/>
  <c r="I17" i="8"/>
  <c r="K16" i="8"/>
  <c r="J16" i="8"/>
  <c r="I16" i="8"/>
  <c r="K15" i="8"/>
  <c r="M15" i="8" s="1"/>
  <c r="J15" i="8"/>
  <c r="I15" i="8"/>
  <c r="K14" i="8"/>
  <c r="J14" i="8"/>
  <c r="I14" i="8"/>
  <c r="K13" i="8"/>
  <c r="M13" i="8" s="1"/>
  <c r="J13" i="8"/>
  <c r="I13" i="8"/>
  <c r="K12" i="8"/>
  <c r="J12" i="8"/>
  <c r="I12" i="8"/>
  <c r="K11" i="8"/>
  <c r="M11" i="8" s="1"/>
  <c r="J11" i="8"/>
  <c r="I11" i="8"/>
  <c r="K10" i="8"/>
  <c r="J10" i="8"/>
  <c r="I10" i="8"/>
  <c r="K9" i="8"/>
  <c r="M9" i="8" s="1"/>
  <c r="J9" i="8"/>
  <c r="I9" i="8"/>
  <c r="K8" i="8"/>
  <c r="J8" i="8"/>
  <c r="I8" i="8"/>
  <c r="K7" i="8"/>
  <c r="M7" i="8" s="1"/>
  <c r="J7" i="8"/>
  <c r="I7" i="8"/>
  <c r="H7" i="8"/>
  <c r="K36" i="33"/>
  <c r="J36" i="33"/>
  <c r="I36" i="33"/>
  <c r="K35" i="33"/>
  <c r="M35" i="33" s="1"/>
  <c r="J35" i="33"/>
  <c r="I35" i="33"/>
  <c r="K34" i="33"/>
  <c r="M34" i="33" s="1"/>
  <c r="J34" i="33"/>
  <c r="I34" i="33"/>
  <c r="K33" i="33"/>
  <c r="M33" i="33" s="1"/>
  <c r="J33" i="33"/>
  <c r="I33" i="33"/>
  <c r="K32" i="33"/>
  <c r="J32" i="33"/>
  <c r="I32" i="33"/>
  <c r="K31" i="33"/>
  <c r="M31" i="33" s="1"/>
  <c r="J31" i="33"/>
  <c r="I31" i="33"/>
  <c r="K30" i="33"/>
  <c r="J30" i="33"/>
  <c r="I30" i="33"/>
  <c r="K29" i="33"/>
  <c r="J29" i="33"/>
  <c r="I29" i="33"/>
  <c r="K28" i="33"/>
  <c r="J28" i="33"/>
  <c r="I28" i="33"/>
  <c r="K27" i="33"/>
  <c r="M27" i="33" s="1"/>
  <c r="J27" i="33"/>
  <c r="I27" i="33"/>
  <c r="K26" i="33"/>
  <c r="J26" i="33"/>
  <c r="I26" i="33"/>
  <c r="K25" i="33"/>
  <c r="M25" i="33" s="1"/>
  <c r="J25" i="33"/>
  <c r="I25" i="33"/>
  <c r="K24" i="33"/>
  <c r="J24" i="33"/>
  <c r="I24" i="33"/>
  <c r="K23" i="33"/>
  <c r="M23" i="33" s="1"/>
  <c r="J23" i="33"/>
  <c r="I23" i="33"/>
  <c r="K22" i="33"/>
  <c r="J22" i="33"/>
  <c r="I22" i="33"/>
  <c r="K21" i="33"/>
  <c r="J21" i="33"/>
  <c r="I21" i="33"/>
  <c r="K20" i="33"/>
  <c r="J20" i="33"/>
  <c r="I20" i="33"/>
  <c r="K19" i="33"/>
  <c r="M19" i="33" s="1"/>
  <c r="J19" i="33"/>
  <c r="I19" i="33"/>
  <c r="K18" i="33"/>
  <c r="J18" i="33"/>
  <c r="I18" i="33"/>
  <c r="K17" i="33"/>
  <c r="M17" i="33" s="1"/>
  <c r="J17" i="33"/>
  <c r="I17" i="33"/>
  <c r="K16" i="33"/>
  <c r="J16" i="33"/>
  <c r="I16" i="33"/>
  <c r="K15" i="33"/>
  <c r="M15" i="33" s="1"/>
  <c r="J15" i="33"/>
  <c r="I15" i="33"/>
  <c r="K14" i="33"/>
  <c r="J14" i="33"/>
  <c r="I14" i="33"/>
  <c r="K13" i="33"/>
  <c r="J13" i="33"/>
  <c r="I13" i="33"/>
  <c r="K12" i="33"/>
  <c r="J12" i="33"/>
  <c r="I12" i="33"/>
  <c r="K11" i="33"/>
  <c r="M11" i="33" s="1"/>
  <c r="J11" i="33"/>
  <c r="I11" i="33"/>
  <c r="K10" i="33"/>
  <c r="M10" i="33" s="1"/>
  <c r="J10" i="33"/>
  <c r="I10" i="33"/>
  <c r="K9" i="33"/>
  <c r="M9" i="33" s="1"/>
  <c r="J9" i="33"/>
  <c r="I9" i="33"/>
  <c r="K8" i="33"/>
  <c r="J8" i="33"/>
  <c r="I8" i="33"/>
  <c r="K7" i="33"/>
  <c r="L7" i="33" s="1"/>
  <c r="J7" i="33"/>
  <c r="I7" i="33"/>
  <c r="H7" i="33"/>
  <c r="AC13" i="6"/>
  <c r="S13" i="6"/>
  <c r="M13" i="6"/>
  <c r="AC12" i="6"/>
  <c r="S12" i="6"/>
  <c r="M12" i="6"/>
  <c r="AC11" i="6"/>
  <c r="S11" i="6"/>
  <c r="M11" i="6"/>
  <c r="AC10" i="6"/>
  <c r="S10" i="6"/>
  <c r="M10" i="6"/>
  <c r="AC9" i="6"/>
  <c r="S9" i="6"/>
  <c r="M9" i="6"/>
  <c r="AC8" i="6"/>
  <c r="S8" i="6"/>
  <c r="M8" i="6"/>
  <c r="AC7" i="6"/>
  <c r="S7" i="6"/>
  <c r="M7" i="6"/>
  <c r="D8" i="7"/>
  <c r="D9" i="7" s="1"/>
  <c r="D10" i="7" s="1"/>
  <c r="D11" i="7" s="1"/>
  <c r="D12" i="7" s="1"/>
  <c r="D13" i="7" s="1"/>
  <c r="D14" i="7" s="1"/>
  <c r="D15" i="7" s="1"/>
  <c r="D16" i="7" s="1"/>
  <c r="D17" i="7" s="1"/>
  <c r="D18" i="7" s="1"/>
  <c r="D19" i="7" s="1"/>
  <c r="D20" i="7" s="1"/>
  <c r="D21" i="7" s="1"/>
  <c r="D22" i="7" s="1"/>
  <c r="D23" i="7" s="1"/>
  <c r="D24" i="7" s="1"/>
  <c r="D25" i="7" s="1"/>
  <c r="D26" i="7" s="1"/>
  <c r="D27" i="7" s="1"/>
  <c r="D28" i="7" s="1"/>
  <c r="D29" i="7" s="1"/>
  <c r="D30" i="7" s="1"/>
  <c r="D31" i="7" s="1"/>
  <c r="D32" i="7" s="1"/>
  <c r="D33" i="7" s="1"/>
  <c r="D34" i="7" s="1"/>
  <c r="D35" i="7" s="1"/>
  <c r="D36" i="7" s="1"/>
  <c r="D37" i="7" s="1"/>
  <c r="D38" i="7" s="1"/>
  <c r="D39" i="7" s="1"/>
  <c r="D40" i="7" s="1"/>
  <c r="D41" i="7" s="1"/>
  <c r="AC13" i="7"/>
  <c r="S13" i="7"/>
  <c r="M13" i="7"/>
  <c r="AC12" i="7"/>
  <c r="S12" i="7"/>
  <c r="M12" i="7"/>
  <c r="AC11" i="7"/>
  <c r="S11" i="7"/>
  <c r="M11" i="7"/>
  <c r="AC10" i="7"/>
  <c r="S10" i="7"/>
  <c r="M10" i="7"/>
  <c r="AC9" i="7"/>
  <c r="S9" i="7"/>
  <c r="M9" i="7"/>
  <c r="AC8" i="7"/>
  <c r="S8" i="7"/>
  <c r="M8" i="7"/>
  <c r="AC7" i="7"/>
  <c r="S7" i="7"/>
  <c r="M7" i="7"/>
  <c r="W10" i="5"/>
  <c r="V12" i="5"/>
  <c r="V19" i="5"/>
  <c r="I11" i="39" s="1"/>
  <c r="V26" i="5"/>
  <c r="V33" i="5"/>
  <c r="V6" i="5"/>
  <c r="P33" i="5"/>
  <c r="P26" i="5"/>
  <c r="P19" i="5"/>
  <c r="I9" i="39" s="1"/>
  <c r="P12" i="5"/>
  <c r="Q10" i="5"/>
  <c r="P6" i="5"/>
  <c r="N10" i="5"/>
  <c r="M12" i="5"/>
  <c r="M19" i="5"/>
  <c r="I8" i="39" s="1"/>
  <c r="M26" i="5"/>
  <c r="M33" i="5"/>
  <c r="M6" i="5"/>
  <c r="H10" i="5"/>
  <c r="G12" i="5"/>
  <c r="G19" i="5"/>
  <c r="I6" i="39" s="1"/>
  <c r="G26" i="5"/>
  <c r="G33" i="5"/>
  <c r="G6" i="5"/>
  <c r="D7" i="5"/>
  <c r="D8" i="5" s="1"/>
  <c r="D9" i="5" s="1"/>
  <c r="D10" i="5" s="1"/>
  <c r="D11" i="5" s="1"/>
  <c r="D12" i="5" s="1"/>
  <c r="D13" i="5" s="1"/>
  <c r="D14" i="5" s="1"/>
  <c r="D15" i="5" s="1"/>
  <c r="D16" i="5" s="1"/>
  <c r="D17" i="5" s="1"/>
  <c r="D18" i="5" s="1"/>
  <c r="D19" i="5" s="1"/>
  <c r="D20" i="5" s="1"/>
  <c r="D21" i="5" s="1"/>
  <c r="D22" i="5" s="1"/>
  <c r="D23" i="5" s="1"/>
  <c r="D24" i="5" s="1"/>
  <c r="D25" i="5" s="1"/>
  <c r="D26" i="5" s="1"/>
  <c r="D27" i="5" s="1"/>
  <c r="D28" i="5" s="1"/>
  <c r="D29" i="5" s="1"/>
  <c r="D30" i="5" s="1"/>
  <c r="D31" i="5" s="1"/>
  <c r="D32" i="5" s="1"/>
  <c r="D33" i="5" s="1"/>
  <c r="D34" i="5" s="1"/>
  <c r="D35" i="5" s="1"/>
  <c r="D36" i="5" s="1"/>
  <c r="D37" i="5" s="1"/>
  <c r="D38" i="5" s="1"/>
  <c r="D39" i="5" s="1"/>
  <c r="D6" i="5"/>
  <c r="V33" i="3"/>
  <c r="S33" i="3"/>
  <c r="S26" i="3"/>
  <c r="V26" i="3" s="1"/>
  <c r="S19" i="3"/>
  <c r="B10" i="39" s="1"/>
  <c r="S12" i="3"/>
  <c r="T10" i="3"/>
  <c r="S6" i="3"/>
  <c r="M33" i="3"/>
  <c r="M26" i="3"/>
  <c r="M19" i="3"/>
  <c r="B8" i="39" s="1"/>
  <c r="M12" i="3"/>
  <c r="P12" i="3" s="1"/>
  <c r="N10" i="3"/>
  <c r="M6" i="3"/>
  <c r="K10" i="3"/>
  <c r="H10" i="3"/>
  <c r="J12" i="3"/>
  <c r="J19" i="3"/>
  <c r="B7" i="39" s="1"/>
  <c r="J26" i="3"/>
  <c r="J33" i="3"/>
  <c r="J6" i="3"/>
  <c r="G19" i="3"/>
  <c r="G26" i="3"/>
  <c r="G33" i="3"/>
  <c r="G12" i="3"/>
  <c r="G6" i="3"/>
  <c r="D6" i="3"/>
  <c r="D7" i="3" s="1"/>
  <c r="D8" i="3" s="1"/>
  <c r="D9" i="3" s="1"/>
  <c r="D10" i="3" s="1"/>
  <c r="D11" i="3" s="1"/>
  <c r="M51" i="30" l="1"/>
  <c r="M53" i="30"/>
  <c r="M47" i="30"/>
  <c r="M50" i="30"/>
  <c r="M49" i="30"/>
  <c r="M48" i="30"/>
  <c r="M54" i="30"/>
  <c r="M52" i="30"/>
  <c r="V19" i="3"/>
  <c r="B11" i="39" s="1"/>
  <c r="B6" i="39"/>
  <c r="P19" i="3"/>
  <c r="B9" i="39" s="1"/>
  <c r="V12" i="3"/>
  <c r="M14" i="33"/>
  <c r="M81" i="31"/>
  <c r="M30" i="30"/>
  <c r="M33" i="32"/>
  <c r="M21" i="33"/>
  <c r="M9" i="30"/>
  <c r="M21" i="32"/>
  <c r="M11" i="34"/>
  <c r="M15" i="34"/>
  <c r="M90" i="36"/>
  <c r="L87" i="36"/>
  <c r="M67" i="34"/>
  <c r="L67" i="34"/>
  <c r="L47" i="35"/>
  <c r="B34" i="39" s="1"/>
  <c r="M7" i="37"/>
  <c r="M21" i="34"/>
  <c r="M9" i="36"/>
  <c r="M22" i="33"/>
  <c r="M30" i="33"/>
  <c r="M13" i="33"/>
  <c r="M29" i="33"/>
  <c r="M8" i="8"/>
  <c r="M12" i="8"/>
  <c r="M16" i="8"/>
  <c r="M20" i="8"/>
  <c r="M24" i="8"/>
  <c r="M28" i="8"/>
  <c r="M8" i="31"/>
  <c r="M8" i="32"/>
  <c r="M12" i="32"/>
  <c r="L87" i="32"/>
  <c r="L47" i="30"/>
  <c r="B29" i="39" s="1"/>
  <c r="M7" i="33"/>
  <c r="M10" i="34"/>
  <c r="M14" i="34"/>
  <c r="M18" i="34"/>
  <c r="M10" i="37"/>
  <c r="M12" i="35"/>
  <c r="L87" i="34"/>
  <c r="M87" i="34"/>
  <c r="L67" i="37"/>
  <c r="M81" i="36"/>
  <c r="M101" i="36"/>
  <c r="M32" i="34"/>
  <c r="M36" i="34"/>
  <c r="M27" i="37"/>
  <c r="M41" i="37"/>
  <c r="M30" i="37"/>
  <c r="M32" i="36"/>
  <c r="M27" i="35"/>
  <c r="M41" i="35"/>
  <c r="M30" i="35"/>
  <c r="M18" i="33"/>
  <c r="M8" i="33"/>
  <c r="M16" i="33"/>
  <c r="M24" i="33"/>
  <c r="M28" i="33"/>
  <c r="M32" i="33"/>
  <c r="M10" i="30"/>
  <c r="M7" i="31"/>
  <c r="L7" i="32"/>
  <c r="AE7" i="31"/>
  <c r="I7" i="31" s="1"/>
  <c r="L67" i="30"/>
  <c r="L47" i="32"/>
  <c r="B30" i="39" s="1"/>
  <c r="M28" i="30"/>
  <c r="M29" i="31"/>
  <c r="M31" i="32"/>
  <c r="M35" i="32"/>
  <c r="M9" i="37"/>
  <c r="M13" i="37"/>
  <c r="M8" i="36"/>
  <c r="M12" i="36"/>
  <c r="M21" i="35"/>
  <c r="M7" i="35"/>
  <c r="L7" i="35"/>
  <c r="M26" i="33"/>
  <c r="M12" i="33"/>
  <c r="M20" i="33"/>
  <c r="M36" i="33"/>
  <c r="M10" i="8"/>
  <c r="M14" i="8"/>
  <c r="M18" i="8"/>
  <c r="M22" i="8"/>
  <c r="M26" i="8"/>
  <c r="M10" i="32"/>
  <c r="M14" i="32"/>
  <c r="M101" i="31"/>
  <c r="M101" i="32"/>
  <c r="M67" i="30"/>
  <c r="M67" i="32"/>
  <c r="M8" i="34"/>
  <c r="M12" i="34"/>
  <c r="M16" i="34"/>
  <c r="M21" i="37"/>
  <c r="M8" i="37"/>
  <c r="M12" i="37"/>
  <c r="M7" i="36"/>
  <c r="M11" i="36"/>
  <c r="M10" i="35"/>
  <c r="M21" i="36"/>
  <c r="M31" i="30"/>
  <c r="M28" i="31"/>
  <c r="M27" i="32"/>
  <c r="M41" i="32"/>
  <c r="M30" i="32"/>
  <c r="M34" i="32"/>
  <c r="M101" i="35"/>
  <c r="M31" i="34"/>
  <c r="M35" i="34"/>
  <c r="M29" i="37"/>
  <c r="M33" i="37"/>
  <c r="M31" i="36"/>
  <c r="M29" i="35"/>
  <c r="L67" i="36"/>
  <c r="L47" i="34"/>
  <c r="B33" i="39" s="1"/>
  <c r="M27" i="34"/>
  <c r="M41" i="34"/>
  <c r="M30" i="34"/>
  <c r="M34" i="34"/>
  <c r="M38" i="34"/>
  <c r="M28" i="37"/>
  <c r="M32" i="37"/>
  <c r="M27" i="36"/>
  <c r="M41" i="36"/>
  <c r="M30" i="36"/>
  <c r="M28" i="35"/>
  <c r="M32" i="35"/>
  <c r="M29" i="30"/>
  <c r="M27" i="31"/>
  <c r="M41" i="31"/>
  <c r="M28" i="32"/>
  <c r="M32" i="32"/>
  <c r="L87" i="37"/>
  <c r="M67" i="36"/>
  <c r="L47" i="37"/>
  <c r="B36" i="39" s="1"/>
  <c r="M29" i="34"/>
  <c r="M33" i="34"/>
  <c r="M37" i="34"/>
  <c r="M31" i="37"/>
  <c r="M29" i="36"/>
  <c r="M33" i="36"/>
  <c r="M31" i="35"/>
  <c r="L27" i="37"/>
  <c r="L27" i="35"/>
  <c r="L27" i="32"/>
  <c r="L27" i="30"/>
  <c r="L27" i="34"/>
  <c r="L27" i="36"/>
  <c r="M81" i="37"/>
  <c r="M101" i="37"/>
  <c r="L47" i="36"/>
  <c r="B35" i="39" s="1"/>
  <c r="M81" i="35"/>
  <c r="M69" i="37"/>
  <c r="L67" i="35"/>
  <c r="M87" i="37"/>
  <c r="L87" i="35"/>
  <c r="L7" i="34"/>
  <c r="L7" i="36"/>
  <c r="L27" i="31"/>
  <c r="L47" i="31"/>
  <c r="B31" i="39" s="1"/>
  <c r="M81" i="32"/>
  <c r="L67" i="31"/>
  <c r="L87" i="30"/>
  <c r="M88" i="32"/>
  <c r="L7" i="30"/>
  <c r="L7" i="31"/>
  <c r="L7" i="8"/>
  <c r="AZ121" i="30" l="1"/>
  <c r="AZ120" i="30"/>
  <c r="AZ119" i="30"/>
  <c r="AZ118" i="30"/>
  <c r="AZ117" i="30"/>
  <c r="AZ116" i="30"/>
  <c r="AZ115" i="30"/>
  <c r="AZ114" i="30"/>
  <c r="AZ113" i="30"/>
  <c r="AZ112" i="30"/>
  <c r="AZ111" i="30"/>
  <c r="AZ110" i="30"/>
  <c r="AZ109" i="30"/>
  <c r="AZ108" i="30"/>
  <c r="BA107" i="30"/>
  <c r="AZ107" i="30"/>
  <c r="AZ101" i="30"/>
  <c r="AZ100" i="30"/>
  <c r="AZ99" i="30"/>
  <c r="AZ98" i="30"/>
  <c r="AZ97" i="30"/>
  <c r="AZ96" i="30"/>
  <c r="AZ95" i="30"/>
  <c r="AZ94" i="30"/>
  <c r="AZ93" i="30"/>
  <c r="AZ92" i="30"/>
  <c r="AZ91" i="30"/>
  <c r="AZ90" i="30"/>
  <c r="AZ89" i="30"/>
  <c r="AZ88" i="30"/>
  <c r="BA87" i="30"/>
  <c r="AZ87" i="30"/>
  <c r="AZ81" i="30"/>
  <c r="AZ80" i="30"/>
  <c r="AZ79" i="30"/>
  <c r="AZ78" i="30"/>
  <c r="AZ77" i="30"/>
  <c r="AZ76" i="30"/>
  <c r="AZ75" i="30"/>
  <c r="AZ74" i="30"/>
  <c r="AZ73" i="30"/>
  <c r="AZ72" i="30"/>
  <c r="AZ71" i="30"/>
  <c r="AZ70" i="30"/>
  <c r="AZ69" i="30"/>
  <c r="AZ68" i="30"/>
  <c r="BA67" i="30"/>
  <c r="AZ67" i="30"/>
  <c r="AZ53" i="30"/>
  <c r="AZ52" i="30"/>
  <c r="AZ51" i="30"/>
  <c r="AZ50" i="30"/>
  <c r="AZ49" i="30"/>
  <c r="AZ48" i="30"/>
  <c r="BA47" i="30"/>
  <c r="AZ47" i="30"/>
  <c r="AZ41" i="30"/>
  <c r="AZ40" i="30"/>
  <c r="AZ39" i="30"/>
  <c r="AZ38" i="30"/>
  <c r="AZ37" i="30"/>
  <c r="AZ36" i="30"/>
  <c r="AZ35" i="30"/>
  <c r="AZ34" i="30"/>
  <c r="AZ33" i="30"/>
  <c r="AZ32" i="30"/>
  <c r="AZ31" i="30"/>
  <c r="AZ30" i="30"/>
  <c r="AZ29" i="30"/>
  <c r="AZ28" i="30"/>
  <c r="BA27" i="30"/>
  <c r="AZ27" i="30"/>
  <c r="AZ21" i="30"/>
  <c r="AZ20" i="30"/>
  <c r="AZ19" i="30"/>
  <c r="AZ18" i="30"/>
  <c r="AZ17" i="30"/>
  <c r="AZ16" i="30"/>
  <c r="AZ15" i="30"/>
  <c r="AZ14" i="30"/>
  <c r="AZ13" i="30"/>
  <c r="AZ12" i="30"/>
  <c r="AZ11" i="30"/>
  <c r="AZ10" i="30"/>
  <c r="AZ9" i="30"/>
  <c r="AZ8" i="30"/>
  <c r="BA7" i="30"/>
  <c r="AZ7" i="30"/>
  <c r="AZ211" i="8"/>
  <c r="AZ210" i="8"/>
  <c r="AZ209" i="8"/>
  <c r="AZ208" i="8"/>
  <c r="AZ207" i="8"/>
  <c r="AZ206" i="8"/>
  <c r="AZ205" i="8"/>
  <c r="AZ204" i="8"/>
  <c r="AZ203" i="8"/>
  <c r="AZ202" i="8"/>
  <c r="AZ201" i="8"/>
  <c r="AZ200" i="8"/>
  <c r="AZ199" i="8"/>
  <c r="AZ198" i="8"/>
  <c r="AZ197" i="8"/>
  <c r="AZ196" i="8"/>
  <c r="AZ195" i="8"/>
  <c r="AZ194" i="8"/>
  <c r="AZ193" i="8"/>
  <c r="AZ192" i="8"/>
  <c r="AZ191" i="8"/>
  <c r="AZ190" i="8"/>
  <c r="AZ189" i="8"/>
  <c r="AZ188" i="8"/>
  <c r="AZ187" i="8"/>
  <c r="AZ186" i="8"/>
  <c r="AZ185" i="8"/>
  <c r="AZ184" i="8"/>
  <c r="AZ183" i="8"/>
  <c r="BA182" i="8"/>
  <c r="AZ182" i="8"/>
  <c r="AZ176" i="8"/>
  <c r="AZ175" i="8"/>
  <c r="AZ174" i="8"/>
  <c r="AZ173" i="8"/>
  <c r="AZ172" i="8"/>
  <c r="AZ171" i="8"/>
  <c r="AZ170" i="8"/>
  <c r="AZ169" i="8"/>
  <c r="AZ168" i="8"/>
  <c r="AZ167" i="8"/>
  <c r="AZ166" i="8"/>
  <c r="AZ165" i="8"/>
  <c r="AZ164" i="8"/>
  <c r="AZ163" i="8"/>
  <c r="AZ162" i="8"/>
  <c r="AZ161" i="8"/>
  <c r="AZ160" i="8"/>
  <c r="AZ159" i="8"/>
  <c r="AZ158" i="8"/>
  <c r="AZ157" i="8"/>
  <c r="AZ156" i="8"/>
  <c r="AZ155" i="8"/>
  <c r="AZ154" i="8"/>
  <c r="AZ153" i="8"/>
  <c r="AZ152" i="8"/>
  <c r="AZ151" i="8"/>
  <c r="AZ150" i="8"/>
  <c r="AZ149" i="8"/>
  <c r="AZ148" i="8"/>
  <c r="BA147" i="8"/>
  <c r="AZ147" i="8"/>
  <c r="AZ141" i="8"/>
  <c r="AZ140" i="8"/>
  <c r="AZ139" i="8"/>
  <c r="AZ138" i="8"/>
  <c r="AZ137" i="8"/>
  <c r="AZ136" i="8"/>
  <c r="AZ135" i="8"/>
  <c r="AZ134" i="8"/>
  <c r="AZ133" i="8"/>
  <c r="AZ132" i="8"/>
  <c r="AZ131" i="8"/>
  <c r="AZ130" i="8"/>
  <c r="AZ129" i="8"/>
  <c r="AZ128" i="8"/>
  <c r="AZ127" i="8"/>
  <c r="AZ126" i="8"/>
  <c r="AZ125" i="8"/>
  <c r="AZ124" i="8"/>
  <c r="AZ123" i="8"/>
  <c r="AZ122" i="8"/>
  <c r="AZ121" i="8"/>
  <c r="AZ120" i="8"/>
  <c r="AZ119" i="8"/>
  <c r="AZ118" i="8"/>
  <c r="AZ117" i="8"/>
  <c r="AZ116" i="8"/>
  <c r="AZ115" i="8"/>
  <c r="AZ114" i="8"/>
  <c r="AZ113" i="8"/>
  <c r="BA112" i="8"/>
  <c r="AZ112" i="8"/>
  <c r="AZ106" i="8"/>
  <c r="AZ105" i="8"/>
  <c r="AZ104" i="8"/>
  <c r="AZ103" i="8"/>
  <c r="AZ102" i="8"/>
  <c r="AZ101" i="8"/>
  <c r="AZ100" i="8"/>
  <c r="AZ99" i="8"/>
  <c r="AZ98" i="8"/>
  <c r="AZ97" i="8"/>
  <c r="AZ96" i="8"/>
  <c r="AZ95" i="8"/>
  <c r="AZ94" i="8"/>
  <c r="AZ93" i="8"/>
  <c r="AZ92" i="8"/>
  <c r="AZ91" i="8"/>
  <c r="AZ90" i="8"/>
  <c r="AZ89" i="8"/>
  <c r="AZ88" i="8"/>
  <c r="AZ87" i="8"/>
  <c r="AZ86" i="8"/>
  <c r="AZ85" i="8"/>
  <c r="AZ84" i="8"/>
  <c r="AZ83" i="8"/>
  <c r="AZ82" i="8"/>
  <c r="AZ81" i="8"/>
  <c r="AZ80" i="8"/>
  <c r="AZ79" i="8"/>
  <c r="AZ78" i="8"/>
  <c r="BA77" i="8"/>
  <c r="AZ77" i="8"/>
  <c r="AZ71" i="8"/>
  <c r="AZ70" i="8"/>
  <c r="AZ69" i="8"/>
  <c r="AZ68" i="8"/>
  <c r="AZ67" i="8"/>
  <c r="AZ66" i="8"/>
  <c r="AZ65" i="8"/>
  <c r="AZ64" i="8"/>
  <c r="AZ63" i="8"/>
  <c r="AZ62" i="8"/>
  <c r="AZ61" i="8"/>
  <c r="AZ60" i="8"/>
  <c r="AZ59" i="8"/>
  <c r="AZ58" i="8"/>
  <c r="AZ57" i="8"/>
  <c r="AZ56" i="8"/>
  <c r="AZ55" i="8"/>
  <c r="AZ54" i="8"/>
  <c r="AZ53" i="8"/>
  <c r="AZ52" i="8"/>
  <c r="AZ51" i="8"/>
  <c r="AZ50" i="8"/>
  <c r="AZ49" i="8"/>
  <c r="AZ48" i="8"/>
  <c r="AZ47" i="8"/>
  <c r="AZ46" i="8"/>
  <c r="AZ45" i="8"/>
  <c r="AZ44" i="8"/>
  <c r="AZ43" i="8"/>
  <c r="BA42" i="8"/>
  <c r="AZ42" i="8"/>
  <c r="AZ36" i="8"/>
  <c r="AZ35" i="8"/>
  <c r="AZ34" i="8"/>
  <c r="AZ33" i="8"/>
  <c r="AZ32" i="8"/>
  <c r="AZ31" i="8"/>
  <c r="AZ30" i="8"/>
  <c r="AZ29" i="8"/>
  <c r="AZ28" i="8"/>
  <c r="AZ27" i="8"/>
  <c r="AZ26" i="8"/>
  <c r="AZ25" i="8"/>
  <c r="AZ24" i="8"/>
  <c r="AZ23" i="8"/>
  <c r="AZ22" i="8"/>
  <c r="AZ21" i="8"/>
  <c r="AZ20" i="8"/>
  <c r="AZ19" i="8"/>
  <c r="AZ18" i="8"/>
  <c r="AZ17" i="8"/>
  <c r="AZ16" i="8"/>
  <c r="AZ15" i="8"/>
  <c r="AZ14" i="8"/>
  <c r="AZ13" i="8"/>
  <c r="AZ12" i="8"/>
  <c r="AZ11" i="8"/>
  <c r="AZ10" i="8"/>
  <c r="AZ9" i="8"/>
  <c r="AZ8" i="8"/>
  <c r="BA7" i="8"/>
  <c r="AZ7" i="8"/>
  <c r="D8" i="6" l="1"/>
  <c r="D9" i="6" s="1"/>
  <c r="D10" i="6" s="1"/>
  <c r="D11" i="6" s="1"/>
  <c r="D12" i="6" s="1"/>
  <c r="D13" i="6" s="1"/>
  <c r="D14" i="6" s="1"/>
  <c r="D15" i="6" s="1"/>
  <c r="D16" i="6" s="1"/>
  <c r="D17" i="6" s="1"/>
  <c r="D18" i="6" s="1"/>
  <c r="D19" i="6" s="1"/>
  <c r="D20" i="6" s="1"/>
  <c r="D21" i="6" s="1"/>
  <c r="D22" i="6" s="1"/>
  <c r="D23" i="6" s="1"/>
  <c r="D24" i="6" s="1"/>
  <c r="D25" i="6" s="1"/>
  <c r="D26" i="6" s="1"/>
  <c r="D27" i="6" s="1"/>
  <c r="D28" i="6" s="1"/>
  <c r="D29" i="6" s="1"/>
  <c r="D30" i="6" s="1"/>
  <c r="D31" i="6" s="1"/>
  <c r="D32" i="6" s="1"/>
  <c r="D33" i="6" s="1"/>
  <c r="D34" i="6" s="1"/>
  <c r="D35" i="6" s="1"/>
  <c r="D36" i="6" s="1"/>
  <c r="D37" i="6" s="1"/>
  <c r="D38" i="6" s="1"/>
  <c r="D39" i="6" s="1"/>
  <c r="D40" i="6" s="1"/>
  <c r="S32" i="5"/>
  <c r="S25" i="5"/>
  <c r="S18" i="5"/>
  <c r="S11" i="5"/>
  <c r="S6" i="5"/>
  <c r="T10" i="5"/>
  <c r="O40" i="3"/>
  <c r="U40" i="3"/>
  <c r="O41" i="3"/>
  <c r="U41" i="3"/>
  <c r="V6" i="3" l="1"/>
  <c r="AZ121" i="37" l="1"/>
  <c r="AZ120" i="37"/>
  <c r="AZ119" i="37"/>
  <c r="AZ118" i="37"/>
  <c r="AZ117" i="37"/>
  <c r="AZ116" i="37"/>
  <c r="AZ115" i="37"/>
  <c r="AZ114" i="37"/>
  <c r="AZ113" i="37"/>
  <c r="AZ112" i="37"/>
  <c r="AZ111" i="37"/>
  <c r="AZ110" i="37"/>
  <c r="AZ109" i="37"/>
  <c r="AZ108" i="37"/>
  <c r="BA107" i="37"/>
  <c r="AZ107" i="37"/>
  <c r="AZ101" i="37"/>
  <c r="AZ100" i="37"/>
  <c r="AZ99" i="37"/>
  <c r="AZ98" i="37"/>
  <c r="AZ97" i="37"/>
  <c r="AZ96" i="37"/>
  <c r="AZ95" i="37"/>
  <c r="AZ94" i="37"/>
  <c r="AZ93" i="37"/>
  <c r="AZ92" i="37"/>
  <c r="AZ91" i="37"/>
  <c r="AZ90" i="37"/>
  <c r="AZ89" i="37"/>
  <c r="AZ88" i="37"/>
  <c r="BA87" i="37"/>
  <c r="AZ87" i="37"/>
  <c r="AZ81" i="37"/>
  <c r="AZ80" i="37"/>
  <c r="AZ79" i="37"/>
  <c r="AZ78" i="37"/>
  <c r="AZ77" i="37"/>
  <c r="AZ76" i="37"/>
  <c r="AZ75" i="37"/>
  <c r="AZ74" i="37"/>
  <c r="AZ73" i="37"/>
  <c r="AZ72" i="37"/>
  <c r="AZ71" i="37"/>
  <c r="AZ70" i="37"/>
  <c r="AZ69" i="37"/>
  <c r="AZ68" i="37"/>
  <c r="BA67" i="37"/>
  <c r="AZ67" i="37"/>
  <c r="AZ54" i="37"/>
  <c r="AZ53" i="37"/>
  <c r="AZ52" i="37"/>
  <c r="AZ51" i="37"/>
  <c r="AZ50" i="37"/>
  <c r="AZ49" i="37"/>
  <c r="AZ48" i="37"/>
  <c r="BA47" i="37"/>
  <c r="AZ47" i="37"/>
  <c r="AZ41" i="37"/>
  <c r="AZ40" i="37"/>
  <c r="AZ39" i="37"/>
  <c r="AZ38" i="37"/>
  <c r="AZ37" i="37"/>
  <c r="AZ36" i="37"/>
  <c r="AZ35" i="37"/>
  <c r="AZ34" i="37"/>
  <c r="AZ33" i="37"/>
  <c r="AZ32" i="37"/>
  <c r="AZ31" i="37"/>
  <c r="AZ30" i="37"/>
  <c r="AZ29" i="37"/>
  <c r="AZ28" i="37"/>
  <c r="BA27" i="37"/>
  <c r="AZ27" i="37"/>
  <c r="AZ21" i="37"/>
  <c r="AZ20" i="37"/>
  <c r="AZ19" i="37"/>
  <c r="AZ18" i="37"/>
  <c r="AZ17" i="37"/>
  <c r="AZ16" i="37"/>
  <c r="AZ15" i="37"/>
  <c r="AZ14" i="37"/>
  <c r="AZ13" i="37"/>
  <c r="AZ12" i="37"/>
  <c r="AZ11" i="37"/>
  <c r="AZ10" i="37"/>
  <c r="AZ9" i="37"/>
  <c r="AZ8" i="37"/>
  <c r="BA7" i="37"/>
  <c r="AZ7" i="37"/>
  <c r="AZ121" i="36"/>
  <c r="AZ120" i="36"/>
  <c r="AZ119" i="36"/>
  <c r="AZ118" i="36"/>
  <c r="AZ117" i="36"/>
  <c r="AZ116" i="36"/>
  <c r="AZ115" i="36"/>
  <c r="AZ114" i="36"/>
  <c r="AZ113" i="36"/>
  <c r="AZ112" i="36"/>
  <c r="AZ111" i="36"/>
  <c r="AZ110" i="36"/>
  <c r="AZ109" i="36"/>
  <c r="AZ108" i="36"/>
  <c r="BA107" i="36"/>
  <c r="AZ107" i="36"/>
  <c r="AZ101" i="36"/>
  <c r="AZ100" i="36"/>
  <c r="AZ99" i="36"/>
  <c r="AZ98" i="36"/>
  <c r="AZ97" i="36"/>
  <c r="AZ96" i="36"/>
  <c r="AZ95" i="36"/>
  <c r="AZ94" i="36"/>
  <c r="AZ93" i="36"/>
  <c r="AZ92" i="36"/>
  <c r="AZ91" i="36"/>
  <c r="AZ90" i="36"/>
  <c r="AZ89" i="36"/>
  <c r="AZ88" i="36"/>
  <c r="BA87" i="36"/>
  <c r="AZ87" i="36"/>
  <c r="AZ81" i="36"/>
  <c r="AZ80" i="36"/>
  <c r="AZ79" i="36"/>
  <c r="AZ78" i="36"/>
  <c r="AZ77" i="36"/>
  <c r="AZ76" i="36"/>
  <c r="AZ75" i="36"/>
  <c r="AZ74" i="36"/>
  <c r="AZ73" i="36"/>
  <c r="AZ72" i="36"/>
  <c r="AZ71" i="36"/>
  <c r="AZ70" i="36"/>
  <c r="AZ69" i="36"/>
  <c r="AZ68" i="36"/>
  <c r="BA67" i="36"/>
  <c r="AZ67" i="36"/>
  <c r="BA47" i="36"/>
  <c r="AZ47" i="36"/>
  <c r="AZ41" i="36"/>
  <c r="AZ40" i="36"/>
  <c r="AZ39" i="36"/>
  <c r="AZ38" i="36"/>
  <c r="AZ37" i="36"/>
  <c r="AZ36" i="36"/>
  <c r="AZ35" i="36"/>
  <c r="AZ34" i="36"/>
  <c r="AZ33" i="36"/>
  <c r="AZ32" i="36"/>
  <c r="AZ31" i="36"/>
  <c r="AZ30" i="36"/>
  <c r="AZ29" i="36"/>
  <c r="AZ28" i="36"/>
  <c r="BA27" i="36"/>
  <c r="AZ27" i="36"/>
  <c r="AZ21" i="36"/>
  <c r="AZ20" i="36"/>
  <c r="AZ19" i="36"/>
  <c r="AZ18" i="36"/>
  <c r="AZ17" i="36"/>
  <c r="AZ16" i="36"/>
  <c r="AZ15" i="36"/>
  <c r="AZ14" i="36"/>
  <c r="AZ13" i="36"/>
  <c r="AZ12" i="36"/>
  <c r="AZ11" i="36"/>
  <c r="AZ10" i="36"/>
  <c r="AZ9" i="36"/>
  <c r="AZ8" i="36"/>
  <c r="BA7" i="36"/>
  <c r="AZ7" i="36"/>
  <c r="AZ121" i="35"/>
  <c r="AZ120" i="35"/>
  <c r="AZ119" i="35"/>
  <c r="AZ118" i="35"/>
  <c r="AZ117" i="35"/>
  <c r="AZ116" i="35"/>
  <c r="AZ115" i="35"/>
  <c r="AZ114" i="35"/>
  <c r="AZ113" i="35"/>
  <c r="AZ112" i="35"/>
  <c r="AZ111" i="35"/>
  <c r="AZ110" i="35"/>
  <c r="AZ109" i="35"/>
  <c r="AZ108" i="35"/>
  <c r="BA107" i="35"/>
  <c r="AZ107" i="35"/>
  <c r="AZ101" i="35"/>
  <c r="AZ100" i="35"/>
  <c r="AZ99" i="35"/>
  <c r="AZ98" i="35"/>
  <c r="AZ97" i="35"/>
  <c r="AZ96" i="35"/>
  <c r="AZ95" i="35"/>
  <c r="AZ94" i="35"/>
  <c r="AZ93" i="35"/>
  <c r="AZ92" i="35"/>
  <c r="AZ91" i="35"/>
  <c r="AZ90" i="35"/>
  <c r="AZ89" i="35"/>
  <c r="AZ88" i="35"/>
  <c r="BA87" i="35"/>
  <c r="AZ87" i="35"/>
  <c r="AZ81" i="35"/>
  <c r="AZ80" i="35"/>
  <c r="AZ79" i="35"/>
  <c r="AZ78" i="35"/>
  <c r="AZ77" i="35"/>
  <c r="AZ76" i="35"/>
  <c r="AZ75" i="35"/>
  <c r="AZ74" i="35"/>
  <c r="AZ73" i="35"/>
  <c r="AZ72" i="35"/>
  <c r="AZ71" i="35"/>
  <c r="AZ70" i="35"/>
  <c r="AZ69" i="35"/>
  <c r="AZ68" i="35"/>
  <c r="BA67" i="35"/>
  <c r="AZ67" i="35"/>
  <c r="AZ61" i="35"/>
  <c r="AZ60" i="35"/>
  <c r="AZ59" i="35"/>
  <c r="AZ58" i="35"/>
  <c r="AZ57" i="35"/>
  <c r="AZ56" i="35"/>
  <c r="AZ55" i="35"/>
  <c r="AZ54" i="35"/>
  <c r="AZ53" i="35"/>
  <c r="AZ52" i="35"/>
  <c r="AZ51" i="35"/>
  <c r="AZ50" i="35"/>
  <c r="AZ49" i="35"/>
  <c r="AZ48" i="35"/>
  <c r="BA47" i="35"/>
  <c r="AZ47" i="35"/>
  <c r="AZ41" i="35"/>
  <c r="AZ40" i="35"/>
  <c r="AZ39" i="35"/>
  <c r="AZ38" i="35"/>
  <c r="AZ37" i="35"/>
  <c r="AZ36" i="35"/>
  <c r="AZ35" i="35"/>
  <c r="AZ34" i="35"/>
  <c r="AZ33" i="35"/>
  <c r="AZ32" i="35"/>
  <c r="AZ31" i="35"/>
  <c r="AZ30" i="35"/>
  <c r="AZ29" i="35"/>
  <c r="AZ28" i="35"/>
  <c r="BA27" i="35"/>
  <c r="AZ27" i="35"/>
  <c r="AZ21" i="35"/>
  <c r="AZ20" i="35"/>
  <c r="AZ19" i="35"/>
  <c r="AZ18" i="35"/>
  <c r="AZ17" i="35"/>
  <c r="AZ16" i="35"/>
  <c r="AZ15" i="35"/>
  <c r="AZ14" i="35"/>
  <c r="AZ13" i="35"/>
  <c r="AZ12" i="35"/>
  <c r="AZ11" i="35"/>
  <c r="AZ10" i="35"/>
  <c r="AZ9" i="35"/>
  <c r="AZ8" i="35"/>
  <c r="BA7" i="35"/>
  <c r="AZ7" i="35"/>
  <c r="AZ121" i="34"/>
  <c r="AZ120" i="34"/>
  <c r="AZ119" i="34"/>
  <c r="AZ118" i="34"/>
  <c r="AZ117" i="34"/>
  <c r="AZ116" i="34"/>
  <c r="AZ115" i="34"/>
  <c r="AZ114" i="34"/>
  <c r="AZ113" i="34"/>
  <c r="AZ112" i="34"/>
  <c r="AZ111" i="34"/>
  <c r="AZ110" i="34"/>
  <c r="AZ109" i="34"/>
  <c r="AZ108" i="34"/>
  <c r="BA107" i="34"/>
  <c r="AZ107" i="34"/>
  <c r="AZ101" i="34"/>
  <c r="AZ100" i="34"/>
  <c r="AZ99" i="34"/>
  <c r="AZ98" i="34"/>
  <c r="AZ97" i="34"/>
  <c r="AZ96" i="34"/>
  <c r="AZ95" i="34"/>
  <c r="AZ94" i="34"/>
  <c r="AZ93" i="34"/>
  <c r="AZ92" i="34"/>
  <c r="AZ91" i="34"/>
  <c r="AZ90" i="34"/>
  <c r="AZ89" i="34"/>
  <c r="AZ88" i="34"/>
  <c r="BA87" i="34"/>
  <c r="AZ87" i="34"/>
  <c r="AZ81" i="34"/>
  <c r="AZ80" i="34"/>
  <c r="AZ79" i="34"/>
  <c r="AZ78" i="34"/>
  <c r="AZ77" i="34"/>
  <c r="AZ76" i="34"/>
  <c r="AZ75" i="34"/>
  <c r="AZ74" i="34"/>
  <c r="AZ73" i="34"/>
  <c r="AZ72" i="34"/>
  <c r="AZ71" i="34"/>
  <c r="AZ70" i="34"/>
  <c r="AZ69" i="34"/>
  <c r="AZ68" i="34"/>
  <c r="BA67" i="34"/>
  <c r="AZ67" i="34"/>
  <c r="AZ61" i="34"/>
  <c r="AZ60" i="34"/>
  <c r="AZ59" i="34"/>
  <c r="AZ58" i="34"/>
  <c r="AZ57" i="34"/>
  <c r="AZ56" i="34"/>
  <c r="AZ55" i="34"/>
  <c r="AZ54" i="34"/>
  <c r="AZ53" i="34"/>
  <c r="AZ52" i="34"/>
  <c r="AZ51" i="34"/>
  <c r="AZ50" i="34"/>
  <c r="AZ49" i="34"/>
  <c r="AZ48" i="34"/>
  <c r="BA47" i="34"/>
  <c r="AZ47" i="34"/>
  <c r="AZ41" i="34"/>
  <c r="AZ40" i="34"/>
  <c r="AZ39" i="34"/>
  <c r="AZ38" i="34"/>
  <c r="AZ37" i="34"/>
  <c r="AZ36" i="34"/>
  <c r="AZ35" i="34"/>
  <c r="AZ34" i="34"/>
  <c r="AZ33" i="34"/>
  <c r="AZ32" i="34"/>
  <c r="AZ31" i="34"/>
  <c r="AZ30" i="34"/>
  <c r="AZ29" i="34"/>
  <c r="AZ28" i="34"/>
  <c r="BA27" i="34"/>
  <c r="AZ27" i="34"/>
  <c r="AZ21" i="34"/>
  <c r="AZ20" i="34"/>
  <c r="AZ19" i="34"/>
  <c r="AZ18" i="34"/>
  <c r="AZ17" i="34"/>
  <c r="AZ16" i="34"/>
  <c r="AZ15" i="34"/>
  <c r="AZ14" i="34"/>
  <c r="AZ13" i="34"/>
  <c r="AZ12" i="34"/>
  <c r="AZ11" i="34"/>
  <c r="AZ10" i="34"/>
  <c r="AZ9" i="34"/>
  <c r="AZ8" i="34"/>
  <c r="BA7" i="34"/>
  <c r="AZ7" i="34"/>
  <c r="AZ211" i="33"/>
  <c r="AZ210" i="33"/>
  <c r="AZ209" i="33"/>
  <c r="AZ208" i="33"/>
  <c r="AZ207" i="33"/>
  <c r="AZ206" i="33"/>
  <c r="AZ205" i="33"/>
  <c r="AZ204" i="33"/>
  <c r="AZ203" i="33"/>
  <c r="AZ202" i="33"/>
  <c r="AZ201" i="33"/>
  <c r="AZ200" i="33"/>
  <c r="AZ199" i="33"/>
  <c r="AZ198" i="33"/>
  <c r="AZ197" i="33"/>
  <c r="AZ196" i="33"/>
  <c r="AZ195" i="33"/>
  <c r="AZ194" i="33"/>
  <c r="AZ193" i="33"/>
  <c r="AZ192" i="33"/>
  <c r="AZ191" i="33"/>
  <c r="AZ190" i="33"/>
  <c r="AZ189" i="33"/>
  <c r="AZ188" i="33"/>
  <c r="AZ187" i="33"/>
  <c r="AZ186" i="33"/>
  <c r="AZ185" i="33"/>
  <c r="AZ184" i="33"/>
  <c r="AZ183" i="33"/>
  <c r="BA182" i="33"/>
  <c r="AZ182" i="33"/>
  <c r="AZ176" i="33"/>
  <c r="AZ175" i="33"/>
  <c r="AZ174" i="33"/>
  <c r="AZ173" i="33"/>
  <c r="AZ172" i="33"/>
  <c r="AZ171" i="33"/>
  <c r="AZ170" i="33"/>
  <c r="AZ169" i="33"/>
  <c r="AZ168" i="33"/>
  <c r="AZ167" i="33"/>
  <c r="AZ166" i="33"/>
  <c r="AZ165" i="33"/>
  <c r="AZ164" i="33"/>
  <c r="AZ163" i="33"/>
  <c r="AZ162" i="33"/>
  <c r="AZ161" i="33"/>
  <c r="AZ160" i="33"/>
  <c r="AZ159" i="33"/>
  <c r="AZ158" i="33"/>
  <c r="AZ157" i="33"/>
  <c r="AZ156" i="33"/>
  <c r="AZ155" i="33"/>
  <c r="AZ154" i="33"/>
  <c r="AZ153" i="33"/>
  <c r="AZ152" i="33"/>
  <c r="AZ151" i="33"/>
  <c r="AZ150" i="33"/>
  <c r="AZ149" i="33"/>
  <c r="AZ148" i="33"/>
  <c r="BA147" i="33"/>
  <c r="AZ147" i="33"/>
  <c r="AZ141" i="33"/>
  <c r="AZ140" i="33"/>
  <c r="AZ139" i="33"/>
  <c r="AZ138" i="33"/>
  <c r="AZ137" i="33"/>
  <c r="AZ136" i="33"/>
  <c r="AZ135" i="33"/>
  <c r="AZ134" i="33"/>
  <c r="AZ133" i="33"/>
  <c r="AZ132" i="33"/>
  <c r="AZ131" i="33"/>
  <c r="AZ130" i="33"/>
  <c r="AZ129" i="33"/>
  <c r="AZ128" i="33"/>
  <c r="AZ127" i="33"/>
  <c r="AZ126" i="33"/>
  <c r="AZ125" i="33"/>
  <c r="AZ124" i="33"/>
  <c r="AZ123" i="33"/>
  <c r="AZ122" i="33"/>
  <c r="AZ121" i="33"/>
  <c r="AZ120" i="33"/>
  <c r="AZ119" i="33"/>
  <c r="AZ118" i="33"/>
  <c r="AZ117" i="33"/>
  <c r="AZ116" i="33"/>
  <c r="AZ115" i="33"/>
  <c r="AZ114" i="33"/>
  <c r="AZ113" i="33"/>
  <c r="BA112" i="33"/>
  <c r="AZ112" i="33"/>
  <c r="AZ106" i="33"/>
  <c r="AZ105" i="33"/>
  <c r="AZ104" i="33"/>
  <c r="AZ103" i="33"/>
  <c r="AZ102" i="33"/>
  <c r="AZ101" i="33"/>
  <c r="AZ100" i="33"/>
  <c r="AZ99" i="33"/>
  <c r="AZ98" i="33"/>
  <c r="AZ97" i="33"/>
  <c r="AZ96" i="33"/>
  <c r="AZ95" i="33"/>
  <c r="AZ94" i="33"/>
  <c r="AZ93" i="33"/>
  <c r="AZ92" i="33"/>
  <c r="AZ91" i="33"/>
  <c r="AZ90" i="33"/>
  <c r="AZ89" i="33"/>
  <c r="AZ88" i="33"/>
  <c r="AZ87" i="33"/>
  <c r="AZ86" i="33"/>
  <c r="AZ85" i="33"/>
  <c r="AZ84" i="33"/>
  <c r="AZ83" i="33"/>
  <c r="AZ82" i="33"/>
  <c r="AZ81" i="33"/>
  <c r="AZ80" i="33"/>
  <c r="AZ79" i="33"/>
  <c r="AZ78" i="33"/>
  <c r="BA77" i="33"/>
  <c r="AZ77" i="33"/>
  <c r="AZ71" i="33"/>
  <c r="AZ70" i="33"/>
  <c r="AZ69" i="33"/>
  <c r="AZ68" i="33"/>
  <c r="AZ67" i="33"/>
  <c r="AZ66" i="33"/>
  <c r="AZ65" i="33"/>
  <c r="AZ64" i="33"/>
  <c r="AZ63" i="33"/>
  <c r="AZ62" i="33"/>
  <c r="AZ61" i="33"/>
  <c r="AZ60" i="33"/>
  <c r="AZ59" i="33"/>
  <c r="AZ58" i="33"/>
  <c r="AZ57" i="33"/>
  <c r="AZ56" i="33"/>
  <c r="AZ55" i="33"/>
  <c r="AZ54" i="33"/>
  <c r="AZ53" i="33"/>
  <c r="AZ52" i="33"/>
  <c r="AZ51" i="33"/>
  <c r="AZ50" i="33"/>
  <c r="AZ49" i="33"/>
  <c r="AZ48" i="33"/>
  <c r="AZ47" i="33"/>
  <c r="AZ46" i="33"/>
  <c r="AZ45" i="33"/>
  <c r="AZ44" i="33"/>
  <c r="AZ43" i="33"/>
  <c r="BA42" i="33"/>
  <c r="AZ42" i="33"/>
  <c r="AZ36" i="33"/>
  <c r="AZ35" i="33"/>
  <c r="AZ34" i="33"/>
  <c r="AZ33" i="33"/>
  <c r="AZ32" i="33"/>
  <c r="AZ31" i="33"/>
  <c r="AZ30" i="33"/>
  <c r="AZ29" i="33"/>
  <c r="AZ28" i="33"/>
  <c r="AZ27" i="33"/>
  <c r="AZ26" i="33"/>
  <c r="AZ25" i="33"/>
  <c r="AZ24" i="33"/>
  <c r="AZ23" i="33"/>
  <c r="AZ22" i="33"/>
  <c r="AZ21" i="33"/>
  <c r="AZ20" i="33"/>
  <c r="AZ19" i="33"/>
  <c r="AZ18" i="33"/>
  <c r="AZ17" i="33"/>
  <c r="AZ16" i="33"/>
  <c r="AZ15" i="33"/>
  <c r="AZ14" i="33"/>
  <c r="AZ13" i="33"/>
  <c r="AZ12" i="33"/>
  <c r="AZ11" i="33"/>
  <c r="AZ10" i="33"/>
  <c r="AZ9" i="33"/>
  <c r="AZ8" i="33"/>
  <c r="BA7" i="33"/>
  <c r="AZ7" i="33"/>
  <c r="AZ121" i="31"/>
  <c r="AZ120" i="31"/>
  <c r="AZ119" i="31"/>
  <c r="AZ118" i="31"/>
  <c r="AZ117" i="31"/>
  <c r="AZ116" i="31"/>
  <c r="AZ115" i="31"/>
  <c r="AZ114" i="31"/>
  <c r="AZ113" i="31"/>
  <c r="AZ112" i="31"/>
  <c r="AZ111" i="31"/>
  <c r="AZ110" i="31"/>
  <c r="AZ109" i="31"/>
  <c r="AZ108" i="31"/>
  <c r="BA107" i="31"/>
  <c r="AZ107" i="31"/>
  <c r="AZ101" i="31"/>
  <c r="AZ100" i="31"/>
  <c r="AZ99" i="31"/>
  <c r="AZ98" i="31"/>
  <c r="AZ97" i="31"/>
  <c r="AZ96" i="31"/>
  <c r="AZ95" i="31"/>
  <c r="AZ94" i="31"/>
  <c r="AZ93" i="31"/>
  <c r="AZ92" i="31"/>
  <c r="AZ91" i="31"/>
  <c r="AZ90" i="31"/>
  <c r="AZ89" i="31"/>
  <c r="AZ88" i="31"/>
  <c r="BA87" i="31"/>
  <c r="AZ87" i="31"/>
  <c r="AZ81" i="31"/>
  <c r="AZ80" i="31"/>
  <c r="AZ79" i="31"/>
  <c r="AZ78" i="31"/>
  <c r="AZ77" i="31"/>
  <c r="AZ76" i="31"/>
  <c r="AZ75" i="31"/>
  <c r="AZ74" i="31"/>
  <c r="AZ73" i="31"/>
  <c r="AZ72" i="31"/>
  <c r="AZ71" i="31"/>
  <c r="AZ70" i="31"/>
  <c r="AZ69" i="31"/>
  <c r="AZ68" i="31"/>
  <c r="BA67" i="31"/>
  <c r="AZ67" i="31"/>
  <c r="AZ61" i="31"/>
  <c r="AZ60" i="31"/>
  <c r="AZ59" i="31"/>
  <c r="AZ58" i="31"/>
  <c r="AZ57" i="31"/>
  <c r="AZ56" i="31"/>
  <c r="AZ55" i="31"/>
  <c r="AZ54" i="31"/>
  <c r="AZ53" i="31"/>
  <c r="AZ52" i="31"/>
  <c r="AZ51" i="31"/>
  <c r="AZ50" i="31"/>
  <c r="AZ49" i="31"/>
  <c r="AZ48" i="31"/>
  <c r="BA47" i="31"/>
  <c r="AZ47" i="31"/>
  <c r="AZ41" i="31"/>
  <c r="AZ40" i="31"/>
  <c r="AZ39" i="31"/>
  <c r="AZ38" i="31"/>
  <c r="AZ37" i="31"/>
  <c r="AZ36" i="31"/>
  <c r="AZ35" i="31"/>
  <c r="AZ34" i="31"/>
  <c r="AZ33" i="31"/>
  <c r="AZ32" i="31"/>
  <c r="AZ31" i="31"/>
  <c r="AZ30" i="31"/>
  <c r="AZ29" i="31"/>
  <c r="AZ28" i="31"/>
  <c r="BA27" i="31"/>
  <c r="AZ27" i="31"/>
  <c r="AZ21" i="31"/>
  <c r="AZ20" i="31"/>
  <c r="AZ19" i="31"/>
  <c r="AZ18" i="31"/>
  <c r="AZ17" i="31"/>
  <c r="AZ16" i="31"/>
  <c r="AZ15" i="31"/>
  <c r="AZ14" i="31"/>
  <c r="AZ13" i="31"/>
  <c r="AZ12" i="31"/>
  <c r="AZ11" i="31"/>
  <c r="AZ10" i="31"/>
  <c r="AZ9" i="31"/>
  <c r="AZ8" i="31"/>
  <c r="BA7" i="31"/>
  <c r="AZ7" i="31"/>
  <c r="AZ121" i="32"/>
  <c r="AZ120" i="32"/>
  <c r="AZ119" i="32"/>
  <c r="AZ118" i="32"/>
  <c r="AZ117" i="32"/>
  <c r="AZ116" i="32"/>
  <c r="AZ115" i="32"/>
  <c r="AZ114" i="32"/>
  <c r="AZ113" i="32"/>
  <c r="AZ112" i="32"/>
  <c r="AZ111" i="32"/>
  <c r="AZ110" i="32"/>
  <c r="AZ109" i="32"/>
  <c r="AZ108" i="32"/>
  <c r="BA107" i="32"/>
  <c r="AZ107" i="32"/>
  <c r="AZ101" i="32"/>
  <c r="AZ100" i="32"/>
  <c r="AZ99" i="32"/>
  <c r="AZ98" i="32"/>
  <c r="AZ97" i="32"/>
  <c r="AZ96" i="32"/>
  <c r="AZ95" i="32"/>
  <c r="AZ94" i="32"/>
  <c r="AZ93" i="32"/>
  <c r="AZ92" i="32"/>
  <c r="AZ91" i="32"/>
  <c r="AZ90" i="32"/>
  <c r="AZ89" i="32"/>
  <c r="AZ88" i="32"/>
  <c r="BA87" i="32"/>
  <c r="AZ87" i="32"/>
  <c r="AZ81" i="32"/>
  <c r="AZ80" i="32"/>
  <c r="AZ79" i="32"/>
  <c r="AZ78" i="32"/>
  <c r="AZ77" i="32"/>
  <c r="AZ76" i="32"/>
  <c r="AZ75" i="32"/>
  <c r="AZ74" i="32"/>
  <c r="AZ73" i="32"/>
  <c r="AZ72" i="32"/>
  <c r="AZ71" i="32"/>
  <c r="AZ70" i="32"/>
  <c r="AZ69" i="32"/>
  <c r="AZ68" i="32"/>
  <c r="BA67" i="32"/>
  <c r="AZ67" i="32"/>
  <c r="AZ61" i="32"/>
  <c r="AZ60" i="32"/>
  <c r="AZ59" i="32"/>
  <c r="AZ58" i="32"/>
  <c r="AZ57" i="32"/>
  <c r="AZ56" i="32"/>
  <c r="AZ55" i="32"/>
  <c r="AZ54" i="32"/>
  <c r="AZ53" i="32"/>
  <c r="AZ52" i="32"/>
  <c r="AZ51" i="32"/>
  <c r="AZ50" i="32"/>
  <c r="AZ49" i="32"/>
  <c r="AZ48" i="32"/>
  <c r="BA47" i="32"/>
  <c r="AZ47" i="32"/>
  <c r="AZ41" i="32"/>
  <c r="AZ40" i="32"/>
  <c r="AZ39" i="32"/>
  <c r="AZ38" i="32"/>
  <c r="AZ37" i="32"/>
  <c r="AZ36" i="32"/>
  <c r="AZ35" i="32"/>
  <c r="AZ34" i="32"/>
  <c r="AZ33" i="32"/>
  <c r="AZ32" i="32"/>
  <c r="AZ31" i="32"/>
  <c r="AZ30" i="32"/>
  <c r="AZ29" i="32"/>
  <c r="AZ28" i="32"/>
  <c r="BA27" i="32"/>
  <c r="AZ27" i="32"/>
  <c r="AZ21" i="32"/>
  <c r="AZ20" i="32"/>
  <c r="AZ19" i="32"/>
  <c r="AZ18" i="32"/>
  <c r="AZ17" i="32"/>
  <c r="AZ16" i="32"/>
  <c r="AZ15" i="32"/>
  <c r="AZ14" i="32"/>
  <c r="AZ13" i="32"/>
  <c r="AZ12" i="32"/>
  <c r="AZ11" i="32"/>
  <c r="AZ10" i="32"/>
  <c r="AZ9" i="32"/>
  <c r="AZ8" i="32"/>
  <c r="BA7" i="32"/>
  <c r="AZ7" i="32"/>
  <c r="K120" i="35" l="1"/>
  <c r="J120" i="35"/>
  <c r="I120" i="35"/>
  <c r="K119" i="35"/>
  <c r="J119" i="35"/>
  <c r="I119" i="35"/>
  <c r="K118" i="35"/>
  <c r="J118" i="35"/>
  <c r="I118" i="35"/>
  <c r="K117" i="35"/>
  <c r="J117" i="35"/>
  <c r="I117" i="35"/>
  <c r="K116" i="35"/>
  <c r="J116" i="35"/>
  <c r="I116" i="35"/>
  <c r="K115" i="35"/>
  <c r="J115" i="35"/>
  <c r="I115" i="35"/>
  <c r="K114" i="35"/>
  <c r="J114" i="35"/>
  <c r="I114" i="35"/>
  <c r="K113" i="35"/>
  <c r="J113" i="35"/>
  <c r="I113" i="35"/>
  <c r="K112" i="35"/>
  <c r="J112" i="35"/>
  <c r="I112" i="35"/>
  <c r="K111" i="35"/>
  <c r="J111" i="35"/>
  <c r="I111" i="35"/>
  <c r="K110" i="35"/>
  <c r="J110" i="35"/>
  <c r="I110" i="35"/>
  <c r="K109" i="35"/>
  <c r="J109" i="35"/>
  <c r="I109" i="35"/>
  <c r="K108" i="35"/>
  <c r="J108" i="35"/>
  <c r="I108" i="35"/>
  <c r="K107" i="35"/>
  <c r="J107" i="35"/>
  <c r="I107" i="35"/>
  <c r="K120" i="36"/>
  <c r="J120" i="36"/>
  <c r="I120" i="36"/>
  <c r="K119" i="36"/>
  <c r="J119" i="36"/>
  <c r="I119" i="36"/>
  <c r="K118" i="36"/>
  <c r="J118" i="36"/>
  <c r="I118" i="36"/>
  <c r="K117" i="36"/>
  <c r="J117" i="36"/>
  <c r="I117" i="36"/>
  <c r="K116" i="36"/>
  <c r="J116" i="36"/>
  <c r="I116" i="36"/>
  <c r="K115" i="36"/>
  <c r="J115" i="36"/>
  <c r="I115" i="36"/>
  <c r="K114" i="36"/>
  <c r="J114" i="36"/>
  <c r="I114" i="36"/>
  <c r="K113" i="36"/>
  <c r="J113" i="36"/>
  <c r="I113" i="36"/>
  <c r="K112" i="36"/>
  <c r="J112" i="36"/>
  <c r="I112" i="36"/>
  <c r="K111" i="36"/>
  <c r="J111" i="36"/>
  <c r="I111" i="36"/>
  <c r="K110" i="36"/>
  <c r="J110" i="36"/>
  <c r="I110" i="36"/>
  <c r="K109" i="36"/>
  <c r="J109" i="36"/>
  <c r="I109" i="36"/>
  <c r="K108" i="36"/>
  <c r="J108" i="36"/>
  <c r="I108" i="36"/>
  <c r="K107" i="36"/>
  <c r="J107" i="36"/>
  <c r="I107" i="36"/>
  <c r="K120" i="37"/>
  <c r="J120" i="37"/>
  <c r="I120" i="37"/>
  <c r="K119" i="37"/>
  <c r="J119" i="37"/>
  <c r="I119" i="37"/>
  <c r="K118" i="37"/>
  <c r="J118" i="37"/>
  <c r="I118" i="37"/>
  <c r="K117" i="37"/>
  <c r="J117" i="37"/>
  <c r="I117" i="37"/>
  <c r="K116" i="37"/>
  <c r="J116" i="37"/>
  <c r="I116" i="37"/>
  <c r="K115" i="37"/>
  <c r="J115" i="37"/>
  <c r="I115" i="37"/>
  <c r="K114" i="37"/>
  <c r="J114" i="37"/>
  <c r="I114" i="37"/>
  <c r="K113" i="37"/>
  <c r="J113" i="37"/>
  <c r="I113" i="37"/>
  <c r="K112" i="37"/>
  <c r="J112" i="37"/>
  <c r="I112" i="37"/>
  <c r="K111" i="37"/>
  <c r="J111" i="37"/>
  <c r="I111" i="37"/>
  <c r="K110" i="37"/>
  <c r="J110" i="37"/>
  <c r="I110" i="37"/>
  <c r="K109" i="37"/>
  <c r="J109" i="37"/>
  <c r="I109" i="37"/>
  <c r="K108" i="37"/>
  <c r="J108" i="37"/>
  <c r="I108" i="37"/>
  <c r="K107" i="37"/>
  <c r="J107" i="37"/>
  <c r="I107" i="37"/>
  <c r="K120" i="34"/>
  <c r="J120" i="34"/>
  <c r="I120" i="34"/>
  <c r="K119" i="34"/>
  <c r="J119" i="34"/>
  <c r="I119" i="34"/>
  <c r="K118" i="34"/>
  <c r="J118" i="34"/>
  <c r="I118" i="34"/>
  <c r="K117" i="34"/>
  <c r="J117" i="34"/>
  <c r="I117" i="34"/>
  <c r="K116" i="34"/>
  <c r="J116" i="34"/>
  <c r="I116" i="34"/>
  <c r="K115" i="34"/>
  <c r="J115" i="34"/>
  <c r="I115" i="34"/>
  <c r="K114" i="34"/>
  <c r="J114" i="34"/>
  <c r="I114" i="34"/>
  <c r="K113" i="34"/>
  <c r="J113" i="34"/>
  <c r="I113" i="34"/>
  <c r="K112" i="34"/>
  <c r="J112" i="34"/>
  <c r="I112" i="34"/>
  <c r="K111" i="34"/>
  <c r="J111" i="34"/>
  <c r="I111" i="34"/>
  <c r="K110" i="34"/>
  <c r="J110" i="34"/>
  <c r="I110" i="34"/>
  <c r="K109" i="34"/>
  <c r="J109" i="34"/>
  <c r="I109" i="34"/>
  <c r="K108" i="34"/>
  <c r="J108" i="34"/>
  <c r="I108" i="34"/>
  <c r="K107" i="34"/>
  <c r="J107" i="34"/>
  <c r="I107" i="34"/>
  <c r="K120" i="31"/>
  <c r="J120" i="31"/>
  <c r="I120" i="31"/>
  <c r="K119" i="31"/>
  <c r="J119" i="31"/>
  <c r="I119" i="31"/>
  <c r="K118" i="31"/>
  <c r="J118" i="31"/>
  <c r="I118" i="31"/>
  <c r="K117" i="31"/>
  <c r="J117" i="31"/>
  <c r="I117" i="31"/>
  <c r="K116" i="31"/>
  <c r="J116" i="31"/>
  <c r="I116" i="31"/>
  <c r="K115" i="31"/>
  <c r="J115" i="31"/>
  <c r="I115" i="31"/>
  <c r="K114" i="31"/>
  <c r="J114" i="31"/>
  <c r="I114" i="31"/>
  <c r="K113" i="31"/>
  <c r="J113" i="31"/>
  <c r="I113" i="31"/>
  <c r="K112" i="31"/>
  <c r="J112" i="31"/>
  <c r="I112" i="31"/>
  <c r="K111" i="31"/>
  <c r="J111" i="31"/>
  <c r="I111" i="31"/>
  <c r="K110" i="31"/>
  <c r="J110" i="31"/>
  <c r="I110" i="31"/>
  <c r="K109" i="31"/>
  <c r="J109" i="31"/>
  <c r="I109" i="31"/>
  <c r="K108" i="31"/>
  <c r="J108" i="31"/>
  <c r="I108" i="31"/>
  <c r="K107" i="31"/>
  <c r="J107" i="31"/>
  <c r="I107" i="31"/>
  <c r="K120" i="32"/>
  <c r="J120" i="32"/>
  <c r="I120" i="32"/>
  <c r="K119" i="32"/>
  <c r="J119" i="32"/>
  <c r="I119" i="32"/>
  <c r="K118" i="32"/>
  <c r="J118" i="32"/>
  <c r="I118" i="32"/>
  <c r="K117" i="32"/>
  <c r="J117" i="32"/>
  <c r="I117" i="32"/>
  <c r="K116" i="32"/>
  <c r="J116" i="32"/>
  <c r="I116" i="32"/>
  <c r="K115" i="32"/>
  <c r="J115" i="32"/>
  <c r="I115" i="32"/>
  <c r="K114" i="32"/>
  <c r="J114" i="32"/>
  <c r="I114" i="32"/>
  <c r="K113" i="32"/>
  <c r="J113" i="32"/>
  <c r="I113" i="32"/>
  <c r="K112" i="32"/>
  <c r="J112" i="32"/>
  <c r="I112" i="32"/>
  <c r="K111" i="32"/>
  <c r="J111" i="32"/>
  <c r="I111" i="32"/>
  <c r="K110" i="32"/>
  <c r="J110" i="32"/>
  <c r="I110" i="32"/>
  <c r="K109" i="32"/>
  <c r="J109" i="32"/>
  <c r="I109" i="32"/>
  <c r="K108" i="32"/>
  <c r="J108" i="32"/>
  <c r="I108" i="32"/>
  <c r="K107" i="32"/>
  <c r="J107" i="32"/>
  <c r="I107" i="32"/>
  <c r="K121" i="30"/>
  <c r="J121" i="30"/>
  <c r="I121" i="30"/>
  <c r="K120" i="30"/>
  <c r="J120" i="30"/>
  <c r="I120" i="30"/>
  <c r="K119" i="30"/>
  <c r="J119" i="30"/>
  <c r="I119" i="30"/>
  <c r="K118" i="30"/>
  <c r="J118" i="30"/>
  <c r="I118" i="30"/>
  <c r="K117" i="30"/>
  <c r="J117" i="30"/>
  <c r="I117" i="30"/>
  <c r="K116" i="30"/>
  <c r="J116" i="30"/>
  <c r="I116" i="30"/>
  <c r="K115" i="30"/>
  <c r="J115" i="30"/>
  <c r="I115" i="30"/>
  <c r="K114" i="30"/>
  <c r="J114" i="30"/>
  <c r="I114" i="30"/>
  <c r="K113" i="30"/>
  <c r="J113" i="30"/>
  <c r="I113" i="30"/>
  <c r="K112" i="30"/>
  <c r="J112" i="30"/>
  <c r="I112" i="30"/>
  <c r="K111" i="30"/>
  <c r="J111" i="30"/>
  <c r="I111" i="30"/>
  <c r="K110" i="30"/>
  <c r="J110" i="30"/>
  <c r="I110" i="30"/>
  <c r="K109" i="30"/>
  <c r="J109" i="30"/>
  <c r="I109" i="30"/>
  <c r="K108" i="30"/>
  <c r="J108" i="30"/>
  <c r="I108" i="30"/>
  <c r="K107" i="30"/>
  <c r="J107" i="30"/>
  <c r="I107" i="30"/>
  <c r="K211" i="33"/>
  <c r="J211" i="33"/>
  <c r="I211" i="33"/>
  <c r="K210" i="33"/>
  <c r="J210" i="33"/>
  <c r="I210" i="33"/>
  <c r="K209" i="33"/>
  <c r="J209" i="33"/>
  <c r="I209" i="33"/>
  <c r="K208" i="33"/>
  <c r="J208" i="33"/>
  <c r="I208" i="33"/>
  <c r="K207" i="33"/>
  <c r="J207" i="33"/>
  <c r="I207" i="33"/>
  <c r="K206" i="33"/>
  <c r="J206" i="33"/>
  <c r="I206" i="33"/>
  <c r="K205" i="33"/>
  <c r="J205" i="33"/>
  <c r="I205" i="33"/>
  <c r="K204" i="33"/>
  <c r="J204" i="33"/>
  <c r="I204" i="33"/>
  <c r="K203" i="33"/>
  <c r="J203" i="33"/>
  <c r="I203" i="33"/>
  <c r="K202" i="33"/>
  <c r="J202" i="33"/>
  <c r="I202" i="33"/>
  <c r="K201" i="33"/>
  <c r="J201" i="33"/>
  <c r="I201" i="33"/>
  <c r="K200" i="33"/>
  <c r="J200" i="33"/>
  <c r="I200" i="33"/>
  <c r="K199" i="33"/>
  <c r="J199" i="33"/>
  <c r="I199" i="33"/>
  <c r="K198" i="33"/>
  <c r="J198" i="33"/>
  <c r="I198" i="33"/>
  <c r="K197" i="33"/>
  <c r="J197" i="33"/>
  <c r="I197" i="33"/>
  <c r="K196" i="33"/>
  <c r="J196" i="33"/>
  <c r="I196" i="33"/>
  <c r="K195" i="33"/>
  <c r="J195" i="33"/>
  <c r="I195" i="33"/>
  <c r="K194" i="33"/>
  <c r="J194" i="33"/>
  <c r="I194" i="33"/>
  <c r="K193" i="33"/>
  <c r="J193" i="33"/>
  <c r="I193" i="33"/>
  <c r="K192" i="33"/>
  <c r="J192" i="33"/>
  <c r="I192" i="33"/>
  <c r="K191" i="33"/>
  <c r="J191" i="33"/>
  <c r="I191" i="33"/>
  <c r="K190" i="33"/>
  <c r="J190" i="33"/>
  <c r="I190" i="33"/>
  <c r="K189" i="33"/>
  <c r="J189" i="33"/>
  <c r="I189" i="33"/>
  <c r="K188" i="33"/>
  <c r="J188" i="33"/>
  <c r="I188" i="33"/>
  <c r="K187" i="33"/>
  <c r="J187" i="33"/>
  <c r="I187" i="33"/>
  <c r="K186" i="33"/>
  <c r="J186" i="33"/>
  <c r="I186" i="33"/>
  <c r="K185" i="33"/>
  <c r="J185" i="33"/>
  <c r="I185" i="33"/>
  <c r="K184" i="33"/>
  <c r="J184" i="33"/>
  <c r="I184" i="33"/>
  <c r="K183" i="33"/>
  <c r="J183" i="33"/>
  <c r="I183" i="33"/>
  <c r="K182" i="33"/>
  <c r="J182" i="33"/>
  <c r="I182" i="33"/>
  <c r="K176" i="33"/>
  <c r="J176" i="33"/>
  <c r="I176" i="33"/>
  <c r="K175" i="33"/>
  <c r="J175" i="33"/>
  <c r="I175" i="33"/>
  <c r="K174" i="33"/>
  <c r="J174" i="33"/>
  <c r="I174" i="33"/>
  <c r="K173" i="33"/>
  <c r="J173" i="33"/>
  <c r="I173" i="33"/>
  <c r="K172" i="33"/>
  <c r="J172" i="33"/>
  <c r="I172" i="33"/>
  <c r="K171" i="33"/>
  <c r="J171" i="33"/>
  <c r="I171" i="33"/>
  <c r="K170" i="33"/>
  <c r="J170" i="33"/>
  <c r="I170" i="33"/>
  <c r="K169" i="33"/>
  <c r="J169" i="33"/>
  <c r="I169" i="33"/>
  <c r="K168" i="33"/>
  <c r="J168" i="33"/>
  <c r="I168" i="33"/>
  <c r="K167" i="33"/>
  <c r="J167" i="33"/>
  <c r="I167" i="33"/>
  <c r="K166" i="33"/>
  <c r="J166" i="33"/>
  <c r="I166" i="33"/>
  <c r="K165" i="33"/>
  <c r="J165" i="33"/>
  <c r="I165" i="33"/>
  <c r="K164" i="33"/>
  <c r="J164" i="33"/>
  <c r="I164" i="33"/>
  <c r="K163" i="33"/>
  <c r="J163" i="33"/>
  <c r="I163" i="33"/>
  <c r="K162" i="33"/>
  <c r="J162" i="33"/>
  <c r="I162" i="33"/>
  <c r="K161" i="33"/>
  <c r="J161" i="33"/>
  <c r="I161" i="33"/>
  <c r="K160" i="33"/>
  <c r="J160" i="33"/>
  <c r="I160" i="33"/>
  <c r="K159" i="33"/>
  <c r="J159" i="33"/>
  <c r="I159" i="33"/>
  <c r="K158" i="33"/>
  <c r="J158" i="33"/>
  <c r="I158" i="33"/>
  <c r="K157" i="33"/>
  <c r="J157" i="33"/>
  <c r="I157" i="33"/>
  <c r="K156" i="33"/>
  <c r="J156" i="33"/>
  <c r="I156" i="33"/>
  <c r="K155" i="33"/>
  <c r="J155" i="33"/>
  <c r="I155" i="33"/>
  <c r="K154" i="33"/>
  <c r="J154" i="33"/>
  <c r="I154" i="33"/>
  <c r="K153" i="33"/>
  <c r="J153" i="33"/>
  <c r="I153" i="33"/>
  <c r="K152" i="33"/>
  <c r="J152" i="33"/>
  <c r="I152" i="33"/>
  <c r="K151" i="33"/>
  <c r="J151" i="33"/>
  <c r="I151" i="33"/>
  <c r="K150" i="33"/>
  <c r="J150" i="33"/>
  <c r="I150" i="33"/>
  <c r="K149" i="33"/>
  <c r="J149" i="33"/>
  <c r="I149" i="33"/>
  <c r="K148" i="33"/>
  <c r="J148" i="33"/>
  <c r="I148" i="33"/>
  <c r="K147" i="33"/>
  <c r="J147" i="33"/>
  <c r="I147" i="33"/>
  <c r="K141" i="33"/>
  <c r="J141" i="33"/>
  <c r="I141" i="33"/>
  <c r="K140" i="33"/>
  <c r="J140" i="33"/>
  <c r="I140" i="33"/>
  <c r="K139" i="33"/>
  <c r="J139" i="33"/>
  <c r="I139" i="33"/>
  <c r="K138" i="33"/>
  <c r="J138" i="33"/>
  <c r="I138" i="33"/>
  <c r="K137" i="33"/>
  <c r="J137" i="33"/>
  <c r="I137" i="33"/>
  <c r="K136" i="33"/>
  <c r="J136" i="33"/>
  <c r="I136" i="33"/>
  <c r="K135" i="33"/>
  <c r="J135" i="33"/>
  <c r="I135" i="33"/>
  <c r="K134" i="33"/>
  <c r="J134" i="33"/>
  <c r="I134" i="33"/>
  <c r="K133" i="33"/>
  <c r="J133" i="33"/>
  <c r="I133" i="33"/>
  <c r="K132" i="33"/>
  <c r="J132" i="33"/>
  <c r="I132" i="33"/>
  <c r="K131" i="33"/>
  <c r="J131" i="33"/>
  <c r="I131" i="33"/>
  <c r="K130" i="33"/>
  <c r="J130" i="33"/>
  <c r="I130" i="33"/>
  <c r="K129" i="33"/>
  <c r="J129" i="33"/>
  <c r="I129" i="33"/>
  <c r="K128" i="33"/>
  <c r="J128" i="33"/>
  <c r="I128" i="33"/>
  <c r="K127" i="33"/>
  <c r="J127" i="33"/>
  <c r="I127" i="33"/>
  <c r="K126" i="33"/>
  <c r="J126" i="33"/>
  <c r="I126" i="33"/>
  <c r="K125" i="33"/>
  <c r="J125" i="33"/>
  <c r="I125" i="33"/>
  <c r="K124" i="33"/>
  <c r="J124" i="33"/>
  <c r="I124" i="33"/>
  <c r="K123" i="33"/>
  <c r="J123" i="33"/>
  <c r="I123" i="33"/>
  <c r="K122" i="33"/>
  <c r="J122" i="33"/>
  <c r="I122" i="33"/>
  <c r="K121" i="33"/>
  <c r="J121" i="33"/>
  <c r="I121" i="33"/>
  <c r="K120" i="33"/>
  <c r="J120" i="33"/>
  <c r="I120" i="33"/>
  <c r="K119" i="33"/>
  <c r="J119" i="33"/>
  <c r="I119" i="33"/>
  <c r="K118" i="33"/>
  <c r="J118" i="33"/>
  <c r="I118" i="33"/>
  <c r="K117" i="33"/>
  <c r="J117" i="33"/>
  <c r="I117" i="33"/>
  <c r="K116" i="33"/>
  <c r="J116" i="33"/>
  <c r="I116" i="33"/>
  <c r="K115" i="33"/>
  <c r="J115" i="33"/>
  <c r="I115" i="33"/>
  <c r="K114" i="33"/>
  <c r="J114" i="33"/>
  <c r="I114" i="33"/>
  <c r="K113" i="33"/>
  <c r="J113" i="33"/>
  <c r="I113" i="33"/>
  <c r="K112" i="33"/>
  <c r="J112" i="33"/>
  <c r="I112" i="33"/>
  <c r="K106" i="33"/>
  <c r="J106" i="33"/>
  <c r="I106" i="33"/>
  <c r="K105" i="33"/>
  <c r="J105" i="33"/>
  <c r="I105" i="33"/>
  <c r="K104" i="33"/>
  <c r="J104" i="33"/>
  <c r="I104" i="33"/>
  <c r="K103" i="33"/>
  <c r="J103" i="33"/>
  <c r="I103" i="33"/>
  <c r="K102" i="33"/>
  <c r="J102" i="33"/>
  <c r="I102" i="33"/>
  <c r="K101" i="33"/>
  <c r="J101" i="33"/>
  <c r="I101" i="33"/>
  <c r="K100" i="33"/>
  <c r="J100" i="33"/>
  <c r="I100" i="33"/>
  <c r="K99" i="33"/>
  <c r="J99" i="33"/>
  <c r="I99" i="33"/>
  <c r="K98" i="33"/>
  <c r="J98" i="33"/>
  <c r="I98" i="33"/>
  <c r="K97" i="33"/>
  <c r="J97" i="33"/>
  <c r="I97" i="33"/>
  <c r="K96" i="33"/>
  <c r="J96" i="33"/>
  <c r="I96" i="33"/>
  <c r="K95" i="33"/>
  <c r="J95" i="33"/>
  <c r="I95" i="33"/>
  <c r="K94" i="33"/>
  <c r="J94" i="33"/>
  <c r="I94" i="33"/>
  <c r="K93" i="33"/>
  <c r="J93" i="33"/>
  <c r="I93" i="33"/>
  <c r="K92" i="33"/>
  <c r="J92" i="33"/>
  <c r="I92" i="33"/>
  <c r="K91" i="33"/>
  <c r="J91" i="33"/>
  <c r="I91" i="33"/>
  <c r="K90" i="33"/>
  <c r="J90" i="33"/>
  <c r="I90" i="33"/>
  <c r="K89" i="33"/>
  <c r="J89" i="33"/>
  <c r="I89" i="33"/>
  <c r="K88" i="33"/>
  <c r="J88" i="33"/>
  <c r="I88" i="33"/>
  <c r="K87" i="33"/>
  <c r="J87" i="33"/>
  <c r="I87" i="33"/>
  <c r="K86" i="33"/>
  <c r="J86" i="33"/>
  <c r="I86" i="33"/>
  <c r="K85" i="33"/>
  <c r="J85" i="33"/>
  <c r="I85" i="33"/>
  <c r="K84" i="33"/>
  <c r="J84" i="33"/>
  <c r="I84" i="33"/>
  <c r="K83" i="33"/>
  <c r="J83" i="33"/>
  <c r="I83" i="33"/>
  <c r="K82" i="33"/>
  <c r="J82" i="33"/>
  <c r="I82" i="33"/>
  <c r="K81" i="33"/>
  <c r="J81" i="33"/>
  <c r="I81" i="33"/>
  <c r="K80" i="33"/>
  <c r="J80" i="33"/>
  <c r="I80" i="33"/>
  <c r="K79" i="33"/>
  <c r="J79" i="33"/>
  <c r="I79" i="33"/>
  <c r="K78" i="33"/>
  <c r="J78" i="33"/>
  <c r="I78" i="33"/>
  <c r="K77" i="33"/>
  <c r="J77" i="33"/>
  <c r="I77" i="33"/>
  <c r="K71" i="33"/>
  <c r="J71" i="33"/>
  <c r="I71" i="33"/>
  <c r="K70" i="33"/>
  <c r="J70" i="33"/>
  <c r="I70" i="33"/>
  <c r="K69" i="33"/>
  <c r="J69" i="33"/>
  <c r="I69" i="33"/>
  <c r="K68" i="33"/>
  <c r="J68" i="33"/>
  <c r="I68" i="33"/>
  <c r="K67" i="33"/>
  <c r="J67" i="33"/>
  <c r="I67" i="33"/>
  <c r="K66" i="33"/>
  <c r="J66" i="33"/>
  <c r="I66" i="33"/>
  <c r="K65" i="33"/>
  <c r="J65" i="33"/>
  <c r="I65" i="33"/>
  <c r="K64" i="33"/>
  <c r="J64" i="33"/>
  <c r="I64" i="33"/>
  <c r="K63" i="33"/>
  <c r="J63" i="33"/>
  <c r="I63" i="33"/>
  <c r="K62" i="33"/>
  <c r="J62" i="33"/>
  <c r="I62" i="33"/>
  <c r="K61" i="33"/>
  <c r="J61" i="33"/>
  <c r="I61" i="33"/>
  <c r="K60" i="33"/>
  <c r="J60" i="33"/>
  <c r="I60" i="33"/>
  <c r="K59" i="33"/>
  <c r="J59" i="33"/>
  <c r="I59" i="33"/>
  <c r="K58" i="33"/>
  <c r="J58" i="33"/>
  <c r="I58" i="33"/>
  <c r="K57" i="33"/>
  <c r="J57" i="33"/>
  <c r="I57" i="33"/>
  <c r="K56" i="33"/>
  <c r="J56" i="33"/>
  <c r="I56" i="33"/>
  <c r="K55" i="33"/>
  <c r="J55" i="33"/>
  <c r="I55" i="33"/>
  <c r="K54" i="33"/>
  <c r="J54" i="33"/>
  <c r="I54" i="33"/>
  <c r="K53" i="33"/>
  <c r="J53" i="33"/>
  <c r="I53" i="33"/>
  <c r="K52" i="33"/>
  <c r="J52" i="33"/>
  <c r="I52" i="33"/>
  <c r="K51" i="33"/>
  <c r="J51" i="33"/>
  <c r="I51" i="33"/>
  <c r="K50" i="33"/>
  <c r="J50" i="33"/>
  <c r="I50" i="33"/>
  <c r="K49" i="33"/>
  <c r="J49" i="33"/>
  <c r="I49" i="33"/>
  <c r="K48" i="33"/>
  <c r="J48" i="33"/>
  <c r="I48" i="33"/>
  <c r="K47" i="33"/>
  <c r="J47" i="33"/>
  <c r="I47" i="33"/>
  <c r="K46" i="33"/>
  <c r="J46" i="33"/>
  <c r="I46" i="33"/>
  <c r="K45" i="33"/>
  <c r="J45" i="33"/>
  <c r="I45" i="33"/>
  <c r="K44" i="33"/>
  <c r="J44" i="33"/>
  <c r="I44" i="33"/>
  <c r="K43" i="33"/>
  <c r="J43" i="33"/>
  <c r="I43" i="33"/>
  <c r="K42" i="33"/>
  <c r="J42" i="33"/>
  <c r="I42" i="33"/>
  <c r="K211" i="8"/>
  <c r="J211" i="8"/>
  <c r="I211" i="8"/>
  <c r="K210" i="8"/>
  <c r="J210" i="8"/>
  <c r="I210" i="8"/>
  <c r="K209" i="8"/>
  <c r="J209" i="8"/>
  <c r="I209" i="8"/>
  <c r="K208" i="8"/>
  <c r="J208" i="8"/>
  <c r="I208" i="8"/>
  <c r="K207" i="8"/>
  <c r="J207" i="8"/>
  <c r="I207" i="8"/>
  <c r="K206" i="8"/>
  <c r="J206" i="8"/>
  <c r="I206" i="8"/>
  <c r="K205" i="8"/>
  <c r="J205" i="8"/>
  <c r="I205" i="8"/>
  <c r="K204" i="8"/>
  <c r="J204" i="8"/>
  <c r="I204" i="8"/>
  <c r="K203" i="8"/>
  <c r="J203" i="8"/>
  <c r="I203" i="8"/>
  <c r="K202" i="8"/>
  <c r="J202" i="8"/>
  <c r="I202" i="8"/>
  <c r="K201" i="8"/>
  <c r="J201" i="8"/>
  <c r="I201" i="8"/>
  <c r="K200" i="8"/>
  <c r="J200" i="8"/>
  <c r="I200" i="8"/>
  <c r="K199" i="8"/>
  <c r="J199" i="8"/>
  <c r="I199" i="8"/>
  <c r="K198" i="8"/>
  <c r="J198" i="8"/>
  <c r="I198" i="8"/>
  <c r="K197" i="8"/>
  <c r="J197" i="8"/>
  <c r="I197" i="8"/>
  <c r="K196" i="8"/>
  <c r="J196" i="8"/>
  <c r="I196" i="8"/>
  <c r="K195" i="8"/>
  <c r="J195" i="8"/>
  <c r="I195" i="8"/>
  <c r="K194" i="8"/>
  <c r="J194" i="8"/>
  <c r="I194" i="8"/>
  <c r="K193" i="8"/>
  <c r="J193" i="8"/>
  <c r="I193" i="8"/>
  <c r="K192" i="8"/>
  <c r="J192" i="8"/>
  <c r="I192" i="8"/>
  <c r="K191" i="8"/>
  <c r="J191" i="8"/>
  <c r="I191" i="8"/>
  <c r="K190" i="8"/>
  <c r="J190" i="8"/>
  <c r="I190" i="8"/>
  <c r="K189" i="8"/>
  <c r="J189" i="8"/>
  <c r="I189" i="8"/>
  <c r="K188" i="8"/>
  <c r="J188" i="8"/>
  <c r="I188" i="8"/>
  <c r="K187" i="8"/>
  <c r="J187" i="8"/>
  <c r="I187" i="8"/>
  <c r="K186" i="8"/>
  <c r="J186" i="8"/>
  <c r="I186" i="8"/>
  <c r="K185" i="8"/>
  <c r="J185" i="8"/>
  <c r="I185" i="8"/>
  <c r="K184" i="8"/>
  <c r="J184" i="8"/>
  <c r="I184" i="8"/>
  <c r="K183" i="8"/>
  <c r="J183" i="8"/>
  <c r="I183" i="8"/>
  <c r="K182" i="8"/>
  <c r="J182" i="8"/>
  <c r="I182" i="8"/>
  <c r="K176" i="8"/>
  <c r="J176" i="8"/>
  <c r="I176" i="8"/>
  <c r="K175" i="8"/>
  <c r="J175" i="8"/>
  <c r="I175" i="8"/>
  <c r="K174" i="8"/>
  <c r="J174" i="8"/>
  <c r="I174" i="8"/>
  <c r="K173" i="8"/>
  <c r="J173" i="8"/>
  <c r="I173" i="8"/>
  <c r="K172" i="8"/>
  <c r="J172" i="8"/>
  <c r="I172" i="8"/>
  <c r="K171" i="8"/>
  <c r="J171" i="8"/>
  <c r="I171" i="8"/>
  <c r="K170" i="8"/>
  <c r="J170" i="8"/>
  <c r="I170" i="8"/>
  <c r="K169" i="8"/>
  <c r="J169" i="8"/>
  <c r="I169" i="8"/>
  <c r="K168" i="8"/>
  <c r="J168" i="8"/>
  <c r="I168" i="8"/>
  <c r="K167" i="8"/>
  <c r="J167" i="8"/>
  <c r="I167" i="8"/>
  <c r="K166" i="8"/>
  <c r="J166" i="8"/>
  <c r="I166" i="8"/>
  <c r="K165" i="8"/>
  <c r="J165" i="8"/>
  <c r="I165" i="8"/>
  <c r="K164" i="8"/>
  <c r="J164" i="8"/>
  <c r="I164" i="8"/>
  <c r="K163" i="8"/>
  <c r="J163" i="8"/>
  <c r="I163" i="8"/>
  <c r="K162" i="8"/>
  <c r="J162" i="8"/>
  <c r="I162" i="8"/>
  <c r="K161" i="8"/>
  <c r="J161" i="8"/>
  <c r="I161" i="8"/>
  <c r="K160" i="8"/>
  <c r="J160" i="8"/>
  <c r="I160" i="8"/>
  <c r="K159" i="8"/>
  <c r="J159" i="8"/>
  <c r="I159" i="8"/>
  <c r="K158" i="8"/>
  <c r="J158" i="8"/>
  <c r="I158" i="8"/>
  <c r="K157" i="8"/>
  <c r="J157" i="8"/>
  <c r="I157" i="8"/>
  <c r="K156" i="8"/>
  <c r="J156" i="8"/>
  <c r="I156" i="8"/>
  <c r="K155" i="8"/>
  <c r="J155" i="8"/>
  <c r="I155" i="8"/>
  <c r="K154" i="8"/>
  <c r="J154" i="8"/>
  <c r="I154" i="8"/>
  <c r="K153" i="8"/>
  <c r="J153" i="8"/>
  <c r="I153" i="8"/>
  <c r="K152" i="8"/>
  <c r="J152" i="8"/>
  <c r="I152" i="8"/>
  <c r="K151" i="8"/>
  <c r="J151" i="8"/>
  <c r="I151" i="8"/>
  <c r="K150" i="8"/>
  <c r="J150" i="8"/>
  <c r="I150" i="8"/>
  <c r="K149" i="8"/>
  <c r="J149" i="8"/>
  <c r="I149" i="8"/>
  <c r="K148" i="8"/>
  <c r="J148" i="8"/>
  <c r="I148" i="8"/>
  <c r="K147" i="8"/>
  <c r="J147" i="8"/>
  <c r="I147" i="8"/>
  <c r="K141" i="8"/>
  <c r="J141" i="8"/>
  <c r="I141" i="8"/>
  <c r="K140" i="8"/>
  <c r="J140" i="8"/>
  <c r="I140" i="8"/>
  <c r="K139" i="8"/>
  <c r="J139" i="8"/>
  <c r="I139" i="8"/>
  <c r="K138" i="8"/>
  <c r="J138" i="8"/>
  <c r="I138" i="8"/>
  <c r="K137" i="8"/>
  <c r="J137" i="8"/>
  <c r="I137" i="8"/>
  <c r="K136" i="8"/>
  <c r="J136" i="8"/>
  <c r="I136" i="8"/>
  <c r="K135" i="8"/>
  <c r="J135" i="8"/>
  <c r="I135" i="8"/>
  <c r="K134" i="8"/>
  <c r="J134" i="8"/>
  <c r="I134" i="8"/>
  <c r="K133" i="8"/>
  <c r="J133" i="8"/>
  <c r="I133" i="8"/>
  <c r="K132" i="8"/>
  <c r="J132" i="8"/>
  <c r="I132" i="8"/>
  <c r="K131" i="8"/>
  <c r="J131" i="8"/>
  <c r="I131" i="8"/>
  <c r="K130" i="8"/>
  <c r="J130" i="8"/>
  <c r="I130" i="8"/>
  <c r="K129" i="8"/>
  <c r="J129" i="8"/>
  <c r="I129" i="8"/>
  <c r="K128" i="8"/>
  <c r="J128" i="8"/>
  <c r="I128" i="8"/>
  <c r="K127" i="8"/>
  <c r="J127" i="8"/>
  <c r="I127" i="8"/>
  <c r="K126" i="8"/>
  <c r="J126" i="8"/>
  <c r="I126" i="8"/>
  <c r="K125" i="8"/>
  <c r="J125" i="8"/>
  <c r="I125" i="8"/>
  <c r="K124" i="8"/>
  <c r="J124" i="8"/>
  <c r="I124" i="8"/>
  <c r="K123" i="8"/>
  <c r="J123" i="8"/>
  <c r="I123" i="8"/>
  <c r="K122" i="8"/>
  <c r="J122" i="8"/>
  <c r="I122" i="8"/>
  <c r="K121" i="8"/>
  <c r="J121" i="8"/>
  <c r="I121" i="8"/>
  <c r="K120" i="8"/>
  <c r="J120" i="8"/>
  <c r="I120" i="8"/>
  <c r="K119" i="8"/>
  <c r="J119" i="8"/>
  <c r="I119" i="8"/>
  <c r="K118" i="8"/>
  <c r="J118" i="8"/>
  <c r="I118" i="8"/>
  <c r="K117" i="8"/>
  <c r="J117" i="8"/>
  <c r="I117" i="8"/>
  <c r="K116" i="8"/>
  <c r="J116" i="8"/>
  <c r="I116" i="8"/>
  <c r="K115" i="8"/>
  <c r="J115" i="8"/>
  <c r="I115" i="8"/>
  <c r="K114" i="8"/>
  <c r="J114" i="8"/>
  <c r="I114" i="8"/>
  <c r="K113" i="8"/>
  <c r="J113" i="8"/>
  <c r="I113" i="8"/>
  <c r="K112" i="8"/>
  <c r="J112" i="8"/>
  <c r="I112" i="8"/>
  <c r="K106" i="8"/>
  <c r="J106" i="8"/>
  <c r="I106" i="8"/>
  <c r="K105" i="8"/>
  <c r="J105" i="8"/>
  <c r="I105" i="8"/>
  <c r="K104" i="8"/>
  <c r="J104" i="8"/>
  <c r="I104" i="8"/>
  <c r="K103" i="8"/>
  <c r="J103" i="8"/>
  <c r="I103" i="8"/>
  <c r="K102" i="8"/>
  <c r="J102" i="8"/>
  <c r="I102" i="8"/>
  <c r="K101" i="8"/>
  <c r="J101" i="8"/>
  <c r="I101" i="8"/>
  <c r="K100" i="8"/>
  <c r="J100" i="8"/>
  <c r="I100" i="8"/>
  <c r="K99" i="8"/>
  <c r="J99" i="8"/>
  <c r="I99" i="8"/>
  <c r="K98" i="8"/>
  <c r="J98" i="8"/>
  <c r="I98" i="8"/>
  <c r="K97" i="8"/>
  <c r="J97" i="8"/>
  <c r="I97" i="8"/>
  <c r="K96" i="8"/>
  <c r="J96" i="8"/>
  <c r="I96" i="8"/>
  <c r="K95" i="8"/>
  <c r="J95" i="8"/>
  <c r="I95" i="8"/>
  <c r="K94" i="8"/>
  <c r="J94" i="8"/>
  <c r="I94" i="8"/>
  <c r="K93" i="8"/>
  <c r="J93" i="8"/>
  <c r="I93" i="8"/>
  <c r="K92" i="8"/>
  <c r="J92" i="8"/>
  <c r="I92" i="8"/>
  <c r="K91" i="8"/>
  <c r="J91" i="8"/>
  <c r="I91" i="8"/>
  <c r="K90" i="8"/>
  <c r="J90" i="8"/>
  <c r="I90" i="8"/>
  <c r="K89" i="8"/>
  <c r="J89" i="8"/>
  <c r="I89" i="8"/>
  <c r="K88" i="8"/>
  <c r="J88" i="8"/>
  <c r="I88" i="8"/>
  <c r="K87" i="8"/>
  <c r="J87" i="8"/>
  <c r="I87" i="8"/>
  <c r="K86" i="8"/>
  <c r="J86" i="8"/>
  <c r="I86" i="8"/>
  <c r="K85" i="8"/>
  <c r="J85" i="8"/>
  <c r="I85" i="8"/>
  <c r="K84" i="8"/>
  <c r="J84" i="8"/>
  <c r="I84" i="8"/>
  <c r="K83" i="8"/>
  <c r="J83" i="8"/>
  <c r="I83" i="8"/>
  <c r="K82" i="8"/>
  <c r="J82" i="8"/>
  <c r="I82" i="8"/>
  <c r="K81" i="8"/>
  <c r="J81" i="8"/>
  <c r="I81" i="8"/>
  <c r="K80" i="8"/>
  <c r="J80" i="8"/>
  <c r="I80" i="8"/>
  <c r="K79" i="8"/>
  <c r="J79" i="8"/>
  <c r="I79" i="8"/>
  <c r="K78" i="8"/>
  <c r="J78" i="8"/>
  <c r="I78" i="8"/>
  <c r="K77" i="8"/>
  <c r="J77" i="8"/>
  <c r="I77" i="8"/>
  <c r="K71" i="8"/>
  <c r="J71" i="8"/>
  <c r="I71" i="8"/>
  <c r="K70" i="8"/>
  <c r="J70" i="8"/>
  <c r="I70" i="8"/>
  <c r="K69" i="8"/>
  <c r="J69" i="8"/>
  <c r="I69" i="8"/>
  <c r="K68" i="8"/>
  <c r="J68" i="8"/>
  <c r="I68" i="8"/>
  <c r="K67" i="8"/>
  <c r="J67" i="8"/>
  <c r="I67" i="8"/>
  <c r="K66" i="8"/>
  <c r="J66" i="8"/>
  <c r="I66" i="8"/>
  <c r="K65" i="8"/>
  <c r="J65" i="8"/>
  <c r="I65" i="8"/>
  <c r="K64" i="8"/>
  <c r="J64" i="8"/>
  <c r="I64" i="8"/>
  <c r="K63" i="8"/>
  <c r="J63" i="8"/>
  <c r="I63" i="8"/>
  <c r="K62" i="8"/>
  <c r="J62" i="8"/>
  <c r="I62" i="8"/>
  <c r="K61" i="8"/>
  <c r="J61" i="8"/>
  <c r="I61" i="8"/>
  <c r="K60" i="8"/>
  <c r="J60" i="8"/>
  <c r="I60" i="8"/>
  <c r="K59" i="8"/>
  <c r="J59" i="8"/>
  <c r="I59" i="8"/>
  <c r="K58" i="8"/>
  <c r="J58" i="8"/>
  <c r="I58" i="8"/>
  <c r="K57" i="8"/>
  <c r="J57" i="8"/>
  <c r="I57" i="8"/>
  <c r="K56" i="8"/>
  <c r="J56" i="8"/>
  <c r="I56" i="8"/>
  <c r="K55" i="8"/>
  <c r="J55" i="8"/>
  <c r="I55" i="8"/>
  <c r="K54" i="8"/>
  <c r="J54" i="8"/>
  <c r="I54" i="8"/>
  <c r="K53" i="8"/>
  <c r="J53" i="8"/>
  <c r="I53" i="8"/>
  <c r="K52" i="8"/>
  <c r="J52" i="8"/>
  <c r="I52" i="8"/>
  <c r="K51" i="8"/>
  <c r="J51" i="8"/>
  <c r="I51" i="8"/>
  <c r="K50" i="8"/>
  <c r="J50" i="8"/>
  <c r="I50" i="8"/>
  <c r="K49" i="8"/>
  <c r="J49" i="8"/>
  <c r="I49" i="8"/>
  <c r="K48" i="8"/>
  <c r="J48" i="8"/>
  <c r="I48" i="8"/>
  <c r="K47" i="8"/>
  <c r="J47" i="8"/>
  <c r="I47" i="8"/>
  <c r="K46" i="8"/>
  <c r="J46" i="8"/>
  <c r="I46" i="8"/>
  <c r="K45" i="8"/>
  <c r="J45" i="8"/>
  <c r="I45" i="8"/>
  <c r="K44" i="8"/>
  <c r="J44" i="8"/>
  <c r="I44" i="8"/>
  <c r="K43" i="8"/>
  <c r="J43" i="8"/>
  <c r="I43" i="8"/>
  <c r="K42" i="8"/>
  <c r="J42" i="8"/>
  <c r="I42" i="8"/>
  <c r="L107" i="37"/>
  <c r="L107" i="36"/>
  <c r="L107" i="35"/>
  <c r="L107" i="32"/>
  <c r="I35" i="5"/>
  <c r="U35" i="3"/>
  <c r="O35" i="3"/>
  <c r="M81" i="34" l="1"/>
  <c r="M101" i="34"/>
  <c r="L42" i="8"/>
  <c r="P22" i="32" l="1"/>
  <c r="U22" i="32" s="1"/>
  <c r="Z22" i="32" s="1"/>
  <c r="AE22" i="32" s="1"/>
  <c r="AJ22" i="32" s="1"/>
  <c r="AO22" i="32" s="1"/>
  <c r="AT22" i="32" s="1"/>
  <c r="P22" i="31"/>
  <c r="U22" i="31" s="1"/>
  <c r="Z22" i="31" s="1"/>
  <c r="AE22" i="31" s="1"/>
  <c r="AJ22" i="31" s="1"/>
  <c r="AO22" i="31" s="1"/>
  <c r="AT22" i="31" s="1"/>
  <c r="P22" i="34"/>
  <c r="U22" i="34" s="1"/>
  <c r="Z22" i="34" s="1"/>
  <c r="AE22" i="34" s="1"/>
  <c r="AJ22" i="34" s="1"/>
  <c r="AO22" i="34" s="1"/>
  <c r="AT22" i="34" s="1"/>
  <c r="P22" i="35"/>
  <c r="U22" i="35" s="1"/>
  <c r="Z22" i="35" s="1"/>
  <c r="AE22" i="35" s="1"/>
  <c r="AJ22" i="35" s="1"/>
  <c r="AO22" i="35" s="1"/>
  <c r="AT22" i="35" s="1"/>
  <c r="P22" i="36"/>
  <c r="U22" i="36" s="1"/>
  <c r="Z22" i="36" s="1"/>
  <c r="AE22" i="36" s="1"/>
  <c r="AJ22" i="36" s="1"/>
  <c r="AO22" i="36" s="1"/>
  <c r="AT22" i="36" s="1"/>
  <c r="P22" i="37"/>
  <c r="U22" i="37" s="1"/>
  <c r="Z22" i="37" s="1"/>
  <c r="AE22" i="37" s="1"/>
  <c r="AJ22" i="37" s="1"/>
  <c r="AO22" i="37" s="1"/>
  <c r="AT22" i="37" s="1"/>
  <c r="P22" i="30"/>
  <c r="U22" i="30" s="1"/>
  <c r="Z22" i="30" s="1"/>
  <c r="AE22" i="30" s="1"/>
  <c r="AJ22" i="30" s="1"/>
  <c r="AO22" i="30" s="1"/>
  <c r="AT22" i="30" s="1"/>
  <c r="U2" i="32"/>
  <c r="Z2" i="32" s="1"/>
  <c r="AE2" i="32" s="1"/>
  <c r="AJ2" i="32" s="1"/>
  <c r="AO2" i="32" s="1"/>
  <c r="AT2" i="32" s="1"/>
  <c r="U2" i="31"/>
  <c r="Z2" i="31" s="1"/>
  <c r="AE2" i="31" s="1"/>
  <c r="AJ2" i="31" s="1"/>
  <c r="AO2" i="31" s="1"/>
  <c r="AT2" i="31" s="1"/>
  <c r="U2" i="34"/>
  <c r="Z2" i="34" s="1"/>
  <c r="AE2" i="34" s="1"/>
  <c r="AJ2" i="34" s="1"/>
  <c r="AO2" i="34" s="1"/>
  <c r="AT2" i="34" s="1"/>
  <c r="U2" i="35"/>
  <c r="Z2" i="35" s="1"/>
  <c r="AE2" i="35" s="1"/>
  <c r="AJ2" i="35" s="1"/>
  <c r="AO2" i="35" s="1"/>
  <c r="AT2" i="35" s="1"/>
  <c r="U2" i="36"/>
  <c r="Z2" i="36" s="1"/>
  <c r="AE2" i="36" s="1"/>
  <c r="AJ2" i="36" s="1"/>
  <c r="AO2" i="36" s="1"/>
  <c r="AT2" i="36" s="1"/>
  <c r="U2" i="37"/>
  <c r="Z2" i="37" s="1"/>
  <c r="AE2" i="37" s="1"/>
  <c r="AJ2" i="37" s="1"/>
  <c r="AO2" i="37" s="1"/>
  <c r="AT2" i="37" s="1"/>
  <c r="U2" i="30"/>
  <c r="Z2" i="30" s="1"/>
  <c r="AE2" i="30" s="1"/>
  <c r="AJ2" i="30" s="1"/>
  <c r="AO2" i="30" s="1"/>
  <c r="AT2" i="30" s="1"/>
  <c r="U2" i="33"/>
  <c r="Z2" i="33" s="1"/>
  <c r="AE2" i="33" s="1"/>
  <c r="AJ2" i="33" s="1"/>
  <c r="AO2" i="33" s="1"/>
  <c r="AT2" i="33" s="1"/>
  <c r="P37" i="8"/>
  <c r="U2" i="8"/>
  <c r="Z2" i="8" s="1"/>
  <c r="AE2" i="8" s="1"/>
  <c r="AJ2" i="8" s="1"/>
  <c r="AO2" i="8" s="1"/>
  <c r="U5" i="3" l="1"/>
  <c r="P6" i="3" l="1"/>
  <c r="AW121" i="30" l="1"/>
  <c r="AR121" i="30"/>
  <c r="AM121" i="30"/>
  <c r="AH121" i="30"/>
  <c r="AC121" i="30"/>
  <c r="X121" i="30"/>
  <c r="S121" i="30"/>
  <c r="AW120" i="30"/>
  <c r="AR120" i="30"/>
  <c r="AM120" i="30"/>
  <c r="AH120" i="30"/>
  <c r="AC120" i="30"/>
  <c r="X120" i="30"/>
  <c r="S120" i="30"/>
  <c r="AW119" i="30"/>
  <c r="AR119" i="30"/>
  <c r="AM119" i="30"/>
  <c r="AH119" i="30"/>
  <c r="AC119" i="30"/>
  <c r="X119" i="30"/>
  <c r="S119" i="30"/>
  <c r="AW118" i="30"/>
  <c r="AR118" i="30"/>
  <c r="AM118" i="30"/>
  <c r="AH118" i="30"/>
  <c r="AC118" i="30"/>
  <c r="X118" i="30"/>
  <c r="S118" i="30"/>
  <c r="AW117" i="30"/>
  <c r="AR117" i="30"/>
  <c r="AM117" i="30"/>
  <c r="AH117" i="30"/>
  <c r="AC117" i="30"/>
  <c r="X117" i="30"/>
  <c r="S117" i="30"/>
  <c r="AW116" i="30"/>
  <c r="AR116" i="30"/>
  <c r="AM116" i="30"/>
  <c r="AH116" i="30"/>
  <c r="AC116" i="30"/>
  <c r="X116" i="30"/>
  <c r="S116" i="30"/>
  <c r="AW115" i="30"/>
  <c r="AR115" i="30"/>
  <c r="AM115" i="30"/>
  <c r="AH115" i="30"/>
  <c r="AC115" i="30"/>
  <c r="X115" i="30"/>
  <c r="S115" i="30"/>
  <c r="AW114" i="30"/>
  <c r="AR114" i="30"/>
  <c r="AM114" i="30"/>
  <c r="AH114" i="30"/>
  <c r="AC114" i="30"/>
  <c r="X114" i="30"/>
  <c r="S114" i="30"/>
  <c r="AW113" i="30"/>
  <c r="AR113" i="30"/>
  <c r="AM113" i="30"/>
  <c r="AH113" i="30"/>
  <c r="AC113" i="30"/>
  <c r="X113" i="30"/>
  <c r="S113" i="30"/>
  <c r="AW112" i="30"/>
  <c r="AR112" i="30"/>
  <c r="AM112" i="30"/>
  <c r="AH112" i="30"/>
  <c r="AC112" i="30"/>
  <c r="X112" i="30"/>
  <c r="S112" i="30"/>
  <c r="AW111" i="30"/>
  <c r="AR111" i="30"/>
  <c r="AM111" i="30"/>
  <c r="AH111" i="30"/>
  <c r="AC111" i="30"/>
  <c r="X111" i="30"/>
  <c r="S111" i="30"/>
  <c r="AW110" i="30"/>
  <c r="AR110" i="30"/>
  <c r="AM110" i="30"/>
  <c r="AH110" i="30"/>
  <c r="AC110" i="30"/>
  <c r="X110" i="30"/>
  <c r="S110" i="30"/>
  <c r="AW109" i="30"/>
  <c r="AR109" i="30"/>
  <c r="AM109" i="30"/>
  <c r="AH109" i="30"/>
  <c r="AC109" i="30"/>
  <c r="X109" i="30"/>
  <c r="S109" i="30"/>
  <c r="AW108" i="30"/>
  <c r="AR108" i="30"/>
  <c r="AM108" i="30"/>
  <c r="AH108" i="30"/>
  <c r="AC108" i="30"/>
  <c r="X108" i="30"/>
  <c r="S108" i="30"/>
  <c r="AW107" i="30"/>
  <c r="AR107" i="30"/>
  <c r="AM107" i="30"/>
  <c r="AH107" i="30"/>
  <c r="AC107" i="30"/>
  <c r="X107" i="30"/>
  <c r="S107" i="30"/>
  <c r="G255" i="8" l="1"/>
  <c r="G254" i="8"/>
  <c r="G253" i="8"/>
  <c r="G252" i="8"/>
  <c r="G251" i="8"/>
  <c r="G250" i="8"/>
  <c r="G262" i="8"/>
  <c r="G261" i="8"/>
  <c r="G260" i="8"/>
  <c r="G259" i="8"/>
  <c r="G258" i="8"/>
  <c r="G257" i="8"/>
  <c r="AW211" i="33" l="1"/>
  <c r="AW210" i="33"/>
  <c r="AW209" i="33"/>
  <c r="AW208" i="33"/>
  <c r="AW207" i="33"/>
  <c r="AW206" i="33"/>
  <c r="AW205" i="33"/>
  <c r="AW204" i="33"/>
  <c r="AW203" i="33"/>
  <c r="AW202" i="33"/>
  <c r="AW201" i="33"/>
  <c r="AW200" i="33"/>
  <c r="AW199" i="33"/>
  <c r="AW198" i="33"/>
  <c r="AW197" i="33"/>
  <c r="AW196" i="33"/>
  <c r="AW195" i="33"/>
  <c r="AW194" i="33"/>
  <c r="AW193" i="33"/>
  <c r="AW192" i="33"/>
  <c r="AW191" i="33"/>
  <c r="AW190" i="33"/>
  <c r="AW189" i="33"/>
  <c r="AW188" i="33"/>
  <c r="AW187" i="33"/>
  <c r="AW186" i="33"/>
  <c r="AW185" i="33"/>
  <c r="AW184" i="33"/>
  <c r="AW183" i="33"/>
  <c r="AW182" i="33"/>
  <c r="AR211" i="33"/>
  <c r="AR210" i="33"/>
  <c r="AR209" i="33"/>
  <c r="AR208" i="33"/>
  <c r="AR207" i="33"/>
  <c r="AR206" i="33"/>
  <c r="AR205" i="33"/>
  <c r="AR204" i="33"/>
  <c r="AR203" i="33"/>
  <c r="AR202" i="33"/>
  <c r="AR201" i="33"/>
  <c r="AR200" i="33"/>
  <c r="AR199" i="33"/>
  <c r="AR198" i="33"/>
  <c r="AR197" i="33"/>
  <c r="AR196" i="33"/>
  <c r="AR195" i="33"/>
  <c r="AR194" i="33"/>
  <c r="AR193" i="33"/>
  <c r="AR192" i="33"/>
  <c r="AR191" i="33"/>
  <c r="AR190" i="33"/>
  <c r="AR189" i="33"/>
  <c r="AR188" i="33"/>
  <c r="AR187" i="33"/>
  <c r="AR186" i="33"/>
  <c r="AR185" i="33"/>
  <c r="AR184" i="33"/>
  <c r="AR183" i="33"/>
  <c r="AR182" i="33"/>
  <c r="AM211" i="33"/>
  <c r="AM210" i="33"/>
  <c r="AM209" i="33"/>
  <c r="AM208" i="33"/>
  <c r="AM207" i="33"/>
  <c r="AM206" i="33"/>
  <c r="AM205" i="33"/>
  <c r="AM204" i="33"/>
  <c r="AM203" i="33"/>
  <c r="AM202" i="33"/>
  <c r="AM201" i="33"/>
  <c r="AM200" i="33"/>
  <c r="AM199" i="33"/>
  <c r="AM198" i="33"/>
  <c r="AM197" i="33"/>
  <c r="AM196" i="33"/>
  <c r="AM195" i="33"/>
  <c r="AM194" i="33"/>
  <c r="AM193" i="33"/>
  <c r="AM192" i="33"/>
  <c r="AM191" i="33"/>
  <c r="AM190" i="33"/>
  <c r="AM189" i="33"/>
  <c r="AM188" i="33"/>
  <c r="AM187" i="33"/>
  <c r="AM186" i="33"/>
  <c r="AM185" i="33"/>
  <c r="AM184" i="33"/>
  <c r="AM183" i="33"/>
  <c r="AM182" i="33"/>
  <c r="AH211" i="33"/>
  <c r="AH210" i="33"/>
  <c r="AH209" i="33"/>
  <c r="AH208" i="33"/>
  <c r="AH207" i="33"/>
  <c r="AH206" i="33"/>
  <c r="AH205" i="33"/>
  <c r="AH204" i="33"/>
  <c r="AH203" i="33"/>
  <c r="AH202" i="33"/>
  <c r="AH201" i="33"/>
  <c r="AH200" i="33"/>
  <c r="AH199" i="33"/>
  <c r="AH198" i="33"/>
  <c r="AH197" i="33"/>
  <c r="AH196" i="33"/>
  <c r="AH195" i="33"/>
  <c r="AH194" i="33"/>
  <c r="AH193" i="33"/>
  <c r="AH192" i="33"/>
  <c r="AH191" i="33"/>
  <c r="AH190" i="33"/>
  <c r="AH189" i="33"/>
  <c r="AH188" i="33"/>
  <c r="AH187" i="33"/>
  <c r="AH186" i="33"/>
  <c r="AH185" i="33"/>
  <c r="AH184" i="33"/>
  <c r="AH183" i="33"/>
  <c r="AH182" i="33"/>
  <c r="AC211" i="33"/>
  <c r="AC210" i="33"/>
  <c r="AC209" i="33"/>
  <c r="AC208" i="33"/>
  <c r="AC207" i="33"/>
  <c r="AC206" i="33"/>
  <c r="AC205" i="33"/>
  <c r="AC204" i="33"/>
  <c r="AC203" i="33"/>
  <c r="AC202" i="33"/>
  <c r="AC201" i="33"/>
  <c r="AC200" i="33"/>
  <c r="AC199" i="33"/>
  <c r="AC198" i="33"/>
  <c r="AC197" i="33"/>
  <c r="AC196" i="33"/>
  <c r="AC195" i="33"/>
  <c r="AC194" i="33"/>
  <c r="AC193" i="33"/>
  <c r="AC192" i="33"/>
  <c r="AC191" i="33"/>
  <c r="AC190" i="33"/>
  <c r="AC189" i="33"/>
  <c r="AC188" i="33"/>
  <c r="AC187" i="33"/>
  <c r="AC186" i="33"/>
  <c r="AC185" i="33"/>
  <c r="AC184" i="33"/>
  <c r="AC183" i="33"/>
  <c r="AC182" i="33"/>
  <c r="X211" i="33"/>
  <c r="X210" i="33"/>
  <c r="X209" i="33"/>
  <c r="X208" i="33"/>
  <c r="X207" i="33"/>
  <c r="X206" i="33"/>
  <c r="X205" i="33"/>
  <c r="X204" i="33"/>
  <c r="X203" i="33"/>
  <c r="X202" i="33"/>
  <c r="X201" i="33"/>
  <c r="X200" i="33"/>
  <c r="X199" i="33"/>
  <c r="X198" i="33"/>
  <c r="X197" i="33"/>
  <c r="X196" i="33"/>
  <c r="X195" i="33"/>
  <c r="X194" i="33"/>
  <c r="X193" i="33"/>
  <c r="X192" i="33"/>
  <c r="X191" i="33"/>
  <c r="X190" i="33"/>
  <c r="X189" i="33"/>
  <c r="X188" i="33"/>
  <c r="X187" i="33"/>
  <c r="X186" i="33"/>
  <c r="X185" i="33"/>
  <c r="X184" i="33"/>
  <c r="X183" i="33"/>
  <c r="X182" i="33"/>
  <c r="S211" i="33"/>
  <c r="S210" i="33"/>
  <c r="S209" i="33"/>
  <c r="S208" i="33"/>
  <c r="S207" i="33"/>
  <c r="S206" i="33"/>
  <c r="S205" i="33"/>
  <c r="S204" i="33"/>
  <c r="S203" i="33"/>
  <c r="S202" i="33"/>
  <c r="S201" i="33"/>
  <c r="S200" i="33"/>
  <c r="S199" i="33"/>
  <c r="S198" i="33"/>
  <c r="S197" i="33"/>
  <c r="S196" i="33"/>
  <c r="S195" i="33"/>
  <c r="S194" i="33"/>
  <c r="S193" i="33"/>
  <c r="S192" i="33"/>
  <c r="S191" i="33"/>
  <c r="S190" i="33"/>
  <c r="S189" i="33"/>
  <c r="S188" i="33"/>
  <c r="S187" i="33"/>
  <c r="S186" i="33"/>
  <c r="S185" i="33"/>
  <c r="S184" i="33"/>
  <c r="S183" i="33"/>
  <c r="S182" i="33"/>
  <c r="AW121" i="37" l="1"/>
  <c r="AR121" i="37"/>
  <c r="AM121" i="37"/>
  <c r="AH121" i="37"/>
  <c r="AC121" i="37"/>
  <c r="X121" i="37"/>
  <c r="S121" i="37"/>
  <c r="AW120" i="37"/>
  <c r="AR120" i="37"/>
  <c r="AM120" i="37"/>
  <c r="AH120" i="37"/>
  <c r="AC120" i="37"/>
  <c r="X120" i="37"/>
  <c r="S120" i="37"/>
  <c r="AW119" i="37"/>
  <c r="AR119" i="37"/>
  <c r="AM119" i="37"/>
  <c r="AH119" i="37"/>
  <c r="AC119" i="37"/>
  <c r="X119" i="37"/>
  <c r="S119" i="37"/>
  <c r="AW118" i="37"/>
  <c r="AR118" i="37"/>
  <c r="AM118" i="37"/>
  <c r="AH118" i="37"/>
  <c r="AC118" i="37"/>
  <c r="X118" i="37"/>
  <c r="S118" i="37"/>
  <c r="AW117" i="37"/>
  <c r="AR117" i="37"/>
  <c r="AM117" i="37"/>
  <c r="AH117" i="37"/>
  <c r="AC117" i="37"/>
  <c r="X117" i="37"/>
  <c r="S117" i="37"/>
  <c r="AW116" i="37"/>
  <c r="AR116" i="37"/>
  <c r="AM116" i="37"/>
  <c r="AH116" i="37"/>
  <c r="AC116" i="37"/>
  <c r="X116" i="37"/>
  <c r="S116" i="37"/>
  <c r="AW115" i="37"/>
  <c r="AR115" i="37"/>
  <c r="AM115" i="37"/>
  <c r="AH115" i="37"/>
  <c r="AC115" i="37"/>
  <c r="X115" i="37"/>
  <c r="S115" i="37"/>
  <c r="AW114" i="37"/>
  <c r="AR114" i="37"/>
  <c r="AM114" i="37"/>
  <c r="AH114" i="37"/>
  <c r="AC114" i="37"/>
  <c r="X114" i="37"/>
  <c r="S114" i="37"/>
  <c r="AW113" i="37"/>
  <c r="AR113" i="37"/>
  <c r="AM113" i="37"/>
  <c r="AH113" i="37"/>
  <c r="AC113" i="37"/>
  <c r="X113" i="37"/>
  <c r="S113" i="37"/>
  <c r="AW112" i="37"/>
  <c r="AR112" i="37"/>
  <c r="AM112" i="37"/>
  <c r="AH112" i="37"/>
  <c r="AC112" i="37"/>
  <c r="X112" i="37"/>
  <c r="S112" i="37"/>
  <c r="AW111" i="37"/>
  <c r="AR111" i="37"/>
  <c r="AM111" i="37"/>
  <c r="AH111" i="37"/>
  <c r="AC111" i="37"/>
  <c r="X111" i="37"/>
  <c r="S111" i="37"/>
  <c r="AW110" i="37"/>
  <c r="AR110" i="37"/>
  <c r="AM110" i="37"/>
  <c r="AH110" i="37"/>
  <c r="AC110" i="37"/>
  <c r="X110" i="37"/>
  <c r="S110" i="37"/>
  <c r="AW109" i="37"/>
  <c r="AR109" i="37"/>
  <c r="AM109" i="37"/>
  <c r="AH109" i="37"/>
  <c r="AC109" i="37"/>
  <c r="X109" i="37"/>
  <c r="S109" i="37"/>
  <c r="AW108" i="37"/>
  <c r="AR108" i="37"/>
  <c r="AM108" i="37"/>
  <c r="AH108" i="37"/>
  <c r="AC108" i="37"/>
  <c r="X108" i="37"/>
  <c r="S108" i="37"/>
  <c r="AX107" i="37"/>
  <c r="AW107" i="37"/>
  <c r="AS107" i="37"/>
  <c r="AR107" i="37"/>
  <c r="AN107" i="37"/>
  <c r="AM107" i="37"/>
  <c r="AI107" i="37"/>
  <c r="AH107" i="37"/>
  <c r="AD107" i="37"/>
  <c r="AC107" i="37"/>
  <c r="Y107" i="37"/>
  <c r="X107" i="37"/>
  <c r="T107" i="37"/>
  <c r="S107" i="37"/>
  <c r="H107" i="37"/>
  <c r="AW121" i="36"/>
  <c r="AR121" i="36"/>
  <c r="AM121" i="36"/>
  <c r="AH121" i="36"/>
  <c r="AC121" i="36"/>
  <c r="X121" i="36"/>
  <c r="S121" i="36"/>
  <c r="AW120" i="36"/>
  <c r="AR120" i="36"/>
  <c r="AM120" i="36"/>
  <c r="AH120" i="36"/>
  <c r="AC120" i="36"/>
  <c r="X120" i="36"/>
  <c r="S120" i="36"/>
  <c r="AW119" i="36"/>
  <c r="AR119" i="36"/>
  <c r="AM119" i="36"/>
  <c r="AH119" i="36"/>
  <c r="AC119" i="36"/>
  <c r="X119" i="36"/>
  <c r="S119" i="36"/>
  <c r="AW118" i="36"/>
  <c r="AR118" i="36"/>
  <c r="AM118" i="36"/>
  <c r="AH118" i="36"/>
  <c r="AC118" i="36"/>
  <c r="X118" i="36"/>
  <c r="S118" i="36"/>
  <c r="AW117" i="36"/>
  <c r="AR117" i="36"/>
  <c r="AM117" i="36"/>
  <c r="AH117" i="36"/>
  <c r="AC117" i="36"/>
  <c r="X117" i="36"/>
  <c r="S117" i="36"/>
  <c r="AW116" i="36"/>
  <c r="AR116" i="36"/>
  <c r="AM116" i="36"/>
  <c r="AH116" i="36"/>
  <c r="AC116" i="36"/>
  <c r="X116" i="36"/>
  <c r="S116" i="36"/>
  <c r="AW115" i="36"/>
  <c r="AR115" i="36"/>
  <c r="AM115" i="36"/>
  <c r="AH115" i="36"/>
  <c r="AC115" i="36"/>
  <c r="X115" i="36"/>
  <c r="S115" i="36"/>
  <c r="AW114" i="36"/>
  <c r="AR114" i="36"/>
  <c r="AM114" i="36"/>
  <c r="AH114" i="36"/>
  <c r="AC114" i="36"/>
  <c r="X114" i="36"/>
  <c r="S114" i="36"/>
  <c r="AW113" i="36"/>
  <c r="AR113" i="36"/>
  <c r="AM113" i="36"/>
  <c r="AH113" i="36"/>
  <c r="AC113" i="36"/>
  <c r="X113" i="36"/>
  <c r="S113" i="36"/>
  <c r="AW112" i="36"/>
  <c r="AR112" i="36"/>
  <c r="AM112" i="36"/>
  <c r="AH112" i="36"/>
  <c r="AC112" i="36"/>
  <c r="X112" i="36"/>
  <c r="S112" i="36"/>
  <c r="AW111" i="36"/>
  <c r="AR111" i="36"/>
  <c r="AM111" i="36"/>
  <c r="AH111" i="36"/>
  <c r="AC111" i="36"/>
  <c r="X111" i="36"/>
  <c r="S111" i="36"/>
  <c r="AW110" i="36"/>
  <c r="AR110" i="36"/>
  <c r="AM110" i="36"/>
  <c r="AH110" i="36"/>
  <c r="AC110" i="36"/>
  <c r="X110" i="36"/>
  <c r="S110" i="36"/>
  <c r="AW109" i="36"/>
  <c r="AR109" i="36"/>
  <c r="AM109" i="36"/>
  <c r="AH109" i="36"/>
  <c r="AC109" i="36"/>
  <c r="X109" i="36"/>
  <c r="S109" i="36"/>
  <c r="AW108" i="36"/>
  <c r="AR108" i="36"/>
  <c r="AM108" i="36"/>
  <c r="AH108" i="36"/>
  <c r="AC108" i="36"/>
  <c r="X108" i="36"/>
  <c r="S108" i="36"/>
  <c r="AX107" i="36"/>
  <c r="AW107" i="36"/>
  <c r="AS107" i="36"/>
  <c r="AR107" i="36"/>
  <c r="AN107" i="36"/>
  <c r="AM107" i="36"/>
  <c r="AI107" i="36"/>
  <c r="AH107" i="36"/>
  <c r="AD107" i="36"/>
  <c r="AC107" i="36"/>
  <c r="Y107" i="36"/>
  <c r="X107" i="36"/>
  <c r="T107" i="36"/>
  <c r="S107" i="36"/>
  <c r="H107" i="36"/>
  <c r="AW121" i="35"/>
  <c r="AR121" i="35"/>
  <c r="AM121" i="35"/>
  <c r="AH121" i="35"/>
  <c r="AC121" i="35"/>
  <c r="X121" i="35"/>
  <c r="S121" i="35"/>
  <c r="AW120" i="35"/>
  <c r="AR120" i="35"/>
  <c r="AM120" i="35"/>
  <c r="AH120" i="35"/>
  <c r="AC120" i="35"/>
  <c r="X120" i="35"/>
  <c r="S120" i="35"/>
  <c r="AW119" i="35"/>
  <c r="AR119" i="35"/>
  <c r="AM119" i="35"/>
  <c r="AH119" i="35"/>
  <c r="AC119" i="35"/>
  <c r="X119" i="35"/>
  <c r="S119" i="35"/>
  <c r="AW118" i="35"/>
  <c r="AR118" i="35"/>
  <c r="AM118" i="35"/>
  <c r="AH118" i="35"/>
  <c r="AC118" i="35"/>
  <c r="X118" i="35"/>
  <c r="S118" i="35"/>
  <c r="AW117" i="35"/>
  <c r="AR117" i="35"/>
  <c r="AM117" i="35"/>
  <c r="AH117" i="35"/>
  <c r="AC117" i="35"/>
  <c r="X117" i="35"/>
  <c r="S117" i="35"/>
  <c r="AW116" i="35"/>
  <c r="AR116" i="35"/>
  <c r="AM116" i="35"/>
  <c r="AH116" i="35"/>
  <c r="AC116" i="35"/>
  <c r="X116" i="35"/>
  <c r="S116" i="35"/>
  <c r="AW115" i="35"/>
  <c r="AR115" i="35"/>
  <c r="AM115" i="35"/>
  <c r="AH115" i="35"/>
  <c r="AC115" i="35"/>
  <c r="X115" i="35"/>
  <c r="S115" i="35"/>
  <c r="AW114" i="35"/>
  <c r="AR114" i="35"/>
  <c r="AM114" i="35"/>
  <c r="AH114" i="35"/>
  <c r="AC114" i="35"/>
  <c r="X114" i="35"/>
  <c r="S114" i="35"/>
  <c r="AW113" i="35"/>
  <c r="AR113" i="35"/>
  <c r="AM113" i="35"/>
  <c r="AH113" i="35"/>
  <c r="AC113" i="35"/>
  <c r="X113" i="35"/>
  <c r="S113" i="35"/>
  <c r="AW112" i="35"/>
  <c r="AR112" i="35"/>
  <c r="AM112" i="35"/>
  <c r="AH112" i="35"/>
  <c r="AC112" i="35"/>
  <c r="X112" i="35"/>
  <c r="S112" i="35"/>
  <c r="AW111" i="35"/>
  <c r="AR111" i="35"/>
  <c r="AM111" i="35"/>
  <c r="AH111" i="35"/>
  <c r="AC111" i="35"/>
  <c r="X111" i="35"/>
  <c r="S111" i="35"/>
  <c r="AW110" i="35"/>
  <c r="AR110" i="35"/>
  <c r="AM110" i="35"/>
  <c r="AH110" i="35"/>
  <c r="AC110" i="35"/>
  <c r="X110" i="35"/>
  <c r="S110" i="35"/>
  <c r="AW109" i="35"/>
  <c r="AR109" i="35"/>
  <c r="AM109" i="35"/>
  <c r="AH109" i="35"/>
  <c r="AC109" i="35"/>
  <c r="X109" i="35"/>
  <c r="S109" i="35"/>
  <c r="AW108" i="35"/>
  <c r="AR108" i="35"/>
  <c r="AM108" i="35"/>
  <c r="AH108" i="35"/>
  <c r="AC108" i="35"/>
  <c r="X108" i="35"/>
  <c r="S108" i="35"/>
  <c r="AX107" i="35"/>
  <c r="AW107" i="35"/>
  <c r="AS107" i="35"/>
  <c r="AR107" i="35"/>
  <c r="AN107" i="35"/>
  <c r="AM107" i="35"/>
  <c r="AI107" i="35"/>
  <c r="AH107" i="35"/>
  <c r="AD107" i="35"/>
  <c r="AC107" i="35"/>
  <c r="Y107" i="35"/>
  <c r="X107" i="35"/>
  <c r="T107" i="35"/>
  <c r="S107" i="35"/>
  <c r="H107" i="35"/>
  <c r="AW121" i="32"/>
  <c r="AR121" i="32"/>
  <c r="AM121" i="32"/>
  <c r="AH121" i="32"/>
  <c r="AC121" i="32"/>
  <c r="X121" i="32"/>
  <c r="S121" i="32"/>
  <c r="AW120" i="32"/>
  <c r="AR120" i="32"/>
  <c r="AM120" i="32"/>
  <c r="AH120" i="32"/>
  <c r="AC120" i="32"/>
  <c r="X120" i="32"/>
  <c r="S120" i="32"/>
  <c r="AW119" i="32"/>
  <c r="AR119" i="32"/>
  <c r="AM119" i="32"/>
  <c r="AH119" i="32"/>
  <c r="AC119" i="32"/>
  <c r="X119" i="32"/>
  <c r="S119" i="32"/>
  <c r="AW118" i="32"/>
  <c r="AR118" i="32"/>
  <c r="AM118" i="32"/>
  <c r="AH118" i="32"/>
  <c r="AC118" i="32"/>
  <c r="X118" i="32"/>
  <c r="S118" i="32"/>
  <c r="AW117" i="32"/>
  <c r="AR117" i="32"/>
  <c r="AM117" i="32"/>
  <c r="AH117" i="32"/>
  <c r="AC117" i="32"/>
  <c r="X117" i="32"/>
  <c r="S117" i="32"/>
  <c r="AW116" i="32"/>
  <c r="AR116" i="32"/>
  <c r="AM116" i="32"/>
  <c r="AH116" i="32"/>
  <c r="AC116" i="32"/>
  <c r="X116" i="32"/>
  <c r="S116" i="32"/>
  <c r="AW115" i="32"/>
  <c r="AR115" i="32"/>
  <c r="AM115" i="32"/>
  <c r="AH115" i="32"/>
  <c r="AC115" i="32"/>
  <c r="X115" i="32"/>
  <c r="S115" i="32"/>
  <c r="AW114" i="32"/>
  <c r="AR114" i="32"/>
  <c r="AM114" i="32"/>
  <c r="AH114" i="32"/>
  <c r="AC114" i="32"/>
  <c r="X114" i="32"/>
  <c r="S114" i="32"/>
  <c r="AW113" i="32"/>
  <c r="AR113" i="32"/>
  <c r="AM113" i="32"/>
  <c r="AH113" i="32"/>
  <c r="AC113" i="32"/>
  <c r="X113" i="32"/>
  <c r="S113" i="32"/>
  <c r="AW112" i="32"/>
  <c r="AR112" i="32"/>
  <c r="AM112" i="32"/>
  <c r="AH112" i="32"/>
  <c r="AC112" i="32"/>
  <c r="X112" i="32"/>
  <c r="S112" i="32"/>
  <c r="AW111" i="32"/>
  <c r="AR111" i="32"/>
  <c r="AM111" i="32"/>
  <c r="AH111" i="32"/>
  <c r="AC111" i="32"/>
  <c r="X111" i="32"/>
  <c r="S111" i="32"/>
  <c r="AW110" i="32"/>
  <c r="AR110" i="32"/>
  <c r="AM110" i="32"/>
  <c r="AH110" i="32"/>
  <c r="AC110" i="32"/>
  <c r="X110" i="32"/>
  <c r="S110" i="32"/>
  <c r="AW109" i="32"/>
  <c r="AR109" i="32"/>
  <c r="AM109" i="32"/>
  <c r="AH109" i="32"/>
  <c r="AC109" i="32"/>
  <c r="X109" i="32"/>
  <c r="S109" i="32"/>
  <c r="AW108" i="32"/>
  <c r="AR108" i="32"/>
  <c r="AM108" i="32"/>
  <c r="AH108" i="32"/>
  <c r="AC108" i="32"/>
  <c r="X108" i="32"/>
  <c r="S108" i="32"/>
  <c r="AX107" i="32"/>
  <c r="AW107" i="32"/>
  <c r="AS107" i="32"/>
  <c r="AR107" i="32"/>
  <c r="AN107" i="32"/>
  <c r="AM107" i="32"/>
  <c r="AI107" i="32"/>
  <c r="AH107" i="32"/>
  <c r="AD107" i="32"/>
  <c r="AC107" i="32"/>
  <c r="Y107" i="32"/>
  <c r="X107" i="32"/>
  <c r="T107" i="32"/>
  <c r="S107" i="32"/>
  <c r="H107" i="32"/>
  <c r="M113" i="30"/>
  <c r="M112" i="30"/>
  <c r="M111" i="30"/>
  <c r="M110" i="30"/>
  <c r="M109" i="30"/>
  <c r="M108" i="30"/>
  <c r="AX107" i="30"/>
  <c r="AS107" i="30"/>
  <c r="AN107" i="30"/>
  <c r="AI107" i="30"/>
  <c r="AD107" i="30"/>
  <c r="Y107" i="30"/>
  <c r="T107" i="30"/>
  <c r="H107" i="30"/>
  <c r="AW211" i="8"/>
  <c r="AR211" i="8"/>
  <c r="AM211" i="8"/>
  <c r="AH211" i="8"/>
  <c r="AC211" i="8"/>
  <c r="X211" i="8"/>
  <c r="S211" i="8"/>
  <c r="AW210" i="8"/>
  <c r="AR210" i="8"/>
  <c r="AM210" i="8"/>
  <c r="AH210" i="8"/>
  <c r="AC210" i="8"/>
  <c r="X210" i="8"/>
  <c r="S210" i="8"/>
  <c r="AW209" i="8"/>
  <c r="AR209" i="8"/>
  <c r="AM209" i="8"/>
  <c r="AH209" i="8"/>
  <c r="AC209" i="8"/>
  <c r="X209" i="8"/>
  <c r="S209" i="8"/>
  <c r="AW208" i="8"/>
  <c r="AR208" i="8"/>
  <c r="AM208" i="8"/>
  <c r="AH208" i="8"/>
  <c r="AC208" i="8"/>
  <c r="X208" i="8"/>
  <c r="S208" i="8"/>
  <c r="AW207" i="8"/>
  <c r="AR207" i="8"/>
  <c r="AM207" i="8"/>
  <c r="AH207" i="8"/>
  <c r="AC207" i="8"/>
  <c r="X207" i="8"/>
  <c r="S207" i="8"/>
  <c r="AW206" i="8"/>
  <c r="AR206" i="8"/>
  <c r="AM206" i="8"/>
  <c r="AH206" i="8"/>
  <c r="AC206" i="8"/>
  <c r="X206" i="8"/>
  <c r="S206" i="8"/>
  <c r="AW205" i="8"/>
  <c r="AR205" i="8"/>
  <c r="AM205" i="8"/>
  <c r="AH205" i="8"/>
  <c r="AC205" i="8"/>
  <c r="X205" i="8"/>
  <c r="S205" i="8"/>
  <c r="AW204" i="8"/>
  <c r="AR204" i="8"/>
  <c r="AM204" i="8"/>
  <c r="AH204" i="8"/>
  <c r="AC204" i="8"/>
  <c r="X204" i="8"/>
  <c r="S204" i="8"/>
  <c r="AW203" i="8"/>
  <c r="AR203" i="8"/>
  <c r="AM203" i="8"/>
  <c r="AH203" i="8"/>
  <c r="AC203" i="8"/>
  <c r="X203" i="8"/>
  <c r="S203" i="8"/>
  <c r="AW202" i="8"/>
  <c r="AR202" i="8"/>
  <c r="AM202" i="8"/>
  <c r="AH202" i="8"/>
  <c r="AC202" i="8"/>
  <c r="X202" i="8"/>
  <c r="S202" i="8"/>
  <c r="AW201" i="8"/>
  <c r="AR201" i="8"/>
  <c r="AM201" i="8"/>
  <c r="AH201" i="8"/>
  <c r="AC201" i="8"/>
  <c r="X201" i="8"/>
  <c r="S201" i="8"/>
  <c r="AW200" i="8"/>
  <c r="AR200" i="8"/>
  <c r="AM200" i="8"/>
  <c r="AH200" i="8"/>
  <c r="AC200" i="8"/>
  <c r="X200" i="8"/>
  <c r="S200" i="8"/>
  <c r="AW199" i="8"/>
  <c r="AR199" i="8"/>
  <c r="AM199" i="8"/>
  <c r="AH199" i="8"/>
  <c r="AC199" i="8"/>
  <c r="X199" i="8"/>
  <c r="S199" i="8"/>
  <c r="AW198" i="8"/>
  <c r="AR198" i="8"/>
  <c r="AM198" i="8"/>
  <c r="AH198" i="8"/>
  <c r="AC198" i="8"/>
  <c r="X198" i="8"/>
  <c r="S198" i="8"/>
  <c r="AW197" i="8"/>
  <c r="AR197" i="8"/>
  <c r="AM197" i="8"/>
  <c r="AH197" i="8"/>
  <c r="AC197" i="8"/>
  <c r="X197" i="8"/>
  <c r="S197" i="8"/>
  <c r="AW196" i="8"/>
  <c r="AR196" i="8"/>
  <c r="AM196" i="8"/>
  <c r="AH196" i="8"/>
  <c r="AC196" i="8"/>
  <c r="X196" i="8"/>
  <c r="S196" i="8"/>
  <c r="AW195" i="8"/>
  <c r="AR195" i="8"/>
  <c r="AM195" i="8"/>
  <c r="AH195" i="8"/>
  <c r="AC195" i="8"/>
  <c r="X195" i="8"/>
  <c r="S195" i="8"/>
  <c r="AW194" i="8"/>
  <c r="AR194" i="8"/>
  <c r="AM194" i="8"/>
  <c r="AH194" i="8"/>
  <c r="AC194" i="8"/>
  <c r="X194" i="8"/>
  <c r="S194" i="8"/>
  <c r="AW193" i="8"/>
  <c r="AR193" i="8"/>
  <c r="AM193" i="8"/>
  <c r="AH193" i="8"/>
  <c r="AC193" i="8"/>
  <c r="X193" i="8"/>
  <c r="S193" i="8"/>
  <c r="AW192" i="8"/>
  <c r="AR192" i="8"/>
  <c r="AM192" i="8"/>
  <c r="AH192" i="8"/>
  <c r="AC192" i="8"/>
  <c r="X192" i="8"/>
  <c r="S192" i="8"/>
  <c r="AW191" i="8"/>
  <c r="AR191" i="8"/>
  <c r="AM191" i="8"/>
  <c r="AH191" i="8"/>
  <c r="AC191" i="8"/>
  <c r="X191" i="8"/>
  <c r="S191" i="8"/>
  <c r="AW190" i="8"/>
  <c r="AR190" i="8"/>
  <c r="AM190" i="8"/>
  <c r="AH190" i="8"/>
  <c r="AC190" i="8"/>
  <c r="X190" i="8"/>
  <c r="S190" i="8"/>
  <c r="AW189" i="8"/>
  <c r="AR189" i="8"/>
  <c r="AM189" i="8"/>
  <c r="AH189" i="8"/>
  <c r="AC189" i="8"/>
  <c r="X189" i="8"/>
  <c r="S189" i="8"/>
  <c r="AW188" i="8"/>
  <c r="AR188" i="8"/>
  <c r="AM188" i="8"/>
  <c r="AH188" i="8"/>
  <c r="AC188" i="8"/>
  <c r="X188" i="8"/>
  <c r="S188" i="8"/>
  <c r="AW187" i="8"/>
  <c r="AR187" i="8"/>
  <c r="AM187" i="8"/>
  <c r="AH187" i="8"/>
  <c r="AC187" i="8"/>
  <c r="X187" i="8"/>
  <c r="S187" i="8"/>
  <c r="AW186" i="8"/>
  <c r="AR186" i="8"/>
  <c r="AM186" i="8"/>
  <c r="AH186" i="8"/>
  <c r="AC186" i="8"/>
  <c r="X186" i="8"/>
  <c r="S186" i="8"/>
  <c r="AW185" i="8"/>
  <c r="AR185" i="8"/>
  <c r="AM185" i="8"/>
  <c r="AH185" i="8"/>
  <c r="AC185" i="8"/>
  <c r="X185" i="8"/>
  <c r="S185" i="8"/>
  <c r="AW184" i="8"/>
  <c r="AR184" i="8"/>
  <c r="AM184" i="8"/>
  <c r="AH184" i="8"/>
  <c r="AC184" i="8"/>
  <c r="X184" i="8"/>
  <c r="S184" i="8"/>
  <c r="AW183" i="8"/>
  <c r="AR183" i="8"/>
  <c r="AM183" i="8"/>
  <c r="AH183" i="8"/>
  <c r="AC183" i="8"/>
  <c r="X183" i="8"/>
  <c r="S183" i="8"/>
  <c r="AX182" i="8"/>
  <c r="AW182" i="8"/>
  <c r="AS182" i="8"/>
  <c r="AR182" i="8"/>
  <c r="AN182" i="8"/>
  <c r="AM182" i="8"/>
  <c r="AI182" i="8"/>
  <c r="AH182" i="8"/>
  <c r="AD182" i="8"/>
  <c r="AC182" i="8"/>
  <c r="Y182" i="8"/>
  <c r="X182" i="8"/>
  <c r="T182" i="8"/>
  <c r="S182" i="8"/>
  <c r="L182" i="8"/>
  <c r="H182" i="8"/>
  <c r="M121" i="30" l="1"/>
  <c r="L107" i="30"/>
  <c r="M114" i="30"/>
  <c r="M118" i="30"/>
  <c r="M107" i="30"/>
  <c r="M115" i="30"/>
  <c r="M119" i="30"/>
  <c r="M116" i="30"/>
  <c r="M120" i="30"/>
  <c r="M117" i="30"/>
  <c r="M184" i="8"/>
  <c r="M186" i="8"/>
  <c r="M188" i="8"/>
  <c r="M190" i="8"/>
  <c r="M211" i="8"/>
  <c r="M183" i="8"/>
  <c r="M185" i="8"/>
  <c r="M187" i="8"/>
  <c r="M189" i="8"/>
  <c r="M191" i="8"/>
  <c r="M193" i="8"/>
  <c r="M195" i="8"/>
  <c r="M197" i="8"/>
  <c r="M199" i="8"/>
  <c r="M201" i="8"/>
  <c r="M192" i="8"/>
  <c r="M194" i="8"/>
  <c r="M196" i="8"/>
  <c r="M198" i="8"/>
  <c r="M200" i="8"/>
  <c r="M202" i="8"/>
  <c r="M182" i="8"/>
  <c r="M206" i="8"/>
  <c r="M210" i="8"/>
  <c r="M203" i="8"/>
  <c r="M207" i="8"/>
  <c r="M204" i="8"/>
  <c r="M208" i="8"/>
  <c r="M205" i="8"/>
  <c r="M209" i="8"/>
  <c r="O5" i="3" l="1"/>
  <c r="AC43" i="6" l="1"/>
  <c r="S43" i="6"/>
  <c r="M43" i="6"/>
  <c r="AK46" i="6"/>
  <c r="AI46" i="6"/>
  <c r="AG46" i="6"/>
  <c r="AE46" i="6"/>
  <c r="AA46" i="6"/>
  <c r="Y46" i="6"/>
  <c r="W46" i="6"/>
  <c r="U46" i="6"/>
  <c r="Q46" i="6"/>
  <c r="O46" i="6"/>
  <c r="K46" i="6"/>
  <c r="I46" i="6"/>
  <c r="F43" i="6" l="1"/>
  <c r="AJ43" i="6" s="1"/>
  <c r="AK46" i="7"/>
  <c r="AI46" i="7"/>
  <c r="AG46" i="7"/>
  <c r="AE46" i="7"/>
  <c r="AA46" i="7"/>
  <c r="Y46" i="7"/>
  <c r="W46" i="7"/>
  <c r="U46" i="7"/>
  <c r="Q46" i="7"/>
  <c r="O46" i="7"/>
  <c r="K46" i="7"/>
  <c r="I46" i="7"/>
  <c r="I5" i="5"/>
  <c r="D12" i="3"/>
  <c r="D13" i="3" s="1"/>
  <c r="D14" i="3" s="1"/>
  <c r="D15" i="3" s="1"/>
  <c r="D16" i="3" s="1"/>
  <c r="D17" i="3" s="1"/>
  <c r="D18" i="3" s="1"/>
  <c r="D19" i="3" s="1"/>
  <c r="D20" i="3" s="1"/>
  <c r="D21" i="3" s="1"/>
  <c r="D22" i="3" s="1"/>
  <c r="D23" i="3" s="1"/>
  <c r="D24" i="3" s="1"/>
  <c r="D25" i="3" s="1"/>
  <c r="D26" i="3" s="1"/>
  <c r="D27" i="3" s="1"/>
  <c r="D28" i="3" s="1"/>
  <c r="D29" i="3" s="1"/>
  <c r="D30" i="3" s="1"/>
  <c r="D31" i="3" s="1"/>
  <c r="D32" i="3" s="1"/>
  <c r="D33" i="3" s="1"/>
  <c r="D34" i="3" s="1"/>
  <c r="D35" i="3" s="1"/>
  <c r="D36" i="3" s="1"/>
  <c r="D37" i="3" s="1"/>
  <c r="D38" i="3" s="1"/>
  <c r="D39" i="3" s="1"/>
  <c r="AH43" i="6" l="1"/>
  <c r="Z43" i="6"/>
  <c r="L43" i="6"/>
  <c r="V43" i="6"/>
  <c r="T43" i="6"/>
  <c r="AL43" i="6"/>
  <c r="AB43" i="6"/>
  <c r="P43" i="6"/>
  <c r="N43" i="6"/>
  <c r="AD43" i="6"/>
  <c r="R43" i="6"/>
  <c r="J43" i="6"/>
  <c r="AF43" i="6"/>
  <c r="X43" i="6"/>
  <c r="F7" i="7"/>
  <c r="F7" i="6"/>
  <c r="AJ7" i="6" l="1"/>
  <c r="V7" i="6"/>
  <c r="P7" i="6"/>
  <c r="J7" i="6"/>
  <c r="AH7" i="6"/>
  <c r="AB7" i="6"/>
  <c r="T7" i="6"/>
  <c r="N7" i="6"/>
  <c r="AF7" i="6"/>
  <c r="Z7" i="6"/>
  <c r="AL7" i="6"/>
  <c r="AD7" i="6"/>
  <c r="X7" i="6"/>
  <c r="R7" i="6"/>
  <c r="L7" i="6"/>
  <c r="AJ7" i="7"/>
  <c r="V7" i="7"/>
  <c r="P7" i="7"/>
  <c r="J7" i="7"/>
  <c r="AH7" i="7"/>
  <c r="AB7" i="7"/>
  <c r="T7" i="7"/>
  <c r="N7" i="7"/>
  <c r="AF7" i="7"/>
  <c r="Z7" i="7"/>
  <c r="AL7" i="7"/>
  <c r="AD7" i="7"/>
  <c r="X7" i="7"/>
  <c r="R7" i="7"/>
  <c r="L7" i="7"/>
  <c r="B8" i="13" l="1"/>
  <c r="AC14" i="6" l="1"/>
  <c r="S14" i="6"/>
  <c r="M14" i="6"/>
  <c r="AC14" i="7"/>
  <c r="S14" i="7"/>
  <c r="B10" i="13"/>
  <c r="B7" i="13"/>
  <c r="B6" i="13"/>
  <c r="H128" i="37" l="1"/>
  <c r="M15" i="6" l="1"/>
  <c r="M16" i="6"/>
  <c r="M17" i="6"/>
  <c r="M18" i="6"/>
  <c r="M19" i="6"/>
  <c r="M20" i="6"/>
  <c r="M21" i="6"/>
  <c r="M22" i="6"/>
  <c r="M23" i="6"/>
  <c r="M24" i="6"/>
  <c r="M25" i="6"/>
  <c r="M26" i="6"/>
  <c r="M27" i="6"/>
  <c r="M28" i="6"/>
  <c r="E10" i="39" l="1"/>
  <c r="E8" i="39"/>
  <c r="E7" i="39"/>
  <c r="E6" i="39"/>
  <c r="K11" i="39"/>
  <c r="K9" i="39"/>
  <c r="K8" i="39"/>
  <c r="K6" i="39"/>
  <c r="Q10" i="3" l="1"/>
  <c r="W10" i="3"/>
  <c r="AT2" i="8"/>
  <c r="E9" i="39" l="1"/>
  <c r="B9" i="13"/>
  <c r="E11" i="39"/>
  <c r="B11" i="13"/>
  <c r="AW121" i="34"/>
  <c r="AW120" i="34"/>
  <c r="AW117" i="34"/>
  <c r="AW116" i="34"/>
  <c r="AW115" i="34"/>
  <c r="AW114" i="34"/>
  <c r="AW113" i="34"/>
  <c r="AW112" i="34"/>
  <c r="AW111" i="34"/>
  <c r="AW110" i="34"/>
  <c r="AW109" i="34"/>
  <c r="AW108" i="34"/>
  <c r="AW107" i="34"/>
  <c r="AW119" i="34"/>
  <c r="AR121" i="34"/>
  <c r="AR118" i="34"/>
  <c r="AR117" i="34"/>
  <c r="AR116" i="34"/>
  <c r="AR115" i="34"/>
  <c r="AR114" i="34"/>
  <c r="AR113" i="34"/>
  <c r="AR112" i="34"/>
  <c r="AR111" i="34"/>
  <c r="AR110" i="34"/>
  <c r="AR109" i="34"/>
  <c r="AR108" i="34"/>
  <c r="AR120" i="34"/>
  <c r="AM118" i="34"/>
  <c r="AM116" i="34"/>
  <c r="AM115" i="34"/>
  <c r="AM114" i="34"/>
  <c r="AM113" i="34"/>
  <c r="AM112" i="34"/>
  <c r="AM111" i="34"/>
  <c r="AM110" i="34"/>
  <c r="AM109" i="34"/>
  <c r="AM108" i="34"/>
  <c r="AM121" i="34"/>
  <c r="AH116" i="34"/>
  <c r="AH114" i="34"/>
  <c r="AH113" i="34"/>
  <c r="AH112" i="34"/>
  <c r="AH111" i="34"/>
  <c r="AH110" i="34"/>
  <c r="AH109" i="34"/>
  <c r="AH108" i="34"/>
  <c r="AH119" i="34"/>
  <c r="AC121" i="34"/>
  <c r="AC120" i="34"/>
  <c r="AC117" i="34"/>
  <c r="AC116" i="34"/>
  <c r="AC115" i="34"/>
  <c r="AC114" i="34"/>
  <c r="AC113" i="34"/>
  <c r="AC112" i="34"/>
  <c r="AC111" i="34"/>
  <c r="AC110" i="34"/>
  <c r="AC109" i="34"/>
  <c r="AC108" i="34"/>
  <c r="AC107" i="34"/>
  <c r="AC119" i="34"/>
  <c r="X121" i="34"/>
  <c r="X118" i="34"/>
  <c r="X117" i="34"/>
  <c r="X116" i="34"/>
  <c r="X115" i="34"/>
  <c r="X114" i="34"/>
  <c r="X113" i="34"/>
  <c r="X112" i="34"/>
  <c r="X111" i="34"/>
  <c r="X110" i="34"/>
  <c r="X109" i="34"/>
  <c r="X108" i="34"/>
  <c r="X120" i="34"/>
  <c r="S121" i="34"/>
  <c r="S120" i="34"/>
  <c r="S119" i="34"/>
  <c r="S118" i="34"/>
  <c r="S117" i="34"/>
  <c r="S116" i="34"/>
  <c r="S115" i="34"/>
  <c r="S114" i="34"/>
  <c r="S113" i="34"/>
  <c r="S112" i="34"/>
  <c r="S111" i="34"/>
  <c r="S110" i="34"/>
  <c r="S109" i="34"/>
  <c r="S108" i="34"/>
  <c r="S107" i="34"/>
  <c r="AW121" i="31"/>
  <c r="AW120" i="31"/>
  <c r="AW117" i="31"/>
  <c r="AW116" i="31"/>
  <c r="AW113" i="31"/>
  <c r="AW112" i="31"/>
  <c r="AW109" i="31"/>
  <c r="AW108" i="31"/>
  <c r="AW107" i="31"/>
  <c r="AW119" i="31"/>
  <c r="AR121" i="31"/>
  <c r="AR118" i="31"/>
  <c r="AR117" i="31"/>
  <c r="AR114" i="31"/>
  <c r="AR113" i="31"/>
  <c r="AR110" i="31"/>
  <c r="AR109" i="31"/>
  <c r="AR108" i="31"/>
  <c r="AR120" i="31"/>
  <c r="AM118" i="31"/>
  <c r="AM114" i="31"/>
  <c r="AM110" i="31"/>
  <c r="AM108" i="31"/>
  <c r="AM119" i="31"/>
  <c r="AH119" i="31"/>
  <c r="AC121" i="31"/>
  <c r="AC120" i="31"/>
  <c r="AC117" i="31"/>
  <c r="AC116" i="31"/>
  <c r="AC113" i="31"/>
  <c r="AC112" i="31"/>
  <c r="AC109" i="31"/>
  <c r="AC108" i="31"/>
  <c r="AC107" i="31"/>
  <c r="AC119" i="31"/>
  <c r="X121" i="31"/>
  <c r="X118" i="31"/>
  <c r="X117" i="31"/>
  <c r="X114" i="31"/>
  <c r="X113" i="31"/>
  <c r="X110" i="31"/>
  <c r="X109" i="31"/>
  <c r="X108" i="31"/>
  <c r="X120" i="31"/>
  <c r="S121" i="31"/>
  <c r="S120" i="31"/>
  <c r="S119" i="31"/>
  <c r="S118" i="31"/>
  <c r="S117" i="31"/>
  <c r="S116" i="31"/>
  <c r="S115" i="31"/>
  <c r="S114" i="31"/>
  <c r="S113" i="31"/>
  <c r="S112" i="31"/>
  <c r="S111" i="31"/>
  <c r="S110" i="31"/>
  <c r="S109" i="31"/>
  <c r="S108" i="31"/>
  <c r="S107" i="31"/>
  <c r="AH115" i="34" l="1"/>
  <c r="AM119" i="34"/>
  <c r="X119" i="34"/>
  <c r="AC118" i="34"/>
  <c r="AH117" i="34"/>
  <c r="AH121" i="34"/>
  <c r="AM107" i="34"/>
  <c r="AM120" i="34"/>
  <c r="AR119" i="34"/>
  <c r="AW118" i="34"/>
  <c r="AH107" i="34"/>
  <c r="AH120" i="34"/>
  <c r="X107" i="34"/>
  <c r="AH118" i="34"/>
  <c r="AM117" i="34"/>
  <c r="AR107" i="34"/>
  <c r="AH111" i="31"/>
  <c r="AH108" i="31"/>
  <c r="AH116" i="31"/>
  <c r="AM111" i="31"/>
  <c r="X111" i="31"/>
  <c r="X115" i="31"/>
  <c r="X119" i="31"/>
  <c r="AC110" i="31"/>
  <c r="AC114" i="31"/>
  <c r="AC118" i="31"/>
  <c r="AH109" i="31"/>
  <c r="AH113" i="31"/>
  <c r="AH117" i="31"/>
  <c r="AH121" i="31"/>
  <c r="AM107" i="31"/>
  <c r="AM112" i="31"/>
  <c r="AM116" i="31"/>
  <c r="AM120" i="31"/>
  <c r="AR111" i="31"/>
  <c r="AR115" i="31"/>
  <c r="AR119" i="31"/>
  <c r="AW110" i="31"/>
  <c r="AW114" i="31"/>
  <c r="AW118" i="31"/>
  <c r="AH107" i="31"/>
  <c r="AH112" i="31"/>
  <c r="AH120" i="31"/>
  <c r="AM115" i="31"/>
  <c r="X107" i="31"/>
  <c r="X112" i="31"/>
  <c r="X116" i="31"/>
  <c r="AC111" i="31"/>
  <c r="AC115" i="31"/>
  <c r="AH110" i="31"/>
  <c r="AH114" i="31"/>
  <c r="AH118" i="31"/>
  <c r="AM109" i="31"/>
  <c r="AM113" i="31"/>
  <c r="AM117" i="31"/>
  <c r="AM121" i="31"/>
  <c r="AR107" i="31"/>
  <c r="AR112" i="31"/>
  <c r="AR116" i="31"/>
  <c r="AW111" i="31"/>
  <c r="AW115" i="31"/>
  <c r="AH115" i="31"/>
  <c r="I40" i="5" l="1"/>
  <c r="I39" i="5"/>
  <c r="I38" i="5"/>
  <c r="I37" i="5"/>
  <c r="I36" i="5"/>
  <c r="K130" i="36" l="1"/>
  <c r="J130" i="36"/>
  <c r="I130" i="36"/>
  <c r="H128" i="36"/>
  <c r="H128" i="35"/>
  <c r="J137" i="35"/>
  <c r="I137" i="35"/>
  <c r="J136" i="35"/>
  <c r="I136" i="35"/>
  <c r="J131" i="35"/>
  <c r="I131" i="35"/>
  <c r="H128" i="34"/>
  <c r="J135" i="34"/>
  <c r="I135" i="34"/>
  <c r="AX107" i="34"/>
  <c r="AS107" i="34"/>
  <c r="AN107" i="34"/>
  <c r="AI107" i="34"/>
  <c r="AD107" i="34"/>
  <c r="Y107" i="34"/>
  <c r="T107" i="34"/>
  <c r="H107" i="34"/>
  <c r="H218" i="33"/>
  <c r="M205" i="33"/>
  <c r="M204" i="33"/>
  <c r="M203" i="33"/>
  <c r="M202" i="33"/>
  <c r="M201" i="33"/>
  <c r="M199" i="33"/>
  <c r="M198" i="33"/>
  <c r="M197" i="33"/>
  <c r="M195" i="33"/>
  <c r="M193" i="33"/>
  <c r="M191" i="33"/>
  <c r="M190" i="33"/>
  <c r="M189" i="33"/>
  <c r="M188" i="33"/>
  <c r="M187" i="33"/>
  <c r="M185" i="33"/>
  <c r="M183" i="33"/>
  <c r="AX182" i="33"/>
  <c r="AS182" i="33"/>
  <c r="AN182" i="33"/>
  <c r="AI182" i="33"/>
  <c r="AD182" i="33"/>
  <c r="Y182" i="33"/>
  <c r="T182" i="33"/>
  <c r="M182" i="33"/>
  <c r="H182" i="33"/>
  <c r="H128" i="31"/>
  <c r="M108" i="31"/>
  <c r="AX107" i="31"/>
  <c r="AS107" i="31"/>
  <c r="AN107" i="31"/>
  <c r="AI107" i="31"/>
  <c r="AD107" i="31"/>
  <c r="Y107" i="31"/>
  <c r="T107" i="31"/>
  <c r="M107" i="31"/>
  <c r="H107" i="31"/>
  <c r="H128" i="32"/>
  <c r="J138" i="32"/>
  <c r="I138" i="32"/>
  <c r="K132" i="30"/>
  <c r="J132" i="30"/>
  <c r="I132" i="30"/>
  <c r="K240" i="8"/>
  <c r="J240" i="8"/>
  <c r="I240" i="8"/>
  <c r="J239" i="8"/>
  <c r="I239" i="8"/>
  <c r="M109" i="34" l="1"/>
  <c r="M118" i="34"/>
  <c r="M121" i="34"/>
  <c r="M117" i="34"/>
  <c r="M120" i="34"/>
  <c r="M119" i="34"/>
  <c r="M107" i="34"/>
  <c r="M115" i="34"/>
  <c r="M116" i="34"/>
  <c r="M111" i="34"/>
  <c r="M108" i="34"/>
  <c r="M110" i="34"/>
  <c r="M112" i="34"/>
  <c r="M114" i="34"/>
  <c r="M113" i="34"/>
  <c r="K131" i="35"/>
  <c r="K137" i="35"/>
  <c r="K136" i="35"/>
  <c r="L107" i="34"/>
  <c r="K135" i="34"/>
  <c r="M194" i="33"/>
  <c r="M196" i="33"/>
  <c r="M186" i="33"/>
  <c r="L182" i="33"/>
  <c r="M184" i="33"/>
  <c r="M192" i="33"/>
  <c r="M200" i="33"/>
  <c r="K138" i="32"/>
  <c r="K239" i="8"/>
  <c r="H128" i="30"/>
  <c r="H218" i="8"/>
  <c r="L107" i="31"/>
  <c r="M130" i="36" l="1"/>
  <c r="I34" i="5"/>
  <c r="I33" i="5"/>
  <c r="I32" i="5"/>
  <c r="I31" i="5"/>
  <c r="I30" i="5"/>
  <c r="I29" i="5"/>
  <c r="I28" i="5"/>
  <c r="J32" i="5" l="1"/>
  <c r="L20" i="21"/>
  <c r="L19" i="21"/>
  <c r="L18" i="21"/>
  <c r="L17" i="21"/>
  <c r="L16" i="21"/>
  <c r="L13" i="21"/>
  <c r="L12" i="21"/>
  <c r="L11" i="21"/>
  <c r="L10" i="21"/>
  <c r="L9" i="21"/>
  <c r="M15" i="40"/>
  <c r="K15" i="40"/>
  <c r="I15" i="40"/>
  <c r="G15" i="40"/>
  <c r="M14" i="40"/>
  <c r="K14" i="40"/>
  <c r="I14" i="40"/>
  <c r="G14" i="40"/>
  <c r="M10" i="40"/>
  <c r="K10" i="40"/>
  <c r="I10" i="40"/>
  <c r="G10" i="40"/>
  <c r="C10" i="40"/>
  <c r="M9" i="40"/>
  <c r="K9" i="40"/>
  <c r="I9" i="40"/>
  <c r="G9" i="40"/>
  <c r="C9" i="40"/>
  <c r="J133" i="37"/>
  <c r="I133" i="37"/>
  <c r="J132" i="37"/>
  <c r="I132" i="37"/>
  <c r="K131" i="37"/>
  <c r="J131" i="37"/>
  <c r="I131" i="37"/>
  <c r="K130" i="37"/>
  <c r="J130" i="37"/>
  <c r="I130" i="37"/>
  <c r="J129" i="37"/>
  <c r="I129" i="37"/>
  <c r="J128" i="37"/>
  <c r="I128" i="37"/>
  <c r="K132" i="36"/>
  <c r="J132" i="36"/>
  <c r="I132" i="36"/>
  <c r="K131" i="36"/>
  <c r="J131" i="36"/>
  <c r="I131" i="36"/>
  <c r="J129" i="36"/>
  <c r="I129" i="36"/>
  <c r="J128" i="36"/>
  <c r="I128" i="36"/>
  <c r="K135" i="35"/>
  <c r="J135" i="35"/>
  <c r="I135" i="35"/>
  <c r="J134" i="35"/>
  <c r="I134" i="35"/>
  <c r="J133" i="35"/>
  <c r="I133" i="35"/>
  <c r="K132" i="35"/>
  <c r="J132" i="35"/>
  <c r="I132" i="35"/>
  <c r="K130" i="35"/>
  <c r="J130" i="35"/>
  <c r="I130" i="35"/>
  <c r="J129" i="35"/>
  <c r="I129" i="35"/>
  <c r="J128" i="35"/>
  <c r="I128" i="35"/>
  <c r="J134" i="34"/>
  <c r="I134" i="34"/>
  <c r="K133" i="34"/>
  <c r="J133" i="34"/>
  <c r="I133" i="34"/>
  <c r="J132" i="34"/>
  <c r="I132" i="34"/>
  <c r="K131" i="34"/>
  <c r="J131" i="34"/>
  <c r="I131" i="34"/>
  <c r="J130" i="34"/>
  <c r="I130" i="34"/>
  <c r="K129" i="34"/>
  <c r="J129" i="34"/>
  <c r="I129" i="34"/>
  <c r="J128" i="34"/>
  <c r="I128" i="34"/>
  <c r="H147" i="33"/>
  <c r="H112" i="33"/>
  <c r="H77" i="33"/>
  <c r="K239" i="33"/>
  <c r="I239" i="33"/>
  <c r="K227" i="33"/>
  <c r="I227" i="33"/>
  <c r="H42" i="33"/>
  <c r="J240" i="33"/>
  <c r="I240" i="33"/>
  <c r="K236" i="33"/>
  <c r="J236" i="33"/>
  <c r="I236" i="33"/>
  <c r="K235" i="33"/>
  <c r="I235" i="33"/>
  <c r="J234" i="33"/>
  <c r="K232" i="33"/>
  <c r="I232" i="33"/>
  <c r="K231" i="33"/>
  <c r="I231" i="33"/>
  <c r="J230" i="33"/>
  <c r="J228" i="33"/>
  <c r="I228" i="33"/>
  <c r="K224" i="33"/>
  <c r="J224" i="33"/>
  <c r="I224" i="33"/>
  <c r="K223" i="33"/>
  <c r="I223" i="33"/>
  <c r="J222" i="33"/>
  <c r="K220" i="33"/>
  <c r="I220" i="33"/>
  <c r="K219" i="33"/>
  <c r="I219" i="33"/>
  <c r="K218" i="33"/>
  <c r="P37" i="33"/>
  <c r="P72" i="33" s="1"/>
  <c r="U72" i="33" s="1"/>
  <c r="Z72" i="33" s="1"/>
  <c r="AE72" i="33" s="1"/>
  <c r="AJ72" i="33" s="1"/>
  <c r="AO72" i="33" s="1"/>
  <c r="AT72" i="33" s="1"/>
  <c r="K137" i="32"/>
  <c r="I136" i="32"/>
  <c r="K135" i="32"/>
  <c r="I135" i="32"/>
  <c r="K134" i="32"/>
  <c r="J134" i="32"/>
  <c r="I134" i="32"/>
  <c r="I133" i="32"/>
  <c r="J132" i="32"/>
  <c r="K131" i="32"/>
  <c r="K130" i="32"/>
  <c r="J130" i="32"/>
  <c r="I130" i="32"/>
  <c r="K129" i="32"/>
  <c r="I129" i="32"/>
  <c r="K134" i="30"/>
  <c r="J134" i="30"/>
  <c r="I134" i="30"/>
  <c r="K133" i="30"/>
  <c r="J133" i="30"/>
  <c r="J131" i="30"/>
  <c r="K129" i="30"/>
  <c r="J129" i="30"/>
  <c r="I129" i="30"/>
  <c r="J128" i="30"/>
  <c r="I128" i="30"/>
  <c r="H147" i="8"/>
  <c r="H112" i="8"/>
  <c r="H77" i="8"/>
  <c r="K236" i="8"/>
  <c r="K235" i="8"/>
  <c r="J235" i="8"/>
  <c r="I235" i="8"/>
  <c r="J234" i="8"/>
  <c r="K233" i="8"/>
  <c r="K232" i="8"/>
  <c r="I232" i="8"/>
  <c r="K229" i="8"/>
  <c r="I229" i="8"/>
  <c r="K226" i="8"/>
  <c r="I226" i="8"/>
  <c r="K225" i="8"/>
  <c r="J225" i="8"/>
  <c r="I225" i="8"/>
  <c r="J224" i="8"/>
  <c r="I224" i="8"/>
  <c r="K223" i="8"/>
  <c r="I223" i="8"/>
  <c r="K220" i="8"/>
  <c r="I220" i="8"/>
  <c r="H42" i="8"/>
  <c r="K234" i="8"/>
  <c r="I234" i="8"/>
  <c r="K238" i="8"/>
  <c r="J238" i="8"/>
  <c r="I238" i="8"/>
  <c r="K237" i="8"/>
  <c r="J237" i="8"/>
  <c r="I237" i="8"/>
  <c r="J236" i="8"/>
  <c r="I236" i="8"/>
  <c r="J233" i="8"/>
  <c r="I233" i="8"/>
  <c r="J232" i="8"/>
  <c r="K231" i="8"/>
  <c r="J231" i="8"/>
  <c r="I231" i="8"/>
  <c r="K230" i="8"/>
  <c r="J230" i="8"/>
  <c r="I230" i="8"/>
  <c r="J229" i="8"/>
  <c r="K228" i="8"/>
  <c r="J228" i="8"/>
  <c r="I228" i="8"/>
  <c r="K227" i="8"/>
  <c r="J227" i="8"/>
  <c r="I227" i="8"/>
  <c r="J226" i="8"/>
  <c r="K221" i="8"/>
  <c r="J221" i="8"/>
  <c r="I221" i="8"/>
  <c r="K222" i="8"/>
  <c r="J222" i="8"/>
  <c r="I222" i="8"/>
  <c r="J223" i="8"/>
  <c r="J220" i="8"/>
  <c r="K219" i="8"/>
  <c r="J219" i="8"/>
  <c r="I219" i="8"/>
  <c r="K218" i="8"/>
  <c r="J218" i="8"/>
  <c r="I218" i="8"/>
  <c r="AK47" i="6"/>
  <c r="AI47" i="6"/>
  <c r="AG47" i="6"/>
  <c r="H20" i="13"/>
  <c r="W47" i="6"/>
  <c r="U47" i="6"/>
  <c r="AC45" i="6"/>
  <c r="S45" i="6"/>
  <c r="M45" i="6"/>
  <c r="AC44" i="6"/>
  <c r="S44" i="6"/>
  <c r="M44" i="6"/>
  <c r="AC42" i="6"/>
  <c r="S42" i="6"/>
  <c r="M42" i="6"/>
  <c r="AC41" i="6"/>
  <c r="S41" i="6"/>
  <c r="M41" i="6"/>
  <c r="AC40" i="6"/>
  <c r="S40" i="6"/>
  <c r="M40" i="6"/>
  <c r="AC39" i="6"/>
  <c r="S39" i="6"/>
  <c r="M39" i="6"/>
  <c r="AC38" i="6"/>
  <c r="S38" i="6"/>
  <c r="M38" i="6"/>
  <c r="AC37" i="6"/>
  <c r="S37" i="6"/>
  <c r="M37" i="6"/>
  <c r="AC36" i="6"/>
  <c r="S36" i="6"/>
  <c r="M36" i="6"/>
  <c r="AC35" i="6"/>
  <c r="S35" i="6"/>
  <c r="M35" i="6"/>
  <c r="AC34" i="6"/>
  <c r="S34" i="6"/>
  <c r="M34" i="6"/>
  <c r="AC33" i="6"/>
  <c r="S33" i="6"/>
  <c r="M33" i="6"/>
  <c r="AC32" i="6"/>
  <c r="S32" i="6"/>
  <c r="M32" i="6"/>
  <c r="AC31" i="6"/>
  <c r="S31" i="6"/>
  <c r="M31" i="6"/>
  <c r="AC30" i="6"/>
  <c r="S30" i="6"/>
  <c r="M30" i="6"/>
  <c r="AC29" i="6"/>
  <c r="S29" i="6"/>
  <c r="M29" i="6"/>
  <c r="AC28" i="6"/>
  <c r="S28" i="6"/>
  <c r="AC27" i="6"/>
  <c r="S27" i="6"/>
  <c r="AC26" i="6"/>
  <c r="S26" i="6"/>
  <c r="AC25" i="6"/>
  <c r="S25" i="6"/>
  <c r="AC24" i="6"/>
  <c r="S24" i="6"/>
  <c r="AC23" i="6"/>
  <c r="S23" i="6"/>
  <c r="AC22" i="6"/>
  <c r="S22" i="6"/>
  <c r="AC21" i="6"/>
  <c r="S21" i="6"/>
  <c r="AC20" i="6"/>
  <c r="S20" i="6"/>
  <c r="AC19" i="6"/>
  <c r="S19" i="6"/>
  <c r="AC18" i="6"/>
  <c r="S18" i="6"/>
  <c r="AC17" i="6"/>
  <c r="S17" i="6"/>
  <c r="AC16" i="6"/>
  <c r="S16" i="6"/>
  <c r="AC15" i="6"/>
  <c r="S15" i="6"/>
  <c r="F14" i="6"/>
  <c r="F13" i="6"/>
  <c r="F12" i="6"/>
  <c r="F11" i="6"/>
  <c r="F10" i="6"/>
  <c r="F9" i="6"/>
  <c r="F8" i="6"/>
  <c r="AK47" i="7"/>
  <c r="AI47" i="7"/>
  <c r="AG47" i="7"/>
  <c r="AE47" i="7"/>
  <c r="W47" i="7"/>
  <c r="U47" i="7"/>
  <c r="AC45" i="7"/>
  <c r="S45" i="7"/>
  <c r="M45" i="7"/>
  <c r="AC44" i="7"/>
  <c r="S44" i="7"/>
  <c r="M44" i="7"/>
  <c r="AC43" i="7"/>
  <c r="S43" i="7"/>
  <c r="M43" i="7"/>
  <c r="AC42" i="7"/>
  <c r="S42" i="7"/>
  <c r="M42" i="7"/>
  <c r="AC41" i="7"/>
  <c r="S41" i="7"/>
  <c r="M41" i="7"/>
  <c r="AC40" i="7"/>
  <c r="S40" i="7"/>
  <c r="M40" i="7"/>
  <c r="AC39" i="7"/>
  <c r="S39" i="7"/>
  <c r="M39" i="7"/>
  <c r="AC38" i="7"/>
  <c r="S38" i="7"/>
  <c r="M38" i="7"/>
  <c r="AC37" i="7"/>
  <c r="S37" i="7"/>
  <c r="M37" i="7"/>
  <c r="AC36" i="7"/>
  <c r="S36" i="7"/>
  <c r="M36" i="7"/>
  <c r="AC35" i="7"/>
  <c r="S35" i="7"/>
  <c r="M35" i="7"/>
  <c r="AC34" i="7"/>
  <c r="S34" i="7"/>
  <c r="M34" i="7"/>
  <c r="AC33" i="7"/>
  <c r="S33" i="7"/>
  <c r="M33" i="7"/>
  <c r="AC32" i="7"/>
  <c r="S32" i="7"/>
  <c r="M32" i="7"/>
  <c r="AC31" i="7"/>
  <c r="S31" i="7"/>
  <c r="M31" i="7"/>
  <c r="AC30" i="7"/>
  <c r="S30" i="7"/>
  <c r="M30" i="7"/>
  <c r="AC29" i="7"/>
  <c r="S29" i="7"/>
  <c r="M29" i="7"/>
  <c r="AC28" i="7"/>
  <c r="S28" i="7"/>
  <c r="M28" i="7"/>
  <c r="AC27" i="7"/>
  <c r="S27" i="7"/>
  <c r="M27" i="7"/>
  <c r="AC26" i="7"/>
  <c r="S26" i="7"/>
  <c r="M26" i="7"/>
  <c r="AC25" i="7"/>
  <c r="S25" i="7"/>
  <c r="M25" i="7"/>
  <c r="AC24" i="7"/>
  <c r="S24" i="7"/>
  <c r="M24" i="7"/>
  <c r="AC23" i="7"/>
  <c r="S23" i="7"/>
  <c r="M23" i="7"/>
  <c r="AC22" i="7"/>
  <c r="S22" i="7"/>
  <c r="M22" i="7"/>
  <c r="AC21" i="7"/>
  <c r="S21" i="7"/>
  <c r="M21" i="7"/>
  <c r="AC20" i="7"/>
  <c r="S20" i="7"/>
  <c r="M20" i="7"/>
  <c r="AC19" i="7"/>
  <c r="S19" i="7"/>
  <c r="M19" i="7"/>
  <c r="AC18" i="7"/>
  <c r="S18" i="7"/>
  <c r="M18" i="7"/>
  <c r="AC17" i="7"/>
  <c r="S17" i="7"/>
  <c r="M17" i="7"/>
  <c r="AC16" i="7"/>
  <c r="S16" i="7"/>
  <c r="M16" i="7"/>
  <c r="AC15" i="7"/>
  <c r="S15" i="7"/>
  <c r="M15" i="7"/>
  <c r="F13" i="7"/>
  <c r="F11" i="7"/>
  <c r="F9" i="7"/>
  <c r="I27" i="5"/>
  <c r="I26" i="5"/>
  <c r="I25" i="5"/>
  <c r="J25" i="5" s="1"/>
  <c r="I24" i="5"/>
  <c r="I23" i="5"/>
  <c r="I22" i="5"/>
  <c r="I21" i="5"/>
  <c r="I20" i="5"/>
  <c r="I19" i="5"/>
  <c r="I18" i="5"/>
  <c r="I17" i="5"/>
  <c r="I16" i="5"/>
  <c r="I15" i="5"/>
  <c r="I14" i="5"/>
  <c r="I13" i="5"/>
  <c r="I12" i="5"/>
  <c r="I11" i="5"/>
  <c r="I10" i="5"/>
  <c r="I9" i="5"/>
  <c r="I8" i="5"/>
  <c r="I7" i="5"/>
  <c r="I10" i="13"/>
  <c r="K10" i="13" s="1"/>
  <c r="I6" i="5"/>
  <c r="J6" i="5" s="1"/>
  <c r="U39" i="3"/>
  <c r="O39" i="3"/>
  <c r="U38" i="3"/>
  <c r="O38" i="3"/>
  <c r="U37" i="3"/>
  <c r="O37" i="3"/>
  <c r="U36" i="3"/>
  <c r="O36" i="3"/>
  <c r="I20" i="39"/>
  <c r="K20" i="39" s="1"/>
  <c r="U34" i="3"/>
  <c r="O34" i="3"/>
  <c r="U33" i="3"/>
  <c r="O33" i="3"/>
  <c r="U32" i="3"/>
  <c r="O32" i="3"/>
  <c r="U31" i="3"/>
  <c r="O31" i="3"/>
  <c r="U30" i="3"/>
  <c r="O30" i="3"/>
  <c r="U29" i="3"/>
  <c r="O29" i="3"/>
  <c r="U28" i="3"/>
  <c r="O28" i="3"/>
  <c r="U27" i="3"/>
  <c r="O27" i="3"/>
  <c r="U26" i="3"/>
  <c r="O26" i="3"/>
  <c r="U25" i="3"/>
  <c r="O25" i="3"/>
  <c r="U24" i="3"/>
  <c r="O24" i="3"/>
  <c r="U23" i="3"/>
  <c r="O23" i="3"/>
  <c r="U22" i="3"/>
  <c r="O22" i="3"/>
  <c r="U21" i="3"/>
  <c r="O21" i="3"/>
  <c r="U20" i="3"/>
  <c r="O20" i="3"/>
  <c r="U19" i="3"/>
  <c r="O19" i="3"/>
  <c r="U18" i="3"/>
  <c r="O18" i="3"/>
  <c r="U17" i="3"/>
  <c r="O17" i="3"/>
  <c r="U16" i="3"/>
  <c r="O16" i="3"/>
  <c r="U15" i="3"/>
  <c r="O15" i="3"/>
  <c r="U14" i="3"/>
  <c r="O14" i="3"/>
  <c r="U13" i="3"/>
  <c r="O13" i="3"/>
  <c r="U12" i="3"/>
  <c r="O12" i="3"/>
  <c r="U11" i="3"/>
  <c r="O11" i="3"/>
  <c r="U10" i="3"/>
  <c r="O10" i="3"/>
  <c r="U9" i="3"/>
  <c r="O9" i="3"/>
  <c r="U8" i="3"/>
  <c r="O8" i="3"/>
  <c r="U7" i="3"/>
  <c r="O7" i="3"/>
  <c r="U6" i="3"/>
  <c r="O6" i="3"/>
  <c r="J24" i="39"/>
  <c r="D24" i="39"/>
  <c r="I22" i="39"/>
  <c r="K22" i="39" s="1"/>
  <c r="I18" i="39"/>
  <c r="K18" i="39" s="1"/>
  <c r="D8" i="39"/>
  <c r="J24" i="13"/>
  <c r="D24" i="13"/>
  <c r="H18" i="13"/>
  <c r="E10" i="13"/>
  <c r="I9" i="13"/>
  <c r="K9" i="13" s="1"/>
  <c r="I8" i="13"/>
  <c r="K8" i="13" s="1"/>
  <c r="I6" i="13"/>
  <c r="K6" i="13" s="1"/>
  <c r="X55" i="1"/>
  <c r="X54" i="1"/>
  <c r="X53" i="1"/>
  <c r="X52" i="1"/>
  <c r="X47" i="1"/>
  <c r="X46" i="1"/>
  <c r="X45" i="1"/>
  <c r="X44" i="1"/>
  <c r="X43" i="1"/>
  <c r="X41" i="1"/>
  <c r="X40" i="1"/>
  <c r="X39" i="1"/>
  <c r="X38" i="1"/>
  <c r="X37" i="1"/>
  <c r="X33" i="1"/>
  <c r="X32" i="1"/>
  <c r="X31" i="1"/>
  <c r="X30" i="1"/>
  <c r="X29" i="1"/>
  <c r="X27" i="1"/>
  <c r="X26" i="1"/>
  <c r="X25" i="1"/>
  <c r="X24" i="1"/>
  <c r="X23" i="1"/>
  <c r="S19" i="1"/>
  <c r="Q19" i="1"/>
  <c r="O19" i="1"/>
  <c r="S18" i="1"/>
  <c r="Q18" i="1"/>
  <c r="O18" i="1"/>
  <c r="J18" i="1"/>
  <c r="E18" i="1"/>
  <c r="D18" i="1"/>
  <c r="J17" i="1"/>
  <c r="E17" i="1"/>
  <c r="D17" i="1"/>
  <c r="J16" i="1"/>
  <c r="E16" i="1"/>
  <c r="D16" i="1"/>
  <c r="J15" i="1"/>
  <c r="E15" i="1"/>
  <c r="D15" i="1"/>
  <c r="V14" i="1"/>
  <c r="P14" i="1"/>
  <c r="U13" i="1"/>
  <c r="W13" i="1" s="1"/>
  <c r="O13" i="1"/>
  <c r="Q13" i="1" s="1"/>
  <c r="U12" i="1"/>
  <c r="W12" i="1" s="1"/>
  <c r="O12" i="1"/>
  <c r="Q12" i="1" s="1"/>
  <c r="U11" i="1"/>
  <c r="W11" i="1" s="1"/>
  <c r="O11" i="1"/>
  <c r="C11" i="1"/>
  <c r="B11" i="1"/>
  <c r="U10" i="1"/>
  <c r="W10" i="1" s="1"/>
  <c r="O10" i="1"/>
  <c r="Q10" i="1" s="1"/>
  <c r="E10" i="1"/>
  <c r="D10" i="1"/>
  <c r="U9" i="1"/>
  <c r="O9" i="1"/>
  <c r="Q9" i="1" s="1"/>
  <c r="C9" i="1"/>
  <c r="B9" i="1"/>
  <c r="E9" i="1" s="1"/>
  <c r="U8" i="1"/>
  <c r="W8" i="1" s="1"/>
  <c r="O8" i="1"/>
  <c r="Q8" i="1" s="1"/>
  <c r="E8" i="1"/>
  <c r="D8" i="1"/>
  <c r="U7" i="1"/>
  <c r="W7" i="1" s="1"/>
  <c r="O7" i="1"/>
  <c r="Q7" i="1" s="1"/>
  <c r="E7" i="1"/>
  <c r="D7" i="1"/>
  <c r="U6" i="1"/>
  <c r="W6" i="1" s="1"/>
  <c r="O6" i="1"/>
  <c r="Q6" i="1" s="1"/>
  <c r="E6" i="1"/>
  <c r="D6" i="1"/>
  <c r="E11" i="1" l="1"/>
  <c r="AF8" i="6"/>
  <c r="Z8" i="6"/>
  <c r="AL8" i="6"/>
  <c r="AD8" i="6"/>
  <c r="X8" i="6"/>
  <c r="R8" i="6"/>
  <c r="L8" i="6"/>
  <c r="AJ8" i="6"/>
  <c r="V8" i="6"/>
  <c r="P8" i="6"/>
  <c r="J8" i="6"/>
  <c r="AH8" i="6"/>
  <c r="AB8" i="6"/>
  <c r="T8" i="6"/>
  <c r="N8" i="6"/>
  <c r="G8" i="6"/>
  <c r="AF12" i="6"/>
  <c r="Z12" i="6"/>
  <c r="AL12" i="6"/>
  <c r="AD12" i="6"/>
  <c r="X12" i="6"/>
  <c r="R12" i="6"/>
  <c r="L12" i="6"/>
  <c r="AJ12" i="6"/>
  <c r="V12" i="6"/>
  <c r="P12" i="6"/>
  <c r="J12" i="6"/>
  <c r="AH12" i="6"/>
  <c r="AB12" i="6"/>
  <c r="T12" i="6"/>
  <c r="N12" i="6"/>
  <c r="AJ9" i="6"/>
  <c r="V9" i="6"/>
  <c r="P9" i="6"/>
  <c r="J9" i="6"/>
  <c r="AH9" i="6"/>
  <c r="AB9" i="6"/>
  <c r="T9" i="6"/>
  <c r="N9" i="6"/>
  <c r="AF9" i="6"/>
  <c r="Z9" i="6"/>
  <c r="AL9" i="6"/>
  <c r="AD9" i="6"/>
  <c r="X9" i="6"/>
  <c r="R9" i="6"/>
  <c r="L9" i="6"/>
  <c r="AJ13" i="6"/>
  <c r="V13" i="6"/>
  <c r="P13" i="6"/>
  <c r="J13" i="6"/>
  <c r="AH13" i="6"/>
  <c r="AB13" i="6"/>
  <c r="T13" i="6"/>
  <c r="N13" i="6"/>
  <c r="AF13" i="6"/>
  <c r="Z13" i="6"/>
  <c r="AL13" i="6"/>
  <c r="AD13" i="6"/>
  <c r="X13" i="6"/>
  <c r="R13" i="6"/>
  <c r="L13" i="6"/>
  <c r="AF10" i="6"/>
  <c r="Z10" i="6"/>
  <c r="AL10" i="6"/>
  <c r="AD10" i="6"/>
  <c r="X10" i="6"/>
  <c r="R10" i="6"/>
  <c r="L10" i="6"/>
  <c r="AJ10" i="6"/>
  <c r="V10" i="6"/>
  <c r="P10" i="6"/>
  <c r="J10" i="6"/>
  <c r="AH10" i="6"/>
  <c r="AB10" i="6"/>
  <c r="T10" i="6"/>
  <c r="N10" i="6"/>
  <c r="AJ11" i="6"/>
  <c r="V11" i="6"/>
  <c r="P11" i="6"/>
  <c r="J11" i="6"/>
  <c r="AH11" i="6"/>
  <c r="AB11" i="6"/>
  <c r="T11" i="6"/>
  <c r="N11" i="6"/>
  <c r="AF11" i="6"/>
  <c r="Z11" i="6"/>
  <c r="AL11" i="6"/>
  <c r="AD11" i="6"/>
  <c r="X11" i="6"/>
  <c r="R11" i="6"/>
  <c r="L11" i="6"/>
  <c r="AJ11" i="7"/>
  <c r="V11" i="7"/>
  <c r="P11" i="7"/>
  <c r="J11" i="7"/>
  <c r="AH11" i="7"/>
  <c r="AB11" i="7"/>
  <c r="T11" i="7"/>
  <c r="N11" i="7"/>
  <c r="AF11" i="7"/>
  <c r="Z11" i="7"/>
  <c r="AL11" i="7"/>
  <c r="AD11" i="7"/>
  <c r="X11" i="7"/>
  <c r="R11" i="7"/>
  <c r="L11" i="7"/>
  <c r="AJ13" i="7"/>
  <c r="V13" i="7"/>
  <c r="P13" i="7"/>
  <c r="J13" i="7"/>
  <c r="AH13" i="7"/>
  <c r="AB13" i="7"/>
  <c r="T13" i="7"/>
  <c r="N13" i="7"/>
  <c r="AF13" i="7"/>
  <c r="Z13" i="7"/>
  <c r="AL13" i="7"/>
  <c r="AD13" i="7"/>
  <c r="X13" i="7"/>
  <c r="R13" i="7"/>
  <c r="L13" i="7"/>
  <c r="AJ9" i="7"/>
  <c r="V9" i="7"/>
  <c r="P9" i="7"/>
  <c r="J9" i="7"/>
  <c r="AH9" i="7"/>
  <c r="AB9" i="7"/>
  <c r="T9" i="7"/>
  <c r="N9" i="7"/>
  <c r="AF9" i="7"/>
  <c r="Z9" i="7"/>
  <c r="AL9" i="7"/>
  <c r="AD9" i="7"/>
  <c r="X9" i="7"/>
  <c r="R9" i="7"/>
  <c r="L9" i="7"/>
  <c r="J18" i="5"/>
  <c r="K10" i="5"/>
  <c r="K7" i="39" s="1"/>
  <c r="J11" i="5"/>
  <c r="X48" i="1"/>
  <c r="V48" i="1" s="1"/>
  <c r="X34" i="1"/>
  <c r="V34" i="1" s="1"/>
  <c r="X42" i="1"/>
  <c r="V42" i="1" s="1"/>
  <c r="M121" i="37"/>
  <c r="D9" i="39"/>
  <c r="R14" i="6"/>
  <c r="AB14" i="6"/>
  <c r="AC46" i="6"/>
  <c r="AC47" i="6" s="1"/>
  <c r="M121" i="36"/>
  <c r="M121" i="35"/>
  <c r="M120" i="35"/>
  <c r="M119" i="35"/>
  <c r="M118" i="35"/>
  <c r="M117" i="35"/>
  <c r="M116" i="35"/>
  <c r="M110" i="35"/>
  <c r="M112" i="35"/>
  <c r="M114" i="35"/>
  <c r="M111" i="35"/>
  <c r="M108" i="35"/>
  <c r="M113" i="35"/>
  <c r="M109" i="35"/>
  <c r="M115" i="35"/>
  <c r="M107" i="35"/>
  <c r="M120" i="36"/>
  <c r="M119" i="36"/>
  <c r="M118" i="36"/>
  <c r="M117" i="36"/>
  <c r="M116" i="36"/>
  <c r="M115" i="36"/>
  <c r="M114" i="36"/>
  <c r="M113" i="36"/>
  <c r="M112" i="36"/>
  <c r="M108" i="36"/>
  <c r="M110" i="36"/>
  <c r="M109" i="36"/>
  <c r="M111" i="36"/>
  <c r="M107" i="36"/>
  <c r="M120" i="37"/>
  <c r="M119" i="37"/>
  <c r="M118" i="37"/>
  <c r="M117" i="37"/>
  <c r="M116" i="37"/>
  <c r="M115" i="37"/>
  <c r="M112" i="37"/>
  <c r="M114" i="37"/>
  <c r="M109" i="37"/>
  <c r="M107" i="37"/>
  <c r="M111" i="37"/>
  <c r="M108" i="37"/>
  <c r="M110" i="37"/>
  <c r="M113" i="37"/>
  <c r="M118" i="32"/>
  <c r="M112" i="32"/>
  <c r="M110" i="32"/>
  <c r="M116" i="32"/>
  <c r="M108" i="32"/>
  <c r="M114" i="32"/>
  <c r="M121" i="32"/>
  <c r="M120" i="32"/>
  <c r="M119" i="32"/>
  <c r="M111" i="32"/>
  <c r="M113" i="32"/>
  <c r="M109" i="32"/>
  <c r="M115" i="32"/>
  <c r="M107" i="32"/>
  <c r="M117" i="32"/>
  <c r="F23" i="6"/>
  <c r="X23" i="6" s="1"/>
  <c r="S46" i="6"/>
  <c r="S47" i="6" s="1"/>
  <c r="H16" i="13" s="1"/>
  <c r="M46" i="6"/>
  <c r="M47" i="6" s="1"/>
  <c r="F26" i="6"/>
  <c r="Z26" i="6" s="1"/>
  <c r="F20" i="6"/>
  <c r="AJ20" i="6" s="1"/>
  <c r="AH14" i="6"/>
  <c r="X14" i="6"/>
  <c r="L14" i="6"/>
  <c r="P14" i="6"/>
  <c r="AF14" i="6"/>
  <c r="Z14" i="6"/>
  <c r="AL14" i="6"/>
  <c r="AJ14" i="6"/>
  <c r="V14" i="6"/>
  <c r="J14" i="6"/>
  <c r="N14" i="6"/>
  <c r="AD14" i="6"/>
  <c r="T14" i="6"/>
  <c r="F23" i="7"/>
  <c r="M122" i="8"/>
  <c r="M134" i="8"/>
  <c r="M140" i="8"/>
  <c r="M121" i="8"/>
  <c r="M118" i="8"/>
  <c r="M130" i="8"/>
  <c r="M114" i="8"/>
  <c r="M127" i="8"/>
  <c r="M120" i="8"/>
  <c r="M133" i="8"/>
  <c r="M113" i="8"/>
  <c r="M126" i="8"/>
  <c r="M119" i="8"/>
  <c r="M132" i="8"/>
  <c r="M125" i="8"/>
  <c r="M131" i="8"/>
  <c r="M117" i="8"/>
  <c r="M124" i="8"/>
  <c r="M116" i="8"/>
  <c r="M123" i="8"/>
  <c r="M129" i="8"/>
  <c r="M112" i="8"/>
  <c r="M115" i="8"/>
  <c r="M128" i="8"/>
  <c r="M137" i="8"/>
  <c r="X28" i="1"/>
  <c r="V28" i="1" s="1"/>
  <c r="D11" i="1"/>
  <c r="O14" i="1"/>
  <c r="B23" i="13"/>
  <c r="C23" i="13" s="1"/>
  <c r="E23" i="13" s="1"/>
  <c r="F31" i="7"/>
  <c r="AH31" i="7" s="1"/>
  <c r="F28" i="6"/>
  <c r="T28" i="6" s="1"/>
  <c r="F31" i="6"/>
  <c r="U14" i="1"/>
  <c r="F35" i="6"/>
  <c r="M78" i="33"/>
  <c r="M92" i="33"/>
  <c r="M84" i="33"/>
  <c r="M100" i="33"/>
  <c r="M101" i="33"/>
  <c r="M79" i="33"/>
  <c r="M81" i="33"/>
  <c r="M83" i="33"/>
  <c r="M94" i="33"/>
  <c r="M96" i="33"/>
  <c r="M98" i="33"/>
  <c r="M77" i="33"/>
  <c r="M85" i="33"/>
  <c r="M87" i="33"/>
  <c r="M89" i="33"/>
  <c r="M91" i="33"/>
  <c r="M80" i="33"/>
  <c r="M82" i="33"/>
  <c r="M93" i="33"/>
  <c r="M95" i="33"/>
  <c r="M97" i="33"/>
  <c r="M99" i="33"/>
  <c r="M86" i="33"/>
  <c r="M88" i="33"/>
  <c r="M90" i="33"/>
  <c r="L77" i="8"/>
  <c r="B28" i="39" s="1"/>
  <c r="M83" i="8"/>
  <c r="M85" i="8"/>
  <c r="M91" i="8"/>
  <c r="M95" i="8"/>
  <c r="M80" i="8"/>
  <c r="M79" i="8"/>
  <c r="M84" i="8"/>
  <c r="M89" i="8"/>
  <c r="M94" i="8"/>
  <c r="M97" i="8"/>
  <c r="M77" i="8"/>
  <c r="M81" i="8"/>
  <c r="M86" i="8"/>
  <c r="M88" i="8"/>
  <c r="M78" i="8"/>
  <c r="M90" i="8"/>
  <c r="M93" i="8"/>
  <c r="M96" i="8"/>
  <c r="M98" i="8"/>
  <c r="M82" i="8"/>
  <c r="M87" i="8"/>
  <c r="M92" i="8"/>
  <c r="U37" i="33"/>
  <c r="Z37" i="33" s="1"/>
  <c r="AE37" i="33" s="1"/>
  <c r="AJ37" i="33" s="1"/>
  <c r="AO37" i="33" s="1"/>
  <c r="AT37" i="33" s="1"/>
  <c r="K228" i="33"/>
  <c r="H17" i="13"/>
  <c r="K133" i="32"/>
  <c r="I128" i="31"/>
  <c r="W9" i="1"/>
  <c r="Q11" i="1"/>
  <c r="F45" i="6"/>
  <c r="J220" i="33"/>
  <c r="J232" i="33"/>
  <c r="J227" i="33"/>
  <c r="J239" i="33"/>
  <c r="K128" i="30"/>
  <c r="M136" i="30" s="1"/>
  <c r="I221" i="33"/>
  <c r="I225" i="33"/>
  <c r="I233" i="33"/>
  <c r="I229" i="33"/>
  <c r="J131" i="32"/>
  <c r="J135" i="32"/>
  <c r="J221" i="33"/>
  <c r="J225" i="33"/>
  <c r="J229" i="33"/>
  <c r="J233" i="33"/>
  <c r="J130" i="30"/>
  <c r="K221" i="33"/>
  <c r="K225" i="33"/>
  <c r="K229" i="33"/>
  <c r="K233" i="33"/>
  <c r="K237" i="33"/>
  <c r="K240" i="33"/>
  <c r="F36" i="6"/>
  <c r="M136" i="8"/>
  <c r="M139" i="8"/>
  <c r="K130" i="30"/>
  <c r="I128" i="32"/>
  <c r="I132" i="32"/>
  <c r="I218" i="33"/>
  <c r="I222" i="33"/>
  <c r="I226" i="33"/>
  <c r="I230" i="33"/>
  <c r="I234" i="33"/>
  <c r="I238" i="33"/>
  <c r="J128" i="32"/>
  <c r="J218" i="33"/>
  <c r="J226" i="33"/>
  <c r="J238" i="33"/>
  <c r="F35" i="7"/>
  <c r="F25" i="7"/>
  <c r="AD25" i="7" s="1"/>
  <c r="F29" i="7"/>
  <c r="AD29" i="7" s="1"/>
  <c r="D9" i="1"/>
  <c r="F33" i="7"/>
  <c r="N33" i="7" s="1"/>
  <c r="K128" i="32"/>
  <c r="K132" i="32"/>
  <c r="K222" i="33"/>
  <c r="K226" i="33"/>
  <c r="K230" i="33"/>
  <c r="K234" i="33"/>
  <c r="K238" i="33"/>
  <c r="I241" i="33"/>
  <c r="I137" i="32"/>
  <c r="J241" i="33"/>
  <c r="F19" i="7"/>
  <c r="I131" i="32"/>
  <c r="F45" i="7"/>
  <c r="AH45" i="7" s="1"/>
  <c r="F18" i="6"/>
  <c r="F24" i="6"/>
  <c r="F27" i="6"/>
  <c r="F41" i="6"/>
  <c r="M135" i="8"/>
  <c r="M138" i="8"/>
  <c r="M141" i="8"/>
  <c r="J129" i="32"/>
  <c r="J133" i="32"/>
  <c r="J137" i="32"/>
  <c r="J219" i="33"/>
  <c r="J223" i="33"/>
  <c r="J231" i="33"/>
  <c r="H21" i="13"/>
  <c r="K128" i="37"/>
  <c r="K133" i="37"/>
  <c r="K129" i="37"/>
  <c r="K132" i="37"/>
  <c r="K129" i="36"/>
  <c r="K128" i="36"/>
  <c r="K129" i="35"/>
  <c r="K133" i="35"/>
  <c r="K128" i="35"/>
  <c r="K134" i="35"/>
  <c r="M134" i="35" s="1"/>
  <c r="K132" i="34"/>
  <c r="K134" i="34"/>
  <c r="K128" i="34"/>
  <c r="K130" i="34"/>
  <c r="I237" i="33"/>
  <c r="J235" i="33"/>
  <c r="J237" i="33"/>
  <c r="M44" i="33"/>
  <c r="M43" i="33"/>
  <c r="M45" i="33"/>
  <c r="M47" i="33"/>
  <c r="M55" i="33"/>
  <c r="M52" i="33"/>
  <c r="M60" i="33"/>
  <c r="M71" i="33"/>
  <c r="M63" i="33"/>
  <c r="M46" i="33"/>
  <c r="M49" i="33"/>
  <c r="M54" i="33"/>
  <c r="M57" i="33"/>
  <c r="M62" i="33"/>
  <c r="M65" i="33"/>
  <c r="K241" i="33"/>
  <c r="M242" i="33" s="1"/>
  <c r="M51" i="33"/>
  <c r="M59" i="33"/>
  <c r="M48" i="33"/>
  <c r="M50" i="33"/>
  <c r="M53" i="33"/>
  <c r="M56" i="33"/>
  <c r="M58" i="33"/>
  <c r="M61" i="33"/>
  <c r="M64" i="33"/>
  <c r="K128" i="31"/>
  <c r="M135" i="31" s="1"/>
  <c r="J136" i="32"/>
  <c r="K136" i="32"/>
  <c r="M135" i="32" s="1"/>
  <c r="I130" i="30"/>
  <c r="K131" i="30"/>
  <c r="I131" i="30"/>
  <c r="I133" i="30"/>
  <c r="M44" i="8"/>
  <c r="M46" i="8"/>
  <c r="M48" i="8"/>
  <c r="K224" i="8"/>
  <c r="M228" i="8" s="1"/>
  <c r="M50" i="8"/>
  <c r="M52" i="8"/>
  <c r="M54" i="8"/>
  <c r="M56" i="8"/>
  <c r="M58" i="8"/>
  <c r="M60" i="8"/>
  <c r="M59" i="8"/>
  <c r="B22" i="13"/>
  <c r="C22" i="13" s="1"/>
  <c r="E22" i="13" s="1"/>
  <c r="B21" i="13"/>
  <c r="C21" i="13" s="1"/>
  <c r="E21" i="13" s="1"/>
  <c r="B18" i="13"/>
  <c r="C18" i="13" s="1"/>
  <c r="E18" i="13" s="1"/>
  <c r="F17" i="7"/>
  <c r="AH17" i="7" s="1"/>
  <c r="F21" i="7"/>
  <c r="F27" i="7"/>
  <c r="F16" i="6"/>
  <c r="F19" i="6"/>
  <c r="B17" i="13"/>
  <c r="C17" i="13" s="1"/>
  <c r="E17" i="13" s="1"/>
  <c r="F15" i="7"/>
  <c r="F10" i="7"/>
  <c r="F14" i="7"/>
  <c r="F8" i="7"/>
  <c r="F12" i="7"/>
  <c r="F16" i="7"/>
  <c r="F20" i="7"/>
  <c r="F24" i="7"/>
  <c r="N24" i="7" s="1"/>
  <c r="F28" i="7"/>
  <c r="F32" i="7"/>
  <c r="F36" i="7"/>
  <c r="F18" i="7"/>
  <c r="T18" i="7" s="1"/>
  <c r="F22" i="7"/>
  <c r="T22" i="7" s="1"/>
  <c r="F26" i="7"/>
  <c r="F30" i="7"/>
  <c r="F34" i="7"/>
  <c r="N34" i="7" s="1"/>
  <c r="AC46" i="7"/>
  <c r="B19" i="13" s="1"/>
  <c r="C19" i="13" s="1"/>
  <c r="E19" i="13" s="1"/>
  <c r="F44" i="7"/>
  <c r="N44" i="7" s="1"/>
  <c r="H23" i="13"/>
  <c r="F22" i="6"/>
  <c r="F32" i="6"/>
  <c r="F21" i="6"/>
  <c r="F25" i="6"/>
  <c r="F15" i="6"/>
  <c r="F30" i="6"/>
  <c r="F17" i="6"/>
  <c r="N45" i="6"/>
  <c r="AH45" i="6"/>
  <c r="F34" i="6"/>
  <c r="F44" i="6"/>
  <c r="J45" i="6"/>
  <c r="P45" i="6"/>
  <c r="V45" i="6"/>
  <c r="AJ45" i="6"/>
  <c r="F29" i="6"/>
  <c r="F33" i="6"/>
  <c r="L45" i="6"/>
  <c r="X45" i="6"/>
  <c r="AD45" i="6"/>
  <c r="AL45" i="6"/>
  <c r="Z45" i="6"/>
  <c r="M118" i="31"/>
  <c r="M114" i="31"/>
  <c r="M110" i="31"/>
  <c r="M121" i="31"/>
  <c r="M117" i="31"/>
  <c r="M113" i="31"/>
  <c r="M109" i="31"/>
  <c r="M120" i="31"/>
  <c r="M116" i="31"/>
  <c r="M112" i="31"/>
  <c r="M119" i="31"/>
  <c r="M115" i="31"/>
  <c r="M111" i="31"/>
  <c r="P42" i="37"/>
  <c r="P42" i="36"/>
  <c r="P42" i="35"/>
  <c r="P42" i="34"/>
  <c r="P42" i="31"/>
  <c r="J128" i="31"/>
  <c r="P42" i="32"/>
  <c r="P42" i="30"/>
  <c r="M132" i="30"/>
  <c r="L42" i="33"/>
  <c r="M42" i="33"/>
  <c r="M66" i="33"/>
  <c r="M67" i="33"/>
  <c r="M68" i="33"/>
  <c r="M69" i="33"/>
  <c r="M70" i="33"/>
  <c r="L77" i="33"/>
  <c r="B32" i="39" s="1"/>
  <c r="M102" i="33"/>
  <c r="M103" i="33"/>
  <c r="M104" i="33"/>
  <c r="M105" i="33"/>
  <c r="M106" i="33"/>
  <c r="M211" i="33"/>
  <c r="M210" i="33"/>
  <c r="M209" i="33"/>
  <c r="M208" i="33"/>
  <c r="M207" i="33"/>
  <c r="M206" i="33"/>
  <c r="L112" i="8"/>
  <c r="M99" i="8"/>
  <c r="M100" i="8"/>
  <c r="M101" i="8"/>
  <c r="M102" i="8"/>
  <c r="M103" i="8"/>
  <c r="M104" i="8"/>
  <c r="M105" i="8"/>
  <c r="M106" i="8"/>
  <c r="M42" i="8"/>
  <c r="M45" i="8"/>
  <c r="M49" i="8"/>
  <c r="M53" i="8"/>
  <c r="M57" i="8"/>
  <c r="M61" i="8"/>
  <c r="M62" i="8"/>
  <c r="M63" i="8"/>
  <c r="M64" i="8"/>
  <c r="M65" i="8"/>
  <c r="M66" i="8"/>
  <c r="M67" i="8"/>
  <c r="M68" i="8"/>
  <c r="M69" i="8"/>
  <c r="M70" i="8"/>
  <c r="M71" i="8"/>
  <c r="M43" i="8"/>
  <c r="M47" i="8"/>
  <c r="M51" i="8"/>
  <c r="M55" i="8"/>
  <c r="D10" i="39"/>
  <c r="I11" i="13"/>
  <c r="K11" i="13" s="1"/>
  <c r="F39" i="6"/>
  <c r="F38" i="6"/>
  <c r="F42" i="6"/>
  <c r="F40" i="6"/>
  <c r="F43" i="7"/>
  <c r="AH43" i="7" s="1"/>
  <c r="S46" i="7"/>
  <c r="S47" i="7" s="1"/>
  <c r="F39" i="7"/>
  <c r="F38" i="7"/>
  <c r="N38" i="7" s="1"/>
  <c r="F42" i="7"/>
  <c r="N42" i="7" s="1"/>
  <c r="M46" i="7"/>
  <c r="B15" i="13" s="1"/>
  <c r="C15" i="13" s="1"/>
  <c r="F41" i="7"/>
  <c r="N41" i="7" s="1"/>
  <c r="F40" i="7"/>
  <c r="N40" i="7" s="1"/>
  <c r="I17" i="39"/>
  <c r="K17" i="39" s="1"/>
  <c r="I21" i="39"/>
  <c r="K21" i="39" s="1"/>
  <c r="D7" i="39"/>
  <c r="I15" i="39"/>
  <c r="I19" i="39"/>
  <c r="K19" i="39" s="1"/>
  <c r="I23" i="39"/>
  <c r="K23" i="39" s="1"/>
  <c r="I16" i="39"/>
  <c r="K16" i="39" s="1"/>
  <c r="H22" i="13"/>
  <c r="AE47" i="6"/>
  <c r="F37" i="6"/>
  <c r="B20" i="13"/>
  <c r="C20" i="13" s="1"/>
  <c r="E20" i="13" s="1"/>
  <c r="F37" i="7"/>
  <c r="D6" i="13"/>
  <c r="E6" i="13"/>
  <c r="P72" i="8"/>
  <c r="U37" i="8"/>
  <c r="Z37" i="8" s="1"/>
  <c r="AE37" i="8" s="1"/>
  <c r="AJ37" i="8" s="1"/>
  <c r="AO37" i="8" s="1"/>
  <c r="AT37" i="8" s="1"/>
  <c r="M113" i="33"/>
  <c r="M117" i="33"/>
  <c r="M135" i="33"/>
  <c r="M114" i="33"/>
  <c r="M118" i="33"/>
  <c r="M122" i="33"/>
  <c r="M126" i="33"/>
  <c r="M130" i="33"/>
  <c r="M134" i="33"/>
  <c r="M121" i="33"/>
  <c r="M125" i="33"/>
  <c r="M129" i="33"/>
  <c r="M133" i="33"/>
  <c r="M112" i="33"/>
  <c r="L112" i="33"/>
  <c r="M116" i="33"/>
  <c r="M120" i="33"/>
  <c r="M124" i="33"/>
  <c r="M128" i="33"/>
  <c r="M132" i="33"/>
  <c r="M136" i="33"/>
  <c r="M137" i="33"/>
  <c r="M138" i="33"/>
  <c r="M139" i="33"/>
  <c r="M140" i="33"/>
  <c r="M141" i="33"/>
  <c r="M115" i="33"/>
  <c r="M119" i="33"/>
  <c r="M123" i="33"/>
  <c r="M127" i="33"/>
  <c r="M131" i="33"/>
  <c r="D10" i="13"/>
  <c r="M151" i="33"/>
  <c r="M155" i="33"/>
  <c r="M159" i="33"/>
  <c r="M163" i="33"/>
  <c r="M167" i="33"/>
  <c r="M168" i="33"/>
  <c r="M150" i="33"/>
  <c r="M154" i="33"/>
  <c r="M158" i="33"/>
  <c r="M162" i="33"/>
  <c r="M166" i="33"/>
  <c r="M170" i="33"/>
  <c r="L147" i="33"/>
  <c r="M147" i="33"/>
  <c r="M171" i="33"/>
  <c r="M172" i="33"/>
  <c r="M173" i="33"/>
  <c r="M174" i="33"/>
  <c r="M175" i="33"/>
  <c r="M176" i="33"/>
  <c r="M149" i="33"/>
  <c r="M153" i="33"/>
  <c r="M157" i="33"/>
  <c r="M161" i="33"/>
  <c r="M165" i="33"/>
  <c r="M169" i="33"/>
  <c r="M148" i="33"/>
  <c r="M152" i="33"/>
  <c r="M156" i="33"/>
  <c r="M160" i="33"/>
  <c r="M164" i="33"/>
  <c r="M159" i="8"/>
  <c r="M163" i="8"/>
  <c r="M165" i="8"/>
  <c r="M148" i="8"/>
  <c r="M152" i="8"/>
  <c r="M156" i="8"/>
  <c r="M160" i="8"/>
  <c r="M164" i="8"/>
  <c r="L147" i="8"/>
  <c r="M151" i="8"/>
  <c r="M155" i="8"/>
  <c r="M147" i="8"/>
  <c r="M150" i="8"/>
  <c r="M154" i="8"/>
  <c r="M158" i="8"/>
  <c r="M162" i="8"/>
  <c r="M166" i="8"/>
  <c r="M167" i="8"/>
  <c r="M168" i="8"/>
  <c r="M169" i="8"/>
  <c r="M170" i="8"/>
  <c r="M171" i="8"/>
  <c r="M172" i="8"/>
  <c r="M173" i="8"/>
  <c r="M174" i="8"/>
  <c r="M175" i="8"/>
  <c r="M176" i="8"/>
  <c r="M149" i="8"/>
  <c r="M153" i="8"/>
  <c r="M157" i="8"/>
  <c r="M161" i="8"/>
  <c r="N28" i="7" l="1"/>
  <c r="G28" i="7"/>
  <c r="G35" i="7"/>
  <c r="G8" i="7"/>
  <c r="T21" i="7"/>
  <c r="G21" i="7"/>
  <c r="L14" i="7"/>
  <c r="J14" i="7"/>
  <c r="N14" i="7"/>
  <c r="H12" i="7"/>
  <c r="G14" i="7"/>
  <c r="J23" i="6"/>
  <c r="AL23" i="6"/>
  <c r="G34" i="6"/>
  <c r="T23" i="6"/>
  <c r="P23" i="6"/>
  <c r="AH39" i="7"/>
  <c r="N39" i="7"/>
  <c r="T36" i="7"/>
  <c r="N36" i="7"/>
  <c r="AH35" i="7"/>
  <c r="N35" i="7"/>
  <c r="AD32" i="7"/>
  <c r="N32" i="7"/>
  <c r="AL37" i="7"/>
  <c r="N37" i="7"/>
  <c r="AF8" i="7"/>
  <c r="Z8" i="7"/>
  <c r="AL8" i="7"/>
  <c r="AD8" i="7"/>
  <c r="X8" i="7"/>
  <c r="R8" i="7"/>
  <c r="L8" i="7"/>
  <c r="AJ8" i="7"/>
  <c r="V8" i="7"/>
  <c r="P8" i="7"/>
  <c r="J8" i="7"/>
  <c r="AH8" i="7"/>
  <c r="AB8" i="7"/>
  <c r="T8" i="7"/>
  <c r="N8" i="7"/>
  <c r="AF10" i="7"/>
  <c r="Z10" i="7"/>
  <c r="AL10" i="7"/>
  <c r="AD10" i="7"/>
  <c r="X10" i="7"/>
  <c r="R10" i="7"/>
  <c r="L10" i="7"/>
  <c r="AJ10" i="7"/>
  <c r="V10" i="7"/>
  <c r="P10" i="7"/>
  <c r="J10" i="7"/>
  <c r="AH10" i="7"/>
  <c r="AB10" i="7"/>
  <c r="T10" i="7"/>
  <c r="N10" i="7"/>
  <c r="AF12" i="7"/>
  <c r="Z12" i="7"/>
  <c r="AL12" i="7"/>
  <c r="AD12" i="7"/>
  <c r="X12" i="7"/>
  <c r="R12" i="7"/>
  <c r="L12" i="7"/>
  <c r="AJ12" i="7"/>
  <c r="V12" i="7"/>
  <c r="P12" i="7"/>
  <c r="J12" i="7"/>
  <c r="AH12" i="7"/>
  <c r="AB12" i="7"/>
  <c r="T12" i="7"/>
  <c r="N12" i="7"/>
  <c r="AD34" i="7"/>
  <c r="G27" i="6"/>
  <c r="AH27" i="7"/>
  <c r="AJ23" i="6"/>
  <c r="AF23" i="6"/>
  <c r="H12" i="6"/>
  <c r="AF46" i="6" s="1"/>
  <c r="V20" i="6"/>
  <c r="G20" i="6"/>
  <c r="N20" i="7"/>
  <c r="G13" i="6"/>
  <c r="AH46" i="7"/>
  <c r="N40" i="6"/>
  <c r="AB40" i="6"/>
  <c r="R40" i="6"/>
  <c r="R42" i="6"/>
  <c r="AB42" i="6"/>
  <c r="AB44" i="6"/>
  <c r="R44" i="6"/>
  <c r="AJ41" i="6"/>
  <c r="AB41" i="6"/>
  <c r="R41" i="6"/>
  <c r="AF45" i="6"/>
  <c r="AB45" i="6"/>
  <c r="R45" i="6"/>
  <c r="AD20" i="6"/>
  <c r="AD30" i="7"/>
  <c r="AD23" i="6"/>
  <c r="AH23" i="7"/>
  <c r="V26" i="6"/>
  <c r="AH16" i="6"/>
  <c r="AB16" i="6"/>
  <c r="R16" i="6"/>
  <c r="AB15" i="6"/>
  <c r="R15" i="6"/>
  <c r="N17" i="6"/>
  <c r="R17" i="6"/>
  <c r="AB17" i="6"/>
  <c r="L18" i="6"/>
  <c r="R18" i="6"/>
  <c r="AB18" i="6"/>
  <c r="C1" i="30"/>
  <c r="AH39" i="6"/>
  <c r="R39" i="6"/>
  <c r="AB39" i="6"/>
  <c r="N38" i="6"/>
  <c r="R38" i="6"/>
  <c r="AB38" i="6"/>
  <c r="AB34" i="6"/>
  <c r="R34" i="6"/>
  <c r="AF36" i="6"/>
  <c r="AB36" i="6"/>
  <c r="R36" i="6"/>
  <c r="AL37" i="6"/>
  <c r="AB37" i="6"/>
  <c r="R37" i="6"/>
  <c r="N33" i="6"/>
  <c r="R33" i="6"/>
  <c r="AB33" i="6"/>
  <c r="AF35" i="6"/>
  <c r="AB35" i="6"/>
  <c r="R35" i="6"/>
  <c r="AD33" i="7"/>
  <c r="D11" i="39"/>
  <c r="AD26" i="7"/>
  <c r="L26" i="6"/>
  <c r="AF28" i="6"/>
  <c r="AD26" i="6"/>
  <c r="AF26" i="6"/>
  <c r="L28" i="6"/>
  <c r="J26" i="6"/>
  <c r="AB30" i="6"/>
  <c r="R30" i="6"/>
  <c r="AH28" i="6"/>
  <c r="AB28" i="6"/>
  <c r="R28" i="6"/>
  <c r="AH26" i="6"/>
  <c r="AB26" i="6"/>
  <c r="R26" i="6"/>
  <c r="N29" i="6"/>
  <c r="AB29" i="6"/>
  <c r="R29" i="6"/>
  <c r="N32" i="6"/>
  <c r="AB32" i="6"/>
  <c r="R32" i="6"/>
  <c r="AD27" i="6"/>
  <c r="AB27" i="6"/>
  <c r="R27" i="6"/>
  <c r="AF31" i="6"/>
  <c r="AB31" i="6"/>
  <c r="R31" i="6"/>
  <c r="L23" i="6"/>
  <c r="Z23" i="6"/>
  <c r="N23" i="6"/>
  <c r="T20" i="6"/>
  <c r="AF20" i="6"/>
  <c r="V23" i="6"/>
  <c r="N25" i="6"/>
  <c r="R25" i="6"/>
  <c r="AB25" i="6"/>
  <c r="L22" i="6"/>
  <c r="R22" i="6"/>
  <c r="AB22" i="6"/>
  <c r="R19" i="6"/>
  <c r="AB19" i="6"/>
  <c r="N21" i="6"/>
  <c r="R21" i="6"/>
  <c r="AB21" i="6"/>
  <c r="AH20" i="6"/>
  <c r="AB20" i="6"/>
  <c r="R20" i="6"/>
  <c r="AH23" i="6"/>
  <c r="R23" i="6"/>
  <c r="AB23" i="6"/>
  <c r="V24" i="6"/>
  <c r="AB24" i="6"/>
  <c r="R24" i="6"/>
  <c r="AL20" i="6"/>
  <c r="N20" i="6"/>
  <c r="P20" i="6"/>
  <c r="AH19" i="6"/>
  <c r="AB19" i="7"/>
  <c r="AL28" i="6"/>
  <c r="T45" i="6"/>
  <c r="N35" i="6"/>
  <c r="J27" i="6"/>
  <c r="P26" i="6"/>
  <c r="X26" i="6"/>
  <c r="N26" i="6"/>
  <c r="T26" i="6"/>
  <c r="AJ26" i="6"/>
  <c r="AL26" i="6"/>
  <c r="V23" i="7"/>
  <c r="Z20" i="6"/>
  <c r="L20" i="6"/>
  <c r="X20" i="6"/>
  <c r="J20" i="6"/>
  <c r="Z18" i="6"/>
  <c r="AL18" i="6"/>
  <c r="Z28" i="6"/>
  <c r="AJ28" i="6"/>
  <c r="T31" i="6"/>
  <c r="V28" i="6"/>
  <c r="AL41" i="6"/>
  <c r="N36" i="6"/>
  <c r="AD31" i="6"/>
  <c r="V31" i="6"/>
  <c r="AB23" i="7"/>
  <c r="J23" i="7"/>
  <c r="N23" i="7"/>
  <c r="Z23" i="7"/>
  <c r="AL23" i="7"/>
  <c r="P23" i="7"/>
  <c r="AF23" i="7"/>
  <c r="L23" i="7"/>
  <c r="R23" i="7"/>
  <c r="AJ23" i="7"/>
  <c r="X23" i="7"/>
  <c r="AD23" i="7"/>
  <c r="X24" i="6"/>
  <c r="AD24" i="6"/>
  <c r="AF24" i="6"/>
  <c r="P24" i="6"/>
  <c r="AH24" i="6"/>
  <c r="AJ24" i="6"/>
  <c r="X28" i="6"/>
  <c r="AD28" i="6"/>
  <c r="N28" i="6"/>
  <c r="J28" i="6"/>
  <c r="P28" i="6"/>
  <c r="P19" i="7"/>
  <c r="V19" i="7"/>
  <c r="AL19" i="7"/>
  <c r="Z19" i="7"/>
  <c r="AH19" i="7"/>
  <c r="AH15" i="7"/>
  <c r="J18" i="6"/>
  <c r="P18" i="6"/>
  <c r="X18" i="6"/>
  <c r="N15" i="6"/>
  <c r="Z31" i="6"/>
  <c r="X31" i="6"/>
  <c r="P31" i="6"/>
  <c r="N31" i="6"/>
  <c r="AJ27" i="6"/>
  <c r="L31" i="6"/>
  <c r="J31" i="6"/>
  <c r="Z27" i="6"/>
  <c r="AL31" i="6"/>
  <c r="AJ31" i="6"/>
  <c r="AH31" i="6"/>
  <c r="AF27" i="6"/>
  <c r="T19" i="7"/>
  <c r="R35" i="7"/>
  <c r="J19" i="7"/>
  <c r="T23" i="7"/>
  <c r="N19" i="7"/>
  <c r="AF19" i="7"/>
  <c r="R19" i="7"/>
  <c r="N31" i="7"/>
  <c r="X19" i="7"/>
  <c r="AD19" i="7"/>
  <c r="AJ19" i="7"/>
  <c r="L19" i="7"/>
  <c r="J35" i="7"/>
  <c r="AL14" i="7"/>
  <c r="X14" i="7"/>
  <c r="R14" i="7"/>
  <c r="AJ14" i="7"/>
  <c r="V14" i="7"/>
  <c r="P14" i="7"/>
  <c r="AH14" i="7"/>
  <c r="AB14" i="7"/>
  <c r="AF14" i="7"/>
  <c r="Z14" i="7"/>
  <c r="AD14" i="7"/>
  <c r="T14" i="7"/>
  <c r="T36" i="6"/>
  <c r="AL35" i="7"/>
  <c r="J31" i="7"/>
  <c r="L31" i="7"/>
  <c r="X31" i="7"/>
  <c r="Z29" i="7"/>
  <c r="AB35" i="7"/>
  <c r="V35" i="7"/>
  <c r="AB31" i="7"/>
  <c r="L29" i="7"/>
  <c r="AL31" i="7"/>
  <c r="X29" i="7"/>
  <c r="R31" i="7"/>
  <c r="P31" i="7"/>
  <c r="V31" i="7"/>
  <c r="AJ31" i="7"/>
  <c r="Z31" i="7"/>
  <c r="L35" i="7"/>
  <c r="P35" i="7"/>
  <c r="AF31" i="7"/>
  <c r="X35" i="7"/>
  <c r="AH29" i="7"/>
  <c r="AF35" i="7"/>
  <c r="AD35" i="7"/>
  <c r="N29" i="7"/>
  <c r="T35" i="7"/>
  <c r="T29" i="7"/>
  <c r="R33" i="7"/>
  <c r="AD31" i="7"/>
  <c r="T31" i="7"/>
  <c r="AL29" i="7"/>
  <c r="AB29" i="7"/>
  <c r="R29" i="7"/>
  <c r="L33" i="7"/>
  <c r="T33" i="7"/>
  <c r="AB33" i="7"/>
  <c r="Z33" i="7"/>
  <c r="AF29" i="7"/>
  <c r="AF33" i="7"/>
  <c r="J29" i="7"/>
  <c r="AH33" i="7"/>
  <c r="J33" i="7"/>
  <c r="P29" i="7"/>
  <c r="X33" i="7"/>
  <c r="P33" i="7"/>
  <c r="V29" i="7"/>
  <c r="V33" i="7"/>
  <c r="AJ29" i="7"/>
  <c r="AD43" i="7"/>
  <c r="AH41" i="6"/>
  <c r="P27" i="6"/>
  <c r="X36" i="6"/>
  <c r="J36" i="6"/>
  <c r="R45" i="7"/>
  <c r="AF41" i="6"/>
  <c r="L27" i="6"/>
  <c r="L45" i="7"/>
  <c r="Z45" i="7"/>
  <c r="Z41" i="6"/>
  <c r="X27" i="6"/>
  <c r="V45" i="7"/>
  <c r="T32" i="7"/>
  <c r="AL27" i="6"/>
  <c r="L36" i="6"/>
  <c r="N27" i="6"/>
  <c r="P41" i="6"/>
  <c r="L41" i="6"/>
  <c r="Z36" i="6"/>
  <c r="AJ36" i="6"/>
  <c r="V41" i="6"/>
  <c r="X41" i="6"/>
  <c r="J41" i="6"/>
  <c r="AD41" i="6"/>
  <c r="AH36" i="6"/>
  <c r="V36" i="6"/>
  <c r="P36" i="6"/>
  <c r="T41" i="6"/>
  <c r="N41" i="6"/>
  <c r="V27" i="6"/>
  <c r="AL36" i="6"/>
  <c r="AH27" i="6"/>
  <c r="AB45" i="7"/>
  <c r="AJ35" i="7"/>
  <c r="Z32" i="6"/>
  <c r="AD35" i="6"/>
  <c r="P35" i="6"/>
  <c r="AJ35" i="6"/>
  <c r="Z35" i="6"/>
  <c r="L35" i="6"/>
  <c r="AH35" i="6"/>
  <c r="AL35" i="6"/>
  <c r="J35" i="6"/>
  <c r="X35" i="6"/>
  <c r="V35" i="6"/>
  <c r="T35" i="6"/>
  <c r="C1" i="37"/>
  <c r="B36" i="13" s="1"/>
  <c r="L128" i="30"/>
  <c r="X27" i="7"/>
  <c r="T25" i="7"/>
  <c r="X25" i="7"/>
  <c r="L25" i="7"/>
  <c r="AH25" i="7"/>
  <c r="N25" i="7"/>
  <c r="J27" i="7"/>
  <c r="AB25" i="7"/>
  <c r="R25" i="7"/>
  <c r="AL25" i="7"/>
  <c r="Z25" i="7"/>
  <c r="AF25" i="7"/>
  <c r="J25" i="7"/>
  <c r="P25" i="7"/>
  <c r="V25" i="7"/>
  <c r="AJ25" i="7"/>
  <c r="T32" i="6"/>
  <c r="L17" i="7"/>
  <c r="AH18" i="6"/>
  <c r="AD18" i="6"/>
  <c r="L24" i="6"/>
  <c r="AD44" i="7"/>
  <c r="AJ45" i="7"/>
  <c r="AB27" i="7"/>
  <c r="T27" i="7"/>
  <c r="N43" i="7"/>
  <c r="M140" i="30"/>
  <c r="M133" i="30"/>
  <c r="T24" i="6"/>
  <c r="Z24" i="6"/>
  <c r="N18" i="6"/>
  <c r="T27" i="6"/>
  <c r="AD32" i="6"/>
  <c r="V27" i="7"/>
  <c r="AL33" i="7"/>
  <c r="AB43" i="7"/>
  <c r="M134" i="30"/>
  <c r="T39" i="7"/>
  <c r="M138" i="30"/>
  <c r="M131" i="30"/>
  <c r="AF18" i="6"/>
  <c r="Z27" i="7"/>
  <c r="X45" i="7"/>
  <c r="M141" i="30"/>
  <c r="M142" i="30"/>
  <c r="M129" i="30"/>
  <c r="AF32" i="6"/>
  <c r="T18" i="6"/>
  <c r="N24" i="6"/>
  <c r="AL45" i="7"/>
  <c r="N45" i="7"/>
  <c r="X39" i="7"/>
  <c r="AD36" i="6"/>
  <c r="M128" i="30"/>
  <c r="M135" i="30"/>
  <c r="V18" i="6"/>
  <c r="J24" i="6"/>
  <c r="AF45" i="7"/>
  <c r="M139" i="30"/>
  <c r="M137" i="30"/>
  <c r="M130" i="30"/>
  <c r="AJ18" i="6"/>
  <c r="AL24" i="6"/>
  <c r="J45" i="7"/>
  <c r="AD45" i="7"/>
  <c r="C1" i="34"/>
  <c r="L27" i="7"/>
  <c r="P45" i="7"/>
  <c r="Z35" i="7"/>
  <c r="T45" i="7"/>
  <c r="AJ33" i="7"/>
  <c r="K15" i="39"/>
  <c r="I24" i="39"/>
  <c r="L19" i="6"/>
  <c r="AF19" i="6"/>
  <c r="AJ19" i="6"/>
  <c r="X19" i="6"/>
  <c r="Z19" i="6"/>
  <c r="V22" i="6"/>
  <c r="T22" i="6"/>
  <c r="J16" i="6"/>
  <c r="AD22" i="6"/>
  <c r="N22" i="6"/>
  <c r="AH22" i="6"/>
  <c r="P22" i="6"/>
  <c r="X22" i="6"/>
  <c r="AF22" i="6"/>
  <c r="AJ22" i="6"/>
  <c r="AL22" i="6"/>
  <c r="Z22" i="6"/>
  <c r="J22" i="6"/>
  <c r="M130" i="37"/>
  <c r="M133" i="37"/>
  <c r="M129" i="37"/>
  <c r="M142" i="37"/>
  <c r="M134" i="37"/>
  <c r="M136" i="37"/>
  <c r="M140" i="37"/>
  <c r="M135" i="37"/>
  <c r="M137" i="37"/>
  <c r="M138" i="37"/>
  <c r="M139" i="37"/>
  <c r="L128" i="37"/>
  <c r="M128" i="37"/>
  <c r="M141" i="37"/>
  <c r="M132" i="37"/>
  <c r="M131" i="37"/>
  <c r="M131" i="36"/>
  <c r="M132" i="36"/>
  <c r="M129" i="36"/>
  <c r="M141" i="36"/>
  <c r="M138" i="36"/>
  <c r="M134" i="36"/>
  <c r="M137" i="36"/>
  <c r="M136" i="36"/>
  <c r="M133" i="36"/>
  <c r="M140" i="36"/>
  <c r="M139" i="36"/>
  <c r="M128" i="36"/>
  <c r="L128" i="36"/>
  <c r="M142" i="36"/>
  <c r="M135" i="36"/>
  <c r="M132" i="35"/>
  <c r="M133" i="35"/>
  <c r="M136" i="35"/>
  <c r="M140" i="35"/>
  <c r="M128" i="35"/>
  <c r="M142" i="35"/>
  <c r="M138" i="35"/>
  <c r="M141" i="35"/>
  <c r="M131" i="35"/>
  <c r="M137" i="35"/>
  <c r="M139" i="35"/>
  <c r="L128" i="35"/>
  <c r="M130" i="35"/>
  <c r="M129" i="35"/>
  <c r="M135" i="35"/>
  <c r="M134" i="34"/>
  <c r="M130" i="34"/>
  <c r="M133" i="34"/>
  <c r="M132" i="34"/>
  <c r="M141" i="34"/>
  <c r="M128" i="34"/>
  <c r="M135" i="34"/>
  <c r="M139" i="34"/>
  <c r="M142" i="34"/>
  <c r="M138" i="34"/>
  <c r="M140" i="34"/>
  <c r="M137" i="34"/>
  <c r="M136" i="34"/>
  <c r="L128" i="34"/>
  <c r="M131" i="34"/>
  <c r="M129" i="34"/>
  <c r="M236" i="33"/>
  <c r="M219" i="33"/>
  <c r="M227" i="33"/>
  <c r="M240" i="33"/>
  <c r="M234" i="33"/>
  <c r="M225" i="33"/>
  <c r="M229" i="33"/>
  <c r="M220" i="33"/>
  <c r="L218" i="33"/>
  <c r="M247" i="33"/>
  <c r="M228" i="33"/>
  <c r="M231" i="33"/>
  <c r="M246" i="33"/>
  <c r="M241" i="33"/>
  <c r="M238" i="33"/>
  <c r="M232" i="33"/>
  <c r="M223" i="33"/>
  <c r="M235" i="33"/>
  <c r="M226" i="33"/>
  <c r="M244" i="33"/>
  <c r="M243" i="33"/>
  <c r="M245" i="33"/>
  <c r="M222" i="33"/>
  <c r="M237" i="33"/>
  <c r="M230" i="33"/>
  <c r="M221" i="33"/>
  <c r="M233" i="33"/>
  <c r="M224" i="33"/>
  <c r="M218" i="33"/>
  <c r="M239" i="33"/>
  <c r="M138" i="31"/>
  <c r="M139" i="31"/>
  <c r="M136" i="31"/>
  <c r="M137" i="31"/>
  <c r="M140" i="31"/>
  <c r="M141" i="31"/>
  <c r="L128" i="31"/>
  <c r="M142" i="31"/>
  <c r="M128" i="31"/>
  <c r="M129" i="31"/>
  <c r="M130" i="31"/>
  <c r="M131" i="31"/>
  <c r="M132" i="31"/>
  <c r="M133" i="31"/>
  <c r="M134" i="31"/>
  <c r="M137" i="32"/>
  <c r="M128" i="32"/>
  <c r="M133" i="32"/>
  <c r="M140" i="32"/>
  <c r="M134" i="32"/>
  <c r="M142" i="32"/>
  <c r="M131" i="32"/>
  <c r="M132" i="32"/>
  <c r="L128" i="32"/>
  <c r="M139" i="32"/>
  <c r="M136" i="32"/>
  <c r="M129" i="32"/>
  <c r="M130" i="32"/>
  <c r="M138" i="32"/>
  <c r="M141" i="32"/>
  <c r="M233" i="8"/>
  <c r="M235" i="8"/>
  <c r="M224" i="8"/>
  <c r="M221" i="8"/>
  <c r="L218" i="8"/>
  <c r="M226" i="8"/>
  <c r="M247" i="8"/>
  <c r="M234" i="8"/>
  <c r="M231" i="8"/>
  <c r="M223" i="8"/>
  <c r="M246" i="8"/>
  <c r="M225" i="8"/>
  <c r="M243" i="8"/>
  <c r="M232" i="8"/>
  <c r="M222" i="8"/>
  <c r="M238" i="8"/>
  <c r="M229" i="8"/>
  <c r="M219" i="8"/>
  <c r="M240" i="8"/>
  <c r="M239" i="8"/>
  <c r="M244" i="8"/>
  <c r="M245" i="8"/>
  <c r="M230" i="8"/>
  <c r="M220" i="8"/>
  <c r="M236" i="8"/>
  <c r="M227" i="8"/>
  <c r="M241" i="8"/>
  <c r="M218" i="8"/>
  <c r="M242" i="8"/>
  <c r="M237" i="8"/>
  <c r="AB21" i="7"/>
  <c r="AB17" i="7"/>
  <c r="X17" i="7"/>
  <c r="AL17" i="7"/>
  <c r="AF17" i="7"/>
  <c r="X21" i="7"/>
  <c r="P17" i="7"/>
  <c r="AD15" i="7"/>
  <c r="AJ17" i="7"/>
  <c r="J21" i="7"/>
  <c r="AC47" i="7"/>
  <c r="L21" i="7"/>
  <c r="Z21" i="7"/>
  <c r="Z15" i="7"/>
  <c r="V21" i="7"/>
  <c r="AB15" i="7"/>
  <c r="N15" i="7"/>
  <c r="J15" i="7"/>
  <c r="AH21" i="7"/>
  <c r="R21" i="7"/>
  <c r="P21" i="7"/>
  <c r="AL15" i="7"/>
  <c r="P15" i="7"/>
  <c r="X15" i="7"/>
  <c r="AD21" i="7"/>
  <c r="N21" i="7"/>
  <c r="AL21" i="7"/>
  <c r="AF21" i="7"/>
  <c r="AJ21" i="7"/>
  <c r="T15" i="7"/>
  <c r="L15" i="7"/>
  <c r="R15" i="7"/>
  <c r="AF15" i="7"/>
  <c r="B16" i="13"/>
  <c r="C16" i="13" s="1"/>
  <c r="E16" i="13" s="1"/>
  <c r="R17" i="7"/>
  <c r="Z17" i="7"/>
  <c r="V17" i="7"/>
  <c r="N17" i="7"/>
  <c r="T17" i="7"/>
  <c r="AD17" i="7"/>
  <c r="J17" i="7"/>
  <c r="AL27" i="7"/>
  <c r="P27" i="7"/>
  <c r="AF27" i="7"/>
  <c r="AD27" i="7"/>
  <c r="R27" i="7"/>
  <c r="AJ27" i="7"/>
  <c r="T24" i="7"/>
  <c r="N27" i="7"/>
  <c r="V15" i="7"/>
  <c r="AJ15" i="7"/>
  <c r="V19" i="6"/>
  <c r="AD19" i="6"/>
  <c r="J19" i="6"/>
  <c r="P19" i="6"/>
  <c r="AL19" i="6"/>
  <c r="AF16" i="6"/>
  <c r="N16" i="6"/>
  <c r="P16" i="6"/>
  <c r="T16" i="6"/>
  <c r="X16" i="6"/>
  <c r="L16" i="6"/>
  <c r="AD16" i="6"/>
  <c r="Z16" i="6"/>
  <c r="V16" i="6"/>
  <c r="AL16" i="6"/>
  <c r="AJ16" i="6"/>
  <c r="H15" i="13"/>
  <c r="T19" i="6"/>
  <c r="N19" i="6"/>
  <c r="I7" i="13"/>
  <c r="K7" i="13" s="1"/>
  <c r="AD28" i="7"/>
  <c r="AD24" i="7"/>
  <c r="AD20" i="7"/>
  <c r="T28" i="7"/>
  <c r="N16" i="7"/>
  <c r="T20" i="7"/>
  <c r="M47" i="7"/>
  <c r="AH44" i="7"/>
  <c r="AB44" i="7"/>
  <c r="AL44" i="7"/>
  <c r="X44" i="7"/>
  <c r="R44" i="7"/>
  <c r="L44" i="7"/>
  <c r="P44" i="7"/>
  <c r="Z44" i="7"/>
  <c r="AJ44" i="7"/>
  <c r="V44" i="7"/>
  <c r="J44" i="7"/>
  <c r="AF44" i="7"/>
  <c r="T44" i="7"/>
  <c r="AH24" i="7"/>
  <c r="AB24" i="7"/>
  <c r="AL24" i="7"/>
  <c r="X24" i="7"/>
  <c r="R24" i="7"/>
  <c r="L24" i="7"/>
  <c r="AJ24" i="7"/>
  <c r="V24" i="7"/>
  <c r="J24" i="7"/>
  <c r="AF24" i="7"/>
  <c r="P24" i="7"/>
  <c r="Z24" i="7"/>
  <c r="N18" i="7"/>
  <c r="AL34" i="7"/>
  <c r="X34" i="7"/>
  <c r="R34" i="7"/>
  <c r="L34" i="7"/>
  <c r="AH34" i="7"/>
  <c r="AB34" i="7"/>
  <c r="P34" i="7"/>
  <c r="Z34" i="7"/>
  <c r="AJ34" i="7"/>
  <c r="V34" i="7"/>
  <c r="J34" i="7"/>
  <c r="AF34" i="7"/>
  <c r="AL30" i="7"/>
  <c r="X30" i="7"/>
  <c r="R30" i="7"/>
  <c r="L30" i="7"/>
  <c r="AH30" i="7"/>
  <c r="AB30" i="7"/>
  <c r="P30" i="7"/>
  <c r="Z30" i="7"/>
  <c r="AJ30" i="7"/>
  <c r="V30" i="7"/>
  <c r="J30" i="7"/>
  <c r="AF30" i="7"/>
  <c r="AL26" i="7"/>
  <c r="X26" i="7"/>
  <c r="R26" i="7"/>
  <c r="L26" i="7"/>
  <c r="AH26" i="7"/>
  <c r="AB26" i="7"/>
  <c r="P26" i="7"/>
  <c r="Z26" i="7"/>
  <c r="AJ26" i="7"/>
  <c r="V26" i="7"/>
  <c r="J26" i="7"/>
  <c r="AF26" i="7"/>
  <c r="AL22" i="7"/>
  <c r="X22" i="7"/>
  <c r="R22" i="7"/>
  <c r="L22" i="7"/>
  <c r="AH22" i="7"/>
  <c r="AB22" i="7"/>
  <c r="P22" i="7"/>
  <c r="Z22" i="7"/>
  <c r="AJ22" i="7"/>
  <c r="V22" i="7"/>
  <c r="J22" i="7"/>
  <c r="AF22" i="7"/>
  <c r="AH36" i="7"/>
  <c r="AB36" i="7"/>
  <c r="AL36" i="7"/>
  <c r="X36" i="7"/>
  <c r="R36" i="7"/>
  <c r="L36" i="7"/>
  <c r="AJ36" i="7"/>
  <c r="V36" i="7"/>
  <c r="J36" i="7"/>
  <c r="AF36" i="7"/>
  <c r="P36" i="7"/>
  <c r="Z36" i="7"/>
  <c r="T34" i="7"/>
  <c r="AD22" i="7"/>
  <c r="N30" i="7"/>
  <c r="N26" i="7"/>
  <c r="N22" i="7"/>
  <c r="AD36" i="7"/>
  <c r="AH28" i="7"/>
  <c r="AB28" i="7"/>
  <c r="AL28" i="7"/>
  <c r="X28" i="7"/>
  <c r="R28" i="7"/>
  <c r="L28" i="7"/>
  <c r="AJ28" i="7"/>
  <c r="V28" i="7"/>
  <c r="J28" i="7"/>
  <c r="AF28" i="7"/>
  <c r="P28" i="7"/>
  <c r="Z28" i="7"/>
  <c r="T26" i="7"/>
  <c r="AH20" i="7"/>
  <c r="AB20" i="7"/>
  <c r="AL20" i="7"/>
  <c r="X20" i="7"/>
  <c r="R20" i="7"/>
  <c r="L20" i="7"/>
  <c r="AJ20" i="7"/>
  <c r="V20" i="7"/>
  <c r="J20" i="7"/>
  <c r="P20" i="7"/>
  <c r="Z20" i="7"/>
  <c r="AF20" i="7"/>
  <c r="AH16" i="7"/>
  <c r="AB16" i="7"/>
  <c r="AL16" i="7"/>
  <c r="X16" i="7"/>
  <c r="R16" i="7"/>
  <c r="L16" i="7"/>
  <c r="AJ16" i="7"/>
  <c r="Z16" i="7"/>
  <c r="V16" i="7"/>
  <c r="J16" i="7"/>
  <c r="AF16" i="7"/>
  <c r="P16" i="7"/>
  <c r="T16" i="7"/>
  <c r="AD16" i="7"/>
  <c r="AL18" i="7"/>
  <c r="X18" i="7"/>
  <c r="R18" i="7"/>
  <c r="L18" i="7"/>
  <c r="AH18" i="7"/>
  <c r="AB18" i="7"/>
  <c r="AF18" i="7"/>
  <c r="Z18" i="7"/>
  <c r="V18" i="7"/>
  <c r="J18" i="7"/>
  <c r="AJ18" i="7"/>
  <c r="P18" i="7"/>
  <c r="AH32" i="7"/>
  <c r="AB32" i="7"/>
  <c r="AL32" i="7"/>
  <c r="X32" i="7"/>
  <c r="R32" i="7"/>
  <c r="L32" i="7"/>
  <c r="AJ32" i="7"/>
  <c r="V32" i="7"/>
  <c r="J32" i="7"/>
  <c r="AF32" i="7"/>
  <c r="P32" i="7"/>
  <c r="Z32" i="7"/>
  <c r="T30" i="7"/>
  <c r="AD18" i="7"/>
  <c r="AH32" i="6"/>
  <c r="AL32" i="6"/>
  <c r="J32" i="6"/>
  <c r="L32" i="6"/>
  <c r="AJ32" i="6"/>
  <c r="X32" i="6"/>
  <c r="P32" i="6"/>
  <c r="V32" i="6"/>
  <c r="AJ17" i="6"/>
  <c r="V17" i="6"/>
  <c r="P17" i="6"/>
  <c r="J17" i="6"/>
  <c r="AH17" i="6"/>
  <c r="T17" i="6"/>
  <c r="AF17" i="6"/>
  <c r="Z17" i="6"/>
  <c r="AD17" i="6"/>
  <c r="X17" i="6"/>
  <c r="L17" i="6"/>
  <c r="AL17" i="6"/>
  <c r="AJ29" i="6"/>
  <c r="V29" i="6"/>
  <c r="P29" i="6"/>
  <c r="J29" i="6"/>
  <c r="AH29" i="6"/>
  <c r="T29" i="6"/>
  <c r="AF29" i="6"/>
  <c r="Z29" i="6"/>
  <c r="AL29" i="6"/>
  <c r="X29" i="6"/>
  <c r="L29" i="6"/>
  <c r="AD29" i="6"/>
  <c r="AF15" i="6"/>
  <c r="Z15" i="6"/>
  <c r="AL15" i="6"/>
  <c r="AD15" i="6"/>
  <c r="X15" i="6"/>
  <c r="AJ15" i="6"/>
  <c r="P15" i="6"/>
  <c r="J15" i="6"/>
  <c r="AH15" i="6"/>
  <c r="T15" i="6"/>
  <c r="L15" i="6"/>
  <c r="V15" i="6"/>
  <c r="AJ33" i="6"/>
  <c r="V33" i="6"/>
  <c r="P33" i="6"/>
  <c r="J33" i="6"/>
  <c r="AH33" i="6"/>
  <c r="T33" i="6"/>
  <c r="AF33" i="6"/>
  <c r="Z33" i="6"/>
  <c r="AL33" i="6"/>
  <c r="AD33" i="6"/>
  <c r="X33" i="6"/>
  <c r="L33" i="6"/>
  <c r="AL44" i="6"/>
  <c r="AD44" i="6"/>
  <c r="X44" i="6"/>
  <c r="L44" i="6"/>
  <c r="AJ44" i="6"/>
  <c r="V44" i="6"/>
  <c r="P44" i="6"/>
  <c r="J44" i="6"/>
  <c r="AH44" i="6"/>
  <c r="T44" i="6"/>
  <c r="AF44" i="6"/>
  <c r="Z44" i="6"/>
  <c r="AL30" i="6"/>
  <c r="AD30" i="6"/>
  <c r="X30" i="6"/>
  <c r="L30" i="6"/>
  <c r="AJ30" i="6"/>
  <c r="V30" i="6"/>
  <c r="P30" i="6"/>
  <c r="J30" i="6"/>
  <c r="AH30" i="6"/>
  <c r="T30" i="6"/>
  <c r="AF30" i="6"/>
  <c r="Z30" i="6"/>
  <c r="N44" i="6"/>
  <c r="AJ25" i="6"/>
  <c r="V25" i="6"/>
  <c r="P25" i="6"/>
  <c r="J25" i="6"/>
  <c r="AH25" i="6"/>
  <c r="T25" i="6"/>
  <c r="AL25" i="6"/>
  <c r="AF25" i="6"/>
  <c r="Z25" i="6"/>
  <c r="AD25" i="6"/>
  <c r="X25" i="6"/>
  <c r="L25" i="6"/>
  <c r="AL34" i="6"/>
  <c r="AD34" i="6"/>
  <c r="X34" i="6"/>
  <c r="L34" i="6"/>
  <c r="AJ34" i="6"/>
  <c r="V34" i="6"/>
  <c r="P34" i="6"/>
  <c r="J34" i="6"/>
  <c r="AH34" i="6"/>
  <c r="T34" i="6"/>
  <c r="AF34" i="6"/>
  <c r="Z34" i="6"/>
  <c r="N30" i="6"/>
  <c r="N34" i="6"/>
  <c r="AJ21" i="6"/>
  <c r="V21" i="6"/>
  <c r="P21" i="6"/>
  <c r="J21" i="6"/>
  <c r="AH21" i="6"/>
  <c r="T21" i="6"/>
  <c r="AD21" i="6"/>
  <c r="X21" i="6"/>
  <c r="L21" i="6"/>
  <c r="AL21" i="6"/>
  <c r="AF21" i="6"/>
  <c r="Z21" i="6"/>
  <c r="H19" i="13"/>
  <c r="C1" i="32"/>
  <c r="C1" i="36"/>
  <c r="D34" i="39"/>
  <c r="C1" i="35"/>
  <c r="E34" i="39" s="1"/>
  <c r="C1" i="31"/>
  <c r="P62" i="37"/>
  <c r="U42" i="37"/>
  <c r="Z42" i="37" s="1"/>
  <c r="AE42" i="37" s="1"/>
  <c r="AJ42" i="37" s="1"/>
  <c r="AO42" i="37" s="1"/>
  <c r="AT42" i="37" s="1"/>
  <c r="P62" i="36"/>
  <c r="U42" i="36"/>
  <c r="Z42" i="36" s="1"/>
  <c r="AE42" i="36" s="1"/>
  <c r="AJ42" i="36" s="1"/>
  <c r="AO42" i="36" s="1"/>
  <c r="AT42" i="36" s="1"/>
  <c r="P62" i="35"/>
  <c r="U42" i="35"/>
  <c r="Z42" i="35" s="1"/>
  <c r="AE42" i="35" s="1"/>
  <c r="AJ42" i="35" s="1"/>
  <c r="AO42" i="35" s="1"/>
  <c r="AT42" i="35" s="1"/>
  <c r="P62" i="34"/>
  <c r="U42" i="34"/>
  <c r="Z42" i="34" s="1"/>
  <c r="AE42" i="34" s="1"/>
  <c r="AJ42" i="34" s="1"/>
  <c r="AO42" i="34" s="1"/>
  <c r="AT42" i="34" s="1"/>
  <c r="P62" i="31"/>
  <c r="U42" i="31"/>
  <c r="Z42" i="31" s="1"/>
  <c r="AE42" i="31" s="1"/>
  <c r="AJ42" i="31" s="1"/>
  <c r="AO42" i="31" s="1"/>
  <c r="AT42" i="31" s="1"/>
  <c r="U42" i="32"/>
  <c r="Z42" i="32" s="1"/>
  <c r="AE42" i="32" s="1"/>
  <c r="AJ42" i="32" s="1"/>
  <c r="AO42" i="32" s="1"/>
  <c r="AT42" i="32" s="1"/>
  <c r="P62" i="32"/>
  <c r="P62" i="30"/>
  <c r="U42" i="30"/>
  <c r="Z42" i="30" s="1"/>
  <c r="AE42" i="30" s="1"/>
  <c r="AJ42" i="30" s="1"/>
  <c r="AO42" i="30" s="1"/>
  <c r="AT42" i="30" s="1"/>
  <c r="C1" i="33"/>
  <c r="C1" i="8"/>
  <c r="AD39" i="6"/>
  <c r="T39" i="6"/>
  <c r="AF39" i="6"/>
  <c r="L39" i="6"/>
  <c r="AJ39" i="6"/>
  <c r="P39" i="6"/>
  <c r="X39" i="6"/>
  <c r="J39" i="6"/>
  <c r="N39" i="6"/>
  <c r="Z39" i="6"/>
  <c r="AL39" i="6"/>
  <c r="V39" i="6"/>
  <c r="AF38" i="6"/>
  <c r="Z38" i="6"/>
  <c r="AL38" i="6"/>
  <c r="AD38" i="6"/>
  <c r="X38" i="6"/>
  <c r="L38" i="6"/>
  <c r="AJ38" i="6"/>
  <c r="V38" i="6"/>
  <c r="P38" i="6"/>
  <c r="J38" i="6"/>
  <c r="AH38" i="6"/>
  <c r="T38" i="6"/>
  <c r="AF42" i="6"/>
  <c r="Z42" i="6"/>
  <c r="AL42" i="6"/>
  <c r="AD42" i="6"/>
  <c r="X42" i="6"/>
  <c r="L42" i="6"/>
  <c r="AJ42" i="6"/>
  <c r="V42" i="6"/>
  <c r="P42" i="6"/>
  <c r="J42" i="6"/>
  <c r="AH42" i="6"/>
  <c r="T42" i="6"/>
  <c r="N42" i="6"/>
  <c r="AJ40" i="6"/>
  <c r="V40" i="6"/>
  <c r="P40" i="6"/>
  <c r="J40" i="6"/>
  <c r="AH40" i="6"/>
  <c r="T40" i="6"/>
  <c r="AF40" i="6"/>
  <c r="Z40" i="6"/>
  <c r="AL40" i="6"/>
  <c r="AD40" i="6"/>
  <c r="X40" i="6"/>
  <c r="L40" i="6"/>
  <c r="Z39" i="7"/>
  <c r="Z43" i="7"/>
  <c r="R43" i="7"/>
  <c r="AJ43" i="7"/>
  <c r="AB39" i="7"/>
  <c r="X43" i="7"/>
  <c r="T43" i="7"/>
  <c r="AF43" i="7"/>
  <c r="AL43" i="7"/>
  <c r="V43" i="7"/>
  <c r="R39" i="7"/>
  <c r="P43" i="7"/>
  <c r="L43" i="7"/>
  <c r="J43" i="7"/>
  <c r="AJ39" i="7"/>
  <c r="AD39" i="7"/>
  <c r="P39" i="7"/>
  <c r="AF39" i="7"/>
  <c r="AL39" i="7"/>
  <c r="L39" i="7"/>
  <c r="V39" i="7"/>
  <c r="J39" i="7"/>
  <c r="AF42" i="7"/>
  <c r="Z42" i="7"/>
  <c r="AL42" i="7"/>
  <c r="AD42" i="7"/>
  <c r="X42" i="7"/>
  <c r="R42" i="7"/>
  <c r="L42" i="7"/>
  <c r="AJ42" i="7"/>
  <c r="V42" i="7"/>
  <c r="P42" i="7"/>
  <c r="J42" i="7"/>
  <c r="AH42" i="7"/>
  <c r="AB42" i="7"/>
  <c r="T42" i="7"/>
  <c r="AJ40" i="7"/>
  <c r="V40" i="7"/>
  <c r="P40" i="7"/>
  <c r="J40" i="7"/>
  <c r="AH40" i="7"/>
  <c r="AB40" i="7"/>
  <c r="T40" i="7"/>
  <c r="AF40" i="7"/>
  <c r="Z40" i="7"/>
  <c r="AL40" i="7"/>
  <c r="AD40" i="7"/>
  <c r="X40" i="7"/>
  <c r="R40" i="7"/>
  <c r="L40" i="7"/>
  <c r="AL41" i="7"/>
  <c r="AD41" i="7"/>
  <c r="X41" i="7"/>
  <c r="R41" i="7"/>
  <c r="L41" i="7"/>
  <c r="AJ41" i="7"/>
  <c r="V41" i="7"/>
  <c r="P41" i="7"/>
  <c r="J41" i="7"/>
  <c r="AH41" i="7"/>
  <c r="AB41" i="7"/>
  <c r="T41" i="7"/>
  <c r="AF41" i="7"/>
  <c r="Z41" i="7"/>
  <c r="AF38" i="7"/>
  <c r="Z38" i="7"/>
  <c r="AL38" i="7"/>
  <c r="AD38" i="7"/>
  <c r="X38" i="7"/>
  <c r="R38" i="7"/>
  <c r="L38" i="7"/>
  <c r="AJ38" i="7"/>
  <c r="V38" i="7"/>
  <c r="P38" i="7"/>
  <c r="J38" i="7"/>
  <c r="AH38" i="7"/>
  <c r="AB38" i="7"/>
  <c r="T38" i="7"/>
  <c r="C22" i="39"/>
  <c r="E22" i="39" s="1"/>
  <c r="C20" i="39"/>
  <c r="E20" i="39" s="1"/>
  <c r="C18" i="39"/>
  <c r="E18" i="39" s="1"/>
  <c r="C16" i="39"/>
  <c r="E16" i="39" s="1"/>
  <c r="D6" i="39"/>
  <c r="C23" i="39"/>
  <c r="E23" i="39" s="1"/>
  <c r="C21" i="39"/>
  <c r="E21" i="39" s="1"/>
  <c r="C19" i="39"/>
  <c r="E19" i="39" s="1"/>
  <c r="C17" i="39"/>
  <c r="E17" i="39" s="1"/>
  <c r="C15" i="39"/>
  <c r="AJ37" i="6"/>
  <c r="X37" i="6"/>
  <c r="N37" i="6"/>
  <c r="J37" i="6"/>
  <c r="AD37" i="6"/>
  <c r="Z37" i="6"/>
  <c r="T37" i="6"/>
  <c r="L37" i="6"/>
  <c r="P37" i="6"/>
  <c r="AF37" i="6"/>
  <c r="AH37" i="6"/>
  <c r="V37" i="6"/>
  <c r="E9" i="13"/>
  <c r="J37" i="7"/>
  <c r="AD37" i="7"/>
  <c r="R37" i="7"/>
  <c r="V37" i="7"/>
  <c r="AB37" i="7"/>
  <c r="Z37" i="7"/>
  <c r="L37" i="7"/>
  <c r="P37" i="7"/>
  <c r="T37" i="7"/>
  <c r="X37" i="7"/>
  <c r="AJ37" i="7"/>
  <c r="AH37" i="7"/>
  <c r="AF37" i="7"/>
  <c r="E15" i="13"/>
  <c r="D8" i="13"/>
  <c r="E8" i="13"/>
  <c r="P107" i="8"/>
  <c r="U72" i="8"/>
  <c r="Z72" i="8" s="1"/>
  <c r="AE72" i="8" s="1"/>
  <c r="AJ72" i="8" s="1"/>
  <c r="AO72" i="8" s="1"/>
  <c r="AT72" i="8" s="1"/>
  <c r="D11" i="13"/>
  <c r="E11" i="13"/>
  <c r="D36" i="39"/>
  <c r="D35" i="39"/>
  <c r="D33" i="39"/>
  <c r="D32" i="39"/>
  <c r="D31" i="39"/>
  <c r="D30" i="39"/>
  <c r="D29" i="39"/>
  <c r="D28" i="39"/>
  <c r="AD46" i="6" l="1"/>
  <c r="T46" i="6"/>
  <c r="N46" i="6"/>
  <c r="AH46" i="6"/>
  <c r="P46" i="6"/>
  <c r="V46" i="6"/>
  <c r="L46" i="6"/>
  <c r="Z46" i="6"/>
  <c r="AB46" i="6"/>
  <c r="AJ46" i="6"/>
  <c r="R46" i="6"/>
  <c r="AL46" i="6"/>
  <c r="X46" i="6"/>
  <c r="J46" i="6"/>
  <c r="R46" i="7"/>
  <c r="AJ46" i="7"/>
  <c r="L46" i="7"/>
  <c r="P46" i="7"/>
  <c r="V46" i="7"/>
  <c r="X46" i="7"/>
  <c r="AF46" i="7"/>
  <c r="AB46" i="7"/>
  <c r="J46" i="7"/>
  <c r="Z46" i="7"/>
  <c r="AL46" i="7"/>
  <c r="C24" i="13"/>
  <c r="E36" i="39"/>
  <c r="P142" i="33"/>
  <c r="I15" i="13"/>
  <c r="K15" i="13" s="1"/>
  <c r="D9" i="13"/>
  <c r="B34" i="13"/>
  <c r="D34" i="13" s="1"/>
  <c r="U62" i="37"/>
  <c r="Z62" i="37" s="1"/>
  <c r="AE62" i="37" s="1"/>
  <c r="AJ62" i="37" s="1"/>
  <c r="AO62" i="37" s="1"/>
  <c r="AT62" i="37" s="1"/>
  <c r="P82" i="37"/>
  <c r="P82" i="36"/>
  <c r="U62" i="36"/>
  <c r="Z62" i="36" s="1"/>
  <c r="AE62" i="36" s="1"/>
  <c r="AJ62" i="36" s="1"/>
  <c r="AO62" i="36" s="1"/>
  <c r="AT62" i="36" s="1"/>
  <c r="P82" i="35"/>
  <c r="U62" i="35"/>
  <c r="Z62" i="35" s="1"/>
  <c r="AE62" i="35" s="1"/>
  <c r="AJ62" i="35" s="1"/>
  <c r="AO62" i="35" s="1"/>
  <c r="AT62" i="35" s="1"/>
  <c r="U62" i="34"/>
  <c r="Z62" i="34" s="1"/>
  <c r="AE62" i="34" s="1"/>
  <c r="AJ62" i="34" s="1"/>
  <c r="AO62" i="34" s="1"/>
  <c r="AT62" i="34" s="1"/>
  <c r="P82" i="34"/>
  <c r="P82" i="31"/>
  <c r="U62" i="31"/>
  <c r="Z62" i="31" s="1"/>
  <c r="AE62" i="31" s="1"/>
  <c r="AJ62" i="31" s="1"/>
  <c r="AO62" i="31" s="1"/>
  <c r="AT62" i="31" s="1"/>
  <c r="P82" i="32"/>
  <c r="U62" i="32"/>
  <c r="Z62" i="32" s="1"/>
  <c r="AE62" i="32" s="1"/>
  <c r="AJ62" i="32" s="1"/>
  <c r="AO62" i="32" s="1"/>
  <c r="AT62" i="32" s="1"/>
  <c r="P82" i="30"/>
  <c r="U62" i="30"/>
  <c r="Z62" i="30" s="1"/>
  <c r="AE62" i="30" s="1"/>
  <c r="AJ62" i="30" s="1"/>
  <c r="AO62" i="30" s="1"/>
  <c r="AT62" i="30" s="1"/>
  <c r="E15" i="39"/>
  <c r="C24" i="39"/>
  <c r="I19" i="13"/>
  <c r="K19" i="13" s="1"/>
  <c r="I23" i="13"/>
  <c r="K23" i="13" s="1"/>
  <c r="I22" i="13"/>
  <c r="K22" i="13" s="1"/>
  <c r="I21" i="13"/>
  <c r="K21" i="13" s="1"/>
  <c r="I20" i="13"/>
  <c r="K20" i="13" s="1"/>
  <c r="I17" i="13"/>
  <c r="K17" i="13" s="1"/>
  <c r="E7" i="13"/>
  <c r="I18" i="13"/>
  <c r="K18" i="13" s="1"/>
  <c r="I16" i="13"/>
  <c r="K16" i="13" s="1"/>
  <c r="D7" i="13"/>
  <c r="N46" i="7"/>
  <c r="AD46" i="7"/>
  <c r="T46" i="7"/>
  <c r="P142" i="8"/>
  <c r="U107" i="8"/>
  <c r="Z107" i="8" s="1"/>
  <c r="AE107" i="8" s="1"/>
  <c r="AJ107" i="8" s="1"/>
  <c r="AO107" i="8" s="1"/>
  <c r="AT107" i="8" s="1"/>
  <c r="N36" i="13"/>
  <c r="R36" i="13" s="1"/>
  <c r="E36" i="13" s="1"/>
  <c r="D36" i="13"/>
  <c r="E35" i="39"/>
  <c r="B35" i="13"/>
  <c r="E33" i="39"/>
  <c r="B33" i="13"/>
  <c r="B32" i="13"/>
  <c r="E32" i="39"/>
  <c r="E31" i="39"/>
  <c r="B31" i="13"/>
  <c r="B30" i="13"/>
  <c r="E30" i="39"/>
  <c r="B29" i="13"/>
  <c r="E29" i="39"/>
  <c r="E28" i="39"/>
  <c r="B28" i="13"/>
  <c r="P177" i="33" l="1"/>
  <c r="U177" i="33" s="1"/>
  <c r="Z177" i="33" s="1"/>
  <c r="AE177" i="33" s="1"/>
  <c r="AJ177" i="33" s="1"/>
  <c r="AO177" i="33" s="1"/>
  <c r="AT177" i="33" s="1"/>
  <c r="U142" i="33"/>
  <c r="Z142" i="33" s="1"/>
  <c r="AE142" i="33" s="1"/>
  <c r="AJ142" i="33" s="1"/>
  <c r="AO142" i="33" s="1"/>
  <c r="AT142" i="33" s="1"/>
  <c r="N34" i="13"/>
  <c r="R34" i="13" s="1"/>
  <c r="E34" i="13" s="1"/>
  <c r="P102" i="37"/>
  <c r="U102" i="37" s="1"/>
  <c r="Z102" i="37" s="1"/>
  <c r="AE102" i="37" s="1"/>
  <c r="AJ102" i="37" s="1"/>
  <c r="AO102" i="37" s="1"/>
  <c r="AT102" i="37" s="1"/>
  <c r="U82" i="37"/>
  <c r="Z82" i="37" s="1"/>
  <c r="AE82" i="37" s="1"/>
  <c r="AJ82" i="37" s="1"/>
  <c r="AO82" i="37" s="1"/>
  <c r="AT82" i="37" s="1"/>
  <c r="P102" i="36"/>
  <c r="U102" i="36" s="1"/>
  <c r="Z102" i="36" s="1"/>
  <c r="AE102" i="36" s="1"/>
  <c r="AJ102" i="36" s="1"/>
  <c r="AO102" i="36" s="1"/>
  <c r="AT102" i="36" s="1"/>
  <c r="U82" i="36"/>
  <c r="Z82" i="36" s="1"/>
  <c r="AE82" i="36" s="1"/>
  <c r="AJ82" i="36" s="1"/>
  <c r="AO82" i="36" s="1"/>
  <c r="AT82" i="36" s="1"/>
  <c r="P102" i="35"/>
  <c r="U102" i="35" s="1"/>
  <c r="Z102" i="35" s="1"/>
  <c r="AE102" i="35" s="1"/>
  <c r="AJ102" i="35" s="1"/>
  <c r="AO102" i="35" s="1"/>
  <c r="AT102" i="35" s="1"/>
  <c r="U82" i="35"/>
  <c r="Z82" i="35" s="1"/>
  <c r="AE82" i="35" s="1"/>
  <c r="AJ82" i="35" s="1"/>
  <c r="AO82" i="35" s="1"/>
  <c r="AT82" i="35" s="1"/>
  <c r="P102" i="34"/>
  <c r="U102" i="34" s="1"/>
  <c r="Z102" i="34" s="1"/>
  <c r="AE102" i="34" s="1"/>
  <c r="AJ102" i="34" s="1"/>
  <c r="AO102" i="34" s="1"/>
  <c r="AT102" i="34" s="1"/>
  <c r="U82" i="34"/>
  <c r="Z82" i="34" s="1"/>
  <c r="AE82" i="34" s="1"/>
  <c r="AJ82" i="34" s="1"/>
  <c r="AO82" i="34" s="1"/>
  <c r="AT82" i="34" s="1"/>
  <c r="P102" i="31"/>
  <c r="U102" i="31" s="1"/>
  <c r="Z102" i="31" s="1"/>
  <c r="AE102" i="31" s="1"/>
  <c r="AJ102" i="31" s="1"/>
  <c r="AO102" i="31" s="1"/>
  <c r="AT102" i="31" s="1"/>
  <c r="U82" i="31"/>
  <c r="Z82" i="31" s="1"/>
  <c r="AE82" i="31" s="1"/>
  <c r="AJ82" i="31" s="1"/>
  <c r="AO82" i="31" s="1"/>
  <c r="AT82" i="31" s="1"/>
  <c r="P102" i="32"/>
  <c r="U102" i="32" s="1"/>
  <c r="Z102" i="32" s="1"/>
  <c r="AE102" i="32" s="1"/>
  <c r="AJ102" i="32" s="1"/>
  <c r="AO102" i="32" s="1"/>
  <c r="AT102" i="32" s="1"/>
  <c r="U82" i="32"/>
  <c r="Z82" i="32" s="1"/>
  <c r="AE82" i="32" s="1"/>
  <c r="AJ82" i="32" s="1"/>
  <c r="AO82" i="32" s="1"/>
  <c r="AT82" i="32" s="1"/>
  <c r="P102" i="30"/>
  <c r="U102" i="30" s="1"/>
  <c r="Z102" i="30" s="1"/>
  <c r="AE102" i="30" s="1"/>
  <c r="AJ102" i="30" s="1"/>
  <c r="AO102" i="30" s="1"/>
  <c r="AT102" i="30" s="1"/>
  <c r="U82" i="30"/>
  <c r="Z82" i="30" s="1"/>
  <c r="AE82" i="30" s="1"/>
  <c r="AJ82" i="30" s="1"/>
  <c r="AO82" i="30" s="1"/>
  <c r="AT82" i="30" s="1"/>
  <c r="U142" i="8"/>
  <c r="Z142" i="8" s="1"/>
  <c r="AE142" i="8" s="1"/>
  <c r="AJ142" i="8" s="1"/>
  <c r="AO142" i="8" s="1"/>
  <c r="AT142" i="8" s="1"/>
  <c r="P177" i="8"/>
  <c r="U177" i="8" s="1"/>
  <c r="Z177" i="8" s="1"/>
  <c r="AE177" i="8" s="1"/>
  <c r="AJ177" i="8" s="1"/>
  <c r="AO177" i="8" s="1"/>
  <c r="AT177" i="8" s="1"/>
  <c r="I24" i="13"/>
  <c r="D35" i="13"/>
  <c r="N35" i="13"/>
  <c r="R35" i="13" s="1"/>
  <c r="E35" i="13" s="1"/>
  <c r="N33" i="13"/>
  <c r="R33" i="13" s="1"/>
  <c r="E33" i="13" s="1"/>
  <c r="D33" i="13"/>
  <c r="N32" i="13"/>
  <c r="R32" i="13" s="1"/>
  <c r="E32" i="13" s="1"/>
  <c r="D32" i="13"/>
  <c r="N31" i="13"/>
  <c r="R31" i="13" s="1"/>
  <c r="E31" i="13" s="1"/>
  <c r="D31" i="13"/>
  <c r="N30" i="13"/>
  <c r="R30" i="13" s="1"/>
  <c r="E30" i="13" s="1"/>
  <c r="D30" i="13"/>
  <c r="D29" i="13"/>
  <c r="N29" i="13"/>
  <c r="R29" i="13" s="1"/>
  <c r="E29" i="13" s="1"/>
  <c r="N28" i="13"/>
  <c r="R28" i="13" s="1"/>
  <c r="E28" i="13" s="1"/>
  <c r="D28" i="13"/>
</calcChain>
</file>

<file path=xl/comments1.xml><?xml version="1.0" encoding="utf-8"?>
<comments xmlns="http://schemas.openxmlformats.org/spreadsheetml/2006/main">
  <authors>
    <author/>
  </authors>
  <commentList>
    <comment ref="A1" authorId="0">
      <text>
        <r>
          <rPr>
            <sz val="10"/>
            <color rgb="FF000000"/>
            <rFont val="Arial"/>
            <family val="2"/>
            <scheme val="minor"/>
          </rPr>
          <t>@m-inoue547@family.co.jp 
工場名の記載欄があるとよいです。
収支はTFM側と相談が良いです。（企業秘密なのでどこまで開示されるか？があるので）
	-中川昇</t>
        </r>
      </text>
    </comment>
  </commentList>
</comments>
</file>

<file path=xl/sharedStrings.xml><?xml version="1.0" encoding="utf-8"?>
<sst xmlns="http://schemas.openxmlformats.org/spreadsheetml/2006/main" count="8724" uniqueCount="835">
  <si>
    <t>・・・・・・・・</t>
  </si>
  <si>
    <t>前月</t>
  </si>
  <si>
    <t>差異</t>
  </si>
  <si>
    <t>累計</t>
  </si>
  <si>
    <t>達成率</t>
  </si>
  <si>
    <t>材料費</t>
  </si>
  <si>
    <t>材料費率</t>
  </si>
  <si>
    <t>導入率</t>
  </si>
  <si>
    <t>-</t>
  </si>
  <si>
    <t>-%</t>
  </si>
  <si>
    <t>合計</t>
  </si>
  <si>
    <t>金額</t>
  </si>
  <si>
    <t>商品名</t>
  </si>
  <si>
    <t>前月比</t>
  </si>
  <si>
    <t>手巻明太子</t>
  </si>
  <si>
    <t>6/30新商品</t>
  </si>
  <si>
    <t>海老炒飯</t>
  </si>
  <si>
    <t>（９）歩留</t>
  </si>
  <si>
    <t>No.</t>
  </si>
  <si>
    <t>規格</t>
  </si>
  <si>
    <t>工廠</t>
    <phoneticPr fontId="9"/>
  </si>
  <si>
    <t>（１）收支狀況</t>
    <phoneticPr fontId="9"/>
  </si>
  <si>
    <t>當月</t>
    <phoneticPr fontId="9"/>
  </si>
  <si>
    <t>※單位：千元</t>
    <phoneticPr fontId="9"/>
  </si>
  <si>
    <t>業績金額</t>
    <phoneticPr fontId="9"/>
  </si>
  <si>
    <t>訂單數量</t>
    <phoneticPr fontId="9"/>
  </si>
  <si>
    <t>半成品報廢</t>
    <phoneticPr fontId="9"/>
  </si>
  <si>
    <t>半成品超用</t>
    <phoneticPr fontId="9"/>
  </si>
  <si>
    <t>固定產線</t>
    <phoneticPr fontId="9"/>
  </si>
  <si>
    <t>教育訓練</t>
    <phoneticPr fontId="9"/>
  </si>
  <si>
    <r>
      <rPr>
        <sz val="10"/>
        <color theme="1"/>
        <rFont val="Arial"/>
        <family val="3"/>
        <charset val="136"/>
        <scheme val="minor"/>
      </rPr>
      <t>人時生產性</t>
    </r>
    <r>
      <rPr>
        <sz val="10"/>
        <color theme="1"/>
        <rFont val="Arial"/>
        <family val="2"/>
        <scheme val="minor"/>
      </rPr>
      <t xml:space="preserve">1 </t>
    </r>
    <phoneticPr fontId="9"/>
  </si>
  <si>
    <r>
      <rPr>
        <sz val="10"/>
        <color theme="1"/>
        <rFont val="Arial"/>
        <family val="3"/>
        <charset val="136"/>
        <scheme val="minor"/>
      </rPr>
      <t>人時生產性</t>
    </r>
    <r>
      <rPr>
        <sz val="10"/>
        <color theme="1"/>
        <rFont val="Arial"/>
        <family val="2"/>
        <scheme val="minor"/>
      </rPr>
      <t>2</t>
    </r>
    <phoneticPr fontId="9"/>
  </si>
  <si>
    <t>（３）業績構成比</t>
    <phoneticPr fontId="9"/>
  </si>
  <si>
    <t>（４）訂單數量構成比</t>
    <phoneticPr fontId="9"/>
  </si>
  <si>
    <t>飯糰</t>
    <phoneticPr fontId="9"/>
  </si>
  <si>
    <t>大口飯糰</t>
    <phoneticPr fontId="9"/>
  </si>
  <si>
    <t>便當</t>
    <phoneticPr fontId="9"/>
  </si>
  <si>
    <t>調理麵包</t>
    <phoneticPr fontId="9"/>
  </si>
  <si>
    <t>袋裝調理麵包</t>
    <phoneticPr fontId="9"/>
  </si>
  <si>
    <t>義大利麵</t>
    <phoneticPr fontId="9"/>
  </si>
  <si>
    <t>調理包</t>
    <phoneticPr fontId="9"/>
  </si>
  <si>
    <t>比例</t>
    <phoneticPr fontId="9"/>
  </si>
  <si>
    <t>作業原因</t>
    <phoneticPr fontId="9"/>
  </si>
  <si>
    <t>規格原因</t>
    <phoneticPr fontId="9"/>
  </si>
  <si>
    <t>調理麵</t>
    <phoneticPr fontId="9"/>
  </si>
  <si>
    <t>（６）人時生產性前幾名品項</t>
    <phoneticPr fontId="9"/>
  </si>
  <si>
    <t>人數</t>
    <phoneticPr fontId="9"/>
  </si>
  <si>
    <t>排名</t>
    <phoneticPr fontId="9"/>
  </si>
  <si>
    <t>產能</t>
    <phoneticPr fontId="9"/>
  </si>
  <si>
    <t>人時生產性</t>
    <phoneticPr fontId="9"/>
  </si>
  <si>
    <t>主要原因&amp;對策</t>
  </si>
  <si>
    <t>主要原因&amp;對策</t>
    <phoneticPr fontId="9"/>
  </si>
  <si>
    <t>（８）報廢原因別前幾名品項</t>
    <phoneticPr fontId="9"/>
  </si>
  <si>
    <t>半成品名</t>
    <phoneticPr fontId="9"/>
  </si>
  <si>
    <t>單價</t>
    <phoneticPr fontId="9"/>
  </si>
  <si>
    <t>報廢率</t>
    <phoneticPr fontId="9"/>
  </si>
  <si>
    <t>數量</t>
    <phoneticPr fontId="9"/>
  </si>
  <si>
    <t>實績</t>
    <phoneticPr fontId="9"/>
  </si>
  <si>
    <t>前幾名合計比例</t>
    <phoneticPr fontId="9"/>
  </si>
  <si>
    <t>前幾名合計金額</t>
    <phoneticPr fontId="9"/>
  </si>
  <si>
    <t>※補充</t>
    <phoneticPr fontId="9"/>
  </si>
  <si>
    <r>
      <rPr>
        <sz val="11"/>
        <color theme="1"/>
        <rFont val="Arial"/>
        <family val="3"/>
        <charset val="136"/>
        <scheme val="minor"/>
      </rPr>
      <t>個／</t>
    </r>
    <r>
      <rPr>
        <sz val="11"/>
        <color theme="1"/>
        <rFont val="Arial"/>
        <family val="2"/>
        <scheme val="minor"/>
      </rPr>
      <t>MH</t>
    </r>
    <phoneticPr fontId="9"/>
  </si>
  <si>
    <t>實施率</t>
    <phoneticPr fontId="9"/>
  </si>
  <si>
    <t>（５）品群別人時生產性</t>
    <phoneticPr fontId="9"/>
  </si>
  <si>
    <t>勞務成本</t>
    <phoneticPr fontId="9"/>
  </si>
  <si>
    <t>勞務費率</t>
    <phoneticPr fontId="9"/>
  </si>
  <si>
    <t>比例</t>
    <phoneticPr fontId="9"/>
  </si>
  <si>
    <t>前月</t>
    <phoneticPr fontId="9"/>
  </si>
  <si>
    <t>差異</t>
    <phoneticPr fontId="9"/>
  </si>
  <si>
    <t>KPI</t>
    <phoneticPr fontId="9"/>
  </si>
  <si>
    <t>當月</t>
    <phoneticPr fontId="9"/>
  </si>
  <si>
    <t>（２）ＫＰＩ達成進度</t>
    <phoneticPr fontId="9"/>
  </si>
  <si>
    <t>（７）原因別分析</t>
    <phoneticPr fontId="9"/>
  </si>
  <si>
    <t>月別</t>
    <phoneticPr fontId="9"/>
  </si>
  <si>
    <t>工廠名</t>
    <phoneticPr fontId="9"/>
  </si>
  <si>
    <t>手巻卵黄雞絞肉</t>
    <phoneticPr fontId="9"/>
  </si>
  <si>
    <t>減少暫時停止生產,人時UP</t>
    <phoneticPr fontId="9"/>
  </si>
  <si>
    <t>因組裝2食材,人員增加,產速減少</t>
    <phoneticPr fontId="9"/>
  </si>
  <si>
    <t>透由調整速度提升。</t>
    <phoneticPr fontId="9"/>
  </si>
  <si>
    <t>直巻明太子美奶茲</t>
    <phoneticPr fontId="9"/>
  </si>
  <si>
    <t>大口飯糰燒肉美奶滋</t>
    <phoneticPr fontId="9"/>
  </si>
  <si>
    <t>因摺疊增員。實施教育訓練。</t>
    <phoneticPr fontId="9"/>
  </si>
  <si>
    <t>明太子海苔便當</t>
    <phoneticPr fontId="9"/>
  </si>
  <si>
    <t>指導鋪開炒柴魚片</t>
    <phoneticPr fontId="9"/>
  </si>
  <si>
    <t>肉狀態不良，已連動開發</t>
    <phoneticPr fontId="9"/>
  </si>
  <si>
    <t>油炸白身魚</t>
    <phoneticPr fontId="9"/>
  </si>
  <si>
    <t>油調過多報廢。變更條件。</t>
    <phoneticPr fontId="9"/>
  </si>
  <si>
    <t>川燙蝦子拌醬</t>
    <phoneticPr fontId="9"/>
  </si>
  <si>
    <t>蝦子入數不足</t>
    <phoneticPr fontId="9"/>
  </si>
  <si>
    <t>特製醬汁炙燒牛五花便當</t>
    <phoneticPr fontId="9"/>
  </si>
  <si>
    <t>牛五花醬汁</t>
    <phoneticPr fontId="9"/>
  </si>
  <si>
    <t>難度有差異。調理指導。</t>
    <phoneticPr fontId="9"/>
  </si>
  <si>
    <t>因原料變更。</t>
    <phoneticPr fontId="9"/>
  </si>
  <si>
    <t>牛五花燒成</t>
    <phoneticPr fontId="9"/>
  </si>
  <si>
    <t>大口飯糰三種起司午餐肉</t>
    <phoneticPr fontId="9"/>
  </si>
  <si>
    <t>３種起司燒成</t>
    <phoneticPr fontId="9"/>
  </si>
  <si>
    <t>與燒成範本不同。</t>
    <phoneticPr fontId="9"/>
  </si>
  <si>
    <t>燒成過多，調整調理條件。</t>
    <phoneticPr fontId="9"/>
  </si>
  <si>
    <t>超用率</t>
    <phoneticPr fontId="9"/>
  </si>
  <si>
    <r>
      <rPr>
        <sz val="10"/>
        <color theme="1"/>
        <rFont val="Arial"/>
        <family val="3"/>
        <charset val="136"/>
        <scheme val="minor"/>
      </rPr>
      <t>▼</t>
    </r>
    <r>
      <rPr>
        <sz val="10"/>
        <color theme="1"/>
        <rFont val="Arial"/>
        <family val="2"/>
        <scheme val="minor"/>
      </rPr>
      <t>4</t>
    </r>
    <phoneticPr fontId="9"/>
  </si>
  <si>
    <r>
      <rPr>
        <sz val="10"/>
        <color theme="1"/>
        <rFont val="Arial"/>
        <family val="3"/>
        <charset val="136"/>
        <scheme val="minor"/>
      </rPr>
      <t>▼</t>
    </r>
    <r>
      <rPr>
        <sz val="10"/>
        <color theme="1"/>
        <rFont val="Arial"/>
        <family val="2"/>
        <scheme val="minor"/>
      </rPr>
      <t>3</t>
    </r>
    <phoneticPr fontId="9"/>
  </si>
  <si>
    <r>
      <rPr>
        <sz val="10"/>
        <color theme="1"/>
        <rFont val="Arial"/>
        <family val="3"/>
        <charset val="136"/>
        <scheme val="minor"/>
      </rPr>
      <t>▼</t>
    </r>
    <r>
      <rPr>
        <sz val="10"/>
        <color theme="1"/>
        <rFont val="Arial"/>
        <family val="2"/>
        <scheme val="minor"/>
      </rPr>
      <t>1</t>
    </r>
    <phoneticPr fontId="9"/>
  </si>
  <si>
    <r>
      <rPr>
        <sz val="10"/>
        <color theme="1"/>
        <rFont val="Arial"/>
        <family val="3"/>
        <charset val="136"/>
        <scheme val="minor"/>
      </rPr>
      <t>▼</t>
    </r>
    <r>
      <rPr>
        <sz val="10"/>
        <color theme="1"/>
        <rFont val="Arial"/>
        <family val="2"/>
        <scheme val="minor"/>
      </rPr>
      <t>2</t>
    </r>
    <phoneticPr fontId="9"/>
  </si>
  <si>
    <r>
      <rPr>
        <sz val="10"/>
        <color theme="1"/>
        <rFont val="Arial"/>
        <family val="3"/>
        <charset val="136"/>
        <scheme val="minor"/>
      </rPr>
      <t>▼</t>
    </r>
    <r>
      <rPr>
        <sz val="10"/>
        <color theme="1"/>
        <rFont val="Arial"/>
        <family val="2"/>
        <scheme val="minor"/>
      </rPr>
      <t>5</t>
    </r>
    <phoneticPr fontId="9"/>
  </si>
  <si>
    <t>超用率</t>
    <phoneticPr fontId="9"/>
  </si>
  <si>
    <t>日期</t>
    <phoneticPr fontId="12" type="noConversion"/>
  </si>
  <si>
    <t xml:space="preserve">半成品超用(%) </t>
  </si>
  <si>
    <t xml:space="preserve">人時生產性(個/人) </t>
  </si>
  <si>
    <t xml:space="preserve">人時生產性達成率(%) </t>
  </si>
  <si>
    <t>固定產線-導入率(固定產線數/總產線數)</t>
  </si>
  <si>
    <t>教育訓練-實施率(進度/計畫)</t>
  </si>
  <si>
    <t>品類業績</t>
    <phoneticPr fontId="12" type="noConversion"/>
  </si>
  <si>
    <t>業績(元)</t>
    <phoneticPr fontId="12" type="noConversion"/>
  </si>
  <si>
    <t>比例(%)</t>
    <phoneticPr fontId="12" type="noConversion"/>
  </si>
  <si>
    <t>三</t>
    <phoneticPr fontId="12" type="noConversion"/>
  </si>
  <si>
    <t>日</t>
    <phoneticPr fontId="12" type="noConversion"/>
  </si>
  <si>
    <r>
      <t>月</t>
    </r>
    <r>
      <rPr>
        <sz val="11"/>
        <color rgb="FF000000"/>
        <rFont val="Arial"/>
        <family val="3"/>
        <charset val="136"/>
      </rPr>
      <t>份</t>
    </r>
    <phoneticPr fontId="12" type="noConversion"/>
  </si>
  <si>
    <t>週累積</t>
    <phoneticPr fontId="12" type="noConversion"/>
  </si>
  <si>
    <t>月累積</t>
    <phoneticPr fontId="12" type="noConversion"/>
  </si>
  <si>
    <t>訂單數量(個)</t>
    <phoneticPr fontId="12" type="noConversion"/>
  </si>
  <si>
    <t>材料費(元)</t>
    <phoneticPr fontId="12" type="noConversion"/>
  </si>
  <si>
    <r>
      <t>（１）收支</t>
    </r>
    <r>
      <rPr>
        <b/>
        <sz val="22"/>
        <color rgb="FF000000"/>
        <rFont val="細明體"/>
        <family val="3"/>
        <charset val="136"/>
      </rPr>
      <t>狀</t>
    </r>
    <r>
      <rPr>
        <b/>
        <sz val="22"/>
        <color rgb="FF000000"/>
        <rFont val="Meiryo UI"/>
        <family val="2"/>
      </rPr>
      <t>況</t>
    </r>
    <phoneticPr fontId="12" type="noConversion"/>
  </si>
  <si>
    <t>材料費率（材料費／營業額）</t>
    <phoneticPr fontId="12" type="noConversion"/>
  </si>
  <si>
    <t>勞務成本（全廠人事成本）</t>
    <phoneticPr fontId="12" type="noConversion"/>
  </si>
  <si>
    <t>勞務費率（勞務成本／營業額）</t>
    <phoneticPr fontId="12" type="noConversion"/>
  </si>
  <si>
    <t>（２）ＫＰＩ達成進度</t>
    <phoneticPr fontId="9"/>
  </si>
  <si>
    <t>（２）ＫＰＩ達成進度</t>
    <phoneticPr fontId="12" type="noConversion"/>
  </si>
  <si>
    <t>週平均</t>
    <phoneticPr fontId="12" type="noConversion"/>
  </si>
  <si>
    <t>月平均</t>
    <phoneticPr fontId="12" type="noConversion"/>
  </si>
  <si>
    <t>一配</t>
    <phoneticPr fontId="12" type="noConversion"/>
  </si>
  <si>
    <t>二配</t>
    <phoneticPr fontId="12" type="noConversion"/>
  </si>
  <si>
    <t>便當</t>
  </si>
  <si>
    <t>便當</t>
    <phoneticPr fontId="12" type="noConversion"/>
  </si>
  <si>
    <t>主食</t>
  </si>
  <si>
    <t>主食</t>
    <phoneticPr fontId="12" type="noConversion"/>
  </si>
  <si>
    <t>熱食義麵</t>
  </si>
  <si>
    <t>季節調理麵</t>
  </si>
  <si>
    <t>微波小吃</t>
  </si>
  <si>
    <t>微波小吃</t>
    <phoneticPr fontId="12" type="noConversion"/>
  </si>
  <si>
    <r>
      <t>月</t>
    </r>
    <r>
      <rPr>
        <sz val="12"/>
        <color rgb="FF000000"/>
        <rFont val="Arial"/>
        <family val="3"/>
        <charset val="136"/>
      </rPr>
      <t>份</t>
    </r>
    <phoneticPr fontId="12" type="noConversion"/>
  </si>
  <si>
    <r>
      <t>18℃</t>
    </r>
    <r>
      <rPr>
        <b/>
        <sz val="11.9"/>
        <color rgb="FF000000"/>
        <rFont val="Meiryo UI"/>
        <family val="2"/>
      </rPr>
      <t>-</t>
    </r>
    <r>
      <rPr>
        <b/>
        <sz val="14"/>
        <color rgb="FF000000"/>
        <rFont val="Meiryo UI"/>
        <family val="2"/>
      </rPr>
      <t>飯</t>
    </r>
    <r>
      <rPr>
        <b/>
        <sz val="14"/>
        <color rgb="FF000000"/>
        <rFont val="細明體"/>
        <family val="3"/>
        <charset val="136"/>
      </rPr>
      <t>糰</t>
    </r>
    <phoneticPr fontId="12" type="noConversion"/>
  </si>
  <si>
    <r>
      <t>18℃</t>
    </r>
    <r>
      <rPr>
        <b/>
        <sz val="11.9"/>
        <color rgb="FF000000"/>
        <rFont val="Meiryo UI"/>
        <family val="2"/>
      </rPr>
      <t>-壽司手卷</t>
    </r>
    <phoneticPr fontId="12" type="noConversion"/>
  </si>
  <si>
    <r>
      <t>4℃</t>
    </r>
    <r>
      <rPr>
        <b/>
        <sz val="11.9"/>
        <color rgb="FF000000"/>
        <rFont val="Meiryo UI"/>
        <family val="2"/>
      </rPr>
      <t>-</t>
    </r>
    <r>
      <rPr>
        <b/>
        <sz val="14"/>
        <color rgb="FF000000"/>
        <rFont val="Meiryo UI"/>
        <family val="2"/>
      </rPr>
      <t>飯</t>
    </r>
    <r>
      <rPr>
        <b/>
        <sz val="14"/>
        <color rgb="FF000000"/>
        <rFont val="細明體"/>
        <family val="3"/>
        <charset val="136"/>
      </rPr>
      <t>糰</t>
    </r>
    <phoneticPr fontId="12" type="noConversion"/>
  </si>
  <si>
    <r>
      <t>4℃</t>
    </r>
    <r>
      <rPr>
        <b/>
        <sz val="11.9"/>
        <color rgb="FF000000"/>
        <rFont val="Meiryo UI"/>
        <family val="2"/>
      </rPr>
      <t>-</t>
    </r>
    <r>
      <rPr>
        <b/>
        <sz val="14"/>
        <color rgb="FF000000"/>
        <rFont val="Meiryo UI"/>
        <family val="2"/>
      </rPr>
      <t>壽司手卷</t>
    </r>
    <phoneticPr fontId="12" type="noConversion"/>
  </si>
  <si>
    <r>
      <t>熱食義</t>
    </r>
    <r>
      <rPr>
        <b/>
        <sz val="14"/>
        <color rgb="FF000000"/>
        <rFont val="細明體"/>
        <family val="3"/>
        <charset val="136"/>
      </rPr>
      <t>麵</t>
    </r>
    <phoneticPr fontId="12" type="noConversion"/>
  </si>
  <si>
    <r>
      <t>季節調理</t>
    </r>
    <r>
      <rPr>
        <b/>
        <sz val="14"/>
        <color rgb="FF000000"/>
        <rFont val="細明體"/>
        <family val="3"/>
        <charset val="136"/>
      </rPr>
      <t>麵</t>
    </r>
    <phoneticPr fontId="12" type="noConversion"/>
  </si>
  <si>
    <t>合計</t>
    <phoneticPr fontId="12" type="noConversion"/>
  </si>
  <si>
    <t>（４）訂單數量構成比</t>
    <phoneticPr fontId="9"/>
  </si>
  <si>
    <t>訂單量</t>
    <phoneticPr fontId="12" type="noConversion"/>
  </si>
  <si>
    <t>訂單數</t>
    <phoneticPr fontId="12" type="noConversion"/>
  </si>
  <si>
    <t>18℃-飯糰</t>
  </si>
  <si>
    <t>18℃-壽司手卷</t>
  </si>
  <si>
    <t>4℃-飯糰</t>
  </si>
  <si>
    <t>4℃-壽司手卷</t>
  </si>
  <si>
    <t>品群</t>
    <phoneticPr fontId="12" type="noConversion"/>
  </si>
  <si>
    <t>日期</t>
    <phoneticPr fontId="12" type="noConversion"/>
  </si>
  <si>
    <t>資料繳交</t>
    <phoneticPr fontId="12" type="noConversion"/>
  </si>
  <si>
    <t>五</t>
    <phoneticPr fontId="12" type="noConversion"/>
  </si>
  <si>
    <t>二</t>
    <phoneticPr fontId="12" type="noConversion"/>
  </si>
  <si>
    <t>四</t>
    <phoneticPr fontId="12" type="noConversion"/>
  </si>
  <si>
    <t>六</t>
    <phoneticPr fontId="12" type="noConversion"/>
  </si>
  <si>
    <t>日</t>
    <phoneticPr fontId="12" type="noConversion"/>
  </si>
  <si>
    <t>一</t>
    <phoneticPr fontId="12" type="noConversion"/>
  </si>
  <si>
    <t>產線配置圖－每週更新</t>
    <phoneticPr fontId="12" type="noConversion"/>
  </si>
  <si>
    <t>製程不穩</t>
    <phoneticPr fontId="9"/>
  </si>
  <si>
    <t>研發設定</t>
    <phoneticPr fontId="9"/>
  </si>
  <si>
    <t>類別</t>
  </si>
  <si>
    <t>備註-商品名稱</t>
  </si>
  <si>
    <t>品群</t>
    <phoneticPr fontId="9"/>
  </si>
  <si>
    <t>品群</t>
    <phoneticPr fontId="9"/>
  </si>
  <si>
    <t>原物料規格</t>
    <phoneticPr fontId="9"/>
  </si>
  <si>
    <t>其他原因</t>
    <phoneticPr fontId="9"/>
  </si>
  <si>
    <t>類型</t>
    <phoneticPr fontId="12" type="noConversion"/>
  </si>
  <si>
    <t>作業原因</t>
    <phoneticPr fontId="9"/>
  </si>
  <si>
    <t>類型</t>
    <phoneticPr fontId="12" type="noConversion"/>
  </si>
  <si>
    <t>原料原因</t>
    <phoneticPr fontId="9"/>
  </si>
  <si>
    <t>個／MH</t>
    <phoneticPr fontId="9"/>
  </si>
  <si>
    <r>
      <t>（１）收支</t>
    </r>
    <r>
      <rPr>
        <b/>
        <sz val="12"/>
        <color theme="1"/>
        <rFont val="Arial"/>
        <family val="3"/>
        <charset val="136"/>
      </rPr>
      <t>狀</t>
    </r>
    <r>
      <rPr>
        <b/>
        <sz val="12"/>
        <color theme="1"/>
        <rFont val="Meiryo UI"/>
        <family val="2"/>
      </rPr>
      <t>況</t>
    </r>
    <phoneticPr fontId="9"/>
  </si>
  <si>
    <r>
      <t>（５）品群別人時生</t>
    </r>
    <r>
      <rPr>
        <b/>
        <sz val="12"/>
        <color theme="1"/>
        <rFont val="Arial"/>
        <family val="3"/>
        <charset val="136"/>
      </rPr>
      <t>產</t>
    </r>
    <r>
      <rPr>
        <b/>
        <sz val="12"/>
        <color theme="1"/>
        <rFont val="Meiryo UI"/>
        <family val="2"/>
      </rPr>
      <t>性</t>
    </r>
    <phoneticPr fontId="9"/>
  </si>
  <si>
    <t>項目</t>
    <phoneticPr fontId="12" type="noConversion"/>
  </si>
  <si>
    <r>
      <t>人時性(</t>
    </r>
    <r>
      <rPr>
        <sz val="10"/>
        <color theme="1"/>
        <rFont val="細明體"/>
        <family val="3"/>
        <charset val="136"/>
      </rPr>
      <t>個</t>
    </r>
    <r>
      <rPr>
        <sz val="10"/>
        <color theme="1"/>
        <rFont val="Meiryo UI"/>
        <family val="2"/>
      </rPr>
      <t>/</t>
    </r>
    <r>
      <rPr>
        <sz val="10"/>
        <color theme="1"/>
        <rFont val="細明體"/>
        <family val="3"/>
        <charset val="136"/>
      </rPr>
      <t>月均)</t>
    </r>
    <r>
      <rPr>
        <sz val="10"/>
        <color theme="1"/>
        <rFont val="Meiryo UI"/>
        <family val="2"/>
      </rPr>
      <t xml:space="preserve"> </t>
    </r>
    <phoneticPr fontId="9"/>
  </si>
  <si>
    <r>
      <t>人時</t>
    </r>
    <r>
      <rPr>
        <sz val="10"/>
        <color theme="1"/>
        <rFont val="細明體"/>
        <family val="3"/>
        <charset val="136"/>
      </rPr>
      <t>達成率</t>
    </r>
    <r>
      <rPr>
        <sz val="10"/>
        <color theme="1"/>
        <rFont val="Meiryo UI"/>
        <family val="2"/>
      </rPr>
      <t>(%/</t>
    </r>
    <r>
      <rPr>
        <sz val="10"/>
        <color theme="1"/>
        <rFont val="細明體"/>
        <family val="3"/>
        <charset val="136"/>
      </rPr>
      <t>月均)</t>
    </r>
    <r>
      <rPr>
        <sz val="10"/>
        <color theme="1"/>
        <rFont val="Meiryo UI"/>
        <family val="2"/>
      </rPr>
      <t xml:space="preserve"> </t>
    </r>
    <phoneticPr fontId="9"/>
  </si>
  <si>
    <t>半成品-報廢(%)</t>
    <phoneticPr fontId="9"/>
  </si>
  <si>
    <t>半成品-超用(%)</t>
    <phoneticPr fontId="9"/>
  </si>
  <si>
    <r>
      <t>固定</t>
    </r>
    <r>
      <rPr>
        <sz val="10"/>
        <color theme="1"/>
        <rFont val="細明體"/>
        <family val="3"/>
        <charset val="136"/>
      </rPr>
      <t>產</t>
    </r>
    <r>
      <rPr>
        <sz val="10"/>
        <color theme="1"/>
        <rFont val="Meiryo UI"/>
        <family val="2"/>
      </rPr>
      <t>線-</t>
    </r>
    <r>
      <rPr>
        <sz val="10"/>
        <color theme="1"/>
        <rFont val="細明體"/>
        <family val="3"/>
        <charset val="136"/>
      </rPr>
      <t>導入率(%)</t>
    </r>
    <phoneticPr fontId="9"/>
  </si>
  <si>
    <r>
      <t>教育訓練-</t>
    </r>
    <r>
      <rPr>
        <sz val="10"/>
        <color theme="1"/>
        <rFont val="細明體"/>
        <family val="3"/>
        <charset val="136"/>
      </rPr>
      <t>實施率(%)</t>
    </r>
    <phoneticPr fontId="9"/>
  </si>
  <si>
    <r>
      <t>生</t>
    </r>
    <r>
      <rPr>
        <b/>
        <sz val="20"/>
        <color rgb="FF000000"/>
        <rFont val="細明體"/>
        <family val="3"/>
        <charset val="136"/>
      </rPr>
      <t>產</t>
    </r>
    <r>
      <rPr>
        <b/>
        <sz val="20"/>
        <color rgb="FF000000"/>
        <rFont val="Meiryo UI"/>
        <family val="2"/>
      </rPr>
      <t>管理報表</t>
    </r>
    <phoneticPr fontId="12" type="noConversion"/>
  </si>
  <si>
    <r>
      <t>（６）人時生</t>
    </r>
    <r>
      <rPr>
        <b/>
        <sz val="12"/>
        <color rgb="FF000000"/>
        <rFont val="Arial"/>
        <family val="3"/>
        <charset val="136"/>
      </rPr>
      <t>產</t>
    </r>
    <r>
      <rPr>
        <b/>
        <sz val="12"/>
        <color rgb="FF000000"/>
        <rFont val="Meiryo UI"/>
        <family val="2"/>
      </rPr>
      <t>性前幾名品項</t>
    </r>
    <phoneticPr fontId="12" type="noConversion"/>
  </si>
  <si>
    <r>
      <t>18℃-飯</t>
    </r>
    <r>
      <rPr>
        <sz val="11"/>
        <color theme="1"/>
        <rFont val="Arial"/>
        <family val="2"/>
      </rPr>
      <t>糰</t>
    </r>
  </si>
  <si>
    <r>
      <t>4℃-飯</t>
    </r>
    <r>
      <rPr>
        <sz val="11"/>
        <color theme="1"/>
        <rFont val="Arial"/>
        <family val="3"/>
        <charset val="136"/>
      </rPr>
      <t>糰</t>
    </r>
  </si>
  <si>
    <r>
      <t>熱食義</t>
    </r>
    <r>
      <rPr>
        <sz val="11"/>
        <color theme="1"/>
        <rFont val="Arial"/>
        <family val="2"/>
      </rPr>
      <t>麵</t>
    </r>
  </si>
  <si>
    <r>
      <t>季節調理</t>
    </r>
    <r>
      <rPr>
        <sz val="10"/>
        <color rgb="FF000000"/>
        <rFont val="Arial"/>
        <family val="2"/>
      </rPr>
      <t>麵</t>
    </r>
  </si>
  <si>
    <t>（８）報廢原因別前幾名品項</t>
    <phoneticPr fontId="12" type="noConversion"/>
  </si>
  <si>
    <r>
      <t>調理多</t>
    </r>
    <r>
      <rPr>
        <sz val="11"/>
        <color theme="1"/>
        <rFont val="Arial"/>
        <family val="3"/>
        <charset val="136"/>
      </rPr>
      <t>產</t>
    </r>
    <phoneticPr fontId="9"/>
  </si>
  <si>
    <t>原物料規格</t>
  </si>
  <si>
    <t>研發設定</t>
  </si>
  <si>
    <r>
      <rPr>
        <sz val="11"/>
        <color theme="1"/>
        <rFont val="細明體"/>
        <family val="3"/>
        <charset val="136"/>
      </rPr>
      <t>步</t>
    </r>
    <r>
      <rPr>
        <sz val="11"/>
        <color theme="1"/>
        <rFont val="Meiryo UI"/>
        <family val="2"/>
      </rPr>
      <t>留因素</t>
    </r>
    <phoneticPr fontId="9"/>
  </si>
  <si>
    <r>
      <t>（9）</t>
    </r>
    <r>
      <rPr>
        <b/>
        <sz val="12"/>
        <color rgb="FF000000"/>
        <rFont val="細明體"/>
        <family val="3"/>
        <charset val="136"/>
      </rPr>
      <t>步</t>
    </r>
    <r>
      <rPr>
        <b/>
        <sz val="12"/>
        <color rgb="FF000000"/>
        <rFont val="Meiryo UI"/>
        <family val="2"/>
      </rPr>
      <t>留因素</t>
    </r>
    <phoneticPr fontId="12" type="noConversion"/>
  </si>
  <si>
    <r>
      <t>調理多</t>
    </r>
    <r>
      <rPr>
        <sz val="11"/>
        <color theme="1"/>
        <rFont val="Arial"/>
        <family val="3"/>
        <charset val="136"/>
      </rPr>
      <t>產</t>
    </r>
    <phoneticPr fontId="9"/>
  </si>
  <si>
    <r>
      <rPr>
        <sz val="11"/>
        <color theme="1"/>
        <rFont val="細明體"/>
        <family val="3"/>
        <charset val="136"/>
      </rPr>
      <t>步</t>
    </r>
    <r>
      <rPr>
        <sz val="11"/>
        <color theme="1"/>
        <rFont val="Meiryo UI"/>
        <family val="2"/>
      </rPr>
      <t>留因素</t>
    </r>
    <phoneticPr fontId="9"/>
  </si>
  <si>
    <r>
      <t>4℃-飯</t>
    </r>
    <r>
      <rPr>
        <sz val="10"/>
        <color theme="1"/>
        <rFont val="細明體"/>
        <family val="3"/>
        <charset val="136"/>
      </rPr>
      <t>糰</t>
    </r>
    <r>
      <rPr>
        <sz val="10"/>
        <color theme="1"/>
        <rFont val="Meiryo UI"/>
        <family val="2"/>
      </rPr>
      <t>(065)</t>
    </r>
    <phoneticPr fontId="12" type="noConversion"/>
  </si>
  <si>
    <t>4℃-壽司手卷(077)</t>
  </si>
  <si>
    <t>4℃-壽司手卷(077)</t>
    <phoneticPr fontId="12" type="noConversion"/>
  </si>
  <si>
    <t>18℃-壽司手卷(071,072,075,076)</t>
  </si>
  <si>
    <t>18℃-壽司手卷(071,072,075,076)</t>
    <phoneticPr fontId="12" type="noConversion"/>
  </si>
  <si>
    <t>主食(091,092,093,094,095)</t>
  </si>
  <si>
    <t>主食(091,092,093,094,095)</t>
    <phoneticPr fontId="12" type="noConversion"/>
  </si>
  <si>
    <t>便當(083)</t>
  </si>
  <si>
    <t>便當(083)</t>
    <phoneticPr fontId="12" type="noConversion"/>
  </si>
  <si>
    <r>
      <t>18℃-飯A15:A23</t>
    </r>
    <r>
      <rPr>
        <sz val="10"/>
        <color theme="1"/>
        <rFont val="細明體"/>
        <family val="3"/>
        <charset val="136"/>
      </rPr>
      <t>糰</t>
    </r>
    <r>
      <rPr>
        <sz val="10"/>
        <color theme="1"/>
        <rFont val="Meiryo UI"/>
        <family val="2"/>
      </rPr>
      <t>(061,063)</t>
    </r>
    <phoneticPr fontId="12" type="noConversion"/>
  </si>
  <si>
    <r>
      <t>熱食義</t>
    </r>
    <r>
      <rPr>
        <sz val="10"/>
        <color theme="1"/>
        <rFont val="細明體"/>
        <family val="3"/>
        <charset val="136"/>
      </rPr>
      <t>麵</t>
    </r>
    <r>
      <rPr>
        <sz val="10"/>
        <color theme="1"/>
        <rFont val="Meiryo UI"/>
        <family val="2"/>
      </rPr>
      <t>(122,123,124,126)</t>
    </r>
    <phoneticPr fontId="12" type="noConversion"/>
  </si>
  <si>
    <r>
      <t>季節調理</t>
    </r>
    <r>
      <rPr>
        <sz val="10"/>
        <color theme="1"/>
        <rFont val="細明體"/>
        <family val="3"/>
        <charset val="136"/>
      </rPr>
      <t>麵</t>
    </r>
    <r>
      <rPr>
        <sz val="10"/>
        <color theme="1"/>
        <rFont val="Meiryo UI"/>
        <family val="2"/>
      </rPr>
      <t>(111,112)</t>
    </r>
    <phoneticPr fontId="12" type="noConversion"/>
  </si>
  <si>
    <t>微波小吃(153,154,155)</t>
  </si>
  <si>
    <t>微波小吃(153,154,155)</t>
    <phoneticPr fontId="12" type="noConversion"/>
  </si>
  <si>
    <t>18℃-飯A15:A23糰(061,063)</t>
  </si>
  <si>
    <t>4℃-飯糰(065)</t>
  </si>
  <si>
    <t>熱食義麵(122,123,124,126)</t>
  </si>
  <si>
    <t>季節調理麵(111,112)</t>
  </si>
  <si>
    <r>
      <t>生</t>
    </r>
    <r>
      <rPr>
        <b/>
        <sz val="20"/>
        <color rgb="FF000000"/>
        <rFont val="細明體"/>
        <family val="3"/>
        <charset val="136"/>
      </rPr>
      <t>產</t>
    </r>
    <r>
      <rPr>
        <b/>
        <sz val="20"/>
        <color rgb="FF000000"/>
        <rFont val="Meiryo UI"/>
        <family val="2"/>
      </rPr>
      <t>管理報表</t>
    </r>
    <phoneticPr fontId="12" type="noConversion"/>
  </si>
  <si>
    <r>
      <t>（７）</t>
    </r>
    <r>
      <rPr>
        <b/>
        <sz val="12"/>
        <color rgb="FF000000"/>
        <rFont val="Meiryo UI"/>
        <family val="2"/>
      </rPr>
      <t>原因別分析</t>
    </r>
    <phoneticPr fontId="12" type="noConversion"/>
  </si>
  <si>
    <t>業績金額</t>
    <phoneticPr fontId="12" type="noConversion"/>
  </si>
  <si>
    <t>項目</t>
    <phoneticPr fontId="12" type="noConversion"/>
  </si>
  <si>
    <r>
      <t>調理多</t>
    </r>
    <r>
      <rPr>
        <b/>
        <sz val="14"/>
        <color theme="1"/>
        <rFont val="Arial"/>
        <family val="3"/>
        <charset val="136"/>
      </rPr>
      <t>產</t>
    </r>
    <phoneticPr fontId="9"/>
  </si>
  <si>
    <t>製程不穩</t>
    <phoneticPr fontId="9"/>
  </si>
  <si>
    <t>抓樣不穩</t>
    <phoneticPr fontId="9"/>
  </si>
  <si>
    <t>比例</t>
    <phoneticPr fontId="9"/>
  </si>
  <si>
    <t>報廢</t>
    <phoneticPr fontId="9"/>
  </si>
  <si>
    <t>超用</t>
    <phoneticPr fontId="9"/>
  </si>
  <si>
    <t>原物料規格</t>
    <phoneticPr fontId="9"/>
  </si>
  <si>
    <t>研發設定</t>
    <phoneticPr fontId="9"/>
  </si>
  <si>
    <t>其他原因</t>
    <phoneticPr fontId="9"/>
  </si>
  <si>
    <r>
      <rPr>
        <b/>
        <sz val="14"/>
        <color rgb="FF000000"/>
        <rFont val="Arial"/>
        <family val="3"/>
        <charset val="136"/>
      </rPr>
      <t>步</t>
    </r>
    <r>
      <rPr>
        <b/>
        <sz val="14"/>
        <color rgb="FF000000"/>
        <rFont val="Meiryo UI"/>
        <family val="2"/>
      </rPr>
      <t>留不足</t>
    </r>
    <phoneticPr fontId="12" type="noConversion"/>
  </si>
  <si>
    <t>展開量高於１０5％</t>
    <phoneticPr fontId="9"/>
  </si>
  <si>
    <t>18℃-壽司手卷(071,072,075,076)</t>
    <phoneticPr fontId="12" type="noConversion"/>
  </si>
  <si>
    <t>鮮食品群番</t>
    <phoneticPr fontId="12" type="noConversion"/>
  </si>
  <si>
    <t>06</t>
  </si>
  <si>
    <t>飯糰</t>
  </si>
  <si>
    <t>10</t>
  </si>
  <si>
    <t>三明治</t>
  </si>
  <si>
    <t>061</t>
  </si>
  <si>
    <t>飯糰一配</t>
  </si>
  <si>
    <t>106</t>
  </si>
  <si>
    <t>三明治４度Ｃ</t>
  </si>
  <si>
    <t>063</t>
  </si>
  <si>
    <t>飯糰二配</t>
  </si>
  <si>
    <t>107</t>
  </si>
  <si>
    <t>調理麵包４度Ｃ</t>
  </si>
  <si>
    <t>065</t>
  </si>
  <si>
    <t>飯糰４度Ｃ</t>
  </si>
  <si>
    <t>11</t>
  </si>
  <si>
    <t>07</t>
  </si>
  <si>
    <t>壽司、手卷</t>
  </si>
  <si>
    <t>111</t>
  </si>
  <si>
    <t>涼麵</t>
  </si>
  <si>
    <t>071</t>
  </si>
  <si>
    <t>壽司一配</t>
  </si>
  <si>
    <t>112</t>
  </si>
  <si>
    <t>熱湯麵</t>
  </si>
  <si>
    <t>072</t>
  </si>
  <si>
    <t>手卷一配</t>
  </si>
  <si>
    <t>12</t>
  </si>
  <si>
    <t>075</t>
  </si>
  <si>
    <t>壽司二配</t>
  </si>
  <si>
    <t>122</t>
  </si>
  <si>
    <t>熱食麵</t>
  </si>
  <si>
    <t>076</t>
  </si>
  <si>
    <t>手卷２配</t>
  </si>
  <si>
    <t>123</t>
  </si>
  <si>
    <t>077</t>
  </si>
  <si>
    <t>４℃壽司手卷</t>
  </si>
  <si>
    <t>124</t>
  </si>
  <si>
    <t>義大利麵</t>
  </si>
  <si>
    <t>08</t>
  </si>
  <si>
    <t>126</t>
  </si>
  <si>
    <t>冷凍調理麵</t>
  </si>
  <si>
    <t>083</t>
  </si>
  <si>
    <t>便當４℃</t>
  </si>
  <si>
    <t>14</t>
  </si>
  <si>
    <t>沙拉</t>
  </si>
  <si>
    <t>09</t>
  </si>
  <si>
    <t>微波主食</t>
  </si>
  <si>
    <t>141</t>
  </si>
  <si>
    <t>091</t>
  </si>
  <si>
    <t>中式主食二配</t>
  </si>
  <si>
    <t>15</t>
  </si>
  <si>
    <t>小菜、微波</t>
  </si>
  <si>
    <t>092</t>
  </si>
  <si>
    <t>西式主食二配</t>
  </si>
  <si>
    <t>153</t>
  </si>
  <si>
    <t>湯品</t>
  </si>
  <si>
    <t>093</t>
  </si>
  <si>
    <t>日式主食</t>
  </si>
  <si>
    <t>154</t>
  </si>
  <si>
    <t>滷味</t>
  </si>
  <si>
    <t>094</t>
  </si>
  <si>
    <t>粥品</t>
  </si>
  <si>
    <t>155</t>
  </si>
  <si>
    <t>特色小吃</t>
  </si>
  <si>
    <t>095</t>
  </si>
  <si>
    <t>其他飯類</t>
  </si>
  <si>
    <t>品類訂單量</t>
    <phoneticPr fontId="12" type="noConversion"/>
  </si>
  <si>
    <t>（3）業績構成比</t>
    <phoneticPr fontId="12" type="noConversion"/>
  </si>
  <si>
    <t>（4）訂單數量構成比</t>
    <phoneticPr fontId="12" type="noConversion"/>
  </si>
  <si>
    <t>展開量高於１０5％</t>
    <phoneticPr fontId="9"/>
  </si>
  <si>
    <t>展開量高於１０5％</t>
    <phoneticPr fontId="9"/>
  </si>
  <si>
    <t>展開量高於１０5％</t>
    <phoneticPr fontId="9"/>
  </si>
  <si>
    <t xml:space="preserve">半成品報廢(%) </t>
    <phoneticPr fontId="12" type="noConversion"/>
  </si>
  <si>
    <t>月別</t>
    <phoneticPr fontId="9"/>
  </si>
  <si>
    <t>週別</t>
    <phoneticPr fontId="12" type="noConversion"/>
  </si>
  <si>
    <t>當週</t>
  </si>
  <si>
    <t>當週</t>
    <phoneticPr fontId="9"/>
  </si>
  <si>
    <t>前週</t>
  </si>
  <si>
    <t>前週</t>
    <phoneticPr fontId="12" type="noConversion"/>
  </si>
  <si>
    <t>前週</t>
    <phoneticPr fontId="9"/>
  </si>
  <si>
    <t>月平均人時性</t>
  </si>
  <si>
    <t>月平均人時性</t>
    <phoneticPr fontId="12" type="noConversion"/>
  </si>
  <si>
    <t>KPI</t>
    <phoneticPr fontId="12" type="noConversion"/>
  </si>
  <si>
    <t>18℃-飯糰(061,063)</t>
  </si>
  <si>
    <t>二</t>
    <phoneticPr fontId="12" type="noConversion"/>
  </si>
  <si>
    <t>三</t>
    <phoneticPr fontId="12" type="noConversion"/>
  </si>
  <si>
    <t>四</t>
    <phoneticPr fontId="12" type="noConversion"/>
  </si>
  <si>
    <t>五</t>
    <phoneticPr fontId="12" type="noConversion"/>
  </si>
  <si>
    <t>六</t>
    <phoneticPr fontId="12" type="noConversion"/>
  </si>
  <si>
    <t>日</t>
    <phoneticPr fontId="12" type="noConversion"/>
  </si>
  <si>
    <t>一</t>
    <phoneticPr fontId="12" type="noConversion"/>
  </si>
  <si>
    <r>
      <t>4℃</t>
    </r>
    <r>
      <rPr>
        <b/>
        <sz val="11.9"/>
        <color rgb="FF000000"/>
        <rFont val="Meiryo UI"/>
        <family val="2"/>
      </rPr>
      <t>-</t>
    </r>
    <r>
      <rPr>
        <b/>
        <sz val="14"/>
        <color rgb="FF000000"/>
        <rFont val="Meiryo UI"/>
        <family val="2"/>
      </rPr>
      <t>飯</t>
    </r>
    <r>
      <rPr>
        <b/>
        <sz val="14"/>
        <color rgb="FF000000"/>
        <rFont val="細明體"/>
        <family val="3"/>
        <charset val="136"/>
      </rPr>
      <t>糰</t>
    </r>
    <phoneticPr fontId="12" type="noConversion"/>
  </si>
  <si>
    <t>生產課</t>
  </si>
  <si>
    <t>二配香拌海鮮醬肉絲蛋炒飯</t>
  </si>
  <si>
    <t>其他</t>
  </si>
  <si>
    <t>二配金咖哩果香甘口咖哩飯</t>
  </si>
  <si>
    <t>北海道秋鮭親子飯糰</t>
  </si>
  <si>
    <t>香辣醬粉絲煲</t>
  </si>
  <si>
    <t>調配課</t>
  </si>
  <si>
    <t>調理多產</t>
  </si>
  <si>
    <t>共用類</t>
  </si>
  <si>
    <t>極上炙烤親子丼</t>
  </si>
  <si>
    <t>切-炙燒炭火燒肉片</t>
  </si>
  <si>
    <t>二配港式香滑嫩蛋牛肉燴飯</t>
  </si>
  <si>
    <t>營業額(元)</t>
    <phoneticPr fontId="12" type="noConversion"/>
  </si>
  <si>
    <t>營業額</t>
    <phoneticPr fontId="12" type="noConversion"/>
  </si>
  <si>
    <t>經典肉鬆飯糰</t>
  </si>
  <si>
    <t>蔬食鮪魚飯糰</t>
  </si>
  <si>
    <t>鮪魚飯糰</t>
  </si>
  <si>
    <t>壹號醬炙烤牛飯糰</t>
  </si>
  <si>
    <t>明太子龍蝦風味沙拉飯糰</t>
  </si>
  <si>
    <t>鹽蔥燒肉飯糰</t>
  </si>
  <si>
    <t>雞肉飯飯糰</t>
  </si>
  <si>
    <t>優質池上飯</t>
  </si>
  <si>
    <t>二配哞哞培根奶香海陸焗飯</t>
  </si>
  <si>
    <t>鐵板滑蛋炸豬排丼</t>
  </si>
  <si>
    <t>二配川味麻婆燒豆腐燴飯</t>
  </si>
  <si>
    <t>嘉義劉里長雞肉飯</t>
  </si>
  <si>
    <t>嫩烤香料雞胸排蔬滿盒</t>
  </si>
  <si>
    <t>新招牌腿排便當</t>
  </si>
  <si>
    <t>美式雞丁餐盒</t>
  </si>
  <si>
    <t>健身G肉餐盒</t>
  </si>
  <si>
    <t>烤蛋白餐盒</t>
  </si>
  <si>
    <t>椒麻香蔥雞涼拌麵</t>
  </si>
  <si>
    <t>台式麻醬涼麵</t>
  </si>
  <si>
    <t>大滿足香辣涼麵</t>
  </si>
  <si>
    <t>大滿足麻醬涼麵</t>
  </si>
  <si>
    <t>糖燻豬耳絲</t>
  </si>
  <si>
    <t>韓式蒜味炸雞</t>
  </si>
  <si>
    <t>古早味炒炊粉</t>
  </si>
  <si>
    <t>麻油雞飯糰</t>
  </si>
  <si>
    <t>淡麗清酒蒸蛤蜊烤飯糰</t>
  </si>
  <si>
    <t>大口日式塔塔醬蝦排飯糰</t>
  </si>
  <si>
    <t>大口蒜味香腸燒肉雙拼飯糰</t>
  </si>
  <si>
    <t>大口義式香草雞腿排飯糰</t>
  </si>
  <si>
    <t>晉欣廠</t>
    <phoneticPr fontId="12" type="noConversion"/>
  </si>
  <si>
    <r>
      <t>生</t>
    </r>
    <r>
      <rPr>
        <b/>
        <sz val="20"/>
        <color rgb="FF000000"/>
        <rFont val="微軟正黑體"/>
        <family val="2"/>
        <charset val="136"/>
      </rPr>
      <t>產</t>
    </r>
    <r>
      <rPr>
        <b/>
        <sz val="20"/>
        <color rgb="FF000000"/>
        <rFont val="Meiryo UI"/>
        <family val="2"/>
        <charset val="128"/>
      </rPr>
      <t>管理報表</t>
    </r>
    <phoneticPr fontId="12" type="noConversion"/>
  </si>
  <si>
    <t>累計</t>
    <phoneticPr fontId="12" type="noConversion"/>
  </si>
  <si>
    <t>製程不穩</t>
  </si>
  <si>
    <t>切烤雞胸肉</t>
  </si>
  <si>
    <t>平均人時性</t>
    <phoneticPr fontId="12" type="noConversion"/>
  </si>
  <si>
    <t>排名</t>
    <phoneticPr fontId="12" type="noConversion"/>
  </si>
  <si>
    <t>實際</t>
    <phoneticPr fontId="12" type="noConversion"/>
  </si>
  <si>
    <t>品群</t>
    <phoneticPr fontId="12" type="noConversion"/>
  </si>
  <si>
    <t>計畫</t>
    <phoneticPr fontId="12" type="noConversion"/>
  </si>
  <si>
    <t>實績</t>
    <phoneticPr fontId="12" type="noConversion"/>
  </si>
  <si>
    <t>日報</t>
    <phoneticPr fontId="12" type="noConversion"/>
  </si>
  <si>
    <t>產線配置圖</t>
    <phoneticPr fontId="12" type="noConversion"/>
  </si>
  <si>
    <t>生產實績</t>
    <phoneticPr fontId="12" type="noConversion"/>
  </si>
  <si>
    <t>人數</t>
    <phoneticPr fontId="12" type="noConversion"/>
  </si>
  <si>
    <t>產能／時</t>
    <phoneticPr fontId="12" type="noConversion"/>
  </si>
  <si>
    <t>人時性</t>
    <phoneticPr fontId="12" type="noConversion"/>
  </si>
  <si>
    <r>
      <t>4</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2" type="noConversion"/>
  </si>
  <si>
    <t>商品名稱</t>
    <phoneticPr fontId="12" type="noConversion"/>
  </si>
  <si>
    <r>
      <rPr>
        <sz val="10"/>
        <color rgb="FF000000"/>
        <rFont val="Arial"/>
        <family val="3"/>
        <charset val="136"/>
        <scheme val="minor"/>
      </rPr>
      <t>4℃</t>
    </r>
    <r>
      <rPr>
        <sz val="10"/>
        <color rgb="FF000000"/>
        <rFont val="Arial"/>
        <family val="2"/>
        <scheme val="minor"/>
      </rPr>
      <t>-</t>
    </r>
    <r>
      <rPr>
        <sz val="10"/>
        <color rgb="FF000000"/>
        <rFont val="Arial"/>
        <family val="3"/>
        <charset val="136"/>
        <scheme val="minor"/>
      </rPr>
      <t>壽司手卷</t>
    </r>
    <phoneticPr fontId="12" type="noConversion"/>
  </si>
  <si>
    <t>熱食義麵</t>
    <phoneticPr fontId="12" type="noConversion"/>
  </si>
  <si>
    <r>
      <t>人時生</t>
    </r>
    <r>
      <rPr>
        <sz val="10"/>
        <color theme="1"/>
        <rFont val="Arial"/>
        <family val="3"/>
        <charset val="136"/>
      </rPr>
      <t>產</t>
    </r>
    <r>
      <rPr>
        <sz val="10"/>
        <color theme="1"/>
        <rFont val="Meiryo UI"/>
        <family val="2"/>
      </rPr>
      <t>性</t>
    </r>
    <phoneticPr fontId="9"/>
  </si>
  <si>
    <t>前週比</t>
    <phoneticPr fontId="12" type="noConversion"/>
  </si>
  <si>
    <t>主要原因&amp;對策</t>
    <phoneticPr fontId="9"/>
  </si>
  <si>
    <t>排名</t>
    <phoneticPr fontId="9"/>
  </si>
  <si>
    <t>▼1</t>
    <phoneticPr fontId="9"/>
  </si>
  <si>
    <t>▼2</t>
    <phoneticPr fontId="9"/>
  </si>
  <si>
    <t>▼3</t>
    <phoneticPr fontId="9"/>
  </si>
  <si>
    <t>▼4</t>
    <phoneticPr fontId="9"/>
  </si>
  <si>
    <t>▼5</t>
    <phoneticPr fontId="9"/>
  </si>
  <si>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2" type="noConversion"/>
  </si>
  <si>
    <t>便當</t>
    <phoneticPr fontId="12" type="noConversion"/>
  </si>
  <si>
    <t>燻之味-糖燻雞胗</t>
  </si>
  <si>
    <t>品群</t>
    <phoneticPr fontId="12" type="noConversion"/>
  </si>
  <si>
    <t>商品名稱</t>
    <phoneticPr fontId="12" type="noConversion"/>
  </si>
  <si>
    <t>計畫</t>
    <phoneticPr fontId="12" type="noConversion"/>
  </si>
  <si>
    <t>平均人時性</t>
    <phoneticPr fontId="12" type="noConversion"/>
  </si>
  <si>
    <t>實績</t>
    <phoneticPr fontId="12" type="noConversion"/>
  </si>
  <si>
    <t>排名</t>
    <phoneticPr fontId="12" type="noConversion"/>
  </si>
  <si>
    <t>日報</t>
    <phoneticPr fontId="12" type="noConversion"/>
  </si>
  <si>
    <t>實際</t>
    <phoneticPr fontId="12" type="noConversion"/>
  </si>
  <si>
    <t>產線配置圖</t>
    <phoneticPr fontId="12" type="noConversion"/>
  </si>
  <si>
    <t>生產實績</t>
    <phoneticPr fontId="12" type="noConversion"/>
  </si>
  <si>
    <t>人數</t>
    <phoneticPr fontId="12" type="noConversion"/>
  </si>
  <si>
    <t>產能／時</t>
    <phoneticPr fontId="12" type="noConversion"/>
  </si>
  <si>
    <t>人時性</t>
    <phoneticPr fontId="12"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</si>
  <si>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2" type="noConversion"/>
  </si>
  <si>
    <r>
      <t>4</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2" type="noConversion"/>
  </si>
  <si>
    <r>
      <rPr>
        <sz val="10"/>
        <color rgb="FF000000"/>
        <rFont val="Arial"/>
        <family val="3"/>
        <charset val="136"/>
        <scheme val="minor"/>
      </rPr>
      <t>4℃</t>
    </r>
    <r>
      <rPr>
        <sz val="10"/>
        <color rgb="FF000000"/>
        <rFont val="Arial"/>
        <family val="2"/>
        <scheme val="minor"/>
      </rPr>
      <t>-</t>
    </r>
    <r>
      <rPr>
        <sz val="10"/>
        <color rgb="FF000000"/>
        <rFont val="Arial"/>
        <family val="3"/>
        <charset val="136"/>
        <scheme val="minor"/>
      </rPr>
      <t>壽司手卷</t>
    </r>
    <phoneticPr fontId="12" type="noConversion"/>
  </si>
  <si>
    <t>便當</t>
    <phoneticPr fontId="12" type="noConversion"/>
  </si>
  <si>
    <t>熱食義麵</t>
    <phoneticPr fontId="12" type="noConversion"/>
  </si>
  <si>
    <t>品群</t>
    <phoneticPr fontId="12" type="noConversion"/>
  </si>
  <si>
    <t>商品名稱</t>
    <phoneticPr fontId="12" type="noConversion"/>
  </si>
  <si>
    <t>計畫</t>
    <phoneticPr fontId="12" type="noConversion"/>
  </si>
  <si>
    <t>平均人時性</t>
    <phoneticPr fontId="12" type="noConversion"/>
  </si>
  <si>
    <t>實績</t>
    <phoneticPr fontId="12" type="noConversion"/>
  </si>
  <si>
    <t>排名</t>
    <phoneticPr fontId="12" type="noConversion"/>
  </si>
  <si>
    <t>日報</t>
    <phoneticPr fontId="12" type="noConversion"/>
  </si>
  <si>
    <t>實際</t>
    <phoneticPr fontId="12" type="noConversion"/>
  </si>
  <si>
    <t>產線配置圖</t>
    <phoneticPr fontId="12" type="noConversion"/>
  </si>
  <si>
    <t>生產實績</t>
    <phoneticPr fontId="12" type="noConversion"/>
  </si>
  <si>
    <t>人數</t>
    <phoneticPr fontId="12" type="noConversion"/>
  </si>
  <si>
    <t>產能／時</t>
    <phoneticPr fontId="12" type="noConversion"/>
  </si>
  <si>
    <t>人時性</t>
    <phoneticPr fontId="12" type="noConversion"/>
  </si>
  <si>
    <t>主食</t>
    <phoneticPr fontId="12" type="noConversion"/>
  </si>
  <si>
    <t>微波小吃</t>
    <phoneticPr fontId="12" type="noConversion"/>
  </si>
  <si>
    <t>▼3</t>
    <phoneticPr fontId="9"/>
  </si>
  <si>
    <t>▼5</t>
    <phoneticPr fontId="9"/>
  </si>
  <si>
    <t>季節調理麵</t>
    <phoneticPr fontId="12" type="noConversion"/>
  </si>
  <si>
    <r>
      <t>8</t>
    </r>
    <r>
      <rPr>
        <sz val="10"/>
        <color rgb="FF000000"/>
        <rFont val="細明體"/>
        <family val="3"/>
        <charset val="136"/>
      </rPr>
      <t>月</t>
    </r>
    <phoneticPr fontId="12" type="noConversion"/>
  </si>
  <si>
    <r>
      <t>9</t>
    </r>
    <r>
      <rPr>
        <sz val="10"/>
        <color rgb="FF000000"/>
        <rFont val="細明體"/>
        <family val="3"/>
        <charset val="136"/>
      </rPr>
      <t>月</t>
    </r>
    <phoneticPr fontId="12" type="noConversion"/>
  </si>
  <si>
    <r>
      <t>10月</t>
    </r>
    <r>
      <rPr>
        <sz val="10"/>
        <color rgb="FF000000"/>
        <rFont val="細明體"/>
        <family val="3"/>
        <charset val="136"/>
      </rPr>
      <t/>
    </r>
  </si>
  <si>
    <r>
      <t>11月</t>
    </r>
    <r>
      <rPr>
        <sz val="10"/>
        <color rgb="FF000000"/>
        <rFont val="細明體"/>
        <family val="3"/>
        <charset val="136"/>
      </rPr>
      <t/>
    </r>
  </si>
  <si>
    <r>
      <t>12月</t>
    </r>
    <r>
      <rPr>
        <sz val="10"/>
        <color rgb="FF000000"/>
        <rFont val="細明體"/>
        <family val="3"/>
        <charset val="136"/>
      </rPr>
      <t/>
    </r>
  </si>
  <si>
    <t>糖燻野郎起司炙燒牛烤飯糰</t>
  </si>
  <si>
    <t>品群</t>
    <phoneticPr fontId="12" type="noConversion"/>
  </si>
  <si>
    <t>商品名稱</t>
    <phoneticPr fontId="12" type="noConversion"/>
  </si>
  <si>
    <t>計畫</t>
    <phoneticPr fontId="12" type="noConversion"/>
  </si>
  <si>
    <t>日報</t>
    <phoneticPr fontId="12" type="noConversion"/>
  </si>
  <si>
    <t>實際</t>
    <phoneticPr fontId="12" type="noConversion"/>
  </si>
  <si>
    <t>平均人時性</t>
    <phoneticPr fontId="12" type="noConversion"/>
  </si>
  <si>
    <t>生產實績</t>
    <phoneticPr fontId="12" type="noConversion"/>
  </si>
  <si>
    <t>人時性</t>
    <phoneticPr fontId="12" type="noConversion"/>
  </si>
  <si>
    <t>產能／時</t>
    <phoneticPr fontId="12" type="noConversion"/>
  </si>
  <si>
    <t>排名</t>
    <phoneticPr fontId="12" type="noConversion"/>
  </si>
  <si>
    <t>人數</t>
    <phoneticPr fontId="12" type="noConversion"/>
  </si>
  <si>
    <t>季節調理麵</t>
    <phoneticPr fontId="12" type="noConversion"/>
  </si>
  <si>
    <t>品群</t>
    <phoneticPr fontId="12" type="noConversion"/>
  </si>
  <si>
    <t>微波小吃</t>
    <phoneticPr fontId="12" type="noConversion"/>
  </si>
  <si>
    <t>增加線上抽秤頻率</t>
  </si>
  <si>
    <r>
      <t>（５）品群別人時生</t>
    </r>
    <r>
      <rPr>
        <b/>
        <sz val="12"/>
        <color theme="1"/>
        <rFont val="細明體"/>
        <family val="3"/>
        <charset val="136"/>
      </rPr>
      <t>產</t>
    </r>
    <r>
      <rPr>
        <b/>
        <sz val="12"/>
        <color theme="1"/>
        <rFont val="Meiryo UI"/>
        <family val="2"/>
      </rPr>
      <t>性</t>
    </r>
    <phoneticPr fontId="9"/>
  </si>
  <si>
    <t>一</t>
  </si>
  <si>
    <t>二</t>
  </si>
  <si>
    <t>三</t>
  </si>
  <si>
    <t>四</t>
  </si>
  <si>
    <t>五</t>
  </si>
  <si>
    <t>六</t>
  </si>
  <si>
    <t>日</t>
  </si>
  <si>
    <r>
      <t>月</t>
    </r>
    <r>
      <rPr>
        <sz val="11"/>
        <color rgb="FFFF0000"/>
        <rFont val="細明體"/>
        <family val="3"/>
        <charset val="136"/>
      </rPr>
      <t>平均</t>
    </r>
    <phoneticPr fontId="12" type="noConversion"/>
  </si>
  <si>
    <t>品群</t>
    <phoneticPr fontId="12" type="noConversion"/>
  </si>
  <si>
    <t>商品名稱</t>
    <phoneticPr fontId="12" type="noConversion"/>
  </si>
  <si>
    <t>計畫</t>
    <phoneticPr fontId="12" type="noConversion"/>
  </si>
  <si>
    <t>平均人時性</t>
    <phoneticPr fontId="12" type="noConversion"/>
  </si>
  <si>
    <t>實績</t>
    <phoneticPr fontId="12" type="noConversion"/>
  </si>
  <si>
    <t>排名</t>
    <phoneticPr fontId="12" type="noConversion"/>
  </si>
  <si>
    <t>日報</t>
    <phoneticPr fontId="12" type="noConversion"/>
  </si>
  <si>
    <t>實際</t>
    <phoneticPr fontId="12" type="noConversion"/>
  </si>
  <si>
    <t>產線配置圖</t>
    <phoneticPr fontId="12" type="noConversion"/>
  </si>
  <si>
    <t>生產實績</t>
    <phoneticPr fontId="12" type="noConversion"/>
  </si>
  <si>
    <t>人數</t>
    <phoneticPr fontId="12" type="noConversion"/>
  </si>
  <si>
    <t>產能／時</t>
    <phoneticPr fontId="12" type="noConversion"/>
  </si>
  <si>
    <t>人時性</t>
    <phoneticPr fontId="12" type="noConversion"/>
  </si>
  <si>
    <r>
      <rPr>
        <sz val="10"/>
        <color rgb="FF000000"/>
        <rFont val="Arial"/>
        <family val="3"/>
        <charset val="136"/>
        <scheme val="minor"/>
      </rPr>
      <t>4℃</t>
    </r>
    <r>
      <rPr>
        <sz val="10"/>
        <color rgb="FF000000"/>
        <rFont val="Arial"/>
        <family val="2"/>
        <scheme val="minor"/>
      </rPr>
      <t>-</t>
    </r>
    <r>
      <rPr>
        <sz val="10"/>
        <color rgb="FF000000"/>
        <rFont val="Arial"/>
        <family val="3"/>
        <charset val="136"/>
        <scheme val="minor"/>
      </rPr>
      <t>壽司手卷</t>
    </r>
    <phoneticPr fontId="12" type="noConversion"/>
  </si>
  <si>
    <t>便當</t>
    <phoneticPr fontId="12" type="noConversion"/>
  </si>
  <si>
    <t>季節調理麵</t>
    <phoneticPr fontId="12" type="noConversion"/>
  </si>
  <si>
    <t>微波小吃</t>
    <phoneticPr fontId="12" type="noConversion"/>
  </si>
  <si>
    <t>品群</t>
    <phoneticPr fontId="12"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</si>
  <si>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2" type="noConversion"/>
  </si>
  <si>
    <t>產線配置圖－月表</t>
    <phoneticPr fontId="12" type="noConversion"/>
  </si>
  <si>
    <t>品群</t>
    <phoneticPr fontId="12" type="noConversion"/>
  </si>
  <si>
    <t>商品名稱</t>
    <phoneticPr fontId="12" type="noConversion"/>
  </si>
  <si>
    <t>計畫</t>
    <phoneticPr fontId="12" type="noConversion"/>
  </si>
  <si>
    <t>平均人時性</t>
    <phoneticPr fontId="12" type="noConversion"/>
  </si>
  <si>
    <t>實績</t>
    <phoneticPr fontId="12" type="noConversion"/>
  </si>
  <si>
    <t>排名</t>
    <phoneticPr fontId="12" type="noConversion"/>
  </si>
  <si>
    <t>產線配置圖</t>
    <phoneticPr fontId="12" type="noConversion"/>
  </si>
  <si>
    <t>人數</t>
    <phoneticPr fontId="12" type="noConversion"/>
  </si>
  <si>
    <t>產能／時</t>
    <phoneticPr fontId="12" type="noConversion"/>
  </si>
  <si>
    <t>人時性</t>
    <phoneticPr fontId="12"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</si>
  <si>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2"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</si>
  <si>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2" type="noConversion"/>
  </si>
  <si>
    <t>產線配置圖－月表</t>
    <phoneticPr fontId="12" type="noConversion"/>
  </si>
  <si>
    <r>
      <rPr>
        <sz val="10"/>
        <color rgb="FF000000"/>
        <rFont val="Arial"/>
        <family val="3"/>
        <charset val="136"/>
        <scheme val="minor"/>
      </rPr>
      <t>4℃</t>
    </r>
    <r>
      <rPr>
        <sz val="10"/>
        <color rgb="FF000000"/>
        <rFont val="Arial"/>
        <family val="2"/>
        <scheme val="minor"/>
      </rPr>
      <t>-</t>
    </r>
    <r>
      <rPr>
        <sz val="10"/>
        <color rgb="FF000000"/>
        <rFont val="Arial"/>
        <family val="3"/>
        <charset val="136"/>
        <scheme val="minor"/>
      </rPr>
      <t>壽司手卷</t>
    </r>
    <phoneticPr fontId="12" type="noConversion"/>
  </si>
  <si>
    <t>主食</t>
    <phoneticPr fontId="12" type="noConversion"/>
  </si>
  <si>
    <t>便當</t>
    <phoneticPr fontId="12" type="noConversion"/>
  </si>
  <si>
    <t>季節調理麵</t>
    <phoneticPr fontId="12" type="noConversion"/>
  </si>
  <si>
    <t>微波小吃</t>
    <phoneticPr fontId="12" type="noConversion"/>
  </si>
  <si>
    <t>海陸雙拼肉肉餐盒</t>
  </si>
  <si>
    <t>經典鮪魚沙拉細卷</t>
  </si>
  <si>
    <t>取樣不穩</t>
  </si>
  <si>
    <t>蔬活腿排補力餐盒</t>
  </si>
  <si>
    <t>類型</t>
    <phoneticPr fontId="12" type="noConversion"/>
  </si>
  <si>
    <t>反應調配課級，追蹤三天備料狀況</t>
  </si>
  <si>
    <r>
      <t>生</t>
    </r>
    <r>
      <rPr>
        <b/>
        <sz val="20"/>
        <color rgb="FF000000"/>
        <rFont val="細明體"/>
        <family val="3"/>
        <charset val="136"/>
      </rPr>
      <t>產</t>
    </r>
    <r>
      <rPr>
        <b/>
        <sz val="20"/>
        <color rgb="FF000000"/>
        <rFont val="Meiryo UI"/>
        <family val="2"/>
      </rPr>
      <t>管理報表</t>
    </r>
    <phoneticPr fontId="12" type="noConversion"/>
  </si>
  <si>
    <t>（８）超用原因別前幾名品項</t>
    <phoneticPr fontId="12" type="noConversion"/>
  </si>
  <si>
    <t>展開量高於１０5％</t>
    <phoneticPr fontId="9"/>
  </si>
  <si>
    <r>
      <t>調理多</t>
    </r>
    <r>
      <rPr>
        <sz val="11"/>
        <color theme="1"/>
        <rFont val="Arial"/>
        <family val="3"/>
        <charset val="136"/>
      </rPr>
      <t>產</t>
    </r>
    <phoneticPr fontId="9"/>
  </si>
  <si>
    <t>製程不穩</t>
    <phoneticPr fontId="9"/>
  </si>
  <si>
    <t>取樣不穩</t>
    <phoneticPr fontId="9"/>
  </si>
  <si>
    <t>原物料規格</t>
    <phoneticPr fontId="9"/>
  </si>
  <si>
    <t>研發設定</t>
    <phoneticPr fontId="9"/>
  </si>
  <si>
    <t>其他原因</t>
    <phoneticPr fontId="9"/>
  </si>
  <si>
    <r>
      <rPr>
        <sz val="11"/>
        <color theme="1"/>
        <rFont val="細明體"/>
        <family val="3"/>
        <charset val="136"/>
      </rPr>
      <t>步</t>
    </r>
    <r>
      <rPr>
        <sz val="11"/>
        <color theme="1"/>
        <rFont val="Meiryo UI"/>
        <family val="2"/>
      </rPr>
      <t>留因素</t>
    </r>
    <phoneticPr fontId="9"/>
  </si>
  <si>
    <t>原物料大小、厚薄差異</t>
  </si>
  <si>
    <t>其他原因</t>
  </si>
  <si>
    <t>占比</t>
    <phoneticPr fontId="12" type="noConversion"/>
  </si>
  <si>
    <t>金額</t>
    <phoneticPr fontId="12" type="noConversion"/>
  </si>
  <si>
    <r>
      <rPr>
        <sz val="10"/>
        <color theme="1"/>
        <rFont val="Arial"/>
        <family val="3"/>
        <charset val="136"/>
      </rPr>
      <t>產</t>
    </r>
    <r>
      <rPr>
        <sz val="10"/>
        <color theme="1"/>
        <rFont val="Meiryo UI"/>
        <family val="2"/>
      </rPr>
      <t>能</t>
    </r>
    <phoneticPr fontId="9"/>
  </si>
  <si>
    <t>雙鬆細卷</t>
  </si>
  <si>
    <t>蕃茄起司手工千層麵(區2)</t>
  </si>
  <si>
    <t>兩粒飯糰(鮪魚.焦糖鮭魚)</t>
  </si>
  <si>
    <t>二配泰式綠咖哩雞</t>
  </si>
  <si>
    <t>香腸腿排雙拼便當</t>
  </si>
  <si>
    <t>日式蕎麥沾麵</t>
  </si>
  <si>
    <t>二配金咖哩濃厚辛口咖哩飯</t>
  </si>
  <si>
    <t>二配厚香料咖哩雞排飯</t>
  </si>
  <si>
    <t>川燙青花菜</t>
  </si>
  <si>
    <t>二配起司控培根白醬焗烤飯</t>
  </si>
  <si>
    <t>確認備料量是否正確，調整出料率</t>
  </si>
  <si>
    <t>生產前及生產中確認設定及實際出料狀況</t>
  </si>
  <si>
    <t>回饋研發，後續開發列入考量，設定放料量範圍。</t>
  </si>
  <si>
    <t>蒜炒紅K高麗菜(111年)</t>
  </si>
  <si>
    <t>增加線上抽秤頻率，維持人員放料手感</t>
  </si>
  <si>
    <t>大口起司熔岩白醬炸魚飯糰</t>
  </si>
  <si>
    <t>愛恨椒芝麵</t>
  </si>
  <si>
    <t>品群</t>
    <phoneticPr fontId="12" type="noConversion"/>
  </si>
  <si>
    <t>商品名稱</t>
    <phoneticPr fontId="12" type="noConversion"/>
  </si>
  <si>
    <t>計畫</t>
    <phoneticPr fontId="12" type="noConversion"/>
  </si>
  <si>
    <t>平均人時性</t>
    <phoneticPr fontId="12" type="noConversion"/>
  </si>
  <si>
    <t>實績</t>
    <phoneticPr fontId="12" type="noConversion"/>
  </si>
  <si>
    <t>排名</t>
    <phoneticPr fontId="12" type="noConversion"/>
  </si>
  <si>
    <t>日報</t>
    <phoneticPr fontId="12" type="noConversion"/>
  </si>
  <si>
    <t>實際</t>
    <phoneticPr fontId="12" type="noConversion"/>
  </si>
  <si>
    <t>產線配置圖</t>
    <phoneticPr fontId="12" type="noConversion"/>
  </si>
  <si>
    <t>生產實績</t>
    <phoneticPr fontId="12" type="noConversion"/>
  </si>
  <si>
    <t>人數</t>
    <phoneticPr fontId="12" type="noConversion"/>
  </si>
  <si>
    <t>產能／時</t>
    <phoneticPr fontId="12" type="noConversion"/>
  </si>
  <si>
    <t>人時性</t>
    <phoneticPr fontId="12"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</si>
  <si>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2" type="noConversion"/>
  </si>
  <si>
    <r>
      <t>4</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飯糰</t>
    </r>
    <phoneticPr fontId="12" type="noConversion"/>
  </si>
  <si>
    <t>品群</t>
  </si>
  <si>
    <t>商品名稱</t>
  </si>
  <si>
    <t>計畫</t>
  </si>
  <si>
    <t>平均人時性</t>
  </si>
  <si>
    <t>實績</t>
  </si>
  <si>
    <t>排名</t>
  </si>
  <si>
    <t>日報</t>
  </si>
  <si>
    <t>產線配置圖</t>
  </si>
  <si>
    <t>人數</t>
  </si>
  <si>
    <t>產能／時</t>
  </si>
  <si>
    <t>人時性</t>
  </si>
  <si>
    <t>品群</t>
    <phoneticPr fontId="9"/>
  </si>
  <si>
    <t>排名</t>
    <phoneticPr fontId="9"/>
  </si>
  <si>
    <t>▼1</t>
    <phoneticPr fontId="9"/>
  </si>
  <si>
    <t>▼2</t>
    <phoneticPr fontId="9"/>
  </si>
  <si>
    <t>▼3</t>
    <phoneticPr fontId="9"/>
  </si>
  <si>
    <t>▼4</t>
    <phoneticPr fontId="9"/>
  </si>
  <si>
    <t>▼5</t>
    <phoneticPr fontId="9"/>
  </si>
  <si>
    <t>品群</t>
    <phoneticPr fontId="12"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</si>
  <si>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2" type="noConversion"/>
  </si>
  <si>
    <t>品群</t>
    <phoneticPr fontId="12" type="noConversion"/>
  </si>
  <si>
    <t>平均人時性</t>
    <phoneticPr fontId="12" type="noConversion"/>
  </si>
  <si>
    <r>
      <t>18</t>
    </r>
    <r>
      <rPr>
        <sz val="10"/>
        <color rgb="FF000000"/>
        <rFont val="Arial"/>
        <family val="3"/>
        <charset val="136"/>
        <scheme val="minor"/>
      </rPr>
      <t>℃</t>
    </r>
    <r>
      <rPr>
        <sz val="10"/>
        <color rgb="FF000000"/>
        <rFont val="Arial"/>
        <family val="2"/>
        <scheme val="minor"/>
      </rPr>
      <t>-</t>
    </r>
    <r>
      <rPr>
        <sz val="10"/>
        <color rgb="FF000000"/>
        <rFont val="Arial"/>
        <family val="3"/>
        <charset val="136"/>
        <scheme val="minor"/>
      </rPr>
      <t>壽司手卷</t>
    </r>
    <phoneticPr fontId="12" type="noConversion"/>
  </si>
  <si>
    <t>壹號醬雞豚雙拼</t>
  </si>
  <si>
    <t>好多蒜燒豚飯</t>
  </si>
  <si>
    <t>烤飯糰1</t>
    <phoneticPr fontId="12" type="noConversion"/>
  </si>
  <si>
    <t>烤飯糰2</t>
    <phoneticPr fontId="12" type="noConversion"/>
  </si>
  <si>
    <t>二配川燙醃嫩化淨零碳排牛肉片</t>
  </si>
  <si>
    <t>人數</t>
    <phoneticPr fontId="9"/>
  </si>
  <si>
    <r>
      <rPr>
        <sz val="10"/>
        <color theme="1"/>
        <rFont val="Arial"/>
        <family val="3"/>
        <charset val="136"/>
      </rPr>
      <t>產</t>
    </r>
    <r>
      <rPr>
        <sz val="10"/>
        <color theme="1"/>
        <rFont val="Meiryo UI"/>
        <family val="2"/>
      </rPr>
      <t>能</t>
    </r>
    <phoneticPr fontId="9"/>
  </si>
  <si>
    <r>
      <t>人時生</t>
    </r>
    <r>
      <rPr>
        <sz val="10"/>
        <color theme="1"/>
        <rFont val="Arial"/>
        <family val="3"/>
        <charset val="136"/>
      </rPr>
      <t>產</t>
    </r>
    <r>
      <rPr>
        <sz val="10"/>
        <color theme="1"/>
        <rFont val="Meiryo UI"/>
        <family val="2"/>
      </rPr>
      <t>性</t>
    </r>
    <phoneticPr fontId="9"/>
  </si>
  <si>
    <t>前週比</t>
    <phoneticPr fontId="12" type="noConversion"/>
  </si>
  <si>
    <t>主要原因&amp;對策</t>
    <phoneticPr fontId="9"/>
  </si>
  <si>
    <r>
      <rPr>
        <sz val="10"/>
        <color theme="1"/>
        <rFont val="Arial"/>
        <family val="3"/>
        <charset val="136"/>
      </rPr>
      <t>產</t>
    </r>
    <r>
      <rPr>
        <sz val="10"/>
        <color theme="1"/>
        <rFont val="Meiryo UI"/>
        <family val="2"/>
      </rPr>
      <t>能</t>
    </r>
    <phoneticPr fontId="9"/>
  </si>
  <si>
    <r>
      <t>人時生</t>
    </r>
    <r>
      <rPr>
        <sz val="10"/>
        <color theme="1"/>
        <rFont val="Arial"/>
        <family val="3"/>
        <charset val="136"/>
      </rPr>
      <t>產</t>
    </r>
    <r>
      <rPr>
        <sz val="10"/>
        <color theme="1"/>
        <rFont val="Meiryo UI"/>
        <family val="2"/>
      </rPr>
      <t>性</t>
    </r>
    <phoneticPr fontId="9"/>
  </si>
  <si>
    <t>前週比</t>
    <phoneticPr fontId="12" type="noConversion"/>
  </si>
  <si>
    <t>排名</t>
    <phoneticPr fontId="12" type="noConversion"/>
  </si>
  <si>
    <t>半成品結凍強度影響擠醬機出料量</t>
  </si>
  <si>
    <t>菜梗、葉差異及均勻度，影響人員放料手感</t>
  </si>
  <si>
    <t>好吃雞肉便當</t>
  </si>
  <si>
    <t>媽媽煮藝-鹹酥雞</t>
  </si>
  <si>
    <t>蟹味可樂餅風炸飯糰</t>
  </si>
  <si>
    <t>贅沢鮭魚肚飯糰</t>
  </si>
  <si>
    <t>熟成紅鮭飯糰</t>
  </si>
  <si>
    <t>碳烤燒肉飯飯糰(區)</t>
  </si>
  <si>
    <t>二配芝麻香鬆飯糰</t>
  </si>
  <si>
    <t>二配三杯醬爆菇菇飯糰</t>
  </si>
  <si>
    <t>二配大飯糰韓式蒜烤豬五花</t>
  </si>
  <si>
    <t>鮭魚奶油醬油飯糰</t>
  </si>
  <si>
    <t>煙燻培根飯糰(區)</t>
  </si>
  <si>
    <t>長野稻荷壽司</t>
  </si>
  <si>
    <t>大口歐風焙煎咖哩漢堡排飯糰</t>
  </si>
  <si>
    <t>二配香辣醬蒜味香腸蛋炒飯</t>
  </si>
  <si>
    <t>二配里肌豬排可可咖哩歐姆蛋飯</t>
  </si>
  <si>
    <t>二配黃金雞排蘑菇白醬歐姆蛋飯</t>
  </si>
  <si>
    <t>二配美味蟹煲</t>
  </si>
  <si>
    <t>二配失控起司薯餅焗飯</t>
  </si>
  <si>
    <t>二配鮭魚蛋炒飯</t>
  </si>
  <si>
    <t>二配鐵板豆腐燴蛋蓋飯</t>
  </si>
  <si>
    <t>日式中濃醬炭火漢堡排飯</t>
  </si>
  <si>
    <t>賣相要求</t>
  </si>
  <si>
    <t>媽媽煮藝-香滷牛肚絲</t>
  </si>
  <si>
    <t>1.農產品原物料大小重量差異，造成放料差。2.原物料個體重量差異造成放料重量的差異，有多一個超用，少一個不足重的狀況。未降低因半成品不足的補單工時而有提高展開量。</t>
  </si>
  <si>
    <t>1.反應研發單位半成品狀況。2.協調研發單位下次有同類型商品放料量設定使用範圍值。</t>
  </si>
  <si>
    <t>二配鮮蝦旬彩炊飯飯糰</t>
  </si>
  <si>
    <t>壹號醬壽喜燒牛丼</t>
  </si>
  <si>
    <t>炒壽喜燒牛五花</t>
  </si>
  <si>
    <t>原物料的大小、長短差異導致取樣易有不穩定的狀況</t>
  </si>
  <si>
    <t>原物料的大小長短、油花分布不同導致相同賣相的需求下用量不一樣。</t>
  </si>
  <si>
    <t>韓式泡菜豬肉豆腐丼飯</t>
  </si>
  <si>
    <t>炒韓式燒肉(115年)</t>
  </si>
  <si>
    <t>二配溏心蛋五目飯糰</t>
  </si>
  <si>
    <t>人數</t>
    <phoneticPr fontId="9"/>
  </si>
  <si>
    <r>
      <rPr>
        <sz val="10"/>
        <color theme="1"/>
        <rFont val="Arial"/>
        <family val="3"/>
        <charset val="136"/>
      </rPr>
      <t>產</t>
    </r>
    <r>
      <rPr>
        <sz val="10"/>
        <color theme="1"/>
        <rFont val="Meiryo UI"/>
        <family val="2"/>
      </rPr>
      <t>能</t>
    </r>
    <phoneticPr fontId="9"/>
  </si>
  <si>
    <r>
      <t>人時生</t>
    </r>
    <r>
      <rPr>
        <sz val="10"/>
        <color theme="1"/>
        <rFont val="Arial"/>
        <family val="3"/>
        <charset val="136"/>
      </rPr>
      <t>產</t>
    </r>
    <r>
      <rPr>
        <sz val="10"/>
        <color theme="1"/>
        <rFont val="Meiryo UI"/>
        <family val="2"/>
      </rPr>
      <t>性</t>
    </r>
    <phoneticPr fontId="9"/>
  </si>
  <si>
    <t>前週比</t>
    <phoneticPr fontId="12" type="noConversion"/>
  </si>
  <si>
    <t>主要原因&amp;對策</t>
    <phoneticPr fontId="9"/>
  </si>
  <si>
    <t>香檸奶油魚排蔬滿盒</t>
  </si>
  <si>
    <t>冰杓放料，冰杓滿度差異、半成品均勻度影響放料量</t>
  </si>
  <si>
    <t>半成品使用前先攪拌均勻。生產前及生產中確認設定及實際放料狀況</t>
  </si>
  <si>
    <t/>
  </si>
  <si>
    <t>Q彈燕麥飯</t>
  </si>
  <si>
    <t>二配鹽水G絲飯糰</t>
  </si>
  <si>
    <t>炸醬炒泡麵</t>
  </si>
  <si>
    <t>鐵道滷排便當</t>
  </si>
  <si>
    <t>單價高</t>
  </si>
  <si>
    <t>韓式黑嚕嚕炸醬麵</t>
  </si>
  <si>
    <t>煮黑嚕嚕炸醬</t>
  </si>
  <si>
    <t>柚檸海灣貝飯糰</t>
  </si>
  <si>
    <t>山葵生鮪魚泥脆卷</t>
  </si>
  <si>
    <t>粉絲煲湯凍</t>
  </si>
  <si>
    <t>鹽蔥生鮭飯糰</t>
  </si>
  <si>
    <t>鮭鮪海饌雙手卷</t>
  </si>
  <si>
    <t>經典人氣雙手卷</t>
  </si>
  <si>
    <t>和風涓絲冷麵</t>
  </si>
  <si>
    <t>二配蔥爆牛肉燴飯</t>
  </si>
  <si>
    <t>二配炒蔥爆牛肉</t>
  </si>
  <si>
    <t>蔥蔥玉子拌麵</t>
  </si>
  <si>
    <t>煮無敵家日式肉燥</t>
  </si>
  <si>
    <t>二配炒綠咖哩腿肉片</t>
  </si>
  <si>
    <t>山葵章魚飯糰</t>
  </si>
  <si>
    <t>拌芥末章魚</t>
  </si>
  <si>
    <t>煮無敵家拌麵醬</t>
  </si>
  <si>
    <t>備料異常</t>
  </si>
  <si>
    <t>反應調理課級，連續抽秤備料量是Z否</t>
  </si>
  <si>
    <t>二配打拋風味豆腐飯</t>
  </si>
  <si>
    <t>二配炒鹽蔥段</t>
  </si>
  <si>
    <t>滿滿高麗菜豆芽鐵板麵</t>
  </si>
  <si>
    <t>鐵板牛套餐包手卷</t>
  </si>
  <si>
    <t>切-炙燒台式牛五花</t>
  </si>
  <si>
    <t>18切烤千層麵</t>
  </si>
  <si>
    <t>炒大埔高麗菜</t>
  </si>
  <si>
    <t>醬油生鮭脆卷</t>
  </si>
  <si>
    <t>二配泰式椰香綠咖哩醬</t>
  </si>
  <si>
    <t>韓式燒肉拌飯</t>
  </si>
  <si>
    <t>連續式生產放料量易有差異</t>
  </si>
  <si>
    <t>調整放樣方式，與生產的方式相同</t>
  </si>
  <si>
    <t>二配兩粒飯糰(鮪魚.焦糖鮭魚)</t>
  </si>
  <si>
    <t>鰹魚烏龍冷麵</t>
  </si>
  <si>
    <t>蕃茄起司手工千層麵(區)</t>
  </si>
  <si>
    <r>
      <t>（７）</t>
    </r>
    <r>
      <rPr>
        <b/>
        <sz val="12"/>
        <color rgb="FF000000"/>
        <rFont val="Meiryo UI"/>
        <family val="2"/>
      </rPr>
      <t>原因別分析</t>
    </r>
    <phoneticPr fontId="12" type="noConversion"/>
  </si>
  <si>
    <t>二配炒解凍11N培根片</t>
  </si>
  <si>
    <t>炒泡菜黃豆芽</t>
  </si>
  <si>
    <t>切-究極燒肉片</t>
  </si>
  <si>
    <t>炒炸醬炒泡麵</t>
  </si>
  <si>
    <t>二配蒸果香甘口咖哩腿丁</t>
  </si>
  <si>
    <t>煌輝洋蔥絲</t>
  </si>
  <si>
    <t>烏龍冷麵(113年)</t>
  </si>
  <si>
    <t>%</t>
  </si>
  <si>
    <t>元</t>
  </si>
  <si>
    <t>展開量高於需求量</t>
  </si>
  <si>
    <r>
      <t>調理多</t>
    </r>
    <r>
      <rPr>
        <sz val="12"/>
        <color theme="1"/>
        <rFont val="微軟正黑體"/>
        <family val="2"/>
        <charset val="136"/>
      </rPr>
      <t>產</t>
    </r>
  </si>
  <si>
    <t>百分比</t>
  </si>
  <si>
    <t>加熱時間長短影響最終出料量</t>
  </si>
  <si>
    <t>中心溫度達設定標準後，穩定加熱時間</t>
  </si>
  <si>
    <t>二配炒鹽洋蔥絲</t>
  </si>
  <si>
    <t>炒大埔豆芽菜</t>
  </si>
  <si>
    <t>豆芽菜的長短及豆芽菜取樣時會有相互勾結的情況會影響人員放料的手感</t>
  </si>
  <si>
    <t>半成品容易糾纏，影響放料手感，避免扯斷麵體增加放料量</t>
  </si>
  <si>
    <r>
      <t>報廢前</t>
    </r>
    <r>
      <rPr>
        <b/>
        <sz val="16"/>
        <color rgb="FF000000"/>
        <rFont val="Meiryo UI"/>
        <family val="2"/>
      </rPr>
      <t>二十名紀</t>
    </r>
    <r>
      <rPr>
        <b/>
        <sz val="16"/>
        <color rgb="FF000000"/>
        <rFont val="細明體"/>
        <family val="3"/>
        <charset val="136"/>
      </rPr>
      <t>錄</t>
    </r>
    <r>
      <rPr>
        <b/>
        <sz val="16"/>
        <color rgb="FF000000"/>
        <rFont val="Meiryo UI"/>
        <family val="2"/>
      </rPr>
      <t>表</t>
    </r>
    <phoneticPr fontId="12" type="noConversion"/>
  </si>
  <si>
    <t>月別</t>
    <phoneticPr fontId="12" type="noConversion"/>
  </si>
  <si>
    <t>排序</t>
    <phoneticPr fontId="12" type="noConversion"/>
  </si>
  <si>
    <t>半成品名稱</t>
    <phoneticPr fontId="12" type="noConversion"/>
  </si>
  <si>
    <t>報廢金額
(元)</t>
    <phoneticPr fontId="12" type="noConversion"/>
  </si>
  <si>
    <t>半成品單價
(元/kg)</t>
    <phoneticPr fontId="12" type="noConversion"/>
  </si>
  <si>
    <r>
      <t>訂單需求
(kg/</t>
    </r>
    <r>
      <rPr>
        <sz val="12"/>
        <color theme="1"/>
        <rFont val="Meiryo UI"/>
        <family val="2"/>
      </rPr>
      <t>個)</t>
    </r>
    <phoneticPr fontId="12" type="noConversion"/>
  </si>
  <si>
    <t>生管展開</t>
    <phoneticPr fontId="12" type="noConversion"/>
  </si>
  <si>
    <r>
      <t>生</t>
    </r>
    <r>
      <rPr>
        <sz val="12"/>
        <rFont val="細明體"/>
        <family val="3"/>
        <charset val="136"/>
      </rPr>
      <t>產</t>
    </r>
    <r>
      <rPr>
        <sz val="12"/>
        <rFont val="Meiryo UI"/>
        <family val="2"/>
      </rPr>
      <t>實際</t>
    </r>
    <r>
      <rPr>
        <sz val="12"/>
        <rFont val="細明體"/>
        <family val="3"/>
        <charset val="136"/>
      </rPr>
      <t>產</t>
    </r>
    <r>
      <rPr>
        <sz val="12"/>
        <rFont val="Meiryo UI"/>
        <family val="2"/>
      </rPr>
      <t>出</t>
    </r>
    <phoneticPr fontId="12" type="noConversion"/>
  </si>
  <si>
    <r>
      <t>生</t>
    </r>
    <r>
      <rPr>
        <sz val="12"/>
        <rFont val="細明體"/>
        <family val="3"/>
        <charset val="136"/>
      </rPr>
      <t>產</t>
    </r>
    <r>
      <rPr>
        <sz val="12"/>
        <rFont val="Meiryo UI"/>
        <family val="2"/>
      </rPr>
      <t>補單</t>
    </r>
    <phoneticPr fontId="12" type="noConversion"/>
  </si>
  <si>
    <r>
      <t>總</t>
    </r>
    <r>
      <rPr>
        <sz val="12"/>
        <rFont val="細明體"/>
        <family val="3"/>
        <charset val="136"/>
      </rPr>
      <t>產</t>
    </r>
    <r>
      <rPr>
        <sz val="12"/>
        <rFont val="Meiryo UI"/>
        <family val="2"/>
      </rPr>
      <t>出</t>
    </r>
    <phoneticPr fontId="12" type="noConversion"/>
  </si>
  <si>
    <t>報廢</t>
    <phoneticPr fontId="12" type="noConversion"/>
  </si>
  <si>
    <t>超用</t>
    <phoneticPr fontId="12" type="noConversion"/>
  </si>
  <si>
    <t>分析原因</t>
    <phoneticPr fontId="12" type="noConversion"/>
  </si>
  <si>
    <r>
      <t>原因</t>
    </r>
    <r>
      <rPr>
        <sz val="12"/>
        <color theme="1"/>
        <rFont val="細明體"/>
        <family val="3"/>
        <charset val="136"/>
      </rPr>
      <t>說</t>
    </r>
    <r>
      <rPr>
        <sz val="12"/>
        <color theme="1"/>
        <rFont val="Meiryo UI"/>
        <family val="2"/>
      </rPr>
      <t>明</t>
    </r>
    <phoneticPr fontId="12" type="noConversion"/>
  </si>
  <si>
    <t>後續對策</t>
    <phoneticPr fontId="12" type="noConversion"/>
  </si>
  <si>
    <t>次數</t>
    <phoneticPr fontId="12" type="noConversion"/>
  </si>
  <si>
    <t>分析原因（件）</t>
    <phoneticPr fontId="12" type="noConversion"/>
  </si>
  <si>
    <r>
      <t>kg/</t>
    </r>
    <r>
      <rPr>
        <sz val="12"/>
        <color theme="1"/>
        <rFont val="Meiryo UI"/>
        <family val="2"/>
      </rPr>
      <t>個</t>
    </r>
    <phoneticPr fontId="12" type="noConversion"/>
  </si>
  <si>
    <t>0505-0511</t>
    <phoneticPr fontId="12" type="noConversion"/>
  </si>
  <si>
    <t>總件數</t>
    <phoneticPr fontId="12" type="noConversion"/>
  </si>
  <si>
    <r>
      <rPr>
        <b/>
        <sz val="16"/>
        <color rgb="FF000000"/>
        <rFont val="Meiryo UI"/>
        <family val="2"/>
      </rPr>
      <t>超用前二十名紀</t>
    </r>
    <r>
      <rPr>
        <b/>
        <sz val="16"/>
        <color rgb="FF000000"/>
        <rFont val="細明體"/>
        <family val="3"/>
        <charset val="136"/>
      </rPr>
      <t>錄</t>
    </r>
    <r>
      <rPr>
        <b/>
        <sz val="16"/>
        <color rgb="FF000000"/>
        <rFont val="Meiryo UI"/>
        <family val="2"/>
      </rPr>
      <t>表</t>
    </r>
    <phoneticPr fontId="12" type="noConversion"/>
  </si>
  <si>
    <t>排序</t>
    <phoneticPr fontId="12" type="noConversion"/>
  </si>
  <si>
    <t>半成品名稱</t>
    <phoneticPr fontId="12" type="noConversion"/>
  </si>
  <si>
    <r>
      <rPr>
        <sz val="12"/>
        <color theme="1"/>
        <rFont val="Meiryo UI"/>
        <family val="2"/>
      </rPr>
      <t>超用金額
(元)</t>
    </r>
    <phoneticPr fontId="12" type="noConversion"/>
  </si>
  <si>
    <t>半成品單價
(元/kg)</t>
    <phoneticPr fontId="12" type="noConversion"/>
  </si>
  <si>
    <r>
      <t>訂單需求
(kg/</t>
    </r>
    <r>
      <rPr>
        <sz val="12"/>
        <color theme="1"/>
        <rFont val="Meiryo UI"/>
        <family val="2"/>
      </rPr>
      <t>個)</t>
    </r>
    <phoneticPr fontId="12" type="noConversion"/>
  </si>
  <si>
    <t>生管展開</t>
    <phoneticPr fontId="12" type="noConversion"/>
  </si>
  <si>
    <r>
      <t>生</t>
    </r>
    <r>
      <rPr>
        <sz val="12"/>
        <rFont val="細明體"/>
        <family val="3"/>
        <charset val="136"/>
      </rPr>
      <t>產</t>
    </r>
    <r>
      <rPr>
        <sz val="12"/>
        <rFont val="Meiryo UI"/>
        <family val="2"/>
      </rPr>
      <t>實際</t>
    </r>
    <r>
      <rPr>
        <sz val="12"/>
        <rFont val="細明體"/>
        <family val="3"/>
        <charset val="136"/>
      </rPr>
      <t>產</t>
    </r>
    <r>
      <rPr>
        <sz val="12"/>
        <rFont val="Meiryo UI"/>
        <family val="2"/>
      </rPr>
      <t>出</t>
    </r>
    <phoneticPr fontId="12" type="noConversion"/>
  </si>
  <si>
    <r>
      <t>生</t>
    </r>
    <r>
      <rPr>
        <sz val="12"/>
        <rFont val="細明體"/>
        <family val="3"/>
        <charset val="136"/>
      </rPr>
      <t>產</t>
    </r>
    <r>
      <rPr>
        <sz val="12"/>
        <rFont val="Meiryo UI"/>
        <family val="2"/>
      </rPr>
      <t>補單</t>
    </r>
    <phoneticPr fontId="12" type="noConversion"/>
  </si>
  <si>
    <r>
      <t>總</t>
    </r>
    <r>
      <rPr>
        <sz val="12"/>
        <rFont val="細明體"/>
        <family val="3"/>
        <charset val="136"/>
      </rPr>
      <t>產</t>
    </r>
    <r>
      <rPr>
        <sz val="12"/>
        <rFont val="Meiryo UI"/>
        <family val="2"/>
      </rPr>
      <t>出</t>
    </r>
    <phoneticPr fontId="12" type="noConversion"/>
  </si>
  <si>
    <t>報廢</t>
    <phoneticPr fontId="12" type="noConversion"/>
  </si>
  <si>
    <t>超用</t>
    <phoneticPr fontId="12" type="noConversion"/>
  </si>
  <si>
    <t>分析原因</t>
    <phoneticPr fontId="12" type="noConversion"/>
  </si>
  <si>
    <r>
      <t>原因</t>
    </r>
    <r>
      <rPr>
        <sz val="12"/>
        <color theme="1"/>
        <rFont val="細明體"/>
        <family val="3"/>
        <charset val="136"/>
      </rPr>
      <t>說</t>
    </r>
    <r>
      <rPr>
        <sz val="12"/>
        <color theme="1"/>
        <rFont val="Meiryo UI"/>
        <family val="2"/>
      </rPr>
      <t>明</t>
    </r>
    <phoneticPr fontId="12" type="noConversion"/>
  </si>
  <si>
    <t>後續對策</t>
    <phoneticPr fontId="12" type="noConversion"/>
  </si>
  <si>
    <t>次數</t>
    <phoneticPr fontId="12" type="noConversion"/>
  </si>
  <si>
    <t>分析原因（件）</t>
    <phoneticPr fontId="12" type="noConversion"/>
  </si>
  <si>
    <r>
      <rPr>
        <sz val="12"/>
        <color theme="1"/>
        <rFont val="Meiryo UI"/>
        <family val="2"/>
      </rPr>
      <t>超用金額
(元)</t>
    </r>
    <phoneticPr fontId="12" type="noConversion"/>
  </si>
  <si>
    <t>晉欣廠半成品管理日別總表</t>
    <phoneticPr fontId="12" type="noConversion"/>
  </si>
  <si>
    <r>
      <t>5</t>
    </r>
    <r>
      <rPr>
        <b/>
        <sz val="18"/>
        <color theme="1"/>
        <rFont val="微軟正黑體"/>
        <family val="2"/>
        <charset val="136"/>
      </rPr>
      <t>月總報廢合計</t>
    </r>
    <phoneticPr fontId="12" type="noConversion"/>
  </si>
  <si>
    <r>
      <t>5</t>
    </r>
    <r>
      <rPr>
        <b/>
        <sz val="18"/>
        <color theme="1"/>
        <rFont val="微軟正黑體"/>
        <family val="2"/>
        <charset val="136"/>
      </rPr>
      <t>月總報廢率</t>
    </r>
    <phoneticPr fontId="12" type="noConversion"/>
  </si>
  <si>
    <r>
      <t>5</t>
    </r>
    <r>
      <rPr>
        <b/>
        <sz val="18"/>
        <color theme="1"/>
        <rFont val="微軟正黑體"/>
        <family val="2"/>
        <charset val="136"/>
      </rPr>
      <t>月總超用合計</t>
    </r>
    <phoneticPr fontId="12" type="noConversion"/>
  </si>
  <si>
    <r>
      <t>5</t>
    </r>
    <r>
      <rPr>
        <b/>
        <sz val="18"/>
        <color theme="1"/>
        <rFont val="微軟正黑體"/>
        <family val="2"/>
        <charset val="136"/>
      </rPr>
      <t>月總超用率</t>
    </r>
    <phoneticPr fontId="12" type="noConversion"/>
  </si>
  <si>
    <r>
      <rPr>
        <b/>
        <sz val="16"/>
        <color theme="1"/>
        <rFont val="微軟正黑體"/>
        <family val="2"/>
        <charset val="136"/>
      </rPr>
      <t>日期</t>
    </r>
    <phoneticPr fontId="83" type="noConversion"/>
  </si>
  <si>
    <r>
      <rPr>
        <b/>
        <sz val="16"/>
        <color theme="1"/>
        <rFont val="微軟正黑體"/>
        <family val="2"/>
        <charset val="136"/>
      </rPr>
      <t>營業額</t>
    </r>
    <phoneticPr fontId="12" type="noConversion"/>
  </si>
  <si>
    <r>
      <rPr>
        <b/>
        <sz val="16"/>
        <color theme="1"/>
        <rFont val="微軟正黑體"/>
        <family val="2"/>
        <charset val="136"/>
      </rPr>
      <t>報廢額</t>
    </r>
    <phoneticPr fontId="83" type="noConversion"/>
  </si>
  <si>
    <r>
      <rPr>
        <b/>
        <sz val="16"/>
        <color theme="1"/>
        <rFont val="微軟正黑體"/>
        <family val="2"/>
        <charset val="136"/>
      </rPr>
      <t xml:space="preserve">報廢率
</t>
    </r>
    <r>
      <rPr>
        <b/>
        <sz val="16"/>
        <color theme="1"/>
        <rFont val="Noto Sans CJK SC"/>
        <family val="2"/>
      </rPr>
      <t xml:space="preserve">KPI </t>
    </r>
    <r>
      <rPr>
        <b/>
        <sz val="16"/>
        <color rgb="FFFF0000"/>
        <rFont val="Noto Sans CJK SC"/>
        <family val="2"/>
      </rPr>
      <t>0.25%</t>
    </r>
    <phoneticPr fontId="12" type="noConversion"/>
  </si>
  <si>
    <r>
      <rPr>
        <b/>
        <sz val="16"/>
        <color theme="1"/>
        <rFont val="微軟正黑體"/>
        <family val="2"/>
        <charset val="136"/>
      </rPr>
      <t>超用額</t>
    </r>
    <phoneticPr fontId="83" type="noConversion"/>
  </si>
  <si>
    <r>
      <rPr>
        <b/>
        <sz val="16"/>
        <color theme="1"/>
        <rFont val="微軟正黑體"/>
        <family val="2"/>
        <charset val="136"/>
      </rPr>
      <t>超用率</t>
    </r>
    <phoneticPr fontId="12" type="noConversion"/>
  </si>
  <si>
    <t>營業額合計</t>
    <phoneticPr fontId="12" type="noConversion"/>
  </si>
  <si>
    <r>
      <rPr>
        <b/>
        <sz val="16"/>
        <color rgb="FF000000"/>
        <rFont val="微軟正黑體"/>
        <family val="2"/>
        <charset val="136"/>
      </rPr>
      <t>廢棄週合計</t>
    </r>
    <phoneticPr fontId="12" type="noConversion"/>
  </si>
  <si>
    <r>
      <rPr>
        <b/>
        <sz val="16"/>
        <color rgb="FF000000"/>
        <rFont val="微軟正黑體"/>
        <family val="2"/>
        <charset val="136"/>
      </rPr>
      <t>超用週合計</t>
    </r>
    <phoneticPr fontId="12" type="noConversion"/>
  </si>
  <si>
    <r>
      <rPr>
        <sz val="14"/>
        <rFont val="微軟正黑體"/>
        <family val="2"/>
        <charset val="136"/>
      </rPr>
      <t>營業額合計</t>
    </r>
    <phoneticPr fontId="83" type="noConversion"/>
  </si>
  <si>
    <t>W2</t>
    <phoneticPr fontId="12" type="noConversion"/>
  </si>
  <si>
    <t>業績金額</t>
    <phoneticPr fontId="12" type="noConversion"/>
  </si>
  <si>
    <t>5/12-5/18</t>
    <phoneticPr fontId="12" type="noConversion"/>
  </si>
  <si>
    <r>
      <t>前</t>
    </r>
    <r>
      <rPr>
        <b/>
        <sz val="10"/>
        <color rgb="FFFF0000"/>
        <rFont val="Meiryo UI"/>
        <family val="2"/>
        <charset val="128"/>
      </rPr>
      <t>20名</t>
    </r>
    <r>
      <rPr>
        <sz val="10"/>
        <color rgb="FF000000"/>
        <rFont val="Meiryo UI"/>
        <family val="2"/>
        <charset val="128"/>
      </rPr>
      <t>原因分析</t>
    </r>
    <phoneticPr fontId="12" type="noConversion"/>
  </si>
  <si>
    <t>項目</t>
    <phoneticPr fontId="12" type="noConversion"/>
  </si>
  <si>
    <t>展開量高於需求量</t>
    <phoneticPr fontId="9"/>
  </si>
  <si>
    <r>
      <t>調理多</t>
    </r>
    <r>
      <rPr>
        <b/>
        <sz val="14"/>
        <color theme="1"/>
        <rFont val="Arial"/>
        <family val="3"/>
        <charset val="136"/>
      </rPr>
      <t>產</t>
    </r>
    <phoneticPr fontId="9"/>
  </si>
  <si>
    <t>製程不穩</t>
    <phoneticPr fontId="9"/>
  </si>
  <si>
    <t>取樣不穩</t>
    <phoneticPr fontId="9"/>
  </si>
  <si>
    <t>原物料規格</t>
    <phoneticPr fontId="9"/>
  </si>
  <si>
    <t>研發設定</t>
    <phoneticPr fontId="9"/>
  </si>
  <si>
    <t>其他原因</t>
    <phoneticPr fontId="9"/>
  </si>
  <si>
    <t>比例</t>
    <phoneticPr fontId="9"/>
  </si>
  <si>
    <t>報廢</t>
    <phoneticPr fontId="9"/>
  </si>
  <si>
    <t>超用</t>
    <phoneticPr fontId="9"/>
  </si>
  <si>
    <t>類型</t>
    <phoneticPr fontId="12" type="noConversion"/>
  </si>
  <si>
    <t>排名</t>
    <phoneticPr fontId="9"/>
  </si>
  <si>
    <t>半成品名</t>
    <phoneticPr fontId="9"/>
  </si>
  <si>
    <t>單價</t>
    <phoneticPr fontId="9"/>
  </si>
  <si>
    <t>報廢率</t>
    <phoneticPr fontId="9"/>
  </si>
  <si>
    <t>數量</t>
    <phoneticPr fontId="9"/>
  </si>
  <si>
    <t>前月比</t>
    <phoneticPr fontId="12" type="noConversion"/>
  </si>
  <si>
    <t>主要原因&amp;對策</t>
    <phoneticPr fontId="9"/>
  </si>
  <si>
    <t>展開量高於需求量</t>
    <phoneticPr fontId="12" type="noConversion"/>
  </si>
  <si>
    <t>前幾名合計比例</t>
    <phoneticPr fontId="9"/>
  </si>
  <si>
    <t>前幾名合計金額</t>
    <phoneticPr fontId="9"/>
  </si>
  <si>
    <r>
      <t>調理多</t>
    </r>
    <r>
      <rPr>
        <sz val="10"/>
        <color rgb="FF000000"/>
        <rFont val="Arial"/>
        <family val="3"/>
        <charset val="136"/>
      </rPr>
      <t>產</t>
    </r>
    <phoneticPr fontId="12" type="noConversion"/>
  </si>
  <si>
    <t>蒜炒洋菇片(115年)</t>
  </si>
  <si>
    <t>炙燒焦糖培根</t>
  </si>
  <si>
    <t>製程不穩</t>
    <phoneticPr fontId="12" type="noConversion"/>
  </si>
  <si>
    <t>韓式辣醬</t>
  </si>
  <si>
    <t>確認備料量是否正確，調整出料率</t>
    <phoneticPr fontId="12" type="noConversion"/>
  </si>
  <si>
    <t>增加放料抽秤頻率</t>
    <phoneticPr fontId="12" type="noConversion"/>
  </si>
  <si>
    <t>烤照燒雞腿丁</t>
  </si>
  <si>
    <t>其他原因</t>
    <phoneticPr fontId="12" type="noConversion"/>
  </si>
  <si>
    <t>製程報廢</t>
    <phoneticPr fontId="12" type="noConversion"/>
  </si>
  <si>
    <t>二配蒸鼎泰豐香辣醬</t>
  </si>
  <si>
    <t>解凍-醬油漬鮭魚卵</t>
  </si>
  <si>
    <t>二配北海道秋鮭親子飯糰</t>
  </si>
  <si>
    <t>二配解凍-醬油漬鮭魚卵</t>
  </si>
  <si>
    <t>超用率</t>
    <phoneticPr fontId="9"/>
  </si>
  <si>
    <t>蒜炒紅K油菜</t>
  </si>
  <si>
    <t>賣相設定</t>
    <phoneticPr fontId="12" type="noConversion"/>
  </si>
  <si>
    <t>賣相設定</t>
  </si>
  <si>
    <t>單價高</t>
    <phoneticPr fontId="12" type="noConversion"/>
  </si>
  <si>
    <t>製程報廢</t>
  </si>
  <si>
    <t>0512-0518</t>
    <phoneticPr fontId="12" type="noConversion"/>
  </si>
  <si>
    <t>單價高，少量超用就會有高額的超用金額。</t>
    <phoneticPr fontId="12" type="noConversion"/>
  </si>
  <si>
    <r>
      <t>調整放樣方式，與生</t>
    </r>
    <r>
      <rPr>
        <sz val="12"/>
        <color theme="1"/>
        <rFont val="細明體"/>
        <family val="3"/>
        <charset val="136"/>
      </rPr>
      <t>產</t>
    </r>
    <r>
      <rPr>
        <sz val="12"/>
        <color theme="1"/>
        <rFont val="Meiryo UI"/>
        <family val="2"/>
      </rPr>
      <t>的方</t>
    </r>
    <r>
      <rPr>
        <sz val="12"/>
        <color theme="1"/>
        <rFont val="細明體"/>
        <family val="3"/>
        <charset val="136"/>
      </rPr>
      <t>向</t>
    </r>
    <r>
      <rPr>
        <sz val="12"/>
        <color theme="1"/>
        <rFont val="Meiryo UI"/>
        <family val="2"/>
      </rPr>
      <t>相同</t>
    </r>
    <phoneticPr fontId="12" type="noConversion"/>
  </si>
  <si>
    <r>
      <t>糖鹽度檢測差異，導致最終出料量有</t>
    </r>
    <r>
      <rPr>
        <sz val="12"/>
        <color theme="1"/>
        <rFont val="細明體"/>
        <family val="3"/>
        <charset val="136"/>
      </rPr>
      <t>多，協調增加用量</t>
    </r>
    <phoneticPr fontId="12" type="noConversion"/>
  </si>
  <si>
    <t>回饋調理課級，盡量以中限作為基準，減少出料量的差異</t>
  </si>
  <si>
    <r>
      <t>製程</t>
    </r>
    <r>
      <rPr>
        <sz val="12"/>
        <color theme="1"/>
        <rFont val="細明體"/>
        <family val="3"/>
        <charset val="136"/>
      </rPr>
      <t>產量多，協調增加用量</t>
    </r>
    <phoneticPr fontId="12" type="noConversion"/>
  </si>
  <si>
    <t>回饋研發，後續開發列入考量。</t>
  </si>
  <si>
    <t>單價高，少量超用就會有高額的超用金額。</t>
  </si>
  <si>
    <t>炙烤雞腿丁(113年)</t>
  </si>
  <si>
    <t>日式炙烤親子丼</t>
  </si>
  <si>
    <t>小黃瓜絲</t>
  </si>
  <si>
    <t>組裝放料時，半成品會沾黏在手上，導致放料異常</t>
    <phoneticPr fontId="12" type="noConversion"/>
  </si>
  <si>
    <t>黑胡椒洋蔥豬飯糰</t>
  </si>
  <si>
    <t>二配香烤魚排青醬燉飯</t>
  </si>
  <si>
    <t>懷舊滷雙拼便當</t>
  </si>
  <si>
    <t>黑胡椒毛豆</t>
  </si>
  <si>
    <t>毛豆三兄弟</t>
  </si>
  <si>
    <t>▲</t>
    <phoneticPr fontId="12" type="noConversion"/>
  </si>
  <si>
    <t>對比上週差異小</t>
    <phoneticPr fontId="12" type="noConversion"/>
  </si>
  <si>
    <t>▼</t>
    <phoneticPr fontId="12" type="noConversion"/>
  </si>
  <si>
    <t>－</t>
    <phoneticPr fontId="12" type="noConversion"/>
  </si>
  <si>
    <t>人數</t>
    <phoneticPr fontId="9"/>
  </si>
  <si>
    <r>
      <rPr>
        <sz val="10"/>
        <color theme="1"/>
        <rFont val="Arial"/>
        <family val="3"/>
        <charset val="136"/>
      </rPr>
      <t>產</t>
    </r>
    <r>
      <rPr>
        <sz val="10"/>
        <color theme="1"/>
        <rFont val="Meiryo UI"/>
        <family val="2"/>
      </rPr>
      <t>能</t>
    </r>
    <phoneticPr fontId="9"/>
  </si>
  <si>
    <r>
      <t>人時生</t>
    </r>
    <r>
      <rPr>
        <sz val="10"/>
        <color theme="1"/>
        <rFont val="Arial"/>
        <family val="3"/>
        <charset val="136"/>
      </rPr>
      <t>產</t>
    </r>
    <r>
      <rPr>
        <sz val="10"/>
        <color theme="1"/>
        <rFont val="Meiryo UI"/>
        <family val="2"/>
      </rPr>
      <t>性</t>
    </r>
    <phoneticPr fontId="9"/>
  </si>
  <si>
    <t>前週比</t>
    <phoneticPr fontId="12" type="noConversion"/>
  </si>
  <si>
    <t>主要原因&amp;對策</t>
    <phoneticPr fontId="9"/>
  </si>
  <si>
    <t>雙手捲為同性質商品，產能及人時生產性差異小，對比上週差異小</t>
    <phoneticPr fontId="12" type="noConversion"/>
  </si>
  <si>
    <t>對比上週差異小，5/15下架</t>
    <phoneticPr fontId="12" type="noConversion"/>
  </si>
  <si>
    <t>半成品數量少，人時生產性高，5/14已下架</t>
    <phoneticPr fontId="12" type="noConversion"/>
  </si>
  <si>
    <t>更換回原組別生產，人員熟悉度高，產能及人時生產性對比上週提升</t>
    <phoneticPr fontId="12" type="noConversion"/>
  </si>
  <si>
    <r>
      <t>5/12</t>
    </r>
    <r>
      <rPr>
        <sz val="10"/>
        <color theme="1"/>
        <rFont val="細明體"/>
        <family val="3"/>
        <charset val="136"/>
      </rPr>
      <t>新品，半成品使用個數類多，產能及人時生產性對比其他品項較高</t>
    </r>
    <phoneticPr fontId="12" type="noConversion"/>
  </si>
  <si>
    <t>當週訓練新進人員一名，使用人數較上週多一人，產能對比上週差異小，人時生產性對比上週下降。</t>
    <phoneticPr fontId="12" type="noConversion"/>
  </si>
  <si>
    <t>▲</t>
    <phoneticPr fontId="12" type="noConversion"/>
  </si>
  <si>
    <t>品項皆為八爪機作業，產能平均，產能及人時生產性差異小。</t>
    <phoneticPr fontId="12" type="noConversion"/>
  </si>
  <si>
    <t>▼</t>
    <phoneticPr fontId="12" type="noConversion"/>
  </si>
  <si>
    <t>－</t>
    <phoneticPr fontId="12" type="noConversion"/>
  </si>
  <si>
    <t>5/12上市新品，僅需打印效期及貼標。上市當日訂貨量大，切分區生產，影響產能及人時生產性降低。</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</si>
</sst>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6">
    <numFmt numFmtId="42" formatCode="_-&quot;$&quot;* #,##0_-;\-&quot;$&quot;* #,##0_-;_-&quot;$&quot;* &quot;-&quot;_-;_-@_-"/>
    <numFmt numFmtId="44" formatCode="_-&quot;$&quot;* #,##0.00_-;\-&quot;$&quot;* #,##0.00_-;_-&quot;$&quot;* &quot;-&quot;??_-;_-@_-"/>
    <numFmt numFmtId="43" formatCode="_-* #,##0.00_-;\-* #,##0.00_-;_-* &quot;-&quot;??_-;_-@_-"/>
    <numFmt numFmtId="176" formatCode="&quot;NT$&quot;#,##0.0"/>
    <numFmt numFmtId="177" formatCode="0&quot;個&quot;"/>
    <numFmt numFmtId="178" formatCode="&quot;NT$&quot;#,##0.0_);[Red]\(&quot;NT$&quot;#,##0.0\)"/>
    <numFmt numFmtId="179" formatCode="m&quot;月&quot;d&quot;日&quot;"/>
    <numFmt numFmtId="180" formatCode="0.0&quot;個&quot;"/>
    <numFmt numFmtId="181" formatCode="0.0_);[Red]\(0.0\)"/>
    <numFmt numFmtId="182" formatCode="&quot;NT$&quot;#,##0.00_);[Red]\(&quot;NT$&quot;#,##0.00\)"/>
    <numFmt numFmtId="183" formatCode="0.0"/>
    <numFmt numFmtId="184" formatCode="0,000"/>
    <numFmt numFmtId="185" formatCode="0.0%"/>
    <numFmt numFmtId="186" formatCode="&quot;NT$&quot;#,##0_);[Red]\(&quot;NT$&quot;#,##0\)"/>
    <numFmt numFmtId="187" formatCode="&quot;NT$&quot;#,##0"/>
    <numFmt numFmtId="188" formatCode="_-* #,##0_-;\-* #,##0_-;_-* &quot;-&quot;??_-;_-@_-"/>
    <numFmt numFmtId="189" formatCode="0.000%"/>
    <numFmt numFmtId="190" formatCode="_-* #,##0.0_-;\-* #,##0.0_-;_-* &quot;-&quot;??_-;_-@_-"/>
    <numFmt numFmtId="191" formatCode="#,##0.0"/>
    <numFmt numFmtId="192" formatCode="#,##0.0_ "/>
    <numFmt numFmtId="193" formatCode="m/d\ aaaa"/>
    <numFmt numFmtId="194" formatCode="0,000&quot;元&quot;"/>
    <numFmt numFmtId="195" formatCode="000&quot;元&quot;"/>
    <numFmt numFmtId="196" formatCode="0.00_)"/>
    <numFmt numFmtId="197" formatCode="#,##0_ "/>
    <numFmt numFmtId="198" formatCode="#,##0.00_ "/>
  </numFmts>
  <fonts count="115">
    <font>
      <sz val="10"/>
      <color rgb="FF000000"/>
      <name val="Arial"/>
      <scheme val="minor"/>
    </font>
    <font>
      <sz val="12"/>
      <color theme="1"/>
      <name val="Arial"/>
      <family val="2"/>
      <charset val="136"/>
      <scheme val="minor"/>
    </font>
    <font>
      <sz val="12"/>
      <color theme="1"/>
      <name val="Arial"/>
      <family val="2"/>
      <charset val="136"/>
      <scheme val="minor"/>
    </font>
    <font>
      <sz val="12"/>
      <color theme="1"/>
      <name val="Arial"/>
      <family val="2"/>
      <charset val="136"/>
      <scheme val="minor"/>
    </font>
    <font>
      <sz val="12"/>
      <color theme="1"/>
      <name val="Arial"/>
      <family val="2"/>
      <charset val="136"/>
      <scheme val="minor"/>
    </font>
    <font>
      <sz val="12"/>
      <color theme="1"/>
      <name val="Arial"/>
      <family val="2"/>
      <charset val="136"/>
      <scheme val="minor"/>
    </font>
    <font>
      <sz val="11"/>
      <color theme="1"/>
      <name val="Arial"/>
      <family val="2"/>
      <scheme val="minor"/>
    </font>
    <font>
      <sz val="10"/>
      <color theme="1"/>
      <name val="Arial"/>
      <family val="2"/>
      <scheme val="minor"/>
    </font>
    <font>
      <sz val="10"/>
      <name val="Arial"/>
      <family val="2"/>
    </font>
    <font>
      <sz val="6"/>
      <name val="Arial"/>
      <family val="3"/>
      <charset val="128"/>
      <scheme val="minor"/>
    </font>
    <font>
      <sz val="11"/>
      <color theme="1"/>
      <name val="Arial"/>
      <family val="3"/>
      <charset val="136"/>
      <scheme val="minor"/>
    </font>
    <font>
      <sz val="10"/>
      <color theme="1"/>
      <name val="Arial"/>
      <family val="3"/>
      <charset val="136"/>
      <scheme val="minor"/>
    </font>
    <font>
      <sz val="9"/>
      <name val="Arial"/>
      <family val="3"/>
      <charset val="136"/>
      <scheme val="minor"/>
    </font>
    <font>
      <sz val="10"/>
      <color rgb="FF000000"/>
      <name val="Meiryo UI"/>
      <family val="2"/>
      <charset val="128"/>
    </font>
    <font>
      <sz val="11"/>
      <color rgb="FF000000"/>
      <name val="Meiryo UI"/>
      <family val="2"/>
      <charset val="128"/>
    </font>
    <font>
      <sz val="11"/>
      <color rgb="FF000000"/>
      <name val="Arial"/>
      <family val="3"/>
      <charset val="136"/>
    </font>
    <font>
      <sz val="11"/>
      <color rgb="FF000000"/>
      <name val="細明體"/>
      <family val="3"/>
      <charset val="136"/>
    </font>
    <font>
      <sz val="18"/>
      <color rgb="FF000000"/>
      <name val="Meiryo UI"/>
      <family val="2"/>
      <charset val="128"/>
    </font>
    <font>
      <b/>
      <sz val="22"/>
      <color rgb="FF000000"/>
      <name val="Meiryo UI"/>
      <family val="2"/>
      <charset val="128"/>
    </font>
    <font>
      <b/>
      <sz val="22"/>
      <color rgb="FF000000"/>
      <name val="細明體"/>
      <family val="3"/>
      <charset val="136"/>
    </font>
    <font>
      <sz val="12"/>
      <color rgb="FF000000"/>
      <name val="Arial"/>
      <family val="3"/>
      <charset val="136"/>
    </font>
    <font>
      <sz val="11"/>
      <color theme="1"/>
      <name val="細明體"/>
      <family val="3"/>
      <charset val="136"/>
    </font>
    <font>
      <b/>
      <sz val="14"/>
      <color rgb="FF000000"/>
      <name val="細明體"/>
      <family val="3"/>
      <charset val="136"/>
    </font>
    <font>
      <sz val="10"/>
      <color rgb="FF000000"/>
      <name val="Arial"/>
      <family val="2"/>
      <scheme val="minor"/>
    </font>
    <font>
      <b/>
      <sz val="22"/>
      <color rgb="FF000000"/>
      <name val="Meiryo UI"/>
      <family val="2"/>
    </font>
    <font>
      <sz val="10"/>
      <color rgb="FF000000"/>
      <name val="Meiryo UI"/>
      <family val="2"/>
    </font>
    <font>
      <sz val="11"/>
      <color rgb="FF000000"/>
      <name val="Meiryo UI"/>
      <family val="2"/>
    </font>
    <font>
      <sz val="11"/>
      <color theme="1"/>
      <name val="Meiryo UI"/>
      <family val="2"/>
    </font>
    <font>
      <sz val="12"/>
      <color rgb="FF000000"/>
      <name val="Meiryo UI"/>
      <family val="2"/>
    </font>
    <font>
      <b/>
      <sz val="14"/>
      <color rgb="FF000000"/>
      <name val="Meiryo UI"/>
      <family val="2"/>
    </font>
    <font>
      <b/>
      <sz val="11.9"/>
      <color rgb="FF000000"/>
      <name val="Meiryo UI"/>
      <family val="2"/>
    </font>
    <font>
      <b/>
      <sz val="16"/>
      <color rgb="FF000000"/>
      <name val="Meiryo UI"/>
      <family val="2"/>
    </font>
    <font>
      <sz val="10"/>
      <color rgb="FF000000"/>
      <name val="Arial"/>
      <family val="3"/>
      <charset val="136"/>
      <scheme val="minor"/>
    </font>
    <font>
      <b/>
      <sz val="12"/>
      <color rgb="FF000000"/>
      <name val="Arial"/>
      <family val="3"/>
      <charset val="136"/>
      <scheme val="minor"/>
    </font>
    <font>
      <b/>
      <sz val="12"/>
      <color rgb="FF000000"/>
      <name val="Arial"/>
      <family val="2"/>
      <scheme val="minor"/>
    </font>
    <font>
      <sz val="12"/>
      <color theme="1"/>
      <name val="Meiryo UI"/>
      <family val="2"/>
    </font>
    <font>
      <sz val="12"/>
      <color theme="1"/>
      <name val="微軟正黑體"/>
      <family val="2"/>
      <charset val="136"/>
    </font>
    <font>
      <sz val="12"/>
      <name val="Meiryo UI"/>
      <family val="2"/>
    </font>
    <font>
      <b/>
      <sz val="16"/>
      <color rgb="FF000000"/>
      <name val="Meiryo UI"/>
      <family val="2"/>
      <charset val="128"/>
    </font>
    <font>
      <sz val="10"/>
      <color rgb="FF000000"/>
      <name val="Arial"/>
      <family val="3"/>
      <charset val="136"/>
    </font>
    <font>
      <b/>
      <sz val="14"/>
      <color rgb="FF000000"/>
      <name val="Arial"/>
      <family val="3"/>
      <charset val="136"/>
    </font>
    <font>
      <b/>
      <sz val="20"/>
      <color rgb="FF000000"/>
      <name val="Meiryo UI"/>
      <family val="2"/>
      <charset val="128"/>
    </font>
    <font>
      <b/>
      <sz val="20"/>
      <color rgb="FF000000"/>
      <name val="細明體"/>
      <family val="3"/>
      <charset val="136"/>
    </font>
    <font>
      <b/>
      <sz val="20"/>
      <color rgb="FF000000"/>
      <name val="Meiryo UI"/>
      <family val="2"/>
    </font>
    <font>
      <sz val="10"/>
      <color theme="1"/>
      <name val="Meiryo UI"/>
      <family val="2"/>
    </font>
    <font>
      <sz val="11"/>
      <color rgb="FFFF0000"/>
      <name val="Meiryo UI"/>
      <family val="2"/>
    </font>
    <font>
      <sz val="11"/>
      <color theme="1"/>
      <name val="Arial"/>
      <family val="3"/>
      <charset val="136"/>
    </font>
    <font>
      <sz val="10"/>
      <color theme="1"/>
      <name val="Arial"/>
      <family val="3"/>
      <charset val="136"/>
    </font>
    <font>
      <b/>
      <sz val="12"/>
      <color theme="1"/>
      <name val="Meiryo UI"/>
      <family val="2"/>
    </font>
    <font>
      <b/>
      <sz val="12"/>
      <color theme="1"/>
      <name val="Arial"/>
      <family val="3"/>
      <charset val="136"/>
    </font>
    <font>
      <b/>
      <sz val="12"/>
      <color theme="1"/>
      <name val="Meiryo UI"/>
      <family val="2"/>
      <charset val="128"/>
    </font>
    <font>
      <sz val="14"/>
      <color theme="1"/>
      <name val="Meiryo UI"/>
      <family val="2"/>
    </font>
    <font>
      <sz val="10"/>
      <color theme="1"/>
      <name val="細明體"/>
      <family val="3"/>
      <charset val="136"/>
    </font>
    <font>
      <b/>
      <sz val="12"/>
      <color rgb="FF000000"/>
      <name val="Meiryo UI"/>
      <family val="2"/>
      <charset val="128"/>
    </font>
    <font>
      <b/>
      <sz val="12"/>
      <color rgb="FF000000"/>
      <name val="Meiryo UI"/>
      <family val="2"/>
    </font>
    <font>
      <sz val="10"/>
      <name val="Meiryo UI"/>
      <family val="2"/>
    </font>
    <font>
      <b/>
      <sz val="12"/>
      <color rgb="FF000000"/>
      <name val="Arial"/>
      <family val="3"/>
      <charset val="136"/>
    </font>
    <font>
      <sz val="11"/>
      <color theme="1"/>
      <name val="Arial"/>
      <family val="2"/>
    </font>
    <font>
      <sz val="10"/>
      <color rgb="FF000000"/>
      <name val="Arial"/>
      <family val="2"/>
    </font>
    <font>
      <b/>
      <sz val="12"/>
      <color rgb="FF000000"/>
      <name val="細明體"/>
      <family val="3"/>
      <charset val="136"/>
    </font>
    <font>
      <b/>
      <sz val="14"/>
      <color theme="1"/>
      <name val="Meiryo UI"/>
      <family val="2"/>
    </font>
    <font>
      <b/>
      <sz val="14"/>
      <color theme="1"/>
      <name val="Arial"/>
      <family val="3"/>
      <charset val="136"/>
    </font>
    <font>
      <sz val="11"/>
      <color theme="1"/>
      <name val="Meiryo UI"/>
      <family val="2"/>
      <charset val="128"/>
    </font>
    <font>
      <sz val="10"/>
      <color rgb="FFFF0000"/>
      <name val="Meiryo UI"/>
      <family val="2"/>
    </font>
    <font>
      <b/>
      <sz val="16"/>
      <color rgb="FF000000"/>
      <name val="細明體"/>
      <family val="3"/>
      <charset val="136"/>
    </font>
    <font>
      <sz val="12"/>
      <color theme="1"/>
      <name val="細明體"/>
      <family val="3"/>
      <charset val="136"/>
    </font>
    <font>
      <sz val="12"/>
      <color rgb="FFFF0000"/>
      <name val="Meiryo UI"/>
      <family val="2"/>
    </font>
    <font>
      <b/>
      <sz val="20"/>
      <color rgb="FF000000"/>
      <name val="微軟正黑體"/>
      <family val="2"/>
      <charset val="136"/>
    </font>
    <font>
      <sz val="11"/>
      <color theme="1"/>
      <name val="微軟正黑體"/>
      <family val="2"/>
      <charset val="136"/>
    </font>
    <font>
      <sz val="14"/>
      <color theme="1"/>
      <name val="細明體"/>
      <family val="3"/>
      <charset val="136"/>
    </font>
    <font>
      <sz val="10"/>
      <color rgb="FFFF0000"/>
      <name val="Arial"/>
      <family val="3"/>
      <charset val="136"/>
      <scheme val="minor"/>
    </font>
    <font>
      <sz val="10"/>
      <color theme="4"/>
      <name val="Arial"/>
      <family val="3"/>
      <charset val="136"/>
      <scheme val="minor"/>
    </font>
    <font>
      <sz val="6"/>
      <color rgb="FF000000"/>
      <name val="Meiryo UI"/>
      <family val="2"/>
    </font>
    <font>
      <sz val="9"/>
      <color rgb="FF000000"/>
      <name val="Meiryo UI"/>
      <family val="2"/>
    </font>
    <font>
      <sz val="10"/>
      <color rgb="FF000000"/>
      <name val="Arial"/>
      <family val="2"/>
      <scheme val="minor"/>
    </font>
    <font>
      <sz val="11"/>
      <color rgb="FF0070C0"/>
      <name val="新細明體"/>
      <family val="1"/>
      <charset val="136"/>
    </font>
    <font>
      <sz val="11"/>
      <color rgb="FF92D050"/>
      <name val="細明體"/>
      <family val="3"/>
      <charset val="136"/>
    </font>
    <font>
      <sz val="11"/>
      <color rgb="FFFF0000"/>
      <name val="新細明體"/>
      <family val="1"/>
      <charset val="136"/>
    </font>
    <font>
      <sz val="7"/>
      <color rgb="FF000000"/>
      <name val="Meiryo UI"/>
      <family val="2"/>
    </font>
    <font>
      <sz val="10"/>
      <color rgb="FF000000"/>
      <name val="細明體"/>
      <family val="3"/>
      <charset val="136"/>
    </font>
    <font>
      <b/>
      <sz val="12"/>
      <color theme="1"/>
      <name val="細明體"/>
      <family val="3"/>
      <charset val="136"/>
    </font>
    <font>
      <sz val="11"/>
      <color rgb="FFFF0000"/>
      <name val="細明體"/>
      <family val="3"/>
      <charset val="136"/>
    </font>
    <font>
      <sz val="12"/>
      <color theme="1"/>
      <name val="Meiryo UI"/>
      <family val="2"/>
      <charset val="128"/>
    </font>
    <font>
      <sz val="9"/>
      <name val="Arial"/>
      <family val="2"/>
      <charset val="136"/>
      <scheme val="minor"/>
    </font>
    <font>
      <sz val="14"/>
      <name val="微軟正黑體"/>
      <family val="2"/>
      <charset val="136"/>
    </font>
    <font>
      <sz val="12"/>
      <name val="新細明體"/>
      <family val="1"/>
      <charset val="136"/>
    </font>
    <font>
      <sz val="12"/>
      <name val="Times New Roman"/>
      <family val="1"/>
    </font>
    <font>
      <b/>
      <i/>
      <sz val="16"/>
      <name val="Helv"/>
      <family val="2"/>
    </font>
    <font>
      <sz val="12"/>
      <color theme="1"/>
      <name val="Arial"/>
      <family val="1"/>
      <charset val="136"/>
      <scheme val="minor"/>
    </font>
    <font>
      <u/>
      <sz val="12"/>
      <color indexed="12"/>
      <name val="新細明體"/>
      <family val="1"/>
      <charset val="136"/>
    </font>
    <font>
      <sz val="10"/>
      <color indexed="8"/>
      <name val="ARIAL"/>
      <family val="2"/>
    </font>
    <font>
      <sz val="12"/>
      <color theme="1"/>
      <name val="Arial"/>
      <family val="2"/>
      <scheme val="minor"/>
    </font>
    <font>
      <sz val="12"/>
      <color indexed="8"/>
      <name val="新細明體"/>
      <family val="1"/>
      <charset val="136"/>
    </font>
    <font>
      <sz val="12"/>
      <color indexed="17"/>
      <name val="新細明體"/>
      <family val="1"/>
      <charset val="136"/>
    </font>
    <font>
      <sz val="16"/>
      <color indexed="17"/>
      <name val="新細明體"/>
      <family val="1"/>
      <charset val="136"/>
    </font>
    <font>
      <sz val="11"/>
      <name val="ＭＳ Ｐゴシック"/>
      <family val="2"/>
      <charset val="128"/>
    </font>
    <font>
      <sz val="12"/>
      <color indexed="20"/>
      <name val="新細明體"/>
      <family val="1"/>
      <charset val="136"/>
    </font>
    <font>
      <sz val="20"/>
      <color indexed="20"/>
      <name val="新細明體"/>
      <family val="1"/>
      <charset val="136"/>
    </font>
    <font>
      <sz val="10"/>
      <color rgb="FFFF0000"/>
      <name val="Meiryo UI"/>
      <family val="2"/>
      <charset val="128"/>
    </font>
    <font>
      <sz val="14"/>
      <color rgb="FF0070C0"/>
      <name val="新細明體"/>
      <family val="1"/>
      <charset val="136"/>
    </font>
    <font>
      <b/>
      <sz val="10"/>
      <color rgb="FFFF0000"/>
      <name val="Meiryo UI"/>
      <family val="2"/>
      <charset val="128"/>
    </font>
    <font>
      <sz val="12"/>
      <name val="細明體"/>
      <family val="3"/>
      <charset val="136"/>
    </font>
    <font>
      <b/>
      <sz val="20"/>
      <color theme="0"/>
      <name val="微軟正黑體"/>
      <family val="2"/>
      <charset val="136"/>
    </font>
    <font>
      <b/>
      <sz val="20"/>
      <color theme="0"/>
      <name val="Noto Sans CJK SC"/>
    </font>
    <font>
      <b/>
      <sz val="18"/>
      <color theme="1"/>
      <name val="Noto Sans CJK SC"/>
      <family val="2"/>
    </font>
    <font>
      <b/>
      <sz val="18"/>
      <color theme="1"/>
      <name val="微軟正黑體"/>
      <family val="2"/>
      <charset val="136"/>
    </font>
    <font>
      <b/>
      <sz val="16"/>
      <color theme="1"/>
      <name val="Noto Sans CJK SC"/>
      <family val="2"/>
    </font>
    <font>
      <b/>
      <sz val="16"/>
      <color theme="1"/>
      <name val="微軟正黑體"/>
      <family val="2"/>
      <charset val="136"/>
    </font>
    <font>
      <b/>
      <sz val="16"/>
      <color rgb="FFFF0000"/>
      <name val="Noto Sans CJK SC"/>
      <family val="2"/>
    </font>
    <font>
      <b/>
      <sz val="16"/>
      <color rgb="FF000000"/>
      <name val="微軟正黑體"/>
      <family val="2"/>
      <charset val="136"/>
    </font>
    <font>
      <b/>
      <sz val="16"/>
      <color rgb="FF000000"/>
      <name val="Noto Sans CJK SC"/>
      <family val="2"/>
    </font>
    <font>
      <sz val="14"/>
      <name val="Noto Sans CJK SC"/>
      <family val="2"/>
    </font>
    <font>
      <sz val="14"/>
      <color theme="1"/>
      <name val="Noto Sans CJK SC"/>
      <family val="2"/>
    </font>
    <font>
      <sz val="14"/>
      <color theme="1"/>
      <name val="Arial"/>
      <family val="2"/>
      <charset val="136"/>
      <scheme val="minor"/>
    </font>
    <font>
      <sz val="14"/>
      <name val="Noto Sans CJK SC"/>
    </font>
  </fonts>
  <fills count="20">
    <fill>
      <patternFill patternType="none"/>
    </fill>
    <fill>
      <patternFill patternType="gray125"/>
    </fill>
    <fill>
      <patternFill patternType="solid">
        <fgColor rgb="FFD9D9D9"/>
        <bgColor rgb="FFD9D9D9"/>
      </patternFill>
    </fill>
    <fill>
      <patternFill patternType="solid">
        <fgColor rgb="FFCFE2F3"/>
        <bgColor rgb="FFCFE2F3"/>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FFCC"/>
        <bgColor indexed="64"/>
      </patternFill>
    </fill>
    <fill>
      <patternFill patternType="solid">
        <fgColor theme="2" tint="-0.14999847407452621"/>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rgb="FF92D050"/>
        <bgColor indexed="64"/>
      </patternFill>
    </fill>
    <fill>
      <patternFill patternType="solid">
        <fgColor theme="4" tint="0.79998168889431442"/>
        <bgColor indexed="64"/>
      </patternFill>
    </fill>
    <fill>
      <patternFill patternType="solid">
        <fgColor indexed="42"/>
      </patternFill>
    </fill>
    <fill>
      <patternFill patternType="solid">
        <fgColor indexed="45"/>
      </patternFill>
    </fill>
    <fill>
      <patternFill patternType="solid">
        <fgColor theme="2" tint="-9.9978637043366805E-2"/>
        <bgColor indexed="64"/>
      </patternFill>
    </fill>
    <fill>
      <patternFill patternType="solid">
        <fgColor rgb="FF002060"/>
        <bgColor indexed="64"/>
      </patternFill>
    </fill>
  </fills>
  <borders count="75">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double">
        <color rgb="FF000000"/>
      </top>
      <bottom style="thin">
        <color rgb="FF000000"/>
      </bottom>
      <diagonal/>
    </border>
    <border>
      <left style="thin">
        <color rgb="FF000000"/>
      </left>
      <right/>
      <top style="double">
        <color rgb="FF000000"/>
      </top>
      <bottom style="thin">
        <color rgb="FF000000"/>
      </bottom>
      <diagonal/>
    </border>
    <border>
      <left/>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top/>
      <bottom/>
      <diagonal/>
    </border>
    <border>
      <left style="double">
        <color rgb="FF000000"/>
      </left>
      <right style="thin">
        <color rgb="FF000000"/>
      </right>
      <top style="double">
        <color rgb="FF000000"/>
      </top>
      <bottom style="double">
        <color rgb="FF000000"/>
      </bottom>
      <diagonal/>
    </border>
    <border>
      <left style="thin">
        <color rgb="FF000000"/>
      </left>
      <right style="thin">
        <color rgb="FF000000"/>
      </right>
      <top style="double">
        <color rgb="FF000000"/>
      </top>
      <bottom style="double">
        <color rgb="FF000000"/>
      </bottom>
      <diagonal/>
    </border>
    <border>
      <left style="thin">
        <color rgb="FF000000"/>
      </left>
      <right style="double">
        <color rgb="FF000000"/>
      </right>
      <top style="double">
        <color rgb="FF000000"/>
      </top>
      <bottom style="double">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indexed="64"/>
      </right>
      <top/>
      <bottom style="thin">
        <color rgb="FF000000"/>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rgb="FF000000"/>
      </right>
      <top/>
      <bottom/>
      <diagonal/>
    </border>
    <border>
      <left style="double">
        <color rgb="FF000000"/>
      </left>
      <right/>
      <top style="thin">
        <color rgb="FF000000"/>
      </top>
      <bottom style="thin">
        <color rgb="FF000000"/>
      </bottom>
      <diagonal/>
    </border>
    <border>
      <left/>
      <right style="double">
        <color rgb="FF000000"/>
      </right>
      <top/>
      <bottom/>
      <diagonal/>
    </border>
    <border>
      <left style="thin">
        <color theme="1"/>
      </left>
      <right style="thin">
        <color theme="1"/>
      </right>
      <top style="thin">
        <color theme="1"/>
      </top>
      <bottom style="thin">
        <color theme="1"/>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000000"/>
      </right>
      <top/>
      <bottom style="thin">
        <color rgb="FF000000"/>
      </bottom>
      <diagonal/>
    </border>
    <border>
      <left style="thin">
        <color rgb="FF000000"/>
      </left>
      <right style="thin">
        <color rgb="FF000000"/>
      </right>
      <top style="thin">
        <color rgb="FF000000"/>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thin">
        <color rgb="FF000000"/>
      </left>
      <right style="medium">
        <color indexed="64"/>
      </right>
      <top/>
      <bottom style="thin">
        <color rgb="FF000000"/>
      </bottom>
      <diagonal/>
    </border>
    <border>
      <left style="medium">
        <color indexed="64"/>
      </left>
      <right/>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bottom style="medium">
        <color indexed="64"/>
      </bottom>
      <diagonal/>
    </border>
    <border>
      <left style="medium">
        <color indexed="64"/>
      </left>
      <right/>
      <top style="thin">
        <color rgb="FF000000"/>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theme="1"/>
      </left>
      <right style="thin">
        <color theme="1"/>
      </right>
      <top style="thin">
        <color theme="1"/>
      </top>
      <bottom/>
      <diagonal/>
    </border>
    <border>
      <left/>
      <right style="thin">
        <color theme="1"/>
      </right>
      <top style="thin">
        <color theme="1"/>
      </top>
      <bottom style="thin">
        <color theme="1"/>
      </bottom>
      <diagonal/>
    </border>
    <border>
      <left style="medium">
        <color indexed="64"/>
      </left>
      <right/>
      <top/>
      <bottom/>
      <diagonal/>
    </border>
    <border>
      <left style="double">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s>
  <cellStyleXfs count="580">
    <xf numFmtId="0" fontId="0" fillId="0" borderId="0"/>
    <xf numFmtId="0" fontId="5" fillId="0" borderId="0">
      <alignment vertical="center"/>
    </xf>
    <xf numFmtId="43" fontId="6" fillId="0" borderId="0" applyFont="0" applyFill="0" applyBorder="0" applyAlignment="0" applyProtection="0">
      <alignment vertical="center"/>
    </xf>
    <xf numFmtId="9" fontId="6" fillId="0" borderId="0" applyFont="0" applyFill="0" applyBorder="0" applyAlignment="0" applyProtection="0">
      <alignment vertical="center"/>
    </xf>
    <xf numFmtId="0" fontId="5" fillId="0" borderId="0">
      <alignment vertical="center"/>
    </xf>
    <xf numFmtId="0" fontId="6" fillId="0" borderId="0"/>
    <xf numFmtId="0" fontId="5" fillId="0" borderId="0">
      <alignment vertical="center"/>
    </xf>
    <xf numFmtId="0" fontId="5" fillId="0" borderId="0">
      <alignment vertical="center"/>
    </xf>
    <xf numFmtId="9" fontId="8" fillId="0" borderId="0" applyFont="0" applyFill="0" applyBorder="0" applyAlignment="0" applyProtection="0">
      <alignment vertical="center"/>
    </xf>
    <xf numFmtId="0" fontId="8" fillId="0" borderId="0"/>
    <xf numFmtId="9" fontId="8" fillId="0" borderId="0" applyFont="0" applyFill="0" applyBorder="0" applyAlignment="0" applyProtection="0"/>
    <xf numFmtId="0" fontId="23" fillId="0" borderId="0"/>
    <xf numFmtId="0" fontId="4" fillId="0" borderId="0">
      <alignment vertical="center"/>
    </xf>
    <xf numFmtId="9" fontId="23" fillId="0" borderId="0" applyFont="0" applyFill="0" applyBorder="0" applyAlignment="0" applyProtection="0">
      <alignment vertical="center"/>
    </xf>
    <xf numFmtId="43" fontId="74"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3" fontId="23" fillId="0" borderId="0" applyFont="0" applyFill="0" applyBorder="0" applyAlignment="0" applyProtection="0">
      <alignment vertical="center"/>
    </xf>
    <xf numFmtId="9" fontId="8"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0" fontId="85" fillId="0" borderId="0"/>
    <xf numFmtId="9" fontId="85" fillId="0" borderId="0" applyFont="0" applyFill="0" applyBorder="0" applyAlignment="0" applyProtection="0"/>
    <xf numFmtId="0" fontId="86"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196" fontId="87" fillId="0" borderId="0"/>
    <xf numFmtId="0" fontId="8" fillId="0" borderId="0"/>
    <xf numFmtId="0" fontId="85" fillId="0" borderId="0">
      <alignment vertical="center"/>
    </xf>
    <xf numFmtId="0" fontId="88" fillId="0" borderId="0"/>
    <xf numFmtId="42" fontId="86" fillId="0" borderId="0" applyFont="0" applyFill="0" applyBorder="0" applyAlignment="0" applyProtection="0"/>
    <xf numFmtId="0" fontId="89" fillId="0" borderId="0" applyNumberFormat="0" applyFill="0" applyBorder="0" applyAlignment="0" applyProtection="0">
      <alignment vertical="top"/>
      <protection locked="0"/>
    </xf>
    <xf numFmtId="0" fontId="90" fillId="0" borderId="0">
      <alignment vertical="top"/>
    </xf>
    <xf numFmtId="0" fontId="8" fillId="0" borderId="0"/>
    <xf numFmtId="0" fontId="88" fillId="0" borderId="0">
      <alignment vertical="center"/>
    </xf>
    <xf numFmtId="0" fontId="85" fillId="0" borderId="0"/>
    <xf numFmtId="0" fontId="85" fillId="0" borderId="0"/>
    <xf numFmtId="0" fontId="85" fillId="0" borderId="0"/>
    <xf numFmtId="0" fontId="88" fillId="0" borderId="0">
      <alignment vertical="center"/>
    </xf>
    <xf numFmtId="0" fontId="85" fillId="0" borderId="0"/>
    <xf numFmtId="0" fontId="85" fillId="0" borderId="0"/>
    <xf numFmtId="0" fontId="88" fillId="0" borderId="0">
      <alignment vertical="center"/>
    </xf>
    <xf numFmtId="0" fontId="88" fillId="0" borderId="0">
      <alignment vertical="center"/>
    </xf>
    <xf numFmtId="0" fontId="85" fillId="0" borderId="0"/>
    <xf numFmtId="0" fontId="88" fillId="0" borderId="0">
      <alignment vertical="center"/>
    </xf>
    <xf numFmtId="0" fontId="85" fillId="0" borderId="0"/>
    <xf numFmtId="0" fontId="88" fillId="0" borderId="0">
      <alignment vertical="center"/>
    </xf>
    <xf numFmtId="0" fontId="85" fillId="0" borderId="0"/>
    <xf numFmtId="0" fontId="85" fillId="0" borderId="0"/>
    <xf numFmtId="0" fontId="85" fillId="0" borderId="0"/>
    <xf numFmtId="0" fontId="91" fillId="0" borderId="0"/>
    <xf numFmtId="0" fontId="92" fillId="0" borderId="0">
      <alignment vertical="center"/>
    </xf>
    <xf numFmtId="0" fontId="92" fillId="0" borderId="0">
      <alignment vertical="center"/>
    </xf>
    <xf numFmtId="0" fontId="92" fillId="0" borderId="0">
      <alignment vertical="center"/>
    </xf>
    <xf numFmtId="0" fontId="2" fillId="0" borderId="0">
      <alignment vertical="center"/>
    </xf>
    <xf numFmtId="0" fontId="85" fillId="0" borderId="0"/>
    <xf numFmtId="0" fontId="85" fillId="0" borderId="0"/>
    <xf numFmtId="0" fontId="91" fillId="0" borderId="0"/>
    <xf numFmtId="0" fontId="2" fillId="0" borderId="0">
      <alignment vertical="center"/>
    </xf>
    <xf numFmtId="0" fontId="92" fillId="0" borderId="0">
      <alignment vertical="center"/>
    </xf>
    <xf numFmtId="0" fontId="92" fillId="0" borderId="0">
      <alignment vertical="center"/>
    </xf>
    <xf numFmtId="0" fontId="88" fillId="0" borderId="0"/>
    <xf numFmtId="0" fontId="85" fillId="0" borderId="0"/>
    <xf numFmtId="0" fontId="2" fillId="0" borderId="0">
      <alignment vertical="center"/>
    </xf>
    <xf numFmtId="0" fontId="88" fillId="0" borderId="0">
      <alignment vertical="center"/>
    </xf>
    <xf numFmtId="0" fontId="92" fillId="0" borderId="0">
      <alignment vertical="center"/>
    </xf>
    <xf numFmtId="0" fontId="92" fillId="0" borderId="0">
      <alignment vertical="center"/>
    </xf>
    <xf numFmtId="0" fontId="88" fillId="0" borderId="0">
      <alignment vertical="center"/>
    </xf>
    <xf numFmtId="0" fontId="85" fillId="0" borderId="0"/>
    <xf numFmtId="0" fontId="88" fillId="0" borderId="0">
      <alignment vertical="center"/>
    </xf>
    <xf numFmtId="0" fontId="88" fillId="0" borderId="0">
      <alignment vertical="center"/>
    </xf>
    <xf numFmtId="0" fontId="85" fillId="0" borderId="0"/>
    <xf numFmtId="0" fontId="88" fillId="0" borderId="0">
      <alignment vertical="center"/>
    </xf>
    <xf numFmtId="0" fontId="88" fillId="0" borderId="0">
      <alignment vertical="center"/>
    </xf>
    <xf numFmtId="0" fontId="2" fillId="0" borderId="0">
      <alignment vertical="center"/>
    </xf>
    <xf numFmtId="0" fontId="85" fillId="0" borderId="0"/>
    <xf numFmtId="0" fontId="88" fillId="0" borderId="0">
      <alignment vertical="center"/>
    </xf>
    <xf numFmtId="0" fontId="85" fillId="0" borderId="0"/>
    <xf numFmtId="43" fontId="85" fillId="0" borderId="0" applyFont="0" applyFill="0" applyBorder="0" applyAlignment="0" applyProtection="0"/>
    <xf numFmtId="43" fontId="85" fillId="0" borderId="0" applyFont="0" applyFill="0" applyBorder="0" applyAlignment="0" applyProtection="0"/>
    <xf numFmtId="43" fontId="85" fillId="0" borderId="0" applyFont="0" applyFill="0" applyBorder="0" applyAlignment="0" applyProtection="0"/>
    <xf numFmtId="43" fontId="85" fillId="0" borderId="0" applyFont="0" applyFill="0" applyBorder="0" applyAlignment="0" applyProtection="0"/>
    <xf numFmtId="43" fontId="85" fillId="0" borderId="0" applyFont="0" applyFill="0" applyBorder="0" applyAlignment="0" applyProtection="0"/>
    <xf numFmtId="43" fontId="85" fillId="0" borderId="0" applyFont="0" applyFill="0" applyBorder="0" applyAlignment="0" applyProtection="0"/>
    <xf numFmtId="43" fontId="85" fillId="0" borderId="0" applyFont="0" applyFill="0" applyBorder="0" applyAlignment="0" applyProtection="0"/>
    <xf numFmtId="43" fontId="85" fillId="0" borderId="0" applyFont="0" applyFill="0" applyBorder="0" applyAlignment="0" applyProtection="0"/>
    <xf numFmtId="43" fontId="85" fillId="0" borderId="0" applyFont="0" applyFill="0" applyBorder="0" applyAlignment="0" applyProtection="0"/>
    <xf numFmtId="43" fontId="85" fillId="0" borderId="0" applyFont="0" applyFill="0" applyBorder="0" applyAlignment="0" applyProtection="0"/>
    <xf numFmtId="43" fontId="88" fillId="0" borderId="0" applyFont="0" applyFill="0" applyBorder="0" applyAlignment="0" applyProtection="0">
      <alignment vertical="center"/>
    </xf>
    <xf numFmtId="43" fontId="85" fillId="0" borderId="0" applyFont="0" applyFill="0" applyBorder="0" applyAlignment="0" applyProtection="0"/>
    <xf numFmtId="43" fontId="85" fillId="0" borderId="0" applyFont="0" applyFill="0" applyBorder="0" applyAlignment="0" applyProtection="0"/>
    <xf numFmtId="43" fontId="85" fillId="0" borderId="0" applyFont="0" applyFill="0" applyBorder="0" applyAlignment="0" applyProtection="0"/>
    <xf numFmtId="0" fontId="93" fillId="16" borderId="0" applyNumberFormat="0" applyBorder="0" applyAlignment="0" applyProtection="0">
      <alignment vertical="center"/>
    </xf>
    <xf numFmtId="0" fontId="93" fillId="16" borderId="0" applyNumberFormat="0" applyBorder="0" applyAlignment="0" applyProtection="0">
      <alignment vertical="center"/>
    </xf>
    <xf numFmtId="0" fontId="94" fillId="16" borderId="0" applyNumberFormat="0" applyBorder="0" applyAlignment="0" applyProtection="0">
      <alignment vertical="center"/>
    </xf>
    <xf numFmtId="0" fontId="93" fillId="16" borderId="0" applyNumberFormat="0" applyBorder="0" applyAlignment="0" applyProtection="0">
      <alignment vertical="center"/>
    </xf>
    <xf numFmtId="0" fontId="93" fillId="16" borderId="0" applyNumberFormat="0" applyBorder="0" applyAlignment="0" applyProtection="0">
      <alignment vertical="center"/>
    </xf>
    <xf numFmtId="0" fontId="93" fillId="16" borderId="0" applyNumberFormat="0" applyBorder="0" applyAlignment="0" applyProtection="0">
      <alignment vertical="center"/>
    </xf>
    <xf numFmtId="0" fontId="93" fillId="16" borderId="0" applyNumberFormat="0" applyBorder="0" applyAlignment="0" applyProtection="0">
      <alignment vertical="center"/>
    </xf>
    <xf numFmtId="0" fontId="93" fillId="16" borderId="0" applyNumberFormat="0" applyBorder="0" applyAlignment="0" applyProtection="0">
      <alignment vertical="center"/>
    </xf>
    <xf numFmtId="0" fontId="93" fillId="16" borderId="0" applyNumberFormat="0" applyBorder="0" applyAlignment="0" applyProtection="0">
      <alignment vertical="center"/>
    </xf>
    <xf numFmtId="0" fontId="93" fillId="16" borderId="0" applyNumberFormat="0" applyBorder="0" applyAlignment="0" applyProtection="0">
      <alignment vertical="center"/>
    </xf>
    <xf numFmtId="0" fontId="93" fillId="16" borderId="0" applyNumberFormat="0" applyBorder="0" applyAlignment="0" applyProtection="0">
      <alignment vertical="center"/>
    </xf>
    <xf numFmtId="0" fontId="94" fillId="16" borderId="0" applyNumberFormat="0" applyBorder="0" applyAlignment="0" applyProtection="0">
      <alignment vertical="center"/>
    </xf>
    <xf numFmtId="9" fontId="92" fillId="0" borderId="0" applyFont="0" applyFill="0" applyBorder="0" applyAlignment="0" applyProtection="0">
      <alignment vertical="center"/>
    </xf>
    <xf numFmtId="9" fontId="92" fillId="0" borderId="0" applyFont="0" applyFill="0" applyBorder="0" applyAlignment="0" applyProtection="0">
      <alignment vertical="center"/>
    </xf>
    <xf numFmtId="9" fontId="92" fillId="0" borderId="0" applyFont="0" applyFill="0" applyBorder="0" applyAlignment="0" applyProtection="0">
      <alignment vertical="center"/>
    </xf>
    <xf numFmtId="9" fontId="85" fillId="0" borderId="0" applyFont="0" applyFill="0" applyBorder="0" applyAlignment="0" applyProtection="0"/>
    <xf numFmtId="9" fontId="85" fillId="0" borderId="0" applyFont="0" applyFill="0" applyBorder="0" applyAlignment="0" applyProtection="0"/>
    <xf numFmtId="9" fontId="92" fillId="0" borderId="0" applyFont="0" applyFill="0" applyBorder="0" applyAlignment="0" applyProtection="0">
      <alignment vertical="center"/>
    </xf>
    <xf numFmtId="9" fontId="88"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92" fillId="0" borderId="0" applyFont="0" applyFill="0" applyBorder="0" applyAlignment="0" applyProtection="0">
      <alignment vertical="center"/>
    </xf>
    <xf numFmtId="9" fontId="9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92" fillId="0" borderId="0" applyFont="0" applyFill="0" applyBorder="0" applyAlignment="0" applyProtection="0">
      <alignment vertical="center"/>
    </xf>
    <xf numFmtId="9" fontId="85" fillId="0" borderId="0" applyFont="0" applyFill="0" applyBorder="0" applyAlignment="0" applyProtection="0"/>
    <xf numFmtId="9" fontId="92" fillId="0" borderId="0" applyFont="0" applyFill="0" applyBorder="0" applyAlignment="0" applyProtection="0">
      <alignment vertical="center"/>
    </xf>
    <xf numFmtId="9" fontId="92" fillId="0" borderId="0" applyFont="0" applyFill="0" applyBorder="0" applyAlignment="0" applyProtection="0">
      <alignment vertical="center"/>
    </xf>
    <xf numFmtId="9" fontId="85" fillId="0" borderId="0" applyFont="0" applyFill="0" applyBorder="0" applyAlignment="0" applyProtection="0"/>
    <xf numFmtId="9" fontId="85" fillId="0" borderId="0" applyFont="0" applyFill="0" applyBorder="0" applyAlignment="0" applyProtection="0"/>
    <xf numFmtId="44" fontId="91" fillId="0" borderId="0" applyFont="0" applyFill="0" applyBorder="0" applyAlignment="0" applyProtection="0">
      <alignment vertical="center"/>
    </xf>
    <xf numFmtId="0" fontId="95" fillId="0" borderId="0">
      <alignment vertical="center"/>
    </xf>
    <xf numFmtId="0" fontId="96" fillId="17" borderId="0" applyNumberFormat="0" applyBorder="0" applyAlignment="0" applyProtection="0">
      <alignment vertical="center"/>
    </xf>
    <xf numFmtId="0" fontId="96" fillId="17" borderId="0" applyNumberFormat="0" applyBorder="0" applyAlignment="0" applyProtection="0">
      <alignment vertical="center"/>
    </xf>
    <xf numFmtId="0" fontId="97" fillId="17" borderId="0" applyNumberFormat="0" applyBorder="0" applyAlignment="0" applyProtection="0">
      <alignment vertical="center"/>
    </xf>
    <xf numFmtId="0" fontId="96" fillId="17" borderId="0" applyNumberFormat="0" applyBorder="0" applyAlignment="0" applyProtection="0">
      <alignment vertical="center"/>
    </xf>
    <xf numFmtId="0" fontId="96" fillId="17" borderId="0" applyNumberFormat="0" applyBorder="0" applyAlignment="0" applyProtection="0">
      <alignment vertical="center"/>
    </xf>
    <xf numFmtId="0" fontId="96" fillId="17" borderId="0" applyNumberFormat="0" applyBorder="0" applyAlignment="0" applyProtection="0">
      <alignment vertical="center"/>
    </xf>
    <xf numFmtId="0" fontId="96" fillId="17" borderId="0" applyNumberFormat="0" applyBorder="0" applyAlignment="0" applyProtection="0">
      <alignment vertical="center"/>
    </xf>
    <xf numFmtId="0" fontId="96" fillId="17" borderId="0" applyNumberFormat="0" applyBorder="0" applyAlignment="0" applyProtection="0">
      <alignment vertical="center"/>
    </xf>
    <xf numFmtId="0" fontId="96" fillId="17" borderId="0" applyNumberFormat="0" applyBorder="0" applyAlignment="0" applyProtection="0">
      <alignment vertical="center"/>
    </xf>
    <xf numFmtId="0" fontId="96" fillId="17" borderId="0" applyNumberFormat="0" applyBorder="0" applyAlignment="0" applyProtection="0">
      <alignment vertical="center"/>
    </xf>
    <xf numFmtId="0" fontId="96" fillId="17" borderId="0" applyNumberFormat="0" applyBorder="0" applyAlignment="0" applyProtection="0">
      <alignment vertical="center"/>
    </xf>
    <xf numFmtId="0" fontId="97" fillId="17" borderId="0" applyNumberFormat="0" applyBorder="0" applyAlignment="0" applyProtection="0">
      <alignment vertical="center"/>
    </xf>
    <xf numFmtId="43" fontId="2"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cellStyleXfs>
  <cellXfs count="883">
    <xf numFmtId="0" fontId="0" fillId="0" borderId="0" xfId="0" applyFont="1" applyAlignment="1"/>
    <xf numFmtId="0" fontId="6" fillId="0" borderId="0" xfId="0" applyFont="1" applyAlignment="1">
      <alignment shrinkToFit="1"/>
    </xf>
    <xf numFmtId="0" fontId="0" fillId="0" borderId="0" xfId="0" applyFont="1" applyAlignment="1">
      <alignment shrinkToFit="1"/>
    </xf>
    <xf numFmtId="0" fontId="6" fillId="0" borderId="1" xfId="0" applyFont="1" applyBorder="1" applyAlignment="1">
      <alignment horizontal="right" shrinkToFit="1"/>
    </xf>
    <xf numFmtId="0" fontId="6" fillId="0" borderId="1" xfId="0" applyFont="1" applyBorder="1" applyAlignment="1">
      <alignment shrinkToFit="1"/>
    </xf>
    <xf numFmtId="0" fontId="6" fillId="0" borderId="2" xfId="0" applyFont="1" applyBorder="1" applyAlignment="1">
      <alignment shrinkToFit="1"/>
    </xf>
    <xf numFmtId="0" fontId="7" fillId="0" borderId="3" xfId="0" applyFont="1" applyBorder="1" applyAlignment="1">
      <alignment shrinkToFit="1"/>
    </xf>
    <xf numFmtId="0" fontId="7" fillId="2" borderId="1" xfId="0" applyFont="1" applyFill="1" applyBorder="1" applyAlignment="1">
      <alignment shrinkToFit="1"/>
    </xf>
    <xf numFmtId="0" fontId="6" fillId="2" borderId="1" xfId="0" applyFont="1" applyFill="1" applyBorder="1" applyAlignment="1">
      <alignment shrinkToFit="1"/>
    </xf>
    <xf numFmtId="3" fontId="6" fillId="0" borderId="1" xfId="0" applyNumberFormat="1" applyFont="1" applyBorder="1" applyAlignment="1">
      <alignment shrinkToFit="1"/>
    </xf>
    <xf numFmtId="3" fontId="6" fillId="3" borderId="1" xfId="0" applyNumberFormat="1" applyFont="1" applyFill="1" applyBorder="1" applyAlignment="1">
      <alignment shrinkToFit="1"/>
    </xf>
    <xf numFmtId="4" fontId="6" fillId="0" borderId="1" xfId="0" applyNumberFormat="1" applyFont="1" applyBorder="1" applyAlignment="1">
      <alignment horizontal="right" shrinkToFit="1"/>
    </xf>
    <xf numFmtId="10" fontId="6" fillId="2" borderId="1" xfId="0" applyNumberFormat="1" applyFont="1" applyFill="1" applyBorder="1" applyAlignment="1">
      <alignment horizontal="right" shrinkToFit="1"/>
    </xf>
    <xf numFmtId="10" fontId="6" fillId="3" borderId="1" xfId="0" applyNumberFormat="1" applyFont="1" applyFill="1" applyBorder="1" applyAlignment="1">
      <alignment shrinkToFit="1"/>
    </xf>
    <xf numFmtId="10" fontId="6" fillId="0" borderId="1" xfId="0" applyNumberFormat="1" applyFont="1" applyBorder="1" applyAlignment="1">
      <alignment shrinkToFit="1"/>
    </xf>
    <xf numFmtId="10" fontId="7" fillId="0" borderId="0" xfId="0" applyNumberFormat="1" applyFont="1" applyAlignment="1">
      <alignment shrinkToFit="1"/>
    </xf>
    <xf numFmtId="0" fontId="6" fillId="3" borderId="1" xfId="0" applyFont="1" applyFill="1" applyBorder="1" applyAlignment="1">
      <alignment shrinkToFit="1"/>
    </xf>
    <xf numFmtId="4" fontId="6" fillId="0" borderId="1" xfId="0" applyNumberFormat="1" applyFont="1" applyBorder="1" applyAlignment="1">
      <alignment shrinkToFit="1"/>
    </xf>
    <xf numFmtId="0" fontId="7" fillId="2" borderId="5" xfId="0" applyFont="1" applyFill="1" applyBorder="1" applyAlignment="1">
      <alignment shrinkToFit="1"/>
    </xf>
    <xf numFmtId="0" fontId="7" fillId="2" borderId="3" xfId="0" applyFont="1" applyFill="1" applyBorder="1" applyAlignment="1">
      <alignment shrinkToFit="1"/>
    </xf>
    <xf numFmtId="0" fontId="7" fillId="2" borderId="6" xfId="0" applyFont="1" applyFill="1" applyBorder="1" applyAlignment="1">
      <alignment shrinkToFit="1"/>
    </xf>
    <xf numFmtId="0" fontId="6" fillId="2" borderId="3" xfId="0" applyFont="1" applyFill="1" applyBorder="1" applyAlignment="1">
      <alignment shrinkToFit="1"/>
    </xf>
    <xf numFmtId="0" fontId="6" fillId="2" borderId="6" xfId="0" applyFont="1" applyFill="1" applyBorder="1" applyAlignment="1">
      <alignment shrinkToFit="1"/>
    </xf>
    <xf numFmtId="0" fontId="7" fillId="2" borderId="7" xfId="0" applyFont="1" applyFill="1" applyBorder="1" applyAlignment="1">
      <alignment shrinkToFit="1"/>
    </xf>
    <xf numFmtId="0" fontId="6" fillId="0" borderId="3" xfId="0" applyFont="1" applyBorder="1" applyAlignment="1">
      <alignment shrinkToFit="1"/>
    </xf>
    <xf numFmtId="0" fontId="6" fillId="2" borderId="7" xfId="0" applyFont="1" applyFill="1" applyBorder="1" applyAlignment="1">
      <alignment shrinkToFit="1"/>
    </xf>
    <xf numFmtId="0" fontId="7" fillId="0" borderId="8" xfId="0" applyFont="1" applyBorder="1" applyAlignment="1">
      <alignment shrinkToFit="1"/>
    </xf>
    <xf numFmtId="0" fontId="6" fillId="0" borderId="5" xfId="0" applyFont="1" applyBorder="1" applyAlignment="1">
      <alignment shrinkToFit="1"/>
    </xf>
    <xf numFmtId="0" fontId="6" fillId="0" borderId="14" xfId="0" applyFont="1" applyBorder="1" applyAlignment="1">
      <alignment shrinkToFit="1"/>
    </xf>
    <xf numFmtId="0" fontId="6" fillId="0" borderId="8" xfId="0" applyFont="1" applyBorder="1" applyAlignment="1">
      <alignment shrinkToFit="1"/>
    </xf>
    <xf numFmtId="10" fontId="6" fillId="0" borderId="5" xfId="0" applyNumberFormat="1" applyFont="1" applyBorder="1" applyAlignment="1">
      <alignment shrinkToFit="1"/>
    </xf>
    <xf numFmtId="0" fontId="6" fillId="3" borderId="5" xfId="0" applyFont="1" applyFill="1" applyBorder="1" applyAlignment="1">
      <alignment shrinkToFit="1"/>
    </xf>
    <xf numFmtId="0" fontId="6" fillId="2" borderId="15" xfId="0" applyFont="1" applyFill="1" applyBorder="1" applyAlignment="1">
      <alignment shrinkToFit="1"/>
    </xf>
    <xf numFmtId="10" fontId="6" fillId="3" borderId="17" xfId="0" applyNumberFormat="1" applyFont="1" applyFill="1" applyBorder="1" applyAlignment="1">
      <alignment shrinkToFit="1"/>
    </xf>
    <xf numFmtId="0" fontId="6" fillId="3" borderId="18" xfId="0" applyFont="1" applyFill="1" applyBorder="1" applyAlignment="1">
      <alignment shrinkToFit="1"/>
    </xf>
    <xf numFmtId="0" fontId="6" fillId="0" borderId="6" xfId="0" applyFont="1" applyBorder="1" applyAlignment="1">
      <alignment shrinkToFit="1"/>
    </xf>
    <xf numFmtId="10" fontId="6" fillId="0" borderId="6" xfId="0" applyNumberFormat="1" applyFont="1" applyBorder="1" applyAlignment="1">
      <alignment shrinkToFit="1"/>
    </xf>
    <xf numFmtId="0" fontId="6" fillId="3" borderId="6" xfId="0" applyFont="1" applyFill="1" applyBorder="1" applyAlignment="1">
      <alignment shrinkToFit="1"/>
    </xf>
    <xf numFmtId="10" fontId="6" fillId="0" borderId="0" xfId="0" applyNumberFormat="1" applyFont="1" applyAlignment="1">
      <alignment shrinkToFit="1"/>
    </xf>
    <xf numFmtId="10" fontId="6" fillId="2" borderId="1" xfId="0" applyNumberFormat="1" applyFont="1" applyFill="1" applyBorder="1" applyAlignment="1">
      <alignment shrinkToFit="1"/>
    </xf>
    <xf numFmtId="0" fontId="6" fillId="3" borderId="7" xfId="0" applyFont="1" applyFill="1" applyBorder="1" applyAlignment="1">
      <alignment shrinkToFit="1"/>
    </xf>
    <xf numFmtId="10" fontId="6" fillId="3" borderId="5" xfId="0" applyNumberFormat="1" applyFont="1" applyFill="1" applyBorder="1" applyAlignment="1">
      <alignment shrinkToFit="1"/>
    </xf>
    <xf numFmtId="0" fontId="6" fillId="0" borderId="11" xfId="0" applyFont="1" applyBorder="1" applyAlignment="1">
      <alignment shrinkToFit="1"/>
    </xf>
    <xf numFmtId="10" fontId="6" fillId="0" borderId="14" xfId="0" applyNumberFormat="1" applyFont="1" applyBorder="1" applyAlignment="1">
      <alignment shrinkToFit="1"/>
    </xf>
    <xf numFmtId="10" fontId="6" fillId="3" borderId="14" xfId="0" applyNumberFormat="1" applyFont="1" applyFill="1" applyBorder="1" applyAlignment="1">
      <alignment shrinkToFit="1"/>
    </xf>
    <xf numFmtId="0" fontId="6" fillId="2" borderId="2" xfId="0" applyFont="1" applyFill="1" applyBorder="1" applyAlignment="1">
      <alignment shrinkToFit="1"/>
    </xf>
    <xf numFmtId="0" fontId="6" fillId="2" borderId="4" xfId="0" applyFont="1" applyFill="1" applyBorder="1" applyAlignment="1">
      <alignment shrinkToFit="1"/>
    </xf>
    <xf numFmtId="0" fontId="0" fillId="0" borderId="0" xfId="0" applyFont="1" applyAlignment="1">
      <alignment shrinkToFit="1"/>
    </xf>
    <xf numFmtId="0" fontId="10" fillId="0" borderId="1" xfId="0" applyFont="1" applyBorder="1" applyAlignment="1">
      <alignment shrinkToFit="1"/>
    </xf>
    <xf numFmtId="0" fontId="10" fillId="2" borderId="1" xfId="0" applyFont="1" applyFill="1" applyBorder="1" applyAlignment="1">
      <alignment horizontal="left" shrinkToFit="1"/>
    </xf>
    <xf numFmtId="0" fontId="11" fillId="2" borderId="1" xfId="0" applyFont="1" applyFill="1" applyBorder="1" applyAlignment="1">
      <alignment shrinkToFit="1"/>
    </xf>
    <xf numFmtId="0" fontId="10" fillId="2" borderId="6" xfId="0" applyFont="1" applyFill="1" applyBorder="1" applyAlignment="1">
      <alignment shrinkToFit="1"/>
    </xf>
    <xf numFmtId="0" fontId="10" fillId="2" borderId="2" xfId="0" applyFont="1" applyFill="1" applyBorder="1" applyAlignment="1">
      <alignment shrinkToFit="1"/>
    </xf>
    <xf numFmtId="0" fontId="11" fillId="2" borderId="5" xfId="0" applyFont="1" applyFill="1" applyBorder="1" applyAlignment="1">
      <alignment shrinkToFit="1"/>
    </xf>
    <xf numFmtId="0" fontId="11" fillId="2" borderId="4" xfId="0" applyFont="1" applyFill="1" applyBorder="1" applyAlignment="1">
      <alignment shrinkToFit="1"/>
    </xf>
    <xf numFmtId="0" fontId="6" fillId="2" borderId="22" xfId="0" applyFont="1" applyFill="1" applyBorder="1" applyAlignment="1">
      <alignment shrinkToFit="1"/>
    </xf>
    <xf numFmtId="0" fontId="6" fillId="2" borderId="23" xfId="0" applyFont="1" applyFill="1" applyBorder="1" applyAlignment="1">
      <alignment shrinkToFit="1"/>
    </xf>
    <xf numFmtId="0" fontId="10" fillId="2" borderId="22" xfId="0" applyFont="1" applyFill="1" applyBorder="1" applyAlignment="1">
      <alignment shrinkToFit="1"/>
    </xf>
    <xf numFmtId="0" fontId="10" fillId="2" borderId="1" xfId="0" applyFont="1" applyFill="1" applyBorder="1" applyAlignment="1">
      <alignment shrinkToFit="1"/>
    </xf>
    <xf numFmtId="0" fontId="10" fillId="2" borderId="4" xfId="0" applyFont="1" applyFill="1" applyBorder="1" applyAlignment="1">
      <alignment shrinkToFit="1"/>
    </xf>
    <xf numFmtId="0" fontId="10" fillId="2" borderId="16" xfId="0" applyFont="1" applyFill="1" applyBorder="1" applyAlignment="1">
      <alignment shrinkToFit="1"/>
    </xf>
    <xf numFmtId="0" fontId="10" fillId="4" borderId="0" xfId="0" applyFont="1" applyFill="1" applyAlignment="1"/>
    <xf numFmtId="0" fontId="11" fillId="4" borderId="0" xfId="0" applyFont="1" applyFill="1" applyAlignment="1">
      <alignment shrinkToFit="1"/>
    </xf>
    <xf numFmtId="0" fontId="10" fillId="4" borderId="0" xfId="0" applyFont="1" applyFill="1" applyAlignment="1">
      <alignment shrinkToFit="1"/>
    </xf>
    <xf numFmtId="0" fontId="7" fillId="4" borderId="0" xfId="0" applyFont="1" applyFill="1" applyAlignment="1">
      <alignment shrinkToFit="1"/>
    </xf>
    <xf numFmtId="0" fontId="6" fillId="4" borderId="0" xfId="0" applyFont="1" applyFill="1" applyAlignment="1"/>
    <xf numFmtId="10" fontId="6" fillId="4" borderId="0" xfId="0" applyNumberFormat="1" applyFont="1" applyFill="1" applyAlignment="1">
      <alignment shrinkToFit="1"/>
    </xf>
    <xf numFmtId="0" fontId="6" fillId="4" borderId="0" xfId="0" applyFont="1" applyFill="1" applyAlignment="1">
      <alignment shrinkToFit="1"/>
    </xf>
    <xf numFmtId="0" fontId="0" fillId="4" borderId="0" xfId="0" applyFont="1" applyFill="1" applyAlignment="1">
      <alignment shrinkToFit="1"/>
    </xf>
    <xf numFmtId="0" fontId="6" fillId="2" borderId="24" xfId="0" applyFont="1" applyFill="1" applyBorder="1" applyAlignment="1">
      <alignment shrinkToFit="1"/>
    </xf>
    <xf numFmtId="0" fontId="11" fillId="0" borderId="11" xfId="0" applyFont="1" applyBorder="1" applyAlignment="1">
      <alignment horizontal="right" shrinkToFit="1"/>
    </xf>
    <xf numFmtId="0" fontId="11" fillId="0" borderId="3" xfId="0" applyFont="1" applyBorder="1" applyAlignment="1">
      <alignment horizontal="right" shrinkToFit="1"/>
    </xf>
    <xf numFmtId="0" fontId="13" fillId="0" borderId="0" xfId="0" applyFont="1" applyAlignment="1">
      <alignment horizontal="center"/>
    </xf>
    <xf numFmtId="10" fontId="13" fillId="0" borderId="0" xfId="0" applyNumberFormat="1" applyFont="1" applyAlignment="1"/>
    <xf numFmtId="0" fontId="13" fillId="0" borderId="0" xfId="0" applyFont="1" applyAlignment="1"/>
    <xf numFmtId="0" fontId="17" fillId="0" borderId="0" xfId="0" applyFont="1" applyAlignment="1">
      <alignment horizontal="left" vertical="center"/>
    </xf>
    <xf numFmtId="0" fontId="0" fillId="0" borderId="0" xfId="0" applyFont="1" applyAlignment="1">
      <alignment shrinkToFit="1"/>
    </xf>
    <xf numFmtId="0" fontId="25" fillId="0" borderId="0" xfId="0" applyFont="1" applyAlignment="1"/>
    <xf numFmtId="176" fontId="26" fillId="5" borderId="0" xfId="0" applyNumberFormat="1" applyFont="1" applyFill="1" applyAlignment="1">
      <alignment horizontal="center" vertical="center"/>
    </xf>
    <xf numFmtId="0" fontId="25" fillId="0" borderId="0" xfId="0" applyFont="1" applyAlignment="1">
      <alignment horizontal="center" vertical="center"/>
    </xf>
    <xf numFmtId="0" fontId="25" fillId="0" borderId="0" xfId="0" applyFont="1" applyAlignment="1">
      <alignment horizontal="center"/>
    </xf>
    <xf numFmtId="0" fontId="25" fillId="0" borderId="0" xfId="0" applyFont="1" applyAlignment="1">
      <alignment vertical="center"/>
    </xf>
    <xf numFmtId="0" fontId="13" fillId="0" borderId="0" xfId="0" applyFont="1" applyFill="1" applyAlignment="1">
      <alignment vertical="center"/>
    </xf>
    <xf numFmtId="0" fontId="25" fillId="0" borderId="0" xfId="0" applyFont="1" applyFill="1" applyAlignment="1"/>
    <xf numFmtId="0" fontId="25" fillId="0" borderId="0" xfId="0" applyFont="1" applyFill="1" applyAlignment="1">
      <alignment horizontal="center"/>
    </xf>
    <xf numFmtId="176" fontId="26" fillId="0" borderId="0" xfId="0" applyNumberFormat="1" applyFont="1" applyFill="1" applyAlignment="1">
      <alignment horizontal="center" vertical="center"/>
    </xf>
    <xf numFmtId="179" fontId="25" fillId="0" borderId="0" xfId="0" applyNumberFormat="1" applyFont="1" applyFill="1" applyAlignment="1">
      <alignment horizontal="center"/>
    </xf>
    <xf numFmtId="176" fontId="25" fillId="0" borderId="0" xfId="0" applyNumberFormat="1" applyFont="1" applyFill="1" applyAlignment="1"/>
    <xf numFmtId="177" fontId="25" fillId="0" borderId="0" xfId="0" applyNumberFormat="1" applyFont="1" applyFill="1" applyAlignment="1"/>
    <xf numFmtId="178" fontId="25" fillId="0" borderId="0" xfId="0" applyNumberFormat="1" applyFont="1" applyFill="1" applyAlignment="1"/>
    <xf numFmtId="10" fontId="25" fillId="0" borderId="0" xfId="0" applyNumberFormat="1" applyFont="1" applyFill="1" applyAlignment="1"/>
    <xf numFmtId="176" fontId="26" fillId="6" borderId="0" xfId="0" applyNumberFormat="1" applyFont="1" applyFill="1" applyAlignment="1">
      <alignment horizontal="center" vertical="center"/>
    </xf>
    <xf numFmtId="176" fontId="26" fillId="7" borderId="0" xfId="0" applyNumberFormat="1" applyFont="1" applyFill="1" applyAlignment="1">
      <alignment horizontal="center" vertical="center"/>
    </xf>
    <xf numFmtId="180" fontId="25" fillId="0" borderId="0" xfId="0" applyNumberFormat="1" applyFont="1" applyFill="1" applyAlignment="1"/>
    <xf numFmtId="180" fontId="13" fillId="0" borderId="0" xfId="0" applyNumberFormat="1" applyFont="1" applyAlignment="1"/>
    <xf numFmtId="176" fontId="16" fillId="0" borderId="0" xfId="0" applyNumberFormat="1" applyFont="1" applyFill="1" applyAlignment="1">
      <alignment horizontal="center" vertical="center"/>
    </xf>
    <xf numFmtId="180" fontId="16" fillId="0" borderId="0" xfId="0" applyNumberFormat="1" applyFont="1" applyFill="1" applyAlignment="1">
      <alignment horizontal="center" vertical="center"/>
    </xf>
    <xf numFmtId="182" fontId="25" fillId="0" borderId="0" xfId="0" applyNumberFormat="1" applyFont="1" applyFill="1" applyAlignment="1"/>
    <xf numFmtId="0" fontId="25" fillId="0" borderId="0" xfId="0" applyFont="1" applyFill="1" applyAlignment="1">
      <alignment vertical="center"/>
    </xf>
    <xf numFmtId="182" fontId="26" fillId="0" borderId="22" xfId="0" applyNumberFormat="1" applyFont="1" applyFill="1" applyBorder="1" applyAlignment="1">
      <alignment horizontal="center" vertical="center"/>
    </xf>
    <xf numFmtId="10" fontId="26" fillId="0" borderId="22" xfId="0" applyNumberFormat="1" applyFont="1" applyFill="1" applyBorder="1" applyAlignment="1">
      <alignment horizontal="center" vertical="center"/>
    </xf>
    <xf numFmtId="10" fontId="25" fillId="0" borderId="22" xfId="0" applyNumberFormat="1" applyFont="1" applyFill="1" applyBorder="1" applyAlignment="1"/>
    <xf numFmtId="182" fontId="25" fillId="0" borderId="0" xfId="0" applyNumberFormat="1" applyFont="1" applyFill="1" applyAlignment="1">
      <alignment horizontal="center"/>
    </xf>
    <xf numFmtId="0" fontId="28" fillId="0" borderId="0" xfId="0" applyFont="1" applyFill="1" applyAlignment="1"/>
    <xf numFmtId="177" fontId="25" fillId="0" borderId="0" xfId="0" applyNumberFormat="1" applyFont="1" applyFill="1" applyAlignment="1">
      <alignment horizontal="center"/>
    </xf>
    <xf numFmtId="177" fontId="16" fillId="0" borderId="22" xfId="0" applyNumberFormat="1" applyFont="1" applyFill="1" applyBorder="1" applyAlignment="1">
      <alignment horizontal="center" vertical="center"/>
    </xf>
    <xf numFmtId="177" fontId="25" fillId="0" borderId="22" xfId="0" applyNumberFormat="1" applyFont="1" applyFill="1" applyBorder="1" applyAlignment="1"/>
    <xf numFmtId="0" fontId="0" fillId="0" borderId="0" xfId="0" applyFont="1" applyAlignment="1">
      <alignment horizontal="center" vertical="center"/>
    </xf>
    <xf numFmtId="0" fontId="0" fillId="0" borderId="0" xfId="0" applyFont="1" applyAlignment="1">
      <alignment vertical="center"/>
    </xf>
    <xf numFmtId="0" fontId="0" fillId="0" borderId="0" xfId="0" applyFont="1" applyAlignment="1">
      <alignment vertical="center" shrinkToFit="1"/>
    </xf>
    <xf numFmtId="0" fontId="0" fillId="0" borderId="0" xfId="0" applyFont="1" applyAlignment="1">
      <alignment horizontal="center" vertical="center" shrinkToFit="1"/>
    </xf>
    <xf numFmtId="0" fontId="0" fillId="0" borderId="0" xfId="0" applyFont="1" applyAlignment="1">
      <alignment wrapText="1" shrinkToFit="1"/>
    </xf>
    <xf numFmtId="0" fontId="6" fillId="0" borderId="3" xfId="0" applyFont="1" applyBorder="1" applyAlignment="1">
      <alignment vertical="center" shrinkToFit="1"/>
    </xf>
    <xf numFmtId="0" fontId="6" fillId="0" borderId="8" xfId="0" applyFont="1" applyBorder="1" applyAlignment="1">
      <alignment vertical="center" shrinkToFit="1"/>
    </xf>
    <xf numFmtId="0" fontId="10" fillId="2" borderId="1" xfId="0" applyFont="1" applyFill="1" applyBorder="1" applyAlignment="1">
      <alignment horizontal="center" vertical="center" shrinkToFit="1"/>
    </xf>
    <xf numFmtId="0" fontId="10" fillId="2" borderId="4" xfId="0" applyFont="1" applyFill="1" applyBorder="1" applyAlignment="1">
      <alignment horizontal="center" vertical="center" shrinkToFit="1"/>
    </xf>
    <xf numFmtId="0" fontId="10" fillId="2" borderId="2" xfId="0" applyFont="1" applyFill="1" applyBorder="1" applyAlignment="1">
      <alignment horizontal="center" vertical="center" shrinkToFit="1"/>
    </xf>
    <xf numFmtId="0" fontId="10" fillId="2" borderId="3" xfId="0" applyFont="1" applyFill="1" applyBorder="1" applyAlignment="1">
      <alignment horizontal="center" vertical="center" shrinkToFit="1"/>
    </xf>
    <xf numFmtId="0" fontId="6" fillId="2" borderId="1" xfId="0" applyFont="1" applyFill="1" applyBorder="1" applyAlignment="1">
      <alignment horizontal="center" vertical="center" shrinkToFit="1"/>
    </xf>
    <xf numFmtId="0" fontId="10" fillId="2" borderId="16" xfId="0" applyFont="1" applyFill="1" applyBorder="1" applyAlignment="1">
      <alignment horizontal="center" shrinkToFit="1"/>
    </xf>
    <xf numFmtId="0" fontId="25" fillId="0" borderId="0" xfId="0" applyFont="1" applyAlignment="1">
      <alignment shrinkToFit="1"/>
    </xf>
    <xf numFmtId="0" fontId="25" fillId="4" borderId="0" xfId="0" applyFont="1" applyFill="1" applyAlignment="1">
      <alignment shrinkToFit="1"/>
    </xf>
    <xf numFmtId="0" fontId="25" fillId="0" borderId="0" xfId="0" applyFont="1" applyFill="1" applyAlignment="1">
      <alignment shrinkToFit="1"/>
    </xf>
    <xf numFmtId="0" fontId="27" fillId="0" borderId="0" xfId="0" applyFont="1" applyFill="1" applyAlignment="1">
      <alignment shrinkToFit="1"/>
    </xf>
    <xf numFmtId="0" fontId="44" fillId="0" borderId="0" xfId="0" applyFont="1" applyFill="1" applyBorder="1" applyAlignment="1">
      <alignment shrinkToFit="1"/>
    </xf>
    <xf numFmtId="0" fontId="25" fillId="0" borderId="22" xfId="0" applyFont="1" applyFill="1" applyBorder="1" applyAlignment="1">
      <alignment shrinkToFit="1"/>
    </xf>
    <xf numFmtId="0" fontId="25" fillId="0" borderId="0" xfId="0" applyFont="1" applyFill="1" applyAlignment="1">
      <alignment horizontal="center" shrinkToFit="1"/>
    </xf>
    <xf numFmtId="0" fontId="27" fillId="0" borderId="0" xfId="0" applyFont="1" applyFill="1" applyAlignment="1">
      <alignment horizontal="center" shrinkToFit="1"/>
    </xf>
    <xf numFmtId="0" fontId="25" fillId="0" borderId="0" xfId="0" applyFont="1" applyFill="1" applyAlignment="1">
      <alignment horizontal="center" vertical="center" shrinkToFit="1"/>
    </xf>
    <xf numFmtId="0" fontId="44" fillId="0" borderId="22" xfId="0" applyFont="1" applyFill="1" applyBorder="1" applyAlignment="1">
      <alignment shrinkToFit="1"/>
    </xf>
    <xf numFmtId="4" fontId="27" fillId="0" borderId="22" xfId="0" applyNumberFormat="1" applyFont="1" applyFill="1" applyBorder="1" applyAlignment="1">
      <alignment shrinkToFit="1"/>
    </xf>
    <xf numFmtId="0" fontId="25" fillId="4" borderId="0" xfId="0" applyFont="1" applyFill="1" applyBorder="1" applyAlignment="1">
      <alignment shrinkToFit="1"/>
    </xf>
    <xf numFmtId="0" fontId="27" fillId="4" borderId="0" xfId="0" applyFont="1" applyFill="1" applyBorder="1" applyAlignment="1">
      <alignment shrinkToFit="1"/>
    </xf>
    <xf numFmtId="0" fontId="48" fillId="0" borderId="0" xfId="0" applyFont="1" applyFill="1" applyBorder="1" applyAlignment="1"/>
    <xf numFmtId="0" fontId="25" fillId="0" borderId="0" xfId="0" applyFont="1" applyFill="1" applyBorder="1" applyAlignment="1">
      <alignment shrinkToFit="1"/>
    </xf>
    <xf numFmtId="0" fontId="50" fillId="0" borderId="0" xfId="0" applyFont="1" applyFill="1" applyBorder="1" applyAlignment="1"/>
    <xf numFmtId="0" fontId="25" fillId="0" borderId="0" xfId="0" applyFont="1" applyFill="1" applyBorder="1" applyAlignment="1">
      <alignment horizontal="center" shrinkToFit="1"/>
    </xf>
    <xf numFmtId="0" fontId="25" fillId="0" borderId="0" xfId="0" applyFont="1" applyFill="1" applyBorder="1" applyAlignment="1">
      <alignment horizontal="center" vertical="center" shrinkToFit="1"/>
    </xf>
    <xf numFmtId="10" fontId="44" fillId="0" borderId="0" xfId="0" applyNumberFormat="1" applyFont="1" applyFill="1" applyBorder="1" applyAlignment="1">
      <alignment shrinkToFit="1"/>
    </xf>
    <xf numFmtId="0" fontId="45" fillId="0" borderId="0" xfId="0" applyFont="1" applyFill="1" applyBorder="1" applyAlignment="1"/>
    <xf numFmtId="0" fontId="51" fillId="0" borderId="22" xfId="0" applyFont="1" applyFill="1" applyBorder="1" applyAlignment="1">
      <alignment horizontal="center" vertical="center" shrinkToFit="1"/>
    </xf>
    <xf numFmtId="0" fontId="51" fillId="8" borderId="22" xfId="0" applyFont="1" applyFill="1" applyBorder="1" applyAlignment="1">
      <alignment horizontal="center" vertical="center" shrinkToFit="1"/>
    </xf>
    <xf numFmtId="0" fontId="44" fillId="0" borderId="22" xfId="0" applyFont="1" applyFill="1" applyBorder="1" applyAlignment="1">
      <alignment horizontal="center" shrinkToFit="1"/>
    </xf>
    <xf numFmtId="3" fontId="27" fillId="0" borderId="22" xfId="0" applyNumberFormat="1" applyFont="1" applyFill="1" applyBorder="1" applyAlignment="1">
      <alignment shrinkToFit="1"/>
    </xf>
    <xf numFmtId="10" fontId="27" fillId="0" borderId="22" xfId="0" applyNumberFormat="1" applyFont="1" applyFill="1" applyBorder="1" applyAlignment="1">
      <alignment shrinkToFit="1"/>
    </xf>
    <xf numFmtId="4" fontId="27" fillId="0" borderId="22" xfId="0" applyNumberFormat="1" applyFont="1" applyFill="1" applyBorder="1" applyAlignment="1">
      <alignment horizontal="right" shrinkToFit="1"/>
    </xf>
    <xf numFmtId="0" fontId="44" fillId="0" borderId="22" xfId="0" applyFont="1" applyFill="1" applyBorder="1" applyAlignment="1">
      <alignment horizontal="center" vertical="center" shrinkToFit="1"/>
    </xf>
    <xf numFmtId="0" fontId="52" fillId="0" borderId="22" xfId="0" applyFont="1" applyFill="1" applyBorder="1" applyAlignment="1">
      <alignment horizontal="center" shrinkToFit="1"/>
    </xf>
    <xf numFmtId="0" fontId="6" fillId="0" borderId="0" xfId="0" applyFont="1" applyBorder="1" applyAlignment="1">
      <alignment horizontal="center" vertical="center" shrinkToFit="1"/>
    </xf>
    <xf numFmtId="0" fontId="6" fillId="0" borderId="0" xfId="0" applyFont="1" applyBorder="1" applyAlignment="1">
      <alignment horizontal="right" shrinkToFit="1"/>
    </xf>
    <xf numFmtId="0" fontId="10" fillId="0" borderId="0" xfId="0" applyFont="1" applyBorder="1" applyAlignment="1">
      <alignment shrinkToFit="1"/>
    </xf>
    <xf numFmtId="0" fontId="6" fillId="0" borderId="0" xfId="0" applyFont="1" applyBorder="1" applyAlignment="1">
      <alignment shrinkToFit="1"/>
    </xf>
    <xf numFmtId="0" fontId="25" fillId="0" borderId="0" xfId="0" applyFont="1" applyBorder="1" applyAlignment="1">
      <alignment shrinkToFit="1"/>
    </xf>
    <xf numFmtId="0" fontId="25" fillId="4" borderId="0" xfId="0" applyFont="1" applyFill="1" applyBorder="1" applyAlignment="1">
      <alignment horizontal="center" vertical="center" shrinkToFit="1"/>
    </xf>
    <xf numFmtId="0" fontId="25" fillId="0" borderId="0" xfId="0" applyFont="1" applyAlignment="1">
      <alignment horizontal="center" vertical="center" shrinkToFit="1"/>
    </xf>
    <xf numFmtId="0" fontId="25" fillId="4" borderId="0" xfId="0" applyFont="1" applyFill="1" applyBorder="1" applyAlignment="1">
      <alignment horizontal="center" shrinkToFit="1"/>
    </xf>
    <xf numFmtId="0" fontId="27" fillId="0" borderId="22" xfId="0" applyFont="1" applyBorder="1" applyAlignment="1">
      <alignment horizontal="center" vertical="center" shrinkToFit="1"/>
    </xf>
    <xf numFmtId="0" fontId="27" fillId="0" borderId="22" xfId="0" applyFont="1" applyBorder="1" applyAlignment="1">
      <alignment horizontal="center" shrinkToFit="1"/>
    </xf>
    <xf numFmtId="0" fontId="44" fillId="0" borderId="22" xfId="0" applyFont="1" applyBorder="1" applyAlignment="1">
      <alignment horizontal="center" shrinkToFit="1"/>
    </xf>
    <xf numFmtId="0" fontId="25" fillId="4" borderId="22" xfId="0" applyFont="1" applyFill="1" applyBorder="1" applyAlignment="1">
      <alignment horizontal="center" shrinkToFit="1"/>
    </xf>
    <xf numFmtId="0" fontId="27" fillId="4" borderId="22" xfId="0" applyFont="1" applyFill="1" applyBorder="1" applyAlignment="1">
      <alignment horizontal="center" shrinkToFit="1"/>
    </xf>
    <xf numFmtId="0" fontId="25" fillId="0" borderId="0" xfId="0" applyFont="1" applyAlignment="1">
      <alignment vertical="center" shrinkToFit="1"/>
    </xf>
    <xf numFmtId="0" fontId="25" fillId="0" borderId="0" xfId="0" applyFont="1" applyAlignment="1">
      <alignment horizontal="center" shrinkToFit="1"/>
    </xf>
    <xf numFmtId="0" fontId="27" fillId="2" borderId="22" xfId="0" applyFont="1" applyFill="1" applyBorder="1" applyAlignment="1">
      <alignment horizontal="center" vertical="center" shrinkToFit="1"/>
    </xf>
    <xf numFmtId="0" fontId="27" fillId="0" borderId="22" xfId="0" applyFont="1" applyBorder="1" applyAlignment="1">
      <alignment shrinkToFit="1"/>
    </xf>
    <xf numFmtId="0" fontId="44" fillId="0" borderId="22" xfId="0" applyFont="1" applyBorder="1" applyAlignment="1">
      <alignment horizontal="right" shrinkToFit="1"/>
    </xf>
    <xf numFmtId="0" fontId="27" fillId="5" borderId="22" xfId="0" applyFont="1" applyFill="1" applyBorder="1" applyAlignment="1">
      <alignment horizontal="center" vertical="center" shrinkToFit="1"/>
    </xf>
    <xf numFmtId="0" fontId="27" fillId="5" borderId="22" xfId="0" applyFont="1" applyFill="1" applyBorder="1" applyAlignment="1">
      <alignment horizontal="center" shrinkToFit="1"/>
    </xf>
    <xf numFmtId="0" fontId="44" fillId="5" borderId="22" xfId="0" applyFont="1" applyFill="1" applyBorder="1" applyAlignment="1">
      <alignment horizontal="center" shrinkToFit="1"/>
    </xf>
    <xf numFmtId="0" fontId="25" fillId="5" borderId="22" xfId="0" applyFont="1" applyFill="1" applyBorder="1" applyAlignment="1">
      <alignment horizontal="center" shrinkToFit="1"/>
    </xf>
    <xf numFmtId="0" fontId="27" fillId="2" borderId="1" xfId="0" applyFont="1" applyFill="1" applyBorder="1" applyAlignment="1">
      <alignment horizontal="center" vertical="center" shrinkToFit="1"/>
    </xf>
    <xf numFmtId="0" fontId="27" fillId="0" borderId="3" xfId="0" applyFont="1" applyBorder="1" applyAlignment="1">
      <alignment vertical="center" shrinkToFit="1"/>
    </xf>
    <xf numFmtId="0" fontId="27" fillId="0" borderId="1" xfId="0" applyFont="1" applyBorder="1" applyAlignment="1">
      <alignment shrinkToFit="1"/>
    </xf>
    <xf numFmtId="0" fontId="27" fillId="0" borderId="8" xfId="0" applyFont="1" applyBorder="1" applyAlignment="1">
      <alignment vertical="center" shrinkToFit="1"/>
    </xf>
    <xf numFmtId="0" fontId="27" fillId="0" borderId="5" xfId="0" applyFont="1" applyBorder="1" applyAlignment="1">
      <alignment shrinkToFit="1"/>
    </xf>
    <xf numFmtId="0" fontId="25" fillId="0" borderId="0" xfId="0" applyFont="1" applyAlignment="1">
      <alignment wrapText="1" shrinkToFit="1"/>
    </xf>
    <xf numFmtId="0" fontId="25" fillId="0" borderId="0" xfId="0" applyFont="1" applyAlignment="1">
      <alignment horizontal="center" vertical="center" wrapText="1" shrinkToFit="1"/>
    </xf>
    <xf numFmtId="10" fontId="27" fillId="2" borderId="22" xfId="0" applyNumberFormat="1" applyFont="1" applyFill="1" applyBorder="1" applyAlignment="1">
      <alignment horizontal="center" vertical="center" shrinkToFit="1"/>
    </xf>
    <xf numFmtId="10" fontId="27" fillId="0" borderId="22" xfId="0" applyNumberFormat="1" applyFont="1" applyBorder="1" applyAlignment="1">
      <alignment shrinkToFit="1"/>
    </xf>
    <xf numFmtId="10" fontId="27" fillId="3" borderId="22" xfId="0" applyNumberFormat="1" applyFont="1" applyFill="1" applyBorder="1" applyAlignment="1">
      <alignment shrinkToFit="1"/>
    </xf>
    <xf numFmtId="0" fontId="27" fillId="2" borderId="23" xfId="0" applyFont="1" applyFill="1" applyBorder="1" applyAlignment="1">
      <alignment horizontal="center" vertical="center" shrinkToFit="1"/>
    </xf>
    <xf numFmtId="10" fontId="27" fillId="2" borderId="23" xfId="0" applyNumberFormat="1" applyFont="1" applyFill="1" applyBorder="1" applyAlignment="1">
      <alignment horizontal="center" vertical="center" shrinkToFit="1"/>
    </xf>
    <xf numFmtId="1" fontId="0" fillId="0" borderId="22" xfId="0" applyNumberFormat="1" applyFont="1" applyBorder="1" applyAlignment="1">
      <alignment horizontal="center" vertical="center"/>
    </xf>
    <xf numFmtId="0" fontId="25" fillId="0" borderId="0" xfId="11" applyFont="1" applyAlignment="1">
      <alignment shrinkToFit="1"/>
    </xf>
    <xf numFmtId="0" fontId="25" fillId="4" borderId="0" xfId="11" applyFont="1" applyFill="1" applyAlignment="1">
      <alignment shrinkToFit="1"/>
    </xf>
    <xf numFmtId="0" fontId="25" fillId="0" borderId="0" xfId="11" applyFont="1" applyBorder="1" applyAlignment="1">
      <alignment shrinkToFit="1"/>
    </xf>
    <xf numFmtId="0" fontId="25" fillId="4" borderId="0" xfId="11" applyFont="1" applyFill="1" applyBorder="1" applyAlignment="1">
      <alignment shrinkToFit="1"/>
    </xf>
    <xf numFmtId="0" fontId="45" fillId="0" borderId="0" xfId="11" applyFont="1" applyAlignment="1">
      <alignment shrinkToFit="1"/>
    </xf>
    <xf numFmtId="184" fontId="63" fillId="0" borderId="0" xfId="11" applyNumberFormat="1" applyFont="1" applyAlignment="1">
      <alignment shrinkToFit="1"/>
    </xf>
    <xf numFmtId="0" fontId="44" fillId="0" borderId="6" xfId="11" applyFont="1" applyFill="1" applyBorder="1" applyAlignment="1">
      <alignment horizontal="center" shrinkToFit="1"/>
    </xf>
    <xf numFmtId="3" fontId="35" fillId="0" borderId="6" xfId="11" applyNumberFormat="1" applyFont="1" applyFill="1" applyBorder="1" applyAlignment="1">
      <alignment shrinkToFit="1"/>
    </xf>
    <xf numFmtId="10" fontId="35" fillId="0" borderId="6" xfId="11" applyNumberFormat="1" applyFont="1" applyFill="1" applyBorder="1" applyAlignment="1">
      <alignment shrinkToFit="1"/>
    </xf>
    <xf numFmtId="3" fontId="27" fillId="0" borderId="22" xfId="11" applyNumberFormat="1" applyFont="1" applyFill="1" applyBorder="1" applyAlignment="1">
      <alignment shrinkToFit="1"/>
    </xf>
    <xf numFmtId="10" fontId="27" fillId="0" borderId="22" xfId="11" applyNumberFormat="1" applyFont="1" applyFill="1" applyBorder="1" applyAlignment="1">
      <alignment shrinkToFit="1"/>
    </xf>
    <xf numFmtId="0" fontId="25" fillId="0" borderId="0" xfId="11" applyFont="1" applyFill="1" applyAlignment="1">
      <alignment shrinkToFit="1"/>
    </xf>
    <xf numFmtId="0" fontId="44" fillId="0" borderId="1" xfId="11" applyFont="1" applyFill="1" applyBorder="1" applyAlignment="1">
      <alignment horizontal="center" shrinkToFit="1"/>
    </xf>
    <xf numFmtId="3" fontId="35" fillId="0" borderId="1" xfId="11" applyNumberFormat="1" applyFont="1" applyFill="1" applyBorder="1" applyAlignment="1">
      <alignment shrinkToFit="1"/>
    </xf>
    <xf numFmtId="0" fontId="34" fillId="0" borderId="34" xfId="0" applyFont="1" applyBorder="1" applyAlignment="1">
      <alignment horizontal="left" vertical="center"/>
    </xf>
    <xf numFmtId="0" fontId="34" fillId="0" borderId="36" xfId="0" applyFont="1" applyBorder="1" applyAlignment="1">
      <alignment horizontal="left" vertical="center"/>
    </xf>
    <xf numFmtId="1" fontId="0" fillId="0" borderId="22" xfId="0" applyNumberFormat="1" applyFont="1" applyFill="1" applyBorder="1" applyAlignment="1">
      <alignment horizontal="center" vertical="center"/>
    </xf>
    <xf numFmtId="183" fontId="0" fillId="0" borderId="22" xfId="0" applyNumberFormat="1" applyFont="1" applyFill="1" applyBorder="1" applyAlignment="1">
      <alignment horizontal="center" vertical="center"/>
    </xf>
    <xf numFmtId="1" fontId="0" fillId="0" borderId="31" xfId="0" applyNumberFormat="1" applyFont="1" applyFill="1" applyBorder="1" applyAlignment="1">
      <alignment horizontal="center" vertical="center"/>
    </xf>
    <xf numFmtId="0" fontId="0" fillId="0" borderId="22" xfId="0" applyFont="1" applyFill="1" applyBorder="1" applyAlignment="1">
      <alignment horizontal="center" vertical="center"/>
    </xf>
    <xf numFmtId="0" fontId="34" fillId="0" borderId="0" xfId="0" applyFont="1" applyFill="1" applyBorder="1" applyAlignment="1">
      <alignment horizontal="left" vertical="center"/>
    </xf>
    <xf numFmtId="0" fontId="34" fillId="0" borderId="34" xfId="0" applyFont="1" applyFill="1" applyBorder="1" applyAlignment="1">
      <alignment horizontal="left" vertical="center"/>
    </xf>
    <xf numFmtId="0" fontId="34" fillId="0" borderId="26" xfId="0" applyFont="1" applyFill="1" applyBorder="1" applyAlignment="1">
      <alignment horizontal="left" vertical="center"/>
    </xf>
    <xf numFmtId="0" fontId="34" fillId="0" borderId="36" xfId="0" applyFont="1" applyFill="1" applyBorder="1" applyAlignment="1">
      <alignment horizontal="left" vertical="center"/>
    </xf>
    <xf numFmtId="0" fontId="34" fillId="0" borderId="32" xfId="0" applyFont="1" applyFill="1" applyBorder="1" applyAlignment="1">
      <alignment horizontal="left" vertical="center"/>
    </xf>
    <xf numFmtId="0" fontId="34" fillId="0" borderId="37" xfId="0" applyFont="1" applyFill="1" applyBorder="1" applyAlignment="1">
      <alignment horizontal="left" vertical="center"/>
    </xf>
    <xf numFmtId="0" fontId="6" fillId="0" borderId="0" xfId="5"/>
    <xf numFmtId="0" fontId="68" fillId="8" borderId="30" xfId="5" applyFont="1" applyFill="1" applyBorder="1"/>
    <xf numFmtId="0" fontId="68" fillId="0" borderId="0" xfId="5" applyFont="1"/>
    <xf numFmtId="0" fontId="68" fillId="0" borderId="22" xfId="5" applyFont="1" applyBorder="1"/>
    <xf numFmtId="0" fontId="68" fillId="8" borderId="22" xfId="5" applyFont="1" applyFill="1" applyBorder="1"/>
    <xf numFmtId="185" fontId="25" fillId="0" borderId="0" xfId="0" applyNumberFormat="1" applyFont="1" applyFill="1" applyAlignment="1"/>
    <xf numFmtId="0" fontId="51" fillId="8" borderId="22" xfId="0" applyFont="1" applyFill="1" applyBorder="1" applyAlignment="1">
      <alignment horizontal="center" vertical="center" shrinkToFit="1"/>
    </xf>
    <xf numFmtId="0" fontId="27" fillId="0" borderId="22" xfId="11" applyFont="1" applyFill="1" applyBorder="1" applyAlignment="1">
      <alignment horizontal="center" vertical="center" shrinkToFit="1"/>
    </xf>
    <xf numFmtId="0" fontId="69" fillId="0" borderId="22" xfId="0" applyFont="1" applyFill="1" applyBorder="1" applyAlignment="1">
      <alignment horizontal="center" vertical="center" shrinkToFit="1"/>
    </xf>
    <xf numFmtId="0" fontId="52" fillId="0" borderId="22" xfId="0" applyFont="1" applyFill="1" applyBorder="1" applyAlignment="1">
      <alignment horizontal="center" vertical="center" shrinkToFit="1"/>
    </xf>
    <xf numFmtId="0" fontId="52" fillId="0" borderId="22" xfId="0" applyFont="1" applyFill="1" applyBorder="1" applyAlignment="1">
      <alignment shrinkToFit="1"/>
    </xf>
    <xf numFmtId="183" fontId="0" fillId="0" borderId="0" xfId="0" applyNumberFormat="1" applyFont="1" applyAlignment="1">
      <alignment horizontal="center" vertical="center"/>
    </xf>
    <xf numFmtId="0" fontId="70" fillId="0" borderId="0" xfId="0" applyFont="1" applyAlignment="1">
      <alignment vertical="center"/>
    </xf>
    <xf numFmtId="0" fontId="62" fillId="2" borderId="22" xfId="0" applyFont="1" applyFill="1" applyBorder="1" applyAlignment="1">
      <alignment horizontal="center" vertical="center" shrinkToFit="1"/>
    </xf>
    <xf numFmtId="0" fontId="28" fillId="5" borderId="23" xfId="11" applyFont="1" applyFill="1" applyBorder="1" applyAlignment="1">
      <alignment horizontal="center" vertical="center"/>
    </xf>
    <xf numFmtId="3" fontId="27" fillId="5" borderId="22" xfId="0" applyNumberFormat="1" applyFont="1" applyFill="1" applyBorder="1" applyAlignment="1">
      <alignment shrinkToFit="1"/>
    </xf>
    <xf numFmtId="10" fontId="27" fillId="5" borderId="22" xfId="0" applyNumberFormat="1" applyFont="1" applyFill="1" applyBorder="1" applyAlignment="1">
      <alignment shrinkToFit="1"/>
    </xf>
    <xf numFmtId="0" fontId="0" fillId="5" borderId="22" xfId="0" applyFont="1" applyFill="1" applyBorder="1" applyAlignment="1">
      <alignment horizontal="center" vertical="center"/>
    </xf>
    <xf numFmtId="186" fontId="72" fillId="0" borderId="22" xfId="0" applyNumberFormat="1" applyFont="1" applyFill="1" applyBorder="1" applyAlignment="1"/>
    <xf numFmtId="186" fontId="25" fillId="0" borderId="0" xfId="0" applyNumberFormat="1" applyFont="1" applyFill="1" applyAlignment="1"/>
    <xf numFmtId="180" fontId="25" fillId="9" borderId="0" xfId="0" applyNumberFormat="1" applyFont="1" applyFill="1" applyAlignment="1"/>
    <xf numFmtId="187" fontId="25" fillId="9" borderId="0" xfId="0" applyNumberFormat="1" applyFont="1" applyFill="1" applyAlignment="1"/>
    <xf numFmtId="177" fontId="25" fillId="9" borderId="0" xfId="0" applyNumberFormat="1" applyFont="1" applyFill="1" applyAlignment="1"/>
    <xf numFmtId="186" fontId="25" fillId="9" borderId="0" xfId="0" applyNumberFormat="1" applyFont="1" applyFill="1" applyAlignment="1"/>
    <xf numFmtId="185" fontId="25" fillId="9" borderId="0" xfId="0" applyNumberFormat="1" applyFont="1" applyFill="1" applyAlignment="1"/>
    <xf numFmtId="186" fontId="72" fillId="9" borderId="22" xfId="0" applyNumberFormat="1" applyFont="1" applyFill="1" applyBorder="1" applyAlignment="1"/>
    <xf numFmtId="177" fontId="25" fillId="9" borderId="22" xfId="0" applyNumberFormat="1" applyFont="1" applyFill="1" applyBorder="1" applyAlignment="1"/>
    <xf numFmtId="188" fontId="27" fillId="0" borderId="22" xfId="14" applyNumberFormat="1" applyFont="1" applyFill="1" applyBorder="1" applyAlignment="1">
      <alignment shrinkToFit="1"/>
    </xf>
    <xf numFmtId="189" fontId="27" fillId="5" borderId="22" xfId="0" applyNumberFormat="1" applyFont="1" applyFill="1" applyBorder="1" applyAlignment="1">
      <alignment shrinkToFit="1"/>
    </xf>
    <xf numFmtId="3" fontId="27" fillId="5" borderId="22" xfId="0" applyNumberFormat="1" applyFont="1" applyFill="1" applyBorder="1" applyAlignment="1">
      <alignment horizontal="right" shrinkToFit="1"/>
    </xf>
    <xf numFmtId="188" fontId="27" fillId="5" borderId="22" xfId="14" applyNumberFormat="1" applyFont="1" applyFill="1" applyBorder="1" applyAlignment="1">
      <alignment shrinkToFit="1"/>
    </xf>
    <xf numFmtId="0" fontId="75" fillId="0" borderId="22" xfId="0" applyFont="1" applyBorder="1" applyAlignment="1">
      <alignment horizontal="center" vertical="center" shrinkToFit="1"/>
    </xf>
    <xf numFmtId="0" fontId="76" fillId="0" borderId="22" xfId="0" applyFont="1" applyBorder="1" applyAlignment="1">
      <alignment horizontal="center" vertical="center" shrinkToFit="1"/>
    </xf>
    <xf numFmtId="0" fontId="77" fillId="0" borderId="22" xfId="0" applyFont="1" applyBorder="1" applyAlignment="1">
      <alignment horizontal="center" vertical="center" shrinkToFit="1"/>
    </xf>
    <xf numFmtId="190" fontId="27" fillId="5" borderId="22" xfId="14" applyNumberFormat="1" applyFont="1" applyFill="1" applyBorder="1" applyAlignment="1">
      <alignment shrinkToFit="1"/>
    </xf>
    <xf numFmtId="191" fontId="27" fillId="0" borderId="22" xfId="0" applyNumberFormat="1" applyFont="1" applyFill="1" applyBorder="1" applyAlignment="1">
      <alignment shrinkToFit="1"/>
    </xf>
    <xf numFmtId="10" fontId="27" fillId="3" borderId="22" xfId="0" applyNumberFormat="1" applyFont="1" applyFill="1" applyBorder="1" applyAlignment="1">
      <alignment horizontal="center" shrinkToFit="1"/>
    </xf>
    <xf numFmtId="0" fontId="10" fillId="2" borderId="22" xfId="0" applyFont="1" applyFill="1" applyBorder="1" applyAlignment="1">
      <alignment horizontal="center" shrinkToFit="1"/>
    </xf>
    <xf numFmtId="189" fontId="25" fillId="9" borderId="0" xfId="0" applyNumberFormat="1" applyFont="1" applyFill="1" applyAlignment="1"/>
    <xf numFmtId="189" fontId="27" fillId="0" borderId="22" xfId="0" applyNumberFormat="1" applyFont="1" applyFill="1" applyBorder="1" applyAlignment="1">
      <alignment shrinkToFit="1"/>
    </xf>
    <xf numFmtId="185" fontId="27" fillId="5" borderId="22" xfId="0" applyNumberFormat="1" applyFont="1" applyFill="1" applyBorder="1" applyAlignment="1">
      <alignment shrinkToFit="1"/>
    </xf>
    <xf numFmtId="185" fontId="27" fillId="0" borderId="22" xfId="0" applyNumberFormat="1" applyFont="1" applyFill="1" applyBorder="1" applyAlignment="1">
      <alignment shrinkToFit="1"/>
    </xf>
    <xf numFmtId="183" fontId="25" fillId="0" borderId="0" xfId="0" applyNumberFormat="1" applyFont="1" applyAlignment="1">
      <alignment shrinkToFit="1"/>
    </xf>
    <xf numFmtId="9" fontId="27" fillId="5" borderId="22" xfId="0" applyNumberFormat="1" applyFont="1" applyFill="1" applyBorder="1" applyAlignment="1">
      <alignment shrinkToFit="1"/>
    </xf>
    <xf numFmtId="9" fontId="27" fillId="0" borderId="22" xfId="0" applyNumberFormat="1" applyFont="1" applyFill="1" applyBorder="1" applyAlignment="1">
      <alignment shrinkToFit="1"/>
    </xf>
    <xf numFmtId="3" fontId="45" fillId="5" borderId="22" xfId="0" applyNumberFormat="1" applyFont="1" applyFill="1" applyBorder="1" applyAlignment="1">
      <alignment shrinkToFit="1"/>
    </xf>
    <xf numFmtId="10" fontId="45" fillId="5" borderId="22" xfId="0" applyNumberFormat="1" applyFont="1" applyFill="1" applyBorder="1" applyAlignment="1">
      <alignment shrinkToFit="1"/>
    </xf>
    <xf numFmtId="189" fontId="45" fillId="5" borderId="22" xfId="0" applyNumberFormat="1" applyFont="1" applyFill="1" applyBorder="1" applyAlignment="1">
      <alignment shrinkToFit="1"/>
    </xf>
    <xf numFmtId="185" fontId="45" fillId="5" borderId="22" xfId="0" applyNumberFormat="1" applyFont="1" applyFill="1" applyBorder="1" applyAlignment="1">
      <alignment shrinkToFit="1"/>
    </xf>
    <xf numFmtId="190" fontId="45" fillId="5" borderId="22" xfId="14" applyNumberFormat="1" applyFont="1" applyFill="1" applyBorder="1" applyAlignment="1">
      <alignment shrinkToFit="1"/>
    </xf>
    <xf numFmtId="191" fontId="27" fillId="0" borderId="22" xfId="0" applyNumberFormat="1" applyFont="1" applyFill="1" applyBorder="1" applyAlignment="1">
      <alignment horizontal="right" shrinkToFit="1"/>
    </xf>
    <xf numFmtId="191" fontId="45" fillId="5" borderId="22" xfId="0" applyNumberFormat="1" applyFont="1" applyFill="1" applyBorder="1" applyAlignment="1">
      <alignment horizontal="right" shrinkToFit="1"/>
    </xf>
    <xf numFmtId="190" fontId="27" fillId="0" borderId="22" xfId="14" applyNumberFormat="1" applyFont="1" applyFill="1" applyBorder="1" applyAlignment="1">
      <alignment horizontal="right" shrinkToFit="1"/>
    </xf>
    <xf numFmtId="0" fontId="0" fillId="0" borderId="0" xfId="0" applyFont="1" applyAlignment="1">
      <alignment shrinkToFit="1"/>
    </xf>
    <xf numFmtId="0" fontId="44" fillId="0" borderId="44" xfId="11" applyFont="1" applyFill="1" applyBorder="1" applyAlignment="1">
      <alignment horizontal="center" shrinkToFit="1"/>
    </xf>
    <xf numFmtId="3" fontId="35" fillId="7" borderId="6" xfId="11" applyNumberFormat="1" applyFont="1" applyFill="1" applyBorder="1" applyAlignment="1">
      <alignment shrinkToFit="1"/>
    </xf>
    <xf numFmtId="3" fontId="27" fillId="7" borderId="22" xfId="11" applyNumberFormat="1" applyFont="1" applyFill="1" applyBorder="1" applyAlignment="1">
      <alignment shrinkToFit="1"/>
    </xf>
    <xf numFmtId="10" fontId="27" fillId="0" borderId="43" xfId="11" applyNumberFormat="1" applyFont="1" applyFill="1" applyBorder="1" applyAlignment="1">
      <alignment shrinkToFit="1"/>
    </xf>
    <xf numFmtId="10" fontId="27" fillId="0" borderId="46" xfId="11" applyNumberFormat="1" applyFont="1" applyFill="1" applyBorder="1" applyAlignment="1">
      <alignment shrinkToFit="1"/>
    </xf>
    <xf numFmtId="10" fontId="27" fillId="0" borderId="47" xfId="11" applyNumberFormat="1" applyFont="1" applyFill="1" applyBorder="1" applyAlignment="1">
      <alignment shrinkToFit="1"/>
    </xf>
    <xf numFmtId="0" fontId="27" fillId="0" borderId="22" xfId="0" applyFont="1" applyBorder="1" applyAlignment="1">
      <alignment shrinkToFit="1"/>
    </xf>
    <xf numFmtId="0" fontId="44" fillId="0" borderId="22" xfId="0" applyFont="1" applyBorder="1" applyAlignment="1">
      <alignment shrinkToFit="1"/>
    </xf>
    <xf numFmtId="0" fontId="44" fillId="2" borderId="22" xfId="0" applyFont="1" applyFill="1" applyBorder="1" applyAlignment="1">
      <alignment horizontal="center" shrinkToFit="1"/>
    </xf>
    <xf numFmtId="10" fontId="25" fillId="11" borderId="22" xfId="0" applyNumberFormat="1" applyFont="1" applyFill="1" applyBorder="1" applyAlignment="1"/>
    <xf numFmtId="177" fontId="73" fillId="11" borderId="0" xfId="0" applyNumberFormat="1" applyFont="1" applyFill="1" applyAlignment="1"/>
    <xf numFmtId="177" fontId="73" fillId="0" borderId="0" xfId="0" applyNumberFormat="1" applyFont="1" applyFill="1" applyAlignment="1"/>
    <xf numFmtId="10" fontId="78" fillId="11" borderId="22" xfId="0" applyNumberFormat="1" applyFont="1" applyFill="1" applyBorder="1" applyAlignment="1"/>
    <xf numFmtId="177" fontId="78" fillId="0" borderId="0" xfId="0" applyNumberFormat="1" applyFont="1" applyFill="1" applyAlignment="1"/>
    <xf numFmtId="10" fontId="78" fillId="0" borderId="0" xfId="0" applyNumberFormat="1" applyFont="1" applyFill="1" applyAlignment="1"/>
    <xf numFmtId="3" fontId="78" fillId="0" borderId="0" xfId="0" applyNumberFormat="1" applyFont="1" applyFill="1" applyAlignment="1"/>
    <xf numFmtId="186" fontId="72" fillId="11" borderId="22" xfId="0" applyNumberFormat="1" applyFont="1" applyFill="1" applyBorder="1" applyAlignment="1"/>
    <xf numFmtId="3" fontId="27" fillId="12" borderId="22" xfId="0" applyNumberFormat="1" applyFont="1" applyFill="1" applyBorder="1" applyAlignment="1">
      <alignment shrinkToFit="1"/>
    </xf>
    <xf numFmtId="10" fontId="27" fillId="12" borderId="22" xfId="0" applyNumberFormat="1" applyFont="1" applyFill="1" applyBorder="1" applyAlignment="1">
      <alignment shrinkToFit="1"/>
    </xf>
    <xf numFmtId="183" fontId="27" fillId="0" borderId="22" xfId="0" applyNumberFormat="1" applyFont="1" applyFill="1" applyBorder="1" applyAlignment="1">
      <alignment shrinkToFit="1"/>
    </xf>
    <xf numFmtId="3" fontId="27" fillId="0" borderId="22" xfId="0" applyNumberFormat="1" applyFont="1" applyFill="1" applyBorder="1" applyAlignment="1">
      <alignment horizontal="right" shrinkToFit="1"/>
    </xf>
    <xf numFmtId="0" fontId="0" fillId="0" borderId="22" xfId="0" applyFont="1" applyBorder="1" applyAlignment="1">
      <alignment horizontal="center" vertical="center"/>
    </xf>
    <xf numFmtId="0" fontId="32" fillId="0" borderId="22" xfId="0" applyFont="1" applyBorder="1" applyAlignment="1">
      <alignment horizontal="center" vertical="center"/>
    </xf>
    <xf numFmtId="0" fontId="32" fillId="0" borderId="22" xfId="0" applyFont="1" applyFill="1" applyBorder="1" applyAlignment="1">
      <alignment horizontal="center" vertical="center"/>
    </xf>
    <xf numFmtId="0" fontId="0" fillId="0" borderId="22" xfId="0" applyFont="1" applyBorder="1" applyAlignment="1">
      <alignment horizontal="center" vertical="center"/>
    </xf>
    <xf numFmtId="0" fontId="32" fillId="0" borderId="22" xfId="0" applyFont="1" applyBorder="1" applyAlignment="1">
      <alignment horizontal="center" vertical="center"/>
    </xf>
    <xf numFmtId="0" fontId="32" fillId="0" borderId="22" xfId="0" applyFont="1" applyFill="1" applyBorder="1" applyAlignment="1">
      <alignment horizontal="center" vertical="center"/>
    </xf>
    <xf numFmtId="0" fontId="32" fillId="0" borderId="22" xfId="0" applyFont="1" applyFill="1" applyBorder="1" applyAlignment="1">
      <alignment horizontal="center" vertical="center"/>
    </xf>
    <xf numFmtId="0" fontId="32" fillId="0" borderId="22" xfId="0" applyFont="1" applyBorder="1" applyAlignment="1">
      <alignment horizontal="center" vertical="center"/>
    </xf>
    <xf numFmtId="0" fontId="0" fillId="0" borderId="22" xfId="0" applyFont="1" applyBorder="1" applyAlignment="1">
      <alignment horizontal="center" vertical="center"/>
    </xf>
    <xf numFmtId="0" fontId="34" fillId="0" borderId="0" xfId="0" applyFont="1" applyBorder="1" applyAlignment="1">
      <alignment horizontal="left" vertical="center"/>
    </xf>
    <xf numFmtId="0" fontId="34" fillId="0" borderId="26" xfId="0" applyFont="1" applyBorder="1" applyAlignment="1">
      <alignment horizontal="left" vertical="center"/>
    </xf>
    <xf numFmtId="180" fontId="25" fillId="10" borderId="0" xfId="0" applyNumberFormat="1" applyFont="1" applyFill="1" applyAlignment="1"/>
    <xf numFmtId="4" fontId="27" fillId="12" borderId="22" xfId="0" applyNumberFormat="1" applyFont="1" applyFill="1" applyBorder="1" applyAlignment="1">
      <alignment horizontal="right" shrinkToFit="1"/>
    </xf>
    <xf numFmtId="189" fontId="27" fillId="12" borderId="22" xfId="0" applyNumberFormat="1" applyFont="1" applyFill="1" applyBorder="1" applyAlignment="1">
      <alignment shrinkToFit="1"/>
    </xf>
    <xf numFmtId="185" fontId="27" fillId="12" borderId="22" xfId="0" applyNumberFormat="1" applyFont="1" applyFill="1" applyBorder="1" applyAlignment="1">
      <alignment shrinkToFit="1"/>
    </xf>
    <xf numFmtId="183" fontId="6" fillId="0" borderId="0" xfId="0" applyNumberFormat="1" applyFont="1" applyBorder="1" applyAlignment="1">
      <alignment horizontal="right" vertical="center" shrinkToFit="1"/>
    </xf>
    <xf numFmtId="185" fontId="25" fillId="10" borderId="0" xfId="0" applyNumberFormat="1" applyFont="1" applyFill="1" applyAlignment="1"/>
    <xf numFmtId="189" fontId="25" fillId="10" borderId="0" xfId="0" applyNumberFormat="1" applyFont="1" applyFill="1" applyAlignment="1"/>
    <xf numFmtId="0" fontId="32" fillId="0" borderId="22" xfId="0" applyFont="1" applyFill="1" applyBorder="1" applyAlignment="1">
      <alignment horizontal="center" vertical="center"/>
    </xf>
    <xf numFmtId="0" fontId="32" fillId="0" borderId="22" xfId="0" applyFont="1" applyBorder="1" applyAlignment="1">
      <alignment horizontal="center" vertical="center"/>
    </xf>
    <xf numFmtId="0" fontId="0" fillId="0" borderId="22" xfId="0" applyFont="1" applyBorder="1" applyAlignment="1">
      <alignment horizontal="center" vertical="center"/>
    </xf>
    <xf numFmtId="0" fontId="32" fillId="0" borderId="22" xfId="0" applyFont="1" applyFill="1" applyBorder="1" applyAlignment="1">
      <alignment horizontal="center" vertical="center"/>
    </xf>
    <xf numFmtId="0" fontId="32" fillId="0" borderId="22" xfId="0" applyFont="1" applyBorder="1" applyAlignment="1">
      <alignment horizontal="center" vertical="center"/>
    </xf>
    <xf numFmtId="0" fontId="0" fillId="0" borderId="22" xfId="0" applyFont="1" applyBorder="1" applyAlignment="1">
      <alignment horizontal="center" vertical="center"/>
    </xf>
    <xf numFmtId="191" fontId="25" fillId="0" borderId="0" xfId="0" applyNumberFormat="1" applyFont="1" applyFill="1" applyAlignment="1">
      <alignment shrinkToFit="1"/>
    </xf>
    <xf numFmtId="187" fontId="25" fillId="0" borderId="0" xfId="0" applyNumberFormat="1" applyFont="1" applyFill="1" applyAlignment="1"/>
    <xf numFmtId="189" fontId="25" fillId="0" borderId="0" xfId="0" applyNumberFormat="1" applyFont="1" applyFill="1" applyAlignment="1"/>
    <xf numFmtId="179" fontId="63" fillId="0" borderId="0" xfId="0" applyNumberFormat="1" applyFont="1" applyFill="1" applyAlignment="1">
      <alignment horizontal="center"/>
    </xf>
    <xf numFmtId="176" fontId="45" fillId="0" borderId="0" xfId="0" applyNumberFormat="1" applyFont="1" applyFill="1" applyAlignment="1">
      <alignment horizontal="center" vertical="center"/>
    </xf>
    <xf numFmtId="177" fontId="25" fillId="0" borderId="0" xfId="0" applyNumberFormat="1" applyFont="1" applyFill="1" applyAlignment="1">
      <alignment horizontal="right"/>
    </xf>
    <xf numFmtId="183" fontId="27" fillId="12" borderId="22" xfId="0" applyNumberFormat="1" applyFont="1" applyFill="1" applyBorder="1" applyAlignment="1">
      <alignment shrinkToFit="1"/>
    </xf>
    <xf numFmtId="0" fontId="0" fillId="0" borderId="22" xfId="0" applyFont="1" applyBorder="1" applyAlignment="1">
      <alignment horizontal="center" vertical="center"/>
    </xf>
    <xf numFmtId="0" fontId="32" fillId="0" borderId="22" xfId="0" applyFont="1" applyBorder="1" applyAlignment="1">
      <alignment horizontal="center" vertical="center"/>
    </xf>
    <xf numFmtId="0" fontId="32" fillId="0" borderId="22" xfId="0" applyFont="1" applyFill="1" applyBorder="1" applyAlignment="1">
      <alignment horizontal="center" vertical="center"/>
    </xf>
    <xf numFmtId="183" fontId="0" fillId="0" borderId="22" xfId="0" applyNumberFormat="1" applyFont="1" applyBorder="1" applyAlignment="1">
      <alignment horizontal="center" vertical="center"/>
    </xf>
    <xf numFmtId="0" fontId="34" fillId="13" borderId="37" xfId="0" applyFont="1" applyFill="1" applyBorder="1" applyAlignment="1">
      <alignment horizontal="left" vertical="center"/>
    </xf>
    <xf numFmtId="0" fontId="34" fillId="13" borderId="32" xfId="0" applyFont="1" applyFill="1" applyBorder="1" applyAlignment="1">
      <alignment horizontal="left" vertical="center"/>
    </xf>
    <xf numFmtId="0" fontId="34" fillId="13" borderId="26" xfId="0" applyFont="1" applyFill="1" applyBorder="1" applyAlignment="1">
      <alignment horizontal="left" vertical="center"/>
    </xf>
    <xf numFmtId="0" fontId="34" fillId="13" borderId="36" xfId="0" applyFont="1" applyFill="1" applyBorder="1" applyAlignment="1">
      <alignment horizontal="left" vertical="center"/>
    </xf>
    <xf numFmtId="1" fontId="32" fillId="0" borderId="22" xfId="0" applyNumberFormat="1" applyFont="1" applyFill="1" applyBorder="1" applyAlignment="1">
      <alignment horizontal="center" vertical="center"/>
    </xf>
    <xf numFmtId="0" fontId="32" fillId="5" borderId="22" xfId="0" applyFont="1" applyFill="1" applyBorder="1" applyAlignment="1">
      <alignment horizontal="center"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1" fontId="0" fillId="0" borderId="31" xfId="0" applyNumberFormat="1" applyFont="1" applyFill="1" applyBorder="1" applyAlignment="1">
      <alignment horizontal="center"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177" fontId="25" fillId="0" borderId="0" xfId="0" applyNumberFormat="1" applyFont="1" applyFill="1" applyBorder="1" applyAlignment="1"/>
    <xf numFmtId="186" fontId="73" fillId="0" borderId="34" xfId="0" applyNumberFormat="1" applyFont="1" applyFill="1" applyBorder="1" applyAlignment="1">
      <alignment vertical="center"/>
    </xf>
    <xf numFmtId="10" fontId="25" fillId="0" borderId="0" xfId="0" applyNumberFormat="1" applyFont="1" applyFill="1" applyAlignment="1">
      <alignment vertical="center"/>
    </xf>
    <xf numFmtId="187" fontId="25" fillId="0" borderId="0" xfId="0" applyNumberFormat="1" applyFont="1" applyFill="1" applyAlignment="1">
      <alignment vertical="center"/>
    </xf>
    <xf numFmtId="177" fontId="25" fillId="0" borderId="0" xfId="0" applyNumberFormat="1" applyFont="1" applyFill="1" applyAlignment="1">
      <alignment vertical="center"/>
    </xf>
    <xf numFmtId="0" fontId="27" fillId="2" borderId="22" xfId="0" applyFont="1" applyFill="1" applyBorder="1" applyAlignment="1">
      <alignment horizontal="center" shrinkToFit="1"/>
    </xf>
    <xf numFmtId="0" fontId="62" fillId="2" borderId="1" xfId="0" applyFont="1" applyFill="1" applyBorder="1" applyAlignment="1">
      <alignment horizontal="center" vertical="center" shrinkToFit="1"/>
    </xf>
    <xf numFmtId="0" fontId="25" fillId="0" borderId="0" xfId="11" applyFont="1" applyAlignment="1">
      <alignment horizontal="center" vertical="center" shrinkToFit="1"/>
    </xf>
    <xf numFmtId="0" fontId="25" fillId="0" borderId="0" xfId="11" applyFont="1" applyAlignment="1">
      <alignment wrapText="1" shrinkToFit="1"/>
    </xf>
    <xf numFmtId="0" fontId="25" fillId="0" borderId="0" xfId="11" applyFont="1" applyAlignment="1">
      <alignment vertical="center" shrinkToFit="1"/>
    </xf>
    <xf numFmtId="0" fontId="23" fillId="0" borderId="0" xfId="11" applyFont="1" applyAlignment="1">
      <alignment horizontal="center" vertical="center" shrinkToFit="1"/>
    </xf>
    <xf numFmtId="0" fontId="23" fillId="0" borderId="0" xfId="11" applyFont="1" applyAlignment="1">
      <alignment shrinkToFit="1"/>
    </xf>
    <xf numFmtId="0" fontId="23" fillId="0" borderId="0" xfId="11" applyFont="1" applyAlignment="1">
      <alignment wrapText="1" shrinkToFit="1"/>
    </xf>
    <xf numFmtId="0" fontId="23" fillId="0" borderId="0" xfId="11" applyFont="1" applyAlignment="1">
      <alignment vertical="center" shrinkToFit="1"/>
    </xf>
    <xf numFmtId="0" fontId="28" fillId="0" borderId="0" xfId="11" applyFont="1"/>
    <xf numFmtId="0" fontId="28" fillId="0" borderId="0" xfId="11" applyFont="1" applyAlignment="1">
      <alignment vertical="center"/>
    </xf>
    <xf numFmtId="0" fontId="28" fillId="0" borderId="22" xfId="11" applyFont="1" applyBorder="1" applyAlignment="1">
      <alignment horizontal="center" vertical="center"/>
    </xf>
    <xf numFmtId="192" fontId="35" fillId="8" borderId="22" xfId="11" applyNumberFormat="1" applyFont="1" applyFill="1" applyBorder="1" applyAlignment="1">
      <alignment horizontal="center" vertical="center"/>
    </xf>
    <xf numFmtId="0" fontId="35" fillId="0" borderId="22" xfId="11" applyFont="1" applyBorder="1" applyAlignment="1">
      <alignment horizontal="center" vertical="center"/>
    </xf>
    <xf numFmtId="0" fontId="28" fillId="0" borderId="41" xfId="11" applyFont="1" applyBorder="1" applyAlignment="1">
      <alignment horizontal="center" vertical="center"/>
    </xf>
    <xf numFmtId="0" fontId="28" fillId="0" borderId="0" xfId="11" applyFont="1" applyAlignment="1">
      <alignment horizontal="left" vertical="center"/>
    </xf>
    <xf numFmtId="0" fontId="3" fillId="0" borderId="0" xfId="15">
      <alignment vertical="center"/>
    </xf>
    <xf numFmtId="0" fontId="65" fillId="0" borderId="22" xfId="11" applyFont="1" applyBorder="1" applyAlignment="1">
      <alignment horizontal="center" vertical="center"/>
    </xf>
    <xf numFmtId="0" fontId="55" fillId="0" borderId="0" xfId="0" applyFont="1" applyFill="1" applyAlignment="1">
      <alignment vertical="center"/>
    </xf>
    <xf numFmtId="0" fontId="55" fillId="0" borderId="0" xfId="0" applyFont="1" applyFill="1" applyAlignment="1"/>
    <xf numFmtId="177" fontId="55" fillId="0" borderId="0" xfId="0" applyNumberFormat="1" applyFont="1" applyFill="1" applyAlignment="1"/>
    <xf numFmtId="177" fontId="55" fillId="0" borderId="0" xfId="0" applyNumberFormat="1" applyFont="1" applyFill="1" applyAlignment="1">
      <alignment horizontal="right"/>
    </xf>
    <xf numFmtId="177" fontId="55" fillId="9" borderId="22" xfId="0" applyNumberFormat="1" applyFont="1" applyFill="1" applyBorder="1" applyAlignment="1"/>
    <xf numFmtId="10" fontId="55" fillId="0" borderId="22" xfId="0" applyNumberFormat="1" applyFont="1" applyFill="1" applyBorder="1" applyAlignment="1"/>
    <xf numFmtId="177" fontId="55" fillId="0" borderId="22" xfId="0" applyNumberFormat="1" applyFont="1" applyFill="1" applyBorder="1" applyAlignment="1"/>
    <xf numFmtId="0" fontId="55" fillId="0" borderId="0" xfId="0" applyFont="1" applyAlignment="1"/>
    <xf numFmtId="0" fontId="25" fillId="0" borderId="37" xfId="0" applyFont="1" applyFill="1" applyBorder="1" applyAlignment="1">
      <alignment vertical="center"/>
    </xf>
    <xf numFmtId="177" fontId="25" fillId="0" borderId="34" xfId="0" applyNumberFormat="1" applyFont="1" applyFill="1" applyBorder="1" applyAlignment="1">
      <alignment vertical="center"/>
    </xf>
    <xf numFmtId="0" fontId="0" fillId="0" borderId="27" xfId="0" applyBorder="1" applyAlignment="1">
      <alignment vertical="center"/>
    </xf>
    <xf numFmtId="0" fontId="0" fillId="0" borderId="28" xfId="0" applyBorder="1" applyAlignment="1">
      <alignment vertical="center"/>
    </xf>
    <xf numFmtId="0" fontId="0" fillId="0" borderId="25" xfId="0" applyBorder="1" applyAlignment="1">
      <alignment vertical="center"/>
    </xf>
    <xf numFmtId="0" fontId="32" fillId="0" borderId="22" xfId="0" applyFont="1" applyBorder="1" applyAlignment="1">
      <alignment horizontal="center" vertical="center"/>
    </xf>
    <xf numFmtId="0" fontId="44" fillId="2" borderId="22" xfId="0" applyFont="1" applyFill="1" applyBorder="1" applyAlignment="1">
      <alignment horizontal="center" vertical="center" shrinkToFit="1"/>
    </xf>
    <xf numFmtId="0" fontId="44" fillId="0" borderId="22" xfId="0" applyFont="1" applyBorder="1" applyAlignment="1">
      <alignment shrinkToFit="1"/>
    </xf>
    <xf numFmtId="0" fontId="44" fillId="2" borderId="22" xfId="0" applyFont="1" applyFill="1" applyBorder="1" applyAlignment="1">
      <alignment horizontal="center" shrinkToFit="1"/>
    </xf>
    <xf numFmtId="0" fontId="32" fillId="4" borderId="22" xfId="0" applyFont="1" applyFill="1" applyBorder="1" applyAlignment="1">
      <alignment horizontal="center" vertical="center"/>
    </xf>
    <xf numFmtId="0" fontId="0" fillId="0" borderId="22" xfId="0" applyBorder="1" applyAlignment="1">
      <alignment horizontal="center" vertical="center"/>
    </xf>
    <xf numFmtId="1" fontId="0" fillId="0" borderId="22" xfId="0" applyNumberFormat="1" applyBorder="1" applyAlignment="1">
      <alignment horizontal="center" vertical="center"/>
    </xf>
    <xf numFmtId="183" fontId="0" fillId="0" borderId="22" xfId="0" applyNumberFormat="1" applyBorder="1" applyAlignment="1">
      <alignment horizontal="center" vertical="center"/>
    </xf>
    <xf numFmtId="0" fontId="0" fillId="4" borderId="22" xfId="0" applyFill="1" applyBorder="1" applyAlignment="1">
      <alignment horizontal="center" vertical="center"/>
    </xf>
    <xf numFmtId="0" fontId="0" fillId="5" borderId="22" xfId="0" applyFill="1" applyBorder="1" applyAlignment="1">
      <alignment horizontal="center" vertical="center"/>
    </xf>
    <xf numFmtId="0" fontId="0" fillId="0" borderId="22" xfId="0" applyFont="1" applyBorder="1" applyAlignment="1">
      <alignment horizontal="center"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0" fontId="0" fillId="0" borderId="22" xfId="0" applyBorder="1" applyAlignment="1">
      <alignment horizontal="center" vertical="center"/>
    </xf>
    <xf numFmtId="1" fontId="0" fillId="0" borderId="22" xfId="0" applyNumberFormat="1" applyBorder="1" applyAlignment="1">
      <alignment horizontal="center" vertical="center"/>
    </xf>
    <xf numFmtId="179" fontId="55" fillId="0" borderId="0" xfId="0" applyNumberFormat="1" applyFont="1" applyFill="1" applyAlignment="1">
      <alignment horizontal="center"/>
    </xf>
    <xf numFmtId="0" fontId="0" fillId="0" borderId="27" xfId="0" applyBorder="1" applyAlignment="1">
      <alignment horizontal="left" vertical="center"/>
    </xf>
    <xf numFmtId="1" fontId="27" fillId="0" borderId="22" xfId="0" applyNumberFormat="1" applyFont="1" applyBorder="1" applyAlignment="1">
      <alignment shrinkToFit="1"/>
    </xf>
    <xf numFmtId="0" fontId="32" fillId="0" borderId="27" xfId="0" applyFont="1" applyBorder="1" applyAlignment="1">
      <alignment vertical="center"/>
    </xf>
    <xf numFmtId="0" fontId="32" fillId="0" borderId="22" xfId="0" applyFont="1" applyBorder="1" applyAlignment="1">
      <alignment horizontal="center" vertical="center"/>
    </xf>
    <xf numFmtId="0" fontId="0" fillId="0" borderId="22" xfId="0" applyFont="1" applyBorder="1" applyAlignment="1">
      <alignment horizontal="center" vertical="center"/>
    </xf>
    <xf numFmtId="0" fontId="44" fillId="2" borderId="22" xfId="0" applyFont="1" applyFill="1" applyBorder="1" applyAlignment="1">
      <alignment horizontal="center" vertical="center" shrinkToFit="1"/>
    </xf>
    <xf numFmtId="0" fontId="32" fillId="0" borderId="27" xfId="0" applyFont="1" applyBorder="1" applyAlignment="1">
      <alignment horizontal="left" vertical="center"/>
    </xf>
    <xf numFmtId="179" fontId="98" fillId="0" borderId="0" xfId="0" applyNumberFormat="1" applyFont="1" applyFill="1" applyAlignment="1">
      <alignment horizont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0" fontId="32" fillId="0" borderId="22" xfId="0" applyFont="1" applyBorder="1" applyAlignment="1">
      <alignment horizontal="center" vertical="center"/>
    </xf>
    <xf numFmtId="0" fontId="32" fillId="4" borderId="22" xfId="0" applyFont="1" applyFill="1" applyBorder="1" applyAlignment="1">
      <alignment horizontal="center" vertical="center"/>
    </xf>
    <xf numFmtId="0" fontId="27" fillId="0" borderId="22" xfId="0" applyFont="1" applyBorder="1" applyAlignment="1">
      <alignment shrinkToFit="1"/>
    </xf>
    <xf numFmtId="0" fontId="44" fillId="2" borderId="22" xfId="0" applyFont="1" applyFill="1" applyBorder="1" applyAlignment="1">
      <alignment horizontal="center" shrinkToFit="1"/>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1" fontId="0" fillId="0" borderId="22" xfId="0" applyNumberFormat="1" applyFont="1" applyFill="1" applyBorder="1" applyAlignment="1">
      <alignment horizontal="center" vertical="center"/>
    </xf>
    <xf numFmtId="183" fontId="0" fillId="0" borderId="22" xfId="0" applyNumberFormat="1" applyBorder="1" applyAlignment="1">
      <alignment horizontal="center" vertical="center"/>
    </xf>
    <xf numFmtId="0" fontId="32" fillId="0" borderId="22" xfId="0" applyFont="1" applyBorder="1" applyAlignment="1">
      <alignment horizontal="center" vertical="center"/>
    </xf>
    <xf numFmtId="0" fontId="32" fillId="4" borderId="22" xfId="0" applyFont="1" applyFill="1" applyBorder="1" applyAlignment="1">
      <alignment horizontal="center" vertical="center"/>
    </xf>
    <xf numFmtId="0" fontId="0" fillId="0" borderId="22" xfId="0" applyBorder="1" applyAlignment="1">
      <alignment horizontal="center" vertical="center"/>
    </xf>
    <xf numFmtId="1" fontId="0" fillId="0" borderId="22" xfId="0" applyNumberFormat="1" applyBorder="1" applyAlignment="1">
      <alignment horizontal="center" vertical="center"/>
    </xf>
    <xf numFmtId="0" fontId="32" fillId="0" borderId="22" xfId="0" applyFont="1" applyBorder="1" applyAlignment="1">
      <alignment horizontal="center" vertical="center"/>
    </xf>
    <xf numFmtId="0" fontId="0" fillId="0" borderId="22" xfId="0" applyFont="1" applyBorder="1" applyAlignment="1">
      <alignment horizontal="center" vertical="center"/>
    </xf>
    <xf numFmtId="0" fontId="0" fillId="0" borderId="22" xfId="0" applyBorder="1" applyAlignment="1">
      <alignment horizontal="center" vertical="center"/>
    </xf>
    <xf numFmtId="1" fontId="0" fillId="0" borderId="22" xfId="0" applyNumberFormat="1" applyBorder="1" applyAlignment="1">
      <alignment horizontal="center" vertical="center"/>
    </xf>
    <xf numFmtId="0" fontId="23" fillId="0" borderId="27" xfId="0" applyFont="1" applyBorder="1" applyAlignment="1">
      <alignment vertical="center"/>
    </xf>
    <xf numFmtId="0" fontId="0" fillId="0" borderId="22" xfId="0" applyFont="1" applyBorder="1" applyAlignment="1">
      <alignment horizontal="center" vertical="center"/>
    </xf>
    <xf numFmtId="0" fontId="32" fillId="0" borderId="22" xfId="0" applyFont="1" applyBorder="1" applyAlignment="1">
      <alignment horizontal="center" vertical="center"/>
    </xf>
    <xf numFmtId="0" fontId="32" fillId="4" borderId="22" xfId="0" applyFont="1" applyFill="1" applyBorder="1" applyAlignment="1">
      <alignment horizontal="center" vertical="center"/>
    </xf>
    <xf numFmtId="0" fontId="0" fillId="0" borderId="22" xfId="0" applyBorder="1" applyAlignment="1">
      <alignment horizontal="center" vertical="center"/>
    </xf>
    <xf numFmtId="0" fontId="99" fillId="0" borderId="22" xfId="0" applyFont="1" applyBorder="1" applyAlignment="1">
      <alignment horizontal="center" vertical="center" shrinkToFit="1"/>
    </xf>
    <xf numFmtId="0" fontId="32" fillId="0" borderId="22" xfId="0" applyFont="1" applyFill="1" applyBorder="1" applyAlignment="1">
      <alignment horizontal="center" vertical="center"/>
    </xf>
    <xf numFmtId="0" fontId="32" fillId="0" borderId="22" xfId="0" applyFont="1" applyBorder="1" applyAlignment="1">
      <alignment horizontal="center" vertical="center"/>
    </xf>
    <xf numFmtId="0" fontId="0" fillId="0" borderId="22" xfId="0" applyFont="1" applyBorder="1" applyAlignment="1">
      <alignment horizontal="center" vertical="center"/>
    </xf>
    <xf numFmtId="183" fontId="0" fillId="0" borderId="22" xfId="0" applyNumberFormat="1" applyFont="1" applyBorder="1" applyAlignment="1">
      <alignment horizontal="center" vertical="center"/>
    </xf>
    <xf numFmtId="0" fontId="0" fillId="0" borderId="22" xfId="0" applyBorder="1" applyAlignment="1">
      <alignment horizontal="center" vertical="center"/>
    </xf>
    <xf numFmtId="0" fontId="32" fillId="4" borderId="22" xfId="0" applyFont="1" applyFill="1" applyBorder="1" applyAlignment="1">
      <alignment horizontal="center" vertical="center"/>
    </xf>
    <xf numFmtId="1" fontId="0" fillId="0" borderId="22" xfId="0" applyNumberFormat="1" applyFont="1" applyFill="1" applyBorder="1" applyAlignment="1">
      <alignment horizontal="center" vertical="center"/>
    </xf>
    <xf numFmtId="183" fontId="0" fillId="0" borderId="22" xfId="0" applyNumberFormat="1" applyBorder="1" applyAlignment="1">
      <alignment horizontal="center" vertical="center"/>
    </xf>
    <xf numFmtId="1" fontId="0" fillId="0" borderId="31" xfId="0" applyNumberFormat="1" applyFont="1" applyFill="1" applyBorder="1" applyAlignment="1">
      <alignment horizontal="center" vertical="center"/>
    </xf>
    <xf numFmtId="1" fontId="0" fillId="0" borderId="22" xfId="0" applyNumberFormat="1" applyFont="1" applyBorder="1" applyAlignment="1">
      <alignment horizontal="center" vertical="center"/>
    </xf>
    <xf numFmtId="1" fontId="0" fillId="0" borderId="22" xfId="0" applyNumberFormat="1" applyBorder="1" applyAlignment="1">
      <alignment horizontal="center" vertical="center"/>
    </xf>
    <xf numFmtId="183" fontId="0" fillId="0" borderId="22" xfId="0" applyNumberFormat="1" applyFont="1" applyBorder="1" applyAlignment="1">
      <alignment horizontal="center" vertical="center"/>
    </xf>
    <xf numFmtId="0" fontId="0" fillId="0" borderId="22" xfId="0" applyFont="1" applyBorder="1" applyAlignment="1">
      <alignment horizontal="center" vertical="center"/>
    </xf>
    <xf numFmtId="1" fontId="0" fillId="0" borderId="22" xfId="0" applyNumberFormat="1" applyFont="1" applyFill="1" applyBorder="1" applyAlignment="1">
      <alignment horizontal="center" vertical="center"/>
    </xf>
    <xf numFmtId="0" fontId="0" fillId="0" borderId="22" xfId="0" applyBorder="1" applyAlignment="1">
      <alignment horizontal="center" vertical="center"/>
    </xf>
    <xf numFmtId="1" fontId="0" fillId="0" borderId="31" xfId="0" applyNumberFormat="1" applyFont="1" applyFill="1" applyBorder="1" applyAlignment="1">
      <alignment horizontal="center" vertical="center"/>
    </xf>
    <xf numFmtId="1" fontId="0" fillId="0" borderId="22" xfId="0" applyNumberFormat="1" applyBorder="1" applyAlignment="1">
      <alignment horizontal="center" vertical="center"/>
    </xf>
    <xf numFmtId="0" fontId="28" fillId="0" borderId="0" xfId="11" applyFont="1" applyAlignment="1">
      <alignment horizontal="center" vertical="center"/>
    </xf>
    <xf numFmtId="0" fontId="35" fillId="5" borderId="23" xfId="5" applyFont="1" applyFill="1" applyBorder="1" applyAlignment="1">
      <alignment horizontal="center" vertical="center"/>
    </xf>
    <xf numFmtId="1" fontId="25" fillId="0" borderId="22" xfId="0" applyNumberFormat="1" applyFont="1" applyBorder="1" applyAlignment="1">
      <alignment shrinkToFit="1"/>
    </xf>
    <xf numFmtId="0" fontId="45" fillId="0" borderId="51" xfId="11" applyFont="1" applyBorder="1" applyAlignment="1">
      <alignment shrinkToFit="1"/>
    </xf>
    <xf numFmtId="184" fontId="63" fillId="14" borderId="52" xfId="11" applyNumberFormat="1" applyFont="1" applyFill="1" applyBorder="1" applyAlignment="1">
      <alignment shrinkToFit="1"/>
    </xf>
    <xf numFmtId="0" fontId="25" fillId="0" borderId="53" xfId="11" applyFont="1" applyBorder="1" applyAlignment="1">
      <alignment shrinkToFit="1"/>
    </xf>
    <xf numFmtId="0" fontId="27" fillId="0" borderId="42" xfId="11" applyFont="1" applyFill="1" applyBorder="1" applyAlignment="1">
      <alignment horizontal="center" vertical="center" shrinkToFit="1"/>
    </xf>
    <xf numFmtId="0" fontId="27" fillId="0" borderId="25" xfId="11" applyFont="1" applyFill="1" applyBorder="1" applyAlignment="1">
      <alignment horizontal="center" vertical="center" shrinkToFit="1"/>
    </xf>
    <xf numFmtId="0" fontId="27" fillId="0" borderId="27" xfId="11" applyFont="1" applyFill="1" applyBorder="1" applyAlignment="1">
      <alignment horizontal="center" vertical="center" shrinkToFit="1"/>
    </xf>
    <xf numFmtId="10" fontId="35" fillId="0" borderId="62" xfId="11" applyNumberFormat="1" applyFont="1" applyFill="1" applyBorder="1" applyAlignment="1">
      <alignment shrinkToFit="1"/>
    </xf>
    <xf numFmtId="0" fontId="44" fillId="0" borderId="63" xfId="11" applyFont="1" applyFill="1" applyBorder="1" applyAlignment="1">
      <alignment horizontal="center" shrinkToFit="1"/>
    </xf>
    <xf numFmtId="3" fontId="27" fillId="7" borderId="42" xfId="11" applyNumberFormat="1" applyFont="1" applyFill="1" applyBorder="1" applyAlignment="1">
      <alignment shrinkToFit="1"/>
    </xf>
    <xf numFmtId="3" fontId="27" fillId="7" borderId="25" xfId="11" applyNumberFormat="1" applyFont="1" applyFill="1" applyBorder="1" applyAlignment="1">
      <alignment shrinkToFit="1"/>
    </xf>
    <xf numFmtId="10" fontId="27" fillId="0" borderId="27" xfId="11" applyNumberFormat="1" applyFont="1" applyFill="1" applyBorder="1" applyAlignment="1">
      <alignment shrinkToFit="1"/>
    </xf>
    <xf numFmtId="0" fontId="44" fillId="0" borderId="64" xfId="11" applyFont="1" applyFill="1" applyBorder="1" applyAlignment="1">
      <alignment horizontal="center" shrinkToFit="1"/>
    </xf>
    <xf numFmtId="3" fontId="35" fillId="7" borderId="45" xfId="11" applyNumberFormat="1" applyFont="1" applyFill="1" applyBorder="1" applyAlignment="1">
      <alignment shrinkToFit="1"/>
    </xf>
    <xf numFmtId="10" fontId="35" fillId="0" borderId="65" xfId="11" applyNumberFormat="1" applyFont="1" applyFill="1" applyBorder="1" applyAlignment="1">
      <alignment shrinkToFit="1"/>
    </xf>
    <xf numFmtId="0" fontId="44" fillId="0" borderId="66" xfId="11" applyFont="1" applyFill="1" applyBorder="1" applyAlignment="1">
      <alignment horizontal="center" shrinkToFit="1"/>
    </xf>
    <xf numFmtId="3" fontId="27" fillId="7" borderId="67" xfId="11" applyNumberFormat="1" applyFont="1" applyFill="1" applyBorder="1" applyAlignment="1">
      <alignment shrinkToFit="1"/>
    </xf>
    <xf numFmtId="10" fontId="27" fillId="0" borderId="68" xfId="11" applyNumberFormat="1" applyFont="1" applyFill="1" applyBorder="1" applyAlignment="1">
      <alignment shrinkToFit="1"/>
    </xf>
    <xf numFmtId="1" fontId="6" fillId="3" borderId="1" xfId="0" applyNumberFormat="1" applyFont="1" applyFill="1" applyBorder="1" applyAlignment="1">
      <alignment shrinkToFit="1"/>
    </xf>
    <xf numFmtId="1" fontId="27" fillId="3" borderId="18" xfId="0" applyNumberFormat="1" applyFont="1" applyFill="1" applyBorder="1" applyAlignment="1">
      <alignment shrinkToFit="1"/>
    </xf>
    <xf numFmtId="0" fontId="82" fillId="5" borderId="22" xfId="577" applyFont="1" applyFill="1" applyBorder="1" applyAlignment="1">
      <alignment horizontal="center" vertical="center" wrapText="1"/>
    </xf>
    <xf numFmtId="0" fontId="35" fillId="5" borderId="22" xfId="577" applyFont="1" applyFill="1" applyBorder="1" applyAlignment="1">
      <alignment horizontal="center" vertical="center" wrapText="1"/>
    </xf>
    <xf numFmtId="0" fontId="28" fillId="8" borderId="22" xfId="11" applyFont="1" applyFill="1" applyBorder="1" applyAlignment="1">
      <alignment horizontal="left" vertical="center"/>
    </xf>
    <xf numFmtId="197" fontId="35" fillId="4" borderId="22" xfId="11" applyNumberFormat="1" applyFont="1" applyFill="1" applyBorder="1" applyAlignment="1">
      <alignment horizontal="center" vertical="center"/>
    </xf>
    <xf numFmtId="198" fontId="35" fillId="8" borderId="22" xfId="11" applyNumberFormat="1" applyFont="1" applyFill="1" applyBorder="1" applyAlignment="1">
      <alignment horizontal="center" vertical="center"/>
    </xf>
    <xf numFmtId="198" fontId="35" fillId="8" borderId="22" xfId="13" applyNumberFormat="1" applyFont="1" applyFill="1" applyBorder="1" applyAlignment="1">
      <alignment horizontal="center" vertical="center"/>
    </xf>
    <xf numFmtId="185" fontId="35" fillId="0" borderId="22" xfId="13" applyNumberFormat="1" applyFont="1" applyFill="1" applyBorder="1" applyAlignment="1">
      <alignment horizontal="center" vertical="center"/>
    </xf>
    <xf numFmtId="198" fontId="35" fillId="0" borderId="22" xfId="11" applyNumberFormat="1" applyFont="1" applyFill="1" applyBorder="1" applyAlignment="1">
      <alignment horizontal="center" vertical="center"/>
    </xf>
    <xf numFmtId="197" fontId="35" fillId="0" borderId="22" xfId="11" applyNumberFormat="1" applyFont="1" applyFill="1" applyBorder="1" applyAlignment="1">
      <alignment horizontal="center" vertical="center"/>
    </xf>
    <xf numFmtId="0" fontId="35" fillId="0" borderId="22" xfId="11" applyFont="1" applyBorder="1" applyAlignment="1">
      <alignment horizontal="left" vertical="center"/>
    </xf>
    <xf numFmtId="0" fontId="0" fillId="0" borderId="0" xfId="0"/>
    <xf numFmtId="1" fontId="28" fillId="0" borderId="69" xfId="11" applyNumberFormat="1" applyFont="1" applyBorder="1" applyAlignment="1">
      <alignment horizontal="center" vertical="center"/>
    </xf>
    <xf numFmtId="0" fontId="0" fillId="0" borderId="0" xfId="5" applyFont="1"/>
    <xf numFmtId="1" fontId="28" fillId="0" borderId="22" xfId="11" applyNumberFormat="1" applyFont="1" applyBorder="1" applyAlignment="1">
      <alignment horizontal="center" vertical="center"/>
    </xf>
    <xf numFmtId="1" fontId="66" fillId="0" borderId="70" xfId="11" applyNumberFormat="1" applyFont="1" applyBorder="1" applyAlignment="1">
      <alignment horizontal="center" vertical="center"/>
    </xf>
    <xf numFmtId="9" fontId="28" fillId="0" borderId="70" xfId="13" applyFont="1" applyBorder="1" applyAlignment="1">
      <alignment horizontal="center" vertical="center"/>
    </xf>
    <xf numFmtId="197" fontId="35" fillId="0" borderId="22" xfId="11" applyNumberFormat="1" applyFont="1" applyBorder="1" applyAlignment="1">
      <alignment horizontal="center" vertical="center"/>
    </xf>
    <xf numFmtId="197" fontId="35" fillId="0" borderId="22" xfId="13" applyNumberFormat="1" applyFont="1" applyFill="1" applyBorder="1" applyAlignment="1">
      <alignment horizontal="center" vertical="center"/>
    </xf>
    <xf numFmtId="0" fontId="104" fillId="0" borderId="23" xfId="578" applyFont="1" applyFill="1" applyBorder="1" applyAlignment="1">
      <alignment horizontal="center" vertical="center"/>
    </xf>
    <xf numFmtId="194" fontId="104" fillId="0" borderId="23" xfId="578" applyNumberFormat="1" applyFont="1" applyFill="1" applyBorder="1" applyAlignment="1">
      <alignment horizontal="center" vertical="center"/>
    </xf>
    <xf numFmtId="189" fontId="104" fillId="0" borderId="23" xfId="578" applyNumberFormat="1" applyFont="1" applyFill="1" applyBorder="1" applyAlignment="1">
      <alignment horizontal="center" vertical="center"/>
    </xf>
    <xf numFmtId="10" fontId="104" fillId="0" borderId="23" xfId="3" applyNumberFormat="1" applyFont="1" applyFill="1" applyBorder="1" applyAlignment="1">
      <alignment horizontal="center" vertical="center"/>
    </xf>
    <xf numFmtId="0" fontId="106" fillId="0" borderId="23" xfId="578" applyFont="1" applyFill="1" applyBorder="1" applyAlignment="1">
      <alignment horizontal="center" vertical="center" wrapText="1"/>
    </xf>
    <xf numFmtId="0" fontId="109" fillId="0" borderId="23" xfId="11" applyFont="1" applyFill="1" applyBorder="1" applyAlignment="1">
      <alignment horizontal="center" vertical="center"/>
    </xf>
    <xf numFmtId="0" fontId="110" fillId="0" borderId="23" xfId="11" applyFont="1" applyFill="1" applyBorder="1" applyAlignment="1">
      <alignment horizontal="center" vertical="center"/>
    </xf>
    <xf numFmtId="193" fontId="111" fillId="5" borderId="22" xfId="5" applyNumberFormat="1" applyFont="1" applyFill="1" applyBorder="1" applyAlignment="1">
      <alignment horizontal="center" vertical="center"/>
    </xf>
    <xf numFmtId="194" fontId="112" fillId="8" borderId="22" xfId="577" applyNumberFormat="1" applyFont="1" applyFill="1" applyBorder="1" applyAlignment="1">
      <alignment horizontal="center" vertical="center"/>
    </xf>
    <xf numFmtId="194" fontId="112" fillId="8" borderId="22" xfId="579" applyNumberFormat="1" applyFont="1" applyFill="1" applyBorder="1" applyAlignment="1">
      <alignment horizontal="center" vertical="center"/>
    </xf>
    <xf numFmtId="189" fontId="112" fillId="0" borderId="22" xfId="577" applyNumberFormat="1" applyFont="1" applyBorder="1" applyAlignment="1">
      <alignment horizontal="center" vertical="center"/>
    </xf>
    <xf numFmtId="10" fontId="112" fillId="0" borderId="22" xfId="3" applyNumberFormat="1" applyFont="1" applyBorder="1" applyAlignment="1">
      <alignment horizontal="center" vertical="center"/>
    </xf>
    <xf numFmtId="193" fontId="111" fillId="15" borderId="22" xfId="5" applyNumberFormat="1" applyFont="1" applyFill="1" applyBorder="1" applyAlignment="1">
      <alignment horizontal="center" vertical="center"/>
    </xf>
    <xf numFmtId="0" fontId="113" fillId="0" borderId="0" xfId="578" applyFont="1">
      <alignment vertical="center"/>
    </xf>
    <xf numFmtId="193" fontId="114" fillId="0" borderId="22" xfId="5" applyNumberFormat="1" applyFont="1" applyBorder="1" applyAlignment="1">
      <alignment horizontal="center" vertical="center"/>
    </xf>
    <xf numFmtId="0" fontId="1" fillId="0" borderId="0" xfId="578">
      <alignment vertical="center"/>
    </xf>
    <xf numFmtId="0" fontId="0" fillId="0" borderId="0" xfId="0" applyFont="1" applyAlignment="1">
      <alignment shrinkToFit="1"/>
    </xf>
    <xf numFmtId="0" fontId="27" fillId="0" borderId="22" xfId="11" applyFont="1" applyFill="1" applyBorder="1" applyAlignment="1">
      <alignment horizontal="center" vertical="center" shrinkToFit="1"/>
    </xf>
    <xf numFmtId="0" fontId="27" fillId="0" borderId="43" xfId="11" applyFont="1" applyFill="1" applyBorder="1" applyAlignment="1">
      <alignment horizontal="center" vertical="center" shrinkToFit="1"/>
    </xf>
    <xf numFmtId="0" fontId="27" fillId="2" borderId="4" xfId="0" applyFont="1" applyFill="1" applyBorder="1" applyAlignment="1">
      <alignment horizontal="center" vertical="center" shrinkToFit="1"/>
    </xf>
    <xf numFmtId="0" fontId="27" fillId="2" borderId="2" xfId="0" applyFont="1" applyFill="1" applyBorder="1" applyAlignment="1">
      <alignment horizontal="center" vertical="center" shrinkToFit="1"/>
    </xf>
    <xf numFmtId="0" fontId="27" fillId="2" borderId="3" xfId="0" applyFont="1" applyFill="1" applyBorder="1" applyAlignment="1">
      <alignment horizontal="center" vertical="center" shrinkToFit="1"/>
    </xf>
    <xf numFmtId="0" fontId="25" fillId="0" borderId="71" xfId="11" applyFont="1" applyBorder="1" applyAlignment="1">
      <alignment shrinkToFit="1"/>
    </xf>
    <xf numFmtId="0" fontId="25" fillId="0" borderId="71" xfId="11" applyFont="1" applyFill="1" applyBorder="1" applyAlignment="1">
      <alignment shrinkToFit="1"/>
    </xf>
    <xf numFmtId="0" fontId="25" fillId="0" borderId="0" xfId="11" applyFont="1" applyFill="1" applyBorder="1" applyAlignment="1">
      <alignment shrinkToFit="1"/>
    </xf>
    <xf numFmtId="0" fontId="0" fillId="0" borderId="22" xfId="0" applyFont="1" applyBorder="1" applyAlignment="1">
      <alignment horizontal="center" vertical="center"/>
    </xf>
    <xf numFmtId="0" fontId="0" fillId="0" borderId="22" xfId="0" applyBorder="1" applyAlignment="1">
      <alignment horizontal="center" vertical="center"/>
    </xf>
    <xf numFmtId="1" fontId="0" fillId="0" borderId="31" xfId="0" applyNumberFormat="1" applyFont="1" applyFill="1" applyBorder="1" applyAlignment="1">
      <alignment horizontal="center" vertical="center"/>
    </xf>
    <xf numFmtId="1" fontId="0" fillId="0" borderId="22" xfId="0" applyNumberFormat="1" applyBorder="1" applyAlignment="1">
      <alignment horizontal="center" vertical="center"/>
    </xf>
    <xf numFmtId="0" fontId="44" fillId="2" borderId="22" xfId="0" applyFont="1" applyFill="1" applyBorder="1" applyAlignment="1">
      <alignment horizontal="center" shrinkToFit="1"/>
    </xf>
    <xf numFmtId="0" fontId="27" fillId="0" borderId="22" xfId="0" applyFont="1" applyBorder="1" applyAlignment="1">
      <alignment shrinkToFit="1"/>
    </xf>
    <xf numFmtId="0" fontId="7" fillId="0" borderId="4" xfId="0" applyFont="1" applyBorder="1" applyAlignment="1">
      <alignment shrinkToFit="1"/>
    </xf>
    <xf numFmtId="0" fontId="8" fillId="0" borderId="2" xfId="0" applyFont="1" applyBorder="1" applyAlignment="1">
      <alignment shrinkToFit="1"/>
    </xf>
    <xf numFmtId="0" fontId="8" fillId="0" borderId="3" xfId="0" applyFont="1" applyBorder="1" applyAlignment="1">
      <alignment shrinkToFit="1"/>
    </xf>
    <xf numFmtId="0" fontId="7" fillId="2" borderId="4" xfId="0" applyFont="1" applyFill="1" applyBorder="1" applyAlignment="1">
      <alignment shrinkToFit="1"/>
    </xf>
    <xf numFmtId="0" fontId="10" fillId="0" borderId="4" xfId="0" applyFont="1" applyBorder="1" applyAlignment="1">
      <alignment shrinkToFit="1"/>
    </xf>
    <xf numFmtId="0" fontId="6" fillId="0" borderId="4" xfId="0" applyFont="1" applyBorder="1" applyAlignment="1">
      <alignment shrinkToFit="1"/>
    </xf>
    <xf numFmtId="0" fontId="6" fillId="0" borderId="9" xfId="0" applyFont="1" applyBorder="1" applyAlignment="1">
      <alignment shrinkToFit="1"/>
    </xf>
    <xf numFmtId="0" fontId="8" fillId="0" borderId="8" xfId="0" applyFont="1" applyBorder="1" applyAlignment="1">
      <alignment shrinkToFit="1"/>
    </xf>
    <xf numFmtId="0" fontId="10" fillId="0" borderId="12" xfId="0" applyFont="1" applyBorder="1" applyAlignment="1">
      <alignment shrinkToFit="1"/>
    </xf>
    <xf numFmtId="0" fontId="8" fillId="0" borderId="11" xfId="0" applyFont="1" applyBorder="1" applyAlignment="1">
      <alignment shrinkToFit="1"/>
    </xf>
    <xf numFmtId="0" fontId="8" fillId="0" borderId="10" xfId="0" applyFont="1" applyBorder="1" applyAlignment="1">
      <alignment shrinkToFit="1"/>
    </xf>
    <xf numFmtId="0" fontId="6" fillId="2" borderId="4" xfId="0" applyFont="1" applyFill="1" applyBorder="1" applyAlignment="1">
      <alignment shrinkToFit="1"/>
    </xf>
    <xf numFmtId="0" fontId="6" fillId="2" borderId="2" xfId="0" applyFont="1" applyFill="1" applyBorder="1" applyAlignment="1">
      <alignment shrinkToFit="1"/>
    </xf>
    <xf numFmtId="0" fontId="6" fillId="2" borderId="3" xfId="0" applyFont="1" applyFill="1" applyBorder="1" applyAlignment="1">
      <alignment shrinkToFit="1"/>
    </xf>
    <xf numFmtId="0" fontId="7" fillId="0" borderId="9" xfId="0" applyFont="1" applyBorder="1" applyAlignment="1">
      <alignment shrinkToFit="1"/>
    </xf>
    <xf numFmtId="0" fontId="8" fillId="0" borderId="13" xfId="0" applyFont="1" applyBorder="1" applyAlignment="1">
      <alignment shrinkToFit="1"/>
    </xf>
    <xf numFmtId="0" fontId="11" fillId="2" borderId="4" xfId="0" applyFont="1" applyFill="1" applyBorder="1" applyAlignment="1">
      <alignment shrinkToFit="1"/>
    </xf>
    <xf numFmtId="0" fontId="10" fillId="2" borderId="4" xfId="0" applyFont="1" applyFill="1" applyBorder="1" applyAlignment="1">
      <alignment shrinkToFit="1"/>
    </xf>
    <xf numFmtId="0" fontId="10" fillId="2" borderId="2" xfId="0" applyFont="1" applyFill="1" applyBorder="1" applyAlignment="1">
      <alignment shrinkToFit="1"/>
    </xf>
    <xf numFmtId="0" fontId="10" fillId="2" borderId="3" xfId="0" applyFont="1" applyFill="1" applyBorder="1" applyAlignment="1">
      <alignment shrinkToFit="1"/>
    </xf>
    <xf numFmtId="0" fontId="10" fillId="0" borderId="19" xfId="0" applyFont="1" applyBorder="1" applyAlignment="1">
      <alignment shrinkToFit="1"/>
    </xf>
    <xf numFmtId="0" fontId="8" fillId="0" borderId="20" xfId="0" applyFont="1" applyBorder="1" applyAlignment="1">
      <alignment shrinkToFit="1"/>
    </xf>
    <xf numFmtId="0" fontId="8" fillId="0" borderId="21" xfId="0" applyFont="1" applyBorder="1" applyAlignment="1">
      <alignment shrinkToFit="1"/>
    </xf>
    <xf numFmtId="0" fontId="6" fillId="0" borderId="0" xfId="0" applyFont="1" applyAlignment="1">
      <alignment shrinkToFit="1"/>
    </xf>
    <xf numFmtId="0" fontId="0" fillId="0" borderId="0" xfId="0" applyFont="1" applyAlignment="1">
      <alignment shrinkToFit="1"/>
    </xf>
    <xf numFmtId="0" fontId="6" fillId="0" borderId="19" xfId="0" applyFont="1" applyBorder="1" applyAlignment="1">
      <alignment shrinkToFit="1"/>
    </xf>
    <xf numFmtId="0" fontId="11" fillId="2" borderId="3" xfId="0" applyFont="1" applyFill="1" applyBorder="1" applyAlignment="1">
      <alignment shrinkToFit="1"/>
    </xf>
    <xf numFmtId="0" fontId="41" fillId="0" borderId="0" xfId="0" applyFont="1" applyBorder="1" applyAlignment="1">
      <alignment horizontal="center" vertical="center" shrinkToFit="1"/>
    </xf>
    <xf numFmtId="0" fontId="51" fillId="8" borderId="22" xfId="0" applyFont="1" applyFill="1" applyBorder="1" applyAlignment="1">
      <alignment horizontal="center" vertical="center" shrinkToFit="1"/>
    </xf>
    <xf numFmtId="10" fontId="26" fillId="0" borderId="0" xfId="0" applyNumberFormat="1" applyFont="1" applyFill="1" applyAlignment="1">
      <alignment horizontal="center" vertical="center"/>
    </xf>
    <xf numFmtId="0" fontId="18" fillId="0" borderId="0" xfId="0" applyFont="1" applyFill="1" applyAlignment="1">
      <alignment horizontal="center" vertical="center"/>
    </xf>
    <xf numFmtId="177" fontId="26" fillId="7" borderId="0" xfId="0" applyNumberFormat="1" applyFont="1" applyFill="1" applyAlignment="1">
      <alignment horizontal="center" vertical="center"/>
    </xf>
    <xf numFmtId="178" fontId="26" fillId="6" borderId="0" xfId="0" applyNumberFormat="1" applyFont="1" applyFill="1" applyAlignment="1">
      <alignment horizontal="center" vertical="center"/>
    </xf>
    <xf numFmtId="176" fontId="26" fillId="5" borderId="0" xfId="0" applyNumberFormat="1" applyFont="1" applyFill="1" applyAlignment="1">
      <alignment horizontal="center" vertical="center"/>
    </xf>
    <xf numFmtId="0" fontId="26" fillId="0" borderId="0" xfId="0" applyFont="1" applyFill="1" applyAlignment="1">
      <alignment horizontal="center" vertical="center"/>
    </xf>
    <xf numFmtId="0" fontId="27" fillId="0" borderId="0" xfId="0" applyFont="1" applyFill="1" applyBorder="1" applyAlignment="1">
      <alignment horizontal="center" vertical="center" shrinkToFit="1"/>
    </xf>
    <xf numFmtId="178" fontId="26" fillId="0" borderId="0" xfId="0" applyNumberFormat="1" applyFont="1" applyFill="1" applyAlignment="1">
      <alignment horizontal="center" vertical="center"/>
    </xf>
    <xf numFmtId="0" fontId="24" fillId="0" borderId="0" xfId="0" applyFont="1" applyFill="1" applyAlignment="1">
      <alignment horizontal="center" vertical="center"/>
    </xf>
    <xf numFmtId="181" fontId="14" fillId="0" borderId="0" xfId="0" applyNumberFormat="1" applyFont="1" applyFill="1" applyAlignment="1">
      <alignment horizontal="center" vertical="center"/>
    </xf>
    <xf numFmtId="10" fontId="14" fillId="5" borderId="0" xfId="0" applyNumberFormat="1" applyFont="1" applyFill="1" applyAlignment="1">
      <alignment horizontal="center" vertical="center"/>
    </xf>
    <xf numFmtId="10" fontId="14" fillId="0" borderId="0" xfId="0" applyNumberFormat="1" applyFont="1" applyFill="1" applyAlignment="1">
      <alignment horizontal="center" vertical="center"/>
    </xf>
    <xf numFmtId="0" fontId="29" fillId="0" borderId="22" xfId="0" applyFont="1" applyFill="1" applyBorder="1" applyAlignment="1">
      <alignment horizontal="center" vertical="center"/>
    </xf>
    <xf numFmtId="0" fontId="18" fillId="0" borderId="0" xfId="0" applyFont="1" applyFill="1" applyBorder="1" applyAlignment="1">
      <alignment horizontal="center" vertical="center"/>
    </xf>
    <xf numFmtId="0" fontId="28" fillId="0" borderId="22" xfId="0" applyFont="1" applyFill="1" applyBorder="1" applyAlignment="1">
      <alignment horizontal="center" vertical="center"/>
    </xf>
    <xf numFmtId="0" fontId="27" fillId="0" borderId="22" xfId="0" applyFont="1" applyFill="1" applyBorder="1" applyAlignment="1">
      <alignment horizontal="center" vertical="center" shrinkToFit="1"/>
    </xf>
    <xf numFmtId="182" fontId="27" fillId="0" borderId="22" xfId="0" applyNumberFormat="1" applyFont="1" applyFill="1" applyBorder="1" applyAlignment="1">
      <alignment horizontal="center" vertical="center" shrinkToFit="1"/>
    </xf>
    <xf numFmtId="0" fontId="17" fillId="0" borderId="22" xfId="0" applyFont="1" applyFill="1" applyBorder="1" applyAlignment="1">
      <alignment horizontal="center" vertical="center"/>
    </xf>
    <xf numFmtId="0" fontId="22" fillId="0" borderId="22" xfId="0" applyFont="1" applyFill="1" applyBorder="1" applyAlignment="1">
      <alignment horizontal="center" vertical="center"/>
    </xf>
    <xf numFmtId="182" fontId="26" fillId="0" borderId="22" xfId="0" applyNumberFormat="1" applyFont="1" applyFill="1" applyBorder="1" applyAlignment="1">
      <alignment horizontal="center" vertical="center"/>
    </xf>
    <xf numFmtId="177" fontId="26" fillId="0" borderId="22" xfId="0" applyNumberFormat="1" applyFont="1" applyFill="1" applyBorder="1" applyAlignment="1">
      <alignment horizontal="center" vertical="center"/>
    </xf>
    <xf numFmtId="177" fontId="17" fillId="0" borderId="22" xfId="0" applyNumberFormat="1" applyFont="1" applyFill="1" applyBorder="1" applyAlignment="1">
      <alignment horizontal="center" vertical="center"/>
    </xf>
    <xf numFmtId="177" fontId="29" fillId="0" borderId="22" xfId="0" applyNumberFormat="1" applyFont="1" applyFill="1" applyBorder="1" applyAlignment="1">
      <alignment horizontal="center" vertical="center"/>
    </xf>
    <xf numFmtId="177" fontId="21" fillId="0" borderId="22" xfId="0" applyNumberFormat="1" applyFont="1" applyFill="1" applyBorder="1" applyAlignment="1">
      <alignment horizontal="center" vertical="center" shrinkToFit="1"/>
    </xf>
    <xf numFmtId="177" fontId="27" fillId="0" borderId="22" xfId="0" applyNumberFormat="1" applyFont="1" applyFill="1" applyBorder="1" applyAlignment="1">
      <alignment horizontal="center" vertical="center" shrinkToFit="1"/>
    </xf>
    <xf numFmtId="177" fontId="22" fillId="0" borderId="22" xfId="0" applyNumberFormat="1" applyFont="1" applyFill="1" applyBorder="1" applyAlignment="1">
      <alignment horizontal="center" vertical="center"/>
    </xf>
    <xf numFmtId="183" fontId="0" fillId="0" borderId="23" xfId="0" applyNumberFormat="1" applyFont="1" applyBorder="1" applyAlignment="1">
      <alignment horizontal="center" vertical="center"/>
    </xf>
    <xf numFmtId="183" fontId="0" fillId="0" borderId="29" xfId="0" applyNumberFormat="1" applyFont="1" applyBorder="1" applyAlignment="1">
      <alignment horizontal="center" vertical="center"/>
    </xf>
    <xf numFmtId="183" fontId="0" fillId="0" borderId="30" xfId="0" applyNumberFormat="1" applyFont="1" applyBorder="1" applyAlignment="1">
      <alignment horizontal="center" vertical="center"/>
    </xf>
    <xf numFmtId="0" fontId="32" fillId="4" borderId="22" xfId="0" applyFont="1" applyFill="1" applyBorder="1" applyAlignment="1">
      <alignment horizontal="center" vertical="center"/>
    </xf>
    <xf numFmtId="183" fontId="0" fillId="4" borderId="22" xfId="0" applyNumberFormat="1" applyFill="1" applyBorder="1" applyAlignment="1">
      <alignment horizontal="center" vertical="center"/>
    </xf>
    <xf numFmtId="0" fontId="32" fillId="0" borderId="22" xfId="0" applyFont="1" applyBorder="1" applyAlignment="1">
      <alignment horizontal="center" vertical="center"/>
    </xf>
    <xf numFmtId="183" fontId="0" fillId="0" borderId="22" xfId="0" applyNumberFormat="1" applyFont="1" applyBorder="1" applyAlignment="1">
      <alignment horizontal="center" vertical="center"/>
    </xf>
    <xf numFmtId="0" fontId="32" fillId="0" borderId="23" xfId="0" applyFont="1" applyBorder="1" applyAlignment="1">
      <alignment horizontal="center" vertical="center"/>
    </xf>
    <xf numFmtId="0" fontId="32" fillId="0" borderId="29" xfId="0" applyFont="1" applyBorder="1" applyAlignment="1">
      <alignment horizontal="center" vertical="center"/>
    </xf>
    <xf numFmtId="0" fontId="32" fillId="0" borderId="30" xfId="0" applyFont="1" applyBorder="1" applyAlignment="1">
      <alignment horizontal="center" vertical="center"/>
    </xf>
    <xf numFmtId="0" fontId="23" fillId="0" borderId="22" xfId="0" applyFont="1" applyBorder="1" applyAlignment="1">
      <alignment horizontal="center" vertical="center" wrapText="1"/>
    </xf>
    <xf numFmtId="0" fontId="0" fillId="0" borderId="22" xfId="0" applyFont="1" applyBorder="1" applyAlignment="1">
      <alignment horizontal="center" vertical="center"/>
    </xf>
    <xf numFmtId="1" fontId="0" fillId="0" borderId="22" xfId="0" applyNumberFormat="1" applyFont="1" applyFill="1" applyBorder="1" applyAlignment="1">
      <alignment horizontal="center" vertical="center"/>
    </xf>
    <xf numFmtId="183" fontId="0" fillId="0" borderId="22" xfId="0" applyNumberFormat="1" applyBorder="1" applyAlignment="1">
      <alignment horizontal="center" vertical="center"/>
    </xf>
    <xf numFmtId="0" fontId="33" fillId="13" borderId="0" xfId="0" applyFont="1" applyFill="1" applyAlignment="1">
      <alignment horizontal="left" vertical="center"/>
    </xf>
    <xf numFmtId="0" fontId="34" fillId="13" borderId="0" xfId="0" applyFont="1" applyFill="1" applyAlignment="1">
      <alignment horizontal="left" vertical="center"/>
    </xf>
    <xf numFmtId="0" fontId="34" fillId="13" borderId="0" xfId="0" applyFont="1" applyFill="1" applyBorder="1" applyAlignment="1">
      <alignment horizontal="left" vertical="center"/>
    </xf>
    <xf numFmtId="0" fontId="34" fillId="13" borderId="26" xfId="0" applyFont="1" applyFill="1" applyBorder="1" applyAlignment="1">
      <alignment horizontal="left" vertical="center"/>
    </xf>
    <xf numFmtId="1" fontId="32" fillId="0" borderId="22" xfId="0" applyNumberFormat="1" applyFont="1" applyFill="1" applyBorder="1" applyAlignment="1">
      <alignment horizontal="center" vertical="center"/>
    </xf>
    <xf numFmtId="183" fontId="0" fillId="0" borderId="31" xfId="0" applyNumberFormat="1" applyBorder="1" applyAlignment="1">
      <alignment horizontal="center" vertical="center"/>
    </xf>
    <xf numFmtId="183" fontId="0" fillId="0" borderId="33" xfId="0" applyNumberFormat="1" applyBorder="1" applyAlignment="1">
      <alignment horizontal="center" vertical="center"/>
    </xf>
    <xf numFmtId="183" fontId="0" fillId="0" borderId="31" xfId="0" applyNumberFormat="1" applyFont="1" applyFill="1" applyBorder="1" applyAlignment="1">
      <alignment horizontal="center" vertical="center"/>
    </xf>
    <xf numFmtId="183" fontId="0" fillId="0" borderId="33" xfId="0" applyNumberFormat="1" applyFont="1" applyFill="1" applyBorder="1" applyAlignment="1">
      <alignment horizontal="center" vertical="center"/>
    </xf>
    <xf numFmtId="183" fontId="0" fillId="0" borderId="35" xfId="0" applyNumberFormat="1" applyFont="1" applyFill="1" applyBorder="1" applyAlignment="1">
      <alignment horizontal="center" vertical="center"/>
    </xf>
    <xf numFmtId="0" fontId="32" fillId="0" borderId="27" xfId="0" applyFont="1" applyBorder="1" applyAlignment="1">
      <alignment horizontal="center" vertical="center"/>
    </xf>
    <xf numFmtId="0" fontId="32" fillId="0" borderId="28" xfId="0" applyFont="1" applyBorder="1" applyAlignment="1">
      <alignment horizontal="center" vertical="center"/>
    </xf>
    <xf numFmtId="0" fontId="32" fillId="0" borderId="25" xfId="0" applyFont="1" applyBorder="1" applyAlignment="1">
      <alignment horizontal="center" vertical="center"/>
    </xf>
    <xf numFmtId="0" fontId="32" fillId="4" borderId="27" xfId="0" applyFont="1" applyFill="1" applyBorder="1" applyAlignment="1">
      <alignment horizontal="center" vertical="center"/>
    </xf>
    <xf numFmtId="0" fontId="32" fillId="4" borderId="28" xfId="0" applyFont="1" applyFill="1" applyBorder="1" applyAlignment="1">
      <alignment horizontal="center" vertical="center"/>
    </xf>
    <xf numFmtId="0" fontId="32" fillId="4" borderId="25" xfId="0" applyFont="1" applyFill="1" applyBorder="1" applyAlignment="1">
      <alignment horizontal="center" vertical="center"/>
    </xf>
    <xf numFmtId="179" fontId="32" fillId="0" borderId="27" xfId="0" applyNumberFormat="1" applyFont="1" applyBorder="1" applyAlignment="1">
      <alignment horizontal="center" vertical="center"/>
    </xf>
    <xf numFmtId="179" fontId="32" fillId="0" borderId="28" xfId="0" applyNumberFormat="1" applyFont="1" applyBorder="1" applyAlignment="1">
      <alignment horizontal="center" vertical="center"/>
    </xf>
    <xf numFmtId="179" fontId="32" fillId="0" borderId="25" xfId="0" applyNumberFormat="1" applyFont="1" applyBorder="1" applyAlignment="1">
      <alignment horizontal="center" vertical="center"/>
    </xf>
    <xf numFmtId="179" fontId="32" fillId="0" borderId="22" xfId="0" applyNumberFormat="1" applyFont="1" applyBorder="1" applyAlignment="1">
      <alignment horizontal="center" vertical="center"/>
    </xf>
    <xf numFmtId="0" fontId="33" fillId="0" borderId="0" xfId="0" applyFont="1" applyAlignment="1">
      <alignment horizontal="left" vertical="center"/>
    </xf>
    <xf numFmtId="0" fontId="34" fillId="0" borderId="0" xfId="0" applyFont="1" applyAlignment="1">
      <alignment horizontal="left" vertical="center"/>
    </xf>
    <xf numFmtId="0" fontId="34" fillId="0" borderId="0" xfId="0" applyFont="1" applyBorder="1" applyAlignment="1">
      <alignment horizontal="left" vertical="center"/>
    </xf>
    <xf numFmtId="0" fontId="34" fillId="0" borderId="26" xfId="0" applyFont="1" applyBorder="1" applyAlignment="1">
      <alignment horizontal="left" vertical="center"/>
    </xf>
    <xf numFmtId="0" fontId="32" fillId="0" borderId="31" xfId="0" applyFont="1" applyBorder="1" applyAlignment="1">
      <alignment horizontal="center" vertical="center"/>
    </xf>
    <xf numFmtId="0" fontId="32" fillId="0" borderId="33" xfId="0" applyFont="1" applyBorder="1" applyAlignment="1">
      <alignment horizontal="center" vertical="center"/>
    </xf>
    <xf numFmtId="0" fontId="32" fillId="0" borderId="35" xfId="0" applyFont="1" applyBorder="1" applyAlignment="1">
      <alignment horizontal="center" vertical="center"/>
    </xf>
    <xf numFmtId="0" fontId="0" fillId="0" borderId="22" xfId="0" applyBorder="1" applyAlignment="1">
      <alignment horizontal="center" vertical="center"/>
    </xf>
    <xf numFmtId="0" fontId="33" fillId="0" borderId="26" xfId="0" applyFont="1" applyBorder="1" applyAlignment="1">
      <alignment horizontal="left" vertical="center"/>
    </xf>
    <xf numFmtId="0" fontId="32" fillId="0" borderId="23" xfId="0" applyFont="1" applyFill="1" applyBorder="1" applyAlignment="1">
      <alignment horizontal="center" vertical="center"/>
    </xf>
    <xf numFmtId="0" fontId="32" fillId="0" borderId="29" xfId="0" applyFont="1" applyFill="1" applyBorder="1" applyAlignment="1">
      <alignment horizontal="center" vertical="center"/>
    </xf>
    <xf numFmtId="0" fontId="32" fillId="0" borderId="30" xfId="0" applyFont="1" applyFill="1" applyBorder="1" applyAlignment="1">
      <alignment horizontal="center" vertical="center"/>
    </xf>
    <xf numFmtId="179" fontId="71" fillId="5" borderId="27" xfId="0" applyNumberFormat="1" applyFont="1" applyFill="1" applyBorder="1" applyAlignment="1">
      <alignment horizontal="center" vertical="center"/>
    </xf>
    <xf numFmtId="179" fontId="71" fillId="5" borderId="28" xfId="0" applyNumberFormat="1" applyFont="1" applyFill="1" applyBorder="1" applyAlignment="1">
      <alignment horizontal="center" vertical="center"/>
    </xf>
    <xf numFmtId="179" fontId="71" fillId="5" borderId="25" xfId="0" applyNumberFormat="1" applyFont="1" applyFill="1" applyBorder="1" applyAlignment="1">
      <alignment horizontal="center" vertical="center"/>
    </xf>
    <xf numFmtId="0" fontId="33" fillId="0" borderId="37" xfId="0" applyFont="1" applyBorder="1" applyAlignment="1">
      <alignment horizontal="left" vertical="center"/>
    </xf>
    <xf numFmtId="0" fontId="34" fillId="0" borderId="37" xfId="0" applyFont="1" applyBorder="1" applyAlignment="1">
      <alignment horizontal="left" vertical="center"/>
    </xf>
    <xf numFmtId="0" fontId="0" fillId="0" borderId="23" xfId="0" applyFont="1" applyBorder="1" applyAlignment="1">
      <alignment horizontal="center"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0" fontId="32" fillId="0" borderId="32" xfId="0" applyFont="1" applyBorder="1" applyAlignment="1">
      <alignment horizontal="center" vertical="center"/>
    </xf>
    <xf numFmtId="0" fontId="32" fillId="0" borderId="34" xfId="0" applyFont="1" applyBorder="1" applyAlignment="1">
      <alignment horizontal="center" vertical="center"/>
    </xf>
    <xf numFmtId="0" fontId="32" fillId="0" borderId="36" xfId="0" applyFont="1" applyBorder="1" applyAlignment="1">
      <alignment horizontal="center" vertical="center"/>
    </xf>
    <xf numFmtId="0" fontId="32" fillId="0" borderId="22" xfId="0" applyFont="1" applyFill="1" applyBorder="1" applyAlignment="1">
      <alignment horizontal="center" vertical="center"/>
    </xf>
    <xf numFmtId="0" fontId="32" fillId="0" borderId="31" xfId="0" applyFont="1" applyFill="1" applyBorder="1" applyAlignment="1">
      <alignment horizontal="center" vertical="center"/>
    </xf>
    <xf numFmtId="0" fontId="32" fillId="0" borderId="33" xfId="0" applyFont="1" applyFill="1" applyBorder="1" applyAlignment="1">
      <alignment horizontal="center" vertical="center"/>
    </xf>
    <xf numFmtId="0" fontId="32" fillId="0" borderId="35" xfId="0" applyFont="1" applyFill="1" applyBorder="1" applyAlignment="1">
      <alignment horizontal="center" vertical="center"/>
    </xf>
    <xf numFmtId="0" fontId="32" fillId="0" borderId="27" xfId="0" applyFont="1" applyFill="1" applyBorder="1" applyAlignment="1">
      <alignment horizontal="center" vertical="center"/>
    </xf>
    <xf numFmtId="0" fontId="32" fillId="0" borderId="28" xfId="0" applyFont="1" applyFill="1" applyBorder="1" applyAlignment="1">
      <alignment horizontal="center" vertical="center"/>
    </xf>
    <xf numFmtId="0" fontId="32" fillId="0" borderId="25" xfId="0" applyFont="1" applyFill="1" applyBorder="1" applyAlignment="1">
      <alignment horizontal="center" vertical="center"/>
    </xf>
    <xf numFmtId="183" fontId="0" fillId="0" borderId="23" xfId="0" applyNumberFormat="1" applyFont="1" applyFill="1" applyBorder="1" applyAlignment="1">
      <alignment horizontal="center" vertical="center"/>
    </xf>
    <xf numFmtId="183" fontId="0" fillId="0" borderId="29" xfId="0" applyNumberFormat="1" applyFont="1" applyFill="1" applyBorder="1" applyAlignment="1">
      <alignment horizontal="center" vertical="center"/>
    </xf>
    <xf numFmtId="183" fontId="0" fillId="0" borderId="30" xfId="0" applyNumberFormat="1" applyFont="1" applyFill="1" applyBorder="1" applyAlignment="1">
      <alignment horizontal="center" vertical="center"/>
    </xf>
    <xf numFmtId="0" fontId="23" fillId="0" borderId="22" xfId="0" applyFont="1" applyBorder="1" applyAlignment="1">
      <alignment horizontal="center" vertical="center"/>
    </xf>
    <xf numFmtId="183" fontId="0" fillId="0" borderId="31" xfId="0" applyNumberFormat="1" applyFont="1" applyBorder="1" applyAlignment="1">
      <alignment horizontal="center" vertical="center"/>
    </xf>
    <xf numFmtId="183" fontId="0" fillId="0" borderId="33" xfId="0" applyNumberFormat="1" applyFont="1" applyBorder="1" applyAlignment="1">
      <alignment horizontal="center" vertical="center"/>
    </xf>
    <xf numFmtId="183" fontId="0" fillId="0" borderId="35" xfId="0" applyNumberFormat="1" applyFont="1" applyBorder="1" applyAlignment="1">
      <alignment horizontal="center" vertical="center"/>
    </xf>
    <xf numFmtId="1" fontId="0" fillId="0" borderId="31" xfId="0" applyNumberFormat="1" applyFont="1" applyFill="1" applyBorder="1" applyAlignment="1">
      <alignment horizontal="center" vertical="center"/>
    </xf>
    <xf numFmtId="1" fontId="0" fillId="0" borderId="33" xfId="0" applyNumberFormat="1" applyFont="1" applyFill="1" applyBorder="1" applyAlignment="1">
      <alignment horizontal="center" vertical="center"/>
    </xf>
    <xf numFmtId="1" fontId="0" fillId="0" borderId="35" xfId="0" applyNumberFormat="1" applyFont="1" applyFill="1" applyBorder="1" applyAlignment="1">
      <alignment horizontal="center" vertical="center"/>
    </xf>
    <xf numFmtId="1" fontId="32" fillId="0" borderId="31" xfId="0" applyNumberFormat="1" applyFont="1" applyFill="1" applyBorder="1" applyAlignment="1">
      <alignment horizontal="center" vertical="center"/>
    </xf>
    <xf numFmtId="1" fontId="32" fillId="0" borderId="33" xfId="0" applyNumberFormat="1" applyFont="1" applyFill="1" applyBorder="1" applyAlignment="1">
      <alignment horizontal="center" vertical="center"/>
    </xf>
    <xf numFmtId="1" fontId="32" fillId="0" borderId="35" xfId="0" applyNumberFormat="1" applyFont="1" applyFill="1" applyBorder="1" applyAlignment="1">
      <alignment horizontal="center" vertical="center"/>
    </xf>
    <xf numFmtId="1" fontId="32" fillId="0" borderId="23" xfId="0" applyNumberFormat="1" applyFont="1" applyFill="1" applyBorder="1" applyAlignment="1">
      <alignment horizontal="center" vertical="center"/>
    </xf>
    <xf numFmtId="1" fontId="32" fillId="0" borderId="29" xfId="0" applyNumberFormat="1" applyFont="1" applyFill="1" applyBorder="1" applyAlignment="1">
      <alignment horizontal="center" vertical="center"/>
    </xf>
    <xf numFmtId="1" fontId="32" fillId="0" borderId="30" xfId="0" applyNumberFormat="1" applyFont="1" applyFill="1" applyBorder="1" applyAlignment="1">
      <alignment horizontal="center" vertical="center"/>
    </xf>
    <xf numFmtId="183" fontId="0" fillId="0" borderId="35" xfId="0" applyNumberFormat="1" applyBorder="1" applyAlignment="1">
      <alignment horizontal="center" vertical="center"/>
    </xf>
    <xf numFmtId="179" fontId="70" fillId="5" borderId="27" xfId="0" applyNumberFormat="1" applyFont="1" applyFill="1" applyBorder="1" applyAlignment="1">
      <alignment horizontal="center" vertical="center"/>
    </xf>
    <xf numFmtId="179" fontId="70" fillId="5" borderId="28" xfId="0" applyNumberFormat="1" applyFont="1" applyFill="1" applyBorder="1" applyAlignment="1">
      <alignment horizontal="center" vertical="center"/>
    </xf>
    <xf numFmtId="179" fontId="70" fillId="5" borderId="25" xfId="0" applyNumberFormat="1" applyFont="1" applyFill="1" applyBorder="1" applyAlignment="1">
      <alignment horizontal="center" vertical="center"/>
    </xf>
    <xf numFmtId="2" fontId="0" fillId="0" borderId="22" xfId="0" applyNumberFormat="1" applyBorder="1" applyAlignment="1">
      <alignment horizontal="center" vertical="center"/>
    </xf>
    <xf numFmtId="1" fontId="0" fillId="0" borderId="22" xfId="0" applyNumberFormat="1" applyBorder="1" applyAlignment="1">
      <alignment horizontal="center" vertical="center"/>
    </xf>
    <xf numFmtId="1" fontId="0" fillId="0" borderId="23" xfId="0" applyNumberFormat="1" applyBorder="1" applyAlignment="1">
      <alignment horizontal="center" vertical="center"/>
    </xf>
    <xf numFmtId="1" fontId="0" fillId="0" borderId="29" xfId="0" applyNumberFormat="1" applyBorder="1" applyAlignment="1">
      <alignment horizontal="center" vertical="center"/>
    </xf>
    <xf numFmtId="1" fontId="0" fillId="0" borderId="30" xfId="0" applyNumberFormat="1" applyBorder="1" applyAlignment="1">
      <alignment horizontal="center" vertical="center"/>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25" fillId="0" borderId="22" xfId="0" applyFont="1" applyBorder="1" applyAlignment="1">
      <alignment horizontal="center" vertical="center" shrinkToFit="1"/>
    </xf>
    <xf numFmtId="0" fontId="44" fillId="2" borderId="22" xfId="0" applyFont="1" applyFill="1" applyBorder="1" applyAlignment="1">
      <alignment horizontal="center" vertical="center" shrinkToFit="1"/>
    </xf>
    <xf numFmtId="0" fontId="55" fillId="0" borderId="22" xfId="0" applyFont="1" applyBorder="1" applyAlignment="1">
      <alignment horizontal="center" vertical="center" shrinkToFit="1"/>
    </xf>
    <xf numFmtId="0" fontId="53" fillId="0" borderId="0" xfId="0" applyFont="1" applyBorder="1" applyAlignment="1">
      <alignment horizontal="left" vertical="center" shrinkToFit="1"/>
    </xf>
    <xf numFmtId="0" fontId="54" fillId="0" borderId="0" xfId="0" applyFont="1" applyBorder="1" applyAlignment="1">
      <alignment horizontal="left" vertical="center" shrinkToFit="1"/>
    </xf>
    <xf numFmtId="0" fontId="21" fillId="0" borderId="22" xfId="0" applyFont="1" applyBorder="1" applyAlignment="1">
      <alignment horizontal="center" vertical="center" shrinkToFit="1"/>
    </xf>
    <xf numFmtId="0" fontId="79" fillId="0" borderId="22" xfId="0" applyFont="1" applyBorder="1" applyAlignment="1">
      <alignment horizontal="center" shrinkToFit="1"/>
    </xf>
    <xf numFmtId="0" fontId="21" fillId="0" borderId="31" xfId="0" applyFont="1" applyBorder="1" applyAlignment="1">
      <alignment horizontal="center" vertical="center" shrinkToFit="1"/>
    </xf>
    <xf numFmtId="0" fontId="21" fillId="0" borderId="32" xfId="0" applyFont="1" applyBorder="1" applyAlignment="1">
      <alignment horizontal="center" vertical="center" shrinkToFit="1"/>
    </xf>
    <xf numFmtId="0" fontId="21" fillId="0" borderId="35" xfId="0" applyFont="1" applyBorder="1" applyAlignment="1">
      <alignment horizontal="center" vertical="center" shrinkToFit="1"/>
    </xf>
    <xf numFmtId="0" fontId="21" fillId="0" borderId="36" xfId="0" applyFont="1" applyBorder="1" applyAlignment="1">
      <alignment horizontal="center" vertical="center" shrinkToFit="1"/>
    </xf>
    <xf numFmtId="0" fontId="21" fillId="0" borderId="33" xfId="0" applyFont="1" applyBorder="1" applyAlignment="1">
      <alignment horizontal="center" vertical="center" shrinkToFit="1"/>
    </xf>
    <xf numFmtId="0" fontId="21" fillId="0" borderId="34" xfId="0" applyFont="1" applyBorder="1" applyAlignment="1">
      <alignment horizontal="center" vertical="center" shrinkToFit="1"/>
    </xf>
    <xf numFmtId="0" fontId="44" fillId="0" borderId="22" xfId="0" applyFont="1" applyBorder="1" applyAlignment="1">
      <alignment shrinkToFit="1"/>
    </xf>
    <xf numFmtId="0" fontId="55" fillId="0" borderId="22" xfId="0" applyFont="1" applyBorder="1" applyAlignment="1">
      <alignment shrinkToFit="1"/>
    </xf>
    <xf numFmtId="0" fontId="44" fillId="2" borderId="22" xfId="0" applyFont="1" applyFill="1" applyBorder="1" applyAlignment="1">
      <alignment horizontal="center" shrinkToFit="1"/>
    </xf>
    <xf numFmtId="0" fontId="55" fillId="0" borderId="22" xfId="0" applyFont="1" applyBorder="1" applyAlignment="1">
      <alignment horizontal="center" shrinkToFit="1"/>
    </xf>
    <xf numFmtId="0" fontId="52" fillId="0" borderId="22" xfId="0" applyFont="1" applyBorder="1" applyAlignment="1">
      <alignment shrinkToFit="1"/>
    </xf>
    <xf numFmtId="0" fontId="52" fillId="0" borderId="31" xfId="0" applyFont="1" applyBorder="1" applyAlignment="1">
      <alignment horizontal="center" wrapText="1" shrinkToFit="1"/>
    </xf>
    <xf numFmtId="0" fontId="44" fillId="0" borderId="32" xfId="0" applyFont="1" applyBorder="1" applyAlignment="1">
      <alignment horizontal="center" wrapText="1" shrinkToFit="1"/>
    </xf>
    <xf numFmtId="0" fontId="44" fillId="0" borderId="35" xfId="0" applyFont="1" applyBorder="1" applyAlignment="1">
      <alignment horizontal="center" wrapText="1" shrinkToFit="1"/>
    </xf>
    <xf numFmtId="0" fontId="44" fillId="0" borderId="36" xfId="0" applyFont="1" applyBorder="1" applyAlignment="1">
      <alignment horizontal="center" wrapText="1" shrinkToFit="1"/>
    </xf>
    <xf numFmtId="0" fontId="27" fillId="0" borderId="22" xfId="0" applyFont="1" applyBorder="1" applyAlignment="1">
      <alignment horizontal="center" shrinkToFit="1"/>
    </xf>
    <xf numFmtId="0" fontId="21" fillId="0" borderId="22" xfId="0" applyFont="1" applyBorder="1" applyAlignment="1">
      <alignment horizontal="center" shrinkToFit="1"/>
    </xf>
    <xf numFmtId="0" fontId="27" fillId="0" borderId="31" xfId="0" applyFont="1" applyBorder="1" applyAlignment="1">
      <alignment horizontal="center" vertical="center" shrinkToFit="1"/>
    </xf>
    <xf numFmtId="0" fontId="27" fillId="0" borderId="32" xfId="0" applyFont="1" applyBorder="1" applyAlignment="1">
      <alignment horizontal="center" vertical="center" shrinkToFit="1"/>
    </xf>
    <xf numFmtId="0" fontId="27" fillId="0" borderId="35" xfId="0" applyFont="1" applyBorder="1" applyAlignment="1">
      <alignment horizontal="center" vertical="center" shrinkToFit="1"/>
    </xf>
    <xf numFmtId="0" fontId="27" fillId="0" borderId="36" xfId="0" applyFont="1" applyBorder="1" applyAlignment="1">
      <alignment horizontal="center" vertical="center" shrinkToFit="1"/>
    </xf>
    <xf numFmtId="0" fontId="27" fillId="0" borderId="22" xfId="0" applyFont="1" applyBorder="1" applyAlignment="1">
      <alignment shrinkToFit="1"/>
    </xf>
    <xf numFmtId="0" fontId="21" fillId="0" borderId="22" xfId="0" applyFont="1" applyBorder="1" applyAlignment="1">
      <alignment shrinkToFit="1"/>
    </xf>
    <xf numFmtId="0" fontId="52" fillId="0" borderId="31" xfId="0" applyFont="1" applyBorder="1" applyAlignment="1">
      <alignment horizontal="center" vertical="center" shrinkToFit="1"/>
    </xf>
    <xf numFmtId="0" fontId="44" fillId="0" borderId="32" xfId="0" applyFont="1" applyBorder="1" applyAlignment="1">
      <alignment horizontal="center" vertical="center" shrinkToFit="1"/>
    </xf>
    <xf numFmtId="0" fontId="44" fillId="0" borderId="35" xfId="0" applyFont="1" applyBorder="1" applyAlignment="1">
      <alignment horizontal="center" vertical="center" shrinkToFit="1"/>
    </xf>
    <xf numFmtId="0" fontId="44" fillId="0" borderId="36" xfId="0" applyFont="1" applyBorder="1" applyAlignment="1">
      <alignment horizontal="center" vertical="center" shrinkToFit="1"/>
    </xf>
    <xf numFmtId="0" fontId="44" fillId="0" borderId="22" xfId="0" applyFont="1" applyBorder="1" applyAlignment="1">
      <alignment horizontal="center" vertical="center" shrinkToFit="1"/>
    </xf>
    <xf numFmtId="0" fontId="52" fillId="0" borderId="32" xfId="0" applyFont="1" applyBorder="1" applyAlignment="1">
      <alignment horizontal="center" vertical="center" shrinkToFit="1"/>
    </xf>
    <xf numFmtId="0" fontId="52" fillId="0" borderId="33" xfId="0" applyFont="1" applyBorder="1" applyAlignment="1">
      <alignment horizontal="center" vertical="center" shrinkToFit="1"/>
    </xf>
    <xf numFmtId="0" fontId="52" fillId="0" borderId="34" xfId="0" applyFont="1" applyBorder="1" applyAlignment="1">
      <alignment horizontal="center" vertical="center" shrinkToFit="1"/>
    </xf>
    <xf numFmtId="0" fontId="52" fillId="0" borderId="35" xfId="0" applyFont="1" applyBorder="1" applyAlignment="1">
      <alignment horizontal="center" vertical="center" shrinkToFit="1"/>
    </xf>
    <xf numFmtId="0" fontId="52" fillId="0" borderId="36" xfId="0" applyFont="1" applyBorder="1" applyAlignment="1">
      <alignment horizontal="center" vertical="center" shrinkToFit="1"/>
    </xf>
    <xf numFmtId="0" fontId="52" fillId="0" borderId="22" xfId="0" applyFont="1" applyBorder="1" applyAlignment="1">
      <alignment horizontal="center" vertical="center" shrinkToFit="1"/>
    </xf>
    <xf numFmtId="0" fontId="52" fillId="0" borderId="27" xfId="0" applyFont="1" applyBorder="1" applyAlignment="1">
      <alignment horizontal="center" vertical="center" shrinkToFit="1"/>
    </xf>
    <xf numFmtId="0" fontId="55" fillId="0" borderId="25" xfId="0" applyFont="1" applyBorder="1" applyAlignment="1">
      <alignment horizontal="center" vertical="center" shrinkToFit="1"/>
    </xf>
    <xf numFmtId="0" fontId="21" fillId="0" borderId="27" xfId="0" applyFont="1" applyBorder="1" applyAlignment="1">
      <alignment vertical="center" shrinkToFit="1"/>
    </xf>
    <xf numFmtId="0" fontId="27" fillId="0" borderId="25" xfId="0" applyFont="1" applyBorder="1" applyAlignment="1">
      <alignment vertical="center" shrinkToFit="1"/>
    </xf>
    <xf numFmtId="0" fontId="44" fillId="0" borderId="25" xfId="0" applyFont="1" applyBorder="1" applyAlignment="1">
      <alignment horizontal="center" vertical="center" shrinkToFit="1"/>
    </xf>
    <xf numFmtId="0" fontId="44" fillId="2" borderId="27" xfId="0" applyFont="1" applyFill="1" applyBorder="1" applyAlignment="1">
      <alignment horizontal="center" shrinkToFit="1"/>
    </xf>
    <xf numFmtId="0" fontId="44" fillId="2" borderId="25" xfId="0" applyFont="1" applyFill="1" applyBorder="1" applyAlignment="1">
      <alignment horizontal="center" shrinkToFit="1"/>
    </xf>
    <xf numFmtId="0" fontId="44" fillId="2" borderId="28" xfId="0" applyFont="1" applyFill="1" applyBorder="1" applyAlignment="1">
      <alignment horizontal="center" shrinkToFit="1"/>
    </xf>
    <xf numFmtId="0" fontId="25" fillId="0" borderId="23" xfId="0" applyFont="1" applyBorder="1" applyAlignment="1">
      <alignment horizontal="center" vertical="center" shrinkToFit="1"/>
    </xf>
    <xf numFmtId="0" fontId="25" fillId="0" borderId="29" xfId="0" applyFont="1" applyBorder="1" applyAlignment="1">
      <alignment horizontal="center" vertical="center" shrinkToFit="1"/>
    </xf>
    <xf numFmtId="0" fontId="25" fillId="0" borderId="30" xfId="0" applyFont="1" applyBorder="1" applyAlignment="1">
      <alignment horizontal="center" vertical="center" shrinkToFit="1"/>
    </xf>
    <xf numFmtId="0" fontId="44" fillId="2" borderId="23" xfId="0" applyFont="1" applyFill="1" applyBorder="1" applyAlignment="1">
      <alignment horizontal="center" vertical="center" shrinkToFit="1"/>
    </xf>
    <xf numFmtId="0" fontId="44" fillId="2" borderId="29" xfId="0" applyFont="1" applyFill="1" applyBorder="1" applyAlignment="1">
      <alignment horizontal="center" vertical="center" shrinkToFit="1"/>
    </xf>
    <xf numFmtId="0" fontId="44" fillId="2" borderId="30" xfId="0" applyFont="1" applyFill="1" applyBorder="1" applyAlignment="1">
      <alignment horizontal="center" vertical="center" shrinkToFit="1"/>
    </xf>
    <xf numFmtId="0" fontId="44" fillId="0" borderId="27" xfId="0" applyFont="1" applyBorder="1" applyAlignment="1">
      <alignment vertical="center" shrinkToFit="1"/>
    </xf>
    <xf numFmtId="0" fontId="44" fillId="0" borderId="25" xfId="0" applyFont="1" applyBorder="1" applyAlignment="1">
      <alignment vertical="center" shrinkToFit="1"/>
    </xf>
    <xf numFmtId="0" fontId="27" fillId="0" borderId="27" xfId="0" applyFont="1" applyBorder="1" applyAlignment="1">
      <alignment vertical="center" shrinkToFit="1"/>
    </xf>
    <xf numFmtId="0" fontId="27" fillId="0" borderId="27" xfId="0" applyFont="1" applyBorder="1" applyAlignment="1">
      <alignment horizontal="center" vertical="center" shrinkToFit="1"/>
    </xf>
    <xf numFmtId="0" fontId="27" fillId="0" borderId="25" xfId="0" applyFont="1" applyBorder="1" applyAlignment="1">
      <alignment horizontal="center" vertical="center" shrinkToFit="1"/>
    </xf>
    <xf numFmtId="0" fontId="44" fillId="2" borderId="27" xfId="0" applyFont="1" applyFill="1" applyBorder="1" applyAlignment="1">
      <alignment horizontal="center" vertical="center" shrinkToFit="1"/>
    </xf>
    <xf numFmtId="0" fontId="44" fillId="2" borderId="25" xfId="0" applyFont="1" applyFill="1" applyBorder="1" applyAlignment="1">
      <alignment horizontal="center" vertical="center" shrinkToFit="1"/>
    </xf>
    <xf numFmtId="0" fontId="44" fillId="2" borderId="28" xfId="0" applyFont="1" applyFill="1" applyBorder="1" applyAlignment="1">
      <alignment horizontal="center" vertical="center" shrinkToFit="1"/>
    </xf>
    <xf numFmtId="0" fontId="44" fillId="0" borderId="27" xfId="0" applyFont="1" applyBorder="1" applyAlignment="1">
      <alignment horizontal="center" vertical="center" shrinkToFit="1"/>
    </xf>
    <xf numFmtId="0" fontId="21" fillId="0" borderId="27" xfId="0" applyFont="1" applyBorder="1" applyAlignment="1">
      <alignment horizontal="center" vertical="center" shrinkToFit="1"/>
    </xf>
    <xf numFmtId="0" fontId="21" fillId="0" borderId="25" xfId="0" applyFont="1" applyBorder="1" applyAlignment="1">
      <alignment horizontal="center" vertical="center" shrinkToFit="1"/>
    </xf>
    <xf numFmtId="0" fontId="44" fillId="0" borderId="27" xfId="0" applyFont="1" applyBorder="1" applyAlignment="1">
      <alignment shrinkToFit="1"/>
    </xf>
    <xf numFmtId="0" fontId="44" fillId="0" borderId="25" xfId="0" applyFont="1" applyBorder="1" applyAlignment="1">
      <alignment shrinkToFit="1"/>
    </xf>
    <xf numFmtId="0" fontId="44" fillId="0" borderId="28" xfId="0" applyFont="1" applyBorder="1" applyAlignment="1">
      <alignment shrinkToFit="1"/>
    </xf>
    <xf numFmtId="0" fontId="27" fillId="0" borderId="27" xfId="0" applyFont="1" applyBorder="1" applyAlignment="1">
      <alignment shrinkToFit="1"/>
    </xf>
    <xf numFmtId="0" fontId="27" fillId="0" borderId="25" xfId="0" applyFont="1" applyBorder="1" applyAlignment="1">
      <alignment shrinkToFit="1"/>
    </xf>
    <xf numFmtId="0" fontId="27" fillId="0" borderId="28" xfId="0" applyFont="1" applyBorder="1" applyAlignment="1">
      <alignment shrinkToFit="1"/>
    </xf>
    <xf numFmtId="0" fontId="21" fillId="0" borderId="27" xfId="0" applyFont="1" applyBorder="1" applyAlignment="1">
      <alignment horizontal="center" vertical="center" wrapText="1" shrinkToFit="1"/>
    </xf>
    <xf numFmtId="0" fontId="21" fillId="0" borderId="25" xfId="0" applyFont="1" applyBorder="1" applyAlignment="1">
      <alignment horizontal="center" vertical="center" wrapText="1" shrinkToFit="1"/>
    </xf>
    <xf numFmtId="0" fontId="21" fillId="0" borderId="22" xfId="0" applyFont="1" applyBorder="1" applyAlignment="1">
      <alignment horizontal="center" vertical="center" wrapText="1" shrinkToFit="1"/>
    </xf>
    <xf numFmtId="0" fontId="21" fillId="0" borderId="31" xfId="0" applyFont="1" applyBorder="1" applyAlignment="1">
      <alignment horizontal="center" vertical="center" wrapText="1" shrinkToFit="1"/>
    </xf>
    <xf numFmtId="0" fontId="21" fillId="0" borderId="32" xfId="0" applyFont="1" applyBorder="1" applyAlignment="1">
      <alignment horizontal="center" vertical="center" wrapText="1" shrinkToFit="1"/>
    </xf>
    <xf numFmtId="0" fontId="21" fillId="0" borderId="33" xfId="0" applyFont="1" applyBorder="1" applyAlignment="1">
      <alignment horizontal="center" vertical="center" wrapText="1" shrinkToFit="1"/>
    </xf>
    <xf numFmtId="0" fontId="21" fillId="0" borderId="34" xfId="0" applyFont="1" applyBorder="1" applyAlignment="1">
      <alignment horizontal="center" vertical="center" wrapText="1" shrinkToFit="1"/>
    </xf>
    <xf numFmtId="0" fontId="21" fillId="0" borderId="35" xfId="0" applyFont="1" applyBorder="1" applyAlignment="1">
      <alignment horizontal="center" vertical="center" wrapText="1" shrinkToFit="1"/>
    </xf>
    <xf numFmtId="0" fontId="21" fillId="0" borderId="36" xfId="0" applyFont="1" applyBorder="1" applyAlignment="1">
      <alignment horizontal="center" vertical="center" wrapText="1" shrinkToFit="1"/>
    </xf>
    <xf numFmtId="0" fontId="41" fillId="0" borderId="0" xfId="11" applyFont="1" applyBorder="1" applyAlignment="1">
      <alignment horizontal="center" vertical="center" shrinkToFit="1"/>
    </xf>
    <xf numFmtId="0" fontId="53" fillId="0" borderId="0" xfId="11" applyFont="1" applyBorder="1" applyAlignment="1">
      <alignment horizontal="left" vertical="center" shrinkToFit="1"/>
    </xf>
    <xf numFmtId="0" fontId="45" fillId="0" borderId="22" xfId="11" applyFont="1" applyFill="1" applyBorder="1" applyAlignment="1">
      <alignment horizontal="center" vertical="center"/>
    </xf>
    <xf numFmtId="0" fontId="27" fillId="0" borderId="22" xfId="11" applyFont="1" applyFill="1" applyBorder="1" applyAlignment="1">
      <alignment horizontal="center" vertical="center" shrinkToFit="1"/>
    </xf>
    <xf numFmtId="0" fontId="27" fillId="0" borderId="37" xfId="11" applyFont="1" applyFill="1" applyBorder="1" applyAlignment="1">
      <alignment horizontal="center" vertical="center" shrinkToFit="1"/>
    </xf>
    <xf numFmtId="0" fontId="27" fillId="0" borderId="0" xfId="11" applyFont="1" applyFill="1" applyBorder="1" applyAlignment="1">
      <alignment horizontal="center" vertical="center" shrinkToFit="1"/>
    </xf>
    <xf numFmtId="0" fontId="25" fillId="0" borderId="22" xfId="11" applyFont="1" applyFill="1" applyBorder="1" applyAlignment="1">
      <alignment horizontal="center" vertical="center" shrinkToFit="1"/>
    </xf>
    <xf numFmtId="0" fontId="25" fillId="0" borderId="22" xfId="11" applyFont="1" applyBorder="1" applyAlignment="1">
      <alignment horizontal="center" shrinkToFit="1"/>
    </xf>
    <xf numFmtId="0" fontId="60" fillId="0" borderId="22" xfId="11" applyFont="1" applyFill="1" applyBorder="1" applyAlignment="1">
      <alignment horizontal="center" vertical="center" shrinkToFit="1"/>
    </xf>
    <xf numFmtId="0" fontId="29" fillId="0" borderId="22" xfId="11" applyFont="1" applyBorder="1" applyAlignment="1">
      <alignment horizontal="center" vertical="center" shrinkToFit="1"/>
    </xf>
    <xf numFmtId="0" fontId="60" fillId="0" borderId="27" xfId="11" applyFont="1" applyFill="1" applyBorder="1" applyAlignment="1">
      <alignment horizontal="center" vertical="center" shrinkToFit="1"/>
    </xf>
    <xf numFmtId="0" fontId="60" fillId="0" borderId="42" xfId="11" applyFont="1" applyFill="1" applyBorder="1" applyAlignment="1">
      <alignment horizontal="center" vertical="center" shrinkToFit="1"/>
    </xf>
    <xf numFmtId="0" fontId="60" fillId="0" borderId="43" xfId="11" applyFont="1" applyFill="1" applyBorder="1" applyAlignment="1">
      <alignment horizontal="center" vertical="center" shrinkToFit="1"/>
    </xf>
    <xf numFmtId="0" fontId="60" fillId="0" borderId="61" xfId="11" applyFont="1" applyFill="1" applyBorder="1" applyAlignment="1">
      <alignment horizontal="center" vertical="center" shrinkToFit="1"/>
    </xf>
    <xf numFmtId="0" fontId="60" fillId="0" borderId="50" xfId="11" applyFont="1" applyFill="1" applyBorder="1" applyAlignment="1">
      <alignment horizontal="center" vertical="center" shrinkToFit="1"/>
    </xf>
    <xf numFmtId="0" fontId="60" fillId="0" borderId="28" xfId="11" applyFont="1" applyFill="1" applyBorder="1" applyAlignment="1">
      <alignment horizontal="center" vertical="center" shrinkToFit="1"/>
    </xf>
    <xf numFmtId="0" fontId="60" fillId="0" borderId="25" xfId="11" applyFont="1" applyFill="1" applyBorder="1" applyAlignment="1">
      <alignment horizontal="center" vertical="center" shrinkToFit="1"/>
    </xf>
    <xf numFmtId="0" fontId="13" fillId="18" borderId="54" xfId="11" applyFont="1" applyFill="1" applyBorder="1" applyAlignment="1">
      <alignment horizontal="center" vertical="center" shrinkToFit="1"/>
    </xf>
    <xf numFmtId="0" fontId="13" fillId="18" borderId="55" xfId="11" applyFont="1" applyFill="1" applyBorder="1" applyAlignment="1">
      <alignment horizontal="center" vertical="center" shrinkToFit="1"/>
    </xf>
    <xf numFmtId="0" fontId="13" fillId="18" borderId="56" xfId="11" applyFont="1" applyFill="1" applyBorder="1" applyAlignment="1">
      <alignment horizontal="center" vertical="center" shrinkToFit="1"/>
    </xf>
    <xf numFmtId="0" fontId="45" fillId="0" borderId="42" xfId="11" applyFont="1" applyFill="1" applyBorder="1" applyAlignment="1">
      <alignment horizontal="center" vertical="center"/>
    </xf>
    <xf numFmtId="0" fontId="27" fillId="0" borderId="43" xfId="11" applyFont="1" applyFill="1" applyBorder="1" applyAlignment="1">
      <alignment horizontal="center" vertical="center" shrinkToFit="1"/>
    </xf>
    <xf numFmtId="0" fontId="45" fillId="0" borderId="57" xfId="11" applyFont="1" applyFill="1" applyBorder="1" applyAlignment="1">
      <alignment horizontal="center" vertical="center"/>
    </xf>
    <xf numFmtId="0" fontId="45" fillId="0" borderId="61" xfId="11" applyFont="1" applyFill="1" applyBorder="1" applyAlignment="1">
      <alignment horizontal="center" vertical="center"/>
    </xf>
    <xf numFmtId="0" fontId="25" fillId="0" borderId="58" xfId="11" applyFont="1" applyFill="1" applyBorder="1" applyAlignment="1">
      <alignment horizontal="center" vertical="center" shrinkToFit="1"/>
    </xf>
    <xf numFmtId="0" fontId="25" fillId="0" borderId="59" xfId="11" applyFont="1" applyFill="1" applyBorder="1" applyAlignment="1">
      <alignment horizontal="center" vertical="center" shrinkToFit="1"/>
    </xf>
    <xf numFmtId="0" fontId="25" fillId="0" borderId="36" xfId="11" applyFont="1" applyFill="1" applyBorder="1" applyAlignment="1">
      <alignment horizontal="center" vertical="center" shrinkToFit="1"/>
    </xf>
    <xf numFmtId="0" fontId="25" fillId="0" borderId="30" xfId="11" applyFont="1" applyFill="1" applyBorder="1" applyAlignment="1">
      <alignment horizontal="center" vertical="center" shrinkToFit="1"/>
    </xf>
    <xf numFmtId="0" fontId="25" fillId="0" borderId="35" xfId="11" applyFont="1" applyFill="1" applyBorder="1" applyAlignment="1">
      <alignment horizontal="center" vertical="center" shrinkToFit="1"/>
    </xf>
    <xf numFmtId="0" fontId="25" fillId="0" borderId="57" xfId="11" applyFont="1" applyFill="1" applyBorder="1" applyAlignment="1">
      <alignment horizontal="center" vertical="center" shrinkToFit="1"/>
    </xf>
    <xf numFmtId="0" fontId="25" fillId="0" borderId="60" xfId="11" applyFont="1" applyFill="1" applyBorder="1" applyAlignment="1">
      <alignment horizontal="center" vertical="center" shrinkToFit="1"/>
    </xf>
    <xf numFmtId="0" fontId="25" fillId="0" borderId="26" xfId="11" applyFont="1" applyFill="1" applyBorder="1" applyAlignment="1">
      <alignment horizontal="center" vertical="center" shrinkToFit="1"/>
    </xf>
    <xf numFmtId="0" fontId="10" fillId="0" borderId="4" xfId="0" applyFont="1" applyBorder="1" applyAlignment="1">
      <alignment horizontal="center" shrinkToFit="1"/>
    </xf>
    <xf numFmtId="0" fontId="10" fillId="0" borderId="3" xfId="0" applyFont="1" applyBorder="1" applyAlignment="1">
      <alignment horizontal="center" shrinkToFit="1"/>
    </xf>
    <xf numFmtId="0" fontId="25" fillId="0" borderId="22" xfId="0" applyFont="1" applyFill="1" applyBorder="1" applyAlignment="1">
      <alignment horizontal="center" vertical="center" shrinkToFit="1"/>
    </xf>
    <xf numFmtId="0" fontId="62" fillId="0" borderId="22" xfId="0" applyFont="1" applyFill="1" applyBorder="1" applyAlignment="1">
      <alignment horizontal="center" vertical="center" shrinkToFit="1"/>
    </xf>
    <xf numFmtId="0" fontId="25" fillId="8" borderId="22" xfId="0" applyFont="1" applyFill="1" applyBorder="1" applyAlignment="1">
      <alignment horizontal="center" vertical="center" shrinkToFit="1"/>
    </xf>
    <xf numFmtId="0" fontId="27" fillId="8" borderId="22" xfId="0" applyFont="1" applyFill="1" applyBorder="1" applyAlignment="1">
      <alignment horizontal="center" vertical="center" shrinkToFit="1"/>
    </xf>
    <xf numFmtId="0" fontId="27" fillId="2" borderId="27" xfId="0" applyFont="1" applyFill="1" applyBorder="1" applyAlignment="1">
      <alignment horizontal="center" shrinkToFit="1"/>
    </xf>
    <xf numFmtId="0" fontId="27" fillId="2" borderId="28" xfId="0" applyFont="1" applyFill="1" applyBorder="1" applyAlignment="1">
      <alignment horizontal="center" shrinkToFit="1"/>
    </xf>
    <xf numFmtId="0" fontId="27" fillId="2" borderId="25" xfId="0" applyFont="1" applyFill="1" applyBorder="1" applyAlignment="1">
      <alignment horizontal="center" shrinkToFit="1"/>
    </xf>
    <xf numFmtId="0" fontId="6" fillId="0" borderId="2" xfId="0" applyFont="1" applyBorder="1" applyAlignment="1">
      <alignment shrinkToFit="1"/>
    </xf>
    <xf numFmtId="0" fontId="6" fillId="0" borderId="3" xfId="0" applyFont="1" applyBorder="1" applyAlignment="1">
      <alignment shrinkToFit="1"/>
    </xf>
    <xf numFmtId="0" fontId="44" fillId="2" borderId="4" xfId="0" applyFont="1" applyFill="1" applyBorder="1" applyAlignment="1">
      <alignment horizontal="center" vertical="center" shrinkToFit="1"/>
    </xf>
    <xf numFmtId="0" fontId="44" fillId="2" borderId="3" xfId="0" applyFont="1" applyFill="1" applyBorder="1" applyAlignment="1">
      <alignment horizontal="center" vertical="center" shrinkToFit="1"/>
    </xf>
    <xf numFmtId="0" fontId="25" fillId="0" borderId="27" xfId="0" applyFont="1" applyBorder="1" applyAlignment="1">
      <alignment horizontal="center" vertical="center" shrinkToFit="1"/>
    </xf>
    <xf numFmtId="0" fontId="25" fillId="0" borderId="25" xfId="0" applyFont="1" applyBorder="1" applyAlignment="1">
      <alignment horizontal="center" vertical="center" shrinkToFit="1"/>
    </xf>
    <xf numFmtId="0" fontId="25" fillId="0" borderId="23" xfId="0" applyFont="1" applyBorder="1" applyAlignment="1">
      <alignment horizontal="center" vertical="center" wrapText="1" shrinkToFit="1"/>
    </xf>
    <xf numFmtId="0" fontId="25" fillId="0" borderId="29" xfId="0" applyFont="1" applyBorder="1" applyAlignment="1">
      <alignment horizontal="center" vertical="center" wrapText="1" shrinkToFit="1"/>
    </xf>
    <xf numFmtId="0" fontId="25" fillId="0" borderId="30" xfId="0" applyFont="1" applyBorder="1" applyAlignment="1">
      <alignment horizontal="center" vertical="center" wrapText="1" shrinkToFit="1"/>
    </xf>
    <xf numFmtId="0" fontId="27" fillId="2" borderId="4" xfId="0" applyFont="1" applyFill="1" applyBorder="1" applyAlignment="1">
      <alignment horizontal="center" vertical="center" shrinkToFit="1"/>
    </xf>
    <xf numFmtId="0" fontId="27" fillId="2" borderId="2" xfId="0" applyFont="1" applyFill="1" applyBorder="1" applyAlignment="1">
      <alignment horizontal="center" vertical="center" shrinkToFit="1"/>
    </xf>
    <xf numFmtId="0" fontId="27" fillId="2" borderId="3" xfId="0" applyFont="1" applyFill="1" applyBorder="1" applyAlignment="1">
      <alignment horizontal="center" vertical="center" shrinkToFit="1"/>
    </xf>
    <xf numFmtId="0" fontId="27" fillId="2" borderId="27" xfId="0" applyFont="1" applyFill="1" applyBorder="1" applyAlignment="1">
      <alignment horizontal="center" vertical="center" shrinkToFit="1"/>
    </xf>
    <xf numFmtId="0" fontId="27" fillId="2" borderId="28" xfId="0" applyFont="1" applyFill="1" applyBorder="1" applyAlignment="1">
      <alignment horizontal="center" vertical="center" shrinkToFit="1"/>
    </xf>
    <xf numFmtId="0" fontId="27" fillId="2" borderId="25" xfId="0" applyFont="1" applyFill="1" applyBorder="1" applyAlignment="1">
      <alignment horizontal="center" vertical="center" shrinkToFit="1"/>
    </xf>
    <xf numFmtId="0" fontId="27" fillId="2" borderId="35" xfId="0" applyFont="1" applyFill="1" applyBorder="1" applyAlignment="1">
      <alignment horizontal="center" vertical="center" shrinkToFit="1"/>
    </xf>
    <xf numFmtId="0" fontId="27" fillId="2" borderId="26" xfId="0" applyFont="1" applyFill="1" applyBorder="1" applyAlignment="1">
      <alignment horizontal="center" vertical="center" shrinkToFit="1"/>
    </xf>
    <xf numFmtId="0" fontId="27" fillId="2" borderId="36" xfId="0" applyFont="1" applyFill="1" applyBorder="1" applyAlignment="1">
      <alignment horizontal="center" vertical="center" shrinkToFit="1"/>
    </xf>
    <xf numFmtId="0" fontId="6" fillId="0" borderId="3" xfId="0" applyFont="1" applyBorder="1" applyAlignment="1">
      <alignment horizontal="center" shrinkToFit="1"/>
    </xf>
    <xf numFmtId="0" fontId="32" fillId="0" borderId="22" xfId="0" applyFont="1" applyBorder="1" applyAlignment="1">
      <alignment horizontal="center" vertical="center" shrinkToFit="1"/>
    </xf>
    <xf numFmtId="0" fontId="0" fillId="0" borderId="22" xfId="0" applyFont="1" applyBorder="1" applyAlignment="1">
      <alignment horizontal="center" vertical="center" shrinkToFit="1"/>
    </xf>
    <xf numFmtId="0" fontId="6" fillId="2" borderId="4" xfId="0" applyFont="1" applyFill="1" applyBorder="1" applyAlignment="1">
      <alignment horizontal="center" vertical="center" shrinkToFit="1"/>
    </xf>
    <xf numFmtId="0" fontId="6" fillId="2" borderId="2" xfId="0" applyFont="1" applyFill="1" applyBorder="1" applyAlignment="1">
      <alignment horizontal="center" vertical="center" shrinkToFit="1"/>
    </xf>
    <xf numFmtId="0" fontId="6" fillId="2" borderId="3" xfId="0" applyFont="1" applyFill="1" applyBorder="1" applyAlignment="1">
      <alignment horizontal="center" vertical="center" shrinkToFit="1"/>
    </xf>
    <xf numFmtId="0" fontId="11" fillId="2" borderId="4" xfId="0" applyFont="1" applyFill="1" applyBorder="1" applyAlignment="1">
      <alignment horizontal="center" vertical="center" shrinkToFit="1"/>
    </xf>
    <xf numFmtId="0" fontId="11" fillId="2" borderId="3" xfId="0" applyFont="1" applyFill="1" applyBorder="1" applyAlignment="1">
      <alignment horizontal="center" vertical="center" shrinkToFit="1"/>
    </xf>
    <xf numFmtId="0" fontId="0" fillId="0" borderId="22" xfId="0" applyFont="1" applyBorder="1" applyAlignment="1">
      <alignment horizontal="center" vertical="center" wrapText="1" shrinkToFit="1"/>
    </xf>
    <xf numFmtId="0" fontId="6" fillId="2" borderId="22" xfId="0" applyFont="1" applyFill="1" applyBorder="1" applyAlignment="1">
      <alignment horizontal="center" shrinkToFit="1"/>
    </xf>
    <xf numFmtId="0" fontId="6" fillId="2" borderId="22" xfId="0" applyFont="1" applyFill="1" applyBorder="1" applyAlignment="1">
      <alignment horizontal="center" vertical="center" shrinkToFit="1"/>
    </xf>
    <xf numFmtId="0" fontId="32" fillId="0" borderId="22" xfId="0" applyFont="1" applyBorder="1" applyAlignment="1">
      <alignment horizontal="center" vertical="center" wrapText="1" shrinkToFit="1"/>
    </xf>
    <xf numFmtId="0" fontId="6" fillId="2" borderId="39" xfId="0" applyFont="1" applyFill="1" applyBorder="1" applyAlignment="1">
      <alignment horizontal="center" shrinkToFit="1"/>
    </xf>
    <xf numFmtId="0" fontId="6" fillId="2" borderId="2" xfId="0" applyFont="1" applyFill="1" applyBorder="1" applyAlignment="1">
      <alignment horizontal="center" shrinkToFit="1"/>
    </xf>
    <xf numFmtId="0" fontId="6" fillId="2" borderId="3" xfId="0" applyFont="1" applyFill="1" applyBorder="1" applyAlignment="1">
      <alignment horizontal="center" shrinkToFit="1"/>
    </xf>
    <xf numFmtId="0" fontId="6" fillId="2" borderId="0" xfId="0" applyFont="1" applyFill="1" applyBorder="1" applyAlignment="1">
      <alignment horizontal="center" vertical="center" shrinkToFit="1"/>
    </xf>
    <xf numFmtId="0" fontId="6" fillId="2" borderId="40" xfId="0" applyFont="1" applyFill="1" applyBorder="1" applyAlignment="1">
      <alignment horizontal="center" vertical="center" shrinkToFit="1"/>
    </xf>
    <xf numFmtId="0" fontId="25" fillId="8" borderId="22" xfId="11" applyFont="1" applyFill="1" applyBorder="1" applyAlignment="1">
      <alignment horizontal="center" vertical="center" shrinkToFit="1"/>
    </xf>
    <xf numFmtId="0" fontId="27" fillId="8" borderId="22" xfId="11" applyFont="1" applyFill="1" applyBorder="1" applyAlignment="1">
      <alignment horizontal="center" vertical="center" shrinkToFit="1"/>
    </xf>
    <xf numFmtId="0" fontId="62" fillId="0" borderId="22" xfId="11" applyFont="1" applyFill="1" applyBorder="1" applyAlignment="1">
      <alignment horizontal="center" vertical="center" shrinkToFit="1"/>
    </xf>
    <xf numFmtId="0" fontId="10" fillId="0" borderId="48" xfId="0" applyFont="1" applyBorder="1" applyAlignment="1">
      <alignment horizontal="center" shrinkToFit="1"/>
    </xf>
    <xf numFmtId="0" fontId="10" fillId="0" borderId="49" xfId="0" applyFont="1" applyBorder="1" applyAlignment="1">
      <alignment horizontal="center" shrinkToFit="1"/>
    </xf>
    <xf numFmtId="0" fontId="62" fillId="8" borderId="22" xfId="11" applyFont="1" applyFill="1" applyBorder="1" applyAlignment="1">
      <alignment horizontal="center" vertical="center" shrinkToFit="1"/>
    </xf>
    <xf numFmtId="0" fontId="32" fillId="0" borderId="27" xfId="0" applyFont="1" applyBorder="1" applyAlignment="1">
      <alignment horizontal="center" vertical="center" shrinkToFit="1"/>
    </xf>
    <xf numFmtId="0" fontId="32" fillId="0" borderId="25" xfId="0" applyFont="1" applyBorder="1" applyAlignment="1">
      <alignment horizontal="center" vertical="center" shrinkToFit="1"/>
    </xf>
    <xf numFmtId="0" fontId="0" fillId="0" borderId="23" xfId="0" applyFont="1" applyBorder="1" applyAlignment="1">
      <alignment horizontal="center" vertical="center" shrinkToFit="1"/>
    </xf>
    <xf numFmtId="0" fontId="0" fillId="0" borderId="29" xfId="0" applyFont="1" applyBorder="1" applyAlignment="1">
      <alignment horizontal="center" vertical="center" shrinkToFit="1"/>
    </xf>
    <xf numFmtId="0" fontId="0" fillId="0" borderId="30" xfId="0" applyFont="1" applyBorder="1" applyAlignment="1">
      <alignment horizontal="center" vertical="center" shrinkToFit="1"/>
    </xf>
    <xf numFmtId="0" fontId="0" fillId="0" borderId="23" xfId="0" applyFont="1" applyBorder="1" applyAlignment="1">
      <alignment horizontal="center" vertical="center" wrapText="1" shrinkToFit="1"/>
    </xf>
    <xf numFmtId="0" fontId="0" fillId="0" borderId="29" xfId="0" applyFont="1" applyBorder="1" applyAlignment="1">
      <alignment horizontal="center" vertical="center" wrapText="1" shrinkToFit="1"/>
    </xf>
    <xf numFmtId="0" fontId="0" fillId="0" borderId="30" xfId="0" applyFont="1" applyBorder="1" applyAlignment="1">
      <alignment horizontal="center" vertical="center" wrapText="1" shrinkToFit="1"/>
    </xf>
    <xf numFmtId="0" fontId="6" fillId="2" borderId="35" xfId="0" applyFont="1" applyFill="1" applyBorder="1" applyAlignment="1">
      <alignment horizontal="center" vertical="center" shrinkToFit="1"/>
    </xf>
    <xf numFmtId="0" fontId="6" fillId="2" borderId="26" xfId="0" applyFont="1" applyFill="1" applyBorder="1" applyAlignment="1">
      <alignment horizontal="center" vertical="center" shrinkToFit="1"/>
    </xf>
    <xf numFmtId="0" fontId="6" fillId="2" borderId="36" xfId="0" applyFont="1" applyFill="1" applyBorder="1" applyAlignment="1">
      <alignment horizontal="center" vertical="center" shrinkToFit="1"/>
    </xf>
    <xf numFmtId="0" fontId="6" fillId="2" borderId="72" xfId="0" applyFont="1" applyFill="1" applyBorder="1" applyAlignment="1">
      <alignment horizontal="center" shrinkToFit="1"/>
    </xf>
    <xf numFmtId="0" fontId="6" fillId="2" borderId="73" xfId="0" applyFont="1" applyFill="1" applyBorder="1" applyAlignment="1">
      <alignment horizontal="center" shrinkToFit="1"/>
    </xf>
    <xf numFmtId="0" fontId="6" fillId="2" borderId="74" xfId="0" applyFont="1" applyFill="1" applyBorder="1" applyAlignment="1">
      <alignment horizontal="center" shrinkToFit="1"/>
    </xf>
    <xf numFmtId="0" fontId="32" fillId="0" borderId="23" xfId="0" applyFont="1" applyBorder="1" applyAlignment="1">
      <alignment horizontal="center" vertical="center" wrapText="1" shrinkToFit="1"/>
    </xf>
    <xf numFmtId="0" fontId="32" fillId="0" borderId="29" xfId="0" applyFont="1" applyBorder="1" applyAlignment="1">
      <alignment horizontal="center" vertical="center" wrapText="1" shrinkToFit="1"/>
    </xf>
    <xf numFmtId="0" fontId="32" fillId="0" borderId="30" xfId="0" applyFont="1" applyBorder="1" applyAlignment="1">
      <alignment horizontal="center" vertical="center" wrapText="1" shrinkToFit="1"/>
    </xf>
    <xf numFmtId="0" fontId="6" fillId="2" borderId="33" xfId="0" applyFont="1" applyFill="1" applyBorder="1" applyAlignment="1">
      <alignment horizontal="center" vertical="center" shrinkToFit="1"/>
    </xf>
    <xf numFmtId="0" fontId="27" fillId="2" borderId="22" xfId="0" applyFont="1" applyFill="1" applyBorder="1" applyAlignment="1">
      <alignment horizontal="center" vertical="center" shrinkToFit="1"/>
    </xf>
    <xf numFmtId="0" fontId="53" fillId="0" borderId="26" xfId="0" applyFont="1" applyBorder="1" applyAlignment="1">
      <alignment horizontal="left" vertical="center" shrinkToFit="1"/>
    </xf>
    <xf numFmtId="0" fontId="27" fillId="2" borderId="23" xfId="0" applyFont="1" applyFill="1" applyBorder="1" applyAlignment="1">
      <alignment horizontal="center" vertical="center" shrinkToFit="1"/>
    </xf>
    <xf numFmtId="0" fontId="27" fillId="2" borderId="33" xfId="0" applyFont="1" applyFill="1" applyBorder="1" applyAlignment="1">
      <alignment horizontal="center" vertical="center" shrinkToFit="1"/>
    </xf>
    <xf numFmtId="0" fontId="27" fillId="2" borderId="0" xfId="0" applyFont="1" applyFill="1" applyBorder="1" applyAlignment="1">
      <alignment horizontal="center" vertical="center" shrinkToFit="1"/>
    </xf>
    <xf numFmtId="0" fontId="27" fillId="0" borderId="0" xfId="0" applyFont="1" applyFill="1" applyBorder="1" applyAlignment="1">
      <alignment horizontal="center" shrinkToFit="1"/>
    </xf>
    <xf numFmtId="0" fontId="27" fillId="0" borderId="38" xfId="0" applyFont="1" applyFill="1" applyBorder="1" applyAlignment="1">
      <alignment horizontal="center" shrinkToFit="1"/>
    </xf>
    <xf numFmtId="0" fontId="27" fillId="2" borderId="29" xfId="0" applyFont="1" applyFill="1" applyBorder="1" applyAlignment="1">
      <alignment horizontal="center" vertical="center" shrinkToFit="1"/>
    </xf>
    <xf numFmtId="0" fontId="37" fillId="5" borderId="27" xfId="577" applyFont="1" applyFill="1" applyBorder="1" applyAlignment="1">
      <alignment horizontal="center" vertical="center"/>
    </xf>
    <xf numFmtId="0" fontId="37" fillId="5" borderId="25" xfId="577" applyFont="1" applyFill="1" applyBorder="1" applyAlignment="1">
      <alignment horizontal="center" vertical="center"/>
    </xf>
    <xf numFmtId="0" fontId="38" fillId="0" borderId="26" xfId="11" applyFont="1" applyBorder="1" applyAlignment="1">
      <alignment horizontal="center" vertical="center"/>
    </xf>
    <xf numFmtId="0" fontId="31" fillId="0" borderId="26" xfId="11" applyFont="1" applyBorder="1" applyAlignment="1">
      <alignment horizontal="center" vertical="center"/>
    </xf>
    <xf numFmtId="0" fontId="28" fillId="5" borderId="33" xfId="11" applyFont="1" applyFill="1" applyBorder="1" applyAlignment="1">
      <alignment horizontal="center" vertical="center"/>
    </xf>
    <xf numFmtId="0" fontId="28" fillId="5" borderId="34" xfId="11" applyFont="1" applyFill="1" applyBorder="1" applyAlignment="1">
      <alignment horizontal="center" vertical="center"/>
    </xf>
    <xf numFmtId="0" fontId="28" fillId="5" borderId="35" xfId="11" applyFont="1" applyFill="1" applyBorder="1" applyAlignment="1">
      <alignment horizontal="center" vertical="center"/>
    </xf>
    <xf numFmtId="0" fontId="28" fillId="5" borderId="36" xfId="11" applyFont="1" applyFill="1" applyBorder="1" applyAlignment="1">
      <alignment horizontal="center" vertical="center"/>
    </xf>
    <xf numFmtId="0" fontId="35" fillId="5" borderId="22" xfId="577" applyFont="1" applyFill="1" applyBorder="1" applyAlignment="1">
      <alignment horizontal="center" vertical="center"/>
    </xf>
    <xf numFmtId="0" fontId="82" fillId="5" borderId="22" xfId="577" applyFont="1" applyFill="1" applyBorder="1" applyAlignment="1">
      <alignment horizontal="center" vertical="center"/>
    </xf>
    <xf numFmtId="0" fontId="51" fillId="5" borderId="31" xfId="5" applyFont="1" applyFill="1" applyBorder="1" applyAlignment="1">
      <alignment horizontal="center" vertical="center"/>
    </xf>
    <xf numFmtId="0" fontId="51" fillId="5" borderId="37" xfId="5" applyFont="1" applyFill="1" applyBorder="1" applyAlignment="1">
      <alignment horizontal="center" vertical="center"/>
    </xf>
    <xf numFmtId="0" fontId="51" fillId="5" borderId="32" xfId="5" applyFont="1" applyFill="1" applyBorder="1" applyAlignment="1">
      <alignment horizontal="center" vertical="center"/>
    </xf>
    <xf numFmtId="0" fontId="51" fillId="5" borderId="33" xfId="5" applyFont="1" applyFill="1" applyBorder="1" applyAlignment="1">
      <alignment horizontal="center" vertical="center"/>
    </xf>
    <xf numFmtId="0" fontId="51" fillId="5" borderId="0" xfId="5" applyFont="1" applyFill="1" applyBorder="1" applyAlignment="1">
      <alignment horizontal="center" vertical="center"/>
    </xf>
    <xf numFmtId="0" fontId="51" fillId="5" borderId="34" xfId="5" applyFont="1" applyFill="1" applyBorder="1" applyAlignment="1">
      <alignment horizontal="center" vertical="center"/>
    </xf>
    <xf numFmtId="0" fontId="51" fillId="5" borderId="35" xfId="5" applyFont="1" applyFill="1" applyBorder="1" applyAlignment="1">
      <alignment horizontal="center" vertical="center"/>
    </xf>
    <xf numFmtId="0" fontId="51" fillId="5" borderId="26" xfId="5" applyFont="1" applyFill="1" applyBorder="1" applyAlignment="1">
      <alignment horizontal="center" vertical="center"/>
    </xf>
    <xf numFmtId="0" fontId="51" fillId="5" borderId="36" xfId="5" applyFont="1" applyFill="1" applyBorder="1" applyAlignment="1">
      <alignment horizontal="center" vertical="center"/>
    </xf>
    <xf numFmtId="0" fontId="28" fillId="0" borderId="31" xfId="11" applyFont="1" applyBorder="1" applyAlignment="1">
      <alignment horizontal="center" vertical="center"/>
    </xf>
    <xf numFmtId="0" fontId="28" fillId="0" borderId="32" xfId="11" applyFont="1" applyBorder="1" applyAlignment="1">
      <alignment horizontal="center" vertical="center"/>
    </xf>
    <xf numFmtId="0" fontId="28" fillId="0" borderId="33" xfId="11" applyFont="1" applyBorder="1" applyAlignment="1">
      <alignment horizontal="center" vertical="center"/>
    </xf>
    <xf numFmtId="0" fontId="28" fillId="0" borderId="34" xfId="11" applyFont="1" applyBorder="1" applyAlignment="1">
      <alignment horizontal="center" vertical="center"/>
    </xf>
    <xf numFmtId="0" fontId="28" fillId="0" borderId="35" xfId="11" applyFont="1" applyBorder="1" applyAlignment="1">
      <alignment horizontal="center" vertical="center"/>
    </xf>
    <xf numFmtId="0" fontId="28" fillId="0" borderId="36" xfId="11" applyFont="1" applyBorder="1" applyAlignment="1">
      <alignment horizontal="center" vertical="center"/>
    </xf>
    <xf numFmtId="0" fontId="35" fillId="5" borderId="23" xfId="5" applyFont="1" applyFill="1" applyBorder="1" applyAlignment="1">
      <alignment horizontal="center" vertical="center"/>
    </xf>
    <xf numFmtId="0" fontId="35" fillId="5" borderId="30" xfId="5" applyFont="1" applyFill="1" applyBorder="1" applyAlignment="1">
      <alignment horizontal="center" vertical="center"/>
    </xf>
    <xf numFmtId="0" fontId="35" fillId="5" borderId="23" xfId="577" applyFont="1" applyFill="1" applyBorder="1" applyAlignment="1">
      <alignment horizontal="center" vertical="center" wrapText="1"/>
    </xf>
    <xf numFmtId="0" fontId="35" fillId="5" borderId="30" xfId="577" applyFont="1" applyFill="1" applyBorder="1" applyAlignment="1">
      <alignment horizontal="center" vertical="center" wrapText="1"/>
    </xf>
    <xf numFmtId="0" fontId="37" fillId="5" borderId="27" xfId="577" applyFont="1" applyFill="1" applyBorder="1" applyAlignment="1">
      <alignment horizontal="center" vertical="center" wrapText="1"/>
    </xf>
    <xf numFmtId="0" fontId="37" fillId="5" borderId="28" xfId="577" applyFont="1" applyFill="1" applyBorder="1" applyAlignment="1">
      <alignment horizontal="center" vertical="center" wrapText="1"/>
    </xf>
    <xf numFmtId="0" fontId="37" fillId="5" borderId="25" xfId="577" applyFont="1" applyFill="1" applyBorder="1" applyAlignment="1">
      <alignment horizontal="center" vertical="center" wrapText="1"/>
    </xf>
    <xf numFmtId="0" fontId="35" fillId="5" borderId="22" xfId="577" applyFont="1" applyFill="1" applyBorder="1" applyAlignment="1">
      <alignment horizontal="center" vertical="center" wrapText="1"/>
    </xf>
    <xf numFmtId="0" fontId="82" fillId="5" borderId="23" xfId="577" applyFont="1" applyFill="1" applyBorder="1" applyAlignment="1">
      <alignment horizontal="center" vertical="center" wrapText="1"/>
    </xf>
    <xf numFmtId="0" fontId="82" fillId="5" borderId="22" xfId="577" applyFont="1" applyFill="1" applyBorder="1" applyAlignment="1">
      <alignment horizontal="center" vertical="center" wrapText="1"/>
    </xf>
    <xf numFmtId="0" fontId="37" fillId="5" borderId="28" xfId="577" applyFont="1" applyFill="1" applyBorder="1" applyAlignment="1">
      <alignment horizontal="center" vertical="center"/>
    </xf>
    <xf numFmtId="0" fontId="104" fillId="0" borderId="27" xfId="578" applyFont="1" applyFill="1" applyBorder="1" applyAlignment="1">
      <alignment horizontal="center" vertical="center"/>
    </xf>
    <xf numFmtId="0" fontId="104" fillId="0" borderId="25" xfId="578" applyFont="1" applyFill="1" applyBorder="1" applyAlignment="1">
      <alignment horizontal="center" vertical="center"/>
    </xf>
    <xf numFmtId="0" fontId="102" fillId="19" borderId="22" xfId="578" applyFont="1" applyFill="1" applyBorder="1" applyAlignment="1">
      <alignment horizontal="center" vertical="center"/>
    </xf>
    <xf numFmtId="0" fontId="103" fillId="19" borderId="22" xfId="578" applyFont="1" applyFill="1" applyBorder="1" applyAlignment="1">
      <alignment horizontal="center" vertical="center"/>
    </xf>
    <xf numFmtId="195" fontId="112" fillId="5" borderId="22" xfId="578" applyNumberFormat="1" applyFont="1" applyFill="1" applyBorder="1" applyAlignment="1">
      <alignment horizontal="center" vertical="center"/>
    </xf>
    <xf numFmtId="195" fontId="112" fillId="15" borderId="22" xfId="578" applyNumberFormat="1" applyFont="1" applyFill="1" applyBorder="1" applyAlignment="1">
      <alignment horizontal="center" vertical="center"/>
    </xf>
    <xf numFmtId="0" fontId="36" fillId="5" borderId="22" xfId="5" applyFont="1" applyFill="1" applyBorder="1" applyAlignment="1">
      <alignment horizontal="center"/>
    </xf>
  </cellXfs>
  <cellStyles count="580">
    <cellStyle name="??_x000c_鞜_x0007__x000d_槉U_x0001_??_x0007__x0001__x0001_" xfId="25"/>
    <cellStyle name="_98-春節暫停營業明細-ToDC" xfId="26"/>
    <cellStyle name="_98-春節暫停營業明細-ToDC_1-晉欣鮮食廠-2012年春節作業體制" xfId="27"/>
    <cellStyle name="_excel報告書" xfId="28"/>
    <cellStyle name="_excel報告書_1-晉欣鮮食廠-2012年春節作業體制" xfId="29"/>
    <cellStyle name="_excel報告書_96年月餅預購競賽獎勵案" xfId="30"/>
    <cellStyle name="_excel報告書_96年月餅預購競賽獎勵案_1-晉欣鮮食廠-2012年春節作業體制" xfId="31"/>
    <cellStyle name="_excel報告書_96年月餅預購競賽獎勵案_97年春節保全回收報告書" xfId="32"/>
    <cellStyle name="_excel報告書_96年月餅預購競賽獎勵案_97年春節保全回收報告書_1-晉欣鮮食廠-2012年春節作業體制" xfId="33"/>
    <cellStyle name="_excel報告書_96年月餅預購競賽獎勵案_97年春節保全回收報告書_Book1" xfId="34"/>
    <cellStyle name="_excel報告書_96年月餅預購競賽獎勵案_97年春節保全回收報告書_Book1_1-晉欣鮮食廠-2012年春節作業體制" xfId="35"/>
    <cellStyle name="_excel報告書_96年月餅預購競賽獎勵案_97年春節保全回收報告書_春節作業手冊-981217" xfId="36"/>
    <cellStyle name="_excel報告書_96年月餅預購競賽獎勵案_97年春節保全回收報告書_春節作業手冊-981217_1-晉欣鮮食廠-2012年春節作業體制" xfId="37"/>
    <cellStyle name="_excel報告書_96年月餅預購競賽獎勵案_97年營業競賽提案報告書" xfId="38"/>
    <cellStyle name="_excel報告書_96年月餅預購競賽獎勵案_97年營業競賽提案報告書_1-晉欣鮮食廠-2012年春節作業體制" xfId="39"/>
    <cellStyle name="_excel報告書_96年月餅預購競賽獎勵案_97年營業競賽提案報告書_97年春節保全回收報告書" xfId="40"/>
    <cellStyle name="_excel報告書_96年月餅預購競賽獎勵案_97年營業競賽提案報告書_97年春節保全回收報告書_1-晉欣鮮食廠-2012年春節作業體制" xfId="41"/>
    <cellStyle name="_excel報告書_96年月餅預購競賽獎勵案_97年營業競賽提案報告書_97年春節保全回收報告書_Book1" xfId="42"/>
    <cellStyle name="_excel報告書_96年月餅預購競賽獎勵案_97年營業競賽提案報告書_97年春節保全回收報告書_Book1_1-晉欣鮮食廠-2012年春節作業體制" xfId="43"/>
    <cellStyle name="_excel報告書_96年月餅預購競賽獎勵案_97年營業競賽提案報告書_97年春節保全回收報告書_春節作業手冊-981217" xfId="44"/>
    <cellStyle name="_excel報告書_96年月餅預購競賽獎勵案_97年營業競賽提案報告書_97年春節保全回收報告書_春節作業手冊-981217_1-晉欣鮮食廠-2012年春節作業體制" xfId="45"/>
    <cellStyle name="_excel報告書_96年月餅預購競賽獎勵案_97年營業競賽提案報告書_97年營業競賽提案報告書" xfId="46"/>
    <cellStyle name="_excel報告書_96年月餅預購競賽獎勵案_97年營業競賽提案報告書_97年營業競賽提案報告書_1-晉欣鮮食廠-2012年春節作業體制" xfId="47"/>
    <cellStyle name="_excel報告書_96年月餅預購競賽獎勵案_97年營業競賽提案報告書_97年營業競賽提案報告書_97年春節保全回收報告書" xfId="48"/>
    <cellStyle name="_excel報告書_96年月餅預購競賽獎勵案_97年營業競賽提案報告書_97年營業競賽提案報告書_97年春節保全回收報告書_1-晉欣鮮食廠-2012年春節作業體制" xfId="49"/>
    <cellStyle name="_excel報告書_96年月餅預購競賽獎勵案_97年營業競賽提案報告書_97年營業競賽提案報告書_97年春節保全回收報告書_Book1" xfId="50"/>
    <cellStyle name="_excel報告書_96年月餅預購競賽獎勵案_97年營業競賽提案報告書_97年營業競賽提案報告書_97年春節保全回收報告書_Book1_1-晉欣鮮食廠-2012年春節作業體制" xfId="51"/>
    <cellStyle name="_excel報告書_96年月餅預購競賽獎勵案_97年營業競賽提案報告書_97年營業競賽提案報告書_97年春節保全回收報告書_春節作業手冊-981217" xfId="52"/>
    <cellStyle name="_excel報告書_96年月餅預購競賽獎勵案_97年營業競賽提案報告書_97年營業競賽提案報告書_97年春節保全回收報告書_春節作業手冊-981217_1-晉欣鮮食廠-2012年春節作業體制" xfId="53"/>
    <cellStyle name="_excel報告書_96年月餅預購競賽獎勵案_97年營業競賽提案報告書_97年營業競賽提案報告書_97年營業競賽提案報告書" xfId="54"/>
    <cellStyle name="_excel報告書_96年月餅預購競賽獎勵案_97年營業競賽提案報告書_97年營業競賽提案報告書_97年營業競賽提案報告書_1-晉欣鮮食廠-2012年春節作業體制" xfId="55"/>
    <cellStyle name="_excel報告書_96年月餅預購競賽獎勵案_97年營業競賽提案報告書_97年營業競賽提案報告書_97年營業競賽提案報告書_97年春節保全回收報告書" xfId="56"/>
    <cellStyle name="_excel報告書_96年月餅預購競賽獎勵案_97年營業競賽提案報告書_97年營業競賽提案報告書_97年營業競賽提案報告書_97年春節保全回收報告書_1-晉欣鮮食廠-2012年春節作業體制" xfId="57"/>
    <cellStyle name="_excel報告書_96年月餅預購競賽獎勵案_97年營業競賽提案報告書_97年營業競賽提案報告書_97年營業競賽提案報告書_97年春節保全回收報告書_Book1" xfId="58"/>
    <cellStyle name="_excel報告書_96年月餅預購競賽獎勵案_97年營業競賽提案報告書_97年營業競賽提案報告書_97年營業競賽提案報告書_97年春節保全回收報告書_Book1_1-晉欣鮮食廠-2012年春節作業體制" xfId="59"/>
    <cellStyle name="_excel報告書_96年月餅預購競賽獎勵案_97年營業競賽提案報告書_97年營業競賽提案報告書_97年營業競賽提案報告書_97年春節保全回收報告書_春節作業手冊-981217" xfId="60"/>
    <cellStyle name="_excel報告書_96年月餅預購競賽獎勵案_97年營業競賽提案報告書_97年營業競賽提案報告書_97年營業競賽提案報告書_97年春節保全回收報告書_春節作業手冊-981217_1-晉欣鮮食廠-2012年春節作業體制" xfId="61"/>
    <cellStyle name="_excel報告書_96年月餅預購競賽獎勵案_97年營業競賽提案報告書_97年營業競賽提案報告書_97年營業競賽提案報告書_Book1" xfId="62"/>
    <cellStyle name="_excel報告書_96年月餅預購競賽獎勵案_97年營業競賽提案報告書_97年營業競賽提案報告書_97年營業競賽提案報告書_Book1_1-晉欣鮮食廠-2012年春節作業體制" xfId="63"/>
    <cellStyle name="_excel報告書_96年月餅預購競賽獎勵案_97年營業競賽提案報告書_97年營業競賽提案報告書_97年營業競賽提案報告書_春節作業手冊-981217" xfId="64"/>
    <cellStyle name="_excel報告書_96年月餅預購競賽獎勵案_97年營業競賽提案報告書_97年營業競賽提案報告書_97年營業競賽提案報告書_春節作業手冊-981217_1-晉欣鮮食廠-2012年春節作業體制" xfId="65"/>
    <cellStyle name="_excel報告書_96年月餅預購競賽獎勵案_97年營業競賽提案報告書_97年營業競賽提案報告書_Book1" xfId="66"/>
    <cellStyle name="_excel報告書_96年月餅預購競賽獎勵案_97年營業競賽提案報告書_97年營業競賽提案報告書_Book1_1-晉欣鮮食廠-2012年春節作業體制" xfId="67"/>
    <cellStyle name="_excel報告書_96年月餅預購競賽獎勵案_97年營業競賽提案報告書_97年營業競賽提案報告書_春節作業手冊-981217" xfId="68"/>
    <cellStyle name="_excel報告書_96年月餅預購競賽獎勵案_97年營業競賽提案報告書_97年營業競賽提案報告書_春節作業手冊-981217_1-晉欣鮮食廠-2012年春節作業體制" xfId="69"/>
    <cellStyle name="_excel報告書_96年月餅預購競賽獎勵案_97年營業競賽提案報告書_Book1" xfId="70"/>
    <cellStyle name="_excel報告書_96年月餅預購競賽獎勵案_97年營業競賽提案報告書_Book1_1-晉欣鮮食廠-2012年春節作業體制" xfId="71"/>
    <cellStyle name="_excel報告書_96年月餅預購競賽獎勵案_97年營業競賽提案報告書_春節作業手冊-981217" xfId="72"/>
    <cellStyle name="_excel報告書_96年月餅預購競賽獎勵案_97年營業競賽提案報告書_春節作業手冊-981217_1-晉欣鮮食廠-2012年春節作業體制" xfId="73"/>
    <cellStyle name="_excel報告書_96年月餅預購競賽獎勵案_Book1" xfId="74"/>
    <cellStyle name="_excel報告書_96年月餅預購競賽獎勵案_Book1_1-晉欣鮮食廠-2012年春節作業體制" xfId="75"/>
    <cellStyle name="_excel報告書_96年月餅預購競賽獎勵案_春節作業手冊-981217" xfId="76"/>
    <cellStyle name="_excel報告書_96年月餅預購競賽獎勵案_春節作業手冊-981217_1-晉欣鮮食廠-2012年春節作業體制" xfId="77"/>
    <cellStyle name="_excel報告書_97年春節保全回收報告書" xfId="78"/>
    <cellStyle name="_excel報告書_97年春節保全回收報告書_1-晉欣鮮食廠-2012年春節作業體制" xfId="79"/>
    <cellStyle name="_excel報告書_97年春節保全回收報告書_Book1" xfId="80"/>
    <cellStyle name="_excel報告書_97年春節保全回收報告書_Book1_1-晉欣鮮食廠-2012年春節作業體制" xfId="81"/>
    <cellStyle name="_excel報告書_97年春節保全回收報告書_春節作業手冊-981217" xfId="82"/>
    <cellStyle name="_excel報告書_97年春節保全回收報告書_春節作業手冊-981217_1-晉欣鮮食廠-2012年春節作業體制" xfId="83"/>
    <cellStyle name="_excel報告書_97年營業競賽提案報告書" xfId="84"/>
    <cellStyle name="_excel報告書_97年營業競賽提案報告書_1-晉欣鮮食廠-2012年春節作業體制" xfId="85"/>
    <cellStyle name="_excel報告書_97年營業競賽提案報告書_97年春節保全回收報告書" xfId="86"/>
    <cellStyle name="_excel報告書_97年營業競賽提案報告書_97年春節保全回收報告書_1-晉欣鮮食廠-2012年春節作業體制" xfId="87"/>
    <cellStyle name="_excel報告書_97年營業競賽提案報告書_97年春節保全回收報告書_Book1" xfId="88"/>
    <cellStyle name="_excel報告書_97年營業競賽提案報告書_97年春節保全回收報告書_Book1_1-晉欣鮮食廠-2012年春節作業體制" xfId="89"/>
    <cellStyle name="_excel報告書_97年營業競賽提案報告書_97年春節保全回收報告書_春節作業手冊-981217" xfId="90"/>
    <cellStyle name="_excel報告書_97年營業競賽提案報告書_97年春節保全回收報告書_春節作業手冊-981217_1-晉欣鮮食廠-2012年春節作業體制" xfId="91"/>
    <cellStyle name="_excel報告書_97年營業競賽提案報告書_97年營業競賽提案報告書" xfId="92"/>
    <cellStyle name="_excel報告書_97年營業競賽提案報告書_97年營業競賽提案報告書_1-晉欣鮮食廠-2012年春節作業體制" xfId="93"/>
    <cellStyle name="_excel報告書_97年營業競賽提案報告書_97年營業競賽提案報告書_97年春節保全回收報告書" xfId="94"/>
    <cellStyle name="_excel報告書_97年營業競賽提案報告書_97年營業競賽提案報告書_97年春節保全回收報告書_1-晉欣鮮食廠-2012年春節作業體制" xfId="95"/>
    <cellStyle name="_excel報告書_97年營業競賽提案報告書_97年營業競賽提案報告書_97年春節保全回收報告書_Book1" xfId="96"/>
    <cellStyle name="_excel報告書_97年營業競賽提案報告書_97年營業競賽提案報告書_97年春節保全回收報告書_Book1_1-晉欣鮮食廠-2012年春節作業體制" xfId="97"/>
    <cellStyle name="_excel報告書_97年營業競賽提案報告書_97年營業競賽提案報告書_97年春節保全回收報告書_春節作業手冊-981217" xfId="98"/>
    <cellStyle name="_excel報告書_97年營業競賽提案報告書_97年營業競賽提案報告書_97年春節保全回收報告書_春節作業手冊-981217_1-晉欣鮮食廠-2012年春節作業體制" xfId="99"/>
    <cellStyle name="_excel報告書_97年營業競賽提案報告書_97年營業競賽提案報告書_97年營業競賽提案報告書" xfId="100"/>
    <cellStyle name="_excel報告書_97年營業競賽提案報告書_97年營業競賽提案報告書_97年營業競賽提案報告書_1-晉欣鮮食廠-2012年春節作業體制" xfId="101"/>
    <cellStyle name="_excel報告書_97年營業競賽提案報告書_97年營業競賽提案報告書_97年營業競賽提案報告書_97年春節保全回收報告書" xfId="102"/>
    <cellStyle name="_excel報告書_97年營業競賽提案報告書_97年營業競賽提案報告書_97年營業競賽提案報告書_97年春節保全回收報告書_1-晉欣鮮食廠-2012年春節作業體制" xfId="103"/>
    <cellStyle name="_excel報告書_97年營業競賽提案報告書_97年營業競賽提案報告書_97年營業競賽提案報告書_97年春節保全回收報告書_Book1" xfId="104"/>
    <cellStyle name="_excel報告書_97年營業競賽提案報告書_97年營業競賽提案報告書_97年營業競賽提案報告書_97年春節保全回收報告書_Book1_1-晉欣鮮食廠-2012年春節作業體制" xfId="105"/>
    <cellStyle name="_excel報告書_97年營業競賽提案報告書_97年營業競賽提案報告書_97年營業競賽提案報告書_97年春節保全回收報告書_春節作業手冊-981217" xfId="106"/>
    <cellStyle name="_excel報告書_97年營業競賽提案報告書_97年營業競賽提案報告書_97年營業競賽提案報告書_97年春節保全回收報告書_春節作業手冊-981217_1-晉欣鮮食廠-2012年春節作業體制" xfId="107"/>
    <cellStyle name="_excel報告書_97年營業競賽提案報告書_97年營業競賽提案報告書_97年營業競賽提案報告書_Book1" xfId="108"/>
    <cellStyle name="_excel報告書_97年營業競賽提案報告書_97年營業競賽提案報告書_97年營業競賽提案報告書_Book1_1-晉欣鮮食廠-2012年春節作業體制" xfId="109"/>
    <cellStyle name="_excel報告書_97年營業競賽提案報告書_97年營業競賽提案報告書_97年營業競賽提案報告書_春節作業手冊-981217" xfId="110"/>
    <cellStyle name="_excel報告書_97年營業競賽提案報告書_97年營業競賽提案報告書_97年營業競賽提案報告書_春節作業手冊-981217_1-晉欣鮮食廠-2012年春節作業體制" xfId="111"/>
    <cellStyle name="_excel報告書_97年營業競賽提案報告書_97年營業競賽提案報告書_Book1" xfId="112"/>
    <cellStyle name="_excel報告書_97年營業競賽提案報告書_97年營業競賽提案報告書_Book1_1-晉欣鮮食廠-2012年春節作業體制" xfId="113"/>
    <cellStyle name="_excel報告書_97年營業競賽提案報告書_97年營業競賽提案報告書_春節作業手冊-981217" xfId="114"/>
    <cellStyle name="_excel報告書_97年營業競賽提案報告書_97年營業競賽提案報告書_春節作業手冊-981217_1-晉欣鮮食廠-2012年春節作業體制" xfId="115"/>
    <cellStyle name="_excel報告書_97年營業競賽提案報告書_Book1" xfId="116"/>
    <cellStyle name="_excel報告書_97年營業競賽提案報告書_Book1_1-晉欣鮮食廠-2012年春節作業體制" xfId="117"/>
    <cellStyle name="_excel報告書_97年營業競賽提案報告書_春節作業手冊-981217" xfId="118"/>
    <cellStyle name="_excel報告書_97年營業競賽提案報告書_春節作業手冊-981217_1-晉欣鮮食廠-2012年春節作業體制" xfId="119"/>
    <cellStyle name="_excel報告書_Book1" xfId="120"/>
    <cellStyle name="_excel報告書_Book1_1-晉欣鮮食廠-2012年春節作業體制" xfId="121"/>
    <cellStyle name="_excel報告書_春節作業手冊-981217" xfId="122"/>
    <cellStyle name="_excel報告書_春節作業手冊-981217_1-晉欣鮮食廠-2012年春節作業體制" xfId="123"/>
    <cellStyle name="_日翊98年春節作業-To毓琦" xfId="124"/>
    <cellStyle name="_封閉型商圈日商" xfId="125"/>
    <cellStyle name="_封閉型商圈日商_1-晉欣鮮食廠-2012年春節作業體制" xfId="126"/>
    <cellStyle name="_封閉型商圈日商_97年春節保全回收報告書" xfId="127"/>
    <cellStyle name="_封閉型商圈日商_97年春節保全回收報告書_1-晉欣鮮食廠-2012年春節作業體制" xfId="128"/>
    <cellStyle name="_封閉型商圈日商_97年春節保全回收報告書_Book1" xfId="129"/>
    <cellStyle name="_封閉型商圈日商_97年春節保全回收報告書_Book1_1-晉欣鮮食廠-2012年春節作業體制" xfId="130"/>
    <cellStyle name="_封閉型商圈日商_97年春節保全回收報告書_春節作業手冊-981217" xfId="131"/>
    <cellStyle name="_封閉型商圈日商_97年春節保全回收報告書_春節作業手冊-981217_1-晉欣鮮食廠-2012年春節作業體制" xfId="132"/>
    <cellStyle name="_封閉型商圈日商_97年營業競賽提案報告書" xfId="133"/>
    <cellStyle name="_封閉型商圈日商_97年營業競賽提案報告書_1-晉欣鮮食廠-2012年春節作業體制" xfId="134"/>
    <cellStyle name="_封閉型商圈日商_97年營業競賽提案報告書_97年春節保全回收報告書" xfId="135"/>
    <cellStyle name="_封閉型商圈日商_97年營業競賽提案報告書_97年春節保全回收報告書_1-晉欣鮮食廠-2012年春節作業體制" xfId="136"/>
    <cellStyle name="_封閉型商圈日商_97年營業競賽提案報告書_97年春節保全回收報告書_Book1" xfId="137"/>
    <cellStyle name="_封閉型商圈日商_97年營業競賽提案報告書_97年春節保全回收報告書_Book1_1-晉欣鮮食廠-2012年春節作業體制" xfId="138"/>
    <cellStyle name="_封閉型商圈日商_97年營業競賽提案報告書_97年春節保全回收報告書_春節作業手冊-981217" xfId="139"/>
    <cellStyle name="_封閉型商圈日商_97年營業競賽提案報告書_97年春節保全回收報告書_春節作業手冊-981217_1-晉欣鮮食廠-2012年春節作業體制" xfId="140"/>
    <cellStyle name="_封閉型商圈日商_97年營業競賽提案報告書_97年營業競賽提案報告書" xfId="141"/>
    <cellStyle name="_封閉型商圈日商_97年營業競賽提案報告書_97年營業競賽提案報告書_1-晉欣鮮食廠-2012年春節作業體制" xfId="142"/>
    <cellStyle name="_封閉型商圈日商_97年營業競賽提案報告書_97年營業競賽提案報告書_97年春節保全回收報告書" xfId="143"/>
    <cellStyle name="_封閉型商圈日商_97年營業競賽提案報告書_97年營業競賽提案報告書_97年春節保全回收報告書_1-晉欣鮮食廠-2012年春節作業體制" xfId="144"/>
    <cellStyle name="_封閉型商圈日商_97年營業競賽提案報告書_97年營業競賽提案報告書_97年春節保全回收報告書_Book1" xfId="145"/>
    <cellStyle name="_封閉型商圈日商_97年營業競賽提案報告書_97年營業競賽提案報告書_97年春節保全回收報告書_Book1_1-晉欣鮮食廠-2012年春節作業體制" xfId="146"/>
    <cellStyle name="_封閉型商圈日商_97年營業競賽提案報告書_97年營業競賽提案報告書_97年春節保全回收報告書_春節作業手冊-981217" xfId="147"/>
    <cellStyle name="_封閉型商圈日商_97年營業競賽提案報告書_97年營業競賽提案報告書_97年春節保全回收報告書_春節作業手冊-981217_1-晉欣鮮食廠-2012年春節作業體制" xfId="148"/>
    <cellStyle name="_封閉型商圈日商_97年營業競賽提案報告書_97年營業競賽提案報告書_97年營業競賽提案報告書" xfId="149"/>
    <cellStyle name="_封閉型商圈日商_97年營業競賽提案報告書_97年營業競賽提案報告書_97年營業競賽提案報告書_1-晉欣鮮食廠-2012年春節作業體制" xfId="150"/>
    <cellStyle name="_封閉型商圈日商_97年營業競賽提案報告書_97年營業競賽提案報告書_97年營業競賽提案報告書_97年春節保全回收報告書" xfId="151"/>
    <cellStyle name="_封閉型商圈日商_97年營業競賽提案報告書_97年營業競賽提案報告書_97年營業競賽提案報告書_97年春節保全回收報告書_1-晉欣鮮食廠-2012年春節作業體制" xfId="152"/>
    <cellStyle name="_封閉型商圈日商_97年營業競賽提案報告書_97年營業競賽提案報告書_97年營業競賽提案報告書_97年春節保全回收報告書_Book1" xfId="153"/>
    <cellStyle name="_封閉型商圈日商_97年營業競賽提案報告書_97年營業競賽提案報告書_97年營業競賽提案報告書_97年春節保全回收報告書_Book1_1-晉欣鮮食廠-2012年春節作業體制" xfId="154"/>
    <cellStyle name="_封閉型商圈日商_97年營業競賽提案報告書_97年營業競賽提案報告書_97年營業競賽提案報告書_97年春節保全回收報告書_春節作業手冊-981217" xfId="155"/>
    <cellStyle name="_封閉型商圈日商_97年營業競賽提案報告書_97年營業競賽提案報告書_97年營業競賽提案報告書_97年春節保全回收報告書_春節作業手冊-981217_1-晉欣鮮食廠-2012年春節作業體制" xfId="156"/>
    <cellStyle name="_封閉型商圈日商_97年營業競賽提案報告書_97年營業競賽提案報告書_97年營業競賽提案報告書_Book1" xfId="157"/>
    <cellStyle name="_封閉型商圈日商_97年營業競賽提案報告書_97年營業競賽提案報告書_97年營業競賽提案報告書_Book1_1-晉欣鮮食廠-2012年春節作業體制" xfId="158"/>
    <cellStyle name="_封閉型商圈日商_97年營業競賽提案報告書_97年營業競賽提案報告書_97年營業競賽提案報告書_春節作業手冊-981217" xfId="159"/>
    <cellStyle name="_封閉型商圈日商_97年營業競賽提案報告書_97年營業競賽提案報告書_97年營業競賽提案報告書_春節作業手冊-981217_1-晉欣鮮食廠-2012年春節作業體制" xfId="160"/>
    <cellStyle name="_封閉型商圈日商_97年營業競賽提案報告書_97年營業競賽提案報告書_Book1" xfId="161"/>
    <cellStyle name="_封閉型商圈日商_97年營業競賽提案報告書_97年營業競賽提案報告書_Book1_1-晉欣鮮食廠-2012年春節作業體制" xfId="162"/>
    <cellStyle name="_封閉型商圈日商_97年營業競賽提案報告書_97年營業競賽提案報告書_春節作業手冊-981217" xfId="163"/>
    <cellStyle name="_封閉型商圈日商_97年營業競賽提案報告書_97年營業競賽提案報告書_春節作業手冊-981217_1-晉欣鮮食廠-2012年春節作業體制" xfId="164"/>
    <cellStyle name="_封閉型商圈日商_97年營業競賽提案報告書_Book1" xfId="165"/>
    <cellStyle name="_封閉型商圈日商_97年營業競賽提案報告書_Book1_1-晉欣鮮食廠-2012年春節作業體制" xfId="166"/>
    <cellStyle name="_封閉型商圈日商_97年營業競賽提案報告書_春節作業手冊-981217" xfId="167"/>
    <cellStyle name="_封閉型商圈日商_97年營業競賽提案報告書_春節作業手冊-981217_1-晉欣鮮食廠-2012年春節作業體制" xfId="168"/>
    <cellStyle name="_封閉型商圈日商_Book1" xfId="169"/>
    <cellStyle name="_封閉型商圈日商_Book1_1-晉欣鮮食廠-2012年春節作業體制" xfId="170"/>
    <cellStyle name="_封閉型商圈日商_春節作業手冊-981217" xfId="171"/>
    <cellStyle name="_封閉型商圈日商_春節作業手冊-981217_1-晉欣鮮食廠-2012年春節作業體制" xfId="172"/>
    <cellStyle name="_封閉型商圈日商-1" xfId="173"/>
    <cellStyle name="_封閉型商圈日商-1_1-晉欣鮮食廠-2012年春節作業體制" xfId="174"/>
    <cellStyle name="_封閉型商圈日商-1_97年春節保全回收報告書" xfId="175"/>
    <cellStyle name="_封閉型商圈日商-1_97年春節保全回收報告書_1-晉欣鮮食廠-2012年春節作業體制" xfId="176"/>
    <cellStyle name="_封閉型商圈日商-1_97年春節保全回收報告書_Book1" xfId="177"/>
    <cellStyle name="_封閉型商圈日商-1_97年春節保全回收報告書_Book1_1-晉欣鮮食廠-2012年春節作業體制" xfId="178"/>
    <cellStyle name="_封閉型商圈日商-1_97年春節保全回收報告書_春節作業手冊-981217" xfId="179"/>
    <cellStyle name="_封閉型商圈日商-1_97年春節保全回收報告書_春節作業手冊-981217_1-晉欣鮮食廠-2012年春節作業體制" xfId="180"/>
    <cellStyle name="_封閉型商圈日商-1_97年營業競賽提案報告書" xfId="181"/>
    <cellStyle name="_封閉型商圈日商-1_97年營業競賽提案報告書_1-晉欣鮮食廠-2012年春節作業體制" xfId="182"/>
    <cellStyle name="_封閉型商圈日商-1_97年營業競賽提案報告書_97年春節保全回收報告書" xfId="183"/>
    <cellStyle name="_封閉型商圈日商-1_97年營業競賽提案報告書_97年春節保全回收報告書_1-晉欣鮮食廠-2012年春節作業體制" xfId="184"/>
    <cellStyle name="_封閉型商圈日商-1_97年營業競賽提案報告書_97年春節保全回收報告書_Book1" xfId="185"/>
    <cellStyle name="_封閉型商圈日商-1_97年營業競賽提案報告書_97年春節保全回收報告書_Book1_1-晉欣鮮食廠-2012年春節作業體制" xfId="186"/>
    <cellStyle name="_封閉型商圈日商-1_97年營業競賽提案報告書_97年春節保全回收報告書_春節作業手冊-981217" xfId="187"/>
    <cellStyle name="_封閉型商圈日商-1_97年營業競賽提案報告書_97年春節保全回收報告書_春節作業手冊-981217_1-晉欣鮮食廠-2012年春節作業體制" xfId="188"/>
    <cellStyle name="_封閉型商圈日商-1_97年營業競賽提案報告書_97年營業競賽提案報告書" xfId="189"/>
    <cellStyle name="_封閉型商圈日商-1_97年營業競賽提案報告書_97年營業競賽提案報告書_1-晉欣鮮食廠-2012年春節作業體制" xfId="190"/>
    <cellStyle name="_封閉型商圈日商-1_97年營業競賽提案報告書_97年營業競賽提案報告書_97年春節保全回收報告書" xfId="191"/>
    <cellStyle name="_封閉型商圈日商-1_97年營業競賽提案報告書_97年營業競賽提案報告書_97年春節保全回收報告書_1-晉欣鮮食廠-2012年春節作業體制" xfId="192"/>
    <cellStyle name="_封閉型商圈日商-1_97年營業競賽提案報告書_97年營業競賽提案報告書_97年春節保全回收報告書_Book1" xfId="193"/>
    <cellStyle name="_封閉型商圈日商-1_97年營業競賽提案報告書_97年營業競賽提案報告書_97年春節保全回收報告書_Book1_1-晉欣鮮食廠-2012年春節作業體制" xfId="194"/>
    <cellStyle name="_封閉型商圈日商-1_97年營業競賽提案報告書_97年營業競賽提案報告書_97年春節保全回收報告書_春節作業手冊-981217" xfId="195"/>
    <cellStyle name="_封閉型商圈日商-1_97年營業競賽提案報告書_97年營業競賽提案報告書_97年春節保全回收報告書_春節作業手冊-981217_1-晉欣鮮食廠-2012年春節作業體制" xfId="196"/>
    <cellStyle name="_封閉型商圈日商-1_97年營業競賽提案報告書_97年營業競賽提案報告書_97年營業競賽提案報告書" xfId="197"/>
    <cellStyle name="_封閉型商圈日商-1_97年營業競賽提案報告書_97年營業競賽提案報告書_97年營業競賽提案報告書_1-晉欣鮮食廠-2012年春節作業體制" xfId="198"/>
    <cellStyle name="_封閉型商圈日商-1_97年營業競賽提案報告書_97年營業競賽提案報告書_97年營業競賽提案報告書_97年春節保全回收報告書" xfId="199"/>
    <cellStyle name="_封閉型商圈日商-1_97年營業競賽提案報告書_97年營業競賽提案報告書_97年營業競賽提案報告書_97年春節保全回收報告書_1-晉欣鮮食廠-2012年春節作業體制" xfId="200"/>
    <cellStyle name="_封閉型商圈日商-1_97年營業競賽提案報告書_97年營業競賽提案報告書_97年營業競賽提案報告書_97年春節保全回收報告書_Book1" xfId="201"/>
    <cellStyle name="_封閉型商圈日商-1_97年營業競賽提案報告書_97年營業競賽提案報告書_97年營業競賽提案報告書_97年春節保全回收報告書_Book1_1-晉欣鮮食廠-2012年春節作業體制" xfId="202"/>
    <cellStyle name="_封閉型商圈日商-1_97年營業競賽提案報告書_97年營業競賽提案報告書_97年營業競賽提案報告書_97年春節保全回收報告書_春節作業手冊-981217" xfId="203"/>
    <cellStyle name="_封閉型商圈日商-1_97年營業競賽提案報告書_97年營業競賽提案報告書_97年營業競賽提案報告書_97年春節保全回收報告書_春節作業手冊-981217_1-晉欣鮮食廠-2012年春節作業體制" xfId="204"/>
    <cellStyle name="_封閉型商圈日商-1_97年營業競賽提案報告書_97年營業競賽提案報告書_97年營業競賽提案報告書_Book1" xfId="205"/>
    <cellStyle name="_封閉型商圈日商-1_97年營業競賽提案報告書_97年營業競賽提案報告書_97年營業競賽提案報告書_Book1_1-晉欣鮮食廠-2012年春節作業體制" xfId="206"/>
    <cellStyle name="_封閉型商圈日商-1_97年營業競賽提案報告書_97年營業競賽提案報告書_97年營業競賽提案報告書_春節作業手冊-981217" xfId="207"/>
    <cellStyle name="_封閉型商圈日商-1_97年營業競賽提案報告書_97年營業競賽提案報告書_97年營業競賽提案報告書_春節作業手冊-981217_1-晉欣鮮食廠-2012年春節作業體制" xfId="208"/>
    <cellStyle name="_封閉型商圈日商-1_97年營業競賽提案報告書_97年營業競賽提案報告書_Book1" xfId="209"/>
    <cellStyle name="_封閉型商圈日商-1_97年營業競賽提案報告書_97年營業競賽提案報告書_Book1_1-晉欣鮮食廠-2012年春節作業體制" xfId="210"/>
    <cellStyle name="_封閉型商圈日商-1_97年營業競賽提案報告書_97年營業競賽提案報告書_春節作業手冊-981217" xfId="211"/>
    <cellStyle name="_封閉型商圈日商-1_97年營業競賽提案報告書_97年營業競賽提案報告書_春節作業手冊-981217_1-晉欣鮮食廠-2012年春節作業體制" xfId="212"/>
    <cellStyle name="_封閉型商圈日商-1_97年營業競賽提案報告書_Book1" xfId="213"/>
    <cellStyle name="_封閉型商圈日商-1_97年營業競賽提案報告書_Book1_1-晉欣鮮食廠-2012年春節作業體制" xfId="214"/>
    <cellStyle name="_封閉型商圈日商-1_97年營業競賽提案報告書_春節作業手冊-981217" xfId="215"/>
    <cellStyle name="_封閉型商圈日商-1_97年營業競賽提案報告書_春節作業手冊-981217_1-晉欣鮮食廠-2012年春節作業體制" xfId="216"/>
    <cellStyle name="_封閉型商圈日商-1_Book1" xfId="217"/>
    <cellStyle name="_封閉型商圈日商-1_Book1_1-晉欣鮮食廠-2012年春節作業體制" xfId="218"/>
    <cellStyle name="_封閉型商圈日商-1_春節作業手冊-981217" xfId="219"/>
    <cellStyle name="_封閉型商圈日商-1_春節作業手冊-981217_1-晉欣鮮食廠-2012年春節作業體制" xfId="220"/>
    <cellStyle name="_封閉型商圈店舖明細" xfId="221"/>
    <cellStyle name="_封閉型商圈店舖明細_1-晉欣鮮食廠-2012年春節作業體制" xfId="222"/>
    <cellStyle name="_封閉型商圈店舖明細_97年春節保全回收報告書" xfId="223"/>
    <cellStyle name="_封閉型商圈店舖明細_97年春節保全回收報告書_1-晉欣鮮食廠-2012年春節作業體制" xfId="224"/>
    <cellStyle name="_封閉型商圈店舖明細_97年春節保全回收報告書_Book1" xfId="225"/>
    <cellStyle name="_封閉型商圈店舖明細_97年春節保全回收報告書_Book1_1-晉欣鮮食廠-2012年春節作業體制" xfId="226"/>
    <cellStyle name="_封閉型商圈店舖明細_97年春節保全回收報告書_春節作業手冊-981217" xfId="227"/>
    <cellStyle name="_封閉型商圈店舖明細_97年春節保全回收報告書_春節作業手冊-981217_1-晉欣鮮食廠-2012年春節作業體制" xfId="228"/>
    <cellStyle name="_封閉型商圈店舖明細_97年營業競賽提案報告書" xfId="229"/>
    <cellStyle name="_封閉型商圈店舖明細_97年營業競賽提案報告書_1-晉欣鮮食廠-2012年春節作業體制" xfId="230"/>
    <cellStyle name="_封閉型商圈店舖明細_97年營業競賽提案報告書_97年春節保全回收報告書" xfId="231"/>
    <cellStyle name="_封閉型商圈店舖明細_97年營業競賽提案報告書_97年春節保全回收報告書_1-晉欣鮮食廠-2012年春節作業體制" xfId="232"/>
    <cellStyle name="_封閉型商圈店舖明細_97年營業競賽提案報告書_97年春節保全回收報告書_Book1" xfId="233"/>
    <cellStyle name="_封閉型商圈店舖明細_97年營業競賽提案報告書_97年春節保全回收報告書_Book1_1-晉欣鮮食廠-2012年春節作業體制" xfId="234"/>
    <cellStyle name="_封閉型商圈店舖明細_97年營業競賽提案報告書_97年春節保全回收報告書_春節作業手冊-981217" xfId="235"/>
    <cellStyle name="_封閉型商圈店舖明細_97年營業競賽提案報告書_97年春節保全回收報告書_春節作業手冊-981217_1-晉欣鮮食廠-2012年春節作業體制" xfId="236"/>
    <cellStyle name="_封閉型商圈店舖明細_97年營業競賽提案報告書_97年營業競賽提案報告書" xfId="237"/>
    <cellStyle name="_封閉型商圈店舖明細_97年營業競賽提案報告書_97年營業競賽提案報告書_1-晉欣鮮食廠-2012年春節作業體制" xfId="238"/>
    <cellStyle name="_封閉型商圈店舖明細_97年營業競賽提案報告書_97年營業競賽提案報告書_97年春節保全回收報告書" xfId="239"/>
    <cellStyle name="_封閉型商圈店舖明細_97年營業競賽提案報告書_97年營業競賽提案報告書_97年春節保全回收報告書_1-晉欣鮮食廠-2012年春節作業體制" xfId="240"/>
    <cellStyle name="_封閉型商圈店舖明細_97年營業競賽提案報告書_97年營業競賽提案報告書_97年春節保全回收報告書_Book1" xfId="241"/>
    <cellStyle name="_封閉型商圈店舖明細_97年營業競賽提案報告書_97年營業競賽提案報告書_97年春節保全回收報告書_Book1_1-晉欣鮮食廠-2012年春節作業體制" xfId="242"/>
    <cellStyle name="_封閉型商圈店舖明細_97年營業競賽提案報告書_97年營業競賽提案報告書_97年春節保全回收報告書_春節作業手冊-981217" xfId="243"/>
    <cellStyle name="_封閉型商圈店舖明細_97年營業競賽提案報告書_97年營業競賽提案報告書_97年春節保全回收報告書_春節作業手冊-981217_1-晉欣鮮食廠-2012年春節作業體制" xfId="244"/>
    <cellStyle name="_封閉型商圈店舖明細_97年營業競賽提案報告書_97年營業競賽提案報告書_97年營業競賽提案報告書" xfId="245"/>
    <cellStyle name="_封閉型商圈店舖明細_97年營業競賽提案報告書_97年營業競賽提案報告書_97年營業競賽提案報告書_1-晉欣鮮食廠-2012年春節作業體制" xfId="246"/>
    <cellStyle name="_封閉型商圈店舖明細_97年營業競賽提案報告書_97年營業競賽提案報告書_97年營業競賽提案報告書_97年春節保全回收報告書" xfId="247"/>
    <cellStyle name="_封閉型商圈店舖明細_97年營業競賽提案報告書_97年營業競賽提案報告書_97年營業競賽提案報告書_97年春節保全回收報告書_1-晉欣鮮食廠-2012年春節作業體制" xfId="248"/>
    <cellStyle name="_封閉型商圈店舖明細_97年營業競賽提案報告書_97年營業競賽提案報告書_97年營業競賽提案報告書_97年春節保全回收報告書_Book1" xfId="249"/>
    <cellStyle name="_封閉型商圈店舖明細_97年營業競賽提案報告書_97年營業競賽提案報告書_97年營業競賽提案報告書_97年春節保全回收報告書_Book1_1-晉欣鮮食廠-2012年春節作業體制" xfId="250"/>
    <cellStyle name="_封閉型商圈店舖明細_97年營業競賽提案報告書_97年營業競賽提案報告書_97年營業競賽提案報告書_97年春節保全回收報告書_春節作業手冊-981217" xfId="251"/>
    <cellStyle name="_封閉型商圈店舖明細_97年營業競賽提案報告書_97年營業競賽提案報告書_97年營業競賽提案報告書_97年春節保全回收報告書_春節作業手冊-981217_1-晉欣鮮食廠-2012年春節作業體制" xfId="252"/>
    <cellStyle name="_封閉型商圈店舖明細_97年營業競賽提案報告書_97年營業競賽提案報告書_97年營業競賽提案報告書_Book1" xfId="253"/>
    <cellStyle name="_封閉型商圈店舖明細_97年營業競賽提案報告書_97年營業競賽提案報告書_97年營業競賽提案報告書_Book1_1-晉欣鮮食廠-2012年春節作業體制" xfId="254"/>
    <cellStyle name="_封閉型商圈店舖明細_97年營業競賽提案報告書_97年營業競賽提案報告書_97年營業競賽提案報告書_春節作業手冊-981217" xfId="255"/>
    <cellStyle name="_封閉型商圈店舖明細_97年營業競賽提案報告書_97年營業競賽提案報告書_97年營業競賽提案報告書_春節作業手冊-981217_1-晉欣鮮食廠-2012年春節作業體制" xfId="256"/>
    <cellStyle name="_封閉型商圈店舖明細_97年營業競賽提案報告書_97年營業競賽提案報告書_Book1" xfId="257"/>
    <cellStyle name="_封閉型商圈店舖明細_97年營業競賽提案報告書_97年營業競賽提案報告書_Book1_1-晉欣鮮食廠-2012年春節作業體制" xfId="258"/>
    <cellStyle name="_封閉型商圈店舖明細_97年營業競賽提案報告書_97年營業競賽提案報告書_春節作業手冊-981217" xfId="259"/>
    <cellStyle name="_封閉型商圈店舖明細_97年營業競賽提案報告書_97年營業競賽提案報告書_春節作業手冊-981217_1-晉欣鮮食廠-2012年春節作業體制" xfId="260"/>
    <cellStyle name="_封閉型商圈店舖明細_97年營業競賽提案報告書_Book1" xfId="261"/>
    <cellStyle name="_封閉型商圈店舖明細_97年營業競賽提案報告書_Book1_1-晉欣鮮食廠-2012年春節作業體制" xfId="262"/>
    <cellStyle name="_封閉型商圈店舖明細_97年營業競賽提案報告書_春節作業手冊-981217" xfId="263"/>
    <cellStyle name="_封閉型商圈店舖明細_97年營業競賽提案報告書_春節作業手冊-981217_1-晉欣鮮食廠-2012年春節作業體制" xfId="264"/>
    <cellStyle name="_封閉型商圈店舖明細_Book1" xfId="265"/>
    <cellStyle name="_封閉型商圈店舖明細_Book1_1-晉欣鮮食廠-2012年春節作業體制" xfId="266"/>
    <cellStyle name="_封閉型商圈店舖明細_春節作業手冊-981217" xfId="267"/>
    <cellStyle name="_封閉型商圈店舖明細_春節作業手冊-981217_1-晉欣鮮食廠-2012年春節作業體制" xfId="268"/>
    <cellStyle name="_封閉型商圈建議台整品項" xfId="269"/>
    <cellStyle name="_封閉型商圈建議台整品項_1-晉欣鮮食廠-2012年春節作業體制" xfId="270"/>
    <cellStyle name="_封閉型商圈建議台整品項_97年春節保全回收報告書" xfId="271"/>
    <cellStyle name="_封閉型商圈建議台整品項_97年春節保全回收報告書_1-晉欣鮮食廠-2012年春節作業體制" xfId="272"/>
    <cellStyle name="_封閉型商圈建議台整品項_97年春節保全回收報告書_Book1" xfId="273"/>
    <cellStyle name="_封閉型商圈建議台整品項_97年春節保全回收報告書_Book1_1-晉欣鮮食廠-2012年春節作業體制" xfId="274"/>
    <cellStyle name="_封閉型商圈建議台整品項_97年春節保全回收報告書_春節作業手冊-981217" xfId="275"/>
    <cellStyle name="_封閉型商圈建議台整品項_97年春節保全回收報告書_春節作業手冊-981217_1-晉欣鮮食廠-2012年春節作業體制" xfId="276"/>
    <cellStyle name="_封閉型商圈建議台整品項_97年營業競賽提案報告書" xfId="277"/>
    <cellStyle name="_封閉型商圈建議台整品項_97年營業競賽提案報告書_1-晉欣鮮食廠-2012年春節作業體制" xfId="278"/>
    <cellStyle name="_封閉型商圈建議台整品項_97年營業競賽提案報告書_97年春節保全回收報告書" xfId="279"/>
    <cellStyle name="_封閉型商圈建議台整品項_97年營業競賽提案報告書_97年春節保全回收報告書_1-晉欣鮮食廠-2012年春節作業體制" xfId="280"/>
    <cellStyle name="_封閉型商圈建議台整品項_97年營業競賽提案報告書_97年春節保全回收報告書_Book1" xfId="281"/>
    <cellStyle name="_封閉型商圈建議台整品項_97年營業競賽提案報告書_97年春節保全回收報告書_Book1_1-晉欣鮮食廠-2012年春節作業體制" xfId="282"/>
    <cellStyle name="_封閉型商圈建議台整品項_97年營業競賽提案報告書_97年春節保全回收報告書_春節作業手冊-981217" xfId="283"/>
    <cellStyle name="_封閉型商圈建議台整品項_97年營業競賽提案報告書_97年春節保全回收報告書_春節作業手冊-981217_1-晉欣鮮食廠-2012年春節作業體制" xfId="284"/>
    <cellStyle name="_封閉型商圈建議台整品項_97年營業競賽提案報告書_97年營業競賽提案報告書" xfId="285"/>
    <cellStyle name="_封閉型商圈建議台整品項_97年營業競賽提案報告書_97年營業競賽提案報告書_1-晉欣鮮食廠-2012年春節作業體制" xfId="286"/>
    <cellStyle name="_封閉型商圈建議台整品項_97年營業競賽提案報告書_97年營業競賽提案報告書_97年春節保全回收報告書" xfId="287"/>
    <cellStyle name="_封閉型商圈建議台整品項_97年營業競賽提案報告書_97年營業競賽提案報告書_97年春節保全回收報告書_1-晉欣鮮食廠-2012年春節作業體制" xfId="288"/>
    <cellStyle name="_封閉型商圈建議台整品項_97年營業競賽提案報告書_97年營業競賽提案報告書_97年春節保全回收報告書_Book1" xfId="289"/>
    <cellStyle name="_封閉型商圈建議台整品項_97年營業競賽提案報告書_97年營業競賽提案報告書_97年春節保全回收報告書_Book1_1-晉欣鮮食廠-2012年春節作業體制" xfId="290"/>
    <cellStyle name="_封閉型商圈建議台整品項_97年營業競賽提案報告書_97年營業競賽提案報告書_97年春節保全回收報告書_春節作業手冊-981217" xfId="291"/>
    <cellStyle name="_封閉型商圈建議台整品項_97年營業競賽提案報告書_97年營業競賽提案報告書_97年春節保全回收報告書_春節作業手冊-981217_1-晉欣鮮食廠-2012年春節作業體制" xfId="292"/>
    <cellStyle name="_封閉型商圈建議台整品項_97年營業競賽提案報告書_97年營業競賽提案報告書_97年營業競賽提案報告書" xfId="293"/>
    <cellStyle name="_封閉型商圈建議台整品項_97年營業競賽提案報告書_97年營業競賽提案報告書_97年營業競賽提案報告書_1-晉欣鮮食廠-2012年春節作業體制" xfId="294"/>
    <cellStyle name="_封閉型商圈建議台整品項_97年營業競賽提案報告書_97年營業競賽提案報告書_97年營業競賽提案報告書_97年春節保全回收報告書" xfId="295"/>
    <cellStyle name="_封閉型商圈建議台整品項_97年營業競賽提案報告書_97年營業競賽提案報告書_97年營業競賽提案報告書_97年春節保全回收報告書_1-晉欣鮮食廠-2012年春節作業體制" xfId="296"/>
    <cellStyle name="_封閉型商圈建議台整品項_97年營業競賽提案報告書_97年營業競賽提案報告書_97年營業競賽提案報告書_97年春節保全回收報告書_Book1" xfId="297"/>
    <cellStyle name="_封閉型商圈建議台整品項_97年營業競賽提案報告書_97年營業競賽提案報告書_97年營業競賽提案報告書_97年春節保全回收報告書_Book1_1-晉欣鮮食廠-2012年春節作業體制" xfId="298"/>
    <cellStyle name="_封閉型商圈建議台整品項_97年營業競賽提案報告書_97年營業競賽提案報告書_97年營業競賽提案報告書_97年春節保全回收報告書_春節作業手冊-981217" xfId="299"/>
    <cellStyle name="_封閉型商圈建議台整品項_97年營業競賽提案報告書_97年營業競賽提案報告書_97年營業競賽提案報告書_97年春節保全回收報告書_春節作業手冊-981217_1-晉欣鮮食廠-2012年春節作業體制" xfId="300"/>
    <cellStyle name="_封閉型商圈建議台整品項_97年營業競賽提案報告書_97年營業競賽提案報告書_97年營業競賽提案報告書_Book1" xfId="301"/>
    <cellStyle name="_封閉型商圈建議台整品項_97年營業競賽提案報告書_97年營業競賽提案報告書_97年營業競賽提案報告書_Book1_1-晉欣鮮食廠-2012年春節作業體制" xfId="302"/>
    <cellStyle name="_封閉型商圈建議台整品項_97年營業競賽提案報告書_97年營業競賽提案報告書_97年營業競賽提案報告書_春節作業手冊-981217" xfId="303"/>
    <cellStyle name="_封閉型商圈建議台整品項_97年營業競賽提案報告書_97年營業競賽提案報告書_97年營業競賽提案報告書_春節作業手冊-981217_1-晉欣鮮食廠-2012年春節作業體制" xfId="304"/>
    <cellStyle name="_封閉型商圈建議台整品項_97年營業競賽提案報告書_97年營業競賽提案報告書_Book1" xfId="305"/>
    <cellStyle name="_封閉型商圈建議台整品項_97年營業競賽提案報告書_97年營業競賽提案報告書_Book1_1-晉欣鮮食廠-2012年春節作業體制" xfId="306"/>
    <cellStyle name="_封閉型商圈建議台整品項_97年營業競賽提案報告書_97年營業競賽提案報告書_春節作業手冊-981217" xfId="307"/>
    <cellStyle name="_封閉型商圈建議台整品項_97年營業競賽提案報告書_97年營業競賽提案報告書_春節作業手冊-981217_1-晉欣鮮食廠-2012年春節作業體制" xfId="308"/>
    <cellStyle name="_封閉型商圈建議台整品項_97年營業競賽提案報告書_Book1" xfId="309"/>
    <cellStyle name="_封閉型商圈建議台整品項_97年營業競賽提案報告書_Book1_1-晉欣鮮食廠-2012年春節作業體制" xfId="310"/>
    <cellStyle name="_封閉型商圈建議台整品項_97年營業競賽提案報告書_春節作業手冊-981217" xfId="311"/>
    <cellStyle name="_封閉型商圈建議台整品項_97年營業競賽提案報告書_春節作業手冊-981217_1-晉欣鮮食廠-2012年春節作業體制" xfId="312"/>
    <cellStyle name="_封閉型商圈建議台整品項_Book1" xfId="313"/>
    <cellStyle name="_封閉型商圈建議台整品項_Book1_1-晉欣鮮食廠-2012年春節作業體制" xfId="314"/>
    <cellStyle name="_封閉型商圈建議台整品項_春節作業手冊-981217" xfId="315"/>
    <cellStyle name="_封閉型商圈建議台整品項_春節作業手冊-981217_1-晉欣鮮食廠-2012年春節作業體制" xfId="316"/>
    <cellStyle name="_樂清9507租賃用品申請" xfId="317"/>
    <cellStyle name="_樂清9507租賃用品申請_1-晉欣鮮食廠-2012年春節作業體制" xfId="318"/>
    <cellStyle name="_樂清9507租賃用品申請_96年月餅預購競賽獎勵案" xfId="319"/>
    <cellStyle name="_樂清9507租賃用品申請_96年月餅預購競賽獎勵案_1-晉欣鮮食廠-2012年春節作業體制" xfId="320"/>
    <cellStyle name="_樂清9507租賃用品申請_96年月餅預購競賽獎勵案_96年月餅預購競賽獎勵案" xfId="321"/>
    <cellStyle name="_樂清9507租賃用品申請_96年月餅預購競賽獎勵案_96年月餅預購競賽獎勵案_1-晉欣鮮食廠-2012年春節作業體制" xfId="322"/>
    <cellStyle name="_樂清9507租賃用品申請_96年月餅預購競賽獎勵案_96年月餅預購競賽獎勵案_97年春節保全回收報告書" xfId="323"/>
    <cellStyle name="_樂清9507租賃用品申請_96年月餅預購競賽獎勵案_96年月餅預購競賽獎勵案_97年春節保全回收報告書_1-晉欣鮮食廠-2012年春節作業體制" xfId="324"/>
    <cellStyle name="_樂清9507租賃用品申請_96年月餅預購競賽獎勵案_96年月餅預購競賽獎勵案_97年春節保全回收報告書_Book1" xfId="325"/>
    <cellStyle name="_樂清9507租賃用品申請_96年月餅預購競賽獎勵案_96年月餅預購競賽獎勵案_97年春節保全回收報告書_Book1_1-晉欣鮮食廠-2012年春節作業體制" xfId="326"/>
    <cellStyle name="_樂清9507租賃用品申請_96年月餅預購競賽獎勵案_96年月餅預購競賽獎勵案_97年春節保全回收報告書_春節作業手冊-981217" xfId="327"/>
    <cellStyle name="_樂清9507租賃用品申請_96年月餅預購競賽獎勵案_96年月餅預購競賽獎勵案_97年春節保全回收報告書_春節作業手冊-981217_1-晉欣鮮食廠-2012年春節作業體制" xfId="328"/>
    <cellStyle name="_樂清9507租賃用品申請_96年月餅預購競賽獎勵案_96年月餅預購競賽獎勵案_97年營業競賽提案報告書" xfId="329"/>
    <cellStyle name="_樂清9507租賃用品申請_96年月餅預購競賽獎勵案_96年月餅預購競賽獎勵案_97年營業競賽提案報告書_1-晉欣鮮食廠-2012年春節作業體制" xfId="330"/>
    <cellStyle name="_樂清9507租賃用品申請_96年月餅預購競賽獎勵案_96年月餅預購競賽獎勵案_97年營業競賽提案報告書_97年春節保全回收報告書" xfId="331"/>
    <cellStyle name="_樂清9507租賃用品申請_96年月餅預購競賽獎勵案_96年月餅預購競賽獎勵案_97年營業競賽提案報告書_97年春節保全回收報告書_1-晉欣鮮食廠-2012年春節作業體制" xfId="332"/>
    <cellStyle name="_樂清9507租賃用品申請_96年月餅預購競賽獎勵案_96年月餅預購競賽獎勵案_97年營業競賽提案報告書_97年春節保全回收報告書_Book1" xfId="333"/>
    <cellStyle name="_樂清9507租賃用品申請_96年月餅預購競賽獎勵案_96年月餅預購競賽獎勵案_97年營業競賽提案報告書_97年春節保全回收報告書_Book1_1-晉欣鮮食廠-2012年春節作業體制" xfId="334"/>
    <cellStyle name="_樂清9507租賃用品申請_96年月餅預購競賽獎勵案_96年月餅預購競賽獎勵案_97年營業競賽提案報告書_97年春節保全回收報告書_春節作業手冊-981217" xfId="335"/>
    <cellStyle name="_樂清9507租賃用品申請_96年月餅預購競賽獎勵案_96年月餅預購競賽獎勵案_97年營業競賽提案報告書_97年春節保全回收報告書_春節作業手冊-981217_1-晉欣鮮食廠-2012年春節作業體制" xfId="336"/>
    <cellStyle name="_樂清9507租賃用品申請_96年月餅預購競賽獎勵案_96年月餅預購競賽獎勵案_97年營業競賽提案報告書_97年營業競賽提案報告書" xfId="337"/>
    <cellStyle name="_樂清9507租賃用品申請_96年月餅預購競賽獎勵案_96年月餅預購競賽獎勵案_97年營業競賽提案報告書_97年營業競賽提案報告書_1-晉欣鮮食廠-2012年春節作業體制" xfId="338"/>
    <cellStyle name="_樂清9507租賃用品申請_96年月餅預購競賽獎勵案_96年月餅預購競賽獎勵案_97年營業競賽提案報告書_97年營業競賽提案報告書_97年春節保全回收報告書" xfId="339"/>
    <cellStyle name="_樂清9507租賃用品申請_96年月餅預購競賽獎勵案_96年月餅預購競賽獎勵案_97年營業競賽提案報告書_97年營業競賽提案報告書_97年春節保全回收報告書_1-晉欣鮮食廠-2012年春節作業體制" xfId="340"/>
    <cellStyle name="_樂清9507租賃用品申請_96年月餅預購競賽獎勵案_96年月餅預購競賽獎勵案_97年營業競賽提案報告書_97年營業競賽提案報告書_97年春節保全回收報告書_Book1" xfId="341"/>
    <cellStyle name="_樂清9507租賃用品申請_96年月餅預購競賽獎勵案_96年月餅預購競賽獎勵案_97年營業競賽提案報告書_97年營業競賽提案報告書_97年春節保全回收報告書_Book1_1-晉欣鮮食廠-2012年春節作業體制" xfId="342"/>
    <cellStyle name="_樂清9507租賃用品申請_96年月餅預購競賽獎勵案_96年月餅預購競賽獎勵案_97年營業競賽提案報告書_97年營業競賽提案報告書_97年春節保全回收報告書_春節作業手冊-981217" xfId="343"/>
    <cellStyle name="_樂清9507租賃用品申請_96年月餅預購競賽獎勵案_96年月餅預購競賽獎勵案_97年營業競賽提案報告書_97年營業競賽提案報告書_97年春節保全回收報告書_春節作業手冊-981217_1-晉欣鮮食廠-2012年春節作業體制" xfId="344"/>
    <cellStyle name="_樂清9507租賃用品申請_96年月餅預購競賽獎勵案_96年月餅預購競賽獎勵案_97年營業競賽提案報告書_97年營業競賽提案報告書_97年營業競賽提案報告書" xfId="345"/>
    <cellStyle name="_樂清9507租賃用品申請_96年月餅預購競賽獎勵案_96年月餅預購競賽獎勵案_97年營業競賽提案報告書_97年營業競賽提案報告書_97年營業競賽提案報告書_1-晉欣鮮食廠-2012年春節作業體制" xfId="346"/>
    <cellStyle name="_樂清9507租賃用品申請_96年月餅預購競賽獎勵案_96年月餅預購競賽獎勵案_97年營業競賽提案報告書_97年營業競賽提案報告書_97年營業競賽提案報告書_97年春節保全回收報告書" xfId="347"/>
    <cellStyle name="_樂清9507租賃用品申請_96年月餅預購競賽獎勵案_96年月餅預購競賽獎勵案_97年營業競賽提案報告書_97年營業競賽提案報告書_97年營業競賽提案報告書_97年春節保全回收報告書_1-晉欣鮮食廠-2012年春節作業體制" xfId="348"/>
    <cellStyle name="_樂清9507租賃用品申請_96年月餅預購競賽獎勵案_96年月餅預購競賽獎勵案_97年營業競賽提案報告書_97年營業競賽提案報告書_97年營業競賽提案報告書_97年春節保全回收報告書_Book1" xfId="349"/>
    <cellStyle name="_樂清9507租賃用品申請_96年月餅預購競賽獎勵案_96年月餅預購競賽獎勵案_97年營業競賽提案報告書_97年營業競賽提案報告書_97年營業競賽提案報告書_97年春節保全回收報告書_Book1_1-晉欣鮮食廠-2012年春節作業體制" xfId="350"/>
    <cellStyle name="_樂清9507租賃用品申請_96年月餅預購競賽獎勵案_96年月餅預購競賽獎勵案_97年營業競賽提案報告書_97年營業競賽提案報告書_97年營業競賽提案報告書_97年春節保全回收報告書_春節作業手冊-981217" xfId="351"/>
    <cellStyle name="_樂清9507租賃用品申請_96年月餅預購競賽獎勵案_96年月餅預購競賽獎勵案_97年營業競賽提案報告書_97年營業競賽提案報告書_97年營業競賽提案報告書_97年春節保全回收報告書_春節作業手冊-981217_1-晉欣鮮食廠-2012年春節作業體制" xfId="352"/>
    <cellStyle name="_樂清9507租賃用品申請_96年月餅預購競賽獎勵案_96年月餅預購競賽獎勵案_97年營業競賽提案報告書_97年營業競賽提案報告書_97年營業競賽提案報告書_Book1" xfId="353"/>
    <cellStyle name="_樂清9507租賃用品申請_96年月餅預購競賽獎勵案_96年月餅預購競賽獎勵案_97年營業競賽提案報告書_97年營業競賽提案報告書_97年營業競賽提案報告書_Book1_1-晉欣鮮食廠-2012年春節作業體制" xfId="354"/>
    <cellStyle name="_樂清9507租賃用品申請_96年月餅預購競賽獎勵案_96年月餅預購競賽獎勵案_97年營業競賽提案報告書_97年營業競賽提案報告書_97年營業競賽提案報告書_春節作業手冊-981217" xfId="355"/>
    <cellStyle name="_樂清9507租賃用品申請_96年月餅預購競賽獎勵案_96年月餅預購競賽獎勵案_97年營業競賽提案報告書_97年營業競賽提案報告書_97年營業競賽提案報告書_春節作業手冊-981217_1-晉欣鮮食廠-2012年春節作業體制" xfId="356"/>
    <cellStyle name="_樂清9507租賃用品申請_96年月餅預購競賽獎勵案_96年月餅預購競賽獎勵案_97年營業競賽提案報告書_97年營業競賽提案報告書_Book1" xfId="357"/>
    <cellStyle name="_樂清9507租賃用品申請_96年月餅預購競賽獎勵案_96年月餅預購競賽獎勵案_97年營業競賽提案報告書_97年營業競賽提案報告書_Book1_1-晉欣鮮食廠-2012年春節作業體制" xfId="358"/>
    <cellStyle name="_樂清9507租賃用品申請_96年月餅預購競賽獎勵案_96年月餅預購競賽獎勵案_97年營業競賽提案報告書_97年營業競賽提案報告書_春節作業手冊-981217" xfId="359"/>
    <cellStyle name="_樂清9507租賃用品申請_96年月餅預購競賽獎勵案_96年月餅預購競賽獎勵案_97年營業競賽提案報告書_97年營業競賽提案報告書_春節作業手冊-981217_1-晉欣鮮食廠-2012年春節作業體制" xfId="360"/>
    <cellStyle name="_樂清9507租賃用品申請_96年月餅預購競賽獎勵案_96年月餅預購競賽獎勵案_97年營業競賽提案報告書_Book1" xfId="361"/>
    <cellStyle name="_樂清9507租賃用品申請_96年月餅預購競賽獎勵案_96年月餅預購競賽獎勵案_97年營業競賽提案報告書_Book1_1-晉欣鮮食廠-2012年春節作業體制" xfId="362"/>
    <cellStyle name="_樂清9507租賃用品申請_96年月餅預購競賽獎勵案_96年月餅預購競賽獎勵案_97年營業競賽提案報告書_春節作業手冊-981217" xfId="363"/>
    <cellStyle name="_樂清9507租賃用品申請_96年月餅預購競賽獎勵案_96年月餅預購競賽獎勵案_97年營業競賽提案報告書_春節作業手冊-981217_1-晉欣鮮食廠-2012年春節作業體制" xfId="364"/>
    <cellStyle name="_樂清9507租賃用品申請_96年月餅預購競賽獎勵案_96年月餅預購競賽獎勵案_Book1" xfId="365"/>
    <cellStyle name="_樂清9507租賃用品申請_96年月餅預購競賽獎勵案_96年月餅預購競賽獎勵案_Book1_1-晉欣鮮食廠-2012年春節作業體制" xfId="366"/>
    <cellStyle name="_樂清9507租賃用品申請_96年月餅預購競賽獎勵案_96年月餅預購競賽獎勵案_春節作業手冊-981217" xfId="367"/>
    <cellStyle name="_樂清9507租賃用品申請_96年月餅預購競賽獎勵案_96年月餅預購競賽獎勵案_春節作業手冊-981217_1-晉欣鮮食廠-2012年春節作業體制" xfId="368"/>
    <cellStyle name="_樂清9507租賃用品申請_96年月餅預購競賽獎勵案_97年春節保全回收報告書" xfId="369"/>
    <cellStyle name="_樂清9507租賃用品申請_96年月餅預購競賽獎勵案_97年春節保全回收報告書_1-晉欣鮮食廠-2012年春節作業體制" xfId="370"/>
    <cellStyle name="_樂清9507租賃用品申請_96年月餅預購競賽獎勵案_97年春節保全回收報告書_Book1" xfId="371"/>
    <cellStyle name="_樂清9507租賃用品申請_96年月餅預購競賽獎勵案_97年春節保全回收報告書_Book1_1-晉欣鮮食廠-2012年春節作業體制" xfId="372"/>
    <cellStyle name="_樂清9507租賃用品申請_96年月餅預購競賽獎勵案_97年春節保全回收報告書_春節作業手冊-981217" xfId="373"/>
    <cellStyle name="_樂清9507租賃用品申請_96年月餅預購競賽獎勵案_97年春節保全回收報告書_春節作業手冊-981217_1-晉欣鮮食廠-2012年春節作業體制" xfId="374"/>
    <cellStyle name="_樂清9507租賃用品申請_96年月餅預購競賽獎勵案_97年營業競賽提案報告書" xfId="375"/>
    <cellStyle name="_樂清9507租賃用品申請_96年月餅預購競賽獎勵案_97年營業競賽提案報告書_1-晉欣鮮食廠-2012年春節作業體制" xfId="376"/>
    <cellStyle name="_樂清9507租賃用品申請_96年月餅預購競賽獎勵案_97年營業競賽提案報告書_97年春節保全回收報告書" xfId="377"/>
    <cellStyle name="_樂清9507租賃用品申請_96年月餅預購競賽獎勵案_97年營業競賽提案報告書_97年春節保全回收報告書_1-晉欣鮮食廠-2012年春節作業體制" xfId="378"/>
    <cellStyle name="_樂清9507租賃用品申請_96年月餅預購競賽獎勵案_97年營業競賽提案報告書_97年春節保全回收報告書_Book1" xfId="379"/>
    <cellStyle name="_樂清9507租賃用品申請_96年月餅預購競賽獎勵案_97年營業競賽提案報告書_97年春節保全回收報告書_Book1_1-晉欣鮮食廠-2012年春節作業體制" xfId="380"/>
    <cellStyle name="_樂清9507租賃用品申請_96年月餅預購競賽獎勵案_97年營業競賽提案報告書_97年春節保全回收報告書_春節作業手冊-981217" xfId="381"/>
    <cellStyle name="_樂清9507租賃用品申請_96年月餅預購競賽獎勵案_97年營業競賽提案報告書_97年春節保全回收報告書_春節作業手冊-981217_1-晉欣鮮食廠-2012年春節作業體制" xfId="382"/>
    <cellStyle name="_樂清9507租賃用品申請_96年月餅預購競賽獎勵案_97年營業競賽提案報告書_97年營業競賽提案報告書" xfId="383"/>
    <cellStyle name="_樂清9507租賃用品申請_96年月餅預購競賽獎勵案_97年營業競賽提案報告書_97年營業競賽提案報告書_1-晉欣鮮食廠-2012年春節作業體制" xfId="384"/>
    <cellStyle name="_樂清9507租賃用品申請_96年月餅預購競賽獎勵案_97年營業競賽提案報告書_97年營業競賽提案報告書_97年春節保全回收報告書" xfId="385"/>
    <cellStyle name="_樂清9507租賃用品申請_96年月餅預購競賽獎勵案_97年營業競賽提案報告書_97年營業競賽提案報告書_97年春節保全回收報告書_1-晉欣鮮食廠-2012年春節作業體制" xfId="386"/>
    <cellStyle name="_樂清9507租賃用品申請_96年月餅預購競賽獎勵案_97年營業競賽提案報告書_97年營業競賽提案報告書_97年春節保全回收報告書_Book1" xfId="387"/>
    <cellStyle name="_樂清9507租賃用品申請_96年月餅預購競賽獎勵案_97年營業競賽提案報告書_97年營業競賽提案報告書_97年春節保全回收報告書_Book1_1-晉欣鮮食廠-2012年春節作業體制" xfId="388"/>
    <cellStyle name="_樂清9507租賃用品申請_96年月餅預購競賽獎勵案_97年營業競賽提案報告書_97年營業競賽提案報告書_97年春節保全回收報告書_春節作業手冊-981217" xfId="389"/>
    <cellStyle name="_樂清9507租賃用品申請_96年月餅預購競賽獎勵案_97年營業競賽提案報告書_97年營業競賽提案報告書_97年春節保全回收報告書_春節作業手冊-981217_1-晉欣鮮食廠-2012年春節作業體制" xfId="390"/>
    <cellStyle name="_樂清9507租賃用品申請_96年月餅預購競賽獎勵案_97年營業競賽提案報告書_97年營業競賽提案報告書_97年營業競賽提案報告書" xfId="391"/>
    <cellStyle name="_樂清9507租賃用品申請_96年月餅預購競賽獎勵案_97年營業競賽提案報告書_97年營業競賽提案報告書_97年營業競賽提案報告書_1-晉欣鮮食廠-2012年春節作業體制" xfId="392"/>
    <cellStyle name="_樂清9507租賃用品申請_96年月餅預購競賽獎勵案_97年營業競賽提案報告書_97年營業競賽提案報告書_97年營業競賽提案報告書_97年春節保全回收報告書" xfId="393"/>
    <cellStyle name="_樂清9507租賃用品申請_96年月餅預購競賽獎勵案_97年營業競賽提案報告書_97年營業競賽提案報告書_97年營業競賽提案報告書_97年春節保全回收報告書_1-晉欣鮮食廠-2012年春節作業體制" xfId="394"/>
    <cellStyle name="_樂清9507租賃用品申請_96年月餅預購競賽獎勵案_97年營業競賽提案報告書_97年營業競賽提案報告書_97年營業競賽提案報告書_97年春節保全回收報告書_Book1" xfId="395"/>
    <cellStyle name="_樂清9507租賃用品申請_96年月餅預購競賽獎勵案_97年營業競賽提案報告書_97年營業競賽提案報告書_97年營業競賽提案報告書_97年春節保全回收報告書_Book1_1-晉欣鮮食廠-2012年春節作業體制" xfId="396"/>
    <cellStyle name="_樂清9507租賃用品申請_96年月餅預購競賽獎勵案_97年營業競賽提案報告書_97年營業競賽提案報告書_97年營業競賽提案報告書_97年春節保全回收報告書_春節作業手冊-981217" xfId="397"/>
    <cellStyle name="_樂清9507租賃用品申請_96年月餅預購競賽獎勵案_97年營業競賽提案報告書_97年營業競賽提案報告書_97年營業競賽提案報告書_97年春節保全回收報告書_春節作業手冊-981217_1-晉欣鮮食廠-2012年春節作業體制" xfId="398"/>
    <cellStyle name="_樂清9507租賃用品申請_96年月餅預購競賽獎勵案_97年營業競賽提案報告書_97年營業競賽提案報告書_97年營業競賽提案報告書_Book1" xfId="399"/>
    <cellStyle name="_樂清9507租賃用品申請_96年月餅預購競賽獎勵案_97年營業競賽提案報告書_97年營業競賽提案報告書_97年營業競賽提案報告書_Book1_1-晉欣鮮食廠-2012年春節作業體制" xfId="400"/>
    <cellStyle name="_樂清9507租賃用品申請_96年月餅預購競賽獎勵案_97年營業競賽提案報告書_97年營業競賽提案報告書_97年營業競賽提案報告書_春節作業手冊-981217" xfId="401"/>
    <cellStyle name="_樂清9507租賃用品申請_96年月餅預購競賽獎勵案_97年營業競賽提案報告書_97年營業競賽提案報告書_97年營業競賽提案報告書_春節作業手冊-981217_1-晉欣鮮食廠-2012年春節作業體制" xfId="402"/>
    <cellStyle name="_樂清9507租賃用品申請_96年月餅預購競賽獎勵案_97年營業競賽提案報告書_97年營業競賽提案報告書_Book1" xfId="403"/>
    <cellStyle name="_樂清9507租賃用品申請_96年月餅預購競賽獎勵案_97年營業競賽提案報告書_97年營業競賽提案報告書_Book1_1-晉欣鮮食廠-2012年春節作業體制" xfId="404"/>
    <cellStyle name="_樂清9507租賃用品申請_96年月餅預購競賽獎勵案_97年營業競賽提案報告書_97年營業競賽提案報告書_春節作業手冊-981217" xfId="405"/>
    <cellStyle name="_樂清9507租賃用品申請_96年月餅預購競賽獎勵案_97年營業競賽提案報告書_97年營業競賽提案報告書_春節作業手冊-981217_1-晉欣鮮食廠-2012年春節作業體制" xfId="406"/>
    <cellStyle name="_樂清9507租賃用品申請_96年月餅預購競賽獎勵案_97年營業競賽提案報告書_Book1" xfId="407"/>
    <cellStyle name="_樂清9507租賃用品申請_96年月餅預購競賽獎勵案_97年營業競賽提案報告書_Book1_1-晉欣鮮食廠-2012年春節作業體制" xfId="408"/>
    <cellStyle name="_樂清9507租賃用品申請_96年月餅預購競賽獎勵案_97年營業競賽提案報告書_春節作業手冊-981217" xfId="409"/>
    <cellStyle name="_樂清9507租賃用品申請_96年月餅預購競賽獎勵案_97年營業競賽提案報告書_春節作業手冊-981217_1-晉欣鮮食廠-2012年春節作業體制" xfId="410"/>
    <cellStyle name="_樂清9507租賃用品申請_96年月餅預購競賽獎勵案_Book1" xfId="411"/>
    <cellStyle name="_樂清9507租賃用品申請_96年月餅預購競賽獎勵案_Book1_1-晉欣鮮食廠-2012年春節作業體制" xfId="412"/>
    <cellStyle name="_樂清9507租賃用品申請_96年月餅預購競賽獎勵案_春節作業手冊-981217" xfId="413"/>
    <cellStyle name="_樂清9507租賃用品申請_96年月餅預購競賽獎勵案_春節作業手冊-981217_1-晉欣鮮食廠-2012年春節作業體制" xfId="414"/>
    <cellStyle name="_樂清9507租賃用品申請_97年春節保全回收報告書" xfId="415"/>
    <cellStyle name="_樂清9507租賃用品申請_97年春節保全回收報告書_1-晉欣鮮食廠-2012年春節作業體制" xfId="416"/>
    <cellStyle name="_樂清9507租賃用品申請_97年春節保全回收報告書_Book1" xfId="417"/>
    <cellStyle name="_樂清9507租賃用品申請_97年春節保全回收報告書_Book1_1-晉欣鮮食廠-2012年春節作業體制" xfId="418"/>
    <cellStyle name="_樂清9507租賃用品申請_97年春節保全回收報告書_春節作業手冊-981217" xfId="419"/>
    <cellStyle name="_樂清9507租賃用品申請_97年春節保全回收報告書_春節作業手冊-981217_1-晉欣鮮食廠-2012年春節作業體制" xfId="420"/>
    <cellStyle name="_樂清9507租賃用品申請_97年營業競賽提案報告書" xfId="421"/>
    <cellStyle name="_樂清9507租賃用品申請_97年營業競賽提案報告書_1-晉欣鮮食廠-2012年春節作業體制" xfId="422"/>
    <cellStyle name="_樂清9507租賃用品申請_97年營業競賽提案報告書_97年春節保全回收報告書" xfId="423"/>
    <cellStyle name="_樂清9507租賃用品申請_97年營業競賽提案報告書_97年春節保全回收報告書_1-晉欣鮮食廠-2012年春節作業體制" xfId="424"/>
    <cellStyle name="_樂清9507租賃用品申請_97年營業競賽提案報告書_97年春節保全回收報告書_Book1" xfId="425"/>
    <cellStyle name="_樂清9507租賃用品申請_97年營業競賽提案報告書_97年春節保全回收報告書_Book1_1-晉欣鮮食廠-2012年春節作業體制" xfId="426"/>
    <cellStyle name="_樂清9507租賃用品申請_97年營業競賽提案報告書_97年春節保全回收報告書_春節作業手冊-981217" xfId="427"/>
    <cellStyle name="_樂清9507租賃用品申請_97年營業競賽提案報告書_97年春節保全回收報告書_春節作業手冊-981217_1-晉欣鮮食廠-2012年春節作業體制" xfId="428"/>
    <cellStyle name="_樂清9507租賃用品申請_97年營業競賽提案報告書_97年營業競賽提案報告書" xfId="429"/>
    <cellStyle name="_樂清9507租賃用品申請_97年營業競賽提案報告書_97年營業競賽提案報告書_1-晉欣鮮食廠-2012年春節作業體制" xfId="430"/>
    <cellStyle name="_樂清9507租賃用品申請_97年營業競賽提案報告書_97年營業競賽提案報告書_97年春節保全回收報告書" xfId="431"/>
    <cellStyle name="_樂清9507租賃用品申請_97年營業競賽提案報告書_97年營業競賽提案報告書_97年春節保全回收報告書_1-晉欣鮮食廠-2012年春節作業體制" xfId="432"/>
    <cellStyle name="_樂清9507租賃用品申請_97年營業競賽提案報告書_97年營業競賽提案報告書_97年春節保全回收報告書_Book1" xfId="433"/>
    <cellStyle name="_樂清9507租賃用品申請_97年營業競賽提案報告書_97年營業競賽提案報告書_97年春節保全回收報告書_Book1_1-晉欣鮮食廠-2012年春節作業體制" xfId="434"/>
    <cellStyle name="_樂清9507租賃用品申請_97年營業競賽提案報告書_97年營業競賽提案報告書_97年春節保全回收報告書_春節作業手冊-981217" xfId="435"/>
    <cellStyle name="_樂清9507租賃用品申請_97年營業競賽提案報告書_97年營業競賽提案報告書_97年春節保全回收報告書_春節作業手冊-981217_1-晉欣鮮食廠-2012年春節作業體制" xfId="436"/>
    <cellStyle name="_樂清9507租賃用品申請_97年營業競賽提案報告書_97年營業競賽提案報告書_97年營業競賽提案報告書" xfId="437"/>
    <cellStyle name="_樂清9507租賃用品申請_97年營業競賽提案報告書_97年營業競賽提案報告書_97年營業競賽提案報告書_1-晉欣鮮食廠-2012年春節作業體制" xfId="438"/>
    <cellStyle name="_樂清9507租賃用品申請_97年營業競賽提案報告書_97年營業競賽提案報告書_97年營業競賽提案報告書_97年春節保全回收報告書" xfId="439"/>
    <cellStyle name="_樂清9507租賃用品申請_97年營業競賽提案報告書_97年營業競賽提案報告書_97年營業競賽提案報告書_97年春節保全回收報告書_1-晉欣鮮食廠-2012年春節作業體制" xfId="440"/>
    <cellStyle name="_樂清9507租賃用品申請_97年營業競賽提案報告書_97年營業競賽提案報告書_97年營業競賽提案報告書_97年春節保全回收報告書_Book1" xfId="441"/>
    <cellStyle name="_樂清9507租賃用品申請_97年營業競賽提案報告書_97年營業競賽提案報告書_97年營業競賽提案報告書_97年春節保全回收報告書_Book1_1-晉欣鮮食廠-2012年春節作業體制" xfId="442"/>
    <cellStyle name="_樂清9507租賃用品申請_97年營業競賽提案報告書_97年營業競賽提案報告書_97年營業競賽提案報告書_97年春節保全回收報告書_春節作業手冊-981217" xfId="443"/>
    <cellStyle name="_樂清9507租賃用品申請_97年營業競賽提案報告書_97年營業競賽提案報告書_97年營業競賽提案報告書_97年春節保全回收報告書_春節作業手冊-981217_1-晉欣鮮食廠-2012年春節作業體制" xfId="444"/>
    <cellStyle name="_樂清9507租賃用品申請_97年營業競賽提案報告書_97年營業競賽提案報告書_97年營業競賽提案報告書_Book1" xfId="445"/>
    <cellStyle name="_樂清9507租賃用品申請_97年營業競賽提案報告書_97年營業競賽提案報告書_97年營業競賽提案報告書_Book1_1-晉欣鮮食廠-2012年春節作業體制" xfId="446"/>
    <cellStyle name="_樂清9507租賃用品申請_97年營業競賽提案報告書_97年營業競賽提案報告書_97年營業競賽提案報告書_春節作業手冊-981217" xfId="447"/>
    <cellStyle name="_樂清9507租賃用品申請_97年營業競賽提案報告書_97年營業競賽提案報告書_97年營業競賽提案報告書_春節作業手冊-981217_1-晉欣鮮食廠-2012年春節作業體制" xfId="448"/>
    <cellStyle name="_樂清9507租賃用品申請_97年營業競賽提案報告書_97年營業競賽提案報告書_Book1" xfId="449"/>
    <cellStyle name="_樂清9507租賃用品申請_97年營業競賽提案報告書_97年營業競賽提案報告書_Book1_1-晉欣鮮食廠-2012年春節作業體制" xfId="450"/>
    <cellStyle name="_樂清9507租賃用品申請_97年營業競賽提案報告書_97年營業競賽提案報告書_春節作業手冊-981217" xfId="451"/>
    <cellStyle name="_樂清9507租賃用品申請_97年營業競賽提案報告書_97年營業競賽提案報告書_春節作業手冊-981217_1-晉欣鮮食廠-2012年春節作業體制" xfId="452"/>
    <cellStyle name="_樂清9507租賃用品申請_97年營業競賽提案報告書_Book1" xfId="453"/>
    <cellStyle name="_樂清9507租賃用品申請_97年營業競賽提案報告書_Book1_1-晉欣鮮食廠-2012年春節作業體制" xfId="454"/>
    <cellStyle name="_樂清9507租賃用品申請_97年營業競賽提案報告書_春節作業手冊-981217" xfId="455"/>
    <cellStyle name="_樂清9507租賃用品申請_97年營業競賽提案報告書_春節作業手冊-981217_1-晉欣鮮食廠-2012年春節作業體制" xfId="456"/>
    <cellStyle name="_樂清9507租賃用品申請_Book1" xfId="457"/>
    <cellStyle name="_樂清9507租賃用品申請_Book1_1-晉欣鮮食廠-2012年春節作業體制" xfId="458"/>
    <cellStyle name="_樂清9507租賃用品申請_春節作業手冊-981217" xfId="459"/>
    <cellStyle name="_樂清9507租賃用品申請_春節作業手冊-981217_1-晉欣鮮食廠-2012年春節作業體制" xfId="460"/>
    <cellStyle name="Normal - Style1" xfId="461"/>
    <cellStyle name="Normal_Co-wide Monthly" xfId="462"/>
    <cellStyle name="一般" xfId="0" builtinId="0"/>
    <cellStyle name="一般 10" xfId="469"/>
    <cellStyle name="一般 10 2" xfId="470"/>
    <cellStyle name="一般 11" xfId="471"/>
    <cellStyle name="一般 12" xfId="472"/>
    <cellStyle name="一般 13" xfId="473"/>
    <cellStyle name="一般 14" xfId="474"/>
    <cellStyle name="一般 15" xfId="475"/>
    <cellStyle name="一般 15 2" xfId="476"/>
    <cellStyle name="一般 16" xfId="477"/>
    <cellStyle name="一般 17" xfId="478"/>
    <cellStyle name="一般 18" xfId="479"/>
    <cellStyle name="一般 19" xfId="480"/>
    <cellStyle name="一般 2" xfId="1"/>
    <cellStyle name="一般 2 2" xfId="481"/>
    <cellStyle name="一般 2 2 2" xfId="9"/>
    <cellStyle name="一般 2 2 2 2" xfId="482"/>
    <cellStyle name="一般 2 2 3" xfId="483"/>
    <cellStyle name="一般 2 2 30 2 2 30 2" xfId="4"/>
    <cellStyle name="一般 2 2 30 2 2 30 2 2" xfId="12"/>
    <cellStyle name="一般 2 2 30 2 2 30 2 2 2" xfId="15"/>
    <cellStyle name="一般 2 2 30 2 2 30 2 2 2 2 2" xfId="577"/>
    <cellStyle name="一般 2 2 30 2 2 30 2 2 3" xfId="16"/>
    <cellStyle name="一般 2 2 30 2 2 30 2 2 4" xfId="17"/>
    <cellStyle name="一般 2 2 30 2 2 30 2 3 2" xfId="578"/>
    <cellStyle name="一般 2 2 30 2 3 2" xfId="6"/>
    <cellStyle name="一般 2 2 30 2 3 2 2 2" xfId="18"/>
    <cellStyle name="一般 2 2 30 2 3 2 3" xfId="579"/>
    <cellStyle name="一般 2 2 30 3 30" xfId="7"/>
    <cellStyle name="一般 2 3" xfId="484"/>
    <cellStyle name="一般 2 4" xfId="485"/>
    <cellStyle name="一般 2 5" xfId="486"/>
    <cellStyle name="一般 2 6" xfId="487"/>
    <cellStyle name="一般 2 7" xfId="488"/>
    <cellStyle name="一般 2 8" xfId="489"/>
    <cellStyle name="一般 2 9" xfId="23"/>
    <cellStyle name="一般 20" xfId="490"/>
    <cellStyle name="一般 21" xfId="491"/>
    <cellStyle name="一般 22" xfId="492"/>
    <cellStyle name="一般 23" xfId="493"/>
    <cellStyle name="一般 24" xfId="21"/>
    <cellStyle name="一般 3" xfId="11"/>
    <cellStyle name="一般 3 2" xfId="494"/>
    <cellStyle name="一般 3 2 2" xfId="495"/>
    <cellStyle name="一般 3 3" xfId="496"/>
    <cellStyle name="一般 3 4" xfId="497"/>
    <cellStyle name="一般 3 5" xfId="498"/>
    <cellStyle name="一般 3 5 2" xfId="499"/>
    <cellStyle name="一般 3 6" xfId="500"/>
    <cellStyle name="一般 3 7" xfId="501"/>
    <cellStyle name="一般 3 8" xfId="463"/>
    <cellStyle name="一般 4" xfId="5"/>
    <cellStyle name="一般 4 2" xfId="502"/>
    <cellStyle name="一般 4 3" xfId="503"/>
    <cellStyle name="一般 4 4" xfId="464"/>
    <cellStyle name="一般 5" xfId="504"/>
    <cellStyle name="一般 5 2" xfId="505"/>
    <cellStyle name="一般 6" xfId="506"/>
    <cellStyle name="一般 6 2" xfId="507"/>
    <cellStyle name="一般 7" xfId="508"/>
    <cellStyle name="一般 8" xfId="509"/>
    <cellStyle name="一般 8 2" xfId="510"/>
    <cellStyle name="一般 9" xfId="511"/>
    <cellStyle name="一般 9 2" xfId="512"/>
    <cellStyle name="千分位" xfId="14" builtinId="3"/>
    <cellStyle name="千分位 2" xfId="2"/>
    <cellStyle name="千分位 2 2" xfId="514"/>
    <cellStyle name="千分位 2 3" xfId="515"/>
    <cellStyle name="千分位 2 4" xfId="516"/>
    <cellStyle name="千分位 2 5" xfId="517"/>
    <cellStyle name="千分位 2 6" xfId="518"/>
    <cellStyle name="千分位 2 7" xfId="519"/>
    <cellStyle name="千分位 2 8" xfId="513"/>
    <cellStyle name="千分位 3" xfId="19"/>
    <cellStyle name="千分位 3 2" xfId="520"/>
    <cellStyle name="千分位 4" xfId="521"/>
    <cellStyle name="千分位 5" xfId="522"/>
    <cellStyle name="千分位 5 2" xfId="523"/>
    <cellStyle name="千分位 6" xfId="524"/>
    <cellStyle name="千分位 7" xfId="525"/>
    <cellStyle name="千分位 8" xfId="526"/>
    <cellStyle name="千分位 9" xfId="576"/>
    <cellStyle name="好_1001024-晉欣重要管制流程 (3)" xfId="527"/>
    <cellStyle name="好_Sheet1" xfId="528"/>
    <cellStyle name="好_工作日報表---" xfId="529"/>
    <cellStyle name="好_晉欣重要管制流程-油炸作業" xfId="530"/>
    <cellStyle name="好_晉欣重要管制流程-原物料驗收" xfId="531"/>
    <cellStyle name="好_晉欣重要管制流程-烤箱作業" xfId="532"/>
    <cellStyle name="好_晉欣重要管制流程-理貨作業" xfId="533"/>
    <cellStyle name="好_晉欣重要管制流程-煮麵作業" xfId="534"/>
    <cellStyle name="好_晉欣重要管制流程-飯糰機操作&amp;丼飯作業&amp;三明治&amp;標籤&amp;炊飯&amp;美生菜" xfId="535"/>
    <cellStyle name="好_晉欣重要管制流程-準備室作業" xfId="536"/>
    <cellStyle name="好_晉欣重要管制流程-補料作業" xfId="537"/>
    <cellStyle name="好_配料相關一、二--------" xfId="538"/>
    <cellStyle name="百分比 2" xfId="8"/>
    <cellStyle name="百分比 2 2" xfId="10"/>
    <cellStyle name="百分比 2 2 2" xfId="20"/>
    <cellStyle name="百分比 2 2 2 2" xfId="540"/>
    <cellStyle name="百分比 2 2 3" xfId="539"/>
    <cellStyle name="百分比 2 3" xfId="541"/>
    <cellStyle name="百分比 2 4" xfId="542"/>
    <cellStyle name="百分比 2 5" xfId="24"/>
    <cellStyle name="百分比 3" xfId="3"/>
    <cellStyle name="百分比 3 2" xfId="544"/>
    <cellStyle name="百分比 3 3" xfId="545"/>
    <cellStyle name="百分比 3 4" xfId="543"/>
    <cellStyle name="百分比 4" xfId="13"/>
    <cellStyle name="百分比 4 2" xfId="547"/>
    <cellStyle name="百分比 4 2 2" xfId="548"/>
    <cellStyle name="百分比 4 2 2 2" xfId="549"/>
    <cellStyle name="百分比 4 2 3" xfId="550"/>
    <cellStyle name="百分比 4 3" xfId="551"/>
    <cellStyle name="百分比 4 3 2" xfId="552"/>
    <cellStyle name="百分比 4 3 2 2" xfId="553"/>
    <cellStyle name="百分比 4 3 2 2 2" xfId="554"/>
    <cellStyle name="百分比 4 3 2 2 2 2" xfId="555"/>
    <cellStyle name="百分比 4 3 2 2 2 2 2" xfId="556"/>
    <cellStyle name="百分比 4 4" xfId="557"/>
    <cellStyle name="百分比 4 5" xfId="546"/>
    <cellStyle name="百分比 5" xfId="558"/>
    <cellStyle name="百分比 5 2" xfId="559"/>
    <cellStyle name="百分比 5 3" xfId="560"/>
    <cellStyle name="百分比 6" xfId="561"/>
    <cellStyle name="百分比 7" xfId="22"/>
    <cellStyle name="貨幣 2" xfId="562"/>
    <cellStyle name="貨幣[0]_ AUDIT" xfId="465"/>
    <cellStyle name="超連結 2" xfId="466"/>
    <cellStyle name="標準 2_關所SOP" xfId="563"/>
    <cellStyle name="樣式 1" xfId="467"/>
    <cellStyle name="樣式 2" xfId="468"/>
    <cellStyle name="壞_1001024-晉欣重要管制流程 (3)" xfId="564"/>
    <cellStyle name="壞_Sheet1" xfId="565"/>
    <cellStyle name="壞_工作日報表---" xfId="566"/>
    <cellStyle name="壞_晉欣重要管制流程-油炸作業" xfId="567"/>
    <cellStyle name="壞_晉欣重要管制流程-原物料驗收" xfId="568"/>
    <cellStyle name="壞_晉欣重要管制流程-烤箱作業" xfId="569"/>
    <cellStyle name="壞_晉欣重要管制流程-理貨作業" xfId="570"/>
    <cellStyle name="壞_晉欣重要管制流程-煮麵作業" xfId="571"/>
    <cellStyle name="壞_晉欣重要管制流程-飯糰機操作&amp;丼飯作業&amp;三明治&amp;標籤&amp;炊飯&amp;美生菜" xfId="572"/>
    <cellStyle name="壞_晉欣重要管制流程-準備室作業" xfId="573"/>
    <cellStyle name="壞_晉欣重要管制流程-補料作業" xfId="574"/>
    <cellStyle name="壞_配料相關一、二--------" xfId="575"/>
  </cellStyles>
  <dxfs count="8">
    <dxf>
      <font>
        <color rgb="FFFF0000"/>
      </font>
      <fill>
        <patternFill>
          <bgColor rgb="FFFFFFCC"/>
        </patternFill>
      </fill>
    </dxf>
    <dxf>
      <font>
        <color rgb="FFFF0000"/>
      </font>
      <fill>
        <patternFill>
          <bgColor rgb="FFFFFFCC"/>
        </patternFill>
      </fill>
    </dxf>
    <dxf>
      <font>
        <color rgb="FFFF0000"/>
      </font>
      <fill>
        <patternFill>
          <bgColor rgb="FFFFFFCC"/>
        </patternFill>
      </fill>
    </dxf>
    <dxf>
      <font>
        <color rgb="FFFF0000"/>
      </font>
      <fill>
        <patternFill>
          <bgColor rgb="FFFFFFCC"/>
        </patternFill>
      </fill>
    </dxf>
    <dxf>
      <font>
        <color rgb="FFFF0000"/>
      </font>
      <fill>
        <patternFill>
          <bgColor rgb="FFFFFFCC"/>
        </patternFill>
      </fill>
    </dxf>
    <dxf>
      <font>
        <color theme="1"/>
      </font>
    </dxf>
    <dxf>
      <font>
        <color rgb="FFFF0000"/>
      </font>
      <fill>
        <patternFill>
          <bgColor rgb="FFFFFFCC"/>
        </patternFill>
      </fill>
    </dxf>
    <dxf>
      <font>
        <color rgb="FFFF0000"/>
      </font>
      <fill>
        <patternFill>
          <bgColor rgb="FFFFFFCC"/>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66259</xdr:colOff>
      <xdr:row>15</xdr:row>
      <xdr:rowOff>74543</xdr:rowOff>
    </xdr:from>
    <xdr:to>
      <xdr:col>12</xdr:col>
      <xdr:colOff>627283</xdr:colOff>
      <xdr:row>29</xdr:row>
      <xdr:rowOff>132521</xdr:rowOff>
    </xdr:to>
    <xdr:pic>
      <xdr:nvPicPr>
        <xdr:cNvPr id="2" name="圖片 1">
          <a:extLst>
            <a:ext uri="{FF2B5EF4-FFF2-40B4-BE49-F238E27FC236}">
              <a16:creationId xmlns=""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66259" y="3602934"/>
          <a:ext cx="8934741" cy="284093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fitToPage="1"/>
  </sheetPr>
  <dimension ref="A1:AA55"/>
  <sheetViews>
    <sheetView zoomScaleNormal="100" workbookViewId="0">
      <selection activeCell="E17" sqref="E17"/>
    </sheetView>
  </sheetViews>
  <sheetFormatPr defaultColWidth="12.5703125" defaultRowHeight="15.75" customHeight="1"/>
  <cols>
    <col min="1" max="2" width="12.5703125" style="2" customWidth="1"/>
    <col min="3" max="16384" width="12.5703125" style="2"/>
  </cols>
  <sheetData>
    <row r="1" spans="1:23" ht="15.75" customHeight="1">
      <c r="A1" s="1"/>
      <c r="G1" s="1"/>
      <c r="M1" s="1"/>
      <c r="S1" s="1"/>
    </row>
    <row r="2" spans="1:23" ht="15.75" customHeight="1">
      <c r="A2" s="3">
        <v>7</v>
      </c>
      <c r="B2" s="49" t="s">
        <v>73</v>
      </c>
      <c r="C2" s="48" t="s">
        <v>74</v>
      </c>
      <c r="D2" s="5" t="s">
        <v>0</v>
      </c>
      <c r="E2" s="6"/>
      <c r="G2" s="1"/>
      <c r="M2" s="1"/>
      <c r="S2" s="1"/>
    </row>
    <row r="3" spans="1:23" ht="15.75" customHeight="1">
      <c r="A3" s="1"/>
      <c r="G3" s="1"/>
      <c r="M3" s="1"/>
      <c r="S3" s="1"/>
    </row>
    <row r="4" spans="1:23" ht="15.75" customHeight="1">
      <c r="A4" s="61" t="s">
        <v>21</v>
      </c>
      <c r="B4" s="68"/>
      <c r="C4" s="68"/>
      <c r="D4" s="68"/>
      <c r="E4" s="62" t="s">
        <v>23</v>
      </c>
      <c r="G4" s="61" t="s">
        <v>71</v>
      </c>
      <c r="H4" s="68"/>
      <c r="I4" s="68"/>
      <c r="J4" s="68"/>
      <c r="K4" s="68"/>
      <c r="M4" s="61" t="s">
        <v>32</v>
      </c>
      <c r="N4" s="68"/>
      <c r="O4" s="68"/>
      <c r="P4" s="68"/>
      <c r="Q4" s="68"/>
      <c r="R4" s="68"/>
      <c r="S4" s="61" t="s">
        <v>33</v>
      </c>
      <c r="T4" s="68"/>
      <c r="U4" s="68"/>
      <c r="V4" s="68"/>
      <c r="W4" s="68"/>
    </row>
    <row r="5" spans="1:23" ht="15.75" customHeight="1">
      <c r="A5" s="7"/>
      <c r="B5" s="50" t="s">
        <v>22</v>
      </c>
      <c r="C5" s="7" t="s">
        <v>1</v>
      </c>
      <c r="D5" s="7" t="s">
        <v>2</v>
      </c>
      <c r="E5" s="7" t="s">
        <v>3</v>
      </c>
      <c r="G5" s="7"/>
      <c r="H5" s="50" t="s">
        <v>69</v>
      </c>
      <c r="I5" s="50" t="s">
        <v>70</v>
      </c>
      <c r="J5" s="50" t="s">
        <v>67</v>
      </c>
      <c r="K5" s="7" t="s">
        <v>3</v>
      </c>
      <c r="L5" s="63" t="s">
        <v>60</v>
      </c>
      <c r="M5" s="7"/>
      <c r="N5" s="50" t="s">
        <v>22</v>
      </c>
      <c r="O5" s="50" t="s">
        <v>66</v>
      </c>
      <c r="P5" s="50" t="s">
        <v>67</v>
      </c>
      <c r="Q5" s="50" t="s">
        <v>68</v>
      </c>
      <c r="R5" s="68"/>
      <c r="S5" s="7"/>
      <c r="T5" s="50" t="s">
        <v>22</v>
      </c>
      <c r="U5" s="50" t="s">
        <v>66</v>
      </c>
      <c r="V5" s="50" t="s">
        <v>67</v>
      </c>
      <c r="W5" s="50" t="s">
        <v>68</v>
      </c>
    </row>
    <row r="6" spans="1:23" ht="15.75" customHeight="1">
      <c r="A6" s="50" t="s">
        <v>24</v>
      </c>
      <c r="B6" s="9">
        <v>500000</v>
      </c>
      <c r="C6" s="9">
        <v>510000</v>
      </c>
      <c r="D6" s="10">
        <f t="shared" ref="D6:D11" si="0">B6-C6</f>
        <v>-10000</v>
      </c>
      <c r="E6" s="9">
        <f>B6+C6</f>
        <v>1010000</v>
      </c>
      <c r="G6" s="50" t="s">
        <v>30</v>
      </c>
      <c r="H6" s="11">
        <v>110</v>
      </c>
      <c r="I6" s="11">
        <v>100</v>
      </c>
      <c r="J6" s="11">
        <v>90</v>
      </c>
      <c r="K6" s="12"/>
      <c r="L6" s="63" t="s">
        <v>61</v>
      </c>
      <c r="M6" s="50" t="s">
        <v>34</v>
      </c>
      <c r="N6" s="9">
        <v>150000</v>
      </c>
      <c r="O6" s="13">
        <f t="shared" ref="O6:O13" si="1">IFERROR(N6/$B$6,"")</f>
        <v>0.3</v>
      </c>
      <c r="P6" s="14">
        <v>0.4</v>
      </c>
      <c r="Q6" s="13">
        <f t="shared" ref="Q6:Q13" si="2">IFERROR(O6-P6,"")</f>
        <v>-0.10000000000000003</v>
      </c>
      <c r="S6" s="50" t="s">
        <v>34</v>
      </c>
      <c r="T6" s="9">
        <v>35000</v>
      </c>
      <c r="U6" s="13">
        <f t="shared" ref="U6:U13" si="3">IFERROR(T6/$B$7,"")</f>
        <v>0.35</v>
      </c>
      <c r="V6" s="14">
        <v>0.3</v>
      </c>
      <c r="W6" s="13">
        <f t="shared" ref="W6:W13" si="4">IFERROR(U6-V6,"")</f>
        <v>4.9999999999999989E-2</v>
      </c>
    </row>
    <row r="7" spans="1:23" ht="15.75" customHeight="1">
      <c r="A7" s="50" t="s">
        <v>25</v>
      </c>
      <c r="B7" s="9">
        <v>100000</v>
      </c>
      <c r="C7" s="9">
        <v>110000</v>
      </c>
      <c r="D7" s="10">
        <f t="shared" si="0"/>
        <v>-10000</v>
      </c>
      <c r="E7" s="9">
        <f>B7+C7</f>
        <v>210000</v>
      </c>
      <c r="G7" s="54" t="s">
        <v>31</v>
      </c>
      <c r="H7" s="14">
        <v>0.8</v>
      </c>
      <c r="I7" s="14">
        <v>0.85</v>
      </c>
      <c r="J7" s="14">
        <v>0.81</v>
      </c>
      <c r="K7" s="14">
        <v>0.84</v>
      </c>
      <c r="L7" s="67" t="s">
        <v>4</v>
      </c>
      <c r="M7" s="50" t="s">
        <v>35</v>
      </c>
      <c r="N7" s="9">
        <v>100000</v>
      </c>
      <c r="O7" s="13">
        <f t="shared" si="1"/>
        <v>0.2</v>
      </c>
      <c r="P7" s="14">
        <v>0.15</v>
      </c>
      <c r="Q7" s="13">
        <f t="shared" si="2"/>
        <v>5.0000000000000017E-2</v>
      </c>
      <c r="S7" s="50" t="s">
        <v>35</v>
      </c>
      <c r="T7" s="9">
        <v>30000</v>
      </c>
      <c r="U7" s="13">
        <f t="shared" si="3"/>
        <v>0.3</v>
      </c>
      <c r="V7" s="14">
        <v>0.15</v>
      </c>
      <c r="W7" s="13">
        <f t="shared" si="4"/>
        <v>0.15</v>
      </c>
    </row>
    <row r="8" spans="1:23" ht="15.75" customHeight="1">
      <c r="A8" s="7" t="s">
        <v>5</v>
      </c>
      <c r="B8" s="9">
        <v>250000</v>
      </c>
      <c r="C8" s="9">
        <v>260000</v>
      </c>
      <c r="D8" s="10">
        <f t="shared" si="0"/>
        <v>-10000</v>
      </c>
      <c r="E8" s="9">
        <f>B8+C8</f>
        <v>510000</v>
      </c>
      <c r="G8" s="50" t="s">
        <v>26</v>
      </c>
      <c r="H8" s="14">
        <v>2.5000000000000001E-3</v>
      </c>
      <c r="I8" s="14">
        <v>2.3999999999999998E-3</v>
      </c>
      <c r="J8" s="14">
        <v>2.3E-3</v>
      </c>
      <c r="K8" s="14">
        <v>2.3500000000000001E-3</v>
      </c>
      <c r="L8" s="63" t="s">
        <v>55</v>
      </c>
      <c r="M8" s="50" t="s">
        <v>36</v>
      </c>
      <c r="N8" s="9">
        <v>160000</v>
      </c>
      <c r="O8" s="13">
        <f t="shared" si="1"/>
        <v>0.32</v>
      </c>
      <c r="P8" s="14">
        <v>0.28000000000000003</v>
      </c>
      <c r="Q8" s="13">
        <f t="shared" si="2"/>
        <v>3.999999999999998E-2</v>
      </c>
      <c r="S8" s="50" t="s">
        <v>36</v>
      </c>
      <c r="T8" s="9">
        <v>20000</v>
      </c>
      <c r="U8" s="13">
        <f t="shared" si="3"/>
        <v>0.2</v>
      </c>
      <c r="V8" s="14">
        <v>0.28000000000000003</v>
      </c>
      <c r="W8" s="13">
        <f t="shared" si="4"/>
        <v>-8.0000000000000016E-2</v>
      </c>
    </row>
    <row r="9" spans="1:23" ht="15.75" customHeight="1">
      <c r="A9" s="7" t="s">
        <v>6</v>
      </c>
      <c r="B9" s="14">
        <f>B8/B6</f>
        <v>0.5</v>
      </c>
      <c r="C9" s="14">
        <f>C8/C6</f>
        <v>0.50980392156862742</v>
      </c>
      <c r="D9" s="13">
        <f t="shared" si="0"/>
        <v>-9.8039215686274161E-3</v>
      </c>
      <c r="E9" s="14">
        <f>(B9+C9)/2</f>
        <v>0.50490196078431371</v>
      </c>
      <c r="G9" s="50" t="s">
        <v>27</v>
      </c>
      <c r="H9" s="14">
        <v>6.0000000000000001E-3</v>
      </c>
      <c r="I9" s="14">
        <v>8.9999999999999993E-3</v>
      </c>
      <c r="J9" s="14">
        <v>9.4999999999999998E-3</v>
      </c>
      <c r="K9" s="14">
        <v>9.1999999999999998E-3</v>
      </c>
      <c r="L9" s="63" t="s">
        <v>104</v>
      </c>
      <c r="M9" s="50" t="s">
        <v>44</v>
      </c>
      <c r="N9" s="9">
        <v>90000</v>
      </c>
      <c r="O9" s="13">
        <f t="shared" si="1"/>
        <v>0.18</v>
      </c>
      <c r="P9" s="14">
        <v>0.17</v>
      </c>
      <c r="Q9" s="13">
        <f t="shared" si="2"/>
        <v>9.9999999999999811E-3</v>
      </c>
      <c r="S9" s="50" t="s">
        <v>44</v>
      </c>
      <c r="T9" s="9">
        <v>15000</v>
      </c>
      <c r="U9" s="13">
        <f t="shared" si="3"/>
        <v>0.15</v>
      </c>
      <c r="V9" s="14">
        <v>0.27</v>
      </c>
      <c r="W9" s="13">
        <f t="shared" si="4"/>
        <v>-0.12000000000000002</v>
      </c>
    </row>
    <row r="10" spans="1:23" ht="15.75" customHeight="1">
      <c r="A10" s="50" t="s">
        <v>64</v>
      </c>
      <c r="B10" s="9">
        <v>100000</v>
      </c>
      <c r="C10" s="9">
        <v>105000</v>
      </c>
      <c r="D10" s="10">
        <f t="shared" si="0"/>
        <v>-5000</v>
      </c>
      <c r="E10" s="9">
        <f>B10+C10</f>
        <v>205000</v>
      </c>
      <c r="G10" s="50" t="s">
        <v>28</v>
      </c>
      <c r="H10" s="14">
        <v>0.95</v>
      </c>
      <c r="I10" s="14">
        <v>0.9</v>
      </c>
      <c r="J10" s="14">
        <v>0.92</v>
      </c>
      <c r="K10" s="14">
        <v>0.91</v>
      </c>
      <c r="L10" s="67" t="s">
        <v>7</v>
      </c>
      <c r="M10" s="50" t="s">
        <v>37</v>
      </c>
      <c r="N10" s="9" t="s">
        <v>8</v>
      </c>
      <c r="O10" s="13" t="str">
        <f t="shared" si="1"/>
        <v/>
      </c>
      <c r="P10" s="4" t="s">
        <v>9</v>
      </c>
      <c r="Q10" s="13" t="str">
        <f t="shared" si="2"/>
        <v/>
      </c>
      <c r="S10" s="50" t="s">
        <v>37</v>
      </c>
      <c r="T10" s="9" t="s">
        <v>8</v>
      </c>
      <c r="U10" s="13" t="str">
        <f t="shared" si="3"/>
        <v/>
      </c>
      <c r="V10" s="4" t="s">
        <v>9</v>
      </c>
      <c r="W10" s="13" t="str">
        <f t="shared" si="4"/>
        <v/>
      </c>
    </row>
    <row r="11" spans="1:23" ht="15.75" customHeight="1">
      <c r="A11" s="50" t="s">
        <v>65</v>
      </c>
      <c r="B11" s="14">
        <f>B10/B6</f>
        <v>0.2</v>
      </c>
      <c r="C11" s="14">
        <f>C10/C6</f>
        <v>0.20588235294117646</v>
      </c>
      <c r="D11" s="13">
        <f t="shared" si="0"/>
        <v>-5.8823529411764497E-3</v>
      </c>
      <c r="E11" s="14">
        <f>(B11+C11)/2</f>
        <v>0.20294117647058824</v>
      </c>
      <c r="G11" s="50" t="s">
        <v>29</v>
      </c>
      <c r="H11" s="14">
        <v>0.8</v>
      </c>
      <c r="I11" s="14">
        <v>0.85</v>
      </c>
      <c r="J11" s="14">
        <v>1</v>
      </c>
      <c r="K11" s="14">
        <v>0.92</v>
      </c>
      <c r="L11" s="63" t="s">
        <v>62</v>
      </c>
      <c r="M11" s="50" t="s">
        <v>38</v>
      </c>
      <c r="N11" s="9" t="s">
        <v>8</v>
      </c>
      <c r="O11" s="13" t="str">
        <f t="shared" si="1"/>
        <v/>
      </c>
      <c r="P11" s="4" t="s">
        <v>9</v>
      </c>
      <c r="Q11" s="13" t="str">
        <f t="shared" si="2"/>
        <v/>
      </c>
      <c r="S11" s="50" t="s">
        <v>38</v>
      </c>
      <c r="T11" s="9" t="s">
        <v>8</v>
      </c>
      <c r="U11" s="13" t="str">
        <f t="shared" si="3"/>
        <v/>
      </c>
      <c r="V11" s="4" t="s">
        <v>9</v>
      </c>
      <c r="W11" s="13" t="str">
        <f t="shared" si="4"/>
        <v/>
      </c>
    </row>
    <row r="12" spans="1:23" ht="15.75" customHeight="1">
      <c r="M12" s="50" t="s">
        <v>39</v>
      </c>
      <c r="N12" s="9" t="s">
        <v>8</v>
      </c>
      <c r="O12" s="13" t="str">
        <f t="shared" si="1"/>
        <v/>
      </c>
      <c r="P12" s="4" t="s">
        <v>9</v>
      </c>
      <c r="Q12" s="13" t="str">
        <f t="shared" si="2"/>
        <v/>
      </c>
      <c r="S12" s="50" t="s">
        <v>39</v>
      </c>
      <c r="T12" s="9" t="s">
        <v>8</v>
      </c>
      <c r="U12" s="13" t="str">
        <f t="shared" si="3"/>
        <v/>
      </c>
      <c r="V12" s="4" t="s">
        <v>9</v>
      </c>
      <c r="W12" s="13" t="str">
        <f t="shared" si="4"/>
        <v/>
      </c>
    </row>
    <row r="13" spans="1:23" ht="15.75" customHeight="1">
      <c r="A13" s="61" t="s">
        <v>63</v>
      </c>
      <c r="B13" s="68"/>
      <c r="C13" s="68"/>
      <c r="D13" s="68"/>
      <c r="E13" s="68"/>
      <c r="F13" s="68"/>
      <c r="G13" s="47"/>
      <c r="H13" s="47"/>
      <c r="I13" s="47"/>
      <c r="J13" s="47"/>
      <c r="K13" s="47"/>
      <c r="M13" s="50" t="s">
        <v>40</v>
      </c>
      <c r="N13" s="9" t="s">
        <v>8</v>
      </c>
      <c r="O13" s="13" t="str">
        <f t="shared" si="1"/>
        <v/>
      </c>
      <c r="P13" s="4" t="s">
        <v>9</v>
      </c>
      <c r="Q13" s="13" t="str">
        <f t="shared" si="2"/>
        <v/>
      </c>
      <c r="S13" s="50" t="s">
        <v>40</v>
      </c>
      <c r="T13" s="9" t="s">
        <v>8</v>
      </c>
      <c r="U13" s="13" t="str">
        <f t="shared" si="3"/>
        <v/>
      </c>
      <c r="V13" s="4" t="s">
        <v>9</v>
      </c>
      <c r="W13" s="13" t="str">
        <f t="shared" si="4"/>
        <v/>
      </c>
    </row>
    <row r="14" spans="1:23" ht="12.75">
      <c r="A14" s="7"/>
      <c r="B14" s="50" t="s">
        <v>22</v>
      </c>
      <c r="C14" s="7" t="s">
        <v>1</v>
      </c>
      <c r="D14" s="7" t="s">
        <v>2</v>
      </c>
      <c r="E14" s="7" t="s">
        <v>3</v>
      </c>
      <c r="F14" s="68"/>
      <c r="G14" s="7"/>
      <c r="H14" s="50" t="s">
        <v>22</v>
      </c>
      <c r="I14" s="7" t="s">
        <v>1</v>
      </c>
      <c r="J14" s="7" t="s">
        <v>2</v>
      </c>
      <c r="K14" s="7" t="s">
        <v>3</v>
      </c>
      <c r="O14" s="15">
        <f>SUM(O6:O13)</f>
        <v>1</v>
      </c>
      <c r="P14" s="15">
        <f>SUM(P6:P13)</f>
        <v>1</v>
      </c>
      <c r="U14" s="15">
        <f>SUM(U6:U13)</f>
        <v>0.99999999999999989</v>
      </c>
      <c r="V14" s="15">
        <f>SUM(V6:V13)</f>
        <v>1</v>
      </c>
    </row>
    <row r="15" spans="1:23" ht="15.75" customHeight="1">
      <c r="A15" s="50" t="s">
        <v>34</v>
      </c>
      <c r="B15" s="4">
        <v>600</v>
      </c>
      <c r="C15" s="4">
        <v>660</v>
      </c>
      <c r="D15" s="16">
        <f>B15-C15</f>
        <v>-60</v>
      </c>
      <c r="E15" s="17">
        <f>(B15+C15)/2</f>
        <v>630</v>
      </c>
      <c r="G15" s="50" t="s">
        <v>37</v>
      </c>
      <c r="H15" s="4"/>
      <c r="I15" s="4"/>
      <c r="J15" s="16">
        <f>H15-I15</f>
        <v>0</v>
      </c>
      <c r="K15" s="17"/>
      <c r="M15" s="61" t="s">
        <v>72</v>
      </c>
      <c r="N15" s="68"/>
      <c r="O15" s="68"/>
      <c r="P15" s="68"/>
      <c r="Q15" s="68"/>
      <c r="R15" s="68"/>
      <c r="S15" s="68"/>
    </row>
    <row r="16" spans="1:23" ht="15.75" customHeight="1">
      <c r="A16" s="50" t="s">
        <v>35</v>
      </c>
      <c r="B16" s="4">
        <v>800</v>
      </c>
      <c r="C16" s="4">
        <v>780</v>
      </c>
      <c r="D16" s="16">
        <f>B16-C16</f>
        <v>20</v>
      </c>
      <c r="E16" s="17">
        <f>(B16+C16)/2</f>
        <v>790</v>
      </c>
      <c r="G16" s="50" t="s">
        <v>38</v>
      </c>
      <c r="H16" s="4"/>
      <c r="I16" s="4"/>
      <c r="J16" s="16">
        <f>H16-I16</f>
        <v>0</v>
      </c>
      <c r="K16" s="17"/>
      <c r="M16" s="18"/>
      <c r="N16" s="46" t="s">
        <v>10</v>
      </c>
      <c r="O16" s="19"/>
      <c r="P16" s="59" t="s">
        <v>42</v>
      </c>
      <c r="Q16" s="19"/>
      <c r="R16" s="52" t="s">
        <v>43</v>
      </c>
      <c r="S16" s="19"/>
    </row>
    <row r="17" spans="1:27" ht="15.75" customHeight="1">
      <c r="A17" s="50" t="s">
        <v>36</v>
      </c>
      <c r="B17" s="4">
        <v>130</v>
      </c>
      <c r="C17" s="4">
        <v>111</v>
      </c>
      <c r="D17" s="16">
        <f>B17-C17</f>
        <v>19</v>
      </c>
      <c r="E17" s="17">
        <f>(B17+C17)/2</f>
        <v>120.5</v>
      </c>
      <c r="G17" s="50" t="s">
        <v>39</v>
      </c>
      <c r="H17" s="4"/>
      <c r="I17" s="4"/>
      <c r="J17" s="16">
        <f>H17-I17</f>
        <v>0</v>
      </c>
      <c r="K17" s="17"/>
      <c r="M17" s="20"/>
      <c r="N17" s="21" t="s">
        <v>11</v>
      </c>
      <c r="O17" s="51" t="s">
        <v>41</v>
      </c>
      <c r="P17" s="8" t="s">
        <v>11</v>
      </c>
      <c r="Q17" s="51" t="s">
        <v>41</v>
      </c>
      <c r="R17" s="8" t="s">
        <v>11</v>
      </c>
      <c r="S17" s="51" t="s">
        <v>41</v>
      </c>
    </row>
    <row r="18" spans="1:27" ht="15.75" customHeight="1">
      <c r="A18" s="50" t="s">
        <v>44</v>
      </c>
      <c r="B18" s="4">
        <v>140</v>
      </c>
      <c r="C18" s="4">
        <v>165</v>
      </c>
      <c r="D18" s="16">
        <f>B18-C18</f>
        <v>-25</v>
      </c>
      <c r="E18" s="17">
        <f>(B18+C18)/2</f>
        <v>152.5</v>
      </c>
      <c r="G18" s="50" t="s">
        <v>40</v>
      </c>
      <c r="H18" s="4"/>
      <c r="I18" s="4"/>
      <c r="J18" s="16">
        <f>H18-I18</f>
        <v>0</v>
      </c>
      <c r="K18" s="17"/>
      <c r="M18" s="50" t="s">
        <v>26</v>
      </c>
      <c r="N18" s="9">
        <v>1200</v>
      </c>
      <c r="O18" s="13">
        <f>N18/$B$6</f>
        <v>2.3999999999999998E-3</v>
      </c>
      <c r="P18" s="9">
        <v>900</v>
      </c>
      <c r="Q18" s="13">
        <f>IFERROR(P18/$B$6,"")</f>
        <v>1.8E-3</v>
      </c>
      <c r="R18" s="9">
        <v>300</v>
      </c>
      <c r="S18" s="13">
        <f>IFERROR(R18/$B$6,"")</f>
        <v>5.9999999999999995E-4</v>
      </c>
    </row>
    <row r="19" spans="1:27" ht="15.75" customHeight="1">
      <c r="M19" s="50" t="s">
        <v>27</v>
      </c>
      <c r="N19" s="9">
        <v>4500</v>
      </c>
      <c r="O19" s="13">
        <f>N19/$B$6</f>
        <v>8.9999999999999993E-3</v>
      </c>
      <c r="P19" s="9">
        <v>3500</v>
      </c>
      <c r="Q19" s="13">
        <f>IFERROR(P19/$B$6,"")</f>
        <v>7.0000000000000001E-3</v>
      </c>
      <c r="R19" s="9">
        <v>1000</v>
      </c>
      <c r="S19" s="13">
        <f>IFERROR(R19/$B$6,"")</f>
        <v>2E-3</v>
      </c>
    </row>
    <row r="20" spans="1:27" ht="15.75" customHeight="1">
      <c r="A20" s="61" t="s">
        <v>45</v>
      </c>
      <c r="B20" s="68"/>
      <c r="C20" s="64"/>
      <c r="D20" s="68"/>
      <c r="E20" s="68"/>
      <c r="F20" s="64"/>
      <c r="G20" s="64"/>
      <c r="H20" s="64"/>
      <c r="I20" s="64"/>
      <c r="J20" s="68"/>
      <c r="K20" s="68"/>
    </row>
    <row r="21" spans="1:27" ht="15.75" customHeight="1">
      <c r="A21" s="18"/>
      <c r="B21" s="50" t="s">
        <v>47</v>
      </c>
      <c r="C21" s="507" t="s">
        <v>12</v>
      </c>
      <c r="D21" s="505"/>
      <c r="E21" s="506"/>
      <c r="F21" s="50" t="s">
        <v>46</v>
      </c>
      <c r="G21" s="50" t="s">
        <v>48</v>
      </c>
      <c r="H21" s="50" t="s">
        <v>49</v>
      </c>
      <c r="I21" s="8" t="s">
        <v>13</v>
      </c>
      <c r="J21" s="520" t="s">
        <v>51</v>
      </c>
      <c r="K21" s="506"/>
      <c r="M21" s="61" t="s">
        <v>52</v>
      </c>
      <c r="N21" s="68"/>
      <c r="O21" s="64"/>
      <c r="P21" s="68"/>
      <c r="Q21" s="68"/>
      <c r="R21" s="64"/>
      <c r="S21" s="64"/>
      <c r="T21" s="64"/>
      <c r="U21" s="64"/>
      <c r="V21" s="64"/>
      <c r="W21" s="64"/>
      <c r="X21" s="64"/>
      <c r="Y21" s="64"/>
      <c r="Z21" s="68"/>
      <c r="AA21" s="68"/>
    </row>
    <row r="22" spans="1:27" ht="15.75" customHeight="1">
      <c r="A22" s="53" t="s">
        <v>34</v>
      </c>
      <c r="B22" s="6">
        <v>1</v>
      </c>
      <c r="C22" s="509" t="s">
        <v>14</v>
      </c>
      <c r="D22" s="505"/>
      <c r="E22" s="506"/>
      <c r="F22" s="4">
        <v>3</v>
      </c>
      <c r="G22" s="4">
        <v>3000</v>
      </c>
      <c r="H22" s="4">
        <v>1000</v>
      </c>
      <c r="I22" s="4">
        <v>10</v>
      </c>
      <c r="J22" s="508" t="s">
        <v>76</v>
      </c>
      <c r="K22" s="506"/>
      <c r="M22" s="53" t="s">
        <v>26</v>
      </c>
      <c r="N22" s="58" t="s">
        <v>47</v>
      </c>
      <c r="O22" s="515" t="s">
        <v>12</v>
      </c>
      <c r="P22" s="505"/>
      <c r="Q22" s="506"/>
      <c r="R22" s="521" t="s">
        <v>53</v>
      </c>
      <c r="S22" s="505"/>
      <c r="T22" s="506"/>
      <c r="U22" s="58" t="s">
        <v>54</v>
      </c>
      <c r="V22" s="58" t="s">
        <v>55</v>
      </c>
      <c r="W22" s="58" t="s">
        <v>56</v>
      </c>
      <c r="X22" s="8" t="s">
        <v>11</v>
      </c>
      <c r="Y22" s="8" t="s">
        <v>13</v>
      </c>
      <c r="Z22" s="520" t="s">
        <v>51</v>
      </c>
      <c r="AA22" s="506"/>
    </row>
    <row r="23" spans="1:27" ht="15.75" customHeight="1">
      <c r="A23" s="23"/>
      <c r="B23" s="6">
        <v>2</v>
      </c>
      <c r="C23" s="504"/>
      <c r="D23" s="505"/>
      <c r="E23" s="506"/>
      <c r="F23" s="4"/>
      <c r="G23" s="4"/>
      <c r="H23" s="4"/>
      <c r="I23" s="4"/>
      <c r="J23" s="504"/>
      <c r="K23" s="506"/>
      <c r="M23" s="57" t="s">
        <v>42</v>
      </c>
      <c r="N23" s="24">
        <v>1</v>
      </c>
      <c r="O23" s="508" t="s">
        <v>82</v>
      </c>
      <c r="P23" s="505"/>
      <c r="Q23" s="506"/>
      <c r="R23" s="508" t="s">
        <v>85</v>
      </c>
      <c r="S23" s="505"/>
      <c r="T23" s="506"/>
      <c r="U23" s="4">
        <v>10</v>
      </c>
      <c r="V23" s="14">
        <v>0.15</v>
      </c>
      <c r="W23" s="4">
        <v>10</v>
      </c>
      <c r="X23" s="16">
        <f>W23*U23</f>
        <v>100</v>
      </c>
      <c r="Y23" s="4">
        <v>80</v>
      </c>
      <c r="Z23" s="508" t="s">
        <v>86</v>
      </c>
      <c r="AA23" s="506"/>
    </row>
    <row r="24" spans="1:27" ht="15.75" customHeight="1">
      <c r="A24" s="23"/>
      <c r="B24" s="6">
        <v>3</v>
      </c>
      <c r="C24" s="504"/>
      <c r="D24" s="505"/>
      <c r="E24" s="506"/>
      <c r="F24" s="4"/>
      <c r="G24" s="4"/>
      <c r="H24" s="4"/>
      <c r="I24" s="4"/>
      <c r="J24" s="504"/>
      <c r="K24" s="506"/>
      <c r="M24" s="25"/>
      <c r="N24" s="24">
        <v>2</v>
      </c>
      <c r="O24" s="509"/>
      <c r="P24" s="505"/>
      <c r="Q24" s="506"/>
      <c r="R24" s="509"/>
      <c r="S24" s="505"/>
      <c r="T24" s="506"/>
      <c r="U24" s="4"/>
      <c r="V24" s="14"/>
      <c r="W24" s="4"/>
      <c r="X24" s="16">
        <f>W24*U24</f>
        <v>0</v>
      </c>
      <c r="Y24" s="4"/>
      <c r="Z24" s="509"/>
      <c r="AA24" s="506"/>
    </row>
    <row r="25" spans="1:27" ht="15.75" customHeight="1">
      <c r="A25" s="23"/>
      <c r="B25" s="6">
        <v>4</v>
      </c>
      <c r="C25" s="504"/>
      <c r="D25" s="505"/>
      <c r="E25" s="506"/>
      <c r="F25" s="4"/>
      <c r="G25" s="4"/>
      <c r="H25" s="4"/>
      <c r="I25" s="4"/>
      <c r="J25" s="504"/>
      <c r="K25" s="506"/>
      <c r="M25" s="25"/>
      <c r="N25" s="24">
        <v>3</v>
      </c>
      <c r="O25" s="509"/>
      <c r="P25" s="505"/>
      <c r="Q25" s="506"/>
      <c r="R25" s="509"/>
      <c r="S25" s="505"/>
      <c r="T25" s="506"/>
      <c r="U25" s="4"/>
      <c r="V25" s="14"/>
      <c r="W25" s="4"/>
      <c r="X25" s="16">
        <f>W25*U25</f>
        <v>0</v>
      </c>
      <c r="Y25" s="4"/>
      <c r="Z25" s="509"/>
      <c r="AA25" s="506"/>
    </row>
    <row r="26" spans="1:27" ht="15.75" customHeight="1">
      <c r="A26" s="23"/>
      <c r="B26" s="26">
        <v>5</v>
      </c>
      <c r="C26" s="518"/>
      <c r="D26" s="514"/>
      <c r="E26" s="511"/>
      <c r="F26" s="27"/>
      <c r="G26" s="27"/>
      <c r="H26" s="27"/>
      <c r="I26" s="27"/>
      <c r="J26" s="518"/>
      <c r="K26" s="511"/>
      <c r="M26" s="25"/>
      <c r="N26" s="24">
        <v>4</v>
      </c>
      <c r="O26" s="509"/>
      <c r="P26" s="505"/>
      <c r="Q26" s="506"/>
      <c r="R26" s="509"/>
      <c r="S26" s="505"/>
      <c r="T26" s="506"/>
      <c r="U26" s="4"/>
      <c r="V26" s="14"/>
      <c r="W26" s="4"/>
      <c r="X26" s="16">
        <f>W26*U26</f>
        <v>0</v>
      </c>
      <c r="Y26" s="4"/>
      <c r="Z26" s="509"/>
      <c r="AA26" s="506"/>
    </row>
    <row r="27" spans="1:27" ht="15.75" customHeight="1">
      <c r="A27" s="23"/>
      <c r="B27" s="70" t="s">
        <v>101</v>
      </c>
      <c r="C27" s="512" t="s">
        <v>75</v>
      </c>
      <c r="D27" s="519"/>
      <c r="E27" s="513"/>
      <c r="F27" s="28">
        <v>4</v>
      </c>
      <c r="G27" s="28">
        <v>2800</v>
      </c>
      <c r="H27" s="28">
        <v>700</v>
      </c>
      <c r="I27" s="28" t="s">
        <v>15</v>
      </c>
      <c r="J27" s="512" t="s">
        <v>77</v>
      </c>
      <c r="K27" s="513"/>
      <c r="M27" s="25"/>
      <c r="N27" s="29">
        <v>5</v>
      </c>
      <c r="O27" s="510"/>
      <c r="P27" s="514"/>
      <c r="Q27" s="511"/>
      <c r="R27" s="510"/>
      <c r="S27" s="514"/>
      <c r="T27" s="511"/>
      <c r="U27" s="27"/>
      <c r="V27" s="30"/>
      <c r="W27" s="27"/>
      <c r="X27" s="31">
        <f>W27*U27</f>
        <v>0</v>
      </c>
      <c r="Y27" s="4"/>
      <c r="Z27" s="510"/>
      <c r="AA27" s="511"/>
    </row>
    <row r="28" spans="1:27" ht="15.75" customHeight="1">
      <c r="A28" s="23"/>
      <c r="B28" s="71" t="s">
        <v>102</v>
      </c>
      <c r="C28" s="504"/>
      <c r="D28" s="505"/>
      <c r="E28" s="506"/>
      <c r="F28" s="4"/>
      <c r="G28" s="4"/>
      <c r="H28" s="4"/>
      <c r="I28" s="4"/>
      <c r="J28" s="504"/>
      <c r="K28" s="506"/>
      <c r="M28" s="32"/>
      <c r="N28" s="56"/>
      <c r="O28" s="516"/>
      <c r="P28" s="505"/>
      <c r="Q28" s="505"/>
      <c r="R28" s="516"/>
      <c r="S28" s="505"/>
      <c r="T28" s="505"/>
      <c r="U28" s="60" t="s">
        <v>58</v>
      </c>
      <c r="V28" s="33">
        <f>X28/N18</f>
        <v>8.3333333333333329E-2</v>
      </c>
      <c r="W28" s="60" t="s">
        <v>59</v>
      </c>
      <c r="X28" s="34">
        <f>SUM(X23:X27)</f>
        <v>100</v>
      </c>
      <c r="Y28" s="45"/>
      <c r="Z28" s="516"/>
      <c r="AA28" s="506"/>
    </row>
    <row r="29" spans="1:27" ht="15.75" customHeight="1">
      <c r="A29" s="23"/>
      <c r="B29" s="71" t="s">
        <v>100</v>
      </c>
      <c r="C29" s="504"/>
      <c r="D29" s="505"/>
      <c r="E29" s="506"/>
      <c r="F29" s="4"/>
      <c r="G29" s="4"/>
      <c r="H29" s="4"/>
      <c r="I29" s="4"/>
      <c r="J29" s="504"/>
      <c r="K29" s="506"/>
      <c r="M29" s="57" t="s">
        <v>43</v>
      </c>
      <c r="N29" s="24">
        <v>1</v>
      </c>
      <c r="O29" s="529" t="s">
        <v>16</v>
      </c>
      <c r="P29" s="525"/>
      <c r="Q29" s="526"/>
      <c r="R29" s="524" t="s">
        <v>87</v>
      </c>
      <c r="S29" s="525"/>
      <c r="T29" s="526"/>
      <c r="U29" s="35">
        <v>5.55</v>
      </c>
      <c r="V29" s="36">
        <v>0.21</v>
      </c>
      <c r="W29" s="35">
        <v>50</v>
      </c>
      <c r="X29" s="37">
        <f>W29*U29</f>
        <v>277.5</v>
      </c>
      <c r="Y29" s="4">
        <v>35</v>
      </c>
      <c r="Z29" s="524" t="s">
        <v>88</v>
      </c>
      <c r="AA29" s="526"/>
    </row>
    <row r="30" spans="1:27" ht="15.75" customHeight="1">
      <c r="A30" s="23"/>
      <c r="B30" s="71" t="s">
        <v>99</v>
      </c>
      <c r="C30" s="504"/>
      <c r="D30" s="505"/>
      <c r="E30" s="506"/>
      <c r="F30" s="4"/>
      <c r="G30" s="4"/>
      <c r="H30" s="4"/>
      <c r="I30" s="4"/>
      <c r="J30" s="504"/>
      <c r="K30" s="506"/>
      <c r="M30" s="25"/>
      <c r="N30" s="24">
        <v>2</v>
      </c>
      <c r="O30" s="509"/>
      <c r="P30" s="505"/>
      <c r="Q30" s="506"/>
      <c r="R30" s="509"/>
      <c r="S30" s="505"/>
      <c r="T30" s="506"/>
      <c r="U30" s="4"/>
      <c r="V30" s="14"/>
      <c r="W30" s="4"/>
      <c r="X30" s="16">
        <f>W30*U30</f>
        <v>0</v>
      </c>
      <c r="Y30" s="4"/>
      <c r="Z30" s="509"/>
      <c r="AA30" s="506"/>
    </row>
    <row r="31" spans="1:27" ht="15.75" customHeight="1">
      <c r="A31" s="20"/>
      <c r="B31" s="71" t="s">
        <v>103</v>
      </c>
      <c r="C31" s="504"/>
      <c r="D31" s="505"/>
      <c r="E31" s="506"/>
      <c r="F31" s="4"/>
      <c r="G31" s="4"/>
      <c r="H31" s="4"/>
      <c r="I31" s="4"/>
      <c r="J31" s="504"/>
      <c r="K31" s="506"/>
      <c r="M31" s="25"/>
      <c r="N31" s="24">
        <v>3</v>
      </c>
      <c r="O31" s="509"/>
      <c r="P31" s="505"/>
      <c r="Q31" s="506"/>
      <c r="R31" s="509"/>
      <c r="S31" s="505"/>
      <c r="T31" s="506"/>
      <c r="U31" s="4"/>
      <c r="V31" s="14"/>
      <c r="W31" s="4"/>
      <c r="X31" s="16">
        <f>W31*U31</f>
        <v>0</v>
      </c>
      <c r="Y31" s="4"/>
      <c r="Z31" s="509"/>
      <c r="AA31" s="506"/>
    </row>
    <row r="32" spans="1:27" ht="15.75" customHeight="1">
      <c r="A32" s="68"/>
      <c r="M32" s="25"/>
      <c r="N32" s="24">
        <v>4</v>
      </c>
      <c r="O32" s="509"/>
      <c r="P32" s="505"/>
      <c r="Q32" s="506"/>
      <c r="R32" s="509"/>
      <c r="S32" s="505"/>
      <c r="T32" s="506"/>
      <c r="U32" s="4"/>
      <c r="V32" s="14"/>
      <c r="W32" s="4"/>
      <c r="X32" s="16">
        <f>W32*U32</f>
        <v>0</v>
      </c>
      <c r="Y32" s="4"/>
      <c r="Z32" s="509"/>
      <c r="AA32" s="506"/>
    </row>
    <row r="33" spans="1:27" ht="15.75" customHeight="1">
      <c r="A33" s="18"/>
      <c r="B33" s="50" t="s">
        <v>47</v>
      </c>
      <c r="C33" s="507" t="s">
        <v>12</v>
      </c>
      <c r="D33" s="505"/>
      <c r="E33" s="506"/>
      <c r="F33" s="50" t="s">
        <v>46</v>
      </c>
      <c r="G33" s="50" t="s">
        <v>48</v>
      </c>
      <c r="H33" s="50" t="s">
        <v>49</v>
      </c>
      <c r="I33" s="8" t="s">
        <v>13</v>
      </c>
      <c r="J33" s="520" t="s">
        <v>51</v>
      </c>
      <c r="K33" s="506"/>
      <c r="M33" s="25"/>
      <c r="N33" s="29">
        <v>5</v>
      </c>
      <c r="O33" s="509"/>
      <c r="P33" s="505"/>
      <c r="Q33" s="506"/>
      <c r="R33" s="509"/>
      <c r="S33" s="505"/>
      <c r="T33" s="506"/>
      <c r="U33" s="27"/>
      <c r="V33" s="30"/>
      <c r="W33" s="27"/>
      <c r="X33" s="31">
        <f>W33*U33</f>
        <v>0</v>
      </c>
      <c r="Y33" s="4"/>
      <c r="Z33" s="509"/>
      <c r="AA33" s="506"/>
    </row>
    <row r="34" spans="1:27" ht="15.75" customHeight="1">
      <c r="A34" s="53" t="s">
        <v>35</v>
      </c>
      <c r="B34" s="6">
        <v>1</v>
      </c>
      <c r="C34" s="508" t="s">
        <v>79</v>
      </c>
      <c r="D34" s="505"/>
      <c r="E34" s="506"/>
      <c r="F34" s="4">
        <v>3</v>
      </c>
      <c r="G34" s="4">
        <v>2500</v>
      </c>
      <c r="H34" s="4">
        <v>833.33</v>
      </c>
      <c r="I34" s="4">
        <v>20</v>
      </c>
      <c r="J34" s="508" t="s">
        <v>78</v>
      </c>
      <c r="K34" s="506"/>
      <c r="M34" s="69"/>
      <c r="N34" s="45"/>
      <c r="O34" s="516"/>
      <c r="P34" s="505"/>
      <c r="Q34" s="505"/>
      <c r="R34" s="516"/>
      <c r="S34" s="505"/>
      <c r="T34" s="505"/>
      <c r="U34" s="60" t="s">
        <v>58</v>
      </c>
      <c r="V34" s="33">
        <f>X34/N18</f>
        <v>0.23125000000000001</v>
      </c>
      <c r="W34" s="60" t="s">
        <v>59</v>
      </c>
      <c r="X34" s="34">
        <f>SUM(X29:X33)</f>
        <v>277.5</v>
      </c>
      <c r="Y34" s="45"/>
      <c r="Z34" s="516"/>
      <c r="AA34" s="506"/>
    </row>
    <row r="35" spans="1:27" ht="15.75" customHeight="1">
      <c r="A35" s="23"/>
      <c r="B35" s="6">
        <v>2</v>
      </c>
      <c r="C35" s="509"/>
      <c r="D35" s="505"/>
      <c r="E35" s="506"/>
      <c r="F35" s="4"/>
      <c r="G35" s="4"/>
      <c r="H35" s="4"/>
      <c r="I35" s="4"/>
      <c r="J35" s="509"/>
      <c r="K35" s="506"/>
      <c r="M35" s="1"/>
      <c r="N35" s="1"/>
      <c r="O35" s="527"/>
      <c r="P35" s="528"/>
      <c r="Q35" s="528"/>
      <c r="R35" s="527"/>
      <c r="S35" s="528"/>
      <c r="T35" s="528"/>
      <c r="U35" s="1"/>
      <c r="V35" s="38"/>
      <c r="W35" s="1"/>
      <c r="X35" s="1"/>
      <c r="Y35" s="527"/>
      <c r="Z35" s="528"/>
      <c r="AA35" s="528"/>
    </row>
    <row r="36" spans="1:27" ht="15.75" customHeight="1">
      <c r="A36" s="23"/>
      <c r="B36" s="6">
        <v>3</v>
      </c>
      <c r="C36" s="509"/>
      <c r="D36" s="505"/>
      <c r="E36" s="506"/>
      <c r="F36" s="4"/>
      <c r="G36" s="4"/>
      <c r="H36" s="4"/>
      <c r="I36" s="4"/>
      <c r="J36" s="509"/>
      <c r="K36" s="506"/>
      <c r="M36" s="53" t="s">
        <v>27</v>
      </c>
      <c r="N36" s="58" t="s">
        <v>47</v>
      </c>
      <c r="O36" s="515" t="s">
        <v>12</v>
      </c>
      <c r="P36" s="516"/>
      <c r="Q36" s="517"/>
      <c r="R36" s="521" t="s">
        <v>53</v>
      </c>
      <c r="S36" s="522"/>
      <c r="T36" s="523"/>
      <c r="U36" s="58" t="s">
        <v>54</v>
      </c>
      <c r="V36" s="58" t="s">
        <v>55</v>
      </c>
      <c r="W36" s="58" t="s">
        <v>56</v>
      </c>
      <c r="X36" s="8" t="s">
        <v>11</v>
      </c>
      <c r="Y36" s="8" t="s">
        <v>13</v>
      </c>
      <c r="Z36" s="520" t="s">
        <v>51</v>
      </c>
      <c r="AA36" s="530"/>
    </row>
    <row r="37" spans="1:27" ht="15.75" customHeight="1">
      <c r="A37" s="23"/>
      <c r="B37" s="6">
        <v>4</v>
      </c>
      <c r="C37" s="509"/>
      <c r="D37" s="505"/>
      <c r="E37" s="506"/>
      <c r="F37" s="4"/>
      <c r="G37" s="4"/>
      <c r="H37" s="4"/>
      <c r="I37" s="4"/>
      <c r="J37" s="509"/>
      <c r="K37" s="506"/>
      <c r="M37" s="57" t="s">
        <v>42</v>
      </c>
      <c r="N37" s="24">
        <v>1</v>
      </c>
      <c r="O37" s="508" t="s">
        <v>89</v>
      </c>
      <c r="P37" s="505"/>
      <c r="Q37" s="506"/>
      <c r="R37" s="508" t="s">
        <v>90</v>
      </c>
      <c r="S37" s="505"/>
      <c r="T37" s="506"/>
      <c r="U37" s="4">
        <v>25</v>
      </c>
      <c r="V37" s="14">
        <v>0.25</v>
      </c>
      <c r="W37" s="4">
        <v>10</v>
      </c>
      <c r="X37" s="16">
        <f>W37*U37</f>
        <v>250</v>
      </c>
      <c r="Y37" s="4">
        <v>150</v>
      </c>
      <c r="Z37" s="508" t="s">
        <v>91</v>
      </c>
      <c r="AA37" s="506"/>
    </row>
    <row r="38" spans="1:27" ht="15.75" customHeight="1">
      <c r="A38" s="23"/>
      <c r="B38" s="26">
        <v>5</v>
      </c>
      <c r="C38" s="510"/>
      <c r="D38" s="514"/>
      <c r="E38" s="511"/>
      <c r="F38" s="27"/>
      <c r="G38" s="27"/>
      <c r="H38" s="27"/>
      <c r="I38" s="27"/>
      <c r="J38" s="510"/>
      <c r="K38" s="511"/>
      <c r="M38" s="25"/>
      <c r="N38" s="24">
        <v>2</v>
      </c>
      <c r="O38" s="509"/>
      <c r="P38" s="505"/>
      <c r="Q38" s="506"/>
      <c r="R38" s="509"/>
      <c r="S38" s="505"/>
      <c r="T38" s="506"/>
      <c r="U38" s="4"/>
      <c r="V38" s="14"/>
      <c r="W38" s="4"/>
      <c r="X38" s="16">
        <f>W38*U38</f>
        <v>0</v>
      </c>
      <c r="Y38" s="4"/>
      <c r="Z38" s="509"/>
      <c r="AA38" s="506"/>
    </row>
    <row r="39" spans="1:27" ht="14.25">
      <c r="A39" s="23"/>
      <c r="B39" s="70" t="s">
        <v>101</v>
      </c>
      <c r="C39" s="512" t="s">
        <v>80</v>
      </c>
      <c r="D39" s="519"/>
      <c r="E39" s="513"/>
      <c r="F39" s="28">
        <v>7</v>
      </c>
      <c r="G39" s="28">
        <v>2200</v>
      </c>
      <c r="H39" s="28">
        <v>314.29000000000002</v>
      </c>
      <c r="I39" s="28">
        <v>-15</v>
      </c>
      <c r="J39" s="512" t="s">
        <v>81</v>
      </c>
      <c r="K39" s="513"/>
      <c r="M39" s="25"/>
      <c r="N39" s="24">
        <v>3</v>
      </c>
      <c r="O39" s="509"/>
      <c r="P39" s="505"/>
      <c r="Q39" s="506"/>
      <c r="R39" s="509"/>
      <c r="S39" s="505"/>
      <c r="T39" s="506"/>
      <c r="U39" s="4"/>
      <c r="V39" s="14"/>
      <c r="W39" s="4"/>
      <c r="X39" s="16">
        <f>W39*U39</f>
        <v>0</v>
      </c>
      <c r="Y39" s="4"/>
      <c r="Z39" s="509"/>
      <c r="AA39" s="506"/>
    </row>
    <row r="40" spans="1:27" ht="14.25">
      <c r="A40" s="23"/>
      <c r="B40" s="71" t="s">
        <v>102</v>
      </c>
      <c r="C40" s="509"/>
      <c r="D40" s="505"/>
      <c r="E40" s="506"/>
      <c r="F40" s="4"/>
      <c r="G40" s="4"/>
      <c r="H40" s="4"/>
      <c r="I40" s="4"/>
      <c r="J40" s="509"/>
      <c r="K40" s="506"/>
      <c r="M40" s="25"/>
      <c r="N40" s="24">
        <v>4</v>
      </c>
      <c r="O40" s="509"/>
      <c r="P40" s="505"/>
      <c r="Q40" s="506"/>
      <c r="R40" s="509"/>
      <c r="S40" s="505"/>
      <c r="T40" s="506"/>
      <c r="U40" s="4"/>
      <c r="V40" s="14"/>
      <c r="W40" s="4"/>
      <c r="X40" s="16">
        <f>W40*U40</f>
        <v>0</v>
      </c>
      <c r="Y40" s="4"/>
      <c r="Z40" s="509"/>
      <c r="AA40" s="506"/>
    </row>
    <row r="41" spans="1:27" ht="14.25">
      <c r="A41" s="23"/>
      <c r="B41" s="71" t="s">
        <v>100</v>
      </c>
      <c r="C41" s="509"/>
      <c r="D41" s="505"/>
      <c r="E41" s="506"/>
      <c r="F41" s="4"/>
      <c r="G41" s="4"/>
      <c r="H41" s="4"/>
      <c r="I41" s="4"/>
      <c r="J41" s="509"/>
      <c r="K41" s="506"/>
      <c r="M41" s="25"/>
      <c r="N41" s="29">
        <v>5</v>
      </c>
      <c r="O41" s="510"/>
      <c r="P41" s="514"/>
      <c r="Q41" s="511"/>
      <c r="R41" s="510"/>
      <c r="S41" s="514"/>
      <c r="T41" s="511"/>
      <c r="U41" s="27"/>
      <c r="V41" s="30"/>
      <c r="W41" s="27"/>
      <c r="X41" s="31">
        <f>W41*U41</f>
        <v>0</v>
      </c>
      <c r="Y41" s="4"/>
      <c r="Z41" s="509"/>
      <c r="AA41" s="506"/>
    </row>
    <row r="42" spans="1:27" ht="14.25">
      <c r="A42" s="23"/>
      <c r="B42" s="71" t="s">
        <v>99</v>
      </c>
      <c r="C42" s="509"/>
      <c r="D42" s="505"/>
      <c r="E42" s="506"/>
      <c r="F42" s="4"/>
      <c r="G42" s="4"/>
      <c r="H42" s="4"/>
      <c r="I42" s="4"/>
      <c r="J42" s="509"/>
      <c r="K42" s="506"/>
      <c r="M42" s="32"/>
      <c r="N42" s="55"/>
      <c r="O42" s="516"/>
      <c r="P42" s="505"/>
      <c r="Q42" s="505"/>
      <c r="R42" s="516"/>
      <c r="S42" s="505"/>
      <c r="T42" s="505"/>
      <c r="U42" s="60" t="s">
        <v>58</v>
      </c>
      <c r="V42" s="33">
        <f>X42/N19</f>
        <v>5.5555555555555552E-2</v>
      </c>
      <c r="W42" s="60" t="s">
        <v>59</v>
      </c>
      <c r="X42" s="34">
        <f>SUM(X37:X41)</f>
        <v>250</v>
      </c>
      <c r="Y42" s="45"/>
      <c r="Z42" s="516"/>
      <c r="AA42" s="506"/>
    </row>
    <row r="43" spans="1:27" ht="14.25">
      <c r="A43" s="20"/>
      <c r="B43" s="71" t="s">
        <v>103</v>
      </c>
      <c r="C43" s="509"/>
      <c r="D43" s="505"/>
      <c r="E43" s="506"/>
      <c r="F43" s="4"/>
      <c r="G43" s="4"/>
      <c r="H43" s="4"/>
      <c r="I43" s="4"/>
      <c r="J43" s="509"/>
      <c r="K43" s="506"/>
      <c r="M43" s="57" t="s">
        <v>43</v>
      </c>
      <c r="N43" s="24">
        <v>1</v>
      </c>
      <c r="O43" s="508" t="s">
        <v>89</v>
      </c>
      <c r="P43" s="505"/>
      <c r="Q43" s="506"/>
      <c r="R43" s="524" t="s">
        <v>93</v>
      </c>
      <c r="S43" s="525"/>
      <c r="T43" s="526"/>
      <c r="U43" s="35">
        <v>30</v>
      </c>
      <c r="V43" s="36">
        <v>0.1</v>
      </c>
      <c r="W43" s="35">
        <v>20</v>
      </c>
      <c r="X43" s="37">
        <f>W43*U43</f>
        <v>600</v>
      </c>
      <c r="Y43" s="4">
        <v>400</v>
      </c>
      <c r="Z43" s="508" t="s">
        <v>92</v>
      </c>
      <c r="AA43" s="506"/>
    </row>
    <row r="44" spans="1:27" ht="14.25">
      <c r="A44" s="68"/>
      <c r="M44" s="25"/>
      <c r="N44" s="24">
        <v>2</v>
      </c>
      <c r="O44" s="509"/>
      <c r="P44" s="505"/>
      <c r="Q44" s="506"/>
      <c r="R44" s="509"/>
      <c r="S44" s="505"/>
      <c r="T44" s="506"/>
      <c r="U44" s="4"/>
      <c r="V44" s="14"/>
      <c r="W44" s="4"/>
      <c r="X44" s="37">
        <f>W44*U44</f>
        <v>0</v>
      </c>
      <c r="Y44" s="4"/>
      <c r="Z44" s="509"/>
      <c r="AA44" s="506"/>
    </row>
    <row r="45" spans="1:27" ht="14.25">
      <c r="A45" s="18"/>
      <c r="B45" s="50" t="s">
        <v>47</v>
      </c>
      <c r="C45" s="507" t="s">
        <v>12</v>
      </c>
      <c r="D45" s="505"/>
      <c r="E45" s="506"/>
      <c r="F45" s="50" t="s">
        <v>46</v>
      </c>
      <c r="G45" s="50" t="s">
        <v>48</v>
      </c>
      <c r="H45" s="50" t="s">
        <v>49</v>
      </c>
      <c r="I45" s="8" t="s">
        <v>13</v>
      </c>
      <c r="J45" s="520" t="s">
        <v>51</v>
      </c>
      <c r="K45" s="506"/>
      <c r="M45" s="25"/>
      <c r="N45" s="24">
        <v>3</v>
      </c>
      <c r="O45" s="509"/>
      <c r="P45" s="505"/>
      <c r="Q45" s="506"/>
      <c r="R45" s="509"/>
      <c r="S45" s="505"/>
      <c r="T45" s="506"/>
      <c r="U45" s="4"/>
      <c r="V45" s="14"/>
      <c r="W45" s="4"/>
      <c r="X45" s="37">
        <f>W45*U45</f>
        <v>0</v>
      </c>
      <c r="Y45" s="4"/>
      <c r="Z45" s="509"/>
      <c r="AA45" s="506"/>
    </row>
    <row r="46" spans="1:27" ht="14.25">
      <c r="A46" s="53" t="s">
        <v>36</v>
      </c>
      <c r="B46" s="6">
        <v>1</v>
      </c>
      <c r="C46" s="508" t="s">
        <v>82</v>
      </c>
      <c r="D46" s="505"/>
      <c r="E46" s="506"/>
      <c r="F46" s="4">
        <v>15</v>
      </c>
      <c r="G46" s="4">
        <v>1200</v>
      </c>
      <c r="H46" s="4">
        <v>80</v>
      </c>
      <c r="I46" s="4">
        <v>5</v>
      </c>
      <c r="J46" s="508" t="s">
        <v>83</v>
      </c>
      <c r="K46" s="506"/>
      <c r="M46" s="25"/>
      <c r="N46" s="24">
        <v>4</v>
      </c>
      <c r="O46" s="509"/>
      <c r="P46" s="505"/>
      <c r="Q46" s="506"/>
      <c r="R46" s="509"/>
      <c r="S46" s="505"/>
      <c r="T46" s="506"/>
      <c r="U46" s="4"/>
      <c r="V46" s="14"/>
      <c r="W46" s="4"/>
      <c r="X46" s="37">
        <f>W46*U46</f>
        <v>0</v>
      </c>
      <c r="Y46" s="4"/>
      <c r="Z46" s="509"/>
      <c r="AA46" s="506"/>
    </row>
    <row r="47" spans="1:27" ht="14.25">
      <c r="A47" s="23"/>
      <c r="B47" s="6">
        <v>2</v>
      </c>
      <c r="C47" s="509"/>
      <c r="D47" s="505"/>
      <c r="E47" s="506"/>
      <c r="F47" s="4"/>
      <c r="G47" s="4"/>
      <c r="H47" s="4"/>
      <c r="I47" s="4"/>
      <c r="J47" s="509"/>
      <c r="K47" s="506"/>
      <c r="M47" s="25"/>
      <c r="N47" s="29">
        <v>5</v>
      </c>
      <c r="O47" s="509"/>
      <c r="P47" s="505"/>
      <c r="Q47" s="506"/>
      <c r="R47" s="509"/>
      <c r="S47" s="505"/>
      <c r="T47" s="506"/>
      <c r="U47" s="27"/>
      <c r="V47" s="30"/>
      <c r="W47" s="27"/>
      <c r="X47" s="40">
        <f>W47*U47</f>
        <v>0</v>
      </c>
      <c r="Y47" s="4"/>
      <c r="Z47" s="509"/>
      <c r="AA47" s="506"/>
    </row>
    <row r="48" spans="1:27" ht="14.25">
      <c r="A48" s="23"/>
      <c r="B48" s="6">
        <v>3</v>
      </c>
      <c r="C48" s="509"/>
      <c r="D48" s="505"/>
      <c r="E48" s="506"/>
      <c r="F48" s="4"/>
      <c r="G48" s="4"/>
      <c r="H48" s="4"/>
      <c r="I48" s="4"/>
      <c r="J48" s="509"/>
      <c r="K48" s="506"/>
      <c r="M48" s="69"/>
      <c r="N48" s="45"/>
      <c r="O48" s="516"/>
      <c r="P48" s="505"/>
      <c r="Q48" s="505"/>
      <c r="R48" s="516"/>
      <c r="S48" s="505"/>
      <c r="T48" s="505"/>
      <c r="U48" s="60" t="s">
        <v>58</v>
      </c>
      <c r="V48" s="33">
        <f>X48/N19</f>
        <v>0.13333333333333333</v>
      </c>
      <c r="W48" s="60" t="s">
        <v>59</v>
      </c>
      <c r="X48" s="34">
        <f>SUM(X43:X47)</f>
        <v>600</v>
      </c>
      <c r="Y48" s="45"/>
      <c r="Z48" s="516"/>
      <c r="AA48" s="506"/>
    </row>
    <row r="49" spans="1:27" ht="14.25">
      <c r="A49" s="23"/>
      <c r="B49" s="6">
        <v>4</v>
      </c>
      <c r="C49" s="509"/>
      <c r="D49" s="505"/>
      <c r="E49" s="506"/>
      <c r="F49" s="4"/>
      <c r="G49" s="4"/>
      <c r="H49" s="4"/>
      <c r="I49" s="4"/>
      <c r="J49" s="509"/>
      <c r="K49" s="506"/>
      <c r="M49" s="1"/>
      <c r="N49" s="1"/>
      <c r="O49" s="1"/>
      <c r="P49" s="1"/>
      <c r="Q49" s="1"/>
      <c r="R49" s="1"/>
      <c r="S49" s="1"/>
      <c r="T49" s="1"/>
      <c r="U49" s="1"/>
      <c r="V49" s="38"/>
      <c r="W49" s="1"/>
      <c r="X49" s="1"/>
      <c r="Y49" s="1"/>
      <c r="Z49" s="1"/>
      <c r="AA49" s="1"/>
    </row>
    <row r="50" spans="1:27" ht="14.25">
      <c r="A50" s="23"/>
      <c r="B50" s="26">
        <v>5</v>
      </c>
      <c r="C50" s="510"/>
      <c r="D50" s="514"/>
      <c r="E50" s="511"/>
      <c r="F50" s="27"/>
      <c r="G50" s="27"/>
      <c r="H50" s="27"/>
      <c r="I50" s="27"/>
      <c r="J50" s="510"/>
      <c r="K50" s="511"/>
      <c r="M50" s="65" t="s">
        <v>17</v>
      </c>
      <c r="N50" s="67"/>
      <c r="O50" s="67"/>
      <c r="P50" s="67"/>
      <c r="Q50" s="67"/>
      <c r="R50" s="67"/>
      <c r="S50" s="67"/>
      <c r="T50" s="67"/>
      <c r="U50" s="67"/>
      <c r="V50" s="66"/>
      <c r="W50" s="67"/>
      <c r="X50" s="67"/>
      <c r="Y50" s="67"/>
      <c r="Z50" s="67"/>
      <c r="AA50" s="67"/>
    </row>
    <row r="51" spans="1:27" ht="14.25">
      <c r="A51" s="23"/>
      <c r="B51" s="70" t="s">
        <v>101</v>
      </c>
      <c r="C51" s="512" t="s">
        <v>89</v>
      </c>
      <c r="D51" s="519"/>
      <c r="E51" s="513"/>
      <c r="F51" s="28">
        <v>18</v>
      </c>
      <c r="G51" s="28">
        <v>800</v>
      </c>
      <c r="H51" s="28">
        <v>44.44</v>
      </c>
      <c r="I51" s="28">
        <v>-15</v>
      </c>
      <c r="J51" s="512" t="s">
        <v>84</v>
      </c>
      <c r="K51" s="513"/>
      <c r="M51" s="8"/>
      <c r="N51" s="8" t="s">
        <v>18</v>
      </c>
      <c r="O51" s="515" t="s">
        <v>12</v>
      </c>
      <c r="P51" s="516"/>
      <c r="Q51" s="517"/>
      <c r="R51" s="521" t="s">
        <v>53</v>
      </c>
      <c r="S51" s="522"/>
      <c r="T51" s="523"/>
      <c r="U51" s="58" t="s">
        <v>54</v>
      </c>
      <c r="V51" s="39" t="s">
        <v>19</v>
      </c>
      <c r="W51" s="58" t="s">
        <v>57</v>
      </c>
      <c r="X51" s="8" t="s">
        <v>2</v>
      </c>
      <c r="Y51" s="515" t="s">
        <v>50</v>
      </c>
      <c r="Z51" s="516"/>
      <c r="AA51" s="517"/>
    </row>
    <row r="52" spans="1:27" ht="14.25">
      <c r="A52" s="23"/>
      <c r="B52" s="71" t="s">
        <v>102</v>
      </c>
      <c r="C52" s="509"/>
      <c r="D52" s="505"/>
      <c r="E52" s="506"/>
      <c r="F52" s="4"/>
      <c r="G52" s="4"/>
      <c r="H52" s="4"/>
      <c r="I52" s="4"/>
      <c r="J52" s="509"/>
      <c r="K52" s="506"/>
      <c r="M52" s="57" t="s">
        <v>42</v>
      </c>
      <c r="N52" s="24">
        <v>1</v>
      </c>
      <c r="O52" s="508" t="s">
        <v>89</v>
      </c>
      <c r="P52" s="505"/>
      <c r="Q52" s="506"/>
      <c r="R52" s="524" t="s">
        <v>93</v>
      </c>
      <c r="S52" s="525"/>
      <c r="T52" s="526"/>
      <c r="U52" s="4">
        <v>30</v>
      </c>
      <c r="V52" s="14">
        <v>0.62</v>
      </c>
      <c r="W52" s="14">
        <v>0.57999999999999996</v>
      </c>
      <c r="X52" s="13">
        <f>W52-V52</f>
        <v>-4.0000000000000036E-2</v>
      </c>
      <c r="Y52" s="508" t="s">
        <v>97</v>
      </c>
      <c r="Z52" s="505"/>
      <c r="AA52" s="506"/>
    </row>
    <row r="53" spans="1:27" ht="14.25">
      <c r="A53" s="23"/>
      <c r="B53" s="71" t="s">
        <v>100</v>
      </c>
      <c r="C53" s="509"/>
      <c r="D53" s="505"/>
      <c r="E53" s="506"/>
      <c r="F53" s="4"/>
      <c r="G53" s="4"/>
      <c r="H53" s="4"/>
      <c r="I53" s="4"/>
      <c r="J53" s="509"/>
      <c r="K53" s="506"/>
      <c r="M53" s="25"/>
      <c r="N53" s="29">
        <v>2</v>
      </c>
      <c r="O53" s="510"/>
      <c r="P53" s="514"/>
      <c r="Q53" s="511"/>
      <c r="R53" s="510"/>
      <c r="S53" s="514"/>
      <c r="T53" s="511"/>
      <c r="U53" s="27"/>
      <c r="V53" s="30"/>
      <c r="W53" s="30"/>
      <c r="X53" s="41">
        <f>W53-V53</f>
        <v>0</v>
      </c>
      <c r="Y53" s="510"/>
      <c r="Z53" s="514"/>
      <c r="AA53" s="511"/>
    </row>
    <row r="54" spans="1:27" ht="14.25">
      <c r="A54" s="23"/>
      <c r="B54" s="71" t="s">
        <v>99</v>
      </c>
      <c r="C54" s="509"/>
      <c r="D54" s="505"/>
      <c r="E54" s="506"/>
      <c r="F54" s="4"/>
      <c r="G54" s="4"/>
      <c r="H54" s="4"/>
      <c r="I54" s="4"/>
      <c r="J54" s="509"/>
      <c r="K54" s="506"/>
      <c r="M54" s="57" t="s">
        <v>43</v>
      </c>
      <c r="N54" s="42">
        <v>1</v>
      </c>
      <c r="O54" s="512" t="s">
        <v>94</v>
      </c>
      <c r="P54" s="519"/>
      <c r="Q54" s="513"/>
      <c r="R54" s="512" t="s">
        <v>95</v>
      </c>
      <c r="S54" s="519"/>
      <c r="T54" s="513"/>
      <c r="U54" s="28">
        <v>20</v>
      </c>
      <c r="V54" s="43">
        <v>0.9</v>
      </c>
      <c r="W54" s="43">
        <v>0.82</v>
      </c>
      <c r="X54" s="44">
        <f>W54-V54</f>
        <v>-8.0000000000000071E-2</v>
      </c>
      <c r="Y54" s="512" t="s">
        <v>96</v>
      </c>
      <c r="Z54" s="519"/>
      <c r="AA54" s="513"/>
    </row>
    <row r="55" spans="1:27" ht="14.25">
      <c r="A55" s="20"/>
      <c r="B55" s="71" t="s">
        <v>103</v>
      </c>
      <c r="C55" s="509"/>
      <c r="D55" s="505"/>
      <c r="E55" s="506"/>
      <c r="F55" s="4"/>
      <c r="G55" s="4"/>
      <c r="H55" s="4"/>
      <c r="I55" s="4"/>
      <c r="J55" s="509"/>
      <c r="K55" s="506"/>
      <c r="M55" s="22"/>
      <c r="N55" s="24">
        <v>2</v>
      </c>
      <c r="O55" s="509"/>
      <c r="P55" s="505"/>
      <c r="Q55" s="506"/>
      <c r="R55" s="509"/>
      <c r="S55" s="505"/>
      <c r="T55" s="506"/>
      <c r="U55" s="4"/>
      <c r="V55" s="14"/>
      <c r="W55" s="14"/>
      <c r="X55" s="13">
        <f>W55-V55</f>
        <v>0</v>
      </c>
      <c r="Y55" s="509"/>
      <c r="Z55" s="505"/>
      <c r="AA55" s="506"/>
    </row>
  </sheetData>
  <mergeCells count="162">
    <mergeCell ref="Z26:AA26"/>
    <mergeCell ref="Z27:AA27"/>
    <mergeCell ref="Z28:AA28"/>
    <mergeCell ref="Z29:AA29"/>
    <mergeCell ref="Z30:AA30"/>
    <mergeCell ref="Z31:AA31"/>
    <mergeCell ref="Z32:AA32"/>
    <mergeCell ref="Y52:AA52"/>
    <mergeCell ref="Y53:AA53"/>
    <mergeCell ref="Y54:AA54"/>
    <mergeCell ref="Y55:AA55"/>
    <mergeCell ref="Z33:AA33"/>
    <mergeCell ref="Z34:AA34"/>
    <mergeCell ref="Z45:AA45"/>
    <mergeCell ref="Z46:AA46"/>
    <mergeCell ref="Z47:AA47"/>
    <mergeCell ref="Z48:AA48"/>
    <mergeCell ref="Y51:AA51"/>
    <mergeCell ref="Y35:AA35"/>
    <mergeCell ref="Z36:AA36"/>
    <mergeCell ref="Z42:AA42"/>
    <mergeCell ref="Z43:AA43"/>
    <mergeCell ref="Z44:AA44"/>
    <mergeCell ref="O35:Q35"/>
    <mergeCell ref="R35:T35"/>
    <mergeCell ref="R36:T36"/>
    <mergeCell ref="J35:K35"/>
    <mergeCell ref="J36:K36"/>
    <mergeCell ref="J27:K27"/>
    <mergeCell ref="J28:K28"/>
    <mergeCell ref="J29:K29"/>
    <mergeCell ref="J30:K30"/>
    <mergeCell ref="J31:K31"/>
    <mergeCell ref="J33:K33"/>
    <mergeCell ref="J34:K34"/>
    <mergeCell ref="O32:Q32"/>
    <mergeCell ref="O33:Q33"/>
    <mergeCell ref="O29:Q29"/>
    <mergeCell ref="R29:T29"/>
    <mergeCell ref="O30:Q30"/>
    <mergeCell ref="R30:T30"/>
    <mergeCell ref="O31:Q31"/>
    <mergeCell ref="R31:T31"/>
    <mergeCell ref="R32:T32"/>
    <mergeCell ref="R33:T33"/>
    <mergeCell ref="C52:E52"/>
    <mergeCell ref="C53:E53"/>
    <mergeCell ref="C54:E54"/>
    <mergeCell ref="C34:E34"/>
    <mergeCell ref="C35:E35"/>
    <mergeCell ref="C36:E36"/>
    <mergeCell ref="C37:E37"/>
    <mergeCell ref="J37:K37"/>
    <mergeCell ref="C38:E38"/>
    <mergeCell ref="C39:E39"/>
    <mergeCell ref="C40:E40"/>
    <mergeCell ref="J40:K40"/>
    <mergeCell ref="J49:K49"/>
    <mergeCell ref="J50:K50"/>
    <mergeCell ref="J51:K51"/>
    <mergeCell ref="C41:E41"/>
    <mergeCell ref="J41:K41"/>
    <mergeCell ref="C42:E42"/>
    <mergeCell ref="J42:K42"/>
    <mergeCell ref="J43:K43"/>
    <mergeCell ref="C51:E51"/>
    <mergeCell ref="O42:Q42"/>
    <mergeCell ref="R42:T42"/>
    <mergeCell ref="O43:Q43"/>
    <mergeCell ref="R43:T43"/>
    <mergeCell ref="O44:Q44"/>
    <mergeCell ref="R44:T44"/>
    <mergeCell ref="O45:Q45"/>
    <mergeCell ref="R45:T45"/>
    <mergeCell ref="C55:E55"/>
    <mergeCell ref="C43:E43"/>
    <mergeCell ref="C45:E45"/>
    <mergeCell ref="C46:E46"/>
    <mergeCell ref="C47:E47"/>
    <mergeCell ref="C48:E48"/>
    <mergeCell ref="C49:E49"/>
    <mergeCell ref="C50:E50"/>
    <mergeCell ref="J52:K52"/>
    <mergeCell ref="J53:K53"/>
    <mergeCell ref="J54:K54"/>
    <mergeCell ref="J55:K55"/>
    <mergeCell ref="J45:K45"/>
    <mergeCell ref="J46:K46"/>
    <mergeCell ref="J47:K47"/>
    <mergeCell ref="J48:K48"/>
    <mergeCell ref="O46:Q46"/>
    <mergeCell ref="R46:T46"/>
    <mergeCell ref="O47:Q47"/>
    <mergeCell ref="R47:T47"/>
    <mergeCell ref="R48:T48"/>
    <mergeCell ref="O54:Q54"/>
    <mergeCell ref="R54:T54"/>
    <mergeCell ref="O55:Q55"/>
    <mergeCell ref="R55:T55"/>
    <mergeCell ref="O48:Q48"/>
    <mergeCell ref="O51:Q51"/>
    <mergeCell ref="R51:T51"/>
    <mergeCell ref="O52:Q52"/>
    <mergeCell ref="R52:T52"/>
    <mergeCell ref="O53:Q53"/>
    <mergeCell ref="R53:T53"/>
    <mergeCell ref="C21:E21"/>
    <mergeCell ref="J21:K21"/>
    <mergeCell ref="C22:E22"/>
    <mergeCell ref="O22:Q22"/>
    <mergeCell ref="R22:T22"/>
    <mergeCell ref="Z22:AA22"/>
    <mergeCell ref="C23:E23"/>
    <mergeCell ref="Z23:AA23"/>
    <mergeCell ref="O23:Q23"/>
    <mergeCell ref="R23:T23"/>
    <mergeCell ref="O24:Q24"/>
    <mergeCell ref="R24:T24"/>
    <mergeCell ref="Z24:AA24"/>
    <mergeCell ref="R25:T25"/>
    <mergeCell ref="Z25:AA25"/>
    <mergeCell ref="J22:K22"/>
    <mergeCell ref="J23:K23"/>
    <mergeCell ref="C24:E24"/>
    <mergeCell ref="J24:K24"/>
    <mergeCell ref="C25:E25"/>
    <mergeCell ref="J25:K25"/>
    <mergeCell ref="J26:K26"/>
    <mergeCell ref="O25:Q25"/>
    <mergeCell ref="O26:Q26"/>
    <mergeCell ref="R26:T26"/>
    <mergeCell ref="O27:Q27"/>
    <mergeCell ref="R27:T27"/>
    <mergeCell ref="O28:Q28"/>
    <mergeCell ref="R28:T28"/>
    <mergeCell ref="C26:E26"/>
    <mergeCell ref="C27:E27"/>
    <mergeCell ref="C28:E28"/>
    <mergeCell ref="C29:E29"/>
    <mergeCell ref="C30:E30"/>
    <mergeCell ref="C31:E31"/>
    <mergeCell ref="C33:E33"/>
    <mergeCell ref="Z37:AA37"/>
    <mergeCell ref="Z38:AA38"/>
    <mergeCell ref="Z39:AA39"/>
    <mergeCell ref="Z40:AA40"/>
    <mergeCell ref="Z41:AA41"/>
    <mergeCell ref="J38:K38"/>
    <mergeCell ref="J39:K39"/>
    <mergeCell ref="O39:Q39"/>
    <mergeCell ref="R39:T39"/>
    <mergeCell ref="O40:Q40"/>
    <mergeCell ref="R40:T40"/>
    <mergeCell ref="R41:T41"/>
    <mergeCell ref="O41:Q41"/>
    <mergeCell ref="O36:Q36"/>
    <mergeCell ref="O37:Q37"/>
    <mergeCell ref="R37:T37"/>
    <mergeCell ref="O38:Q38"/>
    <mergeCell ref="R38:T38"/>
    <mergeCell ref="O34:Q34"/>
    <mergeCell ref="R34:T34"/>
  </mergeCells>
  <phoneticPr fontId="9"/>
  <printOptions horizontalCentered="1" gridLines="1"/>
  <pageMargins left="0.7" right="0.7" top="0.75" bottom="0.75" header="0" footer="0"/>
  <pageSetup paperSize="9" fitToHeight="0" pageOrder="overThenDown" orientation="landscape" cellComments="atEnd"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R38"/>
  <sheetViews>
    <sheetView zoomScale="90" zoomScaleNormal="90" zoomScaleSheetLayoutView="115" workbookViewId="0">
      <selection activeCell="B6" sqref="B6:B11"/>
    </sheetView>
  </sheetViews>
  <sheetFormatPr defaultColWidth="12.5703125" defaultRowHeight="15.75" customHeight="1"/>
  <cols>
    <col min="1" max="1" width="27.42578125" style="120" bestFit="1" customWidth="1"/>
    <col min="2" max="2" width="12.5703125" style="120" customWidth="1"/>
    <col min="3" max="4" width="12.5703125" style="120"/>
    <col min="5" max="5" width="16.42578125" style="120" customWidth="1"/>
    <col min="6" max="6" width="2.42578125" style="120" customWidth="1"/>
    <col min="7" max="7" width="24.85546875" style="120" bestFit="1" customWidth="1"/>
    <col min="8" max="10" width="12.5703125" style="120"/>
    <col min="11" max="11" width="16.42578125" style="120" customWidth="1"/>
    <col min="12" max="12" width="12.5703125" style="121"/>
    <col min="13" max="16384" width="12.5703125" style="120"/>
  </cols>
  <sheetData>
    <row r="1" spans="1:12" ht="15.75" customHeight="1">
      <c r="A1" s="531" t="s">
        <v>370</v>
      </c>
      <c r="B1" s="531"/>
      <c r="C1" s="531"/>
      <c r="D1" s="531"/>
      <c r="E1" s="531"/>
      <c r="F1" s="531"/>
      <c r="G1" s="531"/>
      <c r="H1" s="531"/>
      <c r="I1" s="531"/>
      <c r="J1" s="531"/>
      <c r="K1" s="531"/>
      <c r="L1" s="120"/>
    </row>
    <row r="2" spans="1:12" s="121" customFormat="1" ht="15.75" customHeight="1">
      <c r="A2" s="531"/>
      <c r="B2" s="531"/>
      <c r="C2" s="531"/>
      <c r="D2" s="531"/>
      <c r="E2" s="531"/>
      <c r="F2" s="531"/>
      <c r="G2" s="531"/>
      <c r="H2" s="531"/>
      <c r="I2" s="531"/>
      <c r="J2" s="531"/>
      <c r="K2" s="531"/>
    </row>
    <row r="3" spans="1:12" ht="21.6" customHeight="1">
      <c r="A3" s="140" t="s">
        <v>307</v>
      </c>
      <c r="B3" s="141">
        <v>10</v>
      </c>
      <c r="C3" s="140" t="s">
        <v>20</v>
      </c>
      <c r="D3" s="532" t="s">
        <v>369</v>
      </c>
      <c r="E3" s="532"/>
      <c r="F3" s="131"/>
      <c r="G3" s="132"/>
      <c r="H3" s="131"/>
      <c r="I3" s="131"/>
      <c r="J3" s="131"/>
      <c r="K3" s="131"/>
    </row>
    <row r="4" spans="1:12" s="122" customFormat="1" ht="15.75" customHeight="1">
      <c r="A4" s="133" t="s">
        <v>177</v>
      </c>
      <c r="B4" s="134"/>
      <c r="C4" s="134"/>
      <c r="D4" s="134"/>
      <c r="E4" s="124" t="s">
        <v>23</v>
      </c>
      <c r="F4" s="134"/>
      <c r="G4" s="135" t="s">
        <v>125</v>
      </c>
      <c r="H4" s="134"/>
      <c r="I4" s="134"/>
      <c r="J4" s="134"/>
      <c r="K4" s="134"/>
    </row>
    <row r="5" spans="1:12" s="126" customFormat="1" ht="15.75" customHeight="1">
      <c r="A5" s="147" t="s">
        <v>179</v>
      </c>
      <c r="B5" s="142" t="s">
        <v>22</v>
      </c>
      <c r="C5" s="142" t="s">
        <v>1</v>
      </c>
      <c r="D5" s="142" t="s">
        <v>2</v>
      </c>
      <c r="E5" s="142" t="s">
        <v>3</v>
      </c>
      <c r="F5" s="136"/>
      <c r="G5" s="147" t="s">
        <v>179</v>
      </c>
      <c r="H5" s="142" t="s">
        <v>69</v>
      </c>
      <c r="I5" s="142" t="s">
        <v>22</v>
      </c>
      <c r="J5" s="142" t="s">
        <v>67</v>
      </c>
      <c r="K5" s="142" t="s">
        <v>3</v>
      </c>
      <c r="L5" s="127" t="s">
        <v>60</v>
      </c>
    </row>
    <row r="6" spans="1:12" s="122" customFormat="1" ht="18" customHeight="1">
      <c r="A6" s="129" t="s">
        <v>24</v>
      </c>
      <c r="B6" s="143">
        <f>'（１）收支狀況'!H10/1000</f>
        <v>161521.57699999999</v>
      </c>
      <c r="C6" s="280">
        <v>224463.48699999999</v>
      </c>
      <c r="D6" s="143">
        <f t="shared" ref="D6:D11" si="0">B6-C6</f>
        <v>-62941.91</v>
      </c>
      <c r="E6" s="143">
        <f t="shared" ref="E6:E11" si="1">B6</f>
        <v>161521.57699999999</v>
      </c>
      <c r="F6" s="134"/>
      <c r="G6" s="129" t="s">
        <v>180</v>
      </c>
      <c r="H6" s="283">
        <v>266</v>
      </c>
      <c r="I6" s="145">
        <f>'（２）ＫＰＩ達成進度'!H6</f>
        <v>0</v>
      </c>
      <c r="J6" s="296">
        <v>330.21457859125206</v>
      </c>
      <c r="K6" s="145">
        <f t="shared" ref="K6:K11" si="2">I6</f>
        <v>0</v>
      </c>
      <c r="L6" s="123" t="s">
        <v>176</v>
      </c>
    </row>
    <row r="7" spans="1:12" s="122" customFormat="1" ht="18" customHeight="1">
      <c r="A7" s="129" t="s">
        <v>25</v>
      </c>
      <c r="B7" s="143">
        <f>'（１）收支狀況'!K10</f>
        <v>4767736</v>
      </c>
      <c r="C7" s="280">
        <v>6964636</v>
      </c>
      <c r="D7" s="143">
        <f t="shared" si="0"/>
        <v>-2196900</v>
      </c>
      <c r="E7" s="143">
        <f t="shared" si="1"/>
        <v>4767736</v>
      </c>
      <c r="F7" s="134"/>
      <c r="G7" s="129" t="s">
        <v>181</v>
      </c>
      <c r="H7" s="253">
        <v>0.8</v>
      </c>
      <c r="I7" s="144">
        <f>'（２）ＫＰＩ達成進度'!K6</f>
        <v>0</v>
      </c>
      <c r="J7" s="281">
        <v>0.90222562456626254</v>
      </c>
      <c r="K7" s="144">
        <f t="shared" si="2"/>
        <v>0</v>
      </c>
      <c r="L7" s="123" t="s">
        <v>4</v>
      </c>
    </row>
    <row r="8" spans="1:12" s="122" customFormat="1" ht="18" customHeight="1">
      <c r="A8" s="129" t="s">
        <v>5</v>
      </c>
      <c r="B8" s="143">
        <f>'（１）收支狀況'!N10/1000</f>
        <v>105094.14599999999</v>
      </c>
      <c r="C8" s="280">
        <v>150244.29199999999</v>
      </c>
      <c r="D8" s="143">
        <f>B8-C8</f>
        <v>-45150.145999999993</v>
      </c>
      <c r="E8" s="143">
        <f t="shared" si="1"/>
        <v>105094.14599999999</v>
      </c>
      <c r="F8" s="134"/>
      <c r="G8" s="129" t="s">
        <v>182</v>
      </c>
      <c r="H8" s="248">
        <v>2.5000000000000001E-3</v>
      </c>
      <c r="I8" s="248">
        <f>'（２）ＫＰＩ達成進度'!N6</f>
        <v>0</v>
      </c>
      <c r="J8" s="297">
        <v>2.4646256819628254E-3</v>
      </c>
      <c r="K8" s="248">
        <f t="shared" si="2"/>
        <v>0</v>
      </c>
      <c r="L8" s="123" t="s">
        <v>55</v>
      </c>
    </row>
    <row r="9" spans="1:12" s="122" customFormat="1" ht="18" customHeight="1">
      <c r="A9" s="129" t="s">
        <v>6</v>
      </c>
      <c r="B9" s="144">
        <f>'（１）收支狀況'!Q10</f>
        <v>0.65065081676363279</v>
      </c>
      <c r="C9" s="281">
        <v>0.66934847180735457</v>
      </c>
      <c r="D9" s="144">
        <f t="shared" si="0"/>
        <v>-1.8697655043721784E-2</v>
      </c>
      <c r="E9" s="144">
        <f t="shared" si="1"/>
        <v>0.65065081676363279</v>
      </c>
      <c r="F9" s="134"/>
      <c r="G9" s="129" t="s">
        <v>183</v>
      </c>
      <c r="H9" s="248">
        <v>2.5999999999999999E-3</v>
      </c>
      <c r="I9" s="248">
        <f>'（２）ＫＰＩ達成進度'!Q6</f>
        <v>0</v>
      </c>
      <c r="J9" s="297">
        <v>2.3405370745029669E-3</v>
      </c>
      <c r="K9" s="248">
        <f t="shared" si="2"/>
        <v>0</v>
      </c>
      <c r="L9" s="123" t="s">
        <v>98</v>
      </c>
    </row>
    <row r="10" spans="1:12" s="122" customFormat="1" ht="18" customHeight="1">
      <c r="A10" s="129" t="s">
        <v>64</v>
      </c>
      <c r="B10" s="143">
        <f>'（１）收支狀況'!T10/1000</f>
        <v>18497.421250945968</v>
      </c>
      <c r="C10" s="280">
        <v>32105.786706827967</v>
      </c>
      <c r="D10" s="143">
        <f t="shared" si="0"/>
        <v>-13608.365455881998</v>
      </c>
      <c r="E10" s="143">
        <f t="shared" si="1"/>
        <v>18497.421250945968</v>
      </c>
      <c r="F10" s="134"/>
      <c r="G10" s="129" t="s">
        <v>184</v>
      </c>
      <c r="H10" s="250">
        <v>0.8</v>
      </c>
      <c r="I10" s="250">
        <f>'（２）ＫＰＩ達成進度'!T6</f>
        <v>0</v>
      </c>
      <c r="J10" s="298">
        <v>0.91666666666666707</v>
      </c>
      <c r="K10" s="250">
        <f t="shared" si="2"/>
        <v>0</v>
      </c>
      <c r="L10" s="123" t="s">
        <v>7</v>
      </c>
    </row>
    <row r="11" spans="1:12" s="122" customFormat="1" ht="18" customHeight="1">
      <c r="A11" s="129" t="s">
        <v>65</v>
      </c>
      <c r="B11" s="144">
        <f>'（１）收支狀況'!W10</f>
        <v>0.11451981583207281</v>
      </c>
      <c r="C11" s="281">
        <v>0.14303344894053066</v>
      </c>
      <c r="D11" s="144">
        <f t="shared" si="0"/>
        <v>-2.851363310845785E-2</v>
      </c>
      <c r="E11" s="144">
        <f t="shared" si="1"/>
        <v>0.11451981583207281</v>
      </c>
      <c r="F11" s="134"/>
      <c r="G11" s="129" t="s">
        <v>185</v>
      </c>
      <c r="H11" s="250">
        <v>1</v>
      </c>
      <c r="I11" s="144">
        <f>'（２）ＫＰＩ達成進度'!W6</f>
        <v>0</v>
      </c>
      <c r="J11" s="281">
        <v>0.84941935483870945</v>
      </c>
      <c r="K11" s="144">
        <f t="shared" si="2"/>
        <v>0</v>
      </c>
      <c r="L11" s="123" t="s">
        <v>62</v>
      </c>
    </row>
    <row r="12" spans="1:12" s="122" customFormat="1" ht="9.6" customHeight="1">
      <c r="A12" s="134"/>
      <c r="B12" s="134"/>
      <c r="C12" s="134"/>
      <c r="D12" s="134"/>
      <c r="E12" s="134"/>
      <c r="F12" s="134"/>
      <c r="G12" s="134"/>
      <c r="H12" s="134"/>
      <c r="I12" s="134"/>
      <c r="J12" s="134"/>
      <c r="K12" s="134"/>
    </row>
    <row r="13" spans="1:12" s="122" customFormat="1" ht="15.75" customHeight="1">
      <c r="A13" s="133" t="s">
        <v>32</v>
      </c>
      <c r="B13" s="134"/>
      <c r="C13" s="134"/>
      <c r="D13" s="134"/>
      <c r="E13" s="134"/>
      <c r="F13" s="134"/>
      <c r="G13" s="133" t="s">
        <v>147</v>
      </c>
      <c r="H13" s="134"/>
      <c r="I13" s="134"/>
      <c r="J13" s="134"/>
      <c r="K13" s="134"/>
    </row>
    <row r="14" spans="1:12" s="128" customFormat="1" ht="14.25">
      <c r="A14" s="146"/>
      <c r="B14" s="146" t="s">
        <v>22</v>
      </c>
      <c r="C14" s="146" t="s">
        <v>66</v>
      </c>
      <c r="D14" s="146" t="s">
        <v>67</v>
      </c>
      <c r="E14" s="146" t="s">
        <v>68</v>
      </c>
      <c r="F14" s="137"/>
      <c r="G14" s="146"/>
      <c r="H14" s="146" t="s">
        <v>22</v>
      </c>
      <c r="I14" s="146" t="s">
        <v>66</v>
      </c>
      <c r="J14" s="146" t="s">
        <v>67</v>
      </c>
      <c r="K14" s="146" t="s">
        <v>68</v>
      </c>
    </row>
    <row r="15" spans="1:12" s="122" customFormat="1" ht="18" customHeight="1">
      <c r="A15" s="129" t="s">
        <v>209</v>
      </c>
      <c r="B15" s="143">
        <f>'（３）業績構成比'!M46/1000</f>
        <v>30864.658288716179</v>
      </c>
      <c r="C15" s="144">
        <f>IFERROR(B15/$B$6,"")</f>
        <v>0.19108690530377981</v>
      </c>
      <c r="D15" s="281">
        <v>0.19061185820038584</v>
      </c>
      <c r="E15" s="144">
        <f>IFERROR(C15-D15,"")</f>
        <v>4.7504710339396627E-4</v>
      </c>
      <c r="F15" s="134"/>
      <c r="G15" s="129" t="s">
        <v>214</v>
      </c>
      <c r="H15" s="143">
        <f>'（４）訂單數量構成比'!M46</f>
        <v>1663484</v>
      </c>
      <c r="I15" s="144">
        <f t="shared" ref="I15:I23" si="3">IFERROR(H15/$B$7,"")</f>
        <v>0.3489043856455139</v>
      </c>
      <c r="J15" s="281">
        <v>0.33067557299476957</v>
      </c>
      <c r="K15" s="144">
        <f t="shared" ref="K15:K23" si="4">IFERROR(I15-J15,"")</f>
        <v>1.822881265074433E-2</v>
      </c>
    </row>
    <row r="16" spans="1:12" s="122" customFormat="1" ht="18" customHeight="1">
      <c r="A16" s="129" t="s">
        <v>204</v>
      </c>
      <c r="B16" s="143">
        <f>'（３）業績構成比'!S46/1000</f>
        <v>3449.9944557876029</v>
      </c>
      <c r="C16" s="144">
        <f t="shared" ref="C16:C23" si="5">IFERROR(B16/$B$6,"")</f>
        <v>2.1359341085356063E-2</v>
      </c>
      <c r="D16" s="281">
        <v>4.2789233591899609E-2</v>
      </c>
      <c r="E16" s="144">
        <f t="shared" ref="E16:E23" si="6">IFERROR(C16-D16,"")</f>
        <v>-2.1429892506543546E-2</v>
      </c>
      <c r="F16" s="134"/>
      <c r="G16" s="129" t="s">
        <v>233</v>
      </c>
      <c r="H16" s="143">
        <f>'（４）訂單數量構成比'!S47</f>
        <v>136370</v>
      </c>
      <c r="I16" s="144">
        <f t="shared" si="3"/>
        <v>2.860267430914799E-2</v>
      </c>
      <c r="J16" s="281">
        <v>6.1681041191528174E-2</v>
      </c>
      <c r="K16" s="144">
        <f t="shared" si="4"/>
        <v>-3.3078366882380181E-2</v>
      </c>
    </row>
    <row r="17" spans="1:18" s="122" customFormat="1" ht="18" customHeight="1">
      <c r="A17" s="129" t="s">
        <v>200</v>
      </c>
      <c r="B17" s="143">
        <f>'（３）業績構成比'!U46/1000</f>
        <v>21363.967650908166</v>
      </c>
      <c r="C17" s="144">
        <f t="shared" si="5"/>
        <v>0.1322669580603969</v>
      </c>
      <c r="D17" s="281">
        <v>8.6938303169141445E-2</v>
      </c>
      <c r="E17" s="144">
        <f t="shared" si="6"/>
        <v>4.5328654891255454E-2</v>
      </c>
      <c r="F17" s="134"/>
      <c r="G17" s="129" t="s">
        <v>215</v>
      </c>
      <c r="H17" s="143">
        <f>'（４）訂單數量構成比'!U46</f>
        <v>639886</v>
      </c>
      <c r="I17" s="144">
        <f t="shared" si="3"/>
        <v>0.13421170970875904</v>
      </c>
      <c r="J17" s="281">
        <v>8.2530228428305513E-2</v>
      </c>
      <c r="K17" s="144">
        <f t="shared" si="4"/>
        <v>5.1681481280453523E-2</v>
      </c>
    </row>
    <row r="18" spans="1:18" s="122" customFormat="1" ht="18" customHeight="1">
      <c r="A18" s="129" t="s">
        <v>202</v>
      </c>
      <c r="B18" s="143">
        <f>'（３）業績構成比'!W46/1000</f>
        <v>3720.832636676746</v>
      </c>
      <c r="C18" s="144">
        <f t="shared" si="5"/>
        <v>2.3036133659571353E-2</v>
      </c>
      <c r="D18" s="281">
        <v>1.4659145993880142E-2</v>
      </c>
      <c r="E18" s="144">
        <f t="shared" si="6"/>
        <v>8.3769876656912112E-3</v>
      </c>
      <c r="F18" s="134"/>
      <c r="G18" s="129" t="s">
        <v>201</v>
      </c>
      <c r="H18" s="143">
        <f>'（４）訂單數量構成比'!W46</f>
        <v>111093</v>
      </c>
      <c r="I18" s="144">
        <f t="shared" si="3"/>
        <v>2.3300996531687157E-2</v>
      </c>
      <c r="J18" s="281">
        <v>1.6773740939224964E-2</v>
      </c>
      <c r="K18" s="144">
        <f t="shared" si="4"/>
        <v>6.5272555924621931E-3</v>
      </c>
    </row>
    <row r="19" spans="1:18" s="122" customFormat="1" ht="18" customHeight="1">
      <c r="A19" s="129" t="s">
        <v>206</v>
      </c>
      <c r="B19" s="143">
        <f>'（３）業績構成比'!AC46/1000</f>
        <v>36638.472786184531</v>
      </c>
      <c r="C19" s="144">
        <f t="shared" si="5"/>
        <v>0.22683330281120603</v>
      </c>
      <c r="D19" s="281">
        <v>0.24409177848792188</v>
      </c>
      <c r="E19" s="144">
        <f t="shared" si="6"/>
        <v>-1.7258475676715845E-2</v>
      </c>
      <c r="F19" s="134"/>
      <c r="G19" s="129" t="s">
        <v>205</v>
      </c>
      <c r="H19" s="143">
        <f>'（４）訂單數量構成比'!AC46</f>
        <v>985657</v>
      </c>
      <c r="I19" s="144">
        <f t="shared" si="3"/>
        <v>0.20673481082006218</v>
      </c>
      <c r="J19" s="281">
        <v>0.19673059726308739</v>
      </c>
      <c r="K19" s="144">
        <f t="shared" si="4"/>
        <v>1.0004213556974784E-2</v>
      </c>
    </row>
    <row r="20" spans="1:18" s="122" customFormat="1" ht="18" customHeight="1">
      <c r="A20" s="129" t="s">
        <v>208</v>
      </c>
      <c r="B20" s="143">
        <f>'（３）業績構成比'!AE46/1000</f>
        <v>30877.574263102219</v>
      </c>
      <c r="C20" s="144">
        <f t="shared" si="5"/>
        <v>0.191166869693838</v>
      </c>
      <c r="D20" s="281">
        <v>0.1397972381723295</v>
      </c>
      <c r="E20" s="144">
        <f t="shared" si="6"/>
        <v>5.1369631521508502E-2</v>
      </c>
      <c r="F20" s="134"/>
      <c r="G20" s="129" t="s">
        <v>207</v>
      </c>
      <c r="H20" s="143">
        <f>'（４）訂單數量構成比'!AE46</f>
        <v>540960</v>
      </c>
      <c r="I20" s="144">
        <f t="shared" si="3"/>
        <v>0.11346265816731463</v>
      </c>
      <c r="J20" s="281">
        <v>7.9797709456746913E-2</v>
      </c>
      <c r="K20" s="144">
        <f t="shared" si="4"/>
        <v>3.3664948710567716E-2</v>
      </c>
    </row>
    <row r="21" spans="1:18" s="122" customFormat="1" ht="18" customHeight="1">
      <c r="A21" s="129" t="s">
        <v>210</v>
      </c>
      <c r="B21" s="143">
        <f>'（３）業績構成比'!AG46/1000</f>
        <v>21790.295974069959</v>
      </c>
      <c r="C21" s="144">
        <f>IFERROR(B21/$B$6,"")</f>
        <v>0.13490640927849509</v>
      </c>
      <c r="D21" s="281">
        <v>0.13619626613806221</v>
      </c>
      <c r="E21" s="144">
        <f>IFERROR(C21-D21,"")</f>
        <v>-1.2898568595671178E-3</v>
      </c>
      <c r="F21" s="134"/>
      <c r="G21" s="129" t="s">
        <v>216</v>
      </c>
      <c r="H21" s="143">
        <f>'（４）訂單數量構成比'!AG46</f>
        <v>414043</v>
      </c>
      <c r="I21" s="144">
        <f>IFERROR(H21/$B$7,"")</f>
        <v>8.6842685920529156E-2</v>
      </c>
      <c r="J21" s="281">
        <v>9.0009011239065476E-2</v>
      </c>
      <c r="K21" s="144">
        <f>IFERROR(I21-J21,"")</f>
        <v>-3.1663253185363199E-3</v>
      </c>
    </row>
    <row r="22" spans="1:18" s="122" customFormat="1" ht="18" customHeight="1">
      <c r="A22" s="129" t="s">
        <v>211</v>
      </c>
      <c r="B22" s="143">
        <f>'（３）業績構成比'!AI46/1000</f>
        <v>20678.049515271297</v>
      </c>
      <c r="C22" s="144">
        <f t="shared" si="5"/>
        <v>0.12802035430394107</v>
      </c>
      <c r="D22" s="281">
        <v>6.8175373790099608E-2</v>
      </c>
      <c r="E22" s="144">
        <f t="shared" si="6"/>
        <v>5.9844980513841461E-2</v>
      </c>
      <c r="F22" s="134"/>
      <c r="G22" s="129" t="s">
        <v>217</v>
      </c>
      <c r="H22" s="143">
        <f>'（４）訂單數量構成比'!AI46</f>
        <v>565913</v>
      </c>
      <c r="I22" s="144">
        <f t="shared" si="3"/>
        <v>0.11869637916193346</v>
      </c>
      <c r="J22" s="281">
        <v>5.972113976954431E-2</v>
      </c>
      <c r="K22" s="144">
        <f t="shared" si="4"/>
        <v>5.8975239392389148E-2</v>
      </c>
    </row>
    <row r="23" spans="1:18" s="122" customFormat="1" ht="18" customHeight="1">
      <c r="A23" s="129" t="s">
        <v>213</v>
      </c>
      <c r="B23" s="143">
        <f>'（３）業績構成比'!AK46/1000</f>
        <v>15000.214976981739</v>
      </c>
      <c r="C23" s="144">
        <f t="shared" si="5"/>
        <v>9.2868180558822427E-2</v>
      </c>
      <c r="D23" s="281">
        <v>7.674080245627983E-2</v>
      </c>
      <c r="E23" s="144">
        <f t="shared" si="6"/>
        <v>1.6127378102542597E-2</v>
      </c>
      <c r="F23" s="134"/>
      <c r="G23" s="129" t="s">
        <v>212</v>
      </c>
      <c r="H23" s="143">
        <f>'（４）訂單數量構成比'!AK46</f>
        <v>509255</v>
      </c>
      <c r="I23" s="144">
        <f t="shared" si="3"/>
        <v>0.10681275137717357</v>
      </c>
      <c r="J23" s="281">
        <v>8.2080958717727678E-2</v>
      </c>
      <c r="K23" s="144">
        <f t="shared" si="4"/>
        <v>2.4731792659445889E-2</v>
      </c>
    </row>
    <row r="24" spans="1:18" s="122" customFormat="1" ht="15.75" customHeight="1">
      <c r="A24" s="134"/>
      <c r="B24" s="134"/>
      <c r="C24" s="138">
        <f>SUM(C15:C23)</f>
        <v>1.1415444547554068</v>
      </c>
      <c r="D24" s="138">
        <f>SUM(D15:D23)</f>
        <v>1.0000000000000002</v>
      </c>
      <c r="E24" s="134"/>
      <c r="F24" s="134"/>
      <c r="G24" s="134"/>
      <c r="H24" s="134"/>
      <c r="I24" s="138">
        <f>SUM(I15:I23)</f>
        <v>1.1675690516421209</v>
      </c>
      <c r="J24" s="138">
        <f>SUM(J15:J23)</f>
        <v>1</v>
      </c>
      <c r="K24" s="134"/>
    </row>
    <row r="25" spans="1:18" s="122" customFormat="1" ht="9.6" customHeight="1">
      <c r="A25" s="139"/>
      <c r="B25" s="134"/>
      <c r="C25" s="134"/>
      <c r="D25" s="134"/>
      <c r="E25" s="134"/>
      <c r="F25" s="134"/>
      <c r="G25" s="134"/>
      <c r="H25" s="134"/>
      <c r="I25" s="134"/>
      <c r="J25" s="134"/>
      <c r="K25" s="134"/>
    </row>
    <row r="26" spans="1:18" s="122" customFormat="1" ht="15.75" customHeight="1">
      <c r="A26" s="133" t="s">
        <v>178</v>
      </c>
      <c r="B26" s="134"/>
      <c r="C26" s="134"/>
      <c r="D26" s="134"/>
      <c r="E26" s="134"/>
      <c r="F26" s="134"/>
      <c r="G26" s="134"/>
      <c r="H26" s="134"/>
      <c r="I26" s="134"/>
      <c r="J26" s="134"/>
      <c r="K26" s="134"/>
      <c r="L26" s="134"/>
      <c r="M26" s="134"/>
      <c r="N26" s="134"/>
      <c r="O26" s="134"/>
      <c r="P26" s="134"/>
      <c r="Q26" s="134"/>
      <c r="R26" s="134"/>
    </row>
    <row r="27" spans="1:18" s="122" customFormat="1" ht="15.75" customHeight="1">
      <c r="A27" s="129" t="s">
        <v>168</v>
      </c>
      <c r="B27" s="129" t="s">
        <v>22</v>
      </c>
      <c r="C27" s="129" t="s">
        <v>1</v>
      </c>
      <c r="D27" s="129" t="s">
        <v>2</v>
      </c>
      <c r="E27" s="129" t="s">
        <v>3</v>
      </c>
      <c r="F27" s="134"/>
      <c r="G27" s="134"/>
      <c r="H27" s="134"/>
      <c r="I27" s="134"/>
      <c r="M27" s="136" t="s">
        <v>438</v>
      </c>
      <c r="N27" s="136" t="s">
        <v>439</v>
      </c>
      <c r="O27" s="136" t="s">
        <v>440</v>
      </c>
      <c r="P27" s="136" t="s">
        <v>441</v>
      </c>
      <c r="Q27" s="136" t="s">
        <v>442</v>
      </c>
      <c r="R27" s="134"/>
    </row>
    <row r="28" spans="1:18" s="122" customFormat="1" ht="18" customHeight="1">
      <c r="A28" s="129" t="s">
        <v>214</v>
      </c>
      <c r="B28" s="282">
        <f>'（５-1）品群別人時生產性（18℃-飯糰）'!$C$1</f>
        <v>789.12026119971597</v>
      </c>
      <c r="C28" s="314">
        <v>756.20246993670457</v>
      </c>
      <c r="D28" s="244">
        <f t="shared" ref="D28:D36" si="7">B28-C28</f>
        <v>32.917791263011395</v>
      </c>
      <c r="E28" s="282">
        <f>R28</f>
        <v>753.32389806383776</v>
      </c>
      <c r="F28" s="134"/>
      <c r="G28" s="148"/>
      <c r="H28" s="148"/>
      <c r="I28" s="148"/>
      <c r="M28" s="282">
        <v>717.52753492795955</v>
      </c>
      <c r="N28" s="282">
        <f>B28</f>
        <v>789.12026119971597</v>
      </c>
      <c r="O28" s="282"/>
      <c r="P28" s="282"/>
      <c r="Q28" s="282"/>
      <c r="R28" s="299">
        <f>AVERAGE(M28:Q28)</f>
        <v>753.32389806383776</v>
      </c>
    </row>
    <row r="29" spans="1:18" s="122" customFormat="1" ht="18" customHeight="1">
      <c r="A29" s="129" t="s">
        <v>203</v>
      </c>
      <c r="B29" s="282">
        <f>'（５-2）品群別人時生產性（18-壽司手卷)'!$C$1</f>
        <v>176.88143333757606</v>
      </c>
      <c r="C29" s="314">
        <v>198.82982221081653</v>
      </c>
      <c r="D29" s="244">
        <f t="shared" si="7"/>
        <v>-21.948388873240475</v>
      </c>
      <c r="E29" s="282">
        <f t="shared" ref="E29:E36" si="8">R29</f>
        <v>187.25707511194207</v>
      </c>
      <c r="F29" s="134"/>
      <c r="G29" s="149"/>
      <c r="H29" s="149"/>
      <c r="I29" s="149"/>
      <c r="M29" s="282">
        <v>197.63271688630809</v>
      </c>
      <c r="N29" s="282">
        <f t="shared" ref="N29:N36" si="9">B29</f>
        <v>176.88143333757606</v>
      </c>
      <c r="O29" s="282"/>
      <c r="P29" s="282"/>
      <c r="Q29" s="282"/>
      <c r="R29" s="299">
        <f t="shared" ref="R29:R36" si="10">AVERAGE(M29:Q29)</f>
        <v>187.25707511194207</v>
      </c>
    </row>
    <row r="30" spans="1:18" s="122" customFormat="1" ht="18" customHeight="1">
      <c r="A30" s="129" t="s">
        <v>215</v>
      </c>
      <c r="B30" s="282">
        <f>'（５-3）品群別人時生產性（4℃-飯糰)'!$C$1</f>
        <v>239.11267144431966</v>
      </c>
      <c r="C30" s="314">
        <v>253.36933201602551</v>
      </c>
      <c r="D30" s="244">
        <f t="shared" si="7"/>
        <v>-14.256660571705851</v>
      </c>
      <c r="E30" s="282">
        <f t="shared" si="8"/>
        <v>239.78562141131147</v>
      </c>
      <c r="F30" s="134"/>
      <c r="G30" s="134"/>
      <c r="H30" s="134"/>
      <c r="I30" s="134"/>
      <c r="M30" s="282">
        <v>240.45857137830325</v>
      </c>
      <c r="N30" s="282">
        <f t="shared" si="9"/>
        <v>239.11267144431966</v>
      </c>
      <c r="O30" s="282"/>
      <c r="P30" s="282"/>
      <c r="Q30" s="282"/>
      <c r="R30" s="299">
        <f t="shared" si="10"/>
        <v>239.78562141131147</v>
      </c>
    </row>
    <row r="31" spans="1:18" s="122" customFormat="1" ht="18" customHeight="1">
      <c r="A31" s="129" t="s">
        <v>201</v>
      </c>
      <c r="B31" s="282">
        <f>'（５-4）品群別人時生產性（4℃-壽司手卷)'!$C$1</f>
        <v>92.894867289781303</v>
      </c>
      <c r="C31" s="314">
        <v>112.99131142028241</v>
      </c>
      <c r="D31" s="244">
        <f t="shared" si="7"/>
        <v>-20.096444130501112</v>
      </c>
      <c r="E31" s="282">
        <f t="shared" si="8"/>
        <v>99.879995098959455</v>
      </c>
      <c r="F31" s="134"/>
      <c r="G31" s="134"/>
      <c r="H31" s="134"/>
      <c r="I31" s="134"/>
      <c r="M31" s="282">
        <v>106.86512290813759</v>
      </c>
      <c r="N31" s="282">
        <f t="shared" si="9"/>
        <v>92.894867289781303</v>
      </c>
      <c r="O31" s="282"/>
      <c r="P31" s="282"/>
      <c r="Q31" s="282"/>
      <c r="R31" s="299">
        <f t="shared" si="10"/>
        <v>99.879995098959455</v>
      </c>
    </row>
    <row r="32" spans="1:18" s="122" customFormat="1" ht="18" customHeight="1">
      <c r="A32" s="129" t="s">
        <v>205</v>
      </c>
      <c r="B32" s="282">
        <f>'（５-5）品群別人時生產性(主食) '!$C$1</f>
        <v>86.853457895117074</v>
      </c>
      <c r="C32" s="314">
        <v>85.495684450909806</v>
      </c>
      <c r="D32" s="244">
        <f t="shared" si="7"/>
        <v>1.3577734442072682</v>
      </c>
      <c r="E32" s="282">
        <f t="shared" si="8"/>
        <v>88.081943149925181</v>
      </c>
      <c r="F32" s="134"/>
      <c r="G32" s="134"/>
      <c r="H32" s="134"/>
      <c r="I32" s="134"/>
      <c r="M32" s="282">
        <v>89.310428404733287</v>
      </c>
      <c r="N32" s="282">
        <f t="shared" si="9"/>
        <v>86.853457895117074</v>
      </c>
      <c r="O32" s="282"/>
      <c r="P32" s="282"/>
      <c r="Q32" s="282"/>
      <c r="R32" s="299">
        <f t="shared" si="10"/>
        <v>88.081943149925181</v>
      </c>
    </row>
    <row r="33" spans="1:18" s="122" customFormat="1" ht="18" customHeight="1">
      <c r="A33" s="129" t="s">
        <v>207</v>
      </c>
      <c r="B33" s="282">
        <f>'（５-6）品群別人時生產性(便當)'!$C$1</f>
        <v>73.055573334108601</v>
      </c>
      <c r="C33" s="314">
        <v>66.943613625537381</v>
      </c>
      <c r="D33" s="244">
        <f t="shared" si="7"/>
        <v>6.1119597085712201</v>
      </c>
      <c r="E33" s="282">
        <f t="shared" si="8"/>
        <v>69.364157896694181</v>
      </c>
      <c r="F33" s="134"/>
      <c r="G33" s="134"/>
      <c r="H33" s="134"/>
      <c r="I33" s="134"/>
      <c r="M33" s="282">
        <v>65.67274245927976</v>
      </c>
      <c r="N33" s="282">
        <f t="shared" si="9"/>
        <v>73.055573334108601</v>
      </c>
      <c r="O33" s="282"/>
      <c r="P33" s="282"/>
      <c r="Q33" s="282"/>
      <c r="R33" s="299">
        <f t="shared" si="10"/>
        <v>69.364157896694181</v>
      </c>
    </row>
    <row r="34" spans="1:18" s="122" customFormat="1" ht="18" customHeight="1">
      <c r="A34" s="129" t="s">
        <v>216</v>
      </c>
      <c r="B34" s="282">
        <f>'（５-7）品群別人時生產性(熱食義麵) '!$C$1</f>
        <v>85.457943200974114</v>
      </c>
      <c r="C34" s="314">
        <v>80.555861357885718</v>
      </c>
      <c r="D34" s="244">
        <f t="shared" si="7"/>
        <v>4.9020818430883963</v>
      </c>
      <c r="E34" s="282">
        <f t="shared" si="8"/>
        <v>80.468256111463447</v>
      </c>
      <c r="F34" s="134"/>
      <c r="G34" s="134"/>
      <c r="H34" s="134"/>
      <c r="I34" s="134"/>
      <c r="M34" s="282">
        <v>75.478569021952779</v>
      </c>
      <c r="N34" s="282">
        <f t="shared" si="9"/>
        <v>85.457943200974114</v>
      </c>
      <c r="O34" s="282"/>
      <c r="P34" s="282"/>
      <c r="Q34" s="282"/>
      <c r="R34" s="299">
        <f t="shared" si="10"/>
        <v>80.468256111463447</v>
      </c>
    </row>
    <row r="35" spans="1:18" s="122" customFormat="1" ht="18" customHeight="1">
      <c r="A35" s="129" t="s">
        <v>217</v>
      </c>
      <c r="B35" s="282">
        <f>'（５-8）品群別人時生產性(季節調理麵) '!$C$1</f>
        <v>130.69808243009319</v>
      </c>
      <c r="C35" s="314">
        <v>121.13262609451999</v>
      </c>
      <c r="D35" s="244">
        <f t="shared" si="7"/>
        <v>9.5654563355732023</v>
      </c>
      <c r="E35" s="282">
        <f t="shared" si="8"/>
        <v>122.6018272283481</v>
      </c>
      <c r="F35" s="134"/>
      <c r="G35" s="134"/>
      <c r="H35" s="134"/>
      <c r="I35" s="134"/>
      <c r="M35" s="282">
        <v>114.50557202660302</v>
      </c>
      <c r="N35" s="282">
        <f t="shared" si="9"/>
        <v>130.69808243009319</v>
      </c>
      <c r="O35" s="282"/>
      <c r="P35" s="282"/>
      <c r="Q35" s="282"/>
      <c r="R35" s="299">
        <f t="shared" si="10"/>
        <v>122.6018272283481</v>
      </c>
    </row>
    <row r="36" spans="1:18" s="122" customFormat="1" ht="18" customHeight="1">
      <c r="A36" s="125" t="s">
        <v>212</v>
      </c>
      <c r="B36" s="282">
        <f>'（５-9）品群別人時生產性(微波小吃)'!$C$1</f>
        <v>170.74124582284776</v>
      </c>
      <c r="C36" s="314">
        <v>115.3662253913358</v>
      </c>
      <c r="D36" s="244">
        <f t="shared" si="7"/>
        <v>55.375020431511956</v>
      </c>
      <c r="E36" s="282">
        <f t="shared" si="8"/>
        <v>135.19479393235673</v>
      </c>
      <c r="F36" s="134"/>
      <c r="G36" s="134"/>
      <c r="H36" s="134"/>
      <c r="I36" s="134"/>
      <c r="M36" s="282">
        <v>99.648342041865732</v>
      </c>
      <c r="N36" s="282">
        <f t="shared" si="9"/>
        <v>170.74124582284776</v>
      </c>
      <c r="O36" s="282"/>
      <c r="P36" s="282"/>
      <c r="Q36" s="282"/>
      <c r="R36" s="299">
        <f t="shared" si="10"/>
        <v>135.19479393235673</v>
      </c>
    </row>
    <row r="37" spans="1:18" s="122" customFormat="1" ht="15.75" customHeight="1"/>
    <row r="38" spans="1:18" s="122" customFormat="1" ht="15.75" customHeight="1"/>
  </sheetData>
  <mergeCells count="2">
    <mergeCell ref="A1:K2"/>
    <mergeCell ref="D3:E3"/>
  </mergeCells>
  <phoneticPr fontId="12" type="noConversion"/>
  <printOptions horizontalCentered="1" gridLines="1"/>
  <pageMargins left="0.39370078740157483" right="0.39370078740157483" top="0.39370078740157483" bottom="0.19685039370078741" header="0" footer="0"/>
  <pageSetup paperSize="9" scale="86" fitToWidth="0" fitToHeight="0" pageOrder="overThenDown" orientation="landscape" cellComments="atEnd"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R38"/>
  <sheetViews>
    <sheetView tabSelected="1" zoomScale="85" zoomScaleNormal="85" zoomScaleSheetLayoutView="100" workbookViewId="0">
      <selection activeCell="G27" sqref="G27"/>
    </sheetView>
  </sheetViews>
  <sheetFormatPr defaultColWidth="12.5703125" defaultRowHeight="15.75" customHeight="1"/>
  <cols>
    <col min="1" max="1" width="27.42578125" style="120" bestFit="1" customWidth="1"/>
    <col min="2" max="2" width="12.5703125" style="120" customWidth="1"/>
    <col min="3" max="4" width="12.5703125" style="120"/>
    <col min="5" max="5" width="16.42578125" style="120" customWidth="1"/>
    <col min="6" max="6" width="2.42578125" style="120" customWidth="1"/>
    <col min="7" max="7" width="24.85546875" style="120" bestFit="1" customWidth="1"/>
    <col min="8" max="10" width="12.5703125" style="120"/>
    <col min="11" max="11" width="16.42578125" style="120" customWidth="1"/>
    <col min="12" max="12" width="12.5703125" style="121"/>
    <col min="13" max="16384" width="12.5703125" style="120"/>
  </cols>
  <sheetData>
    <row r="1" spans="1:18" ht="15.75" customHeight="1">
      <c r="A1" s="531" t="s">
        <v>370</v>
      </c>
      <c r="B1" s="531"/>
      <c r="C1" s="531"/>
      <c r="D1" s="531"/>
      <c r="E1" s="531"/>
      <c r="F1" s="531"/>
      <c r="G1" s="531"/>
      <c r="H1" s="531"/>
      <c r="I1" s="531"/>
      <c r="J1" s="531"/>
      <c r="K1" s="531"/>
      <c r="L1" s="120"/>
    </row>
    <row r="2" spans="1:18" s="121" customFormat="1" ht="15.75" customHeight="1">
      <c r="A2" s="531"/>
      <c r="B2" s="531"/>
      <c r="C2" s="531"/>
      <c r="D2" s="531"/>
      <c r="E2" s="531"/>
      <c r="F2" s="531"/>
      <c r="G2" s="531"/>
      <c r="H2" s="531"/>
      <c r="I2" s="531"/>
      <c r="J2" s="531"/>
      <c r="K2" s="531"/>
    </row>
    <row r="3" spans="1:18" ht="21.6" customHeight="1">
      <c r="A3" s="140" t="s">
        <v>307</v>
      </c>
      <c r="B3" s="215">
        <v>5</v>
      </c>
      <c r="C3" s="217" t="s">
        <v>308</v>
      </c>
      <c r="D3" s="215" t="s">
        <v>752</v>
      </c>
      <c r="E3" s="140" t="s">
        <v>20</v>
      </c>
      <c r="F3" s="532" t="s">
        <v>369</v>
      </c>
      <c r="G3" s="532"/>
      <c r="H3" s="131"/>
      <c r="I3" s="132"/>
      <c r="J3" s="131"/>
      <c r="K3" s="131"/>
      <c r="L3" s="131"/>
      <c r="M3" s="131"/>
      <c r="N3" s="121"/>
    </row>
    <row r="4" spans="1:18" s="122" customFormat="1" ht="15.75" customHeight="1">
      <c r="A4" s="133" t="s">
        <v>177</v>
      </c>
      <c r="B4" s="134"/>
      <c r="C4" s="134"/>
      <c r="D4" s="134"/>
      <c r="E4" s="124" t="s">
        <v>23</v>
      </c>
      <c r="F4" s="134"/>
      <c r="G4" s="135" t="s">
        <v>125</v>
      </c>
      <c r="H4" s="134"/>
      <c r="I4" s="134"/>
      <c r="J4" s="134"/>
      <c r="K4" s="134"/>
    </row>
    <row r="5" spans="1:18" s="126" customFormat="1" ht="15.75" customHeight="1">
      <c r="A5" s="147" t="s">
        <v>179</v>
      </c>
      <c r="B5" s="147" t="s">
        <v>310</v>
      </c>
      <c r="C5" s="147" t="s">
        <v>312</v>
      </c>
      <c r="D5" s="142" t="s">
        <v>2</v>
      </c>
      <c r="E5" s="142" t="s">
        <v>3</v>
      </c>
      <c r="F5" s="136"/>
      <c r="G5" s="147" t="s">
        <v>179</v>
      </c>
      <c r="H5" s="142" t="s">
        <v>69</v>
      </c>
      <c r="I5" s="142" t="s">
        <v>309</v>
      </c>
      <c r="J5" s="142" t="s">
        <v>311</v>
      </c>
      <c r="K5" s="142" t="s">
        <v>3</v>
      </c>
      <c r="L5" s="127" t="s">
        <v>60</v>
      </c>
    </row>
    <row r="6" spans="1:18" s="122" customFormat="1" ht="18" customHeight="1">
      <c r="A6" s="129" t="s">
        <v>24</v>
      </c>
      <c r="B6" s="224">
        <f>'（１）收支狀況'!G19/1000</f>
        <v>63943.796000000002</v>
      </c>
      <c r="C6" s="254">
        <v>62847.273999999998</v>
      </c>
      <c r="D6" s="143">
        <f t="shared" ref="D6:D11" si="0">B6-C6</f>
        <v>1096.5220000000045</v>
      </c>
      <c r="E6" s="236">
        <f>'（１）收支狀況'!H10/1000</f>
        <v>161521.57699999999</v>
      </c>
      <c r="F6" s="134"/>
      <c r="G6" s="129" t="s">
        <v>180</v>
      </c>
      <c r="H6" s="238">
        <v>366</v>
      </c>
      <c r="I6" s="259">
        <f>'（２）ＫＰＩ達成進度'!G19</f>
        <v>356.8929026437649</v>
      </c>
      <c r="J6" s="260">
        <v>368.79730713342616</v>
      </c>
      <c r="K6" s="261">
        <f>'（２）ＫＰＩ達成進度'!H10</f>
        <v>363.03541499687537</v>
      </c>
      <c r="L6" s="123" t="s">
        <v>176</v>
      </c>
    </row>
    <row r="7" spans="1:18" s="122" customFormat="1" ht="18" customHeight="1">
      <c r="A7" s="129" t="s">
        <v>25</v>
      </c>
      <c r="B7" s="224">
        <f>'（１）收支狀況'!J19</f>
        <v>1900260</v>
      </c>
      <c r="C7" s="254">
        <v>1843252</v>
      </c>
      <c r="D7" s="143">
        <f t="shared" si="0"/>
        <v>57008</v>
      </c>
      <c r="E7" s="236">
        <f>'（１）收支狀況'!K10</f>
        <v>4767736</v>
      </c>
      <c r="F7" s="134"/>
      <c r="G7" s="129" t="s">
        <v>181</v>
      </c>
      <c r="H7" s="252">
        <v>0.8</v>
      </c>
      <c r="I7" s="250">
        <f>'（２）ＫＰＩ達成進度'!J19</f>
        <v>0</v>
      </c>
      <c r="J7" s="257">
        <v>0</v>
      </c>
      <c r="K7" s="253">
        <f>'（２）ＫＰＩ達成進度'!K10</f>
        <v>0.69564172504966326</v>
      </c>
      <c r="L7" s="123" t="s">
        <v>4</v>
      </c>
    </row>
    <row r="8" spans="1:18" s="122" customFormat="1" ht="18" customHeight="1">
      <c r="A8" s="129" t="s">
        <v>5</v>
      </c>
      <c r="B8" s="224">
        <f>'（１）收支狀況'!M19/1000</f>
        <v>41342.917000000001</v>
      </c>
      <c r="C8" s="254">
        <f>41153944/1000</f>
        <v>41153.944000000003</v>
      </c>
      <c r="D8" s="143">
        <f>B8-C8</f>
        <v>188.97299999999814</v>
      </c>
      <c r="E8" s="236">
        <f>'（１）收支狀況'!N10/1000</f>
        <v>105094.14599999999</v>
      </c>
      <c r="F8" s="134"/>
      <c r="G8" s="129" t="s">
        <v>182</v>
      </c>
      <c r="H8" s="237">
        <v>2.5000000000000001E-3</v>
      </c>
      <c r="I8" s="248">
        <f>'（２）ＫＰＩ達成進度'!M19</f>
        <v>2.4180625950677554E-3</v>
      </c>
      <c r="J8" s="256">
        <v>2.4296149757825317E-3</v>
      </c>
      <c r="K8" s="248">
        <f>'（２）ＫＰＩ達成進度'!N10</f>
        <v>2.4230433281900725E-3</v>
      </c>
      <c r="L8" s="123" t="s">
        <v>55</v>
      </c>
    </row>
    <row r="9" spans="1:18" s="122" customFormat="1" ht="18" customHeight="1">
      <c r="A9" s="129" t="s">
        <v>6</v>
      </c>
      <c r="B9" s="225">
        <f>'（１）收支狀況'!P19</f>
        <v>0.64655087101804221</v>
      </c>
      <c r="C9" s="255">
        <v>0.65482464680966113</v>
      </c>
      <c r="D9" s="144">
        <f t="shared" si="0"/>
        <v>-8.2737757916189203E-3</v>
      </c>
      <c r="E9" s="144">
        <f>'（１）收支狀況'!Q10</f>
        <v>0.65065081676363279</v>
      </c>
      <c r="F9" s="134"/>
      <c r="G9" s="129" t="s">
        <v>183</v>
      </c>
      <c r="H9" s="237">
        <v>2.5999999999999999E-3</v>
      </c>
      <c r="I9" s="248">
        <f>'（２）ＫＰＩ達成進度'!P19</f>
        <v>4.0973170960721854E-3</v>
      </c>
      <c r="J9" s="256">
        <v>4.2391047062726199E-3</v>
      </c>
      <c r="K9" s="248">
        <f>'（２）ＫＰＩ達成進度'!Q10</f>
        <v>3.6810998348003202E-3</v>
      </c>
      <c r="L9" s="123" t="s">
        <v>98</v>
      </c>
    </row>
    <row r="10" spans="1:18" s="122" customFormat="1" ht="18" customHeight="1">
      <c r="A10" s="129" t="s">
        <v>64</v>
      </c>
      <c r="B10" s="224">
        <f>'（１）收支狀況'!S19/1000</f>
        <v>7310.428301600482</v>
      </c>
      <c r="C10" s="254">
        <v>7199.7421979805886</v>
      </c>
      <c r="D10" s="143">
        <f t="shared" si="0"/>
        <v>110.6861036198934</v>
      </c>
      <c r="E10" s="236">
        <f>'（１）收支狀況'!T10/1000</f>
        <v>18497.421250945968</v>
      </c>
      <c r="F10" s="134"/>
      <c r="G10" s="129" t="s">
        <v>184</v>
      </c>
      <c r="H10" s="249">
        <v>0.8</v>
      </c>
      <c r="I10" s="250">
        <v>0.91190000000000004</v>
      </c>
      <c r="J10" s="257">
        <v>0.91120000000000001</v>
      </c>
      <c r="K10" s="250">
        <v>0.91700000000000004</v>
      </c>
      <c r="L10" s="123" t="s">
        <v>7</v>
      </c>
    </row>
    <row r="11" spans="1:18" s="122" customFormat="1" ht="18" customHeight="1">
      <c r="A11" s="129" t="s">
        <v>65</v>
      </c>
      <c r="B11" s="225">
        <f>'（１）收支狀況'!V19</f>
        <v>0.11432584173764852</v>
      </c>
      <c r="C11" s="255">
        <v>0.11455933948671486</v>
      </c>
      <c r="D11" s="144">
        <f t="shared" si="0"/>
        <v>-2.3349774906633591E-4</v>
      </c>
      <c r="E11" s="144">
        <f>'（１）收支狀況'!W10</f>
        <v>0.11451981583207281</v>
      </c>
      <c r="F11" s="134"/>
      <c r="G11" s="129" t="s">
        <v>185</v>
      </c>
      <c r="H11" s="249">
        <v>1</v>
      </c>
      <c r="I11" s="250">
        <f>'（２）ＫＰＩ達成進度'!V19</f>
        <v>0.34942857142857137</v>
      </c>
      <c r="J11" s="257">
        <v>0.32371428571428573</v>
      </c>
      <c r="K11" s="250">
        <f>'（２）ＫＰＩ達成進度'!W10</f>
        <v>0.32944444444444443</v>
      </c>
      <c r="L11" s="123" t="s">
        <v>62</v>
      </c>
    </row>
    <row r="12" spans="1:18" s="122" customFormat="1" ht="9.6" customHeight="1">
      <c r="A12" s="134"/>
      <c r="B12" s="134"/>
      <c r="C12" s="134"/>
      <c r="D12" s="134"/>
      <c r="E12" s="134"/>
      <c r="F12" s="134"/>
      <c r="G12" s="134"/>
      <c r="H12" s="134"/>
      <c r="I12" s="134"/>
      <c r="J12" s="134"/>
      <c r="K12" s="134"/>
    </row>
    <row r="13" spans="1:18" s="122" customFormat="1" ht="15.75" customHeight="1">
      <c r="A13" s="133" t="s">
        <v>32</v>
      </c>
      <c r="B13" s="134"/>
      <c r="C13" s="134"/>
      <c r="D13" s="134"/>
      <c r="E13" s="134"/>
      <c r="F13" s="134"/>
      <c r="G13" s="133" t="s">
        <v>147</v>
      </c>
      <c r="H13" s="134"/>
      <c r="I13" s="134"/>
      <c r="J13" s="134"/>
      <c r="K13" s="134"/>
    </row>
    <row r="14" spans="1:18" s="128" customFormat="1" ht="14.25">
      <c r="A14" s="146"/>
      <c r="B14" s="218" t="s">
        <v>310</v>
      </c>
      <c r="C14" s="146" t="s">
        <v>66</v>
      </c>
      <c r="D14" s="218" t="s">
        <v>313</v>
      </c>
      <c r="E14" s="146" t="s">
        <v>68</v>
      </c>
      <c r="F14" s="137"/>
      <c r="G14" s="146"/>
      <c r="H14" s="218" t="s">
        <v>310</v>
      </c>
      <c r="I14" s="146" t="s">
        <v>66</v>
      </c>
      <c r="J14" s="218" t="s">
        <v>313</v>
      </c>
      <c r="K14" s="146" t="s">
        <v>68</v>
      </c>
      <c r="M14" s="122"/>
      <c r="N14" s="122"/>
      <c r="O14" s="122"/>
      <c r="P14" s="122"/>
      <c r="Q14" s="122"/>
      <c r="R14" s="122"/>
    </row>
    <row r="15" spans="1:18" s="122" customFormat="1" ht="18" customHeight="1">
      <c r="A15" s="129" t="s">
        <v>317</v>
      </c>
      <c r="B15" s="239">
        <f>SUM('（３）業績構成比'!I21:I27,'（３）業績構成比'!K21:K27)/1000</f>
        <v>10992.127980151739</v>
      </c>
      <c r="C15" s="144">
        <f>IFERROR(B15/$B$6,"")</f>
        <v>0.17190296272294717</v>
      </c>
      <c r="D15" s="255">
        <v>0.17132350171210148</v>
      </c>
      <c r="E15" s="144">
        <f>IFERROR(C15-D15,"")</f>
        <v>5.794610108456888E-4</v>
      </c>
      <c r="F15" s="134"/>
      <c r="G15" s="129" t="s">
        <v>317</v>
      </c>
      <c r="H15" s="239">
        <f>SUM(,'（４）訂單數量構成比'!I21:I27,'（４）訂單數量構成比'!K21:K27)</f>
        <v>568470</v>
      </c>
      <c r="I15" s="144">
        <f t="shared" ref="I15:I23" si="1">IFERROR(H15/$B$7,"")</f>
        <v>0.29915380000631492</v>
      </c>
      <c r="J15" s="255">
        <v>0.29607942918277047</v>
      </c>
      <c r="K15" s="144">
        <f t="shared" ref="K15:K23" si="2">IFERROR(I15-J15,"")</f>
        <v>3.0743708235444478E-3</v>
      </c>
    </row>
    <row r="16" spans="1:18" s="122" customFormat="1" ht="18" customHeight="1">
      <c r="A16" s="129" t="s">
        <v>204</v>
      </c>
      <c r="B16" s="239">
        <f>SUM('（３）業績構成比'!O21:O27,'（３）業績構成比'!Q21:Q27)/1000</f>
        <v>1156.7909540634016</v>
      </c>
      <c r="C16" s="144">
        <f t="shared" ref="C16:C23" si="3">IFERROR(B16/$B$6,"")</f>
        <v>1.8090745724001146E-2</v>
      </c>
      <c r="D16" s="255">
        <v>2.0419426820721846E-2</v>
      </c>
      <c r="E16" s="144">
        <f t="shared" ref="E16:E23" si="4">IFERROR(C16-D16,"")</f>
        <v>-2.3286810967207E-3</v>
      </c>
      <c r="F16" s="134"/>
      <c r="G16" s="129" t="s">
        <v>233</v>
      </c>
      <c r="H16" s="239">
        <f>SUM('（４）訂單數量構成比'!O21:O27,'（４）訂單數量構成比'!Q21:Q27)</f>
        <v>41327</v>
      </c>
      <c r="I16" s="144">
        <f t="shared" si="1"/>
        <v>2.1748076578994455E-2</v>
      </c>
      <c r="J16" s="255">
        <v>2.6346370436597925E-2</v>
      </c>
      <c r="K16" s="144">
        <f t="shared" si="2"/>
        <v>-4.5982938576034707E-3</v>
      </c>
    </row>
    <row r="17" spans="1:11" s="122" customFormat="1" ht="18" customHeight="1">
      <c r="A17" s="129" t="s">
        <v>200</v>
      </c>
      <c r="B17" s="239">
        <f>SUM('（３）業績構成比'!U21:U27)/1000</f>
        <v>7222.3712769026197</v>
      </c>
      <c r="C17" s="144">
        <f t="shared" si="3"/>
        <v>0.11294874137441918</v>
      </c>
      <c r="D17" s="255">
        <v>0.11405307150763058</v>
      </c>
      <c r="E17" s="144">
        <f t="shared" si="4"/>
        <v>-1.1043301332114008E-3</v>
      </c>
      <c r="F17" s="134"/>
      <c r="G17" s="129" t="s">
        <v>215</v>
      </c>
      <c r="H17" s="239">
        <f>SUM('（４）訂單數量構成比'!U21:U27)</f>
        <v>216171</v>
      </c>
      <c r="I17" s="144">
        <f t="shared" si="1"/>
        <v>0.11375864355403997</v>
      </c>
      <c r="J17" s="255">
        <v>0.11617239531002814</v>
      </c>
      <c r="K17" s="144">
        <f t="shared" si="2"/>
        <v>-2.4137517559881666E-3</v>
      </c>
    </row>
    <row r="18" spans="1:11" s="122" customFormat="1" ht="18" customHeight="1">
      <c r="A18" s="129" t="s">
        <v>202</v>
      </c>
      <c r="B18" s="239">
        <f>SUM('（３）業績構成比'!W21:W27)/1000</f>
        <v>941.16189343168344</v>
      </c>
      <c r="C18" s="144">
        <f t="shared" si="3"/>
        <v>1.4718580258070437E-2</v>
      </c>
      <c r="D18" s="255">
        <v>1.96092277414429E-2</v>
      </c>
      <c r="E18" s="144">
        <f t="shared" si="4"/>
        <v>-4.8906474833724633E-3</v>
      </c>
      <c r="F18" s="134"/>
      <c r="G18" s="129" t="s">
        <v>201</v>
      </c>
      <c r="H18" s="239">
        <f>SUM('（４）訂單數量構成比'!W21:W27)</f>
        <v>27065</v>
      </c>
      <c r="I18" s="144">
        <f t="shared" si="1"/>
        <v>1.4242787829033921E-2</v>
      </c>
      <c r="J18" s="255">
        <v>1.999889326038979E-2</v>
      </c>
      <c r="K18" s="144">
        <f t="shared" si="2"/>
        <v>-5.7561054313558686E-3</v>
      </c>
    </row>
    <row r="19" spans="1:11" s="122" customFormat="1" ht="18" customHeight="1">
      <c r="A19" s="129" t="s">
        <v>206</v>
      </c>
      <c r="B19" s="239">
        <f>SUM('（３）業績構成比'!Y21:Y27,'（３）業績構成比'!AA21:AA27)/1000</f>
        <v>12543.256845936738</v>
      </c>
      <c r="C19" s="144">
        <f t="shared" si="3"/>
        <v>0.19616065405214195</v>
      </c>
      <c r="D19" s="255">
        <v>0.20527534861955646</v>
      </c>
      <c r="E19" s="144">
        <f t="shared" si="4"/>
        <v>-9.1146945674145108E-3</v>
      </c>
      <c r="F19" s="134"/>
      <c r="G19" s="129" t="s">
        <v>205</v>
      </c>
      <c r="H19" s="239">
        <f>SUM('（４）訂單數量構成比'!Y21:Y27,'（４）訂單數量構成比'!AA21:AA27)</f>
        <v>319751</v>
      </c>
      <c r="I19" s="144">
        <f t="shared" si="1"/>
        <v>0.16826697399303253</v>
      </c>
      <c r="J19" s="255">
        <v>0.17867280219959072</v>
      </c>
      <c r="K19" s="144">
        <f t="shared" si="2"/>
        <v>-1.0405828206558193E-2</v>
      </c>
    </row>
    <row r="20" spans="1:11" s="122" customFormat="1" ht="18" customHeight="1">
      <c r="A20" s="129" t="s">
        <v>208</v>
      </c>
      <c r="B20" s="239">
        <f>SUM('（３）業績構成比'!AE21:AE27)/1000</f>
        <v>10921.62885951769</v>
      </c>
      <c r="C20" s="144">
        <f t="shared" si="3"/>
        <v>0.17080044574641284</v>
      </c>
      <c r="D20" s="255">
        <v>0.16009605796284623</v>
      </c>
      <c r="E20" s="144">
        <f t="shared" si="4"/>
        <v>1.070438778356661E-2</v>
      </c>
      <c r="F20" s="134"/>
      <c r="G20" s="129" t="s">
        <v>207</v>
      </c>
      <c r="H20" s="239">
        <f>SUM('（４）訂單數量構成比'!AE21:AE27)</f>
        <v>191046</v>
      </c>
      <c r="I20" s="144">
        <f t="shared" si="1"/>
        <v>0.10053676865271068</v>
      </c>
      <c r="J20" s="255">
        <v>9.5428622890413248E-2</v>
      </c>
      <c r="K20" s="144">
        <f t="shared" si="2"/>
        <v>5.108145762297428E-3</v>
      </c>
    </row>
    <row r="21" spans="1:11" s="122" customFormat="1" ht="18" customHeight="1">
      <c r="A21" s="129" t="s">
        <v>210</v>
      </c>
      <c r="B21" s="239">
        <f>SUM('（３）業績構成比'!AG21:AG27)/1000</f>
        <v>6882.8704725158777</v>
      </c>
      <c r="C21" s="144">
        <f t="shared" si="3"/>
        <v>0.10763937868993385</v>
      </c>
      <c r="D21" s="255">
        <v>0.1237457756439838</v>
      </c>
      <c r="E21" s="144">
        <f t="shared" si="4"/>
        <v>-1.6106396954049945E-2</v>
      </c>
      <c r="F21" s="134"/>
      <c r="G21" s="129" t="s">
        <v>216</v>
      </c>
      <c r="H21" s="239">
        <f>SUM('（４）訂單數量構成比'!AG21:AG27)</f>
        <v>130989</v>
      </c>
      <c r="I21" s="144">
        <f t="shared" si="1"/>
        <v>6.8932146127372043E-2</v>
      </c>
      <c r="J21" s="255">
        <v>7.9025548324374528E-2</v>
      </c>
      <c r="K21" s="144">
        <f t="shared" si="2"/>
        <v>-1.0093402197002485E-2</v>
      </c>
    </row>
    <row r="22" spans="1:11" s="122" customFormat="1" ht="18" customHeight="1">
      <c r="A22" s="129" t="s">
        <v>211</v>
      </c>
      <c r="B22" s="239">
        <f>SUM('（３）業績構成比'!AI21:AI27)/1000</f>
        <v>6983.4387648645115</v>
      </c>
      <c r="C22" s="144">
        <f t="shared" si="3"/>
        <v>0.10921213943670957</v>
      </c>
      <c r="D22" s="255">
        <v>0.11374969728333055</v>
      </c>
      <c r="E22" s="144">
        <f t="shared" si="4"/>
        <v>-4.5375578466209793E-3</v>
      </c>
      <c r="F22" s="134"/>
      <c r="G22" s="129" t="s">
        <v>217</v>
      </c>
      <c r="H22" s="239">
        <f>SUM('（４）訂單數量構成比'!AI21:AI27)</f>
        <v>191735</v>
      </c>
      <c r="I22" s="144">
        <f t="shared" si="1"/>
        <v>0.10089935061517898</v>
      </c>
      <c r="J22" s="255">
        <v>0.10564426350819096</v>
      </c>
      <c r="K22" s="144">
        <f t="shared" si="2"/>
        <v>-4.7449128930119877E-3</v>
      </c>
    </row>
    <row r="23" spans="1:11" s="122" customFormat="1" ht="18" customHeight="1">
      <c r="A23" s="129" t="s">
        <v>213</v>
      </c>
      <c r="B23" s="239">
        <f>SUM('（３）業績構成比'!AK21:AK27)/1000</f>
        <v>6300.1489526157338</v>
      </c>
      <c r="C23" s="144">
        <f t="shared" si="3"/>
        <v>9.8526351995363762E-2</v>
      </c>
      <c r="D23" s="255">
        <v>7.1727892708386129E-2</v>
      </c>
      <c r="E23" s="144">
        <f t="shared" si="4"/>
        <v>2.6798459286977633E-2</v>
      </c>
      <c r="F23" s="134"/>
      <c r="G23" s="129" t="s">
        <v>212</v>
      </c>
      <c r="H23" s="239">
        <f>SUM('（４）訂單數量構成比'!AK21:AK27)</f>
        <v>213706</v>
      </c>
      <c r="I23" s="144">
        <f t="shared" si="1"/>
        <v>0.1124614526433225</v>
      </c>
      <c r="J23" s="255">
        <v>8.2631674887644224E-2</v>
      </c>
      <c r="K23" s="144">
        <f t="shared" si="2"/>
        <v>2.9829777755678272E-2</v>
      </c>
    </row>
    <row r="24" spans="1:11" s="122" customFormat="1" ht="15.75" customHeight="1">
      <c r="A24" s="134"/>
      <c r="B24" s="134"/>
      <c r="C24" s="138">
        <f>SUM(C15:C23)</f>
        <v>1</v>
      </c>
      <c r="D24" s="138">
        <f>SUM(D15:D23)</f>
        <v>0.99999999999999989</v>
      </c>
      <c r="E24" s="134"/>
      <c r="F24" s="134"/>
      <c r="G24" s="134"/>
      <c r="H24" s="134"/>
      <c r="I24" s="138">
        <f>SUM(I15:I23)</f>
        <v>1</v>
      </c>
      <c r="J24" s="138">
        <f>SUM(J15:J23)</f>
        <v>1</v>
      </c>
      <c r="K24" s="134"/>
    </row>
    <row r="25" spans="1:11" s="122" customFormat="1" ht="9.6" customHeight="1">
      <c r="A25" s="139"/>
      <c r="B25" s="134"/>
      <c r="C25" s="134"/>
      <c r="D25" s="134"/>
      <c r="E25" s="134"/>
      <c r="F25" s="134"/>
      <c r="G25" s="134"/>
      <c r="H25" s="134"/>
      <c r="I25" s="134"/>
      <c r="J25" s="134"/>
      <c r="K25" s="134"/>
    </row>
    <row r="26" spans="1:11" s="122" customFormat="1" ht="15.75" customHeight="1">
      <c r="A26" s="133" t="s">
        <v>459</v>
      </c>
      <c r="B26" s="134"/>
      <c r="C26" s="134"/>
      <c r="D26" s="134"/>
      <c r="E26" s="134"/>
      <c r="F26" s="134"/>
      <c r="G26" s="134"/>
      <c r="H26" s="134"/>
      <c r="I26" s="134"/>
      <c r="J26" s="134"/>
      <c r="K26" s="134"/>
    </row>
    <row r="27" spans="1:11" s="122" customFormat="1" ht="15.75" customHeight="1">
      <c r="A27" s="129" t="s">
        <v>168</v>
      </c>
      <c r="B27" s="219" t="s">
        <v>310</v>
      </c>
      <c r="C27" s="219" t="s">
        <v>312</v>
      </c>
      <c r="D27" s="129" t="s">
        <v>2</v>
      </c>
      <c r="E27" s="129" t="s">
        <v>371</v>
      </c>
      <c r="G27" s="134"/>
      <c r="H27" s="134"/>
      <c r="I27" s="134"/>
      <c r="J27" s="134"/>
      <c r="K27" s="134"/>
    </row>
    <row r="28" spans="1:11" s="122" customFormat="1" ht="18" customHeight="1">
      <c r="A28" s="129" t="s">
        <v>317</v>
      </c>
      <c r="B28" s="243">
        <f>'（５-1）品群別人時生產性（18℃-飯糰）'!L77</f>
        <v>796.62151586022128</v>
      </c>
      <c r="C28" s="258">
        <v>789.06118172490631</v>
      </c>
      <c r="D28" s="244">
        <f t="shared" ref="D28:D36" si="5">B28-C28</f>
        <v>7.5603341353149744</v>
      </c>
      <c r="E28" s="130">
        <f>'（５-1）品群別人時生產性（18℃-飯糰）'!C1</f>
        <v>789.12026119971597</v>
      </c>
      <c r="G28" s="148"/>
      <c r="H28" s="148"/>
      <c r="I28" s="148"/>
      <c r="J28" s="148"/>
      <c r="K28" s="134"/>
    </row>
    <row r="29" spans="1:11" s="122" customFormat="1" ht="18" customHeight="1">
      <c r="A29" s="129" t="s">
        <v>203</v>
      </c>
      <c r="B29" s="243">
        <f>'（５-2）品群別人時生產性（18-壽司手卷)'!L47</f>
        <v>140.55639009989966</v>
      </c>
      <c r="C29" s="258">
        <v>195.79932140355822</v>
      </c>
      <c r="D29" s="244">
        <f t="shared" si="5"/>
        <v>-55.242931303658565</v>
      </c>
      <c r="E29" s="130">
        <f>'（５-2）品群別人時生產性（18-壽司手卷)'!C1</f>
        <v>176.88143333757606</v>
      </c>
      <c r="G29" s="149"/>
      <c r="H29" s="149"/>
      <c r="I29" s="150"/>
      <c r="J29" s="151"/>
      <c r="K29" s="134"/>
    </row>
    <row r="30" spans="1:11" s="122" customFormat="1" ht="18" customHeight="1">
      <c r="A30" s="129" t="s">
        <v>215</v>
      </c>
      <c r="B30" s="243">
        <f>'（５-3）品群別人時生產性（4℃-飯糰)'!L47</f>
        <v>229.22859442012552</v>
      </c>
      <c r="C30" s="258">
        <v>243.85708832275472</v>
      </c>
      <c r="D30" s="244">
        <f t="shared" si="5"/>
        <v>-14.628493902629202</v>
      </c>
      <c r="E30" s="130">
        <f>'（５-3）品群別人時生產性（4℃-飯糰)'!C1</f>
        <v>239.11267144431966</v>
      </c>
      <c r="G30" s="134"/>
      <c r="H30" s="134"/>
      <c r="I30" s="134"/>
      <c r="J30" s="134"/>
      <c r="K30" s="134"/>
    </row>
    <row r="31" spans="1:11" s="122" customFormat="1" ht="18" customHeight="1">
      <c r="A31" s="129" t="s">
        <v>201</v>
      </c>
      <c r="B31" s="243">
        <f>'（５-4）品群別人時生產性（4℃-壽司手卷)'!L47</f>
        <v>95.324941591005029</v>
      </c>
      <c r="C31" s="258">
        <v>93.229387943211421</v>
      </c>
      <c r="D31" s="244">
        <f t="shared" si="5"/>
        <v>2.0955536477936079</v>
      </c>
      <c r="E31" s="130">
        <f>'（５-4）品群別人時生產性（4℃-壽司手卷)'!C1</f>
        <v>92.894867289781303</v>
      </c>
      <c r="G31" s="134"/>
      <c r="H31" s="134"/>
      <c r="I31" s="134"/>
      <c r="J31" s="134"/>
      <c r="K31" s="134"/>
    </row>
    <row r="32" spans="1:11" s="122" customFormat="1" ht="18" customHeight="1">
      <c r="A32" s="129" t="s">
        <v>205</v>
      </c>
      <c r="B32" s="243">
        <f>'（５-5）品群別人時生產性(主食) '!L77</f>
        <v>87.039387110840991</v>
      </c>
      <c r="C32" s="258">
        <v>88.084954285471184</v>
      </c>
      <c r="D32" s="244">
        <f t="shared" si="5"/>
        <v>-1.0455671746301931</v>
      </c>
      <c r="E32" s="130">
        <f>'（５-5）品群別人時生產性(主食) '!C1</f>
        <v>86.853457895117074</v>
      </c>
      <c r="G32" s="134"/>
      <c r="H32" s="134"/>
      <c r="I32" s="134"/>
      <c r="J32" s="134"/>
      <c r="K32" s="134"/>
    </row>
    <row r="33" spans="1:11" s="122" customFormat="1" ht="18" customHeight="1">
      <c r="A33" s="129" t="s">
        <v>207</v>
      </c>
      <c r="B33" s="243">
        <f>'（５-6）品群別人時生產性(便當)'!L47</f>
        <v>72.018958031120206</v>
      </c>
      <c r="C33" s="258">
        <v>73.74303227310692</v>
      </c>
      <c r="D33" s="244">
        <f t="shared" si="5"/>
        <v>-1.7240742419867132</v>
      </c>
      <c r="E33" s="130">
        <f>'（５-6）品群別人時生產性(便當)'!C1</f>
        <v>73.055573334108601</v>
      </c>
      <c r="G33" s="134"/>
      <c r="H33" s="134"/>
      <c r="I33" s="134"/>
      <c r="J33" s="134"/>
      <c r="K33" s="134"/>
    </row>
    <row r="34" spans="1:11" s="122" customFormat="1" ht="18" customHeight="1">
      <c r="A34" s="129" t="s">
        <v>216</v>
      </c>
      <c r="B34" s="243">
        <f>'（５-7）品群別人時生產性(熱食義麵) '!L47</f>
        <v>87.806373789692387</v>
      </c>
      <c r="C34" s="258">
        <v>83.940279299304976</v>
      </c>
      <c r="D34" s="244">
        <f t="shared" si="5"/>
        <v>3.866094490387411</v>
      </c>
      <c r="E34" s="130">
        <f>'（５-7）品群別人時生產性(熱食義麵) '!C1</f>
        <v>85.457943200974114</v>
      </c>
      <c r="G34" s="134"/>
      <c r="H34" s="134"/>
      <c r="I34" s="134"/>
      <c r="J34" s="134"/>
      <c r="K34" s="134"/>
    </row>
    <row r="35" spans="1:11" s="122" customFormat="1" ht="18" customHeight="1">
      <c r="A35" s="129" t="s">
        <v>217</v>
      </c>
      <c r="B35" s="243">
        <f>'（５-8）品群別人時生產性(季節調理麵) '!L47</f>
        <v>128.75504391604022</v>
      </c>
      <c r="C35" s="258">
        <v>132.35821870184301</v>
      </c>
      <c r="D35" s="244">
        <f t="shared" si="5"/>
        <v>-3.6031747858027927</v>
      </c>
      <c r="E35" s="130">
        <f>'（５-8）品群別人時生產性(季節調理麵) '!C1</f>
        <v>130.69808243009319</v>
      </c>
      <c r="G35" s="134"/>
      <c r="H35" s="134"/>
      <c r="I35" s="134"/>
      <c r="J35" s="134"/>
      <c r="K35" s="134"/>
    </row>
    <row r="36" spans="1:11" s="122" customFormat="1" ht="18" customHeight="1">
      <c r="A36" s="125" t="s">
        <v>212</v>
      </c>
      <c r="B36" s="243">
        <f>'（５-9）品群別人時生產性(微波小吃)'!L47</f>
        <v>154.88730204926293</v>
      </c>
      <c r="C36" s="258">
        <v>177.80695592701596</v>
      </c>
      <c r="D36" s="244">
        <f t="shared" si="5"/>
        <v>-22.919653877753035</v>
      </c>
      <c r="E36" s="130">
        <f>'（５-9）品群別人時生產性(微波小吃)'!C1</f>
        <v>170.74124582284776</v>
      </c>
      <c r="G36" s="134"/>
      <c r="H36" s="134"/>
      <c r="I36" s="134"/>
      <c r="J36" s="134"/>
      <c r="K36" s="134"/>
    </row>
    <row r="37" spans="1:11" s="122" customFormat="1" ht="15.75" customHeight="1">
      <c r="D37" s="308"/>
    </row>
    <row r="38" spans="1:11" s="122" customFormat="1" ht="15.75" customHeight="1"/>
  </sheetData>
  <mergeCells count="2">
    <mergeCell ref="A1:K2"/>
    <mergeCell ref="F3:G3"/>
  </mergeCells>
  <phoneticPr fontId="12" type="noConversion"/>
  <printOptions horizontalCentered="1" gridLines="1"/>
  <pageMargins left="0.39370078740157483" right="0.39370078740157483" top="0.39370078740157483" bottom="0.19685039370078741" header="0" footer="0"/>
  <pageSetup paperSize="9" scale="86" fitToWidth="0" fitToHeight="0" pageOrder="overThenDown" orientation="landscape" cellComments="atEnd"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2:W58"/>
  <sheetViews>
    <sheetView zoomScale="65" zoomScaleNormal="65" workbookViewId="0">
      <pane xSplit="5" ySplit="4" topLeftCell="F5" activePane="bottomRight" state="frozen"/>
      <selection pane="topRight" activeCell="F1" sqref="F1"/>
      <selection pane="bottomLeft" activeCell="A5" sqref="A5"/>
      <selection pane="bottomRight" activeCell="T55" sqref="T55"/>
    </sheetView>
  </sheetViews>
  <sheetFormatPr defaultColWidth="8.85546875" defaultRowHeight="14.25"/>
  <cols>
    <col min="1" max="1" width="10.42578125" style="83" bestFit="1" customWidth="1"/>
    <col min="2" max="2" width="12.5703125" style="82" customWidth="1"/>
    <col min="3" max="3" width="8.85546875" style="83"/>
    <col min="4" max="4" width="17.42578125" style="84" customWidth="1"/>
    <col min="5" max="5" width="4.42578125" style="84" customWidth="1"/>
    <col min="6" max="8" width="19.5703125" style="87" customWidth="1"/>
    <col min="9" max="13" width="19.5703125" style="88" customWidth="1"/>
    <col min="14" max="14" width="19.5703125" style="89" customWidth="1"/>
    <col min="15" max="17" width="19.5703125" style="90" customWidth="1"/>
    <col min="18" max="20" width="19.5703125" style="89" customWidth="1"/>
    <col min="21" max="21" width="19.5703125" style="90" customWidth="1"/>
    <col min="22" max="23" width="19.5703125" style="83" customWidth="1"/>
    <col min="24" max="16384" width="8.85546875" style="83"/>
  </cols>
  <sheetData>
    <row r="2" spans="1:23" ht="38.1" customHeight="1">
      <c r="B2" s="534" t="s">
        <v>121</v>
      </c>
      <c r="C2" s="534"/>
      <c r="D2" s="534"/>
      <c r="E2" s="534"/>
      <c r="F2" s="534"/>
      <c r="G2" s="534"/>
      <c r="H2" s="534"/>
      <c r="I2" s="534"/>
      <c r="J2" s="534"/>
      <c r="K2" s="534"/>
      <c r="L2" s="534"/>
      <c r="M2" s="534"/>
      <c r="N2" s="534"/>
      <c r="O2" s="534"/>
      <c r="P2" s="534"/>
      <c r="Q2" s="534"/>
      <c r="R2" s="534"/>
      <c r="S2" s="534"/>
      <c r="T2" s="534"/>
      <c r="U2" s="534"/>
      <c r="V2" s="534"/>
      <c r="W2" s="534"/>
    </row>
    <row r="3" spans="1:23" s="84" customFormat="1" ht="23.45" customHeight="1">
      <c r="B3" s="98"/>
      <c r="C3" s="538" t="s">
        <v>116</v>
      </c>
      <c r="D3" s="539" t="s">
        <v>105</v>
      </c>
      <c r="E3" s="539"/>
      <c r="F3" s="537" t="s">
        <v>338</v>
      </c>
      <c r="G3" s="537"/>
      <c r="H3" s="537"/>
      <c r="I3" s="535" t="s">
        <v>119</v>
      </c>
      <c r="J3" s="535"/>
      <c r="K3" s="535"/>
      <c r="L3" s="536" t="s">
        <v>120</v>
      </c>
      <c r="M3" s="536"/>
      <c r="N3" s="536"/>
      <c r="O3" s="533" t="s">
        <v>122</v>
      </c>
      <c r="P3" s="533"/>
      <c r="Q3" s="533"/>
      <c r="R3" s="540" t="s">
        <v>123</v>
      </c>
      <c r="S3" s="540"/>
      <c r="T3" s="540"/>
      <c r="U3" s="533" t="s">
        <v>124</v>
      </c>
      <c r="V3" s="533"/>
      <c r="W3" s="533"/>
    </row>
    <row r="4" spans="1:23" s="84" customFormat="1" ht="23.45" customHeight="1">
      <c r="A4" s="98"/>
      <c r="B4" s="98"/>
      <c r="C4" s="538"/>
      <c r="D4" s="539"/>
      <c r="E4" s="539"/>
      <c r="F4" s="78" t="s">
        <v>115</v>
      </c>
      <c r="G4" s="78" t="s">
        <v>117</v>
      </c>
      <c r="H4" s="78" t="s">
        <v>118</v>
      </c>
      <c r="I4" s="92" t="s">
        <v>115</v>
      </c>
      <c r="J4" s="92" t="s">
        <v>117</v>
      </c>
      <c r="K4" s="92" t="s">
        <v>118</v>
      </c>
      <c r="L4" s="91" t="s">
        <v>115</v>
      </c>
      <c r="M4" s="91" t="s">
        <v>117</v>
      </c>
      <c r="N4" s="91" t="s">
        <v>118</v>
      </c>
      <c r="O4" s="85" t="s">
        <v>115</v>
      </c>
      <c r="P4" s="85" t="s">
        <v>117</v>
      </c>
      <c r="Q4" s="312" t="s">
        <v>467</v>
      </c>
      <c r="R4" s="85" t="s">
        <v>115</v>
      </c>
      <c r="S4" s="85" t="s">
        <v>117</v>
      </c>
      <c r="T4" s="85" t="s">
        <v>118</v>
      </c>
      <c r="U4" s="85" t="s">
        <v>115</v>
      </c>
      <c r="V4" s="85" t="s">
        <v>117</v>
      </c>
      <c r="W4" s="312" t="s">
        <v>467</v>
      </c>
    </row>
    <row r="5" spans="1:23">
      <c r="A5" s="98"/>
      <c r="B5" s="98"/>
      <c r="C5" s="98"/>
      <c r="D5" s="311">
        <v>46140</v>
      </c>
      <c r="E5" s="311" t="s">
        <v>461</v>
      </c>
      <c r="F5" s="230">
        <v>10402035</v>
      </c>
      <c r="H5" s="333"/>
      <c r="I5" s="231">
        <v>301935</v>
      </c>
      <c r="K5" s="334"/>
      <c r="L5" s="230">
        <v>6999163</v>
      </c>
      <c r="M5" s="309"/>
      <c r="N5" s="333"/>
      <c r="O5" s="90">
        <f t="shared" ref="O5:O39" si="0">L5/F5</f>
        <v>0.67286478078568279</v>
      </c>
      <c r="P5" s="310"/>
      <c r="Q5" s="332"/>
      <c r="R5" s="230">
        <v>1211941.2052291639</v>
      </c>
      <c r="S5" s="309"/>
      <c r="T5" s="333"/>
      <c r="U5" s="90">
        <f t="shared" ref="U5:U41" si="1">R5/F5</f>
        <v>0.11651001032289969</v>
      </c>
      <c r="V5" s="310"/>
      <c r="W5" s="332"/>
    </row>
    <row r="6" spans="1:23">
      <c r="A6" s="98"/>
      <c r="B6" s="98"/>
      <c r="C6" s="98"/>
      <c r="D6" s="311">
        <f t="shared" ref="D6:D7" si="2">D5+1</f>
        <v>46141</v>
      </c>
      <c r="E6" s="311" t="s">
        <v>462</v>
      </c>
      <c r="F6" s="230">
        <v>9121131</v>
      </c>
      <c r="G6" s="309">
        <f>SUM(F5:F11)</f>
        <v>61819588</v>
      </c>
      <c r="H6" s="333"/>
      <c r="I6" s="231">
        <v>269684</v>
      </c>
      <c r="J6" s="88">
        <f>SUM(I5:I11)</f>
        <v>1823149</v>
      </c>
      <c r="K6" s="334"/>
      <c r="L6" s="230">
        <v>6223418</v>
      </c>
      <c r="M6" s="309">
        <f>SUM(L5:L11)</f>
        <v>41232062</v>
      </c>
      <c r="N6" s="333"/>
      <c r="O6" s="90">
        <f t="shared" si="0"/>
        <v>0.68230770942770147</v>
      </c>
      <c r="P6" s="90">
        <f>M6/G6</f>
        <v>0.66697406653696878</v>
      </c>
      <c r="Q6" s="332"/>
      <c r="R6" s="230">
        <v>1160533.0978541642</v>
      </c>
      <c r="S6" s="309">
        <f>SUM(R5:R11)</f>
        <v>7464156.9991079485</v>
      </c>
      <c r="T6" s="333"/>
      <c r="U6" s="90">
        <f t="shared" si="1"/>
        <v>0.12723565727256458</v>
      </c>
      <c r="V6" s="90">
        <f>S6/G6</f>
        <v>0.12074096966010107</v>
      </c>
      <c r="W6" s="332"/>
    </row>
    <row r="7" spans="1:23" ht="16.5" customHeight="1">
      <c r="A7" s="98"/>
      <c r="B7" s="98"/>
      <c r="C7" s="98"/>
      <c r="D7" s="311">
        <f t="shared" si="2"/>
        <v>46142</v>
      </c>
      <c r="E7" s="311" t="s">
        <v>463</v>
      </c>
      <c r="F7" s="230">
        <v>7565915</v>
      </c>
      <c r="I7" s="231">
        <v>227306</v>
      </c>
      <c r="L7" s="230">
        <v>5412196</v>
      </c>
      <c r="M7" s="87"/>
      <c r="N7" s="87"/>
      <c r="O7" s="90">
        <f t="shared" si="0"/>
        <v>0.71533925506696816</v>
      </c>
      <c r="R7" s="230">
        <v>1104431.9446597199</v>
      </c>
      <c r="S7" s="87"/>
      <c r="T7" s="87"/>
      <c r="U7" s="90">
        <f t="shared" si="1"/>
        <v>0.14597466990571795</v>
      </c>
      <c r="V7" s="90"/>
    </row>
    <row r="8" spans="1:23" ht="16.5" customHeight="1">
      <c r="A8" s="98"/>
      <c r="B8" s="98"/>
      <c r="C8" s="98"/>
      <c r="D8" s="311">
        <f>D7+1</f>
        <v>46143</v>
      </c>
      <c r="E8" s="311" t="s">
        <v>464</v>
      </c>
      <c r="F8" s="230">
        <v>7354476</v>
      </c>
      <c r="G8" s="309"/>
      <c r="H8" s="333"/>
      <c r="I8" s="231">
        <v>219331</v>
      </c>
      <c r="K8" s="334"/>
      <c r="L8" s="230">
        <v>4924471</v>
      </c>
      <c r="M8" s="309"/>
      <c r="N8" s="333"/>
      <c r="O8" s="90">
        <f t="shared" si="0"/>
        <v>0.66958828881894505</v>
      </c>
      <c r="P8" s="310"/>
      <c r="Q8" s="332"/>
      <c r="R8" s="230">
        <v>976810.3880617111</v>
      </c>
      <c r="S8" s="309"/>
      <c r="T8" s="333"/>
      <c r="U8" s="90">
        <f t="shared" si="1"/>
        <v>0.13281848877631949</v>
      </c>
      <c r="V8" s="310"/>
      <c r="W8" s="332"/>
    </row>
    <row r="9" spans="1:23" ht="16.5" customHeight="1">
      <c r="A9" s="98"/>
      <c r="B9" s="98"/>
      <c r="C9" s="98"/>
      <c r="D9" s="311">
        <f t="shared" ref="D9:D11" si="3">D8+1</f>
        <v>46144</v>
      </c>
      <c r="E9" s="311" t="s">
        <v>465</v>
      </c>
      <c r="F9" s="230">
        <v>7703936</v>
      </c>
      <c r="G9" s="309"/>
      <c r="H9" s="333"/>
      <c r="I9" s="231">
        <v>229419</v>
      </c>
      <c r="K9" s="334"/>
      <c r="L9" s="230">
        <v>4969535</v>
      </c>
      <c r="M9" s="309"/>
      <c r="N9" s="333"/>
      <c r="O9" s="90">
        <f t="shared" si="0"/>
        <v>0.64506441901905731</v>
      </c>
      <c r="P9" s="310"/>
      <c r="Q9" s="332"/>
      <c r="R9" s="230">
        <v>976957.41995754431</v>
      </c>
      <c r="S9" s="309"/>
      <c r="T9" s="333"/>
      <c r="U9" s="90">
        <f t="shared" si="1"/>
        <v>0.12681276427498156</v>
      </c>
      <c r="V9" s="310"/>
      <c r="W9" s="332"/>
    </row>
    <row r="10" spans="1:23" ht="16.5" customHeight="1">
      <c r="A10" s="98"/>
      <c r="B10" s="98"/>
      <c r="C10" s="98"/>
      <c r="D10" s="311">
        <f t="shared" si="3"/>
        <v>46145</v>
      </c>
      <c r="E10" s="311" t="s">
        <v>466</v>
      </c>
      <c r="F10" s="230">
        <v>10123968</v>
      </c>
      <c r="H10" s="333">
        <f>SUM(F8:F38)</f>
        <v>161521577</v>
      </c>
      <c r="I10" s="231">
        <v>295799</v>
      </c>
      <c r="K10" s="334">
        <f>SUM(I8:I38)</f>
        <v>4767736</v>
      </c>
      <c r="L10" s="230">
        <v>6387381</v>
      </c>
      <c r="M10" s="87"/>
      <c r="N10" s="333">
        <f>SUM(L8:L38)</f>
        <v>105094146</v>
      </c>
      <c r="O10" s="90">
        <f t="shared" si="0"/>
        <v>0.63091675121849455</v>
      </c>
      <c r="P10" s="310"/>
      <c r="Q10" s="332">
        <f>N10/H10</f>
        <v>0.65065081676363279</v>
      </c>
      <c r="R10" s="230">
        <v>1055460.44373185</v>
      </c>
      <c r="S10" s="87"/>
      <c r="T10" s="333">
        <f>SUM(R8:R38)</f>
        <v>18497421.250945967</v>
      </c>
      <c r="U10" s="90">
        <f t="shared" si="1"/>
        <v>0.10425363293639905</v>
      </c>
      <c r="V10" s="310"/>
      <c r="W10" s="332">
        <f>T10/H10</f>
        <v>0.11451981583207281</v>
      </c>
    </row>
    <row r="11" spans="1:23" ht="16.5" customHeight="1">
      <c r="A11" s="98"/>
      <c r="B11" s="98"/>
      <c r="C11" s="98"/>
      <c r="D11" s="311">
        <f t="shared" si="3"/>
        <v>46146</v>
      </c>
      <c r="E11" s="311" t="s">
        <v>460</v>
      </c>
      <c r="F11" s="230">
        <v>9548127</v>
      </c>
      <c r="G11" s="309"/>
      <c r="H11" s="333"/>
      <c r="I11" s="231">
        <v>279675</v>
      </c>
      <c r="K11" s="334"/>
      <c r="L11" s="230">
        <v>6315898</v>
      </c>
      <c r="M11" s="309"/>
      <c r="N11" s="333"/>
      <c r="O11" s="90">
        <f t="shared" si="0"/>
        <v>0.66148030917477318</v>
      </c>
      <c r="Q11" s="332"/>
      <c r="R11" s="230">
        <v>978022.49961379427</v>
      </c>
      <c r="S11" s="309"/>
      <c r="T11" s="333"/>
      <c r="U11" s="90">
        <f t="shared" si="1"/>
        <v>0.10243082225590362</v>
      </c>
      <c r="V11" s="90"/>
      <c r="W11" s="332"/>
    </row>
    <row r="12" spans="1:23" ht="16.5" customHeight="1">
      <c r="A12" s="98"/>
      <c r="B12" s="98"/>
      <c r="C12" s="98"/>
      <c r="D12" s="383">
        <f t="shared" ref="D12:D34" si="4">D11+1</f>
        <v>46147</v>
      </c>
      <c r="E12" s="383" t="s">
        <v>461</v>
      </c>
      <c r="F12" s="230">
        <v>9809562</v>
      </c>
      <c r="G12" s="309">
        <f>SUM(F12:F18)</f>
        <v>62847274</v>
      </c>
      <c r="H12" s="333"/>
      <c r="I12" s="231">
        <v>282734</v>
      </c>
      <c r="J12" s="88">
        <f>SUM(I12:I18)</f>
        <v>1843252</v>
      </c>
      <c r="K12" s="334"/>
      <c r="L12" s="230">
        <v>6175387</v>
      </c>
      <c r="M12" s="309">
        <f>SUM(L12:L18)</f>
        <v>41153944</v>
      </c>
      <c r="N12" s="333"/>
      <c r="O12" s="90">
        <f t="shared" si="0"/>
        <v>0.62952729184034928</v>
      </c>
      <c r="P12" s="90">
        <f>M12/G12</f>
        <v>0.65482464680966113</v>
      </c>
      <c r="Q12" s="332"/>
      <c r="R12" s="232">
        <v>1013550.0642908778</v>
      </c>
      <c r="S12" s="309">
        <f>SUM(R12:R18)</f>
        <v>7199742.1979805883</v>
      </c>
      <c r="T12" s="333"/>
      <c r="U12" s="90">
        <f t="shared" si="1"/>
        <v>0.10332266255016052</v>
      </c>
      <c r="V12" s="90">
        <f>S12/G12</f>
        <v>0.11455933948671486</v>
      </c>
      <c r="W12" s="332"/>
    </row>
    <row r="13" spans="1:23" ht="16.5" customHeight="1">
      <c r="A13" s="98"/>
      <c r="B13" s="98"/>
      <c r="C13" s="98"/>
      <c r="D13" s="383">
        <f t="shared" si="4"/>
        <v>46148</v>
      </c>
      <c r="E13" s="383" t="s">
        <v>462</v>
      </c>
      <c r="F13" s="230">
        <v>9009158</v>
      </c>
      <c r="H13" s="333"/>
      <c r="I13" s="231">
        <v>266574</v>
      </c>
      <c r="K13" s="334"/>
      <c r="L13" s="230">
        <v>5928764</v>
      </c>
      <c r="M13" s="87"/>
      <c r="N13" s="333"/>
      <c r="O13" s="90">
        <f t="shared" si="0"/>
        <v>0.65808192064119642</v>
      </c>
      <c r="P13" s="310"/>
      <c r="Q13" s="332"/>
      <c r="R13" s="230">
        <v>1016418.6601971277</v>
      </c>
      <c r="S13" s="87"/>
      <c r="T13" s="333"/>
      <c r="U13" s="90">
        <f t="shared" si="1"/>
        <v>0.11282060545470816</v>
      </c>
      <c r="V13" s="310"/>
      <c r="W13" s="332"/>
    </row>
    <row r="14" spans="1:23" ht="16.5" customHeight="1">
      <c r="A14" s="98"/>
      <c r="B14" s="98"/>
      <c r="C14" s="98"/>
      <c r="D14" s="383">
        <f t="shared" si="4"/>
        <v>46149</v>
      </c>
      <c r="E14" s="383" t="s">
        <v>463</v>
      </c>
      <c r="F14" s="230">
        <v>8524326</v>
      </c>
      <c r="G14" s="309"/>
      <c r="H14" s="333"/>
      <c r="I14" s="231">
        <v>252974</v>
      </c>
      <c r="K14" s="334"/>
      <c r="L14" s="230">
        <v>5737346</v>
      </c>
      <c r="M14" s="309"/>
      <c r="N14" s="333"/>
      <c r="O14" s="90">
        <f t="shared" si="0"/>
        <v>0.67305567619070406</v>
      </c>
      <c r="P14" s="310"/>
      <c r="Q14" s="332"/>
      <c r="R14" s="230">
        <v>1033375.8343880996</v>
      </c>
      <c r="S14" s="309"/>
      <c r="T14" s="333"/>
      <c r="U14" s="90">
        <f t="shared" si="1"/>
        <v>0.12122669104725695</v>
      </c>
      <c r="V14" s="310"/>
      <c r="W14" s="332"/>
    </row>
    <row r="15" spans="1:23" ht="16.5" customHeight="1">
      <c r="A15" s="98"/>
      <c r="B15" s="98"/>
      <c r="C15" s="98"/>
      <c r="D15" s="383">
        <f t="shared" si="4"/>
        <v>46150</v>
      </c>
      <c r="E15" s="383" t="s">
        <v>464</v>
      </c>
      <c r="F15" s="230">
        <v>7943685</v>
      </c>
      <c r="G15" s="309"/>
      <c r="H15" s="333"/>
      <c r="I15" s="231">
        <v>235549</v>
      </c>
      <c r="K15" s="334"/>
      <c r="L15" s="230">
        <v>5317686</v>
      </c>
      <c r="M15" s="309"/>
      <c r="N15" s="333"/>
      <c r="O15" s="90">
        <f t="shared" si="0"/>
        <v>0.66942307002354695</v>
      </c>
      <c r="Q15" s="332"/>
      <c r="R15" s="230">
        <v>1016562.5917144888</v>
      </c>
      <c r="S15" s="309"/>
      <c r="T15" s="333"/>
      <c r="U15" s="90">
        <f t="shared" si="1"/>
        <v>0.12797116095546196</v>
      </c>
      <c r="V15" s="90"/>
      <c r="W15" s="332"/>
    </row>
    <row r="16" spans="1:23" ht="16.5" customHeight="1">
      <c r="A16" s="98"/>
      <c r="B16" s="98"/>
      <c r="C16" s="98"/>
      <c r="D16" s="383">
        <f t="shared" si="4"/>
        <v>46151</v>
      </c>
      <c r="E16" s="383" t="s">
        <v>465</v>
      </c>
      <c r="F16" s="230">
        <v>8070561</v>
      </c>
      <c r="G16" s="309"/>
      <c r="H16" s="333"/>
      <c r="I16" s="231">
        <v>240874</v>
      </c>
      <c r="K16" s="334"/>
      <c r="L16" s="230">
        <v>5358646</v>
      </c>
      <c r="M16" s="309"/>
      <c r="N16" s="333"/>
      <c r="O16" s="90">
        <f t="shared" si="0"/>
        <v>0.66397441268333146</v>
      </c>
      <c r="P16" s="310"/>
      <c r="Q16" s="332"/>
      <c r="R16" s="230">
        <v>1002652.565530461</v>
      </c>
      <c r="S16" s="309"/>
      <c r="T16" s="333"/>
      <c r="U16" s="90">
        <f t="shared" si="1"/>
        <v>0.12423579544599948</v>
      </c>
      <c r="V16" s="310"/>
      <c r="W16" s="332"/>
    </row>
    <row r="17" spans="1:23" ht="16.5" customHeight="1">
      <c r="A17" s="98"/>
      <c r="B17" s="98"/>
      <c r="C17" s="98"/>
      <c r="D17" s="383">
        <f t="shared" si="4"/>
        <v>46152</v>
      </c>
      <c r="E17" s="383" t="s">
        <v>466</v>
      </c>
      <c r="F17" s="230">
        <v>9698095</v>
      </c>
      <c r="H17" s="333"/>
      <c r="I17" s="231">
        <v>285334</v>
      </c>
      <c r="K17" s="334"/>
      <c r="L17" s="230">
        <v>6245531</v>
      </c>
      <c r="M17" s="87"/>
      <c r="N17" s="333"/>
      <c r="O17" s="90">
        <f t="shared" si="0"/>
        <v>0.64399565069222353</v>
      </c>
      <c r="P17" s="310"/>
      <c r="Q17" s="332"/>
      <c r="R17" s="230">
        <v>1045784.1245617109</v>
      </c>
      <c r="S17" s="87"/>
      <c r="T17" s="333"/>
      <c r="U17" s="90">
        <f t="shared" si="1"/>
        <v>0.10783397404971913</v>
      </c>
      <c r="V17" s="310"/>
      <c r="W17" s="332"/>
    </row>
    <row r="18" spans="1:23" ht="16.5" customHeight="1">
      <c r="A18" s="98"/>
      <c r="B18" s="98"/>
      <c r="C18" s="98"/>
      <c r="D18" s="383">
        <f t="shared" si="4"/>
        <v>46153</v>
      </c>
      <c r="E18" s="383" t="s">
        <v>460</v>
      </c>
      <c r="F18" s="230">
        <v>9791887</v>
      </c>
      <c r="G18" s="309"/>
      <c r="H18" s="333"/>
      <c r="I18" s="231">
        <v>279213</v>
      </c>
      <c r="K18" s="334"/>
      <c r="L18" s="230">
        <v>6390584</v>
      </c>
      <c r="M18" s="309"/>
      <c r="N18" s="333"/>
      <c r="O18" s="90">
        <f t="shared" si="0"/>
        <v>0.65264070142966313</v>
      </c>
      <c r="P18" s="310"/>
      <c r="Q18" s="332"/>
      <c r="R18" s="230">
        <v>1071398.3572978224</v>
      </c>
      <c r="S18" s="309"/>
      <c r="T18" s="333"/>
      <c r="U18" s="90">
        <f t="shared" si="1"/>
        <v>0.10941694458870108</v>
      </c>
      <c r="V18" s="310"/>
      <c r="W18" s="332"/>
    </row>
    <row r="19" spans="1:23" ht="16.5" customHeight="1">
      <c r="A19" s="98"/>
      <c r="B19" s="98"/>
      <c r="C19" s="98"/>
      <c r="D19" s="311">
        <f t="shared" si="4"/>
        <v>46154</v>
      </c>
      <c r="E19" s="311" t="s">
        <v>461</v>
      </c>
      <c r="F19" s="230">
        <v>10338215</v>
      </c>
      <c r="G19" s="309">
        <f>SUM(F19:F25)</f>
        <v>63943796</v>
      </c>
      <c r="H19" s="333"/>
      <c r="I19" s="231">
        <v>303421</v>
      </c>
      <c r="J19" s="88">
        <f>SUM(I19:I25)</f>
        <v>1900260</v>
      </c>
      <c r="K19" s="334"/>
      <c r="L19" s="230">
        <v>6255237</v>
      </c>
      <c r="M19" s="309">
        <f>SUM(L19:L25)</f>
        <v>41342917</v>
      </c>
      <c r="N19" s="333"/>
      <c r="O19" s="90">
        <f t="shared" si="0"/>
        <v>0.60505967422809448</v>
      </c>
      <c r="P19" s="90">
        <f>M19/G19</f>
        <v>0.64655087101804221</v>
      </c>
      <c r="Q19" s="332"/>
      <c r="R19" s="230">
        <v>1061926.5580203072</v>
      </c>
      <c r="S19" s="309">
        <f>SUM(R19:R25)</f>
        <v>7310428.3016004823</v>
      </c>
      <c r="T19" s="333"/>
      <c r="U19" s="90">
        <f t="shared" si="1"/>
        <v>0.10271856002417315</v>
      </c>
      <c r="V19" s="90">
        <f>S19/G19</f>
        <v>0.11432584173764852</v>
      </c>
      <c r="W19" s="332"/>
    </row>
    <row r="20" spans="1:23" ht="16.5" customHeight="1">
      <c r="A20" s="98"/>
      <c r="B20" s="98"/>
      <c r="C20" s="98"/>
      <c r="D20" s="311">
        <f t="shared" si="4"/>
        <v>46155</v>
      </c>
      <c r="E20" s="311" t="s">
        <v>462</v>
      </c>
      <c r="F20" s="230">
        <v>9489109</v>
      </c>
      <c r="G20" s="309"/>
      <c r="H20" s="333"/>
      <c r="I20" s="231">
        <v>283533</v>
      </c>
      <c r="K20" s="334"/>
      <c r="L20" s="230">
        <v>6167273</v>
      </c>
      <c r="M20" s="309"/>
      <c r="N20" s="333"/>
      <c r="O20" s="90">
        <f t="shared" si="0"/>
        <v>0.64993172699354596</v>
      </c>
      <c r="P20" s="310"/>
      <c r="Q20" s="332"/>
      <c r="R20" s="230">
        <v>1067441.5116939179</v>
      </c>
      <c r="S20" s="309"/>
      <c r="T20" s="333"/>
      <c r="U20" s="90">
        <f t="shared" si="1"/>
        <v>0.11249122669935796</v>
      </c>
      <c r="V20" s="310"/>
      <c r="W20" s="332"/>
    </row>
    <row r="21" spans="1:23" ht="16.5" customHeight="1">
      <c r="A21" s="98"/>
      <c r="B21" s="98"/>
      <c r="C21" s="98"/>
      <c r="D21" s="311">
        <f t="shared" si="4"/>
        <v>46156</v>
      </c>
      <c r="E21" s="311" t="s">
        <v>463</v>
      </c>
      <c r="F21" s="230">
        <v>8697323</v>
      </c>
      <c r="H21" s="333"/>
      <c r="I21" s="231">
        <v>262582</v>
      </c>
      <c r="K21" s="334"/>
      <c r="L21" s="230">
        <v>5792746</v>
      </c>
      <c r="M21" s="87"/>
      <c r="N21" s="333"/>
      <c r="O21" s="90">
        <f t="shared" si="0"/>
        <v>0.66603781416419738</v>
      </c>
      <c r="P21" s="310"/>
      <c r="Q21" s="332"/>
      <c r="R21" s="230">
        <v>1014327.027926557</v>
      </c>
      <c r="S21" s="87"/>
      <c r="T21" s="333"/>
      <c r="U21" s="90">
        <f t="shared" si="1"/>
        <v>0.11662519926264174</v>
      </c>
      <c r="V21" s="310"/>
      <c r="W21" s="332"/>
    </row>
    <row r="22" spans="1:23" ht="16.5" customHeight="1">
      <c r="A22" s="98"/>
      <c r="B22" s="98"/>
      <c r="C22" s="98"/>
      <c r="D22" s="311">
        <f t="shared" si="4"/>
        <v>46157</v>
      </c>
      <c r="E22" s="311" t="s">
        <v>464</v>
      </c>
      <c r="F22" s="230">
        <v>7747013</v>
      </c>
      <c r="G22" s="309"/>
      <c r="H22" s="333"/>
      <c r="I22" s="231">
        <v>233211</v>
      </c>
      <c r="K22" s="334"/>
      <c r="L22" s="230">
        <v>5404613</v>
      </c>
      <c r="M22" s="309"/>
      <c r="N22" s="333"/>
      <c r="O22" s="90">
        <f t="shared" si="0"/>
        <v>0.69763830265936044</v>
      </c>
      <c r="Q22" s="332"/>
      <c r="R22" s="230">
        <v>1008692.648565446</v>
      </c>
      <c r="S22" s="309"/>
      <c r="T22" s="333"/>
      <c r="U22" s="90">
        <f t="shared" si="1"/>
        <v>0.13020407330740841</v>
      </c>
      <c r="V22" s="90"/>
      <c r="W22" s="332"/>
    </row>
    <row r="23" spans="1:23" ht="16.5" customHeight="1">
      <c r="A23" s="98"/>
      <c r="B23" s="98"/>
      <c r="C23" s="98"/>
      <c r="D23" s="311">
        <f t="shared" si="4"/>
        <v>46158</v>
      </c>
      <c r="E23" s="311" t="s">
        <v>465</v>
      </c>
      <c r="F23" s="230">
        <v>8066990</v>
      </c>
      <c r="G23" s="309"/>
      <c r="H23" s="333"/>
      <c r="I23" s="231">
        <v>241676</v>
      </c>
      <c r="K23" s="334"/>
      <c r="L23" s="230">
        <v>5143176</v>
      </c>
      <c r="M23" s="309"/>
      <c r="N23" s="333"/>
      <c r="O23" s="90">
        <f t="shared" si="0"/>
        <v>0.63755824663226313</v>
      </c>
      <c r="P23" s="310"/>
      <c r="Q23" s="332"/>
      <c r="R23" s="230">
        <v>1022017.3368397516</v>
      </c>
      <c r="S23" s="309"/>
      <c r="T23" s="333"/>
      <c r="U23" s="90">
        <f t="shared" si="1"/>
        <v>0.12669128594925141</v>
      </c>
      <c r="V23" s="310"/>
      <c r="W23" s="332"/>
    </row>
    <row r="24" spans="1:23" ht="16.5" customHeight="1">
      <c r="A24" s="98"/>
      <c r="B24" s="98"/>
      <c r="C24" s="98"/>
      <c r="D24" s="311">
        <f t="shared" si="4"/>
        <v>46159</v>
      </c>
      <c r="E24" s="311" t="s">
        <v>466</v>
      </c>
      <c r="F24" s="230">
        <v>9834074</v>
      </c>
      <c r="G24" s="309"/>
      <c r="H24" s="333"/>
      <c r="I24" s="231">
        <v>289853</v>
      </c>
      <c r="K24" s="334"/>
      <c r="L24" s="230">
        <v>6378408</v>
      </c>
      <c r="M24" s="309"/>
      <c r="N24" s="333"/>
      <c r="O24" s="90">
        <f t="shared" si="0"/>
        <v>0.64860280693433869</v>
      </c>
      <c r="P24" s="310"/>
      <c r="Q24" s="332"/>
      <c r="R24" s="230">
        <v>1059479.2074925296</v>
      </c>
      <c r="S24" s="309"/>
      <c r="T24" s="333"/>
      <c r="U24" s="90">
        <f t="shared" si="1"/>
        <v>0.10773553336008349</v>
      </c>
      <c r="V24" s="310"/>
      <c r="W24" s="332"/>
    </row>
    <row r="25" spans="1:23" ht="16.5" customHeight="1">
      <c r="A25" s="98"/>
      <c r="B25" s="98"/>
      <c r="C25" s="98"/>
      <c r="D25" s="311">
        <f t="shared" si="4"/>
        <v>46160</v>
      </c>
      <c r="E25" s="311" t="s">
        <v>460</v>
      </c>
      <c r="F25" s="230">
        <v>9771072</v>
      </c>
      <c r="H25" s="333"/>
      <c r="I25" s="231">
        <v>285984</v>
      </c>
      <c r="K25" s="334"/>
      <c r="L25" s="230">
        <v>6201464</v>
      </c>
      <c r="M25" s="87"/>
      <c r="N25" s="333"/>
      <c r="O25" s="90">
        <f t="shared" si="0"/>
        <v>0.6346759086413446</v>
      </c>
      <c r="P25" s="310"/>
      <c r="Q25" s="332"/>
      <c r="R25" s="230">
        <v>1076544.0110619739</v>
      </c>
      <c r="S25" s="87"/>
      <c r="T25" s="333"/>
      <c r="U25" s="90">
        <f t="shared" si="1"/>
        <v>0.11017665319240037</v>
      </c>
      <c r="V25" s="310"/>
      <c r="W25" s="332"/>
    </row>
    <row r="26" spans="1:23" ht="16.5" customHeight="1">
      <c r="A26" s="98"/>
      <c r="B26" s="98"/>
      <c r="C26" s="98"/>
      <c r="D26" s="383">
        <f t="shared" si="4"/>
        <v>46161</v>
      </c>
      <c r="E26" s="383" t="s">
        <v>461</v>
      </c>
      <c r="F26" s="230"/>
      <c r="G26" s="309">
        <f>SUM(F26:F32)</f>
        <v>0</v>
      </c>
      <c r="H26" s="333"/>
      <c r="I26" s="231"/>
      <c r="J26" s="88">
        <f>SUM(I26:I32)</f>
        <v>0</v>
      </c>
      <c r="K26" s="334"/>
      <c r="L26" s="230"/>
      <c r="M26" s="309">
        <f>SUM(L26:L32)</f>
        <v>0</v>
      </c>
      <c r="N26" s="333"/>
      <c r="O26" s="90" t="e">
        <f t="shared" si="0"/>
        <v>#DIV/0!</v>
      </c>
      <c r="P26" s="90" t="e">
        <f>M26/G26</f>
        <v>#DIV/0!</v>
      </c>
      <c r="Q26" s="332"/>
      <c r="R26" s="230"/>
      <c r="S26" s="309">
        <f>SUM(R26:R32)</f>
        <v>0</v>
      </c>
      <c r="T26" s="333"/>
      <c r="U26" s="90" t="e">
        <f t="shared" si="1"/>
        <v>#DIV/0!</v>
      </c>
      <c r="V26" s="90" t="e">
        <f>S26/G26</f>
        <v>#DIV/0!</v>
      </c>
      <c r="W26" s="332"/>
    </row>
    <row r="27" spans="1:23">
      <c r="A27" s="98"/>
      <c r="B27" s="98"/>
      <c r="C27" s="98"/>
      <c r="D27" s="383">
        <f t="shared" si="4"/>
        <v>46162</v>
      </c>
      <c r="E27" s="383" t="s">
        <v>462</v>
      </c>
      <c r="F27" s="230"/>
      <c r="G27" s="309"/>
      <c r="H27" s="333"/>
      <c r="I27" s="231"/>
      <c r="K27" s="334"/>
      <c r="L27" s="230"/>
      <c r="M27" s="309"/>
      <c r="N27" s="333"/>
      <c r="O27" s="90" t="e">
        <f t="shared" si="0"/>
        <v>#DIV/0!</v>
      </c>
      <c r="P27" s="310"/>
      <c r="Q27" s="332"/>
      <c r="R27" s="230"/>
      <c r="S27" s="309"/>
      <c r="T27" s="333"/>
      <c r="U27" s="90" t="e">
        <f t="shared" si="1"/>
        <v>#DIV/0!</v>
      </c>
      <c r="V27" s="310"/>
      <c r="W27" s="332"/>
    </row>
    <row r="28" spans="1:23">
      <c r="A28" s="98"/>
      <c r="B28" s="98"/>
      <c r="C28" s="98"/>
      <c r="D28" s="383">
        <f t="shared" si="4"/>
        <v>46163</v>
      </c>
      <c r="E28" s="383" t="s">
        <v>463</v>
      </c>
      <c r="F28" s="230"/>
      <c r="H28" s="333"/>
      <c r="I28" s="231"/>
      <c r="K28" s="334"/>
      <c r="L28" s="230"/>
      <c r="M28" s="87"/>
      <c r="N28" s="333"/>
      <c r="O28" s="90" t="e">
        <f t="shared" si="0"/>
        <v>#DIV/0!</v>
      </c>
      <c r="P28" s="310"/>
      <c r="Q28" s="332"/>
      <c r="R28" s="230"/>
      <c r="S28" s="87"/>
      <c r="T28" s="333"/>
      <c r="U28" s="90" t="e">
        <f t="shared" si="1"/>
        <v>#DIV/0!</v>
      </c>
      <c r="V28" s="310"/>
      <c r="W28" s="332"/>
    </row>
    <row r="29" spans="1:23">
      <c r="A29" s="98"/>
      <c r="B29" s="98"/>
      <c r="C29" s="98"/>
      <c r="D29" s="383">
        <f t="shared" si="4"/>
        <v>46164</v>
      </c>
      <c r="E29" s="383" t="s">
        <v>464</v>
      </c>
      <c r="F29" s="230"/>
      <c r="G29" s="309"/>
      <c r="H29" s="333"/>
      <c r="I29" s="231"/>
      <c r="K29" s="334"/>
      <c r="L29" s="230"/>
      <c r="M29" s="309"/>
      <c r="N29" s="333"/>
      <c r="O29" s="90" t="e">
        <f t="shared" si="0"/>
        <v>#DIV/0!</v>
      </c>
      <c r="Q29" s="332"/>
      <c r="R29" s="230"/>
      <c r="S29" s="309"/>
      <c r="T29" s="333"/>
      <c r="U29" s="90" t="e">
        <f t="shared" si="1"/>
        <v>#DIV/0!</v>
      </c>
      <c r="V29" s="90"/>
      <c r="W29" s="332"/>
    </row>
    <row r="30" spans="1:23">
      <c r="A30" s="98"/>
      <c r="B30" s="98"/>
      <c r="C30" s="98"/>
      <c r="D30" s="383">
        <f t="shared" si="4"/>
        <v>46165</v>
      </c>
      <c r="E30" s="383" t="s">
        <v>465</v>
      </c>
      <c r="F30" s="230"/>
      <c r="G30" s="309"/>
      <c r="H30" s="333"/>
      <c r="I30" s="231"/>
      <c r="K30" s="334"/>
      <c r="L30" s="230"/>
      <c r="M30" s="309"/>
      <c r="N30" s="333"/>
      <c r="O30" s="90" t="e">
        <f t="shared" si="0"/>
        <v>#DIV/0!</v>
      </c>
      <c r="P30" s="310"/>
      <c r="Q30" s="332"/>
      <c r="R30" s="230"/>
      <c r="S30" s="309"/>
      <c r="T30" s="333"/>
      <c r="U30" s="90" t="e">
        <f t="shared" si="1"/>
        <v>#DIV/0!</v>
      </c>
      <c r="V30" s="310"/>
      <c r="W30" s="332"/>
    </row>
    <row r="31" spans="1:23">
      <c r="A31" s="98"/>
      <c r="B31" s="98"/>
      <c r="C31" s="98"/>
      <c r="D31" s="383">
        <f t="shared" si="4"/>
        <v>46166</v>
      </c>
      <c r="E31" s="383" t="s">
        <v>466</v>
      </c>
      <c r="F31" s="230"/>
      <c r="G31" s="309"/>
      <c r="H31" s="333"/>
      <c r="I31" s="231"/>
      <c r="K31" s="334"/>
      <c r="L31" s="230"/>
      <c r="M31" s="309"/>
      <c r="N31" s="333"/>
      <c r="O31" s="90" t="e">
        <f t="shared" si="0"/>
        <v>#DIV/0!</v>
      </c>
      <c r="P31" s="310"/>
      <c r="Q31" s="332"/>
      <c r="R31" s="230"/>
      <c r="S31" s="309"/>
      <c r="T31" s="333"/>
      <c r="U31" s="90" t="e">
        <f t="shared" si="1"/>
        <v>#DIV/0!</v>
      </c>
      <c r="V31" s="310"/>
      <c r="W31" s="332"/>
    </row>
    <row r="32" spans="1:23">
      <c r="A32" s="98"/>
      <c r="B32" s="98"/>
      <c r="C32" s="98"/>
      <c r="D32" s="383">
        <f t="shared" si="4"/>
        <v>46167</v>
      </c>
      <c r="E32" s="383" t="s">
        <v>460</v>
      </c>
      <c r="F32" s="230"/>
      <c r="H32" s="333"/>
      <c r="I32" s="231"/>
      <c r="K32" s="334"/>
      <c r="L32" s="230"/>
      <c r="M32" s="87"/>
      <c r="N32" s="333"/>
      <c r="O32" s="90" t="e">
        <f t="shared" si="0"/>
        <v>#DIV/0!</v>
      </c>
      <c r="P32" s="310"/>
      <c r="Q32" s="332"/>
      <c r="R32" s="230"/>
      <c r="S32" s="87"/>
      <c r="T32" s="333"/>
      <c r="U32" s="90" t="e">
        <f t="shared" si="1"/>
        <v>#DIV/0!</v>
      </c>
      <c r="V32" s="310"/>
      <c r="W32" s="332"/>
    </row>
    <row r="33" spans="1:23">
      <c r="A33" s="98"/>
      <c r="B33" s="98"/>
      <c r="C33" s="98"/>
      <c r="D33" s="311">
        <f t="shared" si="4"/>
        <v>46168</v>
      </c>
      <c r="E33" s="311" t="s">
        <v>461</v>
      </c>
      <c r="F33" s="230"/>
      <c r="G33" s="309">
        <f>SUM(F33:F39)</f>
        <v>0</v>
      </c>
      <c r="H33" s="333"/>
      <c r="I33" s="231"/>
      <c r="J33" s="88">
        <f>SUM(I33:I39)</f>
        <v>0</v>
      </c>
      <c r="K33" s="334"/>
      <c r="L33" s="230"/>
      <c r="M33" s="309">
        <f>SUM(L33:L39)</f>
        <v>0</v>
      </c>
      <c r="N33" s="333"/>
      <c r="O33" s="90" t="e">
        <f t="shared" si="0"/>
        <v>#DIV/0!</v>
      </c>
      <c r="P33" s="90" t="e">
        <f>M33/G33</f>
        <v>#DIV/0!</v>
      </c>
      <c r="Q33" s="332"/>
      <c r="R33" s="230"/>
      <c r="S33" s="309">
        <f>SUM(R33:R39)</f>
        <v>0</v>
      </c>
      <c r="T33" s="333"/>
      <c r="U33" s="90" t="e">
        <f t="shared" si="1"/>
        <v>#DIV/0!</v>
      </c>
      <c r="V33" s="90" t="e">
        <f>S33/G33</f>
        <v>#DIV/0!</v>
      </c>
      <c r="W33" s="332"/>
    </row>
    <row r="34" spans="1:23">
      <c r="A34" s="98"/>
      <c r="B34" s="98"/>
      <c r="C34" s="98"/>
      <c r="D34" s="311">
        <f t="shared" si="4"/>
        <v>46169</v>
      </c>
      <c r="E34" s="311" t="s">
        <v>462</v>
      </c>
      <c r="F34" s="230"/>
      <c r="H34" s="333"/>
      <c r="I34" s="231"/>
      <c r="K34" s="334"/>
      <c r="L34" s="230"/>
      <c r="M34" s="309"/>
      <c r="N34" s="333"/>
      <c r="O34" s="90" t="e">
        <f t="shared" si="0"/>
        <v>#DIV/0!</v>
      </c>
      <c r="Q34" s="332"/>
      <c r="R34" s="230"/>
      <c r="S34" s="309"/>
      <c r="T34" s="333"/>
      <c r="U34" s="90" t="e">
        <f t="shared" si="1"/>
        <v>#DIV/0!</v>
      </c>
      <c r="V34" s="90"/>
      <c r="W34" s="332"/>
    </row>
    <row r="35" spans="1:23">
      <c r="A35" s="98"/>
      <c r="B35" s="98"/>
      <c r="D35" s="311">
        <f>D34+1</f>
        <v>46170</v>
      </c>
      <c r="E35" s="311" t="s">
        <v>463</v>
      </c>
      <c r="F35" s="230"/>
      <c r="G35" s="309"/>
      <c r="I35" s="231"/>
      <c r="L35" s="230"/>
      <c r="M35" s="309"/>
      <c r="N35" s="87"/>
      <c r="O35" s="90" t="e">
        <f t="shared" si="0"/>
        <v>#DIV/0!</v>
      </c>
      <c r="Q35" s="87"/>
      <c r="R35" s="230"/>
      <c r="S35" s="309"/>
      <c r="T35" s="87"/>
      <c r="U35" s="90" t="e">
        <f t="shared" si="1"/>
        <v>#DIV/0!</v>
      </c>
      <c r="V35" s="90"/>
      <c r="W35" s="87"/>
    </row>
    <row r="36" spans="1:23">
      <c r="A36" s="98"/>
      <c r="B36" s="98"/>
      <c r="C36" s="98"/>
      <c r="D36" s="311">
        <f t="shared" ref="D36:D39" si="5">D35+1</f>
        <v>46171</v>
      </c>
      <c r="E36" s="311" t="s">
        <v>464</v>
      </c>
      <c r="F36" s="230"/>
      <c r="G36" s="309"/>
      <c r="H36" s="333"/>
      <c r="I36" s="231"/>
      <c r="K36" s="334"/>
      <c r="L36" s="230"/>
      <c r="M36" s="309"/>
      <c r="N36" s="333"/>
      <c r="O36" s="90" t="e">
        <f t="shared" si="0"/>
        <v>#DIV/0!</v>
      </c>
      <c r="Q36" s="332"/>
      <c r="R36" s="230"/>
      <c r="S36" s="309"/>
      <c r="T36" s="333"/>
      <c r="U36" s="90" t="e">
        <f t="shared" si="1"/>
        <v>#DIV/0!</v>
      </c>
      <c r="V36" s="90"/>
      <c r="W36" s="332"/>
    </row>
    <row r="37" spans="1:23">
      <c r="A37" s="98"/>
      <c r="B37" s="98"/>
      <c r="D37" s="311">
        <f t="shared" si="5"/>
        <v>46172</v>
      </c>
      <c r="E37" s="311" t="s">
        <v>465</v>
      </c>
      <c r="F37" s="230"/>
      <c r="G37" s="309"/>
      <c r="I37" s="231"/>
      <c r="L37" s="230"/>
      <c r="M37" s="309"/>
      <c r="N37" s="87"/>
      <c r="O37" s="90" t="e">
        <f t="shared" si="0"/>
        <v>#DIV/0!</v>
      </c>
      <c r="Q37" s="87"/>
      <c r="R37" s="230"/>
      <c r="S37" s="309"/>
      <c r="T37" s="87"/>
      <c r="U37" s="90" t="e">
        <f t="shared" si="1"/>
        <v>#DIV/0!</v>
      </c>
      <c r="V37" s="90"/>
      <c r="W37" s="87"/>
    </row>
    <row r="38" spans="1:23">
      <c r="A38" s="98"/>
      <c r="B38" s="98"/>
      <c r="D38" s="311">
        <f t="shared" si="5"/>
        <v>46173</v>
      </c>
      <c r="E38" s="311" t="s">
        <v>466</v>
      </c>
      <c r="F38" s="230"/>
      <c r="G38" s="309"/>
      <c r="I38" s="231"/>
      <c r="L38" s="230"/>
      <c r="M38" s="309"/>
      <c r="N38" s="87"/>
      <c r="O38" s="90" t="e">
        <f t="shared" si="0"/>
        <v>#DIV/0!</v>
      </c>
      <c r="Q38" s="87"/>
      <c r="R38" s="230"/>
      <c r="S38" s="309"/>
      <c r="T38" s="87"/>
      <c r="U38" s="90" t="e">
        <f t="shared" si="1"/>
        <v>#DIV/0!</v>
      </c>
      <c r="V38" s="90"/>
      <c r="W38" s="87"/>
    </row>
    <row r="39" spans="1:23">
      <c r="A39" s="98"/>
      <c r="B39" s="98"/>
      <c r="D39" s="311">
        <f t="shared" si="5"/>
        <v>46174</v>
      </c>
      <c r="E39" s="311" t="s">
        <v>460</v>
      </c>
      <c r="F39" s="230"/>
      <c r="G39" s="309"/>
      <c r="I39" s="231"/>
      <c r="L39" s="230"/>
      <c r="M39" s="309"/>
      <c r="N39" s="87"/>
      <c r="O39" s="90" t="e">
        <f t="shared" si="0"/>
        <v>#DIV/0!</v>
      </c>
      <c r="Q39" s="87"/>
      <c r="R39" s="230"/>
      <c r="S39" s="309"/>
      <c r="T39" s="87"/>
      <c r="U39" s="90" t="e">
        <f t="shared" si="1"/>
        <v>#DIV/0!</v>
      </c>
      <c r="V39" s="90"/>
      <c r="W39" s="87"/>
    </row>
    <row r="40" spans="1:23">
      <c r="A40" s="98"/>
      <c r="B40" s="98"/>
      <c r="D40" s="311"/>
      <c r="E40" s="311"/>
      <c r="F40" s="230"/>
      <c r="G40" s="309"/>
      <c r="I40" s="231"/>
      <c r="L40" s="230"/>
      <c r="M40" s="309"/>
      <c r="N40" s="87"/>
      <c r="O40" s="90" t="e">
        <f>L40/F40</f>
        <v>#DIV/0!</v>
      </c>
      <c r="Q40" s="87"/>
      <c r="R40" s="230"/>
      <c r="S40" s="309"/>
      <c r="T40" s="87"/>
      <c r="U40" s="90" t="e">
        <f t="shared" si="1"/>
        <v>#DIV/0!</v>
      </c>
      <c r="V40" s="90"/>
      <c r="W40" s="87"/>
    </row>
    <row r="41" spans="1:23">
      <c r="A41" s="98"/>
      <c r="B41" s="98"/>
      <c r="D41" s="311"/>
      <c r="E41" s="311"/>
      <c r="F41" s="230"/>
      <c r="G41" s="309"/>
      <c r="I41" s="231"/>
      <c r="L41" s="230"/>
      <c r="M41" s="309"/>
      <c r="N41" s="87"/>
      <c r="O41" s="90" t="e">
        <f>L41/F41</f>
        <v>#DIV/0!</v>
      </c>
      <c r="Q41" s="87"/>
      <c r="R41" s="232"/>
      <c r="S41" s="309"/>
      <c r="T41" s="87"/>
      <c r="U41" s="90" t="e">
        <f t="shared" si="1"/>
        <v>#DIV/0!</v>
      </c>
      <c r="V41" s="90"/>
      <c r="W41" s="87"/>
    </row>
    <row r="42" spans="1:23">
      <c r="A42" s="98"/>
      <c r="B42" s="98"/>
      <c r="D42" s="86"/>
      <c r="E42" s="86"/>
      <c r="G42" s="309"/>
      <c r="M42" s="309"/>
      <c r="N42" s="87"/>
      <c r="Q42" s="87"/>
      <c r="S42" s="309"/>
      <c r="T42" s="87"/>
      <c r="V42" s="90"/>
      <c r="W42" s="87"/>
    </row>
    <row r="43" spans="1:23">
      <c r="A43" s="98"/>
      <c r="B43" s="98"/>
      <c r="D43" s="86"/>
      <c r="E43" s="86"/>
      <c r="G43" s="309"/>
      <c r="M43" s="309"/>
      <c r="N43" s="87"/>
      <c r="Q43" s="87"/>
      <c r="S43" s="309"/>
      <c r="T43" s="87"/>
      <c r="V43" s="90"/>
      <c r="W43" s="87"/>
    </row>
    <row r="44" spans="1:23">
      <c r="A44" s="98"/>
      <c r="B44" s="98"/>
      <c r="D44" s="86"/>
      <c r="E44" s="86"/>
      <c r="G44" s="309"/>
      <c r="M44" s="309"/>
      <c r="N44" s="87"/>
      <c r="Q44" s="87"/>
      <c r="S44" s="309"/>
      <c r="T44" s="87"/>
      <c r="V44" s="90"/>
      <c r="W44" s="87"/>
    </row>
    <row r="45" spans="1:23">
      <c r="A45" s="98"/>
      <c r="B45" s="98"/>
      <c r="M45" s="87"/>
      <c r="S45" s="87"/>
    </row>
    <row r="46" spans="1:23">
      <c r="A46" s="98"/>
      <c r="B46" s="98"/>
      <c r="M46" s="87"/>
    </row>
    <row r="47" spans="1:23">
      <c r="A47" s="98"/>
      <c r="B47" s="98"/>
      <c r="M47" s="87"/>
    </row>
    <row r="48" spans="1:23">
      <c r="A48" s="98"/>
      <c r="B48" s="98"/>
      <c r="M48" s="87"/>
    </row>
    <row r="49" spans="1:13">
      <c r="A49" s="98"/>
      <c r="B49" s="98"/>
      <c r="M49" s="87"/>
    </row>
    <row r="50" spans="1:13">
      <c r="B50" s="98"/>
      <c r="M50" s="87"/>
    </row>
    <row r="51" spans="1:13">
      <c r="M51" s="87"/>
    </row>
    <row r="52" spans="1:13">
      <c r="M52" s="87"/>
    </row>
    <row r="53" spans="1:13">
      <c r="M53" s="87"/>
    </row>
    <row r="54" spans="1:13">
      <c r="M54" s="87"/>
    </row>
    <row r="55" spans="1:13">
      <c r="M55" s="87"/>
    </row>
    <row r="56" spans="1:13">
      <c r="M56" s="87"/>
    </row>
    <row r="57" spans="1:13">
      <c r="M57" s="87"/>
    </row>
    <row r="58" spans="1:13">
      <c r="M58" s="87"/>
    </row>
  </sheetData>
  <mergeCells count="9">
    <mergeCell ref="O3:Q3"/>
    <mergeCell ref="B2:W2"/>
    <mergeCell ref="I3:K3"/>
    <mergeCell ref="L3:N3"/>
    <mergeCell ref="F3:H3"/>
    <mergeCell ref="C3:C4"/>
    <mergeCell ref="D3:E4"/>
    <mergeCell ref="R3:T3"/>
    <mergeCell ref="U3:W3"/>
  </mergeCells>
  <phoneticPr fontId="12" type="noConversion"/>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B1:W50"/>
  <sheetViews>
    <sheetView zoomScale="70" zoomScaleNormal="70" workbookViewId="0">
      <pane xSplit="5" ySplit="4" topLeftCell="F5" activePane="bottomRight" state="frozen"/>
      <selection pane="topRight" activeCell="F1" sqref="F1"/>
      <selection pane="bottomLeft" activeCell="A5" sqref="A5"/>
      <selection pane="bottomRight" activeCell="U19" sqref="U19:U25"/>
    </sheetView>
  </sheetViews>
  <sheetFormatPr defaultColWidth="8.85546875" defaultRowHeight="14.25"/>
  <cols>
    <col min="1" max="1" width="4.42578125" style="74" customWidth="1"/>
    <col min="2" max="2" width="12.5703125" style="82" customWidth="1"/>
    <col min="3" max="3" width="8.85546875" style="83"/>
    <col min="4" max="4" width="17.42578125" style="84" customWidth="1"/>
    <col min="5" max="5" width="4.42578125" style="84" customWidth="1"/>
    <col min="6" max="8" width="25.5703125" style="94" customWidth="1"/>
    <col min="9" max="11" width="15" style="73" customWidth="1"/>
    <col min="12" max="17" width="14.5703125" style="73" customWidth="1"/>
    <col min="18" max="21" width="14.140625" style="73" customWidth="1"/>
    <col min="22" max="23" width="14.140625" style="74" customWidth="1"/>
    <col min="24" max="16384" width="8.85546875" style="74"/>
  </cols>
  <sheetData>
    <row r="1" spans="2:23">
      <c r="B1" s="82" t="s">
        <v>316</v>
      </c>
      <c r="C1" s="83">
        <v>366</v>
      </c>
    </row>
    <row r="2" spans="2:23" ht="38.1" customHeight="1">
      <c r="B2" s="534" t="s">
        <v>126</v>
      </c>
      <c r="C2" s="541"/>
      <c r="D2" s="541"/>
      <c r="E2" s="541"/>
      <c r="F2" s="541"/>
      <c r="G2" s="541"/>
      <c r="H2" s="541"/>
      <c r="I2" s="541"/>
      <c r="J2" s="541"/>
      <c r="K2" s="541"/>
      <c r="L2" s="541"/>
      <c r="M2" s="541"/>
      <c r="N2" s="541"/>
      <c r="O2" s="541"/>
      <c r="P2" s="541"/>
      <c r="Q2" s="541"/>
      <c r="R2" s="541"/>
      <c r="S2" s="541"/>
      <c r="T2" s="541"/>
      <c r="U2" s="541"/>
    </row>
    <row r="3" spans="2:23" s="72" customFormat="1" ht="23.45" customHeight="1">
      <c r="B3" s="98"/>
      <c r="C3" s="538" t="s">
        <v>116</v>
      </c>
      <c r="D3" s="539" t="s">
        <v>105</v>
      </c>
      <c r="E3" s="539"/>
      <c r="F3" s="542" t="s">
        <v>107</v>
      </c>
      <c r="G3" s="542"/>
      <c r="H3" s="542"/>
      <c r="I3" s="544" t="s">
        <v>108</v>
      </c>
      <c r="J3" s="544"/>
      <c r="K3" s="544"/>
      <c r="L3" s="543" t="s">
        <v>306</v>
      </c>
      <c r="M3" s="543"/>
      <c r="N3" s="543"/>
      <c r="O3" s="543" t="s">
        <v>106</v>
      </c>
      <c r="P3" s="543"/>
      <c r="Q3" s="543"/>
      <c r="R3" s="543" t="s">
        <v>109</v>
      </c>
      <c r="S3" s="543"/>
      <c r="T3" s="543"/>
      <c r="U3" s="543" t="s">
        <v>110</v>
      </c>
      <c r="V3" s="543"/>
      <c r="W3" s="543"/>
    </row>
    <row r="4" spans="2:23" ht="15.75">
      <c r="B4" s="98"/>
      <c r="C4" s="538"/>
      <c r="D4" s="539"/>
      <c r="E4" s="539"/>
      <c r="F4" s="85" t="s">
        <v>115</v>
      </c>
      <c r="G4" s="96" t="s">
        <v>127</v>
      </c>
      <c r="H4" s="96" t="s">
        <v>128</v>
      </c>
      <c r="I4" s="85" t="s">
        <v>115</v>
      </c>
      <c r="J4" s="95" t="s">
        <v>127</v>
      </c>
      <c r="K4" s="95" t="s">
        <v>128</v>
      </c>
      <c r="L4" s="85" t="s">
        <v>115</v>
      </c>
      <c r="M4" s="95" t="s">
        <v>127</v>
      </c>
      <c r="N4" s="95" t="s">
        <v>128</v>
      </c>
      <c r="O4" s="85" t="s">
        <v>115</v>
      </c>
      <c r="P4" s="95" t="s">
        <v>127</v>
      </c>
      <c r="Q4" s="95" t="s">
        <v>128</v>
      </c>
      <c r="R4" s="85" t="s">
        <v>115</v>
      </c>
      <c r="S4" s="95" t="s">
        <v>127</v>
      </c>
      <c r="T4" s="95" t="s">
        <v>128</v>
      </c>
      <c r="U4" s="85" t="s">
        <v>115</v>
      </c>
      <c r="V4" s="95" t="s">
        <v>127</v>
      </c>
      <c r="W4" s="95" t="s">
        <v>128</v>
      </c>
    </row>
    <row r="5" spans="2:23" ht="14.45" customHeight="1">
      <c r="B5" s="98"/>
      <c r="C5" s="98"/>
      <c r="D5" s="311">
        <v>46140</v>
      </c>
      <c r="E5" s="311" t="s">
        <v>461</v>
      </c>
      <c r="F5" s="229">
        <v>364.12600139047453</v>
      </c>
      <c r="G5" s="93"/>
      <c r="H5" s="93"/>
      <c r="I5" s="90">
        <f>F5/$C$1</f>
        <v>0.99487978521987575</v>
      </c>
      <c r="J5" s="214"/>
      <c r="K5" s="214"/>
      <c r="L5" s="247">
        <v>2.4384651657103633E-3</v>
      </c>
      <c r="M5" s="310"/>
      <c r="N5" s="310"/>
      <c r="O5" s="247">
        <v>1.6988921132521874E-3</v>
      </c>
      <c r="P5" s="310"/>
      <c r="Q5" s="310"/>
      <c r="R5" s="233">
        <v>0.91700000000000004</v>
      </c>
      <c r="S5" s="214"/>
      <c r="T5" s="310"/>
      <c r="U5" s="233">
        <v>0.29599999999999999</v>
      </c>
      <c r="V5" s="214"/>
      <c r="W5" s="310"/>
    </row>
    <row r="6" spans="2:23" ht="14.45" customHeight="1">
      <c r="B6" s="98"/>
      <c r="C6" s="98"/>
      <c r="D6" s="311">
        <f t="shared" ref="D6:D7" si="0">D5+1</f>
        <v>46141</v>
      </c>
      <c r="E6" s="311" t="s">
        <v>462</v>
      </c>
      <c r="F6" s="229">
        <v>366.14001188573252</v>
      </c>
      <c r="G6" s="94">
        <f>AVERAGE(F5:F11)</f>
        <v>365.47352465785218</v>
      </c>
      <c r="H6" s="93"/>
      <c r="I6" s="90">
        <f>F6/$C$1</f>
        <v>1.0003825461358813</v>
      </c>
      <c r="J6" s="214">
        <f>AVERAGE(I5:I10)</f>
        <v>1.0036380147556665</v>
      </c>
      <c r="K6" s="214"/>
      <c r="L6" s="247">
        <v>2.4386230172552068E-3</v>
      </c>
      <c r="M6" s="310">
        <f>AVERAGE(L5:L10)</f>
        <v>2.4295698950813726E-3</v>
      </c>
      <c r="N6" s="310"/>
      <c r="O6" s="247">
        <v>1.8154656447203715E-3</v>
      </c>
      <c r="P6" s="310">
        <f>AVERAGE(O5:O10)</f>
        <v>1.9340624191095193E-3</v>
      </c>
      <c r="Q6" s="310"/>
      <c r="R6" s="233">
        <v>0.91700000000000004</v>
      </c>
      <c r="S6" s="214">
        <f>AVERAGE(R5:R10)</f>
        <v>0.91699999999999993</v>
      </c>
      <c r="T6" s="310"/>
      <c r="U6" s="233">
        <v>0.29799999999999999</v>
      </c>
      <c r="V6" s="214">
        <f>AVERAGE(U5:U11)</f>
        <v>0.30171428571428571</v>
      </c>
      <c r="W6" s="310"/>
    </row>
    <row r="7" spans="2:23" ht="14.45" customHeight="1">
      <c r="B7" s="98"/>
      <c r="C7" s="98"/>
      <c r="D7" s="311">
        <f t="shared" si="0"/>
        <v>46142</v>
      </c>
      <c r="E7" s="311" t="s">
        <v>463</v>
      </c>
      <c r="F7" s="229">
        <v>373.24265782533877</v>
      </c>
      <c r="I7" s="90">
        <f t="shared" ref="I7:I40" si="1">F7/$C$1</f>
        <v>1.0197886825828928</v>
      </c>
      <c r="J7" s="214"/>
      <c r="L7" s="247">
        <v>2.4216502564461798E-3</v>
      </c>
      <c r="M7" s="310"/>
      <c r="O7" s="247">
        <v>1.9058573275631372E-3</v>
      </c>
      <c r="P7" s="310"/>
      <c r="R7" s="233">
        <v>0.91700000000000004</v>
      </c>
      <c r="S7" s="214"/>
      <c r="U7" s="233">
        <v>0.3</v>
      </c>
      <c r="V7" s="214"/>
    </row>
    <row r="8" spans="2:23" ht="14.45" customHeight="1">
      <c r="B8" s="98"/>
      <c r="C8" s="98"/>
      <c r="D8" s="311">
        <f>D7+1</f>
        <v>46143</v>
      </c>
      <c r="E8" s="311" t="s">
        <v>464</v>
      </c>
      <c r="F8" s="229">
        <v>368.48133990495876</v>
      </c>
      <c r="G8" s="93"/>
      <c r="H8" s="93"/>
      <c r="I8" s="90">
        <f t="shared" si="1"/>
        <v>1.0067796172266632</v>
      </c>
      <c r="J8" s="214"/>
      <c r="K8" s="214"/>
      <c r="L8" s="247">
        <v>2.419886882491696E-3</v>
      </c>
      <c r="M8" s="310"/>
      <c r="N8" s="310"/>
      <c r="O8" s="247">
        <v>2.2685357678943873E-3</v>
      </c>
      <c r="P8" s="310"/>
      <c r="Q8" s="310"/>
      <c r="R8" s="233">
        <v>0.91700000000000004</v>
      </c>
      <c r="S8" s="214"/>
      <c r="T8" s="310"/>
      <c r="U8" s="233">
        <v>0.3</v>
      </c>
      <c r="V8" s="214"/>
      <c r="W8" s="310"/>
    </row>
    <row r="9" spans="2:23" ht="14.45" customHeight="1">
      <c r="B9" s="98"/>
      <c r="C9" s="98"/>
      <c r="D9" s="311">
        <f t="shared" ref="D9:D34" si="2">D8+1</f>
        <v>46144</v>
      </c>
      <c r="E9" s="311" t="s">
        <v>465</v>
      </c>
      <c r="F9" s="229">
        <v>364.66302978027329</v>
      </c>
      <c r="G9" s="93"/>
      <c r="H9" s="93"/>
      <c r="I9" s="90">
        <f t="shared" si="1"/>
        <v>0.99634707590238603</v>
      </c>
      <c r="J9" s="214"/>
      <c r="K9" s="214"/>
      <c r="L9" s="247">
        <v>2.4269412414641037E-3</v>
      </c>
      <c r="M9" s="310"/>
      <c r="N9" s="310"/>
      <c r="O9" s="247">
        <v>2.1107962454493564E-3</v>
      </c>
      <c r="P9" s="310"/>
      <c r="Q9" s="310"/>
      <c r="R9" s="233">
        <v>0.91700000000000004</v>
      </c>
      <c r="S9" s="214"/>
      <c r="T9" s="310"/>
      <c r="U9" s="233">
        <v>0.30199999999999999</v>
      </c>
      <c r="V9" s="214"/>
      <c r="W9" s="310"/>
    </row>
    <row r="10" spans="2:23" ht="14.45" customHeight="1">
      <c r="B10" s="98"/>
      <c r="C10" s="98"/>
      <c r="D10" s="311">
        <f t="shared" si="2"/>
        <v>46145</v>
      </c>
      <c r="E10" s="311" t="s">
        <v>466</v>
      </c>
      <c r="F10" s="229">
        <v>367.33603961666574</v>
      </c>
      <c r="G10" s="93"/>
      <c r="H10" s="93">
        <f>AVERAGE(F8:F38)</f>
        <v>363.03541499687537</v>
      </c>
      <c r="I10" s="90">
        <f t="shared" si="1"/>
        <v>1.0036503814662998</v>
      </c>
      <c r="J10" s="214"/>
      <c r="K10" s="214">
        <f>AVERAGE(I5:I34)</f>
        <v>0.69564172504966326</v>
      </c>
      <c r="L10" s="247">
        <v>2.4318528071206862E-3</v>
      </c>
      <c r="M10" s="310"/>
      <c r="N10" s="310">
        <f>AVERAGE(L8:L38)</f>
        <v>2.4230433281900725E-3</v>
      </c>
      <c r="O10" s="247">
        <v>1.8048274157776766E-3</v>
      </c>
      <c r="P10" s="310"/>
      <c r="Q10" s="310">
        <f>AVERAGE(O8:O38)</f>
        <v>3.6810998348003202E-3</v>
      </c>
      <c r="R10" s="233">
        <v>0.91700000000000004</v>
      </c>
      <c r="S10" s="214"/>
      <c r="T10" s="214">
        <f>AVERAGE(R5:R34)</f>
        <v>0.91700000000000026</v>
      </c>
      <c r="U10" s="233">
        <v>0.30599999999999999</v>
      </c>
      <c r="V10" s="214"/>
      <c r="W10" s="214">
        <f>AVERAGE(U8:U38)</f>
        <v>0.32944444444444443</v>
      </c>
    </row>
    <row r="11" spans="2:23" ht="14.45" customHeight="1">
      <c r="B11" s="98"/>
      <c r="C11" s="98"/>
      <c r="D11" s="311">
        <f t="shared" si="2"/>
        <v>46146</v>
      </c>
      <c r="E11" s="311" t="s">
        <v>460</v>
      </c>
      <c r="F11" s="229">
        <v>354.32559220152206</v>
      </c>
      <c r="G11" s="93"/>
      <c r="H11" s="93"/>
      <c r="I11" s="90">
        <f t="shared" si="1"/>
        <v>0.96810271093312039</v>
      </c>
      <c r="J11" s="214">
        <f>AVERAGE(I11:I17)</f>
        <v>1.003558695878326</v>
      </c>
      <c r="K11" s="214"/>
      <c r="L11" s="247">
        <v>2.4023559803928039E-3</v>
      </c>
      <c r="M11" s="310"/>
      <c r="N11" s="310"/>
      <c r="O11" s="247">
        <v>1.7206849808707036E-3</v>
      </c>
      <c r="P11" s="310"/>
      <c r="Q11" s="310"/>
      <c r="R11" s="233">
        <v>0.91700000000000004</v>
      </c>
      <c r="S11" s="214">
        <f>AVERAGE(R11:R17)</f>
        <v>0.91699999999999993</v>
      </c>
      <c r="T11" s="310"/>
      <c r="U11" s="233">
        <v>0.31</v>
      </c>
      <c r="V11" s="214"/>
      <c r="W11" s="214"/>
    </row>
    <row r="12" spans="2:23" ht="14.45" customHeight="1">
      <c r="B12" s="98"/>
      <c r="C12" s="98"/>
      <c r="D12" s="383">
        <f t="shared" si="2"/>
        <v>46147</v>
      </c>
      <c r="E12" s="383" t="s">
        <v>461</v>
      </c>
      <c r="F12" s="229">
        <v>370.20968052028508</v>
      </c>
      <c r="G12" s="93">
        <f>AVERAGE(F12:F18)</f>
        <v>368.79730713342616</v>
      </c>
      <c r="H12" s="93"/>
      <c r="I12" s="90">
        <f t="shared" si="1"/>
        <v>1.0115018593450411</v>
      </c>
      <c r="J12" s="214"/>
      <c r="K12" s="214"/>
      <c r="L12" s="247">
        <v>2.4178477081851371E-3</v>
      </c>
      <c r="M12" s="310">
        <f>AVERAGE(L12:L18)</f>
        <v>2.4296149757825317E-3</v>
      </c>
      <c r="N12" s="310"/>
      <c r="O12" s="247">
        <v>3.980679768411855E-3</v>
      </c>
      <c r="P12" s="310">
        <f>AVERAGE(O12:O18)</f>
        <v>4.2391047062726199E-3</v>
      </c>
      <c r="Q12" s="310"/>
      <c r="R12" s="233">
        <v>0.91700000000000004</v>
      </c>
      <c r="S12" s="214"/>
      <c r="T12" s="310"/>
      <c r="U12" s="233">
        <v>0.312</v>
      </c>
      <c r="V12" s="214">
        <f>AVERAGE(U12:U18)</f>
        <v>0.32371428571428573</v>
      </c>
      <c r="W12" s="310"/>
    </row>
    <row r="13" spans="2:23" ht="14.45" customHeight="1">
      <c r="B13" s="98"/>
      <c r="C13" s="98"/>
      <c r="D13" s="383">
        <f t="shared" si="2"/>
        <v>46148</v>
      </c>
      <c r="E13" s="383" t="s">
        <v>462</v>
      </c>
      <c r="F13" s="229">
        <v>367.37309895316281</v>
      </c>
      <c r="G13" s="93"/>
      <c r="H13" s="93"/>
      <c r="I13" s="90">
        <f t="shared" si="1"/>
        <v>1.0037516364840513</v>
      </c>
      <c r="J13" s="214"/>
      <c r="K13" s="214"/>
      <c r="L13" s="247">
        <v>2.4296724510770064E-3</v>
      </c>
      <c r="M13" s="310"/>
      <c r="N13" s="310"/>
      <c r="O13" s="247">
        <v>4.1666942715917208E-3</v>
      </c>
      <c r="P13" s="310"/>
      <c r="Q13" s="310"/>
      <c r="R13" s="233">
        <v>0.91700000000000004</v>
      </c>
      <c r="S13" s="214"/>
      <c r="T13" s="310"/>
      <c r="U13" s="233">
        <v>0.316</v>
      </c>
      <c r="V13" s="214"/>
      <c r="W13" s="310"/>
    </row>
    <row r="14" spans="2:23" ht="14.45" customHeight="1">
      <c r="B14" s="98"/>
      <c r="C14" s="98"/>
      <c r="D14" s="383">
        <f t="shared" si="2"/>
        <v>46149</v>
      </c>
      <c r="E14" s="383" t="s">
        <v>463</v>
      </c>
      <c r="F14" s="229">
        <v>366.09249523950655</v>
      </c>
      <c r="H14" s="93"/>
      <c r="I14" s="90">
        <f t="shared" si="1"/>
        <v>1.0002527192336244</v>
      </c>
      <c r="J14" s="214"/>
      <c r="K14" s="214"/>
      <c r="L14" s="247">
        <v>2.4350671243685441E-3</v>
      </c>
      <c r="M14" s="310"/>
      <c r="N14" s="310"/>
      <c r="O14" s="247">
        <v>4.1921291560985813E-3</v>
      </c>
      <c r="P14" s="310"/>
      <c r="Q14" s="310"/>
      <c r="R14" s="233">
        <v>0.91700000000000004</v>
      </c>
      <c r="S14" s="214"/>
      <c r="T14" s="310"/>
      <c r="U14" s="233">
        <v>0.32</v>
      </c>
      <c r="V14" s="214"/>
      <c r="W14" s="310"/>
    </row>
    <row r="15" spans="2:23" ht="14.45" customHeight="1">
      <c r="B15" s="98"/>
      <c r="C15" s="98"/>
      <c r="D15" s="383">
        <f t="shared" si="2"/>
        <v>46150</v>
      </c>
      <c r="E15" s="383" t="s">
        <v>464</v>
      </c>
      <c r="F15" s="229">
        <v>368.54888079581184</v>
      </c>
      <c r="G15" s="93"/>
      <c r="H15" s="93"/>
      <c r="I15" s="90">
        <f t="shared" si="1"/>
        <v>1.0069641551798139</v>
      </c>
      <c r="J15" s="214"/>
      <c r="K15" s="214"/>
      <c r="L15" s="247">
        <v>2.4213943528727552E-3</v>
      </c>
      <c r="M15" s="310"/>
      <c r="N15" s="310"/>
      <c r="O15" s="247">
        <v>4.4430936146427867E-3</v>
      </c>
      <c r="P15" s="310"/>
      <c r="Q15" s="310"/>
      <c r="R15" s="233">
        <v>0.91700000000000004</v>
      </c>
      <c r="S15" s="214"/>
      <c r="T15" s="310"/>
      <c r="U15" s="233">
        <v>0.32600000000000001</v>
      </c>
      <c r="V15" s="214"/>
      <c r="W15" s="310"/>
    </row>
    <row r="16" spans="2:23" ht="14.45" customHeight="1">
      <c r="B16" s="98"/>
      <c r="C16" s="98"/>
      <c r="D16" s="383">
        <f t="shared" si="2"/>
        <v>46151</v>
      </c>
      <c r="E16" s="383" t="s">
        <v>465</v>
      </c>
      <c r="F16" s="229">
        <v>368.0464833661274</v>
      </c>
      <c r="G16" s="93"/>
      <c r="H16" s="93"/>
      <c r="I16" s="90">
        <f t="shared" si="1"/>
        <v>1.0055914846069054</v>
      </c>
      <c r="J16" s="214"/>
      <c r="K16" s="214"/>
      <c r="L16" s="247">
        <v>2.443509069567779E-3</v>
      </c>
      <c r="M16" s="310"/>
      <c r="N16" s="310"/>
      <c r="O16" s="247">
        <v>4.4180769785768835E-3</v>
      </c>
      <c r="P16" s="310"/>
      <c r="Q16" s="310"/>
      <c r="R16" s="233">
        <v>0.91700000000000004</v>
      </c>
      <c r="S16" s="214"/>
      <c r="T16" s="310"/>
      <c r="U16" s="233">
        <v>0.33</v>
      </c>
      <c r="V16" s="214"/>
      <c r="W16" s="310"/>
    </row>
    <row r="17" spans="2:23" ht="14.45" customHeight="1">
      <c r="B17" s="98"/>
      <c r="C17" s="98"/>
      <c r="D17" s="383">
        <f t="shared" si="2"/>
        <v>46152</v>
      </c>
      <c r="E17" s="383" t="s">
        <v>466</v>
      </c>
      <c r="F17" s="229">
        <v>376.52114776385594</v>
      </c>
      <c r="G17" s="93"/>
      <c r="H17" s="93"/>
      <c r="I17" s="90">
        <f t="shared" si="1"/>
        <v>1.0287463053657266</v>
      </c>
      <c r="J17" s="214"/>
      <c r="K17" s="214"/>
      <c r="L17" s="247">
        <v>2.4274111565209468E-3</v>
      </c>
      <c r="M17" s="310"/>
      <c r="N17" s="310"/>
      <c r="O17" s="247">
        <v>4.3480552595544404E-3</v>
      </c>
      <c r="P17" s="310"/>
      <c r="Q17" s="310"/>
      <c r="R17" s="233">
        <v>0.91700000000000004</v>
      </c>
      <c r="S17" s="214"/>
      <c r="T17" s="310"/>
      <c r="U17" s="233">
        <v>0.33</v>
      </c>
      <c r="V17" s="214"/>
      <c r="W17" s="310"/>
    </row>
    <row r="18" spans="2:23" ht="14.45" customHeight="1">
      <c r="B18" s="98"/>
      <c r="C18" s="98"/>
      <c r="D18" s="383">
        <f t="shared" si="2"/>
        <v>46153</v>
      </c>
      <c r="E18" s="383" t="s">
        <v>460</v>
      </c>
      <c r="F18" s="229">
        <v>364.78936329523304</v>
      </c>
      <c r="G18" s="93"/>
      <c r="H18" s="93"/>
      <c r="I18" s="90">
        <f t="shared" si="1"/>
        <v>0.99669224944052748</v>
      </c>
      <c r="J18" s="214">
        <f>AVERAGE(I18:I24)</f>
        <v>0.9783858486870276</v>
      </c>
      <c r="K18" s="214"/>
      <c r="L18" s="247">
        <v>2.4324029678855562E-3</v>
      </c>
      <c r="M18" s="310"/>
      <c r="N18" s="310"/>
      <c r="O18" s="247">
        <v>4.1250038950320757E-3</v>
      </c>
      <c r="P18" s="310"/>
      <c r="Q18" s="310"/>
      <c r="R18" s="233">
        <v>0.91700000000000004</v>
      </c>
      <c r="S18" s="214">
        <f>AVERAGE(R18:R24)</f>
        <v>0.91699999999999993</v>
      </c>
      <c r="T18" s="310"/>
      <c r="U18" s="233">
        <v>0.33200000000000002</v>
      </c>
      <c r="V18" s="214"/>
      <c r="W18" s="310"/>
    </row>
    <row r="19" spans="2:23" ht="14.45" customHeight="1">
      <c r="B19" s="98"/>
      <c r="C19" s="98"/>
      <c r="D19" s="311">
        <f t="shared" si="2"/>
        <v>46154</v>
      </c>
      <c r="E19" s="311" t="s">
        <v>461</v>
      </c>
      <c r="F19" s="229">
        <v>365.48134604564126</v>
      </c>
      <c r="G19" s="93">
        <f>AVERAGE(F19:F25)</f>
        <v>356.8929026437649</v>
      </c>
      <c r="H19" s="93"/>
      <c r="I19" s="90">
        <f t="shared" si="1"/>
        <v>0.99858291269300892</v>
      </c>
      <c r="J19" s="214"/>
      <c r="K19" s="214"/>
      <c r="L19" s="247">
        <v>2.4209689003372439E-3</v>
      </c>
      <c r="M19" s="310">
        <f>AVERAGE(L19:L25)</f>
        <v>2.4180625950677554E-3</v>
      </c>
      <c r="N19" s="310"/>
      <c r="O19" s="247">
        <v>4.0121943722444551E-3</v>
      </c>
      <c r="P19" s="310">
        <f>AVERAGE(O19:O25)</f>
        <v>4.0973170960721854E-3</v>
      </c>
      <c r="Q19" s="310"/>
      <c r="R19" s="233">
        <v>0.91700000000000004</v>
      </c>
      <c r="S19" s="214"/>
      <c r="T19" s="310"/>
      <c r="U19" s="233">
        <v>0.33400000000000002</v>
      </c>
      <c r="V19" s="214">
        <f>AVERAGE(U19:U25)</f>
        <v>0.34942857142857137</v>
      </c>
      <c r="W19" s="310"/>
    </row>
    <row r="20" spans="2:23" ht="14.45" customHeight="1">
      <c r="B20" s="98"/>
      <c r="C20" s="98"/>
      <c r="D20" s="311">
        <f t="shared" si="2"/>
        <v>46155</v>
      </c>
      <c r="E20" s="311" t="s">
        <v>462</v>
      </c>
      <c r="F20" s="229">
        <v>357.70995699967028</v>
      </c>
      <c r="G20" s="93"/>
      <c r="H20" s="93"/>
      <c r="I20" s="90">
        <f t="shared" si="1"/>
        <v>0.97734960928871661</v>
      </c>
      <c r="J20" s="214"/>
      <c r="K20" s="214"/>
      <c r="L20" s="247">
        <v>2.4087342657777458E-3</v>
      </c>
      <c r="M20" s="310"/>
      <c r="N20" s="310"/>
      <c r="O20" s="247">
        <v>4.0276975485504726E-3</v>
      </c>
      <c r="P20" s="310"/>
      <c r="Q20" s="310"/>
      <c r="R20" s="233">
        <v>0.91700000000000004</v>
      </c>
      <c r="S20" s="214"/>
      <c r="T20" s="310"/>
      <c r="U20" s="233">
        <v>0.33600000000000002</v>
      </c>
      <c r="V20" s="214"/>
      <c r="W20" s="310"/>
    </row>
    <row r="21" spans="2:23" ht="14.45" customHeight="1">
      <c r="B21" s="98"/>
      <c r="C21" s="98"/>
      <c r="D21" s="311">
        <f t="shared" si="2"/>
        <v>46156</v>
      </c>
      <c r="E21" s="311" t="s">
        <v>463</v>
      </c>
      <c r="F21" s="229">
        <v>354.97458665007719</v>
      </c>
      <c r="G21" s="93"/>
      <c r="H21" s="93"/>
      <c r="I21" s="90">
        <f t="shared" si="1"/>
        <v>0.96987591980895405</v>
      </c>
      <c r="J21" s="214"/>
      <c r="K21" s="214"/>
      <c r="L21" s="247">
        <v>2.4071356209261164E-3</v>
      </c>
      <c r="M21" s="310"/>
      <c r="N21" s="310"/>
      <c r="O21" s="247">
        <v>4.3562979314210682E-3</v>
      </c>
      <c r="P21" s="310"/>
      <c r="Q21" s="310"/>
      <c r="R21" s="233">
        <v>0.91700000000000004</v>
      </c>
      <c r="S21" s="214"/>
      <c r="T21" s="310"/>
      <c r="U21" s="233">
        <v>0.34</v>
      </c>
      <c r="V21" s="214"/>
      <c r="W21" s="310"/>
    </row>
    <row r="22" spans="2:23" ht="14.45" customHeight="1">
      <c r="B22" s="98"/>
      <c r="C22" s="98"/>
      <c r="D22" s="311">
        <f t="shared" si="2"/>
        <v>46157</v>
      </c>
      <c r="E22" s="311" t="s">
        <v>464</v>
      </c>
      <c r="F22" s="229">
        <v>354.06821870854833</v>
      </c>
      <c r="G22" s="93"/>
      <c r="H22" s="93"/>
      <c r="I22" s="90">
        <f t="shared" si="1"/>
        <v>0.96739950466816482</v>
      </c>
      <c r="J22" s="214"/>
      <c r="K22" s="214"/>
      <c r="L22" s="247">
        <v>2.4224031894615394E-3</v>
      </c>
      <c r="M22" s="310"/>
      <c r="N22" s="310"/>
      <c r="O22" s="247">
        <v>4.096957219155253E-3</v>
      </c>
      <c r="P22" s="310"/>
      <c r="Q22" s="310"/>
      <c r="R22" s="233">
        <v>0.91700000000000004</v>
      </c>
      <c r="S22" s="214"/>
      <c r="T22" s="310"/>
      <c r="U22" s="233">
        <v>0.35</v>
      </c>
      <c r="V22" s="214"/>
      <c r="W22" s="310"/>
    </row>
    <row r="23" spans="2:23" ht="14.45" customHeight="1">
      <c r="B23" s="98"/>
      <c r="C23" s="98"/>
      <c r="D23" s="311">
        <f t="shared" si="2"/>
        <v>46158</v>
      </c>
      <c r="E23" s="311" t="s">
        <v>465</v>
      </c>
      <c r="F23" s="229">
        <v>353.92954415097023</v>
      </c>
      <c r="G23" s="93"/>
      <c r="H23" s="93"/>
      <c r="I23" s="90">
        <f t="shared" si="1"/>
        <v>0.9670206124343449</v>
      </c>
      <c r="J23" s="214"/>
      <c r="K23" s="214"/>
      <c r="L23" s="247">
        <v>2.4319019857468515E-3</v>
      </c>
      <c r="M23" s="310"/>
      <c r="N23" s="310"/>
      <c r="O23" s="247">
        <v>4.0600347128220008E-3</v>
      </c>
      <c r="P23" s="310"/>
      <c r="Q23" s="310"/>
      <c r="R23" s="233">
        <v>0.91700000000000004</v>
      </c>
      <c r="S23" s="214"/>
      <c r="T23" s="310"/>
      <c r="U23" s="233">
        <v>0.36</v>
      </c>
      <c r="V23" s="214"/>
      <c r="W23" s="310"/>
    </row>
    <row r="24" spans="2:23" ht="14.45" customHeight="1">
      <c r="B24" s="98"/>
      <c r="C24" s="98"/>
      <c r="D24" s="311">
        <f t="shared" si="2"/>
        <v>46159</v>
      </c>
      <c r="E24" s="311" t="s">
        <v>466</v>
      </c>
      <c r="F24" s="229">
        <v>355.6715284860245</v>
      </c>
      <c r="G24" s="93"/>
      <c r="H24" s="93"/>
      <c r="I24" s="90">
        <f t="shared" si="1"/>
        <v>0.97178013247547679</v>
      </c>
      <c r="J24" s="214"/>
      <c r="K24" s="214"/>
      <c r="L24" s="247">
        <v>2.4187676440100008E-3</v>
      </c>
      <c r="M24" s="310"/>
      <c r="N24" s="310"/>
      <c r="O24" s="247">
        <v>3.962322712458958E-3</v>
      </c>
      <c r="P24" s="310"/>
      <c r="Q24" s="310"/>
      <c r="R24" s="233">
        <v>0.91700000000000004</v>
      </c>
      <c r="S24" s="214"/>
      <c r="T24" s="310"/>
      <c r="U24" s="233">
        <v>0.36199999999999999</v>
      </c>
      <c r="V24" s="214"/>
      <c r="W24" s="310"/>
    </row>
    <row r="25" spans="2:23" ht="14.45" customHeight="1">
      <c r="B25" s="98"/>
      <c r="C25" s="98"/>
      <c r="D25" s="311">
        <f t="shared" si="2"/>
        <v>46160</v>
      </c>
      <c r="E25" s="311" t="s">
        <v>460</v>
      </c>
      <c r="F25" s="229">
        <v>356.41513746542233</v>
      </c>
      <c r="G25" s="93"/>
      <c r="H25" s="93"/>
      <c r="I25" s="90">
        <f t="shared" si="1"/>
        <v>0.97381185099842171</v>
      </c>
      <c r="J25" s="214">
        <f>AVERAGE(I25:I31)</f>
        <v>0.13911597871406026</v>
      </c>
      <c r="K25" s="214"/>
      <c r="L25" s="247">
        <v>2.4165265592147921E-3</v>
      </c>
      <c r="M25" s="310"/>
      <c r="N25" s="310"/>
      <c r="O25" s="247">
        <v>4.1657151758530912E-3</v>
      </c>
      <c r="P25" s="310"/>
      <c r="Q25" s="310"/>
      <c r="R25" s="233">
        <v>0.91700000000000004</v>
      </c>
      <c r="S25" s="214">
        <f>AVERAGE(R25:R31)</f>
        <v>0.91700000000000004</v>
      </c>
      <c r="T25" s="310"/>
      <c r="U25" s="233">
        <v>0.36399999999999999</v>
      </c>
      <c r="V25" s="214"/>
      <c r="W25" s="310"/>
    </row>
    <row r="26" spans="2:23" ht="14.45" customHeight="1">
      <c r="B26" s="98"/>
      <c r="C26" s="98"/>
      <c r="D26" s="383">
        <f t="shared" si="2"/>
        <v>46161</v>
      </c>
      <c r="E26" s="383" t="s">
        <v>461</v>
      </c>
      <c r="F26" s="229"/>
      <c r="G26" s="93" t="e">
        <f>AVERAGE(F26:F32)</f>
        <v>#DIV/0!</v>
      </c>
      <c r="H26" s="93"/>
      <c r="I26" s="90">
        <f t="shared" si="1"/>
        <v>0</v>
      </c>
      <c r="J26" s="214"/>
      <c r="K26" s="214"/>
      <c r="L26" s="247"/>
      <c r="M26" s="310" t="e">
        <f>AVERAGE(L26:L32)</f>
        <v>#DIV/0!</v>
      </c>
      <c r="N26" s="310"/>
      <c r="O26" s="247"/>
      <c r="P26" s="310" t="e">
        <f>AVERAGE(O26:O32)</f>
        <v>#DIV/0!</v>
      </c>
      <c r="Q26" s="310"/>
      <c r="R26" s="233"/>
      <c r="S26" s="214"/>
      <c r="T26" s="310"/>
      <c r="U26" s="233"/>
      <c r="V26" s="214" t="e">
        <f>AVERAGE(U26:U32)</f>
        <v>#DIV/0!</v>
      </c>
      <c r="W26" s="310"/>
    </row>
    <row r="27" spans="2:23" ht="14.45" customHeight="1">
      <c r="B27" s="98"/>
      <c r="C27" s="98"/>
      <c r="D27" s="383">
        <f t="shared" si="2"/>
        <v>46162</v>
      </c>
      <c r="E27" s="383" t="s">
        <v>462</v>
      </c>
      <c r="F27" s="229"/>
      <c r="G27" s="93"/>
      <c r="H27" s="93"/>
      <c r="I27" s="90">
        <f t="shared" si="1"/>
        <v>0</v>
      </c>
      <c r="J27" s="214"/>
      <c r="K27" s="214"/>
      <c r="L27" s="247"/>
      <c r="M27" s="310"/>
      <c r="N27" s="310"/>
      <c r="O27" s="247"/>
      <c r="P27" s="310"/>
      <c r="Q27" s="310"/>
      <c r="R27" s="233"/>
      <c r="S27" s="214"/>
      <c r="T27" s="310"/>
      <c r="U27" s="233"/>
      <c r="V27" s="214"/>
      <c r="W27" s="310"/>
    </row>
    <row r="28" spans="2:23" ht="14.45" customHeight="1">
      <c r="B28" s="98"/>
      <c r="C28" s="98"/>
      <c r="D28" s="383">
        <f t="shared" si="2"/>
        <v>46163</v>
      </c>
      <c r="E28" s="383" t="s">
        <v>463</v>
      </c>
      <c r="F28" s="229"/>
      <c r="G28" s="93"/>
      <c r="H28" s="93"/>
      <c r="I28" s="90">
        <f t="shared" si="1"/>
        <v>0</v>
      </c>
      <c r="J28" s="214"/>
      <c r="K28" s="214"/>
      <c r="L28" s="247"/>
      <c r="M28" s="310"/>
      <c r="N28" s="310"/>
      <c r="O28" s="247"/>
      <c r="P28" s="310"/>
      <c r="Q28" s="310"/>
      <c r="R28" s="233"/>
      <c r="S28" s="214"/>
      <c r="T28" s="310"/>
      <c r="U28" s="233"/>
      <c r="V28" s="214"/>
      <c r="W28" s="310"/>
    </row>
    <row r="29" spans="2:23" ht="14.45" customHeight="1">
      <c r="B29" s="98"/>
      <c r="C29" s="98"/>
      <c r="D29" s="383">
        <f t="shared" si="2"/>
        <v>46164</v>
      </c>
      <c r="E29" s="383" t="s">
        <v>464</v>
      </c>
      <c r="F29" s="229"/>
      <c r="G29" s="93"/>
      <c r="H29" s="93"/>
      <c r="I29" s="90">
        <f t="shared" si="1"/>
        <v>0</v>
      </c>
      <c r="J29" s="214"/>
      <c r="K29" s="214"/>
      <c r="L29" s="247"/>
      <c r="M29" s="310"/>
      <c r="N29" s="310"/>
      <c r="O29" s="247"/>
      <c r="P29" s="310"/>
      <c r="Q29" s="310"/>
      <c r="R29" s="233"/>
      <c r="S29" s="214"/>
      <c r="T29" s="310"/>
      <c r="U29" s="233"/>
      <c r="V29" s="214"/>
      <c r="W29" s="310"/>
    </row>
    <row r="30" spans="2:23" ht="14.45" customHeight="1">
      <c r="B30" s="98"/>
      <c r="C30" s="98"/>
      <c r="D30" s="383">
        <f t="shared" si="2"/>
        <v>46165</v>
      </c>
      <c r="E30" s="383" t="s">
        <v>465</v>
      </c>
      <c r="F30" s="229"/>
      <c r="G30" s="93"/>
      <c r="H30" s="93"/>
      <c r="I30" s="90">
        <f t="shared" si="1"/>
        <v>0</v>
      </c>
      <c r="J30" s="214"/>
      <c r="K30" s="214"/>
      <c r="L30" s="247"/>
      <c r="M30" s="310"/>
      <c r="N30" s="310"/>
      <c r="O30" s="247"/>
      <c r="P30" s="310"/>
      <c r="Q30" s="310"/>
      <c r="R30" s="233"/>
      <c r="S30" s="214"/>
      <c r="T30" s="310"/>
      <c r="U30" s="233"/>
      <c r="V30" s="214"/>
      <c r="W30" s="310"/>
    </row>
    <row r="31" spans="2:23" ht="14.45" customHeight="1">
      <c r="B31" s="98"/>
      <c r="C31" s="98"/>
      <c r="D31" s="383">
        <f t="shared" si="2"/>
        <v>46166</v>
      </c>
      <c r="E31" s="383" t="s">
        <v>466</v>
      </c>
      <c r="F31" s="229"/>
      <c r="G31" s="93"/>
      <c r="H31" s="93"/>
      <c r="I31" s="90">
        <f t="shared" si="1"/>
        <v>0</v>
      </c>
      <c r="J31" s="214"/>
      <c r="K31" s="214"/>
      <c r="L31" s="247"/>
      <c r="M31" s="310"/>
      <c r="N31" s="310"/>
      <c r="O31" s="247"/>
      <c r="P31" s="310"/>
      <c r="Q31" s="310"/>
      <c r="R31" s="233"/>
      <c r="S31" s="214"/>
      <c r="T31" s="310"/>
      <c r="U31" s="233"/>
      <c r="V31" s="214"/>
      <c r="W31" s="310"/>
    </row>
    <row r="32" spans="2:23" ht="14.45" customHeight="1">
      <c r="B32" s="98"/>
      <c r="C32" s="98"/>
      <c r="D32" s="383">
        <f t="shared" si="2"/>
        <v>46167</v>
      </c>
      <c r="E32" s="383" t="s">
        <v>460</v>
      </c>
      <c r="F32" s="229"/>
      <c r="G32" s="93"/>
      <c r="H32" s="93"/>
      <c r="I32" s="90">
        <f t="shared" si="1"/>
        <v>0</v>
      </c>
      <c r="J32" s="214">
        <f>AVERAGE(I32:I38)</f>
        <v>0</v>
      </c>
      <c r="K32" s="214"/>
      <c r="L32" s="247"/>
      <c r="M32" s="310"/>
      <c r="N32" s="310"/>
      <c r="O32" s="247"/>
      <c r="P32" s="310"/>
      <c r="Q32" s="310"/>
      <c r="R32" s="233"/>
      <c r="S32" s="214" t="e">
        <f>AVERAGE(R32:R38)</f>
        <v>#DIV/0!</v>
      </c>
      <c r="T32" s="310"/>
      <c r="U32" s="233"/>
      <c r="V32" s="214"/>
      <c r="W32" s="310"/>
    </row>
    <row r="33" spans="2:23" ht="14.45" customHeight="1">
      <c r="B33" s="98"/>
      <c r="C33" s="98"/>
      <c r="D33" s="311">
        <f t="shared" si="2"/>
        <v>46168</v>
      </c>
      <c r="E33" s="311" t="s">
        <v>461</v>
      </c>
      <c r="F33" s="229"/>
      <c r="G33" s="93" t="e">
        <f>AVERAGE(F33:F39)</f>
        <v>#DIV/0!</v>
      </c>
      <c r="H33" s="93"/>
      <c r="I33" s="90">
        <f t="shared" si="1"/>
        <v>0</v>
      </c>
      <c r="J33" s="214"/>
      <c r="K33" s="214"/>
      <c r="L33" s="247"/>
      <c r="M33" s="310" t="e">
        <f>AVERAGE(L33:L39)</f>
        <v>#DIV/0!</v>
      </c>
      <c r="N33" s="310"/>
      <c r="O33" s="247"/>
      <c r="P33" s="310" t="e">
        <f>AVERAGE(O33:O39)</f>
        <v>#DIV/0!</v>
      </c>
      <c r="Q33" s="310"/>
      <c r="R33" s="233"/>
      <c r="S33" s="214"/>
      <c r="T33" s="310"/>
      <c r="U33" s="233"/>
      <c r="V33" s="214" t="e">
        <f>AVERAGE(U33:U39)</f>
        <v>#DIV/0!</v>
      </c>
      <c r="W33" s="310"/>
    </row>
    <row r="34" spans="2:23" ht="14.45" customHeight="1">
      <c r="B34" s="98"/>
      <c r="C34" s="98"/>
      <c r="D34" s="311">
        <f t="shared" si="2"/>
        <v>46169</v>
      </c>
      <c r="E34" s="311" t="s">
        <v>462</v>
      </c>
      <c r="F34" s="229"/>
      <c r="G34" s="93"/>
      <c r="H34" s="93"/>
      <c r="I34" s="90">
        <f t="shared" si="1"/>
        <v>0</v>
      </c>
      <c r="J34" s="214"/>
      <c r="K34" s="214"/>
      <c r="L34" s="247"/>
      <c r="M34" s="310"/>
      <c r="N34" s="310"/>
      <c r="O34" s="247"/>
      <c r="P34" s="310"/>
      <c r="Q34" s="310"/>
      <c r="R34" s="233"/>
      <c r="S34" s="214"/>
      <c r="T34" s="310"/>
      <c r="U34" s="233"/>
      <c r="V34" s="214"/>
      <c r="W34" s="310"/>
    </row>
    <row r="35" spans="2:23">
      <c r="B35" s="98"/>
      <c r="D35" s="311">
        <f>D34+1</f>
        <v>46170</v>
      </c>
      <c r="E35" s="311" t="s">
        <v>463</v>
      </c>
      <c r="F35" s="229"/>
      <c r="G35" s="93"/>
      <c r="I35" s="90">
        <f t="shared" si="1"/>
        <v>0</v>
      </c>
      <c r="J35" s="214"/>
      <c r="L35" s="247"/>
      <c r="M35" s="310"/>
      <c r="O35" s="247"/>
      <c r="P35" s="310"/>
      <c r="R35" s="233"/>
      <c r="S35" s="214"/>
      <c r="U35" s="233"/>
      <c r="V35" s="214"/>
    </row>
    <row r="36" spans="2:23">
      <c r="B36" s="98"/>
      <c r="C36" s="98"/>
      <c r="D36" s="311">
        <f t="shared" ref="D36:D39" si="3">D35+1</f>
        <v>46171</v>
      </c>
      <c r="E36" s="311" t="s">
        <v>464</v>
      </c>
      <c r="F36" s="229"/>
      <c r="G36" s="93"/>
      <c r="H36" s="93"/>
      <c r="I36" s="90">
        <f t="shared" si="1"/>
        <v>0</v>
      </c>
      <c r="J36" s="214"/>
      <c r="K36" s="214"/>
      <c r="L36" s="247"/>
      <c r="M36" s="214"/>
      <c r="N36" s="310"/>
      <c r="O36" s="247"/>
      <c r="P36" s="214"/>
      <c r="Q36" s="310"/>
      <c r="R36" s="233"/>
      <c r="S36" s="214"/>
      <c r="T36" s="214"/>
      <c r="U36" s="233"/>
      <c r="V36" s="214"/>
      <c r="W36" s="214"/>
    </row>
    <row r="37" spans="2:23">
      <c r="B37" s="98"/>
      <c r="D37" s="311">
        <f t="shared" si="3"/>
        <v>46172</v>
      </c>
      <c r="E37" s="311" t="s">
        <v>465</v>
      </c>
      <c r="F37" s="229"/>
      <c r="G37" s="93"/>
      <c r="H37" s="93"/>
      <c r="I37" s="90">
        <f t="shared" si="1"/>
        <v>0</v>
      </c>
      <c r="J37" s="214"/>
      <c r="K37" s="87"/>
      <c r="L37" s="247"/>
      <c r="M37" s="214"/>
      <c r="N37" s="90"/>
      <c r="O37" s="247"/>
      <c r="P37" s="214"/>
      <c r="Q37" s="90"/>
      <c r="R37" s="233"/>
      <c r="S37" s="214"/>
      <c r="T37" s="214"/>
      <c r="U37" s="233"/>
      <c r="V37" s="214"/>
      <c r="W37" s="214"/>
    </row>
    <row r="38" spans="2:23">
      <c r="B38" s="98"/>
      <c r="D38" s="311">
        <f t="shared" si="3"/>
        <v>46173</v>
      </c>
      <c r="E38" s="311" t="s">
        <v>466</v>
      </c>
      <c r="F38" s="229"/>
      <c r="G38" s="93"/>
      <c r="H38" s="93"/>
      <c r="I38" s="90">
        <f t="shared" si="1"/>
        <v>0</v>
      </c>
      <c r="J38" s="214"/>
      <c r="K38" s="87"/>
      <c r="L38" s="247"/>
      <c r="M38" s="214"/>
      <c r="N38" s="90"/>
      <c r="O38" s="247"/>
      <c r="P38" s="214"/>
      <c r="Q38" s="90"/>
      <c r="R38" s="233"/>
      <c r="S38" s="214"/>
      <c r="T38" s="214"/>
      <c r="U38" s="233"/>
      <c r="V38" s="214"/>
      <c r="W38" s="214"/>
    </row>
    <row r="39" spans="2:23">
      <c r="B39" s="98"/>
      <c r="D39" s="311">
        <f t="shared" si="3"/>
        <v>46174</v>
      </c>
      <c r="E39" s="311" t="s">
        <v>460</v>
      </c>
      <c r="F39" s="229"/>
      <c r="G39" s="93"/>
      <c r="H39" s="93"/>
      <c r="I39" s="90">
        <f t="shared" si="1"/>
        <v>0</v>
      </c>
      <c r="J39" s="214"/>
      <c r="K39" s="87"/>
      <c r="L39" s="247"/>
      <c r="M39" s="214"/>
      <c r="N39" s="90"/>
      <c r="O39" s="247"/>
      <c r="P39" s="214"/>
      <c r="Q39" s="90"/>
      <c r="R39" s="233"/>
      <c r="S39" s="214"/>
      <c r="T39" s="214"/>
      <c r="U39" s="233"/>
      <c r="V39" s="214"/>
      <c r="W39" s="214"/>
    </row>
    <row r="40" spans="2:23">
      <c r="B40" s="98"/>
      <c r="D40" s="311"/>
      <c r="E40" s="391"/>
      <c r="F40" s="229"/>
      <c r="G40" s="93"/>
      <c r="H40" s="93"/>
      <c r="I40" s="90">
        <f t="shared" si="1"/>
        <v>0</v>
      </c>
      <c r="J40" s="214"/>
      <c r="K40" s="87"/>
      <c r="L40" s="247"/>
      <c r="M40" s="214"/>
      <c r="N40" s="90"/>
      <c r="O40" s="247"/>
      <c r="P40" s="214"/>
      <c r="Q40" s="90"/>
      <c r="R40" s="233"/>
      <c r="S40" s="214"/>
      <c r="T40" s="214"/>
      <c r="U40" s="233"/>
      <c r="V40" s="214"/>
      <c r="W40" s="214"/>
    </row>
    <row r="41" spans="2:23">
      <c r="B41" s="98"/>
      <c r="D41" s="311"/>
      <c r="E41" s="391"/>
      <c r="F41" s="229"/>
      <c r="L41" s="247"/>
      <c r="O41" s="247"/>
      <c r="R41" s="233"/>
      <c r="U41" s="233"/>
    </row>
    <row r="42" spans="2:23">
      <c r="B42" s="98"/>
      <c r="D42" s="86"/>
      <c r="E42" s="86"/>
      <c r="F42" s="295"/>
      <c r="G42" s="93"/>
      <c r="H42" s="93"/>
      <c r="I42" s="90"/>
      <c r="J42" s="214"/>
      <c r="K42" s="87"/>
      <c r="L42" s="301"/>
      <c r="M42" s="90"/>
      <c r="N42" s="90"/>
      <c r="O42" s="301"/>
      <c r="P42" s="90"/>
      <c r="Q42" s="90"/>
      <c r="R42" s="300"/>
      <c r="S42" s="214"/>
      <c r="T42" s="214"/>
      <c r="U42" s="300"/>
      <c r="V42" s="214"/>
      <c r="W42" s="214"/>
    </row>
    <row r="43" spans="2:23">
      <c r="B43" s="98"/>
      <c r="D43" s="86"/>
      <c r="E43" s="86"/>
      <c r="F43" s="295"/>
      <c r="G43" s="93"/>
      <c r="H43" s="93"/>
      <c r="I43" s="90"/>
      <c r="J43" s="214"/>
      <c r="K43" s="87"/>
      <c r="L43" s="301"/>
      <c r="M43" s="90"/>
      <c r="N43" s="90"/>
      <c r="O43" s="301"/>
      <c r="P43" s="90"/>
      <c r="Q43" s="90"/>
      <c r="R43" s="300"/>
      <c r="S43" s="214"/>
      <c r="T43" s="214"/>
      <c r="U43" s="300"/>
      <c r="V43" s="214"/>
      <c r="W43" s="214"/>
    </row>
    <row r="44" spans="2:23">
      <c r="B44" s="98"/>
      <c r="D44" s="86"/>
      <c r="E44" s="86"/>
      <c r="F44" s="295"/>
      <c r="G44" s="93"/>
      <c r="H44" s="93"/>
      <c r="I44" s="90"/>
      <c r="J44" s="214"/>
      <c r="K44" s="87"/>
      <c r="L44" s="301"/>
      <c r="M44" s="90"/>
      <c r="N44" s="90"/>
      <c r="O44" s="301"/>
      <c r="P44" s="90"/>
      <c r="Q44" s="90"/>
      <c r="R44" s="300"/>
      <c r="S44" s="214"/>
      <c r="T44" s="214"/>
      <c r="U44" s="300"/>
      <c r="V44" s="214"/>
      <c r="W44" s="214"/>
    </row>
    <row r="45" spans="2:23">
      <c r="B45" s="98"/>
    </row>
    <row r="46" spans="2:23">
      <c r="B46" s="98"/>
    </row>
    <row r="47" spans="2:23">
      <c r="B47" s="98"/>
    </row>
    <row r="48" spans="2:23">
      <c r="B48" s="98"/>
    </row>
    <row r="49" spans="2:2">
      <c r="B49" s="98"/>
    </row>
    <row r="50" spans="2:2">
      <c r="B50" s="98"/>
    </row>
  </sheetData>
  <mergeCells count="9">
    <mergeCell ref="B2:U2"/>
    <mergeCell ref="F3:H3"/>
    <mergeCell ref="L3:N3"/>
    <mergeCell ref="R3:T3"/>
    <mergeCell ref="C3:C4"/>
    <mergeCell ref="D3:E4"/>
    <mergeCell ref="I3:K3"/>
    <mergeCell ref="O3:Q3"/>
    <mergeCell ref="U3:W3"/>
  </mergeCells>
  <phoneticPr fontId="1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2:AT102"/>
  <sheetViews>
    <sheetView zoomScale="70" zoomScaleNormal="70" workbookViewId="0">
      <pane xSplit="5" ySplit="6" topLeftCell="F7" activePane="bottomRight" state="frozen"/>
      <selection pane="topRight" activeCell="F1" sqref="F1"/>
      <selection pane="bottomLeft" activeCell="A7" sqref="A7"/>
      <selection pane="bottomRight" activeCell="AK21" sqref="AK21:AK27"/>
    </sheetView>
  </sheetViews>
  <sheetFormatPr defaultColWidth="8.85546875" defaultRowHeight="16.5"/>
  <cols>
    <col min="1" max="1" width="0" style="77" hidden="1" customWidth="1"/>
    <col min="2" max="2" width="13.140625" style="77" hidden="1" customWidth="1"/>
    <col min="3" max="3" width="0" style="103" hidden="1" customWidth="1"/>
    <col min="4" max="4" width="11" style="103" bestFit="1" customWidth="1"/>
    <col min="5" max="5" width="8.5703125" style="84" customWidth="1"/>
    <col min="6" max="8" width="17.42578125" style="102" customWidth="1"/>
    <col min="9" max="9" width="10.5703125" style="97" customWidth="1"/>
    <col min="10" max="10" width="10.5703125" style="90" customWidth="1"/>
    <col min="11" max="11" width="10.5703125" style="97" customWidth="1"/>
    <col min="12" max="14" width="10.5703125" style="90" customWidth="1"/>
    <col min="15" max="15" width="10.5703125" style="97" customWidth="1"/>
    <col min="16" max="16" width="10.5703125" style="90" customWidth="1"/>
    <col min="17" max="17" width="10.5703125" style="97" customWidth="1"/>
    <col min="18" max="18" width="10.5703125" style="90" customWidth="1"/>
    <col min="19" max="19" width="10.5703125" style="97" customWidth="1"/>
    <col min="20" max="20" width="10.5703125" style="90" customWidth="1"/>
    <col min="21" max="21" width="10.5703125" style="97" customWidth="1"/>
    <col min="22" max="22" width="10.5703125" style="90" customWidth="1"/>
    <col min="23" max="23" width="10.5703125" style="97" customWidth="1"/>
    <col min="24" max="24" width="10.5703125" style="90" customWidth="1"/>
    <col min="25" max="25" width="10.5703125" style="97" customWidth="1"/>
    <col min="26" max="26" width="10.5703125" style="90" customWidth="1"/>
    <col min="27" max="27" width="10.5703125" style="97" customWidth="1"/>
    <col min="28" max="28" width="10.5703125" style="90" customWidth="1"/>
    <col min="29" max="29" width="10.5703125" style="97" customWidth="1"/>
    <col min="30" max="30" width="10.5703125" style="90" customWidth="1"/>
    <col min="31" max="31" width="10.5703125" style="97" customWidth="1"/>
    <col min="32" max="32" width="10.5703125" style="90" customWidth="1"/>
    <col min="33" max="33" width="10.42578125" style="97" customWidth="1"/>
    <col min="34" max="34" width="10.42578125" style="90" customWidth="1"/>
    <col min="35" max="35" width="10.42578125" style="97" customWidth="1"/>
    <col min="36" max="36" width="10.42578125" style="90" customWidth="1"/>
    <col min="37" max="37" width="10.42578125" style="97" customWidth="1"/>
    <col min="38" max="38" width="10.42578125" style="90" customWidth="1"/>
    <col min="39" max="16384" width="8.85546875" style="77"/>
  </cols>
  <sheetData>
    <row r="2" spans="1:38" ht="38.1" customHeight="1">
      <c r="A2" s="75"/>
      <c r="B2" s="546" t="s">
        <v>301</v>
      </c>
      <c r="C2" s="546"/>
      <c r="D2" s="546"/>
      <c r="E2" s="546"/>
      <c r="F2" s="546"/>
      <c r="G2" s="546"/>
      <c r="H2" s="546"/>
      <c r="I2" s="546"/>
      <c r="J2" s="546"/>
      <c r="K2" s="546"/>
      <c r="L2" s="546"/>
      <c r="M2" s="546"/>
      <c r="N2" s="546"/>
      <c r="O2" s="546"/>
      <c r="P2" s="546"/>
      <c r="Q2" s="546"/>
      <c r="R2" s="546"/>
      <c r="S2" s="546"/>
      <c r="T2" s="546"/>
      <c r="U2" s="546"/>
      <c r="V2" s="546"/>
      <c r="W2" s="546"/>
      <c r="X2" s="546"/>
      <c r="Y2" s="546"/>
      <c r="Z2" s="546"/>
      <c r="AA2" s="546"/>
      <c r="AB2" s="546"/>
      <c r="AC2" s="546"/>
      <c r="AD2" s="546"/>
      <c r="AE2" s="546"/>
      <c r="AF2" s="546"/>
      <c r="AG2" s="546"/>
      <c r="AH2" s="546"/>
      <c r="AI2" s="546"/>
      <c r="AJ2" s="546"/>
      <c r="AK2" s="546"/>
      <c r="AL2" s="546"/>
    </row>
    <row r="3" spans="1:38" ht="25.35" customHeight="1">
      <c r="B3" s="98"/>
      <c r="C3" s="547" t="s">
        <v>139</v>
      </c>
      <c r="D3" s="548" t="s">
        <v>105</v>
      </c>
      <c r="E3" s="548"/>
      <c r="F3" s="549" t="s">
        <v>339</v>
      </c>
      <c r="G3" s="549"/>
      <c r="H3" s="549"/>
      <c r="I3" s="550" t="s">
        <v>111</v>
      </c>
      <c r="J3" s="550"/>
      <c r="K3" s="550"/>
      <c r="L3" s="550"/>
      <c r="M3" s="550"/>
      <c r="N3" s="550"/>
      <c r="O3" s="550"/>
      <c r="P3" s="550"/>
      <c r="Q3" s="550"/>
      <c r="R3" s="550"/>
      <c r="S3" s="550"/>
      <c r="T3" s="550"/>
      <c r="U3" s="550"/>
      <c r="V3" s="550"/>
      <c r="W3" s="550"/>
      <c r="X3" s="550"/>
      <c r="Y3" s="550"/>
      <c r="Z3" s="550"/>
      <c r="AA3" s="550"/>
      <c r="AB3" s="550"/>
      <c r="AC3" s="550"/>
      <c r="AD3" s="550"/>
      <c r="AE3" s="550"/>
      <c r="AF3" s="550"/>
      <c r="AG3" s="550"/>
      <c r="AH3" s="550"/>
      <c r="AI3" s="550"/>
      <c r="AJ3" s="550"/>
      <c r="AK3" s="550"/>
      <c r="AL3" s="550"/>
    </row>
    <row r="4" spans="1:38" ht="25.35" customHeight="1">
      <c r="B4" s="98"/>
      <c r="C4" s="547"/>
      <c r="D4" s="548"/>
      <c r="E4" s="548"/>
      <c r="F4" s="549"/>
      <c r="G4" s="549"/>
      <c r="H4" s="549"/>
      <c r="I4" s="545" t="s">
        <v>140</v>
      </c>
      <c r="J4" s="545"/>
      <c r="K4" s="545"/>
      <c r="L4" s="545"/>
      <c r="M4" s="545"/>
      <c r="N4" s="545"/>
      <c r="O4" s="545" t="s">
        <v>141</v>
      </c>
      <c r="P4" s="545"/>
      <c r="Q4" s="545"/>
      <c r="R4" s="545"/>
      <c r="S4" s="545"/>
      <c r="T4" s="545"/>
      <c r="U4" s="545" t="s">
        <v>325</v>
      </c>
      <c r="V4" s="545"/>
      <c r="W4" s="545" t="s">
        <v>143</v>
      </c>
      <c r="X4" s="545"/>
      <c r="Y4" s="545" t="s">
        <v>134</v>
      </c>
      <c r="Z4" s="545"/>
      <c r="AA4" s="545"/>
      <c r="AB4" s="545"/>
      <c r="AC4" s="545"/>
      <c r="AD4" s="545"/>
      <c r="AE4" s="545" t="s">
        <v>132</v>
      </c>
      <c r="AF4" s="545"/>
      <c r="AG4" s="545" t="s">
        <v>144</v>
      </c>
      <c r="AH4" s="545"/>
      <c r="AI4" s="545" t="s">
        <v>145</v>
      </c>
      <c r="AJ4" s="545"/>
      <c r="AK4" s="545" t="s">
        <v>138</v>
      </c>
      <c r="AL4" s="545"/>
    </row>
    <row r="5" spans="1:38" ht="25.35" customHeight="1">
      <c r="B5" s="98"/>
      <c r="C5" s="547"/>
      <c r="D5" s="548"/>
      <c r="E5" s="548"/>
      <c r="F5" s="552" t="s">
        <v>115</v>
      </c>
      <c r="G5" s="552" t="s">
        <v>117</v>
      </c>
      <c r="H5" s="552" t="s">
        <v>118</v>
      </c>
      <c r="I5" s="545" t="s">
        <v>129</v>
      </c>
      <c r="J5" s="545"/>
      <c r="K5" s="545" t="s">
        <v>130</v>
      </c>
      <c r="L5" s="545"/>
      <c r="M5" s="551" t="s">
        <v>146</v>
      </c>
      <c r="N5" s="545"/>
      <c r="O5" s="545" t="s">
        <v>129</v>
      </c>
      <c r="P5" s="545"/>
      <c r="Q5" s="545" t="s">
        <v>130</v>
      </c>
      <c r="R5" s="545"/>
      <c r="S5" s="551" t="s">
        <v>146</v>
      </c>
      <c r="T5" s="545"/>
      <c r="U5" s="545" t="s">
        <v>129</v>
      </c>
      <c r="V5" s="545"/>
      <c r="W5" s="545" t="s">
        <v>129</v>
      </c>
      <c r="X5" s="545"/>
      <c r="Y5" s="545" t="s">
        <v>129</v>
      </c>
      <c r="Z5" s="545"/>
      <c r="AA5" s="545" t="s">
        <v>130</v>
      </c>
      <c r="AB5" s="545"/>
      <c r="AC5" s="551" t="s">
        <v>146</v>
      </c>
      <c r="AD5" s="545"/>
      <c r="AE5" s="545" t="s">
        <v>129</v>
      </c>
      <c r="AF5" s="545"/>
      <c r="AG5" s="545" t="s">
        <v>129</v>
      </c>
      <c r="AH5" s="545"/>
      <c r="AI5" s="545" t="s">
        <v>129</v>
      </c>
      <c r="AJ5" s="545"/>
      <c r="AK5" s="545" t="s">
        <v>129</v>
      </c>
      <c r="AL5" s="545"/>
    </row>
    <row r="6" spans="1:38" s="80" customFormat="1" ht="23.45" customHeight="1">
      <c r="B6" s="98"/>
      <c r="C6" s="547"/>
      <c r="D6" s="548"/>
      <c r="E6" s="548"/>
      <c r="F6" s="552"/>
      <c r="G6" s="552"/>
      <c r="H6" s="552"/>
      <c r="I6" s="99" t="s">
        <v>112</v>
      </c>
      <c r="J6" s="100" t="s">
        <v>113</v>
      </c>
      <c r="K6" s="99" t="s">
        <v>112</v>
      </c>
      <c r="L6" s="100" t="s">
        <v>113</v>
      </c>
      <c r="M6" s="99" t="s">
        <v>112</v>
      </c>
      <c r="N6" s="100" t="s">
        <v>113</v>
      </c>
      <c r="O6" s="99" t="s">
        <v>112</v>
      </c>
      <c r="P6" s="100" t="s">
        <v>113</v>
      </c>
      <c r="Q6" s="99" t="s">
        <v>112</v>
      </c>
      <c r="R6" s="100" t="s">
        <v>113</v>
      </c>
      <c r="S6" s="99" t="s">
        <v>112</v>
      </c>
      <c r="T6" s="100" t="s">
        <v>113</v>
      </c>
      <c r="U6" s="99" t="s">
        <v>112</v>
      </c>
      <c r="V6" s="100" t="s">
        <v>113</v>
      </c>
      <c r="W6" s="99" t="s">
        <v>112</v>
      </c>
      <c r="X6" s="100" t="s">
        <v>113</v>
      </c>
      <c r="Y6" s="99" t="s">
        <v>112</v>
      </c>
      <c r="Z6" s="100" t="s">
        <v>113</v>
      </c>
      <c r="AA6" s="99" t="s">
        <v>112</v>
      </c>
      <c r="AB6" s="100" t="s">
        <v>113</v>
      </c>
      <c r="AC6" s="99" t="s">
        <v>112</v>
      </c>
      <c r="AD6" s="100" t="s">
        <v>113</v>
      </c>
      <c r="AE6" s="99" t="s">
        <v>112</v>
      </c>
      <c r="AF6" s="100" t="s">
        <v>113</v>
      </c>
      <c r="AG6" s="99" t="s">
        <v>112</v>
      </c>
      <c r="AH6" s="100" t="s">
        <v>113</v>
      </c>
      <c r="AI6" s="99" t="s">
        <v>112</v>
      </c>
      <c r="AJ6" s="100" t="s">
        <v>113</v>
      </c>
      <c r="AK6" s="99" t="s">
        <v>112</v>
      </c>
      <c r="AL6" s="100" t="s">
        <v>113</v>
      </c>
    </row>
    <row r="7" spans="1:38" ht="14.25">
      <c r="B7" s="98"/>
      <c r="C7" s="83"/>
      <c r="D7" s="311">
        <v>46140</v>
      </c>
      <c r="E7" s="311" t="s">
        <v>461</v>
      </c>
      <c r="F7" s="228">
        <f t="shared" ref="F7" si="0">SUM(M7,S7,U7,W7,AC7,AE7,AG7,AI7,AK7)</f>
        <v>10402035</v>
      </c>
      <c r="G7" s="309"/>
      <c r="I7" s="234">
        <v>827461.61744477972</v>
      </c>
      <c r="J7" s="101">
        <f t="shared" ref="J7:J13" si="1">I7/F7</f>
        <v>7.9548051649968463E-2</v>
      </c>
      <c r="K7" s="234">
        <v>933529.25224939384</v>
      </c>
      <c r="L7" s="101">
        <f t="shared" ref="L7:L13" si="2">K7/F7</f>
        <v>8.974486744655194E-2</v>
      </c>
      <c r="M7" s="227">
        <f t="shared" ref="M7:M13" si="3">SUM(I7+K7)</f>
        <v>1760990.8696941736</v>
      </c>
      <c r="N7" s="101">
        <f t="shared" ref="N7:N13" si="4">M7/F7</f>
        <v>0.16929291909652039</v>
      </c>
      <c r="O7" s="234">
        <v>178690.67403907375</v>
      </c>
      <c r="P7" s="101">
        <f t="shared" ref="P7:P13" si="5">O7/F7</f>
        <v>1.7178434223598917E-2</v>
      </c>
      <c r="Q7" s="234">
        <v>20486.290291236848</v>
      </c>
      <c r="R7" s="101">
        <f t="shared" ref="R7:R13" si="6">Q7/$F7</f>
        <v>1.9694502365389895E-3</v>
      </c>
      <c r="S7" s="227">
        <f t="shared" ref="S7:S13" si="7">SUM(O7+Q7)</f>
        <v>199176.96433031061</v>
      </c>
      <c r="T7" s="101">
        <f t="shared" ref="T7:T13" si="8">S7/F7</f>
        <v>1.9147884460137907E-2</v>
      </c>
      <c r="U7" s="234">
        <v>1126607.6638776746</v>
      </c>
      <c r="V7" s="101">
        <f t="shared" ref="V7:V13" si="9">U7/F7</f>
        <v>0.1083064673285251</v>
      </c>
      <c r="W7" s="234">
        <v>374546.87330965803</v>
      </c>
      <c r="X7" s="101">
        <f t="shared" ref="X7:X13" si="10">W7/F7</f>
        <v>3.6007076818108961E-2</v>
      </c>
      <c r="Y7" s="234">
        <v>1010236.1064336635</v>
      </c>
      <c r="Z7" s="101">
        <f t="shared" ref="Z7:Z13" si="11">Y7/F7</f>
        <v>9.7119083567173498E-2</v>
      </c>
      <c r="AA7" s="234">
        <v>1256193.5118433875</v>
      </c>
      <c r="AB7" s="101">
        <f t="shared" ref="AB7:AB13" si="12">AA7/$F7</f>
        <v>0.12076420737320991</v>
      </c>
      <c r="AC7" s="227">
        <f t="shared" ref="AC7:AC13" si="13">SUM(Y7+AA7)</f>
        <v>2266429.618277051</v>
      </c>
      <c r="AD7" s="101">
        <f t="shared" ref="AD7:AD13" si="14">AC7/F7</f>
        <v>0.21788329094038339</v>
      </c>
      <c r="AE7" s="234">
        <v>1621643.8920457854</v>
      </c>
      <c r="AF7" s="101">
        <f t="shared" ref="AF7:AF13" si="15">AE7/F7</f>
        <v>0.15589679250702246</v>
      </c>
      <c r="AG7" s="234">
        <v>1267904.583688217</v>
      </c>
      <c r="AH7" s="101">
        <f t="shared" ref="AH7:AH13" si="16">AG7/F7</f>
        <v>0.12189005167625537</v>
      </c>
      <c r="AI7" s="234">
        <v>1125528.4112981944</v>
      </c>
      <c r="AJ7" s="101">
        <f t="shared" ref="AJ7:AJ13" si="17">AI7/F7</f>
        <v>0.10820271334389804</v>
      </c>
      <c r="AK7" s="234">
        <v>659206.12347893487</v>
      </c>
      <c r="AL7" s="101">
        <f t="shared" ref="AL7:AL13" si="18">AK7/F7</f>
        <v>6.3372803829148325E-2</v>
      </c>
    </row>
    <row r="8" spans="1:38" ht="14.25">
      <c r="B8" s="98"/>
      <c r="C8" s="361"/>
      <c r="D8" s="311">
        <f t="shared" ref="D8:D9" si="19">D7+1</f>
        <v>46141</v>
      </c>
      <c r="E8" s="311" t="s">
        <v>462</v>
      </c>
      <c r="F8" s="228">
        <f>SUM(M8,S8,U8,W8,AC8,AE8,AG8,AI8,AK8)</f>
        <v>9121131</v>
      </c>
      <c r="G8" s="309">
        <f>SUM(F7:F13)</f>
        <v>61819588</v>
      </c>
      <c r="H8" s="333"/>
      <c r="I8" s="234">
        <v>815032.05194339063</v>
      </c>
      <c r="J8" s="101">
        <f t="shared" si="1"/>
        <v>8.935646817739934E-2</v>
      </c>
      <c r="K8" s="234">
        <v>832338.79576348956</v>
      </c>
      <c r="L8" s="101">
        <f t="shared" si="2"/>
        <v>9.1253902149140226E-2</v>
      </c>
      <c r="M8" s="227">
        <f t="shared" si="3"/>
        <v>1647370.8477068802</v>
      </c>
      <c r="N8" s="101">
        <f t="shared" si="4"/>
        <v>0.18061037032653957</v>
      </c>
      <c r="O8" s="234">
        <v>173378.6285469491</v>
      </c>
      <c r="P8" s="101">
        <f t="shared" si="5"/>
        <v>1.90084572348483E-2</v>
      </c>
      <c r="Q8" s="234">
        <v>17230.173027680736</v>
      </c>
      <c r="R8" s="101">
        <f t="shared" si="6"/>
        <v>1.8890390925950669E-3</v>
      </c>
      <c r="S8" s="227">
        <f t="shared" si="7"/>
        <v>190608.80157462985</v>
      </c>
      <c r="T8" s="101">
        <f t="shared" si="8"/>
        <v>2.0897496327443366E-2</v>
      </c>
      <c r="U8" s="234">
        <v>985958.78901089716</v>
      </c>
      <c r="V8" s="101">
        <f t="shared" si="9"/>
        <v>0.10809611099883305</v>
      </c>
      <c r="W8" s="234">
        <v>234889.66745840313</v>
      </c>
      <c r="X8" s="101">
        <f t="shared" si="10"/>
        <v>2.5752252375106019E-2</v>
      </c>
      <c r="Y8" s="234">
        <v>822764.60766919027</v>
      </c>
      <c r="Z8" s="101">
        <f t="shared" si="11"/>
        <v>9.0204230996045368E-2</v>
      </c>
      <c r="AA8" s="234">
        <v>1060611.368363098</v>
      </c>
      <c r="AB8" s="101">
        <f t="shared" si="12"/>
        <v>0.11628068584511043</v>
      </c>
      <c r="AC8" s="227">
        <f t="shared" si="13"/>
        <v>1883375.9760322883</v>
      </c>
      <c r="AD8" s="101">
        <f t="shared" si="14"/>
        <v>0.2064849168411558</v>
      </c>
      <c r="AE8" s="234">
        <v>1461635.8342309967</v>
      </c>
      <c r="AF8" s="101">
        <f t="shared" si="15"/>
        <v>0.16024721432363997</v>
      </c>
      <c r="AG8" s="234">
        <v>1168513.7928788587</v>
      </c>
      <c r="AH8" s="101">
        <f t="shared" si="16"/>
        <v>0.12811062497390496</v>
      </c>
      <c r="AI8" s="234">
        <v>945924.33826392179</v>
      </c>
      <c r="AJ8" s="101">
        <f t="shared" si="17"/>
        <v>0.103706912910682</v>
      </c>
      <c r="AK8" s="234">
        <v>602852.95284312451</v>
      </c>
      <c r="AL8" s="101">
        <f t="shared" si="18"/>
        <v>6.6094100922695284E-2</v>
      </c>
    </row>
    <row r="9" spans="1:38" ht="14.25">
      <c r="B9" s="98"/>
      <c r="C9" s="98"/>
      <c r="D9" s="311">
        <f t="shared" si="19"/>
        <v>46142</v>
      </c>
      <c r="E9" s="311" t="s">
        <v>463</v>
      </c>
      <c r="F9" s="228">
        <f t="shared" ref="F9:F45" si="20">SUM(M9,S9,U9,W9,AC9,AE9,AG9,AI9,AK9)</f>
        <v>7565915</v>
      </c>
      <c r="G9" s="87"/>
      <c r="H9" s="87"/>
      <c r="I9" s="234">
        <v>598969.17811019684</v>
      </c>
      <c r="J9" s="101">
        <f t="shared" si="1"/>
        <v>7.9166786583010365E-2</v>
      </c>
      <c r="K9" s="234">
        <v>765434.71271596302</v>
      </c>
      <c r="L9" s="101">
        <f t="shared" si="2"/>
        <v>0.10116882263625258</v>
      </c>
      <c r="M9" s="227">
        <f t="shared" si="3"/>
        <v>1364403.8908261599</v>
      </c>
      <c r="N9" s="101">
        <f t="shared" si="4"/>
        <v>0.18033560921926295</v>
      </c>
      <c r="O9" s="234">
        <v>131893.76244485431</v>
      </c>
      <c r="P9" s="101">
        <f t="shared" si="5"/>
        <v>1.7432625458368791E-2</v>
      </c>
      <c r="Q9" s="234">
        <v>14404.587507350288</v>
      </c>
      <c r="R9" s="101">
        <f t="shared" si="6"/>
        <v>1.9038791087859549E-3</v>
      </c>
      <c r="S9" s="227">
        <f t="shared" si="7"/>
        <v>146298.34995220459</v>
      </c>
      <c r="T9" s="101">
        <f t="shared" si="8"/>
        <v>1.9336504567154744E-2</v>
      </c>
      <c r="U9" s="234">
        <v>838892.59862840641</v>
      </c>
      <c r="V9" s="101">
        <f t="shared" si="9"/>
        <v>0.11087787777531288</v>
      </c>
      <c r="W9" s="234">
        <v>203407.94231179683</v>
      </c>
      <c r="X9" s="101">
        <f t="shared" si="10"/>
        <v>2.6884777625944361E-2</v>
      </c>
      <c r="Y9" s="234">
        <v>735021.40799747733</v>
      </c>
      <c r="Z9" s="101">
        <f t="shared" si="11"/>
        <v>9.7149043836400134E-2</v>
      </c>
      <c r="AA9" s="234">
        <v>854105.99383668881</v>
      </c>
      <c r="AB9" s="101">
        <f t="shared" si="12"/>
        <v>0.11288865838919533</v>
      </c>
      <c r="AC9" s="227">
        <f t="shared" si="13"/>
        <v>1589127.4018341661</v>
      </c>
      <c r="AD9" s="101">
        <f t="shared" si="14"/>
        <v>0.21003770222559548</v>
      </c>
      <c r="AE9" s="234">
        <v>1183515.3293373003</v>
      </c>
      <c r="AF9" s="101">
        <f t="shared" si="15"/>
        <v>0.15642725689322445</v>
      </c>
      <c r="AG9" s="234">
        <v>818208.1777625829</v>
      </c>
      <c r="AH9" s="101">
        <f t="shared" si="16"/>
        <v>0.10814398228933089</v>
      </c>
      <c r="AI9" s="234">
        <v>899360.71371221635</v>
      </c>
      <c r="AJ9" s="101">
        <f t="shared" si="17"/>
        <v>0.11887005255969917</v>
      </c>
      <c r="AK9" s="234">
        <v>522700.59563516773</v>
      </c>
      <c r="AL9" s="101">
        <f t="shared" si="18"/>
        <v>6.9086236844475221E-2</v>
      </c>
    </row>
    <row r="10" spans="1:38" ht="14.25">
      <c r="B10" s="98"/>
      <c r="C10" s="98"/>
      <c r="D10" s="311">
        <f>D9+1</f>
        <v>46143</v>
      </c>
      <c r="E10" s="311" t="s">
        <v>464</v>
      </c>
      <c r="F10" s="228">
        <f t="shared" si="20"/>
        <v>7354476</v>
      </c>
      <c r="G10" s="309"/>
      <c r="H10" s="333"/>
      <c r="I10" s="234">
        <v>578231.44240092137</v>
      </c>
      <c r="J10" s="101">
        <f t="shared" si="1"/>
        <v>7.8623064702491571E-2</v>
      </c>
      <c r="K10" s="234">
        <v>735134.83834214171</v>
      </c>
      <c r="L10" s="101">
        <f t="shared" si="2"/>
        <v>9.9957473291386323E-2</v>
      </c>
      <c r="M10" s="227">
        <f t="shared" si="3"/>
        <v>1313366.280743063</v>
      </c>
      <c r="N10" s="101">
        <f t="shared" si="4"/>
        <v>0.17858053799387788</v>
      </c>
      <c r="O10" s="234">
        <v>130947.77889476968</v>
      </c>
      <c r="P10" s="101">
        <f t="shared" si="5"/>
        <v>1.7805181347354957E-2</v>
      </c>
      <c r="Q10" s="234">
        <v>14383.085113757888</v>
      </c>
      <c r="R10" s="101">
        <f t="shared" si="6"/>
        <v>1.9556913522809629E-3</v>
      </c>
      <c r="S10" s="227">
        <f t="shared" si="7"/>
        <v>145330.86400852757</v>
      </c>
      <c r="T10" s="101">
        <f t="shared" si="8"/>
        <v>1.9760872699635917E-2</v>
      </c>
      <c r="U10" s="234">
        <v>828545.43491501792</v>
      </c>
      <c r="V10" s="101">
        <f t="shared" si="9"/>
        <v>0.11265866322971452</v>
      </c>
      <c r="W10" s="234">
        <v>135647.43607614801</v>
      </c>
      <c r="X10" s="101">
        <f t="shared" si="10"/>
        <v>1.8444201337545735E-2</v>
      </c>
      <c r="Y10" s="234">
        <v>709685.9598174101</v>
      </c>
      <c r="Z10" s="101">
        <f t="shared" si="11"/>
        <v>9.6497148106460623E-2</v>
      </c>
      <c r="AA10" s="234">
        <v>972139.32107312686</v>
      </c>
      <c r="AB10" s="101">
        <f t="shared" si="12"/>
        <v>0.13218335624089694</v>
      </c>
      <c r="AC10" s="227">
        <f t="shared" si="13"/>
        <v>1681825.280890537</v>
      </c>
      <c r="AD10" s="101">
        <f t="shared" si="14"/>
        <v>0.22868050434735757</v>
      </c>
      <c r="AE10" s="234">
        <v>1091931.6282749139</v>
      </c>
      <c r="AF10" s="101">
        <f t="shared" si="15"/>
        <v>0.14847171005451834</v>
      </c>
      <c r="AG10" s="234">
        <v>847871.00996763329</v>
      </c>
      <c r="AH10" s="101">
        <f t="shared" si="16"/>
        <v>0.11528639293508243</v>
      </c>
      <c r="AI10" s="234">
        <v>792562.89109972445</v>
      </c>
      <c r="AJ10" s="101">
        <f t="shared" si="17"/>
        <v>0.10776605853356847</v>
      </c>
      <c r="AK10" s="234">
        <v>517395.17402443482</v>
      </c>
      <c r="AL10" s="101">
        <f t="shared" si="18"/>
        <v>7.0351058868699121E-2</v>
      </c>
    </row>
    <row r="11" spans="1:38" ht="14.25">
      <c r="B11" s="98"/>
      <c r="C11" s="98"/>
      <c r="D11" s="311">
        <f t="shared" ref="D11:D36" si="21">D10+1</f>
        <v>46144</v>
      </c>
      <c r="E11" s="311" t="s">
        <v>465</v>
      </c>
      <c r="F11" s="228">
        <f t="shared" si="20"/>
        <v>7703935.9999999981</v>
      </c>
      <c r="G11" s="309"/>
      <c r="H11" s="333"/>
      <c r="I11" s="234">
        <v>552937.42553657037</v>
      </c>
      <c r="J11" s="101">
        <f t="shared" si="1"/>
        <v>7.1773366956393525E-2</v>
      </c>
      <c r="K11" s="234">
        <v>827290.81823433936</v>
      </c>
      <c r="L11" s="101">
        <f t="shared" si="2"/>
        <v>0.1073854738972831</v>
      </c>
      <c r="M11" s="227">
        <f t="shared" si="3"/>
        <v>1380228.2437709097</v>
      </c>
      <c r="N11" s="101">
        <f t="shared" si="4"/>
        <v>0.17915884085367662</v>
      </c>
      <c r="O11" s="234">
        <v>125073.20193635016</v>
      </c>
      <c r="P11" s="101">
        <f t="shared" si="5"/>
        <v>1.62349741659783E-2</v>
      </c>
      <c r="Q11" s="234">
        <v>16064.806107508888</v>
      </c>
      <c r="R11" s="101">
        <f t="shared" si="6"/>
        <v>2.0852725291992161E-3</v>
      </c>
      <c r="S11" s="227">
        <f t="shared" si="7"/>
        <v>141138.00804385904</v>
      </c>
      <c r="T11" s="101">
        <f t="shared" si="8"/>
        <v>1.8320246695177515E-2</v>
      </c>
      <c r="U11" s="234">
        <v>906412.64263562008</v>
      </c>
      <c r="V11" s="101">
        <f t="shared" si="9"/>
        <v>0.11765578564458742</v>
      </c>
      <c r="W11" s="234">
        <v>146209.25289134844</v>
      </c>
      <c r="X11" s="101">
        <f t="shared" si="10"/>
        <v>1.8978513436683338E-2</v>
      </c>
      <c r="Y11" s="234">
        <v>781352.78110394534</v>
      </c>
      <c r="Z11" s="101">
        <f t="shared" si="11"/>
        <v>0.10142254311353904</v>
      </c>
      <c r="AA11" s="234">
        <v>1035084.2638179495</v>
      </c>
      <c r="AB11" s="101">
        <f t="shared" si="12"/>
        <v>0.1343578482243297</v>
      </c>
      <c r="AC11" s="227">
        <f t="shared" si="13"/>
        <v>1816437.0449218948</v>
      </c>
      <c r="AD11" s="101">
        <f t="shared" si="14"/>
        <v>0.23578039133786874</v>
      </c>
      <c r="AE11" s="234">
        <v>1177402.7814892132</v>
      </c>
      <c r="AF11" s="101">
        <f t="shared" si="15"/>
        <v>0.15283132952937478</v>
      </c>
      <c r="AG11" s="234">
        <v>805878.75768773002</v>
      </c>
      <c r="AH11" s="101">
        <f t="shared" si="16"/>
        <v>0.10460610753876073</v>
      </c>
      <c r="AI11" s="234">
        <v>786585.72745743836</v>
      </c>
      <c r="AJ11" s="101">
        <f t="shared" si="17"/>
        <v>0.10210179932146873</v>
      </c>
      <c r="AK11" s="234">
        <v>543643.54110198503</v>
      </c>
      <c r="AL11" s="101">
        <f t="shared" si="18"/>
        <v>7.0566985642402158E-2</v>
      </c>
    </row>
    <row r="12" spans="1:38" ht="14.25">
      <c r="B12" s="98"/>
      <c r="C12" s="98"/>
      <c r="D12" s="311">
        <f t="shared" si="21"/>
        <v>46145</v>
      </c>
      <c r="E12" s="311" t="s">
        <v>466</v>
      </c>
      <c r="F12" s="228">
        <f t="shared" si="20"/>
        <v>10123968.000000002</v>
      </c>
      <c r="G12" s="87"/>
      <c r="H12" s="333">
        <f>SUM(F10:F40)</f>
        <v>161521577</v>
      </c>
      <c r="I12" s="234">
        <v>784231.38093392143</v>
      </c>
      <c r="J12" s="101">
        <f t="shared" si="1"/>
        <v>7.7462846675722535E-2</v>
      </c>
      <c r="K12" s="234">
        <v>937314.72661978612</v>
      </c>
      <c r="L12" s="101">
        <f t="shared" si="2"/>
        <v>9.2583730669613534E-2</v>
      </c>
      <c r="M12" s="227">
        <f t="shared" si="3"/>
        <v>1721546.1075537074</v>
      </c>
      <c r="N12" s="101">
        <f t="shared" si="4"/>
        <v>0.17004657734533604</v>
      </c>
      <c r="O12" s="234">
        <v>179812.91552134368</v>
      </c>
      <c r="P12" s="101">
        <f t="shared" si="5"/>
        <v>1.7761110616049323E-2</v>
      </c>
      <c r="Q12" s="234">
        <v>18712.452892614376</v>
      </c>
      <c r="R12" s="101">
        <f t="shared" si="6"/>
        <v>1.8483318885060059E-3</v>
      </c>
      <c r="S12" s="227">
        <f t="shared" si="7"/>
        <v>198525.36841395806</v>
      </c>
      <c r="T12" s="101">
        <f t="shared" si="8"/>
        <v>1.9609442504555329E-2</v>
      </c>
      <c r="U12" s="234">
        <v>1163901.4506712905</v>
      </c>
      <c r="V12" s="101">
        <f t="shared" si="9"/>
        <v>0.11496494760466354</v>
      </c>
      <c r="W12" s="234">
        <v>236935.88488784412</v>
      </c>
      <c r="X12" s="101">
        <f t="shared" si="10"/>
        <v>2.3403460470029544E-2</v>
      </c>
      <c r="Y12" s="234">
        <v>962083.24932991411</v>
      </c>
      <c r="Z12" s="101">
        <f t="shared" si="11"/>
        <v>9.5030253881671092E-2</v>
      </c>
      <c r="AA12" s="234">
        <v>1191979.6977606735</v>
      </c>
      <c r="AB12" s="101">
        <f t="shared" si="12"/>
        <v>0.11773839049675712</v>
      </c>
      <c r="AC12" s="227">
        <f t="shared" si="13"/>
        <v>2154062.9470905876</v>
      </c>
      <c r="AD12" s="101">
        <f t="shared" si="14"/>
        <v>0.21276864437842821</v>
      </c>
      <c r="AE12" s="234">
        <v>1738651.7633227755</v>
      </c>
      <c r="AF12" s="101">
        <f t="shared" si="15"/>
        <v>0.17173619704475312</v>
      </c>
      <c r="AG12" s="234">
        <v>1216178.8476928135</v>
      </c>
      <c r="AH12" s="101">
        <f t="shared" si="16"/>
        <v>0.12012867362804913</v>
      </c>
      <c r="AI12" s="234">
        <v>1027839.7539875183</v>
      </c>
      <c r="AJ12" s="101">
        <f t="shared" si="17"/>
        <v>0.10152538549978804</v>
      </c>
      <c r="AK12" s="234">
        <v>666325.87637950655</v>
      </c>
      <c r="AL12" s="101">
        <f t="shared" si="18"/>
        <v>6.5816671524396991E-2</v>
      </c>
    </row>
    <row r="13" spans="1:38" ht="14.25">
      <c r="B13" s="98"/>
      <c r="C13" s="98"/>
      <c r="D13" s="311">
        <f t="shared" si="21"/>
        <v>46146</v>
      </c>
      <c r="E13" s="311" t="s">
        <v>460</v>
      </c>
      <c r="F13" s="228">
        <f t="shared" si="20"/>
        <v>9548126.9999999981</v>
      </c>
      <c r="G13" s="309"/>
      <c r="H13" s="333"/>
      <c r="I13" s="234">
        <v>757375.91017923784</v>
      </c>
      <c r="J13" s="101">
        <f t="shared" si="1"/>
        <v>7.932193509567248E-2</v>
      </c>
      <c r="K13" s="234">
        <v>921023.97304457088</v>
      </c>
      <c r="L13" s="101">
        <f t="shared" si="2"/>
        <v>9.646121936213993E-2</v>
      </c>
      <c r="M13" s="227">
        <f t="shared" si="3"/>
        <v>1678399.8832238088</v>
      </c>
      <c r="N13" s="101">
        <f t="shared" si="4"/>
        <v>0.17578315445781242</v>
      </c>
      <c r="O13" s="234">
        <v>169918.76450864342</v>
      </c>
      <c r="P13" s="101">
        <f t="shared" si="5"/>
        <v>1.7796031044480604E-2</v>
      </c>
      <c r="Q13" s="234">
        <v>18078.032897524299</v>
      </c>
      <c r="R13" s="101">
        <f t="shared" si="6"/>
        <v>1.8933590742482062E-3</v>
      </c>
      <c r="S13" s="227">
        <f t="shared" si="7"/>
        <v>187996.79740616772</v>
      </c>
      <c r="T13" s="101">
        <f t="shared" si="8"/>
        <v>1.9689390118728809E-2</v>
      </c>
      <c r="U13" s="234">
        <v>1123353.1586849887</v>
      </c>
      <c r="V13" s="101">
        <f t="shared" si="9"/>
        <v>0.11765167751591374</v>
      </c>
      <c r="W13" s="234">
        <v>215647.17751500156</v>
      </c>
      <c r="X13" s="101">
        <f t="shared" si="10"/>
        <v>2.2585285838259337E-2</v>
      </c>
      <c r="Y13" s="234">
        <v>867557.78803249262</v>
      </c>
      <c r="Z13" s="101">
        <f t="shared" si="11"/>
        <v>9.086156772239129E-2</v>
      </c>
      <c r="AA13" s="234">
        <v>1201833.4213070464</v>
      </c>
      <c r="AB13" s="101">
        <f t="shared" si="12"/>
        <v>0.12587111810589099</v>
      </c>
      <c r="AC13" s="227">
        <f t="shared" si="13"/>
        <v>2069391.2093395391</v>
      </c>
      <c r="AD13" s="101">
        <f t="shared" si="14"/>
        <v>0.21673268582828228</v>
      </c>
      <c r="AE13" s="234">
        <v>1619563.3537726724</v>
      </c>
      <c r="AF13" s="101">
        <f t="shared" si="15"/>
        <v>0.16962105277534251</v>
      </c>
      <c r="AG13" s="234">
        <v>1005785.6636362718</v>
      </c>
      <c r="AH13" s="101">
        <f t="shared" si="16"/>
        <v>0.10533853012598932</v>
      </c>
      <c r="AI13" s="234">
        <v>967950.52200524486</v>
      </c>
      <c r="AJ13" s="101">
        <f t="shared" si="17"/>
        <v>0.10137595802875737</v>
      </c>
      <c r="AK13" s="234">
        <v>680039.23441630474</v>
      </c>
      <c r="AL13" s="101">
        <f t="shared" si="18"/>
        <v>7.1222265310914371E-2</v>
      </c>
    </row>
    <row r="14" spans="1:38" ht="14.25">
      <c r="B14" s="98"/>
      <c r="C14" s="98"/>
      <c r="D14" s="383">
        <f t="shared" si="21"/>
        <v>46147</v>
      </c>
      <c r="E14" s="383" t="s">
        <v>461</v>
      </c>
      <c r="F14" s="228">
        <f t="shared" si="20"/>
        <v>9809562.0000000019</v>
      </c>
      <c r="G14" s="309">
        <f>SUM(F14:F20)</f>
        <v>62847274</v>
      </c>
      <c r="H14" s="333"/>
      <c r="I14" s="234">
        <v>716548.76445870881</v>
      </c>
      <c r="J14" s="101">
        <f>I14/F14</f>
        <v>7.3045948887290657E-2</v>
      </c>
      <c r="K14" s="234">
        <v>883294.5903090575</v>
      </c>
      <c r="L14" s="101">
        <f>K14/F14</f>
        <v>9.0044243597120585E-2</v>
      </c>
      <c r="M14" s="227">
        <f>SUM(I14+K14)</f>
        <v>1599843.3547677663</v>
      </c>
      <c r="N14" s="101">
        <f>M14/F14</f>
        <v>0.16309019248441123</v>
      </c>
      <c r="O14" s="234">
        <v>173377.18477590641</v>
      </c>
      <c r="P14" s="101">
        <f>O14/F14</f>
        <v>1.7674304395640335E-2</v>
      </c>
      <c r="Q14" s="234">
        <v>17309.273242628326</v>
      </c>
      <c r="R14" s="101">
        <f t="shared" ref="R14" si="22">Q14/$F14</f>
        <v>1.7645306938911566E-3</v>
      </c>
      <c r="S14" s="227">
        <f t="shared" ref="S14" si="23">SUM(O14+Q14)</f>
        <v>190686.45801853473</v>
      </c>
      <c r="T14" s="101">
        <f>S14/F14</f>
        <v>1.9438835089531488E-2</v>
      </c>
      <c r="U14" s="234">
        <v>1108233.7939054011</v>
      </c>
      <c r="V14" s="101">
        <f>U14/F14</f>
        <v>0.11297484983584394</v>
      </c>
      <c r="W14" s="234">
        <v>180436.85643683356</v>
      </c>
      <c r="X14" s="101">
        <f>W14/F14</f>
        <v>1.8393976860213896E-2</v>
      </c>
      <c r="Y14" s="234">
        <v>869837.74229184911</v>
      </c>
      <c r="Z14" s="101">
        <f>Y14/F14</f>
        <v>8.8672434334157724E-2</v>
      </c>
      <c r="AA14" s="234">
        <v>1176499.8306389214</v>
      </c>
      <c r="AB14" s="101">
        <f t="shared" ref="AB14" si="24">AA14/$F14</f>
        <v>0.11993398182700932</v>
      </c>
      <c r="AC14" s="227">
        <f>SUM(Y14+AA14)</f>
        <v>2046337.5729307705</v>
      </c>
      <c r="AD14" s="101">
        <f>AC14/F14</f>
        <v>0.20860641616116704</v>
      </c>
      <c r="AE14" s="234">
        <v>1643023.7259391299</v>
      </c>
      <c r="AF14" s="101">
        <f>AE14/F14</f>
        <v>0.16749205784510354</v>
      </c>
      <c r="AG14" s="234">
        <v>1359199.1524676576</v>
      </c>
      <c r="AH14" s="101">
        <f>AG14/F14</f>
        <v>0.13855859746517299</v>
      </c>
      <c r="AI14" s="234">
        <v>996680.82551176485</v>
      </c>
      <c r="AJ14" s="101">
        <f>AI14/F14</f>
        <v>0.10160298956383218</v>
      </c>
      <c r="AK14" s="234">
        <v>685120.26002214174</v>
      </c>
      <c r="AL14" s="101">
        <f>AK14/F14</f>
        <v>6.9842084694723541E-2</v>
      </c>
    </row>
    <row r="15" spans="1:38" ht="14.25">
      <c r="B15" s="98"/>
      <c r="C15" s="98"/>
      <c r="D15" s="383">
        <f t="shared" si="21"/>
        <v>46148</v>
      </c>
      <c r="E15" s="383" t="s">
        <v>462</v>
      </c>
      <c r="F15" s="228">
        <f t="shared" si="20"/>
        <v>9009158</v>
      </c>
      <c r="G15" s="87"/>
      <c r="H15" s="333"/>
      <c r="I15" s="234">
        <v>718364.3350010463</v>
      </c>
      <c r="J15" s="101">
        <f t="shared" ref="J15" si="25">I15/F15</f>
        <v>7.9737122492584356E-2</v>
      </c>
      <c r="K15" s="234">
        <v>868532.9665678615</v>
      </c>
      <c r="L15" s="101">
        <f t="shared" ref="L15" si="26">K15/F15</f>
        <v>9.6405564933799745E-2</v>
      </c>
      <c r="M15" s="227">
        <f t="shared" ref="M15" si="27">SUM(I15+K15)</f>
        <v>1586897.3015689077</v>
      </c>
      <c r="N15" s="101">
        <f t="shared" ref="N15" si="28">M15/F15</f>
        <v>0.17614268742638409</v>
      </c>
      <c r="O15" s="234">
        <v>174407.74784814203</v>
      </c>
      <c r="P15" s="101">
        <f t="shared" ref="P15" si="29">O15/F15</f>
        <v>1.9358939852996478E-2</v>
      </c>
      <c r="Q15" s="234">
        <v>17082.78676894027</v>
      </c>
      <c r="R15" s="101">
        <f t="shared" ref="R15" si="30">Q15/$F15</f>
        <v>1.8961579726918176E-3</v>
      </c>
      <c r="S15" s="227">
        <f t="shared" ref="S15" si="31">SUM(O15+Q15)</f>
        <v>191490.5346170823</v>
      </c>
      <c r="T15" s="101">
        <f t="shared" ref="T15" si="32">S15/F15</f>
        <v>2.1255097825688296E-2</v>
      </c>
      <c r="U15" s="234">
        <v>968760.77844443929</v>
      </c>
      <c r="V15" s="101">
        <f t="shared" ref="V15" si="33">U15/F15</f>
        <v>0.1075306680651443</v>
      </c>
      <c r="W15" s="234">
        <v>184649.97631223276</v>
      </c>
      <c r="X15" s="101">
        <f t="shared" ref="X15" si="34">W15/F15</f>
        <v>2.0495808410978335E-2</v>
      </c>
      <c r="Y15" s="234">
        <v>812037.50749171071</v>
      </c>
      <c r="Z15" s="101">
        <f t="shared" ref="Z15" si="35">Y15/F15</f>
        <v>9.0134672684363037E-2</v>
      </c>
      <c r="AA15" s="234">
        <v>1084510.5151928707</v>
      </c>
      <c r="AB15" s="101">
        <f t="shared" ref="AB15" si="36">AA15/$F15</f>
        <v>0.12037867636385895</v>
      </c>
      <c r="AC15" s="227">
        <f t="shared" ref="AC15" si="37">SUM(Y15+AA15)</f>
        <v>1896548.0226845816</v>
      </c>
      <c r="AD15" s="101">
        <f t="shared" ref="AD15" si="38">AC15/F15</f>
        <v>0.210513349048222</v>
      </c>
      <c r="AE15" s="234">
        <v>1397193.4627869651</v>
      </c>
      <c r="AF15" s="101">
        <f t="shared" ref="AF15" si="39">AE15/F15</f>
        <v>0.15508590955858084</v>
      </c>
      <c r="AG15" s="234">
        <v>1153170.4277895351</v>
      </c>
      <c r="AH15" s="101">
        <f t="shared" ref="AH15" si="40">AG15/F15</f>
        <v>0.12799980062393568</v>
      </c>
      <c r="AI15" s="234">
        <v>959019.52441030834</v>
      </c>
      <c r="AJ15" s="101">
        <f t="shared" ref="AJ15" si="41">AI15/F15</f>
        <v>0.1064494067492554</v>
      </c>
      <c r="AK15" s="234">
        <v>671427.97138594789</v>
      </c>
      <c r="AL15" s="101">
        <f t="shared" ref="AL15" si="42">AK15/F15</f>
        <v>7.4527272291811053E-2</v>
      </c>
    </row>
    <row r="16" spans="1:38" ht="14.25">
      <c r="B16" s="98"/>
      <c r="C16" s="98"/>
      <c r="D16" s="383">
        <f t="shared" si="21"/>
        <v>46149</v>
      </c>
      <c r="E16" s="383" t="s">
        <v>463</v>
      </c>
      <c r="F16" s="228">
        <f t="shared" si="20"/>
        <v>8524326</v>
      </c>
      <c r="G16" s="309"/>
      <c r="H16" s="333"/>
      <c r="I16" s="234">
        <v>689971.68208360916</v>
      </c>
      <c r="J16" s="101">
        <f t="shared" ref="J16:J41" si="43">I16/F16</f>
        <v>8.0941494035259701E-2</v>
      </c>
      <c r="K16" s="234">
        <v>805191.39456106548</v>
      </c>
      <c r="L16" s="101">
        <f t="shared" ref="L16:L41" si="44">K16/F16</f>
        <v>9.4458071472285965E-2</v>
      </c>
      <c r="M16" s="227">
        <f t="shared" ref="M16:M41" si="45">SUM(I16+K16)</f>
        <v>1495163.0766446746</v>
      </c>
      <c r="N16" s="101">
        <f t="shared" ref="N16:N41" si="46">M16/F16</f>
        <v>0.17539956550754565</v>
      </c>
      <c r="O16" s="234">
        <v>173699.74320540132</v>
      </c>
      <c r="P16" s="101">
        <f t="shared" ref="P16:P41" si="47">O16/F16</f>
        <v>2.0376947480117643E-2</v>
      </c>
      <c r="Q16" s="234">
        <v>14955.535264487713</v>
      </c>
      <c r="R16" s="101">
        <f t="shared" ref="R16:R45" si="48">Q16/$F16</f>
        <v>1.7544536969242746E-3</v>
      </c>
      <c r="S16" s="227">
        <f t="shared" ref="S16:S45" si="49">SUM(O16+Q16)</f>
        <v>188655.27846988902</v>
      </c>
      <c r="T16" s="101">
        <f t="shared" ref="T16:T41" si="50">S16/F16</f>
        <v>2.2131401177041918E-2</v>
      </c>
      <c r="U16" s="234">
        <v>949591.36762819823</v>
      </c>
      <c r="V16" s="101">
        <f t="shared" ref="V16:V41" si="51">U16/F16</f>
        <v>0.11139782401895448</v>
      </c>
      <c r="W16" s="234">
        <v>183853.18570109783</v>
      </c>
      <c r="X16" s="101">
        <f t="shared" ref="X16:X41" si="52">W16/F16</f>
        <v>2.1568061299051425E-2</v>
      </c>
      <c r="Y16" s="234">
        <v>803680.9898777596</v>
      </c>
      <c r="Z16" s="101">
        <f t="shared" ref="Z16:Z41" si="53">Y16/F16</f>
        <v>9.4280883893666151E-2</v>
      </c>
      <c r="AA16" s="234">
        <v>960702.2388795648</v>
      </c>
      <c r="AB16" s="101">
        <f t="shared" ref="AB16:AB45" si="54">AA16/$F16</f>
        <v>0.11270125507630337</v>
      </c>
      <c r="AC16" s="227">
        <f t="shared" ref="AC16:AC41" si="55">SUM(Y16+AA16)</f>
        <v>1764383.2287573244</v>
      </c>
      <c r="AD16" s="101">
        <f t="shared" ref="AD16:AD41" si="56">AC16/F16</f>
        <v>0.20698213896996953</v>
      </c>
      <c r="AE16" s="234">
        <v>1296678.7687120643</v>
      </c>
      <c r="AF16" s="101">
        <f t="shared" ref="AF16:AF41" si="57">AE16/F16</f>
        <v>0.15211510783516072</v>
      </c>
      <c r="AG16" s="234">
        <v>1092619.8255432432</v>
      </c>
      <c r="AH16" s="101">
        <f t="shared" ref="AH16:AH41" si="58">AG16/F16</f>
        <v>0.12817668230230087</v>
      </c>
      <c r="AI16" s="234">
        <v>909917.24190554046</v>
      </c>
      <c r="AJ16" s="101">
        <f t="shared" ref="AJ16:AJ41" si="59">AI16/F16</f>
        <v>0.10674359965885168</v>
      </c>
      <c r="AK16" s="234">
        <v>643464.02663796756</v>
      </c>
      <c r="AL16" s="101">
        <f t="shared" ref="AL16:AL41" si="60">AK16/F16</f>
        <v>7.548561923112368E-2</v>
      </c>
    </row>
    <row r="17" spans="2:38" ht="14.25">
      <c r="B17" s="98"/>
      <c r="C17" s="98"/>
      <c r="D17" s="383">
        <f t="shared" si="21"/>
        <v>46150</v>
      </c>
      <c r="E17" s="383" t="s">
        <v>464</v>
      </c>
      <c r="F17" s="228">
        <f t="shared" si="20"/>
        <v>7943684.9999999991</v>
      </c>
      <c r="G17" s="309"/>
      <c r="H17" s="333"/>
      <c r="I17" s="234">
        <v>616866.47019459528</v>
      </c>
      <c r="J17" s="101">
        <f t="shared" si="43"/>
        <v>7.7654951095693675E-2</v>
      </c>
      <c r="K17" s="234">
        <v>766814.24002187175</v>
      </c>
      <c r="L17" s="101">
        <f t="shared" si="44"/>
        <v>9.6531300022832209E-2</v>
      </c>
      <c r="M17" s="227">
        <f t="shared" si="45"/>
        <v>1383680.710216467</v>
      </c>
      <c r="N17" s="101">
        <f t="shared" si="46"/>
        <v>0.17418625111852587</v>
      </c>
      <c r="O17" s="234">
        <v>147642.85383810068</v>
      </c>
      <c r="P17" s="101">
        <f t="shared" si="47"/>
        <v>1.858619190439962E-2</v>
      </c>
      <c r="Q17" s="234">
        <v>12923.201611942155</v>
      </c>
      <c r="R17" s="101">
        <f t="shared" si="48"/>
        <v>1.6268522243696919E-3</v>
      </c>
      <c r="S17" s="227">
        <f t="shared" si="49"/>
        <v>160566.05545004283</v>
      </c>
      <c r="T17" s="101">
        <f t="shared" si="50"/>
        <v>2.0213044128769311E-2</v>
      </c>
      <c r="U17" s="234">
        <v>864876.94889300072</v>
      </c>
      <c r="V17" s="101">
        <f t="shared" si="51"/>
        <v>0.10887603787071123</v>
      </c>
      <c r="W17" s="234">
        <v>177581.80221763405</v>
      </c>
      <c r="X17" s="101">
        <f t="shared" si="52"/>
        <v>2.2355091146946796E-2</v>
      </c>
      <c r="Y17" s="234">
        <v>738746.26508231566</v>
      </c>
      <c r="Z17" s="101">
        <f t="shared" si="53"/>
        <v>9.2997930441893875E-2</v>
      </c>
      <c r="AA17" s="234">
        <v>977117.64026024507</v>
      </c>
      <c r="AB17" s="101">
        <f t="shared" si="54"/>
        <v>0.12300558748996784</v>
      </c>
      <c r="AC17" s="227">
        <f t="shared" si="55"/>
        <v>1715863.9053425607</v>
      </c>
      <c r="AD17" s="101">
        <f t="shared" si="56"/>
        <v>0.2160035179318617</v>
      </c>
      <c r="AE17" s="234">
        <v>1186605.2444791766</v>
      </c>
      <c r="AF17" s="101">
        <f t="shared" si="57"/>
        <v>0.14937717752896504</v>
      </c>
      <c r="AG17" s="234">
        <v>923977.7436001146</v>
      </c>
      <c r="AH17" s="101">
        <f t="shared" si="58"/>
        <v>0.11631600996264513</v>
      </c>
      <c r="AI17" s="234">
        <v>968468.24378158897</v>
      </c>
      <c r="AJ17" s="101">
        <f t="shared" si="59"/>
        <v>0.12191674818193182</v>
      </c>
      <c r="AK17" s="234">
        <v>562064.34601941449</v>
      </c>
      <c r="AL17" s="101">
        <f t="shared" si="60"/>
        <v>7.0756122129643176E-2</v>
      </c>
    </row>
    <row r="18" spans="2:38" ht="14.25">
      <c r="B18" s="98"/>
      <c r="C18" s="98"/>
      <c r="D18" s="383">
        <f t="shared" si="21"/>
        <v>46151</v>
      </c>
      <c r="E18" s="383" t="s">
        <v>465</v>
      </c>
      <c r="F18" s="228">
        <f t="shared" si="20"/>
        <v>8070560.9999999991</v>
      </c>
      <c r="G18" s="309"/>
      <c r="H18" s="333"/>
      <c r="I18" s="234">
        <v>569962.05369913206</v>
      </c>
      <c r="J18" s="101">
        <f t="shared" si="43"/>
        <v>7.0622358681029992E-2</v>
      </c>
      <c r="K18" s="234">
        <v>838843.76903972984</v>
      </c>
      <c r="L18" s="101">
        <f t="shared" si="44"/>
        <v>0.10393871863922842</v>
      </c>
      <c r="M18" s="227">
        <f t="shared" si="45"/>
        <v>1408805.8227388619</v>
      </c>
      <c r="N18" s="101">
        <f t="shared" si="46"/>
        <v>0.17456107732025841</v>
      </c>
      <c r="O18" s="234">
        <v>149035.94081986992</v>
      </c>
      <c r="P18" s="101">
        <f t="shared" si="47"/>
        <v>1.8466614752043871E-2</v>
      </c>
      <c r="Q18" s="234">
        <v>13912.893158610535</v>
      </c>
      <c r="R18" s="101">
        <f t="shared" si="48"/>
        <v>1.7239065733609519E-3</v>
      </c>
      <c r="S18" s="227">
        <f t="shared" si="49"/>
        <v>162948.83397848046</v>
      </c>
      <c r="T18" s="101">
        <f t="shared" si="50"/>
        <v>2.0190521325404824E-2</v>
      </c>
      <c r="U18" s="234">
        <v>938585.81187648594</v>
      </c>
      <c r="V18" s="101">
        <f t="shared" si="51"/>
        <v>0.11629746827717256</v>
      </c>
      <c r="W18" s="234">
        <v>131117.55211575283</v>
      </c>
      <c r="X18" s="101">
        <f t="shared" si="52"/>
        <v>1.6246398746723165E-2</v>
      </c>
      <c r="Y18" s="234">
        <v>666687.98566529329</v>
      </c>
      <c r="Z18" s="101">
        <f t="shared" si="53"/>
        <v>8.2607390696296495E-2</v>
      </c>
      <c r="AA18" s="234">
        <v>999504.25811207888</v>
      </c>
      <c r="AB18" s="101">
        <f t="shared" si="54"/>
        <v>0.12384569772932501</v>
      </c>
      <c r="AC18" s="227">
        <f t="shared" si="55"/>
        <v>1666192.2437773722</v>
      </c>
      <c r="AD18" s="101">
        <f t="shared" si="56"/>
        <v>0.20645308842562152</v>
      </c>
      <c r="AE18" s="234">
        <v>1306472.6755704535</v>
      </c>
      <c r="AF18" s="101">
        <f t="shared" si="57"/>
        <v>0.1618812713974225</v>
      </c>
      <c r="AG18" s="234">
        <v>869407.8050718446</v>
      </c>
      <c r="AH18" s="101">
        <f t="shared" si="58"/>
        <v>0.10772582043204242</v>
      </c>
      <c r="AI18" s="234">
        <v>999595.61688284052</v>
      </c>
      <c r="AJ18" s="101">
        <f t="shared" si="59"/>
        <v>0.12385701773183309</v>
      </c>
      <c r="AK18" s="234">
        <v>587434.63798790728</v>
      </c>
      <c r="AL18" s="101">
        <f t="shared" si="60"/>
        <v>7.2787336343521511E-2</v>
      </c>
    </row>
    <row r="19" spans="2:38" ht="14.25">
      <c r="B19" s="98"/>
      <c r="C19" s="98"/>
      <c r="D19" s="383">
        <f t="shared" si="21"/>
        <v>46152</v>
      </c>
      <c r="E19" s="383" t="s">
        <v>466</v>
      </c>
      <c r="F19" s="228">
        <f t="shared" si="20"/>
        <v>9698095</v>
      </c>
      <c r="G19" s="87"/>
      <c r="H19" s="333"/>
      <c r="I19" s="234">
        <v>710396.89184778207</v>
      </c>
      <c r="J19" s="101">
        <f t="shared" si="43"/>
        <v>7.3251178901400954E-2</v>
      </c>
      <c r="K19" s="234">
        <v>901592.46549725928</v>
      </c>
      <c r="L19" s="101">
        <f t="shared" si="44"/>
        <v>9.2965934598213285E-2</v>
      </c>
      <c r="M19" s="227">
        <f t="shared" si="45"/>
        <v>1611989.3573450414</v>
      </c>
      <c r="N19" s="101">
        <f t="shared" si="46"/>
        <v>0.16621711349961424</v>
      </c>
      <c r="O19" s="234">
        <v>177149.89766841193</v>
      </c>
      <c r="P19" s="101">
        <f t="shared" si="47"/>
        <v>1.8266463431056503E-2</v>
      </c>
      <c r="Q19" s="234">
        <v>16313.802446908381</v>
      </c>
      <c r="R19" s="101">
        <f t="shared" si="48"/>
        <v>1.682165667268508E-3</v>
      </c>
      <c r="S19" s="227">
        <f t="shared" si="49"/>
        <v>193463.7001153203</v>
      </c>
      <c r="T19" s="101">
        <f t="shared" si="50"/>
        <v>1.994862909832501E-2</v>
      </c>
      <c r="U19" s="234">
        <v>1157669.0663688439</v>
      </c>
      <c r="V19" s="101">
        <f t="shared" si="51"/>
        <v>0.11937076986447791</v>
      </c>
      <c r="W19" s="234">
        <v>184109.54580913595</v>
      </c>
      <c r="X19" s="101">
        <f t="shared" si="52"/>
        <v>1.8984093866799195E-2</v>
      </c>
      <c r="Y19" s="234">
        <v>777957.46135179093</v>
      </c>
      <c r="Z19" s="101">
        <f t="shared" si="53"/>
        <v>8.0217554205417763E-2</v>
      </c>
      <c r="AA19" s="234">
        <v>1104235.0595485393</v>
      </c>
      <c r="AB19" s="101">
        <f t="shared" si="54"/>
        <v>0.11386102729954072</v>
      </c>
      <c r="AC19" s="227">
        <f t="shared" si="55"/>
        <v>1882192.5209003303</v>
      </c>
      <c r="AD19" s="101">
        <f t="shared" si="56"/>
        <v>0.19407858150495846</v>
      </c>
      <c r="AE19" s="234">
        <v>1600548.7037380536</v>
      </c>
      <c r="AF19" s="101">
        <f t="shared" si="57"/>
        <v>0.16503743299462972</v>
      </c>
      <c r="AG19" s="234">
        <v>1219579.9114174012</v>
      </c>
      <c r="AH19" s="101">
        <f t="shared" si="58"/>
        <v>0.12575458493832048</v>
      </c>
      <c r="AI19" s="234">
        <v>1199325.522446278</v>
      </c>
      <c r="AJ19" s="101">
        <f t="shared" si="59"/>
        <v>0.12366609343858541</v>
      </c>
      <c r="AK19" s="234">
        <v>649216.67185959569</v>
      </c>
      <c r="AL19" s="101">
        <f t="shared" si="60"/>
        <v>6.6942700794289572E-2</v>
      </c>
    </row>
    <row r="20" spans="2:38" ht="14.25">
      <c r="B20" s="98"/>
      <c r="C20" s="98"/>
      <c r="D20" s="383">
        <f t="shared" si="21"/>
        <v>46153</v>
      </c>
      <c r="E20" s="383" t="s">
        <v>460</v>
      </c>
      <c r="F20" s="228">
        <f t="shared" si="20"/>
        <v>9791887</v>
      </c>
      <c r="G20" s="309"/>
      <c r="H20" s="333"/>
      <c r="I20" s="234">
        <v>736250.79255126254</v>
      </c>
      <c r="J20" s="101">
        <f t="shared" si="43"/>
        <v>7.5189878370865854E-2</v>
      </c>
      <c r="K20" s="234">
        <v>944584.63890693034</v>
      </c>
      <c r="L20" s="101">
        <f t="shared" si="44"/>
        <v>9.6466047750237552E-2</v>
      </c>
      <c r="M20" s="227">
        <f t="shared" si="45"/>
        <v>1680835.4314581929</v>
      </c>
      <c r="N20" s="101">
        <f t="shared" si="46"/>
        <v>0.17165592612110342</v>
      </c>
      <c r="O20" s="234">
        <v>178697.75727460984</v>
      </c>
      <c r="P20" s="101">
        <f t="shared" si="47"/>
        <v>1.8249573067439386E-2</v>
      </c>
      <c r="Q20" s="234">
        <v>16796.694400895172</v>
      </c>
      <c r="R20" s="101">
        <f t="shared" si="48"/>
        <v>1.7153684883102892E-3</v>
      </c>
      <c r="S20" s="227">
        <f t="shared" si="49"/>
        <v>195494.45167550503</v>
      </c>
      <c r="T20" s="101">
        <f t="shared" si="50"/>
        <v>1.9964941555749675E-2</v>
      </c>
      <c r="U20" s="234">
        <v>1180206.868465283</v>
      </c>
      <c r="V20" s="101">
        <f t="shared" si="51"/>
        <v>0.12052905312993123</v>
      </c>
      <c r="W20" s="234">
        <v>190637.59020217601</v>
      </c>
      <c r="X20" s="101">
        <f t="shared" si="52"/>
        <v>1.9468932821853031E-2</v>
      </c>
      <c r="Y20" s="234">
        <v>771579.77017944132</v>
      </c>
      <c r="Z20" s="101">
        <f t="shared" si="53"/>
        <v>7.8797862983860142E-2</v>
      </c>
      <c r="AA20" s="234">
        <v>1157898.8155664059</v>
      </c>
      <c r="AB20" s="101">
        <f t="shared" si="54"/>
        <v>0.11825083516245703</v>
      </c>
      <c r="AC20" s="227">
        <f t="shared" si="55"/>
        <v>1929478.5857458473</v>
      </c>
      <c r="AD20" s="101">
        <f t="shared" si="56"/>
        <v>0.19704869814631717</v>
      </c>
      <c r="AE20" s="234">
        <v>1631078.2398850336</v>
      </c>
      <c r="AF20" s="101">
        <f t="shared" si="57"/>
        <v>0.16657445494265136</v>
      </c>
      <c r="AG20" s="234">
        <v>1159129.80235018</v>
      </c>
      <c r="AH20" s="101">
        <f t="shared" si="58"/>
        <v>0.11837655013279667</v>
      </c>
      <c r="AI20" s="234">
        <v>1115851.4176442102</v>
      </c>
      <c r="AJ20" s="101">
        <f t="shared" si="59"/>
        <v>0.1139567294479818</v>
      </c>
      <c r="AK20" s="234">
        <v>709174.6125735708</v>
      </c>
      <c r="AL20" s="101">
        <f t="shared" si="60"/>
        <v>7.2424713701615517E-2</v>
      </c>
    </row>
    <row r="21" spans="2:38" ht="14.25">
      <c r="B21" s="98"/>
      <c r="C21" s="98"/>
      <c r="D21" s="311">
        <f t="shared" si="21"/>
        <v>46154</v>
      </c>
      <c r="E21" s="311" t="s">
        <v>461</v>
      </c>
      <c r="F21" s="228">
        <f t="shared" si="20"/>
        <v>10338214.999999998</v>
      </c>
      <c r="G21" s="309">
        <f>SUM(F21:F27)</f>
        <v>63943795.999999993</v>
      </c>
      <c r="H21" s="333"/>
      <c r="I21" s="234">
        <v>755917.6809040556</v>
      </c>
      <c r="J21" s="101">
        <f t="shared" si="43"/>
        <v>7.3118781231001267E-2</v>
      </c>
      <c r="K21" s="234">
        <v>893505.61368953239</v>
      </c>
      <c r="L21" s="101">
        <f t="shared" si="44"/>
        <v>8.6427455193138519E-2</v>
      </c>
      <c r="M21" s="227">
        <f t="shared" si="45"/>
        <v>1649423.294593588</v>
      </c>
      <c r="N21" s="101">
        <f t="shared" si="46"/>
        <v>0.15954623642413979</v>
      </c>
      <c r="O21" s="234">
        <v>155823.967490126</v>
      </c>
      <c r="P21" s="101">
        <f t="shared" si="47"/>
        <v>1.5072618192804661E-2</v>
      </c>
      <c r="Q21" s="234">
        <v>15847.206647994484</v>
      </c>
      <c r="R21" s="101">
        <f t="shared" si="48"/>
        <v>1.5328764828352367E-3</v>
      </c>
      <c r="S21" s="227">
        <f t="shared" si="49"/>
        <v>171671.17413812049</v>
      </c>
      <c r="T21" s="101">
        <f t="shared" si="50"/>
        <v>1.6605494675639897E-2</v>
      </c>
      <c r="U21" s="234">
        <v>1108891.260196259</v>
      </c>
      <c r="V21" s="101">
        <f t="shared" si="51"/>
        <v>0.10726138508400718</v>
      </c>
      <c r="W21" s="234">
        <v>181776.27037398395</v>
      </c>
      <c r="X21" s="101">
        <f t="shared" si="52"/>
        <v>1.7582945447931195E-2</v>
      </c>
      <c r="Y21" s="234">
        <v>878385.24664260284</v>
      </c>
      <c r="Z21" s="101">
        <f t="shared" si="53"/>
        <v>8.4964884812571903E-2</v>
      </c>
      <c r="AA21" s="234">
        <v>1226019.6852001746</v>
      </c>
      <c r="AB21" s="101">
        <f t="shared" si="54"/>
        <v>0.11859104160632902</v>
      </c>
      <c r="AC21" s="227">
        <f t="shared" si="55"/>
        <v>2104404.9318427774</v>
      </c>
      <c r="AD21" s="101">
        <f t="shared" si="56"/>
        <v>0.20355592641890091</v>
      </c>
      <c r="AE21" s="234">
        <v>1710943.3814809257</v>
      </c>
      <c r="AF21" s="101">
        <f t="shared" si="57"/>
        <v>0.16549698197231591</v>
      </c>
      <c r="AG21" s="234">
        <v>1017295.1661008192</v>
      </c>
      <c r="AH21" s="101">
        <f t="shared" si="58"/>
        <v>9.8401432558794674E-2</v>
      </c>
      <c r="AI21" s="234">
        <v>996100.20923241624</v>
      </c>
      <c r="AJ21" s="101">
        <f t="shared" si="59"/>
        <v>9.6351276234090358E-2</v>
      </c>
      <c r="AK21" s="234">
        <v>1397709.3120411083</v>
      </c>
      <c r="AL21" s="101">
        <f t="shared" si="60"/>
        <v>0.1351983211841801</v>
      </c>
    </row>
    <row r="22" spans="2:38" ht="14.25">
      <c r="B22" s="98"/>
      <c r="C22" s="98"/>
      <c r="D22" s="311">
        <f t="shared" si="21"/>
        <v>46155</v>
      </c>
      <c r="E22" s="311" t="s">
        <v>462</v>
      </c>
      <c r="F22" s="228">
        <f t="shared" si="20"/>
        <v>9489108.9999999981</v>
      </c>
      <c r="G22" s="309"/>
      <c r="H22" s="333"/>
      <c r="I22" s="234">
        <v>741561.45723455469</v>
      </c>
      <c r="J22" s="101">
        <f t="shared" si="43"/>
        <v>7.8148692067353726E-2</v>
      </c>
      <c r="K22" s="234">
        <v>886971.68055781187</v>
      </c>
      <c r="L22" s="101">
        <f t="shared" si="44"/>
        <v>9.3472599014070984E-2</v>
      </c>
      <c r="M22" s="227">
        <f t="shared" si="45"/>
        <v>1628533.1377923666</v>
      </c>
      <c r="N22" s="101">
        <f t="shared" si="46"/>
        <v>0.17162129108142471</v>
      </c>
      <c r="O22" s="234">
        <v>160927.69370798356</v>
      </c>
      <c r="P22" s="101">
        <f t="shared" si="47"/>
        <v>1.695919961589477E-2</v>
      </c>
      <c r="Q22" s="234">
        <v>15746.190280128016</v>
      </c>
      <c r="R22" s="101">
        <f t="shared" si="48"/>
        <v>1.659396080298795E-3</v>
      </c>
      <c r="S22" s="227">
        <f t="shared" si="49"/>
        <v>176673.88398811157</v>
      </c>
      <c r="T22" s="101">
        <f t="shared" si="50"/>
        <v>1.8618595696193563E-2</v>
      </c>
      <c r="U22" s="234">
        <v>1019396.9466459607</v>
      </c>
      <c r="V22" s="101">
        <f t="shared" si="51"/>
        <v>0.1074280995872174</v>
      </c>
      <c r="W22" s="234">
        <v>184177.20582325035</v>
      </c>
      <c r="X22" s="101">
        <f t="shared" si="52"/>
        <v>1.9409325556619741E-2</v>
      </c>
      <c r="Y22" s="234">
        <v>797268.51418401313</v>
      </c>
      <c r="Z22" s="101">
        <f t="shared" si="53"/>
        <v>8.4019323013784883E-2</v>
      </c>
      <c r="AA22" s="234">
        <v>1062507.3965131375</v>
      </c>
      <c r="AB22" s="101">
        <f t="shared" si="54"/>
        <v>0.11197125004182561</v>
      </c>
      <c r="AC22" s="227">
        <f t="shared" si="55"/>
        <v>1859775.9106971505</v>
      </c>
      <c r="AD22" s="101">
        <f t="shared" si="56"/>
        <v>0.19599057305561049</v>
      </c>
      <c r="AE22" s="234">
        <v>1626664.3977459637</v>
      </c>
      <c r="AF22" s="101">
        <f t="shared" si="57"/>
        <v>0.17142435583214019</v>
      </c>
      <c r="AG22" s="234">
        <v>1047211.1913261812</v>
      </c>
      <c r="AH22" s="101">
        <f t="shared" si="58"/>
        <v>0.11035927517812066</v>
      </c>
      <c r="AI22" s="234">
        <v>1018045.3860407377</v>
      </c>
      <c r="AJ22" s="101">
        <f t="shared" si="59"/>
        <v>0.1072856667618359</v>
      </c>
      <c r="AK22" s="234">
        <v>928630.9399402776</v>
      </c>
      <c r="AL22" s="101">
        <f t="shared" si="60"/>
        <v>9.7862817250837536E-2</v>
      </c>
    </row>
    <row r="23" spans="2:38" ht="14.25">
      <c r="B23" s="98"/>
      <c r="C23" s="98"/>
      <c r="D23" s="311">
        <f t="shared" si="21"/>
        <v>46156</v>
      </c>
      <c r="E23" s="311" t="s">
        <v>463</v>
      </c>
      <c r="F23" s="228">
        <f t="shared" si="20"/>
        <v>8697323</v>
      </c>
      <c r="G23" s="87"/>
      <c r="H23" s="333"/>
      <c r="I23" s="234">
        <v>723519.98376708338</v>
      </c>
      <c r="J23" s="101">
        <f t="shared" si="43"/>
        <v>8.3188813818583424E-2</v>
      </c>
      <c r="K23" s="234">
        <v>813387.92283156351</v>
      </c>
      <c r="L23" s="101">
        <f t="shared" si="44"/>
        <v>9.3521641409841108E-2</v>
      </c>
      <c r="M23" s="227">
        <f t="shared" si="45"/>
        <v>1536907.9065986469</v>
      </c>
      <c r="N23" s="101">
        <f t="shared" si="46"/>
        <v>0.17671045522842452</v>
      </c>
      <c r="O23" s="234">
        <v>158168.57570358325</v>
      </c>
      <c r="P23" s="101">
        <f t="shared" si="47"/>
        <v>1.8185891877717231E-2</v>
      </c>
      <c r="Q23" s="234">
        <v>13859.686775992721</v>
      </c>
      <c r="R23" s="101">
        <f t="shared" si="48"/>
        <v>1.593557785078549E-3</v>
      </c>
      <c r="S23" s="227">
        <f t="shared" si="49"/>
        <v>172028.26247957596</v>
      </c>
      <c r="T23" s="101">
        <f t="shared" si="50"/>
        <v>1.9779449662795778E-2</v>
      </c>
      <c r="U23" s="234">
        <v>975020.25910573185</v>
      </c>
      <c r="V23" s="101">
        <f t="shared" si="51"/>
        <v>0.11210578923028751</v>
      </c>
      <c r="W23" s="234">
        <v>165487.61600097505</v>
      </c>
      <c r="X23" s="101">
        <f t="shared" si="52"/>
        <v>1.9027419816531482E-2</v>
      </c>
      <c r="Y23" s="234">
        <v>741726.72279581032</v>
      </c>
      <c r="Z23" s="101">
        <f t="shared" si="53"/>
        <v>8.5282186575778587E-2</v>
      </c>
      <c r="AA23" s="234">
        <v>787022.14626930072</v>
      </c>
      <c r="AB23" s="101">
        <f t="shared" si="54"/>
        <v>9.0490159589255312E-2</v>
      </c>
      <c r="AC23" s="227">
        <f t="shared" si="55"/>
        <v>1528748.869065111</v>
      </c>
      <c r="AD23" s="101">
        <f t="shared" si="56"/>
        <v>0.1757723461650339</v>
      </c>
      <c r="AE23" s="234">
        <v>1514053.1034657576</v>
      </c>
      <c r="AF23" s="101">
        <f t="shared" si="57"/>
        <v>0.17408265778628176</v>
      </c>
      <c r="AG23" s="234">
        <v>989601.53907555155</v>
      </c>
      <c r="AH23" s="101">
        <f t="shared" si="58"/>
        <v>0.113782314290909</v>
      </c>
      <c r="AI23" s="234">
        <v>941801.11762333894</v>
      </c>
      <c r="AJ23" s="101">
        <f t="shared" si="59"/>
        <v>0.10828632185137185</v>
      </c>
      <c r="AK23" s="234">
        <v>873674.32658531074</v>
      </c>
      <c r="AL23" s="101">
        <f t="shared" si="60"/>
        <v>0.10045324596836415</v>
      </c>
    </row>
    <row r="24" spans="2:38" ht="14.25">
      <c r="B24" s="98"/>
      <c r="C24" s="98"/>
      <c r="D24" s="311">
        <f t="shared" si="21"/>
        <v>46157</v>
      </c>
      <c r="E24" s="311" t="s">
        <v>464</v>
      </c>
      <c r="F24" s="228">
        <f t="shared" si="20"/>
        <v>7747012.9999999991</v>
      </c>
      <c r="G24" s="309"/>
      <c r="H24" s="333"/>
      <c r="I24" s="234">
        <v>619431.84362458915</v>
      </c>
      <c r="J24" s="101">
        <f t="shared" si="43"/>
        <v>7.995750667058249E-2</v>
      </c>
      <c r="K24" s="234">
        <v>743331.70487720717</v>
      </c>
      <c r="L24" s="101">
        <f t="shared" si="44"/>
        <v>9.59507496472779E-2</v>
      </c>
      <c r="M24" s="227">
        <f t="shared" si="45"/>
        <v>1362763.5485017963</v>
      </c>
      <c r="N24" s="101">
        <f t="shared" si="46"/>
        <v>0.17590825631786039</v>
      </c>
      <c r="O24" s="234">
        <v>128815.30768129948</v>
      </c>
      <c r="P24" s="101">
        <f t="shared" si="47"/>
        <v>1.6627738675706299E-2</v>
      </c>
      <c r="Q24" s="234">
        <v>11541.369993682692</v>
      </c>
      <c r="R24" s="101">
        <f t="shared" si="48"/>
        <v>1.4897832227314829E-3</v>
      </c>
      <c r="S24" s="227">
        <f t="shared" si="49"/>
        <v>140356.67767498217</v>
      </c>
      <c r="T24" s="101">
        <f t="shared" si="50"/>
        <v>1.8117521898437784E-2</v>
      </c>
      <c r="U24" s="234">
        <v>861988.6900672334</v>
      </c>
      <c r="V24" s="101">
        <f t="shared" si="51"/>
        <v>0.11126723165008676</v>
      </c>
      <c r="W24" s="234">
        <v>115144.57454408445</v>
      </c>
      <c r="X24" s="101">
        <f t="shared" si="52"/>
        <v>1.4863092981008869E-2</v>
      </c>
      <c r="Y24" s="234">
        <v>680257.00307410362</v>
      </c>
      <c r="Z24" s="101">
        <f t="shared" si="53"/>
        <v>8.7808940436024011E-2</v>
      </c>
      <c r="AA24" s="234">
        <v>848637.38960713905</v>
      </c>
      <c r="AB24" s="101">
        <f t="shared" si="54"/>
        <v>0.10954381896701854</v>
      </c>
      <c r="AC24" s="227">
        <f t="shared" si="55"/>
        <v>1528894.3926812427</v>
      </c>
      <c r="AD24" s="101">
        <f t="shared" si="56"/>
        <v>0.19735275940304256</v>
      </c>
      <c r="AE24" s="234">
        <v>1234623.6626187912</v>
      </c>
      <c r="AF24" s="101">
        <f t="shared" si="57"/>
        <v>0.15936770244464432</v>
      </c>
      <c r="AG24" s="234">
        <v>836619.07542308292</v>
      </c>
      <c r="AH24" s="101">
        <f t="shared" si="58"/>
        <v>0.10799247083012292</v>
      </c>
      <c r="AI24" s="234">
        <v>918199.91296146263</v>
      </c>
      <c r="AJ24" s="101">
        <f t="shared" si="59"/>
        <v>0.11852308921663908</v>
      </c>
      <c r="AK24" s="234">
        <v>748422.46552732389</v>
      </c>
      <c r="AL24" s="101">
        <f t="shared" si="60"/>
        <v>9.6607875258157436E-2</v>
      </c>
    </row>
    <row r="25" spans="2:38" ht="14.25">
      <c r="B25" s="98"/>
      <c r="C25" s="98"/>
      <c r="D25" s="311">
        <f t="shared" si="21"/>
        <v>46158</v>
      </c>
      <c r="E25" s="311" t="s">
        <v>465</v>
      </c>
      <c r="F25" s="228">
        <f t="shared" si="20"/>
        <v>8066990</v>
      </c>
      <c r="G25" s="309"/>
      <c r="H25" s="333"/>
      <c r="I25" s="234">
        <v>606947.61339113757</v>
      </c>
      <c r="J25" s="101">
        <f t="shared" si="43"/>
        <v>7.5238423921578881E-2</v>
      </c>
      <c r="K25" s="234">
        <v>842809.48816282267</v>
      </c>
      <c r="L25" s="101">
        <f t="shared" si="44"/>
        <v>0.10447632737400477</v>
      </c>
      <c r="M25" s="227">
        <f t="shared" si="45"/>
        <v>1449757.1015539602</v>
      </c>
      <c r="N25" s="101">
        <f t="shared" si="46"/>
        <v>0.17971475129558365</v>
      </c>
      <c r="O25" s="234">
        <v>130627.90274483411</v>
      </c>
      <c r="P25" s="101">
        <f t="shared" si="47"/>
        <v>1.6192892608622809E-2</v>
      </c>
      <c r="Q25" s="234">
        <v>12086.157562296316</v>
      </c>
      <c r="R25" s="101">
        <f t="shared" si="48"/>
        <v>1.4982239425481271E-3</v>
      </c>
      <c r="S25" s="227">
        <f t="shared" si="49"/>
        <v>142714.06030713042</v>
      </c>
      <c r="T25" s="101">
        <f t="shared" si="50"/>
        <v>1.7691116551170935E-2</v>
      </c>
      <c r="U25" s="234">
        <v>937375.86277051386</v>
      </c>
      <c r="V25" s="101">
        <f t="shared" si="51"/>
        <v>0.11619896179002501</v>
      </c>
      <c r="W25" s="234">
        <v>77822.072366451248</v>
      </c>
      <c r="X25" s="101">
        <f t="shared" si="52"/>
        <v>9.6469776665709574E-3</v>
      </c>
      <c r="Y25" s="234">
        <v>713787.72869103367</v>
      </c>
      <c r="Z25" s="101">
        <f t="shared" si="53"/>
        <v>8.8482535455111963E-2</v>
      </c>
      <c r="AA25" s="234">
        <v>937469.6142581047</v>
      </c>
      <c r="AB25" s="101">
        <f t="shared" si="54"/>
        <v>0.11621058340943831</v>
      </c>
      <c r="AC25" s="227">
        <f t="shared" si="55"/>
        <v>1651257.3429491385</v>
      </c>
      <c r="AD25" s="101">
        <f t="shared" si="56"/>
        <v>0.20469311886455027</v>
      </c>
      <c r="AE25" s="234">
        <v>1370478.5625779631</v>
      </c>
      <c r="AF25" s="101">
        <f t="shared" si="57"/>
        <v>0.1698872271538657</v>
      </c>
      <c r="AG25" s="234">
        <v>861376.06487309688</v>
      </c>
      <c r="AH25" s="101">
        <f t="shared" si="58"/>
        <v>0.1067778768627576</v>
      </c>
      <c r="AI25" s="234">
        <v>888853.01583814784</v>
      </c>
      <c r="AJ25" s="101">
        <f t="shared" si="59"/>
        <v>0.11018397392808815</v>
      </c>
      <c r="AK25" s="234">
        <v>687355.91676359798</v>
      </c>
      <c r="AL25" s="101">
        <f t="shared" si="60"/>
        <v>8.5205995887387739E-2</v>
      </c>
    </row>
    <row r="26" spans="2:38" ht="14.25">
      <c r="B26" s="98"/>
      <c r="C26" s="98"/>
      <c r="D26" s="311">
        <f t="shared" si="21"/>
        <v>46159</v>
      </c>
      <c r="E26" s="311" t="s">
        <v>466</v>
      </c>
      <c r="F26" s="228">
        <f t="shared" si="20"/>
        <v>9834074.0000000019</v>
      </c>
      <c r="G26" s="309"/>
      <c r="H26" s="333"/>
      <c r="I26" s="234">
        <v>765366.08879907092</v>
      </c>
      <c r="J26" s="101">
        <f t="shared" si="43"/>
        <v>7.7827977377338306E-2</v>
      </c>
      <c r="K26" s="234">
        <v>922926.5965827076</v>
      </c>
      <c r="L26" s="101">
        <f t="shared" si="44"/>
        <v>9.3849873062039943E-2</v>
      </c>
      <c r="M26" s="227">
        <f t="shared" si="45"/>
        <v>1688292.6853817785</v>
      </c>
      <c r="N26" s="101">
        <f t="shared" si="46"/>
        <v>0.17167785043937825</v>
      </c>
      <c r="O26" s="234">
        <v>162741.26613283812</v>
      </c>
      <c r="P26" s="101">
        <f t="shared" si="47"/>
        <v>1.654871278504088E-2</v>
      </c>
      <c r="Q26" s="234">
        <v>15034.969489250936</v>
      </c>
      <c r="R26" s="101">
        <f t="shared" si="48"/>
        <v>1.5288647908538143E-3</v>
      </c>
      <c r="S26" s="227">
        <f t="shared" si="49"/>
        <v>177776.23562208907</v>
      </c>
      <c r="T26" s="101">
        <f t="shared" si="50"/>
        <v>1.8077577575894694E-2</v>
      </c>
      <c r="U26" s="234">
        <v>1154246.5555551087</v>
      </c>
      <c r="V26" s="101">
        <f t="shared" si="51"/>
        <v>0.11737216493948575</v>
      </c>
      <c r="W26" s="234">
        <v>100186.85484301006</v>
      </c>
      <c r="X26" s="101">
        <f t="shared" si="52"/>
        <v>1.0187726352578804E-2</v>
      </c>
      <c r="Y26" s="234">
        <v>804464.54359039397</v>
      </c>
      <c r="Z26" s="101">
        <f t="shared" si="53"/>
        <v>8.1803791957472949E-2</v>
      </c>
      <c r="AA26" s="234">
        <v>1016720.6491429667</v>
      </c>
      <c r="AB26" s="101">
        <f t="shared" si="54"/>
        <v>0.10338753289256991</v>
      </c>
      <c r="AC26" s="227">
        <f t="shared" si="55"/>
        <v>1821185.1927333607</v>
      </c>
      <c r="AD26" s="101">
        <f t="shared" si="56"/>
        <v>0.18519132485004286</v>
      </c>
      <c r="AE26" s="234">
        <v>1785560.6595027107</v>
      </c>
      <c r="AF26" s="101">
        <f t="shared" si="57"/>
        <v>0.18156876382084478</v>
      </c>
      <c r="AG26" s="234">
        <v>1066920.3697879212</v>
      </c>
      <c r="AH26" s="101">
        <f t="shared" si="58"/>
        <v>0.10849220473507938</v>
      </c>
      <c r="AI26" s="234">
        <v>1117070.5078495205</v>
      </c>
      <c r="AJ26" s="101">
        <f t="shared" si="59"/>
        <v>0.11359183466074389</v>
      </c>
      <c r="AK26" s="234">
        <v>922834.93872450024</v>
      </c>
      <c r="AL26" s="101">
        <f t="shared" si="60"/>
        <v>9.3840552625951368E-2</v>
      </c>
    </row>
    <row r="27" spans="2:38" ht="14.25">
      <c r="B27" s="98"/>
      <c r="C27" s="98"/>
      <c r="D27" s="311">
        <f t="shared" si="21"/>
        <v>46160</v>
      </c>
      <c r="E27" s="311" t="s">
        <v>460</v>
      </c>
      <c r="F27" s="228">
        <f t="shared" si="20"/>
        <v>9771071.9999999981</v>
      </c>
      <c r="G27" s="87"/>
      <c r="H27" s="333"/>
      <c r="I27" s="234">
        <v>756696.51388844487</v>
      </c>
      <c r="J27" s="101">
        <f t="shared" si="43"/>
        <v>7.7442527686669899E-2</v>
      </c>
      <c r="K27" s="234">
        <v>919753.79184115794</v>
      </c>
      <c r="L27" s="101">
        <f t="shared" si="44"/>
        <v>9.4130284971921011E-2</v>
      </c>
      <c r="M27" s="227">
        <f t="shared" si="45"/>
        <v>1676450.3057296029</v>
      </c>
      <c r="N27" s="101">
        <f t="shared" si="46"/>
        <v>0.17157281265859092</v>
      </c>
      <c r="O27" s="234">
        <v>160435.77516823655</v>
      </c>
      <c r="P27" s="101">
        <f t="shared" si="47"/>
        <v>1.6419465046234087E-2</v>
      </c>
      <c r="Q27" s="234">
        <v>15134.884685155284</v>
      </c>
      <c r="R27" s="101">
        <f t="shared" si="48"/>
        <v>1.5489482305682822E-3</v>
      </c>
      <c r="S27" s="227">
        <f t="shared" si="49"/>
        <v>175570.65985339184</v>
      </c>
      <c r="T27" s="101">
        <f t="shared" si="50"/>
        <v>1.7968413276802368E-2</v>
      </c>
      <c r="U27" s="234">
        <v>1165451.7025618129</v>
      </c>
      <c r="V27" s="101">
        <f t="shared" si="51"/>
        <v>0.11927572558689703</v>
      </c>
      <c r="W27" s="234">
        <v>116567.29947992822</v>
      </c>
      <c r="X27" s="101">
        <f t="shared" si="52"/>
        <v>1.1929837327974683E-2</v>
      </c>
      <c r="Y27" s="234">
        <v>792072.13745221007</v>
      </c>
      <c r="Z27" s="101">
        <f t="shared" si="53"/>
        <v>8.1062972154151577E-2</v>
      </c>
      <c r="AA27" s="234">
        <v>1256918.0685157464</v>
      </c>
      <c r="AB27" s="101">
        <f t="shared" si="54"/>
        <v>0.12863666018587794</v>
      </c>
      <c r="AC27" s="227">
        <f t="shared" si="55"/>
        <v>2048990.2059679565</v>
      </c>
      <c r="AD27" s="101">
        <f t="shared" si="56"/>
        <v>0.2096996323400295</v>
      </c>
      <c r="AE27" s="234">
        <v>1679305.0921255776</v>
      </c>
      <c r="AF27" s="101">
        <f t="shared" si="57"/>
        <v>0.17186497982264157</v>
      </c>
      <c r="AG27" s="234">
        <v>1063847.0659292249</v>
      </c>
      <c r="AH27" s="101">
        <f t="shared" si="58"/>
        <v>0.10887721080442608</v>
      </c>
      <c r="AI27" s="234">
        <v>1103368.6153188883</v>
      </c>
      <c r="AJ27" s="101">
        <f t="shared" si="59"/>
        <v>0.112921961410057</v>
      </c>
      <c r="AK27" s="234">
        <v>741521.053033615</v>
      </c>
      <c r="AL27" s="101">
        <f t="shared" si="60"/>
        <v>7.5889426772580856E-2</v>
      </c>
    </row>
    <row r="28" spans="2:38" ht="14.25">
      <c r="B28" s="98"/>
      <c r="C28" s="98"/>
      <c r="D28" s="383">
        <f t="shared" si="21"/>
        <v>46161</v>
      </c>
      <c r="E28" s="383" t="s">
        <v>461</v>
      </c>
      <c r="F28" s="228">
        <f t="shared" si="20"/>
        <v>0</v>
      </c>
      <c r="G28" s="309">
        <f>SUM(F28:F34)</f>
        <v>0</v>
      </c>
      <c r="H28" s="333"/>
      <c r="I28" s="234"/>
      <c r="J28" s="101" t="e">
        <f t="shared" si="43"/>
        <v>#DIV/0!</v>
      </c>
      <c r="K28" s="234"/>
      <c r="L28" s="101" t="e">
        <f t="shared" si="44"/>
        <v>#DIV/0!</v>
      </c>
      <c r="M28" s="227">
        <f t="shared" si="45"/>
        <v>0</v>
      </c>
      <c r="N28" s="101" t="e">
        <f t="shared" si="46"/>
        <v>#DIV/0!</v>
      </c>
      <c r="O28" s="234"/>
      <c r="P28" s="101" t="e">
        <f t="shared" si="47"/>
        <v>#DIV/0!</v>
      </c>
      <c r="Q28" s="234"/>
      <c r="R28" s="101" t="e">
        <f t="shared" si="48"/>
        <v>#DIV/0!</v>
      </c>
      <c r="S28" s="227">
        <f t="shared" si="49"/>
        <v>0</v>
      </c>
      <c r="T28" s="101" t="e">
        <f t="shared" si="50"/>
        <v>#DIV/0!</v>
      </c>
      <c r="U28" s="234"/>
      <c r="V28" s="101" t="e">
        <f t="shared" si="51"/>
        <v>#DIV/0!</v>
      </c>
      <c r="W28" s="234"/>
      <c r="X28" s="101" t="e">
        <f t="shared" si="52"/>
        <v>#DIV/0!</v>
      </c>
      <c r="Y28" s="234"/>
      <c r="Z28" s="101" t="e">
        <f t="shared" si="53"/>
        <v>#DIV/0!</v>
      </c>
      <c r="AA28" s="234"/>
      <c r="AB28" s="101" t="e">
        <f t="shared" si="54"/>
        <v>#DIV/0!</v>
      </c>
      <c r="AC28" s="227">
        <f t="shared" si="55"/>
        <v>0</v>
      </c>
      <c r="AD28" s="101" t="e">
        <f t="shared" si="56"/>
        <v>#DIV/0!</v>
      </c>
      <c r="AE28" s="234"/>
      <c r="AF28" s="101" t="e">
        <f t="shared" si="57"/>
        <v>#DIV/0!</v>
      </c>
      <c r="AG28" s="234"/>
      <c r="AH28" s="101" t="e">
        <f t="shared" si="58"/>
        <v>#DIV/0!</v>
      </c>
      <c r="AI28" s="234"/>
      <c r="AJ28" s="101" t="e">
        <f t="shared" si="59"/>
        <v>#DIV/0!</v>
      </c>
      <c r="AK28" s="234"/>
      <c r="AL28" s="101" t="e">
        <f t="shared" si="60"/>
        <v>#DIV/0!</v>
      </c>
    </row>
    <row r="29" spans="2:38" ht="14.25">
      <c r="B29" s="98"/>
      <c r="C29" s="98"/>
      <c r="D29" s="383">
        <f t="shared" si="21"/>
        <v>46162</v>
      </c>
      <c r="E29" s="383" t="s">
        <v>462</v>
      </c>
      <c r="F29" s="228">
        <f t="shared" si="20"/>
        <v>0</v>
      </c>
      <c r="G29" s="309"/>
      <c r="H29" s="333"/>
      <c r="I29" s="234"/>
      <c r="J29" s="101" t="e">
        <f t="shared" si="43"/>
        <v>#DIV/0!</v>
      </c>
      <c r="K29" s="234"/>
      <c r="L29" s="101" t="e">
        <f t="shared" si="44"/>
        <v>#DIV/0!</v>
      </c>
      <c r="M29" s="227">
        <f t="shared" si="45"/>
        <v>0</v>
      </c>
      <c r="N29" s="101" t="e">
        <f t="shared" si="46"/>
        <v>#DIV/0!</v>
      </c>
      <c r="O29" s="234"/>
      <c r="P29" s="101" t="e">
        <f t="shared" si="47"/>
        <v>#DIV/0!</v>
      </c>
      <c r="Q29" s="234"/>
      <c r="R29" s="101" t="e">
        <f t="shared" si="48"/>
        <v>#DIV/0!</v>
      </c>
      <c r="S29" s="227">
        <f t="shared" si="49"/>
        <v>0</v>
      </c>
      <c r="T29" s="101" t="e">
        <f t="shared" si="50"/>
        <v>#DIV/0!</v>
      </c>
      <c r="U29" s="234"/>
      <c r="V29" s="101" t="e">
        <f t="shared" si="51"/>
        <v>#DIV/0!</v>
      </c>
      <c r="W29" s="234"/>
      <c r="X29" s="101" t="e">
        <f t="shared" si="52"/>
        <v>#DIV/0!</v>
      </c>
      <c r="Y29" s="234"/>
      <c r="Z29" s="101" t="e">
        <f t="shared" si="53"/>
        <v>#DIV/0!</v>
      </c>
      <c r="AA29" s="234"/>
      <c r="AB29" s="101" t="e">
        <f t="shared" si="54"/>
        <v>#DIV/0!</v>
      </c>
      <c r="AC29" s="227">
        <f t="shared" si="55"/>
        <v>0</v>
      </c>
      <c r="AD29" s="101" t="e">
        <f t="shared" si="56"/>
        <v>#DIV/0!</v>
      </c>
      <c r="AE29" s="234"/>
      <c r="AF29" s="101" t="e">
        <f t="shared" si="57"/>
        <v>#DIV/0!</v>
      </c>
      <c r="AG29" s="234"/>
      <c r="AH29" s="101" t="e">
        <f t="shared" si="58"/>
        <v>#DIV/0!</v>
      </c>
      <c r="AI29" s="234"/>
      <c r="AJ29" s="101" t="e">
        <f t="shared" si="59"/>
        <v>#DIV/0!</v>
      </c>
      <c r="AK29" s="234"/>
      <c r="AL29" s="101" t="e">
        <f t="shared" si="60"/>
        <v>#DIV/0!</v>
      </c>
    </row>
    <row r="30" spans="2:38" ht="14.25">
      <c r="B30" s="98"/>
      <c r="C30" s="98"/>
      <c r="D30" s="383">
        <f t="shared" si="21"/>
        <v>46163</v>
      </c>
      <c r="E30" s="383" t="s">
        <v>463</v>
      </c>
      <c r="F30" s="228">
        <f t="shared" si="20"/>
        <v>0</v>
      </c>
      <c r="G30" s="87"/>
      <c r="H30" s="333"/>
      <c r="I30" s="234"/>
      <c r="J30" s="101" t="e">
        <f t="shared" si="43"/>
        <v>#DIV/0!</v>
      </c>
      <c r="K30" s="234"/>
      <c r="L30" s="101" t="e">
        <f t="shared" si="44"/>
        <v>#DIV/0!</v>
      </c>
      <c r="M30" s="227">
        <f t="shared" si="45"/>
        <v>0</v>
      </c>
      <c r="N30" s="101" t="e">
        <f t="shared" si="46"/>
        <v>#DIV/0!</v>
      </c>
      <c r="O30" s="234"/>
      <c r="P30" s="101" t="e">
        <f t="shared" si="47"/>
        <v>#DIV/0!</v>
      </c>
      <c r="Q30" s="234"/>
      <c r="R30" s="101" t="e">
        <f t="shared" si="48"/>
        <v>#DIV/0!</v>
      </c>
      <c r="S30" s="227">
        <f t="shared" si="49"/>
        <v>0</v>
      </c>
      <c r="T30" s="101" t="e">
        <f t="shared" si="50"/>
        <v>#DIV/0!</v>
      </c>
      <c r="U30" s="234"/>
      <c r="V30" s="101" t="e">
        <f t="shared" si="51"/>
        <v>#DIV/0!</v>
      </c>
      <c r="W30" s="234"/>
      <c r="X30" s="101" t="e">
        <f t="shared" si="52"/>
        <v>#DIV/0!</v>
      </c>
      <c r="Y30" s="234"/>
      <c r="Z30" s="101" t="e">
        <f t="shared" si="53"/>
        <v>#DIV/0!</v>
      </c>
      <c r="AA30" s="234"/>
      <c r="AB30" s="101" t="e">
        <f t="shared" si="54"/>
        <v>#DIV/0!</v>
      </c>
      <c r="AC30" s="227">
        <f t="shared" si="55"/>
        <v>0</v>
      </c>
      <c r="AD30" s="101" t="e">
        <f t="shared" si="56"/>
        <v>#DIV/0!</v>
      </c>
      <c r="AE30" s="234"/>
      <c r="AF30" s="101" t="e">
        <f t="shared" si="57"/>
        <v>#DIV/0!</v>
      </c>
      <c r="AG30" s="234"/>
      <c r="AH30" s="101" t="e">
        <f t="shared" si="58"/>
        <v>#DIV/0!</v>
      </c>
      <c r="AI30" s="234"/>
      <c r="AJ30" s="101" t="e">
        <f t="shared" si="59"/>
        <v>#DIV/0!</v>
      </c>
      <c r="AK30" s="234"/>
      <c r="AL30" s="101" t="e">
        <f t="shared" si="60"/>
        <v>#DIV/0!</v>
      </c>
    </row>
    <row r="31" spans="2:38" ht="14.25">
      <c r="B31" s="98"/>
      <c r="C31" s="98"/>
      <c r="D31" s="383">
        <f t="shared" si="21"/>
        <v>46164</v>
      </c>
      <c r="E31" s="383" t="s">
        <v>464</v>
      </c>
      <c r="F31" s="228">
        <f t="shared" si="20"/>
        <v>0</v>
      </c>
      <c r="G31" s="309"/>
      <c r="H31" s="333"/>
      <c r="I31" s="234"/>
      <c r="J31" s="101" t="e">
        <f t="shared" si="43"/>
        <v>#DIV/0!</v>
      </c>
      <c r="K31" s="234"/>
      <c r="L31" s="101" t="e">
        <f t="shared" si="44"/>
        <v>#DIV/0!</v>
      </c>
      <c r="M31" s="227">
        <f t="shared" si="45"/>
        <v>0</v>
      </c>
      <c r="N31" s="101" t="e">
        <f t="shared" si="46"/>
        <v>#DIV/0!</v>
      </c>
      <c r="O31" s="234"/>
      <c r="P31" s="101" t="e">
        <f t="shared" si="47"/>
        <v>#DIV/0!</v>
      </c>
      <c r="Q31" s="234"/>
      <c r="R31" s="101" t="e">
        <f t="shared" si="48"/>
        <v>#DIV/0!</v>
      </c>
      <c r="S31" s="227">
        <f t="shared" si="49"/>
        <v>0</v>
      </c>
      <c r="T31" s="101" t="e">
        <f t="shared" si="50"/>
        <v>#DIV/0!</v>
      </c>
      <c r="U31" s="234"/>
      <c r="V31" s="101" t="e">
        <f t="shared" si="51"/>
        <v>#DIV/0!</v>
      </c>
      <c r="W31" s="234"/>
      <c r="X31" s="101" t="e">
        <f t="shared" si="52"/>
        <v>#DIV/0!</v>
      </c>
      <c r="Y31" s="234"/>
      <c r="Z31" s="101" t="e">
        <f t="shared" si="53"/>
        <v>#DIV/0!</v>
      </c>
      <c r="AA31" s="234"/>
      <c r="AB31" s="101" t="e">
        <f t="shared" si="54"/>
        <v>#DIV/0!</v>
      </c>
      <c r="AC31" s="227">
        <f t="shared" si="55"/>
        <v>0</v>
      </c>
      <c r="AD31" s="101" t="e">
        <f t="shared" si="56"/>
        <v>#DIV/0!</v>
      </c>
      <c r="AE31" s="234"/>
      <c r="AF31" s="101" t="e">
        <f t="shared" si="57"/>
        <v>#DIV/0!</v>
      </c>
      <c r="AG31" s="234"/>
      <c r="AH31" s="101" t="e">
        <f t="shared" si="58"/>
        <v>#DIV/0!</v>
      </c>
      <c r="AI31" s="234"/>
      <c r="AJ31" s="101" t="e">
        <f t="shared" si="59"/>
        <v>#DIV/0!</v>
      </c>
      <c r="AK31" s="234"/>
      <c r="AL31" s="101" t="e">
        <f t="shared" si="60"/>
        <v>#DIV/0!</v>
      </c>
    </row>
    <row r="32" spans="2:38" ht="14.25">
      <c r="B32" s="98"/>
      <c r="C32" s="98"/>
      <c r="D32" s="383">
        <f t="shared" si="21"/>
        <v>46165</v>
      </c>
      <c r="E32" s="383" t="s">
        <v>465</v>
      </c>
      <c r="F32" s="228">
        <f t="shared" si="20"/>
        <v>0</v>
      </c>
      <c r="G32" s="309"/>
      <c r="H32" s="333"/>
      <c r="I32" s="234"/>
      <c r="J32" s="101" t="e">
        <f t="shared" si="43"/>
        <v>#DIV/0!</v>
      </c>
      <c r="K32" s="234"/>
      <c r="L32" s="101" t="e">
        <f t="shared" si="44"/>
        <v>#DIV/0!</v>
      </c>
      <c r="M32" s="227">
        <f t="shared" si="45"/>
        <v>0</v>
      </c>
      <c r="N32" s="101" t="e">
        <f t="shared" si="46"/>
        <v>#DIV/0!</v>
      </c>
      <c r="O32" s="234"/>
      <c r="P32" s="101" t="e">
        <f t="shared" si="47"/>
        <v>#DIV/0!</v>
      </c>
      <c r="Q32" s="234"/>
      <c r="R32" s="101" t="e">
        <f t="shared" si="48"/>
        <v>#DIV/0!</v>
      </c>
      <c r="S32" s="227">
        <f t="shared" si="49"/>
        <v>0</v>
      </c>
      <c r="T32" s="101" t="e">
        <f t="shared" si="50"/>
        <v>#DIV/0!</v>
      </c>
      <c r="U32" s="234"/>
      <c r="V32" s="101" t="e">
        <f t="shared" si="51"/>
        <v>#DIV/0!</v>
      </c>
      <c r="W32" s="234"/>
      <c r="X32" s="101" t="e">
        <f t="shared" si="52"/>
        <v>#DIV/0!</v>
      </c>
      <c r="Y32" s="234"/>
      <c r="Z32" s="101" t="e">
        <f t="shared" si="53"/>
        <v>#DIV/0!</v>
      </c>
      <c r="AA32" s="234"/>
      <c r="AB32" s="101" t="e">
        <f t="shared" si="54"/>
        <v>#DIV/0!</v>
      </c>
      <c r="AC32" s="227">
        <f t="shared" si="55"/>
        <v>0</v>
      </c>
      <c r="AD32" s="101" t="e">
        <f t="shared" si="56"/>
        <v>#DIV/0!</v>
      </c>
      <c r="AE32" s="234"/>
      <c r="AF32" s="101" t="e">
        <f t="shared" si="57"/>
        <v>#DIV/0!</v>
      </c>
      <c r="AG32" s="234"/>
      <c r="AH32" s="101" t="e">
        <f t="shared" si="58"/>
        <v>#DIV/0!</v>
      </c>
      <c r="AI32" s="234"/>
      <c r="AJ32" s="101" t="e">
        <f t="shared" si="59"/>
        <v>#DIV/0!</v>
      </c>
      <c r="AK32" s="234"/>
      <c r="AL32" s="101" t="e">
        <f t="shared" si="60"/>
        <v>#DIV/0!</v>
      </c>
    </row>
    <row r="33" spans="2:38" ht="14.25">
      <c r="B33" s="98"/>
      <c r="C33" s="98"/>
      <c r="D33" s="383">
        <f t="shared" si="21"/>
        <v>46166</v>
      </c>
      <c r="E33" s="383" t="s">
        <v>466</v>
      </c>
      <c r="F33" s="228">
        <f t="shared" si="20"/>
        <v>0</v>
      </c>
      <c r="G33" s="309"/>
      <c r="H33" s="333"/>
      <c r="I33" s="234"/>
      <c r="J33" s="101" t="e">
        <f t="shared" si="43"/>
        <v>#DIV/0!</v>
      </c>
      <c r="K33" s="234"/>
      <c r="L33" s="101" t="e">
        <f t="shared" si="44"/>
        <v>#DIV/0!</v>
      </c>
      <c r="M33" s="227">
        <f t="shared" si="45"/>
        <v>0</v>
      </c>
      <c r="N33" s="101" t="e">
        <f t="shared" si="46"/>
        <v>#DIV/0!</v>
      </c>
      <c r="O33" s="234"/>
      <c r="P33" s="101" t="e">
        <f t="shared" si="47"/>
        <v>#DIV/0!</v>
      </c>
      <c r="Q33" s="234"/>
      <c r="R33" s="101" t="e">
        <f t="shared" si="48"/>
        <v>#DIV/0!</v>
      </c>
      <c r="S33" s="227">
        <f t="shared" si="49"/>
        <v>0</v>
      </c>
      <c r="T33" s="101" t="e">
        <f t="shared" si="50"/>
        <v>#DIV/0!</v>
      </c>
      <c r="U33" s="234"/>
      <c r="V33" s="101" t="e">
        <f t="shared" si="51"/>
        <v>#DIV/0!</v>
      </c>
      <c r="W33" s="234"/>
      <c r="X33" s="101" t="e">
        <f t="shared" si="52"/>
        <v>#DIV/0!</v>
      </c>
      <c r="Y33" s="234"/>
      <c r="Z33" s="101" t="e">
        <f t="shared" si="53"/>
        <v>#DIV/0!</v>
      </c>
      <c r="AA33" s="234"/>
      <c r="AB33" s="101" t="e">
        <f t="shared" si="54"/>
        <v>#DIV/0!</v>
      </c>
      <c r="AC33" s="227">
        <f t="shared" si="55"/>
        <v>0</v>
      </c>
      <c r="AD33" s="101" t="e">
        <f t="shared" si="56"/>
        <v>#DIV/0!</v>
      </c>
      <c r="AE33" s="234"/>
      <c r="AF33" s="101" t="e">
        <f t="shared" si="57"/>
        <v>#DIV/0!</v>
      </c>
      <c r="AG33" s="234"/>
      <c r="AH33" s="101" t="e">
        <f t="shared" si="58"/>
        <v>#DIV/0!</v>
      </c>
      <c r="AI33" s="234"/>
      <c r="AJ33" s="101" t="e">
        <f t="shared" si="59"/>
        <v>#DIV/0!</v>
      </c>
      <c r="AK33" s="234"/>
      <c r="AL33" s="101" t="e">
        <f t="shared" si="60"/>
        <v>#DIV/0!</v>
      </c>
    </row>
    <row r="34" spans="2:38" ht="14.25">
      <c r="B34" s="98"/>
      <c r="C34" s="98"/>
      <c r="D34" s="383">
        <f t="shared" si="21"/>
        <v>46167</v>
      </c>
      <c r="E34" s="383" t="s">
        <v>460</v>
      </c>
      <c r="F34" s="228">
        <f t="shared" si="20"/>
        <v>0</v>
      </c>
      <c r="G34" s="87"/>
      <c r="H34" s="333"/>
      <c r="I34" s="234"/>
      <c r="J34" s="101" t="e">
        <f t="shared" si="43"/>
        <v>#DIV/0!</v>
      </c>
      <c r="K34" s="234"/>
      <c r="L34" s="101" t="e">
        <f t="shared" si="44"/>
        <v>#DIV/0!</v>
      </c>
      <c r="M34" s="227">
        <f t="shared" si="45"/>
        <v>0</v>
      </c>
      <c r="N34" s="101" t="e">
        <f t="shared" si="46"/>
        <v>#DIV/0!</v>
      </c>
      <c r="O34" s="234"/>
      <c r="P34" s="101" t="e">
        <f t="shared" si="47"/>
        <v>#DIV/0!</v>
      </c>
      <c r="Q34" s="234"/>
      <c r="R34" s="101" t="e">
        <f t="shared" si="48"/>
        <v>#DIV/0!</v>
      </c>
      <c r="S34" s="227">
        <f t="shared" si="49"/>
        <v>0</v>
      </c>
      <c r="T34" s="101" t="e">
        <f t="shared" si="50"/>
        <v>#DIV/0!</v>
      </c>
      <c r="U34" s="234"/>
      <c r="V34" s="101" t="e">
        <f t="shared" si="51"/>
        <v>#DIV/0!</v>
      </c>
      <c r="W34" s="234"/>
      <c r="X34" s="101" t="e">
        <f t="shared" si="52"/>
        <v>#DIV/0!</v>
      </c>
      <c r="Y34" s="234"/>
      <c r="Z34" s="101" t="e">
        <f t="shared" si="53"/>
        <v>#DIV/0!</v>
      </c>
      <c r="AA34" s="234"/>
      <c r="AB34" s="101" t="e">
        <f t="shared" si="54"/>
        <v>#DIV/0!</v>
      </c>
      <c r="AC34" s="227">
        <f t="shared" si="55"/>
        <v>0</v>
      </c>
      <c r="AD34" s="101" t="e">
        <f t="shared" si="56"/>
        <v>#DIV/0!</v>
      </c>
      <c r="AE34" s="234"/>
      <c r="AF34" s="101" t="e">
        <f t="shared" si="57"/>
        <v>#DIV/0!</v>
      </c>
      <c r="AG34" s="234"/>
      <c r="AH34" s="101" t="e">
        <f t="shared" si="58"/>
        <v>#DIV/0!</v>
      </c>
      <c r="AI34" s="234"/>
      <c r="AJ34" s="101" t="e">
        <f t="shared" si="59"/>
        <v>#DIV/0!</v>
      </c>
      <c r="AK34" s="234"/>
      <c r="AL34" s="101" t="e">
        <f t="shared" si="60"/>
        <v>#DIV/0!</v>
      </c>
    </row>
    <row r="35" spans="2:38" ht="14.25">
      <c r="B35" s="98"/>
      <c r="C35" s="98"/>
      <c r="D35" s="311">
        <f t="shared" si="21"/>
        <v>46168</v>
      </c>
      <c r="E35" s="311" t="s">
        <v>461</v>
      </c>
      <c r="F35" s="228">
        <f t="shared" si="20"/>
        <v>0</v>
      </c>
      <c r="G35" s="309">
        <f>SUM(F35:F41)</f>
        <v>0</v>
      </c>
      <c r="H35" s="333"/>
      <c r="I35" s="234"/>
      <c r="J35" s="101" t="e">
        <f t="shared" si="43"/>
        <v>#DIV/0!</v>
      </c>
      <c r="K35" s="234"/>
      <c r="L35" s="101" t="e">
        <f t="shared" si="44"/>
        <v>#DIV/0!</v>
      </c>
      <c r="M35" s="227">
        <f t="shared" si="45"/>
        <v>0</v>
      </c>
      <c r="N35" s="101" t="e">
        <f t="shared" si="46"/>
        <v>#DIV/0!</v>
      </c>
      <c r="O35" s="234"/>
      <c r="P35" s="101" t="e">
        <f t="shared" si="47"/>
        <v>#DIV/0!</v>
      </c>
      <c r="Q35" s="234"/>
      <c r="R35" s="101" t="e">
        <f t="shared" si="48"/>
        <v>#DIV/0!</v>
      </c>
      <c r="S35" s="227">
        <f t="shared" si="49"/>
        <v>0</v>
      </c>
      <c r="T35" s="101" t="e">
        <f t="shared" si="50"/>
        <v>#DIV/0!</v>
      </c>
      <c r="U35" s="234"/>
      <c r="V35" s="101" t="e">
        <f t="shared" si="51"/>
        <v>#DIV/0!</v>
      </c>
      <c r="W35" s="234"/>
      <c r="X35" s="101" t="e">
        <f t="shared" si="52"/>
        <v>#DIV/0!</v>
      </c>
      <c r="Y35" s="234"/>
      <c r="Z35" s="101" t="e">
        <f t="shared" si="53"/>
        <v>#DIV/0!</v>
      </c>
      <c r="AA35" s="234"/>
      <c r="AB35" s="101" t="e">
        <f t="shared" si="54"/>
        <v>#DIV/0!</v>
      </c>
      <c r="AC35" s="227">
        <f t="shared" si="55"/>
        <v>0</v>
      </c>
      <c r="AD35" s="101" t="e">
        <f t="shared" si="56"/>
        <v>#DIV/0!</v>
      </c>
      <c r="AE35" s="234"/>
      <c r="AF35" s="101" t="e">
        <f t="shared" si="57"/>
        <v>#DIV/0!</v>
      </c>
      <c r="AG35" s="234"/>
      <c r="AH35" s="101" t="e">
        <f t="shared" si="58"/>
        <v>#DIV/0!</v>
      </c>
      <c r="AI35" s="234"/>
      <c r="AJ35" s="101" t="e">
        <f t="shared" si="59"/>
        <v>#DIV/0!</v>
      </c>
      <c r="AK35" s="234"/>
      <c r="AL35" s="101" t="e">
        <f t="shared" si="60"/>
        <v>#DIV/0!</v>
      </c>
    </row>
    <row r="36" spans="2:38" ht="14.25">
      <c r="B36" s="98"/>
      <c r="C36" s="98"/>
      <c r="D36" s="311">
        <f t="shared" si="21"/>
        <v>46169</v>
      </c>
      <c r="E36" s="311" t="s">
        <v>462</v>
      </c>
      <c r="F36" s="228">
        <f t="shared" si="20"/>
        <v>0</v>
      </c>
      <c r="G36" s="309"/>
      <c r="H36" s="331"/>
      <c r="I36" s="234"/>
      <c r="J36" s="101" t="e">
        <f t="shared" si="43"/>
        <v>#DIV/0!</v>
      </c>
      <c r="K36" s="234"/>
      <c r="L36" s="101" t="e">
        <f t="shared" si="44"/>
        <v>#DIV/0!</v>
      </c>
      <c r="M36" s="227">
        <f t="shared" si="45"/>
        <v>0</v>
      </c>
      <c r="N36" s="101" t="e">
        <f t="shared" si="46"/>
        <v>#DIV/0!</v>
      </c>
      <c r="O36" s="234"/>
      <c r="P36" s="101" t="e">
        <f t="shared" si="47"/>
        <v>#DIV/0!</v>
      </c>
      <c r="Q36" s="234"/>
      <c r="R36" s="101" t="e">
        <f t="shared" si="48"/>
        <v>#DIV/0!</v>
      </c>
      <c r="S36" s="227">
        <f t="shared" si="49"/>
        <v>0</v>
      </c>
      <c r="T36" s="101" t="e">
        <f t="shared" si="50"/>
        <v>#DIV/0!</v>
      </c>
      <c r="U36" s="234"/>
      <c r="V36" s="101" t="e">
        <f t="shared" si="51"/>
        <v>#DIV/0!</v>
      </c>
      <c r="W36" s="234"/>
      <c r="X36" s="101" t="e">
        <f t="shared" si="52"/>
        <v>#DIV/0!</v>
      </c>
      <c r="Y36" s="234"/>
      <c r="Z36" s="101" t="e">
        <f t="shared" si="53"/>
        <v>#DIV/0!</v>
      </c>
      <c r="AA36" s="234"/>
      <c r="AB36" s="101" t="e">
        <f t="shared" si="54"/>
        <v>#DIV/0!</v>
      </c>
      <c r="AC36" s="227">
        <f t="shared" si="55"/>
        <v>0</v>
      </c>
      <c r="AD36" s="101" t="e">
        <f t="shared" si="56"/>
        <v>#DIV/0!</v>
      </c>
      <c r="AE36" s="234"/>
      <c r="AF36" s="101" t="e">
        <f t="shared" si="57"/>
        <v>#DIV/0!</v>
      </c>
      <c r="AG36" s="234"/>
      <c r="AH36" s="101" t="e">
        <f t="shared" si="58"/>
        <v>#DIV/0!</v>
      </c>
      <c r="AI36" s="234"/>
      <c r="AJ36" s="101" t="e">
        <f t="shared" si="59"/>
        <v>#DIV/0!</v>
      </c>
      <c r="AK36" s="234"/>
      <c r="AL36" s="101" t="e">
        <f t="shared" si="60"/>
        <v>#DIV/0!</v>
      </c>
    </row>
    <row r="37" spans="2:38" ht="14.25">
      <c r="B37" s="98"/>
      <c r="C37" s="98"/>
      <c r="D37" s="311">
        <f>D36+1</f>
        <v>46170</v>
      </c>
      <c r="E37" s="311" t="s">
        <v>463</v>
      </c>
      <c r="F37" s="228">
        <f t="shared" si="20"/>
        <v>0</v>
      </c>
      <c r="G37" s="309"/>
      <c r="H37" s="331"/>
      <c r="I37" s="234"/>
      <c r="J37" s="101" t="e">
        <f t="shared" si="43"/>
        <v>#DIV/0!</v>
      </c>
      <c r="K37" s="234"/>
      <c r="L37" s="101" t="e">
        <f t="shared" si="44"/>
        <v>#DIV/0!</v>
      </c>
      <c r="M37" s="227">
        <f t="shared" si="45"/>
        <v>0</v>
      </c>
      <c r="N37" s="101" t="e">
        <f t="shared" si="46"/>
        <v>#DIV/0!</v>
      </c>
      <c r="O37" s="234"/>
      <c r="P37" s="101" t="e">
        <f t="shared" si="47"/>
        <v>#DIV/0!</v>
      </c>
      <c r="Q37" s="234"/>
      <c r="R37" s="101" t="e">
        <f t="shared" si="48"/>
        <v>#DIV/0!</v>
      </c>
      <c r="S37" s="227">
        <f t="shared" si="49"/>
        <v>0</v>
      </c>
      <c r="T37" s="101" t="e">
        <f t="shared" si="50"/>
        <v>#DIV/0!</v>
      </c>
      <c r="U37" s="234"/>
      <c r="V37" s="101" t="e">
        <f t="shared" si="51"/>
        <v>#DIV/0!</v>
      </c>
      <c r="W37" s="234"/>
      <c r="X37" s="101" t="e">
        <f t="shared" si="52"/>
        <v>#DIV/0!</v>
      </c>
      <c r="Y37" s="234"/>
      <c r="Z37" s="101" t="e">
        <f t="shared" si="53"/>
        <v>#DIV/0!</v>
      </c>
      <c r="AA37" s="234"/>
      <c r="AB37" s="101" t="e">
        <f t="shared" si="54"/>
        <v>#DIV/0!</v>
      </c>
      <c r="AC37" s="227">
        <f t="shared" si="55"/>
        <v>0</v>
      </c>
      <c r="AD37" s="101" t="e">
        <f t="shared" si="56"/>
        <v>#DIV/0!</v>
      </c>
      <c r="AE37" s="234"/>
      <c r="AF37" s="101" t="e">
        <f t="shared" si="57"/>
        <v>#DIV/0!</v>
      </c>
      <c r="AG37" s="234"/>
      <c r="AH37" s="101" t="e">
        <f t="shared" si="58"/>
        <v>#DIV/0!</v>
      </c>
      <c r="AI37" s="234"/>
      <c r="AJ37" s="101" t="e">
        <f t="shared" si="59"/>
        <v>#DIV/0!</v>
      </c>
      <c r="AK37" s="234"/>
      <c r="AL37" s="101" t="e">
        <f t="shared" si="60"/>
        <v>#DIV/0!</v>
      </c>
    </row>
    <row r="38" spans="2:38" ht="14.25">
      <c r="B38" s="98"/>
      <c r="C38" s="98"/>
      <c r="D38" s="311">
        <f t="shared" ref="D38:D41" si="61">D37+1</f>
        <v>46171</v>
      </c>
      <c r="E38" s="311" t="s">
        <v>464</v>
      </c>
      <c r="F38" s="228">
        <f t="shared" si="20"/>
        <v>0</v>
      </c>
      <c r="G38" s="309"/>
      <c r="H38" s="331"/>
      <c r="I38" s="234"/>
      <c r="J38" s="101" t="e">
        <f t="shared" si="43"/>
        <v>#DIV/0!</v>
      </c>
      <c r="K38" s="234"/>
      <c r="L38" s="101" t="e">
        <f t="shared" si="44"/>
        <v>#DIV/0!</v>
      </c>
      <c r="M38" s="227">
        <f t="shared" si="45"/>
        <v>0</v>
      </c>
      <c r="N38" s="101" t="e">
        <f t="shared" si="46"/>
        <v>#DIV/0!</v>
      </c>
      <c r="O38" s="234"/>
      <c r="P38" s="101" t="e">
        <f t="shared" si="47"/>
        <v>#DIV/0!</v>
      </c>
      <c r="Q38" s="234"/>
      <c r="R38" s="101" t="e">
        <f t="shared" si="48"/>
        <v>#DIV/0!</v>
      </c>
      <c r="S38" s="227">
        <f t="shared" si="49"/>
        <v>0</v>
      </c>
      <c r="T38" s="101" t="e">
        <f t="shared" si="50"/>
        <v>#DIV/0!</v>
      </c>
      <c r="U38" s="234"/>
      <c r="V38" s="101" t="e">
        <f t="shared" si="51"/>
        <v>#DIV/0!</v>
      </c>
      <c r="W38" s="234"/>
      <c r="X38" s="101" t="e">
        <f t="shared" si="52"/>
        <v>#DIV/0!</v>
      </c>
      <c r="Y38" s="234"/>
      <c r="Z38" s="101" t="e">
        <f t="shared" si="53"/>
        <v>#DIV/0!</v>
      </c>
      <c r="AA38" s="234"/>
      <c r="AB38" s="101" t="e">
        <f t="shared" si="54"/>
        <v>#DIV/0!</v>
      </c>
      <c r="AC38" s="227">
        <f t="shared" si="55"/>
        <v>0</v>
      </c>
      <c r="AD38" s="101" t="e">
        <f t="shared" si="56"/>
        <v>#DIV/0!</v>
      </c>
      <c r="AE38" s="234"/>
      <c r="AF38" s="101" t="e">
        <f t="shared" si="57"/>
        <v>#DIV/0!</v>
      </c>
      <c r="AG38" s="234"/>
      <c r="AH38" s="101" t="e">
        <f t="shared" si="58"/>
        <v>#DIV/0!</v>
      </c>
      <c r="AI38" s="234"/>
      <c r="AJ38" s="101" t="e">
        <f t="shared" si="59"/>
        <v>#DIV/0!</v>
      </c>
      <c r="AK38" s="234"/>
      <c r="AL38" s="101" t="e">
        <f t="shared" si="60"/>
        <v>#DIV/0!</v>
      </c>
    </row>
    <row r="39" spans="2:38" ht="14.25">
      <c r="B39" s="98"/>
      <c r="C39" s="83"/>
      <c r="D39" s="311">
        <f t="shared" si="61"/>
        <v>46172</v>
      </c>
      <c r="E39" s="311" t="s">
        <v>465</v>
      </c>
      <c r="F39" s="228">
        <f t="shared" si="20"/>
        <v>0</v>
      </c>
      <c r="G39" s="309"/>
      <c r="H39" s="97"/>
      <c r="I39" s="234"/>
      <c r="J39" s="101" t="e">
        <f t="shared" si="43"/>
        <v>#DIV/0!</v>
      </c>
      <c r="K39" s="234"/>
      <c r="L39" s="101" t="e">
        <f t="shared" si="44"/>
        <v>#DIV/0!</v>
      </c>
      <c r="M39" s="227">
        <f t="shared" si="45"/>
        <v>0</v>
      </c>
      <c r="N39" s="101" t="e">
        <f t="shared" si="46"/>
        <v>#DIV/0!</v>
      </c>
      <c r="O39" s="234"/>
      <c r="P39" s="101" t="e">
        <f t="shared" si="47"/>
        <v>#DIV/0!</v>
      </c>
      <c r="Q39" s="234"/>
      <c r="R39" s="101" t="e">
        <f t="shared" si="48"/>
        <v>#DIV/0!</v>
      </c>
      <c r="S39" s="227">
        <f t="shared" si="49"/>
        <v>0</v>
      </c>
      <c r="T39" s="101" t="e">
        <f t="shared" si="50"/>
        <v>#DIV/0!</v>
      </c>
      <c r="U39" s="234"/>
      <c r="V39" s="101" t="e">
        <f t="shared" si="51"/>
        <v>#DIV/0!</v>
      </c>
      <c r="W39" s="234"/>
      <c r="X39" s="101" t="e">
        <f t="shared" si="52"/>
        <v>#DIV/0!</v>
      </c>
      <c r="Y39" s="234"/>
      <c r="Z39" s="101" t="e">
        <f t="shared" si="53"/>
        <v>#DIV/0!</v>
      </c>
      <c r="AA39" s="234"/>
      <c r="AB39" s="101" t="e">
        <f t="shared" si="54"/>
        <v>#DIV/0!</v>
      </c>
      <c r="AC39" s="227">
        <f t="shared" si="55"/>
        <v>0</v>
      </c>
      <c r="AD39" s="101" t="e">
        <f t="shared" si="56"/>
        <v>#DIV/0!</v>
      </c>
      <c r="AE39" s="234"/>
      <c r="AF39" s="101" t="e">
        <f t="shared" si="57"/>
        <v>#DIV/0!</v>
      </c>
      <c r="AG39" s="234"/>
      <c r="AH39" s="101" t="e">
        <f t="shared" si="58"/>
        <v>#DIV/0!</v>
      </c>
      <c r="AI39" s="234"/>
      <c r="AJ39" s="101" t="e">
        <f t="shared" si="59"/>
        <v>#DIV/0!</v>
      </c>
      <c r="AK39" s="234"/>
      <c r="AL39" s="101" t="e">
        <f t="shared" si="60"/>
        <v>#DIV/0!</v>
      </c>
    </row>
    <row r="40" spans="2:38" ht="14.25">
      <c r="B40" s="98"/>
      <c r="C40" s="83"/>
      <c r="D40" s="311">
        <f t="shared" si="61"/>
        <v>46173</v>
      </c>
      <c r="E40" s="311" t="s">
        <v>466</v>
      </c>
      <c r="F40" s="228">
        <f t="shared" si="20"/>
        <v>0</v>
      </c>
      <c r="G40" s="309"/>
      <c r="H40" s="97"/>
      <c r="I40" s="234"/>
      <c r="J40" s="101" t="e">
        <f t="shared" si="43"/>
        <v>#DIV/0!</v>
      </c>
      <c r="K40" s="234"/>
      <c r="L40" s="101" t="e">
        <f t="shared" si="44"/>
        <v>#DIV/0!</v>
      </c>
      <c r="M40" s="227">
        <f t="shared" si="45"/>
        <v>0</v>
      </c>
      <c r="N40" s="101" t="e">
        <f t="shared" si="46"/>
        <v>#DIV/0!</v>
      </c>
      <c r="O40" s="234"/>
      <c r="P40" s="101" t="e">
        <f t="shared" si="47"/>
        <v>#DIV/0!</v>
      </c>
      <c r="Q40" s="234"/>
      <c r="R40" s="101" t="e">
        <f t="shared" si="48"/>
        <v>#DIV/0!</v>
      </c>
      <c r="S40" s="227">
        <f t="shared" si="49"/>
        <v>0</v>
      </c>
      <c r="T40" s="101" t="e">
        <f t="shared" si="50"/>
        <v>#DIV/0!</v>
      </c>
      <c r="U40" s="234"/>
      <c r="V40" s="101" t="e">
        <f t="shared" si="51"/>
        <v>#DIV/0!</v>
      </c>
      <c r="W40" s="234"/>
      <c r="X40" s="101" t="e">
        <f t="shared" si="52"/>
        <v>#DIV/0!</v>
      </c>
      <c r="Y40" s="234"/>
      <c r="Z40" s="101" t="e">
        <f t="shared" si="53"/>
        <v>#DIV/0!</v>
      </c>
      <c r="AA40" s="234"/>
      <c r="AB40" s="101" t="e">
        <f t="shared" si="54"/>
        <v>#DIV/0!</v>
      </c>
      <c r="AC40" s="227">
        <f t="shared" si="55"/>
        <v>0</v>
      </c>
      <c r="AD40" s="101" t="e">
        <f t="shared" si="56"/>
        <v>#DIV/0!</v>
      </c>
      <c r="AE40" s="234"/>
      <c r="AF40" s="101" t="e">
        <f t="shared" si="57"/>
        <v>#DIV/0!</v>
      </c>
      <c r="AG40" s="234"/>
      <c r="AH40" s="101" t="e">
        <f t="shared" si="58"/>
        <v>#DIV/0!</v>
      </c>
      <c r="AI40" s="234"/>
      <c r="AJ40" s="101" t="e">
        <f t="shared" si="59"/>
        <v>#DIV/0!</v>
      </c>
      <c r="AK40" s="234"/>
      <c r="AL40" s="101" t="e">
        <f t="shared" si="60"/>
        <v>#DIV/0!</v>
      </c>
    </row>
    <row r="41" spans="2:38" ht="14.25">
      <c r="B41" s="98"/>
      <c r="C41" s="83"/>
      <c r="D41" s="311">
        <f t="shared" si="61"/>
        <v>46174</v>
      </c>
      <c r="E41" s="311" t="s">
        <v>460</v>
      </c>
      <c r="F41" s="228">
        <f t="shared" si="20"/>
        <v>0</v>
      </c>
      <c r="G41" s="309"/>
      <c r="H41" s="97"/>
      <c r="I41" s="234"/>
      <c r="J41" s="101" t="e">
        <f t="shared" si="43"/>
        <v>#DIV/0!</v>
      </c>
      <c r="K41" s="234"/>
      <c r="L41" s="101" t="e">
        <f t="shared" si="44"/>
        <v>#DIV/0!</v>
      </c>
      <c r="M41" s="227">
        <f t="shared" si="45"/>
        <v>0</v>
      </c>
      <c r="N41" s="101" t="e">
        <f t="shared" si="46"/>
        <v>#DIV/0!</v>
      </c>
      <c r="O41" s="234"/>
      <c r="P41" s="101" t="e">
        <f t="shared" si="47"/>
        <v>#DIV/0!</v>
      </c>
      <c r="Q41" s="234"/>
      <c r="R41" s="101" t="e">
        <f t="shared" si="48"/>
        <v>#DIV/0!</v>
      </c>
      <c r="S41" s="227">
        <f t="shared" si="49"/>
        <v>0</v>
      </c>
      <c r="T41" s="101" t="e">
        <f t="shared" si="50"/>
        <v>#DIV/0!</v>
      </c>
      <c r="U41" s="234"/>
      <c r="V41" s="101" t="e">
        <f t="shared" si="51"/>
        <v>#DIV/0!</v>
      </c>
      <c r="W41" s="234"/>
      <c r="X41" s="101" t="e">
        <f t="shared" si="52"/>
        <v>#DIV/0!</v>
      </c>
      <c r="Y41" s="234"/>
      <c r="Z41" s="101" t="e">
        <f t="shared" si="53"/>
        <v>#DIV/0!</v>
      </c>
      <c r="AA41" s="234"/>
      <c r="AB41" s="101" t="e">
        <f t="shared" si="54"/>
        <v>#DIV/0!</v>
      </c>
      <c r="AC41" s="227">
        <f t="shared" si="55"/>
        <v>0</v>
      </c>
      <c r="AD41" s="101" t="e">
        <f t="shared" si="56"/>
        <v>#DIV/0!</v>
      </c>
      <c r="AE41" s="234"/>
      <c r="AF41" s="101" t="e">
        <f t="shared" si="57"/>
        <v>#DIV/0!</v>
      </c>
      <c r="AG41" s="234"/>
      <c r="AH41" s="101" t="e">
        <f t="shared" si="58"/>
        <v>#DIV/0!</v>
      </c>
      <c r="AI41" s="234"/>
      <c r="AJ41" s="101" t="e">
        <f t="shared" si="59"/>
        <v>#DIV/0!</v>
      </c>
      <c r="AK41" s="234"/>
      <c r="AL41" s="101" t="e">
        <f t="shared" si="60"/>
        <v>#DIV/0!</v>
      </c>
    </row>
    <row r="42" spans="2:38" ht="14.25">
      <c r="B42" s="98"/>
      <c r="C42" s="83"/>
      <c r="D42" s="311"/>
      <c r="E42" s="391"/>
      <c r="F42" s="228">
        <f t="shared" si="20"/>
        <v>0</v>
      </c>
      <c r="G42" s="309"/>
      <c r="H42" s="97"/>
      <c r="I42" s="234"/>
      <c r="J42" s="101" t="e">
        <f>I42/F42</f>
        <v>#DIV/0!</v>
      </c>
      <c r="K42" s="234"/>
      <c r="L42" s="101" t="e">
        <f>K42/F42</f>
        <v>#DIV/0!</v>
      </c>
      <c r="M42" s="227">
        <f>SUM(I42+K42)</f>
        <v>0</v>
      </c>
      <c r="N42" s="101" t="e">
        <f>M42/F42</f>
        <v>#DIV/0!</v>
      </c>
      <c r="O42" s="234"/>
      <c r="P42" s="101" t="e">
        <f>O42/F42</f>
        <v>#DIV/0!</v>
      </c>
      <c r="Q42" s="234"/>
      <c r="R42" s="101" t="e">
        <f t="shared" si="48"/>
        <v>#DIV/0!</v>
      </c>
      <c r="S42" s="227">
        <f t="shared" si="49"/>
        <v>0</v>
      </c>
      <c r="T42" s="101" t="e">
        <f>S42/F42</f>
        <v>#DIV/0!</v>
      </c>
      <c r="U42" s="234"/>
      <c r="V42" s="101" t="e">
        <f>U42/F42</f>
        <v>#DIV/0!</v>
      </c>
      <c r="W42" s="234"/>
      <c r="X42" s="101" t="e">
        <f>W42/F42</f>
        <v>#DIV/0!</v>
      </c>
      <c r="Y42" s="234"/>
      <c r="Z42" s="101" t="e">
        <f>Y42/F42</f>
        <v>#DIV/0!</v>
      </c>
      <c r="AA42" s="234"/>
      <c r="AB42" s="101" t="e">
        <f t="shared" si="54"/>
        <v>#DIV/0!</v>
      </c>
      <c r="AC42" s="227">
        <f>SUM(Y42+AA42)</f>
        <v>0</v>
      </c>
      <c r="AD42" s="101" t="e">
        <f>AC42/F42</f>
        <v>#DIV/0!</v>
      </c>
      <c r="AE42" s="234"/>
      <c r="AF42" s="101" t="e">
        <f>AE42/F42</f>
        <v>#DIV/0!</v>
      </c>
      <c r="AG42" s="234"/>
      <c r="AH42" s="101" t="e">
        <f>AG42/F42</f>
        <v>#DIV/0!</v>
      </c>
      <c r="AI42" s="234"/>
      <c r="AJ42" s="101" t="e">
        <f>AI42/F42</f>
        <v>#DIV/0!</v>
      </c>
      <c r="AK42" s="234"/>
      <c r="AL42" s="101" t="e">
        <f>AK42/F42</f>
        <v>#DIV/0!</v>
      </c>
    </row>
    <row r="43" spans="2:38" ht="14.25">
      <c r="B43" s="98"/>
      <c r="C43" s="83"/>
      <c r="D43" s="311"/>
      <c r="E43" s="391"/>
      <c r="F43" s="228">
        <f t="shared" si="20"/>
        <v>0</v>
      </c>
      <c r="G43" s="309"/>
      <c r="H43" s="97"/>
      <c r="I43" s="234"/>
      <c r="J43" s="101" t="e">
        <f>I43/F43</f>
        <v>#DIV/0!</v>
      </c>
      <c r="K43" s="234"/>
      <c r="L43" s="101" t="e">
        <f>K43/F43</f>
        <v>#DIV/0!</v>
      </c>
      <c r="M43" s="227">
        <f>SUM(I43+K43)</f>
        <v>0</v>
      </c>
      <c r="N43" s="101" t="e">
        <f>M43/F43</f>
        <v>#DIV/0!</v>
      </c>
      <c r="O43" s="234"/>
      <c r="P43" s="101" t="e">
        <f>O43/F43</f>
        <v>#DIV/0!</v>
      </c>
      <c r="Q43" s="234"/>
      <c r="R43" s="101" t="e">
        <f t="shared" si="48"/>
        <v>#DIV/0!</v>
      </c>
      <c r="S43" s="227">
        <f t="shared" si="49"/>
        <v>0</v>
      </c>
      <c r="T43" s="101" t="e">
        <f>S43/F43</f>
        <v>#DIV/0!</v>
      </c>
      <c r="U43" s="234"/>
      <c r="V43" s="101" t="e">
        <f>U43/F43</f>
        <v>#DIV/0!</v>
      </c>
      <c r="W43" s="234"/>
      <c r="X43" s="101" t="e">
        <f>W43/F43</f>
        <v>#DIV/0!</v>
      </c>
      <c r="Y43" s="234"/>
      <c r="Z43" s="101" t="e">
        <f>Y43/F43</f>
        <v>#DIV/0!</v>
      </c>
      <c r="AA43" s="234"/>
      <c r="AB43" s="101" t="e">
        <f t="shared" si="54"/>
        <v>#DIV/0!</v>
      </c>
      <c r="AC43" s="227">
        <f>SUM(Y43+AA43)</f>
        <v>0</v>
      </c>
      <c r="AD43" s="101" t="e">
        <f>AC43/F43</f>
        <v>#DIV/0!</v>
      </c>
      <c r="AE43" s="234"/>
      <c r="AF43" s="101" t="e">
        <f>AE43/F43</f>
        <v>#DIV/0!</v>
      </c>
      <c r="AG43" s="234"/>
      <c r="AH43" s="101" t="e">
        <f>AG43/F43</f>
        <v>#DIV/0!</v>
      </c>
      <c r="AI43" s="234"/>
      <c r="AJ43" s="101" t="e">
        <f>AI43/F43</f>
        <v>#DIV/0!</v>
      </c>
      <c r="AK43" s="234"/>
      <c r="AL43" s="101" t="e">
        <f>AK43/F43</f>
        <v>#DIV/0!</v>
      </c>
    </row>
    <row r="44" spans="2:38" ht="14.25">
      <c r="B44" s="98"/>
      <c r="C44" s="83"/>
      <c r="D44" s="86"/>
      <c r="E44" s="86"/>
      <c r="F44" s="228">
        <f t="shared" si="20"/>
        <v>0</v>
      </c>
      <c r="G44" s="228"/>
      <c r="H44" s="97"/>
      <c r="I44" s="234"/>
      <c r="J44" s="101" t="e">
        <f>I44/F44</f>
        <v>#DIV/0!</v>
      </c>
      <c r="K44" s="234"/>
      <c r="L44" s="101" t="e">
        <f>K44/F44</f>
        <v>#DIV/0!</v>
      </c>
      <c r="M44" s="227">
        <f>SUM(I44+K44)</f>
        <v>0</v>
      </c>
      <c r="N44" s="101" t="e">
        <f>M44/F44</f>
        <v>#DIV/0!</v>
      </c>
      <c r="O44" s="234"/>
      <c r="P44" s="101" t="e">
        <f>O44/F44</f>
        <v>#DIV/0!</v>
      </c>
      <c r="Q44" s="234"/>
      <c r="R44" s="101" t="e">
        <f t="shared" si="48"/>
        <v>#DIV/0!</v>
      </c>
      <c r="S44" s="227">
        <f t="shared" si="49"/>
        <v>0</v>
      </c>
      <c r="T44" s="101" t="e">
        <f>S44/F44</f>
        <v>#DIV/0!</v>
      </c>
      <c r="U44" s="234"/>
      <c r="V44" s="101" t="e">
        <f>U44/F44</f>
        <v>#DIV/0!</v>
      </c>
      <c r="W44" s="234"/>
      <c r="X44" s="101" t="e">
        <f>W44/F44</f>
        <v>#DIV/0!</v>
      </c>
      <c r="Y44" s="234"/>
      <c r="Z44" s="101" t="e">
        <f>Y44/F44</f>
        <v>#DIV/0!</v>
      </c>
      <c r="AA44" s="234"/>
      <c r="AB44" s="101" t="e">
        <f t="shared" si="54"/>
        <v>#DIV/0!</v>
      </c>
      <c r="AC44" s="227">
        <f>SUM(Y44+AA44)</f>
        <v>0</v>
      </c>
      <c r="AD44" s="101" t="e">
        <f>AC44/F44</f>
        <v>#DIV/0!</v>
      </c>
      <c r="AE44" s="234"/>
      <c r="AF44" s="101" t="e">
        <f>AE44/F44</f>
        <v>#DIV/0!</v>
      </c>
      <c r="AG44" s="234"/>
      <c r="AH44" s="101" t="e">
        <f>AG44/F44</f>
        <v>#DIV/0!</v>
      </c>
      <c r="AI44" s="234"/>
      <c r="AJ44" s="101" t="e">
        <f>AI44/F44</f>
        <v>#DIV/0!</v>
      </c>
      <c r="AK44" s="234"/>
      <c r="AL44" s="101" t="e">
        <f>AK44/F44</f>
        <v>#DIV/0!</v>
      </c>
    </row>
    <row r="45" spans="2:38" ht="14.25">
      <c r="B45" s="98"/>
      <c r="C45" s="83"/>
      <c r="D45" s="86"/>
      <c r="E45" s="86"/>
      <c r="F45" s="228">
        <f t="shared" si="20"/>
        <v>0</v>
      </c>
      <c r="G45" s="228"/>
      <c r="H45" s="97"/>
      <c r="I45" s="234"/>
      <c r="J45" s="101" t="e">
        <f>I45/F45</f>
        <v>#DIV/0!</v>
      </c>
      <c r="K45" s="234"/>
      <c r="L45" s="101" t="e">
        <f>K45/F45</f>
        <v>#DIV/0!</v>
      </c>
      <c r="M45" s="227">
        <f>SUM(I45+K45)</f>
        <v>0</v>
      </c>
      <c r="N45" s="101" t="e">
        <f>M45/F45</f>
        <v>#DIV/0!</v>
      </c>
      <c r="O45" s="234"/>
      <c r="P45" s="101" t="e">
        <f>O45/F45</f>
        <v>#DIV/0!</v>
      </c>
      <c r="Q45" s="234"/>
      <c r="R45" s="101" t="e">
        <f t="shared" si="48"/>
        <v>#DIV/0!</v>
      </c>
      <c r="S45" s="227">
        <f t="shared" si="49"/>
        <v>0</v>
      </c>
      <c r="T45" s="101" t="e">
        <f>S45/F45</f>
        <v>#DIV/0!</v>
      </c>
      <c r="U45" s="234"/>
      <c r="V45" s="101" t="e">
        <f>U45/F45</f>
        <v>#DIV/0!</v>
      </c>
      <c r="W45" s="234"/>
      <c r="X45" s="101" t="e">
        <f>W45/F45</f>
        <v>#DIV/0!</v>
      </c>
      <c r="Y45" s="234"/>
      <c r="Z45" s="101" t="e">
        <f>Y45/F45</f>
        <v>#DIV/0!</v>
      </c>
      <c r="AA45" s="234"/>
      <c r="AB45" s="101" t="e">
        <f t="shared" si="54"/>
        <v>#DIV/0!</v>
      </c>
      <c r="AC45" s="227">
        <f>SUM(Y45+AA45)</f>
        <v>0</v>
      </c>
      <c r="AD45" s="101" t="e">
        <f>AC45/F45</f>
        <v>#DIV/0!</v>
      </c>
      <c r="AE45" s="234"/>
      <c r="AF45" s="101" t="e">
        <f>AE45/F45</f>
        <v>#DIV/0!</v>
      </c>
      <c r="AG45" s="234"/>
      <c r="AH45" s="101" t="e">
        <f>AG45/F45</f>
        <v>#DIV/0!</v>
      </c>
      <c r="AI45" s="234"/>
      <c r="AJ45" s="101" t="e">
        <f>AI45/F45</f>
        <v>#DIV/0!</v>
      </c>
      <c r="AK45" s="234"/>
      <c r="AL45" s="101" t="e">
        <f>AK45/F45</f>
        <v>#DIV/0!</v>
      </c>
    </row>
    <row r="46" spans="2:38" ht="14.25">
      <c r="B46" s="98"/>
      <c r="C46" s="83"/>
      <c r="D46" s="84"/>
      <c r="F46" s="97"/>
      <c r="G46" s="97"/>
      <c r="H46" s="97"/>
      <c r="I46" s="279">
        <f>SUM(I7:I45)</f>
        <v>14642041.177994087</v>
      </c>
      <c r="J46" s="275">
        <f>I46/$H$12</f>
        <v>9.065068240383814E-2</v>
      </c>
      <c r="K46" s="279">
        <f>SUM(K7:K45)</f>
        <v>17983607.980416261</v>
      </c>
      <c r="L46" s="275">
        <f>K46/$H$12</f>
        <v>0.11133873451728533</v>
      </c>
      <c r="M46" s="279">
        <f>SUM(M8:M45)</f>
        <v>30864658.288716178</v>
      </c>
      <c r="N46" s="275" t="e">
        <f>M46/$H$8</f>
        <v>#DIV/0!</v>
      </c>
      <c r="O46" s="279">
        <f>SUM(O7:O45)</f>
        <v>3321267.3399513266</v>
      </c>
      <c r="P46" s="275">
        <f>O46/$H$12</f>
        <v>2.0562375638217837E-2</v>
      </c>
      <c r="Q46" s="279">
        <f>SUM(Q7:Q45)</f>
        <v>327904.08016658638</v>
      </c>
      <c r="R46" s="275">
        <f>Q46/$H$12</f>
        <v>2.0300945932851212E-3</v>
      </c>
      <c r="S46" s="279">
        <f>SUM(S8:S45)</f>
        <v>3449994.4557876028</v>
      </c>
      <c r="T46" s="275" t="e">
        <f>S46/$H$8</f>
        <v>#DIV/0!</v>
      </c>
      <c r="U46" s="279">
        <f>SUM(U7:U45)</f>
        <v>21363967.650908165</v>
      </c>
      <c r="V46" s="275">
        <f>U46/$H$12</f>
        <v>0.13226695806039687</v>
      </c>
      <c r="W46" s="279">
        <f>SUM(W7:W45)</f>
        <v>3720832.636676746</v>
      </c>
      <c r="X46" s="275">
        <f>W46/$H$12</f>
        <v>2.3036133659571353E-2</v>
      </c>
      <c r="Y46" s="279">
        <f>SUM(Y7:Y45)</f>
        <v>16737191.518754423</v>
      </c>
      <c r="Z46" s="275">
        <f>Y46/$H$12</f>
        <v>0.10362201651086173</v>
      </c>
      <c r="AA46" s="279">
        <f>SUM(AA7:AA45)</f>
        <v>22167710.885707162</v>
      </c>
      <c r="AB46" s="275">
        <f>AA46/$H$12</f>
        <v>0.13724303153446279</v>
      </c>
      <c r="AC46" s="279">
        <f>SUM(AC8:AC45)</f>
        <v>36638472.786184534</v>
      </c>
      <c r="AD46" s="275" t="e">
        <f>AC46/$H$8</f>
        <v>#DIV/0!</v>
      </c>
      <c r="AE46" s="279">
        <f>SUM(AE7:AE45)</f>
        <v>30877574.263102219</v>
      </c>
      <c r="AF46" s="275">
        <f>AE46/$H$12</f>
        <v>0.19116686969383798</v>
      </c>
      <c r="AG46" s="279">
        <f>SUM(AG7:AG45)</f>
        <v>21790295.97406996</v>
      </c>
      <c r="AH46" s="275">
        <f>AG46/$H$12</f>
        <v>0.13490640927849509</v>
      </c>
      <c r="AI46" s="279">
        <f>SUM(AI7:AI45)</f>
        <v>20678049.515271299</v>
      </c>
      <c r="AJ46" s="275">
        <f>AI46/$H$12</f>
        <v>0.12802035430394107</v>
      </c>
      <c r="AK46" s="279">
        <f>SUM(AK7:AK45)</f>
        <v>15000214.976981739</v>
      </c>
      <c r="AL46" s="275">
        <f>AK46/$H$12</f>
        <v>9.2868180558822414E-2</v>
      </c>
    </row>
    <row r="47" spans="2:38" ht="14.25">
      <c r="B47" s="98"/>
      <c r="C47" s="83"/>
      <c r="D47" s="84"/>
      <c r="F47" s="97"/>
      <c r="G47" s="97"/>
      <c r="H47" s="97"/>
      <c r="I47" s="276"/>
      <c r="J47" s="277"/>
      <c r="K47" s="276"/>
      <c r="L47" s="277"/>
      <c r="M47" s="278">
        <f>M46</f>
        <v>30864658.288716178</v>
      </c>
      <c r="N47" s="277"/>
      <c r="O47" s="276"/>
      <c r="P47" s="277"/>
      <c r="Q47" s="276"/>
      <c r="R47" s="277"/>
      <c r="S47" s="278">
        <f>S46</f>
        <v>3449994.4557876028</v>
      </c>
      <c r="T47" s="277"/>
      <c r="U47" s="278">
        <f>U46</f>
        <v>21363967.650908165</v>
      </c>
      <c r="V47" s="277"/>
      <c r="W47" s="278">
        <f>W46</f>
        <v>3720832.636676746</v>
      </c>
      <c r="X47" s="277"/>
      <c r="Y47" s="276"/>
      <c r="Z47" s="277"/>
      <c r="AA47" s="276"/>
      <c r="AB47" s="277"/>
      <c r="AC47" s="278">
        <f>AC46</f>
        <v>36638472.786184534</v>
      </c>
      <c r="AD47" s="277"/>
      <c r="AE47" s="278">
        <f>AE46</f>
        <v>30877574.263102219</v>
      </c>
      <c r="AF47" s="277"/>
      <c r="AG47" s="278">
        <f>AG46</f>
        <v>21790295.97406996</v>
      </c>
      <c r="AH47" s="277"/>
      <c r="AI47" s="278">
        <f>AI46</f>
        <v>20678049.515271299</v>
      </c>
      <c r="AJ47" s="277"/>
      <c r="AK47" s="278">
        <f>AK46</f>
        <v>15000214.976981739</v>
      </c>
      <c r="AL47" s="277"/>
    </row>
    <row r="48" spans="2:38" ht="14.25">
      <c r="B48" s="98"/>
      <c r="C48" s="83"/>
      <c r="D48" s="84"/>
      <c r="F48" s="97"/>
      <c r="G48" s="97"/>
      <c r="H48" s="97"/>
    </row>
    <row r="49" spans="1:46" ht="14.25">
      <c r="B49" s="98"/>
      <c r="C49" s="83"/>
      <c r="D49" s="84"/>
      <c r="F49" s="97"/>
      <c r="G49" s="97"/>
      <c r="H49" s="97"/>
    </row>
    <row r="50" spans="1:46" s="84" customFormat="1" ht="14.25">
      <c r="A50" s="77"/>
      <c r="B50" s="98"/>
      <c r="C50" s="83"/>
      <c r="F50" s="102"/>
      <c r="G50" s="102"/>
      <c r="H50" s="102"/>
      <c r="I50" s="97"/>
      <c r="J50" s="90"/>
      <c r="K50" s="97"/>
      <c r="L50" s="90"/>
      <c r="M50" s="90"/>
      <c r="N50" s="90"/>
      <c r="O50" s="97"/>
      <c r="P50" s="90"/>
      <c r="Q50" s="97"/>
      <c r="R50" s="90"/>
      <c r="S50" s="97"/>
      <c r="T50" s="90"/>
      <c r="U50" s="97"/>
      <c r="V50" s="90"/>
      <c r="W50" s="97"/>
      <c r="X50" s="90"/>
      <c r="Y50" s="97"/>
      <c r="Z50" s="90"/>
      <c r="AA50" s="97"/>
      <c r="AB50" s="90"/>
      <c r="AC50" s="97"/>
      <c r="AD50" s="90"/>
      <c r="AE50" s="97"/>
      <c r="AF50" s="90"/>
      <c r="AG50" s="97"/>
      <c r="AH50" s="90"/>
      <c r="AI50" s="97"/>
      <c r="AJ50" s="90"/>
      <c r="AK50" s="97"/>
      <c r="AL50" s="90"/>
      <c r="AM50" s="77"/>
      <c r="AN50" s="77"/>
      <c r="AO50" s="77"/>
      <c r="AP50" s="77"/>
      <c r="AQ50" s="77"/>
      <c r="AR50" s="77"/>
      <c r="AS50" s="77"/>
      <c r="AT50" s="77"/>
    </row>
    <row r="51" spans="1:46" s="84" customFormat="1" ht="14.25">
      <c r="A51" s="77"/>
      <c r="B51" s="98"/>
      <c r="C51" s="83"/>
      <c r="F51" s="102"/>
      <c r="G51" s="102"/>
      <c r="H51" s="102"/>
      <c r="I51" s="97"/>
      <c r="J51" s="90"/>
      <c r="K51" s="97"/>
      <c r="L51" s="90"/>
      <c r="M51" s="90"/>
      <c r="N51" s="90"/>
      <c r="O51" s="97"/>
      <c r="P51" s="90"/>
      <c r="Q51" s="97"/>
      <c r="R51" s="90"/>
      <c r="S51" s="97"/>
      <c r="T51" s="90"/>
      <c r="U51" s="97"/>
      <c r="V51" s="90"/>
      <c r="W51" s="97"/>
      <c r="X51" s="90"/>
      <c r="Y51" s="97"/>
      <c r="Z51" s="90"/>
      <c r="AA51" s="97"/>
      <c r="AB51" s="90"/>
      <c r="AC51" s="97"/>
      <c r="AD51" s="90"/>
      <c r="AE51" s="97"/>
      <c r="AF51" s="90"/>
      <c r="AG51" s="97"/>
      <c r="AH51" s="90"/>
      <c r="AI51" s="97"/>
      <c r="AJ51" s="90"/>
      <c r="AK51" s="97"/>
      <c r="AL51" s="90"/>
      <c r="AM51" s="77"/>
      <c r="AN51" s="77"/>
      <c r="AO51" s="77"/>
      <c r="AP51" s="77"/>
      <c r="AQ51" s="77"/>
      <c r="AR51" s="77"/>
      <c r="AS51" s="77"/>
      <c r="AT51" s="77"/>
    </row>
    <row r="52" spans="1:46" s="84" customFormat="1" ht="14.25">
      <c r="A52" s="77"/>
      <c r="B52" s="98"/>
      <c r="C52" s="83"/>
      <c r="F52" s="102"/>
      <c r="G52" s="102"/>
      <c r="H52" s="102"/>
      <c r="I52" s="97"/>
      <c r="J52" s="90"/>
      <c r="K52" s="97"/>
      <c r="L52" s="90"/>
      <c r="M52" s="90"/>
      <c r="N52" s="90"/>
      <c r="O52" s="97"/>
      <c r="P52" s="90"/>
      <c r="Q52" s="97"/>
      <c r="R52" s="90"/>
      <c r="S52" s="97"/>
      <c r="T52" s="90"/>
      <c r="U52" s="97"/>
      <c r="V52" s="90"/>
      <c r="W52" s="97"/>
      <c r="X52" s="90"/>
      <c r="Y52" s="97"/>
      <c r="Z52" s="90"/>
      <c r="AA52" s="97"/>
      <c r="AB52" s="90"/>
      <c r="AC52" s="97"/>
      <c r="AD52" s="90"/>
      <c r="AE52" s="97"/>
      <c r="AF52" s="90"/>
      <c r="AG52" s="97"/>
      <c r="AH52" s="90"/>
      <c r="AI52" s="97"/>
      <c r="AJ52" s="90"/>
      <c r="AK52" s="97"/>
      <c r="AL52" s="90"/>
      <c r="AM52" s="77"/>
      <c r="AN52" s="77"/>
      <c r="AO52" s="77"/>
      <c r="AP52" s="77"/>
      <c r="AQ52" s="77"/>
      <c r="AR52" s="77"/>
      <c r="AS52" s="77"/>
      <c r="AT52" s="77"/>
    </row>
    <row r="53" spans="1:46" s="84" customFormat="1" ht="14.25">
      <c r="A53" s="77"/>
      <c r="B53" s="98"/>
      <c r="C53" s="83"/>
      <c r="F53" s="102"/>
      <c r="G53" s="102"/>
      <c r="H53" s="102"/>
      <c r="I53" s="97"/>
      <c r="J53" s="90"/>
      <c r="K53" s="97"/>
      <c r="L53" s="90"/>
      <c r="M53" s="90"/>
      <c r="N53" s="90"/>
      <c r="O53" s="97"/>
      <c r="P53" s="90"/>
      <c r="Q53" s="97"/>
      <c r="R53" s="90"/>
      <c r="S53" s="97"/>
      <c r="T53" s="90"/>
      <c r="U53" s="97"/>
      <c r="V53" s="90"/>
      <c r="W53" s="97"/>
      <c r="X53" s="90"/>
      <c r="Y53" s="97"/>
      <c r="Z53" s="90"/>
      <c r="AA53" s="97"/>
      <c r="AB53" s="90"/>
      <c r="AC53" s="97"/>
      <c r="AD53" s="90"/>
      <c r="AE53" s="97"/>
      <c r="AF53" s="90"/>
      <c r="AG53" s="97"/>
      <c r="AH53" s="90"/>
      <c r="AI53" s="97"/>
      <c r="AJ53" s="90"/>
      <c r="AK53" s="97"/>
      <c r="AL53" s="90"/>
      <c r="AM53" s="77"/>
      <c r="AN53" s="77"/>
      <c r="AO53" s="77"/>
      <c r="AP53" s="77"/>
      <c r="AQ53" s="77"/>
      <c r="AR53" s="77"/>
      <c r="AS53" s="77"/>
      <c r="AT53" s="77"/>
    </row>
    <row r="54" spans="1:46" s="84" customFormat="1" ht="14.25">
      <c r="A54" s="77"/>
      <c r="B54" s="98"/>
      <c r="C54" s="83"/>
      <c r="F54" s="102"/>
      <c r="G54" s="102"/>
      <c r="H54" s="102"/>
      <c r="I54" s="97"/>
      <c r="J54" s="90"/>
      <c r="K54" s="97"/>
      <c r="L54" s="90"/>
      <c r="M54" s="90"/>
      <c r="N54" s="90"/>
      <c r="O54" s="97"/>
      <c r="P54" s="90"/>
      <c r="Q54" s="97"/>
      <c r="R54" s="90"/>
      <c r="S54" s="97"/>
      <c r="T54" s="90"/>
      <c r="U54" s="97"/>
      <c r="V54" s="90"/>
      <c r="W54" s="97"/>
      <c r="X54" s="90"/>
      <c r="Y54" s="97"/>
      <c r="Z54" s="90"/>
      <c r="AA54" s="97"/>
      <c r="AB54" s="90"/>
      <c r="AC54" s="97"/>
      <c r="AD54" s="90"/>
      <c r="AE54" s="97"/>
      <c r="AF54" s="90"/>
      <c r="AG54" s="97"/>
      <c r="AH54" s="90"/>
      <c r="AI54" s="97"/>
      <c r="AJ54" s="90"/>
      <c r="AK54" s="97"/>
      <c r="AL54" s="90"/>
      <c r="AM54" s="77"/>
      <c r="AN54" s="77"/>
      <c r="AO54" s="77"/>
      <c r="AP54" s="77"/>
      <c r="AQ54" s="77"/>
      <c r="AR54" s="77"/>
      <c r="AS54" s="77"/>
      <c r="AT54" s="77"/>
    </row>
    <row r="55" spans="1:46" s="84" customFormat="1" ht="14.25">
      <c r="A55" s="77"/>
      <c r="B55" s="98"/>
      <c r="C55" s="83"/>
      <c r="F55" s="102"/>
      <c r="G55" s="102"/>
      <c r="H55" s="102"/>
      <c r="I55" s="97"/>
      <c r="J55" s="90"/>
      <c r="K55" s="97"/>
      <c r="L55" s="90"/>
      <c r="M55" s="90"/>
      <c r="N55" s="90"/>
      <c r="O55" s="97"/>
      <c r="P55" s="90"/>
      <c r="Q55" s="97"/>
      <c r="R55" s="90"/>
      <c r="S55" s="97"/>
      <c r="T55" s="90"/>
      <c r="U55" s="97"/>
      <c r="V55" s="90"/>
      <c r="W55" s="97"/>
      <c r="X55" s="90"/>
      <c r="Y55" s="97"/>
      <c r="Z55" s="90"/>
      <c r="AA55" s="97"/>
      <c r="AB55" s="90"/>
      <c r="AC55" s="97"/>
      <c r="AD55" s="90"/>
      <c r="AE55" s="97"/>
      <c r="AF55" s="90"/>
      <c r="AG55" s="97"/>
      <c r="AH55" s="90"/>
      <c r="AI55" s="97"/>
      <c r="AJ55" s="90"/>
      <c r="AK55" s="97"/>
      <c r="AL55" s="90"/>
      <c r="AM55" s="77"/>
      <c r="AN55" s="77"/>
      <c r="AO55" s="77"/>
      <c r="AP55" s="77"/>
      <c r="AQ55" s="77"/>
      <c r="AR55" s="77"/>
      <c r="AS55" s="77"/>
      <c r="AT55" s="77"/>
    </row>
    <row r="56" spans="1:46" s="84" customFormat="1" ht="14.25">
      <c r="A56" s="77"/>
      <c r="B56" s="98"/>
      <c r="C56" s="83"/>
      <c r="F56" s="102"/>
      <c r="G56" s="102"/>
      <c r="H56" s="102"/>
      <c r="I56" s="97"/>
      <c r="J56" s="90"/>
      <c r="K56" s="97"/>
      <c r="L56" s="90"/>
      <c r="M56" s="90"/>
      <c r="N56" s="90"/>
      <c r="O56" s="97"/>
      <c r="P56" s="90"/>
      <c r="Q56" s="97"/>
      <c r="R56" s="90"/>
      <c r="S56" s="97"/>
      <c r="T56" s="90"/>
      <c r="U56" s="97"/>
      <c r="V56" s="90"/>
      <c r="W56" s="97"/>
      <c r="X56" s="90"/>
      <c r="Y56" s="97"/>
      <c r="Z56" s="90"/>
      <c r="AA56" s="97"/>
      <c r="AB56" s="90"/>
      <c r="AC56" s="97"/>
      <c r="AD56" s="90"/>
      <c r="AE56" s="97"/>
      <c r="AF56" s="90"/>
      <c r="AG56" s="97"/>
      <c r="AH56" s="90"/>
      <c r="AI56" s="97"/>
      <c r="AJ56" s="90"/>
      <c r="AK56" s="97"/>
      <c r="AL56" s="90"/>
      <c r="AM56" s="77"/>
      <c r="AN56" s="77"/>
      <c r="AO56" s="77"/>
      <c r="AP56" s="77"/>
      <c r="AQ56" s="77"/>
      <c r="AR56" s="77"/>
      <c r="AS56" s="77"/>
      <c r="AT56" s="77"/>
    </row>
    <row r="57" spans="1:46" s="84" customFormat="1" ht="14.25">
      <c r="A57" s="77"/>
      <c r="B57" s="98"/>
      <c r="C57" s="83"/>
      <c r="F57" s="102"/>
      <c r="G57" s="102"/>
      <c r="H57" s="102"/>
      <c r="I57" s="97"/>
      <c r="J57" s="90"/>
      <c r="K57" s="97"/>
      <c r="L57" s="90"/>
      <c r="M57" s="90"/>
      <c r="N57" s="90"/>
      <c r="O57" s="97"/>
      <c r="P57" s="90"/>
      <c r="Q57" s="97"/>
      <c r="R57" s="90"/>
      <c r="S57" s="97"/>
      <c r="T57" s="90"/>
      <c r="U57" s="97"/>
      <c r="V57" s="90"/>
      <c r="W57" s="97"/>
      <c r="X57" s="90"/>
      <c r="Y57" s="97"/>
      <c r="Z57" s="90"/>
      <c r="AA57" s="97"/>
      <c r="AB57" s="90"/>
      <c r="AC57" s="97"/>
      <c r="AD57" s="90"/>
      <c r="AE57" s="97"/>
      <c r="AF57" s="90"/>
      <c r="AG57" s="97"/>
      <c r="AH57" s="90"/>
      <c r="AI57" s="97"/>
      <c r="AJ57" s="90"/>
      <c r="AK57" s="97"/>
      <c r="AL57" s="90"/>
      <c r="AM57" s="77"/>
      <c r="AN57" s="77"/>
      <c r="AO57" s="77"/>
      <c r="AP57" s="77"/>
      <c r="AQ57" s="77"/>
      <c r="AR57" s="77"/>
      <c r="AS57" s="77"/>
      <c r="AT57" s="77"/>
    </row>
    <row r="58" spans="1:46" s="84" customFormat="1" ht="14.25">
      <c r="A58" s="77"/>
      <c r="B58" s="98"/>
      <c r="C58" s="83"/>
      <c r="F58" s="102"/>
      <c r="G58" s="102"/>
      <c r="H58" s="102"/>
      <c r="I58" s="97"/>
      <c r="J58" s="90"/>
      <c r="K58" s="97"/>
      <c r="L58" s="90"/>
      <c r="M58" s="90"/>
      <c r="N58" s="90"/>
      <c r="O58" s="97"/>
      <c r="P58" s="90"/>
      <c r="Q58" s="97"/>
      <c r="R58" s="90"/>
      <c r="S58" s="97"/>
      <c r="T58" s="90"/>
      <c r="U58" s="97"/>
      <c r="V58" s="90"/>
      <c r="W58" s="97"/>
      <c r="X58" s="90"/>
      <c r="Y58" s="97"/>
      <c r="Z58" s="90"/>
      <c r="AA58" s="97"/>
      <c r="AB58" s="90"/>
      <c r="AC58" s="97"/>
      <c r="AD58" s="90"/>
      <c r="AE58" s="97"/>
      <c r="AF58" s="90"/>
      <c r="AG58" s="97"/>
      <c r="AH58" s="90"/>
      <c r="AI58" s="97"/>
      <c r="AJ58" s="90"/>
      <c r="AK58" s="97"/>
      <c r="AL58" s="90"/>
      <c r="AM58" s="77"/>
      <c r="AN58" s="77"/>
      <c r="AO58" s="77"/>
      <c r="AP58" s="77"/>
      <c r="AQ58" s="77"/>
      <c r="AR58" s="77"/>
      <c r="AS58" s="77"/>
      <c r="AT58" s="77"/>
    </row>
    <row r="59" spans="1:46" s="84" customFormat="1" ht="14.25">
      <c r="A59" s="77"/>
      <c r="B59" s="98"/>
      <c r="C59" s="83"/>
      <c r="F59" s="102"/>
      <c r="G59" s="102"/>
      <c r="H59" s="102"/>
      <c r="I59" s="97"/>
      <c r="J59" s="90"/>
      <c r="K59" s="97"/>
      <c r="L59" s="90"/>
      <c r="M59" s="90"/>
      <c r="N59" s="90"/>
      <c r="O59" s="97"/>
      <c r="P59" s="90"/>
      <c r="Q59" s="97"/>
      <c r="R59" s="90"/>
      <c r="S59" s="97"/>
      <c r="T59" s="90"/>
      <c r="U59" s="97"/>
      <c r="V59" s="90"/>
      <c r="W59" s="97"/>
      <c r="X59" s="90"/>
      <c r="Y59" s="97"/>
      <c r="Z59" s="90"/>
      <c r="AA59" s="97"/>
      <c r="AB59" s="90"/>
      <c r="AC59" s="97"/>
      <c r="AD59" s="90"/>
      <c r="AE59" s="97"/>
      <c r="AF59" s="90"/>
      <c r="AG59" s="97"/>
      <c r="AH59" s="90"/>
      <c r="AI59" s="97"/>
      <c r="AJ59" s="90"/>
      <c r="AK59" s="97"/>
      <c r="AL59" s="90"/>
      <c r="AM59" s="77"/>
      <c r="AN59" s="77"/>
      <c r="AO59" s="77"/>
      <c r="AP59" s="77"/>
      <c r="AQ59" s="77"/>
      <c r="AR59" s="77"/>
      <c r="AS59" s="77"/>
      <c r="AT59" s="77"/>
    </row>
    <row r="60" spans="1:46" s="84" customFormat="1" ht="14.25">
      <c r="A60" s="77"/>
      <c r="B60" s="98"/>
      <c r="C60" s="83"/>
      <c r="F60" s="102"/>
      <c r="G60" s="102"/>
      <c r="H60" s="102"/>
      <c r="I60" s="97"/>
      <c r="J60" s="90"/>
      <c r="K60" s="97"/>
      <c r="L60" s="90"/>
      <c r="M60" s="90"/>
      <c r="N60" s="90"/>
      <c r="O60" s="97"/>
      <c r="P60" s="90"/>
      <c r="Q60" s="97"/>
      <c r="R60" s="90"/>
      <c r="S60" s="97"/>
      <c r="T60" s="90"/>
      <c r="U60" s="97"/>
      <c r="V60" s="90"/>
      <c r="W60" s="97"/>
      <c r="X60" s="90"/>
      <c r="Y60" s="97"/>
      <c r="Z60" s="90"/>
      <c r="AA60" s="97"/>
      <c r="AB60" s="90"/>
      <c r="AC60" s="97"/>
      <c r="AD60" s="90"/>
      <c r="AE60" s="97"/>
      <c r="AF60" s="90"/>
      <c r="AG60" s="97"/>
      <c r="AH60" s="90"/>
      <c r="AI60" s="97"/>
      <c r="AJ60" s="90"/>
      <c r="AK60" s="97"/>
      <c r="AL60" s="90"/>
      <c r="AM60" s="77"/>
      <c r="AN60" s="77"/>
      <c r="AO60" s="77"/>
      <c r="AP60" s="77"/>
      <c r="AQ60" s="77"/>
      <c r="AR60" s="77"/>
      <c r="AS60" s="77"/>
      <c r="AT60" s="77"/>
    </row>
    <row r="61" spans="1:46" s="84" customFormat="1" ht="14.25">
      <c r="A61" s="77"/>
      <c r="B61" s="98"/>
      <c r="C61" s="83"/>
      <c r="F61" s="102"/>
      <c r="G61" s="102"/>
      <c r="H61" s="102"/>
      <c r="I61" s="97"/>
      <c r="J61" s="90"/>
      <c r="K61" s="97"/>
      <c r="L61" s="90"/>
      <c r="M61" s="90"/>
      <c r="N61" s="90"/>
      <c r="O61" s="97"/>
      <c r="P61" s="90"/>
      <c r="Q61" s="97"/>
      <c r="R61" s="90"/>
      <c r="S61" s="97"/>
      <c r="T61" s="90"/>
      <c r="U61" s="97"/>
      <c r="V61" s="90"/>
      <c r="W61" s="97"/>
      <c r="X61" s="90"/>
      <c r="Y61" s="97"/>
      <c r="Z61" s="90"/>
      <c r="AA61" s="97"/>
      <c r="AB61" s="90"/>
      <c r="AC61" s="97"/>
      <c r="AD61" s="90"/>
      <c r="AE61" s="97"/>
      <c r="AF61" s="90"/>
      <c r="AG61" s="97"/>
      <c r="AH61" s="90"/>
      <c r="AI61" s="97"/>
      <c r="AJ61" s="90"/>
      <c r="AK61" s="97"/>
      <c r="AL61" s="90"/>
      <c r="AM61" s="77"/>
      <c r="AN61" s="77"/>
      <c r="AO61" s="77"/>
      <c r="AP61" s="77"/>
      <c r="AQ61" s="77"/>
      <c r="AR61" s="77"/>
      <c r="AS61" s="77"/>
      <c r="AT61" s="77"/>
    </row>
    <row r="62" spans="1:46" s="84" customFormat="1" ht="14.25">
      <c r="A62" s="77"/>
      <c r="B62" s="98"/>
      <c r="C62" s="83"/>
      <c r="F62" s="102"/>
      <c r="G62" s="102"/>
      <c r="H62" s="102"/>
      <c r="I62" s="97"/>
      <c r="J62" s="90"/>
      <c r="K62" s="97"/>
      <c r="L62" s="90"/>
      <c r="M62" s="90"/>
      <c r="N62" s="90"/>
      <c r="O62" s="97"/>
      <c r="P62" s="90"/>
      <c r="Q62" s="97"/>
      <c r="R62" s="90"/>
      <c r="S62" s="97"/>
      <c r="T62" s="90"/>
      <c r="U62" s="97"/>
      <c r="V62" s="90"/>
      <c r="W62" s="97"/>
      <c r="X62" s="90"/>
      <c r="Y62" s="97"/>
      <c r="Z62" s="90"/>
      <c r="AA62" s="97"/>
      <c r="AB62" s="90"/>
      <c r="AC62" s="97"/>
      <c r="AD62" s="90"/>
      <c r="AE62" s="97"/>
      <c r="AF62" s="90"/>
      <c r="AG62" s="97"/>
      <c r="AH62" s="90"/>
      <c r="AI62" s="97"/>
      <c r="AJ62" s="90"/>
      <c r="AK62" s="97"/>
      <c r="AL62" s="90"/>
      <c r="AM62" s="77"/>
      <c r="AN62" s="77"/>
      <c r="AO62" s="77"/>
      <c r="AP62" s="77"/>
      <c r="AQ62" s="77"/>
      <c r="AR62" s="77"/>
      <c r="AS62" s="77"/>
      <c r="AT62" s="77"/>
    </row>
    <row r="63" spans="1:46" s="84" customFormat="1" ht="14.25">
      <c r="A63" s="77"/>
      <c r="B63" s="98"/>
      <c r="C63" s="83"/>
      <c r="F63" s="102"/>
      <c r="G63" s="102"/>
      <c r="H63" s="102"/>
      <c r="I63" s="97"/>
      <c r="J63" s="90"/>
      <c r="K63" s="97"/>
      <c r="L63" s="90"/>
      <c r="M63" s="90"/>
      <c r="N63" s="90"/>
      <c r="O63" s="97"/>
      <c r="P63" s="90"/>
      <c r="Q63" s="97"/>
      <c r="R63" s="90"/>
      <c r="S63" s="97"/>
      <c r="T63" s="90"/>
      <c r="U63" s="97"/>
      <c r="V63" s="90"/>
      <c r="W63" s="97"/>
      <c r="X63" s="90"/>
      <c r="Y63" s="97"/>
      <c r="Z63" s="90"/>
      <c r="AA63" s="97"/>
      <c r="AB63" s="90"/>
      <c r="AC63" s="97"/>
      <c r="AD63" s="90"/>
      <c r="AE63" s="97"/>
      <c r="AF63" s="90"/>
      <c r="AG63" s="97"/>
      <c r="AH63" s="90"/>
      <c r="AI63" s="97"/>
      <c r="AJ63" s="90"/>
      <c r="AK63" s="97"/>
      <c r="AL63" s="90"/>
      <c r="AM63" s="77"/>
      <c r="AN63" s="77"/>
      <c r="AO63" s="77"/>
      <c r="AP63" s="77"/>
      <c r="AQ63" s="77"/>
      <c r="AR63" s="77"/>
      <c r="AS63" s="77"/>
      <c r="AT63" s="77"/>
    </row>
    <row r="64" spans="1:46" s="84" customFormat="1" ht="14.25">
      <c r="A64" s="77"/>
      <c r="B64" s="98"/>
      <c r="C64" s="83"/>
      <c r="F64" s="102"/>
      <c r="G64" s="102"/>
      <c r="H64" s="102"/>
      <c r="I64" s="97"/>
      <c r="J64" s="90"/>
      <c r="K64" s="97"/>
      <c r="L64" s="90"/>
      <c r="M64" s="90"/>
      <c r="N64" s="90"/>
      <c r="O64" s="97"/>
      <c r="P64" s="90"/>
      <c r="Q64" s="97"/>
      <c r="R64" s="90"/>
      <c r="S64" s="97"/>
      <c r="T64" s="90"/>
      <c r="U64" s="97"/>
      <c r="V64" s="90"/>
      <c r="W64" s="97"/>
      <c r="X64" s="90"/>
      <c r="Y64" s="97"/>
      <c r="Z64" s="90"/>
      <c r="AA64" s="97"/>
      <c r="AB64" s="90"/>
      <c r="AC64" s="97"/>
      <c r="AD64" s="90"/>
      <c r="AE64" s="97"/>
      <c r="AF64" s="90"/>
      <c r="AG64" s="97"/>
      <c r="AH64" s="90"/>
      <c r="AI64" s="97"/>
      <c r="AJ64" s="90"/>
      <c r="AK64" s="97"/>
      <c r="AL64" s="90"/>
      <c r="AM64" s="77"/>
      <c r="AN64" s="77"/>
      <c r="AO64" s="77"/>
      <c r="AP64" s="77"/>
      <c r="AQ64" s="77"/>
      <c r="AR64" s="77"/>
      <c r="AS64" s="77"/>
      <c r="AT64" s="77"/>
    </row>
    <row r="65" spans="1:46" s="84" customFormat="1" ht="14.25">
      <c r="A65" s="77"/>
      <c r="B65" s="98"/>
      <c r="C65" s="83"/>
      <c r="F65" s="102"/>
      <c r="G65" s="102"/>
      <c r="H65" s="102"/>
      <c r="I65" s="97"/>
      <c r="J65" s="90"/>
      <c r="K65" s="97"/>
      <c r="L65" s="90"/>
      <c r="M65" s="90"/>
      <c r="N65" s="90"/>
      <c r="O65" s="97"/>
      <c r="P65" s="90"/>
      <c r="Q65" s="97"/>
      <c r="R65" s="90"/>
      <c r="S65" s="97"/>
      <c r="T65" s="90"/>
      <c r="U65" s="97"/>
      <c r="V65" s="90"/>
      <c r="W65" s="97"/>
      <c r="X65" s="90"/>
      <c r="Y65" s="97"/>
      <c r="Z65" s="90"/>
      <c r="AA65" s="97"/>
      <c r="AB65" s="90"/>
      <c r="AC65" s="97"/>
      <c r="AD65" s="90"/>
      <c r="AE65" s="97"/>
      <c r="AF65" s="90"/>
      <c r="AG65" s="97"/>
      <c r="AH65" s="90"/>
      <c r="AI65" s="97"/>
      <c r="AJ65" s="90"/>
      <c r="AK65" s="97"/>
      <c r="AL65" s="90"/>
      <c r="AM65" s="77"/>
      <c r="AN65" s="77"/>
      <c r="AO65" s="77"/>
      <c r="AP65" s="77"/>
      <c r="AQ65" s="77"/>
      <c r="AR65" s="77"/>
      <c r="AS65" s="77"/>
      <c r="AT65" s="77"/>
    </row>
    <row r="66" spans="1:46" s="84" customFormat="1" ht="14.25">
      <c r="A66" s="77"/>
      <c r="B66" s="98"/>
      <c r="C66" s="83"/>
      <c r="F66" s="102"/>
      <c r="G66" s="102"/>
      <c r="H66" s="102"/>
      <c r="I66" s="97"/>
      <c r="J66" s="90"/>
      <c r="K66" s="97"/>
      <c r="L66" s="90"/>
      <c r="M66" s="90"/>
      <c r="N66" s="90"/>
      <c r="O66" s="97"/>
      <c r="P66" s="90"/>
      <c r="Q66" s="97"/>
      <c r="R66" s="90"/>
      <c r="S66" s="97"/>
      <c r="T66" s="90"/>
      <c r="U66" s="97"/>
      <c r="V66" s="90"/>
      <c r="W66" s="97"/>
      <c r="X66" s="90"/>
      <c r="Y66" s="97"/>
      <c r="Z66" s="90"/>
      <c r="AA66" s="97"/>
      <c r="AB66" s="90"/>
      <c r="AC66" s="97"/>
      <c r="AD66" s="90"/>
      <c r="AE66" s="97"/>
      <c r="AF66" s="90"/>
      <c r="AG66" s="97"/>
      <c r="AH66" s="90"/>
      <c r="AI66" s="97"/>
      <c r="AJ66" s="90"/>
      <c r="AK66" s="97"/>
      <c r="AL66" s="90"/>
      <c r="AM66" s="77"/>
      <c r="AN66" s="77"/>
      <c r="AO66" s="77"/>
      <c r="AP66" s="77"/>
      <c r="AQ66" s="77"/>
      <c r="AR66" s="77"/>
      <c r="AS66" s="77"/>
      <c r="AT66" s="77"/>
    </row>
    <row r="67" spans="1:46" s="84" customFormat="1" ht="14.25">
      <c r="A67" s="77"/>
      <c r="B67" s="98"/>
      <c r="C67" s="83"/>
      <c r="F67" s="102"/>
      <c r="G67" s="102"/>
      <c r="H67" s="102"/>
      <c r="I67" s="97"/>
      <c r="J67" s="90"/>
      <c r="K67" s="97"/>
      <c r="L67" s="90"/>
      <c r="M67" s="90"/>
      <c r="N67" s="90"/>
      <c r="O67" s="97"/>
      <c r="P67" s="90"/>
      <c r="Q67" s="97"/>
      <c r="R67" s="90"/>
      <c r="S67" s="97"/>
      <c r="T67" s="90"/>
      <c r="U67" s="97"/>
      <c r="V67" s="90"/>
      <c r="W67" s="97"/>
      <c r="X67" s="90"/>
      <c r="Y67" s="97"/>
      <c r="Z67" s="90"/>
      <c r="AA67" s="97"/>
      <c r="AB67" s="90"/>
      <c r="AC67" s="97"/>
      <c r="AD67" s="90"/>
      <c r="AE67" s="97"/>
      <c r="AF67" s="90"/>
      <c r="AG67" s="97"/>
      <c r="AH67" s="90"/>
      <c r="AI67" s="97"/>
      <c r="AJ67" s="90"/>
      <c r="AK67" s="97"/>
      <c r="AL67" s="90"/>
      <c r="AM67" s="77"/>
      <c r="AN67" s="77"/>
      <c r="AO67" s="77"/>
      <c r="AP67" s="77"/>
      <c r="AQ67" s="77"/>
      <c r="AR67" s="77"/>
      <c r="AS67" s="77"/>
      <c r="AT67" s="77"/>
    </row>
    <row r="68" spans="1:46" s="84" customFormat="1" ht="14.25">
      <c r="A68" s="77"/>
      <c r="B68" s="98"/>
      <c r="C68" s="83"/>
      <c r="F68" s="102"/>
      <c r="G68" s="102"/>
      <c r="H68" s="102"/>
      <c r="I68" s="97"/>
      <c r="J68" s="90"/>
      <c r="K68" s="97"/>
      <c r="L68" s="90"/>
      <c r="M68" s="90"/>
      <c r="N68" s="90"/>
      <c r="O68" s="97"/>
      <c r="P68" s="90"/>
      <c r="Q68" s="97"/>
      <c r="R68" s="90"/>
      <c r="S68" s="97"/>
      <c r="T68" s="90"/>
      <c r="U68" s="97"/>
      <c r="V68" s="90"/>
      <c r="W68" s="97"/>
      <c r="X68" s="90"/>
      <c r="Y68" s="97"/>
      <c r="Z68" s="90"/>
      <c r="AA68" s="97"/>
      <c r="AB68" s="90"/>
      <c r="AC68" s="97"/>
      <c r="AD68" s="90"/>
      <c r="AE68" s="97"/>
      <c r="AF68" s="90"/>
      <c r="AG68" s="97"/>
      <c r="AH68" s="90"/>
      <c r="AI68" s="97"/>
      <c r="AJ68" s="90"/>
      <c r="AK68" s="97"/>
      <c r="AL68" s="90"/>
      <c r="AM68" s="77"/>
      <c r="AN68" s="77"/>
      <c r="AO68" s="77"/>
      <c r="AP68" s="77"/>
      <c r="AQ68" s="77"/>
      <c r="AR68" s="77"/>
      <c r="AS68" s="77"/>
      <c r="AT68" s="77"/>
    </row>
    <row r="69" spans="1:46" s="84" customFormat="1" ht="14.25">
      <c r="A69" s="77"/>
      <c r="B69" s="98"/>
      <c r="C69" s="83"/>
      <c r="F69" s="102"/>
      <c r="G69" s="102"/>
      <c r="H69" s="102"/>
      <c r="I69" s="97"/>
      <c r="J69" s="90"/>
      <c r="K69" s="97"/>
      <c r="L69" s="90"/>
      <c r="M69" s="90"/>
      <c r="N69" s="90"/>
      <c r="O69" s="97"/>
      <c r="P69" s="90"/>
      <c r="Q69" s="97"/>
      <c r="R69" s="90"/>
      <c r="S69" s="97"/>
      <c r="T69" s="90"/>
      <c r="U69" s="97"/>
      <c r="V69" s="90"/>
      <c r="W69" s="97"/>
      <c r="X69" s="90"/>
      <c r="Y69" s="97"/>
      <c r="Z69" s="90"/>
      <c r="AA69" s="97"/>
      <c r="AB69" s="90"/>
      <c r="AC69" s="97"/>
      <c r="AD69" s="90"/>
      <c r="AE69" s="97"/>
      <c r="AF69" s="90"/>
      <c r="AG69" s="97"/>
      <c r="AH69" s="90"/>
      <c r="AI69" s="97"/>
      <c r="AJ69" s="90"/>
      <c r="AK69" s="97"/>
      <c r="AL69" s="90"/>
      <c r="AM69" s="77"/>
      <c r="AN69" s="77"/>
      <c r="AO69" s="77"/>
      <c r="AP69" s="77"/>
      <c r="AQ69" s="77"/>
      <c r="AR69" s="77"/>
      <c r="AS69" s="77"/>
      <c r="AT69" s="77"/>
    </row>
    <row r="70" spans="1:46" s="84" customFormat="1" ht="14.25">
      <c r="A70" s="77"/>
      <c r="B70" s="98"/>
      <c r="C70" s="83"/>
      <c r="F70" s="102"/>
      <c r="G70" s="102"/>
      <c r="H70" s="102"/>
      <c r="I70" s="97"/>
      <c r="J70" s="90"/>
      <c r="K70" s="97"/>
      <c r="L70" s="90"/>
      <c r="M70" s="90"/>
      <c r="N70" s="90"/>
      <c r="O70" s="97"/>
      <c r="P70" s="90"/>
      <c r="Q70" s="97"/>
      <c r="R70" s="90"/>
      <c r="S70" s="97"/>
      <c r="T70" s="90"/>
      <c r="U70" s="97"/>
      <c r="V70" s="90"/>
      <c r="W70" s="97"/>
      <c r="X70" s="90"/>
      <c r="Y70" s="97"/>
      <c r="Z70" s="90"/>
      <c r="AA70" s="97"/>
      <c r="AB70" s="90"/>
      <c r="AC70" s="97"/>
      <c r="AD70" s="90"/>
      <c r="AE70" s="97"/>
      <c r="AF70" s="90"/>
      <c r="AG70" s="97"/>
      <c r="AH70" s="90"/>
      <c r="AI70" s="97"/>
      <c r="AJ70" s="90"/>
      <c r="AK70" s="97"/>
      <c r="AL70" s="90"/>
      <c r="AM70" s="77"/>
      <c r="AN70" s="77"/>
      <c r="AO70" s="77"/>
      <c r="AP70" s="77"/>
      <c r="AQ70" s="77"/>
      <c r="AR70" s="77"/>
      <c r="AS70" s="77"/>
      <c r="AT70" s="77"/>
    </row>
    <row r="71" spans="1:46" s="84" customFormat="1" ht="14.25">
      <c r="A71" s="77"/>
      <c r="B71" s="98"/>
      <c r="C71" s="83"/>
      <c r="F71" s="102"/>
      <c r="G71" s="102"/>
      <c r="H71" s="102"/>
      <c r="I71" s="97"/>
      <c r="J71" s="90"/>
      <c r="K71" s="97"/>
      <c r="L71" s="90"/>
      <c r="M71" s="90"/>
      <c r="N71" s="90"/>
      <c r="O71" s="97"/>
      <c r="P71" s="90"/>
      <c r="Q71" s="97"/>
      <c r="R71" s="90"/>
      <c r="S71" s="97"/>
      <c r="T71" s="90"/>
      <c r="U71" s="97"/>
      <c r="V71" s="90"/>
      <c r="W71" s="97"/>
      <c r="X71" s="90"/>
      <c r="Y71" s="97"/>
      <c r="Z71" s="90"/>
      <c r="AA71" s="97"/>
      <c r="AB71" s="90"/>
      <c r="AC71" s="97"/>
      <c r="AD71" s="90"/>
      <c r="AE71" s="97"/>
      <c r="AF71" s="90"/>
      <c r="AG71" s="97"/>
      <c r="AH71" s="90"/>
      <c r="AI71" s="97"/>
      <c r="AJ71" s="90"/>
      <c r="AK71" s="97"/>
      <c r="AL71" s="90"/>
      <c r="AM71" s="77"/>
      <c r="AN71" s="77"/>
      <c r="AO71" s="77"/>
      <c r="AP71" s="77"/>
      <c r="AQ71" s="77"/>
      <c r="AR71" s="77"/>
      <c r="AS71" s="77"/>
      <c r="AT71" s="77"/>
    </row>
    <row r="72" spans="1:46" s="84" customFormat="1" ht="14.25">
      <c r="A72" s="77"/>
      <c r="B72" s="98"/>
      <c r="C72" s="83"/>
      <c r="F72" s="102"/>
      <c r="G72" s="102"/>
      <c r="H72" s="102"/>
      <c r="I72" s="97"/>
      <c r="J72" s="90"/>
      <c r="K72" s="97"/>
      <c r="L72" s="90"/>
      <c r="M72" s="90"/>
      <c r="N72" s="90"/>
      <c r="O72" s="97"/>
      <c r="P72" s="90"/>
      <c r="Q72" s="97"/>
      <c r="R72" s="90"/>
      <c r="S72" s="97"/>
      <c r="T72" s="90"/>
      <c r="U72" s="97"/>
      <c r="V72" s="90"/>
      <c r="W72" s="97"/>
      <c r="X72" s="90"/>
      <c r="Y72" s="97"/>
      <c r="Z72" s="90"/>
      <c r="AA72" s="97"/>
      <c r="AB72" s="90"/>
      <c r="AC72" s="97"/>
      <c r="AD72" s="90"/>
      <c r="AE72" s="97"/>
      <c r="AF72" s="90"/>
      <c r="AG72" s="97"/>
      <c r="AH72" s="90"/>
      <c r="AI72" s="97"/>
      <c r="AJ72" s="90"/>
      <c r="AK72" s="97"/>
      <c r="AL72" s="90"/>
      <c r="AM72" s="77"/>
      <c r="AN72" s="77"/>
      <c r="AO72" s="77"/>
      <c r="AP72" s="77"/>
      <c r="AQ72" s="77"/>
      <c r="AR72" s="77"/>
      <c r="AS72" s="77"/>
      <c r="AT72" s="77"/>
    </row>
    <row r="73" spans="1:46" s="84" customFormat="1" ht="14.25">
      <c r="A73" s="77"/>
      <c r="B73" s="98"/>
      <c r="C73" s="83"/>
      <c r="F73" s="102"/>
      <c r="G73" s="102"/>
      <c r="H73" s="102"/>
      <c r="I73" s="97"/>
      <c r="J73" s="90"/>
      <c r="K73" s="97"/>
      <c r="L73" s="90"/>
      <c r="M73" s="90"/>
      <c r="N73" s="90"/>
      <c r="O73" s="97"/>
      <c r="P73" s="90"/>
      <c r="Q73" s="97"/>
      <c r="R73" s="90"/>
      <c r="S73" s="97"/>
      <c r="T73" s="90"/>
      <c r="U73" s="97"/>
      <c r="V73" s="90"/>
      <c r="W73" s="97"/>
      <c r="X73" s="90"/>
      <c r="Y73" s="97"/>
      <c r="Z73" s="90"/>
      <c r="AA73" s="97"/>
      <c r="AB73" s="90"/>
      <c r="AC73" s="97"/>
      <c r="AD73" s="90"/>
      <c r="AE73" s="97"/>
      <c r="AF73" s="90"/>
      <c r="AG73" s="97"/>
      <c r="AH73" s="90"/>
      <c r="AI73" s="97"/>
      <c r="AJ73" s="90"/>
      <c r="AK73" s="97"/>
      <c r="AL73" s="90"/>
      <c r="AM73" s="77"/>
      <c r="AN73" s="77"/>
      <c r="AO73" s="77"/>
      <c r="AP73" s="77"/>
      <c r="AQ73" s="77"/>
      <c r="AR73" s="77"/>
      <c r="AS73" s="77"/>
      <c r="AT73" s="77"/>
    </row>
    <row r="74" spans="1:46" s="84" customFormat="1" ht="14.25">
      <c r="A74" s="77"/>
      <c r="B74" s="98"/>
      <c r="C74" s="83"/>
      <c r="F74" s="102"/>
      <c r="G74" s="102"/>
      <c r="H74" s="102"/>
      <c r="I74" s="97"/>
      <c r="J74" s="90"/>
      <c r="K74" s="97"/>
      <c r="L74" s="90"/>
      <c r="M74" s="90"/>
      <c r="N74" s="90"/>
      <c r="O74" s="97"/>
      <c r="P74" s="90"/>
      <c r="Q74" s="97"/>
      <c r="R74" s="90"/>
      <c r="S74" s="97"/>
      <c r="T74" s="90"/>
      <c r="U74" s="97"/>
      <c r="V74" s="90"/>
      <c r="W74" s="97"/>
      <c r="X74" s="90"/>
      <c r="Y74" s="97"/>
      <c r="Z74" s="90"/>
      <c r="AA74" s="97"/>
      <c r="AB74" s="90"/>
      <c r="AC74" s="97"/>
      <c r="AD74" s="90"/>
      <c r="AE74" s="97"/>
      <c r="AF74" s="90"/>
      <c r="AG74" s="97"/>
      <c r="AH74" s="90"/>
      <c r="AI74" s="97"/>
      <c r="AJ74" s="90"/>
      <c r="AK74" s="97"/>
      <c r="AL74" s="90"/>
      <c r="AM74" s="77"/>
      <c r="AN74" s="77"/>
      <c r="AO74" s="77"/>
      <c r="AP74" s="77"/>
      <c r="AQ74" s="77"/>
      <c r="AR74" s="77"/>
      <c r="AS74" s="77"/>
      <c r="AT74" s="77"/>
    </row>
    <row r="75" spans="1:46" s="84" customFormat="1" ht="14.25">
      <c r="A75" s="77"/>
      <c r="B75" s="98"/>
      <c r="C75" s="83"/>
      <c r="F75" s="102"/>
      <c r="G75" s="102"/>
      <c r="H75" s="102"/>
      <c r="I75" s="97"/>
      <c r="J75" s="90"/>
      <c r="K75" s="97"/>
      <c r="L75" s="90"/>
      <c r="M75" s="90"/>
      <c r="N75" s="90"/>
      <c r="O75" s="97"/>
      <c r="P75" s="90"/>
      <c r="Q75" s="97"/>
      <c r="R75" s="90"/>
      <c r="S75" s="97"/>
      <c r="T75" s="90"/>
      <c r="U75" s="97"/>
      <c r="V75" s="90"/>
      <c r="W75" s="97"/>
      <c r="X75" s="90"/>
      <c r="Y75" s="97"/>
      <c r="Z75" s="90"/>
      <c r="AA75" s="97"/>
      <c r="AB75" s="90"/>
      <c r="AC75" s="97"/>
      <c r="AD75" s="90"/>
      <c r="AE75" s="97"/>
      <c r="AF75" s="90"/>
      <c r="AG75" s="97"/>
      <c r="AH75" s="90"/>
      <c r="AI75" s="97"/>
      <c r="AJ75" s="90"/>
      <c r="AK75" s="97"/>
      <c r="AL75" s="90"/>
      <c r="AM75" s="77"/>
      <c r="AN75" s="77"/>
      <c r="AO75" s="77"/>
      <c r="AP75" s="77"/>
      <c r="AQ75" s="77"/>
      <c r="AR75" s="77"/>
      <c r="AS75" s="77"/>
      <c r="AT75" s="77"/>
    </row>
    <row r="76" spans="1:46" s="84" customFormat="1" ht="14.25">
      <c r="A76" s="77"/>
      <c r="B76" s="98"/>
      <c r="C76" s="83"/>
      <c r="F76" s="102"/>
      <c r="G76" s="102"/>
      <c r="H76" s="102"/>
      <c r="I76" s="97"/>
      <c r="J76" s="90"/>
      <c r="K76" s="97"/>
      <c r="L76" s="90"/>
      <c r="M76" s="90"/>
      <c r="N76" s="90"/>
      <c r="O76" s="97"/>
      <c r="P76" s="90"/>
      <c r="Q76" s="97"/>
      <c r="R76" s="90"/>
      <c r="S76" s="97"/>
      <c r="T76" s="90"/>
      <c r="U76" s="97"/>
      <c r="V76" s="90"/>
      <c r="W76" s="97"/>
      <c r="X76" s="90"/>
      <c r="Y76" s="97"/>
      <c r="Z76" s="90"/>
      <c r="AA76" s="97"/>
      <c r="AB76" s="90"/>
      <c r="AC76" s="97"/>
      <c r="AD76" s="90"/>
      <c r="AE76" s="97"/>
      <c r="AF76" s="90"/>
      <c r="AG76" s="97"/>
      <c r="AH76" s="90"/>
      <c r="AI76" s="97"/>
      <c r="AJ76" s="90"/>
      <c r="AK76" s="97"/>
      <c r="AL76" s="90"/>
      <c r="AM76" s="77"/>
      <c r="AN76" s="77"/>
      <c r="AO76" s="77"/>
      <c r="AP76" s="77"/>
      <c r="AQ76" s="77"/>
      <c r="AR76" s="77"/>
      <c r="AS76" s="77"/>
      <c r="AT76" s="77"/>
    </row>
    <row r="77" spans="1:46" s="84" customFormat="1" ht="14.25">
      <c r="A77" s="77"/>
      <c r="B77" s="98"/>
      <c r="C77" s="83"/>
      <c r="F77" s="102"/>
      <c r="G77" s="102"/>
      <c r="H77" s="102"/>
      <c r="I77" s="97"/>
      <c r="J77" s="90"/>
      <c r="K77" s="97"/>
      <c r="L77" s="90"/>
      <c r="M77" s="90"/>
      <c r="N77" s="90"/>
      <c r="O77" s="97"/>
      <c r="P77" s="90"/>
      <c r="Q77" s="97"/>
      <c r="R77" s="90"/>
      <c r="S77" s="97"/>
      <c r="T77" s="90"/>
      <c r="U77" s="97"/>
      <c r="V77" s="90"/>
      <c r="W77" s="97"/>
      <c r="X77" s="90"/>
      <c r="Y77" s="97"/>
      <c r="Z77" s="90"/>
      <c r="AA77" s="97"/>
      <c r="AB77" s="90"/>
      <c r="AC77" s="97"/>
      <c r="AD77" s="90"/>
      <c r="AE77" s="97"/>
      <c r="AF77" s="90"/>
      <c r="AG77" s="97"/>
      <c r="AH77" s="90"/>
      <c r="AI77" s="97"/>
      <c r="AJ77" s="90"/>
      <c r="AK77" s="97"/>
      <c r="AL77" s="90"/>
      <c r="AM77" s="77"/>
      <c r="AN77" s="77"/>
      <c r="AO77" s="77"/>
      <c r="AP77" s="77"/>
      <c r="AQ77" s="77"/>
      <c r="AR77" s="77"/>
      <c r="AS77" s="77"/>
      <c r="AT77" s="77"/>
    </row>
    <row r="78" spans="1:46" s="84" customFormat="1" ht="14.25">
      <c r="A78" s="77"/>
      <c r="B78" s="98"/>
      <c r="C78" s="83"/>
      <c r="F78" s="102"/>
      <c r="G78" s="102"/>
      <c r="H78" s="102"/>
      <c r="I78" s="97"/>
      <c r="J78" s="90"/>
      <c r="K78" s="97"/>
      <c r="L78" s="90"/>
      <c r="M78" s="90"/>
      <c r="N78" s="90"/>
      <c r="O78" s="97"/>
      <c r="P78" s="90"/>
      <c r="Q78" s="97"/>
      <c r="R78" s="90"/>
      <c r="S78" s="97"/>
      <c r="T78" s="90"/>
      <c r="U78" s="97"/>
      <c r="V78" s="90"/>
      <c r="W78" s="97"/>
      <c r="X78" s="90"/>
      <c r="Y78" s="97"/>
      <c r="Z78" s="90"/>
      <c r="AA78" s="97"/>
      <c r="AB78" s="90"/>
      <c r="AC78" s="97"/>
      <c r="AD78" s="90"/>
      <c r="AE78" s="97"/>
      <c r="AF78" s="90"/>
      <c r="AG78" s="97"/>
      <c r="AH78" s="90"/>
      <c r="AI78" s="97"/>
      <c r="AJ78" s="90"/>
      <c r="AK78" s="97"/>
      <c r="AL78" s="90"/>
      <c r="AM78" s="77"/>
      <c r="AN78" s="77"/>
      <c r="AO78" s="77"/>
      <c r="AP78" s="77"/>
      <c r="AQ78" s="77"/>
      <c r="AR78" s="77"/>
      <c r="AS78" s="77"/>
      <c r="AT78" s="77"/>
    </row>
    <row r="79" spans="1:46" s="84" customFormat="1" ht="14.25">
      <c r="A79" s="77"/>
      <c r="B79" s="98"/>
      <c r="C79" s="83"/>
      <c r="F79" s="102"/>
      <c r="G79" s="102"/>
      <c r="H79" s="102"/>
      <c r="I79" s="97"/>
      <c r="J79" s="90"/>
      <c r="K79" s="97"/>
      <c r="L79" s="90"/>
      <c r="M79" s="90"/>
      <c r="N79" s="90"/>
      <c r="O79" s="97"/>
      <c r="P79" s="90"/>
      <c r="Q79" s="97"/>
      <c r="R79" s="90"/>
      <c r="S79" s="97"/>
      <c r="T79" s="90"/>
      <c r="U79" s="97"/>
      <c r="V79" s="90"/>
      <c r="W79" s="97"/>
      <c r="X79" s="90"/>
      <c r="Y79" s="97"/>
      <c r="Z79" s="90"/>
      <c r="AA79" s="97"/>
      <c r="AB79" s="90"/>
      <c r="AC79" s="97"/>
      <c r="AD79" s="90"/>
      <c r="AE79" s="97"/>
      <c r="AF79" s="90"/>
      <c r="AG79" s="97"/>
      <c r="AH79" s="90"/>
      <c r="AI79" s="97"/>
      <c r="AJ79" s="90"/>
      <c r="AK79" s="97"/>
      <c r="AL79" s="90"/>
      <c r="AM79" s="77"/>
      <c r="AN79" s="77"/>
      <c r="AO79" s="77"/>
      <c r="AP79" s="77"/>
      <c r="AQ79" s="77"/>
      <c r="AR79" s="77"/>
      <c r="AS79" s="77"/>
      <c r="AT79" s="77"/>
    </row>
    <row r="80" spans="1:46" s="84" customFormat="1" ht="14.25">
      <c r="A80" s="77"/>
      <c r="B80" s="98"/>
      <c r="C80" s="83"/>
      <c r="F80" s="102"/>
      <c r="G80" s="102"/>
      <c r="H80" s="102"/>
      <c r="I80" s="97"/>
      <c r="J80" s="90"/>
      <c r="K80" s="97"/>
      <c r="L80" s="90"/>
      <c r="M80" s="90"/>
      <c r="N80" s="90"/>
      <c r="O80" s="97"/>
      <c r="P80" s="90"/>
      <c r="Q80" s="97"/>
      <c r="R80" s="90"/>
      <c r="S80" s="97"/>
      <c r="T80" s="90"/>
      <c r="U80" s="97"/>
      <c r="V80" s="90"/>
      <c r="W80" s="97"/>
      <c r="X80" s="90"/>
      <c r="Y80" s="97"/>
      <c r="Z80" s="90"/>
      <c r="AA80" s="97"/>
      <c r="AB80" s="90"/>
      <c r="AC80" s="97"/>
      <c r="AD80" s="90"/>
      <c r="AE80" s="97"/>
      <c r="AF80" s="90"/>
      <c r="AG80" s="97"/>
      <c r="AH80" s="90"/>
      <c r="AI80" s="97"/>
      <c r="AJ80" s="90"/>
      <c r="AK80" s="97"/>
      <c r="AL80" s="90"/>
      <c r="AM80" s="77"/>
      <c r="AN80" s="77"/>
      <c r="AO80" s="77"/>
      <c r="AP80" s="77"/>
      <c r="AQ80" s="77"/>
      <c r="AR80" s="77"/>
      <c r="AS80" s="77"/>
      <c r="AT80" s="77"/>
    </row>
    <row r="81" spans="1:46" s="84" customFormat="1" ht="14.25">
      <c r="A81" s="77"/>
      <c r="B81" s="98"/>
      <c r="C81" s="83"/>
      <c r="F81" s="102"/>
      <c r="G81" s="102"/>
      <c r="H81" s="102"/>
      <c r="I81" s="97"/>
      <c r="J81" s="90"/>
      <c r="K81" s="97"/>
      <c r="L81" s="90"/>
      <c r="M81" s="90"/>
      <c r="N81" s="90"/>
      <c r="O81" s="97"/>
      <c r="P81" s="90"/>
      <c r="Q81" s="97"/>
      <c r="R81" s="90"/>
      <c r="S81" s="97"/>
      <c r="T81" s="90"/>
      <c r="U81" s="97"/>
      <c r="V81" s="90"/>
      <c r="W81" s="97"/>
      <c r="X81" s="90"/>
      <c r="Y81" s="97"/>
      <c r="Z81" s="90"/>
      <c r="AA81" s="97"/>
      <c r="AB81" s="90"/>
      <c r="AC81" s="97"/>
      <c r="AD81" s="90"/>
      <c r="AE81" s="97"/>
      <c r="AF81" s="90"/>
      <c r="AG81" s="97"/>
      <c r="AH81" s="90"/>
      <c r="AI81" s="97"/>
      <c r="AJ81" s="90"/>
      <c r="AK81" s="97"/>
      <c r="AL81" s="90"/>
      <c r="AM81" s="77"/>
      <c r="AN81" s="77"/>
      <c r="AO81" s="77"/>
      <c r="AP81" s="77"/>
      <c r="AQ81" s="77"/>
      <c r="AR81" s="77"/>
      <c r="AS81" s="77"/>
      <c r="AT81" s="77"/>
    </row>
    <row r="82" spans="1:46" s="84" customFormat="1" ht="14.25">
      <c r="A82" s="77"/>
      <c r="B82" s="98"/>
      <c r="C82" s="83"/>
      <c r="F82" s="102"/>
      <c r="G82" s="102"/>
      <c r="H82" s="102"/>
      <c r="I82" s="97"/>
      <c r="J82" s="90"/>
      <c r="K82" s="97"/>
      <c r="L82" s="90"/>
      <c r="M82" s="90"/>
      <c r="N82" s="90"/>
      <c r="O82" s="97"/>
      <c r="P82" s="90"/>
      <c r="Q82" s="97"/>
      <c r="R82" s="90"/>
      <c r="S82" s="97"/>
      <c r="T82" s="90"/>
      <c r="U82" s="97"/>
      <c r="V82" s="90"/>
      <c r="W82" s="97"/>
      <c r="X82" s="90"/>
      <c r="Y82" s="97"/>
      <c r="Z82" s="90"/>
      <c r="AA82" s="97"/>
      <c r="AB82" s="90"/>
      <c r="AC82" s="97"/>
      <c r="AD82" s="90"/>
      <c r="AE82" s="97"/>
      <c r="AF82" s="90"/>
      <c r="AG82" s="97"/>
      <c r="AH82" s="90"/>
      <c r="AI82" s="97"/>
      <c r="AJ82" s="90"/>
      <c r="AK82" s="97"/>
      <c r="AL82" s="90"/>
      <c r="AM82" s="77"/>
      <c r="AN82" s="77"/>
      <c r="AO82" s="77"/>
      <c r="AP82" s="77"/>
      <c r="AQ82" s="77"/>
      <c r="AR82" s="77"/>
      <c r="AS82" s="77"/>
      <c r="AT82" s="77"/>
    </row>
    <row r="83" spans="1:46" s="84" customFormat="1" ht="14.25">
      <c r="A83" s="77"/>
      <c r="B83" s="98"/>
      <c r="C83" s="83"/>
      <c r="F83" s="102"/>
      <c r="G83" s="102"/>
      <c r="H83" s="102"/>
      <c r="I83" s="97"/>
      <c r="J83" s="90"/>
      <c r="K83" s="97"/>
      <c r="L83" s="90"/>
      <c r="M83" s="90"/>
      <c r="N83" s="90"/>
      <c r="O83" s="97"/>
      <c r="P83" s="90"/>
      <c r="Q83" s="97"/>
      <c r="R83" s="90"/>
      <c r="S83" s="97"/>
      <c r="T83" s="90"/>
      <c r="U83" s="97"/>
      <c r="V83" s="90"/>
      <c r="W83" s="97"/>
      <c r="X83" s="90"/>
      <c r="Y83" s="97"/>
      <c r="Z83" s="90"/>
      <c r="AA83" s="97"/>
      <c r="AB83" s="90"/>
      <c r="AC83" s="97"/>
      <c r="AD83" s="90"/>
      <c r="AE83" s="97"/>
      <c r="AF83" s="90"/>
      <c r="AG83" s="97"/>
      <c r="AH83" s="90"/>
      <c r="AI83" s="97"/>
      <c r="AJ83" s="90"/>
      <c r="AK83" s="97"/>
      <c r="AL83" s="90"/>
      <c r="AM83" s="77"/>
      <c r="AN83" s="77"/>
      <c r="AO83" s="77"/>
      <c r="AP83" s="77"/>
      <c r="AQ83" s="77"/>
      <c r="AR83" s="77"/>
      <c r="AS83" s="77"/>
      <c r="AT83" s="77"/>
    </row>
    <row r="84" spans="1:46" s="84" customFormat="1" ht="14.25">
      <c r="A84" s="77"/>
      <c r="B84" s="98"/>
      <c r="C84" s="83"/>
      <c r="F84" s="102"/>
      <c r="G84" s="102"/>
      <c r="H84" s="102"/>
      <c r="I84" s="97"/>
      <c r="J84" s="90"/>
      <c r="K84" s="97"/>
      <c r="L84" s="90"/>
      <c r="M84" s="90"/>
      <c r="N84" s="90"/>
      <c r="O84" s="97"/>
      <c r="P84" s="90"/>
      <c r="Q84" s="97"/>
      <c r="R84" s="90"/>
      <c r="S84" s="97"/>
      <c r="T84" s="90"/>
      <c r="U84" s="97"/>
      <c r="V84" s="90"/>
      <c r="W84" s="97"/>
      <c r="X84" s="90"/>
      <c r="Y84" s="97"/>
      <c r="Z84" s="90"/>
      <c r="AA84" s="97"/>
      <c r="AB84" s="90"/>
      <c r="AC84" s="97"/>
      <c r="AD84" s="90"/>
      <c r="AE84" s="97"/>
      <c r="AF84" s="90"/>
      <c r="AG84" s="97"/>
      <c r="AH84" s="90"/>
      <c r="AI84" s="97"/>
      <c r="AJ84" s="90"/>
      <c r="AK84" s="97"/>
      <c r="AL84" s="90"/>
      <c r="AM84" s="77"/>
      <c r="AN84" s="77"/>
      <c r="AO84" s="77"/>
      <c r="AP84" s="77"/>
      <c r="AQ84" s="77"/>
      <c r="AR84" s="77"/>
      <c r="AS84" s="77"/>
      <c r="AT84" s="77"/>
    </row>
    <row r="85" spans="1:46" s="84" customFormat="1" ht="14.25">
      <c r="A85" s="77"/>
      <c r="B85" s="98"/>
      <c r="C85" s="83"/>
      <c r="F85" s="102"/>
      <c r="G85" s="102"/>
      <c r="H85" s="102"/>
      <c r="I85" s="97"/>
      <c r="J85" s="90"/>
      <c r="K85" s="97"/>
      <c r="L85" s="90"/>
      <c r="M85" s="90"/>
      <c r="N85" s="90"/>
      <c r="O85" s="97"/>
      <c r="P85" s="90"/>
      <c r="Q85" s="97"/>
      <c r="R85" s="90"/>
      <c r="S85" s="97"/>
      <c r="T85" s="90"/>
      <c r="U85" s="97"/>
      <c r="V85" s="90"/>
      <c r="W85" s="97"/>
      <c r="X85" s="90"/>
      <c r="Y85" s="97"/>
      <c r="Z85" s="90"/>
      <c r="AA85" s="97"/>
      <c r="AB85" s="90"/>
      <c r="AC85" s="97"/>
      <c r="AD85" s="90"/>
      <c r="AE85" s="97"/>
      <c r="AF85" s="90"/>
      <c r="AG85" s="97"/>
      <c r="AH85" s="90"/>
      <c r="AI85" s="97"/>
      <c r="AJ85" s="90"/>
      <c r="AK85" s="97"/>
      <c r="AL85" s="90"/>
      <c r="AM85" s="77"/>
      <c r="AN85" s="77"/>
      <c r="AO85" s="77"/>
      <c r="AP85" s="77"/>
      <c r="AQ85" s="77"/>
      <c r="AR85" s="77"/>
      <c r="AS85" s="77"/>
      <c r="AT85" s="77"/>
    </row>
    <row r="86" spans="1:46" s="84" customFormat="1" ht="14.25">
      <c r="A86" s="77"/>
      <c r="B86" s="98"/>
      <c r="C86" s="83"/>
      <c r="F86" s="102"/>
      <c r="G86" s="102"/>
      <c r="H86" s="102"/>
      <c r="I86" s="97"/>
      <c r="J86" s="90"/>
      <c r="K86" s="97"/>
      <c r="L86" s="90"/>
      <c r="M86" s="90"/>
      <c r="N86" s="90"/>
      <c r="O86" s="97"/>
      <c r="P86" s="90"/>
      <c r="Q86" s="97"/>
      <c r="R86" s="90"/>
      <c r="S86" s="97"/>
      <c r="T86" s="90"/>
      <c r="U86" s="97"/>
      <c r="V86" s="90"/>
      <c r="W86" s="97"/>
      <c r="X86" s="90"/>
      <c r="Y86" s="97"/>
      <c r="Z86" s="90"/>
      <c r="AA86" s="97"/>
      <c r="AB86" s="90"/>
      <c r="AC86" s="97"/>
      <c r="AD86" s="90"/>
      <c r="AE86" s="97"/>
      <c r="AF86" s="90"/>
      <c r="AG86" s="97"/>
      <c r="AH86" s="90"/>
      <c r="AI86" s="97"/>
      <c r="AJ86" s="90"/>
      <c r="AK86" s="97"/>
      <c r="AL86" s="90"/>
      <c r="AM86" s="77"/>
      <c r="AN86" s="77"/>
      <c r="AO86" s="77"/>
      <c r="AP86" s="77"/>
      <c r="AQ86" s="77"/>
      <c r="AR86" s="77"/>
      <c r="AS86" s="77"/>
      <c r="AT86" s="77"/>
    </row>
    <row r="87" spans="1:46" s="84" customFormat="1" ht="14.25">
      <c r="A87" s="77"/>
      <c r="B87" s="98"/>
      <c r="C87" s="83"/>
      <c r="F87" s="102"/>
      <c r="G87" s="102"/>
      <c r="H87" s="102"/>
      <c r="I87" s="97"/>
      <c r="J87" s="90"/>
      <c r="K87" s="97"/>
      <c r="L87" s="90"/>
      <c r="M87" s="90"/>
      <c r="N87" s="90"/>
      <c r="O87" s="97"/>
      <c r="P87" s="90"/>
      <c r="Q87" s="97"/>
      <c r="R87" s="90"/>
      <c r="S87" s="97"/>
      <c r="T87" s="90"/>
      <c r="U87" s="97"/>
      <c r="V87" s="90"/>
      <c r="W87" s="97"/>
      <c r="X87" s="90"/>
      <c r="Y87" s="97"/>
      <c r="Z87" s="90"/>
      <c r="AA87" s="97"/>
      <c r="AB87" s="90"/>
      <c r="AC87" s="97"/>
      <c r="AD87" s="90"/>
      <c r="AE87" s="97"/>
      <c r="AF87" s="90"/>
      <c r="AG87" s="97"/>
      <c r="AH87" s="90"/>
      <c r="AI87" s="97"/>
      <c r="AJ87" s="90"/>
      <c r="AK87" s="97"/>
      <c r="AL87" s="90"/>
      <c r="AM87" s="77"/>
      <c r="AN87" s="77"/>
      <c r="AO87" s="77"/>
      <c r="AP87" s="77"/>
      <c r="AQ87" s="77"/>
      <c r="AR87" s="77"/>
      <c r="AS87" s="77"/>
      <c r="AT87" s="77"/>
    </row>
    <row r="88" spans="1:46" s="84" customFormat="1" ht="14.25">
      <c r="A88" s="77"/>
      <c r="B88" s="98"/>
      <c r="C88" s="83"/>
      <c r="F88" s="102"/>
      <c r="G88" s="102"/>
      <c r="H88" s="102"/>
      <c r="I88" s="97"/>
      <c r="J88" s="90"/>
      <c r="K88" s="97"/>
      <c r="L88" s="90"/>
      <c r="M88" s="90"/>
      <c r="N88" s="90"/>
      <c r="O88" s="97"/>
      <c r="P88" s="90"/>
      <c r="Q88" s="97"/>
      <c r="R88" s="90"/>
      <c r="S88" s="97"/>
      <c r="T88" s="90"/>
      <c r="U88" s="97"/>
      <c r="V88" s="90"/>
      <c r="W88" s="97"/>
      <c r="X88" s="90"/>
      <c r="Y88" s="97"/>
      <c r="Z88" s="90"/>
      <c r="AA88" s="97"/>
      <c r="AB88" s="90"/>
      <c r="AC88" s="97"/>
      <c r="AD88" s="90"/>
      <c r="AE88" s="97"/>
      <c r="AF88" s="90"/>
      <c r="AG88" s="97"/>
      <c r="AH88" s="90"/>
      <c r="AI88" s="97"/>
      <c r="AJ88" s="90"/>
      <c r="AK88" s="97"/>
      <c r="AL88" s="90"/>
      <c r="AM88" s="77"/>
      <c r="AN88" s="77"/>
      <c r="AO88" s="77"/>
      <c r="AP88" s="77"/>
      <c r="AQ88" s="77"/>
      <c r="AR88" s="77"/>
      <c r="AS88" s="77"/>
      <c r="AT88" s="77"/>
    </row>
    <row r="89" spans="1:46" s="84" customFormat="1" ht="14.25">
      <c r="A89" s="77"/>
      <c r="B89" s="98"/>
      <c r="C89" s="83"/>
      <c r="F89" s="102"/>
      <c r="G89" s="102"/>
      <c r="H89" s="102"/>
      <c r="I89" s="97"/>
      <c r="J89" s="90"/>
      <c r="K89" s="97"/>
      <c r="L89" s="90"/>
      <c r="M89" s="90"/>
      <c r="N89" s="90"/>
      <c r="O89" s="97"/>
      <c r="P89" s="90"/>
      <c r="Q89" s="97"/>
      <c r="R89" s="90"/>
      <c r="S89" s="97"/>
      <c r="T89" s="90"/>
      <c r="U89" s="97"/>
      <c r="V89" s="90"/>
      <c r="W89" s="97"/>
      <c r="X89" s="90"/>
      <c r="Y89" s="97"/>
      <c r="Z89" s="90"/>
      <c r="AA89" s="97"/>
      <c r="AB89" s="90"/>
      <c r="AC89" s="97"/>
      <c r="AD89" s="90"/>
      <c r="AE89" s="97"/>
      <c r="AF89" s="90"/>
      <c r="AG89" s="97"/>
      <c r="AH89" s="90"/>
      <c r="AI89" s="97"/>
      <c r="AJ89" s="90"/>
      <c r="AK89" s="97"/>
      <c r="AL89" s="90"/>
      <c r="AM89" s="77"/>
      <c r="AN89" s="77"/>
      <c r="AO89" s="77"/>
      <c r="AP89" s="77"/>
      <c r="AQ89" s="77"/>
      <c r="AR89" s="77"/>
      <c r="AS89" s="77"/>
      <c r="AT89" s="77"/>
    </row>
    <row r="90" spans="1:46" s="84" customFormat="1" ht="14.25">
      <c r="A90" s="77"/>
      <c r="B90" s="98"/>
      <c r="C90" s="83"/>
      <c r="F90" s="102"/>
      <c r="G90" s="102"/>
      <c r="H90" s="102"/>
      <c r="I90" s="97"/>
      <c r="J90" s="90"/>
      <c r="K90" s="97"/>
      <c r="L90" s="90"/>
      <c r="M90" s="90"/>
      <c r="N90" s="90"/>
      <c r="O90" s="97"/>
      <c r="P90" s="90"/>
      <c r="Q90" s="97"/>
      <c r="R90" s="90"/>
      <c r="S90" s="97"/>
      <c r="T90" s="90"/>
      <c r="U90" s="97"/>
      <c r="V90" s="90"/>
      <c r="W90" s="97"/>
      <c r="X90" s="90"/>
      <c r="Y90" s="97"/>
      <c r="Z90" s="90"/>
      <c r="AA90" s="97"/>
      <c r="AB90" s="90"/>
      <c r="AC90" s="97"/>
      <c r="AD90" s="90"/>
      <c r="AE90" s="97"/>
      <c r="AF90" s="90"/>
      <c r="AG90" s="97"/>
      <c r="AH90" s="90"/>
      <c r="AI90" s="97"/>
      <c r="AJ90" s="90"/>
      <c r="AK90" s="97"/>
      <c r="AL90" s="90"/>
      <c r="AM90" s="77"/>
      <c r="AN90" s="77"/>
      <c r="AO90" s="77"/>
      <c r="AP90" s="77"/>
      <c r="AQ90" s="77"/>
      <c r="AR90" s="77"/>
      <c r="AS90" s="77"/>
      <c r="AT90" s="77"/>
    </row>
    <row r="91" spans="1:46" s="84" customFormat="1" ht="14.25">
      <c r="A91" s="77"/>
      <c r="B91" s="98"/>
      <c r="C91" s="83"/>
      <c r="F91" s="102"/>
      <c r="G91" s="102"/>
      <c r="H91" s="102"/>
      <c r="I91" s="97"/>
      <c r="J91" s="90"/>
      <c r="K91" s="97"/>
      <c r="L91" s="90"/>
      <c r="M91" s="90"/>
      <c r="N91" s="90"/>
      <c r="O91" s="97"/>
      <c r="P91" s="90"/>
      <c r="Q91" s="97"/>
      <c r="R91" s="90"/>
      <c r="S91" s="97"/>
      <c r="T91" s="90"/>
      <c r="U91" s="97"/>
      <c r="V91" s="90"/>
      <c r="W91" s="97"/>
      <c r="X91" s="90"/>
      <c r="Y91" s="97"/>
      <c r="Z91" s="90"/>
      <c r="AA91" s="97"/>
      <c r="AB91" s="90"/>
      <c r="AC91" s="97"/>
      <c r="AD91" s="90"/>
      <c r="AE91" s="97"/>
      <c r="AF91" s="90"/>
      <c r="AG91" s="97"/>
      <c r="AH91" s="90"/>
      <c r="AI91" s="97"/>
      <c r="AJ91" s="90"/>
      <c r="AK91" s="97"/>
      <c r="AL91" s="90"/>
      <c r="AM91" s="77"/>
      <c r="AN91" s="77"/>
      <c r="AO91" s="77"/>
      <c r="AP91" s="77"/>
      <c r="AQ91" s="77"/>
      <c r="AR91" s="77"/>
      <c r="AS91" s="77"/>
      <c r="AT91" s="77"/>
    </row>
    <row r="92" spans="1:46" s="84" customFormat="1" ht="14.25">
      <c r="A92" s="77"/>
      <c r="B92" s="98"/>
      <c r="C92" s="83"/>
      <c r="F92" s="102"/>
      <c r="G92" s="102"/>
      <c r="H92" s="102"/>
      <c r="I92" s="97"/>
      <c r="J92" s="90"/>
      <c r="K92" s="97"/>
      <c r="L92" s="90"/>
      <c r="M92" s="90"/>
      <c r="N92" s="90"/>
      <c r="O92" s="97"/>
      <c r="P92" s="90"/>
      <c r="Q92" s="97"/>
      <c r="R92" s="90"/>
      <c r="S92" s="97"/>
      <c r="T92" s="90"/>
      <c r="U92" s="97"/>
      <c r="V92" s="90"/>
      <c r="W92" s="97"/>
      <c r="X92" s="90"/>
      <c r="Y92" s="97"/>
      <c r="Z92" s="90"/>
      <c r="AA92" s="97"/>
      <c r="AB92" s="90"/>
      <c r="AC92" s="97"/>
      <c r="AD92" s="90"/>
      <c r="AE92" s="97"/>
      <c r="AF92" s="90"/>
      <c r="AG92" s="97"/>
      <c r="AH92" s="90"/>
      <c r="AI92" s="97"/>
      <c r="AJ92" s="90"/>
      <c r="AK92" s="97"/>
      <c r="AL92" s="90"/>
      <c r="AM92" s="77"/>
      <c r="AN92" s="77"/>
      <c r="AO92" s="77"/>
      <c r="AP92" s="77"/>
      <c r="AQ92" s="77"/>
      <c r="AR92" s="77"/>
      <c r="AS92" s="77"/>
      <c r="AT92" s="77"/>
    </row>
    <row r="93" spans="1:46" s="84" customFormat="1" ht="14.25">
      <c r="A93" s="77"/>
      <c r="B93" s="98"/>
      <c r="C93" s="83"/>
      <c r="F93" s="102"/>
      <c r="G93" s="102"/>
      <c r="H93" s="102"/>
      <c r="I93" s="97"/>
      <c r="J93" s="90"/>
      <c r="K93" s="97"/>
      <c r="L93" s="90"/>
      <c r="M93" s="90"/>
      <c r="N93" s="90"/>
      <c r="O93" s="97"/>
      <c r="P93" s="90"/>
      <c r="Q93" s="97"/>
      <c r="R93" s="90"/>
      <c r="S93" s="97"/>
      <c r="T93" s="90"/>
      <c r="U93" s="97"/>
      <c r="V93" s="90"/>
      <c r="W93" s="97"/>
      <c r="X93" s="90"/>
      <c r="Y93" s="97"/>
      <c r="Z93" s="90"/>
      <c r="AA93" s="97"/>
      <c r="AB93" s="90"/>
      <c r="AC93" s="97"/>
      <c r="AD93" s="90"/>
      <c r="AE93" s="97"/>
      <c r="AF93" s="90"/>
      <c r="AG93" s="97"/>
      <c r="AH93" s="90"/>
      <c r="AI93" s="97"/>
      <c r="AJ93" s="90"/>
      <c r="AK93" s="97"/>
      <c r="AL93" s="90"/>
      <c r="AM93" s="77"/>
      <c r="AN93" s="77"/>
      <c r="AO93" s="77"/>
      <c r="AP93" s="77"/>
      <c r="AQ93" s="77"/>
      <c r="AR93" s="77"/>
      <c r="AS93" s="77"/>
      <c r="AT93" s="77"/>
    </row>
    <row r="94" spans="1:46" s="84" customFormat="1" ht="14.25">
      <c r="A94" s="77"/>
      <c r="B94" s="98"/>
      <c r="C94" s="83"/>
      <c r="F94" s="102"/>
      <c r="G94" s="102"/>
      <c r="H94" s="102"/>
      <c r="I94" s="97"/>
      <c r="J94" s="90"/>
      <c r="K94" s="97"/>
      <c r="L94" s="90"/>
      <c r="M94" s="90"/>
      <c r="N94" s="90"/>
      <c r="O94" s="97"/>
      <c r="P94" s="90"/>
      <c r="Q94" s="97"/>
      <c r="R94" s="90"/>
      <c r="S94" s="97"/>
      <c r="T94" s="90"/>
      <c r="U94" s="97"/>
      <c r="V94" s="90"/>
      <c r="W94" s="97"/>
      <c r="X94" s="90"/>
      <c r="Y94" s="97"/>
      <c r="Z94" s="90"/>
      <c r="AA94" s="97"/>
      <c r="AB94" s="90"/>
      <c r="AC94" s="97"/>
      <c r="AD94" s="90"/>
      <c r="AE94" s="97"/>
      <c r="AF94" s="90"/>
      <c r="AG94" s="97"/>
      <c r="AH94" s="90"/>
      <c r="AI94" s="97"/>
      <c r="AJ94" s="90"/>
      <c r="AK94" s="97"/>
      <c r="AL94" s="90"/>
      <c r="AM94" s="77"/>
      <c r="AN94" s="77"/>
      <c r="AO94" s="77"/>
      <c r="AP94" s="77"/>
      <c r="AQ94" s="77"/>
      <c r="AR94" s="77"/>
      <c r="AS94" s="77"/>
      <c r="AT94" s="77"/>
    </row>
    <row r="95" spans="1:46" s="84" customFormat="1" ht="14.25">
      <c r="A95" s="77"/>
      <c r="B95" s="98"/>
      <c r="C95" s="83"/>
      <c r="F95" s="102"/>
      <c r="G95" s="102"/>
      <c r="H95" s="102"/>
      <c r="I95" s="97"/>
      <c r="J95" s="90"/>
      <c r="K95" s="97"/>
      <c r="L95" s="90"/>
      <c r="M95" s="90"/>
      <c r="N95" s="90"/>
      <c r="O95" s="97"/>
      <c r="P95" s="90"/>
      <c r="Q95" s="97"/>
      <c r="R95" s="90"/>
      <c r="S95" s="97"/>
      <c r="T95" s="90"/>
      <c r="U95" s="97"/>
      <c r="V95" s="90"/>
      <c r="W95" s="97"/>
      <c r="X95" s="90"/>
      <c r="Y95" s="97"/>
      <c r="Z95" s="90"/>
      <c r="AA95" s="97"/>
      <c r="AB95" s="90"/>
      <c r="AC95" s="97"/>
      <c r="AD95" s="90"/>
      <c r="AE95" s="97"/>
      <c r="AF95" s="90"/>
      <c r="AG95" s="97"/>
      <c r="AH95" s="90"/>
      <c r="AI95" s="97"/>
      <c r="AJ95" s="90"/>
      <c r="AK95" s="97"/>
      <c r="AL95" s="90"/>
      <c r="AM95" s="77"/>
      <c r="AN95" s="77"/>
      <c r="AO95" s="77"/>
      <c r="AP95" s="77"/>
      <c r="AQ95" s="77"/>
      <c r="AR95" s="77"/>
      <c r="AS95" s="77"/>
      <c r="AT95" s="77"/>
    </row>
    <row r="96" spans="1:46" s="84" customFormat="1" ht="14.25">
      <c r="A96" s="77"/>
      <c r="B96" s="98"/>
      <c r="C96" s="83"/>
      <c r="F96" s="102"/>
      <c r="G96" s="102"/>
      <c r="H96" s="102"/>
      <c r="I96" s="97"/>
      <c r="J96" s="90"/>
      <c r="K96" s="97"/>
      <c r="L96" s="90"/>
      <c r="M96" s="90"/>
      <c r="N96" s="90"/>
      <c r="O96" s="97"/>
      <c r="P96" s="90"/>
      <c r="Q96" s="97"/>
      <c r="R96" s="90"/>
      <c r="S96" s="97"/>
      <c r="T96" s="90"/>
      <c r="U96" s="97"/>
      <c r="V96" s="90"/>
      <c r="W96" s="97"/>
      <c r="X96" s="90"/>
      <c r="Y96" s="97"/>
      <c r="Z96" s="90"/>
      <c r="AA96" s="97"/>
      <c r="AB96" s="90"/>
      <c r="AC96" s="97"/>
      <c r="AD96" s="90"/>
      <c r="AE96" s="97"/>
      <c r="AF96" s="90"/>
      <c r="AG96" s="97"/>
      <c r="AH96" s="90"/>
      <c r="AI96" s="97"/>
      <c r="AJ96" s="90"/>
      <c r="AK96" s="97"/>
      <c r="AL96" s="90"/>
      <c r="AM96" s="77"/>
      <c r="AN96" s="77"/>
      <c r="AO96" s="77"/>
      <c r="AP96" s="77"/>
      <c r="AQ96" s="77"/>
      <c r="AR96" s="77"/>
      <c r="AS96" s="77"/>
      <c r="AT96" s="77"/>
    </row>
    <row r="97" spans="1:46" s="84" customFormat="1" ht="14.25">
      <c r="A97" s="77"/>
      <c r="B97" s="98"/>
      <c r="C97" s="83"/>
      <c r="F97" s="102"/>
      <c r="G97" s="102"/>
      <c r="H97" s="102"/>
      <c r="I97" s="97"/>
      <c r="J97" s="90"/>
      <c r="K97" s="97"/>
      <c r="L97" s="90"/>
      <c r="M97" s="90"/>
      <c r="N97" s="90"/>
      <c r="O97" s="97"/>
      <c r="P97" s="90"/>
      <c r="Q97" s="97"/>
      <c r="R97" s="90"/>
      <c r="S97" s="97"/>
      <c r="T97" s="90"/>
      <c r="U97" s="97"/>
      <c r="V97" s="90"/>
      <c r="W97" s="97"/>
      <c r="X97" s="90"/>
      <c r="Y97" s="97"/>
      <c r="Z97" s="90"/>
      <c r="AA97" s="97"/>
      <c r="AB97" s="90"/>
      <c r="AC97" s="97"/>
      <c r="AD97" s="90"/>
      <c r="AE97" s="97"/>
      <c r="AF97" s="90"/>
      <c r="AG97" s="97"/>
      <c r="AH97" s="90"/>
      <c r="AI97" s="97"/>
      <c r="AJ97" s="90"/>
      <c r="AK97" s="97"/>
      <c r="AL97" s="90"/>
      <c r="AM97" s="77"/>
      <c r="AN97" s="77"/>
      <c r="AO97" s="77"/>
      <c r="AP97" s="77"/>
      <c r="AQ97" s="77"/>
      <c r="AR97" s="77"/>
      <c r="AS97" s="77"/>
      <c r="AT97" s="77"/>
    </row>
    <row r="98" spans="1:46" s="84" customFormat="1" ht="14.25">
      <c r="A98" s="77"/>
      <c r="B98" s="98"/>
      <c r="C98" s="83"/>
      <c r="F98" s="102"/>
      <c r="G98" s="102"/>
      <c r="H98" s="102"/>
      <c r="I98" s="97"/>
      <c r="J98" s="90"/>
      <c r="K98" s="97"/>
      <c r="L98" s="90"/>
      <c r="M98" s="90"/>
      <c r="N98" s="90"/>
      <c r="O98" s="97"/>
      <c r="P98" s="90"/>
      <c r="Q98" s="97"/>
      <c r="R98" s="90"/>
      <c r="S98" s="97"/>
      <c r="T98" s="90"/>
      <c r="U98" s="97"/>
      <c r="V98" s="90"/>
      <c r="W98" s="97"/>
      <c r="X98" s="90"/>
      <c r="Y98" s="97"/>
      <c r="Z98" s="90"/>
      <c r="AA98" s="97"/>
      <c r="AB98" s="90"/>
      <c r="AC98" s="97"/>
      <c r="AD98" s="90"/>
      <c r="AE98" s="97"/>
      <c r="AF98" s="90"/>
      <c r="AG98" s="97"/>
      <c r="AH98" s="90"/>
      <c r="AI98" s="97"/>
      <c r="AJ98" s="90"/>
      <c r="AK98" s="97"/>
      <c r="AL98" s="90"/>
      <c r="AM98" s="77"/>
      <c r="AN98" s="77"/>
      <c r="AO98" s="77"/>
      <c r="AP98" s="77"/>
      <c r="AQ98" s="77"/>
      <c r="AR98" s="77"/>
      <c r="AS98" s="77"/>
      <c r="AT98" s="77"/>
    </row>
    <row r="99" spans="1:46" s="84" customFormat="1" ht="14.25">
      <c r="A99" s="77"/>
      <c r="B99" s="98"/>
      <c r="C99" s="83"/>
      <c r="F99" s="102"/>
      <c r="G99" s="102"/>
      <c r="H99" s="102"/>
      <c r="I99" s="97"/>
      <c r="J99" s="90"/>
      <c r="K99" s="97"/>
      <c r="L99" s="90"/>
      <c r="M99" s="90"/>
      <c r="N99" s="90"/>
      <c r="O99" s="97"/>
      <c r="P99" s="90"/>
      <c r="Q99" s="97"/>
      <c r="R99" s="90"/>
      <c r="S99" s="97"/>
      <c r="T99" s="90"/>
      <c r="U99" s="97"/>
      <c r="V99" s="90"/>
      <c r="W99" s="97"/>
      <c r="X99" s="90"/>
      <c r="Y99" s="97"/>
      <c r="Z99" s="90"/>
      <c r="AA99" s="97"/>
      <c r="AB99" s="90"/>
      <c r="AC99" s="97"/>
      <c r="AD99" s="90"/>
      <c r="AE99" s="97"/>
      <c r="AF99" s="90"/>
      <c r="AG99" s="97"/>
      <c r="AH99" s="90"/>
      <c r="AI99" s="97"/>
      <c r="AJ99" s="90"/>
      <c r="AK99" s="97"/>
      <c r="AL99" s="90"/>
      <c r="AM99" s="77"/>
      <c r="AN99" s="77"/>
      <c r="AO99" s="77"/>
      <c r="AP99" s="77"/>
      <c r="AQ99" s="77"/>
      <c r="AR99" s="77"/>
      <c r="AS99" s="77"/>
      <c r="AT99" s="77"/>
    </row>
    <row r="100" spans="1:46" s="84" customFormat="1" ht="14.25">
      <c r="A100" s="77"/>
      <c r="B100" s="98"/>
      <c r="C100" s="83"/>
      <c r="F100" s="102"/>
      <c r="G100" s="102"/>
      <c r="H100" s="102"/>
      <c r="I100" s="97"/>
      <c r="J100" s="90"/>
      <c r="K100" s="97"/>
      <c r="L100" s="90"/>
      <c r="M100" s="90"/>
      <c r="N100" s="90"/>
      <c r="O100" s="97"/>
      <c r="P100" s="90"/>
      <c r="Q100" s="97"/>
      <c r="R100" s="90"/>
      <c r="S100" s="97"/>
      <c r="T100" s="90"/>
      <c r="U100" s="97"/>
      <c r="V100" s="90"/>
      <c r="W100" s="97"/>
      <c r="X100" s="90"/>
      <c r="Y100" s="97"/>
      <c r="Z100" s="90"/>
      <c r="AA100" s="97"/>
      <c r="AB100" s="90"/>
      <c r="AC100" s="97"/>
      <c r="AD100" s="90"/>
      <c r="AE100" s="97"/>
      <c r="AF100" s="90"/>
      <c r="AG100" s="97"/>
      <c r="AH100" s="90"/>
      <c r="AI100" s="97"/>
      <c r="AJ100" s="90"/>
      <c r="AK100" s="97"/>
      <c r="AL100" s="90"/>
      <c r="AM100" s="77"/>
      <c r="AN100" s="77"/>
      <c r="AO100" s="77"/>
      <c r="AP100" s="77"/>
      <c r="AQ100" s="77"/>
      <c r="AR100" s="77"/>
      <c r="AS100" s="77"/>
      <c r="AT100" s="77"/>
    </row>
    <row r="101" spans="1:46" s="84" customFormat="1" ht="14.25">
      <c r="A101" s="77"/>
      <c r="B101" s="98"/>
      <c r="C101" s="83"/>
      <c r="F101" s="102"/>
      <c r="G101" s="102"/>
      <c r="H101" s="102"/>
      <c r="I101" s="97"/>
      <c r="J101" s="90"/>
      <c r="K101" s="97"/>
      <c r="L101" s="90"/>
      <c r="M101" s="90"/>
      <c r="N101" s="90"/>
      <c r="O101" s="97"/>
      <c r="P101" s="90"/>
      <c r="Q101" s="97"/>
      <c r="R101" s="90"/>
      <c r="S101" s="97"/>
      <c r="T101" s="90"/>
      <c r="U101" s="97"/>
      <c r="V101" s="90"/>
      <c r="W101" s="97"/>
      <c r="X101" s="90"/>
      <c r="Y101" s="97"/>
      <c r="Z101" s="90"/>
      <c r="AA101" s="97"/>
      <c r="AB101" s="90"/>
      <c r="AC101" s="97"/>
      <c r="AD101" s="90"/>
      <c r="AE101" s="97"/>
      <c r="AF101" s="90"/>
      <c r="AG101" s="97"/>
      <c r="AH101" s="90"/>
      <c r="AI101" s="97"/>
      <c r="AJ101" s="90"/>
      <c r="AK101" s="97"/>
      <c r="AL101" s="90"/>
      <c r="AM101" s="77"/>
      <c r="AN101" s="77"/>
      <c r="AO101" s="77"/>
      <c r="AP101" s="77"/>
      <c r="AQ101" s="77"/>
      <c r="AR101" s="77"/>
      <c r="AS101" s="77"/>
      <c r="AT101" s="77"/>
    </row>
    <row r="102" spans="1:46" s="84" customFormat="1" ht="14.25">
      <c r="A102" s="77"/>
      <c r="B102" s="98"/>
      <c r="C102" s="83"/>
      <c r="F102" s="102"/>
      <c r="G102" s="102"/>
      <c r="H102" s="102"/>
      <c r="I102" s="97"/>
      <c r="J102" s="90"/>
      <c r="K102" s="97"/>
      <c r="L102" s="90"/>
      <c r="M102" s="90"/>
      <c r="N102" s="90"/>
      <c r="O102" s="97"/>
      <c r="P102" s="90"/>
      <c r="Q102" s="97"/>
      <c r="R102" s="90"/>
      <c r="S102" s="97"/>
      <c r="T102" s="90"/>
      <c r="U102" s="97"/>
      <c r="V102" s="90"/>
      <c r="W102" s="97"/>
      <c r="X102" s="90"/>
      <c r="Y102" s="97"/>
      <c r="Z102" s="90"/>
      <c r="AA102" s="97"/>
      <c r="AB102" s="90"/>
      <c r="AC102" s="97"/>
      <c r="AD102" s="90"/>
      <c r="AE102" s="97"/>
      <c r="AF102" s="90"/>
      <c r="AG102" s="97"/>
      <c r="AH102" s="90"/>
      <c r="AI102" s="97"/>
      <c r="AJ102" s="90"/>
      <c r="AK102" s="97"/>
      <c r="AL102" s="90"/>
      <c r="AM102" s="77"/>
      <c r="AN102" s="77"/>
      <c r="AO102" s="77"/>
      <c r="AP102" s="77"/>
      <c r="AQ102" s="77"/>
      <c r="AR102" s="77"/>
      <c r="AS102" s="77"/>
      <c r="AT102" s="77"/>
    </row>
  </sheetData>
  <mergeCells count="32">
    <mergeCell ref="G5:G6"/>
    <mergeCell ref="H5:H6"/>
    <mergeCell ref="I5:J5"/>
    <mergeCell ref="K5:L5"/>
    <mergeCell ref="AK5:AL5"/>
    <mergeCell ref="O5:P5"/>
    <mergeCell ref="Q5:R5"/>
    <mergeCell ref="S5:T5"/>
    <mergeCell ref="U5:V5"/>
    <mergeCell ref="W5:X5"/>
    <mergeCell ref="Y5:Z5"/>
    <mergeCell ref="AA5:AB5"/>
    <mergeCell ref="AC5:AD5"/>
    <mergeCell ref="AE5:AF5"/>
    <mergeCell ref="AG5:AH5"/>
    <mergeCell ref="AI5:AJ5"/>
    <mergeCell ref="AI4:AJ4"/>
    <mergeCell ref="AK4:AL4"/>
    <mergeCell ref="B2:AL2"/>
    <mergeCell ref="C3:C6"/>
    <mergeCell ref="D3:E6"/>
    <mergeCell ref="F3:H4"/>
    <mergeCell ref="I3:AL3"/>
    <mergeCell ref="I4:N4"/>
    <mergeCell ref="O4:T4"/>
    <mergeCell ref="U4:V4"/>
    <mergeCell ref="M5:N5"/>
    <mergeCell ref="W4:X4"/>
    <mergeCell ref="Y4:AD4"/>
    <mergeCell ref="AE4:AF4"/>
    <mergeCell ref="AG4:AH4"/>
    <mergeCell ref="F5:F6"/>
  </mergeCells>
  <phoneticPr fontId="1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2:AL102"/>
  <sheetViews>
    <sheetView zoomScale="70" zoomScaleNormal="70" workbookViewId="0">
      <pane xSplit="5" ySplit="6" topLeftCell="F7" activePane="bottomRight" state="frozen"/>
      <selection pane="topRight" activeCell="F1" sqref="F1"/>
      <selection pane="bottomLeft" activeCell="A7" sqref="A7"/>
      <selection pane="bottomRight" activeCell="AK21" sqref="AK21:AK27"/>
    </sheetView>
  </sheetViews>
  <sheetFormatPr defaultColWidth="8.85546875" defaultRowHeight="16.5"/>
  <cols>
    <col min="1" max="1" width="0" style="77" hidden="1" customWidth="1"/>
    <col min="2" max="2" width="13.140625" style="77" hidden="1" customWidth="1"/>
    <col min="3" max="3" width="0" style="103" hidden="1" customWidth="1"/>
    <col min="4" max="4" width="17" style="103" customWidth="1"/>
    <col min="5" max="5" width="8.5703125" style="84" customWidth="1"/>
    <col min="6" max="8" width="17.42578125" style="104" customWidth="1"/>
    <col min="9" max="9" width="10.5703125" style="88" customWidth="1"/>
    <col min="10" max="10" width="10.5703125" style="90" customWidth="1"/>
    <col min="11" max="11" width="10.5703125" style="88" customWidth="1"/>
    <col min="12" max="12" width="10.5703125" style="90" customWidth="1"/>
    <col min="13" max="13" width="10.5703125" style="88" customWidth="1"/>
    <col min="14" max="14" width="10.5703125" style="90" customWidth="1"/>
    <col min="15" max="15" width="10.5703125" style="88" customWidth="1"/>
    <col min="16" max="16" width="10.5703125" style="90" customWidth="1"/>
    <col min="17" max="17" width="10.5703125" style="88" customWidth="1"/>
    <col min="18" max="18" width="10.5703125" style="90" customWidth="1"/>
    <col min="19" max="19" width="10.5703125" style="88" customWidth="1"/>
    <col min="20" max="20" width="10.5703125" style="90" customWidth="1"/>
    <col min="21" max="21" width="10.5703125" style="88" customWidth="1"/>
    <col min="22" max="22" width="10.5703125" style="90" customWidth="1"/>
    <col min="23" max="23" width="10.5703125" style="88" customWidth="1"/>
    <col min="24" max="24" width="10.5703125" style="90" customWidth="1"/>
    <col min="25" max="25" width="10.5703125" style="88" customWidth="1"/>
    <col min="26" max="26" width="10.5703125" style="90" customWidth="1"/>
    <col min="27" max="27" width="10.5703125" style="88" customWidth="1"/>
    <col min="28" max="28" width="10.5703125" style="90" customWidth="1"/>
    <col min="29" max="29" width="10.5703125" style="88" customWidth="1"/>
    <col min="30" max="30" width="10.5703125" style="90" customWidth="1"/>
    <col min="31" max="31" width="10.5703125" style="88" customWidth="1"/>
    <col min="32" max="32" width="10.5703125" style="90" customWidth="1"/>
    <col min="33" max="33" width="10.42578125" style="88" customWidth="1"/>
    <col min="34" max="34" width="10.42578125" style="90" customWidth="1"/>
    <col min="35" max="35" width="10.42578125" style="88" customWidth="1"/>
    <col min="36" max="36" width="10.42578125" style="90" customWidth="1"/>
    <col min="37" max="37" width="10.42578125" style="88" customWidth="1"/>
    <col min="38" max="38" width="10.42578125" style="90" customWidth="1"/>
    <col min="39" max="16384" width="8.85546875" style="77"/>
  </cols>
  <sheetData>
    <row r="2" spans="1:38" ht="38.1" customHeight="1">
      <c r="A2" s="75"/>
      <c r="B2" s="546" t="s">
        <v>302</v>
      </c>
      <c r="C2" s="546"/>
      <c r="D2" s="546"/>
      <c r="E2" s="546"/>
      <c r="F2" s="546"/>
      <c r="G2" s="546"/>
      <c r="H2" s="546"/>
      <c r="I2" s="546"/>
      <c r="J2" s="546"/>
      <c r="K2" s="546"/>
      <c r="L2" s="546"/>
      <c r="M2" s="546"/>
      <c r="N2" s="546"/>
      <c r="O2" s="546"/>
      <c r="P2" s="546"/>
      <c r="Q2" s="546"/>
      <c r="R2" s="546"/>
      <c r="S2" s="546"/>
      <c r="T2" s="546"/>
      <c r="U2" s="546"/>
      <c r="V2" s="546"/>
      <c r="W2" s="546"/>
      <c r="X2" s="546"/>
      <c r="Y2" s="546"/>
      <c r="Z2" s="546"/>
      <c r="AA2" s="546"/>
      <c r="AB2" s="546"/>
      <c r="AC2" s="546"/>
      <c r="AD2" s="546"/>
      <c r="AE2" s="546"/>
      <c r="AF2" s="546"/>
      <c r="AG2" s="546"/>
      <c r="AH2" s="546"/>
      <c r="AI2" s="546"/>
      <c r="AJ2" s="546"/>
      <c r="AK2" s="546"/>
      <c r="AL2" s="546"/>
    </row>
    <row r="3" spans="1:38" ht="25.35" customHeight="1">
      <c r="B3" s="98"/>
      <c r="C3" s="547" t="s">
        <v>139</v>
      </c>
      <c r="D3" s="548" t="s">
        <v>105</v>
      </c>
      <c r="E3" s="548"/>
      <c r="F3" s="556" t="s">
        <v>148</v>
      </c>
      <c r="G3" s="557"/>
      <c r="H3" s="557"/>
      <c r="I3" s="554" t="s">
        <v>300</v>
      </c>
      <c r="J3" s="554"/>
      <c r="K3" s="554"/>
      <c r="L3" s="554"/>
      <c r="M3" s="554"/>
      <c r="N3" s="554"/>
      <c r="O3" s="554"/>
      <c r="P3" s="554"/>
      <c r="Q3" s="554"/>
      <c r="R3" s="554"/>
      <c r="S3" s="554"/>
      <c r="T3" s="554"/>
      <c r="U3" s="554"/>
      <c r="V3" s="554"/>
      <c r="W3" s="554"/>
      <c r="X3" s="554"/>
      <c r="Y3" s="554"/>
      <c r="Z3" s="554"/>
      <c r="AA3" s="554"/>
      <c r="AB3" s="554"/>
      <c r="AC3" s="554"/>
      <c r="AD3" s="554"/>
      <c r="AE3" s="554"/>
      <c r="AF3" s="554"/>
      <c r="AG3" s="554"/>
      <c r="AH3" s="554"/>
      <c r="AI3" s="554"/>
      <c r="AJ3" s="554"/>
      <c r="AK3" s="554"/>
      <c r="AL3" s="554"/>
    </row>
    <row r="4" spans="1:38" ht="25.35" customHeight="1">
      <c r="B4" s="98"/>
      <c r="C4" s="547"/>
      <c r="D4" s="548"/>
      <c r="E4" s="548"/>
      <c r="F4" s="557"/>
      <c r="G4" s="557"/>
      <c r="H4" s="557"/>
      <c r="I4" s="555" t="s">
        <v>140</v>
      </c>
      <c r="J4" s="555"/>
      <c r="K4" s="555"/>
      <c r="L4" s="555"/>
      <c r="M4" s="555"/>
      <c r="N4" s="555"/>
      <c r="O4" s="555" t="s">
        <v>141</v>
      </c>
      <c r="P4" s="555"/>
      <c r="Q4" s="555"/>
      <c r="R4" s="555"/>
      <c r="S4" s="555"/>
      <c r="T4" s="555"/>
      <c r="U4" s="555" t="s">
        <v>142</v>
      </c>
      <c r="V4" s="555"/>
      <c r="W4" s="555" t="s">
        <v>143</v>
      </c>
      <c r="X4" s="555"/>
      <c r="Y4" s="555" t="s">
        <v>134</v>
      </c>
      <c r="Z4" s="555"/>
      <c r="AA4" s="555"/>
      <c r="AB4" s="555"/>
      <c r="AC4" s="555"/>
      <c r="AD4" s="555"/>
      <c r="AE4" s="555" t="s">
        <v>132</v>
      </c>
      <c r="AF4" s="555"/>
      <c r="AG4" s="555" t="s">
        <v>144</v>
      </c>
      <c r="AH4" s="555"/>
      <c r="AI4" s="555" t="s">
        <v>145</v>
      </c>
      <c r="AJ4" s="555"/>
      <c r="AK4" s="555" t="s">
        <v>138</v>
      </c>
      <c r="AL4" s="555"/>
    </row>
    <row r="5" spans="1:38" ht="25.35" customHeight="1">
      <c r="B5" s="98"/>
      <c r="C5" s="547"/>
      <c r="D5" s="548"/>
      <c r="E5" s="548"/>
      <c r="F5" s="553" t="s">
        <v>115</v>
      </c>
      <c r="G5" s="553" t="s">
        <v>117</v>
      </c>
      <c r="H5" s="553" t="s">
        <v>118</v>
      </c>
      <c r="I5" s="555" t="s">
        <v>129</v>
      </c>
      <c r="J5" s="555"/>
      <c r="K5" s="555" t="s">
        <v>130</v>
      </c>
      <c r="L5" s="555"/>
      <c r="M5" s="558" t="s">
        <v>146</v>
      </c>
      <c r="N5" s="555"/>
      <c r="O5" s="555" t="s">
        <v>129</v>
      </c>
      <c r="P5" s="555"/>
      <c r="Q5" s="555" t="s">
        <v>130</v>
      </c>
      <c r="R5" s="555"/>
      <c r="S5" s="558" t="s">
        <v>146</v>
      </c>
      <c r="T5" s="555"/>
      <c r="U5" s="555" t="s">
        <v>129</v>
      </c>
      <c r="V5" s="555"/>
      <c r="W5" s="555" t="s">
        <v>129</v>
      </c>
      <c r="X5" s="555"/>
      <c r="Y5" s="555" t="s">
        <v>129</v>
      </c>
      <c r="Z5" s="555"/>
      <c r="AA5" s="555" t="s">
        <v>130</v>
      </c>
      <c r="AB5" s="555"/>
      <c r="AC5" s="558" t="s">
        <v>146</v>
      </c>
      <c r="AD5" s="555"/>
      <c r="AE5" s="555" t="s">
        <v>129</v>
      </c>
      <c r="AF5" s="555"/>
      <c r="AG5" s="555" t="s">
        <v>129</v>
      </c>
      <c r="AH5" s="555"/>
      <c r="AI5" s="555" t="s">
        <v>129</v>
      </c>
      <c r="AJ5" s="555"/>
      <c r="AK5" s="555" t="s">
        <v>129</v>
      </c>
      <c r="AL5" s="555"/>
    </row>
    <row r="6" spans="1:38" s="80" customFormat="1" ht="23.45" customHeight="1">
      <c r="B6" s="98"/>
      <c r="C6" s="547"/>
      <c r="D6" s="548"/>
      <c r="E6" s="548"/>
      <c r="F6" s="553"/>
      <c r="G6" s="553"/>
      <c r="H6" s="553"/>
      <c r="I6" s="105" t="s">
        <v>149</v>
      </c>
      <c r="J6" s="100" t="s">
        <v>113</v>
      </c>
      <c r="K6" s="105" t="s">
        <v>149</v>
      </c>
      <c r="L6" s="100" t="s">
        <v>113</v>
      </c>
      <c r="M6" s="105" t="s">
        <v>149</v>
      </c>
      <c r="N6" s="100" t="s">
        <v>113</v>
      </c>
      <c r="O6" s="105" t="s">
        <v>149</v>
      </c>
      <c r="P6" s="100" t="s">
        <v>113</v>
      </c>
      <c r="Q6" s="105" t="s">
        <v>149</v>
      </c>
      <c r="R6" s="100" t="s">
        <v>113</v>
      </c>
      <c r="S6" s="105" t="s">
        <v>149</v>
      </c>
      <c r="T6" s="100" t="s">
        <v>113</v>
      </c>
      <c r="U6" s="105" t="s">
        <v>149</v>
      </c>
      <c r="V6" s="100" t="s">
        <v>113</v>
      </c>
      <c r="W6" s="105" t="s">
        <v>149</v>
      </c>
      <c r="X6" s="100" t="s">
        <v>113</v>
      </c>
      <c r="Y6" s="105" t="s">
        <v>149</v>
      </c>
      <c r="Z6" s="100" t="s">
        <v>113</v>
      </c>
      <c r="AA6" s="105" t="s">
        <v>149</v>
      </c>
      <c r="AB6" s="100" t="s">
        <v>113</v>
      </c>
      <c r="AC6" s="105" t="s">
        <v>149</v>
      </c>
      <c r="AD6" s="100" t="s">
        <v>113</v>
      </c>
      <c r="AE6" s="105" t="s">
        <v>149</v>
      </c>
      <c r="AF6" s="100" t="s">
        <v>113</v>
      </c>
      <c r="AG6" s="105" t="s">
        <v>149</v>
      </c>
      <c r="AH6" s="100" t="s">
        <v>113</v>
      </c>
      <c r="AI6" s="105" t="s">
        <v>149</v>
      </c>
      <c r="AJ6" s="100" t="s">
        <v>113</v>
      </c>
      <c r="AK6" s="105" t="s">
        <v>149</v>
      </c>
      <c r="AL6" s="100" t="s">
        <v>113</v>
      </c>
    </row>
    <row r="7" spans="1:38" ht="14.25">
      <c r="B7" s="98"/>
      <c r="C7" s="83"/>
      <c r="D7" s="311">
        <v>46113</v>
      </c>
      <c r="E7" s="311" t="s">
        <v>462</v>
      </c>
      <c r="F7" s="88">
        <f t="shared" ref="F7" si="0">SUM(M7,S7,U7,W7,AC7,AE7,AG7,AI7,AK7)</f>
        <v>301935</v>
      </c>
      <c r="G7" s="313"/>
      <c r="H7" s="88"/>
      <c r="I7" s="235">
        <v>40157</v>
      </c>
      <c r="J7" s="101">
        <f t="shared" ref="J7:J13" si="1">I7/F7</f>
        <v>0.13299882425025253</v>
      </c>
      <c r="K7" s="235">
        <v>48066</v>
      </c>
      <c r="L7" s="101">
        <f t="shared" ref="L7:L13" si="2">K7/F7</f>
        <v>0.15919320383526256</v>
      </c>
      <c r="M7" s="106">
        <f t="shared" ref="M7:M13" si="3">SUM(I7+K7)</f>
        <v>88223</v>
      </c>
      <c r="N7" s="101">
        <f t="shared" ref="N7:N13" si="4">M7/F7</f>
        <v>0.29219202808551509</v>
      </c>
      <c r="O7" s="235">
        <v>6639</v>
      </c>
      <c r="P7" s="101">
        <f t="shared" ref="P7:P13" si="5">O7/F7</f>
        <v>2.1988176263102985E-2</v>
      </c>
      <c r="Q7" s="235">
        <v>1008</v>
      </c>
      <c r="R7" s="101">
        <f t="shared" ref="R7:R13" si="6">Q7/F7</f>
        <v>3.3384668885687316E-3</v>
      </c>
      <c r="S7" s="106">
        <f t="shared" ref="S7:S13" si="7">SUM(O7+Q7)</f>
        <v>7647</v>
      </c>
      <c r="T7" s="101">
        <f t="shared" ref="T7:T13" si="8">S7/F7</f>
        <v>2.5326643151671716E-2</v>
      </c>
      <c r="U7" s="235">
        <v>33863</v>
      </c>
      <c r="V7" s="101">
        <f t="shared" ref="V7:V13" si="9">U7/F7</f>
        <v>0.11215327802341564</v>
      </c>
      <c r="W7" s="235">
        <v>10986</v>
      </c>
      <c r="X7" s="101">
        <f t="shared" ref="X7:X13" si="10">W7/F7</f>
        <v>3.6385314720055642E-2</v>
      </c>
      <c r="Y7" s="235">
        <v>30797</v>
      </c>
      <c r="Z7" s="101">
        <f t="shared" ref="Z7:Z13" si="11">Y7/F7</f>
        <v>0.10199877457068575</v>
      </c>
      <c r="AA7" s="235">
        <v>24556</v>
      </c>
      <c r="AB7" s="101">
        <f t="shared" ref="AB7:AB13" si="12">AA7/F7</f>
        <v>8.1328762813188266E-2</v>
      </c>
      <c r="AC7" s="106">
        <f t="shared" ref="AC7:AC13" si="13">SUM(Y7+AA7)</f>
        <v>55353</v>
      </c>
      <c r="AD7" s="101">
        <f t="shared" ref="AD7:AD13" si="14">AC7/F7</f>
        <v>0.183327537383874</v>
      </c>
      <c r="AE7" s="235">
        <v>28480</v>
      </c>
      <c r="AF7" s="101">
        <f t="shared" ref="AF7:AF13" si="15">AE7/F7</f>
        <v>9.4324937486545121E-2</v>
      </c>
      <c r="AG7" s="235">
        <v>24221</v>
      </c>
      <c r="AH7" s="101">
        <f t="shared" ref="AH7:AH13" si="16">AG7/F7</f>
        <v>8.0219252488118301E-2</v>
      </c>
      <c r="AI7" s="235">
        <v>30658</v>
      </c>
      <c r="AJ7" s="101">
        <f t="shared" ref="AJ7:AJ13" si="17">AI7/F7</f>
        <v>0.1015384105850597</v>
      </c>
      <c r="AK7" s="235">
        <v>22504</v>
      </c>
      <c r="AL7" s="101">
        <f t="shared" ref="AL7:AL13" si="18">AK7/F7</f>
        <v>7.4532598075744777E-2</v>
      </c>
    </row>
    <row r="8" spans="1:38" ht="14.25">
      <c r="B8" s="98"/>
      <c r="C8" s="83"/>
      <c r="D8" s="311">
        <f t="shared" ref="D8:D36" si="19">D7+1</f>
        <v>46114</v>
      </c>
      <c r="E8" s="311" t="s">
        <v>463</v>
      </c>
      <c r="F8" s="88">
        <f>SUM(M8,S8,U8,W8,AC8,AE8,AG8,AI8,AK8)</f>
        <v>269684</v>
      </c>
      <c r="G8" s="313">
        <f>SUM(F7:F12)</f>
        <v>1543474</v>
      </c>
      <c r="H8" s="330"/>
      <c r="I8" s="235">
        <v>39525</v>
      </c>
      <c r="J8" s="101">
        <f t="shared" si="1"/>
        <v>0.1465604188605924</v>
      </c>
      <c r="K8" s="235">
        <v>43503</v>
      </c>
      <c r="L8" s="101">
        <f t="shared" si="2"/>
        <v>0.16131101585559396</v>
      </c>
      <c r="M8" s="106">
        <f t="shared" si="3"/>
        <v>83028</v>
      </c>
      <c r="N8" s="101">
        <f t="shared" si="4"/>
        <v>0.30787143471618633</v>
      </c>
      <c r="O8" s="235">
        <v>6441</v>
      </c>
      <c r="P8" s="101">
        <f t="shared" si="5"/>
        <v>2.3883508105783064E-2</v>
      </c>
      <c r="Q8" s="235">
        <v>848</v>
      </c>
      <c r="R8" s="101">
        <f t="shared" si="6"/>
        <v>3.1444208777680546E-3</v>
      </c>
      <c r="S8" s="106">
        <f t="shared" si="7"/>
        <v>7289</v>
      </c>
      <c r="T8" s="101">
        <f t="shared" si="8"/>
        <v>2.7027928983551119E-2</v>
      </c>
      <c r="U8" s="235">
        <v>29656</v>
      </c>
      <c r="V8" s="101">
        <f t="shared" si="9"/>
        <v>0.10996573767817149</v>
      </c>
      <c r="W8" s="235">
        <v>7369</v>
      </c>
      <c r="X8" s="101">
        <f t="shared" si="10"/>
        <v>2.732457246258584E-2</v>
      </c>
      <c r="Y8" s="235">
        <v>27039</v>
      </c>
      <c r="Z8" s="101">
        <f t="shared" si="11"/>
        <v>0.10026178787024814</v>
      </c>
      <c r="AA8" s="235">
        <v>20766</v>
      </c>
      <c r="AB8" s="101">
        <f t="shared" si="12"/>
        <v>7.7001231070437992E-2</v>
      </c>
      <c r="AC8" s="106">
        <f t="shared" si="13"/>
        <v>47805</v>
      </c>
      <c r="AD8" s="101">
        <f t="shared" si="14"/>
        <v>0.17726301894068613</v>
      </c>
      <c r="AE8" s="235">
        <v>25660</v>
      </c>
      <c r="AF8" s="101">
        <f t="shared" si="15"/>
        <v>9.5148395900387123E-2</v>
      </c>
      <c r="AG8" s="235">
        <v>22300</v>
      </c>
      <c r="AH8" s="101">
        <f t="shared" si="16"/>
        <v>8.2689369780928793E-2</v>
      </c>
      <c r="AI8" s="235">
        <v>25909</v>
      </c>
      <c r="AJ8" s="101">
        <f t="shared" si="17"/>
        <v>9.6071698728882687E-2</v>
      </c>
      <c r="AK8" s="235">
        <v>20668</v>
      </c>
      <c r="AL8" s="101">
        <f t="shared" si="18"/>
        <v>7.663784280862046E-2</v>
      </c>
    </row>
    <row r="9" spans="1:38" ht="14.25">
      <c r="B9" s="98"/>
      <c r="C9" s="83"/>
      <c r="D9" s="311">
        <f t="shared" si="19"/>
        <v>46115</v>
      </c>
      <c r="E9" s="311" t="s">
        <v>464</v>
      </c>
      <c r="F9" s="88">
        <f t="shared" ref="F9:F45" si="20">SUM(M9,S9,U9,W9,AC9,AE9,AG9,AI9,AK9)</f>
        <v>227306</v>
      </c>
      <c r="G9" s="313"/>
      <c r="I9" s="235">
        <v>29438</v>
      </c>
      <c r="J9" s="101">
        <f t="shared" si="1"/>
        <v>0.12950823999366493</v>
      </c>
      <c r="K9" s="235">
        <v>39935</v>
      </c>
      <c r="L9" s="101">
        <f t="shared" si="2"/>
        <v>0.17568827923591987</v>
      </c>
      <c r="M9" s="106">
        <f t="shared" si="3"/>
        <v>69373</v>
      </c>
      <c r="N9" s="101">
        <f t="shared" si="4"/>
        <v>0.3051965192295848</v>
      </c>
      <c r="O9" s="235">
        <v>4931</v>
      </c>
      <c r="P9" s="101">
        <f t="shared" si="5"/>
        <v>2.1693224111990005E-2</v>
      </c>
      <c r="Q9" s="235">
        <v>709</v>
      </c>
      <c r="R9" s="101">
        <f t="shared" si="6"/>
        <v>3.1191433574124746E-3</v>
      </c>
      <c r="S9" s="106">
        <f t="shared" si="7"/>
        <v>5640</v>
      </c>
      <c r="T9" s="101">
        <f t="shared" si="8"/>
        <v>2.4812367469402481E-2</v>
      </c>
      <c r="U9" s="235">
        <v>25219</v>
      </c>
      <c r="V9" s="101">
        <f t="shared" si="9"/>
        <v>0.11094735730689027</v>
      </c>
      <c r="W9" s="235">
        <v>6356</v>
      </c>
      <c r="X9" s="101">
        <f t="shared" si="10"/>
        <v>2.7962306318354994E-2</v>
      </c>
      <c r="Y9" s="235">
        <v>24786</v>
      </c>
      <c r="Z9" s="101">
        <f t="shared" si="11"/>
        <v>0.10904243618734218</v>
      </c>
      <c r="AA9" s="235">
        <v>16735</v>
      </c>
      <c r="AB9" s="101">
        <f t="shared" si="12"/>
        <v>7.3623221560363564E-2</v>
      </c>
      <c r="AC9" s="106">
        <f t="shared" si="13"/>
        <v>41521</v>
      </c>
      <c r="AD9" s="101">
        <f t="shared" si="14"/>
        <v>0.18266565774770574</v>
      </c>
      <c r="AE9" s="235">
        <v>20746</v>
      </c>
      <c r="AF9" s="101">
        <f t="shared" si="15"/>
        <v>9.1269038212805645E-2</v>
      </c>
      <c r="AG9" s="235">
        <v>15764</v>
      </c>
      <c r="AH9" s="101">
        <f t="shared" si="16"/>
        <v>6.9351446948166792E-2</v>
      </c>
      <c r="AI9" s="235">
        <v>24673</v>
      </c>
      <c r="AJ9" s="101">
        <f t="shared" si="17"/>
        <v>0.10854530896676727</v>
      </c>
      <c r="AK9" s="235">
        <v>18014</v>
      </c>
      <c r="AL9" s="101">
        <f t="shared" si="18"/>
        <v>7.9249997800322033E-2</v>
      </c>
    </row>
    <row r="10" spans="1:38" ht="14.25">
      <c r="B10" s="98"/>
      <c r="C10" s="83"/>
      <c r="D10" s="311">
        <f t="shared" si="19"/>
        <v>46116</v>
      </c>
      <c r="E10" s="311" t="s">
        <v>465</v>
      </c>
      <c r="F10" s="88">
        <f t="shared" si="20"/>
        <v>219331</v>
      </c>
      <c r="G10" s="313"/>
      <c r="H10" s="362"/>
      <c r="I10" s="235">
        <v>28471</v>
      </c>
      <c r="J10" s="101">
        <f t="shared" si="1"/>
        <v>0.12980837182158472</v>
      </c>
      <c r="K10" s="235">
        <v>38123</v>
      </c>
      <c r="L10" s="101">
        <f t="shared" si="2"/>
        <v>0.17381491900369761</v>
      </c>
      <c r="M10" s="106">
        <f t="shared" si="3"/>
        <v>66594</v>
      </c>
      <c r="N10" s="101">
        <f t="shared" si="4"/>
        <v>0.30362329082528233</v>
      </c>
      <c r="O10" s="235">
        <v>4903</v>
      </c>
      <c r="P10" s="101">
        <f t="shared" si="5"/>
        <v>2.2354341155604997E-2</v>
      </c>
      <c r="Q10" s="235">
        <v>708</v>
      </c>
      <c r="R10" s="101">
        <f t="shared" si="6"/>
        <v>3.2279978662386986E-3</v>
      </c>
      <c r="S10" s="106">
        <f t="shared" si="7"/>
        <v>5611</v>
      </c>
      <c r="T10" s="101">
        <f t="shared" si="8"/>
        <v>2.5582339021843696E-2</v>
      </c>
      <c r="U10" s="235">
        <v>24854</v>
      </c>
      <c r="V10" s="101">
        <f t="shared" si="9"/>
        <v>0.11331731492584268</v>
      </c>
      <c r="W10" s="235">
        <v>4292</v>
      </c>
      <c r="X10" s="101">
        <f t="shared" si="10"/>
        <v>1.9568597234317083E-2</v>
      </c>
      <c r="Y10" s="235">
        <v>23756</v>
      </c>
      <c r="Z10" s="101">
        <f t="shared" si="11"/>
        <v>0.10831118264176062</v>
      </c>
      <c r="AA10" s="235">
        <v>19038</v>
      </c>
      <c r="AB10" s="101">
        <f t="shared" si="12"/>
        <v>8.6800315504876185E-2</v>
      </c>
      <c r="AC10" s="106">
        <f t="shared" si="13"/>
        <v>42794</v>
      </c>
      <c r="AD10" s="101">
        <f t="shared" si="14"/>
        <v>0.19511149814663681</v>
      </c>
      <c r="AE10" s="235">
        <v>19290</v>
      </c>
      <c r="AF10" s="101">
        <f t="shared" si="15"/>
        <v>8.7949263897944205E-2</v>
      </c>
      <c r="AG10" s="235">
        <v>16304</v>
      </c>
      <c r="AH10" s="101">
        <f t="shared" si="16"/>
        <v>7.4335137303892296E-2</v>
      </c>
      <c r="AI10" s="235">
        <v>21819</v>
      </c>
      <c r="AJ10" s="101">
        <f t="shared" si="17"/>
        <v>9.9479781699805314E-2</v>
      </c>
      <c r="AK10" s="235">
        <v>17773</v>
      </c>
      <c r="AL10" s="101">
        <f t="shared" si="18"/>
        <v>8.1032776944435572E-2</v>
      </c>
    </row>
    <row r="11" spans="1:38" ht="14.25">
      <c r="B11" s="98"/>
      <c r="C11" s="83"/>
      <c r="D11" s="311">
        <f t="shared" si="19"/>
        <v>46117</v>
      </c>
      <c r="E11" s="311" t="s">
        <v>466</v>
      </c>
      <c r="F11" s="88">
        <f t="shared" si="20"/>
        <v>229419</v>
      </c>
      <c r="G11" s="313"/>
      <c r="H11" s="362"/>
      <c r="I11" s="235">
        <v>27609</v>
      </c>
      <c r="J11" s="101">
        <f t="shared" si="1"/>
        <v>0.12034312763982059</v>
      </c>
      <c r="K11" s="235">
        <v>42761</v>
      </c>
      <c r="L11" s="101">
        <f t="shared" si="2"/>
        <v>0.18638822416626347</v>
      </c>
      <c r="M11" s="106">
        <f t="shared" si="3"/>
        <v>70370</v>
      </c>
      <c r="N11" s="101">
        <f t="shared" si="4"/>
        <v>0.30673135180608407</v>
      </c>
      <c r="O11" s="235">
        <v>4631</v>
      </c>
      <c r="P11" s="101">
        <f t="shared" si="5"/>
        <v>2.0185773628165059E-2</v>
      </c>
      <c r="Q11" s="235">
        <v>791</v>
      </c>
      <c r="R11" s="101">
        <f t="shared" si="6"/>
        <v>3.4478399783801688E-3</v>
      </c>
      <c r="S11" s="106">
        <f t="shared" si="7"/>
        <v>5422</v>
      </c>
      <c r="T11" s="101">
        <f t="shared" si="8"/>
        <v>2.3633613606545228E-2</v>
      </c>
      <c r="U11" s="235">
        <v>27239</v>
      </c>
      <c r="V11" s="101">
        <f t="shared" si="9"/>
        <v>0.11873035799127361</v>
      </c>
      <c r="W11" s="235">
        <v>4492</v>
      </c>
      <c r="X11" s="101">
        <f t="shared" si="10"/>
        <v>1.9579895300737952E-2</v>
      </c>
      <c r="Y11" s="235">
        <v>25045</v>
      </c>
      <c r="Z11" s="101">
        <f t="shared" si="11"/>
        <v>0.1091670698590788</v>
      </c>
      <c r="AA11" s="235">
        <v>20188</v>
      </c>
      <c r="AB11" s="101">
        <f t="shared" si="12"/>
        <v>8.7996199094233701E-2</v>
      </c>
      <c r="AC11" s="106">
        <f t="shared" si="13"/>
        <v>45233</v>
      </c>
      <c r="AD11" s="101">
        <f t="shared" si="14"/>
        <v>0.19716326895331249</v>
      </c>
      <c r="AE11" s="235">
        <v>20743</v>
      </c>
      <c r="AF11" s="101">
        <f t="shared" si="15"/>
        <v>9.0415353567054171E-2</v>
      </c>
      <c r="AG11" s="235">
        <v>15638</v>
      </c>
      <c r="AH11" s="101">
        <f t="shared" si="16"/>
        <v>6.8163491253993791E-2</v>
      </c>
      <c r="AI11" s="235">
        <v>21664</v>
      </c>
      <c r="AJ11" s="101">
        <f t="shared" si="17"/>
        <v>9.4429842340869763E-2</v>
      </c>
      <c r="AK11" s="235">
        <v>18618</v>
      </c>
      <c r="AL11" s="101">
        <f t="shared" si="18"/>
        <v>8.1152825180128937E-2</v>
      </c>
    </row>
    <row r="12" spans="1:38" ht="14.25">
      <c r="B12" s="98"/>
      <c r="C12" s="83"/>
      <c r="D12" s="311">
        <f t="shared" si="19"/>
        <v>46118</v>
      </c>
      <c r="E12" s="311" t="s">
        <v>460</v>
      </c>
      <c r="F12" s="88">
        <f t="shared" si="20"/>
        <v>295799</v>
      </c>
      <c r="G12" s="313"/>
      <c r="H12" s="362">
        <f>SUM(F7:F36)</f>
        <v>5566661</v>
      </c>
      <c r="I12" s="357">
        <v>38373</v>
      </c>
      <c r="J12" s="358">
        <f t="shared" si="1"/>
        <v>0.12972660489048307</v>
      </c>
      <c r="K12" s="357">
        <v>48386</v>
      </c>
      <c r="L12" s="358">
        <f t="shared" si="2"/>
        <v>0.16357729404088586</v>
      </c>
      <c r="M12" s="359">
        <f t="shared" si="3"/>
        <v>86759</v>
      </c>
      <c r="N12" s="358">
        <f t="shared" si="4"/>
        <v>0.29330389893136893</v>
      </c>
      <c r="O12" s="357">
        <v>6712</v>
      </c>
      <c r="P12" s="358">
        <f t="shared" si="5"/>
        <v>2.26910841483575E-2</v>
      </c>
      <c r="Q12" s="357">
        <v>921</v>
      </c>
      <c r="R12" s="358">
        <f t="shared" si="6"/>
        <v>3.1136007897254554E-3</v>
      </c>
      <c r="S12" s="359">
        <f t="shared" si="7"/>
        <v>7633</v>
      </c>
      <c r="T12" s="358">
        <f t="shared" si="8"/>
        <v>2.5804684938082956E-2</v>
      </c>
      <c r="U12" s="357">
        <v>34951</v>
      </c>
      <c r="V12" s="358">
        <f t="shared" si="9"/>
        <v>0.11815793832974418</v>
      </c>
      <c r="W12" s="357">
        <v>7135</v>
      </c>
      <c r="X12" s="358">
        <f t="shared" si="10"/>
        <v>2.4121109266765608E-2</v>
      </c>
      <c r="Y12" s="357">
        <v>31311</v>
      </c>
      <c r="Z12" s="358">
        <f t="shared" si="11"/>
        <v>0.10585228482854912</v>
      </c>
      <c r="AA12" s="357">
        <v>23240</v>
      </c>
      <c r="AB12" s="358">
        <f t="shared" si="12"/>
        <v>7.8566864661476207E-2</v>
      </c>
      <c r="AC12" s="359">
        <f t="shared" si="13"/>
        <v>54551</v>
      </c>
      <c r="AD12" s="358">
        <f t="shared" si="14"/>
        <v>0.18441914949002533</v>
      </c>
      <c r="AE12" s="357">
        <v>30578</v>
      </c>
      <c r="AF12" s="358">
        <f t="shared" si="15"/>
        <v>0.10337425075811615</v>
      </c>
      <c r="AG12" s="357">
        <v>23463</v>
      </c>
      <c r="AH12" s="358">
        <f t="shared" si="16"/>
        <v>7.9320754972126345E-2</v>
      </c>
      <c r="AI12" s="357">
        <v>28134</v>
      </c>
      <c r="AJ12" s="358">
        <f t="shared" si="17"/>
        <v>9.5111883407313746E-2</v>
      </c>
      <c r="AK12" s="357">
        <v>22595</v>
      </c>
      <c r="AL12" s="358">
        <f t="shared" si="18"/>
        <v>7.6386329906456746E-2</v>
      </c>
    </row>
    <row r="13" spans="1:38" ht="14.25">
      <c r="B13" s="98"/>
      <c r="C13" s="83"/>
      <c r="D13" s="383">
        <f t="shared" si="19"/>
        <v>46119</v>
      </c>
      <c r="E13" s="383" t="s">
        <v>461</v>
      </c>
      <c r="F13" s="88">
        <f t="shared" si="20"/>
        <v>279675</v>
      </c>
      <c r="G13" s="313">
        <f>SUM(F13:F19)</f>
        <v>1843714</v>
      </c>
      <c r="H13" s="362"/>
      <c r="I13" s="235">
        <v>37151</v>
      </c>
      <c r="J13" s="101">
        <f t="shared" si="1"/>
        <v>0.13283632788057567</v>
      </c>
      <c r="K13" s="235">
        <v>47767</v>
      </c>
      <c r="L13" s="101">
        <f t="shared" si="2"/>
        <v>0.17079467238759274</v>
      </c>
      <c r="M13" s="106">
        <f t="shared" si="3"/>
        <v>84918</v>
      </c>
      <c r="N13" s="101">
        <f t="shared" si="4"/>
        <v>0.30363100026816842</v>
      </c>
      <c r="O13" s="235">
        <v>6348</v>
      </c>
      <c r="P13" s="101">
        <f t="shared" si="5"/>
        <v>2.269777420219898E-2</v>
      </c>
      <c r="Q13" s="235">
        <v>890</v>
      </c>
      <c r="R13" s="101">
        <f t="shared" si="6"/>
        <v>3.1822651291677842E-3</v>
      </c>
      <c r="S13" s="106">
        <f t="shared" si="7"/>
        <v>7238</v>
      </c>
      <c r="T13" s="101">
        <f t="shared" si="8"/>
        <v>2.5880039331366764E-2</v>
      </c>
      <c r="U13" s="235">
        <v>33798</v>
      </c>
      <c r="V13" s="101">
        <f t="shared" si="9"/>
        <v>0.12084741217484581</v>
      </c>
      <c r="W13" s="235">
        <v>6535</v>
      </c>
      <c r="X13" s="101">
        <f t="shared" si="10"/>
        <v>2.3366407437203897E-2</v>
      </c>
      <c r="Y13" s="235">
        <v>25855</v>
      </c>
      <c r="Z13" s="101">
        <f t="shared" si="11"/>
        <v>9.244658979172253E-2</v>
      </c>
      <c r="AA13" s="235">
        <v>23455</v>
      </c>
      <c r="AB13" s="101">
        <f t="shared" si="12"/>
        <v>8.3865200679359972E-2</v>
      </c>
      <c r="AC13" s="106">
        <f t="shared" si="13"/>
        <v>49310</v>
      </c>
      <c r="AD13" s="101">
        <f t="shared" si="14"/>
        <v>0.1763117904710825</v>
      </c>
      <c r="AE13" s="235">
        <v>28518</v>
      </c>
      <c r="AF13" s="101">
        <f t="shared" si="15"/>
        <v>0.10196835612764817</v>
      </c>
      <c r="AG13" s="235">
        <v>19700</v>
      </c>
      <c r="AH13" s="101">
        <f t="shared" si="16"/>
        <v>7.0438902297309383E-2</v>
      </c>
      <c r="AI13" s="235">
        <v>26592</v>
      </c>
      <c r="AJ13" s="101">
        <f t="shared" si="17"/>
        <v>9.50817913649772E-2</v>
      </c>
      <c r="AK13" s="235">
        <v>23066</v>
      </c>
      <c r="AL13" s="101">
        <f t="shared" si="18"/>
        <v>8.2474300527397876E-2</v>
      </c>
    </row>
    <row r="14" spans="1:38" ht="14.25">
      <c r="B14" s="98"/>
      <c r="C14" s="83"/>
      <c r="D14" s="383">
        <f t="shared" si="19"/>
        <v>46120</v>
      </c>
      <c r="E14" s="383" t="s">
        <v>462</v>
      </c>
      <c r="F14" s="88">
        <f t="shared" si="20"/>
        <v>282734</v>
      </c>
      <c r="G14" s="313"/>
      <c r="H14" s="362"/>
      <c r="I14" s="235">
        <v>35585</v>
      </c>
      <c r="J14" s="101">
        <f>I14/F14</f>
        <v>0.12586034930358569</v>
      </c>
      <c r="K14" s="235">
        <v>45955</v>
      </c>
      <c r="L14" s="101">
        <f>K14/F14</f>
        <v>0.16253793318101112</v>
      </c>
      <c r="M14" s="106">
        <f>SUM(I14+K14)</f>
        <v>81540</v>
      </c>
      <c r="N14" s="101">
        <f>M14/F14</f>
        <v>0.28839828248459681</v>
      </c>
      <c r="O14" s="235">
        <v>6452</v>
      </c>
      <c r="P14" s="101">
        <f>O14/F14</f>
        <v>2.2820035793360543E-2</v>
      </c>
      <c r="Q14" s="235">
        <v>852</v>
      </c>
      <c r="R14" s="101">
        <f t="shared" ref="R14:R45" si="21">Q14/F14</f>
        <v>3.0134331208839403E-3</v>
      </c>
      <c r="S14" s="106">
        <f t="shared" ref="S14" si="22">SUM(O14+Q14)</f>
        <v>7304</v>
      </c>
      <c r="T14" s="101">
        <f>S14/F14</f>
        <v>2.5833468914244484E-2</v>
      </c>
      <c r="U14" s="235">
        <v>33290</v>
      </c>
      <c r="V14" s="101">
        <f>U14/F14</f>
        <v>0.11774317910120466</v>
      </c>
      <c r="W14" s="235">
        <v>5466</v>
      </c>
      <c r="X14" s="101">
        <f>W14/F14</f>
        <v>1.9332658965670914E-2</v>
      </c>
      <c r="Y14" s="235">
        <v>27412</v>
      </c>
      <c r="Z14" s="101">
        <f>Y14/F14</f>
        <v>9.6953320081772973E-2</v>
      </c>
      <c r="AA14" s="235">
        <v>22943</v>
      </c>
      <c r="AB14" s="101">
        <f t="shared" ref="AB14:AB45" si="23">AA14/F14</f>
        <v>8.114694377046977E-2</v>
      </c>
      <c r="AC14" s="106">
        <f>SUM(Y14+AA14)</f>
        <v>50355</v>
      </c>
      <c r="AD14" s="101">
        <f>AC14/F14</f>
        <v>0.17810026385224276</v>
      </c>
      <c r="AE14" s="235">
        <v>28858</v>
      </c>
      <c r="AF14" s="101">
        <f>AE14/F14</f>
        <v>0.10206766784327319</v>
      </c>
      <c r="AG14" s="235">
        <v>25239</v>
      </c>
      <c r="AH14" s="101">
        <f>AG14/F14</f>
        <v>8.9267650866185183E-2</v>
      </c>
      <c r="AI14" s="235">
        <v>27375</v>
      </c>
      <c r="AJ14" s="101">
        <f>AI14/F14</f>
        <v>9.6822455028401255E-2</v>
      </c>
      <c r="AK14" s="235">
        <v>23307</v>
      </c>
      <c r="AL14" s="101">
        <f>AK14/F14</f>
        <v>8.2434372944180753E-2</v>
      </c>
    </row>
    <row r="15" spans="1:38" ht="14.25">
      <c r="B15" s="98"/>
      <c r="C15" s="83"/>
      <c r="D15" s="383">
        <f t="shared" si="19"/>
        <v>46121</v>
      </c>
      <c r="E15" s="383" t="s">
        <v>463</v>
      </c>
      <c r="F15" s="88">
        <f t="shared" si="20"/>
        <v>266574</v>
      </c>
      <c r="G15" s="313"/>
      <c r="H15" s="362"/>
      <c r="I15" s="235">
        <v>35549</v>
      </c>
      <c r="J15" s="101">
        <f t="shared" ref="J15" si="24">I15/F15</f>
        <v>0.1333550908940857</v>
      </c>
      <c r="K15" s="235">
        <v>45093</v>
      </c>
      <c r="L15" s="101">
        <f t="shared" ref="L15" si="25">K15/F15</f>
        <v>0.16915753224245425</v>
      </c>
      <c r="M15" s="106">
        <f t="shared" ref="M15" si="26">SUM(I15+K15)</f>
        <v>80642</v>
      </c>
      <c r="N15" s="101">
        <f t="shared" ref="N15" si="27">M15/F15</f>
        <v>0.30251262313653993</v>
      </c>
      <c r="O15" s="235">
        <v>6490</v>
      </c>
      <c r="P15" s="101">
        <f t="shared" ref="P15" si="28">O15/F15</f>
        <v>2.4345960221176858E-2</v>
      </c>
      <c r="Q15" s="235">
        <v>841</v>
      </c>
      <c r="R15" s="101">
        <f t="shared" si="21"/>
        <v>3.1548463090924094E-3</v>
      </c>
      <c r="S15" s="106">
        <f t="shared" ref="S15" si="29">SUM(O15+Q15)</f>
        <v>7331</v>
      </c>
      <c r="T15" s="101">
        <f t="shared" ref="T15" si="30">S15/F15</f>
        <v>2.7500806530269269E-2</v>
      </c>
      <c r="U15" s="235">
        <v>29309</v>
      </c>
      <c r="V15" s="101">
        <f t="shared" ref="V15" si="31">U15/F15</f>
        <v>0.10994695656740718</v>
      </c>
      <c r="W15" s="235">
        <v>5687</v>
      </c>
      <c r="X15" s="101">
        <f t="shared" ref="X15" si="32">W15/F15</f>
        <v>2.1333663448048198E-2</v>
      </c>
      <c r="Y15" s="235">
        <v>26796</v>
      </c>
      <c r="Z15" s="101">
        <f t="shared" ref="Z15" si="33">Y15/F15</f>
        <v>0.10051993067590988</v>
      </c>
      <c r="AA15" s="235">
        <v>21197</v>
      </c>
      <c r="AB15" s="101">
        <f t="shared" si="23"/>
        <v>7.9516381942725103E-2</v>
      </c>
      <c r="AC15" s="106">
        <f t="shared" ref="AC15" si="34">SUM(Y15+AA15)</f>
        <v>47993</v>
      </c>
      <c r="AD15" s="101">
        <f t="shared" ref="AD15" si="35">AC15/F15</f>
        <v>0.18003631261863498</v>
      </c>
      <c r="AE15" s="235">
        <v>24638</v>
      </c>
      <c r="AF15" s="101">
        <f t="shared" ref="AF15" si="36">AE15/F15</f>
        <v>9.2424617554600227E-2</v>
      </c>
      <c r="AG15" s="235">
        <v>21677</v>
      </c>
      <c r="AH15" s="101">
        <f t="shared" ref="AH15" si="37">AG15/F15</f>
        <v>8.1317007660161908E-2</v>
      </c>
      <c r="AI15" s="235">
        <v>26375</v>
      </c>
      <c r="AJ15" s="101">
        <f t="shared" ref="AJ15" si="38">AI15/F15</f>
        <v>9.8940631869574677E-2</v>
      </c>
      <c r="AK15" s="235">
        <v>22922</v>
      </c>
      <c r="AL15" s="101">
        <f t="shared" ref="AL15" si="39">AK15/F15</f>
        <v>8.5987380614763631E-2</v>
      </c>
    </row>
    <row r="16" spans="1:38" ht="14.25">
      <c r="B16" s="98"/>
      <c r="C16" s="83"/>
      <c r="D16" s="383">
        <f t="shared" si="19"/>
        <v>46122</v>
      </c>
      <c r="E16" s="383" t="s">
        <v>464</v>
      </c>
      <c r="F16" s="88">
        <f t="shared" si="20"/>
        <v>252974</v>
      </c>
      <c r="G16" s="313"/>
      <c r="H16" s="362"/>
      <c r="I16" s="235">
        <v>34191</v>
      </c>
      <c r="J16" s="101">
        <f t="shared" ref="J16:J41" si="40">I16/F16</f>
        <v>0.13515618205823524</v>
      </c>
      <c r="K16" s="235">
        <v>41801</v>
      </c>
      <c r="L16" s="101">
        <f t="shared" ref="L16:L41" si="41">K16/F16</f>
        <v>0.16523832488714255</v>
      </c>
      <c r="M16" s="106">
        <f t="shared" ref="M16:M41" si="42">SUM(I16+K16)</f>
        <v>75992</v>
      </c>
      <c r="N16" s="101">
        <f t="shared" ref="N16:N41" si="43">M16/F16</f>
        <v>0.30039450694537778</v>
      </c>
      <c r="O16" s="235">
        <v>6454</v>
      </c>
      <c r="P16" s="101">
        <f t="shared" ref="P16:P41" si="44">O16/F16</f>
        <v>2.551250326120471E-2</v>
      </c>
      <c r="Q16" s="235">
        <v>736</v>
      </c>
      <c r="R16" s="101">
        <f t="shared" si="21"/>
        <v>2.9093898977760558E-3</v>
      </c>
      <c r="S16" s="106">
        <f t="shared" ref="S16:S45" si="45">SUM(O16+Q16)</f>
        <v>7190</v>
      </c>
      <c r="T16" s="101">
        <f t="shared" ref="T16:T41" si="46">S16/F16</f>
        <v>2.8421893158980766E-2</v>
      </c>
      <c r="U16" s="235">
        <v>28692</v>
      </c>
      <c r="V16" s="101">
        <f t="shared" ref="V16:V41" si="47">U16/F16</f>
        <v>0.11341877030841115</v>
      </c>
      <c r="W16" s="235">
        <v>5622</v>
      </c>
      <c r="X16" s="101">
        <f t="shared" ref="X16:X41" si="48">W16/F16</f>
        <v>2.2223627724588298E-2</v>
      </c>
      <c r="Y16" s="235">
        <v>26371</v>
      </c>
      <c r="Z16" s="101">
        <f t="shared" ref="Z16:Z41" si="49">Y16/F16</f>
        <v>0.10424391439436465</v>
      </c>
      <c r="AA16" s="235">
        <v>18802</v>
      </c>
      <c r="AB16" s="101">
        <f t="shared" si="23"/>
        <v>7.4323843557045383E-2</v>
      </c>
      <c r="AC16" s="106">
        <f t="shared" ref="AC16:AC41" si="50">SUM(Y16+AA16)</f>
        <v>45173</v>
      </c>
      <c r="AD16" s="101">
        <f t="shared" ref="AD16:AD41" si="51">AC16/F16</f>
        <v>0.17856775795141003</v>
      </c>
      <c r="AE16" s="235">
        <v>22793</v>
      </c>
      <c r="AF16" s="101">
        <f t="shared" ref="AF16:AF41" si="52">AE16/F16</f>
        <v>9.0100168396752237E-2</v>
      </c>
      <c r="AG16" s="235">
        <v>20562</v>
      </c>
      <c r="AH16" s="101">
        <f t="shared" ref="AH16:AH41" si="53">AG16/F16</f>
        <v>8.1281080269118566E-2</v>
      </c>
      <c r="AI16" s="235">
        <v>24977</v>
      </c>
      <c r="AJ16" s="101">
        <f t="shared" ref="AJ16:AJ41" si="54">AI16/F16</f>
        <v>9.8733466680370321E-2</v>
      </c>
      <c r="AK16" s="235">
        <v>21973</v>
      </c>
      <c r="AL16" s="101">
        <f t="shared" ref="AL16:AL41" si="55">AK16/F16</f>
        <v>8.685872856499087E-2</v>
      </c>
    </row>
    <row r="17" spans="2:38" ht="14.25">
      <c r="B17" s="98"/>
      <c r="C17" s="83"/>
      <c r="D17" s="383">
        <f t="shared" si="19"/>
        <v>46123</v>
      </c>
      <c r="E17" s="383" t="s">
        <v>465</v>
      </c>
      <c r="F17" s="88">
        <f t="shared" si="20"/>
        <v>235549</v>
      </c>
      <c r="G17" s="313"/>
      <c r="H17" s="362"/>
      <c r="I17" s="235">
        <v>30930</v>
      </c>
      <c r="J17" s="101">
        <f t="shared" si="40"/>
        <v>0.13131025816284511</v>
      </c>
      <c r="K17" s="235">
        <v>39896</v>
      </c>
      <c r="L17" s="101">
        <f t="shared" si="41"/>
        <v>0.16937452504574418</v>
      </c>
      <c r="M17" s="106">
        <f t="shared" si="42"/>
        <v>70826</v>
      </c>
      <c r="N17" s="101">
        <f t="shared" si="43"/>
        <v>0.30068478320858927</v>
      </c>
      <c r="O17" s="235">
        <v>5469</v>
      </c>
      <c r="P17" s="101">
        <f t="shared" si="44"/>
        <v>2.3218098994264462E-2</v>
      </c>
      <c r="Q17" s="235">
        <v>636</v>
      </c>
      <c r="R17" s="101">
        <f t="shared" si="21"/>
        <v>2.7000751436006944E-3</v>
      </c>
      <c r="S17" s="106">
        <f t="shared" si="45"/>
        <v>6105</v>
      </c>
      <c r="T17" s="101">
        <f t="shared" si="46"/>
        <v>2.5918174137865159E-2</v>
      </c>
      <c r="U17" s="235">
        <v>25961</v>
      </c>
      <c r="V17" s="101">
        <f t="shared" si="47"/>
        <v>0.11021485975317237</v>
      </c>
      <c r="W17" s="235">
        <v>5266</v>
      </c>
      <c r="X17" s="101">
        <f t="shared" si="48"/>
        <v>2.2356282556920216E-2</v>
      </c>
      <c r="Y17" s="235">
        <v>24143</v>
      </c>
      <c r="Z17" s="101">
        <f t="shared" si="49"/>
        <v>0.1024967204275968</v>
      </c>
      <c r="AA17" s="235">
        <v>19045</v>
      </c>
      <c r="AB17" s="101">
        <f t="shared" si="23"/>
        <v>8.0853665267099417E-2</v>
      </c>
      <c r="AC17" s="106">
        <f t="shared" si="50"/>
        <v>43188</v>
      </c>
      <c r="AD17" s="101">
        <f t="shared" si="51"/>
        <v>0.18335038569469622</v>
      </c>
      <c r="AE17" s="235">
        <v>20900</v>
      </c>
      <c r="AF17" s="101">
        <f t="shared" si="52"/>
        <v>8.8728884435934768E-2</v>
      </c>
      <c r="AG17" s="235">
        <v>17516</v>
      </c>
      <c r="AH17" s="101">
        <f t="shared" si="53"/>
        <v>7.4362446879417871E-2</v>
      </c>
      <c r="AI17" s="235">
        <v>26557</v>
      </c>
      <c r="AJ17" s="101">
        <f t="shared" si="54"/>
        <v>0.11274511885000574</v>
      </c>
      <c r="AK17" s="235">
        <v>19230</v>
      </c>
      <c r="AL17" s="101">
        <f t="shared" si="55"/>
        <v>8.163906448339836E-2</v>
      </c>
    </row>
    <row r="18" spans="2:38" ht="14.25">
      <c r="B18" s="98"/>
      <c r="C18" s="83"/>
      <c r="D18" s="383">
        <f t="shared" si="19"/>
        <v>46124</v>
      </c>
      <c r="E18" s="383" t="s">
        <v>466</v>
      </c>
      <c r="F18" s="88">
        <f t="shared" si="20"/>
        <v>240874</v>
      </c>
      <c r="G18" s="313"/>
      <c r="H18" s="362"/>
      <c r="I18" s="235">
        <v>28378</v>
      </c>
      <c r="J18" s="101">
        <f t="shared" si="40"/>
        <v>0.11781263233059608</v>
      </c>
      <c r="K18" s="235">
        <v>43811</v>
      </c>
      <c r="L18" s="101">
        <f t="shared" si="41"/>
        <v>0.1818834743475842</v>
      </c>
      <c r="M18" s="106">
        <f t="shared" si="42"/>
        <v>72189</v>
      </c>
      <c r="N18" s="101">
        <f t="shared" si="43"/>
        <v>0.29969610667818031</v>
      </c>
      <c r="O18" s="235">
        <v>5489</v>
      </c>
      <c r="P18" s="101">
        <f t="shared" si="44"/>
        <v>2.27878475883657E-2</v>
      </c>
      <c r="Q18" s="235">
        <v>685</v>
      </c>
      <c r="R18" s="101">
        <f t="shared" si="21"/>
        <v>2.8438104569193851E-3</v>
      </c>
      <c r="S18" s="106">
        <f t="shared" si="45"/>
        <v>6174</v>
      </c>
      <c r="T18" s="101">
        <f t="shared" si="46"/>
        <v>2.5631658045285086E-2</v>
      </c>
      <c r="U18" s="235">
        <v>28245</v>
      </c>
      <c r="V18" s="101">
        <f t="shared" si="47"/>
        <v>0.11726047643166136</v>
      </c>
      <c r="W18" s="235">
        <v>3977</v>
      </c>
      <c r="X18" s="101">
        <f t="shared" si="48"/>
        <v>1.6510706842581598E-2</v>
      </c>
      <c r="Y18" s="235">
        <v>23988</v>
      </c>
      <c r="Z18" s="101">
        <f t="shared" si="49"/>
        <v>9.9587336117638273E-2</v>
      </c>
      <c r="AA18" s="235">
        <v>19285</v>
      </c>
      <c r="AB18" s="101">
        <f t="shared" si="23"/>
        <v>8.0062605345533347E-2</v>
      </c>
      <c r="AC18" s="106">
        <f t="shared" si="50"/>
        <v>43273</v>
      </c>
      <c r="AD18" s="101">
        <f t="shared" si="51"/>
        <v>0.17964994146317162</v>
      </c>
      <c r="AE18" s="235">
        <v>23009</v>
      </c>
      <c r="AF18" s="101">
        <f t="shared" si="52"/>
        <v>9.5522970515705311E-2</v>
      </c>
      <c r="AG18" s="235">
        <v>16592</v>
      </c>
      <c r="AH18" s="101">
        <f t="shared" si="53"/>
        <v>6.8882486279133487E-2</v>
      </c>
      <c r="AI18" s="235">
        <v>27456</v>
      </c>
      <c r="AJ18" s="101">
        <f t="shared" si="54"/>
        <v>0.11398490497106371</v>
      </c>
      <c r="AK18" s="235">
        <v>19959</v>
      </c>
      <c r="AL18" s="101">
        <f t="shared" si="55"/>
        <v>8.286074877321753E-2</v>
      </c>
    </row>
    <row r="19" spans="2:38" ht="14.25">
      <c r="B19" s="98"/>
      <c r="C19" s="83"/>
      <c r="D19" s="383">
        <f t="shared" si="19"/>
        <v>46125</v>
      </c>
      <c r="E19" s="383" t="s">
        <v>460</v>
      </c>
      <c r="F19" s="88">
        <f t="shared" si="20"/>
        <v>285334</v>
      </c>
      <c r="G19" s="313"/>
      <c r="H19" s="362"/>
      <c r="I19" s="235">
        <v>35476</v>
      </c>
      <c r="J19" s="101">
        <f t="shared" si="40"/>
        <v>0.12433148520681027</v>
      </c>
      <c r="K19" s="235">
        <v>47107</v>
      </c>
      <c r="L19" s="101">
        <f t="shared" si="41"/>
        <v>0.16509424043401769</v>
      </c>
      <c r="M19" s="106">
        <f t="shared" si="42"/>
        <v>82583</v>
      </c>
      <c r="N19" s="101">
        <f t="shared" si="43"/>
        <v>0.28942572564082797</v>
      </c>
      <c r="O19" s="235">
        <v>6568</v>
      </c>
      <c r="P19" s="101">
        <f t="shared" si="44"/>
        <v>2.3018637806921011E-2</v>
      </c>
      <c r="Q19" s="235">
        <v>803</v>
      </c>
      <c r="R19" s="101">
        <f t="shared" si="21"/>
        <v>2.8142457611080346E-3</v>
      </c>
      <c r="S19" s="106">
        <f t="shared" si="45"/>
        <v>7371</v>
      </c>
      <c r="T19" s="101">
        <f t="shared" si="46"/>
        <v>2.5832883568029048E-2</v>
      </c>
      <c r="U19" s="235">
        <v>34850</v>
      </c>
      <c r="V19" s="101">
        <f t="shared" si="47"/>
        <v>0.12213756509914696</v>
      </c>
      <c r="W19" s="235">
        <v>5430</v>
      </c>
      <c r="X19" s="101">
        <f t="shared" si="48"/>
        <v>1.9030329368389325E-2</v>
      </c>
      <c r="Y19" s="235">
        <v>27630</v>
      </c>
      <c r="Z19" s="101">
        <f t="shared" si="49"/>
        <v>9.683388590213575E-2</v>
      </c>
      <c r="AA19" s="235">
        <v>21199</v>
      </c>
      <c r="AB19" s="101">
        <f t="shared" si="23"/>
        <v>7.4295387160310367E-2</v>
      </c>
      <c r="AC19" s="106">
        <f t="shared" si="50"/>
        <v>48829</v>
      </c>
      <c r="AD19" s="101">
        <f t="shared" si="51"/>
        <v>0.1711292730624461</v>
      </c>
      <c r="AE19" s="235">
        <v>28296</v>
      </c>
      <c r="AF19" s="101">
        <f t="shared" si="52"/>
        <v>9.9167992598148139E-2</v>
      </c>
      <c r="AG19" s="235">
        <v>23035</v>
      </c>
      <c r="AH19" s="101">
        <f t="shared" si="53"/>
        <v>8.0729951565533725E-2</v>
      </c>
      <c r="AI19" s="235">
        <v>32873</v>
      </c>
      <c r="AJ19" s="101">
        <f t="shared" si="54"/>
        <v>0.11520884296999306</v>
      </c>
      <c r="AK19" s="235">
        <v>22067</v>
      </c>
      <c r="AL19" s="101">
        <f t="shared" si="55"/>
        <v>7.7337436127485684E-2</v>
      </c>
    </row>
    <row r="20" spans="2:38" ht="14.25">
      <c r="B20" s="98"/>
      <c r="C20" s="83"/>
      <c r="D20" s="311">
        <f t="shared" si="19"/>
        <v>46126</v>
      </c>
      <c r="E20" s="311" t="s">
        <v>461</v>
      </c>
      <c r="F20" s="88">
        <f t="shared" si="20"/>
        <v>279213</v>
      </c>
      <c r="G20" s="313">
        <f>SUM(F20:F26)</f>
        <v>1893489</v>
      </c>
      <c r="H20" s="362"/>
      <c r="I20" s="235">
        <v>35092</v>
      </c>
      <c r="J20" s="101">
        <f t="shared" si="40"/>
        <v>0.12568182713555601</v>
      </c>
      <c r="K20" s="235">
        <v>46885</v>
      </c>
      <c r="L20" s="101">
        <f t="shared" si="41"/>
        <v>0.16791839921493626</v>
      </c>
      <c r="M20" s="106">
        <f t="shared" si="42"/>
        <v>81977</v>
      </c>
      <c r="N20" s="101">
        <f t="shared" si="43"/>
        <v>0.29360022635049227</v>
      </c>
      <c r="O20" s="235">
        <v>6302</v>
      </c>
      <c r="P20" s="101">
        <f t="shared" si="44"/>
        <v>2.2570582315293342E-2</v>
      </c>
      <c r="Q20" s="235">
        <v>786</v>
      </c>
      <c r="R20" s="101">
        <f t="shared" si="21"/>
        <v>2.8150551729324924E-3</v>
      </c>
      <c r="S20" s="106">
        <f t="shared" si="45"/>
        <v>7088</v>
      </c>
      <c r="T20" s="101">
        <f t="shared" si="46"/>
        <v>2.5385637488225834E-2</v>
      </c>
      <c r="U20" s="235">
        <v>33788</v>
      </c>
      <c r="V20" s="101">
        <f t="shared" si="47"/>
        <v>0.1210115574847876</v>
      </c>
      <c r="W20" s="235">
        <v>5415</v>
      </c>
      <c r="X20" s="101">
        <f t="shared" si="48"/>
        <v>1.9393796134134157E-2</v>
      </c>
      <c r="Y20" s="235">
        <v>25499</v>
      </c>
      <c r="Z20" s="101">
        <f t="shared" si="49"/>
        <v>9.1324544344281958E-2</v>
      </c>
      <c r="AA20" s="235">
        <v>25029</v>
      </c>
      <c r="AB20" s="101">
        <f t="shared" si="23"/>
        <v>8.9641241632732002E-2</v>
      </c>
      <c r="AC20" s="106">
        <f t="shared" si="50"/>
        <v>50528</v>
      </c>
      <c r="AD20" s="101">
        <f t="shared" si="51"/>
        <v>0.18096578597701396</v>
      </c>
      <c r="AE20" s="235">
        <v>27405</v>
      </c>
      <c r="AF20" s="101">
        <f t="shared" si="52"/>
        <v>9.8150874063886714E-2</v>
      </c>
      <c r="AG20" s="235">
        <v>21043</v>
      </c>
      <c r="AH20" s="101">
        <f t="shared" si="53"/>
        <v>7.5365402040735927E-2</v>
      </c>
      <c r="AI20" s="235">
        <v>29116</v>
      </c>
      <c r="AJ20" s="101">
        <f t="shared" si="54"/>
        <v>0.10427881223295477</v>
      </c>
      <c r="AK20" s="235">
        <v>22853</v>
      </c>
      <c r="AL20" s="101">
        <f t="shared" si="55"/>
        <v>8.1847908227768759E-2</v>
      </c>
    </row>
    <row r="21" spans="2:38" ht="14.25">
      <c r="B21" s="98"/>
      <c r="C21" s="83"/>
      <c r="D21" s="311">
        <f t="shared" si="19"/>
        <v>46127</v>
      </c>
      <c r="E21" s="311" t="s">
        <v>462</v>
      </c>
      <c r="F21" s="88">
        <f t="shared" si="20"/>
        <v>303421</v>
      </c>
      <c r="G21" s="313"/>
      <c r="H21" s="362"/>
      <c r="I21" s="235">
        <v>38530</v>
      </c>
      <c r="J21" s="101">
        <f t="shared" si="40"/>
        <v>0.12698527788122774</v>
      </c>
      <c r="K21" s="235">
        <v>46585</v>
      </c>
      <c r="L21" s="101">
        <f t="shared" si="41"/>
        <v>0.15353255048266271</v>
      </c>
      <c r="M21" s="106">
        <f t="shared" si="42"/>
        <v>85115</v>
      </c>
      <c r="N21" s="101">
        <f t="shared" si="43"/>
        <v>0.28051782836389044</v>
      </c>
      <c r="O21" s="235">
        <v>5371</v>
      </c>
      <c r="P21" s="101">
        <f t="shared" si="44"/>
        <v>1.7701477485078488E-2</v>
      </c>
      <c r="Q21" s="235">
        <v>780</v>
      </c>
      <c r="R21" s="101">
        <f t="shared" si="21"/>
        <v>2.5706856150365335E-3</v>
      </c>
      <c r="S21" s="106">
        <f t="shared" si="45"/>
        <v>6151</v>
      </c>
      <c r="T21" s="101">
        <f t="shared" si="46"/>
        <v>2.0272163100115023E-2</v>
      </c>
      <c r="U21" s="235">
        <v>33206</v>
      </c>
      <c r="V21" s="101">
        <f t="shared" si="47"/>
        <v>0.10943870068320914</v>
      </c>
      <c r="W21" s="235">
        <v>5366</v>
      </c>
      <c r="X21" s="101">
        <f t="shared" si="48"/>
        <v>1.7684998731135947E-2</v>
      </c>
      <c r="Y21" s="235">
        <v>28725</v>
      </c>
      <c r="Z21" s="101">
        <f t="shared" si="49"/>
        <v>9.4670441399903105E-2</v>
      </c>
      <c r="AA21" s="235">
        <v>23237</v>
      </c>
      <c r="AB21" s="101">
        <f t="shared" si="23"/>
        <v>7.6583361072569134E-2</v>
      </c>
      <c r="AC21" s="106">
        <f t="shared" si="50"/>
        <v>51962</v>
      </c>
      <c r="AD21" s="101">
        <f t="shared" si="51"/>
        <v>0.17125380247247224</v>
      </c>
      <c r="AE21" s="235">
        <v>29823</v>
      </c>
      <c r="AF21" s="101">
        <f t="shared" si="52"/>
        <v>9.8289175765685299E-2</v>
      </c>
      <c r="AG21" s="235">
        <v>19448</v>
      </c>
      <c r="AH21" s="101">
        <f t="shared" si="53"/>
        <v>6.4095761334910906E-2</v>
      </c>
      <c r="AI21" s="235">
        <v>27315</v>
      </c>
      <c r="AJ21" s="101">
        <f t="shared" si="54"/>
        <v>9.0023432788106289E-2</v>
      </c>
      <c r="AK21" s="235">
        <v>45035</v>
      </c>
      <c r="AL21" s="101">
        <f t="shared" si="55"/>
        <v>0.14842413676047472</v>
      </c>
    </row>
    <row r="22" spans="2:38" ht="14.25">
      <c r="B22" s="98"/>
      <c r="C22" s="83"/>
      <c r="D22" s="311">
        <f t="shared" si="19"/>
        <v>46128</v>
      </c>
      <c r="E22" s="311" t="s">
        <v>463</v>
      </c>
      <c r="F22" s="88">
        <f t="shared" si="20"/>
        <v>283533</v>
      </c>
      <c r="G22" s="313"/>
      <c r="H22" s="362"/>
      <c r="I22" s="235">
        <v>37699</v>
      </c>
      <c r="J22" s="101">
        <f t="shared" si="40"/>
        <v>0.13296159529931259</v>
      </c>
      <c r="K22" s="235">
        <v>46300</v>
      </c>
      <c r="L22" s="101">
        <f t="shared" si="41"/>
        <v>0.16329668856887911</v>
      </c>
      <c r="M22" s="106">
        <f t="shared" si="42"/>
        <v>83999</v>
      </c>
      <c r="N22" s="101">
        <f t="shared" si="43"/>
        <v>0.2962582838681917</v>
      </c>
      <c r="O22" s="235">
        <v>5543</v>
      </c>
      <c r="P22" s="101">
        <f t="shared" si="44"/>
        <v>1.9549752586118723E-2</v>
      </c>
      <c r="Q22" s="235">
        <v>775</v>
      </c>
      <c r="R22" s="101">
        <f t="shared" si="21"/>
        <v>2.7333678972112593E-3</v>
      </c>
      <c r="S22" s="106">
        <f t="shared" si="45"/>
        <v>6318</v>
      </c>
      <c r="T22" s="101">
        <f t="shared" si="46"/>
        <v>2.2283120483329984E-2</v>
      </c>
      <c r="U22" s="235">
        <v>30524</v>
      </c>
      <c r="V22" s="101">
        <f t="shared" si="47"/>
        <v>0.10765589896061481</v>
      </c>
      <c r="W22" s="235">
        <v>5452</v>
      </c>
      <c r="X22" s="101">
        <f t="shared" si="48"/>
        <v>1.9228802291091338E-2</v>
      </c>
      <c r="Y22" s="235">
        <v>28245</v>
      </c>
      <c r="Z22" s="101">
        <f t="shared" si="49"/>
        <v>9.9618033879654219E-2</v>
      </c>
      <c r="AA22" s="235">
        <v>20273</v>
      </c>
      <c r="AB22" s="101">
        <f t="shared" si="23"/>
        <v>7.1501377264727564E-2</v>
      </c>
      <c r="AC22" s="106">
        <f t="shared" si="50"/>
        <v>48518</v>
      </c>
      <c r="AD22" s="101">
        <f t="shared" si="51"/>
        <v>0.17111941114438178</v>
      </c>
      <c r="AE22" s="235">
        <v>28483</v>
      </c>
      <c r="AF22" s="101">
        <f t="shared" si="52"/>
        <v>0.100457442343572</v>
      </c>
      <c r="AG22" s="235">
        <v>19922</v>
      </c>
      <c r="AH22" s="101">
        <f t="shared" si="53"/>
        <v>7.0263426126764783E-2</v>
      </c>
      <c r="AI22" s="235">
        <v>27929</v>
      </c>
      <c r="AJ22" s="101">
        <f t="shared" si="54"/>
        <v>9.8503525162855821E-2</v>
      </c>
      <c r="AK22" s="235">
        <v>32388</v>
      </c>
      <c r="AL22" s="101">
        <f t="shared" si="55"/>
        <v>0.11423008961919777</v>
      </c>
    </row>
    <row r="23" spans="2:38" ht="14.25">
      <c r="B23" s="98"/>
      <c r="C23" s="83"/>
      <c r="D23" s="311">
        <f t="shared" si="19"/>
        <v>46129</v>
      </c>
      <c r="E23" s="311" t="s">
        <v>464</v>
      </c>
      <c r="F23" s="88">
        <f t="shared" si="20"/>
        <v>262582</v>
      </c>
      <c r="G23" s="313"/>
      <c r="H23" s="362"/>
      <c r="I23" s="235">
        <v>36677</v>
      </c>
      <c r="J23" s="101">
        <f t="shared" si="40"/>
        <v>0.13967827193029225</v>
      </c>
      <c r="K23" s="235">
        <v>42580</v>
      </c>
      <c r="L23" s="101">
        <f t="shared" si="41"/>
        <v>0.16215886846775485</v>
      </c>
      <c r="M23" s="106">
        <f t="shared" si="42"/>
        <v>79257</v>
      </c>
      <c r="N23" s="101">
        <f t="shared" si="43"/>
        <v>0.3018371403980471</v>
      </c>
      <c r="O23" s="235">
        <v>5450</v>
      </c>
      <c r="P23" s="101">
        <f t="shared" si="44"/>
        <v>2.0755421163674584E-2</v>
      </c>
      <c r="Q23" s="235">
        <v>682</v>
      </c>
      <c r="R23" s="101">
        <f t="shared" si="21"/>
        <v>2.5972838960781775E-3</v>
      </c>
      <c r="S23" s="106">
        <f t="shared" si="45"/>
        <v>6132</v>
      </c>
      <c r="T23" s="101">
        <f t="shared" si="46"/>
        <v>2.3352705059752763E-2</v>
      </c>
      <c r="U23" s="235">
        <v>29248</v>
      </c>
      <c r="V23" s="101">
        <f t="shared" si="47"/>
        <v>0.11138615746700078</v>
      </c>
      <c r="W23" s="235">
        <v>4963</v>
      </c>
      <c r="X23" s="101">
        <f t="shared" si="48"/>
        <v>1.8900762428498526E-2</v>
      </c>
      <c r="Y23" s="235">
        <v>26549</v>
      </c>
      <c r="Z23" s="101">
        <f t="shared" si="49"/>
        <v>0.10110746357328378</v>
      </c>
      <c r="AA23" s="235">
        <v>15094</v>
      </c>
      <c r="AB23" s="101">
        <f t="shared" si="23"/>
        <v>5.7482995787982417E-2</v>
      </c>
      <c r="AC23" s="106">
        <f t="shared" si="50"/>
        <v>41643</v>
      </c>
      <c r="AD23" s="101">
        <f t="shared" si="51"/>
        <v>0.1585904593612662</v>
      </c>
      <c r="AE23" s="235">
        <v>26356</v>
      </c>
      <c r="AF23" s="101">
        <f t="shared" si="52"/>
        <v>0.1003724550806986</v>
      </c>
      <c r="AG23" s="235">
        <v>18659</v>
      </c>
      <c r="AH23" s="101">
        <f t="shared" si="53"/>
        <v>7.1059707062936531E-2</v>
      </c>
      <c r="AI23" s="235">
        <v>25923</v>
      </c>
      <c r="AJ23" s="101">
        <f t="shared" si="54"/>
        <v>9.8723446390080058E-2</v>
      </c>
      <c r="AK23" s="235">
        <v>30401</v>
      </c>
      <c r="AL23" s="101">
        <f t="shared" si="55"/>
        <v>0.11577716675171947</v>
      </c>
    </row>
    <row r="24" spans="2:38" ht="14.25">
      <c r="B24" s="98"/>
      <c r="C24" s="83"/>
      <c r="D24" s="311">
        <f t="shared" si="19"/>
        <v>46130</v>
      </c>
      <c r="E24" s="311" t="s">
        <v>465</v>
      </c>
      <c r="F24" s="88">
        <f t="shared" si="20"/>
        <v>233211</v>
      </c>
      <c r="G24" s="313"/>
      <c r="H24" s="362"/>
      <c r="I24" s="235">
        <v>31505</v>
      </c>
      <c r="J24" s="101">
        <f t="shared" si="40"/>
        <v>0.13509225551110368</v>
      </c>
      <c r="K24" s="235">
        <v>38850</v>
      </c>
      <c r="L24" s="101">
        <f t="shared" si="41"/>
        <v>0.16658733936220846</v>
      </c>
      <c r="M24" s="106">
        <f t="shared" si="42"/>
        <v>70355</v>
      </c>
      <c r="N24" s="101">
        <f t="shared" si="43"/>
        <v>0.30167959487331214</v>
      </c>
      <c r="O24" s="235">
        <v>4439</v>
      </c>
      <c r="P24" s="101">
        <f t="shared" si="44"/>
        <v>1.9034265107563536E-2</v>
      </c>
      <c r="Q24" s="235">
        <v>568</v>
      </c>
      <c r="R24" s="101">
        <f t="shared" si="21"/>
        <v>2.4355626449867286E-3</v>
      </c>
      <c r="S24" s="106">
        <f t="shared" si="45"/>
        <v>5007</v>
      </c>
      <c r="T24" s="101">
        <f t="shared" si="46"/>
        <v>2.1469827752550266E-2</v>
      </c>
      <c r="U24" s="235">
        <v>25752</v>
      </c>
      <c r="V24" s="101">
        <f t="shared" si="47"/>
        <v>0.11042360780580676</v>
      </c>
      <c r="W24" s="235">
        <v>3171</v>
      </c>
      <c r="X24" s="101">
        <f t="shared" si="48"/>
        <v>1.3597128780374853E-2</v>
      </c>
      <c r="Y24" s="235">
        <v>23725</v>
      </c>
      <c r="Z24" s="101">
        <f t="shared" si="49"/>
        <v>0.10173190801463053</v>
      </c>
      <c r="AA24" s="235">
        <v>16355</v>
      </c>
      <c r="AB24" s="101">
        <f t="shared" si="23"/>
        <v>7.0129625103447099E-2</v>
      </c>
      <c r="AC24" s="106">
        <f t="shared" si="50"/>
        <v>40080</v>
      </c>
      <c r="AD24" s="101">
        <f t="shared" si="51"/>
        <v>0.17186153311807761</v>
      </c>
      <c r="AE24" s="235">
        <v>21694</v>
      </c>
      <c r="AF24" s="101">
        <f t="shared" si="52"/>
        <v>9.3023056373841714E-2</v>
      </c>
      <c r="AG24" s="235">
        <v>15895</v>
      </c>
      <c r="AH24" s="101">
        <f t="shared" si="53"/>
        <v>6.8157162398000098E-2</v>
      </c>
      <c r="AI24" s="235">
        <v>25267</v>
      </c>
      <c r="AJ24" s="101">
        <f t="shared" si="54"/>
        <v>0.10834394604028112</v>
      </c>
      <c r="AK24" s="235">
        <v>25990</v>
      </c>
      <c r="AL24" s="101">
        <f t="shared" si="55"/>
        <v>0.11144414285775542</v>
      </c>
    </row>
    <row r="25" spans="2:38" ht="14.25">
      <c r="B25" s="98"/>
      <c r="C25" s="83"/>
      <c r="D25" s="311">
        <f t="shared" si="19"/>
        <v>46131</v>
      </c>
      <c r="E25" s="311" t="s">
        <v>466</v>
      </c>
      <c r="F25" s="88">
        <f t="shared" si="20"/>
        <v>241676</v>
      </c>
      <c r="G25" s="313"/>
      <c r="H25" s="362"/>
      <c r="I25" s="235">
        <v>31082</v>
      </c>
      <c r="J25" s="101">
        <f t="shared" si="40"/>
        <v>0.12861020539896389</v>
      </c>
      <c r="K25" s="235">
        <v>44089</v>
      </c>
      <c r="L25" s="101">
        <f t="shared" si="41"/>
        <v>0.18243019579933464</v>
      </c>
      <c r="M25" s="106">
        <f t="shared" si="42"/>
        <v>75171</v>
      </c>
      <c r="N25" s="101">
        <f t="shared" si="43"/>
        <v>0.31104040119829857</v>
      </c>
      <c r="O25" s="235">
        <v>4501</v>
      </c>
      <c r="P25" s="101">
        <f t="shared" si="44"/>
        <v>1.8624108310299741E-2</v>
      </c>
      <c r="Q25" s="235">
        <v>595</v>
      </c>
      <c r="R25" s="101">
        <f t="shared" si="21"/>
        <v>2.4619738823879905E-3</v>
      </c>
      <c r="S25" s="106">
        <f t="shared" si="45"/>
        <v>5096</v>
      </c>
      <c r="T25" s="101">
        <f t="shared" si="46"/>
        <v>2.1086082192687729E-2</v>
      </c>
      <c r="U25" s="235">
        <v>28026</v>
      </c>
      <c r="V25" s="101">
        <f t="shared" si="47"/>
        <v>0.11596517651732072</v>
      </c>
      <c r="W25" s="235">
        <v>2144</v>
      </c>
      <c r="X25" s="101">
        <f t="shared" si="48"/>
        <v>8.871381519058575E-3</v>
      </c>
      <c r="Y25" s="235">
        <v>24799</v>
      </c>
      <c r="Z25" s="101">
        <f t="shared" si="49"/>
        <v>0.1026125887551929</v>
      </c>
      <c r="AA25" s="235">
        <v>18026</v>
      </c>
      <c r="AB25" s="101">
        <f t="shared" si="23"/>
        <v>7.4587464208278859E-2</v>
      </c>
      <c r="AC25" s="106">
        <f t="shared" si="50"/>
        <v>42825</v>
      </c>
      <c r="AD25" s="101">
        <f t="shared" si="51"/>
        <v>0.17720005296347174</v>
      </c>
      <c r="AE25" s="235">
        <v>24036</v>
      </c>
      <c r="AF25" s="101">
        <f t="shared" si="52"/>
        <v>9.9455469306013011E-2</v>
      </c>
      <c r="AG25" s="235">
        <v>16396</v>
      </c>
      <c r="AH25" s="101">
        <f t="shared" si="53"/>
        <v>6.7842897101905025E-2</v>
      </c>
      <c r="AI25" s="235">
        <v>24430</v>
      </c>
      <c r="AJ25" s="101">
        <f t="shared" si="54"/>
        <v>0.10108575117098925</v>
      </c>
      <c r="AK25" s="235">
        <v>23552</v>
      </c>
      <c r="AL25" s="101">
        <f t="shared" si="55"/>
        <v>9.745278803025538E-2</v>
      </c>
    </row>
    <row r="26" spans="2:38" ht="14.25">
      <c r="B26" s="98"/>
      <c r="C26" s="83"/>
      <c r="D26" s="311">
        <f t="shared" si="19"/>
        <v>46132</v>
      </c>
      <c r="E26" s="311" t="s">
        <v>460</v>
      </c>
      <c r="F26" s="88">
        <f t="shared" si="20"/>
        <v>289853</v>
      </c>
      <c r="G26" s="313"/>
      <c r="H26" s="362"/>
      <c r="I26" s="235">
        <v>39251</v>
      </c>
      <c r="J26" s="101">
        <f t="shared" si="40"/>
        <v>0.13541691823096536</v>
      </c>
      <c r="K26" s="235">
        <v>48361</v>
      </c>
      <c r="L26" s="101">
        <f t="shared" si="41"/>
        <v>0.1668466429534971</v>
      </c>
      <c r="M26" s="106">
        <f t="shared" si="42"/>
        <v>87612</v>
      </c>
      <c r="N26" s="101">
        <f t="shared" si="43"/>
        <v>0.30226356118446246</v>
      </c>
      <c r="O26" s="235">
        <v>5608</v>
      </c>
      <c r="P26" s="101">
        <f t="shared" si="44"/>
        <v>1.9347738336329103E-2</v>
      </c>
      <c r="Q26" s="235">
        <v>740</v>
      </c>
      <c r="R26" s="101">
        <f t="shared" si="21"/>
        <v>2.5530182540805168E-3</v>
      </c>
      <c r="S26" s="106">
        <f t="shared" si="45"/>
        <v>6348</v>
      </c>
      <c r="T26" s="101">
        <f t="shared" si="46"/>
        <v>2.1900756590409621E-2</v>
      </c>
      <c r="U26" s="235">
        <v>34540</v>
      </c>
      <c r="V26" s="101">
        <f t="shared" si="47"/>
        <v>0.11916385202154195</v>
      </c>
      <c r="W26" s="235">
        <v>2759</v>
      </c>
      <c r="X26" s="101">
        <f t="shared" si="48"/>
        <v>9.5186180581191149E-3</v>
      </c>
      <c r="Y26" s="235">
        <v>25612</v>
      </c>
      <c r="Z26" s="101">
        <f t="shared" si="49"/>
        <v>8.8362031788527293E-2</v>
      </c>
      <c r="AA26" s="235">
        <v>19492</v>
      </c>
      <c r="AB26" s="101">
        <f t="shared" si="23"/>
        <v>6.724788082234788E-2</v>
      </c>
      <c r="AC26" s="106">
        <f t="shared" si="50"/>
        <v>45104</v>
      </c>
      <c r="AD26" s="101">
        <f t="shared" si="51"/>
        <v>0.15560991261087517</v>
      </c>
      <c r="AE26" s="235">
        <v>31187</v>
      </c>
      <c r="AF26" s="101">
        <f t="shared" si="52"/>
        <v>0.10759591931082307</v>
      </c>
      <c r="AG26" s="235">
        <v>20343</v>
      </c>
      <c r="AH26" s="101">
        <f t="shared" si="53"/>
        <v>7.0183851814540468E-2</v>
      </c>
      <c r="AI26" s="235">
        <v>30606</v>
      </c>
      <c r="AJ26" s="101">
        <f t="shared" si="54"/>
        <v>0.1055914549789031</v>
      </c>
      <c r="AK26" s="235">
        <v>31354</v>
      </c>
      <c r="AL26" s="101">
        <f t="shared" si="55"/>
        <v>0.10817207343032503</v>
      </c>
    </row>
    <row r="27" spans="2:38" ht="14.25">
      <c r="B27" s="98"/>
      <c r="C27" s="83"/>
      <c r="D27" s="383">
        <f t="shared" si="19"/>
        <v>46133</v>
      </c>
      <c r="E27" s="383" t="s">
        <v>461</v>
      </c>
      <c r="F27" s="88">
        <f t="shared" si="20"/>
        <v>285984</v>
      </c>
      <c r="G27" s="313">
        <f>SUM(F27:F33)</f>
        <v>285984</v>
      </c>
      <c r="H27" s="362"/>
      <c r="I27" s="235">
        <v>38779</v>
      </c>
      <c r="J27" s="101">
        <f t="shared" si="40"/>
        <v>0.13559849502070045</v>
      </c>
      <c r="K27" s="235">
        <v>48182</v>
      </c>
      <c r="L27" s="101">
        <f t="shared" si="41"/>
        <v>0.16847795680877251</v>
      </c>
      <c r="M27" s="106">
        <f t="shared" si="42"/>
        <v>86961</v>
      </c>
      <c r="N27" s="101">
        <f t="shared" si="43"/>
        <v>0.30407645182947296</v>
      </c>
      <c r="O27" s="235">
        <v>5530</v>
      </c>
      <c r="P27" s="101">
        <f t="shared" si="44"/>
        <v>1.9336746111670584E-2</v>
      </c>
      <c r="Q27" s="235">
        <v>745</v>
      </c>
      <c r="R27" s="101">
        <f t="shared" si="21"/>
        <v>2.6050408414456752E-3</v>
      </c>
      <c r="S27" s="106">
        <f t="shared" si="45"/>
        <v>6275</v>
      </c>
      <c r="T27" s="101">
        <f t="shared" si="46"/>
        <v>2.1941786953116257E-2</v>
      </c>
      <c r="U27" s="235">
        <v>34875</v>
      </c>
      <c r="V27" s="101">
        <f t="shared" si="47"/>
        <v>0.12194738167170191</v>
      </c>
      <c r="W27" s="235">
        <v>3210</v>
      </c>
      <c r="X27" s="101">
        <f t="shared" si="48"/>
        <v>1.1224404162470628E-2</v>
      </c>
      <c r="Y27" s="235">
        <v>25422</v>
      </c>
      <c r="Z27" s="101">
        <f t="shared" si="49"/>
        <v>8.8893084927828131E-2</v>
      </c>
      <c r="AA27" s="235">
        <v>24197</v>
      </c>
      <c r="AB27" s="101">
        <f t="shared" si="23"/>
        <v>8.4609628510685916E-2</v>
      </c>
      <c r="AC27" s="106">
        <f t="shared" si="50"/>
        <v>49619</v>
      </c>
      <c r="AD27" s="101">
        <f t="shared" si="51"/>
        <v>0.17350271343851403</v>
      </c>
      <c r="AE27" s="235">
        <v>29467</v>
      </c>
      <c r="AF27" s="101">
        <f t="shared" si="52"/>
        <v>0.10303723285218754</v>
      </c>
      <c r="AG27" s="235">
        <v>20326</v>
      </c>
      <c r="AH27" s="101">
        <f t="shared" si="53"/>
        <v>7.1073906232516498E-2</v>
      </c>
      <c r="AI27" s="235">
        <v>30265</v>
      </c>
      <c r="AJ27" s="101">
        <f t="shared" si="54"/>
        <v>0.10582759874678303</v>
      </c>
      <c r="AK27" s="235">
        <v>24986</v>
      </c>
      <c r="AL27" s="101">
        <f t="shared" si="55"/>
        <v>8.7368524113237103E-2</v>
      </c>
    </row>
    <row r="28" spans="2:38" ht="14.25">
      <c r="B28" s="98"/>
      <c r="C28" s="83"/>
      <c r="D28" s="383">
        <f t="shared" si="19"/>
        <v>46134</v>
      </c>
      <c r="E28" s="383" t="s">
        <v>462</v>
      </c>
      <c r="F28" s="88">
        <f t="shared" si="20"/>
        <v>0</v>
      </c>
      <c r="G28" s="313"/>
      <c r="H28" s="362"/>
      <c r="I28" s="235"/>
      <c r="J28" s="101" t="e">
        <f t="shared" si="40"/>
        <v>#DIV/0!</v>
      </c>
      <c r="K28" s="235"/>
      <c r="L28" s="101" t="e">
        <f t="shared" si="41"/>
        <v>#DIV/0!</v>
      </c>
      <c r="M28" s="106">
        <f t="shared" si="42"/>
        <v>0</v>
      </c>
      <c r="N28" s="101" t="e">
        <f t="shared" si="43"/>
        <v>#DIV/0!</v>
      </c>
      <c r="O28" s="235"/>
      <c r="P28" s="101" t="e">
        <f t="shared" si="44"/>
        <v>#DIV/0!</v>
      </c>
      <c r="Q28" s="235"/>
      <c r="R28" s="101" t="e">
        <f t="shared" si="21"/>
        <v>#DIV/0!</v>
      </c>
      <c r="S28" s="106">
        <f t="shared" si="45"/>
        <v>0</v>
      </c>
      <c r="T28" s="101" t="e">
        <f t="shared" si="46"/>
        <v>#DIV/0!</v>
      </c>
      <c r="U28" s="235"/>
      <c r="V28" s="101" t="e">
        <f t="shared" si="47"/>
        <v>#DIV/0!</v>
      </c>
      <c r="W28" s="235"/>
      <c r="X28" s="101" t="e">
        <f t="shared" si="48"/>
        <v>#DIV/0!</v>
      </c>
      <c r="Y28" s="235"/>
      <c r="Z28" s="101" t="e">
        <f t="shared" si="49"/>
        <v>#DIV/0!</v>
      </c>
      <c r="AA28" s="235"/>
      <c r="AB28" s="101" t="e">
        <f t="shared" si="23"/>
        <v>#DIV/0!</v>
      </c>
      <c r="AC28" s="106">
        <f t="shared" si="50"/>
        <v>0</v>
      </c>
      <c r="AD28" s="101" t="e">
        <f t="shared" si="51"/>
        <v>#DIV/0!</v>
      </c>
      <c r="AE28" s="235"/>
      <c r="AF28" s="101" t="e">
        <f t="shared" si="52"/>
        <v>#DIV/0!</v>
      </c>
      <c r="AG28" s="235"/>
      <c r="AH28" s="101" t="e">
        <f t="shared" si="53"/>
        <v>#DIV/0!</v>
      </c>
      <c r="AI28" s="235"/>
      <c r="AJ28" s="101" t="e">
        <f t="shared" si="54"/>
        <v>#DIV/0!</v>
      </c>
      <c r="AK28" s="235"/>
      <c r="AL28" s="101" t="e">
        <f t="shared" si="55"/>
        <v>#DIV/0!</v>
      </c>
    </row>
    <row r="29" spans="2:38" ht="14.25">
      <c r="B29" s="98"/>
      <c r="C29" s="83"/>
      <c r="D29" s="383">
        <f t="shared" si="19"/>
        <v>46135</v>
      </c>
      <c r="E29" s="383" t="s">
        <v>463</v>
      </c>
      <c r="F29" s="88">
        <f t="shared" si="20"/>
        <v>0</v>
      </c>
      <c r="G29" s="313"/>
      <c r="H29" s="362"/>
      <c r="I29" s="235"/>
      <c r="J29" s="101" t="e">
        <f t="shared" si="40"/>
        <v>#DIV/0!</v>
      </c>
      <c r="K29" s="235"/>
      <c r="L29" s="101" t="e">
        <f t="shared" si="41"/>
        <v>#DIV/0!</v>
      </c>
      <c r="M29" s="106">
        <f t="shared" si="42"/>
        <v>0</v>
      </c>
      <c r="N29" s="101" t="e">
        <f t="shared" si="43"/>
        <v>#DIV/0!</v>
      </c>
      <c r="O29" s="235"/>
      <c r="P29" s="101" t="e">
        <f t="shared" si="44"/>
        <v>#DIV/0!</v>
      </c>
      <c r="Q29" s="235"/>
      <c r="R29" s="101" t="e">
        <f t="shared" si="21"/>
        <v>#DIV/0!</v>
      </c>
      <c r="S29" s="106">
        <f t="shared" si="45"/>
        <v>0</v>
      </c>
      <c r="T29" s="101" t="e">
        <f t="shared" si="46"/>
        <v>#DIV/0!</v>
      </c>
      <c r="U29" s="235"/>
      <c r="V29" s="101" t="e">
        <f t="shared" si="47"/>
        <v>#DIV/0!</v>
      </c>
      <c r="W29" s="235"/>
      <c r="X29" s="101" t="e">
        <f t="shared" si="48"/>
        <v>#DIV/0!</v>
      </c>
      <c r="Y29" s="235"/>
      <c r="Z29" s="101" t="e">
        <f t="shared" si="49"/>
        <v>#DIV/0!</v>
      </c>
      <c r="AA29" s="235"/>
      <c r="AB29" s="101" t="e">
        <f t="shared" si="23"/>
        <v>#DIV/0!</v>
      </c>
      <c r="AC29" s="106">
        <f t="shared" si="50"/>
        <v>0</v>
      </c>
      <c r="AD29" s="101" t="e">
        <f t="shared" si="51"/>
        <v>#DIV/0!</v>
      </c>
      <c r="AE29" s="235"/>
      <c r="AF29" s="101" t="e">
        <f t="shared" si="52"/>
        <v>#DIV/0!</v>
      </c>
      <c r="AG29" s="235"/>
      <c r="AH29" s="101" t="e">
        <f t="shared" si="53"/>
        <v>#DIV/0!</v>
      </c>
      <c r="AI29" s="235"/>
      <c r="AJ29" s="101" t="e">
        <f t="shared" si="54"/>
        <v>#DIV/0!</v>
      </c>
      <c r="AK29" s="235"/>
      <c r="AL29" s="101" t="e">
        <f t="shared" si="55"/>
        <v>#DIV/0!</v>
      </c>
    </row>
    <row r="30" spans="2:38" ht="14.25">
      <c r="B30" s="98"/>
      <c r="C30" s="83"/>
      <c r="D30" s="383">
        <f t="shared" si="19"/>
        <v>46136</v>
      </c>
      <c r="E30" s="383" t="s">
        <v>464</v>
      </c>
      <c r="F30" s="88">
        <f t="shared" si="20"/>
        <v>0</v>
      </c>
      <c r="G30" s="313"/>
      <c r="H30" s="362"/>
      <c r="I30" s="235"/>
      <c r="J30" s="101" t="e">
        <f t="shared" si="40"/>
        <v>#DIV/0!</v>
      </c>
      <c r="K30" s="235"/>
      <c r="L30" s="101" t="e">
        <f t="shared" si="41"/>
        <v>#DIV/0!</v>
      </c>
      <c r="M30" s="106">
        <f t="shared" si="42"/>
        <v>0</v>
      </c>
      <c r="N30" s="101" t="e">
        <f t="shared" si="43"/>
        <v>#DIV/0!</v>
      </c>
      <c r="O30" s="235"/>
      <c r="P30" s="101" t="e">
        <f t="shared" si="44"/>
        <v>#DIV/0!</v>
      </c>
      <c r="Q30" s="235"/>
      <c r="R30" s="101" t="e">
        <f t="shared" si="21"/>
        <v>#DIV/0!</v>
      </c>
      <c r="S30" s="106">
        <f t="shared" si="45"/>
        <v>0</v>
      </c>
      <c r="T30" s="101" t="e">
        <f t="shared" si="46"/>
        <v>#DIV/0!</v>
      </c>
      <c r="U30" s="235"/>
      <c r="V30" s="101" t="e">
        <f t="shared" si="47"/>
        <v>#DIV/0!</v>
      </c>
      <c r="W30" s="235"/>
      <c r="X30" s="101" t="e">
        <f t="shared" si="48"/>
        <v>#DIV/0!</v>
      </c>
      <c r="Y30" s="235"/>
      <c r="Z30" s="101" t="e">
        <f t="shared" si="49"/>
        <v>#DIV/0!</v>
      </c>
      <c r="AA30" s="235"/>
      <c r="AB30" s="101" t="e">
        <f t="shared" si="23"/>
        <v>#DIV/0!</v>
      </c>
      <c r="AC30" s="106">
        <f t="shared" si="50"/>
        <v>0</v>
      </c>
      <c r="AD30" s="101" t="e">
        <f t="shared" si="51"/>
        <v>#DIV/0!</v>
      </c>
      <c r="AE30" s="235"/>
      <c r="AF30" s="101" t="e">
        <f t="shared" si="52"/>
        <v>#DIV/0!</v>
      </c>
      <c r="AG30" s="235"/>
      <c r="AH30" s="101" t="e">
        <f t="shared" si="53"/>
        <v>#DIV/0!</v>
      </c>
      <c r="AI30" s="235"/>
      <c r="AJ30" s="101" t="e">
        <f t="shared" si="54"/>
        <v>#DIV/0!</v>
      </c>
      <c r="AK30" s="235"/>
      <c r="AL30" s="101" t="e">
        <f t="shared" si="55"/>
        <v>#DIV/0!</v>
      </c>
    </row>
    <row r="31" spans="2:38" ht="14.25">
      <c r="B31" s="98"/>
      <c r="C31" s="83"/>
      <c r="D31" s="383">
        <f t="shared" si="19"/>
        <v>46137</v>
      </c>
      <c r="E31" s="383" t="s">
        <v>465</v>
      </c>
      <c r="F31" s="88">
        <f t="shared" si="20"/>
        <v>0</v>
      </c>
      <c r="G31" s="313"/>
      <c r="H31" s="362"/>
      <c r="I31" s="235"/>
      <c r="J31" s="101" t="e">
        <f t="shared" si="40"/>
        <v>#DIV/0!</v>
      </c>
      <c r="K31" s="235"/>
      <c r="L31" s="101" t="e">
        <f t="shared" si="41"/>
        <v>#DIV/0!</v>
      </c>
      <c r="M31" s="106">
        <f t="shared" si="42"/>
        <v>0</v>
      </c>
      <c r="N31" s="101" t="e">
        <f t="shared" si="43"/>
        <v>#DIV/0!</v>
      </c>
      <c r="O31" s="235"/>
      <c r="P31" s="101" t="e">
        <f t="shared" si="44"/>
        <v>#DIV/0!</v>
      </c>
      <c r="Q31" s="235"/>
      <c r="R31" s="101" t="e">
        <f t="shared" si="21"/>
        <v>#DIV/0!</v>
      </c>
      <c r="S31" s="106">
        <f t="shared" si="45"/>
        <v>0</v>
      </c>
      <c r="T31" s="101" t="e">
        <f t="shared" si="46"/>
        <v>#DIV/0!</v>
      </c>
      <c r="U31" s="235"/>
      <c r="V31" s="101" t="e">
        <f t="shared" si="47"/>
        <v>#DIV/0!</v>
      </c>
      <c r="W31" s="235"/>
      <c r="X31" s="101" t="e">
        <f t="shared" si="48"/>
        <v>#DIV/0!</v>
      </c>
      <c r="Y31" s="235"/>
      <c r="Z31" s="101" t="e">
        <f t="shared" si="49"/>
        <v>#DIV/0!</v>
      </c>
      <c r="AA31" s="235"/>
      <c r="AB31" s="101" t="e">
        <f t="shared" si="23"/>
        <v>#DIV/0!</v>
      </c>
      <c r="AC31" s="106">
        <f t="shared" si="50"/>
        <v>0</v>
      </c>
      <c r="AD31" s="101" t="e">
        <f t="shared" si="51"/>
        <v>#DIV/0!</v>
      </c>
      <c r="AE31" s="235"/>
      <c r="AF31" s="101" t="e">
        <f t="shared" si="52"/>
        <v>#DIV/0!</v>
      </c>
      <c r="AG31" s="235"/>
      <c r="AH31" s="101" t="e">
        <f t="shared" si="53"/>
        <v>#DIV/0!</v>
      </c>
      <c r="AI31" s="235"/>
      <c r="AJ31" s="101" t="e">
        <f t="shared" si="54"/>
        <v>#DIV/0!</v>
      </c>
      <c r="AK31" s="235"/>
      <c r="AL31" s="101" t="e">
        <f t="shared" si="55"/>
        <v>#DIV/0!</v>
      </c>
    </row>
    <row r="32" spans="2:38" ht="14.25">
      <c r="B32" s="98"/>
      <c r="C32" s="83"/>
      <c r="D32" s="383">
        <f t="shared" si="19"/>
        <v>46138</v>
      </c>
      <c r="E32" s="383" t="s">
        <v>466</v>
      </c>
      <c r="F32" s="88">
        <f t="shared" si="20"/>
        <v>0</v>
      </c>
      <c r="G32" s="313"/>
      <c r="H32" s="362"/>
      <c r="I32" s="235"/>
      <c r="J32" s="101" t="e">
        <f t="shared" si="40"/>
        <v>#DIV/0!</v>
      </c>
      <c r="K32" s="235"/>
      <c r="L32" s="101" t="e">
        <f t="shared" si="41"/>
        <v>#DIV/0!</v>
      </c>
      <c r="M32" s="106">
        <f t="shared" si="42"/>
        <v>0</v>
      </c>
      <c r="N32" s="101" t="e">
        <f t="shared" si="43"/>
        <v>#DIV/0!</v>
      </c>
      <c r="O32" s="235"/>
      <c r="P32" s="101" t="e">
        <f t="shared" si="44"/>
        <v>#DIV/0!</v>
      </c>
      <c r="Q32" s="235"/>
      <c r="R32" s="101" t="e">
        <f t="shared" si="21"/>
        <v>#DIV/0!</v>
      </c>
      <c r="S32" s="106">
        <f t="shared" si="45"/>
        <v>0</v>
      </c>
      <c r="T32" s="101" t="e">
        <f t="shared" si="46"/>
        <v>#DIV/0!</v>
      </c>
      <c r="U32" s="235"/>
      <c r="V32" s="101" t="e">
        <f t="shared" si="47"/>
        <v>#DIV/0!</v>
      </c>
      <c r="W32" s="235"/>
      <c r="X32" s="101" t="e">
        <f t="shared" si="48"/>
        <v>#DIV/0!</v>
      </c>
      <c r="Y32" s="235"/>
      <c r="Z32" s="101" t="e">
        <f t="shared" si="49"/>
        <v>#DIV/0!</v>
      </c>
      <c r="AA32" s="235"/>
      <c r="AB32" s="101" t="e">
        <f t="shared" si="23"/>
        <v>#DIV/0!</v>
      </c>
      <c r="AC32" s="106">
        <f t="shared" si="50"/>
        <v>0</v>
      </c>
      <c r="AD32" s="101" t="e">
        <f t="shared" si="51"/>
        <v>#DIV/0!</v>
      </c>
      <c r="AE32" s="235"/>
      <c r="AF32" s="101" t="e">
        <f t="shared" si="52"/>
        <v>#DIV/0!</v>
      </c>
      <c r="AG32" s="235"/>
      <c r="AH32" s="101" t="e">
        <f t="shared" si="53"/>
        <v>#DIV/0!</v>
      </c>
      <c r="AI32" s="235"/>
      <c r="AJ32" s="101" t="e">
        <f t="shared" si="54"/>
        <v>#DIV/0!</v>
      </c>
      <c r="AK32" s="235"/>
      <c r="AL32" s="101" t="e">
        <f t="shared" si="55"/>
        <v>#DIV/0!</v>
      </c>
    </row>
    <row r="33" spans="2:38" ht="14.25">
      <c r="B33" s="98"/>
      <c r="C33" s="83"/>
      <c r="D33" s="383">
        <f t="shared" si="19"/>
        <v>46139</v>
      </c>
      <c r="E33" s="383" t="s">
        <v>460</v>
      </c>
      <c r="F33" s="88">
        <f t="shared" si="20"/>
        <v>0</v>
      </c>
      <c r="G33" s="313"/>
      <c r="H33" s="362"/>
      <c r="I33" s="235"/>
      <c r="J33" s="101" t="e">
        <f t="shared" si="40"/>
        <v>#DIV/0!</v>
      </c>
      <c r="K33" s="235"/>
      <c r="L33" s="101" t="e">
        <f t="shared" si="41"/>
        <v>#DIV/0!</v>
      </c>
      <c r="M33" s="106">
        <f t="shared" si="42"/>
        <v>0</v>
      </c>
      <c r="N33" s="101" t="e">
        <f t="shared" si="43"/>
        <v>#DIV/0!</v>
      </c>
      <c r="O33" s="235"/>
      <c r="P33" s="101" t="e">
        <f t="shared" si="44"/>
        <v>#DIV/0!</v>
      </c>
      <c r="Q33" s="235"/>
      <c r="R33" s="101" t="e">
        <f t="shared" si="21"/>
        <v>#DIV/0!</v>
      </c>
      <c r="S33" s="106">
        <f t="shared" si="45"/>
        <v>0</v>
      </c>
      <c r="T33" s="101" t="e">
        <f t="shared" si="46"/>
        <v>#DIV/0!</v>
      </c>
      <c r="U33" s="235"/>
      <c r="V33" s="101" t="e">
        <f t="shared" si="47"/>
        <v>#DIV/0!</v>
      </c>
      <c r="W33" s="235"/>
      <c r="X33" s="101" t="e">
        <f t="shared" si="48"/>
        <v>#DIV/0!</v>
      </c>
      <c r="Y33" s="235"/>
      <c r="Z33" s="101" t="e">
        <f t="shared" si="49"/>
        <v>#DIV/0!</v>
      </c>
      <c r="AA33" s="235"/>
      <c r="AB33" s="101" t="e">
        <f t="shared" si="23"/>
        <v>#DIV/0!</v>
      </c>
      <c r="AC33" s="106">
        <f t="shared" si="50"/>
        <v>0</v>
      </c>
      <c r="AD33" s="101" t="e">
        <f t="shared" si="51"/>
        <v>#DIV/0!</v>
      </c>
      <c r="AE33" s="235"/>
      <c r="AF33" s="101" t="e">
        <f t="shared" si="52"/>
        <v>#DIV/0!</v>
      </c>
      <c r="AG33" s="235"/>
      <c r="AH33" s="101" t="e">
        <f t="shared" si="53"/>
        <v>#DIV/0!</v>
      </c>
      <c r="AI33" s="235"/>
      <c r="AJ33" s="101" t="e">
        <f t="shared" si="54"/>
        <v>#DIV/0!</v>
      </c>
      <c r="AK33" s="235"/>
      <c r="AL33" s="101" t="e">
        <f t="shared" si="55"/>
        <v>#DIV/0!</v>
      </c>
    </row>
    <row r="34" spans="2:38" ht="14.25">
      <c r="B34" s="98"/>
      <c r="C34" s="83"/>
      <c r="D34" s="311">
        <f t="shared" si="19"/>
        <v>46140</v>
      </c>
      <c r="E34" s="311" t="s">
        <v>461</v>
      </c>
      <c r="F34" s="88">
        <f t="shared" si="20"/>
        <v>0</v>
      </c>
      <c r="G34" s="313">
        <f>SUM(F34:F40)</f>
        <v>0</v>
      </c>
      <c r="H34" s="362"/>
      <c r="I34" s="235"/>
      <c r="J34" s="101" t="e">
        <f t="shared" si="40"/>
        <v>#DIV/0!</v>
      </c>
      <c r="K34" s="235"/>
      <c r="L34" s="101" t="e">
        <f t="shared" si="41"/>
        <v>#DIV/0!</v>
      </c>
      <c r="M34" s="106">
        <f t="shared" si="42"/>
        <v>0</v>
      </c>
      <c r="N34" s="101" t="e">
        <f t="shared" si="43"/>
        <v>#DIV/0!</v>
      </c>
      <c r="O34" s="235"/>
      <c r="P34" s="101" t="e">
        <f t="shared" si="44"/>
        <v>#DIV/0!</v>
      </c>
      <c r="Q34" s="235"/>
      <c r="R34" s="101" t="e">
        <f t="shared" si="21"/>
        <v>#DIV/0!</v>
      </c>
      <c r="S34" s="106">
        <f t="shared" si="45"/>
        <v>0</v>
      </c>
      <c r="T34" s="101" t="e">
        <f t="shared" si="46"/>
        <v>#DIV/0!</v>
      </c>
      <c r="U34" s="235"/>
      <c r="V34" s="101" t="e">
        <f t="shared" si="47"/>
        <v>#DIV/0!</v>
      </c>
      <c r="W34" s="235"/>
      <c r="X34" s="101" t="e">
        <f t="shared" si="48"/>
        <v>#DIV/0!</v>
      </c>
      <c r="Y34" s="235"/>
      <c r="Z34" s="101" t="e">
        <f t="shared" si="49"/>
        <v>#DIV/0!</v>
      </c>
      <c r="AA34" s="235"/>
      <c r="AB34" s="101" t="e">
        <f t="shared" si="23"/>
        <v>#DIV/0!</v>
      </c>
      <c r="AC34" s="106">
        <f t="shared" si="50"/>
        <v>0</v>
      </c>
      <c r="AD34" s="101" t="e">
        <f t="shared" si="51"/>
        <v>#DIV/0!</v>
      </c>
      <c r="AE34" s="235"/>
      <c r="AF34" s="101" t="e">
        <f t="shared" si="52"/>
        <v>#DIV/0!</v>
      </c>
      <c r="AG34" s="235"/>
      <c r="AH34" s="101" t="e">
        <f t="shared" si="53"/>
        <v>#DIV/0!</v>
      </c>
      <c r="AI34" s="235"/>
      <c r="AJ34" s="101" t="e">
        <f t="shared" si="54"/>
        <v>#DIV/0!</v>
      </c>
      <c r="AK34" s="235"/>
      <c r="AL34" s="101" t="e">
        <f t="shared" si="55"/>
        <v>#DIV/0!</v>
      </c>
    </row>
    <row r="35" spans="2:38" ht="14.25">
      <c r="B35" s="98"/>
      <c r="C35" s="83"/>
      <c r="D35" s="311">
        <f t="shared" si="19"/>
        <v>46141</v>
      </c>
      <c r="E35" s="311" t="s">
        <v>462</v>
      </c>
      <c r="F35" s="88">
        <f t="shared" si="20"/>
        <v>0</v>
      </c>
      <c r="G35" s="313"/>
      <c r="H35" s="362"/>
      <c r="I35" s="235"/>
      <c r="J35" s="101" t="e">
        <f t="shared" si="40"/>
        <v>#DIV/0!</v>
      </c>
      <c r="K35" s="235"/>
      <c r="L35" s="101" t="e">
        <f t="shared" si="41"/>
        <v>#DIV/0!</v>
      </c>
      <c r="M35" s="106">
        <f t="shared" si="42"/>
        <v>0</v>
      </c>
      <c r="N35" s="101" t="e">
        <f t="shared" si="43"/>
        <v>#DIV/0!</v>
      </c>
      <c r="O35" s="235"/>
      <c r="P35" s="101" t="e">
        <f t="shared" si="44"/>
        <v>#DIV/0!</v>
      </c>
      <c r="Q35" s="235"/>
      <c r="R35" s="101" t="e">
        <f t="shared" si="21"/>
        <v>#DIV/0!</v>
      </c>
      <c r="S35" s="106">
        <f t="shared" si="45"/>
        <v>0</v>
      </c>
      <c r="T35" s="101" t="e">
        <f t="shared" si="46"/>
        <v>#DIV/0!</v>
      </c>
      <c r="U35" s="235"/>
      <c r="V35" s="101" t="e">
        <f t="shared" si="47"/>
        <v>#DIV/0!</v>
      </c>
      <c r="W35" s="235"/>
      <c r="X35" s="101" t="e">
        <f t="shared" si="48"/>
        <v>#DIV/0!</v>
      </c>
      <c r="Y35" s="235"/>
      <c r="Z35" s="101" t="e">
        <f t="shared" si="49"/>
        <v>#DIV/0!</v>
      </c>
      <c r="AA35" s="235"/>
      <c r="AB35" s="101" t="e">
        <f t="shared" si="23"/>
        <v>#DIV/0!</v>
      </c>
      <c r="AC35" s="106">
        <f t="shared" si="50"/>
        <v>0</v>
      </c>
      <c r="AD35" s="101" t="e">
        <f t="shared" si="51"/>
        <v>#DIV/0!</v>
      </c>
      <c r="AE35" s="235"/>
      <c r="AF35" s="101" t="e">
        <f t="shared" si="52"/>
        <v>#DIV/0!</v>
      </c>
      <c r="AG35" s="235"/>
      <c r="AH35" s="101" t="e">
        <f t="shared" si="53"/>
        <v>#DIV/0!</v>
      </c>
      <c r="AI35" s="235"/>
      <c r="AJ35" s="101" t="e">
        <f t="shared" si="54"/>
        <v>#DIV/0!</v>
      </c>
      <c r="AK35" s="235"/>
      <c r="AL35" s="101" t="e">
        <f t="shared" si="55"/>
        <v>#DIV/0!</v>
      </c>
    </row>
    <row r="36" spans="2:38" ht="14.25">
      <c r="B36" s="98"/>
      <c r="C36" s="83"/>
      <c r="D36" s="311">
        <f t="shared" si="19"/>
        <v>46142</v>
      </c>
      <c r="E36" s="311" t="s">
        <v>463</v>
      </c>
      <c r="F36" s="88">
        <f t="shared" si="20"/>
        <v>0</v>
      </c>
      <c r="G36" s="313"/>
      <c r="H36" s="362"/>
      <c r="I36" s="235"/>
      <c r="J36" s="101" t="e">
        <f t="shared" si="40"/>
        <v>#DIV/0!</v>
      </c>
      <c r="K36" s="235"/>
      <c r="L36" s="101" t="e">
        <f t="shared" si="41"/>
        <v>#DIV/0!</v>
      </c>
      <c r="M36" s="106">
        <f t="shared" si="42"/>
        <v>0</v>
      </c>
      <c r="N36" s="101" t="e">
        <f t="shared" si="43"/>
        <v>#DIV/0!</v>
      </c>
      <c r="O36" s="235"/>
      <c r="P36" s="101" t="e">
        <f t="shared" si="44"/>
        <v>#DIV/0!</v>
      </c>
      <c r="Q36" s="235"/>
      <c r="R36" s="101" t="e">
        <f t="shared" si="21"/>
        <v>#DIV/0!</v>
      </c>
      <c r="S36" s="106">
        <f t="shared" si="45"/>
        <v>0</v>
      </c>
      <c r="T36" s="101" t="e">
        <f t="shared" si="46"/>
        <v>#DIV/0!</v>
      </c>
      <c r="U36" s="235"/>
      <c r="V36" s="101" t="e">
        <f t="shared" si="47"/>
        <v>#DIV/0!</v>
      </c>
      <c r="W36" s="235"/>
      <c r="X36" s="101" t="e">
        <f t="shared" si="48"/>
        <v>#DIV/0!</v>
      </c>
      <c r="Y36" s="235"/>
      <c r="Z36" s="101" t="e">
        <f t="shared" si="49"/>
        <v>#DIV/0!</v>
      </c>
      <c r="AA36" s="235"/>
      <c r="AB36" s="101" t="e">
        <f t="shared" si="23"/>
        <v>#DIV/0!</v>
      </c>
      <c r="AC36" s="106">
        <f t="shared" si="50"/>
        <v>0</v>
      </c>
      <c r="AD36" s="101" t="e">
        <f t="shared" si="51"/>
        <v>#DIV/0!</v>
      </c>
      <c r="AE36" s="235"/>
      <c r="AF36" s="101" t="e">
        <f t="shared" si="52"/>
        <v>#DIV/0!</v>
      </c>
      <c r="AG36" s="235"/>
      <c r="AH36" s="101" t="e">
        <f t="shared" si="53"/>
        <v>#DIV/0!</v>
      </c>
      <c r="AI36" s="235"/>
      <c r="AJ36" s="101" t="e">
        <f t="shared" si="54"/>
        <v>#DIV/0!</v>
      </c>
      <c r="AK36" s="235"/>
      <c r="AL36" s="101" t="e">
        <f t="shared" si="55"/>
        <v>#DIV/0!</v>
      </c>
    </row>
    <row r="37" spans="2:38" ht="14.25">
      <c r="B37" s="98"/>
      <c r="C37" s="83"/>
      <c r="D37" s="311">
        <f>D36+1</f>
        <v>46143</v>
      </c>
      <c r="E37" s="311" t="s">
        <v>464</v>
      </c>
      <c r="F37" s="88">
        <f t="shared" si="20"/>
        <v>0</v>
      </c>
      <c r="G37" s="313"/>
      <c r="H37" s="362"/>
      <c r="I37" s="235"/>
      <c r="J37" s="101" t="e">
        <f t="shared" si="40"/>
        <v>#DIV/0!</v>
      </c>
      <c r="K37" s="235"/>
      <c r="L37" s="101" t="e">
        <f t="shared" si="41"/>
        <v>#DIV/0!</v>
      </c>
      <c r="M37" s="106">
        <f t="shared" si="42"/>
        <v>0</v>
      </c>
      <c r="N37" s="101" t="e">
        <f t="shared" si="43"/>
        <v>#DIV/0!</v>
      </c>
      <c r="O37" s="235"/>
      <c r="P37" s="101" t="e">
        <f t="shared" si="44"/>
        <v>#DIV/0!</v>
      </c>
      <c r="Q37" s="235"/>
      <c r="R37" s="101" t="e">
        <f t="shared" si="21"/>
        <v>#DIV/0!</v>
      </c>
      <c r="S37" s="106">
        <f t="shared" si="45"/>
        <v>0</v>
      </c>
      <c r="T37" s="101" t="e">
        <f t="shared" si="46"/>
        <v>#DIV/0!</v>
      </c>
      <c r="U37" s="235"/>
      <c r="V37" s="101" t="e">
        <f t="shared" si="47"/>
        <v>#DIV/0!</v>
      </c>
      <c r="W37" s="235"/>
      <c r="X37" s="101" t="e">
        <f t="shared" si="48"/>
        <v>#DIV/0!</v>
      </c>
      <c r="Y37" s="235"/>
      <c r="Z37" s="101" t="e">
        <f t="shared" si="49"/>
        <v>#DIV/0!</v>
      </c>
      <c r="AA37" s="235"/>
      <c r="AB37" s="101" t="e">
        <f t="shared" si="23"/>
        <v>#DIV/0!</v>
      </c>
      <c r="AC37" s="106">
        <f t="shared" si="50"/>
        <v>0</v>
      </c>
      <c r="AD37" s="101" t="e">
        <f t="shared" si="51"/>
        <v>#DIV/0!</v>
      </c>
      <c r="AE37" s="235"/>
      <c r="AF37" s="101" t="e">
        <f t="shared" si="52"/>
        <v>#DIV/0!</v>
      </c>
      <c r="AG37" s="235"/>
      <c r="AH37" s="101" t="e">
        <f t="shared" si="53"/>
        <v>#DIV/0!</v>
      </c>
      <c r="AI37" s="235"/>
      <c r="AJ37" s="101" t="e">
        <f t="shared" si="54"/>
        <v>#DIV/0!</v>
      </c>
      <c r="AK37" s="235"/>
      <c r="AL37" s="101" t="e">
        <f t="shared" si="55"/>
        <v>#DIV/0!</v>
      </c>
    </row>
    <row r="38" spans="2:38" ht="14.25">
      <c r="B38" s="98"/>
      <c r="C38" s="83"/>
      <c r="D38" s="311">
        <f t="shared" ref="D38:D40" si="56">D37+1</f>
        <v>46144</v>
      </c>
      <c r="E38" s="311" t="s">
        <v>465</v>
      </c>
      <c r="F38" s="88">
        <f t="shared" si="20"/>
        <v>0</v>
      </c>
      <c r="G38" s="313"/>
      <c r="H38" s="362"/>
      <c r="I38" s="235"/>
      <c r="J38" s="101" t="e">
        <f t="shared" si="40"/>
        <v>#DIV/0!</v>
      </c>
      <c r="K38" s="235"/>
      <c r="L38" s="101" t="e">
        <f t="shared" si="41"/>
        <v>#DIV/0!</v>
      </c>
      <c r="M38" s="106">
        <f t="shared" si="42"/>
        <v>0</v>
      </c>
      <c r="N38" s="101" t="e">
        <f t="shared" si="43"/>
        <v>#DIV/0!</v>
      </c>
      <c r="O38" s="235"/>
      <c r="P38" s="101" t="e">
        <f t="shared" si="44"/>
        <v>#DIV/0!</v>
      </c>
      <c r="Q38" s="235"/>
      <c r="R38" s="101" t="e">
        <f t="shared" si="21"/>
        <v>#DIV/0!</v>
      </c>
      <c r="S38" s="106">
        <f t="shared" si="45"/>
        <v>0</v>
      </c>
      <c r="T38" s="101" t="e">
        <f t="shared" si="46"/>
        <v>#DIV/0!</v>
      </c>
      <c r="U38" s="235"/>
      <c r="V38" s="101" t="e">
        <f t="shared" si="47"/>
        <v>#DIV/0!</v>
      </c>
      <c r="W38" s="235"/>
      <c r="X38" s="101" t="e">
        <f t="shared" si="48"/>
        <v>#DIV/0!</v>
      </c>
      <c r="Y38" s="235"/>
      <c r="Z38" s="101" t="e">
        <f t="shared" si="49"/>
        <v>#DIV/0!</v>
      </c>
      <c r="AA38" s="235"/>
      <c r="AB38" s="101" t="e">
        <f t="shared" si="23"/>
        <v>#DIV/0!</v>
      </c>
      <c r="AC38" s="106">
        <f t="shared" si="50"/>
        <v>0</v>
      </c>
      <c r="AD38" s="101" t="e">
        <f t="shared" si="51"/>
        <v>#DIV/0!</v>
      </c>
      <c r="AE38" s="235"/>
      <c r="AF38" s="101" t="e">
        <f t="shared" si="52"/>
        <v>#DIV/0!</v>
      </c>
      <c r="AG38" s="235"/>
      <c r="AH38" s="101" t="e">
        <f t="shared" si="53"/>
        <v>#DIV/0!</v>
      </c>
      <c r="AI38" s="235"/>
      <c r="AJ38" s="101" t="e">
        <f t="shared" si="54"/>
        <v>#DIV/0!</v>
      </c>
      <c r="AK38" s="235"/>
      <c r="AL38" s="101" t="e">
        <f t="shared" si="55"/>
        <v>#DIV/0!</v>
      </c>
    </row>
    <row r="39" spans="2:38" s="360" customFormat="1" ht="14.25">
      <c r="B39" s="353"/>
      <c r="C39" s="354"/>
      <c r="D39" s="311">
        <f t="shared" si="56"/>
        <v>46145</v>
      </c>
      <c r="E39" s="311" t="s">
        <v>466</v>
      </c>
      <c r="F39" s="355">
        <f t="shared" si="20"/>
        <v>0</v>
      </c>
      <c r="G39" s="356"/>
      <c r="H39" s="362"/>
      <c r="I39" s="357"/>
      <c r="J39" s="358" t="e">
        <f t="shared" si="40"/>
        <v>#DIV/0!</v>
      </c>
      <c r="K39" s="357"/>
      <c r="L39" s="358" t="e">
        <f t="shared" si="41"/>
        <v>#DIV/0!</v>
      </c>
      <c r="M39" s="359">
        <f t="shared" si="42"/>
        <v>0</v>
      </c>
      <c r="N39" s="358" t="e">
        <f t="shared" si="43"/>
        <v>#DIV/0!</v>
      </c>
      <c r="O39" s="357"/>
      <c r="P39" s="358" t="e">
        <f t="shared" si="44"/>
        <v>#DIV/0!</v>
      </c>
      <c r="Q39" s="357"/>
      <c r="R39" s="358" t="e">
        <f t="shared" si="21"/>
        <v>#DIV/0!</v>
      </c>
      <c r="S39" s="359">
        <f t="shared" si="45"/>
        <v>0</v>
      </c>
      <c r="T39" s="358" t="e">
        <f t="shared" si="46"/>
        <v>#DIV/0!</v>
      </c>
      <c r="U39" s="357"/>
      <c r="V39" s="358" t="e">
        <f t="shared" si="47"/>
        <v>#DIV/0!</v>
      </c>
      <c r="W39" s="357"/>
      <c r="X39" s="358" t="e">
        <f t="shared" si="48"/>
        <v>#DIV/0!</v>
      </c>
      <c r="Y39" s="357"/>
      <c r="Z39" s="358" t="e">
        <f t="shared" si="49"/>
        <v>#DIV/0!</v>
      </c>
      <c r="AA39" s="357"/>
      <c r="AB39" s="358" t="e">
        <f t="shared" si="23"/>
        <v>#DIV/0!</v>
      </c>
      <c r="AC39" s="359">
        <f t="shared" si="50"/>
        <v>0</v>
      </c>
      <c r="AD39" s="358" t="e">
        <f t="shared" si="51"/>
        <v>#DIV/0!</v>
      </c>
      <c r="AE39" s="357"/>
      <c r="AF39" s="358" t="e">
        <f t="shared" si="52"/>
        <v>#DIV/0!</v>
      </c>
      <c r="AG39" s="357"/>
      <c r="AH39" s="358" t="e">
        <f t="shared" si="53"/>
        <v>#DIV/0!</v>
      </c>
      <c r="AI39" s="357"/>
      <c r="AJ39" s="358" t="e">
        <f t="shared" si="54"/>
        <v>#DIV/0!</v>
      </c>
      <c r="AK39" s="357"/>
      <c r="AL39" s="358" t="e">
        <f t="shared" si="55"/>
        <v>#DIV/0!</v>
      </c>
    </row>
    <row r="40" spans="2:38" ht="14.25">
      <c r="B40" s="98"/>
      <c r="C40" s="83"/>
      <c r="D40" s="311">
        <f t="shared" si="56"/>
        <v>46146</v>
      </c>
      <c r="E40" s="311" t="s">
        <v>460</v>
      </c>
      <c r="F40" s="88">
        <f t="shared" si="20"/>
        <v>0</v>
      </c>
      <c r="G40" s="313"/>
      <c r="H40" s="88"/>
      <c r="I40" s="235"/>
      <c r="J40" s="101" t="e">
        <f t="shared" si="40"/>
        <v>#DIV/0!</v>
      </c>
      <c r="K40" s="235"/>
      <c r="L40" s="101" t="e">
        <f t="shared" si="41"/>
        <v>#DIV/0!</v>
      </c>
      <c r="M40" s="106">
        <f t="shared" si="42"/>
        <v>0</v>
      </c>
      <c r="N40" s="101" t="e">
        <f t="shared" si="43"/>
        <v>#DIV/0!</v>
      </c>
      <c r="O40" s="235"/>
      <c r="P40" s="101" t="e">
        <f t="shared" si="44"/>
        <v>#DIV/0!</v>
      </c>
      <c r="Q40" s="235"/>
      <c r="R40" s="101" t="e">
        <f t="shared" si="21"/>
        <v>#DIV/0!</v>
      </c>
      <c r="S40" s="106">
        <f t="shared" si="45"/>
        <v>0</v>
      </c>
      <c r="T40" s="101" t="e">
        <f t="shared" si="46"/>
        <v>#DIV/0!</v>
      </c>
      <c r="U40" s="235"/>
      <c r="V40" s="101" t="e">
        <f t="shared" si="47"/>
        <v>#DIV/0!</v>
      </c>
      <c r="W40" s="235"/>
      <c r="X40" s="101" t="e">
        <f t="shared" si="48"/>
        <v>#DIV/0!</v>
      </c>
      <c r="Y40" s="235"/>
      <c r="Z40" s="101" t="e">
        <f t="shared" si="49"/>
        <v>#DIV/0!</v>
      </c>
      <c r="AA40" s="235"/>
      <c r="AB40" s="101" t="e">
        <f t="shared" si="23"/>
        <v>#DIV/0!</v>
      </c>
      <c r="AC40" s="106">
        <f t="shared" si="50"/>
        <v>0</v>
      </c>
      <c r="AD40" s="101" t="e">
        <f t="shared" si="51"/>
        <v>#DIV/0!</v>
      </c>
      <c r="AE40" s="235"/>
      <c r="AF40" s="101" t="e">
        <f t="shared" si="52"/>
        <v>#DIV/0!</v>
      </c>
      <c r="AG40" s="235"/>
      <c r="AH40" s="101" t="e">
        <f t="shared" si="53"/>
        <v>#DIV/0!</v>
      </c>
      <c r="AI40" s="235"/>
      <c r="AJ40" s="101" t="e">
        <f t="shared" si="54"/>
        <v>#DIV/0!</v>
      </c>
      <c r="AK40" s="235"/>
      <c r="AL40" s="101" t="e">
        <f t="shared" si="55"/>
        <v>#DIV/0!</v>
      </c>
    </row>
    <row r="41" spans="2:38" ht="14.25">
      <c r="B41" s="98"/>
      <c r="C41" s="83"/>
      <c r="D41" s="311"/>
      <c r="E41" s="391"/>
      <c r="F41" s="88">
        <f t="shared" si="20"/>
        <v>0</v>
      </c>
      <c r="G41" s="313"/>
      <c r="H41" s="88"/>
      <c r="I41" s="235"/>
      <c r="J41" s="101" t="e">
        <f t="shared" si="40"/>
        <v>#DIV/0!</v>
      </c>
      <c r="K41" s="235"/>
      <c r="L41" s="101" t="e">
        <f t="shared" si="41"/>
        <v>#DIV/0!</v>
      </c>
      <c r="M41" s="106">
        <f t="shared" si="42"/>
        <v>0</v>
      </c>
      <c r="N41" s="101" t="e">
        <f t="shared" si="43"/>
        <v>#DIV/0!</v>
      </c>
      <c r="O41" s="235"/>
      <c r="P41" s="101" t="e">
        <f t="shared" si="44"/>
        <v>#DIV/0!</v>
      </c>
      <c r="Q41" s="235"/>
      <c r="R41" s="101" t="e">
        <f t="shared" si="21"/>
        <v>#DIV/0!</v>
      </c>
      <c r="S41" s="106">
        <f t="shared" si="45"/>
        <v>0</v>
      </c>
      <c r="T41" s="101" t="e">
        <f t="shared" si="46"/>
        <v>#DIV/0!</v>
      </c>
      <c r="U41" s="235"/>
      <c r="V41" s="101" t="e">
        <f t="shared" si="47"/>
        <v>#DIV/0!</v>
      </c>
      <c r="W41" s="235"/>
      <c r="X41" s="101" t="e">
        <f t="shared" si="48"/>
        <v>#DIV/0!</v>
      </c>
      <c r="Y41" s="235"/>
      <c r="Z41" s="101" t="e">
        <f t="shared" si="49"/>
        <v>#DIV/0!</v>
      </c>
      <c r="AA41" s="235"/>
      <c r="AB41" s="101" t="e">
        <f t="shared" si="23"/>
        <v>#DIV/0!</v>
      </c>
      <c r="AC41" s="106">
        <f t="shared" si="50"/>
        <v>0</v>
      </c>
      <c r="AD41" s="101" t="e">
        <f t="shared" si="51"/>
        <v>#DIV/0!</v>
      </c>
      <c r="AE41" s="235"/>
      <c r="AF41" s="101" t="e">
        <f t="shared" si="52"/>
        <v>#DIV/0!</v>
      </c>
      <c r="AG41" s="235"/>
      <c r="AH41" s="101" t="e">
        <f t="shared" si="53"/>
        <v>#DIV/0!</v>
      </c>
      <c r="AI41" s="235"/>
      <c r="AJ41" s="101" t="e">
        <f t="shared" si="54"/>
        <v>#DIV/0!</v>
      </c>
      <c r="AK41" s="235"/>
      <c r="AL41" s="101" t="e">
        <f t="shared" si="55"/>
        <v>#DIV/0!</v>
      </c>
    </row>
    <row r="42" spans="2:38" ht="14.25">
      <c r="B42" s="98"/>
      <c r="C42" s="83"/>
      <c r="D42" s="311"/>
      <c r="E42" s="391"/>
      <c r="F42" s="88">
        <f t="shared" si="20"/>
        <v>0</v>
      </c>
      <c r="G42" s="313"/>
      <c r="H42" s="88"/>
      <c r="I42" s="235"/>
      <c r="J42" s="101" t="e">
        <f>I42/F42</f>
        <v>#DIV/0!</v>
      </c>
      <c r="K42" s="235"/>
      <c r="L42" s="101" t="e">
        <f>K42/F42</f>
        <v>#DIV/0!</v>
      </c>
      <c r="M42" s="106">
        <f>SUM(I42+K42)</f>
        <v>0</v>
      </c>
      <c r="N42" s="101" t="e">
        <f>M42/F42</f>
        <v>#DIV/0!</v>
      </c>
      <c r="O42" s="235"/>
      <c r="P42" s="101" t="e">
        <f>O42/F42</f>
        <v>#DIV/0!</v>
      </c>
      <c r="Q42" s="235"/>
      <c r="R42" s="101" t="e">
        <f t="shared" si="21"/>
        <v>#DIV/0!</v>
      </c>
      <c r="S42" s="106">
        <f t="shared" si="45"/>
        <v>0</v>
      </c>
      <c r="T42" s="101" t="e">
        <f>S42/F42</f>
        <v>#DIV/0!</v>
      </c>
      <c r="U42" s="235"/>
      <c r="V42" s="101" t="e">
        <f>U42/F42</f>
        <v>#DIV/0!</v>
      </c>
      <c r="W42" s="235"/>
      <c r="X42" s="101" t="e">
        <f>W42/F42</f>
        <v>#DIV/0!</v>
      </c>
      <c r="Y42" s="235"/>
      <c r="Z42" s="101" t="e">
        <f>Y42/F42</f>
        <v>#DIV/0!</v>
      </c>
      <c r="AA42" s="235"/>
      <c r="AB42" s="101" t="e">
        <f t="shared" si="23"/>
        <v>#DIV/0!</v>
      </c>
      <c r="AC42" s="106">
        <f>SUM(Y42+AA42)</f>
        <v>0</v>
      </c>
      <c r="AD42" s="101" t="e">
        <f>AC42/F42</f>
        <v>#DIV/0!</v>
      </c>
      <c r="AE42" s="235"/>
      <c r="AF42" s="101" t="e">
        <f>AE42/F42</f>
        <v>#DIV/0!</v>
      </c>
      <c r="AG42" s="235"/>
      <c r="AH42" s="101" t="e">
        <f>AG42/F42</f>
        <v>#DIV/0!</v>
      </c>
      <c r="AI42" s="235"/>
      <c r="AJ42" s="101" t="e">
        <f>AI42/F42</f>
        <v>#DIV/0!</v>
      </c>
      <c r="AK42" s="235"/>
      <c r="AL42" s="101" t="e">
        <f>AK42/F42</f>
        <v>#DIV/0!</v>
      </c>
    </row>
    <row r="43" spans="2:38" ht="14.25">
      <c r="B43" s="98"/>
      <c r="C43" s="83"/>
      <c r="D43" s="311"/>
      <c r="E43" s="391"/>
      <c r="F43" s="88">
        <f t="shared" ref="F43" si="57">SUM(M43,S43,U43,W43,AC43,AE43,AG43,AI43,AK43)</f>
        <v>0</v>
      </c>
      <c r="G43" s="313"/>
      <c r="H43" s="88"/>
      <c r="I43" s="235"/>
      <c r="J43" s="101" t="e">
        <f>I43/F43</f>
        <v>#DIV/0!</v>
      </c>
      <c r="K43" s="235"/>
      <c r="L43" s="101" t="e">
        <f>K43/F43</f>
        <v>#DIV/0!</v>
      </c>
      <c r="M43" s="106">
        <f>SUM(I43+K43)</f>
        <v>0</v>
      </c>
      <c r="N43" s="101" t="e">
        <f>M43/F43</f>
        <v>#DIV/0!</v>
      </c>
      <c r="O43" s="235"/>
      <c r="P43" s="101" t="e">
        <f>O43/F43</f>
        <v>#DIV/0!</v>
      </c>
      <c r="Q43" s="235"/>
      <c r="R43" s="101" t="e">
        <f t="shared" si="21"/>
        <v>#DIV/0!</v>
      </c>
      <c r="S43" s="106">
        <f t="shared" ref="S43" si="58">SUM(O43+Q43)</f>
        <v>0</v>
      </c>
      <c r="T43" s="101" t="e">
        <f>S43/F43</f>
        <v>#DIV/0!</v>
      </c>
      <c r="U43" s="235"/>
      <c r="V43" s="101" t="e">
        <f>U43/F43</f>
        <v>#DIV/0!</v>
      </c>
      <c r="W43" s="235"/>
      <c r="X43" s="101" t="e">
        <f>W43/F43</f>
        <v>#DIV/0!</v>
      </c>
      <c r="Y43" s="235"/>
      <c r="Z43" s="101" t="e">
        <f>Y43/F43</f>
        <v>#DIV/0!</v>
      </c>
      <c r="AA43" s="235"/>
      <c r="AB43" s="101" t="e">
        <f t="shared" si="23"/>
        <v>#DIV/0!</v>
      </c>
      <c r="AC43" s="106">
        <f>SUM(Y43+AA43)</f>
        <v>0</v>
      </c>
      <c r="AD43" s="101" t="e">
        <f>AC43/F43</f>
        <v>#DIV/0!</v>
      </c>
      <c r="AE43" s="235"/>
      <c r="AF43" s="101" t="e">
        <f>AE43/F43</f>
        <v>#DIV/0!</v>
      </c>
      <c r="AG43" s="235"/>
      <c r="AH43" s="101" t="e">
        <f>AG43/F43</f>
        <v>#DIV/0!</v>
      </c>
      <c r="AI43" s="235"/>
      <c r="AJ43" s="101" t="e">
        <f>AI43/F43</f>
        <v>#DIV/0!</v>
      </c>
      <c r="AK43" s="235"/>
      <c r="AL43" s="101" t="e">
        <f>AK43/F43</f>
        <v>#DIV/0!</v>
      </c>
    </row>
    <row r="44" spans="2:38" ht="14.25">
      <c r="B44" s="98"/>
      <c r="C44" s="83"/>
      <c r="D44" s="86"/>
      <c r="E44" s="86"/>
      <c r="F44" s="88">
        <f t="shared" si="20"/>
        <v>0</v>
      </c>
      <c r="G44" s="313"/>
      <c r="H44" s="88"/>
      <c r="I44" s="235"/>
      <c r="J44" s="101" t="e">
        <f>I44/F44</f>
        <v>#DIV/0!</v>
      </c>
      <c r="K44" s="235"/>
      <c r="L44" s="101" t="e">
        <f>K44/F44</f>
        <v>#DIV/0!</v>
      </c>
      <c r="M44" s="106">
        <f>SUM(I44+K44)</f>
        <v>0</v>
      </c>
      <c r="N44" s="101" t="e">
        <f>M44/F44</f>
        <v>#DIV/0!</v>
      </c>
      <c r="O44" s="235"/>
      <c r="P44" s="101" t="e">
        <f>O44/F44</f>
        <v>#DIV/0!</v>
      </c>
      <c r="Q44" s="235"/>
      <c r="R44" s="101" t="e">
        <f t="shared" si="21"/>
        <v>#DIV/0!</v>
      </c>
      <c r="S44" s="106">
        <f t="shared" si="45"/>
        <v>0</v>
      </c>
      <c r="T44" s="101" t="e">
        <f>S44/F44</f>
        <v>#DIV/0!</v>
      </c>
      <c r="U44" s="235"/>
      <c r="V44" s="101" t="e">
        <f>U44/F44</f>
        <v>#DIV/0!</v>
      </c>
      <c r="W44" s="235"/>
      <c r="X44" s="101" t="e">
        <f>W44/F44</f>
        <v>#DIV/0!</v>
      </c>
      <c r="Y44" s="235"/>
      <c r="Z44" s="101" t="e">
        <f>Y44/F44</f>
        <v>#DIV/0!</v>
      </c>
      <c r="AA44" s="235"/>
      <c r="AB44" s="101" t="e">
        <f t="shared" si="23"/>
        <v>#DIV/0!</v>
      </c>
      <c r="AC44" s="106">
        <f>SUM(Y44+AA44)</f>
        <v>0</v>
      </c>
      <c r="AD44" s="101" t="e">
        <f>AC44/F44</f>
        <v>#DIV/0!</v>
      </c>
      <c r="AE44" s="235"/>
      <c r="AF44" s="101" t="e">
        <f>AE44/F44</f>
        <v>#DIV/0!</v>
      </c>
      <c r="AG44" s="235"/>
      <c r="AH44" s="101" t="e">
        <f>AG44/F44</f>
        <v>#DIV/0!</v>
      </c>
      <c r="AI44" s="235"/>
      <c r="AJ44" s="101" t="e">
        <f>AI44/F44</f>
        <v>#DIV/0!</v>
      </c>
      <c r="AK44" s="235"/>
      <c r="AL44" s="101" t="e">
        <f>AK44/F44</f>
        <v>#DIV/0!</v>
      </c>
    </row>
    <row r="45" spans="2:38" ht="14.25">
      <c r="B45" s="98"/>
      <c r="C45" s="83"/>
      <c r="D45" s="86"/>
      <c r="E45" s="86"/>
      <c r="F45" s="88">
        <f t="shared" si="20"/>
        <v>0</v>
      </c>
      <c r="G45" s="313"/>
      <c r="H45" s="88"/>
      <c r="I45" s="235"/>
      <c r="J45" s="101" t="e">
        <f>I45/F45</f>
        <v>#DIV/0!</v>
      </c>
      <c r="K45" s="235"/>
      <c r="L45" s="101" t="e">
        <f>K45/F45</f>
        <v>#DIV/0!</v>
      </c>
      <c r="M45" s="106">
        <f>SUM(I45+K45)</f>
        <v>0</v>
      </c>
      <c r="N45" s="101" t="e">
        <f>M45/F45</f>
        <v>#DIV/0!</v>
      </c>
      <c r="O45" s="235"/>
      <c r="P45" s="101" t="e">
        <f>O45/F45</f>
        <v>#DIV/0!</v>
      </c>
      <c r="Q45" s="235"/>
      <c r="R45" s="101" t="e">
        <f t="shared" si="21"/>
        <v>#DIV/0!</v>
      </c>
      <c r="S45" s="106">
        <f t="shared" si="45"/>
        <v>0</v>
      </c>
      <c r="T45" s="101" t="e">
        <f>S45/F45</f>
        <v>#DIV/0!</v>
      </c>
      <c r="U45" s="235"/>
      <c r="V45" s="101" t="e">
        <f>U45/F45</f>
        <v>#DIV/0!</v>
      </c>
      <c r="W45" s="235"/>
      <c r="X45" s="101" t="e">
        <f>W45/F45</f>
        <v>#DIV/0!</v>
      </c>
      <c r="Y45" s="235"/>
      <c r="Z45" s="101" t="e">
        <f>Y45/F45</f>
        <v>#DIV/0!</v>
      </c>
      <c r="AA45" s="235"/>
      <c r="AB45" s="101" t="e">
        <f t="shared" si="23"/>
        <v>#DIV/0!</v>
      </c>
      <c r="AC45" s="106">
        <f>SUM(Y45+AA45)</f>
        <v>0</v>
      </c>
      <c r="AD45" s="101" t="e">
        <f>AC45/F45</f>
        <v>#DIV/0!</v>
      </c>
      <c r="AE45" s="235"/>
      <c r="AF45" s="101" t="e">
        <f>AE45/F45</f>
        <v>#DIV/0!</v>
      </c>
      <c r="AG45" s="235"/>
      <c r="AH45" s="101" t="e">
        <f>AG45/F45</f>
        <v>#DIV/0!</v>
      </c>
      <c r="AI45" s="235"/>
      <c r="AJ45" s="101" t="e">
        <f>AI45/F45</f>
        <v>#DIV/0!</v>
      </c>
      <c r="AK45" s="235"/>
      <c r="AL45" s="101" t="e">
        <f>AK45/F45</f>
        <v>#DIV/0!</v>
      </c>
    </row>
    <row r="46" spans="2:38" ht="14.25">
      <c r="B46" s="98"/>
      <c r="C46" s="83"/>
      <c r="D46" s="84"/>
      <c r="F46" s="88"/>
      <c r="G46" s="88"/>
      <c r="H46" s="88"/>
      <c r="I46" s="273">
        <f>SUM(I7:I44)</f>
        <v>729448</v>
      </c>
      <c r="J46" s="272">
        <f>I46/$H$12</f>
        <v>0.13103869626693632</v>
      </c>
      <c r="K46" s="273">
        <f>SUM(K7:K44)</f>
        <v>934036</v>
      </c>
      <c r="L46" s="272">
        <f>K46/$H$12</f>
        <v>0.16779106900887264</v>
      </c>
      <c r="M46" s="273">
        <f>SUM(M7:M44)</f>
        <v>1663484</v>
      </c>
      <c r="N46" s="272">
        <f>M46/$H$12</f>
        <v>0.29882976527580896</v>
      </c>
      <c r="O46" s="273">
        <f>SUM(O7:O44)</f>
        <v>120271</v>
      </c>
      <c r="P46" s="272">
        <f>O46/$H$12</f>
        <v>2.1605590855990692E-2</v>
      </c>
      <c r="Q46" s="273">
        <f>SUM(Q7:Q44)</f>
        <v>16099</v>
      </c>
      <c r="R46" s="272">
        <f>Q46/$H$12</f>
        <v>2.8920388721353787E-3</v>
      </c>
      <c r="S46" s="273">
        <f>SUM(S7:S44)</f>
        <v>136370</v>
      </c>
      <c r="T46" s="272">
        <f>S46/$H$12</f>
        <v>2.449762972812607E-2</v>
      </c>
      <c r="U46" s="273">
        <f>SUM(U7:U44)</f>
        <v>639886</v>
      </c>
      <c r="V46" s="272">
        <f>U46/$H$12</f>
        <v>0.11494969785298584</v>
      </c>
      <c r="W46" s="273">
        <f>SUM(W7:W44)</f>
        <v>111093</v>
      </c>
      <c r="X46" s="272">
        <f>W46/$H$12</f>
        <v>1.9956846662658279E-2</v>
      </c>
      <c r="Y46" s="273">
        <f>SUM(Y7:Y44)</f>
        <v>553505</v>
      </c>
      <c r="Z46" s="272">
        <f>Y46/$H$12</f>
        <v>9.943213714648691E-2</v>
      </c>
      <c r="AA46" s="273">
        <f>SUM(AA7:AA44)</f>
        <v>432152</v>
      </c>
      <c r="AB46" s="272">
        <f>AA46/$H$12</f>
        <v>7.7632174835148032E-2</v>
      </c>
      <c r="AC46" s="273">
        <f>SUM(AC7:AC44)</f>
        <v>985657</v>
      </c>
      <c r="AD46" s="272">
        <f>AC46/$H$12</f>
        <v>0.17706431198163494</v>
      </c>
      <c r="AE46" s="273">
        <f>SUM(AE7:AE44)</f>
        <v>540960</v>
      </c>
      <c r="AF46" s="272">
        <f>AE46/$H$12</f>
        <v>9.7178542038036803E-2</v>
      </c>
      <c r="AG46" s="273">
        <f>SUM(AG7:AG44)</f>
        <v>414043</v>
      </c>
      <c r="AH46" s="272">
        <f>AG46/$H$12</f>
        <v>7.4379057751136637E-2</v>
      </c>
      <c r="AI46" s="273">
        <f>SUM(AI7:AI44)</f>
        <v>565913</v>
      </c>
      <c r="AJ46" s="272">
        <f>AI46/$H$12</f>
        <v>0.101661121451441</v>
      </c>
      <c r="AK46" s="273">
        <f>SUM(AK7:AK44)</f>
        <v>509255</v>
      </c>
      <c r="AL46" s="272">
        <f>AK46/$H$12</f>
        <v>9.1483027258171465E-2</v>
      </c>
    </row>
    <row r="47" spans="2:38" ht="14.25">
      <c r="B47" s="98"/>
      <c r="C47" s="83"/>
      <c r="D47" s="84"/>
      <c r="F47" s="88"/>
      <c r="G47" s="88"/>
      <c r="H47" s="88"/>
      <c r="M47" s="274">
        <f>M46</f>
        <v>1663484</v>
      </c>
      <c r="S47" s="274">
        <f>S46</f>
        <v>136370</v>
      </c>
      <c r="U47" s="274">
        <f>U46</f>
        <v>639886</v>
      </c>
      <c r="W47" s="274">
        <f>W46</f>
        <v>111093</v>
      </c>
      <c r="Y47" s="274"/>
      <c r="AA47" s="274"/>
      <c r="AC47" s="274">
        <f>AC46</f>
        <v>985657</v>
      </c>
      <c r="AE47" s="274">
        <f>AE46</f>
        <v>540960</v>
      </c>
      <c r="AG47" s="274">
        <f>AG46</f>
        <v>414043</v>
      </c>
      <c r="AI47" s="274">
        <f>AI46</f>
        <v>565913</v>
      </c>
      <c r="AK47" s="274">
        <f>AK46</f>
        <v>509255</v>
      </c>
    </row>
    <row r="48" spans="2:38" ht="14.25">
      <c r="B48" s="98"/>
      <c r="C48" s="83"/>
      <c r="D48" s="84"/>
      <c r="F48" s="88"/>
      <c r="G48" s="88"/>
      <c r="H48" s="88"/>
    </row>
    <row r="49" spans="2:8" ht="14.25">
      <c r="B49" s="98"/>
      <c r="C49" s="83"/>
      <c r="D49" s="84"/>
      <c r="F49" s="88"/>
      <c r="G49" s="88"/>
      <c r="H49" s="88"/>
    </row>
    <row r="50" spans="2:8" ht="14.25">
      <c r="B50" s="98"/>
      <c r="C50" s="83"/>
      <c r="D50" s="84"/>
    </row>
    <row r="51" spans="2:8" ht="14.25">
      <c r="B51" s="98"/>
      <c r="C51" s="83"/>
      <c r="D51" s="84"/>
    </row>
    <row r="52" spans="2:8" ht="14.25">
      <c r="B52" s="98"/>
      <c r="C52" s="83"/>
      <c r="D52" s="84"/>
    </row>
    <row r="53" spans="2:8" ht="14.25">
      <c r="B53" s="98"/>
      <c r="C53" s="83"/>
      <c r="D53" s="84"/>
    </row>
    <row r="54" spans="2:8" ht="14.25">
      <c r="B54" s="98"/>
      <c r="C54" s="83"/>
      <c r="D54" s="84"/>
    </row>
    <row r="55" spans="2:8" ht="14.25">
      <c r="B55" s="98"/>
      <c r="C55" s="83"/>
      <c r="D55" s="84"/>
    </row>
    <row r="56" spans="2:8" ht="14.25">
      <c r="B56" s="98"/>
      <c r="C56" s="83"/>
      <c r="D56" s="84"/>
    </row>
    <row r="57" spans="2:8" ht="14.25">
      <c r="B57" s="98"/>
      <c r="C57" s="83"/>
      <c r="D57" s="84"/>
    </row>
    <row r="58" spans="2:8" ht="14.25">
      <c r="B58" s="98"/>
      <c r="C58" s="83"/>
      <c r="D58" s="84"/>
    </row>
    <row r="59" spans="2:8" ht="14.25">
      <c r="B59" s="98"/>
      <c r="C59" s="83"/>
      <c r="D59" s="84"/>
    </row>
    <row r="60" spans="2:8" ht="14.25">
      <c r="B60" s="98"/>
      <c r="C60" s="83"/>
      <c r="D60" s="84"/>
    </row>
    <row r="61" spans="2:8" ht="14.25">
      <c r="B61" s="98"/>
      <c r="C61" s="83"/>
      <c r="D61" s="84"/>
    </row>
    <row r="62" spans="2:8" ht="14.25">
      <c r="B62" s="98"/>
      <c r="C62" s="83"/>
      <c r="D62" s="84"/>
    </row>
    <row r="63" spans="2:8" ht="14.25">
      <c r="B63" s="98"/>
      <c r="C63" s="83"/>
      <c r="D63" s="84"/>
    </row>
    <row r="64" spans="2:8" ht="14.25">
      <c r="B64" s="98"/>
      <c r="C64" s="83"/>
      <c r="D64" s="84"/>
    </row>
    <row r="65" spans="2:4" ht="14.25">
      <c r="B65" s="98"/>
      <c r="C65" s="83"/>
      <c r="D65" s="84"/>
    </row>
    <row r="66" spans="2:4" ht="14.25">
      <c r="B66" s="98"/>
      <c r="C66" s="83"/>
      <c r="D66" s="84"/>
    </row>
    <row r="67" spans="2:4" ht="14.25">
      <c r="B67" s="98"/>
      <c r="C67" s="83"/>
      <c r="D67" s="84"/>
    </row>
    <row r="68" spans="2:4" ht="14.25">
      <c r="B68" s="98"/>
      <c r="C68" s="83"/>
      <c r="D68" s="84"/>
    </row>
    <row r="69" spans="2:4" ht="14.25">
      <c r="B69" s="98"/>
      <c r="C69" s="83"/>
      <c r="D69" s="84"/>
    </row>
    <row r="70" spans="2:4" ht="14.25">
      <c r="B70" s="98"/>
      <c r="C70" s="83"/>
      <c r="D70" s="84"/>
    </row>
    <row r="71" spans="2:4" ht="14.25">
      <c r="B71" s="98"/>
      <c r="C71" s="83"/>
      <c r="D71" s="84"/>
    </row>
    <row r="72" spans="2:4" ht="14.25">
      <c r="B72" s="98"/>
      <c r="C72" s="83"/>
      <c r="D72" s="84"/>
    </row>
    <row r="73" spans="2:4" ht="14.25">
      <c r="B73" s="98"/>
      <c r="C73" s="83"/>
      <c r="D73" s="84"/>
    </row>
    <row r="74" spans="2:4" ht="14.25">
      <c r="B74" s="98"/>
      <c r="C74" s="83"/>
      <c r="D74" s="84"/>
    </row>
    <row r="75" spans="2:4" ht="14.25">
      <c r="B75" s="98"/>
      <c r="C75" s="83"/>
      <c r="D75" s="84"/>
    </row>
    <row r="76" spans="2:4" ht="14.25">
      <c r="B76" s="98"/>
      <c r="C76" s="83"/>
      <c r="D76" s="84"/>
    </row>
    <row r="77" spans="2:4" ht="14.25">
      <c r="B77" s="98"/>
      <c r="C77" s="83"/>
      <c r="D77" s="84"/>
    </row>
    <row r="78" spans="2:4" ht="14.25">
      <c r="B78" s="98"/>
      <c r="C78" s="83"/>
      <c r="D78" s="84"/>
    </row>
    <row r="79" spans="2:4" ht="14.25">
      <c r="B79" s="98"/>
      <c r="C79" s="83"/>
      <c r="D79" s="84"/>
    </row>
    <row r="80" spans="2:4" ht="14.25">
      <c r="B80" s="98"/>
      <c r="C80" s="83"/>
      <c r="D80" s="84"/>
    </row>
    <row r="81" spans="2:4" ht="14.25">
      <c r="B81" s="98"/>
      <c r="C81" s="83"/>
      <c r="D81" s="84"/>
    </row>
    <row r="82" spans="2:4" ht="14.25">
      <c r="B82" s="98"/>
      <c r="C82" s="83"/>
      <c r="D82" s="84"/>
    </row>
    <row r="83" spans="2:4" ht="14.25">
      <c r="B83" s="98"/>
      <c r="C83" s="83"/>
      <c r="D83" s="84"/>
    </row>
    <row r="84" spans="2:4" ht="14.25">
      <c r="B84" s="98"/>
      <c r="C84" s="83"/>
      <c r="D84" s="84"/>
    </row>
    <row r="85" spans="2:4" ht="14.25">
      <c r="B85" s="98"/>
      <c r="C85" s="83"/>
      <c r="D85" s="84"/>
    </row>
    <row r="86" spans="2:4" ht="14.25">
      <c r="B86" s="98"/>
      <c r="C86" s="83"/>
      <c r="D86" s="84"/>
    </row>
    <row r="87" spans="2:4" ht="14.25">
      <c r="B87" s="98"/>
      <c r="C87" s="83"/>
      <c r="D87" s="84"/>
    </row>
    <row r="88" spans="2:4" ht="14.25">
      <c r="B88" s="98"/>
      <c r="C88" s="83"/>
      <c r="D88" s="84"/>
    </row>
    <row r="89" spans="2:4" ht="14.25">
      <c r="B89" s="98"/>
      <c r="C89" s="83"/>
      <c r="D89" s="84"/>
    </row>
    <row r="90" spans="2:4" ht="14.25">
      <c r="B90" s="98"/>
      <c r="C90" s="83"/>
      <c r="D90" s="84"/>
    </row>
    <row r="91" spans="2:4" ht="14.25">
      <c r="B91" s="98"/>
      <c r="C91" s="83"/>
      <c r="D91" s="84"/>
    </row>
    <row r="92" spans="2:4" ht="14.25">
      <c r="B92" s="98"/>
      <c r="C92" s="83"/>
      <c r="D92" s="84"/>
    </row>
    <row r="93" spans="2:4" ht="14.25">
      <c r="B93" s="98"/>
      <c r="C93" s="83"/>
      <c r="D93" s="84"/>
    </row>
    <row r="94" spans="2:4" ht="14.25">
      <c r="B94" s="98"/>
      <c r="C94" s="83"/>
      <c r="D94" s="84"/>
    </row>
    <row r="95" spans="2:4" ht="14.25">
      <c r="B95" s="98"/>
      <c r="C95" s="83"/>
      <c r="D95" s="84"/>
    </row>
    <row r="96" spans="2:4" ht="14.25">
      <c r="B96" s="98"/>
      <c r="C96" s="83"/>
      <c r="D96" s="84"/>
    </row>
    <row r="97" spans="2:4" ht="14.25">
      <c r="B97" s="98"/>
      <c r="C97" s="83"/>
      <c r="D97" s="84"/>
    </row>
    <row r="98" spans="2:4" ht="14.25">
      <c r="B98" s="98"/>
      <c r="C98" s="83"/>
      <c r="D98" s="84"/>
    </row>
    <row r="99" spans="2:4" ht="14.25">
      <c r="B99" s="98"/>
      <c r="C99" s="83"/>
      <c r="D99" s="84"/>
    </row>
    <row r="100" spans="2:4" ht="14.25">
      <c r="B100" s="98"/>
      <c r="C100" s="83"/>
      <c r="D100" s="84"/>
    </row>
    <row r="101" spans="2:4" ht="14.25">
      <c r="B101" s="98"/>
      <c r="C101" s="83"/>
      <c r="D101" s="84"/>
    </row>
    <row r="102" spans="2:4" ht="14.25">
      <c r="B102" s="98"/>
      <c r="C102" s="83"/>
      <c r="D102" s="84"/>
    </row>
  </sheetData>
  <mergeCells count="32">
    <mergeCell ref="B2:AL2"/>
    <mergeCell ref="AK5:AL5"/>
    <mergeCell ref="U4:V4"/>
    <mergeCell ref="U5:V5"/>
    <mergeCell ref="W5:X5"/>
    <mergeCell ref="W4:X4"/>
    <mergeCell ref="Y5:Z5"/>
    <mergeCell ref="AC5:AD5"/>
    <mergeCell ref="AE4:AF4"/>
    <mergeCell ref="AE5:AF5"/>
    <mergeCell ref="AG5:AH5"/>
    <mergeCell ref="AG4:AH4"/>
    <mergeCell ref="Y4:AD4"/>
    <mergeCell ref="I4:N4"/>
    <mergeCell ref="AK4:AL4"/>
    <mergeCell ref="Q5:R5"/>
    <mergeCell ref="C3:C6"/>
    <mergeCell ref="G5:G6"/>
    <mergeCell ref="H5:H6"/>
    <mergeCell ref="I3:AL3"/>
    <mergeCell ref="D3:E6"/>
    <mergeCell ref="O4:T4"/>
    <mergeCell ref="O5:P5"/>
    <mergeCell ref="I5:J5"/>
    <mergeCell ref="AI4:AJ4"/>
    <mergeCell ref="AI5:AJ5"/>
    <mergeCell ref="F3:H4"/>
    <mergeCell ref="AA5:AB5"/>
    <mergeCell ref="K5:L5"/>
    <mergeCell ref="S5:T5"/>
    <mergeCell ref="F5:F6"/>
    <mergeCell ref="M5:N5"/>
  </mergeCells>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A262"/>
  <sheetViews>
    <sheetView topLeftCell="A40" zoomScale="55" zoomScaleNormal="55" workbookViewId="0">
      <pane xSplit="15" topLeftCell="Z1" activePane="topRight" state="frozen"/>
      <selection activeCell="T147" activeCellId="6" sqref="AW147:AX176 AR147:AS176 AM147:AN176 AH147:AI176 AC147:AD176 X147:Y176 S147:T176"/>
      <selection pane="topRight" activeCell="Z97" sqref="Z97"/>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51" width="8.85546875" style="108"/>
    <col min="52" max="52" width="5.42578125" style="108" customWidth="1"/>
    <col min="53" max="53" width="13.140625" style="108" customWidth="1"/>
    <col min="54" max="16384" width="8.85546875" style="108"/>
  </cols>
  <sheetData>
    <row r="1" spans="1:53" ht="24">
      <c r="A1" s="75"/>
      <c r="B1" s="221" t="s">
        <v>315</v>
      </c>
      <c r="C1" s="220">
        <f>AVERAGE(L7,L42,L77,L112,L147,L182)</f>
        <v>789.12026119971597</v>
      </c>
    </row>
    <row r="2" spans="1:53" ht="15.75">
      <c r="A2" s="81"/>
      <c r="B2" s="593" t="s">
        <v>163</v>
      </c>
      <c r="C2" s="593"/>
      <c r="D2" s="593"/>
      <c r="E2" s="593"/>
      <c r="F2" s="593"/>
      <c r="G2" s="593"/>
      <c r="H2" s="593"/>
      <c r="I2" s="293"/>
      <c r="J2" s="293"/>
      <c r="K2" s="293"/>
      <c r="L2" s="293"/>
      <c r="M2" s="197"/>
      <c r="N2" s="566" t="s">
        <v>156</v>
      </c>
      <c r="O2" s="566" t="s">
        <v>155</v>
      </c>
      <c r="P2" s="605">
        <v>46140</v>
      </c>
      <c r="Q2" s="606"/>
      <c r="R2" s="606"/>
      <c r="S2" s="606"/>
      <c r="T2" s="607"/>
      <c r="U2" s="592">
        <f>P2+1</f>
        <v>46141</v>
      </c>
      <c r="V2" s="570"/>
      <c r="W2" s="570"/>
      <c r="X2" s="570"/>
      <c r="Y2" s="570"/>
      <c r="Z2" s="592">
        <f>U2+1</f>
        <v>46142</v>
      </c>
      <c r="AA2" s="570"/>
      <c r="AB2" s="570"/>
      <c r="AC2" s="570"/>
      <c r="AD2" s="570"/>
      <c r="AE2" s="592">
        <f>Z2+1</f>
        <v>46143</v>
      </c>
      <c r="AF2" s="570"/>
      <c r="AG2" s="570"/>
      <c r="AH2" s="570"/>
      <c r="AI2" s="570"/>
      <c r="AJ2" s="592">
        <f>AE2+1</f>
        <v>46144</v>
      </c>
      <c r="AK2" s="570"/>
      <c r="AL2" s="570"/>
      <c r="AM2" s="570"/>
      <c r="AN2" s="570"/>
      <c r="AO2" s="592">
        <f>AJ2+1</f>
        <v>46145</v>
      </c>
      <c r="AP2" s="570"/>
      <c r="AQ2" s="570"/>
      <c r="AR2" s="570"/>
      <c r="AS2" s="570"/>
      <c r="AT2" s="589">
        <f>AO2+1</f>
        <v>46146</v>
      </c>
      <c r="AU2" s="590"/>
      <c r="AV2" s="590"/>
      <c r="AW2" s="590"/>
      <c r="AX2" s="591"/>
    </row>
    <row r="3" spans="1:53" ht="15.75">
      <c r="A3" s="81"/>
      <c r="B3" s="601"/>
      <c r="C3" s="601"/>
      <c r="D3" s="601"/>
      <c r="E3" s="601"/>
      <c r="F3" s="601"/>
      <c r="G3" s="601"/>
      <c r="H3" s="601"/>
      <c r="I3" s="294"/>
      <c r="J3" s="294"/>
      <c r="K3" s="294"/>
      <c r="L3" s="294"/>
      <c r="M3" s="198"/>
      <c r="N3" s="568"/>
      <c r="O3" s="568"/>
      <c r="P3" s="592" t="s">
        <v>158</v>
      </c>
      <c r="Q3" s="570"/>
      <c r="R3" s="570"/>
      <c r="S3" s="570"/>
      <c r="T3" s="570"/>
      <c r="U3" s="592" t="s">
        <v>114</v>
      </c>
      <c r="V3" s="570"/>
      <c r="W3" s="570"/>
      <c r="X3" s="570"/>
      <c r="Y3" s="570"/>
      <c r="Z3" s="592" t="s">
        <v>159</v>
      </c>
      <c r="AA3" s="570"/>
      <c r="AB3" s="570"/>
      <c r="AC3" s="570"/>
      <c r="AD3" s="570"/>
      <c r="AE3" s="592" t="s">
        <v>157</v>
      </c>
      <c r="AF3" s="570"/>
      <c r="AG3" s="570"/>
      <c r="AH3" s="570"/>
      <c r="AI3" s="570"/>
      <c r="AJ3" s="592" t="s">
        <v>160</v>
      </c>
      <c r="AK3" s="570"/>
      <c r="AL3" s="570"/>
      <c r="AM3" s="570"/>
      <c r="AN3" s="570"/>
      <c r="AO3" s="592" t="s">
        <v>115</v>
      </c>
      <c r="AP3" s="570"/>
      <c r="AQ3" s="570"/>
      <c r="AR3" s="570"/>
      <c r="AS3" s="570"/>
      <c r="AT3" s="592" t="s">
        <v>162</v>
      </c>
      <c r="AU3" s="570"/>
      <c r="AV3" s="570"/>
      <c r="AW3" s="570"/>
      <c r="AX3" s="570"/>
    </row>
    <row r="4" spans="1:53" ht="14.25">
      <c r="A4" s="81"/>
      <c r="B4" s="564" t="s">
        <v>377</v>
      </c>
      <c r="C4" s="564" t="s">
        <v>387</v>
      </c>
      <c r="D4" s="564"/>
      <c r="E4" s="564" t="s">
        <v>378</v>
      </c>
      <c r="F4" s="564"/>
      <c r="G4" s="564"/>
      <c r="H4" s="597" t="s">
        <v>374</v>
      </c>
      <c r="I4" s="616" t="s">
        <v>379</v>
      </c>
      <c r="J4" s="616"/>
      <c r="K4" s="616"/>
      <c r="L4" s="617" t="s">
        <v>374</v>
      </c>
      <c r="M4" s="602" t="s">
        <v>375</v>
      </c>
      <c r="N4" s="564"/>
      <c r="O4" s="564" t="s">
        <v>380</v>
      </c>
      <c r="P4" s="583" t="s">
        <v>376</v>
      </c>
      <c r="Q4" s="584"/>
      <c r="R4" s="584"/>
      <c r="S4" s="585"/>
      <c r="T4" s="564" t="s">
        <v>374</v>
      </c>
      <c r="U4" s="583" t="s">
        <v>376</v>
      </c>
      <c r="V4" s="584"/>
      <c r="W4" s="584"/>
      <c r="X4" s="585"/>
      <c r="Y4" s="564" t="s">
        <v>374</v>
      </c>
      <c r="Z4" s="583" t="s">
        <v>376</v>
      </c>
      <c r="AA4" s="584"/>
      <c r="AB4" s="584"/>
      <c r="AC4" s="585"/>
      <c r="AD4" s="564" t="s">
        <v>374</v>
      </c>
      <c r="AE4" s="583" t="s">
        <v>376</v>
      </c>
      <c r="AF4" s="584"/>
      <c r="AG4" s="584"/>
      <c r="AH4" s="585"/>
      <c r="AI4" s="564" t="s">
        <v>374</v>
      </c>
      <c r="AJ4" s="583" t="s">
        <v>376</v>
      </c>
      <c r="AK4" s="584"/>
      <c r="AL4" s="584"/>
      <c r="AM4" s="585"/>
      <c r="AN4" s="564" t="s">
        <v>374</v>
      </c>
      <c r="AO4" s="583" t="s">
        <v>376</v>
      </c>
      <c r="AP4" s="584"/>
      <c r="AQ4" s="584"/>
      <c r="AR4" s="585"/>
      <c r="AS4" s="564" t="s">
        <v>374</v>
      </c>
      <c r="AT4" s="583" t="s">
        <v>376</v>
      </c>
      <c r="AU4" s="584"/>
      <c r="AV4" s="584"/>
      <c r="AW4" s="585"/>
      <c r="AX4" s="564" t="s">
        <v>374</v>
      </c>
      <c r="BA4" s="564" t="s">
        <v>374</v>
      </c>
    </row>
    <row r="5" spans="1:53" ht="14.25">
      <c r="A5" s="81"/>
      <c r="B5" s="564"/>
      <c r="C5" s="564"/>
      <c r="D5" s="564"/>
      <c r="E5" s="564" t="s">
        <v>381</v>
      </c>
      <c r="F5" s="564"/>
      <c r="G5" s="564"/>
      <c r="H5" s="598"/>
      <c r="I5" s="616" t="s">
        <v>381</v>
      </c>
      <c r="J5" s="616"/>
      <c r="K5" s="616"/>
      <c r="L5" s="618"/>
      <c r="M5" s="603"/>
      <c r="N5" s="564"/>
      <c r="O5" s="564"/>
      <c r="P5" s="583" t="s">
        <v>382</v>
      </c>
      <c r="Q5" s="584"/>
      <c r="R5" s="584"/>
      <c r="S5" s="585"/>
      <c r="T5" s="564"/>
      <c r="U5" s="583" t="s">
        <v>382</v>
      </c>
      <c r="V5" s="584"/>
      <c r="W5" s="584"/>
      <c r="X5" s="585"/>
      <c r="Y5" s="564"/>
      <c r="Z5" s="583" t="s">
        <v>382</v>
      </c>
      <c r="AA5" s="584"/>
      <c r="AB5" s="584"/>
      <c r="AC5" s="585"/>
      <c r="AD5" s="564"/>
      <c r="AE5" s="583" t="s">
        <v>382</v>
      </c>
      <c r="AF5" s="584"/>
      <c r="AG5" s="584"/>
      <c r="AH5" s="585"/>
      <c r="AI5" s="564"/>
      <c r="AJ5" s="583" t="s">
        <v>382</v>
      </c>
      <c r="AK5" s="584"/>
      <c r="AL5" s="584"/>
      <c r="AM5" s="585"/>
      <c r="AN5" s="564"/>
      <c r="AO5" s="583" t="s">
        <v>382</v>
      </c>
      <c r="AP5" s="584"/>
      <c r="AQ5" s="584"/>
      <c r="AR5" s="585"/>
      <c r="AS5" s="564"/>
      <c r="AT5" s="583" t="s">
        <v>382</v>
      </c>
      <c r="AU5" s="584"/>
      <c r="AV5" s="584"/>
      <c r="AW5" s="585"/>
      <c r="AX5" s="564"/>
      <c r="BA5" s="564"/>
    </row>
    <row r="6" spans="1:53" ht="14.25">
      <c r="A6" s="79"/>
      <c r="B6" s="564"/>
      <c r="C6" s="564"/>
      <c r="D6" s="564"/>
      <c r="E6" s="417" t="s">
        <v>383</v>
      </c>
      <c r="F6" s="417" t="s">
        <v>384</v>
      </c>
      <c r="G6" s="417" t="s">
        <v>385</v>
      </c>
      <c r="H6" s="599"/>
      <c r="I6" s="416" t="s">
        <v>383</v>
      </c>
      <c r="J6" s="416" t="s">
        <v>384</v>
      </c>
      <c r="K6" s="416" t="s">
        <v>385</v>
      </c>
      <c r="L6" s="619"/>
      <c r="M6" s="604"/>
      <c r="N6" s="564"/>
      <c r="O6" s="564"/>
      <c r="P6" s="417" t="s">
        <v>383</v>
      </c>
      <c r="Q6" s="417" t="s">
        <v>384</v>
      </c>
      <c r="R6" s="417" t="s">
        <v>385</v>
      </c>
      <c r="S6" s="417" t="s">
        <v>375</v>
      </c>
      <c r="T6" s="564"/>
      <c r="U6" s="417" t="s">
        <v>383</v>
      </c>
      <c r="V6" s="417" t="s">
        <v>384</v>
      </c>
      <c r="W6" s="417" t="s">
        <v>385</v>
      </c>
      <c r="X6" s="417" t="s">
        <v>375</v>
      </c>
      <c r="Y6" s="564"/>
      <c r="Z6" s="417" t="s">
        <v>383</v>
      </c>
      <c r="AA6" s="417" t="s">
        <v>384</v>
      </c>
      <c r="AB6" s="417" t="s">
        <v>385</v>
      </c>
      <c r="AC6" s="417" t="s">
        <v>375</v>
      </c>
      <c r="AD6" s="564"/>
      <c r="AE6" s="417" t="s">
        <v>383</v>
      </c>
      <c r="AF6" s="417" t="s">
        <v>384</v>
      </c>
      <c r="AG6" s="417" t="s">
        <v>385</v>
      </c>
      <c r="AH6" s="417" t="s">
        <v>375</v>
      </c>
      <c r="AI6" s="564"/>
      <c r="AJ6" s="417" t="s">
        <v>383</v>
      </c>
      <c r="AK6" s="417" t="s">
        <v>384</v>
      </c>
      <c r="AL6" s="417" t="s">
        <v>385</v>
      </c>
      <c r="AM6" s="417" t="s">
        <v>375</v>
      </c>
      <c r="AN6" s="564"/>
      <c r="AO6" s="417" t="s">
        <v>383</v>
      </c>
      <c r="AP6" s="417" t="s">
        <v>384</v>
      </c>
      <c r="AQ6" s="417" t="s">
        <v>385</v>
      </c>
      <c r="AR6" s="417" t="s">
        <v>375</v>
      </c>
      <c r="AS6" s="564"/>
      <c r="AT6" s="417" t="s">
        <v>383</v>
      </c>
      <c r="AU6" s="417" t="s">
        <v>384</v>
      </c>
      <c r="AV6" s="417" t="s">
        <v>385</v>
      </c>
      <c r="AW6" s="417" t="s">
        <v>375</v>
      </c>
      <c r="AX6" s="564"/>
      <c r="AZ6" s="412" t="s">
        <v>375</v>
      </c>
      <c r="BA6" s="564"/>
    </row>
    <row r="7" spans="1:53" ht="14.25">
      <c r="A7" s="81"/>
      <c r="B7" s="570" t="s">
        <v>150</v>
      </c>
      <c r="C7" s="418">
        <v>1</v>
      </c>
      <c r="D7" s="418" t="s">
        <v>340</v>
      </c>
      <c r="E7" s="418">
        <v>3</v>
      </c>
      <c r="F7" s="418">
        <v>3200</v>
      </c>
      <c r="G7" s="425">
        <v>1066.6666666666667</v>
      </c>
      <c r="H7" s="559">
        <f>AVERAGE(G7:G36)</f>
        <v>763.22463768115949</v>
      </c>
      <c r="I7" s="422">
        <f>IFERROR(AVERAGE(P7,U7,Z7,AE7,AJ7,AO7,AT7),"-")</f>
        <v>3</v>
      </c>
      <c r="J7" s="422">
        <f>IFERROR(AVERAGE(Q7,V7,AA7,AF7,AK7,AP7,AU7),"-")</f>
        <v>3241.6194673485297</v>
      </c>
      <c r="K7" s="200">
        <f>IFERROR(AVERAGE(R7,W7,AB7,AG7,AL7,AQ7,AV7),"-")</f>
        <v>1080.5398224495098</v>
      </c>
      <c r="L7" s="580">
        <f>IFERROR(AVERAGE(K7:K36),"-")</f>
        <v>781.67808601402032</v>
      </c>
      <c r="M7" s="422">
        <f>RANK(K7, K$7:$K$36)</f>
        <v>1</v>
      </c>
      <c r="N7" s="564"/>
      <c r="O7" s="564"/>
      <c r="P7" s="418">
        <v>3</v>
      </c>
      <c r="Q7" s="425">
        <v>3253.9285714285738</v>
      </c>
      <c r="R7" s="425">
        <v>1084.642857142858</v>
      </c>
      <c r="S7" s="418">
        <f>RANK(R7, R$7:R$36)</f>
        <v>3</v>
      </c>
      <c r="T7" s="565">
        <f>AVERAGE(R7:R36)</f>
        <v>787.76535131663854</v>
      </c>
      <c r="U7" s="418">
        <v>3</v>
      </c>
      <c r="V7" s="425">
        <v>3232.3636363636388</v>
      </c>
      <c r="W7" s="425">
        <v>1077.4545454545462</v>
      </c>
      <c r="X7" s="418">
        <f>RANK(W7, W$7:W$36)</f>
        <v>2</v>
      </c>
      <c r="Y7" s="565">
        <f>AVERAGE(W7:W36)</f>
        <v>782.11618358526789</v>
      </c>
      <c r="Z7" s="418">
        <v>3</v>
      </c>
      <c r="AA7" s="425">
        <v>3280.4651162790692</v>
      </c>
      <c r="AB7" s="425">
        <v>1093.4883720930231</v>
      </c>
      <c r="AC7" s="418">
        <f>RANK(AB7, AB$7:AB$36)</f>
        <v>2</v>
      </c>
      <c r="AD7" s="565">
        <f>AVERAGE(AB7:AB36)</f>
        <v>803.31907170489728</v>
      </c>
      <c r="AE7" s="418">
        <v>3</v>
      </c>
      <c r="AF7" s="425">
        <v>3498.0000000000059</v>
      </c>
      <c r="AG7" s="425">
        <v>1166.000000000002</v>
      </c>
      <c r="AH7" s="418">
        <f>RANK(AG7, AG$7:AG$36)</f>
        <v>1</v>
      </c>
      <c r="AI7" s="565">
        <f>AVERAGE(AG7:AG36)</f>
        <v>799.83701419692977</v>
      </c>
      <c r="AJ7" s="418">
        <v>3</v>
      </c>
      <c r="AK7" s="425">
        <v>3194.9999999999982</v>
      </c>
      <c r="AL7" s="425">
        <v>1064.9999999999993</v>
      </c>
      <c r="AM7" s="418">
        <f>RANK(AL7, AL$7:AL$36)</f>
        <v>2</v>
      </c>
      <c r="AN7" s="565">
        <f>AVERAGE(AL7:AL36)</f>
        <v>763.58920121215999</v>
      </c>
      <c r="AO7" s="418">
        <v>3</v>
      </c>
      <c r="AP7" s="425">
        <v>3060.0000000000032</v>
      </c>
      <c r="AQ7" s="425">
        <v>1020.000000000001</v>
      </c>
      <c r="AR7" s="418">
        <f>RANK(AQ7, AQ$7:AQ$36)</f>
        <v>6</v>
      </c>
      <c r="AS7" s="565">
        <f>AVERAGE(AQ7:AQ36)</f>
        <v>770.28457623544284</v>
      </c>
      <c r="AT7" s="418">
        <v>3</v>
      </c>
      <c r="AU7" s="425">
        <v>3171.578947368419</v>
      </c>
      <c r="AV7" s="425">
        <v>1057.1929824561396</v>
      </c>
      <c r="AW7" s="418">
        <f>RANK(AV7, AV$7:AV$36)</f>
        <v>3</v>
      </c>
      <c r="AX7" s="565">
        <f>AVERAGE(AV7:AV36)</f>
        <v>764.83520384680787</v>
      </c>
      <c r="AZ7" s="411" t="e">
        <f>RANK(AY7, AY$7:AY$36)</f>
        <v>#N/A</v>
      </c>
      <c r="BA7" s="565" t="e">
        <f>AVERAGE(AY7:AY36)</f>
        <v>#DIV/0!</v>
      </c>
    </row>
    <row r="8" spans="1:53" ht="15" customHeight="1">
      <c r="A8" s="81"/>
      <c r="B8" s="570"/>
      <c r="C8" s="418">
        <v>2</v>
      </c>
      <c r="D8" s="417" t="s">
        <v>341</v>
      </c>
      <c r="E8" s="418">
        <v>3</v>
      </c>
      <c r="F8" s="418">
        <v>3200</v>
      </c>
      <c r="G8" s="425">
        <v>1066.6666666666667</v>
      </c>
      <c r="H8" s="560"/>
      <c r="I8" s="422">
        <f t="shared" ref="I8:I36" si="0">IFERROR(AVERAGE(P8,U8,Z8,AE8,AJ8,AO8,AT8),"-")</f>
        <v>3</v>
      </c>
      <c r="J8" s="422">
        <f t="shared" ref="J8:J36" si="1">IFERROR(AVERAGE(Q8,V8,AA8,AF8,AK8,AP8,AU8),"-")</f>
        <v>3203.9084621702796</v>
      </c>
      <c r="K8" s="200">
        <f t="shared" ref="K8:K36" si="2">IFERROR(AVERAGE(R8,W8,AB8,AG8,AL8,AQ8,AV8),"-")</f>
        <v>1067.9694873900933</v>
      </c>
      <c r="L8" s="581"/>
      <c r="M8" s="422">
        <f>RANK(K8, K$7:$K$36)</f>
        <v>5</v>
      </c>
      <c r="N8" s="564"/>
      <c r="O8" s="564"/>
      <c r="P8" s="418">
        <v>3</v>
      </c>
      <c r="Q8" s="425">
        <v>3388.2352941176273</v>
      </c>
      <c r="R8" s="425">
        <v>1129.4117647058758</v>
      </c>
      <c r="S8" s="418">
        <f t="shared" ref="S8:S36" si="3">RANK(R8, R$7:R$36)</f>
        <v>1</v>
      </c>
      <c r="T8" s="565"/>
      <c r="U8" s="418">
        <v>3</v>
      </c>
      <c r="V8" s="425">
        <v>3303.5294117646863</v>
      </c>
      <c r="W8" s="425">
        <v>1101.1764705882288</v>
      </c>
      <c r="X8" s="418">
        <f t="shared" ref="X8:X36" si="4">RANK(W8, W$7:W$36)</f>
        <v>1</v>
      </c>
      <c r="Y8" s="565"/>
      <c r="Z8" s="418">
        <v>3</v>
      </c>
      <c r="AA8" s="425">
        <v>3205.7142857142785</v>
      </c>
      <c r="AB8" s="425">
        <v>1068.5714285714262</v>
      </c>
      <c r="AC8" s="418">
        <f t="shared" ref="AC8:AC36" si="5">RANK(AB8, AB$7:AB$36)</f>
        <v>6</v>
      </c>
      <c r="AD8" s="565"/>
      <c r="AE8" s="418">
        <v>3</v>
      </c>
      <c r="AF8" s="425">
        <v>3312.8571428571358</v>
      </c>
      <c r="AG8" s="425">
        <v>1104.2857142857119</v>
      </c>
      <c r="AH8" s="418">
        <f t="shared" ref="AH8:AH36" si="6">RANK(AG8, AG$7:AG$36)</f>
        <v>2</v>
      </c>
      <c r="AI8" s="565"/>
      <c r="AJ8" s="418">
        <v>3</v>
      </c>
      <c r="AK8" s="425">
        <v>2990.7692307692232</v>
      </c>
      <c r="AL8" s="425">
        <v>996.9230769230744</v>
      </c>
      <c r="AM8" s="418">
        <f t="shared" ref="AM8:AM36" si="7">RANK(AL8, AL$7:AL$36)</f>
        <v>6</v>
      </c>
      <c r="AN8" s="565"/>
      <c r="AO8" s="418">
        <v>3</v>
      </c>
      <c r="AP8" s="425">
        <v>3056.8421052631429</v>
      </c>
      <c r="AQ8" s="425">
        <v>1018.9473684210476</v>
      </c>
      <c r="AR8" s="418">
        <f t="shared" ref="AR8:AR36" si="8">RANK(AQ8, AQ$7:AQ$36)</f>
        <v>7</v>
      </c>
      <c r="AS8" s="565"/>
      <c r="AT8" s="418">
        <v>3</v>
      </c>
      <c r="AU8" s="425">
        <v>3169.4117647058638</v>
      </c>
      <c r="AV8" s="425">
        <v>1056.470588235288</v>
      </c>
      <c r="AW8" s="418">
        <f t="shared" ref="AW8:AW36" si="9">RANK(AV8, AV$7:AV$36)</f>
        <v>4</v>
      </c>
      <c r="AX8" s="565"/>
      <c r="AZ8" s="411" t="e">
        <f t="shared" ref="AZ8:AZ36" si="10">RANK(AY8, AY$7:AY$36)</f>
        <v>#N/A</v>
      </c>
      <c r="BA8" s="565"/>
    </row>
    <row r="9" spans="1:53" ht="14.25">
      <c r="A9" s="81"/>
      <c r="B9" s="570"/>
      <c r="C9" s="418">
        <v>3</v>
      </c>
      <c r="D9" s="418" t="s">
        <v>330</v>
      </c>
      <c r="E9" s="418">
        <v>4</v>
      </c>
      <c r="F9" s="418">
        <v>3200</v>
      </c>
      <c r="G9" s="425">
        <v>800</v>
      </c>
      <c r="H9" s="560"/>
      <c r="I9" s="422">
        <f t="shared" si="0"/>
        <v>4</v>
      </c>
      <c r="J9" s="422">
        <f t="shared" si="1"/>
        <v>3084.660045836521</v>
      </c>
      <c r="K9" s="200">
        <f t="shared" si="2"/>
        <v>771.16501145913026</v>
      </c>
      <c r="L9" s="581"/>
      <c r="M9" s="422">
        <f>RANK(K9, K$7:$K$36)</f>
        <v>14</v>
      </c>
      <c r="N9" s="564"/>
      <c r="O9" s="564"/>
      <c r="P9" s="418">
        <v>4</v>
      </c>
      <c r="Q9" s="425">
        <v>3226.9565217391305</v>
      </c>
      <c r="R9" s="425">
        <v>806.73913043478262</v>
      </c>
      <c r="S9" s="418">
        <f t="shared" si="3"/>
        <v>13</v>
      </c>
      <c r="T9" s="565"/>
      <c r="U9" s="418">
        <v>4</v>
      </c>
      <c r="V9" s="425">
        <v>3234.5454545454545</v>
      </c>
      <c r="W9" s="425">
        <v>808.63636363636363</v>
      </c>
      <c r="X9" s="418">
        <f t="shared" si="4"/>
        <v>12</v>
      </c>
      <c r="Y9" s="565"/>
      <c r="Z9" s="418">
        <v>4</v>
      </c>
      <c r="AA9" s="425">
        <v>3225.8823529411879</v>
      </c>
      <c r="AB9" s="425">
        <v>806.47058823529699</v>
      </c>
      <c r="AC9" s="418">
        <f t="shared" si="5"/>
        <v>14</v>
      </c>
      <c r="AD9" s="565"/>
      <c r="AE9" s="418">
        <v>4</v>
      </c>
      <c r="AF9" s="425">
        <v>3264.7058823529528</v>
      </c>
      <c r="AG9" s="425">
        <v>816.1764705882382</v>
      </c>
      <c r="AH9" s="418">
        <f t="shared" si="6"/>
        <v>14</v>
      </c>
      <c r="AI9" s="565"/>
      <c r="AJ9" s="418">
        <v>4</v>
      </c>
      <c r="AK9" s="425">
        <v>2452.9411764705851</v>
      </c>
      <c r="AL9" s="425">
        <v>613.23529411764628</v>
      </c>
      <c r="AM9" s="418">
        <f t="shared" si="7"/>
        <v>20</v>
      </c>
      <c r="AN9" s="565"/>
      <c r="AO9" s="418">
        <v>4</v>
      </c>
      <c r="AP9" s="425">
        <v>3073.0434782608804</v>
      </c>
      <c r="AQ9" s="425">
        <v>768.2608695652201</v>
      </c>
      <c r="AR9" s="418">
        <f t="shared" si="8"/>
        <v>14</v>
      </c>
      <c r="AS9" s="565"/>
      <c r="AT9" s="418">
        <v>4</v>
      </c>
      <c r="AU9" s="425">
        <v>3114.5454545454545</v>
      </c>
      <c r="AV9" s="425">
        <v>778.63636363636363</v>
      </c>
      <c r="AW9" s="418">
        <f t="shared" si="9"/>
        <v>12</v>
      </c>
      <c r="AX9" s="565"/>
      <c r="AZ9" s="411" t="e">
        <f t="shared" si="10"/>
        <v>#N/A</v>
      </c>
      <c r="BA9" s="565"/>
    </row>
    <row r="10" spans="1:53" ht="14.25">
      <c r="A10" s="81"/>
      <c r="B10" s="570"/>
      <c r="C10" s="418">
        <v>4</v>
      </c>
      <c r="D10" s="418" t="s">
        <v>342</v>
      </c>
      <c r="E10" s="418">
        <v>3</v>
      </c>
      <c r="F10" s="418">
        <v>3200</v>
      </c>
      <c r="G10" s="425">
        <v>1066.6666666666667</v>
      </c>
      <c r="H10" s="560"/>
      <c r="I10" s="422">
        <f t="shared" si="0"/>
        <v>3</v>
      </c>
      <c r="J10" s="422">
        <f t="shared" si="1"/>
        <v>3184.6230866364717</v>
      </c>
      <c r="K10" s="200">
        <f t="shared" si="2"/>
        <v>1061.5410288788239</v>
      </c>
      <c r="L10" s="581"/>
      <c r="M10" s="422">
        <f>RANK(K10, K$7:$K$36)</f>
        <v>6</v>
      </c>
      <c r="N10" s="564"/>
      <c r="O10" s="564"/>
      <c r="P10" s="418">
        <v>3</v>
      </c>
      <c r="Q10" s="425">
        <v>3211.6853932584295</v>
      </c>
      <c r="R10" s="425">
        <v>1070.5617977528098</v>
      </c>
      <c r="S10" s="418">
        <f t="shared" si="3"/>
        <v>6</v>
      </c>
      <c r="T10" s="565"/>
      <c r="U10" s="418">
        <v>3</v>
      </c>
      <c r="V10" s="425">
        <v>3221.3793103448302</v>
      </c>
      <c r="W10" s="425">
        <v>1073.7931034482767</v>
      </c>
      <c r="X10" s="418">
        <f t="shared" si="4"/>
        <v>4</v>
      </c>
      <c r="Y10" s="565"/>
      <c r="Z10" s="418">
        <v>3</v>
      </c>
      <c r="AA10" s="425">
        <v>3236.3636363636319</v>
      </c>
      <c r="AB10" s="425">
        <v>1078.7878787878774</v>
      </c>
      <c r="AC10" s="418">
        <f t="shared" si="5"/>
        <v>5</v>
      </c>
      <c r="AD10" s="565"/>
      <c r="AE10" s="418">
        <v>3</v>
      </c>
      <c r="AF10" s="425">
        <v>3246.5624999999991</v>
      </c>
      <c r="AG10" s="425">
        <v>1082.1874999999998</v>
      </c>
      <c r="AH10" s="418">
        <f t="shared" si="6"/>
        <v>5</v>
      </c>
      <c r="AI10" s="565"/>
      <c r="AJ10" s="418">
        <v>3</v>
      </c>
      <c r="AK10" s="425">
        <v>2937.2727272727234</v>
      </c>
      <c r="AL10" s="425">
        <v>979.09090909090776</v>
      </c>
      <c r="AM10" s="418">
        <f t="shared" si="7"/>
        <v>7</v>
      </c>
      <c r="AN10" s="565"/>
      <c r="AO10" s="418">
        <v>3</v>
      </c>
      <c r="AP10" s="425">
        <v>3187.3333333333362</v>
      </c>
      <c r="AQ10" s="425">
        <v>1062.4444444444455</v>
      </c>
      <c r="AR10" s="418">
        <f t="shared" si="8"/>
        <v>1</v>
      </c>
      <c r="AS10" s="565"/>
      <c r="AT10" s="418">
        <v>3</v>
      </c>
      <c r="AU10" s="425">
        <v>3251.7647058823541</v>
      </c>
      <c r="AV10" s="425">
        <v>1083.9215686274513</v>
      </c>
      <c r="AW10" s="418">
        <f t="shared" si="9"/>
        <v>1</v>
      </c>
      <c r="AX10" s="565"/>
      <c r="AZ10" s="411" t="e">
        <f t="shared" si="10"/>
        <v>#N/A</v>
      </c>
      <c r="BA10" s="565"/>
    </row>
    <row r="11" spans="1:53" ht="14.25">
      <c r="A11" s="81"/>
      <c r="B11" s="570"/>
      <c r="C11" s="418">
        <v>5</v>
      </c>
      <c r="D11" s="418" t="s">
        <v>601</v>
      </c>
      <c r="E11" s="418">
        <v>4</v>
      </c>
      <c r="F11" s="418">
        <v>3200</v>
      </c>
      <c r="G11" s="425">
        <v>800</v>
      </c>
      <c r="H11" s="560"/>
      <c r="I11" s="422">
        <f t="shared" si="0"/>
        <v>4</v>
      </c>
      <c r="J11" s="422">
        <f t="shared" si="1"/>
        <v>3211.9184076792772</v>
      </c>
      <c r="K11" s="200">
        <f t="shared" si="2"/>
        <v>802.97960191981929</v>
      </c>
      <c r="L11" s="581"/>
      <c r="M11" s="422">
        <f>RANK(K11, K$7:$K$36)</f>
        <v>12</v>
      </c>
      <c r="N11" s="564"/>
      <c r="O11" s="564"/>
      <c r="P11" s="418">
        <v>4</v>
      </c>
      <c r="Q11" s="425">
        <v>3256.3636363636397</v>
      </c>
      <c r="R11" s="425">
        <v>814.09090909090992</v>
      </c>
      <c r="S11" s="418">
        <f t="shared" si="3"/>
        <v>11</v>
      </c>
      <c r="T11" s="565"/>
      <c r="U11" s="418">
        <v>4</v>
      </c>
      <c r="V11" s="425">
        <v>3217.4999999999959</v>
      </c>
      <c r="W11" s="425">
        <v>804.37499999999898</v>
      </c>
      <c r="X11" s="418">
        <f t="shared" si="4"/>
        <v>13</v>
      </c>
      <c r="Y11" s="565"/>
      <c r="Z11" s="418">
        <v>4</v>
      </c>
      <c r="AA11" s="425">
        <v>3229.5652173913159</v>
      </c>
      <c r="AB11" s="425">
        <v>807.39130434782896</v>
      </c>
      <c r="AC11" s="418">
        <f t="shared" si="5"/>
        <v>13</v>
      </c>
      <c r="AD11" s="565"/>
      <c r="AE11" s="418">
        <v>4</v>
      </c>
      <c r="AF11" s="425">
        <v>3299.9999999999877</v>
      </c>
      <c r="AG11" s="425">
        <v>824.99999999999693</v>
      </c>
      <c r="AH11" s="418">
        <f t="shared" si="6"/>
        <v>12</v>
      </c>
      <c r="AI11" s="565"/>
      <c r="AJ11" s="418">
        <v>4</v>
      </c>
      <c r="AK11" s="425">
        <v>3150</v>
      </c>
      <c r="AL11" s="425">
        <v>787.5</v>
      </c>
      <c r="AM11" s="418">
        <f t="shared" si="7"/>
        <v>12</v>
      </c>
      <c r="AN11" s="565"/>
      <c r="AO11" s="418">
        <v>4</v>
      </c>
      <c r="AP11" s="425">
        <v>3198.7500000000036</v>
      </c>
      <c r="AQ11" s="425">
        <v>799.68750000000091</v>
      </c>
      <c r="AR11" s="418">
        <f t="shared" si="8"/>
        <v>10</v>
      </c>
      <c r="AS11" s="565"/>
      <c r="AT11" s="418">
        <v>4</v>
      </c>
      <c r="AU11" s="425">
        <v>3131.2499999999959</v>
      </c>
      <c r="AV11" s="425">
        <v>782.81249999999898</v>
      </c>
      <c r="AW11" s="418">
        <f t="shared" si="9"/>
        <v>11</v>
      </c>
      <c r="AX11" s="565"/>
      <c r="AZ11" s="411" t="e">
        <f t="shared" si="10"/>
        <v>#N/A</v>
      </c>
      <c r="BA11" s="565"/>
    </row>
    <row r="12" spans="1:53" ht="14.25">
      <c r="A12" s="81"/>
      <c r="B12" s="570"/>
      <c r="C12" s="418">
        <v>6</v>
      </c>
      <c r="D12" s="418" t="s">
        <v>602</v>
      </c>
      <c r="E12" s="418">
        <v>4</v>
      </c>
      <c r="F12" s="418">
        <v>3200</v>
      </c>
      <c r="G12" s="425">
        <v>800</v>
      </c>
      <c r="H12" s="560"/>
      <c r="I12" s="422">
        <f t="shared" si="0"/>
        <v>4</v>
      </c>
      <c r="J12" s="422">
        <f t="shared" si="1"/>
        <v>3262.086834733896</v>
      </c>
      <c r="K12" s="200">
        <f t="shared" si="2"/>
        <v>815.521708683474</v>
      </c>
      <c r="L12" s="581"/>
      <c r="M12" s="422">
        <f>RANK(K12, K$7:$K$36)</f>
        <v>11</v>
      </c>
      <c r="N12" s="564"/>
      <c r="O12" s="564"/>
      <c r="P12" s="418">
        <v>4</v>
      </c>
      <c r="Q12" s="425">
        <v>3286.6666666666642</v>
      </c>
      <c r="R12" s="425">
        <v>821.66666666666606</v>
      </c>
      <c r="S12" s="418">
        <f t="shared" si="3"/>
        <v>10</v>
      </c>
      <c r="T12" s="565"/>
      <c r="U12" s="418">
        <v>4</v>
      </c>
      <c r="V12" s="425">
        <v>3352.9411764706001</v>
      </c>
      <c r="W12" s="425">
        <v>838.23529411765003</v>
      </c>
      <c r="X12" s="418">
        <f t="shared" si="4"/>
        <v>10</v>
      </c>
      <c r="Y12" s="565"/>
      <c r="Z12" s="418">
        <v>4</v>
      </c>
      <c r="AA12" s="425">
        <v>3510.0000000000123</v>
      </c>
      <c r="AB12" s="425">
        <v>877.50000000000307</v>
      </c>
      <c r="AC12" s="418">
        <f t="shared" si="5"/>
        <v>10</v>
      </c>
      <c r="AD12" s="565"/>
      <c r="AE12" s="418">
        <v>4</v>
      </c>
      <c r="AF12" s="425">
        <v>3395.0000000000123</v>
      </c>
      <c r="AG12" s="425">
        <v>848.75000000000307</v>
      </c>
      <c r="AH12" s="418">
        <f t="shared" si="6"/>
        <v>11</v>
      </c>
      <c r="AI12" s="565"/>
      <c r="AJ12" s="418">
        <v>4</v>
      </c>
      <c r="AK12" s="425">
        <v>3049.9999999999905</v>
      </c>
      <c r="AL12" s="425">
        <v>762.49999999999761</v>
      </c>
      <c r="AM12" s="418">
        <f t="shared" si="7"/>
        <v>13</v>
      </c>
      <c r="AN12" s="565"/>
      <c r="AO12" s="418">
        <v>4</v>
      </c>
      <c r="AP12" s="425">
        <v>3158.8235294117462</v>
      </c>
      <c r="AQ12" s="425">
        <v>789.70588235293656</v>
      </c>
      <c r="AR12" s="418">
        <f t="shared" si="8"/>
        <v>13</v>
      </c>
      <c r="AS12" s="565"/>
      <c r="AT12" s="418">
        <v>4</v>
      </c>
      <c r="AU12" s="425">
        <v>3081.1764705882465</v>
      </c>
      <c r="AV12" s="425">
        <v>770.29411764706163</v>
      </c>
      <c r="AW12" s="418">
        <f t="shared" si="9"/>
        <v>14</v>
      </c>
      <c r="AX12" s="565"/>
      <c r="AZ12" s="411" t="e">
        <f t="shared" si="10"/>
        <v>#N/A</v>
      </c>
      <c r="BA12" s="565"/>
    </row>
    <row r="13" spans="1:53" ht="14.25">
      <c r="A13" s="81"/>
      <c r="B13" s="570"/>
      <c r="C13" s="418">
        <v>7</v>
      </c>
      <c r="D13" s="418" t="s">
        <v>343</v>
      </c>
      <c r="E13" s="418">
        <v>4</v>
      </c>
      <c r="F13" s="418">
        <v>2800</v>
      </c>
      <c r="G13" s="425">
        <v>700</v>
      </c>
      <c r="H13" s="560"/>
      <c r="I13" s="422">
        <f t="shared" si="0"/>
        <v>4</v>
      </c>
      <c r="J13" s="422">
        <f t="shared" si="1"/>
        <v>3272.2135007849292</v>
      </c>
      <c r="K13" s="200">
        <f t="shared" si="2"/>
        <v>818.05337519623231</v>
      </c>
      <c r="L13" s="581"/>
      <c r="M13" s="422">
        <f>RANK(K13, K$7:$K$36)</f>
        <v>10</v>
      </c>
      <c r="N13" s="564"/>
      <c r="O13" s="564"/>
      <c r="P13" s="418">
        <v>4</v>
      </c>
      <c r="Q13" s="425">
        <v>3248.5714285714307</v>
      </c>
      <c r="R13" s="425">
        <v>812.14285714285768</v>
      </c>
      <c r="S13" s="418">
        <f t="shared" si="3"/>
        <v>12</v>
      </c>
      <c r="T13" s="565"/>
      <c r="U13" s="418">
        <v>4</v>
      </c>
      <c r="V13" s="425">
        <v>3258.4615384615399</v>
      </c>
      <c r="W13" s="425">
        <v>814.61538461538498</v>
      </c>
      <c r="X13" s="418">
        <f t="shared" si="4"/>
        <v>11</v>
      </c>
      <c r="Y13" s="565"/>
      <c r="Z13" s="418">
        <v>4</v>
      </c>
      <c r="AA13" s="425">
        <v>3506.6666666666642</v>
      </c>
      <c r="AB13" s="425">
        <v>876.66666666666606</v>
      </c>
      <c r="AC13" s="418">
        <f t="shared" si="5"/>
        <v>11</v>
      </c>
      <c r="AD13" s="565"/>
      <c r="AE13" s="418">
        <v>4</v>
      </c>
      <c r="AF13" s="425">
        <v>3453.3333333333303</v>
      </c>
      <c r="AG13" s="425">
        <v>863.33333333333258</v>
      </c>
      <c r="AH13" s="418">
        <f t="shared" si="6"/>
        <v>10</v>
      </c>
      <c r="AI13" s="565"/>
      <c r="AJ13" s="418">
        <v>4</v>
      </c>
      <c r="AK13" s="425">
        <v>3179.9999999999973</v>
      </c>
      <c r="AL13" s="425">
        <v>794.99999999999932</v>
      </c>
      <c r="AM13" s="418">
        <f t="shared" si="7"/>
        <v>10</v>
      </c>
      <c r="AN13" s="565"/>
      <c r="AO13" s="418">
        <v>4</v>
      </c>
      <c r="AP13" s="425">
        <v>3166.1538461538476</v>
      </c>
      <c r="AQ13" s="425">
        <v>791.53846153846189</v>
      </c>
      <c r="AR13" s="418">
        <f t="shared" si="8"/>
        <v>12</v>
      </c>
      <c r="AS13" s="565"/>
      <c r="AT13" s="418">
        <v>4</v>
      </c>
      <c r="AU13" s="425">
        <v>3092.3076923076942</v>
      </c>
      <c r="AV13" s="425">
        <v>773.07692307692355</v>
      </c>
      <c r="AW13" s="418">
        <f t="shared" si="9"/>
        <v>13</v>
      </c>
      <c r="AX13" s="565"/>
      <c r="AZ13" s="411" t="e">
        <f t="shared" si="10"/>
        <v>#N/A</v>
      </c>
      <c r="BA13" s="565"/>
    </row>
    <row r="14" spans="1:53" ht="14.25">
      <c r="A14" s="81"/>
      <c r="B14" s="570"/>
      <c r="C14" s="418">
        <v>8</v>
      </c>
      <c r="D14" s="418" t="s">
        <v>344</v>
      </c>
      <c r="E14" s="418">
        <v>3</v>
      </c>
      <c r="F14" s="418">
        <v>3200</v>
      </c>
      <c r="G14" s="425">
        <v>1066.6666666666667</v>
      </c>
      <c r="H14" s="560"/>
      <c r="I14" s="422">
        <f t="shared" si="0"/>
        <v>3</v>
      </c>
      <c r="J14" s="422">
        <f t="shared" si="1"/>
        <v>3207.9861751152034</v>
      </c>
      <c r="K14" s="200">
        <f t="shared" si="2"/>
        <v>1069.3287250384012</v>
      </c>
      <c r="L14" s="581"/>
      <c r="M14" s="422">
        <f>RANK(K14, K$7:$K$36)</f>
        <v>3</v>
      </c>
      <c r="N14" s="564"/>
      <c r="O14" s="564"/>
      <c r="P14" s="418">
        <v>3</v>
      </c>
      <c r="Q14" s="425">
        <v>3220.6451612903256</v>
      </c>
      <c r="R14" s="425">
        <v>1073.5483870967753</v>
      </c>
      <c r="S14" s="418">
        <f t="shared" si="3"/>
        <v>5</v>
      </c>
      <c r="T14" s="565"/>
      <c r="U14" s="418">
        <v>3</v>
      </c>
      <c r="V14" s="425">
        <v>3227.9999999999941</v>
      </c>
      <c r="W14" s="425">
        <v>1075.999999999998</v>
      </c>
      <c r="X14" s="418">
        <f t="shared" si="4"/>
        <v>3</v>
      </c>
      <c r="Y14" s="565"/>
      <c r="Z14" s="418">
        <v>3</v>
      </c>
      <c r="AA14" s="425">
        <v>3282.499999999995</v>
      </c>
      <c r="AB14" s="425">
        <v>1094.1666666666649</v>
      </c>
      <c r="AC14" s="418">
        <f t="shared" si="5"/>
        <v>1</v>
      </c>
      <c r="AD14" s="565"/>
      <c r="AE14" s="418">
        <v>3</v>
      </c>
      <c r="AF14" s="425">
        <v>3267.499999999995</v>
      </c>
      <c r="AG14" s="425">
        <v>1089.1666666666649</v>
      </c>
      <c r="AH14" s="418">
        <f t="shared" si="6"/>
        <v>4</v>
      </c>
      <c r="AI14" s="565"/>
      <c r="AJ14" s="418">
        <v>3</v>
      </c>
      <c r="AK14" s="425">
        <v>3164.9999999999955</v>
      </c>
      <c r="AL14" s="425">
        <v>1054.9999999999984</v>
      </c>
      <c r="AM14" s="418">
        <f t="shared" si="7"/>
        <v>4</v>
      </c>
      <c r="AN14" s="565"/>
      <c r="AO14" s="418">
        <v>3</v>
      </c>
      <c r="AP14" s="425">
        <v>3172.2580645161243</v>
      </c>
      <c r="AQ14" s="425">
        <v>1057.4193548387082</v>
      </c>
      <c r="AR14" s="418">
        <f t="shared" si="8"/>
        <v>2</v>
      </c>
      <c r="AS14" s="565"/>
      <c r="AT14" s="418">
        <v>3</v>
      </c>
      <c r="AU14" s="425">
        <v>3119.999999999995</v>
      </c>
      <c r="AV14" s="425">
        <v>1039.9999999999984</v>
      </c>
      <c r="AW14" s="418">
        <f t="shared" si="9"/>
        <v>6</v>
      </c>
      <c r="AX14" s="565"/>
      <c r="AZ14" s="411" t="e">
        <f t="shared" si="10"/>
        <v>#N/A</v>
      </c>
      <c r="BA14" s="565"/>
    </row>
    <row r="15" spans="1:53" ht="14.25">
      <c r="A15" s="81"/>
      <c r="B15" s="570"/>
      <c r="C15" s="418">
        <v>9</v>
      </c>
      <c r="D15" s="418" t="s">
        <v>345</v>
      </c>
      <c r="E15" s="418">
        <v>3</v>
      </c>
      <c r="F15" s="418">
        <v>2800</v>
      </c>
      <c r="G15" s="425">
        <v>933.33333333333337</v>
      </c>
      <c r="H15" s="560"/>
      <c r="I15" s="422">
        <f t="shared" si="0"/>
        <v>3</v>
      </c>
      <c r="J15" s="422">
        <f t="shared" si="1"/>
        <v>3210.264413457689</v>
      </c>
      <c r="K15" s="200">
        <f t="shared" si="2"/>
        <v>1070.0881378192296</v>
      </c>
      <c r="L15" s="581"/>
      <c r="M15" s="422">
        <f>RANK(K15, K$7:$K$36)</f>
        <v>2</v>
      </c>
      <c r="N15" s="564"/>
      <c r="O15" s="564"/>
      <c r="P15" s="418">
        <v>3</v>
      </c>
      <c r="Q15" s="425">
        <v>3289.411764705882</v>
      </c>
      <c r="R15" s="425">
        <v>1096.4705882352939</v>
      </c>
      <c r="S15" s="418">
        <f t="shared" si="3"/>
        <v>2</v>
      </c>
      <c r="T15" s="565"/>
      <c r="U15" s="418">
        <v>3</v>
      </c>
      <c r="V15" s="425">
        <v>3210</v>
      </c>
      <c r="W15" s="425">
        <v>1070</v>
      </c>
      <c r="X15" s="418">
        <f t="shared" si="4"/>
        <v>5</v>
      </c>
      <c r="Y15" s="565"/>
      <c r="Z15" s="418">
        <v>3</v>
      </c>
      <c r="AA15" s="425">
        <v>3253.3333333333303</v>
      </c>
      <c r="AB15" s="425">
        <v>1084.4444444444434</v>
      </c>
      <c r="AC15" s="418">
        <f t="shared" si="5"/>
        <v>4</v>
      </c>
      <c r="AD15" s="565"/>
      <c r="AE15" s="418">
        <v>3</v>
      </c>
      <c r="AF15" s="425">
        <v>3288.4615384615349</v>
      </c>
      <c r="AG15" s="425">
        <v>1096.1538461538451</v>
      </c>
      <c r="AH15" s="418">
        <f t="shared" si="6"/>
        <v>3</v>
      </c>
      <c r="AI15" s="565"/>
      <c r="AJ15" s="418">
        <v>3</v>
      </c>
      <c r="AK15" s="425">
        <v>3093.3333333333303</v>
      </c>
      <c r="AL15" s="425">
        <v>1031.1111111111102</v>
      </c>
      <c r="AM15" s="418">
        <f t="shared" si="7"/>
        <v>5</v>
      </c>
      <c r="AN15" s="565"/>
      <c r="AO15" s="418">
        <v>3</v>
      </c>
      <c r="AP15" s="425">
        <v>3171.428571428572</v>
      </c>
      <c r="AQ15" s="425">
        <v>1057.1428571428573</v>
      </c>
      <c r="AR15" s="418">
        <f t="shared" si="8"/>
        <v>3</v>
      </c>
      <c r="AS15" s="565"/>
      <c r="AT15" s="418">
        <v>3</v>
      </c>
      <c r="AU15" s="425">
        <v>3165.8823529411766</v>
      </c>
      <c r="AV15" s="425">
        <v>1055.2941176470588</v>
      </c>
      <c r="AW15" s="418">
        <f t="shared" si="9"/>
        <v>5</v>
      </c>
      <c r="AX15" s="565"/>
      <c r="AZ15" s="411" t="e">
        <f t="shared" si="10"/>
        <v>#N/A</v>
      </c>
      <c r="BA15" s="565"/>
    </row>
    <row r="16" spans="1:53" ht="14.25">
      <c r="A16" s="81"/>
      <c r="B16" s="570"/>
      <c r="C16" s="418">
        <v>10</v>
      </c>
      <c r="D16" s="418" t="s">
        <v>346</v>
      </c>
      <c r="E16" s="418">
        <v>4</v>
      </c>
      <c r="F16" s="418">
        <v>2800</v>
      </c>
      <c r="G16" s="425">
        <v>700</v>
      </c>
      <c r="H16" s="560"/>
      <c r="I16" s="422">
        <f t="shared" si="0"/>
        <v>4</v>
      </c>
      <c r="J16" s="422">
        <f t="shared" si="1"/>
        <v>3210.5668182339682</v>
      </c>
      <c r="K16" s="200">
        <f t="shared" si="2"/>
        <v>802.64170455849205</v>
      </c>
      <c r="L16" s="581"/>
      <c r="M16" s="422">
        <f>RANK(K16, K$7:$K$36)</f>
        <v>13</v>
      </c>
      <c r="N16" s="564"/>
      <c r="O16" s="564"/>
      <c r="P16" s="418">
        <v>4</v>
      </c>
      <c r="Q16" s="425">
        <v>3208.9655172413773</v>
      </c>
      <c r="R16" s="425">
        <v>802.24137931034431</v>
      </c>
      <c r="S16" s="418">
        <f t="shared" si="3"/>
        <v>14</v>
      </c>
      <c r="T16" s="565"/>
      <c r="U16" s="418">
        <v>4</v>
      </c>
      <c r="V16" s="425">
        <v>3211.5789473684235</v>
      </c>
      <c r="W16" s="425">
        <v>802.89473684210589</v>
      </c>
      <c r="X16" s="418">
        <f t="shared" si="4"/>
        <v>14</v>
      </c>
      <c r="Y16" s="565"/>
      <c r="Z16" s="418">
        <v>4</v>
      </c>
      <c r="AA16" s="425">
        <v>3234.5454545454604</v>
      </c>
      <c r="AB16" s="425">
        <v>808.6363636363651</v>
      </c>
      <c r="AC16" s="418">
        <f t="shared" si="5"/>
        <v>12</v>
      </c>
      <c r="AD16" s="565"/>
      <c r="AE16" s="418">
        <v>4</v>
      </c>
      <c r="AF16" s="425">
        <v>3274.2857142857133</v>
      </c>
      <c r="AG16" s="425">
        <v>818.57142857142833</v>
      </c>
      <c r="AH16" s="418">
        <f t="shared" si="6"/>
        <v>13</v>
      </c>
      <c r="AI16" s="565"/>
      <c r="AJ16" s="418">
        <v>4</v>
      </c>
      <c r="AK16" s="425">
        <v>3163.9024390243949</v>
      </c>
      <c r="AL16" s="425">
        <v>790.97560975609872</v>
      </c>
      <c r="AM16" s="418">
        <f t="shared" si="7"/>
        <v>11</v>
      </c>
      <c r="AN16" s="565"/>
      <c r="AO16" s="418">
        <v>4</v>
      </c>
      <c r="AP16" s="425">
        <v>3195.5172413793084</v>
      </c>
      <c r="AQ16" s="425">
        <v>798.8793103448271</v>
      </c>
      <c r="AR16" s="418">
        <f t="shared" si="8"/>
        <v>11</v>
      </c>
      <c r="AS16" s="565"/>
      <c r="AT16" s="418">
        <v>4</v>
      </c>
      <c r="AU16" s="425">
        <v>3185.1724137931014</v>
      </c>
      <c r="AV16" s="425">
        <v>796.29310344827536</v>
      </c>
      <c r="AW16" s="418">
        <f t="shared" si="9"/>
        <v>10</v>
      </c>
      <c r="AX16" s="565"/>
      <c r="AZ16" s="411" t="e">
        <f t="shared" si="10"/>
        <v>#N/A</v>
      </c>
      <c r="BA16" s="565"/>
    </row>
    <row r="17" spans="2:53">
      <c r="B17" s="570"/>
      <c r="C17" s="418">
        <v>11</v>
      </c>
      <c r="D17" s="418" t="s">
        <v>603</v>
      </c>
      <c r="E17" s="418">
        <v>4</v>
      </c>
      <c r="F17" s="418">
        <v>2800</v>
      </c>
      <c r="G17" s="425">
        <v>700</v>
      </c>
      <c r="H17" s="560"/>
      <c r="I17" s="422">
        <f t="shared" si="0"/>
        <v>4</v>
      </c>
      <c r="J17" s="422">
        <f t="shared" si="1"/>
        <v>2825.3441799747611</v>
      </c>
      <c r="K17" s="200">
        <f t="shared" si="2"/>
        <v>706.33604499369028</v>
      </c>
      <c r="L17" s="581"/>
      <c r="M17" s="422">
        <f>RANK(K17, K$7:$K$36)</f>
        <v>19</v>
      </c>
      <c r="N17" s="564"/>
      <c r="O17" s="564"/>
      <c r="P17" s="418">
        <v>4</v>
      </c>
      <c r="Q17" s="425">
        <v>2833.2352941176487</v>
      </c>
      <c r="R17" s="425">
        <v>708.30882352941217</v>
      </c>
      <c r="S17" s="418">
        <f t="shared" si="3"/>
        <v>19</v>
      </c>
      <c r="T17" s="565"/>
      <c r="U17" s="418">
        <v>4</v>
      </c>
      <c r="V17" s="425">
        <v>2840.5970149253735</v>
      </c>
      <c r="W17" s="425">
        <v>710.14925373134338</v>
      </c>
      <c r="X17" s="418">
        <f t="shared" si="4"/>
        <v>18</v>
      </c>
      <c r="Y17" s="565"/>
      <c r="Z17" s="418">
        <v>4</v>
      </c>
      <c r="AA17" s="425">
        <v>2879.9999999999968</v>
      </c>
      <c r="AB17" s="425">
        <v>719.9999999999992</v>
      </c>
      <c r="AC17" s="418">
        <f t="shared" si="5"/>
        <v>19</v>
      </c>
      <c r="AD17" s="565"/>
      <c r="AE17" s="418">
        <v>4</v>
      </c>
      <c r="AF17" s="425">
        <v>2851.2000000000007</v>
      </c>
      <c r="AG17" s="425">
        <v>712.80000000000018</v>
      </c>
      <c r="AH17" s="418">
        <f t="shared" si="6"/>
        <v>18</v>
      </c>
      <c r="AI17" s="565"/>
      <c r="AJ17" s="418">
        <v>4</v>
      </c>
      <c r="AK17" s="425">
        <v>2756.326530612243</v>
      </c>
      <c r="AL17" s="425">
        <v>689.08163265306075</v>
      </c>
      <c r="AM17" s="418">
        <f t="shared" si="7"/>
        <v>18</v>
      </c>
      <c r="AN17" s="565"/>
      <c r="AO17" s="418">
        <v>4</v>
      </c>
      <c r="AP17" s="425">
        <v>2824.2857142857151</v>
      </c>
      <c r="AQ17" s="425">
        <v>706.07142857142878</v>
      </c>
      <c r="AR17" s="418">
        <f t="shared" si="8"/>
        <v>18</v>
      </c>
      <c r="AS17" s="565"/>
      <c r="AT17" s="418">
        <v>4</v>
      </c>
      <c r="AU17" s="425">
        <v>2791.7647058823532</v>
      </c>
      <c r="AV17" s="425">
        <v>697.94117647058829</v>
      </c>
      <c r="AW17" s="418">
        <f t="shared" si="9"/>
        <v>18</v>
      </c>
      <c r="AX17" s="565"/>
      <c r="AZ17" s="411" t="e">
        <f t="shared" si="10"/>
        <v>#N/A</v>
      </c>
      <c r="BA17" s="565"/>
    </row>
    <row r="18" spans="2:53">
      <c r="B18" s="570"/>
      <c r="C18" s="418">
        <v>12</v>
      </c>
      <c r="D18" s="418" t="s">
        <v>604</v>
      </c>
      <c r="E18" s="418">
        <v>4</v>
      </c>
      <c r="F18" s="418">
        <v>2800</v>
      </c>
      <c r="G18" s="425">
        <v>700</v>
      </c>
      <c r="H18" s="560"/>
      <c r="I18" s="422">
        <f t="shared" si="0"/>
        <v>4</v>
      </c>
      <c r="J18" s="422">
        <f t="shared" si="1"/>
        <v>2699.0571428571525</v>
      </c>
      <c r="K18" s="200">
        <f t="shared" si="2"/>
        <v>674.76428571428812</v>
      </c>
      <c r="L18" s="581"/>
      <c r="M18" s="422">
        <f>RANK(K18, K$7:$K$36)</f>
        <v>20</v>
      </c>
      <c r="N18" s="564"/>
      <c r="O18" s="564"/>
      <c r="P18" s="418">
        <v>4</v>
      </c>
      <c r="Q18" s="425">
        <v>2654.3999999999924</v>
      </c>
      <c r="R18" s="425">
        <v>663.59999999999809</v>
      </c>
      <c r="S18" s="418">
        <f t="shared" si="3"/>
        <v>20</v>
      </c>
      <c r="T18" s="565"/>
      <c r="U18" s="418">
        <v>4</v>
      </c>
      <c r="V18" s="425">
        <v>2507.9999999999932</v>
      </c>
      <c r="W18" s="425">
        <v>626.99999999999829</v>
      </c>
      <c r="X18" s="418">
        <f t="shared" si="4"/>
        <v>20</v>
      </c>
      <c r="Y18" s="565"/>
      <c r="Z18" s="418">
        <v>4</v>
      </c>
      <c r="AA18" s="425">
        <v>2949.0000000000105</v>
      </c>
      <c r="AB18" s="425">
        <v>737.25000000000261</v>
      </c>
      <c r="AC18" s="418">
        <f t="shared" si="5"/>
        <v>18</v>
      </c>
      <c r="AD18" s="565"/>
      <c r="AE18" s="418">
        <v>4</v>
      </c>
      <c r="AF18" s="425">
        <v>2772.00000000001</v>
      </c>
      <c r="AG18" s="425">
        <v>693.0000000000025</v>
      </c>
      <c r="AH18" s="418">
        <f t="shared" si="6"/>
        <v>19</v>
      </c>
      <c r="AI18" s="565"/>
      <c r="AJ18" s="418">
        <v>4</v>
      </c>
      <c r="AK18" s="425">
        <v>2970.0000000000105</v>
      </c>
      <c r="AL18" s="425">
        <v>742.50000000000261</v>
      </c>
      <c r="AM18" s="418">
        <f t="shared" si="7"/>
        <v>15</v>
      </c>
      <c r="AN18" s="565"/>
      <c r="AO18" s="418">
        <v>4</v>
      </c>
      <c r="AP18" s="425">
        <v>2539.2000000000253</v>
      </c>
      <c r="AQ18" s="425">
        <v>634.80000000000632</v>
      </c>
      <c r="AR18" s="418">
        <f t="shared" si="8"/>
        <v>20</v>
      </c>
      <c r="AS18" s="565"/>
      <c r="AT18" s="418">
        <v>4</v>
      </c>
      <c r="AU18" s="425">
        <v>2500.8000000000247</v>
      </c>
      <c r="AV18" s="425">
        <v>625.20000000000618</v>
      </c>
      <c r="AW18" s="418">
        <f t="shared" si="9"/>
        <v>20</v>
      </c>
      <c r="AX18" s="565"/>
      <c r="AZ18" s="411" t="e">
        <f t="shared" si="10"/>
        <v>#N/A</v>
      </c>
      <c r="BA18" s="565"/>
    </row>
    <row r="19" spans="2:53">
      <c r="B19" s="570"/>
      <c r="C19" s="418">
        <v>13</v>
      </c>
      <c r="D19" s="418" t="s">
        <v>605</v>
      </c>
      <c r="E19" s="418">
        <v>3</v>
      </c>
      <c r="F19" s="418">
        <v>2800</v>
      </c>
      <c r="G19" s="425">
        <v>933.33333333333337</v>
      </c>
      <c r="H19" s="560"/>
      <c r="I19" s="422">
        <f t="shared" si="0"/>
        <v>3</v>
      </c>
      <c r="J19" s="422">
        <f t="shared" si="1"/>
        <v>2942.2285714285608</v>
      </c>
      <c r="K19" s="200">
        <f t="shared" si="2"/>
        <v>980.74285714285361</v>
      </c>
      <c r="L19" s="581"/>
      <c r="M19" s="422">
        <f>RANK(K19, K$7:$K$36)</f>
        <v>8</v>
      </c>
      <c r="N19" s="564"/>
      <c r="O19" s="564"/>
      <c r="P19" s="418">
        <v>3</v>
      </c>
      <c r="Q19" s="425">
        <v>2855.9999999999918</v>
      </c>
      <c r="R19" s="425">
        <v>951.99999999999727</v>
      </c>
      <c r="S19" s="418">
        <f t="shared" si="3"/>
        <v>8</v>
      </c>
      <c r="T19" s="565"/>
      <c r="U19" s="418">
        <v>3</v>
      </c>
      <c r="V19" s="425">
        <v>2697.5999999999922</v>
      </c>
      <c r="W19" s="425">
        <v>899.19999999999743</v>
      </c>
      <c r="X19" s="418">
        <f t="shared" si="4"/>
        <v>9</v>
      </c>
      <c r="Y19" s="565"/>
      <c r="Z19" s="418">
        <v>3</v>
      </c>
      <c r="AA19" s="425">
        <v>3146.9999999999859</v>
      </c>
      <c r="AB19" s="425">
        <v>1048.9999999999952</v>
      </c>
      <c r="AC19" s="418">
        <f t="shared" si="5"/>
        <v>7</v>
      </c>
      <c r="AD19" s="565"/>
      <c r="AE19" s="418">
        <v>3</v>
      </c>
      <c r="AF19" s="425">
        <v>2933.9999999999873</v>
      </c>
      <c r="AG19" s="425">
        <v>977.99999999999579</v>
      </c>
      <c r="AH19" s="418">
        <f t="shared" si="6"/>
        <v>8</v>
      </c>
      <c r="AI19" s="565"/>
      <c r="AJ19" s="418">
        <v>3</v>
      </c>
      <c r="AK19" s="425">
        <v>3248.9999999999854</v>
      </c>
      <c r="AL19" s="425">
        <v>1082.9999999999952</v>
      </c>
      <c r="AM19" s="418">
        <f t="shared" si="7"/>
        <v>1</v>
      </c>
      <c r="AN19" s="565"/>
      <c r="AO19" s="418">
        <v>3</v>
      </c>
      <c r="AP19" s="425">
        <v>2903.9999999999918</v>
      </c>
      <c r="AQ19" s="425">
        <v>967.99999999999727</v>
      </c>
      <c r="AR19" s="418">
        <f t="shared" si="8"/>
        <v>8</v>
      </c>
      <c r="AS19" s="565"/>
      <c r="AT19" s="418">
        <v>3</v>
      </c>
      <c r="AU19" s="425">
        <v>2807.9999999999923</v>
      </c>
      <c r="AV19" s="425">
        <v>935.99999999999739</v>
      </c>
      <c r="AW19" s="418">
        <f t="shared" si="9"/>
        <v>7</v>
      </c>
      <c r="AX19" s="565"/>
      <c r="AZ19" s="411" t="e">
        <f t="shared" si="10"/>
        <v>#N/A</v>
      </c>
      <c r="BA19" s="565"/>
    </row>
    <row r="20" spans="2:53">
      <c r="B20" s="570"/>
      <c r="C20" s="418">
        <v>14</v>
      </c>
      <c r="D20" s="418" t="s">
        <v>606</v>
      </c>
      <c r="E20" s="418">
        <v>4</v>
      </c>
      <c r="F20" s="418">
        <v>2200</v>
      </c>
      <c r="G20" s="425">
        <v>550</v>
      </c>
      <c r="H20" s="560"/>
      <c r="I20" s="422">
        <f t="shared" si="0"/>
        <v>3</v>
      </c>
      <c r="J20" s="422">
        <f t="shared" si="1"/>
        <v>2202.6904761904761</v>
      </c>
      <c r="K20" s="200">
        <f t="shared" si="2"/>
        <v>734.23015873015868</v>
      </c>
      <c r="L20" s="581"/>
      <c r="M20" s="422">
        <f>RANK(K20, K$7:$K$36)</f>
        <v>17</v>
      </c>
      <c r="N20" s="564"/>
      <c r="O20" s="564"/>
      <c r="P20" s="418">
        <v>3</v>
      </c>
      <c r="Q20" s="425">
        <v>2265.333333333333</v>
      </c>
      <c r="R20" s="425">
        <v>755.11111111111097</v>
      </c>
      <c r="S20" s="418">
        <f t="shared" si="3"/>
        <v>17</v>
      </c>
      <c r="T20" s="565"/>
      <c r="U20" s="418">
        <v>3</v>
      </c>
      <c r="V20" s="425">
        <v>2092</v>
      </c>
      <c r="W20" s="425">
        <v>697.33333333333337</v>
      </c>
      <c r="X20" s="418">
        <f t="shared" si="4"/>
        <v>19</v>
      </c>
      <c r="Y20" s="565"/>
      <c r="Z20" s="418">
        <v>3</v>
      </c>
      <c r="AA20" s="425">
        <v>2257.4999999999991</v>
      </c>
      <c r="AB20" s="425">
        <v>752.49999999999966</v>
      </c>
      <c r="AC20" s="418">
        <f t="shared" si="5"/>
        <v>17</v>
      </c>
      <c r="AD20" s="565"/>
      <c r="AE20" s="418">
        <v>3</v>
      </c>
      <c r="AF20" s="425">
        <v>2072.9999999999995</v>
      </c>
      <c r="AG20" s="425">
        <v>690.99999999999989</v>
      </c>
      <c r="AH20" s="418">
        <f t="shared" si="6"/>
        <v>20</v>
      </c>
      <c r="AI20" s="565"/>
      <c r="AJ20" s="418">
        <v>3</v>
      </c>
      <c r="AK20" s="425">
        <v>2270.9999999999991</v>
      </c>
      <c r="AL20" s="425">
        <v>756.99999999999966</v>
      </c>
      <c r="AM20" s="418">
        <f t="shared" si="7"/>
        <v>14</v>
      </c>
      <c r="AN20" s="565"/>
      <c r="AO20" s="418">
        <v>3</v>
      </c>
      <c r="AP20" s="425">
        <v>2269.3333333333335</v>
      </c>
      <c r="AQ20" s="425">
        <v>756.44444444444446</v>
      </c>
      <c r="AR20" s="418">
        <f t="shared" si="8"/>
        <v>15</v>
      </c>
      <c r="AS20" s="565"/>
      <c r="AT20" s="418">
        <v>3</v>
      </c>
      <c r="AU20" s="425">
        <v>2190.666666666667</v>
      </c>
      <c r="AV20" s="425">
        <v>730.22222222222229</v>
      </c>
      <c r="AW20" s="418">
        <f t="shared" si="9"/>
        <v>17</v>
      </c>
      <c r="AX20" s="565"/>
      <c r="AZ20" s="411" t="e">
        <f t="shared" si="10"/>
        <v>#N/A</v>
      </c>
      <c r="BA20" s="565"/>
    </row>
    <row r="21" spans="2:53">
      <c r="B21" s="570"/>
      <c r="C21" s="418">
        <v>15</v>
      </c>
      <c r="D21" s="418" t="s">
        <v>676</v>
      </c>
      <c r="E21" s="418">
        <v>8</v>
      </c>
      <c r="F21" s="418">
        <v>1500</v>
      </c>
      <c r="G21" s="425">
        <v>187.5</v>
      </c>
      <c r="H21" s="560"/>
      <c r="I21" s="422">
        <f t="shared" si="0"/>
        <v>12</v>
      </c>
      <c r="J21" s="422">
        <f t="shared" si="1"/>
        <v>1427.1799033526747</v>
      </c>
      <c r="K21" s="200">
        <f t="shared" si="2"/>
        <v>118.9316586127229</v>
      </c>
      <c r="L21" s="581"/>
      <c r="M21" s="422">
        <f>RANK(K21, K$7:$K$36)</f>
        <v>21</v>
      </c>
      <c r="N21" s="564"/>
      <c r="O21" s="564"/>
      <c r="P21" s="418">
        <v>12</v>
      </c>
      <c r="Q21" s="425">
        <v>1346.9158878504682</v>
      </c>
      <c r="R21" s="425">
        <v>112.24299065420568</v>
      </c>
      <c r="S21" s="418">
        <f t="shared" si="3"/>
        <v>21</v>
      </c>
      <c r="T21" s="565"/>
      <c r="U21" s="418">
        <v>12</v>
      </c>
      <c r="V21" s="425">
        <v>1492.0754716981139</v>
      </c>
      <c r="W21" s="425">
        <v>124.33962264150949</v>
      </c>
      <c r="X21" s="418">
        <f t="shared" si="4"/>
        <v>21</v>
      </c>
      <c r="Y21" s="565"/>
      <c r="Z21" s="418">
        <v>12</v>
      </c>
      <c r="AA21" s="425">
        <v>1433.0000000000014</v>
      </c>
      <c r="AB21" s="425">
        <v>119.41666666666679</v>
      </c>
      <c r="AC21" s="418">
        <f t="shared" si="5"/>
        <v>21</v>
      </c>
      <c r="AD21" s="565"/>
      <c r="AE21" s="418">
        <v>12</v>
      </c>
      <c r="AF21" s="425">
        <v>1427.0769230769247</v>
      </c>
      <c r="AG21" s="425">
        <v>118.92307692307706</v>
      </c>
      <c r="AH21" s="418">
        <f t="shared" si="6"/>
        <v>22</v>
      </c>
      <c r="AI21" s="565"/>
      <c r="AJ21" s="418">
        <v>12</v>
      </c>
      <c r="AK21" s="425">
        <v>1405.3333333333333</v>
      </c>
      <c r="AL21" s="425">
        <v>117.1111111111111</v>
      </c>
      <c r="AM21" s="418">
        <f t="shared" si="7"/>
        <v>22</v>
      </c>
      <c r="AN21" s="565"/>
      <c r="AO21" s="418">
        <v>12</v>
      </c>
      <c r="AP21" s="425">
        <v>1406.7272727272737</v>
      </c>
      <c r="AQ21" s="425">
        <v>117.2272727272728</v>
      </c>
      <c r="AR21" s="418">
        <f t="shared" si="8"/>
        <v>22</v>
      </c>
      <c r="AS21" s="565"/>
      <c r="AT21" s="418">
        <v>12</v>
      </c>
      <c r="AU21" s="425">
        <v>1479.1304347826085</v>
      </c>
      <c r="AV21" s="425">
        <v>123.26086956521738</v>
      </c>
      <c r="AW21" s="418">
        <f t="shared" si="9"/>
        <v>21</v>
      </c>
      <c r="AX21" s="565"/>
      <c r="AZ21" s="411" t="e">
        <f t="shared" si="10"/>
        <v>#N/A</v>
      </c>
      <c r="BA21" s="565"/>
    </row>
    <row r="22" spans="2:53">
      <c r="B22" s="570"/>
      <c r="C22" s="418">
        <v>16</v>
      </c>
      <c r="D22" s="418" t="s">
        <v>607</v>
      </c>
      <c r="E22" s="418">
        <v>3</v>
      </c>
      <c r="F22" s="418">
        <v>2800</v>
      </c>
      <c r="G22" s="425">
        <v>933.33333333333337</v>
      </c>
      <c r="H22" s="560"/>
      <c r="I22" s="422">
        <f t="shared" si="0"/>
        <v>3</v>
      </c>
      <c r="J22" s="422">
        <f t="shared" si="1"/>
        <v>2812.2892461332353</v>
      </c>
      <c r="K22" s="200">
        <f t="shared" si="2"/>
        <v>937.42974871107856</v>
      </c>
      <c r="L22" s="581"/>
      <c r="M22" s="422">
        <f>RANK(K22, K$7:$K$36)</f>
        <v>9</v>
      </c>
      <c r="N22" s="564"/>
      <c r="O22" s="564"/>
      <c r="P22" s="418">
        <v>3</v>
      </c>
      <c r="Q22" s="425">
        <v>2823.913043478261</v>
      </c>
      <c r="R22" s="425">
        <v>941.304347826087</v>
      </c>
      <c r="S22" s="418">
        <f t="shared" si="3"/>
        <v>9</v>
      </c>
      <c r="T22" s="565"/>
      <c r="U22" s="418">
        <v>3</v>
      </c>
      <c r="V22" s="425">
        <v>2801.739130434783</v>
      </c>
      <c r="W22" s="425">
        <v>933.91304347826099</v>
      </c>
      <c r="X22" s="418">
        <f t="shared" si="4"/>
        <v>8</v>
      </c>
      <c r="Y22" s="565"/>
      <c r="Z22" s="418">
        <v>3</v>
      </c>
      <c r="AA22" s="425">
        <v>2806.6666666666647</v>
      </c>
      <c r="AB22" s="425">
        <v>935.55555555555486</v>
      </c>
      <c r="AC22" s="418">
        <f t="shared" si="5"/>
        <v>9</v>
      </c>
      <c r="AD22" s="565"/>
      <c r="AE22" s="418">
        <v>3</v>
      </c>
      <c r="AF22" s="425">
        <v>2958.1818181818144</v>
      </c>
      <c r="AG22" s="425">
        <v>986.06060606060475</v>
      </c>
      <c r="AH22" s="418">
        <f t="shared" si="6"/>
        <v>7</v>
      </c>
      <c r="AI22" s="565"/>
      <c r="AJ22" s="418">
        <v>3</v>
      </c>
      <c r="AK22" s="425">
        <v>2724.7058823529446</v>
      </c>
      <c r="AL22" s="425">
        <v>908.23529411764821</v>
      </c>
      <c r="AM22" s="418">
        <f t="shared" si="7"/>
        <v>9</v>
      </c>
      <c r="AN22" s="565"/>
      <c r="AO22" s="418">
        <v>3</v>
      </c>
      <c r="AP22" s="425">
        <v>2804</v>
      </c>
      <c r="AQ22" s="425">
        <v>934.66666666666663</v>
      </c>
      <c r="AR22" s="418">
        <f t="shared" si="8"/>
        <v>9</v>
      </c>
      <c r="AS22" s="565"/>
      <c r="AT22" s="418">
        <v>3</v>
      </c>
      <c r="AU22" s="425">
        <v>2766.818181818182</v>
      </c>
      <c r="AV22" s="425">
        <v>922.27272727272737</v>
      </c>
      <c r="AW22" s="418">
        <f t="shared" si="9"/>
        <v>8</v>
      </c>
      <c r="AX22" s="565"/>
      <c r="AZ22" s="411" t="e">
        <f t="shared" si="10"/>
        <v>#N/A</v>
      </c>
      <c r="BA22" s="565"/>
    </row>
    <row r="23" spans="2:53">
      <c r="B23" s="570"/>
      <c r="C23" s="418">
        <v>17</v>
      </c>
      <c r="D23" s="418" t="s">
        <v>608</v>
      </c>
      <c r="E23" s="418">
        <v>4</v>
      </c>
      <c r="F23" s="418">
        <v>2800</v>
      </c>
      <c r="G23" s="425">
        <v>700</v>
      </c>
      <c r="H23" s="560"/>
      <c r="I23" s="422">
        <f t="shared" si="0"/>
        <v>4</v>
      </c>
      <c r="J23" s="422">
        <f t="shared" si="1"/>
        <v>2830.7612145897842</v>
      </c>
      <c r="K23" s="200">
        <f t="shared" si="2"/>
        <v>707.69030364744606</v>
      </c>
      <c r="L23" s="581"/>
      <c r="M23" s="422">
        <f>RANK(K23, K$7:$K$36)</f>
        <v>18</v>
      </c>
      <c r="N23" s="564"/>
      <c r="O23" s="564"/>
      <c r="P23" s="418">
        <v>4</v>
      </c>
      <c r="Q23" s="425">
        <v>2868.6486486486497</v>
      </c>
      <c r="R23" s="425">
        <v>717.16216216216242</v>
      </c>
      <c r="S23" s="418">
        <f t="shared" si="3"/>
        <v>18</v>
      </c>
      <c r="T23" s="565"/>
      <c r="U23" s="418">
        <v>4</v>
      </c>
      <c r="V23" s="425">
        <v>2846.6666666666642</v>
      </c>
      <c r="W23" s="425">
        <v>711.66666666666606</v>
      </c>
      <c r="X23" s="418">
        <f t="shared" si="4"/>
        <v>17</v>
      </c>
      <c r="Y23" s="565"/>
      <c r="Z23" s="418">
        <v>4</v>
      </c>
      <c r="AA23" s="425">
        <v>2877.6923076923044</v>
      </c>
      <c r="AB23" s="425">
        <v>719.42307692307611</v>
      </c>
      <c r="AC23" s="418">
        <f t="shared" si="5"/>
        <v>20</v>
      </c>
      <c r="AD23" s="565"/>
      <c r="AE23" s="418">
        <v>4</v>
      </c>
      <c r="AF23" s="425">
        <v>2899.1999999999962</v>
      </c>
      <c r="AG23" s="425">
        <v>724.79999999999905</v>
      </c>
      <c r="AH23" s="418">
        <f t="shared" si="6"/>
        <v>17</v>
      </c>
      <c r="AI23" s="565"/>
      <c r="AJ23" s="418">
        <v>4</v>
      </c>
      <c r="AK23" s="425">
        <v>2697.6923076923094</v>
      </c>
      <c r="AL23" s="425">
        <v>674.42307692307736</v>
      </c>
      <c r="AM23" s="418">
        <f t="shared" si="7"/>
        <v>19</v>
      </c>
      <c r="AN23" s="565"/>
      <c r="AO23" s="418">
        <v>4</v>
      </c>
      <c r="AP23" s="425">
        <v>2835.4285714285688</v>
      </c>
      <c r="AQ23" s="425">
        <v>708.85714285714221</v>
      </c>
      <c r="AR23" s="418">
        <f t="shared" si="8"/>
        <v>17</v>
      </c>
      <c r="AS23" s="565"/>
      <c r="AT23" s="418">
        <v>4</v>
      </c>
      <c r="AU23" s="425">
        <v>2789.9999999999964</v>
      </c>
      <c r="AV23" s="425">
        <v>697.49999999999909</v>
      </c>
      <c r="AW23" s="418">
        <f t="shared" si="9"/>
        <v>19</v>
      </c>
      <c r="AX23" s="565"/>
      <c r="AZ23" s="411" t="e">
        <f t="shared" si="10"/>
        <v>#N/A</v>
      </c>
      <c r="BA23" s="565"/>
    </row>
    <row r="24" spans="2:53">
      <c r="B24" s="570"/>
      <c r="C24" s="418">
        <v>18</v>
      </c>
      <c r="D24" s="418" t="s">
        <v>623</v>
      </c>
      <c r="E24" s="418">
        <v>12</v>
      </c>
      <c r="F24" s="418">
        <v>1500</v>
      </c>
      <c r="G24" s="425">
        <v>125</v>
      </c>
      <c r="H24" s="560"/>
      <c r="I24" s="422">
        <f t="shared" si="0"/>
        <v>11.142857142857142</v>
      </c>
      <c r="J24" s="422">
        <f t="shared" si="1"/>
        <v>994.64285714286063</v>
      </c>
      <c r="K24" s="200">
        <f t="shared" si="2"/>
        <v>89.80399659863977</v>
      </c>
      <c r="L24" s="581"/>
      <c r="M24" s="422">
        <f>RANK(K24, K$7:$K$36)</f>
        <v>23</v>
      </c>
      <c r="N24" s="564"/>
      <c r="O24" s="564"/>
      <c r="P24" s="418">
        <v>10</v>
      </c>
      <c r="Q24" s="425">
        <v>1011.4285714285751</v>
      </c>
      <c r="R24" s="425">
        <v>101.14285714285751</v>
      </c>
      <c r="S24" s="418">
        <f t="shared" si="3"/>
        <v>23</v>
      </c>
      <c r="T24" s="565"/>
      <c r="U24" s="418">
        <v>8</v>
      </c>
      <c r="V24" s="425">
        <v>757.50000000000261</v>
      </c>
      <c r="W24" s="425">
        <v>94.687500000000327</v>
      </c>
      <c r="X24" s="418">
        <f t="shared" si="4"/>
        <v>23</v>
      </c>
      <c r="Y24" s="565"/>
      <c r="Z24" s="418">
        <v>12</v>
      </c>
      <c r="AA24" s="425">
        <v>1005.0000000000036</v>
      </c>
      <c r="AB24" s="425">
        <v>83.750000000000298</v>
      </c>
      <c r="AC24" s="418">
        <f t="shared" si="5"/>
        <v>23</v>
      </c>
      <c r="AD24" s="565"/>
      <c r="AE24" s="418">
        <v>12</v>
      </c>
      <c r="AF24" s="425">
        <v>1050.0000000000039</v>
      </c>
      <c r="AG24" s="425">
        <v>87.500000000000327</v>
      </c>
      <c r="AH24" s="418">
        <f t="shared" si="6"/>
        <v>23</v>
      </c>
      <c r="AI24" s="565"/>
      <c r="AJ24" s="418">
        <v>12</v>
      </c>
      <c r="AK24" s="425">
        <v>1020.0000000000036</v>
      </c>
      <c r="AL24" s="425">
        <v>85.000000000000298</v>
      </c>
      <c r="AM24" s="418">
        <f t="shared" si="7"/>
        <v>23</v>
      </c>
      <c r="AN24" s="565"/>
      <c r="AO24" s="418">
        <v>12</v>
      </c>
      <c r="AP24" s="425">
        <v>1150.0000000000041</v>
      </c>
      <c r="AQ24" s="425">
        <v>95.83333333333367</v>
      </c>
      <c r="AR24" s="418">
        <f t="shared" si="8"/>
        <v>23</v>
      </c>
      <c r="AS24" s="565"/>
      <c r="AT24" s="418">
        <v>12</v>
      </c>
      <c r="AU24" s="425">
        <v>968.57142857143197</v>
      </c>
      <c r="AV24" s="425">
        <v>80.714285714285992</v>
      </c>
      <c r="AW24" s="418">
        <f t="shared" si="9"/>
        <v>23</v>
      </c>
      <c r="AX24" s="565"/>
      <c r="AZ24" s="411" t="e">
        <f t="shared" si="10"/>
        <v>#N/A</v>
      </c>
      <c r="BA24" s="565"/>
    </row>
    <row r="25" spans="2:53">
      <c r="B25" s="570"/>
      <c r="C25" s="418">
        <v>19</v>
      </c>
      <c r="D25" s="418" t="s">
        <v>630</v>
      </c>
      <c r="E25" s="418">
        <v>12</v>
      </c>
      <c r="F25" s="418">
        <v>1500</v>
      </c>
      <c r="G25" s="425">
        <v>125</v>
      </c>
      <c r="H25" s="560"/>
      <c r="I25" s="422">
        <f t="shared" si="0"/>
        <v>12</v>
      </c>
      <c r="J25" s="422">
        <f t="shared" si="1"/>
        <v>1409.9815392838918</v>
      </c>
      <c r="K25" s="200">
        <f t="shared" si="2"/>
        <v>117.498461606991</v>
      </c>
      <c r="L25" s="581"/>
      <c r="M25" s="422">
        <f>RANK(K25, K$7:$K$36)</f>
        <v>22</v>
      </c>
      <c r="N25" s="564"/>
      <c r="O25" s="564"/>
      <c r="P25" s="418">
        <v>12</v>
      </c>
      <c r="Q25" s="425">
        <v>1248.8372093023254</v>
      </c>
      <c r="R25" s="425">
        <v>104.06976744186045</v>
      </c>
      <c r="S25" s="418">
        <f t="shared" si="3"/>
        <v>22</v>
      </c>
      <c r="T25" s="565"/>
      <c r="U25" s="418">
        <v>12</v>
      </c>
      <c r="V25" s="425">
        <v>1404.3749999999982</v>
      </c>
      <c r="W25" s="425">
        <v>117.03124999999984</v>
      </c>
      <c r="X25" s="418">
        <f t="shared" si="4"/>
        <v>22</v>
      </c>
      <c r="Y25" s="565"/>
      <c r="Z25" s="418">
        <v>12</v>
      </c>
      <c r="AA25" s="425">
        <v>1431.1111111111077</v>
      </c>
      <c r="AB25" s="425">
        <v>119.25925925925897</v>
      </c>
      <c r="AC25" s="418">
        <f t="shared" si="5"/>
        <v>22</v>
      </c>
      <c r="AD25" s="565"/>
      <c r="AE25" s="418">
        <v>12</v>
      </c>
      <c r="AF25" s="425">
        <v>1476.9230769230733</v>
      </c>
      <c r="AG25" s="425">
        <v>123.07692307692277</v>
      </c>
      <c r="AH25" s="418">
        <f t="shared" si="6"/>
        <v>21</v>
      </c>
      <c r="AI25" s="565"/>
      <c r="AJ25" s="418">
        <v>12</v>
      </c>
      <c r="AK25" s="425">
        <v>1464.8275862068936</v>
      </c>
      <c r="AL25" s="425">
        <v>122.06896551724112</v>
      </c>
      <c r="AM25" s="418">
        <f t="shared" si="7"/>
        <v>21</v>
      </c>
      <c r="AN25" s="565"/>
      <c r="AO25" s="418">
        <v>12</v>
      </c>
      <c r="AP25" s="425">
        <v>1469.0909090909072</v>
      </c>
      <c r="AQ25" s="425">
        <v>122.42424242424227</v>
      </c>
      <c r="AR25" s="418">
        <f t="shared" si="8"/>
        <v>21</v>
      </c>
      <c r="AS25" s="565"/>
      <c r="AT25" s="418">
        <v>12</v>
      </c>
      <c r="AU25" s="425">
        <v>1374.7058823529394</v>
      </c>
      <c r="AV25" s="425">
        <v>114.55882352941161</v>
      </c>
      <c r="AW25" s="418">
        <f t="shared" si="9"/>
        <v>22</v>
      </c>
      <c r="AX25" s="565"/>
      <c r="AZ25" s="411" t="e">
        <f t="shared" si="10"/>
        <v>#N/A</v>
      </c>
      <c r="BA25" s="565"/>
    </row>
    <row r="26" spans="2:53">
      <c r="B26" s="570"/>
      <c r="C26" s="418">
        <v>20</v>
      </c>
      <c r="D26" s="418" t="s">
        <v>641</v>
      </c>
      <c r="E26" s="418">
        <v>3</v>
      </c>
      <c r="F26" s="418">
        <v>3000</v>
      </c>
      <c r="G26" s="425">
        <v>933.33333333333337</v>
      </c>
      <c r="H26" s="560"/>
      <c r="I26" s="422">
        <f t="shared" si="0"/>
        <v>3</v>
      </c>
      <c r="J26" s="422">
        <f t="shared" si="1"/>
        <v>2966.4734693877567</v>
      </c>
      <c r="K26" s="200">
        <f t="shared" si="2"/>
        <v>988.82448979591879</v>
      </c>
      <c r="L26" s="581"/>
      <c r="M26" s="422">
        <f>RANK(K26, K$7:$K$36)</f>
        <v>7</v>
      </c>
      <c r="N26" s="564"/>
      <c r="O26" s="564"/>
      <c r="P26" s="418">
        <v>3</v>
      </c>
      <c r="Q26" s="425">
        <v>2879.9999999999991</v>
      </c>
      <c r="R26" s="425">
        <v>959.99999999999966</v>
      </c>
      <c r="S26" s="418">
        <f t="shared" si="3"/>
        <v>7</v>
      </c>
      <c r="T26" s="565"/>
      <c r="U26" s="418">
        <v>3</v>
      </c>
      <c r="V26" s="425">
        <v>3076.0000000000109</v>
      </c>
      <c r="W26" s="425">
        <v>1025.3333333333369</v>
      </c>
      <c r="X26" s="418">
        <f t="shared" si="4"/>
        <v>7</v>
      </c>
      <c r="Y26" s="565"/>
      <c r="Z26" s="418">
        <v>3</v>
      </c>
      <c r="AA26" s="425">
        <v>3103.1999999999912</v>
      </c>
      <c r="AB26" s="425">
        <v>1034.3999999999971</v>
      </c>
      <c r="AC26" s="418">
        <f t="shared" si="5"/>
        <v>8</v>
      </c>
      <c r="AD26" s="565"/>
      <c r="AE26" s="418">
        <v>3</v>
      </c>
      <c r="AF26" s="425">
        <v>2930.3999999999915</v>
      </c>
      <c r="AG26" s="425">
        <v>976.79999999999711</v>
      </c>
      <c r="AH26" s="418">
        <f t="shared" si="6"/>
        <v>9</v>
      </c>
      <c r="AI26" s="565"/>
      <c r="AJ26" s="418">
        <v>3</v>
      </c>
      <c r="AK26" s="425">
        <v>2922.0000000000105</v>
      </c>
      <c r="AL26" s="425">
        <v>974.00000000000352</v>
      </c>
      <c r="AM26" s="418">
        <f t="shared" si="7"/>
        <v>8</v>
      </c>
      <c r="AN26" s="565"/>
      <c r="AO26" s="418">
        <v>3</v>
      </c>
      <c r="AP26" s="425">
        <v>3092.0000000000109</v>
      </c>
      <c r="AQ26" s="425">
        <v>1030.6666666666704</v>
      </c>
      <c r="AR26" s="418">
        <f t="shared" si="8"/>
        <v>5</v>
      </c>
      <c r="AS26" s="565"/>
      <c r="AT26" s="418">
        <v>3</v>
      </c>
      <c r="AU26" s="425">
        <v>2761.7142857142831</v>
      </c>
      <c r="AV26" s="425">
        <v>920.57142857142765</v>
      </c>
      <c r="AW26" s="418">
        <f t="shared" si="9"/>
        <v>9</v>
      </c>
      <c r="AX26" s="565"/>
      <c r="AZ26" s="411" t="e">
        <f t="shared" si="10"/>
        <v>#N/A</v>
      </c>
      <c r="BA26" s="565"/>
    </row>
    <row r="27" spans="2:53">
      <c r="B27" s="570"/>
      <c r="C27" s="418">
        <v>21</v>
      </c>
      <c r="D27" s="421" t="s">
        <v>647</v>
      </c>
      <c r="E27" s="418">
        <v>4</v>
      </c>
      <c r="F27" s="418">
        <v>3200</v>
      </c>
      <c r="G27" s="425">
        <v>800</v>
      </c>
      <c r="H27" s="560"/>
      <c r="I27" s="422">
        <f t="shared" si="0"/>
        <v>4</v>
      </c>
      <c r="J27" s="422">
        <f t="shared" si="1"/>
        <v>2964.2100017329626</v>
      </c>
      <c r="K27" s="200">
        <f t="shared" si="2"/>
        <v>741.05250043324065</v>
      </c>
      <c r="L27" s="581"/>
      <c r="M27" s="422">
        <f>RANK(K27, K$7:$K$36)</f>
        <v>16</v>
      </c>
      <c r="N27" s="564"/>
      <c r="O27" s="564"/>
      <c r="P27" s="418">
        <v>4</v>
      </c>
      <c r="Q27" s="425">
        <v>3028.1250000000036</v>
      </c>
      <c r="R27" s="425">
        <v>757.03125000000091</v>
      </c>
      <c r="S27" s="418">
        <f t="shared" si="3"/>
        <v>16</v>
      </c>
      <c r="T27" s="565"/>
      <c r="U27" s="418">
        <v>4</v>
      </c>
      <c r="V27" s="425">
        <v>3042.7272727272725</v>
      </c>
      <c r="W27" s="425">
        <v>760.68181818181813</v>
      </c>
      <c r="X27" s="418">
        <f t="shared" si="4"/>
        <v>15</v>
      </c>
      <c r="Y27" s="565"/>
      <c r="Z27" s="418">
        <v>4</v>
      </c>
      <c r="AA27" s="425">
        <v>3060.0000000000045</v>
      </c>
      <c r="AB27" s="425">
        <v>765.00000000000114</v>
      </c>
      <c r="AC27" s="418">
        <f t="shared" si="5"/>
        <v>15</v>
      </c>
      <c r="AD27" s="565"/>
      <c r="AE27" s="418">
        <v>4</v>
      </c>
      <c r="AF27" s="425">
        <v>3013.5000000000045</v>
      </c>
      <c r="AG27" s="425">
        <v>753.37500000000114</v>
      </c>
      <c r="AH27" s="418">
        <f t="shared" si="6"/>
        <v>16</v>
      </c>
      <c r="AI27" s="565"/>
      <c r="AJ27" s="418">
        <v>4</v>
      </c>
      <c r="AK27" s="425">
        <v>2943.0769230769215</v>
      </c>
      <c r="AL27" s="425">
        <v>735.76923076923038</v>
      </c>
      <c r="AM27" s="418">
        <f t="shared" si="7"/>
        <v>17</v>
      </c>
      <c r="AN27" s="565"/>
      <c r="AO27" s="418">
        <v>4</v>
      </c>
      <c r="AP27" s="425">
        <v>2700.0000000000023</v>
      </c>
      <c r="AQ27" s="425">
        <v>675.00000000000057</v>
      </c>
      <c r="AR27" s="418">
        <f t="shared" si="8"/>
        <v>19</v>
      </c>
      <c r="AS27" s="565"/>
      <c r="AT27" s="418">
        <v>4</v>
      </c>
      <c r="AU27" s="425">
        <v>2962.0408163265315</v>
      </c>
      <c r="AV27" s="425">
        <v>740.51020408163288</v>
      </c>
      <c r="AW27" s="418">
        <f t="shared" si="9"/>
        <v>16</v>
      </c>
      <c r="AX27" s="565"/>
      <c r="AZ27" s="411" t="e">
        <f t="shared" si="10"/>
        <v>#N/A</v>
      </c>
      <c r="BA27" s="565"/>
    </row>
    <row r="28" spans="2:53">
      <c r="B28" s="570"/>
      <c r="C28" s="418">
        <v>22</v>
      </c>
      <c r="D28" s="418" t="s">
        <v>650</v>
      </c>
      <c r="E28" s="418">
        <v>4</v>
      </c>
      <c r="F28" s="418">
        <v>3200</v>
      </c>
      <c r="G28" s="418">
        <v>800</v>
      </c>
      <c r="H28" s="560"/>
      <c r="I28" s="422">
        <f t="shared" si="0"/>
        <v>4</v>
      </c>
      <c r="J28" s="422">
        <f t="shared" si="1"/>
        <v>3010.790319548873</v>
      </c>
      <c r="K28" s="200">
        <f t="shared" si="2"/>
        <v>752.69757988721824</v>
      </c>
      <c r="L28" s="581"/>
      <c r="M28" s="422">
        <f>RANK(K28, K$7:$K$36)</f>
        <v>15</v>
      </c>
      <c r="N28" s="564"/>
      <c r="O28" s="564"/>
      <c r="P28" s="418">
        <v>4</v>
      </c>
      <c r="Q28" s="425">
        <v>3031.1999999999975</v>
      </c>
      <c r="R28" s="425">
        <v>757.79999999999939</v>
      </c>
      <c r="S28" s="418">
        <f t="shared" si="3"/>
        <v>15</v>
      </c>
      <c r="T28" s="565"/>
      <c r="U28" s="418">
        <v>4</v>
      </c>
      <c r="V28" s="425">
        <v>3007.8947368421032</v>
      </c>
      <c r="W28" s="425">
        <v>751.97368421052579</v>
      </c>
      <c r="X28" s="418">
        <f t="shared" si="4"/>
        <v>16</v>
      </c>
      <c r="Y28" s="565"/>
      <c r="Z28" s="418">
        <v>4</v>
      </c>
      <c r="AA28" s="425">
        <v>3035.9999999999964</v>
      </c>
      <c r="AB28" s="425">
        <v>758.99999999999909</v>
      </c>
      <c r="AC28" s="418">
        <f t="shared" si="5"/>
        <v>16</v>
      </c>
      <c r="AD28" s="565"/>
      <c r="AE28" s="418">
        <v>4</v>
      </c>
      <c r="AF28" s="425">
        <v>3071.2500000000059</v>
      </c>
      <c r="AG28" s="425">
        <v>767.81250000000148</v>
      </c>
      <c r="AH28" s="418">
        <f t="shared" si="6"/>
        <v>15</v>
      </c>
      <c r="AI28" s="565"/>
      <c r="AJ28" s="418">
        <v>4</v>
      </c>
      <c r="AK28" s="425">
        <v>2950.0000000000009</v>
      </c>
      <c r="AL28" s="425">
        <v>737.50000000000023</v>
      </c>
      <c r="AM28" s="418">
        <f t="shared" si="7"/>
        <v>16</v>
      </c>
      <c r="AN28" s="565"/>
      <c r="AO28" s="418">
        <v>4</v>
      </c>
      <c r="AP28" s="425">
        <v>2982.1875000000036</v>
      </c>
      <c r="AQ28" s="425">
        <v>745.54687500000091</v>
      </c>
      <c r="AR28" s="418">
        <f t="shared" si="8"/>
        <v>16</v>
      </c>
      <c r="AS28" s="565"/>
      <c r="AT28" s="418">
        <v>4</v>
      </c>
      <c r="AU28" s="425">
        <v>2997.0000000000027</v>
      </c>
      <c r="AV28" s="425">
        <v>749.25000000000068</v>
      </c>
      <c r="AW28" s="418">
        <f t="shared" si="9"/>
        <v>15</v>
      </c>
      <c r="AX28" s="565"/>
      <c r="AZ28" s="411" t="e">
        <f t="shared" si="10"/>
        <v>#N/A</v>
      </c>
      <c r="BA28" s="565"/>
    </row>
    <row r="29" spans="2:53">
      <c r="B29" s="570"/>
      <c r="C29" s="418">
        <v>23</v>
      </c>
      <c r="D29" s="418" t="s">
        <v>659</v>
      </c>
      <c r="E29" s="418">
        <v>3</v>
      </c>
      <c r="F29" s="418">
        <v>3200</v>
      </c>
      <c r="G29" s="418">
        <v>1066.6666666666667</v>
      </c>
      <c r="H29" s="560"/>
      <c r="I29" s="422">
        <f t="shared" si="0"/>
        <v>3</v>
      </c>
      <c r="J29" s="422">
        <f t="shared" si="1"/>
        <v>3206.2958671650631</v>
      </c>
      <c r="K29" s="200">
        <f t="shared" si="2"/>
        <v>1068.7652890550212</v>
      </c>
      <c r="L29" s="581"/>
      <c r="M29" s="422">
        <f>RANK(K29, K$7:$K$36)</f>
        <v>4</v>
      </c>
      <c r="N29" s="564"/>
      <c r="O29" s="564"/>
      <c r="P29" s="418">
        <v>3</v>
      </c>
      <c r="Q29" s="425">
        <v>3231.9402985074585</v>
      </c>
      <c r="R29" s="425">
        <v>1077.3134328358194</v>
      </c>
      <c r="S29" s="418">
        <f t="shared" si="3"/>
        <v>4</v>
      </c>
      <c r="T29" s="565"/>
      <c r="U29" s="418">
        <v>3</v>
      </c>
      <c r="V29" s="425">
        <v>3204.5454545454577</v>
      </c>
      <c r="W29" s="425">
        <v>1068.1818181818192</v>
      </c>
      <c r="X29" s="418">
        <f t="shared" si="4"/>
        <v>6</v>
      </c>
      <c r="Y29" s="565"/>
      <c r="Z29" s="418">
        <v>3</v>
      </c>
      <c r="AA29" s="425">
        <v>3256.9811320754684</v>
      </c>
      <c r="AB29" s="425">
        <v>1085.6603773584895</v>
      </c>
      <c r="AC29" s="418">
        <f t="shared" si="5"/>
        <v>3</v>
      </c>
      <c r="AD29" s="565"/>
      <c r="AE29" s="418">
        <v>3</v>
      </c>
      <c r="AF29" s="425">
        <v>3220.4347826086955</v>
      </c>
      <c r="AG29" s="425">
        <v>1073.4782608695652</v>
      </c>
      <c r="AH29" s="418">
        <f t="shared" si="6"/>
        <v>6</v>
      </c>
      <c r="AI29" s="565"/>
      <c r="AJ29" s="418">
        <v>3</v>
      </c>
      <c r="AK29" s="425">
        <v>3181.5789473684258</v>
      </c>
      <c r="AL29" s="425">
        <v>1060.5263157894753</v>
      </c>
      <c r="AM29" s="418">
        <f t="shared" si="7"/>
        <v>3</v>
      </c>
      <c r="AN29" s="565"/>
      <c r="AO29" s="418">
        <v>3</v>
      </c>
      <c r="AP29" s="425">
        <v>3170.9433962264166</v>
      </c>
      <c r="AQ29" s="425">
        <v>1056.9811320754723</v>
      </c>
      <c r="AR29" s="418">
        <f t="shared" si="8"/>
        <v>4</v>
      </c>
      <c r="AS29" s="565"/>
      <c r="AT29" s="418">
        <v>3</v>
      </c>
      <c r="AU29" s="425">
        <v>3177.6470588235206</v>
      </c>
      <c r="AV29" s="425">
        <v>1059.2156862745069</v>
      </c>
      <c r="AW29" s="418">
        <f t="shared" si="9"/>
        <v>2</v>
      </c>
      <c r="AX29" s="565"/>
      <c r="AZ29" s="411" t="e">
        <f t="shared" si="10"/>
        <v>#N/A</v>
      </c>
      <c r="BA29" s="565"/>
    </row>
    <row r="30" spans="2:53">
      <c r="B30" s="570"/>
      <c r="C30" s="418">
        <v>24</v>
      </c>
      <c r="D30" s="418"/>
      <c r="E30" s="418"/>
      <c r="F30" s="418"/>
      <c r="G30" s="418"/>
      <c r="H30" s="560"/>
      <c r="I30" s="422" t="str">
        <f t="shared" si="0"/>
        <v>-</v>
      </c>
      <c r="J30" s="422" t="str">
        <f t="shared" si="1"/>
        <v>-</v>
      </c>
      <c r="K30" s="200" t="str">
        <f t="shared" si="2"/>
        <v>-</v>
      </c>
      <c r="L30" s="581"/>
      <c r="M30" s="422" t="e">
        <f>RANK(K30, K$7:$K$36)</f>
        <v>#VALUE!</v>
      </c>
      <c r="N30" s="564"/>
      <c r="O30" s="564"/>
      <c r="P30" s="418" t="s">
        <v>639</v>
      </c>
      <c r="Q30" s="425" t="s">
        <v>639</v>
      </c>
      <c r="R30" s="425" t="s">
        <v>639</v>
      </c>
      <c r="S30" s="418" t="e">
        <f t="shared" si="3"/>
        <v>#VALUE!</v>
      </c>
      <c r="T30" s="565"/>
      <c r="U30" s="418" t="s">
        <v>639</v>
      </c>
      <c r="V30" s="425" t="s">
        <v>639</v>
      </c>
      <c r="W30" s="425" t="s">
        <v>639</v>
      </c>
      <c r="X30" s="418" t="e">
        <f t="shared" si="4"/>
        <v>#VALUE!</v>
      </c>
      <c r="Y30" s="565"/>
      <c r="Z30" s="418" t="s">
        <v>639</v>
      </c>
      <c r="AA30" s="425" t="s">
        <v>639</v>
      </c>
      <c r="AB30" s="425" t="s">
        <v>639</v>
      </c>
      <c r="AC30" s="418" t="e">
        <f t="shared" si="5"/>
        <v>#VALUE!</v>
      </c>
      <c r="AD30" s="565"/>
      <c r="AE30" s="418" t="s">
        <v>639</v>
      </c>
      <c r="AF30" s="425" t="s">
        <v>639</v>
      </c>
      <c r="AG30" s="425" t="s">
        <v>639</v>
      </c>
      <c r="AH30" s="418" t="e">
        <f t="shared" si="6"/>
        <v>#VALUE!</v>
      </c>
      <c r="AI30" s="565"/>
      <c r="AJ30" s="418" t="s">
        <v>639</v>
      </c>
      <c r="AK30" s="425" t="s">
        <v>639</v>
      </c>
      <c r="AL30" s="425" t="s">
        <v>639</v>
      </c>
      <c r="AM30" s="418" t="e">
        <f t="shared" si="7"/>
        <v>#VALUE!</v>
      </c>
      <c r="AN30" s="565"/>
      <c r="AO30" s="418" t="s">
        <v>639</v>
      </c>
      <c r="AP30" s="425" t="s">
        <v>639</v>
      </c>
      <c r="AQ30" s="425" t="s">
        <v>639</v>
      </c>
      <c r="AR30" s="418" t="e">
        <f t="shared" si="8"/>
        <v>#VALUE!</v>
      </c>
      <c r="AS30" s="565"/>
      <c r="AT30" s="418" t="s">
        <v>639</v>
      </c>
      <c r="AU30" s="425" t="s">
        <v>639</v>
      </c>
      <c r="AV30" s="425" t="s">
        <v>639</v>
      </c>
      <c r="AW30" s="418" t="e">
        <f t="shared" si="9"/>
        <v>#VALUE!</v>
      </c>
      <c r="AX30" s="565"/>
      <c r="AZ30" s="411" t="e">
        <f t="shared" si="10"/>
        <v>#N/A</v>
      </c>
      <c r="BA30" s="565"/>
    </row>
    <row r="31" spans="2:53">
      <c r="B31" s="570"/>
      <c r="C31" s="418">
        <v>25</v>
      </c>
      <c r="D31" s="418"/>
      <c r="E31" s="418"/>
      <c r="F31" s="418"/>
      <c r="G31" s="418"/>
      <c r="H31" s="560"/>
      <c r="I31" s="422" t="str">
        <f t="shared" si="0"/>
        <v>-</v>
      </c>
      <c r="J31" s="422" t="str">
        <f t="shared" si="1"/>
        <v>-</v>
      </c>
      <c r="K31" s="200" t="str">
        <f t="shared" si="2"/>
        <v>-</v>
      </c>
      <c r="L31" s="581"/>
      <c r="M31" s="422" t="e">
        <f>RANK(K31, K$7:$K$36)</f>
        <v>#VALUE!</v>
      </c>
      <c r="N31" s="564"/>
      <c r="O31" s="564"/>
      <c r="P31" s="418" t="s">
        <v>639</v>
      </c>
      <c r="Q31" s="425" t="s">
        <v>639</v>
      </c>
      <c r="R31" s="425" t="s">
        <v>639</v>
      </c>
      <c r="S31" s="418" t="e">
        <f t="shared" si="3"/>
        <v>#VALUE!</v>
      </c>
      <c r="T31" s="565"/>
      <c r="U31" s="418" t="s">
        <v>639</v>
      </c>
      <c r="V31" s="425" t="s">
        <v>639</v>
      </c>
      <c r="W31" s="425" t="s">
        <v>639</v>
      </c>
      <c r="X31" s="418" t="e">
        <f t="shared" si="4"/>
        <v>#VALUE!</v>
      </c>
      <c r="Y31" s="565"/>
      <c r="Z31" s="418" t="s">
        <v>639</v>
      </c>
      <c r="AA31" s="425" t="s">
        <v>639</v>
      </c>
      <c r="AB31" s="425" t="s">
        <v>639</v>
      </c>
      <c r="AC31" s="418" t="e">
        <f t="shared" si="5"/>
        <v>#VALUE!</v>
      </c>
      <c r="AD31" s="565"/>
      <c r="AE31" s="418" t="s">
        <v>639</v>
      </c>
      <c r="AF31" s="425" t="s">
        <v>639</v>
      </c>
      <c r="AG31" s="425" t="s">
        <v>639</v>
      </c>
      <c r="AH31" s="418" t="e">
        <f t="shared" si="6"/>
        <v>#VALUE!</v>
      </c>
      <c r="AI31" s="565"/>
      <c r="AJ31" s="418" t="s">
        <v>639</v>
      </c>
      <c r="AK31" s="425" t="s">
        <v>639</v>
      </c>
      <c r="AL31" s="425" t="s">
        <v>639</v>
      </c>
      <c r="AM31" s="418" t="e">
        <f t="shared" si="7"/>
        <v>#VALUE!</v>
      </c>
      <c r="AN31" s="565"/>
      <c r="AO31" s="418" t="s">
        <v>639</v>
      </c>
      <c r="AP31" s="425" t="s">
        <v>639</v>
      </c>
      <c r="AQ31" s="425" t="s">
        <v>639</v>
      </c>
      <c r="AR31" s="418" t="e">
        <f t="shared" si="8"/>
        <v>#VALUE!</v>
      </c>
      <c r="AS31" s="565"/>
      <c r="AT31" s="418" t="s">
        <v>639</v>
      </c>
      <c r="AU31" s="425" t="s">
        <v>639</v>
      </c>
      <c r="AV31" s="425" t="s">
        <v>639</v>
      </c>
      <c r="AW31" s="418" t="e">
        <f t="shared" si="9"/>
        <v>#VALUE!</v>
      </c>
      <c r="AX31" s="565"/>
      <c r="AZ31" s="411" t="e">
        <f t="shared" si="10"/>
        <v>#N/A</v>
      </c>
      <c r="BA31" s="565"/>
    </row>
    <row r="32" spans="2:53">
      <c r="B32" s="570"/>
      <c r="C32" s="418">
        <v>26</v>
      </c>
      <c r="D32" s="418"/>
      <c r="E32" s="418"/>
      <c r="F32" s="418"/>
      <c r="G32" s="418"/>
      <c r="H32" s="560"/>
      <c r="I32" s="422" t="str">
        <f t="shared" si="0"/>
        <v>-</v>
      </c>
      <c r="J32" s="422" t="str">
        <f t="shared" si="1"/>
        <v>-</v>
      </c>
      <c r="K32" s="200" t="str">
        <f t="shared" si="2"/>
        <v>-</v>
      </c>
      <c r="L32" s="581"/>
      <c r="M32" s="422" t="e">
        <f>RANK(K32, K$7:$K$36)</f>
        <v>#VALUE!</v>
      </c>
      <c r="N32" s="564"/>
      <c r="O32" s="564"/>
      <c r="P32" s="418" t="s">
        <v>639</v>
      </c>
      <c r="Q32" s="425" t="s">
        <v>639</v>
      </c>
      <c r="R32" s="425" t="s">
        <v>639</v>
      </c>
      <c r="S32" s="418" t="e">
        <f t="shared" si="3"/>
        <v>#VALUE!</v>
      </c>
      <c r="T32" s="565"/>
      <c r="U32" s="418" t="s">
        <v>639</v>
      </c>
      <c r="V32" s="425" t="s">
        <v>639</v>
      </c>
      <c r="W32" s="425" t="s">
        <v>639</v>
      </c>
      <c r="X32" s="418" t="e">
        <f t="shared" si="4"/>
        <v>#VALUE!</v>
      </c>
      <c r="Y32" s="565"/>
      <c r="Z32" s="418" t="s">
        <v>639</v>
      </c>
      <c r="AA32" s="425" t="s">
        <v>639</v>
      </c>
      <c r="AB32" s="425" t="s">
        <v>639</v>
      </c>
      <c r="AC32" s="418" t="e">
        <f t="shared" si="5"/>
        <v>#VALUE!</v>
      </c>
      <c r="AD32" s="565"/>
      <c r="AE32" s="418" t="s">
        <v>639</v>
      </c>
      <c r="AF32" s="425" t="s">
        <v>639</v>
      </c>
      <c r="AG32" s="425" t="s">
        <v>639</v>
      </c>
      <c r="AH32" s="418" t="e">
        <f t="shared" si="6"/>
        <v>#VALUE!</v>
      </c>
      <c r="AI32" s="565"/>
      <c r="AJ32" s="418" t="s">
        <v>639</v>
      </c>
      <c r="AK32" s="425" t="s">
        <v>639</v>
      </c>
      <c r="AL32" s="425" t="s">
        <v>639</v>
      </c>
      <c r="AM32" s="418" t="e">
        <f t="shared" si="7"/>
        <v>#VALUE!</v>
      </c>
      <c r="AN32" s="565"/>
      <c r="AO32" s="418" t="s">
        <v>639</v>
      </c>
      <c r="AP32" s="425" t="s">
        <v>639</v>
      </c>
      <c r="AQ32" s="425" t="s">
        <v>639</v>
      </c>
      <c r="AR32" s="418" t="e">
        <f t="shared" si="8"/>
        <v>#VALUE!</v>
      </c>
      <c r="AS32" s="565"/>
      <c r="AT32" s="418" t="s">
        <v>639</v>
      </c>
      <c r="AU32" s="425" t="s">
        <v>639</v>
      </c>
      <c r="AV32" s="425" t="s">
        <v>639</v>
      </c>
      <c r="AW32" s="418" t="e">
        <f t="shared" si="9"/>
        <v>#VALUE!</v>
      </c>
      <c r="AX32" s="565"/>
      <c r="AZ32" s="411" t="e">
        <f t="shared" si="10"/>
        <v>#N/A</v>
      </c>
      <c r="BA32" s="565"/>
    </row>
    <row r="33" spans="2:53">
      <c r="B33" s="570"/>
      <c r="C33" s="418">
        <v>27</v>
      </c>
      <c r="D33" s="418"/>
      <c r="E33" s="418"/>
      <c r="F33" s="418"/>
      <c r="G33" s="418"/>
      <c r="H33" s="560"/>
      <c r="I33" s="422" t="str">
        <f t="shared" si="0"/>
        <v>-</v>
      </c>
      <c r="J33" s="422" t="str">
        <f t="shared" si="1"/>
        <v>-</v>
      </c>
      <c r="K33" s="200" t="str">
        <f t="shared" si="2"/>
        <v>-</v>
      </c>
      <c r="L33" s="581"/>
      <c r="M33" s="422" t="e">
        <f>RANK(K33, K$7:$K$36)</f>
        <v>#VALUE!</v>
      </c>
      <c r="N33" s="564"/>
      <c r="O33" s="564"/>
      <c r="P33" s="418" t="s">
        <v>639</v>
      </c>
      <c r="Q33" s="425" t="s">
        <v>639</v>
      </c>
      <c r="R33" s="425" t="s">
        <v>639</v>
      </c>
      <c r="S33" s="418" t="e">
        <f t="shared" si="3"/>
        <v>#VALUE!</v>
      </c>
      <c r="T33" s="565"/>
      <c r="U33" s="418" t="s">
        <v>639</v>
      </c>
      <c r="V33" s="425" t="s">
        <v>639</v>
      </c>
      <c r="W33" s="425" t="s">
        <v>639</v>
      </c>
      <c r="X33" s="418" t="e">
        <f t="shared" si="4"/>
        <v>#VALUE!</v>
      </c>
      <c r="Y33" s="565"/>
      <c r="Z33" s="418" t="s">
        <v>639</v>
      </c>
      <c r="AA33" s="425" t="s">
        <v>639</v>
      </c>
      <c r="AB33" s="425" t="s">
        <v>639</v>
      </c>
      <c r="AC33" s="418" t="e">
        <f t="shared" si="5"/>
        <v>#VALUE!</v>
      </c>
      <c r="AD33" s="565"/>
      <c r="AE33" s="418" t="s">
        <v>639</v>
      </c>
      <c r="AF33" s="425" t="s">
        <v>639</v>
      </c>
      <c r="AG33" s="425" t="s">
        <v>639</v>
      </c>
      <c r="AH33" s="418" t="e">
        <f t="shared" si="6"/>
        <v>#VALUE!</v>
      </c>
      <c r="AI33" s="565"/>
      <c r="AJ33" s="418" t="s">
        <v>639</v>
      </c>
      <c r="AK33" s="425" t="s">
        <v>639</v>
      </c>
      <c r="AL33" s="425" t="s">
        <v>639</v>
      </c>
      <c r="AM33" s="418" t="e">
        <f t="shared" si="7"/>
        <v>#VALUE!</v>
      </c>
      <c r="AN33" s="565"/>
      <c r="AO33" s="418" t="s">
        <v>639</v>
      </c>
      <c r="AP33" s="425" t="s">
        <v>639</v>
      </c>
      <c r="AQ33" s="425" t="s">
        <v>639</v>
      </c>
      <c r="AR33" s="418" t="e">
        <f t="shared" si="8"/>
        <v>#VALUE!</v>
      </c>
      <c r="AS33" s="565"/>
      <c r="AT33" s="418" t="s">
        <v>639</v>
      </c>
      <c r="AU33" s="425" t="s">
        <v>639</v>
      </c>
      <c r="AV33" s="425" t="s">
        <v>639</v>
      </c>
      <c r="AW33" s="418" t="e">
        <f t="shared" si="9"/>
        <v>#VALUE!</v>
      </c>
      <c r="AX33" s="565"/>
      <c r="AZ33" s="411" t="e">
        <f t="shared" si="10"/>
        <v>#N/A</v>
      </c>
      <c r="BA33" s="565"/>
    </row>
    <row r="34" spans="2:53">
      <c r="B34" s="570"/>
      <c r="C34" s="418">
        <v>28</v>
      </c>
      <c r="D34" s="418"/>
      <c r="E34" s="418"/>
      <c r="F34" s="418"/>
      <c r="G34" s="418"/>
      <c r="H34" s="560"/>
      <c r="I34" s="422" t="str">
        <f t="shared" si="0"/>
        <v>-</v>
      </c>
      <c r="J34" s="422" t="str">
        <f t="shared" si="1"/>
        <v>-</v>
      </c>
      <c r="K34" s="200" t="str">
        <f t="shared" si="2"/>
        <v>-</v>
      </c>
      <c r="L34" s="581"/>
      <c r="M34" s="422" t="e">
        <f>RANK(K34, K$7:$K$36)</f>
        <v>#VALUE!</v>
      </c>
      <c r="N34" s="564"/>
      <c r="O34" s="564"/>
      <c r="P34" s="418" t="s">
        <v>639</v>
      </c>
      <c r="Q34" s="425" t="s">
        <v>639</v>
      </c>
      <c r="R34" s="425" t="s">
        <v>639</v>
      </c>
      <c r="S34" s="418" t="e">
        <f t="shared" si="3"/>
        <v>#VALUE!</v>
      </c>
      <c r="T34" s="565"/>
      <c r="U34" s="418" t="s">
        <v>639</v>
      </c>
      <c r="V34" s="425" t="s">
        <v>639</v>
      </c>
      <c r="W34" s="425" t="s">
        <v>639</v>
      </c>
      <c r="X34" s="418" t="e">
        <f t="shared" si="4"/>
        <v>#VALUE!</v>
      </c>
      <c r="Y34" s="565"/>
      <c r="Z34" s="418" t="s">
        <v>639</v>
      </c>
      <c r="AA34" s="425" t="s">
        <v>639</v>
      </c>
      <c r="AB34" s="425" t="s">
        <v>639</v>
      </c>
      <c r="AC34" s="418" t="e">
        <f t="shared" si="5"/>
        <v>#VALUE!</v>
      </c>
      <c r="AD34" s="565"/>
      <c r="AE34" s="418" t="s">
        <v>639</v>
      </c>
      <c r="AF34" s="425" t="s">
        <v>639</v>
      </c>
      <c r="AG34" s="425" t="s">
        <v>639</v>
      </c>
      <c r="AH34" s="418" t="e">
        <f t="shared" si="6"/>
        <v>#VALUE!</v>
      </c>
      <c r="AI34" s="565"/>
      <c r="AJ34" s="418" t="s">
        <v>639</v>
      </c>
      <c r="AK34" s="425" t="s">
        <v>639</v>
      </c>
      <c r="AL34" s="425" t="s">
        <v>639</v>
      </c>
      <c r="AM34" s="418" t="e">
        <f t="shared" si="7"/>
        <v>#VALUE!</v>
      </c>
      <c r="AN34" s="565"/>
      <c r="AO34" s="418" t="s">
        <v>639</v>
      </c>
      <c r="AP34" s="425" t="s">
        <v>639</v>
      </c>
      <c r="AQ34" s="425" t="s">
        <v>639</v>
      </c>
      <c r="AR34" s="418" t="e">
        <f t="shared" si="8"/>
        <v>#VALUE!</v>
      </c>
      <c r="AS34" s="565"/>
      <c r="AT34" s="418" t="s">
        <v>639</v>
      </c>
      <c r="AU34" s="425" t="s">
        <v>639</v>
      </c>
      <c r="AV34" s="425" t="s">
        <v>639</v>
      </c>
      <c r="AW34" s="418" t="e">
        <f t="shared" si="9"/>
        <v>#VALUE!</v>
      </c>
      <c r="AX34" s="565"/>
      <c r="AZ34" s="411" t="e">
        <f t="shared" si="10"/>
        <v>#N/A</v>
      </c>
      <c r="BA34" s="565"/>
    </row>
    <row r="35" spans="2:53">
      <c r="B35" s="570"/>
      <c r="C35" s="418">
        <v>29</v>
      </c>
      <c r="D35" s="418"/>
      <c r="E35" s="418"/>
      <c r="F35" s="418"/>
      <c r="G35" s="418"/>
      <c r="H35" s="560"/>
      <c r="I35" s="422" t="str">
        <f t="shared" si="0"/>
        <v>-</v>
      </c>
      <c r="J35" s="422" t="str">
        <f t="shared" si="1"/>
        <v>-</v>
      </c>
      <c r="K35" s="200" t="str">
        <f t="shared" si="2"/>
        <v>-</v>
      </c>
      <c r="L35" s="581"/>
      <c r="M35" s="422" t="e">
        <f>RANK(K35, K$7:$K$36)</f>
        <v>#VALUE!</v>
      </c>
      <c r="N35" s="564"/>
      <c r="O35" s="564"/>
      <c r="P35" s="418" t="s">
        <v>639</v>
      </c>
      <c r="Q35" s="425" t="s">
        <v>639</v>
      </c>
      <c r="R35" s="425" t="s">
        <v>639</v>
      </c>
      <c r="S35" s="418" t="e">
        <f t="shared" si="3"/>
        <v>#VALUE!</v>
      </c>
      <c r="T35" s="565"/>
      <c r="U35" s="418" t="s">
        <v>639</v>
      </c>
      <c r="V35" s="425" t="s">
        <v>639</v>
      </c>
      <c r="W35" s="425" t="s">
        <v>639</v>
      </c>
      <c r="X35" s="418" t="e">
        <f t="shared" si="4"/>
        <v>#VALUE!</v>
      </c>
      <c r="Y35" s="565"/>
      <c r="Z35" s="418" t="s">
        <v>639</v>
      </c>
      <c r="AA35" s="425" t="s">
        <v>639</v>
      </c>
      <c r="AB35" s="425" t="s">
        <v>639</v>
      </c>
      <c r="AC35" s="418" t="e">
        <f t="shared" si="5"/>
        <v>#VALUE!</v>
      </c>
      <c r="AD35" s="565"/>
      <c r="AE35" s="418" t="s">
        <v>639</v>
      </c>
      <c r="AF35" s="425" t="s">
        <v>639</v>
      </c>
      <c r="AG35" s="425" t="s">
        <v>639</v>
      </c>
      <c r="AH35" s="418" t="e">
        <f t="shared" si="6"/>
        <v>#VALUE!</v>
      </c>
      <c r="AI35" s="565"/>
      <c r="AJ35" s="418" t="s">
        <v>639</v>
      </c>
      <c r="AK35" s="425" t="s">
        <v>639</v>
      </c>
      <c r="AL35" s="425" t="s">
        <v>639</v>
      </c>
      <c r="AM35" s="418" t="e">
        <f t="shared" si="7"/>
        <v>#VALUE!</v>
      </c>
      <c r="AN35" s="565"/>
      <c r="AO35" s="418" t="s">
        <v>639</v>
      </c>
      <c r="AP35" s="425" t="s">
        <v>639</v>
      </c>
      <c r="AQ35" s="425" t="s">
        <v>639</v>
      </c>
      <c r="AR35" s="418" t="e">
        <f t="shared" si="8"/>
        <v>#VALUE!</v>
      </c>
      <c r="AS35" s="565"/>
      <c r="AT35" s="418" t="s">
        <v>639</v>
      </c>
      <c r="AU35" s="425" t="s">
        <v>639</v>
      </c>
      <c r="AV35" s="425" t="s">
        <v>639</v>
      </c>
      <c r="AW35" s="418" t="e">
        <f t="shared" si="9"/>
        <v>#VALUE!</v>
      </c>
      <c r="AX35" s="565"/>
      <c r="AZ35" s="411" t="e">
        <f t="shared" si="10"/>
        <v>#N/A</v>
      </c>
      <c r="BA35" s="565"/>
    </row>
    <row r="36" spans="2:53">
      <c r="B36" s="570"/>
      <c r="C36" s="418">
        <v>30</v>
      </c>
      <c r="D36" s="418"/>
      <c r="E36" s="418"/>
      <c r="F36" s="418"/>
      <c r="G36" s="418"/>
      <c r="H36" s="561"/>
      <c r="I36" s="422" t="str">
        <f t="shared" si="0"/>
        <v>-</v>
      </c>
      <c r="J36" s="422" t="str">
        <f t="shared" si="1"/>
        <v>-</v>
      </c>
      <c r="K36" s="200" t="str">
        <f t="shared" si="2"/>
        <v>-</v>
      </c>
      <c r="L36" s="582"/>
      <c r="M36" s="422" t="e">
        <f>RANK(K36, K$7:$K$36)</f>
        <v>#VALUE!</v>
      </c>
      <c r="N36" s="564"/>
      <c r="O36" s="564"/>
      <c r="P36" s="418" t="s">
        <v>639</v>
      </c>
      <c r="Q36" s="425" t="s">
        <v>639</v>
      </c>
      <c r="R36" s="425" t="s">
        <v>639</v>
      </c>
      <c r="S36" s="418" t="e">
        <f t="shared" si="3"/>
        <v>#VALUE!</v>
      </c>
      <c r="T36" s="565"/>
      <c r="U36" s="418" t="s">
        <v>639</v>
      </c>
      <c r="V36" s="425" t="s">
        <v>639</v>
      </c>
      <c r="W36" s="425" t="s">
        <v>639</v>
      </c>
      <c r="X36" s="418" t="e">
        <f t="shared" si="4"/>
        <v>#VALUE!</v>
      </c>
      <c r="Y36" s="565"/>
      <c r="Z36" s="418" t="s">
        <v>639</v>
      </c>
      <c r="AA36" s="425" t="s">
        <v>639</v>
      </c>
      <c r="AB36" s="425" t="s">
        <v>639</v>
      </c>
      <c r="AC36" s="418" t="e">
        <f t="shared" si="5"/>
        <v>#VALUE!</v>
      </c>
      <c r="AD36" s="565"/>
      <c r="AE36" s="418" t="s">
        <v>639</v>
      </c>
      <c r="AF36" s="425" t="s">
        <v>639</v>
      </c>
      <c r="AG36" s="425" t="s">
        <v>639</v>
      </c>
      <c r="AH36" s="418" t="e">
        <f t="shared" si="6"/>
        <v>#VALUE!</v>
      </c>
      <c r="AI36" s="565"/>
      <c r="AJ36" s="418" t="s">
        <v>639</v>
      </c>
      <c r="AK36" s="425" t="s">
        <v>639</v>
      </c>
      <c r="AL36" s="425" t="s">
        <v>639</v>
      </c>
      <c r="AM36" s="418" t="e">
        <f t="shared" si="7"/>
        <v>#VALUE!</v>
      </c>
      <c r="AN36" s="565"/>
      <c r="AO36" s="418" t="s">
        <v>639</v>
      </c>
      <c r="AP36" s="425" t="s">
        <v>639</v>
      </c>
      <c r="AQ36" s="425" t="s">
        <v>639</v>
      </c>
      <c r="AR36" s="418" t="e">
        <f t="shared" si="8"/>
        <v>#VALUE!</v>
      </c>
      <c r="AS36" s="565"/>
      <c r="AT36" s="418" t="s">
        <v>639</v>
      </c>
      <c r="AU36" s="425" t="s">
        <v>639</v>
      </c>
      <c r="AV36" s="425" t="s">
        <v>639</v>
      </c>
      <c r="AW36" s="418" t="e">
        <f t="shared" si="9"/>
        <v>#VALUE!</v>
      </c>
      <c r="AX36" s="565"/>
      <c r="AZ36" s="411" t="e">
        <f t="shared" si="10"/>
        <v>#N/A</v>
      </c>
      <c r="BA36" s="565"/>
    </row>
    <row r="37" spans="2:53" ht="15.75">
      <c r="B37" s="608" t="s">
        <v>163</v>
      </c>
      <c r="C37" s="609"/>
      <c r="D37" s="609"/>
      <c r="E37" s="609"/>
      <c r="F37" s="609"/>
      <c r="G37" s="609"/>
      <c r="H37" s="609"/>
      <c r="I37" s="203"/>
      <c r="J37" s="203"/>
      <c r="K37" s="203"/>
      <c r="L37" s="203"/>
      <c r="M37" s="204"/>
      <c r="N37" s="566" t="s">
        <v>156</v>
      </c>
      <c r="O37" s="566" t="s">
        <v>155</v>
      </c>
      <c r="P37" s="592">
        <f>P2+7</f>
        <v>46147</v>
      </c>
      <c r="Q37" s="570"/>
      <c r="R37" s="570"/>
      <c r="S37" s="570"/>
      <c r="T37" s="570"/>
      <c r="U37" s="592">
        <f>P37+1</f>
        <v>46148</v>
      </c>
      <c r="V37" s="570"/>
      <c r="W37" s="570"/>
      <c r="X37" s="570"/>
      <c r="Y37" s="570"/>
      <c r="Z37" s="592">
        <f>U37+1</f>
        <v>46149</v>
      </c>
      <c r="AA37" s="570"/>
      <c r="AB37" s="570"/>
      <c r="AC37" s="570"/>
      <c r="AD37" s="570"/>
      <c r="AE37" s="592">
        <f>Z37+1</f>
        <v>46150</v>
      </c>
      <c r="AF37" s="570"/>
      <c r="AG37" s="570"/>
      <c r="AH37" s="570"/>
      <c r="AI37" s="570"/>
      <c r="AJ37" s="592">
        <f>AE37+1</f>
        <v>46151</v>
      </c>
      <c r="AK37" s="570"/>
      <c r="AL37" s="570"/>
      <c r="AM37" s="570"/>
      <c r="AN37" s="570"/>
      <c r="AO37" s="592">
        <f>AJ37+1</f>
        <v>46152</v>
      </c>
      <c r="AP37" s="570"/>
      <c r="AQ37" s="570"/>
      <c r="AR37" s="570"/>
      <c r="AS37" s="570"/>
      <c r="AT37" s="592">
        <f>AO37+1</f>
        <v>46153</v>
      </c>
      <c r="AU37" s="570"/>
      <c r="AV37" s="570"/>
      <c r="AW37" s="570"/>
      <c r="AX37" s="570"/>
    </row>
    <row r="38" spans="2:53" ht="15.75">
      <c r="B38" s="596"/>
      <c r="C38" s="596"/>
      <c r="D38" s="596"/>
      <c r="E38" s="596"/>
      <c r="F38" s="596"/>
      <c r="G38" s="596"/>
      <c r="H38" s="596"/>
      <c r="I38" s="205"/>
      <c r="J38" s="205"/>
      <c r="K38" s="205"/>
      <c r="L38" s="205"/>
      <c r="M38" s="206"/>
      <c r="N38" s="568"/>
      <c r="O38" s="568"/>
      <c r="P38" s="592" t="s">
        <v>318</v>
      </c>
      <c r="Q38" s="570"/>
      <c r="R38" s="570"/>
      <c r="S38" s="570"/>
      <c r="T38" s="570"/>
      <c r="U38" s="592" t="s">
        <v>319</v>
      </c>
      <c r="V38" s="570"/>
      <c r="W38" s="570"/>
      <c r="X38" s="570"/>
      <c r="Y38" s="570"/>
      <c r="Z38" s="592" t="s">
        <v>320</v>
      </c>
      <c r="AA38" s="570"/>
      <c r="AB38" s="570"/>
      <c r="AC38" s="570"/>
      <c r="AD38" s="570"/>
      <c r="AE38" s="592" t="s">
        <v>321</v>
      </c>
      <c r="AF38" s="570"/>
      <c r="AG38" s="570"/>
      <c r="AH38" s="570"/>
      <c r="AI38" s="570"/>
      <c r="AJ38" s="592" t="s">
        <v>322</v>
      </c>
      <c r="AK38" s="570"/>
      <c r="AL38" s="570"/>
      <c r="AM38" s="570"/>
      <c r="AN38" s="570"/>
      <c r="AO38" s="592" t="s">
        <v>323</v>
      </c>
      <c r="AP38" s="570"/>
      <c r="AQ38" s="570"/>
      <c r="AR38" s="570"/>
      <c r="AS38" s="570"/>
      <c r="AT38" s="592" t="s">
        <v>324</v>
      </c>
      <c r="AU38" s="570"/>
      <c r="AV38" s="570"/>
      <c r="AW38" s="570"/>
      <c r="AX38" s="570"/>
    </row>
    <row r="39" spans="2:53">
      <c r="B39" s="566" t="s">
        <v>444</v>
      </c>
      <c r="C39" s="597" t="s">
        <v>445</v>
      </c>
      <c r="D39" s="613"/>
      <c r="E39" s="583" t="s">
        <v>446</v>
      </c>
      <c r="F39" s="584"/>
      <c r="G39" s="585"/>
      <c r="H39" s="566" t="s">
        <v>374</v>
      </c>
      <c r="I39" s="620" t="s">
        <v>379</v>
      </c>
      <c r="J39" s="621"/>
      <c r="K39" s="622"/>
      <c r="L39" s="602" t="s">
        <v>374</v>
      </c>
      <c r="M39" s="602" t="s">
        <v>375</v>
      </c>
      <c r="N39" s="566"/>
      <c r="O39" s="566" t="s">
        <v>447</v>
      </c>
      <c r="P39" s="583" t="s">
        <v>448</v>
      </c>
      <c r="Q39" s="584"/>
      <c r="R39" s="584"/>
      <c r="S39" s="585"/>
      <c r="T39" s="566" t="s">
        <v>374</v>
      </c>
      <c r="U39" s="583" t="s">
        <v>376</v>
      </c>
      <c r="V39" s="584"/>
      <c r="W39" s="584"/>
      <c r="X39" s="585"/>
      <c r="Y39" s="566" t="s">
        <v>374</v>
      </c>
      <c r="Z39" s="583" t="s">
        <v>376</v>
      </c>
      <c r="AA39" s="584"/>
      <c r="AB39" s="584"/>
      <c r="AC39" s="585"/>
      <c r="AD39" s="566" t="s">
        <v>449</v>
      </c>
      <c r="AE39" s="583" t="s">
        <v>376</v>
      </c>
      <c r="AF39" s="584"/>
      <c r="AG39" s="584"/>
      <c r="AH39" s="585"/>
      <c r="AI39" s="566" t="s">
        <v>374</v>
      </c>
      <c r="AJ39" s="583" t="s">
        <v>376</v>
      </c>
      <c r="AK39" s="584"/>
      <c r="AL39" s="584"/>
      <c r="AM39" s="585"/>
      <c r="AN39" s="566" t="s">
        <v>449</v>
      </c>
      <c r="AO39" s="583" t="s">
        <v>448</v>
      </c>
      <c r="AP39" s="584"/>
      <c r="AQ39" s="584"/>
      <c r="AR39" s="585"/>
      <c r="AS39" s="566" t="s">
        <v>449</v>
      </c>
      <c r="AT39" s="583" t="s">
        <v>448</v>
      </c>
      <c r="AU39" s="584"/>
      <c r="AV39" s="584"/>
      <c r="AW39" s="585"/>
      <c r="AX39" s="566" t="s">
        <v>449</v>
      </c>
      <c r="BA39" s="566" t="s">
        <v>374</v>
      </c>
    </row>
    <row r="40" spans="2:53">
      <c r="B40" s="567"/>
      <c r="C40" s="598"/>
      <c r="D40" s="614"/>
      <c r="E40" s="583" t="s">
        <v>381</v>
      </c>
      <c r="F40" s="584"/>
      <c r="G40" s="585"/>
      <c r="H40" s="567"/>
      <c r="I40" s="620" t="s">
        <v>381</v>
      </c>
      <c r="J40" s="621"/>
      <c r="K40" s="622"/>
      <c r="L40" s="603"/>
      <c r="M40" s="603"/>
      <c r="N40" s="567"/>
      <c r="O40" s="567"/>
      <c r="P40" s="583" t="s">
        <v>382</v>
      </c>
      <c r="Q40" s="584"/>
      <c r="R40" s="584"/>
      <c r="S40" s="585"/>
      <c r="T40" s="567"/>
      <c r="U40" s="583" t="s">
        <v>450</v>
      </c>
      <c r="V40" s="584"/>
      <c r="W40" s="584"/>
      <c r="X40" s="585"/>
      <c r="Y40" s="567"/>
      <c r="Z40" s="583" t="s">
        <v>450</v>
      </c>
      <c r="AA40" s="584"/>
      <c r="AB40" s="584"/>
      <c r="AC40" s="585"/>
      <c r="AD40" s="567"/>
      <c r="AE40" s="583" t="s">
        <v>382</v>
      </c>
      <c r="AF40" s="584"/>
      <c r="AG40" s="584"/>
      <c r="AH40" s="585"/>
      <c r="AI40" s="567"/>
      <c r="AJ40" s="583" t="s">
        <v>382</v>
      </c>
      <c r="AK40" s="584"/>
      <c r="AL40" s="584"/>
      <c r="AM40" s="585"/>
      <c r="AN40" s="567"/>
      <c r="AO40" s="583" t="s">
        <v>382</v>
      </c>
      <c r="AP40" s="584"/>
      <c r="AQ40" s="584"/>
      <c r="AR40" s="585"/>
      <c r="AS40" s="567"/>
      <c r="AT40" s="583" t="s">
        <v>382</v>
      </c>
      <c r="AU40" s="584"/>
      <c r="AV40" s="584"/>
      <c r="AW40" s="585"/>
      <c r="AX40" s="567"/>
      <c r="BA40" s="567"/>
    </row>
    <row r="41" spans="2:53">
      <c r="B41" s="568"/>
      <c r="C41" s="599"/>
      <c r="D41" s="615"/>
      <c r="E41" s="303" t="s">
        <v>383</v>
      </c>
      <c r="F41" s="303" t="s">
        <v>384</v>
      </c>
      <c r="G41" s="303" t="s">
        <v>451</v>
      </c>
      <c r="H41" s="568"/>
      <c r="I41" s="302" t="s">
        <v>383</v>
      </c>
      <c r="J41" s="302" t="s">
        <v>384</v>
      </c>
      <c r="K41" s="302" t="s">
        <v>385</v>
      </c>
      <c r="L41" s="604"/>
      <c r="M41" s="604"/>
      <c r="N41" s="567"/>
      <c r="O41" s="567"/>
      <c r="P41" s="303" t="s">
        <v>383</v>
      </c>
      <c r="Q41" s="303" t="s">
        <v>452</v>
      </c>
      <c r="R41" s="303" t="s">
        <v>385</v>
      </c>
      <c r="S41" s="303" t="s">
        <v>375</v>
      </c>
      <c r="T41" s="568"/>
      <c r="U41" s="303" t="s">
        <v>383</v>
      </c>
      <c r="V41" s="303" t="s">
        <v>384</v>
      </c>
      <c r="W41" s="303" t="s">
        <v>385</v>
      </c>
      <c r="X41" s="303" t="s">
        <v>453</v>
      </c>
      <c r="Y41" s="568"/>
      <c r="Z41" s="303" t="s">
        <v>454</v>
      </c>
      <c r="AA41" s="303" t="s">
        <v>384</v>
      </c>
      <c r="AB41" s="303" t="s">
        <v>385</v>
      </c>
      <c r="AC41" s="303" t="s">
        <v>453</v>
      </c>
      <c r="AD41" s="568"/>
      <c r="AE41" s="303" t="s">
        <v>383</v>
      </c>
      <c r="AF41" s="303" t="s">
        <v>384</v>
      </c>
      <c r="AG41" s="303" t="s">
        <v>385</v>
      </c>
      <c r="AH41" s="303" t="s">
        <v>453</v>
      </c>
      <c r="AI41" s="568"/>
      <c r="AJ41" s="303" t="s">
        <v>454</v>
      </c>
      <c r="AK41" s="303" t="s">
        <v>384</v>
      </c>
      <c r="AL41" s="303" t="s">
        <v>385</v>
      </c>
      <c r="AM41" s="303" t="s">
        <v>375</v>
      </c>
      <c r="AN41" s="568"/>
      <c r="AO41" s="303" t="s">
        <v>454</v>
      </c>
      <c r="AP41" s="303" t="s">
        <v>384</v>
      </c>
      <c r="AQ41" s="303" t="s">
        <v>385</v>
      </c>
      <c r="AR41" s="303" t="s">
        <v>453</v>
      </c>
      <c r="AS41" s="568"/>
      <c r="AT41" s="303" t="s">
        <v>454</v>
      </c>
      <c r="AU41" s="303" t="s">
        <v>384</v>
      </c>
      <c r="AV41" s="303" t="s">
        <v>385</v>
      </c>
      <c r="AW41" s="303" t="s">
        <v>453</v>
      </c>
      <c r="AX41" s="568"/>
      <c r="AZ41" s="412" t="s">
        <v>375</v>
      </c>
      <c r="BA41" s="568"/>
    </row>
    <row r="42" spans="2:53">
      <c r="B42" s="610" t="s">
        <v>150</v>
      </c>
      <c r="C42" s="304">
        <v>1</v>
      </c>
      <c r="D42" s="392" t="s">
        <v>340</v>
      </c>
      <c r="E42" s="392">
        <v>3</v>
      </c>
      <c r="F42" s="392">
        <v>3200</v>
      </c>
      <c r="G42" s="182">
        <v>1066.6666666666667</v>
      </c>
      <c r="H42" s="559">
        <f>AVERAGE(G42:G71)</f>
        <v>763.22463768115949</v>
      </c>
      <c r="I42" s="400">
        <f>IFERROR(AVERAGE(P42,U42,Z42,AE42,AJ42,AO42,AT42),"-")</f>
        <v>3</v>
      </c>
      <c r="J42" s="400">
        <f>IFERROR(AVERAGE(Q42,V42,AA42,AF42,AK42,AP42,AU42),"-")</f>
        <v>3263.658453347894</v>
      </c>
      <c r="K42" s="200">
        <f>IFERROR(AVERAGE(R42,W42,AB42,AG42,AL42,AQ42,AV42),"-")</f>
        <v>1087.8861511159646</v>
      </c>
      <c r="L42" s="580">
        <f>IFERROR(AVERAGE(K42:K71),"-")</f>
        <v>789.06118172490631</v>
      </c>
      <c r="M42" s="199">
        <f>RANK(K42, K$42:$K$71)</f>
        <v>1</v>
      </c>
      <c r="N42" s="567"/>
      <c r="O42" s="567"/>
      <c r="P42" s="425">
        <v>3</v>
      </c>
      <c r="Q42" s="425">
        <v>3241.0714285714262</v>
      </c>
      <c r="R42" s="425">
        <v>1080.357142857142</v>
      </c>
      <c r="S42" s="418">
        <f t="shared" ref="S42:S71" si="11">RANK(R42, R$42:R$71)</f>
        <v>4</v>
      </c>
      <c r="T42" s="559">
        <f t="shared" ref="T42" si="12">AVERAGE(R42:R71)</f>
        <v>802.4530576893884</v>
      </c>
      <c r="U42" s="425">
        <v>3</v>
      </c>
      <c r="V42" s="425">
        <v>3159.6428571428596</v>
      </c>
      <c r="W42" s="425">
        <v>1053.2142857142865</v>
      </c>
      <c r="X42" s="418">
        <f t="shared" ref="X42:X71" si="13">RANK(W42, W$42:W$71)</f>
        <v>3</v>
      </c>
      <c r="Y42" s="559">
        <f t="shared" ref="Y42" si="14">AVERAGE(W42:W71)</f>
        <v>779.27953784325723</v>
      </c>
      <c r="Z42" s="425">
        <v>3</v>
      </c>
      <c r="AA42" s="425">
        <v>3229.6153846153811</v>
      </c>
      <c r="AB42" s="425">
        <v>1076.5384615384603</v>
      </c>
      <c r="AC42" s="418">
        <f t="shared" ref="AC42:AC71" si="15">RANK(AB42, AB$42:AB$71)</f>
        <v>6</v>
      </c>
      <c r="AD42" s="559">
        <f t="shared" ref="AD42" si="16">AVERAGE(AB42:AB71)</f>
        <v>794.14980232662685</v>
      </c>
      <c r="AE42" s="425">
        <v>3</v>
      </c>
      <c r="AF42" s="425">
        <v>3240</v>
      </c>
      <c r="AG42" s="425">
        <v>1080</v>
      </c>
      <c r="AH42" s="418">
        <f t="shared" ref="AH42:AH71" si="17">RANK(AG42, AG$42:AG$71)</f>
        <v>2</v>
      </c>
      <c r="AI42" s="559">
        <f t="shared" ref="AI42" si="18">AVERAGE(AG42:AG71)</f>
        <v>790.425111091492</v>
      </c>
      <c r="AJ42" s="425">
        <v>3</v>
      </c>
      <c r="AK42" s="425">
        <v>3199.5652173913045</v>
      </c>
      <c r="AL42" s="425">
        <v>1066.5217391304348</v>
      </c>
      <c r="AM42" s="418">
        <f t="shared" ref="AM42:AM71" si="19">RANK(AL42, AL$42:AL$71)</f>
        <v>1</v>
      </c>
      <c r="AN42" s="559">
        <f t="shared" ref="AN42" si="20">AVERAGE(AL42:AL71)</f>
        <v>774.87261378146854</v>
      </c>
      <c r="AO42" s="425">
        <v>3</v>
      </c>
      <c r="AP42" s="425">
        <v>3543.2142857142831</v>
      </c>
      <c r="AQ42" s="425">
        <v>1181.0714285714278</v>
      </c>
      <c r="AR42" s="418">
        <f t="shared" ref="AR42:AR71" si="21">RANK(AQ42, AQ$42:AQ$71)</f>
        <v>1</v>
      </c>
      <c r="AS42" s="559">
        <f t="shared" ref="AS42" si="22">AVERAGE(AQ42:AQ71)</f>
        <v>795.16165168523889</v>
      </c>
      <c r="AT42" s="425">
        <v>3</v>
      </c>
      <c r="AU42" s="425">
        <v>3232.5000000000027</v>
      </c>
      <c r="AV42" s="425">
        <v>1077.5000000000009</v>
      </c>
      <c r="AW42" s="418">
        <f t="shared" ref="AW42:AW71" si="23">RANK(AV42, AV$42:AV$71)</f>
        <v>4</v>
      </c>
      <c r="AX42" s="559">
        <f t="shared" ref="AX42" si="24">AVERAGE(AV42:AV71)</f>
        <v>787.08649765687153</v>
      </c>
      <c r="AZ42" s="411" t="e">
        <f t="shared" ref="AZ42:AZ71" si="25">RANK(AY42, AY$42:AY$71)</f>
        <v>#N/A</v>
      </c>
      <c r="BA42" s="559" t="e">
        <f t="shared" ref="BA42" si="26">AVERAGE(AY42:AY71)</f>
        <v>#DIV/0!</v>
      </c>
    </row>
    <row r="43" spans="2:53">
      <c r="B43" s="611"/>
      <c r="C43" s="304">
        <v>2</v>
      </c>
      <c r="D43" s="394" t="s">
        <v>341</v>
      </c>
      <c r="E43" s="392">
        <v>3</v>
      </c>
      <c r="F43" s="392">
        <v>3200</v>
      </c>
      <c r="G43" s="182">
        <v>1066.6666666666667</v>
      </c>
      <c r="H43" s="560"/>
      <c r="I43" s="400">
        <f t="shared" ref="I43:I71" si="27">IFERROR(AVERAGE(P43,U43,Z43,AE43,AJ43,AO43,AT43),"-")</f>
        <v>3</v>
      </c>
      <c r="J43" s="400">
        <f t="shared" ref="J43:J71" si="28">IFERROR(AVERAGE(Q43,V43,AA43,AF43,AK43,AP43,AU43),"-")</f>
        <v>3249.5198079231604</v>
      </c>
      <c r="K43" s="200">
        <f t="shared" ref="K43:K71" si="29">IFERROR(AVERAGE(R43,W43,AB43,AG43,AL43,AQ43,AV43),"-")</f>
        <v>1083.1732693077199</v>
      </c>
      <c r="L43" s="581"/>
      <c r="M43" s="199">
        <f>RANK(K43, K$42:$K$71)</f>
        <v>2</v>
      </c>
      <c r="N43" s="567"/>
      <c r="O43" s="567"/>
      <c r="P43" s="425">
        <v>3</v>
      </c>
      <c r="Q43" s="425">
        <v>3299.9999999999959</v>
      </c>
      <c r="R43" s="425">
        <v>1099.9999999999986</v>
      </c>
      <c r="S43" s="418">
        <f t="shared" si="11"/>
        <v>2</v>
      </c>
      <c r="T43" s="560"/>
      <c r="U43" s="425">
        <v>3</v>
      </c>
      <c r="V43" s="425">
        <v>3158.8235294117462</v>
      </c>
      <c r="W43" s="425">
        <v>1052.9411764705821</v>
      </c>
      <c r="X43" s="418">
        <f t="shared" si="13"/>
        <v>4</v>
      </c>
      <c r="Y43" s="560"/>
      <c r="Z43" s="425">
        <v>3</v>
      </c>
      <c r="AA43" s="425">
        <v>3359.9999999999959</v>
      </c>
      <c r="AB43" s="425">
        <v>1119.9999999999986</v>
      </c>
      <c r="AC43" s="418">
        <f t="shared" si="15"/>
        <v>1</v>
      </c>
      <c r="AD43" s="560"/>
      <c r="AE43" s="425">
        <v>3</v>
      </c>
      <c r="AF43" s="425">
        <v>3259.9999999999941</v>
      </c>
      <c r="AG43" s="425">
        <v>1086.6666666666647</v>
      </c>
      <c r="AH43" s="418">
        <f t="shared" si="17"/>
        <v>1</v>
      </c>
      <c r="AI43" s="560"/>
      <c r="AJ43" s="425">
        <v>3</v>
      </c>
      <c r="AK43" s="425">
        <v>3124.2857142857074</v>
      </c>
      <c r="AL43" s="425">
        <v>1041.4285714285691</v>
      </c>
      <c r="AM43" s="418">
        <f t="shared" si="19"/>
        <v>7</v>
      </c>
      <c r="AN43" s="560"/>
      <c r="AO43" s="425">
        <v>3</v>
      </c>
      <c r="AP43" s="425">
        <v>3299.9999999999959</v>
      </c>
      <c r="AQ43" s="425">
        <v>1099.9999999999986</v>
      </c>
      <c r="AR43" s="418">
        <f t="shared" si="21"/>
        <v>3</v>
      </c>
      <c r="AS43" s="560"/>
      <c r="AT43" s="425">
        <v>3</v>
      </c>
      <c r="AU43" s="425">
        <v>3243.5294117646868</v>
      </c>
      <c r="AV43" s="425">
        <v>1081.176470588229</v>
      </c>
      <c r="AW43" s="418">
        <f t="shared" si="23"/>
        <v>3</v>
      </c>
      <c r="AX43" s="560"/>
      <c r="AZ43" s="411" t="e">
        <f t="shared" si="25"/>
        <v>#N/A</v>
      </c>
      <c r="BA43" s="560"/>
    </row>
    <row r="44" spans="2:53">
      <c r="B44" s="611"/>
      <c r="C44" s="304">
        <v>3</v>
      </c>
      <c r="D44" s="392" t="s">
        <v>330</v>
      </c>
      <c r="E44" s="392">
        <v>4</v>
      </c>
      <c r="F44" s="392">
        <v>3200</v>
      </c>
      <c r="G44" s="182">
        <v>800</v>
      </c>
      <c r="H44" s="560"/>
      <c r="I44" s="400">
        <f t="shared" si="27"/>
        <v>4</v>
      </c>
      <c r="J44" s="400">
        <f t="shared" si="28"/>
        <v>3265.5385101409042</v>
      </c>
      <c r="K44" s="200">
        <f t="shared" si="29"/>
        <v>816.38462753522606</v>
      </c>
      <c r="L44" s="581"/>
      <c r="M44" s="199">
        <f>RANK(K44, K$42:$K$71)</f>
        <v>11</v>
      </c>
      <c r="N44" s="567"/>
      <c r="O44" s="567"/>
      <c r="P44" s="425">
        <v>4</v>
      </c>
      <c r="Q44" s="425">
        <v>3208.5714285714398</v>
      </c>
      <c r="R44" s="425">
        <v>802.14285714285995</v>
      </c>
      <c r="S44" s="418">
        <f t="shared" si="11"/>
        <v>14</v>
      </c>
      <c r="T44" s="560"/>
      <c r="U44" s="425">
        <v>4</v>
      </c>
      <c r="V44" s="425">
        <v>3199.9999999999991</v>
      </c>
      <c r="W44" s="425">
        <v>799.99999999999977</v>
      </c>
      <c r="X44" s="418">
        <f t="shared" si="13"/>
        <v>10</v>
      </c>
      <c r="Y44" s="560"/>
      <c r="Z44" s="425">
        <v>4</v>
      </c>
      <c r="AA44" s="425">
        <v>3366.3157894736819</v>
      </c>
      <c r="AB44" s="425">
        <v>841.57894736842047</v>
      </c>
      <c r="AC44" s="418">
        <f t="shared" si="15"/>
        <v>10</v>
      </c>
      <c r="AD44" s="560"/>
      <c r="AE44" s="425">
        <v>4</v>
      </c>
      <c r="AF44" s="425">
        <v>3349.4117647058943</v>
      </c>
      <c r="AG44" s="425">
        <v>837.35294117647356</v>
      </c>
      <c r="AH44" s="418">
        <f t="shared" si="17"/>
        <v>11</v>
      </c>
      <c r="AI44" s="560"/>
      <c r="AJ44" s="425">
        <v>4</v>
      </c>
      <c r="AK44" s="425">
        <v>3056.4705882353051</v>
      </c>
      <c r="AL44" s="425">
        <v>764.11764705882626</v>
      </c>
      <c r="AM44" s="418">
        <f t="shared" si="19"/>
        <v>13</v>
      </c>
      <c r="AN44" s="560"/>
      <c r="AO44" s="425">
        <v>4</v>
      </c>
      <c r="AP44" s="425">
        <v>3354.0000000000118</v>
      </c>
      <c r="AQ44" s="425">
        <v>838.50000000000296</v>
      </c>
      <c r="AR44" s="418">
        <f t="shared" si="21"/>
        <v>10</v>
      </c>
      <c r="AS44" s="560"/>
      <c r="AT44" s="425">
        <v>4</v>
      </c>
      <c r="AU44" s="425">
        <v>3323.9999999999986</v>
      </c>
      <c r="AV44" s="425">
        <v>830.99999999999966</v>
      </c>
      <c r="AW44" s="418">
        <f t="shared" si="23"/>
        <v>10</v>
      </c>
      <c r="AX44" s="560"/>
      <c r="AZ44" s="411" t="e">
        <f t="shared" si="25"/>
        <v>#N/A</v>
      </c>
      <c r="BA44" s="560"/>
    </row>
    <row r="45" spans="2:53">
      <c r="B45" s="611"/>
      <c r="C45" s="304">
        <v>4</v>
      </c>
      <c r="D45" s="392" t="s">
        <v>342</v>
      </c>
      <c r="E45" s="392">
        <v>3</v>
      </c>
      <c r="F45" s="392">
        <v>3200</v>
      </c>
      <c r="G45" s="182">
        <v>1066.6666666666667</v>
      </c>
      <c r="H45" s="560"/>
      <c r="I45" s="400">
        <f t="shared" si="27"/>
        <v>3</v>
      </c>
      <c r="J45" s="400">
        <f t="shared" si="28"/>
        <v>3217.6693566396016</v>
      </c>
      <c r="K45" s="200">
        <f t="shared" si="29"/>
        <v>1072.5564522132004</v>
      </c>
      <c r="L45" s="581"/>
      <c r="M45" s="199">
        <f>RANK(K45, K$42:$K$71)</f>
        <v>4</v>
      </c>
      <c r="N45" s="567"/>
      <c r="O45" s="567"/>
      <c r="P45" s="425">
        <v>3</v>
      </c>
      <c r="Q45" s="425">
        <v>3235.8620689655168</v>
      </c>
      <c r="R45" s="425">
        <v>1078.6206896551723</v>
      </c>
      <c r="S45" s="418">
        <f t="shared" si="11"/>
        <v>5</v>
      </c>
      <c r="T45" s="560"/>
      <c r="U45" s="425">
        <v>3</v>
      </c>
      <c r="V45" s="425">
        <v>3195.348837209302</v>
      </c>
      <c r="W45" s="425">
        <v>1065.1162790697674</v>
      </c>
      <c r="X45" s="418">
        <f t="shared" si="13"/>
        <v>2</v>
      </c>
      <c r="Y45" s="560"/>
      <c r="Z45" s="425">
        <v>3</v>
      </c>
      <c r="AA45" s="425">
        <v>3241.463414634145</v>
      </c>
      <c r="AB45" s="425">
        <v>1080.4878048780483</v>
      </c>
      <c r="AC45" s="418">
        <f t="shared" si="15"/>
        <v>5</v>
      </c>
      <c r="AD45" s="560"/>
      <c r="AE45" s="425">
        <v>3</v>
      </c>
      <c r="AF45" s="425">
        <v>3228.1690140845076</v>
      </c>
      <c r="AG45" s="425">
        <v>1076.0563380281692</v>
      </c>
      <c r="AH45" s="418">
        <f t="shared" si="17"/>
        <v>5</v>
      </c>
      <c r="AI45" s="560"/>
      <c r="AJ45" s="425">
        <v>3</v>
      </c>
      <c r="AK45" s="425">
        <v>3156.8571428571436</v>
      </c>
      <c r="AL45" s="425">
        <v>1052.2857142857144</v>
      </c>
      <c r="AM45" s="418">
        <f t="shared" si="19"/>
        <v>5</v>
      </c>
      <c r="AN45" s="560"/>
      <c r="AO45" s="425">
        <v>3</v>
      </c>
      <c r="AP45" s="425">
        <v>3238.6516853932612</v>
      </c>
      <c r="AQ45" s="425">
        <v>1079.5505617977537</v>
      </c>
      <c r="AR45" s="418">
        <f t="shared" si="21"/>
        <v>6</v>
      </c>
      <c r="AS45" s="560"/>
      <c r="AT45" s="425">
        <v>3</v>
      </c>
      <c r="AU45" s="425">
        <v>3227.3333333333335</v>
      </c>
      <c r="AV45" s="425">
        <v>1075.7777777777778</v>
      </c>
      <c r="AW45" s="418">
        <f t="shared" si="23"/>
        <v>5</v>
      </c>
      <c r="AX45" s="560"/>
      <c r="AZ45" s="411" t="e">
        <f t="shared" si="25"/>
        <v>#N/A</v>
      </c>
      <c r="BA45" s="560"/>
    </row>
    <row r="46" spans="2:53">
      <c r="B46" s="611"/>
      <c r="C46" s="304">
        <v>5</v>
      </c>
      <c r="D46" s="392" t="s">
        <v>601</v>
      </c>
      <c r="E46" s="392">
        <v>4</v>
      </c>
      <c r="F46" s="392">
        <v>3200</v>
      </c>
      <c r="G46" s="182">
        <v>800</v>
      </c>
      <c r="H46" s="560"/>
      <c r="I46" s="400">
        <f t="shared" si="27"/>
        <v>4</v>
      </c>
      <c r="J46" s="400">
        <f t="shared" si="28"/>
        <v>3247.8188281764365</v>
      </c>
      <c r="K46" s="200">
        <f t="shared" si="29"/>
        <v>811.95470704410911</v>
      </c>
      <c r="L46" s="581"/>
      <c r="M46" s="199">
        <f>RANK(K46, K$42:$K$71)</f>
        <v>12</v>
      </c>
      <c r="N46" s="567"/>
      <c r="O46" s="567"/>
      <c r="P46" s="425">
        <v>4</v>
      </c>
      <c r="Q46" s="425">
        <v>3398.5714285714312</v>
      </c>
      <c r="R46" s="425">
        <v>849.64285714285779</v>
      </c>
      <c r="S46" s="418">
        <f t="shared" si="11"/>
        <v>10</v>
      </c>
      <c r="T46" s="560"/>
      <c r="U46" s="425">
        <v>4</v>
      </c>
      <c r="V46" s="425">
        <v>3152.9032258064462</v>
      </c>
      <c r="W46" s="425">
        <v>788.22580645161156</v>
      </c>
      <c r="X46" s="418">
        <f t="shared" si="13"/>
        <v>13</v>
      </c>
      <c r="Y46" s="560"/>
      <c r="Z46" s="425">
        <v>4</v>
      </c>
      <c r="AA46" s="425">
        <v>3282.8571428571454</v>
      </c>
      <c r="AB46" s="425">
        <v>820.71428571428635</v>
      </c>
      <c r="AC46" s="418">
        <f t="shared" si="15"/>
        <v>12</v>
      </c>
      <c r="AD46" s="560"/>
      <c r="AE46" s="425">
        <v>4</v>
      </c>
      <c r="AF46" s="425">
        <v>3242.4000000000115</v>
      </c>
      <c r="AG46" s="425">
        <v>810.60000000000286</v>
      </c>
      <c r="AH46" s="418">
        <f t="shared" si="17"/>
        <v>14</v>
      </c>
      <c r="AI46" s="560"/>
      <c r="AJ46" s="425">
        <v>4</v>
      </c>
      <c r="AK46" s="425">
        <v>3130.0000000000109</v>
      </c>
      <c r="AL46" s="425">
        <v>782.50000000000273</v>
      </c>
      <c r="AM46" s="418">
        <f t="shared" si="19"/>
        <v>11</v>
      </c>
      <c r="AN46" s="560"/>
      <c r="AO46" s="425">
        <v>4</v>
      </c>
      <c r="AP46" s="425">
        <v>3280.0000000000032</v>
      </c>
      <c r="AQ46" s="425">
        <v>820.0000000000008</v>
      </c>
      <c r="AR46" s="418">
        <f t="shared" si="21"/>
        <v>12</v>
      </c>
      <c r="AS46" s="560"/>
      <c r="AT46" s="425">
        <v>4</v>
      </c>
      <c r="AU46" s="425">
        <v>3248.0000000000027</v>
      </c>
      <c r="AV46" s="425">
        <v>812.00000000000068</v>
      </c>
      <c r="AW46" s="418">
        <f t="shared" si="23"/>
        <v>13</v>
      </c>
      <c r="AX46" s="560"/>
      <c r="AZ46" s="411" t="e">
        <f t="shared" si="25"/>
        <v>#N/A</v>
      </c>
      <c r="BA46" s="560"/>
    </row>
    <row r="47" spans="2:53">
      <c r="B47" s="611"/>
      <c r="C47" s="304">
        <v>6</v>
      </c>
      <c r="D47" s="392" t="s">
        <v>602</v>
      </c>
      <c r="E47" s="392">
        <v>4</v>
      </c>
      <c r="F47" s="392">
        <v>3200</v>
      </c>
      <c r="G47" s="182">
        <v>800</v>
      </c>
      <c r="H47" s="560"/>
      <c r="I47" s="400">
        <f t="shared" si="27"/>
        <v>4</v>
      </c>
      <c r="J47" s="400">
        <f t="shared" si="28"/>
        <v>3269.1703296703367</v>
      </c>
      <c r="K47" s="200">
        <f t="shared" si="29"/>
        <v>817.29258241758419</v>
      </c>
      <c r="L47" s="581"/>
      <c r="M47" s="199">
        <f>RANK(K47, K$42:$K$71)</f>
        <v>10</v>
      </c>
      <c r="N47" s="567"/>
      <c r="O47" s="567"/>
      <c r="P47" s="425">
        <v>4</v>
      </c>
      <c r="Q47" s="425">
        <v>3372.0000000000123</v>
      </c>
      <c r="R47" s="425">
        <v>843.00000000000307</v>
      </c>
      <c r="S47" s="418">
        <f t="shared" si="11"/>
        <v>11</v>
      </c>
      <c r="T47" s="560"/>
      <c r="U47" s="425">
        <v>4</v>
      </c>
      <c r="V47" s="425">
        <v>3142.4999999999959</v>
      </c>
      <c r="W47" s="425">
        <v>785.62499999999898</v>
      </c>
      <c r="X47" s="418">
        <f t="shared" si="13"/>
        <v>14</v>
      </c>
      <c r="Y47" s="560"/>
      <c r="Z47" s="425">
        <v>4</v>
      </c>
      <c r="AA47" s="425">
        <v>3319.9999999999941</v>
      </c>
      <c r="AB47" s="425">
        <v>829.99999999999852</v>
      </c>
      <c r="AC47" s="418">
        <f t="shared" si="15"/>
        <v>11</v>
      </c>
      <c r="AD47" s="560"/>
      <c r="AE47" s="425">
        <v>4</v>
      </c>
      <c r="AF47" s="425">
        <v>3327.6923076923194</v>
      </c>
      <c r="AG47" s="425">
        <v>831.92307692307986</v>
      </c>
      <c r="AH47" s="418">
        <f t="shared" si="17"/>
        <v>12</v>
      </c>
      <c r="AI47" s="560"/>
      <c r="AJ47" s="425">
        <v>4</v>
      </c>
      <c r="AK47" s="425">
        <v>3110.0000000000114</v>
      </c>
      <c r="AL47" s="425">
        <v>777.50000000000284</v>
      </c>
      <c r="AM47" s="418">
        <f t="shared" si="19"/>
        <v>12</v>
      </c>
      <c r="AN47" s="560"/>
      <c r="AO47" s="425">
        <v>4</v>
      </c>
      <c r="AP47" s="425">
        <v>3320.0000000000118</v>
      </c>
      <c r="AQ47" s="425">
        <v>830.00000000000296</v>
      </c>
      <c r="AR47" s="418">
        <f t="shared" si="21"/>
        <v>11</v>
      </c>
      <c r="AS47" s="560"/>
      <c r="AT47" s="425">
        <v>4</v>
      </c>
      <c r="AU47" s="425">
        <v>3292.0000000000114</v>
      </c>
      <c r="AV47" s="425">
        <v>823.00000000000284</v>
      </c>
      <c r="AW47" s="418">
        <f t="shared" si="23"/>
        <v>12</v>
      </c>
      <c r="AX47" s="560"/>
      <c r="AZ47" s="411" t="e">
        <f t="shared" si="25"/>
        <v>#N/A</v>
      </c>
      <c r="BA47" s="560"/>
    </row>
    <row r="48" spans="2:53">
      <c r="B48" s="611"/>
      <c r="C48" s="304">
        <v>7</v>
      </c>
      <c r="D48" s="392" t="s">
        <v>343</v>
      </c>
      <c r="E48" s="392">
        <v>4</v>
      </c>
      <c r="F48" s="392">
        <v>2800</v>
      </c>
      <c r="G48" s="182">
        <v>700</v>
      </c>
      <c r="H48" s="560"/>
      <c r="I48" s="400">
        <f t="shared" si="27"/>
        <v>4</v>
      </c>
      <c r="J48" s="400">
        <f t="shared" si="28"/>
        <v>3228.8051948051952</v>
      </c>
      <c r="K48" s="200">
        <f t="shared" si="29"/>
        <v>807.20129870129881</v>
      </c>
      <c r="L48" s="581"/>
      <c r="M48" s="199">
        <f>RANK(K48, K$42:$K$71)</f>
        <v>13</v>
      </c>
      <c r="N48" s="567"/>
      <c r="O48" s="567"/>
      <c r="P48" s="425">
        <v>4</v>
      </c>
      <c r="Q48" s="425">
        <v>3270.0000000000009</v>
      </c>
      <c r="R48" s="425">
        <v>817.50000000000023</v>
      </c>
      <c r="S48" s="418">
        <f t="shared" si="11"/>
        <v>12</v>
      </c>
      <c r="T48" s="560"/>
      <c r="U48" s="425">
        <v>4</v>
      </c>
      <c r="V48" s="425">
        <v>3185.0000000000009</v>
      </c>
      <c r="W48" s="425">
        <v>796.25000000000023</v>
      </c>
      <c r="X48" s="418">
        <f t="shared" si="13"/>
        <v>12</v>
      </c>
      <c r="Y48" s="560"/>
      <c r="Z48" s="425">
        <v>4</v>
      </c>
      <c r="AA48" s="425">
        <v>3230.0000000000009</v>
      </c>
      <c r="AB48" s="425">
        <v>807.50000000000023</v>
      </c>
      <c r="AC48" s="418">
        <f t="shared" si="15"/>
        <v>14</v>
      </c>
      <c r="AD48" s="560"/>
      <c r="AE48" s="425">
        <v>4</v>
      </c>
      <c r="AF48" s="425">
        <v>3437.9999999999991</v>
      </c>
      <c r="AG48" s="425">
        <v>859.49999999999977</v>
      </c>
      <c r="AH48" s="418">
        <f t="shared" si="17"/>
        <v>10</v>
      </c>
      <c r="AI48" s="560"/>
      <c r="AJ48" s="425">
        <v>4</v>
      </c>
      <c r="AK48" s="425">
        <v>2923.6363636363635</v>
      </c>
      <c r="AL48" s="425">
        <v>730.90909090909088</v>
      </c>
      <c r="AM48" s="418">
        <f t="shared" si="19"/>
        <v>16</v>
      </c>
      <c r="AN48" s="560"/>
      <c r="AO48" s="425">
        <v>4</v>
      </c>
      <c r="AP48" s="425">
        <v>3260.0000000000009</v>
      </c>
      <c r="AQ48" s="425">
        <v>815.00000000000023</v>
      </c>
      <c r="AR48" s="418">
        <f t="shared" si="21"/>
        <v>13</v>
      </c>
      <c r="AS48" s="560"/>
      <c r="AT48" s="425">
        <v>4</v>
      </c>
      <c r="AU48" s="425">
        <v>3295.0000000000009</v>
      </c>
      <c r="AV48" s="425">
        <v>823.75000000000023</v>
      </c>
      <c r="AW48" s="418">
        <f t="shared" si="23"/>
        <v>11</v>
      </c>
      <c r="AX48" s="560"/>
      <c r="AZ48" s="411" t="e">
        <f t="shared" si="25"/>
        <v>#N/A</v>
      </c>
      <c r="BA48" s="560"/>
    </row>
    <row r="49" spans="2:53">
      <c r="B49" s="611"/>
      <c r="C49" s="304">
        <v>8</v>
      </c>
      <c r="D49" s="392" t="s">
        <v>344</v>
      </c>
      <c r="E49" s="392">
        <v>3</v>
      </c>
      <c r="F49" s="392">
        <v>3200</v>
      </c>
      <c r="G49" s="182">
        <v>1066.6666666666667</v>
      </c>
      <c r="H49" s="560"/>
      <c r="I49" s="400">
        <f t="shared" si="27"/>
        <v>3</v>
      </c>
      <c r="J49" s="400">
        <f t="shared" si="28"/>
        <v>3244.166091051809</v>
      </c>
      <c r="K49" s="200">
        <f t="shared" si="29"/>
        <v>1081.3886970172698</v>
      </c>
      <c r="L49" s="581"/>
      <c r="M49" s="199">
        <f>RANK(K49, K$42:$K$71)</f>
        <v>3</v>
      </c>
      <c r="N49" s="567"/>
      <c r="O49" s="567"/>
      <c r="P49" s="425">
        <v>3</v>
      </c>
      <c r="Q49" s="425">
        <v>3220.0000000000073</v>
      </c>
      <c r="R49" s="425">
        <v>1073.3333333333358</v>
      </c>
      <c r="S49" s="418">
        <f t="shared" si="11"/>
        <v>6</v>
      </c>
      <c r="T49" s="560"/>
      <c r="U49" s="425">
        <v>3</v>
      </c>
      <c r="V49" s="425">
        <v>3108.0000000000073</v>
      </c>
      <c r="W49" s="425">
        <v>1036.0000000000025</v>
      </c>
      <c r="X49" s="418">
        <f t="shared" si="13"/>
        <v>7</v>
      </c>
      <c r="Y49" s="560"/>
      <c r="Z49" s="425">
        <v>3</v>
      </c>
      <c r="AA49" s="425">
        <v>3291.4285714285784</v>
      </c>
      <c r="AB49" s="425">
        <v>1097.1428571428594</v>
      </c>
      <c r="AC49" s="418">
        <f t="shared" si="15"/>
        <v>2</v>
      </c>
      <c r="AD49" s="560"/>
      <c r="AE49" s="425">
        <v>3</v>
      </c>
      <c r="AF49" s="425">
        <v>3233.0769230769192</v>
      </c>
      <c r="AG49" s="425">
        <v>1077.6923076923065</v>
      </c>
      <c r="AH49" s="418">
        <f t="shared" si="17"/>
        <v>4</v>
      </c>
      <c r="AI49" s="560"/>
      <c r="AJ49" s="425">
        <v>3</v>
      </c>
      <c r="AK49" s="425">
        <v>3172.7999999999961</v>
      </c>
      <c r="AL49" s="425">
        <v>1057.5999999999988</v>
      </c>
      <c r="AM49" s="418">
        <f t="shared" si="19"/>
        <v>3</v>
      </c>
      <c r="AN49" s="560"/>
      <c r="AO49" s="425">
        <v>3</v>
      </c>
      <c r="AP49" s="425">
        <v>3266.0000000000073</v>
      </c>
      <c r="AQ49" s="425">
        <v>1088.666666666669</v>
      </c>
      <c r="AR49" s="418">
        <f t="shared" si="21"/>
        <v>4</v>
      </c>
      <c r="AS49" s="560"/>
      <c r="AT49" s="425">
        <v>3</v>
      </c>
      <c r="AU49" s="425">
        <v>3417.8571428571504</v>
      </c>
      <c r="AV49" s="425">
        <v>1139.2857142857167</v>
      </c>
      <c r="AW49" s="418">
        <f t="shared" si="23"/>
        <v>1</v>
      </c>
      <c r="AX49" s="560"/>
      <c r="AZ49" s="411" t="e">
        <f t="shared" si="25"/>
        <v>#N/A</v>
      </c>
      <c r="BA49" s="560"/>
    </row>
    <row r="50" spans="2:53">
      <c r="B50" s="611"/>
      <c r="C50" s="304">
        <v>9</v>
      </c>
      <c r="D50" s="392" t="s">
        <v>345</v>
      </c>
      <c r="E50" s="392">
        <v>3</v>
      </c>
      <c r="F50" s="392">
        <v>2800</v>
      </c>
      <c r="G50" s="182">
        <v>933.33333333333337</v>
      </c>
      <c r="H50" s="560"/>
      <c r="I50" s="400">
        <f t="shared" si="27"/>
        <v>3</v>
      </c>
      <c r="J50" s="400">
        <f t="shared" si="28"/>
        <v>3216.4069858350849</v>
      </c>
      <c r="K50" s="200">
        <f t="shared" si="29"/>
        <v>1072.1356619450285</v>
      </c>
      <c r="L50" s="581"/>
      <c r="M50" s="199">
        <f>RANK(K50, K$42:$K$71)</f>
        <v>5</v>
      </c>
      <c r="N50" s="567"/>
      <c r="O50" s="567"/>
      <c r="P50" s="425">
        <v>3</v>
      </c>
      <c r="Q50" s="425">
        <v>3247.2727272727275</v>
      </c>
      <c r="R50" s="425">
        <v>1082.4242424242425</v>
      </c>
      <c r="S50" s="418">
        <f t="shared" si="11"/>
        <v>3</v>
      </c>
      <c r="T50" s="560"/>
      <c r="U50" s="425">
        <v>3</v>
      </c>
      <c r="V50" s="425">
        <v>3127.0588235294117</v>
      </c>
      <c r="W50" s="425">
        <v>1042.3529411764705</v>
      </c>
      <c r="X50" s="418">
        <f t="shared" si="13"/>
        <v>6</v>
      </c>
      <c r="Y50" s="560"/>
      <c r="Z50" s="425">
        <v>3</v>
      </c>
      <c r="AA50" s="425">
        <v>3268.1249999999991</v>
      </c>
      <c r="AB50" s="425">
        <v>1089.3749999999998</v>
      </c>
      <c r="AC50" s="418">
        <f t="shared" si="15"/>
        <v>4</v>
      </c>
      <c r="AD50" s="560"/>
      <c r="AE50" s="425">
        <v>3</v>
      </c>
      <c r="AF50" s="425">
        <v>3206.8965517241359</v>
      </c>
      <c r="AG50" s="425">
        <v>1068.9655172413786</v>
      </c>
      <c r="AH50" s="418">
        <f t="shared" si="17"/>
        <v>6</v>
      </c>
      <c r="AI50" s="560"/>
      <c r="AJ50" s="425">
        <v>3</v>
      </c>
      <c r="AK50" s="425">
        <v>3171.4285714285693</v>
      </c>
      <c r="AL50" s="425">
        <v>1057.1428571428564</v>
      </c>
      <c r="AM50" s="418">
        <f t="shared" si="19"/>
        <v>4</v>
      </c>
      <c r="AN50" s="560"/>
      <c r="AO50" s="425">
        <v>3</v>
      </c>
      <c r="AP50" s="425">
        <v>3241.7142857142862</v>
      </c>
      <c r="AQ50" s="425">
        <v>1080.5714285714287</v>
      </c>
      <c r="AR50" s="418">
        <f t="shared" si="21"/>
        <v>5</v>
      </c>
      <c r="AS50" s="560"/>
      <c r="AT50" s="425">
        <v>3</v>
      </c>
      <c r="AU50" s="425">
        <v>3252.3529411764703</v>
      </c>
      <c r="AV50" s="425">
        <v>1084.1176470588234</v>
      </c>
      <c r="AW50" s="418">
        <f t="shared" si="23"/>
        <v>2</v>
      </c>
      <c r="AX50" s="560"/>
      <c r="AZ50" s="411" t="e">
        <f t="shared" si="25"/>
        <v>#N/A</v>
      </c>
      <c r="BA50" s="560"/>
    </row>
    <row r="51" spans="2:53">
      <c r="B51" s="611"/>
      <c r="C51" s="304">
        <v>10</v>
      </c>
      <c r="D51" s="392" t="s">
        <v>346</v>
      </c>
      <c r="E51" s="392">
        <v>4</v>
      </c>
      <c r="F51" s="392">
        <v>2800</v>
      </c>
      <c r="G51" s="182">
        <v>700</v>
      </c>
      <c r="H51" s="560"/>
      <c r="I51" s="400">
        <f t="shared" si="27"/>
        <v>4</v>
      </c>
      <c r="J51" s="400">
        <f t="shared" si="28"/>
        <v>3215.8215583791903</v>
      </c>
      <c r="K51" s="200">
        <f t="shared" si="29"/>
        <v>803.95538959479757</v>
      </c>
      <c r="L51" s="581"/>
      <c r="M51" s="199">
        <f>RANK(K51, K$42:$K$71)</f>
        <v>14</v>
      </c>
      <c r="N51" s="567"/>
      <c r="O51" s="567"/>
      <c r="P51" s="425">
        <v>4</v>
      </c>
      <c r="Q51" s="425">
        <v>3254.9999999999973</v>
      </c>
      <c r="R51" s="425">
        <v>813.74999999999932</v>
      </c>
      <c r="S51" s="418">
        <f t="shared" si="11"/>
        <v>13</v>
      </c>
      <c r="T51" s="560"/>
      <c r="U51" s="425">
        <v>4</v>
      </c>
      <c r="V51" s="425">
        <v>3191.3793103448297</v>
      </c>
      <c r="W51" s="425">
        <v>797.84482758620743</v>
      </c>
      <c r="X51" s="418">
        <f t="shared" si="13"/>
        <v>11</v>
      </c>
      <c r="Y51" s="560"/>
      <c r="Z51" s="425">
        <v>4</v>
      </c>
      <c r="AA51" s="425">
        <v>3238.888888888886</v>
      </c>
      <c r="AB51" s="425">
        <v>809.72222222222149</v>
      </c>
      <c r="AC51" s="418">
        <f t="shared" si="15"/>
        <v>13</v>
      </c>
      <c r="AD51" s="560"/>
      <c r="AE51" s="425">
        <v>4</v>
      </c>
      <c r="AF51" s="425">
        <v>3269.36170212766</v>
      </c>
      <c r="AG51" s="425">
        <v>817.340425531915</v>
      </c>
      <c r="AH51" s="418">
        <f t="shared" si="17"/>
        <v>13</v>
      </c>
      <c r="AI51" s="560"/>
      <c r="AJ51" s="425">
        <v>4</v>
      </c>
      <c r="AK51" s="425">
        <v>3144.782608695647</v>
      </c>
      <c r="AL51" s="425">
        <v>786.19565217391175</v>
      </c>
      <c r="AM51" s="418">
        <f t="shared" si="19"/>
        <v>10</v>
      </c>
      <c r="AN51" s="560"/>
      <c r="AO51" s="425">
        <v>4</v>
      </c>
      <c r="AP51" s="425">
        <v>3208.9655172413773</v>
      </c>
      <c r="AQ51" s="425">
        <v>802.24137931034431</v>
      </c>
      <c r="AR51" s="418">
        <f t="shared" si="21"/>
        <v>14</v>
      </c>
      <c r="AS51" s="560"/>
      <c r="AT51" s="425">
        <v>4</v>
      </c>
      <c r="AU51" s="425">
        <v>3202.3728813559351</v>
      </c>
      <c r="AV51" s="425">
        <v>800.59322033898377</v>
      </c>
      <c r="AW51" s="418">
        <f t="shared" si="23"/>
        <v>14</v>
      </c>
      <c r="AX51" s="560"/>
      <c r="AZ51" s="411" t="e">
        <f t="shared" si="25"/>
        <v>#N/A</v>
      </c>
      <c r="BA51" s="560"/>
    </row>
    <row r="52" spans="2:53">
      <c r="B52" s="611"/>
      <c r="C52" s="304">
        <v>11</v>
      </c>
      <c r="D52" s="392" t="s">
        <v>603</v>
      </c>
      <c r="E52" s="392">
        <v>4</v>
      </c>
      <c r="F52" s="392">
        <v>2800</v>
      </c>
      <c r="G52" s="182">
        <v>700</v>
      </c>
      <c r="H52" s="560"/>
      <c r="I52" s="400">
        <f t="shared" si="27"/>
        <v>4</v>
      </c>
      <c r="J52" s="400">
        <f t="shared" si="28"/>
        <v>2807.5687162216668</v>
      </c>
      <c r="K52" s="200">
        <f t="shared" si="29"/>
        <v>701.8921790554167</v>
      </c>
      <c r="L52" s="581"/>
      <c r="M52" s="199">
        <f>RANK(K52, K$42:$K$71)</f>
        <v>20</v>
      </c>
      <c r="N52" s="567"/>
      <c r="O52" s="567"/>
      <c r="P52" s="425">
        <v>4</v>
      </c>
      <c r="Q52" s="425">
        <v>2822.7272727272739</v>
      </c>
      <c r="R52" s="425">
        <v>705.68181818181847</v>
      </c>
      <c r="S52" s="418">
        <f t="shared" si="11"/>
        <v>19</v>
      </c>
      <c r="T52" s="560"/>
      <c r="U52" s="425">
        <v>4</v>
      </c>
      <c r="V52" s="425">
        <v>2781.818181818182</v>
      </c>
      <c r="W52" s="425">
        <v>695.4545454545455</v>
      </c>
      <c r="X52" s="418">
        <f t="shared" si="13"/>
        <v>19</v>
      </c>
      <c r="Y52" s="560"/>
      <c r="Z52" s="425">
        <v>4</v>
      </c>
      <c r="AA52" s="425">
        <v>2818.1249999999995</v>
      </c>
      <c r="AB52" s="425">
        <v>704.53124999999989</v>
      </c>
      <c r="AC52" s="418">
        <f t="shared" si="15"/>
        <v>20</v>
      </c>
      <c r="AD52" s="560"/>
      <c r="AE52" s="425">
        <v>4</v>
      </c>
      <c r="AF52" s="425">
        <v>2811.4285714285693</v>
      </c>
      <c r="AG52" s="425">
        <v>702.85714285714232</v>
      </c>
      <c r="AH52" s="418">
        <f t="shared" si="17"/>
        <v>18</v>
      </c>
      <c r="AI52" s="560"/>
      <c r="AJ52" s="425">
        <v>4</v>
      </c>
      <c r="AK52" s="425">
        <v>2768.5714285714289</v>
      </c>
      <c r="AL52" s="425">
        <v>692.14285714285722</v>
      </c>
      <c r="AM52" s="418">
        <f t="shared" si="19"/>
        <v>19</v>
      </c>
      <c r="AN52" s="560"/>
      <c r="AO52" s="425">
        <v>4</v>
      </c>
      <c r="AP52" s="425">
        <v>2821.7391304347825</v>
      </c>
      <c r="AQ52" s="425">
        <v>705.43478260869563</v>
      </c>
      <c r="AR52" s="418">
        <f t="shared" si="21"/>
        <v>19</v>
      </c>
      <c r="AS52" s="560"/>
      <c r="AT52" s="425">
        <v>4</v>
      </c>
      <c r="AU52" s="425">
        <v>2828.5714285714294</v>
      </c>
      <c r="AV52" s="425">
        <v>707.14285714285734</v>
      </c>
      <c r="AW52" s="418">
        <f t="shared" si="23"/>
        <v>20</v>
      </c>
      <c r="AX52" s="560"/>
      <c r="AZ52" s="411" t="e">
        <f t="shared" si="25"/>
        <v>#N/A</v>
      </c>
      <c r="BA52" s="560"/>
    </row>
    <row r="53" spans="2:53">
      <c r="B53" s="611"/>
      <c r="C53" s="304">
        <v>12</v>
      </c>
      <c r="D53" s="392" t="s">
        <v>604</v>
      </c>
      <c r="E53" s="392">
        <v>4</v>
      </c>
      <c r="F53" s="392">
        <v>2800</v>
      </c>
      <c r="G53" s="182">
        <v>700</v>
      </c>
      <c r="H53" s="560"/>
      <c r="I53" s="400">
        <f t="shared" si="27"/>
        <v>4</v>
      </c>
      <c r="J53" s="400">
        <f t="shared" si="28"/>
        <v>2857.4571428571471</v>
      </c>
      <c r="K53" s="200">
        <f t="shared" si="29"/>
        <v>714.36428571428678</v>
      </c>
      <c r="L53" s="581"/>
      <c r="M53" s="199">
        <f>RANK(K53, K$42:$K$71)</f>
        <v>18</v>
      </c>
      <c r="N53" s="567"/>
      <c r="O53" s="567"/>
      <c r="P53" s="425">
        <v>4</v>
      </c>
      <c r="Q53" s="425">
        <v>3153.0000000000114</v>
      </c>
      <c r="R53" s="425">
        <v>788.25000000000284</v>
      </c>
      <c r="S53" s="418">
        <f t="shared" si="11"/>
        <v>15</v>
      </c>
      <c r="T53" s="560"/>
      <c r="U53" s="425">
        <v>4</v>
      </c>
      <c r="V53" s="425">
        <v>2985.0000000000105</v>
      </c>
      <c r="W53" s="425">
        <v>746.25000000000261</v>
      </c>
      <c r="X53" s="418">
        <f t="shared" si="13"/>
        <v>17</v>
      </c>
      <c r="Y53" s="560"/>
      <c r="Z53" s="425">
        <v>4</v>
      </c>
      <c r="AA53" s="425">
        <v>2850.00000000001</v>
      </c>
      <c r="AB53" s="425">
        <v>712.5000000000025</v>
      </c>
      <c r="AC53" s="418">
        <f t="shared" si="15"/>
        <v>19</v>
      </c>
      <c r="AD53" s="560"/>
      <c r="AE53" s="425">
        <v>4</v>
      </c>
      <c r="AF53" s="425">
        <v>2679.0000000000095</v>
      </c>
      <c r="AG53" s="425">
        <v>669.75000000000239</v>
      </c>
      <c r="AH53" s="418">
        <f t="shared" si="17"/>
        <v>20</v>
      </c>
      <c r="AI53" s="560"/>
      <c r="AJ53" s="425">
        <v>4</v>
      </c>
      <c r="AK53" s="425">
        <v>2880.00000000001</v>
      </c>
      <c r="AL53" s="425">
        <v>720.0000000000025</v>
      </c>
      <c r="AM53" s="418">
        <f t="shared" si="19"/>
        <v>18</v>
      </c>
      <c r="AN53" s="560"/>
      <c r="AO53" s="425">
        <v>4</v>
      </c>
      <c r="AP53" s="425">
        <v>2503.1999999999925</v>
      </c>
      <c r="AQ53" s="425">
        <v>625.79999999999814</v>
      </c>
      <c r="AR53" s="418">
        <f t="shared" si="21"/>
        <v>20</v>
      </c>
      <c r="AS53" s="560"/>
      <c r="AT53" s="425">
        <v>4</v>
      </c>
      <c r="AU53" s="425">
        <v>2951.9999999999868</v>
      </c>
      <c r="AV53" s="425">
        <v>737.9999999999967</v>
      </c>
      <c r="AW53" s="418">
        <f t="shared" si="23"/>
        <v>17</v>
      </c>
      <c r="AX53" s="560"/>
      <c r="AZ53" s="411" t="e">
        <f t="shared" si="25"/>
        <v>#N/A</v>
      </c>
      <c r="BA53" s="560"/>
    </row>
    <row r="54" spans="2:53">
      <c r="B54" s="611"/>
      <c r="C54" s="304">
        <v>13</v>
      </c>
      <c r="D54" s="392" t="s">
        <v>605</v>
      </c>
      <c r="E54" s="392">
        <v>3</v>
      </c>
      <c r="F54" s="392">
        <v>2800</v>
      </c>
      <c r="G54" s="182">
        <v>933.33333333333337</v>
      </c>
      <c r="H54" s="560"/>
      <c r="I54" s="400">
        <f t="shared" si="27"/>
        <v>3</v>
      </c>
      <c r="J54" s="400">
        <f t="shared" si="28"/>
        <v>3064.1142857142736</v>
      </c>
      <c r="K54" s="200">
        <f t="shared" si="29"/>
        <v>1021.3714285714244</v>
      </c>
      <c r="L54" s="581"/>
      <c r="M54" s="199">
        <f>RANK(K54, K$42:$K$71)</f>
        <v>7</v>
      </c>
      <c r="N54" s="567"/>
      <c r="O54" s="567"/>
      <c r="P54" s="425">
        <v>3</v>
      </c>
      <c r="Q54" s="425">
        <v>3344.999999999985</v>
      </c>
      <c r="R54" s="425">
        <v>1114.999999999995</v>
      </c>
      <c r="S54" s="418">
        <f t="shared" si="11"/>
        <v>1</v>
      </c>
      <c r="T54" s="560"/>
      <c r="U54" s="425">
        <v>3</v>
      </c>
      <c r="V54" s="425">
        <v>3362.999999999985</v>
      </c>
      <c r="W54" s="425">
        <v>1120.999999999995</v>
      </c>
      <c r="X54" s="418">
        <f t="shared" si="13"/>
        <v>1</v>
      </c>
      <c r="Y54" s="560"/>
      <c r="Z54" s="425">
        <v>3</v>
      </c>
      <c r="AA54" s="425">
        <v>3125.9999999999859</v>
      </c>
      <c r="AB54" s="425">
        <v>1041.9999999999952</v>
      </c>
      <c r="AC54" s="418">
        <f t="shared" si="15"/>
        <v>7</v>
      </c>
      <c r="AD54" s="560"/>
      <c r="AE54" s="425">
        <v>3</v>
      </c>
      <c r="AF54" s="425">
        <v>2948.9999999999868</v>
      </c>
      <c r="AG54" s="425">
        <v>982.99999999999557</v>
      </c>
      <c r="AH54" s="418">
        <f t="shared" si="17"/>
        <v>8</v>
      </c>
      <c r="AI54" s="560"/>
      <c r="AJ54" s="425">
        <v>3</v>
      </c>
      <c r="AK54" s="425">
        <v>3140.9999999999859</v>
      </c>
      <c r="AL54" s="425">
        <v>1046.9999999999952</v>
      </c>
      <c r="AM54" s="418">
        <f t="shared" si="19"/>
        <v>6</v>
      </c>
      <c r="AN54" s="560"/>
      <c r="AO54" s="425">
        <v>3</v>
      </c>
      <c r="AP54" s="425">
        <v>2793.5999999999922</v>
      </c>
      <c r="AQ54" s="425">
        <v>931.19999999999743</v>
      </c>
      <c r="AR54" s="418">
        <f t="shared" si="21"/>
        <v>9</v>
      </c>
      <c r="AS54" s="560"/>
      <c r="AT54" s="425">
        <v>3</v>
      </c>
      <c r="AU54" s="425">
        <v>2731.1999999999921</v>
      </c>
      <c r="AV54" s="425">
        <v>910.39999999999736</v>
      </c>
      <c r="AW54" s="418">
        <f t="shared" si="23"/>
        <v>8</v>
      </c>
      <c r="AX54" s="560"/>
      <c r="AZ54" s="411" t="e">
        <f t="shared" si="25"/>
        <v>#N/A</v>
      </c>
      <c r="BA54" s="560"/>
    </row>
    <row r="55" spans="2:53">
      <c r="B55" s="611"/>
      <c r="C55" s="304">
        <v>14</v>
      </c>
      <c r="D55" s="392" t="s">
        <v>606</v>
      </c>
      <c r="E55" s="392">
        <v>4</v>
      </c>
      <c r="F55" s="392">
        <v>2200</v>
      </c>
      <c r="G55" s="182">
        <v>550</v>
      </c>
      <c r="H55" s="560"/>
      <c r="I55" s="400">
        <f t="shared" si="27"/>
        <v>3</v>
      </c>
      <c r="J55" s="400">
        <f t="shared" si="28"/>
        <v>2208.2857142857142</v>
      </c>
      <c r="K55" s="200">
        <f t="shared" si="29"/>
        <v>736.09523809523785</v>
      </c>
      <c r="L55" s="581"/>
      <c r="M55" s="199">
        <f>RANK(K55, K$42:$K$71)</f>
        <v>17</v>
      </c>
      <c r="N55" s="567"/>
      <c r="O55" s="567"/>
      <c r="P55" s="425">
        <v>3</v>
      </c>
      <c r="Q55" s="425">
        <v>2158.6666666666665</v>
      </c>
      <c r="R55" s="425">
        <v>719.55555555555554</v>
      </c>
      <c r="S55" s="418">
        <f t="shared" si="11"/>
        <v>18</v>
      </c>
      <c r="T55" s="560"/>
      <c r="U55" s="425">
        <v>3</v>
      </c>
      <c r="V55" s="425">
        <v>2342.9999999999991</v>
      </c>
      <c r="W55" s="425">
        <v>780.99999999999966</v>
      </c>
      <c r="X55" s="418">
        <f t="shared" si="13"/>
        <v>15</v>
      </c>
      <c r="Y55" s="560"/>
      <c r="Z55" s="425">
        <v>3</v>
      </c>
      <c r="AA55" s="425">
        <v>2216.9999999999991</v>
      </c>
      <c r="AB55" s="425">
        <v>738.99999999999966</v>
      </c>
      <c r="AC55" s="418">
        <f t="shared" si="15"/>
        <v>17</v>
      </c>
      <c r="AD55" s="560"/>
      <c r="AE55" s="425">
        <v>3</v>
      </c>
      <c r="AF55" s="425">
        <v>2084.9999999999991</v>
      </c>
      <c r="AG55" s="425">
        <v>694.99999999999966</v>
      </c>
      <c r="AH55" s="418">
        <f t="shared" si="17"/>
        <v>19</v>
      </c>
      <c r="AI55" s="560"/>
      <c r="AJ55" s="425">
        <v>3</v>
      </c>
      <c r="AK55" s="425">
        <v>2276.9999999999991</v>
      </c>
      <c r="AL55" s="425">
        <v>758.99999999999966</v>
      </c>
      <c r="AM55" s="418">
        <f t="shared" si="19"/>
        <v>14</v>
      </c>
      <c r="AN55" s="560"/>
      <c r="AO55" s="425">
        <v>3</v>
      </c>
      <c r="AP55" s="425">
        <v>2193.3333333333335</v>
      </c>
      <c r="AQ55" s="425">
        <v>731.1111111111112</v>
      </c>
      <c r="AR55" s="418">
        <f t="shared" si="21"/>
        <v>17</v>
      </c>
      <c r="AS55" s="560"/>
      <c r="AT55" s="425">
        <v>3</v>
      </c>
      <c r="AU55" s="425">
        <v>2184</v>
      </c>
      <c r="AV55" s="425">
        <v>728</v>
      </c>
      <c r="AW55" s="418">
        <f t="shared" si="23"/>
        <v>18</v>
      </c>
      <c r="AX55" s="560"/>
      <c r="AZ55" s="411" t="e">
        <f t="shared" si="25"/>
        <v>#N/A</v>
      </c>
      <c r="BA55" s="560"/>
    </row>
    <row r="56" spans="2:53">
      <c r="B56" s="611"/>
      <c r="C56" s="304">
        <v>15</v>
      </c>
      <c r="D56" s="392" t="s">
        <v>676</v>
      </c>
      <c r="E56" s="392">
        <v>8</v>
      </c>
      <c r="F56" s="392">
        <v>1500</v>
      </c>
      <c r="G56" s="182">
        <v>187.5</v>
      </c>
      <c r="H56" s="560"/>
      <c r="I56" s="400">
        <f t="shared" si="27"/>
        <v>12</v>
      </c>
      <c r="J56" s="400">
        <f t="shared" si="28"/>
        <v>1407.9272742845881</v>
      </c>
      <c r="K56" s="200">
        <f t="shared" si="29"/>
        <v>117.327272857049</v>
      </c>
      <c r="L56" s="581"/>
      <c r="M56" s="199">
        <f>RANK(K56, K$42:$K$71)</f>
        <v>21</v>
      </c>
      <c r="N56" s="567"/>
      <c r="O56" s="567"/>
      <c r="P56" s="425">
        <v>12</v>
      </c>
      <c r="Q56" s="425">
        <v>1386.4285714285711</v>
      </c>
      <c r="R56" s="425">
        <v>115.53571428571426</v>
      </c>
      <c r="S56" s="418">
        <f t="shared" si="11"/>
        <v>21</v>
      </c>
      <c r="T56" s="560"/>
      <c r="U56" s="425">
        <v>12</v>
      </c>
      <c r="V56" s="425">
        <v>1439.9999999999995</v>
      </c>
      <c r="W56" s="425">
        <v>119.99999999999996</v>
      </c>
      <c r="X56" s="418">
        <f t="shared" si="13"/>
        <v>21</v>
      </c>
      <c r="Y56" s="560"/>
      <c r="Z56" s="425">
        <v>12</v>
      </c>
      <c r="AA56" s="425">
        <v>1398.9473684210516</v>
      </c>
      <c r="AB56" s="425">
        <v>116.57894736842097</v>
      </c>
      <c r="AC56" s="418">
        <f t="shared" si="15"/>
        <v>21</v>
      </c>
      <c r="AD56" s="560"/>
      <c r="AE56" s="425">
        <v>12</v>
      </c>
      <c r="AF56" s="425">
        <v>1393.0434782608681</v>
      </c>
      <c r="AG56" s="425">
        <v>116.08695652173901</v>
      </c>
      <c r="AH56" s="418">
        <f t="shared" si="17"/>
        <v>21</v>
      </c>
      <c r="AI56" s="560"/>
      <c r="AJ56" s="425">
        <v>12</v>
      </c>
      <c r="AK56" s="425">
        <v>1389.7297297297287</v>
      </c>
      <c r="AL56" s="425">
        <v>115.81081081081072</v>
      </c>
      <c r="AM56" s="418">
        <f t="shared" si="19"/>
        <v>21</v>
      </c>
      <c r="AN56" s="560"/>
      <c r="AO56" s="425">
        <v>12</v>
      </c>
      <c r="AP56" s="425">
        <v>1423.2911392405056</v>
      </c>
      <c r="AQ56" s="425">
        <v>118.60759493670879</v>
      </c>
      <c r="AR56" s="418">
        <f t="shared" si="21"/>
        <v>21</v>
      </c>
      <c r="AS56" s="560"/>
      <c r="AT56" s="425">
        <v>12</v>
      </c>
      <c r="AU56" s="425">
        <v>1424.0506329113916</v>
      </c>
      <c r="AV56" s="425">
        <v>118.6708860759493</v>
      </c>
      <c r="AW56" s="418">
        <f t="shared" si="23"/>
        <v>21</v>
      </c>
      <c r="AX56" s="560"/>
      <c r="AZ56" s="411" t="e">
        <f t="shared" si="25"/>
        <v>#N/A</v>
      </c>
      <c r="BA56" s="560"/>
    </row>
    <row r="57" spans="2:53">
      <c r="B57" s="611"/>
      <c r="C57" s="304">
        <v>16</v>
      </c>
      <c r="D57" s="392" t="s">
        <v>607</v>
      </c>
      <c r="E57" s="392">
        <v>3</v>
      </c>
      <c r="F57" s="392">
        <v>2800</v>
      </c>
      <c r="G57" s="182">
        <v>933.33333333333337</v>
      </c>
      <c r="H57" s="560"/>
      <c r="I57" s="400">
        <f t="shared" si="27"/>
        <v>3</v>
      </c>
      <c r="J57" s="400">
        <f t="shared" si="28"/>
        <v>2809.8834332887486</v>
      </c>
      <c r="K57" s="200">
        <f t="shared" si="29"/>
        <v>936.6278110962495</v>
      </c>
      <c r="L57" s="581"/>
      <c r="M57" s="199">
        <f>RANK(K57, K$42:$K$71)</f>
        <v>9</v>
      </c>
      <c r="N57" s="567"/>
      <c r="O57" s="567"/>
      <c r="P57" s="425">
        <v>3</v>
      </c>
      <c r="Q57" s="425">
        <v>2852.8571428571418</v>
      </c>
      <c r="R57" s="425">
        <v>950.95238095238062</v>
      </c>
      <c r="S57" s="418">
        <f t="shared" si="11"/>
        <v>9</v>
      </c>
      <c r="T57" s="560"/>
      <c r="U57" s="425">
        <v>3</v>
      </c>
      <c r="V57" s="425">
        <v>2740.909090909091</v>
      </c>
      <c r="W57" s="425">
        <v>913.63636363636363</v>
      </c>
      <c r="X57" s="418">
        <f t="shared" si="13"/>
        <v>9</v>
      </c>
      <c r="Y57" s="560"/>
      <c r="Z57" s="425">
        <v>3</v>
      </c>
      <c r="AA57" s="425">
        <v>2818.5714285714275</v>
      </c>
      <c r="AB57" s="425">
        <v>939.52380952380918</v>
      </c>
      <c r="AC57" s="418">
        <f t="shared" si="15"/>
        <v>8</v>
      </c>
      <c r="AD57" s="560"/>
      <c r="AE57" s="425">
        <v>3</v>
      </c>
      <c r="AF57" s="425">
        <v>2849.9999999999977</v>
      </c>
      <c r="AG57" s="425">
        <v>949.9999999999992</v>
      </c>
      <c r="AH57" s="418">
        <f t="shared" si="17"/>
        <v>9</v>
      </c>
      <c r="AI57" s="560"/>
      <c r="AJ57" s="425">
        <v>3</v>
      </c>
      <c r="AK57" s="425">
        <v>2756.6666666666642</v>
      </c>
      <c r="AL57" s="425">
        <v>918.88888888888812</v>
      </c>
      <c r="AM57" s="418">
        <f t="shared" si="19"/>
        <v>9</v>
      </c>
      <c r="AN57" s="560"/>
      <c r="AO57" s="425">
        <v>3</v>
      </c>
      <c r="AP57" s="425">
        <v>2802.272727272727</v>
      </c>
      <c r="AQ57" s="425">
        <v>934.09090909090901</v>
      </c>
      <c r="AR57" s="418">
        <f t="shared" si="21"/>
        <v>8</v>
      </c>
      <c r="AS57" s="560"/>
      <c r="AT57" s="425">
        <v>3</v>
      </c>
      <c r="AU57" s="425">
        <v>2847.9069767441906</v>
      </c>
      <c r="AV57" s="425">
        <v>949.30232558139687</v>
      </c>
      <c r="AW57" s="418">
        <f t="shared" si="23"/>
        <v>7</v>
      </c>
      <c r="AX57" s="560"/>
      <c r="AZ57" s="411" t="e">
        <f t="shared" si="25"/>
        <v>#N/A</v>
      </c>
      <c r="BA57" s="560"/>
    </row>
    <row r="58" spans="2:53">
      <c r="B58" s="611"/>
      <c r="C58" s="304">
        <v>17</v>
      </c>
      <c r="D58" s="392" t="s">
        <v>608</v>
      </c>
      <c r="E58" s="392">
        <v>4</v>
      </c>
      <c r="F58" s="392">
        <v>2800</v>
      </c>
      <c r="G58" s="182">
        <v>700</v>
      </c>
      <c r="H58" s="560"/>
      <c r="I58" s="400">
        <f t="shared" si="27"/>
        <v>4</v>
      </c>
      <c r="J58" s="400">
        <f t="shared" si="28"/>
        <v>2833.3593221294827</v>
      </c>
      <c r="K58" s="200">
        <f t="shared" si="29"/>
        <v>708.33983053237068</v>
      </c>
      <c r="L58" s="581"/>
      <c r="M58" s="199">
        <f>RANK(K58, K$42:$K$71)</f>
        <v>19</v>
      </c>
      <c r="N58" s="567"/>
      <c r="O58" s="567"/>
      <c r="P58" s="425">
        <v>4</v>
      </c>
      <c r="Q58" s="425">
        <v>2816.363636363636</v>
      </c>
      <c r="R58" s="425">
        <v>704.09090909090901</v>
      </c>
      <c r="S58" s="418">
        <f t="shared" si="11"/>
        <v>20</v>
      </c>
      <c r="T58" s="560"/>
      <c r="U58" s="425">
        <v>4</v>
      </c>
      <c r="V58" s="425">
        <v>2801.8181818181847</v>
      </c>
      <c r="W58" s="425">
        <v>700.45454545454618</v>
      </c>
      <c r="X58" s="418">
        <f t="shared" si="13"/>
        <v>18</v>
      </c>
      <c r="Y58" s="560"/>
      <c r="Z58" s="425">
        <v>4</v>
      </c>
      <c r="AA58" s="425">
        <v>2864.5161290322571</v>
      </c>
      <c r="AB58" s="425">
        <v>716.12903225806429</v>
      </c>
      <c r="AC58" s="418">
        <f t="shared" si="15"/>
        <v>18</v>
      </c>
      <c r="AD58" s="560"/>
      <c r="AE58" s="425">
        <v>4</v>
      </c>
      <c r="AF58" s="425">
        <v>2900.7692307692273</v>
      </c>
      <c r="AG58" s="425">
        <v>725.19230769230683</v>
      </c>
      <c r="AH58" s="418">
        <f t="shared" si="17"/>
        <v>17</v>
      </c>
      <c r="AI58" s="560"/>
      <c r="AJ58" s="425">
        <v>4</v>
      </c>
      <c r="AK58" s="425">
        <v>2736.9230769230785</v>
      </c>
      <c r="AL58" s="425">
        <v>684.23076923076962</v>
      </c>
      <c r="AM58" s="418">
        <f t="shared" si="19"/>
        <v>20</v>
      </c>
      <c r="AN58" s="560"/>
      <c r="AO58" s="425">
        <v>4</v>
      </c>
      <c r="AP58" s="425">
        <v>2874.3749999999964</v>
      </c>
      <c r="AQ58" s="425">
        <v>718.59374999999909</v>
      </c>
      <c r="AR58" s="418">
        <f t="shared" si="21"/>
        <v>18</v>
      </c>
      <c r="AS58" s="560"/>
      <c r="AT58" s="425">
        <v>4</v>
      </c>
      <c r="AU58" s="425">
        <v>2838.7499999999995</v>
      </c>
      <c r="AV58" s="425">
        <v>709.68749999999989</v>
      </c>
      <c r="AW58" s="418">
        <f t="shared" si="23"/>
        <v>19</v>
      </c>
      <c r="AX58" s="560"/>
      <c r="AZ58" s="411" t="e">
        <f t="shared" si="25"/>
        <v>#N/A</v>
      </c>
      <c r="BA58" s="560"/>
    </row>
    <row r="59" spans="2:53">
      <c r="B59" s="611"/>
      <c r="C59" s="304">
        <v>18</v>
      </c>
      <c r="D59" s="392" t="s">
        <v>623</v>
      </c>
      <c r="E59" s="392">
        <v>12</v>
      </c>
      <c r="F59" s="392">
        <v>1500</v>
      </c>
      <c r="G59" s="182">
        <v>125</v>
      </c>
      <c r="H59" s="560"/>
      <c r="I59" s="400">
        <f t="shared" si="27"/>
        <v>12</v>
      </c>
      <c r="J59" s="400">
        <f t="shared" si="28"/>
        <v>1004.8571428571465</v>
      </c>
      <c r="K59" s="200">
        <f t="shared" si="29"/>
        <v>83.738095238095539</v>
      </c>
      <c r="L59" s="581"/>
      <c r="M59" s="199">
        <f>RANK(K59, K$42:$K$71)</f>
        <v>23</v>
      </c>
      <c r="N59" s="567"/>
      <c r="O59" s="567"/>
      <c r="P59" s="425">
        <v>12</v>
      </c>
      <c r="Q59" s="425">
        <v>1100.0000000000041</v>
      </c>
      <c r="R59" s="425">
        <v>91.666666666667012</v>
      </c>
      <c r="S59" s="418">
        <f t="shared" si="11"/>
        <v>23</v>
      </c>
      <c r="T59" s="560"/>
      <c r="U59" s="425">
        <v>12</v>
      </c>
      <c r="V59" s="425">
        <v>1020.0000000000036</v>
      </c>
      <c r="W59" s="425">
        <v>85.000000000000298</v>
      </c>
      <c r="X59" s="418">
        <f t="shared" si="13"/>
        <v>23</v>
      </c>
      <c r="Y59" s="560"/>
      <c r="Z59" s="425">
        <v>12</v>
      </c>
      <c r="AA59" s="425">
        <v>900.00000000000318</v>
      </c>
      <c r="AB59" s="425">
        <v>75.00000000000027</v>
      </c>
      <c r="AC59" s="418">
        <f t="shared" si="15"/>
        <v>23</v>
      </c>
      <c r="AD59" s="560"/>
      <c r="AE59" s="425">
        <v>12</v>
      </c>
      <c r="AF59" s="425">
        <v>924.0000000000033</v>
      </c>
      <c r="AG59" s="425">
        <v>77.00000000000027</v>
      </c>
      <c r="AH59" s="418">
        <f t="shared" si="17"/>
        <v>23</v>
      </c>
      <c r="AI59" s="560"/>
      <c r="AJ59" s="425">
        <v>12</v>
      </c>
      <c r="AK59" s="425">
        <v>1020.0000000000036</v>
      </c>
      <c r="AL59" s="425">
        <v>85.000000000000298</v>
      </c>
      <c r="AM59" s="418">
        <f t="shared" si="19"/>
        <v>23</v>
      </c>
      <c r="AN59" s="560"/>
      <c r="AO59" s="425">
        <v>12</v>
      </c>
      <c r="AP59" s="425">
        <v>930.0000000000033</v>
      </c>
      <c r="AQ59" s="425">
        <v>77.50000000000027</v>
      </c>
      <c r="AR59" s="418">
        <f t="shared" si="21"/>
        <v>23</v>
      </c>
      <c r="AS59" s="560"/>
      <c r="AT59" s="425">
        <v>12</v>
      </c>
      <c r="AU59" s="425">
        <v>1140.0000000000041</v>
      </c>
      <c r="AV59" s="425">
        <v>95.000000000000341</v>
      </c>
      <c r="AW59" s="418">
        <f t="shared" si="23"/>
        <v>23</v>
      </c>
      <c r="AX59" s="560"/>
      <c r="AZ59" s="411" t="e">
        <f t="shared" si="25"/>
        <v>#N/A</v>
      </c>
      <c r="BA59" s="560"/>
    </row>
    <row r="60" spans="2:53">
      <c r="B60" s="611"/>
      <c r="C60" s="304">
        <v>19</v>
      </c>
      <c r="D60" s="392" t="s">
        <v>630</v>
      </c>
      <c r="E60" s="392">
        <v>12</v>
      </c>
      <c r="F60" s="392">
        <v>1500</v>
      </c>
      <c r="G60" s="182">
        <v>125</v>
      </c>
      <c r="H60" s="560"/>
      <c r="I60" s="400">
        <f t="shared" si="27"/>
        <v>12</v>
      </c>
      <c r="J60" s="400">
        <f t="shared" si="28"/>
        <v>1290.4531003624011</v>
      </c>
      <c r="K60" s="200">
        <f t="shared" si="29"/>
        <v>107.5377583635334</v>
      </c>
      <c r="L60" s="581"/>
      <c r="M60" s="199">
        <f>RANK(K60, K$42:$K$71)</f>
        <v>22</v>
      </c>
      <c r="N60" s="567"/>
      <c r="O60" s="567"/>
      <c r="P60" s="425">
        <v>12</v>
      </c>
      <c r="Q60" s="425">
        <v>1318.2352941176455</v>
      </c>
      <c r="R60" s="425">
        <v>109.85294117647045</v>
      </c>
      <c r="S60" s="418">
        <f t="shared" si="11"/>
        <v>22</v>
      </c>
      <c r="T60" s="560"/>
      <c r="U60" s="425">
        <v>12</v>
      </c>
      <c r="V60" s="425">
        <v>1347.2727272727254</v>
      </c>
      <c r="W60" s="425">
        <v>112.27272727272712</v>
      </c>
      <c r="X60" s="418">
        <f t="shared" si="13"/>
        <v>22</v>
      </c>
      <c r="Y60" s="560"/>
      <c r="Z60" s="425">
        <v>12</v>
      </c>
      <c r="AA60" s="425">
        <v>1325.9999999999977</v>
      </c>
      <c r="AB60" s="425">
        <v>110.49999999999982</v>
      </c>
      <c r="AC60" s="418">
        <f t="shared" si="15"/>
        <v>22</v>
      </c>
      <c r="AD60" s="560"/>
      <c r="AE60" s="425">
        <v>12</v>
      </c>
      <c r="AF60" s="425">
        <v>1160.6896551724114</v>
      </c>
      <c r="AG60" s="425">
        <v>96.724137931034292</v>
      </c>
      <c r="AH60" s="418">
        <f t="shared" si="17"/>
        <v>22</v>
      </c>
      <c r="AI60" s="560"/>
      <c r="AJ60" s="425">
        <v>12</v>
      </c>
      <c r="AK60" s="425">
        <v>1326.4285714285684</v>
      </c>
      <c r="AL60" s="425">
        <v>110.53571428571404</v>
      </c>
      <c r="AM60" s="418">
        <f t="shared" si="19"/>
        <v>22</v>
      </c>
      <c r="AN60" s="560"/>
      <c r="AO60" s="425">
        <v>12</v>
      </c>
      <c r="AP60" s="425">
        <v>1294.5454545454529</v>
      </c>
      <c r="AQ60" s="425">
        <v>107.87878787878775</v>
      </c>
      <c r="AR60" s="418">
        <f t="shared" si="21"/>
        <v>22</v>
      </c>
      <c r="AS60" s="560"/>
      <c r="AT60" s="425">
        <v>12</v>
      </c>
      <c r="AU60" s="425">
        <v>1260.0000000000043</v>
      </c>
      <c r="AV60" s="425">
        <v>105.00000000000036</v>
      </c>
      <c r="AW60" s="418">
        <f t="shared" si="23"/>
        <v>22</v>
      </c>
      <c r="AX60" s="560"/>
      <c r="AZ60" s="411" t="e">
        <f t="shared" si="25"/>
        <v>#N/A</v>
      </c>
      <c r="BA60" s="560"/>
    </row>
    <row r="61" spans="2:53">
      <c r="B61" s="611"/>
      <c r="C61" s="304">
        <v>20</v>
      </c>
      <c r="D61" s="392" t="s">
        <v>641</v>
      </c>
      <c r="E61" s="392">
        <v>3</v>
      </c>
      <c r="F61" s="392">
        <v>3000</v>
      </c>
      <c r="G61" s="182">
        <v>933.33333333333337</v>
      </c>
      <c r="H61" s="560"/>
      <c r="I61" s="400">
        <f t="shared" si="27"/>
        <v>3</v>
      </c>
      <c r="J61" s="400">
        <f t="shared" si="28"/>
        <v>3002.8571428571454</v>
      </c>
      <c r="K61" s="200">
        <f t="shared" si="29"/>
        <v>1000.9523809523816</v>
      </c>
      <c r="L61" s="581"/>
      <c r="M61" s="199">
        <f>RANK(K61, K$42:$K$71)</f>
        <v>8</v>
      </c>
      <c r="N61" s="567"/>
      <c r="O61" s="567"/>
      <c r="P61" s="425">
        <v>3</v>
      </c>
      <c r="Q61" s="425">
        <v>3024.0000000000105</v>
      </c>
      <c r="R61" s="425">
        <v>1008.0000000000035</v>
      </c>
      <c r="S61" s="418">
        <f t="shared" si="11"/>
        <v>8</v>
      </c>
      <c r="T61" s="560"/>
      <c r="U61" s="425">
        <v>3</v>
      </c>
      <c r="V61" s="425">
        <v>2958.0000000000105</v>
      </c>
      <c r="W61" s="425">
        <v>986.00000000000352</v>
      </c>
      <c r="X61" s="418">
        <f t="shared" si="13"/>
        <v>8</v>
      </c>
      <c r="Y61" s="560"/>
      <c r="Z61" s="425">
        <v>3</v>
      </c>
      <c r="AA61" s="425">
        <v>2794.00000000001</v>
      </c>
      <c r="AB61" s="425">
        <v>931.33333333333667</v>
      </c>
      <c r="AC61" s="418">
        <f t="shared" si="15"/>
        <v>9</v>
      </c>
      <c r="AD61" s="560"/>
      <c r="AE61" s="425">
        <v>3</v>
      </c>
      <c r="AF61" s="425">
        <v>3062.3999999999915</v>
      </c>
      <c r="AG61" s="425">
        <v>1020.7999999999971</v>
      </c>
      <c r="AH61" s="418">
        <f t="shared" si="17"/>
        <v>7</v>
      </c>
      <c r="AI61" s="560"/>
      <c r="AJ61" s="425">
        <v>3</v>
      </c>
      <c r="AK61" s="425">
        <v>3117.5999999999913</v>
      </c>
      <c r="AL61" s="425">
        <v>1039.1999999999971</v>
      </c>
      <c r="AM61" s="418">
        <f t="shared" si="19"/>
        <v>8</v>
      </c>
      <c r="AN61" s="560"/>
      <c r="AO61" s="425">
        <v>3</v>
      </c>
      <c r="AP61" s="425">
        <v>3335.9999999999909</v>
      </c>
      <c r="AQ61" s="425">
        <v>1111.999999999997</v>
      </c>
      <c r="AR61" s="418">
        <f t="shared" si="21"/>
        <v>2</v>
      </c>
      <c r="AS61" s="560"/>
      <c r="AT61" s="425">
        <v>3</v>
      </c>
      <c r="AU61" s="425">
        <v>2728.0000000000095</v>
      </c>
      <c r="AV61" s="425">
        <v>909.33333333333655</v>
      </c>
      <c r="AW61" s="418">
        <f t="shared" si="23"/>
        <v>9</v>
      </c>
      <c r="AX61" s="560"/>
      <c r="AZ61" s="411" t="e">
        <f t="shared" si="25"/>
        <v>#N/A</v>
      </c>
      <c r="BA61" s="560"/>
    </row>
    <row r="62" spans="2:53">
      <c r="B62" s="611"/>
      <c r="C62" s="304">
        <v>21</v>
      </c>
      <c r="D62" s="395" t="s">
        <v>647</v>
      </c>
      <c r="E62" s="392">
        <v>4</v>
      </c>
      <c r="F62" s="392">
        <v>3200</v>
      </c>
      <c r="G62" s="182">
        <v>800</v>
      </c>
      <c r="H62" s="560"/>
      <c r="I62" s="400">
        <f t="shared" si="27"/>
        <v>4</v>
      </c>
      <c r="J62" s="400">
        <f t="shared" si="28"/>
        <v>3020.1563925905693</v>
      </c>
      <c r="K62" s="200">
        <f t="shared" si="29"/>
        <v>755.03909814764233</v>
      </c>
      <c r="L62" s="581"/>
      <c r="M62" s="199">
        <f>RANK(K62, K$42:$K$71)</f>
        <v>15</v>
      </c>
      <c r="N62" s="567"/>
      <c r="O62" s="567"/>
      <c r="P62" s="418">
        <v>4</v>
      </c>
      <c r="Q62" s="425">
        <v>3090.666666666667</v>
      </c>
      <c r="R62" s="425">
        <v>772.66666666666674</v>
      </c>
      <c r="S62" s="418">
        <f t="shared" si="11"/>
        <v>16</v>
      </c>
      <c r="T62" s="560"/>
      <c r="U62" s="418">
        <v>4</v>
      </c>
      <c r="V62" s="425">
        <v>2998.695652173908</v>
      </c>
      <c r="W62" s="425">
        <v>749.673913043477</v>
      </c>
      <c r="X62" s="418">
        <f t="shared" si="13"/>
        <v>16</v>
      </c>
      <c r="Y62" s="560"/>
      <c r="Z62" s="418">
        <v>4</v>
      </c>
      <c r="AA62" s="425">
        <v>3053.333333333333</v>
      </c>
      <c r="AB62" s="425">
        <v>763.33333333333326</v>
      </c>
      <c r="AC62" s="418">
        <f t="shared" si="15"/>
        <v>15</v>
      </c>
      <c r="AD62" s="560"/>
      <c r="AE62" s="418">
        <v>4</v>
      </c>
      <c r="AF62" s="425">
        <v>3020.0000000000045</v>
      </c>
      <c r="AG62" s="425">
        <v>755.00000000000114</v>
      </c>
      <c r="AH62" s="418">
        <f t="shared" si="17"/>
        <v>16</v>
      </c>
      <c r="AI62" s="560"/>
      <c r="AJ62" s="418">
        <v>4</v>
      </c>
      <c r="AK62" s="425">
        <v>2922.1621621621662</v>
      </c>
      <c r="AL62" s="425">
        <v>730.54054054054154</v>
      </c>
      <c r="AM62" s="418">
        <f t="shared" si="19"/>
        <v>17</v>
      </c>
      <c r="AN62" s="560"/>
      <c r="AO62" s="418">
        <v>4</v>
      </c>
      <c r="AP62" s="425">
        <v>3034.2857142857133</v>
      </c>
      <c r="AQ62" s="425">
        <v>758.57142857142833</v>
      </c>
      <c r="AR62" s="418">
        <f t="shared" si="21"/>
        <v>15</v>
      </c>
      <c r="AS62" s="560"/>
      <c r="AT62" s="418">
        <v>4</v>
      </c>
      <c r="AU62" s="425">
        <v>3021.9512195121938</v>
      </c>
      <c r="AV62" s="425">
        <v>755.48780487804845</v>
      </c>
      <c r="AW62" s="418">
        <f t="shared" si="23"/>
        <v>16</v>
      </c>
      <c r="AX62" s="560"/>
      <c r="AZ62" s="411" t="e">
        <f t="shared" si="25"/>
        <v>#N/A</v>
      </c>
      <c r="BA62" s="560"/>
    </row>
    <row r="63" spans="2:53">
      <c r="B63" s="611"/>
      <c r="C63" s="304">
        <v>22</v>
      </c>
      <c r="D63" s="392" t="s">
        <v>650</v>
      </c>
      <c r="E63" s="392">
        <v>4</v>
      </c>
      <c r="F63" s="392">
        <v>3200</v>
      </c>
      <c r="G63" s="392">
        <v>800</v>
      </c>
      <c r="H63" s="560"/>
      <c r="I63" s="400">
        <f t="shared" si="27"/>
        <v>4</v>
      </c>
      <c r="J63" s="400">
        <f t="shared" si="28"/>
        <v>2959.2462518082552</v>
      </c>
      <c r="K63" s="200">
        <f t="shared" si="29"/>
        <v>739.81156295206381</v>
      </c>
      <c r="L63" s="581"/>
      <c r="M63" s="199">
        <f>RANK(K63, K$42:$K$71)</f>
        <v>16</v>
      </c>
      <c r="N63" s="567"/>
      <c r="O63" s="567"/>
      <c r="P63" s="418">
        <v>4</v>
      </c>
      <c r="Q63" s="425">
        <v>3047.5862068965539</v>
      </c>
      <c r="R63" s="425">
        <v>761.89655172413848</v>
      </c>
      <c r="S63" s="418">
        <f t="shared" si="11"/>
        <v>17</v>
      </c>
      <c r="T63" s="560"/>
      <c r="U63" s="418">
        <v>4</v>
      </c>
      <c r="V63" s="425">
        <v>2571.5789473684231</v>
      </c>
      <c r="W63" s="425">
        <v>642.89473684210577</v>
      </c>
      <c r="X63" s="418">
        <f t="shared" si="13"/>
        <v>20</v>
      </c>
      <c r="Y63" s="560"/>
      <c r="Z63" s="418">
        <v>4</v>
      </c>
      <c r="AA63" s="425">
        <v>3009.6428571428596</v>
      </c>
      <c r="AB63" s="425">
        <v>752.4107142857149</v>
      </c>
      <c r="AC63" s="418">
        <f t="shared" si="15"/>
        <v>16</v>
      </c>
      <c r="AD63" s="560"/>
      <c r="AE63" s="418">
        <v>4</v>
      </c>
      <c r="AF63" s="425">
        <v>3057.4999999999955</v>
      </c>
      <c r="AG63" s="425">
        <v>764.37499999999886</v>
      </c>
      <c r="AH63" s="418">
        <f t="shared" si="17"/>
        <v>15</v>
      </c>
      <c r="AI63" s="560"/>
      <c r="AJ63" s="418">
        <v>4</v>
      </c>
      <c r="AK63" s="425">
        <v>2971.9148936170168</v>
      </c>
      <c r="AL63" s="425">
        <v>742.9787234042542</v>
      </c>
      <c r="AM63" s="418">
        <f t="shared" si="19"/>
        <v>15</v>
      </c>
      <c r="AN63" s="560"/>
      <c r="AO63" s="418">
        <v>4</v>
      </c>
      <c r="AP63" s="425">
        <v>3032.7272727272743</v>
      </c>
      <c r="AQ63" s="425">
        <v>758.18181818181858</v>
      </c>
      <c r="AR63" s="418">
        <f t="shared" si="21"/>
        <v>16</v>
      </c>
      <c r="AS63" s="560"/>
      <c r="AT63" s="418">
        <v>4</v>
      </c>
      <c r="AU63" s="425">
        <v>3023.7735849056621</v>
      </c>
      <c r="AV63" s="425">
        <v>755.94339622641553</v>
      </c>
      <c r="AW63" s="418">
        <f t="shared" si="23"/>
        <v>15</v>
      </c>
      <c r="AX63" s="560"/>
      <c r="AZ63" s="411" t="e">
        <f t="shared" si="25"/>
        <v>#N/A</v>
      </c>
      <c r="BA63" s="560"/>
    </row>
    <row r="64" spans="2:53">
      <c r="B64" s="611"/>
      <c r="C64" s="304">
        <v>23</v>
      </c>
      <c r="D64" s="392" t="s">
        <v>659</v>
      </c>
      <c r="E64" s="392">
        <v>3</v>
      </c>
      <c r="F64" s="392">
        <v>3200</v>
      </c>
      <c r="G64" s="392">
        <v>1066.6666666666667</v>
      </c>
      <c r="H64" s="560"/>
      <c r="I64" s="400">
        <f t="shared" si="27"/>
        <v>3</v>
      </c>
      <c r="J64" s="400">
        <f t="shared" si="28"/>
        <v>3214.1442036146764</v>
      </c>
      <c r="K64" s="200">
        <f t="shared" si="29"/>
        <v>1071.381401204892</v>
      </c>
      <c r="L64" s="581"/>
      <c r="M64" s="199">
        <f>RANK(K64, K$42:$K$71)</f>
        <v>6</v>
      </c>
      <c r="N64" s="567"/>
      <c r="O64" s="567"/>
      <c r="P64" s="418">
        <v>3</v>
      </c>
      <c r="Q64" s="425">
        <v>3217.5000000000009</v>
      </c>
      <c r="R64" s="425">
        <v>1072.5000000000002</v>
      </c>
      <c r="S64" s="418">
        <f t="shared" si="11"/>
        <v>7</v>
      </c>
      <c r="T64" s="560"/>
      <c r="U64" s="418">
        <v>3</v>
      </c>
      <c r="V64" s="425">
        <v>3156.6666666666683</v>
      </c>
      <c r="W64" s="425">
        <v>1052.2222222222229</v>
      </c>
      <c r="X64" s="418">
        <f t="shared" si="13"/>
        <v>5</v>
      </c>
      <c r="Y64" s="560"/>
      <c r="Z64" s="418">
        <v>3</v>
      </c>
      <c r="AA64" s="425">
        <v>3268.6363636363571</v>
      </c>
      <c r="AB64" s="425">
        <v>1089.5454545454525</v>
      </c>
      <c r="AC64" s="418">
        <f t="shared" si="15"/>
        <v>3</v>
      </c>
      <c r="AD64" s="560"/>
      <c r="AE64" s="418">
        <v>3</v>
      </c>
      <c r="AF64" s="425">
        <v>3233.6842105263136</v>
      </c>
      <c r="AG64" s="425">
        <v>1077.8947368421045</v>
      </c>
      <c r="AH64" s="418">
        <f t="shared" si="17"/>
        <v>3</v>
      </c>
      <c r="AI64" s="560"/>
      <c r="AJ64" s="418">
        <v>3</v>
      </c>
      <c r="AK64" s="425">
        <v>3181.6216216216194</v>
      </c>
      <c r="AL64" s="425">
        <v>1060.5405405405397</v>
      </c>
      <c r="AM64" s="418">
        <f t="shared" si="19"/>
        <v>2</v>
      </c>
      <c r="AN64" s="560"/>
      <c r="AO64" s="418">
        <v>3</v>
      </c>
      <c r="AP64" s="425">
        <v>3222.4390243902426</v>
      </c>
      <c r="AQ64" s="425">
        <v>1074.1463414634143</v>
      </c>
      <c r="AR64" s="418">
        <f t="shared" si="21"/>
        <v>7</v>
      </c>
      <c r="AS64" s="560"/>
      <c r="AT64" s="418">
        <v>3</v>
      </c>
      <c r="AU64" s="425">
        <v>3218.4615384615304</v>
      </c>
      <c r="AV64" s="425">
        <v>1072.8205128205102</v>
      </c>
      <c r="AW64" s="418">
        <f t="shared" si="23"/>
        <v>6</v>
      </c>
      <c r="AX64" s="560"/>
      <c r="AZ64" s="411" t="e">
        <f t="shared" si="25"/>
        <v>#N/A</v>
      </c>
      <c r="BA64" s="560"/>
    </row>
    <row r="65" spans="2:53">
      <c r="B65" s="611"/>
      <c r="C65" s="304">
        <v>24</v>
      </c>
      <c r="D65" s="392"/>
      <c r="E65" s="392"/>
      <c r="F65" s="392"/>
      <c r="G65" s="392"/>
      <c r="H65" s="560"/>
      <c r="I65" s="400" t="str">
        <f t="shared" si="27"/>
        <v>-</v>
      </c>
      <c r="J65" s="400" t="str">
        <f t="shared" si="28"/>
        <v>-</v>
      </c>
      <c r="K65" s="200" t="str">
        <f t="shared" si="29"/>
        <v>-</v>
      </c>
      <c r="L65" s="581"/>
      <c r="M65" s="199" t="e">
        <f>RANK(K65, K$42:$K$71)</f>
        <v>#VALUE!</v>
      </c>
      <c r="N65" s="567"/>
      <c r="O65" s="567"/>
      <c r="P65" s="418"/>
      <c r="Q65" s="418"/>
      <c r="R65" s="418"/>
      <c r="S65" s="418" t="e">
        <f t="shared" si="11"/>
        <v>#N/A</v>
      </c>
      <c r="T65" s="560"/>
      <c r="U65" s="418"/>
      <c r="V65" s="418"/>
      <c r="W65" s="418"/>
      <c r="X65" s="418" t="e">
        <f t="shared" si="13"/>
        <v>#N/A</v>
      </c>
      <c r="Y65" s="560"/>
      <c r="Z65" s="418"/>
      <c r="AA65" s="418"/>
      <c r="AB65" s="418"/>
      <c r="AC65" s="418" t="e">
        <f t="shared" si="15"/>
        <v>#N/A</v>
      </c>
      <c r="AD65" s="560"/>
      <c r="AE65" s="418"/>
      <c r="AF65" s="418"/>
      <c r="AG65" s="418"/>
      <c r="AH65" s="418" t="e">
        <f t="shared" si="17"/>
        <v>#N/A</v>
      </c>
      <c r="AI65" s="560"/>
      <c r="AJ65" s="418"/>
      <c r="AK65" s="418"/>
      <c r="AL65" s="418"/>
      <c r="AM65" s="418" t="e">
        <f t="shared" si="19"/>
        <v>#N/A</v>
      </c>
      <c r="AN65" s="560"/>
      <c r="AO65" s="418"/>
      <c r="AP65" s="418"/>
      <c r="AQ65" s="418"/>
      <c r="AR65" s="418" t="e">
        <f t="shared" si="21"/>
        <v>#N/A</v>
      </c>
      <c r="AS65" s="560"/>
      <c r="AT65" s="418"/>
      <c r="AU65" s="418"/>
      <c r="AV65" s="418"/>
      <c r="AW65" s="418" t="e">
        <f t="shared" si="23"/>
        <v>#N/A</v>
      </c>
      <c r="AX65" s="560"/>
      <c r="AZ65" s="411" t="e">
        <f t="shared" si="25"/>
        <v>#N/A</v>
      </c>
      <c r="BA65" s="560"/>
    </row>
    <row r="66" spans="2:53">
      <c r="B66" s="611"/>
      <c r="C66" s="304">
        <v>25</v>
      </c>
      <c r="D66" s="392"/>
      <c r="E66" s="392"/>
      <c r="F66" s="392"/>
      <c r="G66" s="392"/>
      <c r="H66" s="560"/>
      <c r="I66" s="400" t="str">
        <f t="shared" si="27"/>
        <v>-</v>
      </c>
      <c r="J66" s="400" t="str">
        <f t="shared" si="28"/>
        <v>-</v>
      </c>
      <c r="K66" s="200" t="str">
        <f t="shared" si="29"/>
        <v>-</v>
      </c>
      <c r="L66" s="581"/>
      <c r="M66" s="199" t="e">
        <f>RANK(K66, K$42:$K$71)</f>
        <v>#VALUE!</v>
      </c>
      <c r="N66" s="567"/>
      <c r="O66" s="567"/>
      <c r="P66" s="418"/>
      <c r="Q66" s="418"/>
      <c r="R66" s="418"/>
      <c r="S66" s="418" t="e">
        <f t="shared" si="11"/>
        <v>#N/A</v>
      </c>
      <c r="T66" s="560"/>
      <c r="U66" s="418"/>
      <c r="V66" s="418"/>
      <c r="W66" s="418"/>
      <c r="X66" s="418" t="e">
        <f t="shared" si="13"/>
        <v>#N/A</v>
      </c>
      <c r="Y66" s="560"/>
      <c r="Z66" s="418"/>
      <c r="AA66" s="418"/>
      <c r="AB66" s="418"/>
      <c r="AC66" s="418" t="e">
        <f t="shared" si="15"/>
        <v>#N/A</v>
      </c>
      <c r="AD66" s="560"/>
      <c r="AE66" s="418"/>
      <c r="AF66" s="418"/>
      <c r="AG66" s="418"/>
      <c r="AH66" s="418" t="e">
        <f t="shared" si="17"/>
        <v>#N/A</v>
      </c>
      <c r="AI66" s="560"/>
      <c r="AJ66" s="418"/>
      <c r="AK66" s="418"/>
      <c r="AL66" s="418"/>
      <c r="AM66" s="418" t="e">
        <f t="shared" si="19"/>
        <v>#N/A</v>
      </c>
      <c r="AN66" s="560"/>
      <c r="AO66" s="418"/>
      <c r="AP66" s="418"/>
      <c r="AQ66" s="418"/>
      <c r="AR66" s="418" t="e">
        <f t="shared" si="21"/>
        <v>#N/A</v>
      </c>
      <c r="AS66" s="560"/>
      <c r="AT66" s="418"/>
      <c r="AU66" s="418"/>
      <c r="AV66" s="418"/>
      <c r="AW66" s="418" t="e">
        <f t="shared" si="23"/>
        <v>#N/A</v>
      </c>
      <c r="AX66" s="560"/>
      <c r="AZ66" s="411" t="e">
        <f t="shared" si="25"/>
        <v>#N/A</v>
      </c>
      <c r="BA66" s="560"/>
    </row>
    <row r="67" spans="2:53">
      <c r="B67" s="611"/>
      <c r="C67" s="304">
        <v>26</v>
      </c>
      <c r="D67" s="392"/>
      <c r="E67" s="392"/>
      <c r="F67" s="392"/>
      <c r="G67" s="392"/>
      <c r="H67" s="560"/>
      <c r="I67" s="400" t="str">
        <f t="shared" si="27"/>
        <v>-</v>
      </c>
      <c r="J67" s="400" t="str">
        <f t="shared" si="28"/>
        <v>-</v>
      </c>
      <c r="K67" s="200" t="str">
        <f t="shared" si="29"/>
        <v>-</v>
      </c>
      <c r="L67" s="581"/>
      <c r="M67" s="199" t="e">
        <f>RANK(K67, K$42:$K$71)</f>
        <v>#VALUE!</v>
      </c>
      <c r="N67" s="567"/>
      <c r="O67" s="567"/>
      <c r="P67" s="418"/>
      <c r="Q67" s="418"/>
      <c r="R67" s="418"/>
      <c r="S67" s="418" t="e">
        <f t="shared" si="11"/>
        <v>#N/A</v>
      </c>
      <c r="T67" s="560"/>
      <c r="U67" s="418"/>
      <c r="V67" s="418"/>
      <c r="W67" s="418"/>
      <c r="X67" s="418" t="e">
        <f t="shared" si="13"/>
        <v>#N/A</v>
      </c>
      <c r="Y67" s="560"/>
      <c r="Z67" s="418"/>
      <c r="AA67" s="418"/>
      <c r="AB67" s="418"/>
      <c r="AC67" s="418" t="e">
        <f t="shared" si="15"/>
        <v>#N/A</v>
      </c>
      <c r="AD67" s="560"/>
      <c r="AE67" s="418"/>
      <c r="AF67" s="418"/>
      <c r="AG67" s="418"/>
      <c r="AH67" s="418" t="e">
        <f t="shared" si="17"/>
        <v>#N/A</v>
      </c>
      <c r="AI67" s="560"/>
      <c r="AJ67" s="418"/>
      <c r="AK67" s="418"/>
      <c r="AL67" s="418"/>
      <c r="AM67" s="418" t="e">
        <f t="shared" si="19"/>
        <v>#N/A</v>
      </c>
      <c r="AN67" s="560"/>
      <c r="AO67" s="418"/>
      <c r="AP67" s="418"/>
      <c r="AQ67" s="418"/>
      <c r="AR67" s="418" t="e">
        <f t="shared" si="21"/>
        <v>#N/A</v>
      </c>
      <c r="AS67" s="560"/>
      <c r="AT67" s="418"/>
      <c r="AU67" s="418"/>
      <c r="AV67" s="418"/>
      <c r="AW67" s="418" t="e">
        <f t="shared" si="23"/>
        <v>#N/A</v>
      </c>
      <c r="AX67" s="560"/>
      <c r="AZ67" s="411" t="e">
        <f t="shared" si="25"/>
        <v>#N/A</v>
      </c>
      <c r="BA67" s="560"/>
    </row>
    <row r="68" spans="2:53">
      <c r="B68" s="611"/>
      <c r="C68" s="304">
        <v>27</v>
      </c>
      <c r="D68" s="392"/>
      <c r="E68" s="392"/>
      <c r="F68" s="392"/>
      <c r="G68" s="392"/>
      <c r="H68" s="560"/>
      <c r="I68" s="400" t="str">
        <f t="shared" si="27"/>
        <v>-</v>
      </c>
      <c r="J68" s="400" t="str">
        <f t="shared" si="28"/>
        <v>-</v>
      </c>
      <c r="K68" s="200" t="str">
        <f t="shared" si="29"/>
        <v>-</v>
      </c>
      <c r="L68" s="581"/>
      <c r="M68" s="199" t="e">
        <f>RANK(K68, K$42:$K$71)</f>
        <v>#VALUE!</v>
      </c>
      <c r="N68" s="567"/>
      <c r="O68" s="567"/>
      <c r="P68" s="418"/>
      <c r="Q68" s="418"/>
      <c r="R68" s="418"/>
      <c r="S68" s="418" t="e">
        <f t="shared" si="11"/>
        <v>#N/A</v>
      </c>
      <c r="T68" s="560"/>
      <c r="U68" s="418"/>
      <c r="V68" s="418"/>
      <c r="W68" s="418"/>
      <c r="X68" s="418" t="e">
        <f t="shared" si="13"/>
        <v>#N/A</v>
      </c>
      <c r="Y68" s="560"/>
      <c r="Z68" s="418"/>
      <c r="AA68" s="418"/>
      <c r="AB68" s="418"/>
      <c r="AC68" s="418" t="e">
        <f t="shared" si="15"/>
        <v>#N/A</v>
      </c>
      <c r="AD68" s="560"/>
      <c r="AE68" s="418"/>
      <c r="AF68" s="418"/>
      <c r="AG68" s="418"/>
      <c r="AH68" s="418" t="e">
        <f t="shared" si="17"/>
        <v>#N/A</v>
      </c>
      <c r="AI68" s="560"/>
      <c r="AJ68" s="418"/>
      <c r="AK68" s="418"/>
      <c r="AL68" s="418"/>
      <c r="AM68" s="418" t="e">
        <f t="shared" si="19"/>
        <v>#N/A</v>
      </c>
      <c r="AN68" s="560"/>
      <c r="AO68" s="418"/>
      <c r="AP68" s="418"/>
      <c r="AQ68" s="418"/>
      <c r="AR68" s="418" t="e">
        <f t="shared" si="21"/>
        <v>#N/A</v>
      </c>
      <c r="AS68" s="560"/>
      <c r="AT68" s="418"/>
      <c r="AU68" s="418"/>
      <c r="AV68" s="418"/>
      <c r="AW68" s="418" t="e">
        <f t="shared" si="23"/>
        <v>#N/A</v>
      </c>
      <c r="AX68" s="560"/>
      <c r="AZ68" s="411" t="e">
        <f t="shared" si="25"/>
        <v>#N/A</v>
      </c>
      <c r="BA68" s="560"/>
    </row>
    <row r="69" spans="2:53">
      <c r="B69" s="611"/>
      <c r="C69" s="304">
        <v>28</v>
      </c>
      <c r="D69" s="392"/>
      <c r="E69" s="392"/>
      <c r="F69" s="392"/>
      <c r="G69" s="392"/>
      <c r="H69" s="560"/>
      <c r="I69" s="400" t="str">
        <f t="shared" si="27"/>
        <v>-</v>
      </c>
      <c r="J69" s="400" t="str">
        <f t="shared" si="28"/>
        <v>-</v>
      </c>
      <c r="K69" s="200" t="str">
        <f t="shared" si="29"/>
        <v>-</v>
      </c>
      <c r="L69" s="581"/>
      <c r="M69" s="199" t="e">
        <f>RANK(K69, K$42:$K$71)</f>
        <v>#VALUE!</v>
      </c>
      <c r="N69" s="567"/>
      <c r="O69" s="567"/>
      <c r="P69" s="418"/>
      <c r="Q69" s="418"/>
      <c r="R69" s="418"/>
      <c r="S69" s="418" t="e">
        <f t="shared" si="11"/>
        <v>#N/A</v>
      </c>
      <c r="T69" s="560"/>
      <c r="U69" s="418"/>
      <c r="V69" s="418"/>
      <c r="W69" s="418"/>
      <c r="X69" s="418" t="e">
        <f t="shared" si="13"/>
        <v>#N/A</v>
      </c>
      <c r="Y69" s="560"/>
      <c r="Z69" s="418"/>
      <c r="AA69" s="418"/>
      <c r="AB69" s="418"/>
      <c r="AC69" s="418" t="e">
        <f t="shared" si="15"/>
        <v>#N/A</v>
      </c>
      <c r="AD69" s="560"/>
      <c r="AE69" s="418"/>
      <c r="AF69" s="418"/>
      <c r="AG69" s="418"/>
      <c r="AH69" s="418" t="e">
        <f t="shared" si="17"/>
        <v>#N/A</v>
      </c>
      <c r="AI69" s="560"/>
      <c r="AJ69" s="418"/>
      <c r="AK69" s="418"/>
      <c r="AL69" s="418"/>
      <c r="AM69" s="418" t="e">
        <f t="shared" si="19"/>
        <v>#N/A</v>
      </c>
      <c r="AN69" s="560"/>
      <c r="AO69" s="418"/>
      <c r="AP69" s="418"/>
      <c r="AQ69" s="418"/>
      <c r="AR69" s="418" t="e">
        <f t="shared" si="21"/>
        <v>#N/A</v>
      </c>
      <c r="AS69" s="560"/>
      <c r="AT69" s="418"/>
      <c r="AU69" s="418"/>
      <c r="AV69" s="418"/>
      <c r="AW69" s="418" t="e">
        <f t="shared" si="23"/>
        <v>#N/A</v>
      </c>
      <c r="AX69" s="560"/>
      <c r="AZ69" s="411" t="e">
        <f t="shared" si="25"/>
        <v>#N/A</v>
      </c>
      <c r="BA69" s="560"/>
    </row>
    <row r="70" spans="2:53">
      <c r="B70" s="611"/>
      <c r="C70" s="304">
        <v>29</v>
      </c>
      <c r="D70" s="392"/>
      <c r="E70" s="392"/>
      <c r="F70" s="392"/>
      <c r="G70" s="392"/>
      <c r="H70" s="560"/>
      <c r="I70" s="400" t="str">
        <f t="shared" si="27"/>
        <v>-</v>
      </c>
      <c r="J70" s="400" t="str">
        <f t="shared" si="28"/>
        <v>-</v>
      </c>
      <c r="K70" s="200" t="str">
        <f t="shared" si="29"/>
        <v>-</v>
      </c>
      <c r="L70" s="581"/>
      <c r="M70" s="199" t="e">
        <f>RANK(K70, K$42:$K$71)</f>
        <v>#VALUE!</v>
      </c>
      <c r="N70" s="567"/>
      <c r="O70" s="567"/>
      <c r="P70" s="418"/>
      <c r="Q70" s="418"/>
      <c r="R70" s="418"/>
      <c r="S70" s="418" t="e">
        <f t="shared" si="11"/>
        <v>#N/A</v>
      </c>
      <c r="T70" s="560"/>
      <c r="U70" s="418"/>
      <c r="V70" s="418"/>
      <c r="W70" s="418"/>
      <c r="X70" s="418" t="e">
        <f t="shared" si="13"/>
        <v>#N/A</v>
      </c>
      <c r="Y70" s="560"/>
      <c r="Z70" s="418"/>
      <c r="AA70" s="418"/>
      <c r="AB70" s="418"/>
      <c r="AC70" s="418" t="e">
        <f t="shared" si="15"/>
        <v>#N/A</v>
      </c>
      <c r="AD70" s="560"/>
      <c r="AE70" s="418"/>
      <c r="AF70" s="418"/>
      <c r="AG70" s="418"/>
      <c r="AH70" s="418" t="e">
        <f t="shared" si="17"/>
        <v>#N/A</v>
      </c>
      <c r="AI70" s="560"/>
      <c r="AJ70" s="418"/>
      <c r="AK70" s="418"/>
      <c r="AL70" s="418"/>
      <c r="AM70" s="418" t="e">
        <f t="shared" si="19"/>
        <v>#N/A</v>
      </c>
      <c r="AN70" s="560"/>
      <c r="AO70" s="418"/>
      <c r="AP70" s="418"/>
      <c r="AQ70" s="418"/>
      <c r="AR70" s="418" t="e">
        <f t="shared" si="21"/>
        <v>#N/A</v>
      </c>
      <c r="AS70" s="560"/>
      <c r="AT70" s="418"/>
      <c r="AU70" s="418"/>
      <c r="AV70" s="418"/>
      <c r="AW70" s="418" t="e">
        <f t="shared" si="23"/>
        <v>#N/A</v>
      </c>
      <c r="AX70" s="560"/>
      <c r="AZ70" s="411" t="e">
        <f t="shared" si="25"/>
        <v>#N/A</v>
      </c>
      <c r="BA70" s="560"/>
    </row>
    <row r="71" spans="2:53">
      <c r="B71" s="612"/>
      <c r="C71" s="304">
        <v>30</v>
      </c>
      <c r="D71" s="392"/>
      <c r="E71" s="392"/>
      <c r="F71" s="392"/>
      <c r="G71" s="392"/>
      <c r="H71" s="561"/>
      <c r="I71" s="400" t="str">
        <f t="shared" si="27"/>
        <v>-</v>
      </c>
      <c r="J71" s="400" t="str">
        <f t="shared" si="28"/>
        <v>-</v>
      </c>
      <c r="K71" s="200" t="str">
        <f t="shared" si="29"/>
        <v>-</v>
      </c>
      <c r="L71" s="582"/>
      <c r="M71" s="199" t="e">
        <f>RANK(K71, K$42:$K$71)</f>
        <v>#VALUE!</v>
      </c>
      <c r="N71" s="568"/>
      <c r="O71" s="568"/>
      <c r="P71" s="418"/>
      <c r="Q71" s="418"/>
      <c r="R71" s="418"/>
      <c r="S71" s="418" t="e">
        <f t="shared" si="11"/>
        <v>#N/A</v>
      </c>
      <c r="T71" s="561"/>
      <c r="U71" s="418"/>
      <c r="V71" s="418"/>
      <c r="W71" s="418"/>
      <c r="X71" s="418" t="e">
        <f t="shared" si="13"/>
        <v>#N/A</v>
      </c>
      <c r="Y71" s="561"/>
      <c r="Z71" s="418"/>
      <c r="AA71" s="418"/>
      <c r="AB71" s="418"/>
      <c r="AC71" s="418" t="e">
        <f t="shared" si="15"/>
        <v>#N/A</v>
      </c>
      <c r="AD71" s="561"/>
      <c r="AE71" s="418"/>
      <c r="AF71" s="418"/>
      <c r="AG71" s="418"/>
      <c r="AH71" s="418" t="e">
        <f t="shared" si="17"/>
        <v>#N/A</v>
      </c>
      <c r="AI71" s="561"/>
      <c r="AJ71" s="418"/>
      <c r="AK71" s="418"/>
      <c r="AL71" s="418"/>
      <c r="AM71" s="418" t="e">
        <f t="shared" si="19"/>
        <v>#N/A</v>
      </c>
      <c r="AN71" s="561"/>
      <c r="AO71" s="418"/>
      <c r="AP71" s="418"/>
      <c r="AQ71" s="418"/>
      <c r="AR71" s="418" t="e">
        <f t="shared" si="21"/>
        <v>#N/A</v>
      </c>
      <c r="AS71" s="561"/>
      <c r="AT71" s="418"/>
      <c r="AU71" s="418"/>
      <c r="AV71" s="418"/>
      <c r="AW71" s="418" t="e">
        <f t="shared" si="23"/>
        <v>#N/A</v>
      </c>
      <c r="AX71" s="561"/>
      <c r="AZ71" s="411" t="e">
        <f t="shared" si="25"/>
        <v>#N/A</v>
      </c>
      <c r="BA71" s="561"/>
    </row>
    <row r="72" spans="2:53" ht="15.75">
      <c r="B72" s="608" t="s">
        <v>163</v>
      </c>
      <c r="C72" s="609"/>
      <c r="D72" s="609"/>
      <c r="E72" s="609"/>
      <c r="F72" s="609"/>
      <c r="G72" s="609"/>
      <c r="H72" s="609"/>
      <c r="I72" s="208"/>
      <c r="J72" s="203"/>
      <c r="K72" s="208"/>
      <c r="L72" s="208"/>
      <c r="M72" s="204"/>
      <c r="N72" s="566" t="s">
        <v>156</v>
      </c>
      <c r="O72" s="566" t="s">
        <v>155</v>
      </c>
      <c r="P72" s="592">
        <f>P37+7</f>
        <v>46154</v>
      </c>
      <c r="Q72" s="570"/>
      <c r="R72" s="570"/>
      <c r="S72" s="570"/>
      <c r="T72" s="570"/>
      <c r="U72" s="589">
        <f>P72+1</f>
        <v>46155</v>
      </c>
      <c r="V72" s="590"/>
      <c r="W72" s="590"/>
      <c r="X72" s="590"/>
      <c r="Y72" s="591"/>
      <c r="Z72" s="589">
        <f>U72+1</f>
        <v>46156</v>
      </c>
      <c r="AA72" s="590"/>
      <c r="AB72" s="590"/>
      <c r="AC72" s="590"/>
      <c r="AD72" s="591"/>
      <c r="AE72" s="589">
        <f>Z72+1</f>
        <v>46157</v>
      </c>
      <c r="AF72" s="590"/>
      <c r="AG72" s="590"/>
      <c r="AH72" s="590"/>
      <c r="AI72" s="591"/>
      <c r="AJ72" s="589">
        <f>AE72+1</f>
        <v>46158</v>
      </c>
      <c r="AK72" s="590"/>
      <c r="AL72" s="590"/>
      <c r="AM72" s="590"/>
      <c r="AN72" s="591"/>
      <c r="AO72" s="589">
        <f>AJ72+1</f>
        <v>46159</v>
      </c>
      <c r="AP72" s="590"/>
      <c r="AQ72" s="590"/>
      <c r="AR72" s="590"/>
      <c r="AS72" s="591"/>
      <c r="AT72" s="589">
        <f>AO72+1</f>
        <v>46160</v>
      </c>
      <c r="AU72" s="590"/>
      <c r="AV72" s="590"/>
      <c r="AW72" s="590"/>
      <c r="AX72" s="591"/>
    </row>
    <row r="73" spans="2:53" ht="15.75">
      <c r="B73" s="596"/>
      <c r="C73" s="596"/>
      <c r="D73" s="596"/>
      <c r="E73" s="596"/>
      <c r="F73" s="596"/>
      <c r="G73" s="596"/>
      <c r="H73" s="596"/>
      <c r="I73" s="205"/>
      <c r="J73" s="205"/>
      <c r="K73" s="205"/>
      <c r="L73" s="205"/>
      <c r="M73" s="206"/>
      <c r="N73" s="568"/>
      <c r="O73" s="568"/>
      <c r="P73" s="592" t="s">
        <v>318</v>
      </c>
      <c r="Q73" s="570"/>
      <c r="R73" s="570"/>
      <c r="S73" s="570"/>
      <c r="T73" s="570"/>
      <c r="U73" s="592" t="s">
        <v>319</v>
      </c>
      <c r="V73" s="570"/>
      <c r="W73" s="570"/>
      <c r="X73" s="570"/>
      <c r="Y73" s="570"/>
      <c r="Z73" s="592" t="s">
        <v>320</v>
      </c>
      <c r="AA73" s="570"/>
      <c r="AB73" s="570"/>
      <c r="AC73" s="570"/>
      <c r="AD73" s="570"/>
      <c r="AE73" s="592" t="s">
        <v>321</v>
      </c>
      <c r="AF73" s="570"/>
      <c r="AG73" s="570"/>
      <c r="AH73" s="570"/>
      <c r="AI73" s="570"/>
      <c r="AJ73" s="592" t="s">
        <v>322</v>
      </c>
      <c r="AK73" s="570"/>
      <c r="AL73" s="570"/>
      <c r="AM73" s="570"/>
      <c r="AN73" s="570"/>
      <c r="AO73" s="592" t="s">
        <v>323</v>
      </c>
      <c r="AP73" s="570"/>
      <c r="AQ73" s="570"/>
      <c r="AR73" s="570"/>
      <c r="AS73" s="570"/>
      <c r="AT73" s="592" t="s">
        <v>324</v>
      </c>
      <c r="AU73" s="570"/>
      <c r="AV73" s="570"/>
      <c r="AW73" s="570"/>
      <c r="AX73" s="570"/>
    </row>
    <row r="74" spans="2:53">
      <c r="B74" s="566" t="s">
        <v>468</v>
      </c>
      <c r="C74" s="597" t="s">
        <v>469</v>
      </c>
      <c r="D74" s="613"/>
      <c r="E74" s="583" t="s">
        <v>470</v>
      </c>
      <c r="F74" s="584"/>
      <c r="G74" s="585"/>
      <c r="H74" s="566" t="s">
        <v>471</v>
      </c>
      <c r="I74" s="620" t="s">
        <v>472</v>
      </c>
      <c r="J74" s="621"/>
      <c r="K74" s="622"/>
      <c r="L74" s="602" t="s">
        <v>471</v>
      </c>
      <c r="M74" s="602" t="s">
        <v>473</v>
      </c>
      <c r="N74" s="566"/>
      <c r="O74" s="566" t="s">
        <v>474</v>
      </c>
      <c r="P74" s="583" t="s">
        <v>475</v>
      </c>
      <c r="Q74" s="584"/>
      <c r="R74" s="584"/>
      <c r="S74" s="585"/>
      <c r="T74" s="566" t="s">
        <v>471</v>
      </c>
      <c r="U74" s="583" t="s">
        <v>475</v>
      </c>
      <c r="V74" s="584"/>
      <c r="W74" s="584"/>
      <c r="X74" s="585"/>
      <c r="Y74" s="566" t="s">
        <v>471</v>
      </c>
      <c r="Z74" s="583" t="s">
        <v>475</v>
      </c>
      <c r="AA74" s="584"/>
      <c r="AB74" s="584"/>
      <c r="AC74" s="585"/>
      <c r="AD74" s="566" t="s">
        <v>471</v>
      </c>
      <c r="AE74" s="583" t="s">
        <v>475</v>
      </c>
      <c r="AF74" s="584"/>
      <c r="AG74" s="584"/>
      <c r="AH74" s="585"/>
      <c r="AI74" s="566" t="s">
        <v>471</v>
      </c>
      <c r="AJ74" s="583" t="s">
        <v>475</v>
      </c>
      <c r="AK74" s="584"/>
      <c r="AL74" s="584"/>
      <c r="AM74" s="585"/>
      <c r="AN74" s="566" t="s">
        <v>471</v>
      </c>
      <c r="AO74" s="583" t="s">
        <v>475</v>
      </c>
      <c r="AP74" s="584"/>
      <c r="AQ74" s="584"/>
      <c r="AR74" s="585"/>
      <c r="AS74" s="566" t="s">
        <v>471</v>
      </c>
      <c r="AT74" s="583" t="s">
        <v>475</v>
      </c>
      <c r="AU74" s="584"/>
      <c r="AV74" s="584"/>
      <c r="AW74" s="585"/>
      <c r="AX74" s="566" t="s">
        <v>471</v>
      </c>
      <c r="BA74" s="566" t="s">
        <v>374</v>
      </c>
    </row>
    <row r="75" spans="2:53">
      <c r="B75" s="567"/>
      <c r="C75" s="598"/>
      <c r="D75" s="614"/>
      <c r="E75" s="583" t="s">
        <v>476</v>
      </c>
      <c r="F75" s="584"/>
      <c r="G75" s="585"/>
      <c r="H75" s="567"/>
      <c r="I75" s="620" t="s">
        <v>476</v>
      </c>
      <c r="J75" s="621"/>
      <c r="K75" s="622"/>
      <c r="L75" s="603"/>
      <c r="M75" s="603"/>
      <c r="N75" s="567"/>
      <c r="O75" s="567"/>
      <c r="P75" s="583" t="s">
        <v>477</v>
      </c>
      <c r="Q75" s="584"/>
      <c r="R75" s="584"/>
      <c r="S75" s="585"/>
      <c r="T75" s="567"/>
      <c r="U75" s="583" t="s">
        <v>477</v>
      </c>
      <c r="V75" s="584"/>
      <c r="W75" s="584"/>
      <c r="X75" s="585"/>
      <c r="Y75" s="567"/>
      <c r="Z75" s="583" t="s">
        <v>477</v>
      </c>
      <c r="AA75" s="584"/>
      <c r="AB75" s="584"/>
      <c r="AC75" s="585"/>
      <c r="AD75" s="567"/>
      <c r="AE75" s="583" t="s">
        <v>477</v>
      </c>
      <c r="AF75" s="584"/>
      <c r="AG75" s="584"/>
      <c r="AH75" s="585"/>
      <c r="AI75" s="567"/>
      <c r="AJ75" s="583" t="s">
        <v>477</v>
      </c>
      <c r="AK75" s="584"/>
      <c r="AL75" s="584"/>
      <c r="AM75" s="585"/>
      <c r="AN75" s="567"/>
      <c r="AO75" s="583" t="s">
        <v>477</v>
      </c>
      <c r="AP75" s="584"/>
      <c r="AQ75" s="584"/>
      <c r="AR75" s="585"/>
      <c r="AS75" s="567"/>
      <c r="AT75" s="583" t="s">
        <v>477</v>
      </c>
      <c r="AU75" s="584"/>
      <c r="AV75" s="584"/>
      <c r="AW75" s="585"/>
      <c r="AX75" s="567"/>
      <c r="BA75" s="567"/>
    </row>
    <row r="76" spans="2:53">
      <c r="B76" s="568"/>
      <c r="C76" s="599"/>
      <c r="D76" s="615"/>
      <c r="E76" s="306" t="s">
        <v>478</v>
      </c>
      <c r="F76" s="306" t="s">
        <v>479</v>
      </c>
      <c r="G76" s="306" t="s">
        <v>480</v>
      </c>
      <c r="H76" s="568"/>
      <c r="I76" s="305" t="s">
        <v>478</v>
      </c>
      <c r="J76" s="305" t="s">
        <v>479</v>
      </c>
      <c r="K76" s="305" t="s">
        <v>480</v>
      </c>
      <c r="L76" s="604"/>
      <c r="M76" s="604"/>
      <c r="N76" s="567"/>
      <c r="O76" s="567"/>
      <c r="P76" s="306" t="s">
        <v>478</v>
      </c>
      <c r="Q76" s="306" t="s">
        <v>479</v>
      </c>
      <c r="R76" s="306" t="s">
        <v>480</v>
      </c>
      <c r="S76" s="306" t="s">
        <v>473</v>
      </c>
      <c r="T76" s="568"/>
      <c r="U76" s="306" t="s">
        <v>478</v>
      </c>
      <c r="V76" s="306" t="s">
        <v>479</v>
      </c>
      <c r="W76" s="306" t="s">
        <v>480</v>
      </c>
      <c r="X76" s="306" t="s">
        <v>473</v>
      </c>
      <c r="Y76" s="568"/>
      <c r="Z76" s="306" t="s">
        <v>478</v>
      </c>
      <c r="AA76" s="306" t="s">
        <v>479</v>
      </c>
      <c r="AB76" s="306" t="s">
        <v>480</v>
      </c>
      <c r="AC76" s="306" t="s">
        <v>473</v>
      </c>
      <c r="AD76" s="568"/>
      <c r="AE76" s="306" t="s">
        <v>478</v>
      </c>
      <c r="AF76" s="306" t="s">
        <v>479</v>
      </c>
      <c r="AG76" s="306" t="s">
        <v>480</v>
      </c>
      <c r="AH76" s="306" t="s">
        <v>473</v>
      </c>
      <c r="AI76" s="568"/>
      <c r="AJ76" s="306" t="s">
        <v>478</v>
      </c>
      <c r="AK76" s="306" t="s">
        <v>479</v>
      </c>
      <c r="AL76" s="306" t="s">
        <v>480</v>
      </c>
      <c r="AM76" s="306" t="s">
        <v>473</v>
      </c>
      <c r="AN76" s="568"/>
      <c r="AO76" s="306" t="s">
        <v>478</v>
      </c>
      <c r="AP76" s="306" t="s">
        <v>479</v>
      </c>
      <c r="AQ76" s="306" t="s">
        <v>480</v>
      </c>
      <c r="AR76" s="306" t="s">
        <v>473</v>
      </c>
      <c r="AS76" s="568"/>
      <c r="AT76" s="306" t="s">
        <v>478</v>
      </c>
      <c r="AU76" s="306" t="s">
        <v>479</v>
      </c>
      <c r="AV76" s="306" t="s">
        <v>480</v>
      </c>
      <c r="AW76" s="306" t="s">
        <v>473</v>
      </c>
      <c r="AX76" s="568"/>
      <c r="AZ76" s="412" t="s">
        <v>375</v>
      </c>
      <c r="BA76" s="568"/>
    </row>
    <row r="77" spans="2:53">
      <c r="B77" s="610" t="s">
        <v>150</v>
      </c>
      <c r="C77" s="307">
        <v>1</v>
      </c>
      <c r="D77" s="418" t="s">
        <v>340</v>
      </c>
      <c r="E77" s="418">
        <v>3</v>
      </c>
      <c r="F77" s="418">
        <v>3200</v>
      </c>
      <c r="G77" s="425">
        <v>1066.6666666666667</v>
      </c>
      <c r="H77" s="559">
        <f>AVERAGE(G77:G106)</f>
        <v>775.86805555555566</v>
      </c>
      <c r="I77" s="400">
        <f>IFERROR(AVERAGE(P77,U77,Z77,AE77,AJ77,AO77,AT77),"-")</f>
        <v>3</v>
      </c>
      <c r="J77" s="400">
        <f>IFERROR(AVERAGE(Q77,V77,AA77,AF77,AK77,AP77,AU77),"-")</f>
        <v>3225.4451831549313</v>
      </c>
      <c r="K77" s="200">
        <f>IFERROR(AVERAGE(R77,W77,AB77,AG77,AL77,AQ77,AV77),"-")</f>
        <v>1075.1483943849771</v>
      </c>
      <c r="L77" s="623">
        <f>IFERROR(AVERAGE(K77:K106),"-")</f>
        <v>796.62151586022128</v>
      </c>
      <c r="M77" s="199">
        <f>RANK(K77, K$77:$K$106)</f>
        <v>2</v>
      </c>
      <c r="N77" s="567"/>
      <c r="O77" s="567"/>
      <c r="P77" s="498">
        <v>3</v>
      </c>
      <c r="Q77" s="425">
        <v>3291.2727272727248</v>
      </c>
      <c r="R77" s="425">
        <v>1097.0909090909083</v>
      </c>
      <c r="S77" s="498">
        <f t="shared" ref="S77:S106" si="30">RANK(R77, R$77:R$106)</f>
        <v>4</v>
      </c>
      <c r="T77" s="559">
        <f t="shared" ref="T77" si="31">AVERAGE(R77:R106)</f>
        <v>811.02020928240654</v>
      </c>
      <c r="U77" s="498">
        <v>3</v>
      </c>
      <c r="V77" s="425">
        <v>3168.2142857142835</v>
      </c>
      <c r="W77" s="425">
        <v>1056.0714285714278</v>
      </c>
      <c r="X77" s="498">
        <f t="shared" ref="X77:X106" si="32">RANK(W77, W$77:W$106)</f>
        <v>5</v>
      </c>
      <c r="Y77" s="559">
        <f t="shared" ref="Y77" si="33">AVERAGE(W77:W106)</f>
        <v>785.77716190305853</v>
      </c>
      <c r="Z77" s="498">
        <v>3</v>
      </c>
      <c r="AA77" s="425">
        <v>3164.7272727272748</v>
      </c>
      <c r="AB77" s="425">
        <v>1054.9090909090917</v>
      </c>
      <c r="AC77" s="498">
        <f t="shared" ref="AC77:AC106" si="34">RANK(AB77, AB$77:AB$106)</f>
        <v>5</v>
      </c>
      <c r="AD77" s="559">
        <f t="shared" ref="AD77" si="35">AVERAGE(AB77:AB106)</f>
        <v>794.49927160459299</v>
      </c>
      <c r="AE77" s="498">
        <v>3</v>
      </c>
      <c r="AF77" s="425">
        <v>3270</v>
      </c>
      <c r="AG77" s="425">
        <v>1090</v>
      </c>
      <c r="AH77" s="498">
        <f t="shared" ref="AH77:AH106" si="36">RANK(AG77, AG$77:AG$106)</f>
        <v>3</v>
      </c>
      <c r="AI77" s="559">
        <f t="shared" ref="AI77" si="37">AVERAGE(AG77:AG106)</f>
        <v>800.37474786786197</v>
      </c>
      <c r="AJ77" s="498">
        <v>3</v>
      </c>
      <c r="AK77" s="425">
        <v>3270.0000000000059</v>
      </c>
      <c r="AL77" s="425">
        <v>1090.000000000002</v>
      </c>
      <c r="AM77" s="498">
        <f t="shared" ref="AM77:AM106" si="38">RANK(AL77, AL$77:AL$106)</f>
        <v>4</v>
      </c>
      <c r="AN77" s="559">
        <f t="shared" ref="AN77" si="39">AVERAGE(AL77:AL106)</f>
        <v>798.65091322263663</v>
      </c>
      <c r="AO77" s="498">
        <v>3</v>
      </c>
      <c r="AP77" s="425">
        <v>3246.3157894736823</v>
      </c>
      <c r="AQ77" s="425">
        <v>1082.1052631578941</v>
      </c>
      <c r="AR77" s="498">
        <f t="shared" ref="AR77:AR106" si="40">RANK(AQ77, AQ$77:AQ$106)</f>
        <v>1</v>
      </c>
      <c r="AS77" s="559">
        <f t="shared" ref="AS77" si="41">AVERAGE(AQ77:AQ106)</f>
        <v>799.38033633021394</v>
      </c>
      <c r="AT77" s="498">
        <v>3</v>
      </c>
      <c r="AU77" s="425">
        <v>3167.5862068965498</v>
      </c>
      <c r="AV77" s="425">
        <v>1055.8620689655165</v>
      </c>
      <c r="AW77" s="498">
        <f t="shared" ref="AW77:AW106" si="42">RANK(AV77, AV$77:AV$106)</f>
        <v>3</v>
      </c>
      <c r="AX77" s="559">
        <f t="shared" ref="AX77" si="43">AVERAGE(AV77:AV106)</f>
        <v>786.64797081077847</v>
      </c>
      <c r="AZ77" s="411" t="e">
        <f t="shared" ref="AZ77:AZ106" si="44">RANK(AY77, AY$77:AY$106)</f>
        <v>#N/A</v>
      </c>
      <c r="BA77" s="559" t="e">
        <f t="shared" ref="BA77" si="45">AVERAGE(AY77:AY106)</f>
        <v>#DIV/0!</v>
      </c>
    </row>
    <row r="78" spans="2:53">
      <c r="B78" s="611"/>
      <c r="C78" s="307">
        <v>2</v>
      </c>
      <c r="D78" s="417" t="s">
        <v>341</v>
      </c>
      <c r="E78" s="418">
        <v>3</v>
      </c>
      <c r="F78" s="418">
        <v>3200</v>
      </c>
      <c r="G78" s="425">
        <v>1066.6666666666667</v>
      </c>
      <c r="H78" s="560"/>
      <c r="I78" s="400">
        <f t="shared" ref="I78:I106" si="46">IFERROR(AVERAGE(P78,U78,Z78,AE78,AJ78,AO78,AT78),"-")</f>
        <v>3</v>
      </c>
      <c r="J78" s="400">
        <f t="shared" ref="J78:J106" si="47">IFERROR(AVERAGE(Q78,V78,AA78,AF78,AK78,AP78,AU78),"-")</f>
        <v>3225.0325814536295</v>
      </c>
      <c r="K78" s="200">
        <f t="shared" ref="K78:K106" si="48">IFERROR(AVERAGE(R78,W78,AB78,AG78,AL78,AQ78,AV78),"-")</f>
        <v>1075.0108604845429</v>
      </c>
      <c r="L78" s="624"/>
      <c r="M78" s="199">
        <f>RANK(K78, K$77:$K$106)</f>
        <v>3</v>
      </c>
      <c r="N78" s="567"/>
      <c r="O78" s="567"/>
      <c r="P78" s="498">
        <v>3</v>
      </c>
      <c r="Q78" s="425">
        <v>3226.6666666666642</v>
      </c>
      <c r="R78" s="425">
        <v>1075.5555555555547</v>
      </c>
      <c r="S78" s="498">
        <f t="shared" si="30"/>
        <v>7</v>
      </c>
      <c r="T78" s="560"/>
      <c r="U78" s="498">
        <v>3</v>
      </c>
      <c r="V78" s="425">
        <v>3203.3333333333312</v>
      </c>
      <c r="W78" s="425">
        <v>1067.7777777777771</v>
      </c>
      <c r="X78" s="498">
        <f t="shared" si="32"/>
        <v>2</v>
      </c>
      <c r="Y78" s="560"/>
      <c r="Z78" s="498">
        <v>3</v>
      </c>
      <c r="AA78" s="425">
        <v>3163.3333333333308</v>
      </c>
      <c r="AB78" s="425">
        <v>1054.4444444444437</v>
      </c>
      <c r="AC78" s="498">
        <f t="shared" si="34"/>
        <v>6</v>
      </c>
      <c r="AD78" s="560"/>
      <c r="AE78" s="498">
        <v>3</v>
      </c>
      <c r="AF78" s="425">
        <v>3279.9999999999945</v>
      </c>
      <c r="AG78" s="425">
        <v>1093.3333333333314</v>
      </c>
      <c r="AH78" s="498">
        <f t="shared" si="36"/>
        <v>1</v>
      </c>
      <c r="AI78" s="560"/>
      <c r="AJ78" s="498">
        <v>3</v>
      </c>
      <c r="AK78" s="425">
        <v>3303.9999999999941</v>
      </c>
      <c r="AL78" s="425">
        <v>1101.3333333333314</v>
      </c>
      <c r="AM78" s="498">
        <f t="shared" si="38"/>
        <v>2</v>
      </c>
      <c r="AN78" s="560"/>
      <c r="AO78" s="498">
        <v>3</v>
      </c>
      <c r="AP78" s="425">
        <v>3224.2105263157869</v>
      </c>
      <c r="AQ78" s="425">
        <v>1074.7368421052622</v>
      </c>
      <c r="AR78" s="498">
        <f t="shared" si="40"/>
        <v>5</v>
      </c>
      <c r="AS78" s="560"/>
      <c r="AT78" s="498">
        <v>3</v>
      </c>
      <c r="AU78" s="425">
        <v>3173.6842105263004</v>
      </c>
      <c r="AV78" s="425">
        <v>1057.8947368421002</v>
      </c>
      <c r="AW78" s="498">
        <f t="shared" si="42"/>
        <v>2</v>
      </c>
      <c r="AX78" s="560"/>
      <c r="AZ78" s="411" t="e">
        <f t="shared" si="44"/>
        <v>#N/A</v>
      </c>
      <c r="BA78" s="560"/>
    </row>
    <row r="79" spans="2:53">
      <c r="B79" s="611"/>
      <c r="C79" s="307">
        <v>3</v>
      </c>
      <c r="D79" s="418" t="s">
        <v>330</v>
      </c>
      <c r="E79" s="418">
        <v>4</v>
      </c>
      <c r="F79" s="418">
        <v>3200</v>
      </c>
      <c r="G79" s="425">
        <v>800</v>
      </c>
      <c r="H79" s="560"/>
      <c r="I79" s="400">
        <f t="shared" si="46"/>
        <v>4</v>
      </c>
      <c r="J79" s="400">
        <f t="shared" si="47"/>
        <v>3234.9805194805253</v>
      </c>
      <c r="K79" s="200">
        <f t="shared" si="48"/>
        <v>808.74512987013134</v>
      </c>
      <c r="L79" s="624"/>
      <c r="M79" s="199">
        <f>RANK(K79, K$77:$K$106)</f>
        <v>12</v>
      </c>
      <c r="N79" s="567"/>
      <c r="O79" s="567"/>
      <c r="P79" s="498">
        <v>4</v>
      </c>
      <c r="Q79" s="425">
        <v>3336.0000000000118</v>
      </c>
      <c r="R79" s="425">
        <v>834.00000000000296</v>
      </c>
      <c r="S79" s="498">
        <f t="shared" si="30"/>
        <v>12</v>
      </c>
      <c r="T79" s="560"/>
      <c r="U79" s="498">
        <v>4</v>
      </c>
      <c r="V79" s="425">
        <v>3106.3636363636365</v>
      </c>
      <c r="W79" s="425">
        <v>776.59090909090912</v>
      </c>
      <c r="X79" s="498">
        <f t="shared" si="32"/>
        <v>14</v>
      </c>
      <c r="Y79" s="560"/>
      <c r="Z79" s="498">
        <v>4</v>
      </c>
      <c r="AA79" s="425">
        <v>3197.1428571428687</v>
      </c>
      <c r="AB79" s="425">
        <v>799.28571428571718</v>
      </c>
      <c r="AC79" s="498">
        <f t="shared" si="34"/>
        <v>12</v>
      </c>
      <c r="AD79" s="560"/>
      <c r="AE79" s="498">
        <v>4</v>
      </c>
      <c r="AF79" s="425">
        <v>3299.9999999999959</v>
      </c>
      <c r="AG79" s="425">
        <v>824.99999999999898</v>
      </c>
      <c r="AH79" s="498">
        <f t="shared" si="36"/>
        <v>13</v>
      </c>
      <c r="AI79" s="560"/>
      <c r="AJ79" s="498">
        <v>4</v>
      </c>
      <c r="AK79" s="425">
        <v>3217.5000000000114</v>
      </c>
      <c r="AL79" s="425">
        <v>804.37500000000284</v>
      </c>
      <c r="AM79" s="498">
        <f t="shared" si="38"/>
        <v>15</v>
      </c>
      <c r="AN79" s="560"/>
      <c r="AO79" s="498">
        <v>4</v>
      </c>
      <c r="AP79" s="425">
        <v>3345.0000000000118</v>
      </c>
      <c r="AQ79" s="425">
        <v>836.25000000000296</v>
      </c>
      <c r="AR79" s="498">
        <f t="shared" si="40"/>
        <v>11</v>
      </c>
      <c r="AS79" s="560"/>
      <c r="AT79" s="498">
        <v>4</v>
      </c>
      <c r="AU79" s="425">
        <v>3142.8571428571418</v>
      </c>
      <c r="AV79" s="425">
        <v>785.71428571428544</v>
      </c>
      <c r="AW79" s="498">
        <f t="shared" si="42"/>
        <v>13</v>
      </c>
      <c r="AX79" s="560"/>
      <c r="AZ79" s="411" t="e">
        <f t="shared" si="44"/>
        <v>#N/A</v>
      </c>
      <c r="BA79" s="560"/>
    </row>
    <row r="80" spans="2:53">
      <c r="B80" s="611"/>
      <c r="C80" s="307">
        <v>4</v>
      </c>
      <c r="D80" s="418" t="s">
        <v>342</v>
      </c>
      <c r="E80" s="418">
        <v>3</v>
      </c>
      <c r="F80" s="418">
        <v>3200</v>
      </c>
      <c r="G80" s="425">
        <v>1066.6666666666667</v>
      </c>
      <c r="H80" s="560"/>
      <c r="I80" s="400">
        <f t="shared" si="46"/>
        <v>3</v>
      </c>
      <c r="J80" s="400">
        <f t="shared" si="47"/>
        <v>3223.2412184467576</v>
      </c>
      <c r="K80" s="200">
        <f t="shared" si="48"/>
        <v>1074.4137394822526</v>
      </c>
      <c r="L80" s="624"/>
      <c r="M80" s="199">
        <f>RANK(K80, K$77:$K$106)</f>
        <v>4</v>
      </c>
      <c r="N80" s="567"/>
      <c r="O80" s="567"/>
      <c r="P80" s="498">
        <v>3</v>
      </c>
      <c r="Q80" s="425">
        <v>3300.681818181818</v>
      </c>
      <c r="R80" s="425">
        <v>1100.2272727272727</v>
      </c>
      <c r="S80" s="498">
        <f t="shared" si="30"/>
        <v>3</v>
      </c>
      <c r="T80" s="560"/>
      <c r="U80" s="498">
        <v>3</v>
      </c>
      <c r="V80" s="425">
        <v>3194.3478260869565</v>
      </c>
      <c r="W80" s="425">
        <v>1064.7826086956522</v>
      </c>
      <c r="X80" s="498">
        <f t="shared" si="32"/>
        <v>3</v>
      </c>
      <c r="Y80" s="560"/>
      <c r="Z80" s="498">
        <v>3</v>
      </c>
      <c r="AA80" s="425">
        <v>3202.2471910112386</v>
      </c>
      <c r="AB80" s="425">
        <v>1067.4157303370796</v>
      </c>
      <c r="AC80" s="498">
        <f t="shared" si="34"/>
        <v>2</v>
      </c>
      <c r="AD80" s="560"/>
      <c r="AE80" s="498">
        <v>3</v>
      </c>
      <c r="AF80" s="425">
        <v>3234.9295774647894</v>
      </c>
      <c r="AG80" s="425">
        <v>1078.3098591549299</v>
      </c>
      <c r="AH80" s="498">
        <f t="shared" si="36"/>
        <v>4</v>
      </c>
      <c r="AI80" s="560"/>
      <c r="AJ80" s="498">
        <v>3</v>
      </c>
      <c r="AK80" s="425">
        <v>3218.0281690140814</v>
      </c>
      <c r="AL80" s="425">
        <v>1072.6760563380271</v>
      </c>
      <c r="AM80" s="498">
        <f t="shared" si="38"/>
        <v>7</v>
      </c>
      <c r="AN80" s="560"/>
      <c r="AO80" s="498">
        <v>3</v>
      </c>
      <c r="AP80" s="425">
        <v>3235.5789473684194</v>
      </c>
      <c r="AQ80" s="425">
        <v>1078.5263157894731</v>
      </c>
      <c r="AR80" s="498">
        <f t="shared" si="40"/>
        <v>4</v>
      </c>
      <c r="AS80" s="560"/>
      <c r="AT80" s="498">
        <v>3</v>
      </c>
      <c r="AU80" s="425">
        <v>3176.8750000000009</v>
      </c>
      <c r="AV80" s="425">
        <v>1058.9583333333337</v>
      </c>
      <c r="AW80" s="498">
        <f t="shared" si="42"/>
        <v>1</v>
      </c>
      <c r="AX80" s="560"/>
      <c r="AZ80" s="411" t="e">
        <f t="shared" si="44"/>
        <v>#N/A</v>
      </c>
      <c r="BA80" s="560"/>
    </row>
    <row r="81" spans="2:53">
      <c r="B81" s="611"/>
      <c r="C81" s="307">
        <v>5</v>
      </c>
      <c r="D81" s="418" t="s">
        <v>601</v>
      </c>
      <c r="E81" s="418">
        <v>4</v>
      </c>
      <c r="F81" s="418">
        <v>3200</v>
      </c>
      <c r="G81" s="425">
        <v>800</v>
      </c>
      <c r="H81" s="560"/>
      <c r="I81" s="400">
        <f t="shared" si="46"/>
        <v>4</v>
      </c>
      <c r="J81" s="400">
        <f t="shared" si="47"/>
        <v>3209.0781821071037</v>
      </c>
      <c r="K81" s="200">
        <f t="shared" si="48"/>
        <v>802.26954552677591</v>
      </c>
      <c r="L81" s="624"/>
      <c r="M81" s="199">
        <f>RANK(K81, K$77:$K$106)</f>
        <v>14</v>
      </c>
      <c r="N81" s="567"/>
      <c r="O81" s="567"/>
      <c r="P81" s="498">
        <v>4</v>
      </c>
      <c r="Q81" s="425">
        <v>3254.4827586206829</v>
      </c>
      <c r="R81" s="425">
        <v>813.62068965517074</v>
      </c>
      <c r="S81" s="498">
        <f t="shared" si="30"/>
        <v>13</v>
      </c>
      <c r="T81" s="560"/>
      <c r="U81" s="498">
        <v>4</v>
      </c>
      <c r="V81" s="425">
        <v>3177.9999999999941</v>
      </c>
      <c r="W81" s="425">
        <v>794.49999999999852</v>
      </c>
      <c r="X81" s="498">
        <f t="shared" si="32"/>
        <v>11</v>
      </c>
      <c r="Y81" s="560"/>
      <c r="Z81" s="498">
        <v>4</v>
      </c>
      <c r="AA81" s="425">
        <v>3135.4838709677369</v>
      </c>
      <c r="AB81" s="425">
        <v>783.87096774193424</v>
      </c>
      <c r="AC81" s="498">
        <f t="shared" si="34"/>
        <v>14</v>
      </c>
      <c r="AD81" s="560"/>
      <c r="AE81" s="498">
        <v>4</v>
      </c>
      <c r="AF81" s="425">
        <v>3205.0000000000009</v>
      </c>
      <c r="AG81" s="425">
        <v>801.25000000000023</v>
      </c>
      <c r="AH81" s="498">
        <f t="shared" si="36"/>
        <v>15</v>
      </c>
      <c r="AI81" s="560"/>
      <c r="AJ81" s="498">
        <v>4</v>
      </c>
      <c r="AK81" s="425">
        <v>3300.0000000000118</v>
      </c>
      <c r="AL81" s="425">
        <v>825.00000000000296</v>
      </c>
      <c r="AM81" s="498">
        <f t="shared" si="38"/>
        <v>13</v>
      </c>
      <c r="AN81" s="560"/>
      <c r="AO81" s="498">
        <v>4</v>
      </c>
      <c r="AP81" s="425">
        <v>3228.0000000000032</v>
      </c>
      <c r="AQ81" s="425">
        <v>807.0000000000008</v>
      </c>
      <c r="AR81" s="498">
        <f t="shared" si="40"/>
        <v>13</v>
      </c>
      <c r="AS81" s="560"/>
      <c r="AT81" s="498">
        <v>4</v>
      </c>
      <c r="AU81" s="425">
        <v>3162.5806451612934</v>
      </c>
      <c r="AV81" s="425">
        <v>790.64516129032336</v>
      </c>
      <c r="AW81" s="498">
        <f t="shared" si="42"/>
        <v>12</v>
      </c>
      <c r="AX81" s="560"/>
      <c r="AZ81" s="411" t="e">
        <f t="shared" si="44"/>
        <v>#N/A</v>
      </c>
      <c r="BA81" s="560"/>
    </row>
    <row r="82" spans="2:53">
      <c r="B82" s="611"/>
      <c r="C82" s="307">
        <v>6</v>
      </c>
      <c r="D82" s="418" t="s">
        <v>602</v>
      </c>
      <c r="E82" s="418">
        <v>4</v>
      </c>
      <c r="F82" s="418">
        <v>3200</v>
      </c>
      <c r="G82" s="425">
        <v>800</v>
      </c>
      <c r="H82" s="560"/>
      <c r="I82" s="400">
        <f t="shared" si="46"/>
        <v>4</v>
      </c>
      <c r="J82" s="400">
        <f t="shared" si="47"/>
        <v>3257.0000000000095</v>
      </c>
      <c r="K82" s="200">
        <f t="shared" si="48"/>
        <v>814.25000000000239</v>
      </c>
      <c r="L82" s="624"/>
      <c r="M82" s="199">
        <f>RANK(K82, K$77:$K$106)</f>
        <v>11</v>
      </c>
      <c r="N82" s="567"/>
      <c r="O82" s="567"/>
      <c r="P82" s="498">
        <v>4</v>
      </c>
      <c r="Q82" s="425">
        <v>3247.5000000000114</v>
      </c>
      <c r="R82" s="425">
        <v>811.87500000000284</v>
      </c>
      <c r="S82" s="498">
        <f t="shared" si="30"/>
        <v>14</v>
      </c>
      <c r="T82" s="560"/>
      <c r="U82" s="498">
        <v>4</v>
      </c>
      <c r="V82" s="425">
        <v>3161.2500000000109</v>
      </c>
      <c r="W82" s="425">
        <v>790.31250000000273</v>
      </c>
      <c r="X82" s="498">
        <f t="shared" si="32"/>
        <v>12</v>
      </c>
      <c r="Y82" s="560"/>
      <c r="Z82" s="498">
        <v>4</v>
      </c>
      <c r="AA82" s="425">
        <v>3090.0000000000109</v>
      </c>
      <c r="AB82" s="425">
        <v>772.50000000000273</v>
      </c>
      <c r="AC82" s="498">
        <f t="shared" si="34"/>
        <v>16</v>
      </c>
      <c r="AD82" s="560"/>
      <c r="AE82" s="498">
        <v>4</v>
      </c>
      <c r="AF82" s="425">
        <v>3425.0000000000123</v>
      </c>
      <c r="AG82" s="425">
        <v>856.25000000000307</v>
      </c>
      <c r="AH82" s="498">
        <f t="shared" si="36"/>
        <v>11</v>
      </c>
      <c r="AI82" s="560"/>
      <c r="AJ82" s="498">
        <v>4</v>
      </c>
      <c r="AK82" s="425">
        <v>3420.0000000000118</v>
      </c>
      <c r="AL82" s="425">
        <v>855.00000000000296</v>
      </c>
      <c r="AM82" s="498">
        <f t="shared" si="38"/>
        <v>12</v>
      </c>
      <c r="AN82" s="560"/>
      <c r="AO82" s="498">
        <v>4</v>
      </c>
      <c r="AP82" s="425">
        <v>3324.0000000000118</v>
      </c>
      <c r="AQ82" s="425">
        <v>831.00000000000296</v>
      </c>
      <c r="AR82" s="498">
        <f t="shared" si="40"/>
        <v>12</v>
      </c>
      <c r="AS82" s="560"/>
      <c r="AT82" s="498">
        <v>4</v>
      </c>
      <c r="AU82" s="425">
        <v>3131.2499999999959</v>
      </c>
      <c r="AV82" s="425">
        <v>782.81249999999898</v>
      </c>
      <c r="AW82" s="498">
        <f t="shared" si="42"/>
        <v>14</v>
      </c>
      <c r="AX82" s="560"/>
      <c r="AZ82" s="411" t="e">
        <f t="shared" si="44"/>
        <v>#N/A</v>
      </c>
      <c r="BA82" s="560"/>
    </row>
    <row r="83" spans="2:53">
      <c r="B83" s="611"/>
      <c r="C83" s="307">
        <v>7</v>
      </c>
      <c r="D83" s="418" t="s">
        <v>343</v>
      </c>
      <c r="E83" s="418">
        <v>4</v>
      </c>
      <c r="F83" s="418">
        <v>2800</v>
      </c>
      <c r="G83" s="425">
        <v>700</v>
      </c>
      <c r="H83" s="560"/>
      <c r="I83" s="400">
        <f t="shared" si="46"/>
        <v>4</v>
      </c>
      <c r="J83" s="400">
        <f t="shared" si="47"/>
        <v>3205.410779696495</v>
      </c>
      <c r="K83" s="200">
        <f t="shared" si="48"/>
        <v>801.35269492412374</v>
      </c>
      <c r="L83" s="624"/>
      <c r="M83" s="199">
        <f>RANK(K83, K$77:$K$106)</f>
        <v>15</v>
      </c>
      <c r="N83" s="567"/>
      <c r="O83" s="567"/>
      <c r="P83" s="498">
        <v>4</v>
      </c>
      <c r="Q83" s="425">
        <v>3041.5384615384633</v>
      </c>
      <c r="R83" s="425">
        <v>760.38461538461581</v>
      </c>
      <c r="S83" s="498">
        <f t="shared" si="30"/>
        <v>16</v>
      </c>
      <c r="T83" s="560"/>
      <c r="U83" s="498">
        <v>4</v>
      </c>
      <c r="V83" s="425">
        <v>3034.2857142857165</v>
      </c>
      <c r="W83" s="425">
        <v>758.57142857142912</v>
      </c>
      <c r="X83" s="498">
        <f t="shared" si="32"/>
        <v>15</v>
      </c>
      <c r="Y83" s="560"/>
      <c r="Z83" s="498">
        <v>4</v>
      </c>
      <c r="AA83" s="425">
        <v>3203.0769230769247</v>
      </c>
      <c r="AB83" s="425">
        <v>800.76923076923117</v>
      </c>
      <c r="AC83" s="498">
        <f t="shared" si="34"/>
        <v>11</v>
      </c>
      <c r="AD83" s="560"/>
      <c r="AE83" s="498">
        <v>4</v>
      </c>
      <c r="AF83" s="425">
        <v>3419.9999999999986</v>
      </c>
      <c r="AG83" s="425">
        <v>854.99999999999966</v>
      </c>
      <c r="AH83" s="498">
        <f t="shared" si="36"/>
        <v>12</v>
      </c>
      <c r="AI83" s="560"/>
      <c r="AJ83" s="498">
        <v>4</v>
      </c>
      <c r="AK83" s="425">
        <v>3526.6666666666638</v>
      </c>
      <c r="AL83" s="425">
        <v>881.66666666666595</v>
      </c>
      <c r="AM83" s="498">
        <f t="shared" si="38"/>
        <v>11</v>
      </c>
      <c r="AN83" s="560"/>
      <c r="AO83" s="498">
        <v>4</v>
      </c>
      <c r="AP83" s="425">
        <v>3212.3076923076942</v>
      </c>
      <c r="AQ83" s="425">
        <v>803.07692307692355</v>
      </c>
      <c r="AR83" s="498">
        <f t="shared" si="40"/>
        <v>14</v>
      </c>
      <c r="AS83" s="560"/>
      <c r="AT83" s="498">
        <v>4</v>
      </c>
      <c r="AU83" s="425">
        <v>3000.0000000000023</v>
      </c>
      <c r="AV83" s="425">
        <v>750.00000000000057</v>
      </c>
      <c r="AW83" s="498">
        <f t="shared" si="42"/>
        <v>16</v>
      </c>
      <c r="AX83" s="560"/>
      <c r="AZ83" s="411" t="e">
        <f t="shared" si="44"/>
        <v>#N/A</v>
      </c>
      <c r="BA83" s="560"/>
    </row>
    <row r="84" spans="2:53">
      <c r="B84" s="611"/>
      <c r="C84" s="307">
        <v>8</v>
      </c>
      <c r="D84" s="418" t="s">
        <v>344</v>
      </c>
      <c r="E84" s="418">
        <v>3</v>
      </c>
      <c r="F84" s="418">
        <v>3200</v>
      </c>
      <c r="G84" s="425">
        <v>1066.6666666666667</v>
      </c>
      <c r="H84" s="560"/>
      <c r="I84" s="400">
        <f t="shared" si="46"/>
        <v>3</v>
      </c>
      <c r="J84" s="400">
        <f t="shared" si="47"/>
        <v>3199.2554413328585</v>
      </c>
      <c r="K84" s="200">
        <f t="shared" si="48"/>
        <v>1066.4184804442859</v>
      </c>
      <c r="L84" s="624"/>
      <c r="M84" s="199">
        <f>RANK(K84, K$77:$K$106)</f>
        <v>7</v>
      </c>
      <c r="N84" s="567"/>
      <c r="O84" s="567"/>
      <c r="P84" s="498">
        <v>3</v>
      </c>
      <c r="Q84" s="425">
        <v>3189.9999999999945</v>
      </c>
      <c r="R84" s="425">
        <v>1063.3333333333314</v>
      </c>
      <c r="S84" s="498">
        <f t="shared" si="30"/>
        <v>8</v>
      </c>
      <c r="T84" s="560"/>
      <c r="U84" s="498">
        <v>3</v>
      </c>
      <c r="V84" s="425">
        <v>3180.0000000000032</v>
      </c>
      <c r="W84" s="425">
        <v>1060.0000000000011</v>
      </c>
      <c r="X84" s="498">
        <f t="shared" si="32"/>
        <v>4</v>
      </c>
      <c r="Y84" s="560"/>
      <c r="Z84" s="498">
        <v>3</v>
      </c>
      <c r="AA84" s="425">
        <v>3197.9999999999941</v>
      </c>
      <c r="AB84" s="425">
        <v>1065.999999999998</v>
      </c>
      <c r="AC84" s="498">
        <f t="shared" si="34"/>
        <v>3</v>
      </c>
      <c r="AD84" s="560"/>
      <c r="AE84" s="498">
        <v>3</v>
      </c>
      <c r="AF84" s="425">
        <v>3223.8461538461502</v>
      </c>
      <c r="AG84" s="425">
        <v>1074.6153846153834</v>
      </c>
      <c r="AH84" s="498">
        <f t="shared" si="36"/>
        <v>5</v>
      </c>
      <c r="AI84" s="560"/>
      <c r="AJ84" s="498">
        <v>3</v>
      </c>
      <c r="AK84" s="425">
        <v>3235.1999999999957</v>
      </c>
      <c r="AL84" s="425">
        <v>1078.3999999999985</v>
      </c>
      <c r="AM84" s="498">
        <f t="shared" si="38"/>
        <v>6</v>
      </c>
      <c r="AN84" s="560"/>
      <c r="AO84" s="498">
        <v>3</v>
      </c>
      <c r="AP84" s="425">
        <v>3216.7741935483818</v>
      </c>
      <c r="AQ84" s="425">
        <v>1072.2580645161272</v>
      </c>
      <c r="AR84" s="498">
        <f t="shared" si="40"/>
        <v>6</v>
      </c>
      <c r="AS84" s="560"/>
      <c r="AT84" s="498">
        <v>3</v>
      </c>
      <c r="AU84" s="425">
        <v>3150.9677419354866</v>
      </c>
      <c r="AV84" s="425">
        <v>1050.3225806451621</v>
      </c>
      <c r="AW84" s="498">
        <f t="shared" si="42"/>
        <v>7</v>
      </c>
      <c r="AX84" s="560"/>
      <c r="AZ84" s="411" t="e">
        <f t="shared" si="44"/>
        <v>#N/A</v>
      </c>
      <c r="BA84" s="560"/>
    </row>
    <row r="85" spans="2:53">
      <c r="B85" s="611"/>
      <c r="C85" s="307">
        <v>9</v>
      </c>
      <c r="D85" s="418" t="s">
        <v>345</v>
      </c>
      <c r="E85" s="418">
        <v>3</v>
      </c>
      <c r="F85" s="418">
        <v>2800</v>
      </c>
      <c r="G85" s="425">
        <v>933.33333333333337</v>
      </c>
      <c r="H85" s="560"/>
      <c r="I85" s="400">
        <f t="shared" si="46"/>
        <v>3</v>
      </c>
      <c r="J85" s="400">
        <f t="shared" si="47"/>
        <v>3220.7507851625492</v>
      </c>
      <c r="K85" s="200">
        <f t="shared" si="48"/>
        <v>1073.5835950541832</v>
      </c>
      <c r="L85" s="624"/>
      <c r="M85" s="199">
        <f>RANK(K85, K$77:$K$106)</f>
        <v>5</v>
      </c>
      <c r="N85" s="567"/>
      <c r="O85" s="567"/>
      <c r="P85" s="498">
        <v>3</v>
      </c>
      <c r="Q85" s="425">
        <v>3350.909090909091</v>
      </c>
      <c r="R85" s="425">
        <v>1116.969696969697</v>
      </c>
      <c r="S85" s="498">
        <f t="shared" si="30"/>
        <v>2</v>
      </c>
      <c r="T85" s="560"/>
      <c r="U85" s="498">
        <v>3</v>
      </c>
      <c r="V85" s="425">
        <v>3113.1428571428578</v>
      </c>
      <c r="W85" s="425">
        <v>1037.714285714286</v>
      </c>
      <c r="X85" s="498">
        <f t="shared" si="32"/>
        <v>8</v>
      </c>
      <c r="Y85" s="560"/>
      <c r="Z85" s="498">
        <v>3</v>
      </c>
      <c r="AA85" s="425">
        <v>3142.9411764705883</v>
      </c>
      <c r="AB85" s="425">
        <v>1047.6470588235295</v>
      </c>
      <c r="AC85" s="498">
        <f t="shared" si="34"/>
        <v>7</v>
      </c>
      <c r="AD85" s="560"/>
      <c r="AE85" s="498">
        <v>3</v>
      </c>
      <c r="AF85" s="425">
        <v>3220.7142857142835</v>
      </c>
      <c r="AG85" s="425">
        <v>1073.5714285714278</v>
      </c>
      <c r="AH85" s="498">
        <f t="shared" si="36"/>
        <v>6</v>
      </c>
      <c r="AI85" s="560"/>
      <c r="AJ85" s="498">
        <v>3</v>
      </c>
      <c r="AK85" s="425">
        <v>3311.1111111111081</v>
      </c>
      <c r="AL85" s="425">
        <v>1103.7037037037028</v>
      </c>
      <c r="AM85" s="498">
        <f t="shared" si="38"/>
        <v>1</v>
      </c>
      <c r="AN85" s="560"/>
      <c r="AO85" s="498">
        <v>3</v>
      </c>
      <c r="AP85" s="425">
        <v>3245.2941176470586</v>
      </c>
      <c r="AQ85" s="425">
        <v>1081.7647058823529</v>
      </c>
      <c r="AR85" s="498">
        <f t="shared" si="40"/>
        <v>2</v>
      </c>
      <c r="AS85" s="560"/>
      <c r="AT85" s="498">
        <v>3</v>
      </c>
      <c r="AU85" s="425">
        <v>3161.1428571428578</v>
      </c>
      <c r="AV85" s="425">
        <v>1053.714285714286</v>
      </c>
      <c r="AW85" s="498">
        <f t="shared" si="42"/>
        <v>5</v>
      </c>
      <c r="AX85" s="560"/>
      <c r="AZ85" s="411" t="e">
        <f t="shared" si="44"/>
        <v>#N/A</v>
      </c>
      <c r="BA85" s="560"/>
    </row>
    <row r="86" spans="2:53">
      <c r="B86" s="611"/>
      <c r="C86" s="307">
        <v>10</v>
      </c>
      <c r="D86" s="418" t="s">
        <v>346</v>
      </c>
      <c r="E86" s="418">
        <v>4</v>
      </c>
      <c r="F86" s="418">
        <v>2800</v>
      </c>
      <c r="G86" s="425">
        <v>700</v>
      </c>
      <c r="H86" s="560"/>
      <c r="I86" s="400">
        <f t="shared" si="46"/>
        <v>4</v>
      </c>
      <c r="J86" s="400">
        <f t="shared" si="47"/>
        <v>3219.7148197867359</v>
      </c>
      <c r="K86" s="200">
        <f t="shared" si="48"/>
        <v>804.92870494668398</v>
      </c>
      <c r="L86" s="624"/>
      <c r="M86" s="199">
        <f>RANK(K86, K$77:$K$106)</f>
        <v>13</v>
      </c>
      <c r="N86" s="567"/>
      <c r="O86" s="567"/>
      <c r="P86" s="498">
        <v>4</v>
      </c>
      <c r="Q86" s="425">
        <v>3373.9285714285688</v>
      </c>
      <c r="R86" s="425">
        <v>843.48214285714221</v>
      </c>
      <c r="S86" s="498">
        <f t="shared" si="30"/>
        <v>11</v>
      </c>
      <c r="T86" s="560"/>
      <c r="U86" s="498">
        <v>4</v>
      </c>
      <c r="V86" s="425">
        <v>3159.6610169491555</v>
      </c>
      <c r="W86" s="425">
        <v>789.91525423728888</v>
      </c>
      <c r="X86" s="498">
        <f t="shared" si="32"/>
        <v>13</v>
      </c>
      <c r="Y86" s="560"/>
      <c r="Z86" s="498">
        <v>4</v>
      </c>
      <c r="AA86" s="425">
        <v>3146.3157894736869</v>
      </c>
      <c r="AB86" s="425">
        <v>786.57894736842172</v>
      </c>
      <c r="AC86" s="498">
        <f t="shared" si="34"/>
        <v>13</v>
      </c>
      <c r="AD86" s="560"/>
      <c r="AE86" s="498">
        <v>4</v>
      </c>
      <c r="AF86" s="425">
        <v>3219.1304347826031</v>
      </c>
      <c r="AG86" s="425">
        <v>804.78260869565077</v>
      </c>
      <c r="AH86" s="498">
        <f t="shared" si="36"/>
        <v>14</v>
      </c>
      <c r="AI86" s="560"/>
      <c r="AJ86" s="498">
        <v>4</v>
      </c>
      <c r="AK86" s="425">
        <v>3260.8695652173974</v>
      </c>
      <c r="AL86" s="425">
        <v>815.21739130434935</v>
      </c>
      <c r="AM86" s="498">
        <f t="shared" si="38"/>
        <v>14</v>
      </c>
      <c r="AN86" s="560"/>
      <c r="AO86" s="498">
        <v>4</v>
      </c>
      <c r="AP86" s="425">
        <v>3203.9999999999986</v>
      </c>
      <c r="AQ86" s="425">
        <v>800.99999999999966</v>
      </c>
      <c r="AR86" s="498">
        <f t="shared" si="40"/>
        <v>15</v>
      </c>
      <c r="AS86" s="560"/>
      <c r="AT86" s="498">
        <v>4</v>
      </c>
      <c r="AU86" s="425">
        <v>3174.0983606557406</v>
      </c>
      <c r="AV86" s="425">
        <v>793.52459016393516</v>
      </c>
      <c r="AW86" s="498">
        <f t="shared" si="42"/>
        <v>11</v>
      </c>
      <c r="AX86" s="560"/>
      <c r="AZ86" s="411" t="e">
        <f t="shared" si="44"/>
        <v>#N/A</v>
      </c>
      <c r="BA86" s="560"/>
    </row>
    <row r="87" spans="2:53">
      <c r="B87" s="611"/>
      <c r="C87" s="307">
        <v>11</v>
      </c>
      <c r="D87" s="418" t="s">
        <v>603</v>
      </c>
      <c r="E87" s="418">
        <v>4</v>
      </c>
      <c r="F87" s="418">
        <v>2800</v>
      </c>
      <c r="G87" s="425">
        <v>700</v>
      </c>
      <c r="H87" s="560"/>
      <c r="I87" s="400">
        <f t="shared" si="46"/>
        <v>4</v>
      </c>
      <c r="J87" s="400">
        <f t="shared" si="47"/>
        <v>2800.6389961879477</v>
      </c>
      <c r="K87" s="200">
        <f t="shared" si="48"/>
        <v>700.15974904698692</v>
      </c>
      <c r="L87" s="624"/>
      <c r="M87" s="199">
        <f>RANK(K87, K$77:$K$106)</f>
        <v>20</v>
      </c>
      <c r="N87" s="567"/>
      <c r="O87" s="567"/>
      <c r="P87" s="498">
        <v>4</v>
      </c>
      <c r="Q87" s="425">
        <v>2814.9295774647894</v>
      </c>
      <c r="R87" s="425">
        <v>703.73239436619735</v>
      </c>
      <c r="S87" s="498">
        <f t="shared" si="30"/>
        <v>20</v>
      </c>
      <c r="T87" s="560"/>
      <c r="U87" s="498">
        <v>4</v>
      </c>
      <c r="V87" s="425">
        <v>2781.428571428572</v>
      </c>
      <c r="W87" s="425">
        <v>695.357142857143</v>
      </c>
      <c r="X87" s="498">
        <f t="shared" si="32"/>
        <v>19</v>
      </c>
      <c r="Y87" s="560"/>
      <c r="Z87" s="498">
        <v>4</v>
      </c>
      <c r="AA87" s="425">
        <v>2760.8823529411766</v>
      </c>
      <c r="AB87" s="425">
        <v>690.22058823529414</v>
      </c>
      <c r="AC87" s="498">
        <f t="shared" si="34"/>
        <v>21</v>
      </c>
      <c r="AD87" s="560"/>
      <c r="AE87" s="498">
        <v>4</v>
      </c>
      <c r="AF87" s="425">
        <v>2812.363636363636</v>
      </c>
      <c r="AG87" s="425">
        <v>703.09090909090901</v>
      </c>
      <c r="AH87" s="498">
        <f t="shared" si="36"/>
        <v>20</v>
      </c>
      <c r="AI87" s="560"/>
      <c r="AJ87" s="498">
        <v>4</v>
      </c>
      <c r="AK87" s="425">
        <v>2823.1034482758623</v>
      </c>
      <c r="AL87" s="425">
        <v>705.77586206896558</v>
      </c>
      <c r="AM87" s="498">
        <f t="shared" si="38"/>
        <v>19</v>
      </c>
      <c r="AN87" s="560"/>
      <c r="AO87" s="498">
        <v>4</v>
      </c>
      <c r="AP87" s="425">
        <v>2839.4366197183103</v>
      </c>
      <c r="AQ87" s="425">
        <v>709.85915492957758</v>
      </c>
      <c r="AR87" s="498">
        <f t="shared" si="40"/>
        <v>19</v>
      </c>
      <c r="AS87" s="560"/>
      <c r="AT87" s="498">
        <v>4</v>
      </c>
      <c r="AU87" s="425">
        <v>2772.3287671232883</v>
      </c>
      <c r="AV87" s="425">
        <v>693.08219178082209</v>
      </c>
      <c r="AW87" s="498">
        <f t="shared" si="42"/>
        <v>20</v>
      </c>
      <c r="AX87" s="560"/>
      <c r="AZ87" s="411" t="e">
        <f t="shared" si="44"/>
        <v>#N/A</v>
      </c>
      <c r="BA87" s="560"/>
    </row>
    <row r="88" spans="2:53">
      <c r="B88" s="611"/>
      <c r="C88" s="307">
        <v>12</v>
      </c>
      <c r="D88" s="418" t="s">
        <v>604</v>
      </c>
      <c r="E88" s="418">
        <v>4</v>
      </c>
      <c r="F88" s="418">
        <v>2800</v>
      </c>
      <c r="G88" s="425">
        <v>700</v>
      </c>
      <c r="H88" s="560"/>
      <c r="I88" s="400">
        <f t="shared" si="46"/>
        <v>4</v>
      </c>
      <c r="J88" s="400">
        <f t="shared" si="47"/>
        <v>2753.0571428571407</v>
      </c>
      <c r="K88" s="200">
        <f t="shared" si="48"/>
        <v>688.26428571428517</v>
      </c>
      <c r="L88" s="624"/>
      <c r="M88" s="199">
        <f>RANK(K88, K$77:$K$106)</f>
        <v>21</v>
      </c>
      <c r="N88" s="567"/>
      <c r="O88" s="567"/>
      <c r="P88" s="498">
        <v>4</v>
      </c>
      <c r="Q88" s="425">
        <v>2697.5999999999922</v>
      </c>
      <c r="R88" s="425">
        <v>674.39999999999804</v>
      </c>
      <c r="S88" s="498">
        <f t="shared" si="30"/>
        <v>21</v>
      </c>
      <c r="T88" s="560"/>
      <c r="U88" s="498">
        <v>4</v>
      </c>
      <c r="V88" s="425">
        <v>2668.7999999999925</v>
      </c>
      <c r="W88" s="425">
        <v>667.19999999999811</v>
      </c>
      <c r="X88" s="498">
        <f t="shared" si="32"/>
        <v>21</v>
      </c>
      <c r="Y88" s="560"/>
      <c r="Z88" s="498">
        <v>4</v>
      </c>
      <c r="AA88" s="425">
        <v>3099.0000000000109</v>
      </c>
      <c r="AB88" s="425">
        <v>774.75000000000273</v>
      </c>
      <c r="AC88" s="498">
        <f t="shared" si="34"/>
        <v>15</v>
      </c>
      <c r="AD88" s="560"/>
      <c r="AE88" s="498">
        <v>4</v>
      </c>
      <c r="AF88" s="425">
        <v>2718.0000000000095</v>
      </c>
      <c r="AG88" s="425">
        <v>679.50000000000239</v>
      </c>
      <c r="AH88" s="498">
        <f t="shared" si="36"/>
        <v>21</v>
      </c>
      <c r="AI88" s="560"/>
      <c r="AJ88" s="498">
        <v>4</v>
      </c>
      <c r="AK88" s="425">
        <v>2543.9999999999927</v>
      </c>
      <c r="AL88" s="425">
        <v>635.99999999999818</v>
      </c>
      <c r="AM88" s="498">
        <f t="shared" si="38"/>
        <v>21</v>
      </c>
      <c r="AN88" s="560"/>
      <c r="AO88" s="498">
        <v>4</v>
      </c>
      <c r="AP88" s="425">
        <v>2695.1999999999925</v>
      </c>
      <c r="AQ88" s="425">
        <v>673.79999999999814</v>
      </c>
      <c r="AR88" s="498">
        <f t="shared" si="40"/>
        <v>21</v>
      </c>
      <c r="AS88" s="560"/>
      <c r="AT88" s="498">
        <v>4</v>
      </c>
      <c r="AU88" s="425">
        <v>2848.7999999999915</v>
      </c>
      <c r="AV88" s="425">
        <v>712.19999999999789</v>
      </c>
      <c r="AW88" s="498">
        <f t="shared" si="42"/>
        <v>19</v>
      </c>
      <c r="AX88" s="560"/>
      <c r="AZ88" s="411" t="e">
        <f t="shared" si="44"/>
        <v>#N/A</v>
      </c>
      <c r="BA88" s="560"/>
    </row>
    <row r="89" spans="2:53">
      <c r="B89" s="611"/>
      <c r="C89" s="307">
        <v>13</v>
      </c>
      <c r="D89" s="418" t="s">
        <v>605</v>
      </c>
      <c r="E89" s="418">
        <v>3</v>
      </c>
      <c r="F89" s="418">
        <v>2800</v>
      </c>
      <c r="G89" s="425">
        <v>933.33333333333337</v>
      </c>
      <c r="H89" s="560"/>
      <c r="I89" s="400">
        <f t="shared" si="46"/>
        <v>3</v>
      </c>
      <c r="J89" s="400">
        <f t="shared" si="47"/>
        <v>2987.3999999999905</v>
      </c>
      <c r="K89" s="200">
        <f t="shared" si="48"/>
        <v>995.79999999999677</v>
      </c>
      <c r="L89" s="624"/>
      <c r="M89" s="199">
        <f>RANK(K89, K$77:$K$106)</f>
        <v>9</v>
      </c>
      <c r="N89" s="567"/>
      <c r="O89" s="567"/>
      <c r="P89" s="498">
        <v>3</v>
      </c>
      <c r="Q89" s="425">
        <v>2990.3999999999915</v>
      </c>
      <c r="R89" s="425">
        <v>996.79999999999711</v>
      </c>
      <c r="S89" s="498">
        <f t="shared" si="30"/>
        <v>9</v>
      </c>
      <c r="T89" s="560"/>
      <c r="U89" s="498">
        <v>3</v>
      </c>
      <c r="V89" s="425">
        <v>2901.5999999999917</v>
      </c>
      <c r="W89" s="425">
        <v>967.1999999999972</v>
      </c>
      <c r="X89" s="498">
        <f t="shared" si="32"/>
        <v>9</v>
      </c>
      <c r="Y89" s="560"/>
      <c r="Z89" s="498">
        <v>3</v>
      </c>
      <c r="AA89" s="425">
        <v>3374.999999999985</v>
      </c>
      <c r="AB89" s="425">
        <v>1124.999999999995</v>
      </c>
      <c r="AC89" s="498">
        <f t="shared" si="34"/>
        <v>1</v>
      </c>
      <c r="AD89" s="560"/>
      <c r="AE89" s="498">
        <v>3</v>
      </c>
      <c r="AF89" s="425">
        <v>3071.9999999999864</v>
      </c>
      <c r="AG89" s="425">
        <v>1023.9999999999955</v>
      </c>
      <c r="AH89" s="498">
        <f t="shared" si="36"/>
        <v>8</v>
      </c>
      <c r="AI89" s="560"/>
      <c r="AJ89" s="498">
        <v>3</v>
      </c>
      <c r="AK89" s="425">
        <v>2659.1999999999925</v>
      </c>
      <c r="AL89" s="425">
        <v>886.39999999999748</v>
      </c>
      <c r="AM89" s="498">
        <f t="shared" si="38"/>
        <v>10</v>
      </c>
      <c r="AN89" s="560"/>
      <c r="AO89" s="498">
        <v>3</v>
      </c>
      <c r="AP89" s="425">
        <v>2968.7999999999915</v>
      </c>
      <c r="AQ89" s="425">
        <v>989.59999999999718</v>
      </c>
      <c r="AR89" s="498">
        <f t="shared" si="40"/>
        <v>9</v>
      </c>
      <c r="AS89" s="560"/>
      <c r="AT89" s="498">
        <v>3</v>
      </c>
      <c r="AU89" s="425">
        <v>2944.799999999992</v>
      </c>
      <c r="AV89" s="425">
        <v>981.59999999999729</v>
      </c>
      <c r="AW89" s="498">
        <f t="shared" si="42"/>
        <v>9</v>
      </c>
      <c r="AX89" s="560"/>
      <c r="AZ89" s="411" t="e">
        <f t="shared" si="44"/>
        <v>#N/A</v>
      </c>
      <c r="BA89" s="560"/>
    </row>
    <row r="90" spans="2:53">
      <c r="B90" s="611"/>
      <c r="C90" s="307">
        <v>14</v>
      </c>
      <c r="D90" s="418" t="s">
        <v>606</v>
      </c>
      <c r="E90" s="418">
        <v>4</v>
      </c>
      <c r="F90" s="418">
        <v>2200</v>
      </c>
      <c r="G90" s="425">
        <v>550</v>
      </c>
      <c r="H90" s="560"/>
      <c r="I90" s="400">
        <f t="shared" si="46"/>
        <v>3</v>
      </c>
      <c r="J90" s="400">
        <f t="shared" si="47"/>
        <v>2192.4809523809513</v>
      </c>
      <c r="K90" s="200">
        <f t="shared" si="48"/>
        <v>730.8269841269838</v>
      </c>
      <c r="L90" s="624"/>
      <c r="M90" s="199">
        <f>RANK(K90, K$77:$K$106)</f>
        <v>18</v>
      </c>
      <c r="N90" s="567"/>
      <c r="O90" s="567"/>
      <c r="P90" s="498">
        <v>3</v>
      </c>
      <c r="Q90" s="425">
        <v>2224</v>
      </c>
      <c r="R90" s="425">
        <v>741.33333333333337</v>
      </c>
      <c r="S90" s="498">
        <f t="shared" si="30"/>
        <v>18</v>
      </c>
      <c r="T90" s="560"/>
      <c r="U90" s="498">
        <v>3</v>
      </c>
      <c r="V90" s="425">
        <v>2257.333333333333</v>
      </c>
      <c r="W90" s="425">
        <v>752.44444444444434</v>
      </c>
      <c r="X90" s="498">
        <f t="shared" si="32"/>
        <v>16</v>
      </c>
      <c r="Y90" s="560"/>
      <c r="Z90" s="498">
        <v>3</v>
      </c>
      <c r="AA90" s="425">
        <v>2254.4999999999991</v>
      </c>
      <c r="AB90" s="425">
        <v>751.49999999999966</v>
      </c>
      <c r="AC90" s="498">
        <f t="shared" si="34"/>
        <v>17</v>
      </c>
      <c r="AD90" s="560"/>
      <c r="AE90" s="498">
        <v>3</v>
      </c>
      <c r="AF90" s="425">
        <v>2174.9999999999991</v>
      </c>
      <c r="AG90" s="425">
        <v>724.99999999999966</v>
      </c>
      <c r="AH90" s="498">
        <f t="shared" si="36"/>
        <v>18</v>
      </c>
      <c r="AI90" s="560"/>
      <c r="AJ90" s="498">
        <v>3</v>
      </c>
      <c r="AK90" s="425">
        <v>2100</v>
      </c>
      <c r="AL90" s="425">
        <v>700</v>
      </c>
      <c r="AM90" s="498">
        <f t="shared" si="38"/>
        <v>20</v>
      </c>
      <c r="AN90" s="560"/>
      <c r="AO90" s="498">
        <v>3</v>
      </c>
      <c r="AP90" s="425">
        <v>2071.1999999999944</v>
      </c>
      <c r="AQ90" s="425">
        <v>690.39999999999816</v>
      </c>
      <c r="AR90" s="498">
        <f t="shared" si="40"/>
        <v>20</v>
      </c>
      <c r="AS90" s="560"/>
      <c r="AT90" s="498">
        <v>3</v>
      </c>
      <c r="AU90" s="425">
        <v>2265.333333333333</v>
      </c>
      <c r="AV90" s="425">
        <v>755.11111111111097</v>
      </c>
      <c r="AW90" s="498">
        <f t="shared" si="42"/>
        <v>15</v>
      </c>
      <c r="AX90" s="560"/>
      <c r="AZ90" s="411" t="e">
        <f t="shared" si="44"/>
        <v>#N/A</v>
      </c>
      <c r="BA90" s="560"/>
    </row>
    <row r="91" spans="2:53">
      <c r="B91" s="611"/>
      <c r="C91" s="307">
        <v>15</v>
      </c>
      <c r="D91" s="418" t="s">
        <v>676</v>
      </c>
      <c r="E91" s="418">
        <v>8</v>
      </c>
      <c r="F91" s="418">
        <v>1500</v>
      </c>
      <c r="G91" s="425">
        <v>187.5</v>
      </c>
      <c r="H91" s="560"/>
      <c r="I91" s="400">
        <f t="shared" si="46"/>
        <v>12</v>
      </c>
      <c r="J91" s="400">
        <f t="shared" si="47"/>
        <v>1480.0276590156027</v>
      </c>
      <c r="K91" s="200">
        <f t="shared" si="48"/>
        <v>123.33563825130021</v>
      </c>
      <c r="L91" s="624"/>
      <c r="M91" s="199">
        <f>RANK(K91, K$77:$K$106)</f>
        <v>22</v>
      </c>
      <c r="N91" s="567"/>
      <c r="O91" s="567"/>
      <c r="P91" s="498">
        <v>12</v>
      </c>
      <c r="Q91" s="425">
        <v>1495.9459459459449</v>
      </c>
      <c r="R91" s="425">
        <v>124.66216216216208</v>
      </c>
      <c r="S91" s="498">
        <f t="shared" si="30"/>
        <v>22</v>
      </c>
      <c r="T91" s="560"/>
      <c r="U91" s="498">
        <v>12</v>
      </c>
      <c r="V91" s="425">
        <v>1483.5616438356151</v>
      </c>
      <c r="W91" s="425">
        <v>123.63013698630125</v>
      </c>
      <c r="X91" s="498">
        <f t="shared" si="32"/>
        <v>22</v>
      </c>
      <c r="Y91" s="560"/>
      <c r="Z91" s="498">
        <v>12</v>
      </c>
      <c r="AA91" s="425">
        <v>1417.714285714291</v>
      </c>
      <c r="AB91" s="425">
        <v>118.14285714285758</v>
      </c>
      <c r="AC91" s="498">
        <f t="shared" si="34"/>
        <v>22</v>
      </c>
      <c r="AD91" s="560"/>
      <c r="AE91" s="498">
        <v>12</v>
      </c>
      <c r="AF91" s="425">
        <v>1484.7457627118656</v>
      </c>
      <c r="AG91" s="425">
        <v>123.72881355932213</v>
      </c>
      <c r="AH91" s="498">
        <f t="shared" si="36"/>
        <v>22</v>
      </c>
      <c r="AI91" s="560"/>
      <c r="AJ91" s="498">
        <v>12</v>
      </c>
      <c r="AK91" s="425">
        <v>1493.731343283584</v>
      </c>
      <c r="AL91" s="425">
        <v>124.47761194029867</v>
      </c>
      <c r="AM91" s="498">
        <f t="shared" si="38"/>
        <v>22</v>
      </c>
      <c r="AN91" s="560"/>
      <c r="AO91" s="498">
        <v>12</v>
      </c>
      <c r="AP91" s="425">
        <v>1492.6027397260264</v>
      </c>
      <c r="AQ91" s="425">
        <v>124.38356164383553</v>
      </c>
      <c r="AR91" s="498">
        <f t="shared" si="40"/>
        <v>22</v>
      </c>
      <c r="AS91" s="560"/>
      <c r="AT91" s="498">
        <v>12</v>
      </c>
      <c r="AU91" s="425">
        <v>1491.8918918918907</v>
      </c>
      <c r="AV91" s="425">
        <v>124.32432432432422</v>
      </c>
      <c r="AW91" s="498">
        <f t="shared" si="42"/>
        <v>22</v>
      </c>
      <c r="AX91" s="560"/>
      <c r="AZ91" s="411" t="e">
        <f t="shared" si="44"/>
        <v>#N/A</v>
      </c>
      <c r="BA91" s="560"/>
    </row>
    <row r="92" spans="2:53">
      <c r="B92" s="611"/>
      <c r="C92" s="307">
        <v>16</v>
      </c>
      <c r="D92" s="418" t="s">
        <v>607</v>
      </c>
      <c r="E92" s="418">
        <v>3</v>
      </c>
      <c r="F92" s="418">
        <v>2800</v>
      </c>
      <c r="G92" s="425">
        <v>933.33333333333337</v>
      </c>
      <c r="H92" s="560"/>
      <c r="I92" s="400">
        <f t="shared" si="46"/>
        <v>3</v>
      </c>
      <c r="J92" s="400">
        <f t="shared" si="47"/>
        <v>2819.399941794899</v>
      </c>
      <c r="K92" s="200">
        <f t="shared" si="48"/>
        <v>939.79998059829961</v>
      </c>
      <c r="L92" s="624"/>
      <c r="M92" s="199">
        <f>RANK(K92, K$77:$K$106)</f>
        <v>10</v>
      </c>
      <c r="N92" s="567"/>
      <c r="O92" s="567"/>
      <c r="P92" s="498">
        <v>3</v>
      </c>
      <c r="Q92" s="425">
        <v>2838.5714285714275</v>
      </c>
      <c r="R92" s="425">
        <v>946.19047619047581</v>
      </c>
      <c r="S92" s="498">
        <f t="shared" si="30"/>
        <v>10</v>
      </c>
      <c r="T92" s="560"/>
      <c r="U92" s="498">
        <v>3</v>
      </c>
      <c r="V92" s="425">
        <v>2788</v>
      </c>
      <c r="W92" s="425">
        <v>929.33333333333337</v>
      </c>
      <c r="X92" s="498">
        <f t="shared" si="32"/>
        <v>10</v>
      </c>
      <c r="Y92" s="560"/>
      <c r="Z92" s="498">
        <v>3</v>
      </c>
      <c r="AA92" s="425">
        <v>2740.909090909091</v>
      </c>
      <c r="AB92" s="425">
        <v>913.63636363636363</v>
      </c>
      <c r="AC92" s="498">
        <f t="shared" si="34"/>
        <v>10</v>
      </c>
      <c r="AD92" s="560"/>
      <c r="AE92" s="498">
        <v>3</v>
      </c>
      <c r="AF92" s="425">
        <v>2879.9999999999968</v>
      </c>
      <c r="AG92" s="425">
        <v>959.99999999999898</v>
      </c>
      <c r="AH92" s="498">
        <f t="shared" si="36"/>
        <v>9</v>
      </c>
      <c r="AI92" s="560"/>
      <c r="AJ92" s="498">
        <v>3</v>
      </c>
      <c r="AK92" s="425">
        <v>2876.4705882352905</v>
      </c>
      <c r="AL92" s="425">
        <v>958.8235294117635</v>
      </c>
      <c r="AM92" s="498">
        <f t="shared" si="38"/>
        <v>8</v>
      </c>
      <c r="AN92" s="560"/>
      <c r="AO92" s="498">
        <v>3</v>
      </c>
      <c r="AP92" s="425">
        <v>2813.181818181818</v>
      </c>
      <c r="AQ92" s="425">
        <v>937.72727272727263</v>
      </c>
      <c r="AR92" s="498">
        <f t="shared" si="40"/>
        <v>10</v>
      </c>
      <c r="AS92" s="560"/>
      <c r="AT92" s="498">
        <v>3</v>
      </c>
      <c r="AU92" s="425">
        <v>2798.666666666667</v>
      </c>
      <c r="AV92" s="425">
        <v>932.88888888888903</v>
      </c>
      <c r="AW92" s="498">
        <f t="shared" si="42"/>
        <v>10</v>
      </c>
      <c r="AX92" s="560"/>
      <c r="AZ92" s="411" t="e">
        <f t="shared" si="44"/>
        <v>#N/A</v>
      </c>
      <c r="BA92" s="560"/>
    </row>
    <row r="93" spans="2:53">
      <c r="B93" s="611"/>
      <c r="C93" s="307">
        <v>17</v>
      </c>
      <c r="D93" s="418" t="s">
        <v>608</v>
      </c>
      <c r="E93" s="418">
        <v>4</v>
      </c>
      <c r="F93" s="418">
        <v>2800</v>
      </c>
      <c r="G93" s="425">
        <v>700</v>
      </c>
      <c r="H93" s="560"/>
      <c r="I93" s="400">
        <f t="shared" si="46"/>
        <v>4</v>
      </c>
      <c r="J93" s="400">
        <f t="shared" si="47"/>
        <v>2821.7870042547174</v>
      </c>
      <c r="K93" s="200">
        <f t="shared" si="48"/>
        <v>705.44675106367936</v>
      </c>
      <c r="L93" s="624"/>
      <c r="M93" s="199">
        <f>RANK(K93, K$77:$K$106)</f>
        <v>19</v>
      </c>
      <c r="N93" s="567"/>
      <c r="O93" s="567"/>
      <c r="P93" s="498">
        <v>4</v>
      </c>
      <c r="Q93" s="425">
        <v>2886.0000000000027</v>
      </c>
      <c r="R93" s="425">
        <v>721.50000000000068</v>
      </c>
      <c r="S93" s="498">
        <f t="shared" si="30"/>
        <v>19</v>
      </c>
      <c r="T93" s="560"/>
      <c r="U93" s="498">
        <v>4</v>
      </c>
      <c r="V93" s="425">
        <v>2749.4117647058788</v>
      </c>
      <c r="W93" s="425">
        <v>687.3529411764697</v>
      </c>
      <c r="X93" s="498">
        <f t="shared" si="32"/>
        <v>20</v>
      </c>
      <c r="Y93" s="560"/>
      <c r="Z93" s="498">
        <v>4</v>
      </c>
      <c r="AA93" s="425">
        <v>2783.2258064516154</v>
      </c>
      <c r="AB93" s="425">
        <v>695.80645161290386</v>
      </c>
      <c r="AC93" s="498">
        <f t="shared" si="34"/>
        <v>20</v>
      </c>
      <c r="AD93" s="560"/>
      <c r="AE93" s="498">
        <v>4</v>
      </c>
      <c r="AF93" s="425">
        <v>2863.2000000000007</v>
      </c>
      <c r="AG93" s="425">
        <v>715.80000000000018</v>
      </c>
      <c r="AH93" s="498">
        <f t="shared" si="36"/>
        <v>19</v>
      </c>
      <c r="AI93" s="560"/>
      <c r="AJ93" s="498">
        <v>4</v>
      </c>
      <c r="AK93" s="425">
        <v>2908.695652173913</v>
      </c>
      <c r="AL93" s="425">
        <v>727.17391304347825</v>
      </c>
      <c r="AM93" s="498">
        <f t="shared" si="38"/>
        <v>18</v>
      </c>
      <c r="AN93" s="560"/>
      <c r="AO93" s="498">
        <v>4</v>
      </c>
      <c r="AP93" s="425">
        <v>2843.2258064516154</v>
      </c>
      <c r="AQ93" s="425">
        <v>710.80645161290386</v>
      </c>
      <c r="AR93" s="498">
        <f t="shared" si="40"/>
        <v>18</v>
      </c>
      <c r="AS93" s="560"/>
      <c r="AT93" s="498">
        <v>4</v>
      </c>
      <c r="AU93" s="425">
        <v>2718.7499999999964</v>
      </c>
      <c r="AV93" s="425">
        <v>679.68749999999909</v>
      </c>
      <c r="AW93" s="498">
        <f t="shared" si="42"/>
        <v>21</v>
      </c>
      <c r="AX93" s="560"/>
      <c r="AZ93" s="411" t="e">
        <f t="shared" si="44"/>
        <v>#N/A</v>
      </c>
      <c r="BA93" s="560"/>
    </row>
    <row r="94" spans="2:53">
      <c r="B94" s="611"/>
      <c r="C94" s="307">
        <v>18</v>
      </c>
      <c r="D94" s="418" t="s">
        <v>623</v>
      </c>
      <c r="E94" s="418">
        <v>12</v>
      </c>
      <c r="F94" s="418">
        <v>1500</v>
      </c>
      <c r="G94" s="425">
        <v>125</v>
      </c>
      <c r="H94" s="560"/>
      <c r="I94" s="400">
        <f t="shared" si="46"/>
        <v>12</v>
      </c>
      <c r="J94" s="400">
        <f t="shared" si="47"/>
        <v>976.91836734693766</v>
      </c>
      <c r="K94" s="200">
        <f t="shared" si="48"/>
        <v>81.409863945578124</v>
      </c>
      <c r="L94" s="624"/>
      <c r="M94" s="199">
        <f>RANK(K94, K$77:$K$106)</f>
        <v>24</v>
      </c>
      <c r="N94" s="567"/>
      <c r="O94" s="567"/>
      <c r="P94" s="498">
        <v>12</v>
      </c>
      <c r="Q94" s="425">
        <v>891.42857142857451</v>
      </c>
      <c r="R94" s="425">
        <v>74.285714285714548</v>
      </c>
      <c r="S94" s="498">
        <f t="shared" si="30"/>
        <v>24</v>
      </c>
      <c r="T94" s="560"/>
      <c r="U94" s="498">
        <v>12</v>
      </c>
      <c r="V94" s="425">
        <v>1056.0000000000036</v>
      </c>
      <c r="W94" s="425">
        <v>88.000000000000298</v>
      </c>
      <c r="X94" s="498">
        <f t="shared" si="32"/>
        <v>24</v>
      </c>
      <c r="Y94" s="560"/>
      <c r="Z94" s="498">
        <v>12</v>
      </c>
      <c r="AA94" s="425">
        <v>1065.0000000000039</v>
      </c>
      <c r="AB94" s="425">
        <v>88.750000000000327</v>
      </c>
      <c r="AC94" s="498">
        <f t="shared" si="34"/>
        <v>24</v>
      </c>
      <c r="AD94" s="560"/>
      <c r="AE94" s="498">
        <v>12</v>
      </c>
      <c r="AF94" s="425">
        <v>810.00000000000284</v>
      </c>
      <c r="AG94" s="425">
        <v>67.500000000000242</v>
      </c>
      <c r="AH94" s="498">
        <f t="shared" si="36"/>
        <v>24</v>
      </c>
      <c r="AI94" s="560"/>
      <c r="AJ94" s="498">
        <v>12</v>
      </c>
      <c r="AK94" s="425">
        <v>1060.0000000000036</v>
      </c>
      <c r="AL94" s="425">
        <v>88.333333333333641</v>
      </c>
      <c r="AM94" s="498">
        <f t="shared" si="38"/>
        <v>23</v>
      </c>
      <c r="AN94" s="560"/>
      <c r="AO94" s="498">
        <v>12</v>
      </c>
      <c r="AP94" s="425">
        <v>924.0000000000033</v>
      </c>
      <c r="AQ94" s="425">
        <v>77.00000000000027</v>
      </c>
      <c r="AR94" s="498">
        <f t="shared" si="40"/>
        <v>24</v>
      </c>
      <c r="AS94" s="560"/>
      <c r="AT94" s="498">
        <v>12</v>
      </c>
      <c r="AU94" s="425">
        <v>1031.9999999999707</v>
      </c>
      <c r="AV94" s="425">
        <v>85.999999999997556</v>
      </c>
      <c r="AW94" s="498">
        <f t="shared" si="42"/>
        <v>24</v>
      </c>
      <c r="AX94" s="560"/>
      <c r="AZ94" s="411" t="e">
        <f t="shared" si="44"/>
        <v>#N/A</v>
      </c>
      <c r="BA94" s="560"/>
    </row>
    <row r="95" spans="2:53">
      <c r="B95" s="611"/>
      <c r="C95" s="307">
        <v>19</v>
      </c>
      <c r="D95" s="418" t="s">
        <v>630</v>
      </c>
      <c r="E95" s="418">
        <v>12</v>
      </c>
      <c r="F95" s="418">
        <v>1500</v>
      </c>
      <c r="G95" s="425">
        <v>125</v>
      </c>
      <c r="H95" s="560"/>
      <c r="I95" s="400">
        <f t="shared" si="46"/>
        <v>13</v>
      </c>
      <c r="J95" s="400">
        <f t="shared" si="47"/>
        <v>1365.087035481602</v>
      </c>
      <c r="K95" s="200">
        <f t="shared" si="48"/>
        <v>104.54672664101066</v>
      </c>
      <c r="L95" s="624"/>
      <c r="M95" s="199">
        <f>RANK(K95, K$77:$K$106)</f>
        <v>23</v>
      </c>
      <c r="N95" s="567"/>
      <c r="O95" s="567"/>
      <c r="P95" s="498">
        <v>12</v>
      </c>
      <c r="Q95" s="425">
        <v>1355.9999999999975</v>
      </c>
      <c r="R95" s="425">
        <v>112.99999999999979</v>
      </c>
      <c r="S95" s="498">
        <f t="shared" si="30"/>
        <v>23</v>
      </c>
      <c r="T95" s="560"/>
      <c r="U95" s="498">
        <v>12</v>
      </c>
      <c r="V95" s="425">
        <v>1333.5483870967721</v>
      </c>
      <c r="W95" s="425">
        <v>111.12903225806434</v>
      </c>
      <c r="X95" s="498">
        <f t="shared" si="32"/>
        <v>23</v>
      </c>
      <c r="Y95" s="560"/>
      <c r="Z95" s="498">
        <v>12</v>
      </c>
      <c r="AA95" s="425">
        <v>1313.5714285714257</v>
      </c>
      <c r="AB95" s="425">
        <v>109.46428571428548</v>
      </c>
      <c r="AC95" s="498">
        <f t="shared" si="34"/>
        <v>23</v>
      </c>
      <c r="AD95" s="560"/>
      <c r="AE95" s="498">
        <v>12</v>
      </c>
      <c r="AF95" s="425">
        <v>1031.9999999999982</v>
      </c>
      <c r="AG95" s="425">
        <v>85.999999999999844</v>
      </c>
      <c r="AH95" s="498">
        <f t="shared" si="36"/>
        <v>23</v>
      </c>
      <c r="AI95" s="560"/>
      <c r="AJ95" s="498">
        <v>12</v>
      </c>
      <c r="AK95" s="425">
        <v>1052.9032258064499</v>
      </c>
      <c r="AL95" s="425">
        <v>87.741935483870819</v>
      </c>
      <c r="AM95" s="498">
        <f t="shared" si="38"/>
        <v>24</v>
      </c>
      <c r="AN95" s="560"/>
      <c r="AO95" s="498">
        <v>19</v>
      </c>
      <c r="AP95" s="425">
        <v>2100.0000000000077</v>
      </c>
      <c r="AQ95" s="425">
        <v>110.5263157894741</v>
      </c>
      <c r="AR95" s="498">
        <f t="shared" si="40"/>
        <v>23</v>
      </c>
      <c r="AS95" s="560"/>
      <c r="AT95" s="498">
        <v>12</v>
      </c>
      <c r="AU95" s="425">
        <v>1367.5862068965641</v>
      </c>
      <c r="AV95" s="425">
        <v>113.96551724138034</v>
      </c>
      <c r="AW95" s="498">
        <f t="shared" si="42"/>
        <v>23</v>
      </c>
      <c r="AX95" s="560"/>
      <c r="AZ95" s="411" t="e">
        <f t="shared" si="44"/>
        <v>#N/A</v>
      </c>
      <c r="BA95" s="560"/>
    </row>
    <row r="96" spans="2:53">
      <c r="B96" s="611"/>
      <c r="C96" s="307">
        <v>20</v>
      </c>
      <c r="D96" s="418" t="s">
        <v>641</v>
      </c>
      <c r="E96" s="418">
        <v>3</v>
      </c>
      <c r="F96" s="418">
        <v>3000</v>
      </c>
      <c r="G96" s="425">
        <v>933.33333333333337</v>
      </c>
      <c r="H96" s="560"/>
      <c r="I96" s="400">
        <f t="shared" si="46"/>
        <v>3</v>
      </c>
      <c r="J96" s="400">
        <f t="shared" si="47"/>
        <v>3020.2285714285631</v>
      </c>
      <c r="K96" s="200">
        <f t="shared" si="48"/>
        <v>1006.7428571428543</v>
      </c>
      <c r="L96" s="624"/>
      <c r="M96" s="199">
        <f>RANK(K96, K$77:$K$106)</f>
        <v>8</v>
      </c>
      <c r="N96" s="567"/>
      <c r="O96" s="567"/>
      <c r="P96" s="498">
        <v>3</v>
      </c>
      <c r="Q96" s="425">
        <v>3271.1999999999907</v>
      </c>
      <c r="R96" s="425">
        <v>1090.3999999999969</v>
      </c>
      <c r="S96" s="498">
        <f t="shared" si="30"/>
        <v>5</v>
      </c>
      <c r="T96" s="560"/>
      <c r="U96" s="498">
        <v>3</v>
      </c>
      <c r="V96" s="425">
        <v>3208.7999999999911</v>
      </c>
      <c r="W96" s="425">
        <v>1069.599999999997</v>
      </c>
      <c r="X96" s="498">
        <f t="shared" si="32"/>
        <v>1</v>
      </c>
      <c r="Y96" s="560"/>
      <c r="Z96" s="498">
        <v>3</v>
      </c>
      <c r="AA96" s="425">
        <v>2959.1999999999916</v>
      </c>
      <c r="AB96" s="425">
        <v>986.39999999999725</v>
      </c>
      <c r="AC96" s="498">
        <f t="shared" si="34"/>
        <v>9</v>
      </c>
      <c r="AD96" s="560"/>
      <c r="AE96" s="498">
        <v>3</v>
      </c>
      <c r="AF96" s="425">
        <v>2719.1999999999925</v>
      </c>
      <c r="AG96" s="425">
        <v>906.39999999999748</v>
      </c>
      <c r="AH96" s="498">
        <f t="shared" si="36"/>
        <v>10</v>
      </c>
      <c r="AI96" s="560"/>
      <c r="AJ96" s="498">
        <v>3</v>
      </c>
      <c r="AK96" s="425">
        <v>2795.9999999999918</v>
      </c>
      <c r="AL96" s="425">
        <v>931.99999999999727</v>
      </c>
      <c r="AM96" s="498">
        <f t="shared" si="38"/>
        <v>9</v>
      </c>
      <c r="AN96" s="560"/>
      <c r="AO96" s="498">
        <v>3</v>
      </c>
      <c r="AP96" s="425">
        <v>3100.7999999999911</v>
      </c>
      <c r="AQ96" s="425">
        <v>1033.599999999997</v>
      </c>
      <c r="AR96" s="498">
        <f t="shared" si="40"/>
        <v>8</v>
      </c>
      <c r="AS96" s="560"/>
      <c r="AT96" s="498">
        <v>3</v>
      </c>
      <c r="AU96" s="425">
        <v>3086.3999999999915</v>
      </c>
      <c r="AV96" s="425">
        <v>1028.7999999999972</v>
      </c>
      <c r="AW96" s="498">
        <f t="shared" si="42"/>
        <v>8</v>
      </c>
      <c r="AX96" s="560"/>
      <c r="AZ96" s="411" t="e">
        <f t="shared" si="44"/>
        <v>#N/A</v>
      </c>
      <c r="BA96" s="560"/>
    </row>
    <row r="97" spans="2:53">
      <c r="B97" s="611"/>
      <c r="C97" s="307">
        <v>21</v>
      </c>
      <c r="D97" s="421" t="s">
        <v>647</v>
      </c>
      <c r="E97" s="418">
        <v>4</v>
      </c>
      <c r="F97" s="418">
        <v>3200</v>
      </c>
      <c r="G97" s="425">
        <v>800</v>
      </c>
      <c r="H97" s="560"/>
      <c r="I97" s="400">
        <f t="shared" si="46"/>
        <v>4</v>
      </c>
      <c r="J97" s="400">
        <f t="shared" si="47"/>
        <v>2995.515946696979</v>
      </c>
      <c r="K97" s="200">
        <f t="shared" si="48"/>
        <v>748.87898667424474</v>
      </c>
      <c r="L97" s="624"/>
      <c r="M97" s="199">
        <f>RANK(K97, K$77:$K$106)</f>
        <v>17</v>
      </c>
      <c r="N97" s="567"/>
      <c r="O97" s="567"/>
      <c r="P97" s="498">
        <v>4</v>
      </c>
      <c r="Q97" s="425">
        <v>3029.9999999999977</v>
      </c>
      <c r="R97" s="425">
        <v>757.49999999999943</v>
      </c>
      <c r="S97" s="498">
        <f t="shared" si="30"/>
        <v>17</v>
      </c>
      <c r="T97" s="560"/>
      <c r="U97" s="498">
        <v>4</v>
      </c>
      <c r="V97" s="425">
        <v>2931.0000000000045</v>
      </c>
      <c r="W97" s="425">
        <v>732.75000000000114</v>
      </c>
      <c r="X97" s="498">
        <f t="shared" si="32"/>
        <v>18</v>
      </c>
      <c r="Y97" s="560"/>
      <c r="Z97" s="498">
        <v>4</v>
      </c>
      <c r="AA97" s="425">
        <v>2935.3846153846139</v>
      </c>
      <c r="AB97" s="425">
        <v>733.84615384615347</v>
      </c>
      <c r="AC97" s="498">
        <f t="shared" si="34"/>
        <v>19</v>
      </c>
      <c r="AD97" s="560"/>
      <c r="AE97" s="498">
        <v>4</v>
      </c>
      <c r="AF97" s="425">
        <v>3011.2500000000036</v>
      </c>
      <c r="AG97" s="425">
        <v>752.81250000000091</v>
      </c>
      <c r="AH97" s="498">
        <f t="shared" si="36"/>
        <v>16</v>
      </c>
      <c r="AI97" s="560"/>
      <c r="AJ97" s="498">
        <v>4</v>
      </c>
      <c r="AK97" s="425">
        <v>3039.3103448275801</v>
      </c>
      <c r="AL97" s="425">
        <v>759.82758620689503</v>
      </c>
      <c r="AM97" s="498">
        <f t="shared" si="38"/>
        <v>16</v>
      </c>
      <c r="AN97" s="560"/>
      <c r="AO97" s="498">
        <v>4</v>
      </c>
      <c r="AP97" s="425">
        <v>3049.9999999999977</v>
      </c>
      <c r="AQ97" s="425">
        <v>762.49999999999943</v>
      </c>
      <c r="AR97" s="498">
        <f t="shared" si="40"/>
        <v>16</v>
      </c>
      <c r="AS97" s="560"/>
      <c r="AT97" s="498">
        <v>4</v>
      </c>
      <c r="AU97" s="425">
        <v>2971.6666666666574</v>
      </c>
      <c r="AV97" s="425">
        <v>742.91666666666436</v>
      </c>
      <c r="AW97" s="498">
        <f t="shared" si="42"/>
        <v>17</v>
      </c>
      <c r="AX97" s="560"/>
      <c r="AZ97" s="411" t="e">
        <f t="shared" si="44"/>
        <v>#N/A</v>
      </c>
      <c r="BA97" s="560"/>
    </row>
    <row r="98" spans="2:53">
      <c r="B98" s="611"/>
      <c r="C98" s="307">
        <v>22</v>
      </c>
      <c r="D98" s="418" t="s">
        <v>650</v>
      </c>
      <c r="E98" s="418">
        <v>4</v>
      </c>
      <c r="F98" s="418">
        <v>3200</v>
      </c>
      <c r="G98" s="418">
        <v>800</v>
      </c>
      <c r="H98" s="560"/>
      <c r="I98" s="400">
        <f t="shared" si="46"/>
        <v>4</v>
      </c>
      <c r="J98" s="400">
        <f t="shared" si="47"/>
        <v>3004.1848535165482</v>
      </c>
      <c r="K98" s="200">
        <f t="shared" si="48"/>
        <v>751.04621337913704</v>
      </c>
      <c r="L98" s="624"/>
      <c r="M98" s="199">
        <f>RANK(K98, K$77:$K$106)</f>
        <v>16</v>
      </c>
      <c r="N98" s="567"/>
      <c r="O98" s="567"/>
      <c r="P98" s="498">
        <v>4</v>
      </c>
      <c r="Q98" s="425">
        <v>3052.9411764705847</v>
      </c>
      <c r="R98" s="425">
        <v>763.23529411764616</v>
      </c>
      <c r="S98" s="498">
        <f t="shared" si="30"/>
        <v>15</v>
      </c>
      <c r="T98" s="560"/>
      <c r="U98" s="498">
        <v>4</v>
      </c>
      <c r="V98" s="425">
        <v>2962.6415094339641</v>
      </c>
      <c r="W98" s="425">
        <v>740.66037735849102</v>
      </c>
      <c r="X98" s="498">
        <f t="shared" si="32"/>
        <v>17</v>
      </c>
      <c r="Y98" s="560"/>
      <c r="Z98" s="498">
        <v>4</v>
      </c>
      <c r="AA98" s="425">
        <v>2984.9999999999923</v>
      </c>
      <c r="AB98" s="425">
        <v>746.24999999999807</v>
      </c>
      <c r="AC98" s="498">
        <f t="shared" si="34"/>
        <v>18</v>
      </c>
      <c r="AD98" s="560"/>
      <c r="AE98" s="498">
        <v>4</v>
      </c>
      <c r="AF98" s="425">
        <v>3010.9090909090964</v>
      </c>
      <c r="AG98" s="425">
        <v>752.72727272727411</v>
      </c>
      <c r="AH98" s="498">
        <f t="shared" si="36"/>
        <v>17</v>
      </c>
      <c r="AI98" s="560"/>
      <c r="AJ98" s="498">
        <v>4</v>
      </c>
      <c r="AK98" s="425">
        <v>3038.5714285714275</v>
      </c>
      <c r="AL98" s="425">
        <v>759.64285714285688</v>
      </c>
      <c r="AM98" s="498">
        <f t="shared" si="38"/>
        <v>17</v>
      </c>
      <c r="AN98" s="560"/>
      <c r="AO98" s="498">
        <v>4</v>
      </c>
      <c r="AP98" s="425">
        <v>3008.0769230769247</v>
      </c>
      <c r="AQ98" s="425">
        <v>752.01923076923117</v>
      </c>
      <c r="AR98" s="498">
        <f t="shared" si="40"/>
        <v>17</v>
      </c>
      <c r="AS98" s="560"/>
      <c r="AT98" s="498">
        <v>4</v>
      </c>
      <c r="AU98" s="425">
        <v>2971.1538461538476</v>
      </c>
      <c r="AV98" s="425">
        <v>742.78846153846189</v>
      </c>
      <c r="AW98" s="498">
        <f t="shared" si="42"/>
        <v>18</v>
      </c>
      <c r="AX98" s="560"/>
      <c r="AZ98" s="411" t="e">
        <f t="shared" si="44"/>
        <v>#N/A</v>
      </c>
      <c r="BA98" s="560"/>
    </row>
    <row r="99" spans="2:53">
      <c r="B99" s="611"/>
      <c r="C99" s="307">
        <v>23</v>
      </c>
      <c r="D99" s="418" t="s">
        <v>659</v>
      </c>
      <c r="E99" s="418">
        <v>3</v>
      </c>
      <c r="F99" s="418">
        <v>3200</v>
      </c>
      <c r="G99" s="418">
        <v>1066.6666666666667</v>
      </c>
      <c r="H99" s="560"/>
      <c r="I99" s="400">
        <f t="shared" si="46"/>
        <v>3</v>
      </c>
      <c r="J99" s="400">
        <f t="shared" si="47"/>
        <v>3235.2220946454795</v>
      </c>
      <c r="K99" s="200">
        <f t="shared" si="48"/>
        <v>1078.4073648818262</v>
      </c>
      <c r="L99" s="624"/>
      <c r="M99" s="199">
        <f>RANK(K99, K$77:$K$106)</f>
        <v>1</v>
      </c>
      <c r="N99" s="567"/>
      <c r="O99" s="567"/>
      <c r="P99" s="498">
        <v>3</v>
      </c>
      <c r="Q99" s="425">
        <v>3486.6666666666556</v>
      </c>
      <c r="R99" s="425">
        <v>1162.2222222222185</v>
      </c>
      <c r="S99" s="498">
        <f t="shared" si="30"/>
        <v>1</v>
      </c>
      <c r="T99" s="560"/>
      <c r="U99" s="498">
        <v>3</v>
      </c>
      <c r="V99" s="425">
        <v>3131.0526315789452</v>
      </c>
      <c r="W99" s="425">
        <v>1043.6842105263152</v>
      </c>
      <c r="X99" s="498">
        <f t="shared" si="32"/>
        <v>7</v>
      </c>
      <c r="Y99" s="560"/>
      <c r="Z99" s="498">
        <v>3</v>
      </c>
      <c r="AA99" s="425">
        <v>3124.7368421052606</v>
      </c>
      <c r="AB99" s="425">
        <v>1041.5789473684201</v>
      </c>
      <c r="AC99" s="498">
        <f t="shared" si="34"/>
        <v>8</v>
      </c>
      <c r="AD99" s="560"/>
      <c r="AE99" s="498">
        <v>3</v>
      </c>
      <c r="AF99" s="425">
        <v>3272.0000000000032</v>
      </c>
      <c r="AG99" s="425">
        <v>1090.6666666666677</v>
      </c>
      <c r="AH99" s="498">
        <f t="shared" si="36"/>
        <v>2</v>
      </c>
      <c r="AI99" s="560"/>
      <c r="AJ99" s="498">
        <v>3</v>
      </c>
      <c r="AK99" s="425">
        <v>3277.2413793103383</v>
      </c>
      <c r="AL99" s="425">
        <v>1092.4137931034461</v>
      </c>
      <c r="AM99" s="498">
        <f t="shared" si="38"/>
        <v>3</v>
      </c>
      <c r="AN99" s="560"/>
      <c r="AO99" s="498">
        <v>3</v>
      </c>
      <c r="AP99" s="425">
        <v>3197.1428571428542</v>
      </c>
      <c r="AQ99" s="425">
        <v>1065.7142857142846</v>
      </c>
      <c r="AR99" s="498">
        <f t="shared" si="40"/>
        <v>7</v>
      </c>
      <c r="AS99" s="560"/>
      <c r="AT99" s="498">
        <v>3</v>
      </c>
      <c r="AU99" s="425">
        <v>3157.7142857142971</v>
      </c>
      <c r="AV99" s="425">
        <v>1052.5714285714323</v>
      </c>
      <c r="AW99" s="498">
        <f t="shared" si="42"/>
        <v>6</v>
      </c>
      <c r="AX99" s="560"/>
      <c r="AZ99" s="411" t="e">
        <f t="shared" si="44"/>
        <v>#N/A</v>
      </c>
      <c r="BA99" s="560"/>
    </row>
    <row r="100" spans="2:53">
      <c r="B100" s="611"/>
      <c r="C100" s="307">
        <v>24</v>
      </c>
      <c r="D100" s="418" t="s">
        <v>810</v>
      </c>
      <c r="E100" s="418">
        <v>3</v>
      </c>
      <c r="F100" s="418">
        <v>3200</v>
      </c>
      <c r="G100" s="418">
        <v>1066.6666666666667</v>
      </c>
      <c r="H100" s="560"/>
      <c r="I100" s="400">
        <f t="shared" si="46"/>
        <v>3</v>
      </c>
      <c r="J100" s="400">
        <f t="shared" si="47"/>
        <v>3204.389502183506</v>
      </c>
      <c r="K100" s="200">
        <f t="shared" si="48"/>
        <v>1068.1298340611686</v>
      </c>
      <c r="L100" s="624"/>
      <c r="M100" s="199">
        <f>RANK(K100, K$77:$K$106)</f>
        <v>6</v>
      </c>
      <c r="N100" s="567"/>
      <c r="O100" s="567"/>
      <c r="P100" s="498">
        <v>3</v>
      </c>
      <c r="Q100" s="425">
        <v>3236.0526315789452</v>
      </c>
      <c r="R100" s="425">
        <v>1078.6842105263152</v>
      </c>
      <c r="S100" s="498">
        <f t="shared" si="30"/>
        <v>6</v>
      </c>
      <c r="T100" s="560"/>
      <c r="U100" s="498">
        <v>3</v>
      </c>
      <c r="V100" s="425">
        <v>3162.222222222224</v>
      </c>
      <c r="W100" s="425">
        <v>1054.0740740740746</v>
      </c>
      <c r="X100" s="498">
        <f t="shared" si="32"/>
        <v>6</v>
      </c>
      <c r="Y100" s="560"/>
      <c r="Z100" s="498">
        <v>3</v>
      </c>
      <c r="AA100" s="425">
        <v>3177.6470588235306</v>
      </c>
      <c r="AB100" s="425">
        <v>1059.2156862745103</v>
      </c>
      <c r="AC100" s="498">
        <f t="shared" si="34"/>
        <v>4</v>
      </c>
      <c r="AD100" s="560"/>
      <c r="AE100" s="498">
        <v>3</v>
      </c>
      <c r="AF100" s="425">
        <v>3208.9655172413818</v>
      </c>
      <c r="AG100" s="425">
        <v>1069.6551724137939</v>
      </c>
      <c r="AH100" s="498">
        <f t="shared" si="36"/>
        <v>7</v>
      </c>
      <c r="AI100" s="560"/>
      <c r="AJ100" s="498">
        <v>3</v>
      </c>
      <c r="AK100" s="425">
        <v>3244.9180327868798</v>
      </c>
      <c r="AL100" s="425">
        <v>1081.6393442622932</v>
      </c>
      <c r="AM100" s="498">
        <f t="shared" si="38"/>
        <v>5</v>
      </c>
      <c r="AN100" s="560"/>
      <c r="AO100" s="498">
        <v>3</v>
      </c>
      <c r="AP100" s="425">
        <v>3238.4210526315765</v>
      </c>
      <c r="AQ100" s="425">
        <v>1079.4736842105256</v>
      </c>
      <c r="AR100" s="498">
        <f t="shared" si="40"/>
        <v>3</v>
      </c>
      <c r="AS100" s="560"/>
      <c r="AT100" s="498">
        <v>3</v>
      </c>
      <c r="AU100" s="425">
        <v>3162.5000000000045</v>
      </c>
      <c r="AV100" s="425">
        <v>1054.1666666666681</v>
      </c>
      <c r="AW100" s="498">
        <f t="shared" si="42"/>
        <v>4</v>
      </c>
      <c r="AX100" s="560"/>
      <c r="AZ100" s="411" t="e">
        <f t="shared" si="44"/>
        <v>#N/A</v>
      </c>
      <c r="BA100" s="560"/>
    </row>
    <row r="101" spans="2:53">
      <c r="B101" s="611"/>
      <c r="C101" s="307">
        <v>25</v>
      </c>
      <c r="D101" s="418"/>
      <c r="E101" s="418"/>
      <c r="F101" s="418"/>
      <c r="G101" s="418"/>
      <c r="H101" s="560"/>
      <c r="I101" s="400" t="str">
        <f t="shared" si="46"/>
        <v>-</v>
      </c>
      <c r="J101" s="400" t="str">
        <f t="shared" si="47"/>
        <v>-</v>
      </c>
      <c r="K101" s="200" t="str">
        <f t="shared" si="48"/>
        <v>-</v>
      </c>
      <c r="L101" s="624"/>
      <c r="M101" s="199" t="e">
        <f>RANK(K101, K$77:$K$106)</f>
        <v>#VALUE!</v>
      </c>
      <c r="N101" s="567"/>
      <c r="O101" s="567"/>
      <c r="P101" s="498" t="s">
        <v>639</v>
      </c>
      <c r="Q101" s="425" t="s">
        <v>639</v>
      </c>
      <c r="R101" s="425" t="s">
        <v>639</v>
      </c>
      <c r="S101" s="498" t="e">
        <f t="shared" si="30"/>
        <v>#VALUE!</v>
      </c>
      <c r="T101" s="560"/>
      <c r="U101" s="498" t="s">
        <v>639</v>
      </c>
      <c r="V101" s="425" t="s">
        <v>639</v>
      </c>
      <c r="W101" s="425" t="s">
        <v>639</v>
      </c>
      <c r="X101" s="498" t="e">
        <f t="shared" si="32"/>
        <v>#VALUE!</v>
      </c>
      <c r="Y101" s="560"/>
      <c r="Z101" s="498" t="s">
        <v>639</v>
      </c>
      <c r="AA101" s="425" t="s">
        <v>639</v>
      </c>
      <c r="AB101" s="425" t="s">
        <v>639</v>
      </c>
      <c r="AC101" s="498" t="e">
        <f t="shared" si="34"/>
        <v>#VALUE!</v>
      </c>
      <c r="AD101" s="560"/>
      <c r="AE101" s="498" t="s">
        <v>639</v>
      </c>
      <c r="AF101" s="425" t="s">
        <v>639</v>
      </c>
      <c r="AG101" s="425" t="s">
        <v>639</v>
      </c>
      <c r="AH101" s="498" t="e">
        <f t="shared" si="36"/>
        <v>#VALUE!</v>
      </c>
      <c r="AI101" s="560"/>
      <c r="AJ101" s="498" t="s">
        <v>639</v>
      </c>
      <c r="AK101" s="425" t="s">
        <v>639</v>
      </c>
      <c r="AL101" s="425" t="s">
        <v>639</v>
      </c>
      <c r="AM101" s="498" t="e">
        <f t="shared" si="38"/>
        <v>#VALUE!</v>
      </c>
      <c r="AN101" s="560"/>
      <c r="AO101" s="498" t="s">
        <v>639</v>
      </c>
      <c r="AP101" s="425" t="s">
        <v>639</v>
      </c>
      <c r="AQ101" s="425" t="s">
        <v>639</v>
      </c>
      <c r="AR101" s="498" t="e">
        <f t="shared" si="40"/>
        <v>#VALUE!</v>
      </c>
      <c r="AS101" s="560"/>
      <c r="AT101" s="498" t="s">
        <v>639</v>
      </c>
      <c r="AU101" s="425" t="s">
        <v>639</v>
      </c>
      <c r="AV101" s="425" t="s">
        <v>639</v>
      </c>
      <c r="AW101" s="498" t="e">
        <f t="shared" si="42"/>
        <v>#VALUE!</v>
      </c>
      <c r="AX101" s="560"/>
      <c r="AZ101" s="411" t="e">
        <f t="shared" si="44"/>
        <v>#N/A</v>
      </c>
      <c r="BA101" s="560"/>
    </row>
    <row r="102" spans="2:53">
      <c r="B102" s="611"/>
      <c r="C102" s="307">
        <v>26</v>
      </c>
      <c r="D102" s="418"/>
      <c r="E102" s="418"/>
      <c r="F102" s="418"/>
      <c r="G102" s="418"/>
      <c r="H102" s="560"/>
      <c r="I102" s="400" t="str">
        <f t="shared" si="46"/>
        <v>-</v>
      </c>
      <c r="J102" s="400" t="str">
        <f t="shared" si="47"/>
        <v>-</v>
      </c>
      <c r="K102" s="200" t="str">
        <f t="shared" si="48"/>
        <v>-</v>
      </c>
      <c r="L102" s="624"/>
      <c r="M102" s="199" t="e">
        <f>RANK(K102, K$77:$K$106)</f>
        <v>#VALUE!</v>
      </c>
      <c r="N102" s="567"/>
      <c r="O102" s="567"/>
      <c r="P102" s="498" t="s">
        <v>639</v>
      </c>
      <c r="Q102" s="425" t="s">
        <v>639</v>
      </c>
      <c r="R102" s="425" t="s">
        <v>639</v>
      </c>
      <c r="S102" s="498" t="e">
        <f t="shared" si="30"/>
        <v>#VALUE!</v>
      </c>
      <c r="T102" s="560"/>
      <c r="U102" s="498"/>
      <c r="V102" s="425"/>
      <c r="W102" s="425"/>
      <c r="X102" s="498" t="e">
        <f t="shared" si="32"/>
        <v>#N/A</v>
      </c>
      <c r="Y102" s="560"/>
      <c r="Z102" s="498" t="s">
        <v>639</v>
      </c>
      <c r="AA102" s="425" t="s">
        <v>639</v>
      </c>
      <c r="AB102" s="425" t="s">
        <v>639</v>
      </c>
      <c r="AC102" s="498" t="e">
        <f t="shared" si="34"/>
        <v>#VALUE!</v>
      </c>
      <c r="AD102" s="560"/>
      <c r="AE102" s="498"/>
      <c r="AF102" s="425"/>
      <c r="AG102" s="425"/>
      <c r="AH102" s="498" t="e">
        <f t="shared" si="36"/>
        <v>#N/A</v>
      </c>
      <c r="AI102" s="560"/>
      <c r="AJ102" s="498"/>
      <c r="AK102" s="425"/>
      <c r="AL102" s="425"/>
      <c r="AM102" s="498" t="e">
        <f t="shared" si="38"/>
        <v>#N/A</v>
      </c>
      <c r="AN102" s="560"/>
      <c r="AO102" s="498"/>
      <c r="AP102" s="425"/>
      <c r="AQ102" s="425"/>
      <c r="AR102" s="498" t="e">
        <f t="shared" si="40"/>
        <v>#N/A</v>
      </c>
      <c r="AS102" s="560"/>
      <c r="AT102" s="498"/>
      <c r="AU102" s="425"/>
      <c r="AV102" s="425"/>
      <c r="AW102" s="498" t="e">
        <f t="shared" si="42"/>
        <v>#N/A</v>
      </c>
      <c r="AX102" s="560"/>
      <c r="AZ102" s="411" t="e">
        <f t="shared" si="44"/>
        <v>#N/A</v>
      </c>
      <c r="BA102" s="560"/>
    </row>
    <row r="103" spans="2:53">
      <c r="B103" s="611"/>
      <c r="C103" s="307">
        <v>27</v>
      </c>
      <c r="D103" s="418"/>
      <c r="E103" s="418"/>
      <c r="F103" s="418"/>
      <c r="G103" s="418"/>
      <c r="H103" s="560"/>
      <c r="I103" s="400" t="str">
        <f t="shared" si="46"/>
        <v>-</v>
      </c>
      <c r="J103" s="400" t="str">
        <f t="shared" si="47"/>
        <v>-</v>
      </c>
      <c r="K103" s="200" t="str">
        <f t="shared" si="48"/>
        <v>-</v>
      </c>
      <c r="L103" s="624"/>
      <c r="M103" s="199" t="e">
        <f>RANK(K103, K$77:$K$106)</f>
        <v>#VALUE!</v>
      </c>
      <c r="N103" s="567"/>
      <c r="O103" s="567"/>
      <c r="P103" s="498"/>
      <c r="Q103" s="425"/>
      <c r="R103" s="425"/>
      <c r="S103" s="498" t="e">
        <f t="shared" si="30"/>
        <v>#N/A</v>
      </c>
      <c r="T103" s="560"/>
      <c r="U103" s="498"/>
      <c r="V103" s="425"/>
      <c r="W103" s="425"/>
      <c r="X103" s="498" t="e">
        <f t="shared" si="32"/>
        <v>#N/A</v>
      </c>
      <c r="Y103" s="560"/>
      <c r="Z103" s="498"/>
      <c r="AA103" s="425"/>
      <c r="AB103" s="425"/>
      <c r="AC103" s="498" t="e">
        <f t="shared" si="34"/>
        <v>#N/A</v>
      </c>
      <c r="AD103" s="560"/>
      <c r="AE103" s="498"/>
      <c r="AF103" s="425"/>
      <c r="AG103" s="425"/>
      <c r="AH103" s="498" t="e">
        <f t="shared" si="36"/>
        <v>#N/A</v>
      </c>
      <c r="AI103" s="560"/>
      <c r="AJ103" s="498"/>
      <c r="AK103" s="425"/>
      <c r="AL103" s="425"/>
      <c r="AM103" s="498" t="e">
        <f t="shared" si="38"/>
        <v>#N/A</v>
      </c>
      <c r="AN103" s="560"/>
      <c r="AO103" s="498"/>
      <c r="AP103" s="425"/>
      <c r="AQ103" s="425"/>
      <c r="AR103" s="498" t="e">
        <f t="shared" si="40"/>
        <v>#N/A</v>
      </c>
      <c r="AS103" s="560"/>
      <c r="AT103" s="498"/>
      <c r="AU103" s="425"/>
      <c r="AV103" s="425"/>
      <c r="AW103" s="498" t="e">
        <f t="shared" si="42"/>
        <v>#N/A</v>
      </c>
      <c r="AX103" s="560"/>
      <c r="AZ103" s="411" t="e">
        <f t="shared" si="44"/>
        <v>#N/A</v>
      </c>
      <c r="BA103" s="560"/>
    </row>
    <row r="104" spans="2:53">
      <c r="B104" s="611"/>
      <c r="C104" s="307">
        <v>28</v>
      </c>
      <c r="D104" s="418"/>
      <c r="E104" s="418"/>
      <c r="F104" s="418"/>
      <c r="G104" s="418"/>
      <c r="H104" s="560"/>
      <c r="I104" s="400" t="str">
        <f t="shared" si="46"/>
        <v>-</v>
      </c>
      <c r="J104" s="400" t="str">
        <f t="shared" si="47"/>
        <v>-</v>
      </c>
      <c r="K104" s="200" t="str">
        <f t="shared" si="48"/>
        <v>-</v>
      </c>
      <c r="L104" s="624"/>
      <c r="M104" s="199" t="e">
        <f>RANK(K104, K$77:$K$106)</f>
        <v>#VALUE!</v>
      </c>
      <c r="N104" s="567"/>
      <c r="O104" s="567"/>
      <c r="P104" s="498"/>
      <c r="Q104" s="425"/>
      <c r="R104" s="425"/>
      <c r="S104" s="498" t="e">
        <f t="shared" si="30"/>
        <v>#N/A</v>
      </c>
      <c r="T104" s="560"/>
      <c r="U104" s="498"/>
      <c r="V104" s="425"/>
      <c r="W104" s="425"/>
      <c r="X104" s="498" t="e">
        <f t="shared" si="32"/>
        <v>#N/A</v>
      </c>
      <c r="Y104" s="560"/>
      <c r="Z104" s="498"/>
      <c r="AA104" s="425"/>
      <c r="AB104" s="425"/>
      <c r="AC104" s="498" t="e">
        <f t="shared" si="34"/>
        <v>#N/A</v>
      </c>
      <c r="AD104" s="560"/>
      <c r="AE104" s="498"/>
      <c r="AF104" s="425"/>
      <c r="AG104" s="425"/>
      <c r="AH104" s="498" t="e">
        <f t="shared" si="36"/>
        <v>#N/A</v>
      </c>
      <c r="AI104" s="560"/>
      <c r="AJ104" s="498"/>
      <c r="AK104" s="425"/>
      <c r="AL104" s="425"/>
      <c r="AM104" s="498" t="e">
        <f t="shared" si="38"/>
        <v>#N/A</v>
      </c>
      <c r="AN104" s="560"/>
      <c r="AO104" s="498"/>
      <c r="AP104" s="425"/>
      <c r="AQ104" s="425"/>
      <c r="AR104" s="498" t="e">
        <f t="shared" si="40"/>
        <v>#N/A</v>
      </c>
      <c r="AS104" s="560"/>
      <c r="AT104" s="498"/>
      <c r="AU104" s="425"/>
      <c r="AV104" s="425"/>
      <c r="AW104" s="498" t="e">
        <f t="shared" si="42"/>
        <v>#N/A</v>
      </c>
      <c r="AX104" s="560"/>
      <c r="AZ104" s="411" t="e">
        <f t="shared" si="44"/>
        <v>#N/A</v>
      </c>
      <c r="BA104" s="560"/>
    </row>
    <row r="105" spans="2:53">
      <c r="B105" s="611"/>
      <c r="C105" s="307">
        <v>29</v>
      </c>
      <c r="D105" s="418"/>
      <c r="E105" s="418"/>
      <c r="F105" s="418"/>
      <c r="G105" s="418"/>
      <c r="H105" s="560"/>
      <c r="I105" s="400" t="str">
        <f t="shared" si="46"/>
        <v>-</v>
      </c>
      <c r="J105" s="400" t="str">
        <f t="shared" si="47"/>
        <v>-</v>
      </c>
      <c r="K105" s="200" t="str">
        <f t="shared" si="48"/>
        <v>-</v>
      </c>
      <c r="L105" s="624"/>
      <c r="M105" s="199" t="e">
        <f>RANK(K105, K$77:$K$106)</f>
        <v>#VALUE!</v>
      </c>
      <c r="N105" s="567"/>
      <c r="O105" s="567"/>
      <c r="P105" s="498"/>
      <c r="Q105" s="425"/>
      <c r="R105" s="425"/>
      <c r="S105" s="498" t="e">
        <f t="shared" si="30"/>
        <v>#N/A</v>
      </c>
      <c r="T105" s="560"/>
      <c r="U105" s="498"/>
      <c r="V105" s="425"/>
      <c r="W105" s="425"/>
      <c r="X105" s="498" t="e">
        <f t="shared" si="32"/>
        <v>#N/A</v>
      </c>
      <c r="Y105" s="560"/>
      <c r="Z105" s="498"/>
      <c r="AA105" s="425"/>
      <c r="AB105" s="425"/>
      <c r="AC105" s="498" t="e">
        <f t="shared" si="34"/>
        <v>#N/A</v>
      </c>
      <c r="AD105" s="560"/>
      <c r="AE105" s="498"/>
      <c r="AF105" s="425"/>
      <c r="AG105" s="425"/>
      <c r="AH105" s="498" t="e">
        <f t="shared" si="36"/>
        <v>#N/A</v>
      </c>
      <c r="AI105" s="560"/>
      <c r="AJ105" s="498"/>
      <c r="AK105" s="425"/>
      <c r="AL105" s="425"/>
      <c r="AM105" s="498" t="e">
        <f t="shared" si="38"/>
        <v>#N/A</v>
      </c>
      <c r="AN105" s="560"/>
      <c r="AO105" s="498"/>
      <c r="AP105" s="425"/>
      <c r="AQ105" s="425"/>
      <c r="AR105" s="498" t="e">
        <f t="shared" si="40"/>
        <v>#N/A</v>
      </c>
      <c r="AS105" s="560"/>
      <c r="AT105" s="498"/>
      <c r="AU105" s="425"/>
      <c r="AV105" s="425"/>
      <c r="AW105" s="498" t="e">
        <f t="shared" si="42"/>
        <v>#N/A</v>
      </c>
      <c r="AX105" s="560"/>
      <c r="AZ105" s="411" t="e">
        <f t="shared" si="44"/>
        <v>#N/A</v>
      </c>
      <c r="BA105" s="560"/>
    </row>
    <row r="106" spans="2:53">
      <c r="B106" s="612"/>
      <c r="C106" s="307">
        <v>30</v>
      </c>
      <c r="D106" s="418"/>
      <c r="E106" s="418"/>
      <c r="F106" s="418"/>
      <c r="G106" s="418"/>
      <c r="H106" s="561"/>
      <c r="I106" s="400" t="str">
        <f t="shared" si="46"/>
        <v>-</v>
      </c>
      <c r="J106" s="400" t="str">
        <f t="shared" si="47"/>
        <v>-</v>
      </c>
      <c r="K106" s="200" t="str">
        <f t="shared" si="48"/>
        <v>-</v>
      </c>
      <c r="L106" s="625"/>
      <c r="M106" s="199" t="e">
        <f>RANK(K106, K$77:$K$106)</f>
        <v>#VALUE!</v>
      </c>
      <c r="N106" s="568"/>
      <c r="O106" s="568"/>
      <c r="P106" s="498"/>
      <c r="Q106" s="425"/>
      <c r="R106" s="425"/>
      <c r="S106" s="498" t="e">
        <f t="shared" si="30"/>
        <v>#N/A</v>
      </c>
      <c r="T106" s="561"/>
      <c r="U106" s="498"/>
      <c r="V106" s="425"/>
      <c r="W106" s="425"/>
      <c r="X106" s="498" t="e">
        <f t="shared" si="32"/>
        <v>#N/A</v>
      </c>
      <c r="Y106" s="561"/>
      <c r="Z106" s="498"/>
      <c r="AA106" s="425"/>
      <c r="AB106" s="425"/>
      <c r="AC106" s="498" t="e">
        <f t="shared" si="34"/>
        <v>#N/A</v>
      </c>
      <c r="AD106" s="561"/>
      <c r="AE106" s="498"/>
      <c r="AF106" s="425"/>
      <c r="AG106" s="425"/>
      <c r="AH106" s="498" t="e">
        <f t="shared" si="36"/>
        <v>#N/A</v>
      </c>
      <c r="AI106" s="561"/>
      <c r="AJ106" s="498"/>
      <c r="AK106" s="425"/>
      <c r="AL106" s="425"/>
      <c r="AM106" s="498" t="e">
        <f t="shared" si="38"/>
        <v>#N/A</v>
      </c>
      <c r="AN106" s="561"/>
      <c r="AO106" s="498"/>
      <c r="AP106" s="425"/>
      <c r="AQ106" s="425"/>
      <c r="AR106" s="498" t="e">
        <f t="shared" si="40"/>
        <v>#N/A</v>
      </c>
      <c r="AS106" s="561"/>
      <c r="AT106" s="498"/>
      <c r="AU106" s="425"/>
      <c r="AV106" s="425"/>
      <c r="AW106" s="498" t="e">
        <f t="shared" si="42"/>
        <v>#N/A</v>
      </c>
      <c r="AX106" s="561"/>
      <c r="AZ106" s="411" t="e">
        <f t="shared" si="44"/>
        <v>#N/A</v>
      </c>
      <c r="BA106" s="561"/>
    </row>
    <row r="107" spans="2:53" ht="15.75">
      <c r="B107" s="593" t="s">
        <v>163</v>
      </c>
      <c r="C107" s="594"/>
      <c r="D107" s="594"/>
      <c r="E107" s="594"/>
      <c r="F107" s="594"/>
      <c r="G107" s="594"/>
      <c r="H107" s="595"/>
      <c r="I107" s="208"/>
      <c r="J107" s="208"/>
      <c r="K107" s="208"/>
      <c r="L107" s="208"/>
      <c r="M107" s="207"/>
      <c r="N107" s="566" t="s">
        <v>156</v>
      </c>
      <c r="O107" s="566" t="s">
        <v>155</v>
      </c>
      <c r="P107" s="592">
        <f>P72+7</f>
        <v>46161</v>
      </c>
      <c r="Q107" s="570"/>
      <c r="R107" s="570"/>
      <c r="S107" s="570"/>
      <c r="T107" s="570"/>
      <c r="U107" s="589">
        <f>P107+1</f>
        <v>46162</v>
      </c>
      <c r="V107" s="590"/>
      <c r="W107" s="590"/>
      <c r="X107" s="590"/>
      <c r="Y107" s="591"/>
      <c r="Z107" s="589">
        <f>U107+1</f>
        <v>46163</v>
      </c>
      <c r="AA107" s="590"/>
      <c r="AB107" s="590"/>
      <c r="AC107" s="590"/>
      <c r="AD107" s="591"/>
      <c r="AE107" s="589">
        <f>Z107+1</f>
        <v>46164</v>
      </c>
      <c r="AF107" s="590"/>
      <c r="AG107" s="590"/>
      <c r="AH107" s="590"/>
      <c r="AI107" s="591"/>
      <c r="AJ107" s="589">
        <f>AE107+1</f>
        <v>46165</v>
      </c>
      <c r="AK107" s="590"/>
      <c r="AL107" s="590"/>
      <c r="AM107" s="590"/>
      <c r="AN107" s="591"/>
      <c r="AO107" s="589">
        <f>AJ107+1</f>
        <v>46166</v>
      </c>
      <c r="AP107" s="590"/>
      <c r="AQ107" s="590"/>
      <c r="AR107" s="590"/>
      <c r="AS107" s="591"/>
      <c r="AT107" s="589">
        <f>AO107+1</f>
        <v>46167</v>
      </c>
      <c r="AU107" s="590"/>
      <c r="AV107" s="590"/>
      <c r="AW107" s="590"/>
      <c r="AX107" s="591"/>
    </row>
    <row r="108" spans="2:53" ht="15.75">
      <c r="B108" s="596"/>
      <c r="C108" s="596"/>
      <c r="D108" s="596"/>
      <c r="E108" s="596"/>
      <c r="F108" s="596"/>
      <c r="G108" s="596"/>
      <c r="H108" s="596"/>
      <c r="I108" s="205"/>
      <c r="J108" s="205"/>
      <c r="K108" s="205"/>
      <c r="L108" s="205"/>
      <c r="M108" s="206"/>
      <c r="N108" s="568"/>
      <c r="O108" s="568"/>
      <c r="P108" s="592" t="s">
        <v>318</v>
      </c>
      <c r="Q108" s="570"/>
      <c r="R108" s="570"/>
      <c r="S108" s="570"/>
      <c r="T108" s="570"/>
      <c r="U108" s="592" t="s">
        <v>319</v>
      </c>
      <c r="V108" s="570"/>
      <c r="W108" s="570"/>
      <c r="X108" s="570"/>
      <c r="Y108" s="570"/>
      <c r="Z108" s="592" t="s">
        <v>320</v>
      </c>
      <c r="AA108" s="570"/>
      <c r="AB108" s="570"/>
      <c r="AC108" s="570"/>
      <c r="AD108" s="570"/>
      <c r="AE108" s="592" t="s">
        <v>321</v>
      </c>
      <c r="AF108" s="570"/>
      <c r="AG108" s="570"/>
      <c r="AH108" s="570"/>
      <c r="AI108" s="570"/>
      <c r="AJ108" s="592" t="s">
        <v>322</v>
      </c>
      <c r="AK108" s="570"/>
      <c r="AL108" s="570"/>
      <c r="AM108" s="570"/>
      <c r="AN108" s="570"/>
      <c r="AO108" s="592" t="s">
        <v>323</v>
      </c>
      <c r="AP108" s="570"/>
      <c r="AQ108" s="570"/>
      <c r="AR108" s="570"/>
      <c r="AS108" s="570"/>
      <c r="AT108" s="592" t="s">
        <v>324</v>
      </c>
      <c r="AU108" s="570"/>
      <c r="AV108" s="570"/>
      <c r="AW108" s="570"/>
      <c r="AX108" s="570"/>
    </row>
    <row r="109" spans="2:53">
      <c r="B109" s="564" t="s">
        <v>377</v>
      </c>
      <c r="C109" s="564" t="s">
        <v>387</v>
      </c>
      <c r="D109" s="564"/>
      <c r="E109" s="564" t="s">
        <v>378</v>
      </c>
      <c r="F109" s="564"/>
      <c r="G109" s="564"/>
      <c r="H109" s="597" t="s">
        <v>374</v>
      </c>
      <c r="I109" s="616" t="s">
        <v>379</v>
      </c>
      <c r="J109" s="616"/>
      <c r="K109" s="616"/>
      <c r="L109" s="617" t="s">
        <v>374</v>
      </c>
      <c r="M109" s="602" t="s">
        <v>375</v>
      </c>
      <c r="N109" s="564"/>
      <c r="O109" s="564" t="s">
        <v>380</v>
      </c>
      <c r="P109" s="583" t="s">
        <v>376</v>
      </c>
      <c r="Q109" s="584"/>
      <c r="R109" s="584"/>
      <c r="S109" s="585"/>
      <c r="T109" s="564" t="s">
        <v>374</v>
      </c>
      <c r="U109" s="583" t="s">
        <v>376</v>
      </c>
      <c r="V109" s="584"/>
      <c r="W109" s="584"/>
      <c r="X109" s="585"/>
      <c r="Y109" s="564" t="s">
        <v>374</v>
      </c>
      <c r="Z109" s="583" t="s">
        <v>376</v>
      </c>
      <c r="AA109" s="584"/>
      <c r="AB109" s="584"/>
      <c r="AC109" s="585"/>
      <c r="AD109" s="564" t="s">
        <v>374</v>
      </c>
      <c r="AE109" s="583" t="s">
        <v>376</v>
      </c>
      <c r="AF109" s="584"/>
      <c r="AG109" s="584"/>
      <c r="AH109" s="585"/>
      <c r="AI109" s="564" t="s">
        <v>374</v>
      </c>
      <c r="AJ109" s="583" t="s">
        <v>376</v>
      </c>
      <c r="AK109" s="584"/>
      <c r="AL109" s="584"/>
      <c r="AM109" s="585"/>
      <c r="AN109" s="564" t="s">
        <v>374</v>
      </c>
      <c r="AO109" s="583" t="s">
        <v>376</v>
      </c>
      <c r="AP109" s="584"/>
      <c r="AQ109" s="584"/>
      <c r="AR109" s="585"/>
      <c r="AS109" s="564" t="s">
        <v>374</v>
      </c>
      <c r="AT109" s="583" t="s">
        <v>376</v>
      </c>
      <c r="AU109" s="584"/>
      <c r="AV109" s="584"/>
      <c r="AW109" s="585"/>
      <c r="AX109" s="564" t="s">
        <v>374</v>
      </c>
      <c r="BA109" s="564" t="s">
        <v>374</v>
      </c>
    </row>
    <row r="110" spans="2:53">
      <c r="B110" s="564"/>
      <c r="C110" s="564"/>
      <c r="D110" s="564"/>
      <c r="E110" s="564" t="s">
        <v>381</v>
      </c>
      <c r="F110" s="564"/>
      <c r="G110" s="564"/>
      <c r="H110" s="598"/>
      <c r="I110" s="616" t="s">
        <v>381</v>
      </c>
      <c r="J110" s="616"/>
      <c r="K110" s="616"/>
      <c r="L110" s="618"/>
      <c r="M110" s="603"/>
      <c r="N110" s="564"/>
      <c r="O110" s="564"/>
      <c r="P110" s="583" t="s">
        <v>382</v>
      </c>
      <c r="Q110" s="584"/>
      <c r="R110" s="584"/>
      <c r="S110" s="585"/>
      <c r="T110" s="564"/>
      <c r="U110" s="583" t="s">
        <v>382</v>
      </c>
      <c r="V110" s="584"/>
      <c r="W110" s="584"/>
      <c r="X110" s="585"/>
      <c r="Y110" s="564"/>
      <c r="Z110" s="583" t="s">
        <v>382</v>
      </c>
      <c r="AA110" s="584"/>
      <c r="AB110" s="584"/>
      <c r="AC110" s="585"/>
      <c r="AD110" s="564"/>
      <c r="AE110" s="583" t="s">
        <v>382</v>
      </c>
      <c r="AF110" s="584"/>
      <c r="AG110" s="584"/>
      <c r="AH110" s="585"/>
      <c r="AI110" s="564"/>
      <c r="AJ110" s="583" t="s">
        <v>382</v>
      </c>
      <c r="AK110" s="584"/>
      <c r="AL110" s="584"/>
      <c r="AM110" s="585"/>
      <c r="AN110" s="564"/>
      <c r="AO110" s="583" t="s">
        <v>382</v>
      </c>
      <c r="AP110" s="584"/>
      <c r="AQ110" s="584"/>
      <c r="AR110" s="585"/>
      <c r="AS110" s="564"/>
      <c r="AT110" s="583" t="s">
        <v>382</v>
      </c>
      <c r="AU110" s="584"/>
      <c r="AV110" s="584"/>
      <c r="AW110" s="585"/>
      <c r="AX110" s="564"/>
      <c r="BA110" s="564"/>
    </row>
    <row r="111" spans="2:53">
      <c r="B111" s="564"/>
      <c r="C111" s="564"/>
      <c r="D111" s="564"/>
      <c r="E111" s="291" t="s">
        <v>383</v>
      </c>
      <c r="F111" s="291" t="s">
        <v>384</v>
      </c>
      <c r="G111" s="291" t="s">
        <v>385</v>
      </c>
      <c r="H111" s="599"/>
      <c r="I111" s="290" t="s">
        <v>383</v>
      </c>
      <c r="J111" s="290" t="s">
        <v>384</v>
      </c>
      <c r="K111" s="290" t="s">
        <v>385</v>
      </c>
      <c r="L111" s="619"/>
      <c r="M111" s="604"/>
      <c r="N111" s="564"/>
      <c r="O111" s="564"/>
      <c r="P111" s="291" t="s">
        <v>383</v>
      </c>
      <c r="Q111" s="291" t="s">
        <v>384</v>
      </c>
      <c r="R111" s="291" t="s">
        <v>385</v>
      </c>
      <c r="S111" s="291" t="s">
        <v>375</v>
      </c>
      <c r="T111" s="564"/>
      <c r="U111" s="291" t="s">
        <v>383</v>
      </c>
      <c r="V111" s="291" t="s">
        <v>384</v>
      </c>
      <c r="W111" s="291" t="s">
        <v>385</v>
      </c>
      <c r="X111" s="291" t="s">
        <v>375</v>
      </c>
      <c r="Y111" s="564"/>
      <c r="Z111" s="291" t="s">
        <v>383</v>
      </c>
      <c r="AA111" s="291" t="s">
        <v>384</v>
      </c>
      <c r="AB111" s="291" t="s">
        <v>385</v>
      </c>
      <c r="AC111" s="291" t="s">
        <v>375</v>
      </c>
      <c r="AD111" s="564"/>
      <c r="AE111" s="291" t="s">
        <v>383</v>
      </c>
      <c r="AF111" s="291" t="s">
        <v>384</v>
      </c>
      <c r="AG111" s="291" t="s">
        <v>385</v>
      </c>
      <c r="AH111" s="291" t="s">
        <v>375</v>
      </c>
      <c r="AI111" s="564"/>
      <c r="AJ111" s="291" t="s">
        <v>383</v>
      </c>
      <c r="AK111" s="291" t="s">
        <v>384</v>
      </c>
      <c r="AL111" s="291" t="s">
        <v>385</v>
      </c>
      <c r="AM111" s="291" t="s">
        <v>375</v>
      </c>
      <c r="AN111" s="564"/>
      <c r="AO111" s="291" t="s">
        <v>383</v>
      </c>
      <c r="AP111" s="291" t="s">
        <v>384</v>
      </c>
      <c r="AQ111" s="291" t="s">
        <v>385</v>
      </c>
      <c r="AR111" s="291" t="s">
        <v>375</v>
      </c>
      <c r="AS111" s="564"/>
      <c r="AT111" s="291" t="s">
        <v>383</v>
      </c>
      <c r="AU111" s="291" t="s">
        <v>384</v>
      </c>
      <c r="AV111" s="291" t="s">
        <v>385</v>
      </c>
      <c r="AW111" s="291" t="s">
        <v>375</v>
      </c>
      <c r="AX111" s="564"/>
      <c r="AZ111" s="412" t="s">
        <v>375</v>
      </c>
      <c r="BA111" s="564"/>
    </row>
    <row r="112" spans="2:53">
      <c r="B112" s="570" t="s">
        <v>150</v>
      </c>
      <c r="C112" s="292">
        <v>1</v>
      </c>
      <c r="D112" s="418"/>
      <c r="E112" s="418"/>
      <c r="F112" s="418"/>
      <c r="G112" s="425"/>
      <c r="H112" s="559" t="e">
        <f>AVERAGE(G112:G141)</f>
        <v>#DIV/0!</v>
      </c>
      <c r="I112" s="400" t="str">
        <f>IFERROR(AVERAGE(P112,U112,Z112,AE112,AJ112,AO112,AT112),"-")</f>
        <v>-</v>
      </c>
      <c r="J112" s="400" t="str">
        <f>IFERROR(AVERAGE(Q112,V112,AA112,AF112,AK112,AP112,AU112),"-")</f>
        <v>-</v>
      </c>
      <c r="K112" s="200" t="str">
        <f>IFERROR(AVERAGE(R112,W112,AB112,AG112,AL112,AQ112,AV112),"-")</f>
        <v>-</v>
      </c>
      <c r="L112" s="580" t="str">
        <f>IFERROR(AVERAGE(K112:K141),"-")</f>
        <v>-</v>
      </c>
      <c r="M112" s="199" t="e">
        <f>RANK(K112, K$112:$K$141)</f>
        <v>#VALUE!</v>
      </c>
      <c r="N112" s="564"/>
      <c r="O112" s="564"/>
      <c r="P112" s="425"/>
      <c r="Q112" s="425"/>
      <c r="R112" s="425"/>
      <c r="S112" s="418" t="e">
        <f t="shared" ref="S112:S141" si="49">RANK(R112, R$112:R$141)</f>
        <v>#N/A</v>
      </c>
      <c r="T112" s="559" t="e">
        <f t="shared" ref="T112" si="50">AVERAGE(R112:R141)</f>
        <v>#DIV/0!</v>
      </c>
      <c r="U112" s="425"/>
      <c r="V112" s="425"/>
      <c r="W112" s="425"/>
      <c r="X112" s="418" t="e">
        <f t="shared" ref="X112:X141" si="51">RANK(W112, W$112:W$141)</f>
        <v>#N/A</v>
      </c>
      <c r="Y112" s="559" t="e">
        <f t="shared" ref="Y112" si="52">AVERAGE(W112:W141)</f>
        <v>#DIV/0!</v>
      </c>
      <c r="Z112" s="425"/>
      <c r="AA112" s="425"/>
      <c r="AB112" s="425"/>
      <c r="AC112" s="418" t="e">
        <f t="shared" ref="AC112:AC141" si="53">RANK(AB112, AB$112:AB$141)</f>
        <v>#N/A</v>
      </c>
      <c r="AD112" s="559" t="e">
        <f t="shared" ref="AD112" si="54">AVERAGE(AB112:AB141)</f>
        <v>#DIV/0!</v>
      </c>
      <c r="AE112" s="425"/>
      <c r="AF112" s="425"/>
      <c r="AG112" s="425"/>
      <c r="AH112" s="418" t="e">
        <f t="shared" ref="AH112:AH141" si="55">RANK(AG112, AG$112:AG$141)</f>
        <v>#N/A</v>
      </c>
      <c r="AI112" s="559" t="e">
        <f t="shared" ref="AI112" si="56">AVERAGE(AG112:AG141)</f>
        <v>#DIV/0!</v>
      </c>
      <c r="AJ112" s="425"/>
      <c r="AK112" s="425"/>
      <c r="AL112" s="425"/>
      <c r="AM112" s="418" t="e">
        <f t="shared" ref="AM112:AM141" si="57">RANK(AL112, AL$112:AL$141)</f>
        <v>#N/A</v>
      </c>
      <c r="AN112" s="559" t="e">
        <f t="shared" ref="AN112" si="58">AVERAGE(AL112:AL141)</f>
        <v>#DIV/0!</v>
      </c>
      <c r="AO112" s="425"/>
      <c r="AP112" s="425"/>
      <c r="AQ112" s="425"/>
      <c r="AR112" s="418" t="e">
        <f t="shared" ref="AR112:AR141" si="59">RANK(AQ112, AQ$112:AQ$141)</f>
        <v>#N/A</v>
      </c>
      <c r="AS112" s="559" t="e">
        <f t="shared" ref="AS112" si="60">AVERAGE(AQ112:AQ141)</f>
        <v>#DIV/0!</v>
      </c>
      <c r="AT112" s="425"/>
      <c r="AU112" s="425"/>
      <c r="AV112" s="425"/>
      <c r="AW112" s="418" t="e">
        <f t="shared" ref="AW112:AW141" si="61">RANK(AV112, AV$112:AV$141)</f>
        <v>#N/A</v>
      </c>
      <c r="AX112" s="559" t="e">
        <f t="shared" ref="AX112" si="62">AVERAGE(AV112:AV141)</f>
        <v>#DIV/0!</v>
      </c>
      <c r="AZ112" s="411" t="e">
        <f t="shared" ref="AZ112:AZ141" si="63">RANK(AY112, AY$112:AY$141)</f>
        <v>#N/A</v>
      </c>
      <c r="BA112" s="559" t="e">
        <f t="shared" ref="BA112" si="64">AVERAGE(AY112:AY141)</f>
        <v>#DIV/0!</v>
      </c>
    </row>
    <row r="113" spans="2:53">
      <c r="B113" s="570"/>
      <c r="C113" s="292">
        <v>2</v>
      </c>
      <c r="D113" s="417"/>
      <c r="E113" s="418"/>
      <c r="F113" s="418"/>
      <c r="G113" s="425"/>
      <c r="H113" s="560"/>
      <c r="I113" s="400" t="str">
        <f t="shared" ref="I113:I141" si="65">IFERROR(AVERAGE(P113,U113,Z113,AE113,AJ113,AO113,AT113),"-")</f>
        <v>-</v>
      </c>
      <c r="J113" s="400" t="str">
        <f t="shared" ref="J113:J141" si="66">IFERROR(AVERAGE(Q113,V113,AA113,AF113,AK113,AP113,AU113),"-")</f>
        <v>-</v>
      </c>
      <c r="K113" s="200" t="str">
        <f t="shared" ref="K113:K141" si="67">IFERROR(AVERAGE(R113,W113,AB113,AG113,AL113,AQ113,AV113),"-")</f>
        <v>-</v>
      </c>
      <c r="L113" s="581"/>
      <c r="M113" s="199" t="e">
        <f>RANK(K113, K$112:$K$141)</f>
        <v>#VALUE!</v>
      </c>
      <c r="N113" s="564"/>
      <c r="O113" s="564"/>
      <c r="P113" s="425"/>
      <c r="Q113" s="425"/>
      <c r="R113" s="425"/>
      <c r="S113" s="418" t="e">
        <f t="shared" si="49"/>
        <v>#N/A</v>
      </c>
      <c r="T113" s="560"/>
      <c r="U113" s="425"/>
      <c r="V113" s="425"/>
      <c r="W113" s="425"/>
      <c r="X113" s="418" t="e">
        <f t="shared" si="51"/>
        <v>#N/A</v>
      </c>
      <c r="Y113" s="560"/>
      <c r="Z113" s="425"/>
      <c r="AA113" s="425"/>
      <c r="AB113" s="425"/>
      <c r="AC113" s="418" t="e">
        <f t="shared" si="53"/>
        <v>#N/A</v>
      </c>
      <c r="AD113" s="560"/>
      <c r="AE113" s="425"/>
      <c r="AF113" s="425"/>
      <c r="AG113" s="425"/>
      <c r="AH113" s="418" t="e">
        <f t="shared" si="55"/>
        <v>#N/A</v>
      </c>
      <c r="AI113" s="560"/>
      <c r="AJ113" s="425"/>
      <c r="AK113" s="425"/>
      <c r="AL113" s="425"/>
      <c r="AM113" s="418" t="e">
        <f t="shared" si="57"/>
        <v>#N/A</v>
      </c>
      <c r="AN113" s="560"/>
      <c r="AO113" s="425"/>
      <c r="AP113" s="425"/>
      <c r="AQ113" s="425"/>
      <c r="AR113" s="418" t="e">
        <f t="shared" si="59"/>
        <v>#N/A</v>
      </c>
      <c r="AS113" s="560"/>
      <c r="AT113" s="425"/>
      <c r="AU113" s="425"/>
      <c r="AV113" s="425"/>
      <c r="AW113" s="418" t="e">
        <f t="shared" si="61"/>
        <v>#N/A</v>
      </c>
      <c r="AX113" s="560"/>
      <c r="AZ113" s="411" t="e">
        <f t="shared" si="63"/>
        <v>#N/A</v>
      </c>
      <c r="BA113" s="560"/>
    </row>
    <row r="114" spans="2:53">
      <c r="B114" s="570"/>
      <c r="C114" s="292">
        <v>3</v>
      </c>
      <c r="D114" s="418"/>
      <c r="E114" s="418"/>
      <c r="F114" s="418"/>
      <c r="G114" s="425"/>
      <c r="H114" s="560"/>
      <c r="I114" s="400" t="str">
        <f t="shared" si="65"/>
        <v>-</v>
      </c>
      <c r="J114" s="400" t="str">
        <f t="shared" si="66"/>
        <v>-</v>
      </c>
      <c r="K114" s="200" t="str">
        <f t="shared" si="67"/>
        <v>-</v>
      </c>
      <c r="L114" s="581"/>
      <c r="M114" s="199" t="e">
        <f>RANK(K114, K$112:$K$141)</f>
        <v>#VALUE!</v>
      </c>
      <c r="N114" s="564"/>
      <c r="O114" s="564"/>
      <c r="P114" s="425"/>
      <c r="Q114" s="425"/>
      <c r="R114" s="425"/>
      <c r="S114" s="418" t="e">
        <f t="shared" si="49"/>
        <v>#N/A</v>
      </c>
      <c r="T114" s="560"/>
      <c r="U114" s="425"/>
      <c r="V114" s="425"/>
      <c r="W114" s="425"/>
      <c r="X114" s="418" t="e">
        <f t="shared" si="51"/>
        <v>#N/A</v>
      </c>
      <c r="Y114" s="560"/>
      <c r="Z114" s="425"/>
      <c r="AA114" s="425"/>
      <c r="AB114" s="425"/>
      <c r="AC114" s="418" t="e">
        <f t="shared" si="53"/>
        <v>#N/A</v>
      </c>
      <c r="AD114" s="560"/>
      <c r="AE114" s="425"/>
      <c r="AF114" s="425"/>
      <c r="AG114" s="425"/>
      <c r="AH114" s="418" t="e">
        <f t="shared" si="55"/>
        <v>#N/A</v>
      </c>
      <c r="AI114" s="560"/>
      <c r="AJ114" s="425"/>
      <c r="AK114" s="425"/>
      <c r="AL114" s="425"/>
      <c r="AM114" s="418" t="e">
        <f t="shared" si="57"/>
        <v>#N/A</v>
      </c>
      <c r="AN114" s="560"/>
      <c r="AO114" s="425"/>
      <c r="AP114" s="425"/>
      <c r="AQ114" s="425"/>
      <c r="AR114" s="418" t="e">
        <f t="shared" si="59"/>
        <v>#N/A</v>
      </c>
      <c r="AS114" s="560"/>
      <c r="AT114" s="425"/>
      <c r="AU114" s="425"/>
      <c r="AV114" s="425"/>
      <c r="AW114" s="418" t="e">
        <f t="shared" si="61"/>
        <v>#N/A</v>
      </c>
      <c r="AX114" s="560"/>
      <c r="AZ114" s="411" t="e">
        <f t="shared" si="63"/>
        <v>#N/A</v>
      </c>
      <c r="BA114" s="560"/>
    </row>
    <row r="115" spans="2:53">
      <c r="B115" s="570"/>
      <c r="C115" s="292">
        <v>4</v>
      </c>
      <c r="D115" s="418"/>
      <c r="E115" s="418"/>
      <c r="F115" s="418"/>
      <c r="G115" s="425"/>
      <c r="H115" s="560"/>
      <c r="I115" s="400" t="str">
        <f t="shared" si="65"/>
        <v>-</v>
      </c>
      <c r="J115" s="400" t="str">
        <f t="shared" si="66"/>
        <v>-</v>
      </c>
      <c r="K115" s="200" t="str">
        <f t="shared" si="67"/>
        <v>-</v>
      </c>
      <c r="L115" s="581"/>
      <c r="M115" s="199" t="e">
        <f>RANK(K115, K$112:$K$141)</f>
        <v>#VALUE!</v>
      </c>
      <c r="N115" s="564"/>
      <c r="O115" s="564"/>
      <c r="P115" s="425"/>
      <c r="Q115" s="425"/>
      <c r="R115" s="425"/>
      <c r="S115" s="418" t="e">
        <f t="shared" si="49"/>
        <v>#N/A</v>
      </c>
      <c r="T115" s="560"/>
      <c r="U115" s="425"/>
      <c r="V115" s="425"/>
      <c r="W115" s="425"/>
      <c r="X115" s="418" t="e">
        <f t="shared" si="51"/>
        <v>#N/A</v>
      </c>
      <c r="Y115" s="560"/>
      <c r="Z115" s="425"/>
      <c r="AA115" s="425"/>
      <c r="AB115" s="425"/>
      <c r="AC115" s="418" t="e">
        <f t="shared" si="53"/>
        <v>#N/A</v>
      </c>
      <c r="AD115" s="560"/>
      <c r="AE115" s="425"/>
      <c r="AF115" s="425"/>
      <c r="AG115" s="425"/>
      <c r="AH115" s="418" t="e">
        <f t="shared" si="55"/>
        <v>#N/A</v>
      </c>
      <c r="AI115" s="560"/>
      <c r="AJ115" s="425"/>
      <c r="AK115" s="425"/>
      <c r="AL115" s="425"/>
      <c r="AM115" s="418" t="e">
        <f t="shared" si="57"/>
        <v>#N/A</v>
      </c>
      <c r="AN115" s="560"/>
      <c r="AO115" s="425"/>
      <c r="AP115" s="425"/>
      <c r="AQ115" s="425"/>
      <c r="AR115" s="418" t="e">
        <f t="shared" si="59"/>
        <v>#N/A</v>
      </c>
      <c r="AS115" s="560"/>
      <c r="AT115" s="425"/>
      <c r="AU115" s="425"/>
      <c r="AV115" s="425"/>
      <c r="AW115" s="418" t="e">
        <f t="shared" si="61"/>
        <v>#N/A</v>
      </c>
      <c r="AX115" s="560"/>
      <c r="AZ115" s="411" t="e">
        <f t="shared" si="63"/>
        <v>#N/A</v>
      </c>
      <c r="BA115" s="560"/>
    </row>
    <row r="116" spans="2:53">
      <c r="B116" s="570"/>
      <c r="C116" s="292">
        <v>5</v>
      </c>
      <c r="D116" s="418"/>
      <c r="E116" s="418"/>
      <c r="F116" s="418"/>
      <c r="G116" s="425"/>
      <c r="H116" s="560"/>
      <c r="I116" s="400" t="str">
        <f t="shared" si="65"/>
        <v>-</v>
      </c>
      <c r="J116" s="400" t="str">
        <f t="shared" si="66"/>
        <v>-</v>
      </c>
      <c r="K116" s="200" t="str">
        <f t="shared" si="67"/>
        <v>-</v>
      </c>
      <c r="L116" s="581"/>
      <c r="M116" s="199" t="e">
        <f>RANK(K116, K$112:$K$141)</f>
        <v>#VALUE!</v>
      </c>
      <c r="N116" s="564"/>
      <c r="O116" s="564"/>
      <c r="P116" s="425"/>
      <c r="Q116" s="425"/>
      <c r="R116" s="425"/>
      <c r="S116" s="418" t="e">
        <f t="shared" si="49"/>
        <v>#N/A</v>
      </c>
      <c r="T116" s="560"/>
      <c r="U116" s="425"/>
      <c r="V116" s="425"/>
      <c r="W116" s="425"/>
      <c r="X116" s="418" t="e">
        <f t="shared" si="51"/>
        <v>#N/A</v>
      </c>
      <c r="Y116" s="560"/>
      <c r="Z116" s="425"/>
      <c r="AA116" s="425"/>
      <c r="AB116" s="425"/>
      <c r="AC116" s="418" t="e">
        <f t="shared" si="53"/>
        <v>#N/A</v>
      </c>
      <c r="AD116" s="560"/>
      <c r="AE116" s="425"/>
      <c r="AF116" s="425"/>
      <c r="AG116" s="425"/>
      <c r="AH116" s="418" t="e">
        <f t="shared" si="55"/>
        <v>#N/A</v>
      </c>
      <c r="AI116" s="560"/>
      <c r="AJ116" s="425"/>
      <c r="AK116" s="425"/>
      <c r="AL116" s="425"/>
      <c r="AM116" s="418" t="e">
        <f t="shared" si="57"/>
        <v>#N/A</v>
      </c>
      <c r="AN116" s="560"/>
      <c r="AO116" s="425"/>
      <c r="AP116" s="425"/>
      <c r="AQ116" s="425"/>
      <c r="AR116" s="418" t="e">
        <f t="shared" si="59"/>
        <v>#N/A</v>
      </c>
      <c r="AS116" s="560"/>
      <c r="AT116" s="425"/>
      <c r="AU116" s="425"/>
      <c r="AV116" s="425"/>
      <c r="AW116" s="418" t="e">
        <f t="shared" si="61"/>
        <v>#N/A</v>
      </c>
      <c r="AX116" s="560"/>
      <c r="AZ116" s="411" t="e">
        <f t="shared" si="63"/>
        <v>#N/A</v>
      </c>
      <c r="BA116" s="560"/>
    </row>
    <row r="117" spans="2:53">
      <c r="B117" s="570"/>
      <c r="C117" s="292">
        <v>6</v>
      </c>
      <c r="D117" s="418"/>
      <c r="E117" s="418"/>
      <c r="F117" s="418"/>
      <c r="G117" s="425"/>
      <c r="H117" s="560"/>
      <c r="I117" s="400" t="str">
        <f t="shared" si="65"/>
        <v>-</v>
      </c>
      <c r="J117" s="400" t="str">
        <f t="shared" si="66"/>
        <v>-</v>
      </c>
      <c r="K117" s="200" t="str">
        <f t="shared" si="67"/>
        <v>-</v>
      </c>
      <c r="L117" s="581"/>
      <c r="M117" s="199" t="e">
        <f>RANK(K117, K$112:$K$141)</f>
        <v>#VALUE!</v>
      </c>
      <c r="N117" s="564"/>
      <c r="O117" s="564"/>
      <c r="P117" s="425"/>
      <c r="Q117" s="425"/>
      <c r="R117" s="425"/>
      <c r="S117" s="418" t="e">
        <f t="shared" si="49"/>
        <v>#N/A</v>
      </c>
      <c r="T117" s="560"/>
      <c r="U117" s="425"/>
      <c r="V117" s="425"/>
      <c r="W117" s="425"/>
      <c r="X117" s="418" t="e">
        <f t="shared" si="51"/>
        <v>#N/A</v>
      </c>
      <c r="Y117" s="560"/>
      <c r="Z117" s="425"/>
      <c r="AA117" s="425"/>
      <c r="AB117" s="425"/>
      <c r="AC117" s="418" t="e">
        <f t="shared" si="53"/>
        <v>#N/A</v>
      </c>
      <c r="AD117" s="560"/>
      <c r="AE117" s="425"/>
      <c r="AF117" s="425"/>
      <c r="AG117" s="425"/>
      <c r="AH117" s="418" t="e">
        <f t="shared" si="55"/>
        <v>#N/A</v>
      </c>
      <c r="AI117" s="560"/>
      <c r="AJ117" s="425"/>
      <c r="AK117" s="425"/>
      <c r="AL117" s="425"/>
      <c r="AM117" s="418" t="e">
        <f t="shared" si="57"/>
        <v>#N/A</v>
      </c>
      <c r="AN117" s="560"/>
      <c r="AO117" s="425"/>
      <c r="AP117" s="425"/>
      <c r="AQ117" s="425"/>
      <c r="AR117" s="418" t="e">
        <f t="shared" si="59"/>
        <v>#N/A</v>
      </c>
      <c r="AS117" s="560"/>
      <c r="AT117" s="425"/>
      <c r="AU117" s="425"/>
      <c r="AV117" s="425"/>
      <c r="AW117" s="418" t="e">
        <f t="shared" si="61"/>
        <v>#N/A</v>
      </c>
      <c r="AX117" s="560"/>
      <c r="AZ117" s="411" t="e">
        <f t="shared" si="63"/>
        <v>#N/A</v>
      </c>
      <c r="BA117" s="560"/>
    </row>
    <row r="118" spans="2:53">
      <c r="B118" s="570"/>
      <c r="C118" s="292">
        <v>7</v>
      </c>
      <c r="D118" s="418"/>
      <c r="E118" s="418"/>
      <c r="F118" s="418"/>
      <c r="G118" s="425"/>
      <c r="H118" s="560"/>
      <c r="I118" s="400" t="str">
        <f t="shared" si="65"/>
        <v>-</v>
      </c>
      <c r="J118" s="400" t="str">
        <f t="shared" si="66"/>
        <v>-</v>
      </c>
      <c r="K118" s="200" t="str">
        <f t="shared" si="67"/>
        <v>-</v>
      </c>
      <c r="L118" s="581"/>
      <c r="M118" s="199" t="e">
        <f>RANK(K118, K$112:$K$141)</f>
        <v>#VALUE!</v>
      </c>
      <c r="N118" s="564"/>
      <c r="O118" s="564"/>
      <c r="P118" s="425"/>
      <c r="Q118" s="425"/>
      <c r="R118" s="425"/>
      <c r="S118" s="418" t="e">
        <f t="shared" si="49"/>
        <v>#N/A</v>
      </c>
      <c r="T118" s="560"/>
      <c r="U118" s="425"/>
      <c r="V118" s="425"/>
      <c r="W118" s="425"/>
      <c r="X118" s="418" t="e">
        <f t="shared" si="51"/>
        <v>#N/A</v>
      </c>
      <c r="Y118" s="560"/>
      <c r="Z118" s="425"/>
      <c r="AA118" s="425"/>
      <c r="AB118" s="425"/>
      <c r="AC118" s="418" t="e">
        <f t="shared" si="53"/>
        <v>#N/A</v>
      </c>
      <c r="AD118" s="560"/>
      <c r="AE118" s="425"/>
      <c r="AF118" s="425"/>
      <c r="AG118" s="425"/>
      <c r="AH118" s="418" t="e">
        <f t="shared" si="55"/>
        <v>#N/A</v>
      </c>
      <c r="AI118" s="560"/>
      <c r="AJ118" s="425"/>
      <c r="AK118" s="425"/>
      <c r="AL118" s="425"/>
      <c r="AM118" s="418" t="e">
        <f t="shared" si="57"/>
        <v>#N/A</v>
      </c>
      <c r="AN118" s="560"/>
      <c r="AO118" s="425"/>
      <c r="AP118" s="425"/>
      <c r="AQ118" s="425"/>
      <c r="AR118" s="418" t="e">
        <f t="shared" si="59"/>
        <v>#N/A</v>
      </c>
      <c r="AS118" s="560"/>
      <c r="AT118" s="425"/>
      <c r="AU118" s="425"/>
      <c r="AV118" s="425"/>
      <c r="AW118" s="418" t="e">
        <f t="shared" si="61"/>
        <v>#N/A</v>
      </c>
      <c r="AX118" s="560"/>
      <c r="AZ118" s="411" t="e">
        <f t="shared" si="63"/>
        <v>#N/A</v>
      </c>
      <c r="BA118" s="560"/>
    </row>
    <row r="119" spans="2:53">
      <c r="B119" s="570"/>
      <c r="C119" s="292">
        <v>8</v>
      </c>
      <c r="D119" s="418"/>
      <c r="E119" s="418"/>
      <c r="F119" s="418"/>
      <c r="G119" s="425"/>
      <c r="H119" s="560"/>
      <c r="I119" s="400" t="str">
        <f t="shared" si="65"/>
        <v>-</v>
      </c>
      <c r="J119" s="400" t="str">
        <f t="shared" si="66"/>
        <v>-</v>
      </c>
      <c r="K119" s="200" t="str">
        <f t="shared" si="67"/>
        <v>-</v>
      </c>
      <c r="L119" s="581"/>
      <c r="M119" s="199" t="e">
        <f>RANK(K119, K$112:$K$141)</f>
        <v>#VALUE!</v>
      </c>
      <c r="N119" s="564"/>
      <c r="O119" s="564"/>
      <c r="P119" s="425"/>
      <c r="Q119" s="425"/>
      <c r="R119" s="425"/>
      <c r="S119" s="418" t="e">
        <f t="shared" si="49"/>
        <v>#N/A</v>
      </c>
      <c r="T119" s="560"/>
      <c r="U119" s="425"/>
      <c r="V119" s="425"/>
      <c r="W119" s="425"/>
      <c r="X119" s="418" t="e">
        <f t="shared" si="51"/>
        <v>#N/A</v>
      </c>
      <c r="Y119" s="560"/>
      <c r="Z119" s="425"/>
      <c r="AA119" s="425"/>
      <c r="AB119" s="425"/>
      <c r="AC119" s="418" t="e">
        <f t="shared" si="53"/>
        <v>#N/A</v>
      </c>
      <c r="AD119" s="560"/>
      <c r="AE119" s="425"/>
      <c r="AF119" s="425"/>
      <c r="AG119" s="425"/>
      <c r="AH119" s="418" t="e">
        <f t="shared" si="55"/>
        <v>#N/A</v>
      </c>
      <c r="AI119" s="560"/>
      <c r="AJ119" s="425"/>
      <c r="AK119" s="425"/>
      <c r="AL119" s="425"/>
      <c r="AM119" s="418" t="e">
        <f t="shared" si="57"/>
        <v>#N/A</v>
      </c>
      <c r="AN119" s="560"/>
      <c r="AO119" s="425"/>
      <c r="AP119" s="425"/>
      <c r="AQ119" s="425"/>
      <c r="AR119" s="418" t="e">
        <f t="shared" si="59"/>
        <v>#N/A</v>
      </c>
      <c r="AS119" s="560"/>
      <c r="AT119" s="425"/>
      <c r="AU119" s="425"/>
      <c r="AV119" s="425"/>
      <c r="AW119" s="418" t="e">
        <f t="shared" si="61"/>
        <v>#N/A</v>
      </c>
      <c r="AX119" s="560"/>
      <c r="AZ119" s="411" t="e">
        <f t="shared" si="63"/>
        <v>#N/A</v>
      </c>
      <c r="BA119" s="560"/>
    </row>
    <row r="120" spans="2:53">
      <c r="B120" s="570"/>
      <c r="C120" s="292">
        <v>9</v>
      </c>
      <c r="D120" s="418"/>
      <c r="E120" s="418"/>
      <c r="F120" s="418"/>
      <c r="G120" s="425"/>
      <c r="H120" s="560"/>
      <c r="I120" s="400" t="str">
        <f t="shared" si="65"/>
        <v>-</v>
      </c>
      <c r="J120" s="400" t="str">
        <f t="shared" si="66"/>
        <v>-</v>
      </c>
      <c r="K120" s="200" t="str">
        <f t="shared" si="67"/>
        <v>-</v>
      </c>
      <c r="L120" s="581"/>
      <c r="M120" s="199" t="e">
        <f>RANK(K120, K$112:$K$141)</f>
        <v>#VALUE!</v>
      </c>
      <c r="N120" s="564"/>
      <c r="O120" s="564"/>
      <c r="P120" s="425"/>
      <c r="Q120" s="425"/>
      <c r="R120" s="425"/>
      <c r="S120" s="418" t="e">
        <f t="shared" si="49"/>
        <v>#N/A</v>
      </c>
      <c r="T120" s="560"/>
      <c r="U120" s="425"/>
      <c r="V120" s="425"/>
      <c r="W120" s="425"/>
      <c r="X120" s="418" t="e">
        <f t="shared" si="51"/>
        <v>#N/A</v>
      </c>
      <c r="Y120" s="560"/>
      <c r="Z120" s="425"/>
      <c r="AA120" s="425"/>
      <c r="AB120" s="425"/>
      <c r="AC120" s="418" t="e">
        <f t="shared" si="53"/>
        <v>#N/A</v>
      </c>
      <c r="AD120" s="560"/>
      <c r="AE120" s="425"/>
      <c r="AF120" s="425"/>
      <c r="AG120" s="425"/>
      <c r="AH120" s="418" t="e">
        <f t="shared" si="55"/>
        <v>#N/A</v>
      </c>
      <c r="AI120" s="560"/>
      <c r="AJ120" s="425"/>
      <c r="AK120" s="425"/>
      <c r="AL120" s="425"/>
      <c r="AM120" s="418" t="e">
        <f t="shared" si="57"/>
        <v>#N/A</v>
      </c>
      <c r="AN120" s="560"/>
      <c r="AO120" s="425"/>
      <c r="AP120" s="425"/>
      <c r="AQ120" s="425"/>
      <c r="AR120" s="418" t="e">
        <f t="shared" si="59"/>
        <v>#N/A</v>
      </c>
      <c r="AS120" s="560"/>
      <c r="AT120" s="425"/>
      <c r="AU120" s="425"/>
      <c r="AV120" s="425"/>
      <c r="AW120" s="418" t="e">
        <f t="shared" si="61"/>
        <v>#N/A</v>
      </c>
      <c r="AX120" s="560"/>
      <c r="AZ120" s="411" t="e">
        <f t="shared" si="63"/>
        <v>#N/A</v>
      </c>
      <c r="BA120" s="560"/>
    </row>
    <row r="121" spans="2:53">
      <c r="B121" s="570"/>
      <c r="C121" s="292">
        <v>10</v>
      </c>
      <c r="D121" s="418"/>
      <c r="E121" s="418"/>
      <c r="F121" s="418"/>
      <c r="G121" s="425"/>
      <c r="H121" s="560"/>
      <c r="I121" s="400" t="str">
        <f t="shared" si="65"/>
        <v>-</v>
      </c>
      <c r="J121" s="400" t="str">
        <f t="shared" si="66"/>
        <v>-</v>
      </c>
      <c r="K121" s="200" t="str">
        <f t="shared" si="67"/>
        <v>-</v>
      </c>
      <c r="L121" s="581"/>
      <c r="M121" s="199" t="e">
        <f>RANK(K121, K$112:$K$141)</f>
        <v>#VALUE!</v>
      </c>
      <c r="N121" s="564"/>
      <c r="O121" s="564"/>
      <c r="P121" s="425"/>
      <c r="Q121" s="425"/>
      <c r="R121" s="425"/>
      <c r="S121" s="418" t="e">
        <f t="shared" si="49"/>
        <v>#N/A</v>
      </c>
      <c r="T121" s="560"/>
      <c r="U121" s="425"/>
      <c r="V121" s="425"/>
      <c r="W121" s="425"/>
      <c r="X121" s="418" t="e">
        <f t="shared" si="51"/>
        <v>#N/A</v>
      </c>
      <c r="Y121" s="560"/>
      <c r="Z121" s="425"/>
      <c r="AA121" s="425"/>
      <c r="AB121" s="425"/>
      <c r="AC121" s="418" t="e">
        <f t="shared" si="53"/>
        <v>#N/A</v>
      </c>
      <c r="AD121" s="560"/>
      <c r="AE121" s="425"/>
      <c r="AF121" s="425"/>
      <c r="AG121" s="425"/>
      <c r="AH121" s="418" t="e">
        <f t="shared" si="55"/>
        <v>#N/A</v>
      </c>
      <c r="AI121" s="560"/>
      <c r="AJ121" s="425"/>
      <c r="AK121" s="425"/>
      <c r="AL121" s="425"/>
      <c r="AM121" s="418" t="e">
        <f t="shared" si="57"/>
        <v>#N/A</v>
      </c>
      <c r="AN121" s="560"/>
      <c r="AO121" s="425"/>
      <c r="AP121" s="425"/>
      <c r="AQ121" s="425"/>
      <c r="AR121" s="418" t="e">
        <f t="shared" si="59"/>
        <v>#N/A</v>
      </c>
      <c r="AS121" s="560"/>
      <c r="AT121" s="425"/>
      <c r="AU121" s="425"/>
      <c r="AV121" s="425"/>
      <c r="AW121" s="418" t="e">
        <f t="shared" si="61"/>
        <v>#N/A</v>
      </c>
      <c r="AX121" s="560"/>
      <c r="AZ121" s="411" t="e">
        <f t="shared" si="63"/>
        <v>#N/A</v>
      </c>
      <c r="BA121" s="560"/>
    </row>
    <row r="122" spans="2:53">
      <c r="B122" s="570"/>
      <c r="C122" s="292">
        <v>11</v>
      </c>
      <c r="D122" s="418"/>
      <c r="E122" s="418"/>
      <c r="F122" s="418"/>
      <c r="G122" s="425"/>
      <c r="H122" s="560"/>
      <c r="I122" s="400" t="str">
        <f t="shared" si="65"/>
        <v>-</v>
      </c>
      <c r="J122" s="400" t="str">
        <f t="shared" si="66"/>
        <v>-</v>
      </c>
      <c r="K122" s="200" t="str">
        <f t="shared" si="67"/>
        <v>-</v>
      </c>
      <c r="L122" s="581"/>
      <c r="M122" s="199" t="e">
        <f>RANK(K122, K$112:$K$141)</f>
        <v>#VALUE!</v>
      </c>
      <c r="N122" s="564"/>
      <c r="O122" s="564"/>
      <c r="P122" s="425"/>
      <c r="Q122" s="425"/>
      <c r="R122" s="425"/>
      <c r="S122" s="418" t="e">
        <f t="shared" si="49"/>
        <v>#N/A</v>
      </c>
      <c r="T122" s="560"/>
      <c r="U122" s="425"/>
      <c r="V122" s="425"/>
      <c r="W122" s="425"/>
      <c r="X122" s="418" t="e">
        <f t="shared" si="51"/>
        <v>#N/A</v>
      </c>
      <c r="Y122" s="560"/>
      <c r="Z122" s="425"/>
      <c r="AA122" s="425"/>
      <c r="AB122" s="425"/>
      <c r="AC122" s="418" t="e">
        <f t="shared" si="53"/>
        <v>#N/A</v>
      </c>
      <c r="AD122" s="560"/>
      <c r="AE122" s="425"/>
      <c r="AF122" s="425"/>
      <c r="AG122" s="425"/>
      <c r="AH122" s="418" t="e">
        <f t="shared" si="55"/>
        <v>#N/A</v>
      </c>
      <c r="AI122" s="560"/>
      <c r="AJ122" s="425"/>
      <c r="AK122" s="425"/>
      <c r="AL122" s="425"/>
      <c r="AM122" s="418" t="e">
        <f t="shared" si="57"/>
        <v>#N/A</v>
      </c>
      <c r="AN122" s="560"/>
      <c r="AO122" s="425"/>
      <c r="AP122" s="425"/>
      <c r="AQ122" s="425"/>
      <c r="AR122" s="418" t="e">
        <f t="shared" si="59"/>
        <v>#N/A</v>
      </c>
      <c r="AS122" s="560"/>
      <c r="AT122" s="425"/>
      <c r="AU122" s="425"/>
      <c r="AV122" s="425"/>
      <c r="AW122" s="418" t="e">
        <f t="shared" si="61"/>
        <v>#N/A</v>
      </c>
      <c r="AX122" s="560"/>
      <c r="AZ122" s="411" t="e">
        <f t="shared" si="63"/>
        <v>#N/A</v>
      </c>
      <c r="BA122" s="560"/>
    </row>
    <row r="123" spans="2:53">
      <c r="B123" s="570"/>
      <c r="C123" s="292">
        <v>12</v>
      </c>
      <c r="D123" s="418"/>
      <c r="E123" s="418"/>
      <c r="F123" s="418"/>
      <c r="G123" s="425"/>
      <c r="H123" s="560"/>
      <c r="I123" s="400" t="str">
        <f t="shared" si="65"/>
        <v>-</v>
      </c>
      <c r="J123" s="400" t="str">
        <f t="shared" si="66"/>
        <v>-</v>
      </c>
      <c r="K123" s="200" t="str">
        <f t="shared" si="67"/>
        <v>-</v>
      </c>
      <c r="L123" s="581"/>
      <c r="M123" s="199" t="e">
        <f>RANK(K123, K$112:$K$141)</f>
        <v>#VALUE!</v>
      </c>
      <c r="N123" s="564"/>
      <c r="O123" s="564"/>
      <c r="P123" s="425"/>
      <c r="Q123" s="425"/>
      <c r="R123" s="425"/>
      <c r="S123" s="418" t="e">
        <f t="shared" si="49"/>
        <v>#N/A</v>
      </c>
      <c r="T123" s="560"/>
      <c r="U123" s="425"/>
      <c r="V123" s="425"/>
      <c r="W123" s="425"/>
      <c r="X123" s="418" t="e">
        <f t="shared" si="51"/>
        <v>#N/A</v>
      </c>
      <c r="Y123" s="560"/>
      <c r="Z123" s="425"/>
      <c r="AA123" s="425"/>
      <c r="AB123" s="425"/>
      <c r="AC123" s="418" t="e">
        <f t="shared" si="53"/>
        <v>#N/A</v>
      </c>
      <c r="AD123" s="560"/>
      <c r="AE123" s="425"/>
      <c r="AF123" s="425"/>
      <c r="AG123" s="425"/>
      <c r="AH123" s="418" t="e">
        <f t="shared" si="55"/>
        <v>#N/A</v>
      </c>
      <c r="AI123" s="560"/>
      <c r="AJ123" s="425"/>
      <c r="AK123" s="425"/>
      <c r="AL123" s="425"/>
      <c r="AM123" s="418" t="e">
        <f t="shared" si="57"/>
        <v>#N/A</v>
      </c>
      <c r="AN123" s="560"/>
      <c r="AO123" s="425"/>
      <c r="AP123" s="425"/>
      <c r="AQ123" s="425"/>
      <c r="AR123" s="418" t="e">
        <f t="shared" si="59"/>
        <v>#N/A</v>
      </c>
      <c r="AS123" s="560"/>
      <c r="AT123" s="425"/>
      <c r="AU123" s="425"/>
      <c r="AV123" s="425"/>
      <c r="AW123" s="418" t="e">
        <f t="shared" si="61"/>
        <v>#N/A</v>
      </c>
      <c r="AX123" s="560"/>
      <c r="AZ123" s="411" t="e">
        <f t="shared" si="63"/>
        <v>#N/A</v>
      </c>
      <c r="BA123" s="560"/>
    </row>
    <row r="124" spans="2:53">
      <c r="B124" s="570"/>
      <c r="C124" s="292">
        <v>13</v>
      </c>
      <c r="D124" s="418"/>
      <c r="E124" s="418"/>
      <c r="F124" s="418"/>
      <c r="G124" s="425"/>
      <c r="H124" s="560"/>
      <c r="I124" s="400" t="str">
        <f t="shared" si="65"/>
        <v>-</v>
      </c>
      <c r="J124" s="400" t="str">
        <f t="shared" si="66"/>
        <v>-</v>
      </c>
      <c r="K124" s="200" t="str">
        <f t="shared" si="67"/>
        <v>-</v>
      </c>
      <c r="L124" s="581"/>
      <c r="M124" s="199" t="e">
        <f>RANK(K124, K$112:$K$141)</f>
        <v>#VALUE!</v>
      </c>
      <c r="N124" s="564"/>
      <c r="O124" s="564"/>
      <c r="P124" s="425"/>
      <c r="Q124" s="425"/>
      <c r="R124" s="425"/>
      <c r="S124" s="418" t="e">
        <f t="shared" si="49"/>
        <v>#N/A</v>
      </c>
      <c r="T124" s="560"/>
      <c r="U124" s="425"/>
      <c r="V124" s="425"/>
      <c r="W124" s="425"/>
      <c r="X124" s="418" t="e">
        <f t="shared" si="51"/>
        <v>#N/A</v>
      </c>
      <c r="Y124" s="560"/>
      <c r="Z124" s="425"/>
      <c r="AA124" s="425"/>
      <c r="AB124" s="425"/>
      <c r="AC124" s="418" t="e">
        <f t="shared" si="53"/>
        <v>#N/A</v>
      </c>
      <c r="AD124" s="560"/>
      <c r="AE124" s="425"/>
      <c r="AF124" s="425"/>
      <c r="AG124" s="425"/>
      <c r="AH124" s="418" t="e">
        <f t="shared" si="55"/>
        <v>#N/A</v>
      </c>
      <c r="AI124" s="560"/>
      <c r="AJ124" s="425"/>
      <c r="AK124" s="425"/>
      <c r="AL124" s="425"/>
      <c r="AM124" s="418" t="e">
        <f t="shared" si="57"/>
        <v>#N/A</v>
      </c>
      <c r="AN124" s="560"/>
      <c r="AO124" s="425"/>
      <c r="AP124" s="425"/>
      <c r="AQ124" s="425"/>
      <c r="AR124" s="418" t="e">
        <f t="shared" si="59"/>
        <v>#N/A</v>
      </c>
      <c r="AS124" s="560"/>
      <c r="AT124" s="425"/>
      <c r="AU124" s="425"/>
      <c r="AV124" s="425"/>
      <c r="AW124" s="418" t="e">
        <f t="shared" si="61"/>
        <v>#N/A</v>
      </c>
      <c r="AX124" s="560"/>
      <c r="AZ124" s="411" t="e">
        <f t="shared" si="63"/>
        <v>#N/A</v>
      </c>
      <c r="BA124" s="560"/>
    </row>
    <row r="125" spans="2:53">
      <c r="B125" s="570"/>
      <c r="C125" s="292">
        <v>14</v>
      </c>
      <c r="D125" s="418"/>
      <c r="E125" s="418"/>
      <c r="F125" s="418"/>
      <c r="G125" s="425"/>
      <c r="H125" s="560"/>
      <c r="I125" s="400" t="str">
        <f t="shared" si="65"/>
        <v>-</v>
      </c>
      <c r="J125" s="400" t="str">
        <f t="shared" si="66"/>
        <v>-</v>
      </c>
      <c r="K125" s="200" t="str">
        <f t="shared" si="67"/>
        <v>-</v>
      </c>
      <c r="L125" s="581"/>
      <c r="M125" s="199" t="e">
        <f>RANK(K125, K$112:$K$141)</f>
        <v>#VALUE!</v>
      </c>
      <c r="N125" s="564"/>
      <c r="O125" s="564"/>
      <c r="P125" s="425"/>
      <c r="Q125" s="425"/>
      <c r="R125" s="425"/>
      <c r="S125" s="418" t="e">
        <f t="shared" si="49"/>
        <v>#N/A</v>
      </c>
      <c r="T125" s="560"/>
      <c r="U125" s="425"/>
      <c r="V125" s="425"/>
      <c r="W125" s="425"/>
      <c r="X125" s="418" t="e">
        <f t="shared" si="51"/>
        <v>#N/A</v>
      </c>
      <c r="Y125" s="560"/>
      <c r="Z125" s="425"/>
      <c r="AA125" s="425"/>
      <c r="AB125" s="425"/>
      <c r="AC125" s="418" t="e">
        <f t="shared" si="53"/>
        <v>#N/A</v>
      </c>
      <c r="AD125" s="560"/>
      <c r="AE125" s="425"/>
      <c r="AF125" s="425"/>
      <c r="AG125" s="425"/>
      <c r="AH125" s="418" t="e">
        <f t="shared" si="55"/>
        <v>#N/A</v>
      </c>
      <c r="AI125" s="560"/>
      <c r="AJ125" s="425"/>
      <c r="AK125" s="425"/>
      <c r="AL125" s="425"/>
      <c r="AM125" s="418" t="e">
        <f t="shared" si="57"/>
        <v>#N/A</v>
      </c>
      <c r="AN125" s="560"/>
      <c r="AO125" s="425"/>
      <c r="AP125" s="425"/>
      <c r="AQ125" s="425"/>
      <c r="AR125" s="418" t="e">
        <f t="shared" si="59"/>
        <v>#N/A</v>
      </c>
      <c r="AS125" s="560"/>
      <c r="AT125" s="425"/>
      <c r="AU125" s="425"/>
      <c r="AV125" s="425"/>
      <c r="AW125" s="418" t="e">
        <f t="shared" si="61"/>
        <v>#N/A</v>
      </c>
      <c r="AX125" s="560"/>
      <c r="AZ125" s="411" t="e">
        <f t="shared" si="63"/>
        <v>#N/A</v>
      </c>
      <c r="BA125" s="560"/>
    </row>
    <row r="126" spans="2:53">
      <c r="B126" s="570"/>
      <c r="C126" s="292">
        <v>15</v>
      </c>
      <c r="D126" s="418"/>
      <c r="E126" s="418"/>
      <c r="F126" s="418"/>
      <c r="G126" s="425"/>
      <c r="H126" s="560"/>
      <c r="I126" s="400" t="str">
        <f t="shared" si="65"/>
        <v>-</v>
      </c>
      <c r="J126" s="400" t="str">
        <f t="shared" si="66"/>
        <v>-</v>
      </c>
      <c r="K126" s="200" t="str">
        <f t="shared" si="67"/>
        <v>-</v>
      </c>
      <c r="L126" s="581"/>
      <c r="M126" s="199" t="e">
        <f>RANK(K126, K$112:$K$141)</f>
        <v>#VALUE!</v>
      </c>
      <c r="N126" s="564"/>
      <c r="O126" s="564"/>
      <c r="P126" s="425"/>
      <c r="Q126" s="425"/>
      <c r="R126" s="425"/>
      <c r="S126" s="418" t="e">
        <f t="shared" si="49"/>
        <v>#N/A</v>
      </c>
      <c r="T126" s="560"/>
      <c r="U126" s="425"/>
      <c r="V126" s="425"/>
      <c r="W126" s="425"/>
      <c r="X126" s="418" t="e">
        <f t="shared" si="51"/>
        <v>#N/A</v>
      </c>
      <c r="Y126" s="560"/>
      <c r="Z126" s="425"/>
      <c r="AA126" s="425"/>
      <c r="AB126" s="425"/>
      <c r="AC126" s="418" t="e">
        <f t="shared" si="53"/>
        <v>#N/A</v>
      </c>
      <c r="AD126" s="560"/>
      <c r="AE126" s="425"/>
      <c r="AF126" s="425"/>
      <c r="AG126" s="425"/>
      <c r="AH126" s="418" t="e">
        <f t="shared" si="55"/>
        <v>#N/A</v>
      </c>
      <c r="AI126" s="560"/>
      <c r="AJ126" s="425"/>
      <c r="AK126" s="425"/>
      <c r="AL126" s="425"/>
      <c r="AM126" s="418" t="e">
        <f t="shared" si="57"/>
        <v>#N/A</v>
      </c>
      <c r="AN126" s="560"/>
      <c r="AO126" s="425"/>
      <c r="AP126" s="425"/>
      <c r="AQ126" s="425"/>
      <c r="AR126" s="418" t="e">
        <f t="shared" si="59"/>
        <v>#N/A</v>
      </c>
      <c r="AS126" s="560"/>
      <c r="AT126" s="425"/>
      <c r="AU126" s="425"/>
      <c r="AV126" s="425"/>
      <c r="AW126" s="418" t="e">
        <f t="shared" si="61"/>
        <v>#N/A</v>
      </c>
      <c r="AX126" s="560"/>
      <c r="AZ126" s="411" t="e">
        <f t="shared" si="63"/>
        <v>#N/A</v>
      </c>
      <c r="BA126" s="560"/>
    </row>
    <row r="127" spans="2:53">
      <c r="B127" s="570"/>
      <c r="C127" s="292">
        <v>16</v>
      </c>
      <c r="D127" s="418"/>
      <c r="E127" s="418"/>
      <c r="F127" s="418"/>
      <c r="G127" s="425"/>
      <c r="H127" s="560"/>
      <c r="I127" s="400" t="str">
        <f t="shared" si="65"/>
        <v>-</v>
      </c>
      <c r="J127" s="400" t="str">
        <f t="shared" si="66"/>
        <v>-</v>
      </c>
      <c r="K127" s="200" t="str">
        <f t="shared" si="67"/>
        <v>-</v>
      </c>
      <c r="L127" s="581"/>
      <c r="M127" s="199" t="e">
        <f>RANK(K127, K$112:$K$141)</f>
        <v>#VALUE!</v>
      </c>
      <c r="N127" s="564"/>
      <c r="O127" s="564"/>
      <c r="P127" s="425"/>
      <c r="Q127" s="425"/>
      <c r="R127" s="425"/>
      <c r="S127" s="418" t="e">
        <f t="shared" si="49"/>
        <v>#N/A</v>
      </c>
      <c r="T127" s="560"/>
      <c r="U127" s="425"/>
      <c r="V127" s="425"/>
      <c r="W127" s="425"/>
      <c r="X127" s="418" t="e">
        <f t="shared" si="51"/>
        <v>#N/A</v>
      </c>
      <c r="Y127" s="560"/>
      <c r="Z127" s="425"/>
      <c r="AA127" s="425"/>
      <c r="AB127" s="425"/>
      <c r="AC127" s="418" t="e">
        <f t="shared" si="53"/>
        <v>#N/A</v>
      </c>
      <c r="AD127" s="560"/>
      <c r="AE127" s="425"/>
      <c r="AF127" s="425"/>
      <c r="AG127" s="425"/>
      <c r="AH127" s="418" t="e">
        <f t="shared" si="55"/>
        <v>#N/A</v>
      </c>
      <c r="AI127" s="560"/>
      <c r="AJ127" s="425"/>
      <c r="AK127" s="425"/>
      <c r="AL127" s="425"/>
      <c r="AM127" s="418" t="e">
        <f t="shared" si="57"/>
        <v>#N/A</v>
      </c>
      <c r="AN127" s="560"/>
      <c r="AO127" s="425"/>
      <c r="AP127" s="425"/>
      <c r="AQ127" s="425"/>
      <c r="AR127" s="418" t="e">
        <f t="shared" si="59"/>
        <v>#N/A</v>
      </c>
      <c r="AS127" s="560"/>
      <c r="AT127" s="425"/>
      <c r="AU127" s="425"/>
      <c r="AV127" s="425"/>
      <c r="AW127" s="418" t="e">
        <f t="shared" si="61"/>
        <v>#N/A</v>
      </c>
      <c r="AX127" s="560"/>
      <c r="AZ127" s="411" t="e">
        <f t="shared" si="63"/>
        <v>#N/A</v>
      </c>
      <c r="BA127" s="560"/>
    </row>
    <row r="128" spans="2:53">
      <c r="B128" s="570"/>
      <c r="C128" s="292">
        <v>17</v>
      </c>
      <c r="D128" s="418"/>
      <c r="E128" s="418"/>
      <c r="F128" s="418"/>
      <c r="G128" s="425"/>
      <c r="H128" s="560"/>
      <c r="I128" s="400" t="str">
        <f t="shared" si="65"/>
        <v>-</v>
      </c>
      <c r="J128" s="400" t="str">
        <f t="shared" si="66"/>
        <v>-</v>
      </c>
      <c r="K128" s="200" t="str">
        <f t="shared" si="67"/>
        <v>-</v>
      </c>
      <c r="L128" s="581"/>
      <c r="M128" s="199" t="e">
        <f>RANK(K128, K$112:$K$141)</f>
        <v>#VALUE!</v>
      </c>
      <c r="N128" s="564"/>
      <c r="O128" s="564"/>
      <c r="P128" s="425"/>
      <c r="Q128" s="425"/>
      <c r="R128" s="425"/>
      <c r="S128" s="418" t="e">
        <f t="shared" si="49"/>
        <v>#N/A</v>
      </c>
      <c r="T128" s="560"/>
      <c r="U128" s="425"/>
      <c r="V128" s="425"/>
      <c r="W128" s="425"/>
      <c r="X128" s="418" t="e">
        <f t="shared" si="51"/>
        <v>#N/A</v>
      </c>
      <c r="Y128" s="560"/>
      <c r="Z128" s="425"/>
      <c r="AA128" s="425"/>
      <c r="AB128" s="425"/>
      <c r="AC128" s="418" t="e">
        <f t="shared" si="53"/>
        <v>#N/A</v>
      </c>
      <c r="AD128" s="560"/>
      <c r="AE128" s="425"/>
      <c r="AF128" s="425"/>
      <c r="AG128" s="425"/>
      <c r="AH128" s="418" t="e">
        <f t="shared" si="55"/>
        <v>#N/A</v>
      </c>
      <c r="AI128" s="560"/>
      <c r="AJ128" s="425"/>
      <c r="AK128" s="425"/>
      <c r="AL128" s="425"/>
      <c r="AM128" s="418" t="e">
        <f t="shared" si="57"/>
        <v>#N/A</v>
      </c>
      <c r="AN128" s="560"/>
      <c r="AO128" s="425"/>
      <c r="AP128" s="425"/>
      <c r="AQ128" s="425"/>
      <c r="AR128" s="418" t="e">
        <f t="shared" si="59"/>
        <v>#N/A</v>
      </c>
      <c r="AS128" s="560"/>
      <c r="AT128" s="425"/>
      <c r="AU128" s="425"/>
      <c r="AV128" s="425"/>
      <c r="AW128" s="418" t="e">
        <f t="shared" si="61"/>
        <v>#N/A</v>
      </c>
      <c r="AX128" s="560"/>
      <c r="AZ128" s="411" t="e">
        <f t="shared" si="63"/>
        <v>#N/A</v>
      </c>
      <c r="BA128" s="560"/>
    </row>
    <row r="129" spans="2:53">
      <c r="B129" s="570"/>
      <c r="C129" s="292">
        <v>18</v>
      </c>
      <c r="D129" s="418"/>
      <c r="E129" s="418"/>
      <c r="F129" s="418"/>
      <c r="G129" s="425"/>
      <c r="H129" s="560"/>
      <c r="I129" s="400" t="str">
        <f t="shared" si="65"/>
        <v>-</v>
      </c>
      <c r="J129" s="400" t="str">
        <f t="shared" si="66"/>
        <v>-</v>
      </c>
      <c r="K129" s="200" t="str">
        <f t="shared" si="67"/>
        <v>-</v>
      </c>
      <c r="L129" s="581"/>
      <c r="M129" s="199" t="e">
        <f>RANK(K129, K$112:$K$141)</f>
        <v>#VALUE!</v>
      </c>
      <c r="N129" s="564"/>
      <c r="O129" s="564"/>
      <c r="P129" s="425"/>
      <c r="Q129" s="425"/>
      <c r="R129" s="425"/>
      <c r="S129" s="418" t="e">
        <f t="shared" si="49"/>
        <v>#N/A</v>
      </c>
      <c r="T129" s="560"/>
      <c r="U129" s="425"/>
      <c r="V129" s="425"/>
      <c r="W129" s="425"/>
      <c r="X129" s="418" t="e">
        <f t="shared" si="51"/>
        <v>#N/A</v>
      </c>
      <c r="Y129" s="560"/>
      <c r="Z129" s="425"/>
      <c r="AA129" s="425"/>
      <c r="AB129" s="425"/>
      <c r="AC129" s="418" t="e">
        <f t="shared" si="53"/>
        <v>#N/A</v>
      </c>
      <c r="AD129" s="560"/>
      <c r="AE129" s="425"/>
      <c r="AF129" s="425"/>
      <c r="AG129" s="425"/>
      <c r="AH129" s="418" t="e">
        <f t="shared" si="55"/>
        <v>#N/A</v>
      </c>
      <c r="AI129" s="560"/>
      <c r="AJ129" s="425"/>
      <c r="AK129" s="425"/>
      <c r="AL129" s="425"/>
      <c r="AM129" s="418" t="e">
        <f t="shared" si="57"/>
        <v>#N/A</v>
      </c>
      <c r="AN129" s="560"/>
      <c r="AO129" s="425"/>
      <c r="AP129" s="425"/>
      <c r="AQ129" s="425"/>
      <c r="AR129" s="418" t="e">
        <f t="shared" si="59"/>
        <v>#N/A</v>
      </c>
      <c r="AS129" s="560"/>
      <c r="AT129" s="425"/>
      <c r="AU129" s="425"/>
      <c r="AV129" s="425"/>
      <c r="AW129" s="418" t="e">
        <f t="shared" si="61"/>
        <v>#N/A</v>
      </c>
      <c r="AX129" s="560"/>
      <c r="AZ129" s="411" t="e">
        <f t="shared" si="63"/>
        <v>#N/A</v>
      </c>
      <c r="BA129" s="560"/>
    </row>
    <row r="130" spans="2:53">
      <c r="B130" s="570"/>
      <c r="C130" s="292">
        <v>19</v>
      </c>
      <c r="D130" s="418"/>
      <c r="E130" s="418"/>
      <c r="F130" s="418"/>
      <c r="G130" s="425"/>
      <c r="H130" s="560"/>
      <c r="I130" s="400" t="str">
        <f t="shared" si="65"/>
        <v>-</v>
      </c>
      <c r="J130" s="400" t="str">
        <f t="shared" si="66"/>
        <v>-</v>
      </c>
      <c r="K130" s="200" t="str">
        <f t="shared" si="67"/>
        <v>-</v>
      </c>
      <c r="L130" s="581"/>
      <c r="M130" s="199" t="e">
        <f>RANK(K130, K$112:$K$141)</f>
        <v>#VALUE!</v>
      </c>
      <c r="N130" s="564"/>
      <c r="O130" s="564"/>
      <c r="P130" s="425"/>
      <c r="Q130" s="425"/>
      <c r="R130" s="425"/>
      <c r="S130" s="418" t="e">
        <f t="shared" si="49"/>
        <v>#N/A</v>
      </c>
      <c r="T130" s="560"/>
      <c r="U130" s="425"/>
      <c r="V130" s="425"/>
      <c r="W130" s="425"/>
      <c r="X130" s="418" t="e">
        <f t="shared" si="51"/>
        <v>#N/A</v>
      </c>
      <c r="Y130" s="560"/>
      <c r="Z130" s="425"/>
      <c r="AA130" s="425"/>
      <c r="AB130" s="425"/>
      <c r="AC130" s="418" t="e">
        <f t="shared" si="53"/>
        <v>#N/A</v>
      </c>
      <c r="AD130" s="560"/>
      <c r="AE130" s="425"/>
      <c r="AF130" s="425"/>
      <c r="AG130" s="425"/>
      <c r="AH130" s="418" t="e">
        <f t="shared" si="55"/>
        <v>#N/A</v>
      </c>
      <c r="AI130" s="560"/>
      <c r="AJ130" s="425"/>
      <c r="AK130" s="425"/>
      <c r="AL130" s="425"/>
      <c r="AM130" s="418" t="e">
        <f t="shared" si="57"/>
        <v>#N/A</v>
      </c>
      <c r="AN130" s="560"/>
      <c r="AO130" s="425"/>
      <c r="AP130" s="425"/>
      <c r="AQ130" s="425"/>
      <c r="AR130" s="418" t="e">
        <f t="shared" si="59"/>
        <v>#N/A</v>
      </c>
      <c r="AS130" s="560"/>
      <c r="AT130" s="425"/>
      <c r="AU130" s="425"/>
      <c r="AV130" s="425"/>
      <c r="AW130" s="418" t="e">
        <f t="shared" si="61"/>
        <v>#N/A</v>
      </c>
      <c r="AX130" s="560"/>
      <c r="AZ130" s="411" t="e">
        <f t="shared" si="63"/>
        <v>#N/A</v>
      </c>
      <c r="BA130" s="560"/>
    </row>
    <row r="131" spans="2:53">
      <c r="B131" s="570"/>
      <c r="C131" s="292">
        <v>20</v>
      </c>
      <c r="D131" s="418"/>
      <c r="E131" s="418"/>
      <c r="F131" s="418"/>
      <c r="G131" s="425"/>
      <c r="H131" s="560"/>
      <c r="I131" s="400" t="str">
        <f t="shared" si="65"/>
        <v>-</v>
      </c>
      <c r="J131" s="400" t="str">
        <f t="shared" si="66"/>
        <v>-</v>
      </c>
      <c r="K131" s="200" t="str">
        <f t="shared" si="67"/>
        <v>-</v>
      </c>
      <c r="L131" s="581"/>
      <c r="M131" s="199" t="e">
        <f>RANK(K131, K$112:$K$141)</f>
        <v>#VALUE!</v>
      </c>
      <c r="N131" s="564"/>
      <c r="O131" s="564"/>
      <c r="P131" s="425"/>
      <c r="Q131" s="425"/>
      <c r="R131" s="425"/>
      <c r="S131" s="418" t="e">
        <f t="shared" si="49"/>
        <v>#N/A</v>
      </c>
      <c r="T131" s="560"/>
      <c r="U131" s="425"/>
      <c r="V131" s="425"/>
      <c r="W131" s="425"/>
      <c r="X131" s="418" t="e">
        <f t="shared" si="51"/>
        <v>#N/A</v>
      </c>
      <c r="Y131" s="560"/>
      <c r="Z131" s="425"/>
      <c r="AA131" s="425"/>
      <c r="AB131" s="425"/>
      <c r="AC131" s="418" t="e">
        <f t="shared" si="53"/>
        <v>#N/A</v>
      </c>
      <c r="AD131" s="560"/>
      <c r="AE131" s="425"/>
      <c r="AF131" s="425"/>
      <c r="AG131" s="425"/>
      <c r="AH131" s="418" t="e">
        <f t="shared" si="55"/>
        <v>#N/A</v>
      </c>
      <c r="AI131" s="560"/>
      <c r="AJ131" s="425"/>
      <c r="AK131" s="425"/>
      <c r="AL131" s="425"/>
      <c r="AM131" s="418" t="e">
        <f t="shared" si="57"/>
        <v>#N/A</v>
      </c>
      <c r="AN131" s="560"/>
      <c r="AO131" s="425"/>
      <c r="AP131" s="425"/>
      <c r="AQ131" s="425"/>
      <c r="AR131" s="418" t="e">
        <f t="shared" si="59"/>
        <v>#N/A</v>
      </c>
      <c r="AS131" s="560"/>
      <c r="AT131" s="425"/>
      <c r="AU131" s="425"/>
      <c r="AV131" s="425"/>
      <c r="AW131" s="418" t="e">
        <f t="shared" si="61"/>
        <v>#N/A</v>
      </c>
      <c r="AX131" s="560"/>
      <c r="AZ131" s="411" t="e">
        <f t="shared" si="63"/>
        <v>#N/A</v>
      </c>
      <c r="BA131" s="560"/>
    </row>
    <row r="132" spans="2:53">
      <c r="B132" s="570"/>
      <c r="C132" s="292">
        <v>21</v>
      </c>
      <c r="D132" s="421"/>
      <c r="E132" s="418"/>
      <c r="F132" s="418"/>
      <c r="G132" s="425"/>
      <c r="H132" s="560"/>
      <c r="I132" s="400" t="str">
        <f t="shared" si="65"/>
        <v>-</v>
      </c>
      <c r="J132" s="400" t="str">
        <f t="shared" si="66"/>
        <v>-</v>
      </c>
      <c r="K132" s="200" t="str">
        <f t="shared" si="67"/>
        <v>-</v>
      </c>
      <c r="L132" s="581"/>
      <c r="M132" s="199" t="e">
        <f>RANK(K132, K$112:$K$141)</f>
        <v>#VALUE!</v>
      </c>
      <c r="N132" s="564"/>
      <c r="O132" s="564"/>
      <c r="P132" s="418"/>
      <c r="Q132" s="425"/>
      <c r="R132" s="419"/>
      <c r="S132" s="418" t="e">
        <f t="shared" si="49"/>
        <v>#N/A</v>
      </c>
      <c r="T132" s="560"/>
      <c r="U132" s="418"/>
      <c r="V132" s="425"/>
      <c r="W132" s="419"/>
      <c r="X132" s="418" t="e">
        <f t="shared" si="51"/>
        <v>#N/A</v>
      </c>
      <c r="Y132" s="560"/>
      <c r="Z132" s="418"/>
      <c r="AA132" s="425"/>
      <c r="AB132" s="419"/>
      <c r="AC132" s="418" t="e">
        <f t="shared" si="53"/>
        <v>#N/A</v>
      </c>
      <c r="AD132" s="560"/>
      <c r="AE132" s="418"/>
      <c r="AF132" s="425"/>
      <c r="AG132" s="419"/>
      <c r="AH132" s="418" t="e">
        <f t="shared" si="55"/>
        <v>#N/A</v>
      </c>
      <c r="AI132" s="560"/>
      <c r="AJ132" s="418"/>
      <c r="AK132" s="425"/>
      <c r="AL132" s="419"/>
      <c r="AM132" s="418" t="e">
        <f t="shared" si="57"/>
        <v>#N/A</v>
      </c>
      <c r="AN132" s="560"/>
      <c r="AO132" s="418"/>
      <c r="AP132" s="425"/>
      <c r="AQ132" s="419"/>
      <c r="AR132" s="418" t="e">
        <f t="shared" si="59"/>
        <v>#N/A</v>
      </c>
      <c r="AS132" s="560"/>
      <c r="AT132" s="418"/>
      <c r="AU132" s="425"/>
      <c r="AV132" s="419"/>
      <c r="AW132" s="418" t="e">
        <f t="shared" si="61"/>
        <v>#N/A</v>
      </c>
      <c r="AX132" s="560"/>
      <c r="AZ132" s="411" t="e">
        <f t="shared" si="63"/>
        <v>#N/A</v>
      </c>
      <c r="BA132" s="560"/>
    </row>
    <row r="133" spans="2:53">
      <c r="B133" s="570"/>
      <c r="C133" s="292">
        <v>22</v>
      </c>
      <c r="D133" s="418"/>
      <c r="E133" s="418"/>
      <c r="F133" s="418"/>
      <c r="G133" s="418"/>
      <c r="H133" s="560"/>
      <c r="I133" s="400" t="str">
        <f t="shared" si="65"/>
        <v>-</v>
      </c>
      <c r="J133" s="400" t="str">
        <f t="shared" si="66"/>
        <v>-</v>
      </c>
      <c r="K133" s="200" t="str">
        <f t="shared" si="67"/>
        <v>-</v>
      </c>
      <c r="L133" s="581"/>
      <c r="M133" s="199" t="e">
        <f>RANK(K133, K$112:$K$141)</f>
        <v>#VALUE!</v>
      </c>
      <c r="N133" s="564"/>
      <c r="O133" s="564"/>
      <c r="P133" s="418"/>
      <c r="Q133" s="425"/>
      <c r="R133" s="419"/>
      <c r="S133" s="418" t="e">
        <f t="shared" si="49"/>
        <v>#N/A</v>
      </c>
      <c r="T133" s="560"/>
      <c r="U133" s="418"/>
      <c r="V133" s="425"/>
      <c r="W133" s="419"/>
      <c r="X133" s="418" t="e">
        <f t="shared" si="51"/>
        <v>#N/A</v>
      </c>
      <c r="Y133" s="560"/>
      <c r="Z133" s="418"/>
      <c r="AA133" s="425"/>
      <c r="AB133" s="419"/>
      <c r="AC133" s="418" t="e">
        <f t="shared" si="53"/>
        <v>#N/A</v>
      </c>
      <c r="AD133" s="560"/>
      <c r="AE133" s="418"/>
      <c r="AF133" s="425"/>
      <c r="AG133" s="419"/>
      <c r="AH133" s="418" t="e">
        <f t="shared" si="55"/>
        <v>#N/A</v>
      </c>
      <c r="AI133" s="560"/>
      <c r="AJ133" s="418"/>
      <c r="AK133" s="425"/>
      <c r="AL133" s="419"/>
      <c r="AM133" s="418" t="e">
        <f t="shared" si="57"/>
        <v>#N/A</v>
      </c>
      <c r="AN133" s="560"/>
      <c r="AO133" s="418"/>
      <c r="AP133" s="425"/>
      <c r="AQ133" s="419"/>
      <c r="AR133" s="418" t="e">
        <f t="shared" si="59"/>
        <v>#N/A</v>
      </c>
      <c r="AS133" s="560"/>
      <c r="AT133" s="418"/>
      <c r="AU133" s="425"/>
      <c r="AV133" s="419"/>
      <c r="AW133" s="418" t="e">
        <f t="shared" si="61"/>
        <v>#N/A</v>
      </c>
      <c r="AX133" s="560"/>
      <c r="AZ133" s="411" t="e">
        <f t="shared" si="63"/>
        <v>#N/A</v>
      </c>
      <c r="BA133" s="560"/>
    </row>
    <row r="134" spans="2:53">
      <c r="B134" s="570"/>
      <c r="C134" s="292">
        <v>23</v>
      </c>
      <c r="D134" s="418"/>
      <c r="E134" s="418"/>
      <c r="F134" s="418"/>
      <c r="G134" s="418"/>
      <c r="H134" s="560"/>
      <c r="I134" s="400" t="str">
        <f t="shared" si="65"/>
        <v>-</v>
      </c>
      <c r="J134" s="400" t="str">
        <f t="shared" si="66"/>
        <v>-</v>
      </c>
      <c r="K134" s="200" t="str">
        <f t="shared" si="67"/>
        <v>-</v>
      </c>
      <c r="L134" s="581"/>
      <c r="M134" s="199" t="e">
        <f>RANK(K134, K$112:$K$141)</f>
        <v>#VALUE!</v>
      </c>
      <c r="N134" s="564"/>
      <c r="O134" s="564"/>
      <c r="P134" s="418"/>
      <c r="Q134" s="418"/>
      <c r="R134" s="419"/>
      <c r="S134" s="418" t="e">
        <f t="shared" si="49"/>
        <v>#N/A</v>
      </c>
      <c r="T134" s="560"/>
      <c r="U134" s="418"/>
      <c r="V134" s="418"/>
      <c r="W134" s="419"/>
      <c r="X134" s="418" t="e">
        <f t="shared" si="51"/>
        <v>#N/A</v>
      </c>
      <c r="Y134" s="560"/>
      <c r="Z134" s="418"/>
      <c r="AA134" s="418"/>
      <c r="AB134" s="419"/>
      <c r="AC134" s="418" t="e">
        <f t="shared" si="53"/>
        <v>#N/A</v>
      </c>
      <c r="AD134" s="560"/>
      <c r="AE134" s="418"/>
      <c r="AF134" s="418"/>
      <c r="AG134" s="419"/>
      <c r="AH134" s="418" t="e">
        <f t="shared" si="55"/>
        <v>#N/A</v>
      </c>
      <c r="AI134" s="560"/>
      <c r="AJ134" s="418"/>
      <c r="AK134" s="418"/>
      <c r="AL134" s="419"/>
      <c r="AM134" s="418" t="e">
        <f t="shared" si="57"/>
        <v>#N/A</v>
      </c>
      <c r="AN134" s="560"/>
      <c r="AO134" s="418"/>
      <c r="AP134" s="418"/>
      <c r="AQ134" s="419"/>
      <c r="AR134" s="418" t="e">
        <f t="shared" si="59"/>
        <v>#N/A</v>
      </c>
      <c r="AS134" s="560"/>
      <c r="AT134" s="418"/>
      <c r="AU134" s="418"/>
      <c r="AV134" s="419"/>
      <c r="AW134" s="418" t="e">
        <f t="shared" si="61"/>
        <v>#N/A</v>
      </c>
      <c r="AX134" s="560"/>
      <c r="AZ134" s="411" t="e">
        <f t="shared" si="63"/>
        <v>#N/A</v>
      </c>
      <c r="BA134" s="560"/>
    </row>
    <row r="135" spans="2:53">
      <c r="B135" s="570"/>
      <c r="C135" s="292">
        <v>24</v>
      </c>
      <c r="D135" s="418"/>
      <c r="E135" s="418"/>
      <c r="F135" s="418"/>
      <c r="G135" s="418"/>
      <c r="H135" s="560"/>
      <c r="I135" s="400" t="str">
        <f t="shared" si="65"/>
        <v>-</v>
      </c>
      <c r="J135" s="400" t="str">
        <f t="shared" si="66"/>
        <v>-</v>
      </c>
      <c r="K135" s="200" t="str">
        <f t="shared" si="67"/>
        <v>-</v>
      </c>
      <c r="L135" s="581"/>
      <c r="M135" s="199" t="e">
        <f>RANK(K135, K$112:$K$141)</f>
        <v>#VALUE!</v>
      </c>
      <c r="N135" s="564"/>
      <c r="O135" s="564"/>
      <c r="P135" s="418"/>
      <c r="Q135" s="418"/>
      <c r="R135" s="418"/>
      <c r="S135" s="418" t="e">
        <f t="shared" si="49"/>
        <v>#N/A</v>
      </c>
      <c r="T135" s="560"/>
      <c r="U135" s="418"/>
      <c r="V135" s="418"/>
      <c r="W135" s="418"/>
      <c r="X135" s="418" t="e">
        <f t="shared" si="51"/>
        <v>#N/A</v>
      </c>
      <c r="Y135" s="560"/>
      <c r="Z135" s="418"/>
      <c r="AA135" s="418"/>
      <c r="AB135" s="418"/>
      <c r="AC135" s="418" t="e">
        <f t="shared" si="53"/>
        <v>#N/A</v>
      </c>
      <c r="AD135" s="560"/>
      <c r="AE135" s="418"/>
      <c r="AF135" s="418"/>
      <c r="AG135" s="418"/>
      <c r="AH135" s="418" t="e">
        <f t="shared" si="55"/>
        <v>#N/A</v>
      </c>
      <c r="AI135" s="560"/>
      <c r="AJ135" s="418"/>
      <c r="AK135" s="418"/>
      <c r="AL135" s="418"/>
      <c r="AM135" s="418" t="e">
        <f t="shared" si="57"/>
        <v>#N/A</v>
      </c>
      <c r="AN135" s="560"/>
      <c r="AO135" s="418"/>
      <c r="AP135" s="418"/>
      <c r="AQ135" s="418"/>
      <c r="AR135" s="418" t="e">
        <f t="shared" si="59"/>
        <v>#N/A</v>
      </c>
      <c r="AS135" s="560"/>
      <c r="AT135" s="418"/>
      <c r="AU135" s="418"/>
      <c r="AV135" s="418"/>
      <c r="AW135" s="418" t="e">
        <f t="shared" si="61"/>
        <v>#N/A</v>
      </c>
      <c r="AX135" s="560"/>
      <c r="AZ135" s="411" t="e">
        <f t="shared" si="63"/>
        <v>#N/A</v>
      </c>
      <c r="BA135" s="560"/>
    </row>
    <row r="136" spans="2:53">
      <c r="B136" s="570"/>
      <c r="C136" s="292">
        <v>25</v>
      </c>
      <c r="D136" s="418"/>
      <c r="E136" s="418"/>
      <c r="F136" s="418"/>
      <c r="G136" s="418"/>
      <c r="H136" s="560"/>
      <c r="I136" s="400" t="str">
        <f t="shared" si="65"/>
        <v>-</v>
      </c>
      <c r="J136" s="400" t="str">
        <f t="shared" si="66"/>
        <v>-</v>
      </c>
      <c r="K136" s="200" t="str">
        <f t="shared" si="67"/>
        <v>-</v>
      </c>
      <c r="L136" s="581"/>
      <c r="M136" s="199" t="e">
        <f>RANK(K136, K$112:$K$141)</f>
        <v>#VALUE!</v>
      </c>
      <c r="N136" s="564"/>
      <c r="O136" s="564"/>
      <c r="P136" s="418"/>
      <c r="Q136" s="418"/>
      <c r="R136" s="418"/>
      <c r="S136" s="418" t="e">
        <f t="shared" si="49"/>
        <v>#N/A</v>
      </c>
      <c r="T136" s="560"/>
      <c r="U136" s="418"/>
      <c r="V136" s="418"/>
      <c r="W136" s="418"/>
      <c r="X136" s="418" t="e">
        <f t="shared" si="51"/>
        <v>#N/A</v>
      </c>
      <c r="Y136" s="560"/>
      <c r="Z136" s="418"/>
      <c r="AA136" s="418"/>
      <c r="AB136" s="418"/>
      <c r="AC136" s="418" t="e">
        <f t="shared" si="53"/>
        <v>#N/A</v>
      </c>
      <c r="AD136" s="560"/>
      <c r="AE136" s="418"/>
      <c r="AF136" s="418"/>
      <c r="AG136" s="418"/>
      <c r="AH136" s="418" t="e">
        <f t="shared" si="55"/>
        <v>#N/A</v>
      </c>
      <c r="AI136" s="560"/>
      <c r="AJ136" s="418"/>
      <c r="AK136" s="418"/>
      <c r="AL136" s="418"/>
      <c r="AM136" s="418" t="e">
        <f t="shared" si="57"/>
        <v>#N/A</v>
      </c>
      <c r="AN136" s="560"/>
      <c r="AO136" s="418"/>
      <c r="AP136" s="418"/>
      <c r="AQ136" s="418"/>
      <c r="AR136" s="418" t="e">
        <f t="shared" si="59"/>
        <v>#N/A</v>
      </c>
      <c r="AS136" s="560"/>
      <c r="AT136" s="418"/>
      <c r="AU136" s="418"/>
      <c r="AV136" s="418"/>
      <c r="AW136" s="418" t="e">
        <f t="shared" si="61"/>
        <v>#N/A</v>
      </c>
      <c r="AX136" s="560"/>
      <c r="AZ136" s="411" t="e">
        <f t="shared" si="63"/>
        <v>#N/A</v>
      </c>
      <c r="BA136" s="560"/>
    </row>
    <row r="137" spans="2:53">
      <c r="B137" s="570"/>
      <c r="C137" s="292">
        <v>26</v>
      </c>
      <c r="D137" s="418"/>
      <c r="E137" s="418"/>
      <c r="F137" s="418"/>
      <c r="G137" s="418"/>
      <c r="H137" s="560"/>
      <c r="I137" s="400" t="str">
        <f t="shared" si="65"/>
        <v>-</v>
      </c>
      <c r="J137" s="400" t="str">
        <f t="shared" si="66"/>
        <v>-</v>
      </c>
      <c r="K137" s="200" t="str">
        <f t="shared" si="67"/>
        <v>-</v>
      </c>
      <c r="L137" s="581"/>
      <c r="M137" s="199" t="e">
        <f>RANK(K137, K$112:$K$141)</f>
        <v>#VALUE!</v>
      </c>
      <c r="N137" s="564"/>
      <c r="O137" s="564"/>
      <c r="P137" s="418"/>
      <c r="Q137" s="418"/>
      <c r="R137" s="418"/>
      <c r="S137" s="418" t="e">
        <f t="shared" si="49"/>
        <v>#N/A</v>
      </c>
      <c r="T137" s="560"/>
      <c r="U137" s="418"/>
      <c r="V137" s="418"/>
      <c r="W137" s="418"/>
      <c r="X137" s="418" t="e">
        <f t="shared" si="51"/>
        <v>#N/A</v>
      </c>
      <c r="Y137" s="560"/>
      <c r="Z137" s="418"/>
      <c r="AA137" s="418"/>
      <c r="AB137" s="418"/>
      <c r="AC137" s="418" t="e">
        <f t="shared" si="53"/>
        <v>#N/A</v>
      </c>
      <c r="AD137" s="560"/>
      <c r="AE137" s="418"/>
      <c r="AF137" s="418"/>
      <c r="AG137" s="418"/>
      <c r="AH137" s="418" t="e">
        <f t="shared" si="55"/>
        <v>#N/A</v>
      </c>
      <c r="AI137" s="560"/>
      <c r="AJ137" s="418"/>
      <c r="AK137" s="418"/>
      <c r="AL137" s="418"/>
      <c r="AM137" s="418" t="e">
        <f t="shared" si="57"/>
        <v>#N/A</v>
      </c>
      <c r="AN137" s="560"/>
      <c r="AO137" s="418"/>
      <c r="AP137" s="418"/>
      <c r="AQ137" s="418"/>
      <c r="AR137" s="418" t="e">
        <f t="shared" si="59"/>
        <v>#N/A</v>
      </c>
      <c r="AS137" s="560"/>
      <c r="AT137" s="418"/>
      <c r="AU137" s="418"/>
      <c r="AV137" s="418"/>
      <c r="AW137" s="418" t="e">
        <f t="shared" si="61"/>
        <v>#N/A</v>
      </c>
      <c r="AX137" s="560"/>
      <c r="AZ137" s="411" t="e">
        <f t="shared" si="63"/>
        <v>#N/A</v>
      </c>
      <c r="BA137" s="560"/>
    </row>
    <row r="138" spans="2:53">
      <c r="B138" s="570"/>
      <c r="C138" s="292">
        <v>27</v>
      </c>
      <c r="D138" s="418"/>
      <c r="E138" s="418"/>
      <c r="F138" s="418"/>
      <c r="G138" s="418"/>
      <c r="H138" s="560"/>
      <c r="I138" s="400" t="str">
        <f t="shared" si="65"/>
        <v>-</v>
      </c>
      <c r="J138" s="400" t="str">
        <f t="shared" si="66"/>
        <v>-</v>
      </c>
      <c r="K138" s="200" t="str">
        <f t="shared" si="67"/>
        <v>-</v>
      </c>
      <c r="L138" s="581"/>
      <c r="M138" s="199" t="e">
        <f>RANK(K138, K$112:$K$141)</f>
        <v>#VALUE!</v>
      </c>
      <c r="N138" s="564"/>
      <c r="O138" s="564"/>
      <c r="P138" s="418"/>
      <c r="Q138" s="418"/>
      <c r="R138" s="418"/>
      <c r="S138" s="418" t="e">
        <f t="shared" si="49"/>
        <v>#N/A</v>
      </c>
      <c r="T138" s="560"/>
      <c r="U138" s="418"/>
      <c r="V138" s="418"/>
      <c r="W138" s="418"/>
      <c r="X138" s="418" t="e">
        <f t="shared" si="51"/>
        <v>#N/A</v>
      </c>
      <c r="Y138" s="560"/>
      <c r="Z138" s="418"/>
      <c r="AA138" s="418"/>
      <c r="AB138" s="418"/>
      <c r="AC138" s="418" t="e">
        <f t="shared" si="53"/>
        <v>#N/A</v>
      </c>
      <c r="AD138" s="560"/>
      <c r="AE138" s="418"/>
      <c r="AF138" s="418"/>
      <c r="AG138" s="418"/>
      <c r="AH138" s="418" t="e">
        <f t="shared" si="55"/>
        <v>#N/A</v>
      </c>
      <c r="AI138" s="560"/>
      <c r="AJ138" s="418"/>
      <c r="AK138" s="418"/>
      <c r="AL138" s="418"/>
      <c r="AM138" s="418" t="e">
        <f t="shared" si="57"/>
        <v>#N/A</v>
      </c>
      <c r="AN138" s="560"/>
      <c r="AO138" s="418"/>
      <c r="AP138" s="418"/>
      <c r="AQ138" s="418"/>
      <c r="AR138" s="418" t="e">
        <f t="shared" si="59"/>
        <v>#N/A</v>
      </c>
      <c r="AS138" s="560"/>
      <c r="AT138" s="418"/>
      <c r="AU138" s="418"/>
      <c r="AV138" s="418"/>
      <c r="AW138" s="418" t="e">
        <f t="shared" si="61"/>
        <v>#N/A</v>
      </c>
      <c r="AX138" s="560"/>
      <c r="AZ138" s="411" t="e">
        <f t="shared" si="63"/>
        <v>#N/A</v>
      </c>
      <c r="BA138" s="560"/>
    </row>
    <row r="139" spans="2:53">
      <c r="B139" s="570"/>
      <c r="C139" s="292">
        <v>28</v>
      </c>
      <c r="D139" s="418"/>
      <c r="E139" s="418"/>
      <c r="F139" s="418"/>
      <c r="G139" s="418"/>
      <c r="H139" s="560"/>
      <c r="I139" s="400" t="str">
        <f t="shared" si="65"/>
        <v>-</v>
      </c>
      <c r="J139" s="400" t="str">
        <f t="shared" si="66"/>
        <v>-</v>
      </c>
      <c r="K139" s="200" t="str">
        <f t="shared" si="67"/>
        <v>-</v>
      </c>
      <c r="L139" s="581"/>
      <c r="M139" s="199" t="e">
        <f>RANK(K139, K$112:$K$141)</f>
        <v>#VALUE!</v>
      </c>
      <c r="N139" s="564"/>
      <c r="O139" s="564"/>
      <c r="P139" s="418"/>
      <c r="Q139" s="418"/>
      <c r="R139" s="418"/>
      <c r="S139" s="418" t="e">
        <f t="shared" si="49"/>
        <v>#N/A</v>
      </c>
      <c r="T139" s="560"/>
      <c r="U139" s="418"/>
      <c r="V139" s="418"/>
      <c r="W139" s="418"/>
      <c r="X139" s="418" t="e">
        <f t="shared" si="51"/>
        <v>#N/A</v>
      </c>
      <c r="Y139" s="560"/>
      <c r="Z139" s="418"/>
      <c r="AA139" s="418"/>
      <c r="AB139" s="418"/>
      <c r="AC139" s="418" t="e">
        <f t="shared" si="53"/>
        <v>#N/A</v>
      </c>
      <c r="AD139" s="560"/>
      <c r="AE139" s="418"/>
      <c r="AF139" s="418"/>
      <c r="AG139" s="418"/>
      <c r="AH139" s="418" t="e">
        <f t="shared" si="55"/>
        <v>#N/A</v>
      </c>
      <c r="AI139" s="560"/>
      <c r="AJ139" s="418"/>
      <c r="AK139" s="418"/>
      <c r="AL139" s="418"/>
      <c r="AM139" s="418" t="e">
        <f t="shared" si="57"/>
        <v>#N/A</v>
      </c>
      <c r="AN139" s="560"/>
      <c r="AO139" s="418"/>
      <c r="AP139" s="418"/>
      <c r="AQ139" s="418"/>
      <c r="AR139" s="418" t="e">
        <f t="shared" si="59"/>
        <v>#N/A</v>
      </c>
      <c r="AS139" s="560"/>
      <c r="AT139" s="418"/>
      <c r="AU139" s="418"/>
      <c r="AV139" s="418"/>
      <c r="AW139" s="418" t="e">
        <f t="shared" si="61"/>
        <v>#N/A</v>
      </c>
      <c r="AX139" s="560"/>
      <c r="AZ139" s="411" t="e">
        <f t="shared" si="63"/>
        <v>#N/A</v>
      </c>
      <c r="BA139" s="560"/>
    </row>
    <row r="140" spans="2:53">
      <c r="B140" s="570"/>
      <c r="C140" s="292">
        <v>29</v>
      </c>
      <c r="D140" s="418"/>
      <c r="E140" s="418"/>
      <c r="F140" s="418"/>
      <c r="G140" s="418"/>
      <c r="H140" s="560"/>
      <c r="I140" s="400" t="str">
        <f t="shared" si="65"/>
        <v>-</v>
      </c>
      <c r="J140" s="400" t="str">
        <f t="shared" si="66"/>
        <v>-</v>
      </c>
      <c r="K140" s="200" t="str">
        <f t="shared" si="67"/>
        <v>-</v>
      </c>
      <c r="L140" s="581"/>
      <c r="M140" s="199" t="e">
        <f>RANK(K140, K$112:$K$141)</f>
        <v>#VALUE!</v>
      </c>
      <c r="N140" s="564"/>
      <c r="O140" s="564"/>
      <c r="P140" s="418"/>
      <c r="Q140" s="418"/>
      <c r="R140" s="418"/>
      <c r="S140" s="418" t="e">
        <f t="shared" si="49"/>
        <v>#N/A</v>
      </c>
      <c r="T140" s="560"/>
      <c r="U140" s="418"/>
      <c r="V140" s="418"/>
      <c r="W140" s="418"/>
      <c r="X140" s="418" t="e">
        <f t="shared" si="51"/>
        <v>#N/A</v>
      </c>
      <c r="Y140" s="560"/>
      <c r="Z140" s="418"/>
      <c r="AA140" s="418"/>
      <c r="AB140" s="418"/>
      <c r="AC140" s="418" t="e">
        <f t="shared" si="53"/>
        <v>#N/A</v>
      </c>
      <c r="AD140" s="560"/>
      <c r="AE140" s="418"/>
      <c r="AF140" s="418"/>
      <c r="AG140" s="418"/>
      <c r="AH140" s="418" t="e">
        <f t="shared" si="55"/>
        <v>#N/A</v>
      </c>
      <c r="AI140" s="560"/>
      <c r="AJ140" s="418"/>
      <c r="AK140" s="418"/>
      <c r="AL140" s="418"/>
      <c r="AM140" s="418" t="e">
        <f t="shared" si="57"/>
        <v>#N/A</v>
      </c>
      <c r="AN140" s="560"/>
      <c r="AO140" s="418"/>
      <c r="AP140" s="418"/>
      <c r="AQ140" s="418"/>
      <c r="AR140" s="418" t="e">
        <f t="shared" si="59"/>
        <v>#N/A</v>
      </c>
      <c r="AS140" s="560"/>
      <c r="AT140" s="418"/>
      <c r="AU140" s="418"/>
      <c r="AV140" s="418"/>
      <c r="AW140" s="418" t="e">
        <f t="shared" si="61"/>
        <v>#N/A</v>
      </c>
      <c r="AX140" s="560"/>
      <c r="AZ140" s="411" t="e">
        <f t="shared" si="63"/>
        <v>#N/A</v>
      </c>
      <c r="BA140" s="560"/>
    </row>
    <row r="141" spans="2:53">
      <c r="B141" s="570"/>
      <c r="C141" s="292">
        <v>30</v>
      </c>
      <c r="D141" s="418"/>
      <c r="E141" s="418"/>
      <c r="F141" s="418"/>
      <c r="G141" s="418"/>
      <c r="H141" s="561"/>
      <c r="I141" s="400" t="str">
        <f t="shared" si="65"/>
        <v>-</v>
      </c>
      <c r="J141" s="400" t="str">
        <f t="shared" si="66"/>
        <v>-</v>
      </c>
      <c r="K141" s="200" t="str">
        <f t="shared" si="67"/>
        <v>-</v>
      </c>
      <c r="L141" s="582"/>
      <c r="M141" s="199" t="e">
        <f>RANK(K141, K$112:$K$141)</f>
        <v>#VALUE!</v>
      </c>
      <c r="N141" s="564"/>
      <c r="O141" s="564"/>
      <c r="P141" s="418"/>
      <c r="Q141" s="418"/>
      <c r="R141" s="418"/>
      <c r="S141" s="418" t="e">
        <f t="shared" si="49"/>
        <v>#N/A</v>
      </c>
      <c r="T141" s="561"/>
      <c r="U141" s="418"/>
      <c r="V141" s="418"/>
      <c r="W141" s="418"/>
      <c r="X141" s="418" t="e">
        <f t="shared" si="51"/>
        <v>#N/A</v>
      </c>
      <c r="Y141" s="561"/>
      <c r="Z141" s="418"/>
      <c r="AA141" s="418"/>
      <c r="AB141" s="418"/>
      <c r="AC141" s="418" t="e">
        <f t="shared" si="53"/>
        <v>#N/A</v>
      </c>
      <c r="AD141" s="561"/>
      <c r="AE141" s="418"/>
      <c r="AF141" s="418"/>
      <c r="AG141" s="418"/>
      <c r="AH141" s="418" t="e">
        <f t="shared" si="55"/>
        <v>#N/A</v>
      </c>
      <c r="AI141" s="561"/>
      <c r="AJ141" s="418"/>
      <c r="AK141" s="418"/>
      <c r="AL141" s="418"/>
      <c r="AM141" s="418" t="e">
        <f t="shared" si="57"/>
        <v>#N/A</v>
      </c>
      <c r="AN141" s="561"/>
      <c r="AO141" s="418"/>
      <c r="AP141" s="418"/>
      <c r="AQ141" s="418"/>
      <c r="AR141" s="418" t="e">
        <f t="shared" si="59"/>
        <v>#N/A</v>
      </c>
      <c r="AS141" s="561"/>
      <c r="AT141" s="418"/>
      <c r="AU141" s="418"/>
      <c r="AV141" s="418"/>
      <c r="AW141" s="418" t="e">
        <f t="shared" si="61"/>
        <v>#N/A</v>
      </c>
      <c r="AX141" s="561"/>
      <c r="AZ141" s="411" t="e">
        <f t="shared" si="63"/>
        <v>#N/A</v>
      </c>
      <c r="BA141" s="561"/>
    </row>
    <row r="142" spans="2:53" ht="15.75">
      <c r="B142" s="593" t="s">
        <v>163</v>
      </c>
      <c r="C142" s="594"/>
      <c r="D142" s="594"/>
      <c r="E142" s="594"/>
      <c r="F142" s="594"/>
      <c r="G142" s="594"/>
      <c r="H142" s="595"/>
      <c r="I142" s="208"/>
      <c r="J142" s="208"/>
      <c r="K142" s="208"/>
      <c r="L142" s="208"/>
      <c r="M142" s="207"/>
      <c r="N142" s="566" t="s">
        <v>156</v>
      </c>
      <c r="O142" s="566" t="s">
        <v>155</v>
      </c>
      <c r="P142" s="592">
        <f>P107+7</f>
        <v>46168</v>
      </c>
      <c r="Q142" s="570"/>
      <c r="R142" s="570"/>
      <c r="S142" s="570"/>
      <c r="T142" s="570"/>
      <c r="U142" s="589">
        <f>P142+1</f>
        <v>46169</v>
      </c>
      <c r="V142" s="590"/>
      <c r="W142" s="590"/>
      <c r="X142" s="590"/>
      <c r="Y142" s="591"/>
      <c r="Z142" s="589">
        <f>U142+1</f>
        <v>46170</v>
      </c>
      <c r="AA142" s="590"/>
      <c r="AB142" s="590"/>
      <c r="AC142" s="590"/>
      <c r="AD142" s="591"/>
      <c r="AE142" s="589">
        <f>Z142+1</f>
        <v>46171</v>
      </c>
      <c r="AF142" s="590"/>
      <c r="AG142" s="590"/>
      <c r="AH142" s="590"/>
      <c r="AI142" s="591"/>
      <c r="AJ142" s="589">
        <f>AE142+1</f>
        <v>46172</v>
      </c>
      <c r="AK142" s="590"/>
      <c r="AL142" s="590"/>
      <c r="AM142" s="590"/>
      <c r="AN142" s="591"/>
      <c r="AO142" s="589">
        <f>AJ142+1</f>
        <v>46173</v>
      </c>
      <c r="AP142" s="590"/>
      <c r="AQ142" s="590"/>
      <c r="AR142" s="590"/>
      <c r="AS142" s="591"/>
      <c r="AT142" s="589">
        <f>AO142+1</f>
        <v>46174</v>
      </c>
      <c r="AU142" s="590"/>
      <c r="AV142" s="590"/>
      <c r="AW142" s="590"/>
      <c r="AX142" s="591"/>
    </row>
    <row r="143" spans="2:53" ht="15.75">
      <c r="B143" s="596"/>
      <c r="C143" s="596"/>
      <c r="D143" s="596"/>
      <c r="E143" s="596"/>
      <c r="F143" s="596"/>
      <c r="G143" s="596"/>
      <c r="H143" s="596"/>
      <c r="I143" s="205"/>
      <c r="J143" s="205"/>
      <c r="K143" s="205"/>
      <c r="L143" s="205"/>
      <c r="M143" s="206"/>
      <c r="N143" s="568"/>
      <c r="O143" s="568"/>
      <c r="P143" s="592" t="s">
        <v>318</v>
      </c>
      <c r="Q143" s="570"/>
      <c r="R143" s="570"/>
      <c r="S143" s="570"/>
      <c r="T143" s="570"/>
      <c r="U143" s="592" t="s">
        <v>319</v>
      </c>
      <c r="V143" s="570"/>
      <c r="W143" s="570"/>
      <c r="X143" s="570"/>
      <c r="Y143" s="570"/>
      <c r="Z143" s="592" t="s">
        <v>320</v>
      </c>
      <c r="AA143" s="570"/>
      <c r="AB143" s="570"/>
      <c r="AC143" s="570"/>
      <c r="AD143" s="570"/>
      <c r="AE143" s="592" t="s">
        <v>321</v>
      </c>
      <c r="AF143" s="570"/>
      <c r="AG143" s="570"/>
      <c r="AH143" s="570"/>
      <c r="AI143" s="570"/>
      <c r="AJ143" s="592" t="s">
        <v>322</v>
      </c>
      <c r="AK143" s="570"/>
      <c r="AL143" s="570"/>
      <c r="AM143" s="570"/>
      <c r="AN143" s="570"/>
      <c r="AO143" s="592" t="s">
        <v>323</v>
      </c>
      <c r="AP143" s="570"/>
      <c r="AQ143" s="570"/>
      <c r="AR143" s="570"/>
      <c r="AS143" s="570"/>
      <c r="AT143" s="592" t="s">
        <v>324</v>
      </c>
      <c r="AU143" s="570"/>
      <c r="AV143" s="570"/>
      <c r="AW143" s="570"/>
      <c r="AX143" s="570"/>
    </row>
    <row r="144" spans="2:53">
      <c r="B144" s="564" t="s">
        <v>402</v>
      </c>
      <c r="C144" s="564" t="s">
        <v>403</v>
      </c>
      <c r="D144" s="564"/>
      <c r="E144" s="564" t="s">
        <v>404</v>
      </c>
      <c r="F144" s="564"/>
      <c r="G144" s="564"/>
      <c r="H144" s="597" t="s">
        <v>405</v>
      </c>
      <c r="I144" s="616" t="s">
        <v>406</v>
      </c>
      <c r="J144" s="616"/>
      <c r="K144" s="616"/>
      <c r="L144" s="617" t="s">
        <v>405</v>
      </c>
      <c r="M144" s="602" t="s">
        <v>407</v>
      </c>
      <c r="N144" s="564"/>
      <c r="O144" s="564" t="s">
        <v>408</v>
      </c>
      <c r="P144" s="583" t="s">
        <v>409</v>
      </c>
      <c r="Q144" s="584"/>
      <c r="R144" s="584"/>
      <c r="S144" s="585"/>
      <c r="T144" s="564" t="s">
        <v>405</v>
      </c>
      <c r="U144" s="583" t="s">
        <v>409</v>
      </c>
      <c r="V144" s="584"/>
      <c r="W144" s="584"/>
      <c r="X144" s="585"/>
      <c r="Y144" s="564" t="s">
        <v>405</v>
      </c>
      <c r="Z144" s="583" t="s">
        <v>409</v>
      </c>
      <c r="AA144" s="584"/>
      <c r="AB144" s="584"/>
      <c r="AC144" s="585"/>
      <c r="AD144" s="564" t="s">
        <v>405</v>
      </c>
      <c r="AE144" s="583" t="s">
        <v>409</v>
      </c>
      <c r="AF144" s="584"/>
      <c r="AG144" s="584"/>
      <c r="AH144" s="585"/>
      <c r="AI144" s="564" t="s">
        <v>405</v>
      </c>
      <c r="AJ144" s="583" t="s">
        <v>409</v>
      </c>
      <c r="AK144" s="584"/>
      <c r="AL144" s="584"/>
      <c r="AM144" s="585"/>
      <c r="AN144" s="564" t="s">
        <v>405</v>
      </c>
      <c r="AO144" s="583" t="s">
        <v>409</v>
      </c>
      <c r="AP144" s="584"/>
      <c r="AQ144" s="584"/>
      <c r="AR144" s="585"/>
      <c r="AS144" s="564" t="s">
        <v>405</v>
      </c>
      <c r="AT144" s="583" t="s">
        <v>409</v>
      </c>
      <c r="AU144" s="584"/>
      <c r="AV144" s="584"/>
      <c r="AW144" s="585"/>
      <c r="AX144" s="564" t="s">
        <v>405</v>
      </c>
      <c r="BA144" s="564" t="s">
        <v>374</v>
      </c>
    </row>
    <row r="145" spans="2:53">
      <c r="B145" s="564"/>
      <c r="C145" s="564"/>
      <c r="D145" s="564"/>
      <c r="E145" s="564" t="s">
        <v>410</v>
      </c>
      <c r="F145" s="564"/>
      <c r="G145" s="564"/>
      <c r="H145" s="598"/>
      <c r="I145" s="616" t="s">
        <v>410</v>
      </c>
      <c r="J145" s="616"/>
      <c r="K145" s="616"/>
      <c r="L145" s="618"/>
      <c r="M145" s="603"/>
      <c r="N145" s="564"/>
      <c r="O145" s="564"/>
      <c r="P145" s="583" t="s">
        <v>411</v>
      </c>
      <c r="Q145" s="584"/>
      <c r="R145" s="584"/>
      <c r="S145" s="585"/>
      <c r="T145" s="564"/>
      <c r="U145" s="583" t="s">
        <v>411</v>
      </c>
      <c r="V145" s="584"/>
      <c r="W145" s="584"/>
      <c r="X145" s="585"/>
      <c r="Y145" s="564"/>
      <c r="Z145" s="583" t="s">
        <v>411</v>
      </c>
      <c r="AA145" s="584"/>
      <c r="AB145" s="584"/>
      <c r="AC145" s="585"/>
      <c r="AD145" s="564"/>
      <c r="AE145" s="583" t="s">
        <v>411</v>
      </c>
      <c r="AF145" s="584"/>
      <c r="AG145" s="584"/>
      <c r="AH145" s="585"/>
      <c r="AI145" s="564"/>
      <c r="AJ145" s="583" t="s">
        <v>411</v>
      </c>
      <c r="AK145" s="584"/>
      <c r="AL145" s="584"/>
      <c r="AM145" s="585"/>
      <c r="AN145" s="564"/>
      <c r="AO145" s="583" t="s">
        <v>411</v>
      </c>
      <c r="AP145" s="584"/>
      <c r="AQ145" s="584"/>
      <c r="AR145" s="585"/>
      <c r="AS145" s="564"/>
      <c r="AT145" s="583" t="s">
        <v>411</v>
      </c>
      <c r="AU145" s="584"/>
      <c r="AV145" s="584"/>
      <c r="AW145" s="585"/>
      <c r="AX145" s="564"/>
      <c r="BA145" s="564"/>
    </row>
    <row r="146" spans="2:53">
      <c r="B146" s="564"/>
      <c r="C146" s="564"/>
      <c r="D146" s="564"/>
      <c r="E146" s="285" t="s">
        <v>412</v>
      </c>
      <c r="F146" s="285" t="s">
        <v>413</v>
      </c>
      <c r="G146" s="285" t="s">
        <v>414</v>
      </c>
      <c r="H146" s="599"/>
      <c r="I146" s="286" t="s">
        <v>412</v>
      </c>
      <c r="J146" s="286" t="s">
        <v>413</v>
      </c>
      <c r="K146" s="286" t="s">
        <v>414</v>
      </c>
      <c r="L146" s="619"/>
      <c r="M146" s="604"/>
      <c r="N146" s="564"/>
      <c r="O146" s="564"/>
      <c r="P146" s="285" t="s">
        <v>412</v>
      </c>
      <c r="Q146" s="285" t="s">
        <v>413</v>
      </c>
      <c r="R146" s="285" t="s">
        <v>414</v>
      </c>
      <c r="S146" s="285" t="s">
        <v>407</v>
      </c>
      <c r="T146" s="564"/>
      <c r="U146" s="285" t="s">
        <v>412</v>
      </c>
      <c r="V146" s="285" t="s">
        <v>413</v>
      </c>
      <c r="W146" s="285" t="s">
        <v>414</v>
      </c>
      <c r="X146" s="285" t="s">
        <v>407</v>
      </c>
      <c r="Y146" s="564"/>
      <c r="Z146" s="285" t="s">
        <v>412</v>
      </c>
      <c r="AA146" s="285" t="s">
        <v>413</v>
      </c>
      <c r="AB146" s="285" t="s">
        <v>414</v>
      </c>
      <c r="AC146" s="285" t="s">
        <v>407</v>
      </c>
      <c r="AD146" s="564"/>
      <c r="AE146" s="285" t="s">
        <v>412</v>
      </c>
      <c r="AF146" s="285" t="s">
        <v>413</v>
      </c>
      <c r="AG146" s="285" t="s">
        <v>414</v>
      </c>
      <c r="AH146" s="285" t="s">
        <v>407</v>
      </c>
      <c r="AI146" s="564"/>
      <c r="AJ146" s="285" t="s">
        <v>412</v>
      </c>
      <c r="AK146" s="285" t="s">
        <v>413</v>
      </c>
      <c r="AL146" s="285" t="s">
        <v>414</v>
      </c>
      <c r="AM146" s="285" t="s">
        <v>407</v>
      </c>
      <c r="AN146" s="564"/>
      <c r="AO146" s="285" t="s">
        <v>412</v>
      </c>
      <c r="AP146" s="285" t="s">
        <v>413</v>
      </c>
      <c r="AQ146" s="285" t="s">
        <v>414</v>
      </c>
      <c r="AR146" s="285" t="s">
        <v>407</v>
      </c>
      <c r="AS146" s="564"/>
      <c r="AT146" s="285" t="s">
        <v>412</v>
      </c>
      <c r="AU146" s="285" t="s">
        <v>413</v>
      </c>
      <c r="AV146" s="285" t="s">
        <v>414</v>
      </c>
      <c r="AW146" s="285" t="s">
        <v>407</v>
      </c>
      <c r="AX146" s="564"/>
      <c r="AZ146" s="412" t="s">
        <v>375</v>
      </c>
      <c r="BA146" s="564"/>
    </row>
    <row r="147" spans="2:53">
      <c r="B147" s="570" t="s">
        <v>150</v>
      </c>
      <c r="C147" s="284">
        <v>1</v>
      </c>
      <c r="D147" s="418"/>
      <c r="E147" s="418"/>
      <c r="F147" s="418"/>
      <c r="G147" s="425"/>
      <c r="H147" s="559" t="e">
        <f>AVERAGE(G147:G176)</f>
        <v>#DIV/0!</v>
      </c>
      <c r="I147" s="400" t="str">
        <f>IFERROR(AVERAGE(P147,U147,Z147,AE147,AJ147,AO147,AT147),"-")</f>
        <v>-</v>
      </c>
      <c r="J147" s="400" t="str">
        <f>IFERROR(AVERAGE(Q147,V147,AA147,AF147,AK147,AP147,AU147),"-")</f>
        <v>-</v>
      </c>
      <c r="K147" s="200" t="str">
        <f>IFERROR(AVERAGE(R147,W147,AB147,AG147,AL147,AQ147,AV147),"-")</f>
        <v>-</v>
      </c>
      <c r="L147" s="580" t="str">
        <f>IFERROR(AVERAGE(K147:K176),"-")</f>
        <v>-</v>
      </c>
      <c r="M147" s="199" t="e">
        <f>RANK(K147, K$147:$K$176)</f>
        <v>#VALUE!</v>
      </c>
      <c r="N147" s="564"/>
      <c r="O147" s="564"/>
      <c r="P147" s="425"/>
      <c r="Q147" s="425"/>
      <c r="R147" s="425"/>
      <c r="S147" s="418" t="e">
        <f t="shared" ref="S147:S176" si="68">RANK(R147, R$147:R$176)</f>
        <v>#N/A</v>
      </c>
      <c r="T147" s="559" t="e">
        <f t="shared" ref="T147" si="69">AVERAGE(R147:R176)</f>
        <v>#DIV/0!</v>
      </c>
      <c r="U147" s="425"/>
      <c r="V147" s="425"/>
      <c r="W147" s="425"/>
      <c r="X147" s="418" t="e">
        <f t="shared" ref="X147:X176" si="70">RANK(W147, W$147:W$176)</f>
        <v>#N/A</v>
      </c>
      <c r="Y147" s="559" t="e">
        <f t="shared" ref="Y147" si="71">AVERAGE(W147:W176)</f>
        <v>#DIV/0!</v>
      </c>
      <c r="Z147" s="425"/>
      <c r="AA147" s="425"/>
      <c r="AB147" s="425"/>
      <c r="AC147" s="418" t="e">
        <f t="shared" ref="AC147:AC176" si="72">RANK(AB147, AB$147:AB$176)</f>
        <v>#N/A</v>
      </c>
      <c r="AD147" s="559" t="e">
        <f t="shared" ref="AD147" si="73">AVERAGE(AB147:AB176)</f>
        <v>#DIV/0!</v>
      </c>
      <c r="AE147" s="425"/>
      <c r="AF147" s="425"/>
      <c r="AG147" s="425"/>
      <c r="AH147" s="418" t="e">
        <f t="shared" ref="AH147:AH176" si="74">RANK(AG147, AG$147:AG$176)</f>
        <v>#N/A</v>
      </c>
      <c r="AI147" s="559" t="e">
        <f t="shared" ref="AI147" si="75">AVERAGE(AG147:AG176)</f>
        <v>#DIV/0!</v>
      </c>
      <c r="AJ147" s="425"/>
      <c r="AK147" s="425"/>
      <c r="AL147" s="425"/>
      <c r="AM147" s="418" t="e">
        <f t="shared" ref="AM147:AM176" si="76">RANK(AL147, AL$147:AL$176)</f>
        <v>#N/A</v>
      </c>
      <c r="AN147" s="559" t="e">
        <f t="shared" ref="AN147" si="77">AVERAGE(AL147:AL176)</f>
        <v>#DIV/0!</v>
      </c>
      <c r="AO147" s="425"/>
      <c r="AP147" s="425"/>
      <c r="AQ147" s="425"/>
      <c r="AR147" s="418" t="e">
        <f t="shared" ref="AR147:AR176" si="78">RANK(AQ147, AQ$147:AQ$176)</f>
        <v>#N/A</v>
      </c>
      <c r="AS147" s="559" t="e">
        <f t="shared" ref="AS147" si="79">AVERAGE(AQ147:AQ176)</f>
        <v>#DIV/0!</v>
      </c>
      <c r="AT147" s="425"/>
      <c r="AU147" s="425"/>
      <c r="AV147" s="425"/>
      <c r="AW147" s="418" t="e">
        <f t="shared" ref="AW147:AW176" si="80">RANK(AV147, AV$147:AV$176)</f>
        <v>#N/A</v>
      </c>
      <c r="AX147" s="559" t="e">
        <f t="shared" ref="AX147" si="81">AVERAGE(AV147:AV176)</f>
        <v>#DIV/0!</v>
      </c>
      <c r="AZ147" s="411" t="e">
        <f t="shared" ref="AZ147:AZ176" si="82">RANK(AY147, AY$147:AY$176)</f>
        <v>#N/A</v>
      </c>
      <c r="BA147" s="559" t="e">
        <f t="shared" ref="BA147" si="83">AVERAGE(AY147:AY176)</f>
        <v>#DIV/0!</v>
      </c>
    </row>
    <row r="148" spans="2:53">
      <c r="B148" s="570"/>
      <c r="C148" s="284">
        <v>2</v>
      </c>
      <c r="D148" s="417"/>
      <c r="E148" s="418"/>
      <c r="F148" s="418"/>
      <c r="G148" s="425"/>
      <c r="H148" s="560"/>
      <c r="I148" s="400" t="str">
        <f t="shared" ref="I148:I176" si="84">IFERROR(AVERAGE(P148,U148,Z148,AE148,AJ148,AO148,AT148),"-")</f>
        <v>-</v>
      </c>
      <c r="J148" s="400" t="str">
        <f t="shared" ref="J148:J176" si="85">IFERROR(AVERAGE(Q148,V148,AA148,AF148,AK148,AP148,AU148),"-")</f>
        <v>-</v>
      </c>
      <c r="K148" s="200" t="str">
        <f t="shared" ref="K148:K176" si="86">IFERROR(AVERAGE(R148,W148,AB148,AG148,AL148,AQ148,AV148),"-")</f>
        <v>-</v>
      </c>
      <c r="L148" s="581"/>
      <c r="M148" s="199" t="e">
        <f>RANK(K148, K$147:$K$176)</f>
        <v>#VALUE!</v>
      </c>
      <c r="N148" s="564"/>
      <c r="O148" s="564"/>
      <c r="P148" s="425"/>
      <c r="Q148" s="425"/>
      <c r="R148" s="425"/>
      <c r="S148" s="418" t="e">
        <f t="shared" si="68"/>
        <v>#N/A</v>
      </c>
      <c r="T148" s="560"/>
      <c r="U148" s="425"/>
      <c r="V148" s="425"/>
      <c r="W148" s="425"/>
      <c r="X148" s="418" t="e">
        <f t="shared" si="70"/>
        <v>#N/A</v>
      </c>
      <c r="Y148" s="560"/>
      <c r="Z148" s="425"/>
      <c r="AA148" s="425"/>
      <c r="AB148" s="425"/>
      <c r="AC148" s="418" t="e">
        <f t="shared" si="72"/>
        <v>#N/A</v>
      </c>
      <c r="AD148" s="560"/>
      <c r="AE148" s="425"/>
      <c r="AF148" s="425"/>
      <c r="AG148" s="425"/>
      <c r="AH148" s="418" t="e">
        <f t="shared" si="74"/>
        <v>#N/A</v>
      </c>
      <c r="AI148" s="560"/>
      <c r="AJ148" s="425"/>
      <c r="AK148" s="425"/>
      <c r="AL148" s="425"/>
      <c r="AM148" s="418" t="e">
        <f t="shared" si="76"/>
        <v>#N/A</v>
      </c>
      <c r="AN148" s="560"/>
      <c r="AO148" s="425"/>
      <c r="AP148" s="425"/>
      <c r="AQ148" s="425"/>
      <c r="AR148" s="418" t="e">
        <f t="shared" si="78"/>
        <v>#N/A</v>
      </c>
      <c r="AS148" s="560"/>
      <c r="AT148" s="425"/>
      <c r="AU148" s="425"/>
      <c r="AV148" s="425"/>
      <c r="AW148" s="418" t="e">
        <f t="shared" si="80"/>
        <v>#N/A</v>
      </c>
      <c r="AX148" s="560"/>
      <c r="AZ148" s="411" t="e">
        <f t="shared" si="82"/>
        <v>#N/A</v>
      </c>
      <c r="BA148" s="560"/>
    </row>
    <row r="149" spans="2:53">
      <c r="B149" s="570"/>
      <c r="C149" s="284">
        <v>3</v>
      </c>
      <c r="D149" s="418"/>
      <c r="E149" s="418"/>
      <c r="F149" s="418"/>
      <c r="G149" s="425"/>
      <c r="H149" s="560"/>
      <c r="I149" s="400" t="str">
        <f t="shared" si="84"/>
        <v>-</v>
      </c>
      <c r="J149" s="400" t="str">
        <f t="shared" si="85"/>
        <v>-</v>
      </c>
      <c r="K149" s="200" t="str">
        <f t="shared" si="86"/>
        <v>-</v>
      </c>
      <c r="L149" s="581"/>
      <c r="M149" s="199" t="e">
        <f>RANK(K149, K$147:$K$176)</f>
        <v>#VALUE!</v>
      </c>
      <c r="N149" s="564"/>
      <c r="O149" s="564"/>
      <c r="P149" s="425"/>
      <c r="Q149" s="425"/>
      <c r="R149" s="425"/>
      <c r="S149" s="418" t="e">
        <f t="shared" si="68"/>
        <v>#N/A</v>
      </c>
      <c r="T149" s="560"/>
      <c r="U149" s="425"/>
      <c r="V149" s="425"/>
      <c r="W149" s="425"/>
      <c r="X149" s="418" t="e">
        <f t="shared" si="70"/>
        <v>#N/A</v>
      </c>
      <c r="Y149" s="560"/>
      <c r="Z149" s="425"/>
      <c r="AA149" s="425"/>
      <c r="AB149" s="425"/>
      <c r="AC149" s="418" t="e">
        <f t="shared" si="72"/>
        <v>#N/A</v>
      </c>
      <c r="AD149" s="560"/>
      <c r="AE149" s="425"/>
      <c r="AF149" s="425"/>
      <c r="AG149" s="425"/>
      <c r="AH149" s="418" t="e">
        <f t="shared" si="74"/>
        <v>#N/A</v>
      </c>
      <c r="AI149" s="560"/>
      <c r="AJ149" s="425"/>
      <c r="AK149" s="425"/>
      <c r="AL149" s="425"/>
      <c r="AM149" s="418" t="e">
        <f t="shared" si="76"/>
        <v>#N/A</v>
      </c>
      <c r="AN149" s="560"/>
      <c r="AO149" s="425"/>
      <c r="AP149" s="425"/>
      <c r="AQ149" s="425"/>
      <c r="AR149" s="418" t="e">
        <f t="shared" si="78"/>
        <v>#N/A</v>
      </c>
      <c r="AS149" s="560"/>
      <c r="AT149" s="425"/>
      <c r="AU149" s="425"/>
      <c r="AV149" s="425"/>
      <c r="AW149" s="418" t="e">
        <f t="shared" si="80"/>
        <v>#N/A</v>
      </c>
      <c r="AX149" s="560"/>
      <c r="AZ149" s="411" t="e">
        <f t="shared" si="82"/>
        <v>#N/A</v>
      </c>
      <c r="BA149" s="560"/>
    </row>
    <row r="150" spans="2:53">
      <c r="B150" s="570"/>
      <c r="C150" s="284">
        <v>4</v>
      </c>
      <c r="D150" s="418"/>
      <c r="E150" s="418"/>
      <c r="F150" s="418"/>
      <c r="G150" s="425"/>
      <c r="H150" s="560"/>
      <c r="I150" s="400" t="str">
        <f t="shared" si="84"/>
        <v>-</v>
      </c>
      <c r="J150" s="400" t="str">
        <f t="shared" si="85"/>
        <v>-</v>
      </c>
      <c r="K150" s="200" t="str">
        <f t="shared" si="86"/>
        <v>-</v>
      </c>
      <c r="L150" s="581"/>
      <c r="M150" s="199" t="e">
        <f>RANK(K150, K$147:$K$176)</f>
        <v>#VALUE!</v>
      </c>
      <c r="N150" s="564"/>
      <c r="O150" s="564"/>
      <c r="P150" s="425"/>
      <c r="Q150" s="425"/>
      <c r="R150" s="425"/>
      <c r="S150" s="418" t="e">
        <f t="shared" si="68"/>
        <v>#N/A</v>
      </c>
      <c r="T150" s="560"/>
      <c r="U150" s="425"/>
      <c r="V150" s="425"/>
      <c r="W150" s="425"/>
      <c r="X150" s="418" t="e">
        <f t="shared" si="70"/>
        <v>#N/A</v>
      </c>
      <c r="Y150" s="560"/>
      <c r="Z150" s="425"/>
      <c r="AA150" s="425"/>
      <c r="AB150" s="425"/>
      <c r="AC150" s="418" t="e">
        <f t="shared" si="72"/>
        <v>#N/A</v>
      </c>
      <c r="AD150" s="560"/>
      <c r="AE150" s="425"/>
      <c r="AF150" s="425"/>
      <c r="AG150" s="425"/>
      <c r="AH150" s="418" t="e">
        <f t="shared" si="74"/>
        <v>#N/A</v>
      </c>
      <c r="AI150" s="560"/>
      <c r="AJ150" s="425"/>
      <c r="AK150" s="425"/>
      <c r="AL150" s="425"/>
      <c r="AM150" s="418" t="e">
        <f t="shared" si="76"/>
        <v>#N/A</v>
      </c>
      <c r="AN150" s="560"/>
      <c r="AO150" s="425"/>
      <c r="AP150" s="425"/>
      <c r="AQ150" s="425"/>
      <c r="AR150" s="418" t="e">
        <f t="shared" si="78"/>
        <v>#N/A</v>
      </c>
      <c r="AS150" s="560"/>
      <c r="AT150" s="425"/>
      <c r="AU150" s="425"/>
      <c r="AV150" s="425"/>
      <c r="AW150" s="418" t="e">
        <f t="shared" si="80"/>
        <v>#N/A</v>
      </c>
      <c r="AX150" s="560"/>
      <c r="AZ150" s="411" t="e">
        <f t="shared" si="82"/>
        <v>#N/A</v>
      </c>
      <c r="BA150" s="560"/>
    </row>
    <row r="151" spans="2:53">
      <c r="B151" s="570"/>
      <c r="C151" s="284">
        <v>5</v>
      </c>
      <c r="D151" s="418"/>
      <c r="E151" s="418"/>
      <c r="F151" s="418"/>
      <c r="G151" s="425"/>
      <c r="H151" s="560"/>
      <c r="I151" s="400" t="str">
        <f t="shared" si="84"/>
        <v>-</v>
      </c>
      <c r="J151" s="400" t="str">
        <f t="shared" si="85"/>
        <v>-</v>
      </c>
      <c r="K151" s="200" t="str">
        <f t="shared" si="86"/>
        <v>-</v>
      </c>
      <c r="L151" s="581"/>
      <c r="M151" s="199" t="e">
        <f>RANK(K151, K$147:$K$176)</f>
        <v>#VALUE!</v>
      </c>
      <c r="N151" s="564"/>
      <c r="O151" s="564"/>
      <c r="P151" s="425"/>
      <c r="Q151" s="425"/>
      <c r="R151" s="425"/>
      <c r="S151" s="418" t="e">
        <f t="shared" si="68"/>
        <v>#N/A</v>
      </c>
      <c r="T151" s="560"/>
      <c r="U151" s="425"/>
      <c r="V151" s="425"/>
      <c r="W151" s="425"/>
      <c r="X151" s="418" t="e">
        <f t="shared" si="70"/>
        <v>#N/A</v>
      </c>
      <c r="Y151" s="560"/>
      <c r="Z151" s="425"/>
      <c r="AA151" s="425"/>
      <c r="AB151" s="425"/>
      <c r="AC151" s="418" t="e">
        <f t="shared" si="72"/>
        <v>#N/A</v>
      </c>
      <c r="AD151" s="560"/>
      <c r="AE151" s="425"/>
      <c r="AF151" s="425"/>
      <c r="AG151" s="425"/>
      <c r="AH151" s="418" t="e">
        <f t="shared" si="74"/>
        <v>#N/A</v>
      </c>
      <c r="AI151" s="560"/>
      <c r="AJ151" s="425"/>
      <c r="AK151" s="425"/>
      <c r="AL151" s="425"/>
      <c r="AM151" s="418" t="e">
        <f t="shared" si="76"/>
        <v>#N/A</v>
      </c>
      <c r="AN151" s="560"/>
      <c r="AO151" s="425"/>
      <c r="AP151" s="425"/>
      <c r="AQ151" s="425"/>
      <c r="AR151" s="418" t="e">
        <f t="shared" si="78"/>
        <v>#N/A</v>
      </c>
      <c r="AS151" s="560"/>
      <c r="AT151" s="425"/>
      <c r="AU151" s="425"/>
      <c r="AV151" s="425"/>
      <c r="AW151" s="418" t="e">
        <f t="shared" si="80"/>
        <v>#N/A</v>
      </c>
      <c r="AX151" s="560"/>
      <c r="AZ151" s="411" t="e">
        <f t="shared" si="82"/>
        <v>#N/A</v>
      </c>
      <c r="BA151" s="560"/>
    </row>
    <row r="152" spans="2:53">
      <c r="B152" s="570"/>
      <c r="C152" s="284">
        <v>6</v>
      </c>
      <c r="D152" s="418"/>
      <c r="E152" s="418"/>
      <c r="F152" s="418"/>
      <c r="G152" s="425"/>
      <c r="H152" s="560"/>
      <c r="I152" s="400" t="str">
        <f t="shared" si="84"/>
        <v>-</v>
      </c>
      <c r="J152" s="400" t="str">
        <f t="shared" si="85"/>
        <v>-</v>
      </c>
      <c r="K152" s="200" t="str">
        <f t="shared" si="86"/>
        <v>-</v>
      </c>
      <c r="L152" s="581"/>
      <c r="M152" s="199" t="e">
        <f>RANK(K152, K$147:$K$176)</f>
        <v>#VALUE!</v>
      </c>
      <c r="N152" s="564"/>
      <c r="O152" s="564"/>
      <c r="P152" s="425"/>
      <c r="Q152" s="425"/>
      <c r="R152" s="425"/>
      <c r="S152" s="418" t="e">
        <f t="shared" si="68"/>
        <v>#N/A</v>
      </c>
      <c r="T152" s="560"/>
      <c r="U152" s="425"/>
      <c r="V152" s="425"/>
      <c r="W152" s="425"/>
      <c r="X152" s="418" t="e">
        <f t="shared" si="70"/>
        <v>#N/A</v>
      </c>
      <c r="Y152" s="560"/>
      <c r="Z152" s="425"/>
      <c r="AA152" s="425"/>
      <c r="AB152" s="425"/>
      <c r="AC152" s="418" t="e">
        <f t="shared" si="72"/>
        <v>#N/A</v>
      </c>
      <c r="AD152" s="560"/>
      <c r="AE152" s="425"/>
      <c r="AF152" s="425"/>
      <c r="AG152" s="425"/>
      <c r="AH152" s="418" t="e">
        <f t="shared" si="74"/>
        <v>#N/A</v>
      </c>
      <c r="AI152" s="560"/>
      <c r="AJ152" s="425"/>
      <c r="AK152" s="425"/>
      <c r="AL152" s="425"/>
      <c r="AM152" s="418" t="e">
        <f t="shared" si="76"/>
        <v>#N/A</v>
      </c>
      <c r="AN152" s="560"/>
      <c r="AO152" s="425"/>
      <c r="AP152" s="425"/>
      <c r="AQ152" s="425"/>
      <c r="AR152" s="418" t="e">
        <f t="shared" si="78"/>
        <v>#N/A</v>
      </c>
      <c r="AS152" s="560"/>
      <c r="AT152" s="425"/>
      <c r="AU152" s="425"/>
      <c r="AV152" s="425"/>
      <c r="AW152" s="418" t="e">
        <f t="shared" si="80"/>
        <v>#N/A</v>
      </c>
      <c r="AX152" s="560"/>
      <c r="AZ152" s="411" t="e">
        <f t="shared" si="82"/>
        <v>#N/A</v>
      </c>
      <c r="BA152" s="560"/>
    </row>
    <row r="153" spans="2:53">
      <c r="B153" s="570"/>
      <c r="C153" s="284">
        <v>7</v>
      </c>
      <c r="D153" s="418"/>
      <c r="E153" s="418"/>
      <c r="F153" s="418"/>
      <c r="G153" s="425"/>
      <c r="H153" s="560"/>
      <c r="I153" s="400" t="str">
        <f t="shared" si="84"/>
        <v>-</v>
      </c>
      <c r="J153" s="400" t="str">
        <f t="shared" si="85"/>
        <v>-</v>
      </c>
      <c r="K153" s="200" t="str">
        <f t="shared" si="86"/>
        <v>-</v>
      </c>
      <c r="L153" s="581"/>
      <c r="M153" s="199" t="e">
        <f>RANK(K153, K$147:$K$176)</f>
        <v>#VALUE!</v>
      </c>
      <c r="N153" s="564"/>
      <c r="O153" s="564"/>
      <c r="P153" s="425"/>
      <c r="Q153" s="425"/>
      <c r="R153" s="425"/>
      <c r="S153" s="418" t="e">
        <f t="shared" si="68"/>
        <v>#N/A</v>
      </c>
      <c r="T153" s="560"/>
      <c r="U153" s="425"/>
      <c r="V153" s="425"/>
      <c r="W153" s="425"/>
      <c r="X153" s="418" t="e">
        <f t="shared" si="70"/>
        <v>#N/A</v>
      </c>
      <c r="Y153" s="560"/>
      <c r="Z153" s="425"/>
      <c r="AA153" s="425"/>
      <c r="AB153" s="425"/>
      <c r="AC153" s="418" t="e">
        <f t="shared" si="72"/>
        <v>#N/A</v>
      </c>
      <c r="AD153" s="560"/>
      <c r="AE153" s="425"/>
      <c r="AF153" s="425"/>
      <c r="AG153" s="425"/>
      <c r="AH153" s="418" t="e">
        <f t="shared" si="74"/>
        <v>#N/A</v>
      </c>
      <c r="AI153" s="560"/>
      <c r="AJ153" s="425"/>
      <c r="AK153" s="425"/>
      <c r="AL153" s="425"/>
      <c r="AM153" s="418" t="e">
        <f t="shared" si="76"/>
        <v>#N/A</v>
      </c>
      <c r="AN153" s="560"/>
      <c r="AO153" s="425"/>
      <c r="AP153" s="425"/>
      <c r="AQ153" s="425"/>
      <c r="AR153" s="418" t="e">
        <f t="shared" si="78"/>
        <v>#N/A</v>
      </c>
      <c r="AS153" s="560"/>
      <c r="AT153" s="425"/>
      <c r="AU153" s="425"/>
      <c r="AV153" s="425"/>
      <c r="AW153" s="418" t="e">
        <f t="shared" si="80"/>
        <v>#N/A</v>
      </c>
      <c r="AX153" s="560"/>
      <c r="AZ153" s="411" t="e">
        <f t="shared" si="82"/>
        <v>#N/A</v>
      </c>
      <c r="BA153" s="560"/>
    </row>
    <row r="154" spans="2:53">
      <c r="B154" s="570"/>
      <c r="C154" s="284">
        <v>8</v>
      </c>
      <c r="D154" s="418"/>
      <c r="E154" s="418"/>
      <c r="F154" s="418"/>
      <c r="G154" s="425"/>
      <c r="H154" s="560"/>
      <c r="I154" s="400" t="str">
        <f t="shared" si="84"/>
        <v>-</v>
      </c>
      <c r="J154" s="400" t="str">
        <f t="shared" si="85"/>
        <v>-</v>
      </c>
      <c r="K154" s="200" t="str">
        <f t="shared" si="86"/>
        <v>-</v>
      </c>
      <c r="L154" s="581"/>
      <c r="M154" s="199" t="e">
        <f>RANK(K154, K$147:$K$176)</f>
        <v>#VALUE!</v>
      </c>
      <c r="N154" s="564"/>
      <c r="O154" s="564"/>
      <c r="P154" s="425"/>
      <c r="Q154" s="425"/>
      <c r="R154" s="425"/>
      <c r="S154" s="418" t="e">
        <f t="shared" si="68"/>
        <v>#N/A</v>
      </c>
      <c r="T154" s="560"/>
      <c r="U154" s="425"/>
      <c r="V154" s="425"/>
      <c r="W154" s="425"/>
      <c r="X154" s="418" t="e">
        <f t="shared" si="70"/>
        <v>#N/A</v>
      </c>
      <c r="Y154" s="560"/>
      <c r="Z154" s="425"/>
      <c r="AA154" s="425"/>
      <c r="AB154" s="425"/>
      <c r="AC154" s="418" t="e">
        <f t="shared" si="72"/>
        <v>#N/A</v>
      </c>
      <c r="AD154" s="560"/>
      <c r="AE154" s="425"/>
      <c r="AF154" s="425"/>
      <c r="AG154" s="425"/>
      <c r="AH154" s="418" t="e">
        <f t="shared" si="74"/>
        <v>#N/A</v>
      </c>
      <c r="AI154" s="560"/>
      <c r="AJ154" s="425"/>
      <c r="AK154" s="425"/>
      <c r="AL154" s="425"/>
      <c r="AM154" s="418" t="e">
        <f t="shared" si="76"/>
        <v>#N/A</v>
      </c>
      <c r="AN154" s="560"/>
      <c r="AO154" s="425"/>
      <c r="AP154" s="425"/>
      <c r="AQ154" s="425"/>
      <c r="AR154" s="418" t="e">
        <f t="shared" si="78"/>
        <v>#N/A</v>
      </c>
      <c r="AS154" s="560"/>
      <c r="AT154" s="425"/>
      <c r="AU154" s="425"/>
      <c r="AV154" s="425"/>
      <c r="AW154" s="418" t="e">
        <f t="shared" si="80"/>
        <v>#N/A</v>
      </c>
      <c r="AX154" s="560"/>
      <c r="AZ154" s="411" t="e">
        <f t="shared" si="82"/>
        <v>#N/A</v>
      </c>
      <c r="BA154" s="560"/>
    </row>
    <row r="155" spans="2:53">
      <c r="B155" s="570"/>
      <c r="C155" s="284">
        <v>9</v>
      </c>
      <c r="D155" s="418"/>
      <c r="E155" s="418"/>
      <c r="F155" s="418"/>
      <c r="G155" s="425"/>
      <c r="H155" s="560"/>
      <c r="I155" s="400" t="str">
        <f t="shared" si="84"/>
        <v>-</v>
      </c>
      <c r="J155" s="400" t="str">
        <f t="shared" si="85"/>
        <v>-</v>
      </c>
      <c r="K155" s="200" t="str">
        <f t="shared" si="86"/>
        <v>-</v>
      </c>
      <c r="L155" s="581"/>
      <c r="M155" s="199" t="e">
        <f>RANK(K155, K$147:$K$176)</f>
        <v>#VALUE!</v>
      </c>
      <c r="N155" s="564"/>
      <c r="O155" s="564"/>
      <c r="P155" s="425"/>
      <c r="Q155" s="425"/>
      <c r="R155" s="425"/>
      <c r="S155" s="418" t="e">
        <f t="shared" si="68"/>
        <v>#N/A</v>
      </c>
      <c r="T155" s="560"/>
      <c r="U155" s="425"/>
      <c r="V155" s="425"/>
      <c r="W155" s="425"/>
      <c r="X155" s="418" t="e">
        <f t="shared" si="70"/>
        <v>#N/A</v>
      </c>
      <c r="Y155" s="560"/>
      <c r="Z155" s="425"/>
      <c r="AA155" s="425"/>
      <c r="AB155" s="425"/>
      <c r="AC155" s="418" t="e">
        <f t="shared" si="72"/>
        <v>#N/A</v>
      </c>
      <c r="AD155" s="560"/>
      <c r="AE155" s="425"/>
      <c r="AF155" s="425"/>
      <c r="AG155" s="425"/>
      <c r="AH155" s="418" t="e">
        <f t="shared" si="74"/>
        <v>#N/A</v>
      </c>
      <c r="AI155" s="560"/>
      <c r="AJ155" s="425"/>
      <c r="AK155" s="425"/>
      <c r="AL155" s="425"/>
      <c r="AM155" s="418" t="e">
        <f t="shared" si="76"/>
        <v>#N/A</v>
      </c>
      <c r="AN155" s="560"/>
      <c r="AO155" s="425"/>
      <c r="AP155" s="425"/>
      <c r="AQ155" s="425"/>
      <c r="AR155" s="418" t="e">
        <f t="shared" si="78"/>
        <v>#N/A</v>
      </c>
      <c r="AS155" s="560"/>
      <c r="AT155" s="425"/>
      <c r="AU155" s="425"/>
      <c r="AV155" s="425"/>
      <c r="AW155" s="418" t="e">
        <f t="shared" si="80"/>
        <v>#N/A</v>
      </c>
      <c r="AX155" s="560"/>
      <c r="AZ155" s="411" t="e">
        <f t="shared" si="82"/>
        <v>#N/A</v>
      </c>
      <c r="BA155" s="560"/>
    </row>
    <row r="156" spans="2:53">
      <c r="B156" s="570"/>
      <c r="C156" s="284">
        <v>10</v>
      </c>
      <c r="D156" s="418"/>
      <c r="E156" s="418"/>
      <c r="F156" s="418"/>
      <c r="G156" s="425"/>
      <c r="H156" s="560"/>
      <c r="I156" s="400" t="str">
        <f t="shared" si="84"/>
        <v>-</v>
      </c>
      <c r="J156" s="400" t="str">
        <f t="shared" si="85"/>
        <v>-</v>
      </c>
      <c r="K156" s="200" t="str">
        <f t="shared" si="86"/>
        <v>-</v>
      </c>
      <c r="L156" s="581"/>
      <c r="M156" s="199" t="e">
        <f>RANK(K156, K$147:$K$176)</f>
        <v>#VALUE!</v>
      </c>
      <c r="N156" s="564"/>
      <c r="O156" s="564"/>
      <c r="P156" s="425"/>
      <c r="Q156" s="425"/>
      <c r="R156" s="425"/>
      <c r="S156" s="418" t="e">
        <f t="shared" si="68"/>
        <v>#N/A</v>
      </c>
      <c r="T156" s="560"/>
      <c r="U156" s="425"/>
      <c r="V156" s="425"/>
      <c r="W156" s="425"/>
      <c r="X156" s="418" t="e">
        <f t="shared" si="70"/>
        <v>#N/A</v>
      </c>
      <c r="Y156" s="560"/>
      <c r="Z156" s="425"/>
      <c r="AA156" s="425"/>
      <c r="AB156" s="425"/>
      <c r="AC156" s="418" t="e">
        <f t="shared" si="72"/>
        <v>#N/A</v>
      </c>
      <c r="AD156" s="560"/>
      <c r="AE156" s="425"/>
      <c r="AF156" s="425"/>
      <c r="AG156" s="425"/>
      <c r="AH156" s="418" t="e">
        <f t="shared" si="74"/>
        <v>#N/A</v>
      </c>
      <c r="AI156" s="560"/>
      <c r="AJ156" s="425"/>
      <c r="AK156" s="425"/>
      <c r="AL156" s="425"/>
      <c r="AM156" s="418" t="e">
        <f t="shared" si="76"/>
        <v>#N/A</v>
      </c>
      <c r="AN156" s="560"/>
      <c r="AO156" s="425"/>
      <c r="AP156" s="425"/>
      <c r="AQ156" s="425"/>
      <c r="AR156" s="418" t="e">
        <f t="shared" si="78"/>
        <v>#N/A</v>
      </c>
      <c r="AS156" s="560"/>
      <c r="AT156" s="425"/>
      <c r="AU156" s="425"/>
      <c r="AV156" s="425"/>
      <c r="AW156" s="418" t="e">
        <f t="shared" si="80"/>
        <v>#N/A</v>
      </c>
      <c r="AX156" s="560"/>
      <c r="AZ156" s="411" t="e">
        <f t="shared" si="82"/>
        <v>#N/A</v>
      </c>
      <c r="BA156" s="560"/>
    </row>
    <row r="157" spans="2:53">
      <c r="B157" s="570"/>
      <c r="C157" s="284">
        <v>11</v>
      </c>
      <c r="D157" s="418"/>
      <c r="E157" s="418"/>
      <c r="F157" s="418"/>
      <c r="G157" s="425"/>
      <c r="H157" s="560"/>
      <c r="I157" s="400" t="str">
        <f t="shared" si="84"/>
        <v>-</v>
      </c>
      <c r="J157" s="400" t="str">
        <f t="shared" si="85"/>
        <v>-</v>
      </c>
      <c r="K157" s="200" t="str">
        <f t="shared" si="86"/>
        <v>-</v>
      </c>
      <c r="L157" s="581"/>
      <c r="M157" s="199" t="e">
        <f>RANK(K157, K$147:$K$176)</f>
        <v>#VALUE!</v>
      </c>
      <c r="N157" s="564"/>
      <c r="O157" s="564"/>
      <c r="P157" s="425"/>
      <c r="Q157" s="425"/>
      <c r="R157" s="425"/>
      <c r="S157" s="418" t="e">
        <f t="shared" si="68"/>
        <v>#N/A</v>
      </c>
      <c r="T157" s="560"/>
      <c r="U157" s="425"/>
      <c r="V157" s="425"/>
      <c r="W157" s="425"/>
      <c r="X157" s="418" t="e">
        <f t="shared" si="70"/>
        <v>#N/A</v>
      </c>
      <c r="Y157" s="560"/>
      <c r="Z157" s="425"/>
      <c r="AA157" s="425"/>
      <c r="AB157" s="425"/>
      <c r="AC157" s="418" t="e">
        <f t="shared" si="72"/>
        <v>#N/A</v>
      </c>
      <c r="AD157" s="560"/>
      <c r="AE157" s="425"/>
      <c r="AF157" s="425"/>
      <c r="AG157" s="425"/>
      <c r="AH157" s="418" t="e">
        <f t="shared" si="74"/>
        <v>#N/A</v>
      </c>
      <c r="AI157" s="560"/>
      <c r="AJ157" s="425"/>
      <c r="AK157" s="425"/>
      <c r="AL157" s="425"/>
      <c r="AM157" s="418" t="e">
        <f t="shared" si="76"/>
        <v>#N/A</v>
      </c>
      <c r="AN157" s="560"/>
      <c r="AO157" s="425"/>
      <c r="AP157" s="425"/>
      <c r="AQ157" s="425"/>
      <c r="AR157" s="418" t="e">
        <f t="shared" si="78"/>
        <v>#N/A</v>
      </c>
      <c r="AS157" s="560"/>
      <c r="AT157" s="425"/>
      <c r="AU157" s="425"/>
      <c r="AV157" s="425"/>
      <c r="AW157" s="418" t="e">
        <f t="shared" si="80"/>
        <v>#N/A</v>
      </c>
      <c r="AX157" s="560"/>
      <c r="AZ157" s="411" t="e">
        <f t="shared" si="82"/>
        <v>#N/A</v>
      </c>
      <c r="BA157" s="560"/>
    </row>
    <row r="158" spans="2:53">
      <c r="B158" s="570"/>
      <c r="C158" s="284">
        <v>12</v>
      </c>
      <c r="D158" s="418"/>
      <c r="E158" s="418"/>
      <c r="F158" s="418"/>
      <c r="G158" s="425"/>
      <c r="H158" s="560"/>
      <c r="I158" s="400" t="str">
        <f t="shared" si="84"/>
        <v>-</v>
      </c>
      <c r="J158" s="400" t="str">
        <f t="shared" si="85"/>
        <v>-</v>
      </c>
      <c r="K158" s="200" t="str">
        <f t="shared" si="86"/>
        <v>-</v>
      </c>
      <c r="L158" s="581"/>
      <c r="M158" s="199" t="e">
        <f>RANK(K158, K$147:$K$176)</f>
        <v>#VALUE!</v>
      </c>
      <c r="N158" s="564"/>
      <c r="O158" s="564"/>
      <c r="P158" s="425"/>
      <c r="Q158" s="425"/>
      <c r="R158" s="425"/>
      <c r="S158" s="418" t="e">
        <f t="shared" si="68"/>
        <v>#N/A</v>
      </c>
      <c r="T158" s="560"/>
      <c r="U158" s="425"/>
      <c r="V158" s="425"/>
      <c r="W158" s="425"/>
      <c r="X158" s="418" t="e">
        <f t="shared" si="70"/>
        <v>#N/A</v>
      </c>
      <c r="Y158" s="560"/>
      <c r="Z158" s="425"/>
      <c r="AA158" s="425"/>
      <c r="AB158" s="425"/>
      <c r="AC158" s="418" t="e">
        <f t="shared" si="72"/>
        <v>#N/A</v>
      </c>
      <c r="AD158" s="560"/>
      <c r="AE158" s="425"/>
      <c r="AF158" s="425"/>
      <c r="AG158" s="425"/>
      <c r="AH158" s="418" t="e">
        <f t="shared" si="74"/>
        <v>#N/A</v>
      </c>
      <c r="AI158" s="560"/>
      <c r="AJ158" s="425"/>
      <c r="AK158" s="425"/>
      <c r="AL158" s="425"/>
      <c r="AM158" s="418" t="e">
        <f t="shared" si="76"/>
        <v>#N/A</v>
      </c>
      <c r="AN158" s="560"/>
      <c r="AO158" s="425"/>
      <c r="AP158" s="425"/>
      <c r="AQ158" s="425"/>
      <c r="AR158" s="418" t="e">
        <f t="shared" si="78"/>
        <v>#N/A</v>
      </c>
      <c r="AS158" s="560"/>
      <c r="AT158" s="425"/>
      <c r="AU158" s="425"/>
      <c r="AV158" s="425"/>
      <c r="AW158" s="418" t="e">
        <f t="shared" si="80"/>
        <v>#N/A</v>
      </c>
      <c r="AX158" s="560"/>
      <c r="AZ158" s="411" t="e">
        <f t="shared" si="82"/>
        <v>#N/A</v>
      </c>
      <c r="BA158" s="560"/>
    </row>
    <row r="159" spans="2:53">
      <c r="B159" s="570"/>
      <c r="C159" s="284">
        <v>13</v>
      </c>
      <c r="D159" s="418"/>
      <c r="E159" s="418"/>
      <c r="F159" s="418"/>
      <c r="G159" s="425"/>
      <c r="H159" s="560"/>
      <c r="I159" s="400" t="str">
        <f t="shared" si="84"/>
        <v>-</v>
      </c>
      <c r="J159" s="400" t="str">
        <f t="shared" si="85"/>
        <v>-</v>
      </c>
      <c r="K159" s="200" t="str">
        <f t="shared" si="86"/>
        <v>-</v>
      </c>
      <c r="L159" s="581"/>
      <c r="M159" s="199" t="e">
        <f>RANK(K159, K$147:$K$176)</f>
        <v>#VALUE!</v>
      </c>
      <c r="N159" s="564"/>
      <c r="O159" s="564"/>
      <c r="P159" s="425"/>
      <c r="Q159" s="425"/>
      <c r="R159" s="425"/>
      <c r="S159" s="418" t="e">
        <f t="shared" si="68"/>
        <v>#N/A</v>
      </c>
      <c r="T159" s="560"/>
      <c r="U159" s="425"/>
      <c r="V159" s="425"/>
      <c r="W159" s="425"/>
      <c r="X159" s="418" t="e">
        <f t="shared" si="70"/>
        <v>#N/A</v>
      </c>
      <c r="Y159" s="560"/>
      <c r="Z159" s="425"/>
      <c r="AA159" s="425"/>
      <c r="AB159" s="425"/>
      <c r="AC159" s="418" t="e">
        <f t="shared" si="72"/>
        <v>#N/A</v>
      </c>
      <c r="AD159" s="560"/>
      <c r="AE159" s="425"/>
      <c r="AF159" s="425"/>
      <c r="AG159" s="425"/>
      <c r="AH159" s="418" t="e">
        <f t="shared" si="74"/>
        <v>#N/A</v>
      </c>
      <c r="AI159" s="560"/>
      <c r="AJ159" s="425"/>
      <c r="AK159" s="425"/>
      <c r="AL159" s="425"/>
      <c r="AM159" s="418" t="e">
        <f t="shared" si="76"/>
        <v>#N/A</v>
      </c>
      <c r="AN159" s="560"/>
      <c r="AO159" s="425"/>
      <c r="AP159" s="425"/>
      <c r="AQ159" s="425"/>
      <c r="AR159" s="418" t="e">
        <f t="shared" si="78"/>
        <v>#N/A</v>
      </c>
      <c r="AS159" s="560"/>
      <c r="AT159" s="425"/>
      <c r="AU159" s="425"/>
      <c r="AV159" s="425"/>
      <c r="AW159" s="418" t="e">
        <f t="shared" si="80"/>
        <v>#N/A</v>
      </c>
      <c r="AX159" s="560"/>
      <c r="AZ159" s="411" t="e">
        <f t="shared" si="82"/>
        <v>#N/A</v>
      </c>
      <c r="BA159" s="560"/>
    </row>
    <row r="160" spans="2:53">
      <c r="B160" s="570"/>
      <c r="C160" s="284">
        <v>14</v>
      </c>
      <c r="D160" s="418"/>
      <c r="E160" s="418"/>
      <c r="F160" s="418"/>
      <c r="G160" s="425"/>
      <c r="H160" s="560"/>
      <c r="I160" s="400" t="str">
        <f t="shared" si="84"/>
        <v>-</v>
      </c>
      <c r="J160" s="400" t="str">
        <f t="shared" si="85"/>
        <v>-</v>
      </c>
      <c r="K160" s="200" t="str">
        <f t="shared" si="86"/>
        <v>-</v>
      </c>
      <c r="L160" s="581"/>
      <c r="M160" s="199" t="e">
        <f>RANK(K160, K$147:$K$176)</f>
        <v>#VALUE!</v>
      </c>
      <c r="N160" s="564"/>
      <c r="O160" s="564"/>
      <c r="P160" s="425"/>
      <c r="Q160" s="425"/>
      <c r="R160" s="425"/>
      <c r="S160" s="418" t="e">
        <f t="shared" si="68"/>
        <v>#N/A</v>
      </c>
      <c r="T160" s="560"/>
      <c r="U160" s="425"/>
      <c r="V160" s="425"/>
      <c r="W160" s="425"/>
      <c r="X160" s="418" t="e">
        <f t="shared" si="70"/>
        <v>#N/A</v>
      </c>
      <c r="Y160" s="560"/>
      <c r="Z160" s="425"/>
      <c r="AA160" s="425"/>
      <c r="AB160" s="425"/>
      <c r="AC160" s="418" t="e">
        <f t="shared" si="72"/>
        <v>#N/A</v>
      </c>
      <c r="AD160" s="560"/>
      <c r="AE160" s="425"/>
      <c r="AF160" s="425"/>
      <c r="AG160" s="425"/>
      <c r="AH160" s="418" t="e">
        <f t="shared" si="74"/>
        <v>#N/A</v>
      </c>
      <c r="AI160" s="560"/>
      <c r="AJ160" s="425"/>
      <c r="AK160" s="425"/>
      <c r="AL160" s="425"/>
      <c r="AM160" s="418" t="e">
        <f t="shared" si="76"/>
        <v>#N/A</v>
      </c>
      <c r="AN160" s="560"/>
      <c r="AO160" s="425"/>
      <c r="AP160" s="425"/>
      <c r="AQ160" s="425"/>
      <c r="AR160" s="418" t="e">
        <f t="shared" si="78"/>
        <v>#N/A</v>
      </c>
      <c r="AS160" s="560"/>
      <c r="AT160" s="425"/>
      <c r="AU160" s="425"/>
      <c r="AV160" s="425"/>
      <c r="AW160" s="418" t="e">
        <f t="shared" si="80"/>
        <v>#N/A</v>
      </c>
      <c r="AX160" s="560"/>
      <c r="AZ160" s="411" t="e">
        <f t="shared" si="82"/>
        <v>#N/A</v>
      </c>
      <c r="BA160" s="560"/>
    </row>
    <row r="161" spans="2:53">
      <c r="B161" s="570"/>
      <c r="C161" s="284">
        <v>15</v>
      </c>
      <c r="D161" s="418"/>
      <c r="E161" s="418"/>
      <c r="F161" s="418"/>
      <c r="G161" s="425"/>
      <c r="H161" s="560"/>
      <c r="I161" s="400" t="str">
        <f t="shared" si="84"/>
        <v>-</v>
      </c>
      <c r="J161" s="400" t="str">
        <f t="shared" si="85"/>
        <v>-</v>
      </c>
      <c r="K161" s="200" t="str">
        <f t="shared" si="86"/>
        <v>-</v>
      </c>
      <c r="L161" s="581"/>
      <c r="M161" s="199" t="e">
        <f>RANK(K161, K$147:$K$176)</f>
        <v>#VALUE!</v>
      </c>
      <c r="N161" s="564"/>
      <c r="O161" s="564"/>
      <c r="P161" s="425"/>
      <c r="Q161" s="425"/>
      <c r="R161" s="425"/>
      <c r="S161" s="418" t="e">
        <f t="shared" si="68"/>
        <v>#N/A</v>
      </c>
      <c r="T161" s="560"/>
      <c r="U161" s="425"/>
      <c r="V161" s="425"/>
      <c r="W161" s="425"/>
      <c r="X161" s="418" t="e">
        <f t="shared" si="70"/>
        <v>#N/A</v>
      </c>
      <c r="Y161" s="560"/>
      <c r="Z161" s="425"/>
      <c r="AA161" s="425"/>
      <c r="AB161" s="425"/>
      <c r="AC161" s="418" t="e">
        <f t="shared" si="72"/>
        <v>#N/A</v>
      </c>
      <c r="AD161" s="560"/>
      <c r="AE161" s="425"/>
      <c r="AF161" s="425"/>
      <c r="AG161" s="425"/>
      <c r="AH161" s="418" t="e">
        <f t="shared" si="74"/>
        <v>#N/A</v>
      </c>
      <c r="AI161" s="560"/>
      <c r="AJ161" s="425"/>
      <c r="AK161" s="425"/>
      <c r="AL161" s="425"/>
      <c r="AM161" s="418" t="e">
        <f t="shared" si="76"/>
        <v>#N/A</v>
      </c>
      <c r="AN161" s="560"/>
      <c r="AO161" s="425"/>
      <c r="AP161" s="425"/>
      <c r="AQ161" s="425"/>
      <c r="AR161" s="418" t="e">
        <f t="shared" si="78"/>
        <v>#N/A</v>
      </c>
      <c r="AS161" s="560"/>
      <c r="AT161" s="425"/>
      <c r="AU161" s="425"/>
      <c r="AV161" s="425"/>
      <c r="AW161" s="418" t="e">
        <f t="shared" si="80"/>
        <v>#N/A</v>
      </c>
      <c r="AX161" s="560"/>
      <c r="AZ161" s="411" t="e">
        <f t="shared" si="82"/>
        <v>#N/A</v>
      </c>
      <c r="BA161" s="560"/>
    </row>
    <row r="162" spans="2:53">
      <c r="B162" s="570"/>
      <c r="C162" s="284">
        <v>16</v>
      </c>
      <c r="D162" s="418"/>
      <c r="E162" s="418"/>
      <c r="F162" s="418"/>
      <c r="G162" s="425"/>
      <c r="H162" s="560"/>
      <c r="I162" s="400" t="str">
        <f t="shared" si="84"/>
        <v>-</v>
      </c>
      <c r="J162" s="400" t="str">
        <f t="shared" si="85"/>
        <v>-</v>
      </c>
      <c r="K162" s="200" t="str">
        <f t="shared" si="86"/>
        <v>-</v>
      </c>
      <c r="L162" s="581"/>
      <c r="M162" s="199" t="e">
        <f>RANK(K162, K$147:$K$176)</f>
        <v>#VALUE!</v>
      </c>
      <c r="N162" s="564"/>
      <c r="O162" s="564"/>
      <c r="P162" s="425"/>
      <c r="Q162" s="425"/>
      <c r="R162" s="425"/>
      <c r="S162" s="418" t="e">
        <f t="shared" si="68"/>
        <v>#N/A</v>
      </c>
      <c r="T162" s="560"/>
      <c r="U162" s="425"/>
      <c r="V162" s="425"/>
      <c r="W162" s="425"/>
      <c r="X162" s="418" t="e">
        <f t="shared" si="70"/>
        <v>#N/A</v>
      </c>
      <c r="Y162" s="560"/>
      <c r="Z162" s="425"/>
      <c r="AA162" s="425"/>
      <c r="AB162" s="425"/>
      <c r="AC162" s="418" t="e">
        <f t="shared" si="72"/>
        <v>#N/A</v>
      </c>
      <c r="AD162" s="560"/>
      <c r="AE162" s="425"/>
      <c r="AF162" s="425"/>
      <c r="AG162" s="425"/>
      <c r="AH162" s="418" t="e">
        <f t="shared" si="74"/>
        <v>#N/A</v>
      </c>
      <c r="AI162" s="560"/>
      <c r="AJ162" s="425"/>
      <c r="AK162" s="425"/>
      <c r="AL162" s="425"/>
      <c r="AM162" s="418" t="e">
        <f t="shared" si="76"/>
        <v>#N/A</v>
      </c>
      <c r="AN162" s="560"/>
      <c r="AO162" s="425"/>
      <c r="AP162" s="425"/>
      <c r="AQ162" s="425"/>
      <c r="AR162" s="418" t="e">
        <f t="shared" si="78"/>
        <v>#N/A</v>
      </c>
      <c r="AS162" s="560"/>
      <c r="AT162" s="425"/>
      <c r="AU162" s="425"/>
      <c r="AV162" s="425"/>
      <c r="AW162" s="418" t="e">
        <f t="shared" si="80"/>
        <v>#N/A</v>
      </c>
      <c r="AX162" s="560"/>
      <c r="AZ162" s="411" t="e">
        <f t="shared" si="82"/>
        <v>#N/A</v>
      </c>
      <c r="BA162" s="560"/>
    </row>
    <row r="163" spans="2:53">
      <c r="B163" s="570"/>
      <c r="C163" s="284">
        <v>17</v>
      </c>
      <c r="D163" s="418"/>
      <c r="E163" s="418"/>
      <c r="F163" s="418"/>
      <c r="G163" s="425"/>
      <c r="H163" s="560"/>
      <c r="I163" s="400" t="str">
        <f t="shared" si="84"/>
        <v>-</v>
      </c>
      <c r="J163" s="400" t="str">
        <f t="shared" si="85"/>
        <v>-</v>
      </c>
      <c r="K163" s="200" t="str">
        <f t="shared" si="86"/>
        <v>-</v>
      </c>
      <c r="L163" s="581"/>
      <c r="M163" s="199" t="e">
        <f>RANK(K163, K$147:$K$176)</f>
        <v>#VALUE!</v>
      </c>
      <c r="N163" s="564"/>
      <c r="O163" s="564"/>
      <c r="P163" s="425"/>
      <c r="Q163" s="425"/>
      <c r="R163" s="425"/>
      <c r="S163" s="418" t="e">
        <f t="shared" si="68"/>
        <v>#N/A</v>
      </c>
      <c r="T163" s="560"/>
      <c r="U163" s="425"/>
      <c r="V163" s="425"/>
      <c r="W163" s="425"/>
      <c r="X163" s="418" t="e">
        <f t="shared" si="70"/>
        <v>#N/A</v>
      </c>
      <c r="Y163" s="560"/>
      <c r="Z163" s="425"/>
      <c r="AA163" s="425"/>
      <c r="AB163" s="425"/>
      <c r="AC163" s="418" t="e">
        <f t="shared" si="72"/>
        <v>#N/A</v>
      </c>
      <c r="AD163" s="560"/>
      <c r="AE163" s="425"/>
      <c r="AF163" s="425"/>
      <c r="AG163" s="425"/>
      <c r="AH163" s="418" t="e">
        <f t="shared" si="74"/>
        <v>#N/A</v>
      </c>
      <c r="AI163" s="560"/>
      <c r="AJ163" s="425"/>
      <c r="AK163" s="425"/>
      <c r="AL163" s="425"/>
      <c r="AM163" s="418" t="e">
        <f t="shared" si="76"/>
        <v>#N/A</v>
      </c>
      <c r="AN163" s="560"/>
      <c r="AO163" s="425"/>
      <c r="AP163" s="425"/>
      <c r="AQ163" s="425"/>
      <c r="AR163" s="418" t="e">
        <f t="shared" si="78"/>
        <v>#N/A</v>
      </c>
      <c r="AS163" s="560"/>
      <c r="AT163" s="425"/>
      <c r="AU163" s="425"/>
      <c r="AV163" s="425"/>
      <c r="AW163" s="418" t="e">
        <f t="shared" si="80"/>
        <v>#N/A</v>
      </c>
      <c r="AX163" s="560"/>
      <c r="AZ163" s="411" t="e">
        <f t="shared" si="82"/>
        <v>#N/A</v>
      </c>
      <c r="BA163" s="560"/>
    </row>
    <row r="164" spans="2:53">
      <c r="B164" s="570"/>
      <c r="C164" s="284">
        <v>18</v>
      </c>
      <c r="D164" s="418"/>
      <c r="E164" s="418"/>
      <c r="F164" s="418"/>
      <c r="G164" s="425"/>
      <c r="H164" s="560"/>
      <c r="I164" s="400" t="str">
        <f t="shared" si="84"/>
        <v>-</v>
      </c>
      <c r="J164" s="400" t="str">
        <f t="shared" si="85"/>
        <v>-</v>
      </c>
      <c r="K164" s="200" t="str">
        <f t="shared" si="86"/>
        <v>-</v>
      </c>
      <c r="L164" s="581"/>
      <c r="M164" s="199" t="e">
        <f>RANK(K164, K$147:$K$176)</f>
        <v>#VALUE!</v>
      </c>
      <c r="N164" s="564"/>
      <c r="O164" s="564"/>
      <c r="P164" s="425"/>
      <c r="Q164" s="425"/>
      <c r="R164" s="425"/>
      <c r="S164" s="418" t="e">
        <f t="shared" si="68"/>
        <v>#N/A</v>
      </c>
      <c r="T164" s="560"/>
      <c r="U164" s="425"/>
      <c r="V164" s="425"/>
      <c r="W164" s="425"/>
      <c r="X164" s="418" t="e">
        <f t="shared" si="70"/>
        <v>#N/A</v>
      </c>
      <c r="Y164" s="560"/>
      <c r="Z164" s="425"/>
      <c r="AA164" s="425"/>
      <c r="AB164" s="425"/>
      <c r="AC164" s="418" t="e">
        <f t="shared" si="72"/>
        <v>#N/A</v>
      </c>
      <c r="AD164" s="560"/>
      <c r="AE164" s="425"/>
      <c r="AF164" s="425"/>
      <c r="AG164" s="425"/>
      <c r="AH164" s="418" t="e">
        <f t="shared" si="74"/>
        <v>#N/A</v>
      </c>
      <c r="AI164" s="560"/>
      <c r="AJ164" s="425"/>
      <c r="AK164" s="425"/>
      <c r="AL164" s="425"/>
      <c r="AM164" s="418" t="e">
        <f t="shared" si="76"/>
        <v>#N/A</v>
      </c>
      <c r="AN164" s="560"/>
      <c r="AO164" s="425"/>
      <c r="AP164" s="425"/>
      <c r="AQ164" s="425"/>
      <c r="AR164" s="418" t="e">
        <f t="shared" si="78"/>
        <v>#N/A</v>
      </c>
      <c r="AS164" s="560"/>
      <c r="AT164" s="425"/>
      <c r="AU164" s="425"/>
      <c r="AV164" s="425"/>
      <c r="AW164" s="418" t="e">
        <f t="shared" si="80"/>
        <v>#N/A</v>
      </c>
      <c r="AX164" s="560"/>
      <c r="AZ164" s="411" t="e">
        <f t="shared" si="82"/>
        <v>#N/A</v>
      </c>
      <c r="BA164" s="560"/>
    </row>
    <row r="165" spans="2:53">
      <c r="B165" s="570"/>
      <c r="C165" s="284">
        <v>19</v>
      </c>
      <c r="D165" s="418"/>
      <c r="E165" s="418"/>
      <c r="F165" s="418"/>
      <c r="G165" s="425"/>
      <c r="H165" s="560"/>
      <c r="I165" s="400" t="str">
        <f t="shared" si="84"/>
        <v>-</v>
      </c>
      <c r="J165" s="400" t="str">
        <f t="shared" si="85"/>
        <v>-</v>
      </c>
      <c r="K165" s="200" t="str">
        <f t="shared" si="86"/>
        <v>-</v>
      </c>
      <c r="L165" s="581"/>
      <c r="M165" s="199" t="e">
        <f>RANK(K165, K$147:$K$176)</f>
        <v>#VALUE!</v>
      </c>
      <c r="N165" s="564"/>
      <c r="O165" s="564"/>
      <c r="P165" s="425"/>
      <c r="Q165" s="425"/>
      <c r="R165" s="425"/>
      <c r="S165" s="418" t="e">
        <f t="shared" si="68"/>
        <v>#N/A</v>
      </c>
      <c r="T165" s="560"/>
      <c r="U165" s="425"/>
      <c r="V165" s="425"/>
      <c r="W165" s="425"/>
      <c r="X165" s="418" t="e">
        <f t="shared" si="70"/>
        <v>#N/A</v>
      </c>
      <c r="Y165" s="560"/>
      <c r="Z165" s="425"/>
      <c r="AA165" s="425"/>
      <c r="AB165" s="425"/>
      <c r="AC165" s="418" t="e">
        <f t="shared" si="72"/>
        <v>#N/A</v>
      </c>
      <c r="AD165" s="560"/>
      <c r="AE165" s="425"/>
      <c r="AF165" s="425"/>
      <c r="AG165" s="425"/>
      <c r="AH165" s="418" t="e">
        <f t="shared" si="74"/>
        <v>#N/A</v>
      </c>
      <c r="AI165" s="560"/>
      <c r="AJ165" s="425"/>
      <c r="AK165" s="425"/>
      <c r="AL165" s="425"/>
      <c r="AM165" s="418" t="e">
        <f t="shared" si="76"/>
        <v>#N/A</v>
      </c>
      <c r="AN165" s="560"/>
      <c r="AO165" s="425"/>
      <c r="AP165" s="425"/>
      <c r="AQ165" s="425"/>
      <c r="AR165" s="418" t="e">
        <f t="shared" si="78"/>
        <v>#N/A</v>
      </c>
      <c r="AS165" s="560"/>
      <c r="AT165" s="425"/>
      <c r="AU165" s="425"/>
      <c r="AV165" s="425"/>
      <c r="AW165" s="418" t="e">
        <f t="shared" si="80"/>
        <v>#N/A</v>
      </c>
      <c r="AX165" s="560"/>
      <c r="AZ165" s="411" t="e">
        <f t="shared" si="82"/>
        <v>#N/A</v>
      </c>
      <c r="BA165" s="560"/>
    </row>
    <row r="166" spans="2:53">
      <c r="B166" s="570"/>
      <c r="C166" s="284">
        <v>20</v>
      </c>
      <c r="D166" s="418"/>
      <c r="E166" s="418"/>
      <c r="F166" s="418"/>
      <c r="G166" s="425"/>
      <c r="H166" s="560"/>
      <c r="I166" s="400" t="str">
        <f t="shared" si="84"/>
        <v>-</v>
      </c>
      <c r="J166" s="400" t="str">
        <f t="shared" si="85"/>
        <v>-</v>
      </c>
      <c r="K166" s="200" t="str">
        <f t="shared" si="86"/>
        <v>-</v>
      </c>
      <c r="L166" s="581"/>
      <c r="M166" s="199" t="e">
        <f>RANK(K166, K$147:$K$176)</f>
        <v>#VALUE!</v>
      </c>
      <c r="N166" s="564"/>
      <c r="O166" s="564"/>
      <c r="P166" s="425"/>
      <c r="Q166" s="425"/>
      <c r="R166" s="425"/>
      <c r="S166" s="418" t="e">
        <f t="shared" si="68"/>
        <v>#N/A</v>
      </c>
      <c r="T166" s="560"/>
      <c r="U166" s="425"/>
      <c r="V166" s="425"/>
      <c r="W166" s="425"/>
      <c r="X166" s="418" t="e">
        <f t="shared" si="70"/>
        <v>#N/A</v>
      </c>
      <c r="Y166" s="560"/>
      <c r="Z166" s="425"/>
      <c r="AA166" s="425"/>
      <c r="AB166" s="425"/>
      <c r="AC166" s="418" t="e">
        <f t="shared" si="72"/>
        <v>#N/A</v>
      </c>
      <c r="AD166" s="560"/>
      <c r="AE166" s="425"/>
      <c r="AF166" s="425"/>
      <c r="AG166" s="425"/>
      <c r="AH166" s="418" t="e">
        <f t="shared" si="74"/>
        <v>#N/A</v>
      </c>
      <c r="AI166" s="560"/>
      <c r="AJ166" s="425"/>
      <c r="AK166" s="425"/>
      <c r="AL166" s="425"/>
      <c r="AM166" s="418" t="e">
        <f t="shared" si="76"/>
        <v>#N/A</v>
      </c>
      <c r="AN166" s="560"/>
      <c r="AO166" s="425"/>
      <c r="AP166" s="425"/>
      <c r="AQ166" s="425"/>
      <c r="AR166" s="418" t="e">
        <f t="shared" si="78"/>
        <v>#N/A</v>
      </c>
      <c r="AS166" s="560"/>
      <c r="AT166" s="425"/>
      <c r="AU166" s="425"/>
      <c r="AV166" s="425"/>
      <c r="AW166" s="418" t="e">
        <f t="shared" si="80"/>
        <v>#N/A</v>
      </c>
      <c r="AX166" s="560"/>
      <c r="AZ166" s="411" t="e">
        <f t="shared" si="82"/>
        <v>#N/A</v>
      </c>
      <c r="BA166" s="560"/>
    </row>
    <row r="167" spans="2:53">
      <c r="B167" s="570"/>
      <c r="C167" s="284">
        <v>21</v>
      </c>
      <c r="D167" s="421"/>
      <c r="E167" s="418"/>
      <c r="F167" s="418"/>
      <c r="G167" s="425"/>
      <c r="H167" s="560"/>
      <c r="I167" s="400" t="str">
        <f t="shared" si="84"/>
        <v>-</v>
      </c>
      <c r="J167" s="400" t="str">
        <f t="shared" si="85"/>
        <v>-</v>
      </c>
      <c r="K167" s="200" t="str">
        <f t="shared" si="86"/>
        <v>-</v>
      </c>
      <c r="L167" s="581"/>
      <c r="M167" s="199" t="e">
        <f>RANK(K167, K$147:$K$176)</f>
        <v>#VALUE!</v>
      </c>
      <c r="N167" s="564"/>
      <c r="O167" s="564"/>
      <c r="P167" s="418"/>
      <c r="Q167" s="425"/>
      <c r="R167" s="419"/>
      <c r="S167" s="418" t="e">
        <f t="shared" si="68"/>
        <v>#N/A</v>
      </c>
      <c r="T167" s="560"/>
      <c r="U167" s="418"/>
      <c r="V167" s="425"/>
      <c r="W167" s="419"/>
      <c r="X167" s="418" t="e">
        <f t="shared" si="70"/>
        <v>#N/A</v>
      </c>
      <c r="Y167" s="560"/>
      <c r="Z167" s="418"/>
      <c r="AA167" s="425"/>
      <c r="AB167" s="419"/>
      <c r="AC167" s="418" t="e">
        <f t="shared" si="72"/>
        <v>#N/A</v>
      </c>
      <c r="AD167" s="560"/>
      <c r="AE167" s="418"/>
      <c r="AF167" s="425"/>
      <c r="AG167" s="419"/>
      <c r="AH167" s="418" t="e">
        <f t="shared" si="74"/>
        <v>#N/A</v>
      </c>
      <c r="AI167" s="560"/>
      <c r="AJ167" s="418"/>
      <c r="AK167" s="425"/>
      <c r="AL167" s="419"/>
      <c r="AM167" s="418" t="e">
        <f t="shared" si="76"/>
        <v>#N/A</v>
      </c>
      <c r="AN167" s="560"/>
      <c r="AO167" s="418"/>
      <c r="AP167" s="425"/>
      <c r="AQ167" s="419"/>
      <c r="AR167" s="418" t="e">
        <f t="shared" si="78"/>
        <v>#N/A</v>
      </c>
      <c r="AS167" s="560"/>
      <c r="AT167" s="418"/>
      <c r="AU167" s="425"/>
      <c r="AV167" s="419"/>
      <c r="AW167" s="418" t="e">
        <f t="shared" si="80"/>
        <v>#N/A</v>
      </c>
      <c r="AX167" s="560"/>
      <c r="AZ167" s="411" t="e">
        <f t="shared" si="82"/>
        <v>#N/A</v>
      </c>
      <c r="BA167" s="560"/>
    </row>
    <row r="168" spans="2:53">
      <c r="B168" s="570"/>
      <c r="C168" s="284">
        <v>22</v>
      </c>
      <c r="D168" s="418"/>
      <c r="E168" s="418"/>
      <c r="F168" s="418"/>
      <c r="G168" s="418"/>
      <c r="H168" s="560"/>
      <c r="I168" s="400" t="str">
        <f t="shared" si="84"/>
        <v>-</v>
      </c>
      <c r="J168" s="400" t="str">
        <f t="shared" si="85"/>
        <v>-</v>
      </c>
      <c r="K168" s="200" t="str">
        <f t="shared" si="86"/>
        <v>-</v>
      </c>
      <c r="L168" s="581"/>
      <c r="M168" s="199" t="e">
        <f>RANK(K168, K$147:$K$176)</f>
        <v>#VALUE!</v>
      </c>
      <c r="N168" s="564"/>
      <c r="O168" s="564"/>
      <c r="P168" s="418"/>
      <c r="Q168" s="425"/>
      <c r="R168" s="419"/>
      <c r="S168" s="418" t="e">
        <f t="shared" si="68"/>
        <v>#N/A</v>
      </c>
      <c r="T168" s="560"/>
      <c r="U168" s="418"/>
      <c r="V168" s="425"/>
      <c r="W168" s="419"/>
      <c r="X168" s="418" t="e">
        <f t="shared" si="70"/>
        <v>#N/A</v>
      </c>
      <c r="Y168" s="560"/>
      <c r="Z168" s="418"/>
      <c r="AA168" s="425"/>
      <c r="AB168" s="419"/>
      <c r="AC168" s="418" t="e">
        <f t="shared" si="72"/>
        <v>#N/A</v>
      </c>
      <c r="AD168" s="560"/>
      <c r="AE168" s="418"/>
      <c r="AF168" s="425"/>
      <c r="AG168" s="419"/>
      <c r="AH168" s="418" t="e">
        <f t="shared" si="74"/>
        <v>#N/A</v>
      </c>
      <c r="AI168" s="560"/>
      <c r="AJ168" s="418"/>
      <c r="AK168" s="425"/>
      <c r="AL168" s="419"/>
      <c r="AM168" s="418" t="e">
        <f t="shared" si="76"/>
        <v>#N/A</v>
      </c>
      <c r="AN168" s="560"/>
      <c r="AO168" s="418"/>
      <c r="AP168" s="425"/>
      <c r="AQ168" s="419"/>
      <c r="AR168" s="418" t="e">
        <f t="shared" si="78"/>
        <v>#N/A</v>
      </c>
      <c r="AS168" s="560"/>
      <c r="AT168" s="418"/>
      <c r="AU168" s="425"/>
      <c r="AV168" s="419"/>
      <c r="AW168" s="418" t="e">
        <f t="shared" si="80"/>
        <v>#N/A</v>
      </c>
      <c r="AX168" s="560"/>
      <c r="AZ168" s="411" t="e">
        <f t="shared" si="82"/>
        <v>#N/A</v>
      </c>
      <c r="BA168" s="560"/>
    </row>
    <row r="169" spans="2:53">
      <c r="B169" s="570"/>
      <c r="C169" s="284">
        <v>23</v>
      </c>
      <c r="D169" s="418"/>
      <c r="E169" s="418"/>
      <c r="F169" s="418"/>
      <c r="G169" s="418"/>
      <c r="H169" s="560"/>
      <c r="I169" s="400" t="str">
        <f t="shared" si="84"/>
        <v>-</v>
      </c>
      <c r="J169" s="400" t="str">
        <f t="shared" si="85"/>
        <v>-</v>
      </c>
      <c r="K169" s="200" t="str">
        <f t="shared" si="86"/>
        <v>-</v>
      </c>
      <c r="L169" s="581"/>
      <c r="M169" s="199" t="e">
        <f>RANK(K169, K$147:$K$176)</f>
        <v>#VALUE!</v>
      </c>
      <c r="N169" s="564"/>
      <c r="O169" s="564"/>
      <c r="P169" s="418"/>
      <c r="Q169" s="418"/>
      <c r="R169" s="419"/>
      <c r="S169" s="418" t="e">
        <f t="shared" si="68"/>
        <v>#N/A</v>
      </c>
      <c r="T169" s="560"/>
      <c r="U169" s="418"/>
      <c r="V169" s="418"/>
      <c r="W169" s="419"/>
      <c r="X169" s="418" t="e">
        <f t="shared" si="70"/>
        <v>#N/A</v>
      </c>
      <c r="Y169" s="560"/>
      <c r="Z169" s="418"/>
      <c r="AA169" s="418"/>
      <c r="AB169" s="419"/>
      <c r="AC169" s="418" t="e">
        <f t="shared" si="72"/>
        <v>#N/A</v>
      </c>
      <c r="AD169" s="560"/>
      <c r="AE169" s="418"/>
      <c r="AF169" s="418"/>
      <c r="AG169" s="419"/>
      <c r="AH169" s="418" t="e">
        <f t="shared" si="74"/>
        <v>#N/A</v>
      </c>
      <c r="AI169" s="560"/>
      <c r="AJ169" s="418"/>
      <c r="AK169" s="418"/>
      <c r="AL169" s="419"/>
      <c r="AM169" s="418" t="e">
        <f t="shared" si="76"/>
        <v>#N/A</v>
      </c>
      <c r="AN169" s="560"/>
      <c r="AO169" s="418"/>
      <c r="AP169" s="418"/>
      <c r="AQ169" s="419"/>
      <c r="AR169" s="418" t="e">
        <f t="shared" si="78"/>
        <v>#N/A</v>
      </c>
      <c r="AS169" s="560"/>
      <c r="AT169" s="418"/>
      <c r="AU169" s="418"/>
      <c r="AV169" s="419"/>
      <c r="AW169" s="418" t="e">
        <f t="shared" si="80"/>
        <v>#N/A</v>
      </c>
      <c r="AX169" s="560"/>
      <c r="AZ169" s="411" t="e">
        <f t="shared" si="82"/>
        <v>#N/A</v>
      </c>
      <c r="BA169" s="560"/>
    </row>
    <row r="170" spans="2:53">
      <c r="B170" s="570"/>
      <c r="C170" s="284">
        <v>24</v>
      </c>
      <c r="D170" s="418"/>
      <c r="E170" s="418"/>
      <c r="F170" s="418"/>
      <c r="G170" s="418"/>
      <c r="H170" s="560"/>
      <c r="I170" s="400" t="str">
        <f t="shared" si="84"/>
        <v>-</v>
      </c>
      <c r="J170" s="400" t="str">
        <f t="shared" si="85"/>
        <v>-</v>
      </c>
      <c r="K170" s="200" t="str">
        <f t="shared" si="86"/>
        <v>-</v>
      </c>
      <c r="L170" s="581"/>
      <c r="M170" s="199" t="e">
        <f>RANK(K170, K$147:$K$176)</f>
        <v>#VALUE!</v>
      </c>
      <c r="N170" s="564"/>
      <c r="O170" s="564"/>
      <c r="P170" s="418"/>
      <c r="Q170" s="418"/>
      <c r="R170" s="418"/>
      <c r="S170" s="418" t="e">
        <f t="shared" si="68"/>
        <v>#N/A</v>
      </c>
      <c r="T170" s="560"/>
      <c r="U170" s="418"/>
      <c r="V170" s="418"/>
      <c r="W170" s="418"/>
      <c r="X170" s="418" t="e">
        <f t="shared" si="70"/>
        <v>#N/A</v>
      </c>
      <c r="Y170" s="560"/>
      <c r="Z170" s="418"/>
      <c r="AA170" s="418"/>
      <c r="AB170" s="418"/>
      <c r="AC170" s="418" t="e">
        <f t="shared" si="72"/>
        <v>#N/A</v>
      </c>
      <c r="AD170" s="560"/>
      <c r="AE170" s="418"/>
      <c r="AF170" s="418"/>
      <c r="AG170" s="418"/>
      <c r="AH170" s="418" t="e">
        <f t="shared" si="74"/>
        <v>#N/A</v>
      </c>
      <c r="AI170" s="560"/>
      <c r="AJ170" s="418"/>
      <c r="AK170" s="418"/>
      <c r="AL170" s="418"/>
      <c r="AM170" s="418" t="e">
        <f t="shared" si="76"/>
        <v>#N/A</v>
      </c>
      <c r="AN170" s="560"/>
      <c r="AO170" s="418"/>
      <c r="AP170" s="418"/>
      <c r="AQ170" s="418"/>
      <c r="AR170" s="418" t="e">
        <f t="shared" si="78"/>
        <v>#N/A</v>
      </c>
      <c r="AS170" s="560"/>
      <c r="AT170" s="418"/>
      <c r="AU170" s="418"/>
      <c r="AV170" s="418"/>
      <c r="AW170" s="418" t="e">
        <f t="shared" si="80"/>
        <v>#N/A</v>
      </c>
      <c r="AX170" s="560"/>
      <c r="AZ170" s="411" t="e">
        <f t="shared" si="82"/>
        <v>#N/A</v>
      </c>
      <c r="BA170" s="560"/>
    </row>
    <row r="171" spans="2:53">
      <c r="B171" s="570"/>
      <c r="C171" s="284">
        <v>25</v>
      </c>
      <c r="D171" s="418"/>
      <c r="E171" s="418"/>
      <c r="F171" s="418"/>
      <c r="G171" s="418"/>
      <c r="H171" s="560"/>
      <c r="I171" s="400" t="str">
        <f t="shared" si="84"/>
        <v>-</v>
      </c>
      <c r="J171" s="400" t="str">
        <f t="shared" si="85"/>
        <v>-</v>
      </c>
      <c r="K171" s="200" t="str">
        <f t="shared" si="86"/>
        <v>-</v>
      </c>
      <c r="L171" s="581"/>
      <c r="M171" s="199" t="e">
        <f>RANK(K171, K$147:$K$176)</f>
        <v>#VALUE!</v>
      </c>
      <c r="N171" s="564"/>
      <c r="O171" s="564"/>
      <c r="P171" s="418"/>
      <c r="Q171" s="418"/>
      <c r="R171" s="418"/>
      <c r="S171" s="418" t="e">
        <f t="shared" si="68"/>
        <v>#N/A</v>
      </c>
      <c r="T171" s="560"/>
      <c r="U171" s="418"/>
      <c r="V171" s="418"/>
      <c r="W171" s="418"/>
      <c r="X171" s="418" t="e">
        <f t="shared" si="70"/>
        <v>#N/A</v>
      </c>
      <c r="Y171" s="560"/>
      <c r="Z171" s="418"/>
      <c r="AA171" s="418"/>
      <c r="AB171" s="418"/>
      <c r="AC171" s="418" t="e">
        <f t="shared" si="72"/>
        <v>#N/A</v>
      </c>
      <c r="AD171" s="560"/>
      <c r="AE171" s="418"/>
      <c r="AF171" s="418"/>
      <c r="AG171" s="418"/>
      <c r="AH171" s="418" t="e">
        <f t="shared" si="74"/>
        <v>#N/A</v>
      </c>
      <c r="AI171" s="560"/>
      <c r="AJ171" s="418"/>
      <c r="AK171" s="418"/>
      <c r="AL171" s="418"/>
      <c r="AM171" s="418" t="e">
        <f t="shared" si="76"/>
        <v>#N/A</v>
      </c>
      <c r="AN171" s="560"/>
      <c r="AO171" s="418"/>
      <c r="AP171" s="418"/>
      <c r="AQ171" s="418"/>
      <c r="AR171" s="418" t="e">
        <f t="shared" si="78"/>
        <v>#N/A</v>
      </c>
      <c r="AS171" s="560"/>
      <c r="AT171" s="418"/>
      <c r="AU171" s="418"/>
      <c r="AV171" s="418"/>
      <c r="AW171" s="418" t="e">
        <f t="shared" si="80"/>
        <v>#N/A</v>
      </c>
      <c r="AX171" s="560"/>
      <c r="AZ171" s="411" t="e">
        <f t="shared" si="82"/>
        <v>#N/A</v>
      </c>
      <c r="BA171" s="560"/>
    </row>
    <row r="172" spans="2:53">
      <c r="B172" s="570"/>
      <c r="C172" s="284">
        <v>26</v>
      </c>
      <c r="D172" s="418"/>
      <c r="E172" s="418"/>
      <c r="F172" s="418"/>
      <c r="G172" s="418"/>
      <c r="H172" s="560"/>
      <c r="I172" s="400" t="str">
        <f t="shared" si="84"/>
        <v>-</v>
      </c>
      <c r="J172" s="400" t="str">
        <f t="shared" si="85"/>
        <v>-</v>
      </c>
      <c r="K172" s="200" t="str">
        <f t="shared" si="86"/>
        <v>-</v>
      </c>
      <c r="L172" s="581"/>
      <c r="M172" s="199" t="e">
        <f>RANK(K172, K$147:$K$176)</f>
        <v>#VALUE!</v>
      </c>
      <c r="N172" s="564"/>
      <c r="O172" s="564"/>
      <c r="P172" s="418"/>
      <c r="Q172" s="418"/>
      <c r="R172" s="418"/>
      <c r="S172" s="418" t="e">
        <f t="shared" si="68"/>
        <v>#N/A</v>
      </c>
      <c r="T172" s="560"/>
      <c r="U172" s="418"/>
      <c r="V172" s="418"/>
      <c r="W172" s="418"/>
      <c r="X172" s="418" t="e">
        <f t="shared" si="70"/>
        <v>#N/A</v>
      </c>
      <c r="Y172" s="560"/>
      <c r="Z172" s="418"/>
      <c r="AA172" s="418"/>
      <c r="AB172" s="418"/>
      <c r="AC172" s="418" t="e">
        <f t="shared" si="72"/>
        <v>#N/A</v>
      </c>
      <c r="AD172" s="560"/>
      <c r="AE172" s="418"/>
      <c r="AF172" s="418"/>
      <c r="AG172" s="418"/>
      <c r="AH172" s="418" t="e">
        <f t="shared" si="74"/>
        <v>#N/A</v>
      </c>
      <c r="AI172" s="560"/>
      <c r="AJ172" s="418"/>
      <c r="AK172" s="418"/>
      <c r="AL172" s="418"/>
      <c r="AM172" s="418" t="e">
        <f t="shared" si="76"/>
        <v>#N/A</v>
      </c>
      <c r="AN172" s="560"/>
      <c r="AO172" s="418"/>
      <c r="AP172" s="418"/>
      <c r="AQ172" s="418"/>
      <c r="AR172" s="418" t="e">
        <f t="shared" si="78"/>
        <v>#N/A</v>
      </c>
      <c r="AS172" s="560"/>
      <c r="AT172" s="418"/>
      <c r="AU172" s="418"/>
      <c r="AV172" s="418"/>
      <c r="AW172" s="418" t="e">
        <f t="shared" si="80"/>
        <v>#N/A</v>
      </c>
      <c r="AX172" s="560"/>
      <c r="AZ172" s="411" t="e">
        <f t="shared" si="82"/>
        <v>#N/A</v>
      </c>
      <c r="BA172" s="560"/>
    </row>
    <row r="173" spans="2:53">
      <c r="B173" s="570"/>
      <c r="C173" s="284">
        <v>27</v>
      </c>
      <c r="D173" s="418"/>
      <c r="E173" s="418"/>
      <c r="F173" s="418"/>
      <c r="G173" s="418"/>
      <c r="H173" s="560"/>
      <c r="I173" s="400" t="str">
        <f t="shared" si="84"/>
        <v>-</v>
      </c>
      <c r="J173" s="400" t="str">
        <f t="shared" si="85"/>
        <v>-</v>
      </c>
      <c r="K173" s="200" t="str">
        <f t="shared" si="86"/>
        <v>-</v>
      </c>
      <c r="L173" s="581"/>
      <c r="M173" s="199" t="e">
        <f>RANK(K173, K$147:$K$176)</f>
        <v>#VALUE!</v>
      </c>
      <c r="N173" s="564"/>
      <c r="O173" s="564"/>
      <c r="P173" s="418"/>
      <c r="Q173" s="418"/>
      <c r="R173" s="418"/>
      <c r="S173" s="418" t="e">
        <f t="shared" si="68"/>
        <v>#N/A</v>
      </c>
      <c r="T173" s="560"/>
      <c r="U173" s="418"/>
      <c r="V173" s="418"/>
      <c r="W173" s="418"/>
      <c r="X173" s="418" t="e">
        <f t="shared" si="70"/>
        <v>#N/A</v>
      </c>
      <c r="Y173" s="560"/>
      <c r="Z173" s="418"/>
      <c r="AA173" s="418"/>
      <c r="AB173" s="418"/>
      <c r="AC173" s="418" t="e">
        <f t="shared" si="72"/>
        <v>#N/A</v>
      </c>
      <c r="AD173" s="560"/>
      <c r="AE173" s="418"/>
      <c r="AF173" s="418"/>
      <c r="AG173" s="418"/>
      <c r="AH173" s="418" t="e">
        <f t="shared" si="74"/>
        <v>#N/A</v>
      </c>
      <c r="AI173" s="560"/>
      <c r="AJ173" s="418"/>
      <c r="AK173" s="418"/>
      <c r="AL173" s="418"/>
      <c r="AM173" s="418" t="e">
        <f t="shared" si="76"/>
        <v>#N/A</v>
      </c>
      <c r="AN173" s="560"/>
      <c r="AO173" s="418"/>
      <c r="AP173" s="418"/>
      <c r="AQ173" s="418"/>
      <c r="AR173" s="418" t="e">
        <f t="shared" si="78"/>
        <v>#N/A</v>
      </c>
      <c r="AS173" s="560"/>
      <c r="AT173" s="418"/>
      <c r="AU173" s="418"/>
      <c r="AV173" s="418"/>
      <c r="AW173" s="418" t="e">
        <f t="shared" si="80"/>
        <v>#N/A</v>
      </c>
      <c r="AX173" s="560"/>
      <c r="AZ173" s="411" t="e">
        <f t="shared" si="82"/>
        <v>#N/A</v>
      </c>
      <c r="BA173" s="560"/>
    </row>
    <row r="174" spans="2:53">
      <c r="B174" s="570"/>
      <c r="C174" s="284">
        <v>28</v>
      </c>
      <c r="D174" s="418"/>
      <c r="E174" s="418"/>
      <c r="F174" s="418"/>
      <c r="G174" s="418"/>
      <c r="H174" s="560"/>
      <c r="I174" s="400" t="str">
        <f t="shared" si="84"/>
        <v>-</v>
      </c>
      <c r="J174" s="400" t="str">
        <f t="shared" si="85"/>
        <v>-</v>
      </c>
      <c r="K174" s="200" t="str">
        <f t="shared" si="86"/>
        <v>-</v>
      </c>
      <c r="L174" s="581"/>
      <c r="M174" s="199" t="e">
        <f>RANK(K174, K$147:$K$176)</f>
        <v>#VALUE!</v>
      </c>
      <c r="N174" s="564"/>
      <c r="O174" s="564"/>
      <c r="P174" s="418"/>
      <c r="Q174" s="418"/>
      <c r="R174" s="418"/>
      <c r="S174" s="418" t="e">
        <f t="shared" si="68"/>
        <v>#N/A</v>
      </c>
      <c r="T174" s="560"/>
      <c r="U174" s="418"/>
      <c r="V174" s="418"/>
      <c r="W174" s="418"/>
      <c r="X174" s="418" t="e">
        <f t="shared" si="70"/>
        <v>#N/A</v>
      </c>
      <c r="Y174" s="560"/>
      <c r="Z174" s="418"/>
      <c r="AA174" s="418"/>
      <c r="AB174" s="418"/>
      <c r="AC174" s="418" t="e">
        <f t="shared" si="72"/>
        <v>#N/A</v>
      </c>
      <c r="AD174" s="560"/>
      <c r="AE174" s="418"/>
      <c r="AF174" s="418"/>
      <c r="AG174" s="418"/>
      <c r="AH174" s="418" t="e">
        <f t="shared" si="74"/>
        <v>#N/A</v>
      </c>
      <c r="AI174" s="560"/>
      <c r="AJ174" s="418"/>
      <c r="AK174" s="418"/>
      <c r="AL174" s="418"/>
      <c r="AM174" s="418" t="e">
        <f t="shared" si="76"/>
        <v>#N/A</v>
      </c>
      <c r="AN174" s="560"/>
      <c r="AO174" s="418"/>
      <c r="AP174" s="418"/>
      <c r="AQ174" s="418"/>
      <c r="AR174" s="418" t="e">
        <f t="shared" si="78"/>
        <v>#N/A</v>
      </c>
      <c r="AS174" s="560"/>
      <c r="AT174" s="418"/>
      <c r="AU174" s="418"/>
      <c r="AV174" s="418"/>
      <c r="AW174" s="418" t="e">
        <f t="shared" si="80"/>
        <v>#N/A</v>
      </c>
      <c r="AX174" s="560"/>
      <c r="AZ174" s="411" t="e">
        <f t="shared" si="82"/>
        <v>#N/A</v>
      </c>
      <c r="BA174" s="560"/>
    </row>
    <row r="175" spans="2:53">
      <c r="B175" s="570"/>
      <c r="C175" s="284">
        <v>29</v>
      </c>
      <c r="D175" s="418"/>
      <c r="E175" s="418"/>
      <c r="F175" s="418"/>
      <c r="G175" s="418"/>
      <c r="H175" s="560"/>
      <c r="I175" s="400" t="str">
        <f t="shared" si="84"/>
        <v>-</v>
      </c>
      <c r="J175" s="400" t="str">
        <f t="shared" si="85"/>
        <v>-</v>
      </c>
      <c r="K175" s="200" t="str">
        <f t="shared" si="86"/>
        <v>-</v>
      </c>
      <c r="L175" s="581"/>
      <c r="M175" s="199" t="e">
        <f>RANK(K175, K$147:$K$176)</f>
        <v>#VALUE!</v>
      </c>
      <c r="N175" s="564"/>
      <c r="O175" s="564"/>
      <c r="P175" s="418"/>
      <c r="Q175" s="418"/>
      <c r="R175" s="418"/>
      <c r="S175" s="418" t="e">
        <f t="shared" si="68"/>
        <v>#N/A</v>
      </c>
      <c r="T175" s="560"/>
      <c r="U175" s="418"/>
      <c r="V175" s="418"/>
      <c r="W175" s="418"/>
      <c r="X175" s="418" t="e">
        <f t="shared" si="70"/>
        <v>#N/A</v>
      </c>
      <c r="Y175" s="560"/>
      <c r="Z175" s="418"/>
      <c r="AA175" s="418"/>
      <c r="AB175" s="418"/>
      <c r="AC175" s="418" t="e">
        <f t="shared" si="72"/>
        <v>#N/A</v>
      </c>
      <c r="AD175" s="560"/>
      <c r="AE175" s="418"/>
      <c r="AF175" s="418"/>
      <c r="AG175" s="418"/>
      <c r="AH175" s="418" t="e">
        <f t="shared" si="74"/>
        <v>#N/A</v>
      </c>
      <c r="AI175" s="560"/>
      <c r="AJ175" s="418"/>
      <c r="AK175" s="418"/>
      <c r="AL175" s="418"/>
      <c r="AM175" s="418" t="e">
        <f t="shared" si="76"/>
        <v>#N/A</v>
      </c>
      <c r="AN175" s="560"/>
      <c r="AO175" s="418"/>
      <c r="AP175" s="418"/>
      <c r="AQ175" s="418"/>
      <c r="AR175" s="418" t="e">
        <f t="shared" si="78"/>
        <v>#N/A</v>
      </c>
      <c r="AS175" s="560"/>
      <c r="AT175" s="418"/>
      <c r="AU175" s="418"/>
      <c r="AV175" s="418"/>
      <c r="AW175" s="418" t="e">
        <f t="shared" si="80"/>
        <v>#N/A</v>
      </c>
      <c r="AX175" s="560"/>
      <c r="AZ175" s="411" t="e">
        <f t="shared" si="82"/>
        <v>#N/A</v>
      </c>
      <c r="BA175" s="560"/>
    </row>
    <row r="176" spans="2:53">
      <c r="B176" s="570"/>
      <c r="C176" s="284">
        <v>30</v>
      </c>
      <c r="D176" s="418"/>
      <c r="E176" s="418"/>
      <c r="F176" s="418"/>
      <c r="G176" s="418"/>
      <c r="H176" s="561"/>
      <c r="I176" s="400" t="str">
        <f t="shared" si="84"/>
        <v>-</v>
      </c>
      <c r="J176" s="400" t="str">
        <f t="shared" si="85"/>
        <v>-</v>
      </c>
      <c r="K176" s="200" t="str">
        <f t="shared" si="86"/>
        <v>-</v>
      </c>
      <c r="L176" s="582"/>
      <c r="M176" s="199" t="e">
        <f>RANK(K176, K$147:$K$176)</f>
        <v>#VALUE!</v>
      </c>
      <c r="N176" s="564"/>
      <c r="O176" s="564"/>
      <c r="P176" s="418"/>
      <c r="Q176" s="418"/>
      <c r="R176" s="418"/>
      <c r="S176" s="418" t="e">
        <f t="shared" si="68"/>
        <v>#N/A</v>
      </c>
      <c r="T176" s="561"/>
      <c r="U176" s="418"/>
      <c r="V176" s="418"/>
      <c r="W176" s="418"/>
      <c r="X176" s="418" t="e">
        <f t="shared" si="70"/>
        <v>#N/A</v>
      </c>
      <c r="Y176" s="561"/>
      <c r="Z176" s="418"/>
      <c r="AA176" s="418"/>
      <c r="AB176" s="418"/>
      <c r="AC176" s="418" t="e">
        <f t="shared" si="72"/>
        <v>#N/A</v>
      </c>
      <c r="AD176" s="561"/>
      <c r="AE176" s="418"/>
      <c r="AF176" s="418"/>
      <c r="AG176" s="418"/>
      <c r="AH176" s="418" t="e">
        <f t="shared" si="74"/>
        <v>#N/A</v>
      </c>
      <c r="AI176" s="561"/>
      <c r="AJ176" s="418"/>
      <c r="AK176" s="418"/>
      <c r="AL176" s="418"/>
      <c r="AM176" s="418" t="e">
        <f t="shared" si="76"/>
        <v>#N/A</v>
      </c>
      <c r="AN176" s="561"/>
      <c r="AO176" s="418"/>
      <c r="AP176" s="418"/>
      <c r="AQ176" s="418"/>
      <c r="AR176" s="418" t="e">
        <f t="shared" si="78"/>
        <v>#N/A</v>
      </c>
      <c r="AS176" s="561"/>
      <c r="AT176" s="418"/>
      <c r="AU176" s="418"/>
      <c r="AV176" s="418"/>
      <c r="AW176" s="418" t="e">
        <f t="shared" si="80"/>
        <v>#N/A</v>
      </c>
      <c r="AX176" s="561"/>
      <c r="AZ176" s="411" t="e">
        <f t="shared" si="82"/>
        <v>#N/A</v>
      </c>
      <c r="BA176" s="561"/>
    </row>
    <row r="177" spans="2:53" ht="15.75">
      <c r="B177" s="593" t="s">
        <v>163</v>
      </c>
      <c r="C177" s="594"/>
      <c r="D177" s="594"/>
      <c r="E177" s="594"/>
      <c r="F177" s="594"/>
      <c r="G177" s="594"/>
      <c r="H177" s="595"/>
      <c r="I177" s="208"/>
      <c r="J177" s="208"/>
      <c r="K177" s="208"/>
      <c r="L177" s="208"/>
      <c r="M177" s="207"/>
      <c r="N177" s="566" t="s">
        <v>156</v>
      </c>
      <c r="O177" s="566" t="s">
        <v>105</v>
      </c>
      <c r="P177" s="592">
        <f>P142+7</f>
        <v>46175</v>
      </c>
      <c r="Q177" s="570"/>
      <c r="R177" s="570"/>
      <c r="S177" s="570"/>
      <c r="T177" s="570"/>
      <c r="U177" s="589">
        <f>P177+1</f>
        <v>46176</v>
      </c>
      <c r="V177" s="590"/>
      <c r="W177" s="590"/>
      <c r="X177" s="590"/>
      <c r="Y177" s="591"/>
      <c r="Z177" s="589">
        <f>U177+1</f>
        <v>46177</v>
      </c>
      <c r="AA177" s="590"/>
      <c r="AB177" s="590"/>
      <c r="AC177" s="590"/>
      <c r="AD177" s="591"/>
      <c r="AE177" s="589">
        <f>Z177+1</f>
        <v>46178</v>
      </c>
      <c r="AF177" s="590"/>
      <c r="AG177" s="590"/>
      <c r="AH177" s="590"/>
      <c r="AI177" s="591"/>
      <c r="AJ177" s="589">
        <f>AE177+1</f>
        <v>46179</v>
      </c>
      <c r="AK177" s="590"/>
      <c r="AL177" s="590"/>
      <c r="AM177" s="590"/>
      <c r="AN177" s="591"/>
      <c r="AO177" s="589">
        <f>AJ177+1</f>
        <v>46180</v>
      </c>
      <c r="AP177" s="590"/>
      <c r="AQ177" s="590"/>
      <c r="AR177" s="590"/>
      <c r="AS177" s="591"/>
      <c r="AT177" s="589">
        <f>AO177+1</f>
        <v>46181</v>
      </c>
      <c r="AU177" s="590"/>
      <c r="AV177" s="590"/>
      <c r="AW177" s="590"/>
      <c r="AX177" s="591"/>
    </row>
    <row r="178" spans="2:53" ht="15.75">
      <c r="B178" s="596"/>
      <c r="C178" s="596"/>
      <c r="D178" s="596"/>
      <c r="E178" s="596"/>
      <c r="F178" s="596"/>
      <c r="G178" s="596"/>
      <c r="H178" s="596"/>
      <c r="I178" s="205"/>
      <c r="J178" s="205"/>
      <c r="K178" s="205"/>
      <c r="L178" s="205"/>
      <c r="M178" s="206"/>
      <c r="N178" s="568"/>
      <c r="O178" s="568"/>
      <c r="P178" s="592" t="s">
        <v>158</v>
      </c>
      <c r="Q178" s="570"/>
      <c r="R178" s="570"/>
      <c r="S178" s="570"/>
      <c r="T178" s="570"/>
      <c r="U178" s="592" t="s">
        <v>114</v>
      </c>
      <c r="V178" s="570"/>
      <c r="W178" s="570"/>
      <c r="X178" s="570"/>
      <c r="Y178" s="570"/>
      <c r="Z178" s="592" t="s">
        <v>159</v>
      </c>
      <c r="AA178" s="570"/>
      <c r="AB178" s="570"/>
      <c r="AC178" s="570"/>
      <c r="AD178" s="570"/>
      <c r="AE178" s="592" t="s">
        <v>157</v>
      </c>
      <c r="AF178" s="570"/>
      <c r="AG178" s="570"/>
      <c r="AH178" s="570"/>
      <c r="AI178" s="570"/>
      <c r="AJ178" s="592" t="s">
        <v>160</v>
      </c>
      <c r="AK178" s="570"/>
      <c r="AL178" s="570"/>
      <c r="AM178" s="570"/>
      <c r="AN178" s="570"/>
      <c r="AO178" s="592" t="s">
        <v>115</v>
      </c>
      <c r="AP178" s="570"/>
      <c r="AQ178" s="570"/>
      <c r="AR178" s="570"/>
      <c r="AS178" s="570"/>
      <c r="AT178" s="592" t="s">
        <v>162</v>
      </c>
      <c r="AU178" s="570"/>
      <c r="AV178" s="570"/>
      <c r="AW178" s="570"/>
      <c r="AX178" s="570"/>
    </row>
    <row r="179" spans="2:53">
      <c r="B179" s="564" t="s">
        <v>154</v>
      </c>
      <c r="C179" s="564" t="s">
        <v>387</v>
      </c>
      <c r="D179" s="564"/>
      <c r="E179" s="564" t="s">
        <v>378</v>
      </c>
      <c r="F179" s="564"/>
      <c r="G179" s="564"/>
      <c r="H179" s="597" t="s">
        <v>374</v>
      </c>
      <c r="I179" s="564" t="s">
        <v>379</v>
      </c>
      <c r="J179" s="564"/>
      <c r="K179" s="564"/>
      <c r="L179" s="597" t="s">
        <v>374</v>
      </c>
      <c r="M179" s="566" t="s">
        <v>375</v>
      </c>
      <c r="N179" s="564"/>
      <c r="O179" s="564" t="s">
        <v>380</v>
      </c>
      <c r="P179" s="583" t="s">
        <v>376</v>
      </c>
      <c r="Q179" s="584"/>
      <c r="R179" s="584"/>
      <c r="S179" s="585"/>
      <c r="T179" s="564" t="s">
        <v>374</v>
      </c>
      <c r="U179" s="583" t="s">
        <v>376</v>
      </c>
      <c r="V179" s="584"/>
      <c r="W179" s="584"/>
      <c r="X179" s="585"/>
      <c r="Y179" s="564" t="s">
        <v>374</v>
      </c>
      <c r="Z179" s="583" t="s">
        <v>376</v>
      </c>
      <c r="AA179" s="584"/>
      <c r="AB179" s="584"/>
      <c r="AC179" s="585"/>
      <c r="AD179" s="564" t="s">
        <v>374</v>
      </c>
      <c r="AE179" s="583" t="s">
        <v>376</v>
      </c>
      <c r="AF179" s="584"/>
      <c r="AG179" s="584"/>
      <c r="AH179" s="585"/>
      <c r="AI179" s="564" t="s">
        <v>374</v>
      </c>
      <c r="AJ179" s="583" t="s">
        <v>376</v>
      </c>
      <c r="AK179" s="584"/>
      <c r="AL179" s="584"/>
      <c r="AM179" s="585"/>
      <c r="AN179" s="564" t="s">
        <v>374</v>
      </c>
      <c r="AO179" s="583" t="s">
        <v>376</v>
      </c>
      <c r="AP179" s="584"/>
      <c r="AQ179" s="584"/>
      <c r="AR179" s="585"/>
      <c r="AS179" s="564" t="s">
        <v>374</v>
      </c>
      <c r="AT179" s="586" t="s">
        <v>376</v>
      </c>
      <c r="AU179" s="587"/>
      <c r="AV179" s="587"/>
      <c r="AW179" s="588"/>
      <c r="AX179" s="562" t="s">
        <v>374</v>
      </c>
      <c r="BA179" s="562" t="s">
        <v>374</v>
      </c>
    </row>
    <row r="180" spans="2:53">
      <c r="B180" s="564"/>
      <c r="C180" s="564"/>
      <c r="D180" s="564"/>
      <c r="E180" s="564" t="s">
        <v>381</v>
      </c>
      <c r="F180" s="564"/>
      <c r="G180" s="564"/>
      <c r="H180" s="598"/>
      <c r="I180" s="564" t="s">
        <v>381</v>
      </c>
      <c r="J180" s="564"/>
      <c r="K180" s="564"/>
      <c r="L180" s="598"/>
      <c r="M180" s="567"/>
      <c r="N180" s="564"/>
      <c r="O180" s="564"/>
      <c r="P180" s="583" t="s">
        <v>382</v>
      </c>
      <c r="Q180" s="584"/>
      <c r="R180" s="584"/>
      <c r="S180" s="585"/>
      <c r="T180" s="564"/>
      <c r="U180" s="583" t="s">
        <v>382</v>
      </c>
      <c r="V180" s="584"/>
      <c r="W180" s="584"/>
      <c r="X180" s="585"/>
      <c r="Y180" s="564"/>
      <c r="Z180" s="583" t="s">
        <v>382</v>
      </c>
      <c r="AA180" s="584"/>
      <c r="AB180" s="584"/>
      <c r="AC180" s="585"/>
      <c r="AD180" s="564"/>
      <c r="AE180" s="583" t="s">
        <v>382</v>
      </c>
      <c r="AF180" s="584"/>
      <c r="AG180" s="584"/>
      <c r="AH180" s="585"/>
      <c r="AI180" s="564"/>
      <c r="AJ180" s="583" t="s">
        <v>382</v>
      </c>
      <c r="AK180" s="584"/>
      <c r="AL180" s="584"/>
      <c r="AM180" s="585"/>
      <c r="AN180" s="564"/>
      <c r="AO180" s="583" t="s">
        <v>382</v>
      </c>
      <c r="AP180" s="584"/>
      <c r="AQ180" s="584"/>
      <c r="AR180" s="585"/>
      <c r="AS180" s="564"/>
      <c r="AT180" s="586" t="s">
        <v>382</v>
      </c>
      <c r="AU180" s="587"/>
      <c r="AV180" s="587"/>
      <c r="AW180" s="588"/>
      <c r="AX180" s="562"/>
      <c r="BA180" s="562"/>
    </row>
    <row r="181" spans="2:53">
      <c r="B181" s="564"/>
      <c r="C181" s="564"/>
      <c r="D181" s="564"/>
      <c r="E181" s="366" t="s">
        <v>383</v>
      </c>
      <c r="F181" s="366" t="s">
        <v>384</v>
      </c>
      <c r="G181" s="366" t="s">
        <v>385</v>
      </c>
      <c r="H181" s="599"/>
      <c r="I181" s="366" t="s">
        <v>383</v>
      </c>
      <c r="J181" s="366" t="s">
        <v>384</v>
      </c>
      <c r="K181" s="366" t="s">
        <v>385</v>
      </c>
      <c r="L181" s="599"/>
      <c r="M181" s="568"/>
      <c r="N181" s="564"/>
      <c r="O181" s="564"/>
      <c r="P181" s="366" t="s">
        <v>383</v>
      </c>
      <c r="Q181" s="366" t="s">
        <v>384</v>
      </c>
      <c r="R181" s="366" t="s">
        <v>385</v>
      </c>
      <c r="S181" s="366" t="s">
        <v>375</v>
      </c>
      <c r="T181" s="564"/>
      <c r="U181" s="366" t="s">
        <v>383</v>
      </c>
      <c r="V181" s="366" t="s">
        <v>384</v>
      </c>
      <c r="W181" s="366" t="s">
        <v>385</v>
      </c>
      <c r="X181" s="366" t="s">
        <v>375</v>
      </c>
      <c r="Y181" s="564"/>
      <c r="Z181" s="366" t="s">
        <v>383</v>
      </c>
      <c r="AA181" s="366" t="s">
        <v>384</v>
      </c>
      <c r="AB181" s="366" t="s">
        <v>385</v>
      </c>
      <c r="AC181" s="366" t="s">
        <v>375</v>
      </c>
      <c r="AD181" s="564"/>
      <c r="AE181" s="366" t="s">
        <v>383</v>
      </c>
      <c r="AF181" s="366" t="s">
        <v>384</v>
      </c>
      <c r="AG181" s="366" t="s">
        <v>385</v>
      </c>
      <c r="AH181" s="366" t="s">
        <v>375</v>
      </c>
      <c r="AI181" s="564"/>
      <c r="AJ181" s="366" t="s">
        <v>383</v>
      </c>
      <c r="AK181" s="366" t="s">
        <v>384</v>
      </c>
      <c r="AL181" s="366" t="s">
        <v>385</v>
      </c>
      <c r="AM181" s="366" t="s">
        <v>375</v>
      </c>
      <c r="AN181" s="564"/>
      <c r="AO181" s="366" t="s">
        <v>383</v>
      </c>
      <c r="AP181" s="366" t="s">
        <v>384</v>
      </c>
      <c r="AQ181" s="366" t="s">
        <v>385</v>
      </c>
      <c r="AR181" s="366" t="s">
        <v>375</v>
      </c>
      <c r="AS181" s="564"/>
      <c r="AT181" s="370" t="s">
        <v>383</v>
      </c>
      <c r="AU181" s="370" t="s">
        <v>384</v>
      </c>
      <c r="AV181" s="370" t="s">
        <v>385</v>
      </c>
      <c r="AW181" s="370" t="s">
        <v>375</v>
      </c>
      <c r="AX181" s="562"/>
      <c r="AZ181" s="413" t="s">
        <v>375</v>
      </c>
      <c r="BA181" s="562"/>
    </row>
    <row r="182" spans="2:53">
      <c r="B182" s="569" t="s">
        <v>498</v>
      </c>
      <c r="C182" s="371">
        <v>1</v>
      </c>
      <c r="D182" s="398"/>
      <c r="E182" s="398"/>
      <c r="F182" s="398"/>
      <c r="G182" s="182"/>
      <c r="H182" s="578" t="e">
        <f>AVERAGE(G182:G211)</f>
        <v>#DIV/0!</v>
      </c>
      <c r="I182" s="400" t="str">
        <f>IFERROR(AVERAGE(P182,U182,Z182,AE182,AJ182,AO182,AT182),"-")</f>
        <v>-</v>
      </c>
      <c r="J182" s="400" t="str">
        <f>IFERROR(AVERAGE(Q182,V182,AA182,AF182,AK182,AP182,AU182),"-")</f>
        <v>-</v>
      </c>
      <c r="K182" s="200" t="str">
        <f>IFERROR(AVERAGE(R182,W182,AB182,AG182,AL182,AQ182,AV182),"-")</f>
        <v>-</v>
      </c>
      <c r="L182" s="580" t="str">
        <f>IFERROR(AVERAGE(K182:K211),"-")</f>
        <v>-</v>
      </c>
      <c r="M182" s="372" t="e">
        <f>RANK(K182, K$182:$K$211)</f>
        <v>#VALUE!</v>
      </c>
      <c r="N182" s="564"/>
      <c r="O182" s="564"/>
      <c r="P182" s="182"/>
      <c r="Q182" s="182"/>
      <c r="R182" s="182"/>
      <c r="S182" s="371" t="e">
        <f>RANK(R182, R$112:R$141)</f>
        <v>#N/A</v>
      </c>
      <c r="T182" s="572" t="e">
        <f>AVERAGE(R182:R211)</f>
        <v>#DIV/0!</v>
      </c>
      <c r="U182" s="182"/>
      <c r="V182" s="182"/>
      <c r="W182" s="182"/>
      <c r="X182" s="371" t="e">
        <f>RANK(W182, W$112:W$141)</f>
        <v>#N/A</v>
      </c>
      <c r="Y182" s="572" t="e">
        <f>AVERAGE(W182:W211)</f>
        <v>#DIV/0!</v>
      </c>
      <c r="Z182" s="182"/>
      <c r="AA182" s="182"/>
      <c r="AB182" s="182"/>
      <c r="AC182" s="371" t="e">
        <f>RANK(AB182, AB$112:AB$141)</f>
        <v>#N/A</v>
      </c>
      <c r="AD182" s="572" t="e">
        <f>AVERAGE(AB182:AB211)</f>
        <v>#DIV/0!</v>
      </c>
      <c r="AE182" s="182"/>
      <c r="AF182" s="182"/>
      <c r="AG182" s="182"/>
      <c r="AH182" s="371" t="e">
        <f>RANK(AG182, AG$112:AG$141)</f>
        <v>#N/A</v>
      </c>
      <c r="AI182" s="572" t="e">
        <f>AVERAGE(AG182:AG211)</f>
        <v>#DIV/0!</v>
      </c>
      <c r="AJ182" s="182"/>
      <c r="AK182" s="182"/>
      <c r="AL182" s="182"/>
      <c r="AM182" s="371" t="e">
        <f>RANK(AL182, AL$112:AL$141)</f>
        <v>#N/A</v>
      </c>
      <c r="AN182" s="572" t="e">
        <f>AVERAGE(AL182:AL211)</f>
        <v>#DIV/0!</v>
      </c>
      <c r="AO182" s="182"/>
      <c r="AP182" s="182"/>
      <c r="AQ182" s="182"/>
      <c r="AR182" s="371" t="e">
        <f>RANK(AQ182, AQ$112:AQ$141)</f>
        <v>#N/A</v>
      </c>
      <c r="AS182" s="572" t="e">
        <f>AVERAGE(AQ182:AQ211)</f>
        <v>#DIV/0!</v>
      </c>
      <c r="AT182" s="182"/>
      <c r="AU182" s="182"/>
      <c r="AV182" s="182"/>
      <c r="AW182" s="374" t="e">
        <f>RANK(AV182, AV$112:AV$141)</f>
        <v>#N/A</v>
      </c>
      <c r="AX182" s="563" t="e">
        <f>AVERAGE(AV182:AV211)</f>
        <v>#DIV/0!</v>
      </c>
      <c r="AZ182" s="374" t="e">
        <f>RANK(AY182, AY$112:AY$141)</f>
        <v>#N/A</v>
      </c>
      <c r="BA182" s="563" t="e">
        <f>AVERAGE(AY182:AY211)</f>
        <v>#DIV/0!</v>
      </c>
    </row>
    <row r="183" spans="2:53">
      <c r="B183" s="600"/>
      <c r="C183" s="371">
        <v>2</v>
      </c>
      <c r="D183" s="402"/>
      <c r="E183" s="398"/>
      <c r="F183" s="398"/>
      <c r="G183" s="182"/>
      <c r="H183" s="579"/>
      <c r="I183" s="400" t="str">
        <f t="shared" ref="I183:I211" si="87">IFERROR(AVERAGE(P183,U183,Z183,AE183,AJ183,AO183,AT183),"-")</f>
        <v>-</v>
      </c>
      <c r="J183" s="400" t="str">
        <f t="shared" ref="J183:J211" si="88">IFERROR(AVERAGE(Q183,V183,AA183,AF183,AK183,AP183,AU183),"-")</f>
        <v>-</v>
      </c>
      <c r="K183" s="200" t="str">
        <f t="shared" ref="K183:K211" si="89">IFERROR(AVERAGE(R183,W183,AB183,AG183,AL183,AQ183,AV183),"-")</f>
        <v>-</v>
      </c>
      <c r="L183" s="581"/>
      <c r="M183" s="372" t="e">
        <f>RANK(K183, K$182:$K$211)</f>
        <v>#VALUE!</v>
      </c>
      <c r="N183" s="564"/>
      <c r="O183" s="564"/>
      <c r="P183" s="182"/>
      <c r="Q183" s="182"/>
      <c r="R183" s="182"/>
      <c r="S183" s="371" t="e">
        <f t="shared" ref="S183:S211" si="90">RANK(R183, R$112:R$141)</f>
        <v>#N/A</v>
      </c>
      <c r="T183" s="572"/>
      <c r="U183" s="182"/>
      <c r="V183" s="182"/>
      <c r="W183" s="182"/>
      <c r="X183" s="371" t="e">
        <f t="shared" ref="X183:X211" si="91">RANK(W183, W$112:W$141)</f>
        <v>#N/A</v>
      </c>
      <c r="Y183" s="572"/>
      <c r="Z183" s="182"/>
      <c r="AA183" s="182"/>
      <c r="AB183" s="182"/>
      <c r="AC183" s="371" t="e">
        <f t="shared" ref="AC183:AC211" si="92">RANK(AB183, AB$112:AB$141)</f>
        <v>#N/A</v>
      </c>
      <c r="AD183" s="572"/>
      <c r="AE183" s="182"/>
      <c r="AF183" s="182"/>
      <c r="AG183" s="182"/>
      <c r="AH183" s="371" t="e">
        <f t="shared" ref="AH183:AH211" si="93">RANK(AG183, AG$112:AG$141)</f>
        <v>#N/A</v>
      </c>
      <c r="AI183" s="572"/>
      <c r="AJ183" s="182"/>
      <c r="AK183" s="182"/>
      <c r="AL183" s="182"/>
      <c r="AM183" s="371" t="e">
        <f t="shared" ref="AM183:AM211" si="94">RANK(AL183, AL$112:AL$141)</f>
        <v>#N/A</v>
      </c>
      <c r="AN183" s="572"/>
      <c r="AO183" s="182"/>
      <c r="AP183" s="182"/>
      <c r="AQ183" s="182"/>
      <c r="AR183" s="371" t="e">
        <f t="shared" ref="AR183:AR211" si="95">RANK(AQ183, AQ$112:AQ$141)</f>
        <v>#N/A</v>
      </c>
      <c r="AS183" s="572"/>
      <c r="AT183" s="182"/>
      <c r="AU183" s="182"/>
      <c r="AV183" s="182"/>
      <c r="AW183" s="374" t="e">
        <f t="shared" ref="AW183:AW211" si="96">RANK(AV183, AV$112:AV$141)</f>
        <v>#N/A</v>
      </c>
      <c r="AX183" s="563"/>
      <c r="AZ183" s="374" t="e">
        <f t="shared" ref="AZ183:AZ211" si="97">RANK(AY183, AY$112:AY$141)</f>
        <v>#N/A</v>
      </c>
      <c r="BA183" s="563"/>
    </row>
    <row r="184" spans="2:53">
      <c r="B184" s="600"/>
      <c r="C184" s="371">
        <v>3</v>
      </c>
      <c r="D184" s="398"/>
      <c r="E184" s="398"/>
      <c r="F184" s="398"/>
      <c r="G184" s="182"/>
      <c r="H184" s="579"/>
      <c r="I184" s="400" t="str">
        <f t="shared" si="87"/>
        <v>-</v>
      </c>
      <c r="J184" s="400" t="str">
        <f t="shared" si="88"/>
        <v>-</v>
      </c>
      <c r="K184" s="200" t="str">
        <f t="shared" si="89"/>
        <v>-</v>
      </c>
      <c r="L184" s="581"/>
      <c r="M184" s="372" t="e">
        <f>RANK(K184, K$182:$K$211)</f>
        <v>#VALUE!</v>
      </c>
      <c r="N184" s="564"/>
      <c r="O184" s="564"/>
      <c r="P184" s="182"/>
      <c r="Q184" s="182"/>
      <c r="R184" s="182"/>
      <c r="S184" s="371" t="e">
        <f t="shared" si="90"/>
        <v>#N/A</v>
      </c>
      <c r="T184" s="572"/>
      <c r="U184" s="182"/>
      <c r="V184" s="182"/>
      <c r="W184" s="182"/>
      <c r="X184" s="371" t="e">
        <f t="shared" si="91"/>
        <v>#N/A</v>
      </c>
      <c r="Y184" s="572"/>
      <c r="Z184" s="182"/>
      <c r="AA184" s="182"/>
      <c r="AB184" s="182"/>
      <c r="AC184" s="371" t="e">
        <f t="shared" si="92"/>
        <v>#N/A</v>
      </c>
      <c r="AD184" s="572"/>
      <c r="AE184" s="182"/>
      <c r="AF184" s="182"/>
      <c r="AG184" s="182"/>
      <c r="AH184" s="371" t="e">
        <f t="shared" si="93"/>
        <v>#N/A</v>
      </c>
      <c r="AI184" s="572"/>
      <c r="AJ184" s="182"/>
      <c r="AK184" s="182"/>
      <c r="AL184" s="182"/>
      <c r="AM184" s="371" t="e">
        <f t="shared" si="94"/>
        <v>#N/A</v>
      </c>
      <c r="AN184" s="572"/>
      <c r="AO184" s="182"/>
      <c r="AP184" s="182"/>
      <c r="AQ184" s="182"/>
      <c r="AR184" s="371" t="e">
        <f t="shared" si="95"/>
        <v>#N/A</v>
      </c>
      <c r="AS184" s="572"/>
      <c r="AT184" s="182"/>
      <c r="AU184" s="182"/>
      <c r="AV184" s="182"/>
      <c r="AW184" s="374" t="e">
        <f t="shared" si="96"/>
        <v>#N/A</v>
      </c>
      <c r="AX184" s="563"/>
      <c r="AZ184" s="374" t="e">
        <f t="shared" si="97"/>
        <v>#N/A</v>
      </c>
      <c r="BA184" s="563"/>
    </row>
    <row r="185" spans="2:53">
      <c r="B185" s="600"/>
      <c r="C185" s="371">
        <v>4</v>
      </c>
      <c r="D185" s="398"/>
      <c r="E185" s="398"/>
      <c r="F185" s="398"/>
      <c r="G185" s="182"/>
      <c r="H185" s="579"/>
      <c r="I185" s="400" t="str">
        <f t="shared" si="87"/>
        <v>-</v>
      </c>
      <c r="J185" s="400" t="str">
        <f t="shared" si="88"/>
        <v>-</v>
      </c>
      <c r="K185" s="200" t="str">
        <f t="shared" si="89"/>
        <v>-</v>
      </c>
      <c r="L185" s="581"/>
      <c r="M185" s="372" t="e">
        <f>RANK(K185, K$182:$K$211)</f>
        <v>#VALUE!</v>
      </c>
      <c r="N185" s="564"/>
      <c r="O185" s="564"/>
      <c r="P185" s="182"/>
      <c r="Q185" s="182"/>
      <c r="R185" s="182"/>
      <c r="S185" s="371" t="e">
        <f t="shared" si="90"/>
        <v>#N/A</v>
      </c>
      <c r="T185" s="572"/>
      <c r="U185" s="182"/>
      <c r="V185" s="182"/>
      <c r="W185" s="182"/>
      <c r="X185" s="371" t="e">
        <f t="shared" si="91"/>
        <v>#N/A</v>
      </c>
      <c r="Y185" s="572"/>
      <c r="Z185" s="182"/>
      <c r="AA185" s="182"/>
      <c r="AB185" s="182"/>
      <c r="AC185" s="371" t="e">
        <f t="shared" si="92"/>
        <v>#N/A</v>
      </c>
      <c r="AD185" s="572"/>
      <c r="AE185" s="182"/>
      <c r="AF185" s="182"/>
      <c r="AG185" s="182"/>
      <c r="AH185" s="371" t="e">
        <f t="shared" si="93"/>
        <v>#N/A</v>
      </c>
      <c r="AI185" s="572"/>
      <c r="AJ185" s="182"/>
      <c r="AK185" s="182"/>
      <c r="AL185" s="182"/>
      <c r="AM185" s="371" t="e">
        <f t="shared" si="94"/>
        <v>#N/A</v>
      </c>
      <c r="AN185" s="572"/>
      <c r="AO185" s="182"/>
      <c r="AP185" s="182"/>
      <c r="AQ185" s="182"/>
      <c r="AR185" s="371" t="e">
        <f t="shared" si="95"/>
        <v>#N/A</v>
      </c>
      <c r="AS185" s="572"/>
      <c r="AT185" s="182"/>
      <c r="AU185" s="182"/>
      <c r="AV185" s="182"/>
      <c r="AW185" s="374" t="e">
        <f t="shared" si="96"/>
        <v>#N/A</v>
      </c>
      <c r="AX185" s="563"/>
      <c r="AZ185" s="374" t="e">
        <f t="shared" si="97"/>
        <v>#N/A</v>
      </c>
      <c r="BA185" s="563"/>
    </row>
    <row r="186" spans="2:53">
      <c r="B186" s="600"/>
      <c r="C186" s="371">
        <v>5</v>
      </c>
      <c r="D186" s="398"/>
      <c r="E186" s="398"/>
      <c r="F186" s="398"/>
      <c r="G186" s="182"/>
      <c r="H186" s="579"/>
      <c r="I186" s="400" t="str">
        <f t="shared" si="87"/>
        <v>-</v>
      </c>
      <c r="J186" s="400" t="str">
        <f t="shared" si="88"/>
        <v>-</v>
      </c>
      <c r="K186" s="200" t="str">
        <f t="shared" si="89"/>
        <v>-</v>
      </c>
      <c r="L186" s="581"/>
      <c r="M186" s="372" t="e">
        <f>RANK(K186, K$182:$K$211)</f>
        <v>#VALUE!</v>
      </c>
      <c r="N186" s="564"/>
      <c r="O186" s="564"/>
      <c r="P186" s="182"/>
      <c r="Q186" s="182"/>
      <c r="R186" s="182"/>
      <c r="S186" s="371" t="e">
        <f t="shared" si="90"/>
        <v>#N/A</v>
      </c>
      <c r="T186" s="572"/>
      <c r="U186" s="182"/>
      <c r="V186" s="182"/>
      <c r="W186" s="182"/>
      <c r="X186" s="371" t="e">
        <f t="shared" si="91"/>
        <v>#N/A</v>
      </c>
      <c r="Y186" s="572"/>
      <c r="Z186" s="182"/>
      <c r="AA186" s="182"/>
      <c r="AB186" s="182"/>
      <c r="AC186" s="371" t="e">
        <f t="shared" si="92"/>
        <v>#N/A</v>
      </c>
      <c r="AD186" s="572"/>
      <c r="AE186" s="182"/>
      <c r="AF186" s="182"/>
      <c r="AG186" s="182"/>
      <c r="AH186" s="371" t="e">
        <f t="shared" si="93"/>
        <v>#N/A</v>
      </c>
      <c r="AI186" s="572"/>
      <c r="AJ186" s="182"/>
      <c r="AK186" s="182"/>
      <c r="AL186" s="182"/>
      <c r="AM186" s="371" t="e">
        <f t="shared" si="94"/>
        <v>#N/A</v>
      </c>
      <c r="AN186" s="572"/>
      <c r="AO186" s="182"/>
      <c r="AP186" s="182"/>
      <c r="AQ186" s="182"/>
      <c r="AR186" s="371" t="e">
        <f t="shared" si="95"/>
        <v>#N/A</v>
      </c>
      <c r="AS186" s="572"/>
      <c r="AT186" s="182"/>
      <c r="AU186" s="182"/>
      <c r="AV186" s="182"/>
      <c r="AW186" s="374" t="e">
        <f t="shared" si="96"/>
        <v>#N/A</v>
      </c>
      <c r="AX186" s="563"/>
      <c r="AZ186" s="374" t="e">
        <f t="shared" si="97"/>
        <v>#N/A</v>
      </c>
      <c r="BA186" s="563"/>
    </row>
    <row r="187" spans="2:53">
      <c r="B187" s="600"/>
      <c r="C187" s="371">
        <v>6</v>
      </c>
      <c r="D187" s="398"/>
      <c r="E187" s="398"/>
      <c r="F187" s="398"/>
      <c r="G187" s="182"/>
      <c r="H187" s="579"/>
      <c r="I187" s="400" t="str">
        <f t="shared" si="87"/>
        <v>-</v>
      </c>
      <c r="J187" s="400" t="str">
        <f t="shared" si="88"/>
        <v>-</v>
      </c>
      <c r="K187" s="200" t="str">
        <f t="shared" si="89"/>
        <v>-</v>
      </c>
      <c r="L187" s="581"/>
      <c r="M187" s="372" t="e">
        <f>RANK(K187, K$182:$K$211)</f>
        <v>#VALUE!</v>
      </c>
      <c r="N187" s="564"/>
      <c r="O187" s="564"/>
      <c r="P187" s="182"/>
      <c r="Q187" s="182"/>
      <c r="R187" s="182"/>
      <c r="S187" s="371" t="e">
        <f t="shared" si="90"/>
        <v>#N/A</v>
      </c>
      <c r="T187" s="572"/>
      <c r="U187" s="182"/>
      <c r="V187" s="182"/>
      <c r="W187" s="182"/>
      <c r="X187" s="371" t="e">
        <f t="shared" si="91"/>
        <v>#N/A</v>
      </c>
      <c r="Y187" s="572"/>
      <c r="Z187" s="182"/>
      <c r="AA187" s="182"/>
      <c r="AB187" s="182"/>
      <c r="AC187" s="371" t="e">
        <f t="shared" si="92"/>
        <v>#N/A</v>
      </c>
      <c r="AD187" s="572"/>
      <c r="AE187" s="182"/>
      <c r="AF187" s="182"/>
      <c r="AG187" s="182"/>
      <c r="AH187" s="371" t="e">
        <f t="shared" si="93"/>
        <v>#N/A</v>
      </c>
      <c r="AI187" s="572"/>
      <c r="AJ187" s="182"/>
      <c r="AK187" s="182"/>
      <c r="AL187" s="182"/>
      <c r="AM187" s="371" t="e">
        <f t="shared" si="94"/>
        <v>#N/A</v>
      </c>
      <c r="AN187" s="572"/>
      <c r="AO187" s="182"/>
      <c r="AP187" s="182"/>
      <c r="AQ187" s="182"/>
      <c r="AR187" s="371" t="e">
        <f t="shared" si="95"/>
        <v>#N/A</v>
      </c>
      <c r="AS187" s="572"/>
      <c r="AT187" s="182"/>
      <c r="AU187" s="182"/>
      <c r="AV187" s="182"/>
      <c r="AW187" s="374" t="e">
        <f t="shared" si="96"/>
        <v>#N/A</v>
      </c>
      <c r="AX187" s="563"/>
      <c r="AZ187" s="374" t="e">
        <f t="shared" si="97"/>
        <v>#N/A</v>
      </c>
      <c r="BA187" s="563"/>
    </row>
    <row r="188" spans="2:53">
      <c r="B188" s="600"/>
      <c r="C188" s="371">
        <v>7</v>
      </c>
      <c r="D188" s="398"/>
      <c r="E188" s="398"/>
      <c r="F188" s="398"/>
      <c r="G188" s="182"/>
      <c r="H188" s="579"/>
      <c r="I188" s="400" t="str">
        <f t="shared" si="87"/>
        <v>-</v>
      </c>
      <c r="J188" s="400" t="str">
        <f t="shared" si="88"/>
        <v>-</v>
      </c>
      <c r="K188" s="200" t="str">
        <f t="shared" si="89"/>
        <v>-</v>
      </c>
      <c r="L188" s="581"/>
      <c r="M188" s="372" t="e">
        <f>RANK(K188, K$182:$K$211)</f>
        <v>#VALUE!</v>
      </c>
      <c r="N188" s="564"/>
      <c r="O188" s="564"/>
      <c r="P188" s="182"/>
      <c r="Q188" s="182"/>
      <c r="R188" s="182"/>
      <c r="S188" s="371" t="e">
        <f t="shared" si="90"/>
        <v>#N/A</v>
      </c>
      <c r="T188" s="572"/>
      <c r="U188" s="182"/>
      <c r="V188" s="182"/>
      <c r="W188" s="182"/>
      <c r="X188" s="371" t="e">
        <f t="shared" si="91"/>
        <v>#N/A</v>
      </c>
      <c r="Y188" s="572"/>
      <c r="Z188" s="182"/>
      <c r="AA188" s="182"/>
      <c r="AB188" s="182"/>
      <c r="AC188" s="371" t="e">
        <f t="shared" si="92"/>
        <v>#N/A</v>
      </c>
      <c r="AD188" s="572"/>
      <c r="AE188" s="182"/>
      <c r="AF188" s="182"/>
      <c r="AG188" s="182"/>
      <c r="AH188" s="371" t="e">
        <f t="shared" si="93"/>
        <v>#N/A</v>
      </c>
      <c r="AI188" s="572"/>
      <c r="AJ188" s="182"/>
      <c r="AK188" s="182"/>
      <c r="AL188" s="182"/>
      <c r="AM188" s="371" t="e">
        <f t="shared" si="94"/>
        <v>#N/A</v>
      </c>
      <c r="AN188" s="572"/>
      <c r="AO188" s="182"/>
      <c r="AP188" s="182"/>
      <c r="AQ188" s="182"/>
      <c r="AR188" s="371" t="e">
        <f t="shared" si="95"/>
        <v>#N/A</v>
      </c>
      <c r="AS188" s="572"/>
      <c r="AT188" s="182"/>
      <c r="AU188" s="182"/>
      <c r="AV188" s="182"/>
      <c r="AW188" s="374" t="e">
        <f t="shared" si="96"/>
        <v>#N/A</v>
      </c>
      <c r="AX188" s="563"/>
      <c r="AZ188" s="374" t="e">
        <f t="shared" si="97"/>
        <v>#N/A</v>
      </c>
      <c r="BA188" s="563"/>
    </row>
    <row r="189" spans="2:53">
      <c r="B189" s="600"/>
      <c r="C189" s="371">
        <v>8</v>
      </c>
      <c r="D189" s="398"/>
      <c r="E189" s="398"/>
      <c r="F189" s="398"/>
      <c r="G189" s="182"/>
      <c r="H189" s="579"/>
      <c r="I189" s="400" t="str">
        <f t="shared" si="87"/>
        <v>-</v>
      </c>
      <c r="J189" s="400" t="str">
        <f t="shared" si="88"/>
        <v>-</v>
      </c>
      <c r="K189" s="200" t="str">
        <f t="shared" si="89"/>
        <v>-</v>
      </c>
      <c r="L189" s="581"/>
      <c r="M189" s="372" t="e">
        <f>RANK(K189, K$182:$K$211)</f>
        <v>#VALUE!</v>
      </c>
      <c r="N189" s="564"/>
      <c r="O189" s="564"/>
      <c r="P189" s="182"/>
      <c r="Q189" s="182"/>
      <c r="R189" s="182"/>
      <c r="S189" s="371" t="e">
        <f t="shared" si="90"/>
        <v>#N/A</v>
      </c>
      <c r="T189" s="572"/>
      <c r="U189" s="182"/>
      <c r="V189" s="182"/>
      <c r="W189" s="182"/>
      <c r="X189" s="371" t="e">
        <f t="shared" si="91"/>
        <v>#N/A</v>
      </c>
      <c r="Y189" s="572"/>
      <c r="Z189" s="182"/>
      <c r="AA189" s="182"/>
      <c r="AB189" s="182"/>
      <c r="AC189" s="371" t="e">
        <f t="shared" si="92"/>
        <v>#N/A</v>
      </c>
      <c r="AD189" s="572"/>
      <c r="AE189" s="182"/>
      <c r="AF189" s="182"/>
      <c r="AG189" s="182"/>
      <c r="AH189" s="371" t="e">
        <f t="shared" si="93"/>
        <v>#N/A</v>
      </c>
      <c r="AI189" s="572"/>
      <c r="AJ189" s="182"/>
      <c r="AK189" s="182"/>
      <c r="AL189" s="182"/>
      <c r="AM189" s="371" t="e">
        <f t="shared" si="94"/>
        <v>#N/A</v>
      </c>
      <c r="AN189" s="572"/>
      <c r="AO189" s="182"/>
      <c r="AP189" s="182"/>
      <c r="AQ189" s="182"/>
      <c r="AR189" s="371" t="e">
        <f t="shared" si="95"/>
        <v>#N/A</v>
      </c>
      <c r="AS189" s="572"/>
      <c r="AT189" s="182"/>
      <c r="AU189" s="182"/>
      <c r="AV189" s="182"/>
      <c r="AW189" s="374" t="e">
        <f t="shared" si="96"/>
        <v>#N/A</v>
      </c>
      <c r="AX189" s="563"/>
      <c r="AZ189" s="374" t="e">
        <f t="shared" si="97"/>
        <v>#N/A</v>
      </c>
      <c r="BA189" s="563"/>
    </row>
    <row r="190" spans="2:53">
      <c r="B190" s="600"/>
      <c r="C190" s="371">
        <v>9</v>
      </c>
      <c r="D190" s="398"/>
      <c r="E190" s="398"/>
      <c r="F190" s="398"/>
      <c r="G190" s="182"/>
      <c r="H190" s="579"/>
      <c r="I190" s="400" t="str">
        <f t="shared" si="87"/>
        <v>-</v>
      </c>
      <c r="J190" s="400" t="str">
        <f t="shared" si="88"/>
        <v>-</v>
      </c>
      <c r="K190" s="200" t="str">
        <f t="shared" si="89"/>
        <v>-</v>
      </c>
      <c r="L190" s="581"/>
      <c r="M190" s="372" t="e">
        <f>RANK(K190, K$182:$K$211)</f>
        <v>#VALUE!</v>
      </c>
      <c r="N190" s="564"/>
      <c r="O190" s="564"/>
      <c r="P190" s="182"/>
      <c r="Q190" s="182"/>
      <c r="R190" s="182"/>
      <c r="S190" s="371" t="e">
        <f t="shared" si="90"/>
        <v>#N/A</v>
      </c>
      <c r="T190" s="572"/>
      <c r="U190" s="182"/>
      <c r="V190" s="182"/>
      <c r="W190" s="182"/>
      <c r="X190" s="371" t="e">
        <f t="shared" si="91"/>
        <v>#N/A</v>
      </c>
      <c r="Y190" s="572"/>
      <c r="Z190" s="182"/>
      <c r="AA190" s="182"/>
      <c r="AB190" s="182"/>
      <c r="AC190" s="371" t="e">
        <f t="shared" si="92"/>
        <v>#N/A</v>
      </c>
      <c r="AD190" s="572"/>
      <c r="AE190" s="182"/>
      <c r="AF190" s="182"/>
      <c r="AG190" s="182"/>
      <c r="AH190" s="371" t="e">
        <f t="shared" si="93"/>
        <v>#N/A</v>
      </c>
      <c r="AI190" s="572"/>
      <c r="AJ190" s="182"/>
      <c r="AK190" s="182"/>
      <c r="AL190" s="182"/>
      <c r="AM190" s="371" t="e">
        <f t="shared" si="94"/>
        <v>#N/A</v>
      </c>
      <c r="AN190" s="572"/>
      <c r="AO190" s="182"/>
      <c r="AP190" s="182"/>
      <c r="AQ190" s="182"/>
      <c r="AR190" s="371" t="e">
        <f t="shared" si="95"/>
        <v>#N/A</v>
      </c>
      <c r="AS190" s="572"/>
      <c r="AT190" s="182"/>
      <c r="AU190" s="182"/>
      <c r="AV190" s="182"/>
      <c r="AW190" s="374" t="e">
        <f t="shared" si="96"/>
        <v>#N/A</v>
      </c>
      <c r="AX190" s="563"/>
      <c r="AZ190" s="374" t="e">
        <f t="shared" si="97"/>
        <v>#N/A</v>
      </c>
      <c r="BA190" s="563"/>
    </row>
    <row r="191" spans="2:53">
      <c r="B191" s="600"/>
      <c r="C191" s="371">
        <v>10</v>
      </c>
      <c r="D191" s="398"/>
      <c r="E191" s="398"/>
      <c r="F191" s="398"/>
      <c r="G191" s="182"/>
      <c r="H191" s="579"/>
      <c r="I191" s="400" t="str">
        <f t="shared" si="87"/>
        <v>-</v>
      </c>
      <c r="J191" s="400" t="str">
        <f t="shared" si="88"/>
        <v>-</v>
      </c>
      <c r="K191" s="200" t="str">
        <f t="shared" si="89"/>
        <v>-</v>
      </c>
      <c r="L191" s="581"/>
      <c r="M191" s="372" t="e">
        <f>RANK(K191, K$182:$K$211)</f>
        <v>#VALUE!</v>
      </c>
      <c r="N191" s="564"/>
      <c r="O191" s="564"/>
      <c r="P191" s="182"/>
      <c r="Q191" s="182"/>
      <c r="R191" s="182"/>
      <c r="S191" s="371" t="e">
        <f t="shared" si="90"/>
        <v>#N/A</v>
      </c>
      <c r="T191" s="572"/>
      <c r="U191" s="182"/>
      <c r="V191" s="182"/>
      <c r="W191" s="182"/>
      <c r="X191" s="371" t="e">
        <f t="shared" si="91"/>
        <v>#N/A</v>
      </c>
      <c r="Y191" s="572"/>
      <c r="Z191" s="182"/>
      <c r="AA191" s="182"/>
      <c r="AB191" s="182"/>
      <c r="AC191" s="371" t="e">
        <f t="shared" si="92"/>
        <v>#N/A</v>
      </c>
      <c r="AD191" s="572"/>
      <c r="AE191" s="182"/>
      <c r="AF191" s="182"/>
      <c r="AG191" s="182"/>
      <c r="AH191" s="371" t="e">
        <f t="shared" si="93"/>
        <v>#N/A</v>
      </c>
      <c r="AI191" s="572"/>
      <c r="AJ191" s="182"/>
      <c r="AK191" s="182"/>
      <c r="AL191" s="182"/>
      <c r="AM191" s="371" t="e">
        <f t="shared" si="94"/>
        <v>#N/A</v>
      </c>
      <c r="AN191" s="572"/>
      <c r="AO191" s="182"/>
      <c r="AP191" s="182"/>
      <c r="AQ191" s="182"/>
      <c r="AR191" s="371" t="e">
        <f t="shared" si="95"/>
        <v>#N/A</v>
      </c>
      <c r="AS191" s="572"/>
      <c r="AT191" s="182"/>
      <c r="AU191" s="182"/>
      <c r="AV191" s="182"/>
      <c r="AW191" s="374" t="e">
        <f t="shared" si="96"/>
        <v>#N/A</v>
      </c>
      <c r="AX191" s="563"/>
      <c r="AZ191" s="374" t="e">
        <f t="shared" si="97"/>
        <v>#N/A</v>
      </c>
      <c r="BA191" s="563"/>
    </row>
    <row r="192" spans="2:53">
      <c r="B192" s="600"/>
      <c r="C192" s="371">
        <v>11</v>
      </c>
      <c r="D192" s="398"/>
      <c r="E192" s="398"/>
      <c r="F192" s="398"/>
      <c r="G192" s="182"/>
      <c r="H192" s="579"/>
      <c r="I192" s="400" t="str">
        <f t="shared" si="87"/>
        <v>-</v>
      </c>
      <c r="J192" s="400" t="str">
        <f t="shared" si="88"/>
        <v>-</v>
      </c>
      <c r="K192" s="200" t="str">
        <f t="shared" si="89"/>
        <v>-</v>
      </c>
      <c r="L192" s="581"/>
      <c r="M192" s="372" t="e">
        <f>RANK(K192, K$182:$K$211)</f>
        <v>#VALUE!</v>
      </c>
      <c r="N192" s="564"/>
      <c r="O192" s="564"/>
      <c r="P192" s="182"/>
      <c r="Q192" s="182"/>
      <c r="R192" s="182"/>
      <c r="S192" s="371" t="e">
        <f t="shared" si="90"/>
        <v>#N/A</v>
      </c>
      <c r="T192" s="572"/>
      <c r="U192" s="182"/>
      <c r="V192" s="182"/>
      <c r="W192" s="182"/>
      <c r="X192" s="371" t="e">
        <f t="shared" si="91"/>
        <v>#N/A</v>
      </c>
      <c r="Y192" s="572"/>
      <c r="Z192" s="182"/>
      <c r="AA192" s="182"/>
      <c r="AB192" s="182"/>
      <c r="AC192" s="371" t="e">
        <f t="shared" si="92"/>
        <v>#N/A</v>
      </c>
      <c r="AD192" s="572"/>
      <c r="AE192" s="182"/>
      <c r="AF192" s="182"/>
      <c r="AG192" s="182"/>
      <c r="AH192" s="371" t="e">
        <f t="shared" si="93"/>
        <v>#N/A</v>
      </c>
      <c r="AI192" s="572"/>
      <c r="AJ192" s="182"/>
      <c r="AK192" s="182"/>
      <c r="AL192" s="182"/>
      <c r="AM192" s="371" t="e">
        <f t="shared" si="94"/>
        <v>#N/A</v>
      </c>
      <c r="AN192" s="572"/>
      <c r="AO192" s="182"/>
      <c r="AP192" s="182"/>
      <c r="AQ192" s="182"/>
      <c r="AR192" s="371" t="e">
        <f t="shared" si="95"/>
        <v>#N/A</v>
      </c>
      <c r="AS192" s="572"/>
      <c r="AT192" s="182"/>
      <c r="AU192" s="182"/>
      <c r="AV192" s="182"/>
      <c r="AW192" s="374" t="e">
        <f t="shared" si="96"/>
        <v>#N/A</v>
      </c>
      <c r="AX192" s="563"/>
      <c r="AZ192" s="374" t="e">
        <f t="shared" si="97"/>
        <v>#N/A</v>
      </c>
      <c r="BA192" s="563"/>
    </row>
    <row r="193" spans="2:53">
      <c r="B193" s="600"/>
      <c r="C193" s="371">
        <v>12</v>
      </c>
      <c r="D193" s="398"/>
      <c r="E193" s="398"/>
      <c r="F193" s="398"/>
      <c r="G193" s="182"/>
      <c r="H193" s="579"/>
      <c r="I193" s="400" t="str">
        <f t="shared" si="87"/>
        <v>-</v>
      </c>
      <c r="J193" s="400" t="str">
        <f t="shared" si="88"/>
        <v>-</v>
      </c>
      <c r="K193" s="200" t="str">
        <f t="shared" si="89"/>
        <v>-</v>
      </c>
      <c r="L193" s="581"/>
      <c r="M193" s="372" t="e">
        <f>RANK(K193, K$182:$K$211)</f>
        <v>#VALUE!</v>
      </c>
      <c r="N193" s="564"/>
      <c r="O193" s="564"/>
      <c r="P193" s="182"/>
      <c r="Q193" s="182"/>
      <c r="R193" s="182"/>
      <c r="S193" s="371" t="e">
        <f t="shared" si="90"/>
        <v>#N/A</v>
      </c>
      <c r="T193" s="572"/>
      <c r="U193" s="182"/>
      <c r="V193" s="182"/>
      <c r="W193" s="182"/>
      <c r="X193" s="371" t="e">
        <f t="shared" si="91"/>
        <v>#N/A</v>
      </c>
      <c r="Y193" s="572"/>
      <c r="Z193" s="182"/>
      <c r="AA193" s="182"/>
      <c r="AB193" s="182"/>
      <c r="AC193" s="371" t="e">
        <f t="shared" si="92"/>
        <v>#N/A</v>
      </c>
      <c r="AD193" s="572"/>
      <c r="AE193" s="182"/>
      <c r="AF193" s="182"/>
      <c r="AG193" s="182"/>
      <c r="AH193" s="371" t="e">
        <f t="shared" si="93"/>
        <v>#N/A</v>
      </c>
      <c r="AI193" s="572"/>
      <c r="AJ193" s="182"/>
      <c r="AK193" s="182"/>
      <c r="AL193" s="182"/>
      <c r="AM193" s="371" t="e">
        <f t="shared" si="94"/>
        <v>#N/A</v>
      </c>
      <c r="AN193" s="572"/>
      <c r="AO193" s="182"/>
      <c r="AP193" s="182"/>
      <c r="AQ193" s="182"/>
      <c r="AR193" s="371" t="e">
        <f t="shared" si="95"/>
        <v>#N/A</v>
      </c>
      <c r="AS193" s="572"/>
      <c r="AT193" s="182"/>
      <c r="AU193" s="182"/>
      <c r="AV193" s="182"/>
      <c r="AW193" s="374" t="e">
        <f t="shared" si="96"/>
        <v>#N/A</v>
      </c>
      <c r="AX193" s="563"/>
      <c r="AZ193" s="374" t="e">
        <f t="shared" si="97"/>
        <v>#N/A</v>
      </c>
      <c r="BA193" s="563"/>
    </row>
    <row r="194" spans="2:53">
      <c r="B194" s="600"/>
      <c r="C194" s="371">
        <v>13</v>
      </c>
      <c r="D194" s="398"/>
      <c r="E194" s="398"/>
      <c r="F194" s="398"/>
      <c r="G194" s="182"/>
      <c r="H194" s="579"/>
      <c r="I194" s="400" t="str">
        <f t="shared" si="87"/>
        <v>-</v>
      </c>
      <c r="J194" s="400" t="str">
        <f t="shared" si="88"/>
        <v>-</v>
      </c>
      <c r="K194" s="200" t="str">
        <f t="shared" si="89"/>
        <v>-</v>
      </c>
      <c r="L194" s="581"/>
      <c r="M194" s="372" t="e">
        <f>RANK(K194, K$182:$K$211)</f>
        <v>#VALUE!</v>
      </c>
      <c r="N194" s="564"/>
      <c r="O194" s="564"/>
      <c r="P194" s="182"/>
      <c r="Q194" s="182"/>
      <c r="R194" s="182"/>
      <c r="S194" s="371" t="e">
        <f t="shared" si="90"/>
        <v>#N/A</v>
      </c>
      <c r="T194" s="572"/>
      <c r="U194" s="182"/>
      <c r="V194" s="182"/>
      <c r="W194" s="182"/>
      <c r="X194" s="371" t="e">
        <f t="shared" si="91"/>
        <v>#N/A</v>
      </c>
      <c r="Y194" s="572"/>
      <c r="Z194" s="182"/>
      <c r="AA194" s="182"/>
      <c r="AB194" s="182"/>
      <c r="AC194" s="371" t="e">
        <f t="shared" si="92"/>
        <v>#N/A</v>
      </c>
      <c r="AD194" s="572"/>
      <c r="AE194" s="182"/>
      <c r="AF194" s="182"/>
      <c r="AG194" s="182"/>
      <c r="AH194" s="371" t="e">
        <f t="shared" si="93"/>
        <v>#N/A</v>
      </c>
      <c r="AI194" s="572"/>
      <c r="AJ194" s="182"/>
      <c r="AK194" s="182"/>
      <c r="AL194" s="182"/>
      <c r="AM194" s="371" t="e">
        <f t="shared" si="94"/>
        <v>#N/A</v>
      </c>
      <c r="AN194" s="572"/>
      <c r="AO194" s="182"/>
      <c r="AP194" s="182"/>
      <c r="AQ194" s="182"/>
      <c r="AR194" s="371" t="e">
        <f t="shared" si="95"/>
        <v>#N/A</v>
      </c>
      <c r="AS194" s="572"/>
      <c r="AT194" s="182"/>
      <c r="AU194" s="182"/>
      <c r="AV194" s="182"/>
      <c r="AW194" s="374" t="e">
        <f t="shared" si="96"/>
        <v>#N/A</v>
      </c>
      <c r="AX194" s="563"/>
      <c r="AZ194" s="374" t="e">
        <f t="shared" si="97"/>
        <v>#N/A</v>
      </c>
      <c r="BA194" s="563"/>
    </row>
    <row r="195" spans="2:53">
      <c r="B195" s="600"/>
      <c r="C195" s="371">
        <v>14</v>
      </c>
      <c r="D195" s="398"/>
      <c r="E195" s="398"/>
      <c r="F195" s="398"/>
      <c r="G195" s="182"/>
      <c r="H195" s="579"/>
      <c r="I195" s="400" t="str">
        <f t="shared" si="87"/>
        <v>-</v>
      </c>
      <c r="J195" s="400" t="str">
        <f t="shared" si="88"/>
        <v>-</v>
      </c>
      <c r="K195" s="200" t="str">
        <f t="shared" si="89"/>
        <v>-</v>
      </c>
      <c r="L195" s="581"/>
      <c r="M195" s="372" t="e">
        <f>RANK(K195, K$182:$K$211)</f>
        <v>#VALUE!</v>
      </c>
      <c r="N195" s="564"/>
      <c r="O195" s="564"/>
      <c r="P195" s="182"/>
      <c r="Q195" s="182"/>
      <c r="R195" s="182"/>
      <c r="S195" s="371" t="e">
        <f t="shared" si="90"/>
        <v>#N/A</v>
      </c>
      <c r="T195" s="572"/>
      <c r="U195" s="182"/>
      <c r="V195" s="182"/>
      <c r="W195" s="182"/>
      <c r="X195" s="371" t="e">
        <f t="shared" si="91"/>
        <v>#N/A</v>
      </c>
      <c r="Y195" s="572"/>
      <c r="Z195" s="182"/>
      <c r="AA195" s="182"/>
      <c r="AB195" s="182"/>
      <c r="AC195" s="371" t="e">
        <f t="shared" si="92"/>
        <v>#N/A</v>
      </c>
      <c r="AD195" s="572"/>
      <c r="AE195" s="182"/>
      <c r="AF195" s="182"/>
      <c r="AG195" s="182"/>
      <c r="AH195" s="371" t="e">
        <f t="shared" si="93"/>
        <v>#N/A</v>
      </c>
      <c r="AI195" s="572"/>
      <c r="AJ195" s="182"/>
      <c r="AK195" s="182"/>
      <c r="AL195" s="182"/>
      <c r="AM195" s="371" t="e">
        <f t="shared" si="94"/>
        <v>#N/A</v>
      </c>
      <c r="AN195" s="572"/>
      <c r="AO195" s="182"/>
      <c r="AP195" s="182"/>
      <c r="AQ195" s="182"/>
      <c r="AR195" s="371" t="e">
        <f t="shared" si="95"/>
        <v>#N/A</v>
      </c>
      <c r="AS195" s="572"/>
      <c r="AT195" s="182"/>
      <c r="AU195" s="182"/>
      <c r="AV195" s="182"/>
      <c r="AW195" s="374" t="e">
        <f t="shared" si="96"/>
        <v>#N/A</v>
      </c>
      <c r="AX195" s="563"/>
      <c r="AZ195" s="374" t="e">
        <f t="shared" si="97"/>
        <v>#N/A</v>
      </c>
      <c r="BA195" s="563"/>
    </row>
    <row r="196" spans="2:53">
      <c r="B196" s="600"/>
      <c r="C196" s="371">
        <v>15</v>
      </c>
      <c r="D196" s="398"/>
      <c r="E196" s="398"/>
      <c r="F196" s="398"/>
      <c r="G196" s="182"/>
      <c r="H196" s="579"/>
      <c r="I196" s="400" t="str">
        <f t="shared" si="87"/>
        <v>-</v>
      </c>
      <c r="J196" s="400" t="str">
        <f t="shared" si="88"/>
        <v>-</v>
      </c>
      <c r="K196" s="200" t="str">
        <f t="shared" si="89"/>
        <v>-</v>
      </c>
      <c r="L196" s="581"/>
      <c r="M196" s="372" t="e">
        <f>RANK(K196, K$182:$K$211)</f>
        <v>#VALUE!</v>
      </c>
      <c r="N196" s="564"/>
      <c r="O196" s="564"/>
      <c r="P196" s="182"/>
      <c r="Q196" s="182"/>
      <c r="R196" s="182"/>
      <c r="S196" s="371" t="e">
        <f t="shared" si="90"/>
        <v>#N/A</v>
      </c>
      <c r="T196" s="572"/>
      <c r="U196" s="182"/>
      <c r="V196" s="182"/>
      <c r="W196" s="182"/>
      <c r="X196" s="371" t="e">
        <f t="shared" si="91"/>
        <v>#N/A</v>
      </c>
      <c r="Y196" s="572"/>
      <c r="Z196" s="182"/>
      <c r="AA196" s="182"/>
      <c r="AB196" s="182"/>
      <c r="AC196" s="371" t="e">
        <f t="shared" si="92"/>
        <v>#N/A</v>
      </c>
      <c r="AD196" s="572"/>
      <c r="AE196" s="182"/>
      <c r="AF196" s="182"/>
      <c r="AG196" s="182"/>
      <c r="AH196" s="371" t="e">
        <f t="shared" si="93"/>
        <v>#N/A</v>
      </c>
      <c r="AI196" s="572"/>
      <c r="AJ196" s="182"/>
      <c r="AK196" s="182"/>
      <c r="AL196" s="182"/>
      <c r="AM196" s="371" t="e">
        <f t="shared" si="94"/>
        <v>#N/A</v>
      </c>
      <c r="AN196" s="572"/>
      <c r="AO196" s="182"/>
      <c r="AP196" s="182"/>
      <c r="AQ196" s="182"/>
      <c r="AR196" s="371" t="e">
        <f t="shared" si="95"/>
        <v>#N/A</v>
      </c>
      <c r="AS196" s="572"/>
      <c r="AT196" s="182"/>
      <c r="AU196" s="182"/>
      <c r="AV196" s="182"/>
      <c r="AW196" s="374" t="e">
        <f t="shared" si="96"/>
        <v>#N/A</v>
      </c>
      <c r="AX196" s="563"/>
      <c r="AZ196" s="374" t="e">
        <f t="shared" si="97"/>
        <v>#N/A</v>
      </c>
      <c r="BA196" s="563"/>
    </row>
    <row r="197" spans="2:53">
      <c r="B197" s="600"/>
      <c r="C197" s="371">
        <v>16</v>
      </c>
      <c r="D197" s="398"/>
      <c r="E197" s="398"/>
      <c r="F197" s="398"/>
      <c r="G197" s="182"/>
      <c r="H197" s="579"/>
      <c r="I197" s="400" t="str">
        <f t="shared" si="87"/>
        <v>-</v>
      </c>
      <c r="J197" s="400" t="str">
        <f t="shared" si="88"/>
        <v>-</v>
      </c>
      <c r="K197" s="200" t="str">
        <f t="shared" si="89"/>
        <v>-</v>
      </c>
      <c r="L197" s="581"/>
      <c r="M197" s="372" t="e">
        <f>RANK(K197, K$182:$K$211)</f>
        <v>#VALUE!</v>
      </c>
      <c r="N197" s="564"/>
      <c r="O197" s="564"/>
      <c r="P197" s="182"/>
      <c r="Q197" s="182"/>
      <c r="R197" s="182"/>
      <c r="S197" s="371" t="e">
        <f t="shared" si="90"/>
        <v>#N/A</v>
      </c>
      <c r="T197" s="572"/>
      <c r="U197" s="182"/>
      <c r="V197" s="182"/>
      <c r="W197" s="182"/>
      <c r="X197" s="371" t="e">
        <f t="shared" si="91"/>
        <v>#N/A</v>
      </c>
      <c r="Y197" s="572"/>
      <c r="Z197" s="182"/>
      <c r="AA197" s="182"/>
      <c r="AB197" s="182"/>
      <c r="AC197" s="371" t="e">
        <f t="shared" si="92"/>
        <v>#N/A</v>
      </c>
      <c r="AD197" s="572"/>
      <c r="AE197" s="182"/>
      <c r="AF197" s="182"/>
      <c r="AG197" s="182"/>
      <c r="AH197" s="371" t="e">
        <f t="shared" si="93"/>
        <v>#N/A</v>
      </c>
      <c r="AI197" s="572"/>
      <c r="AJ197" s="182"/>
      <c r="AK197" s="182"/>
      <c r="AL197" s="182"/>
      <c r="AM197" s="371" t="e">
        <f t="shared" si="94"/>
        <v>#N/A</v>
      </c>
      <c r="AN197" s="572"/>
      <c r="AO197" s="182"/>
      <c r="AP197" s="182"/>
      <c r="AQ197" s="182"/>
      <c r="AR197" s="371" t="e">
        <f t="shared" si="95"/>
        <v>#N/A</v>
      </c>
      <c r="AS197" s="572"/>
      <c r="AT197" s="182"/>
      <c r="AU197" s="182"/>
      <c r="AV197" s="182"/>
      <c r="AW197" s="374" t="e">
        <f t="shared" si="96"/>
        <v>#N/A</v>
      </c>
      <c r="AX197" s="563"/>
      <c r="AZ197" s="374" t="e">
        <f t="shared" si="97"/>
        <v>#N/A</v>
      </c>
      <c r="BA197" s="563"/>
    </row>
    <row r="198" spans="2:53">
      <c r="B198" s="600"/>
      <c r="C198" s="371">
        <v>17</v>
      </c>
      <c r="D198" s="398"/>
      <c r="E198" s="398"/>
      <c r="F198" s="398"/>
      <c r="G198" s="182"/>
      <c r="H198" s="579"/>
      <c r="I198" s="400" t="str">
        <f t="shared" si="87"/>
        <v>-</v>
      </c>
      <c r="J198" s="400" t="str">
        <f t="shared" si="88"/>
        <v>-</v>
      </c>
      <c r="K198" s="200" t="str">
        <f t="shared" si="89"/>
        <v>-</v>
      </c>
      <c r="L198" s="581"/>
      <c r="M198" s="372" t="e">
        <f>RANK(K198, K$182:$K$211)</f>
        <v>#VALUE!</v>
      </c>
      <c r="N198" s="564"/>
      <c r="O198" s="564"/>
      <c r="P198" s="182"/>
      <c r="Q198" s="182"/>
      <c r="R198" s="182"/>
      <c r="S198" s="371" t="e">
        <f t="shared" si="90"/>
        <v>#N/A</v>
      </c>
      <c r="T198" s="572"/>
      <c r="U198" s="182"/>
      <c r="V198" s="182"/>
      <c r="W198" s="182"/>
      <c r="X198" s="371" t="e">
        <f t="shared" si="91"/>
        <v>#N/A</v>
      </c>
      <c r="Y198" s="572"/>
      <c r="Z198" s="182"/>
      <c r="AA198" s="182"/>
      <c r="AB198" s="182"/>
      <c r="AC198" s="371" t="e">
        <f t="shared" si="92"/>
        <v>#N/A</v>
      </c>
      <c r="AD198" s="572"/>
      <c r="AE198" s="182"/>
      <c r="AF198" s="182"/>
      <c r="AG198" s="182"/>
      <c r="AH198" s="371" t="e">
        <f t="shared" si="93"/>
        <v>#N/A</v>
      </c>
      <c r="AI198" s="572"/>
      <c r="AJ198" s="182"/>
      <c r="AK198" s="182"/>
      <c r="AL198" s="182"/>
      <c r="AM198" s="371" t="e">
        <f t="shared" si="94"/>
        <v>#N/A</v>
      </c>
      <c r="AN198" s="572"/>
      <c r="AO198" s="182"/>
      <c r="AP198" s="182"/>
      <c r="AQ198" s="182"/>
      <c r="AR198" s="371" t="e">
        <f t="shared" si="95"/>
        <v>#N/A</v>
      </c>
      <c r="AS198" s="572"/>
      <c r="AT198" s="182"/>
      <c r="AU198" s="182"/>
      <c r="AV198" s="182"/>
      <c r="AW198" s="374" t="e">
        <f t="shared" si="96"/>
        <v>#N/A</v>
      </c>
      <c r="AX198" s="563"/>
      <c r="AZ198" s="374" t="e">
        <f t="shared" si="97"/>
        <v>#N/A</v>
      </c>
      <c r="BA198" s="563"/>
    </row>
    <row r="199" spans="2:53">
      <c r="B199" s="600"/>
      <c r="C199" s="371">
        <v>18</v>
      </c>
      <c r="D199" s="398"/>
      <c r="E199" s="398"/>
      <c r="F199" s="398"/>
      <c r="G199" s="182"/>
      <c r="H199" s="579"/>
      <c r="I199" s="400" t="str">
        <f t="shared" si="87"/>
        <v>-</v>
      </c>
      <c r="J199" s="400" t="str">
        <f t="shared" si="88"/>
        <v>-</v>
      </c>
      <c r="K199" s="200" t="str">
        <f t="shared" si="89"/>
        <v>-</v>
      </c>
      <c r="L199" s="581"/>
      <c r="M199" s="372" t="e">
        <f>RANK(K199, K$182:$K$211)</f>
        <v>#VALUE!</v>
      </c>
      <c r="N199" s="564"/>
      <c r="O199" s="564"/>
      <c r="P199" s="182"/>
      <c r="Q199" s="182"/>
      <c r="R199" s="182"/>
      <c r="S199" s="371" t="e">
        <f t="shared" si="90"/>
        <v>#N/A</v>
      </c>
      <c r="T199" s="572"/>
      <c r="U199" s="182"/>
      <c r="V199" s="182"/>
      <c r="W199" s="182"/>
      <c r="X199" s="371" t="e">
        <f t="shared" si="91"/>
        <v>#N/A</v>
      </c>
      <c r="Y199" s="572"/>
      <c r="Z199" s="182"/>
      <c r="AA199" s="182"/>
      <c r="AB199" s="182"/>
      <c r="AC199" s="371" t="e">
        <f t="shared" si="92"/>
        <v>#N/A</v>
      </c>
      <c r="AD199" s="572"/>
      <c r="AE199" s="182"/>
      <c r="AF199" s="182"/>
      <c r="AG199" s="182"/>
      <c r="AH199" s="371" t="e">
        <f t="shared" si="93"/>
        <v>#N/A</v>
      </c>
      <c r="AI199" s="572"/>
      <c r="AJ199" s="182"/>
      <c r="AK199" s="182"/>
      <c r="AL199" s="182"/>
      <c r="AM199" s="371" t="e">
        <f t="shared" si="94"/>
        <v>#N/A</v>
      </c>
      <c r="AN199" s="572"/>
      <c r="AO199" s="182"/>
      <c r="AP199" s="182"/>
      <c r="AQ199" s="182"/>
      <c r="AR199" s="371" t="e">
        <f t="shared" si="95"/>
        <v>#N/A</v>
      </c>
      <c r="AS199" s="572"/>
      <c r="AT199" s="182"/>
      <c r="AU199" s="182"/>
      <c r="AV199" s="182"/>
      <c r="AW199" s="374" t="e">
        <f t="shared" si="96"/>
        <v>#N/A</v>
      </c>
      <c r="AX199" s="563"/>
      <c r="AZ199" s="374" t="e">
        <f t="shared" si="97"/>
        <v>#N/A</v>
      </c>
      <c r="BA199" s="563"/>
    </row>
    <row r="200" spans="2:53">
      <c r="B200" s="600"/>
      <c r="C200" s="371">
        <v>19</v>
      </c>
      <c r="D200" s="398"/>
      <c r="E200" s="398"/>
      <c r="F200" s="398"/>
      <c r="G200" s="182"/>
      <c r="H200" s="579"/>
      <c r="I200" s="400" t="str">
        <f t="shared" si="87"/>
        <v>-</v>
      </c>
      <c r="J200" s="400" t="str">
        <f t="shared" si="88"/>
        <v>-</v>
      </c>
      <c r="K200" s="200" t="str">
        <f t="shared" si="89"/>
        <v>-</v>
      </c>
      <c r="L200" s="581"/>
      <c r="M200" s="372" t="e">
        <f>RANK(K200, K$182:$K$211)</f>
        <v>#VALUE!</v>
      </c>
      <c r="N200" s="564"/>
      <c r="O200" s="564"/>
      <c r="P200" s="182"/>
      <c r="Q200" s="182"/>
      <c r="R200" s="182"/>
      <c r="S200" s="371" t="e">
        <f t="shared" si="90"/>
        <v>#N/A</v>
      </c>
      <c r="T200" s="572"/>
      <c r="U200" s="182"/>
      <c r="V200" s="182"/>
      <c r="W200" s="182"/>
      <c r="X200" s="371" t="e">
        <f t="shared" si="91"/>
        <v>#N/A</v>
      </c>
      <c r="Y200" s="572"/>
      <c r="Z200" s="182"/>
      <c r="AA200" s="182"/>
      <c r="AB200" s="182"/>
      <c r="AC200" s="371" t="e">
        <f t="shared" si="92"/>
        <v>#N/A</v>
      </c>
      <c r="AD200" s="572"/>
      <c r="AE200" s="182"/>
      <c r="AF200" s="182"/>
      <c r="AG200" s="182"/>
      <c r="AH200" s="371" t="e">
        <f t="shared" si="93"/>
        <v>#N/A</v>
      </c>
      <c r="AI200" s="572"/>
      <c r="AJ200" s="182"/>
      <c r="AK200" s="182"/>
      <c r="AL200" s="182"/>
      <c r="AM200" s="371" t="e">
        <f t="shared" si="94"/>
        <v>#N/A</v>
      </c>
      <c r="AN200" s="572"/>
      <c r="AO200" s="182"/>
      <c r="AP200" s="182"/>
      <c r="AQ200" s="182"/>
      <c r="AR200" s="371" t="e">
        <f t="shared" si="95"/>
        <v>#N/A</v>
      </c>
      <c r="AS200" s="572"/>
      <c r="AT200" s="182"/>
      <c r="AU200" s="182"/>
      <c r="AV200" s="182"/>
      <c r="AW200" s="374" t="e">
        <f t="shared" si="96"/>
        <v>#N/A</v>
      </c>
      <c r="AX200" s="563"/>
      <c r="AZ200" s="374" t="e">
        <f t="shared" si="97"/>
        <v>#N/A</v>
      </c>
      <c r="BA200" s="563"/>
    </row>
    <row r="201" spans="2:53">
      <c r="B201" s="600"/>
      <c r="C201" s="371">
        <v>20</v>
      </c>
      <c r="D201" s="398"/>
      <c r="E201" s="398"/>
      <c r="F201" s="398"/>
      <c r="G201" s="182"/>
      <c r="H201" s="579"/>
      <c r="I201" s="400" t="str">
        <f t="shared" si="87"/>
        <v>-</v>
      </c>
      <c r="J201" s="400" t="str">
        <f t="shared" si="88"/>
        <v>-</v>
      </c>
      <c r="K201" s="200" t="str">
        <f t="shared" si="89"/>
        <v>-</v>
      </c>
      <c r="L201" s="581"/>
      <c r="M201" s="372" t="e">
        <f>RANK(K201, K$182:$K$211)</f>
        <v>#VALUE!</v>
      </c>
      <c r="N201" s="564"/>
      <c r="O201" s="564"/>
      <c r="P201" s="182"/>
      <c r="Q201" s="182"/>
      <c r="R201" s="182"/>
      <c r="S201" s="371" t="e">
        <f t="shared" si="90"/>
        <v>#N/A</v>
      </c>
      <c r="T201" s="572"/>
      <c r="U201" s="182"/>
      <c r="V201" s="182"/>
      <c r="W201" s="182"/>
      <c r="X201" s="371" t="e">
        <f t="shared" si="91"/>
        <v>#N/A</v>
      </c>
      <c r="Y201" s="572"/>
      <c r="Z201" s="182"/>
      <c r="AA201" s="182"/>
      <c r="AB201" s="182"/>
      <c r="AC201" s="371" t="e">
        <f t="shared" si="92"/>
        <v>#N/A</v>
      </c>
      <c r="AD201" s="572"/>
      <c r="AE201" s="182"/>
      <c r="AF201" s="182"/>
      <c r="AG201" s="182"/>
      <c r="AH201" s="371" t="e">
        <f t="shared" si="93"/>
        <v>#N/A</v>
      </c>
      <c r="AI201" s="572"/>
      <c r="AJ201" s="182"/>
      <c r="AK201" s="182"/>
      <c r="AL201" s="182"/>
      <c r="AM201" s="371" t="e">
        <f t="shared" si="94"/>
        <v>#N/A</v>
      </c>
      <c r="AN201" s="572"/>
      <c r="AO201" s="182"/>
      <c r="AP201" s="182"/>
      <c r="AQ201" s="182"/>
      <c r="AR201" s="371" t="e">
        <f t="shared" si="95"/>
        <v>#N/A</v>
      </c>
      <c r="AS201" s="572"/>
      <c r="AT201" s="182"/>
      <c r="AU201" s="182"/>
      <c r="AV201" s="182"/>
      <c r="AW201" s="374" t="e">
        <f t="shared" si="96"/>
        <v>#N/A</v>
      </c>
      <c r="AX201" s="563"/>
      <c r="AZ201" s="374" t="e">
        <f t="shared" si="97"/>
        <v>#N/A</v>
      </c>
      <c r="BA201" s="563"/>
    </row>
    <row r="202" spans="2:53">
      <c r="B202" s="600"/>
      <c r="C202" s="371">
        <v>21</v>
      </c>
      <c r="D202" s="403"/>
      <c r="E202" s="398"/>
      <c r="F202" s="398"/>
      <c r="G202" s="182"/>
      <c r="H202" s="579"/>
      <c r="I202" s="400" t="str">
        <f t="shared" si="87"/>
        <v>-</v>
      </c>
      <c r="J202" s="400" t="str">
        <f t="shared" si="88"/>
        <v>-</v>
      </c>
      <c r="K202" s="200" t="str">
        <f t="shared" si="89"/>
        <v>-</v>
      </c>
      <c r="L202" s="581"/>
      <c r="M202" s="372" t="e">
        <f>RANK(K202, K$182:$K$211)</f>
        <v>#VALUE!</v>
      </c>
      <c r="N202" s="564"/>
      <c r="O202" s="564"/>
      <c r="P202" s="377"/>
      <c r="Q202" s="182"/>
      <c r="R202" s="378"/>
      <c r="S202" s="371" t="e">
        <f t="shared" si="90"/>
        <v>#N/A</v>
      </c>
      <c r="T202" s="572"/>
      <c r="U202" s="377"/>
      <c r="V202" s="182"/>
      <c r="W202" s="378"/>
      <c r="X202" s="371" t="e">
        <f t="shared" si="91"/>
        <v>#N/A</v>
      </c>
      <c r="Y202" s="572"/>
      <c r="Z202" s="377"/>
      <c r="AA202" s="182"/>
      <c r="AB202" s="378"/>
      <c r="AC202" s="371" t="e">
        <f t="shared" si="92"/>
        <v>#N/A</v>
      </c>
      <c r="AD202" s="572"/>
      <c r="AE202" s="377"/>
      <c r="AF202" s="182"/>
      <c r="AG202" s="378"/>
      <c r="AH202" s="371" t="e">
        <f t="shared" si="93"/>
        <v>#N/A</v>
      </c>
      <c r="AI202" s="572"/>
      <c r="AJ202" s="377"/>
      <c r="AK202" s="182"/>
      <c r="AL202" s="378"/>
      <c r="AM202" s="371" t="e">
        <f t="shared" si="94"/>
        <v>#N/A</v>
      </c>
      <c r="AN202" s="572"/>
      <c r="AO202" s="377"/>
      <c r="AP202" s="182"/>
      <c r="AQ202" s="378"/>
      <c r="AR202" s="371" t="e">
        <f t="shared" si="95"/>
        <v>#N/A</v>
      </c>
      <c r="AS202" s="572"/>
      <c r="AT202" s="377"/>
      <c r="AU202" s="182"/>
      <c r="AV202" s="378"/>
      <c r="AW202" s="374" t="e">
        <f t="shared" si="96"/>
        <v>#N/A</v>
      </c>
      <c r="AX202" s="563"/>
      <c r="AZ202" s="374" t="e">
        <f t="shared" si="97"/>
        <v>#N/A</v>
      </c>
      <c r="BA202" s="563"/>
    </row>
    <row r="203" spans="2:53">
      <c r="B203" s="600"/>
      <c r="C203" s="371">
        <v>22</v>
      </c>
      <c r="D203" s="398"/>
      <c r="E203" s="398"/>
      <c r="F203" s="398"/>
      <c r="G203" s="398"/>
      <c r="H203" s="579"/>
      <c r="I203" s="400" t="str">
        <f t="shared" si="87"/>
        <v>-</v>
      </c>
      <c r="J203" s="400" t="str">
        <f t="shared" si="88"/>
        <v>-</v>
      </c>
      <c r="K203" s="200" t="str">
        <f t="shared" si="89"/>
        <v>-</v>
      </c>
      <c r="L203" s="581"/>
      <c r="M203" s="372" t="e">
        <f>RANK(K203, K$182:$K$211)</f>
        <v>#VALUE!</v>
      </c>
      <c r="N203" s="564"/>
      <c r="O203" s="564"/>
      <c r="P203" s="377"/>
      <c r="Q203" s="182"/>
      <c r="R203" s="378"/>
      <c r="S203" s="371" t="e">
        <f t="shared" si="90"/>
        <v>#N/A</v>
      </c>
      <c r="T203" s="572"/>
      <c r="U203" s="377"/>
      <c r="V203" s="182"/>
      <c r="W203" s="378"/>
      <c r="X203" s="371" t="e">
        <f t="shared" si="91"/>
        <v>#N/A</v>
      </c>
      <c r="Y203" s="572"/>
      <c r="Z203" s="377"/>
      <c r="AA203" s="182"/>
      <c r="AB203" s="378"/>
      <c r="AC203" s="371" t="e">
        <f t="shared" si="92"/>
        <v>#N/A</v>
      </c>
      <c r="AD203" s="572"/>
      <c r="AE203" s="377"/>
      <c r="AF203" s="182"/>
      <c r="AG203" s="378"/>
      <c r="AH203" s="371" t="e">
        <f t="shared" si="93"/>
        <v>#N/A</v>
      </c>
      <c r="AI203" s="572"/>
      <c r="AJ203" s="377"/>
      <c r="AK203" s="182"/>
      <c r="AL203" s="378"/>
      <c r="AM203" s="371" t="e">
        <f t="shared" si="94"/>
        <v>#N/A</v>
      </c>
      <c r="AN203" s="572"/>
      <c r="AO203" s="377"/>
      <c r="AP203" s="182"/>
      <c r="AQ203" s="378"/>
      <c r="AR203" s="371" t="e">
        <f t="shared" si="95"/>
        <v>#N/A</v>
      </c>
      <c r="AS203" s="572"/>
      <c r="AT203" s="377"/>
      <c r="AU203" s="182"/>
      <c r="AV203" s="378"/>
      <c r="AW203" s="374" t="e">
        <f t="shared" si="96"/>
        <v>#N/A</v>
      </c>
      <c r="AX203" s="563"/>
      <c r="AZ203" s="374" t="e">
        <f t="shared" si="97"/>
        <v>#N/A</v>
      </c>
      <c r="BA203" s="563"/>
    </row>
    <row r="204" spans="2:53">
      <c r="B204" s="600"/>
      <c r="C204" s="371">
        <v>23</v>
      </c>
      <c r="D204" s="398"/>
      <c r="E204" s="398"/>
      <c r="F204" s="398"/>
      <c r="G204" s="398"/>
      <c r="H204" s="579"/>
      <c r="I204" s="400" t="str">
        <f t="shared" si="87"/>
        <v>-</v>
      </c>
      <c r="J204" s="400" t="str">
        <f t="shared" si="88"/>
        <v>-</v>
      </c>
      <c r="K204" s="200" t="str">
        <f t="shared" si="89"/>
        <v>-</v>
      </c>
      <c r="L204" s="581"/>
      <c r="M204" s="372" t="e">
        <f>RANK(K204, K$182:$K$211)</f>
        <v>#VALUE!</v>
      </c>
      <c r="N204" s="564"/>
      <c r="O204" s="564"/>
      <c r="P204" s="377"/>
      <c r="Q204" s="377"/>
      <c r="R204" s="378"/>
      <c r="S204" s="371" t="e">
        <f t="shared" si="90"/>
        <v>#N/A</v>
      </c>
      <c r="T204" s="572"/>
      <c r="U204" s="377"/>
      <c r="V204" s="377"/>
      <c r="W204" s="378"/>
      <c r="X204" s="371" t="e">
        <f t="shared" si="91"/>
        <v>#N/A</v>
      </c>
      <c r="Y204" s="572"/>
      <c r="Z204" s="377"/>
      <c r="AA204" s="377"/>
      <c r="AB204" s="378"/>
      <c r="AC204" s="371" t="e">
        <f t="shared" si="92"/>
        <v>#N/A</v>
      </c>
      <c r="AD204" s="572"/>
      <c r="AE204" s="377"/>
      <c r="AF204" s="377"/>
      <c r="AG204" s="378"/>
      <c r="AH204" s="371" t="e">
        <f t="shared" si="93"/>
        <v>#N/A</v>
      </c>
      <c r="AI204" s="572"/>
      <c r="AJ204" s="377"/>
      <c r="AK204" s="377"/>
      <c r="AL204" s="378"/>
      <c r="AM204" s="371" t="e">
        <f t="shared" si="94"/>
        <v>#N/A</v>
      </c>
      <c r="AN204" s="572"/>
      <c r="AO204" s="377"/>
      <c r="AP204" s="377"/>
      <c r="AQ204" s="378"/>
      <c r="AR204" s="371" t="e">
        <f t="shared" si="95"/>
        <v>#N/A</v>
      </c>
      <c r="AS204" s="572"/>
      <c r="AT204" s="377"/>
      <c r="AU204" s="377"/>
      <c r="AV204" s="378"/>
      <c r="AW204" s="374" t="e">
        <f t="shared" si="96"/>
        <v>#N/A</v>
      </c>
      <c r="AX204" s="563"/>
      <c r="AZ204" s="374" t="e">
        <f t="shared" si="97"/>
        <v>#N/A</v>
      </c>
      <c r="BA204" s="563"/>
    </row>
    <row r="205" spans="2:53">
      <c r="B205" s="600"/>
      <c r="C205" s="371">
        <v>24</v>
      </c>
      <c r="D205" s="398"/>
      <c r="E205" s="398"/>
      <c r="F205" s="398"/>
      <c r="G205" s="398"/>
      <c r="H205" s="579"/>
      <c r="I205" s="400" t="str">
        <f t="shared" si="87"/>
        <v>-</v>
      </c>
      <c r="J205" s="400" t="str">
        <f t="shared" si="88"/>
        <v>-</v>
      </c>
      <c r="K205" s="200" t="str">
        <f t="shared" si="89"/>
        <v>-</v>
      </c>
      <c r="L205" s="581"/>
      <c r="M205" s="372" t="e">
        <f>RANK(K205, K$182:$K$211)</f>
        <v>#VALUE!</v>
      </c>
      <c r="N205" s="564"/>
      <c r="O205" s="564"/>
      <c r="P205" s="377"/>
      <c r="Q205" s="377"/>
      <c r="R205" s="377"/>
      <c r="S205" s="371" t="e">
        <f t="shared" si="90"/>
        <v>#N/A</v>
      </c>
      <c r="T205" s="572"/>
      <c r="U205" s="377"/>
      <c r="V205" s="377"/>
      <c r="W205" s="377"/>
      <c r="X205" s="371" t="e">
        <f t="shared" si="91"/>
        <v>#N/A</v>
      </c>
      <c r="Y205" s="572"/>
      <c r="Z205" s="377"/>
      <c r="AA205" s="377"/>
      <c r="AB205" s="377"/>
      <c r="AC205" s="371" t="e">
        <f t="shared" si="92"/>
        <v>#N/A</v>
      </c>
      <c r="AD205" s="572"/>
      <c r="AE205" s="377"/>
      <c r="AF205" s="377"/>
      <c r="AG205" s="377"/>
      <c r="AH205" s="371" t="e">
        <f t="shared" si="93"/>
        <v>#N/A</v>
      </c>
      <c r="AI205" s="572"/>
      <c r="AJ205" s="377"/>
      <c r="AK205" s="377"/>
      <c r="AL205" s="377"/>
      <c r="AM205" s="371" t="e">
        <f t="shared" si="94"/>
        <v>#N/A</v>
      </c>
      <c r="AN205" s="572"/>
      <c r="AO205" s="377"/>
      <c r="AP205" s="377"/>
      <c r="AQ205" s="377"/>
      <c r="AR205" s="371" t="e">
        <f t="shared" si="95"/>
        <v>#N/A</v>
      </c>
      <c r="AS205" s="572"/>
      <c r="AT205" s="377"/>
      <c r="AU205" s="377"/>
      <c r="AV205" s="377"/>
      <c r="AW205" s="374" t="e">
        <f t="shared" si="96"/>
        <v>#N/A</v>
      </c>
      <c r="AX205" s="563"/>
      <c r="AZ205" s="374" t="e">
        <f t="shared" si="97"/>
        <v>#N/A</v>
      </c>
      <c r="BA205" s="563"/>
    </row>
    <row r="206" spans="2:53">
      <c r="B206" s="600"/>
      <c r="C206" s="371">
        <v>25</v>
      </c>
      <c r="D206" s="398"/>
      <c r="E206" s="398"/>
      <c r="F206" s="398"/>
      <c r="G206" s="398"/>
      <c r="H206" s="579"/>
      <c r="I206" s="400" t="str">
        <f t="shared" si="87"/>
        <v>-</v>
      </c>
      <c r="J206" s="400" t="str">
        <f t="shared" si="88"/>
        <v>-</v>
      </c>
      <c r="K206" s="200" t="str">
        <f t="shared" si="89"/>
        <v>-</v>
      </c>
      <c r="L206" s="581"/>
      <c r="M206" s="372" t="e">
        <f>RANK(K206, K$182:$K$211)</f>
        <v>#VALUE!</v>
      </c>
      <c r="N206" s="564"/>
      <c r="O206" s="564"/>
      <c r="P206" s="377"/>
      <c r="Q206" s="377"/>
      <c r="R206" s="377"/>
      <c r="S206" s="371" t="e">
        <f t="shared" si="90"/>
        <v>#N/A</v>
      </c>
      <c r="T206" s="572"/>
      <c r="U206" s="377"/>
      <c r="V206" s="377"/>
      <c r="W206" s="377"/>
      <c r="X206" s="371" t="e">
        <f t="shared" si="91"/>
        <v>#N/A</v>
      </c>
      <c r="Y206" s="572"/>
      <c r="Z206" s="377"/>
      <c r="AA206" s="377"/>
      <c r="AB206" s="377"/>
      <c r="AC206" s="371" t="e">
        <f t="shared" si="92"/>
        <v>#N/A</v>
      </c>
      <c r="AD206" s="572"/>
      <c r="AE206" s="377"/>
      <c r="AF206" s="377"/>
      <c r="AG206" s="377"/>
      <c r="AH206" s="371" t="e">
        <f t="shared" si="93"/>
        <v>#N/A</v>
      </c>
      <c r="AI206" s="572"/>
      <c r="AJ206" s="377"/>
      <c r="AK206" s="377"/>
      <c r="AL206" s="377"/>
      <c r="AM206" s="371" t="e">
        <f t="shared" si="94"/>
        <v>#N/A</v>
      </c>
      <c r="AN206" s="572"/>
      <c r="AO206" s="377"/>
      <c r="AP206" s="377"/>
      <c r="AQ206" s="377"/>
      <c r="AR206" s="371" t="e">
        <f t="shared" si="95"/>
        <v>#N/A</v>
      </c>
      <c r="AS206" s="572"/>
      <c r="AT206" s="377"/>
      <c r="AU206" s="377"/>
      <c r="AV206" s="377"/>
      <c r="AW206" s="374" t="e">
        <f t="shared" si="96"/>
        <v>#N/A</v>
      </c>
      <c r="AX206" s="563"/>
      <c r="AZ206" s="374" t="e">
        <f t="shared" si="97"/>
        <v>#N/A</v>
      </c>
      <c r="BA206" s="563"/>
    </row>
    <row r="207" spans="2:53">
      <c r="B207" s="600"/>
      <c r="C207" s="371">
        <v>26</v>
      </c>
      <c r="D207" s="398"/>
      <c r="E207" s="398"/>
      <c r="F207" s="398"/>
      <c r="G207" s="398"/>
      <c r="H207" s="579"/>
      <c r="I207" s="400" t="str">
        <f t="shared" si="87"/>
        <v>-</v>
      </c>
      <c r="J207" s="400" t="str">
        <f t="shared" si="88"/>
        <v>-</v>
      </c>
      <c r="K207" s="200" t="str">
        <f t="shared" si="89"/>
        <v>-</v>
      </c>
      <c r="L207" s="581"/>
      <c r="M207" s="372" t="e">
        <f>RANK(K207, K$182:$K$211)</f>
        <v>#VALUE!</v>
      </c>
      <c r="N207" s="564"/>
      <c r="O207" s="564"/>
      <c r="P207" s="377"/>
      <c r="Q207" s="377"/>
      <c r="R207" s="377"/>
      <c r="S207" s="371" t="e">
        <f t="shared" si="90"/>
        <v>#N/A</v>
      </c>
      <c r="T207" s="572"/>
      <c r="U207" s="377"/>
      <c r="V207" s="377"/>
      <c r="W207" s="377"/>
      <c r="X207" s="371" t="e">
        <f t="shared" si="91"/>
        <v>#N/A</v>
      </c>
      <c r="Y207" s="572"/>
      <c r="Z207" s="377"/>
      <c r="AA207" s="377"/>
      <c r="AB207" s="377"/>
      <c r="AC207" s="371" t="e">
        <f t="shared" si="92"/>
        <v>#N/A</v>
      </c>
      <c r="AD207" s="572"/>
      <c r="AE207" s="377"/>
      <c r="AF207" s="377"/>
      <c r="AG207" s="377"/>
      <c r="AH207" s="371" t="e">
        <f t="shared" si="93"/>
        <v>#N/A</v>
      </c>
      <c r="AI207" s="572"/>
      <c r="AJ207" s="377"/>
      <c r="AK207" s="377"/>
      <c r="AL207" s="377"/>
      <c r="AM207" s="371" t="e">
        <f t="shared" si="94"/>
        <v>#N/A</v>
      </c>
      <c r="AN207" s="572"/>
      <c r="AO207" s="377"/>
      <c r="AP207" s="377"/>
      <c r="AQ207" s="377"/>
      <c r="AR207" s="371" t="e">
        <f t="shared" si="95"/>
        <v>#N/A</v>
      </c>
      <c r="AS207" s="572"/>
      <c r="AT207" s="377"/>
      <c r="AU207" s="377"/>
      <c r="AV207" s="377"/>
      <c r="AW207" s="374" t="e">
        <f t="shared" si="96"/>
        <v>#N/A</v>
      </c>
      <c r="AX207" s="563"/>
      <c r="AZ207" s="374" t="e">
        <f t="shared" si="97"/>
        <v>#N/A</v>
      </c>
      <c r="BA207" s="563"/>
    </row>
    <row r="208" spans="2:53">
      <c r="B208" s="600"/>
      <c r="C208" s="371">
        <v>27</v>
      </c>
      <c r="D208" s="398"/>
      <c r="E208" s="398"/>
      <c r="F208" s="398"/>
      <c r="G208" s="398"/>
      <c r="H208" s="579"/>
      <c r="I208" s="400" t="str">
        <f t="shared" si="87"/>
        <v>-</v>
      </c>
      <c r="J208" s="400" t="str">
        <f t="shared" si="88"/>
        <v>-</v>
      </c>
      <c r="K208" s="200" t="str">
        <f t="shared" si="89"/>
        <v>-</v>
      </c>
      <c r="L208" s="581"/>
      <c r="M208" s="372" t="e">
        <f>RANK(K208, K$182:$K$211)</f>
        <v>#VALUE!</v>
      </c>
      <c r="N208" s="564"/>
      <c r="O208" s="564"/>
      <c r="P208" s="377"/>
      <c r="Q208" s="377"/>
      <c r="R208" s="377"/>
      <c r="S208" s="371" t="e">
        <f t="shared" si="90"/>
        <v>#N/A</v>
      </c>
      <c r="T208" s="572"/>
      <c r="U208" s="377"/>
      <c r="V208" s="377"/>
      <c r="W208" s="377"/>
      <c r="X208" s="371" t="e">
        <f t="shared" si="91"/>
        <v>#N/A</v>
      </c>
      <c r="Y208" s="572"/>
      <c r="Z208" s="377"/>
      <c r="AA208" s="377"/>
      <c r="AB208" s="377"/>
      <c r="AC208" s="371" t="e">
        <f t="shared" si="92"/>
        <v>#N/A</v>
      </c>
      <c r="AD208" s="572"/>
      <c r="AE208" s="377"/>
      <c r="AF208" s="377"/>
      <c r="AG208" s="377"/>
      <c r="AH208" s="371" t="e">
        <f t="shared" si="93"/>
        <v>#N/A</v>
      </c>
      <c r="AI208" s="572"/>
      <c r="AJ208" s="377"/>
      <c r="AK208" s="377"/>
      <c r="AL208" s="377"/>
      <c r="AM208" s="371" t="e">
        <f t="shared" si="94"/>
        <v>#N/A</v>
      </c>
      <c r="AN208" s="572"/>
      <c r="AO208" s="377"/>
      <c r="AP208" s="377"/>
      <c r="AQ208" s="377"/>
      <c r="AR208" s="371" t="e">
        <f t="shared" si="95"/>
        <v>#N/A</v>
      </c>
      <c r="AS208" s="572"/>
      <c r="AT208" s="377"/>
      <c r="AU208" s="377"/>
      <c r="AV208" s="377"/>
      <c r="AW208" s="374" t="e">
        <f t="shared" si="96"/>
        <v>#N/A</v>
      </c>
      <c r="AX208" s="563"/>
      <c r="AZ208" s="374" t="e">
        <f t="shared" si="97"/>
        <v>#N/A</v>
      </c>
      <c r="BA208" s="563"/>
    </row>
    <row r="209" spans="2:53">
      <c r="B209" s="600"/>
      <c r="C209" s="371">
        <v>28</v>
      </c>
      <c r="D209" s="398"/>
      <c r="E209" s="398"/>
      <c r="F209" s="398"/>
      <c r="G209" s="398"/>
      <c r="H209" s="579"/>
      <c r="I209" s="400" t="str">
        <f t="shared" si="87"/>
        <v>-</v>
      </c>
      <c r="J209" s="400" t="str">
        <f t="shared" si="88"/>
        <v>-</v>
      </c>
      <c r="K209" s="200" t="str">
        <f t="shared" si="89"/>
        <v>-</v>
      </c>
      <c r="L209" s="581"/>
      <c r="M209" s="372" t="e">
        <f>RANK(K209, K$182:$K$211)</f>
        <v>#VALUE!</v>
      </c>
      <c r="N209" s="564"/>
      <c r="O209" s="564"/>
      <c r="P209" s="377"/>
      <c r="Q209" s="377"/>
      <c r="R209" s="377"/>
      <c r="S209" s="371" t="e">
        <f t="shared" si="90"/>
        <v>#N/A</v>
      </c>
      <c r="T209" s="572"/>
      <c r="U209" s="377"/>
      <c r="V209" s="377"/>
      <c r="W209" s="377"/>
      <c r="X209" s="371" t="e">
        <f t="shared" si="91"/>
        <v>#N/A</v>
      </c>
      <c r="Y209" s="572"/>
      <c r="Z209" s="377"/>
      <c r="AA209" s="377"/>
      <c r="AB209" s="377"/>
      <c r="AC209" s="371" t="e">
        <f t="shared" si="92"/>
        <v>#N/A</v>
      </c>
      <c r="AD209" s="572"/>
      <c r="AE209" s="377"/>
      <c r="AF209" s="377"/>
      <c r="AG209" s="377"/>
      <c r="AH209" s="371" t="e">
        <f t="shared" si="93"/>
        <v>#N/A</v>
      </c>
      <c r="AI209" s="572"/>
      <c r="AJ209" s="377"/>
      <c r="AK209" s="377"/>
      <c r="AL209" s="377"/>
      <c r="AM209" s="371" t="e">
        <f t="shared" si="94"/>
        <v>#N/A</v>
      </c>
      <c r="AN209" s="572"/>
      <c r="AO209" s="377"/>
      <c r="AP209" s="377"/>
      <c r="AQ209" s="377"/>
      <c r="AR209" s="371" t="e">
        <f t="shared" si="95"/>
        <v>#N/A</v>
      </c>
      <c r="AS209" s="572"/>
      <c r="AT209" s="377"/>
      <c r="AU209" s="377"/>
      <c r="AV209" s="377"/>
      <c r="AW209" s="374" t="e">
        <f t="shared" si="96"/>
        <v>#N/A</v>
      </c>
      <c r="AX209" s="563"/>
      <c r="AZ209" s="374" t="e">
        <f t="shared" si="97"/>
        <v>#N/A</v>
      </c>
      <c r="BA209" s="563"/>
    </row>
    <row r="210" spans="2:53">
      <c r="B210" s="600"/>
      <c r="C210" s="371">
        <v>29</v>
      </c>
      <c r="D210" s="398"/>
      <c r="E210" s="398"/>
      <c r="F210" s="398"/>
      <c r="G210" s="398"/>
      <c r="H210" s="579"/>
      <c r="I210" s="400" t="str">
        <f t="shared" si="87"/>
        <v>-</v>
      </c>
      <c r="J210" s="400" t="str">
        <f t="shared" si="88"/>
        <v>-</v>
      </c>
      <c r="K210" s="200" t="str">
        <f t="shared" si="89"/>
        <v>-</v>
      </c>
      <c r="L210" s="581"/>
      <c r="M210" s="372" t="e">
        <f>RANK(K210, K$182:$K$211)</f>
        <v>#VALUE!</v>
      </c>
      <c r="N210" s="564"/>
      <c r="O210" s="564"/>
      <c r="P210" s="377"/>
      <c r="Q210" s="377"/>
      <c r="R210" s="377"/>
      <c r="S210" s="371" t="e">
        <f t="shared" si="90"/>
        <v>#N/A</v>
      </c>
      <c r="T210" s="572"/>
      <c r="U210" s="377"/>
      <c r="V210" s="377"/>
      <c r="W210" s="377"/>
      <c r="X210" s="371" t="e">
        <f t="shared" si="91"/>
        <v>#N/A</v>
      </c>
      <c r="Y210" s="572"/>
      <c r="Z210" s="377"/>
      <c r="AA210" s="377"/>
      <c r="AB210" s="377"/>
      <c r="AC210" s="371" t="e">
        <f t="shared" si="92"/>
        <v>#N/A</v>
      </c>
      <c r="AD210" s="572"/>
      <c r="AE210" s="377"/>
      <c r="AF210" s="377"/>
      <c r="AG210" s="377"/>
      <c r="AH210" s="371" t="e">
        <f t="shared" si="93"/>
        <v>#N/A</v>
      </c>
      <c r="AI210" s="572"/>
      <c r="AJ210" s="377"/>
      <c r="AK210" s="377"/>
      <c r="AL210" s="377"/>
      <c r="AM210" s="371" t="e">
        <f t="shared" si="94"/>
        <v>#N/A</v>
      </c>
      <c r="AN210" s="572"/>
      <c r="AO210" s="377"/>
      <c r="AP210" s="377"/>
      <c r="AQ210" s="377"/>
      <c r="AR210" s="371" t="e">
        <f t="shared" si="95"/>
        <v>#N/A</v>
      </c>
      <c r="AS210" s="572"/>
      <c r="AT210" s="377"/>
      <c r="AU210" s="377"/>
      <c r="AV210" s="377"/>
      <c r="AW210" s="374" t="e">
        <f t="shared" si="96"/>
        <v>#N/A</v>
      </c>
      <c r="AX210" s="563"/>
      <c r="AZ210" s="374" t="e">
        <f t="shared" si="97"/>
        <v>#N/A</v>
      </c>
      <c r="BA210" s="563"/>
    </row>
    <row r="211" spans="2:53">
      <c r="B211" s="600"/>
      <c r="C211" s="371">
        <v>30</v>
      </c>
      <c r="D211" s="398"/>
      <c r="E211" s="398"/>
      <c r="F211" s="398"/>
      <c r="G211" s="398"/>
      <c r="H211" s="579"/>
      <c r="I211" s="400" t="str">
        <f t="shared" si="87"/>
        <v>-</v>
      </c>
      <c r="J211" s="400" t="str">
        <f t="shared" si="88"/>
        <v>-</v>
      </c>
      <c r="K211" s="200" t="str">
        <f t="shared" si="89"/>
        <v>-</v>
      </c>
      <c r="L211" s="582"/>
      <c r="M211" s="372" t="e">
        <f>RANK(K211, K$182:$K$211)</f>
        <v>#VALUE!</v>
      </c>
      <c r="N211" s="564"/>
      <c r="O211" s="564"/>
      <c r="P211" s="377"/>
      <c r="Q211" s="377"/>
      <c r="R211" s="377"/>
      <c r="S211" s="371" t="e">
        <f t="shared" si="90"/>
        <v>#N/A</v>
      </c>
      <c r="T211" s="572"/>
      <c r="U211" s="377"/>
      <c r="V211" s="377"/>
      <c r="W211" s="377"/>
      <c r="X211" s="371" t="e">
        <f t="shared" si="91"/>
        <v>#N/A</v>
      </c>
      <c r="Y211" s="572"/>
      <c r="Z211" s="377"/>
      <c r="AA211" s="377"/>
      <c r="AB211" s="377"/>
      <c r="AC211" s="371" t="e">
        <f t="shared" si="92"/>
        <v>#N/A</v>
      </c>
      <c r="AD211" s="572"/>
      <c r="AE211" s="377"/>
      <c r="AF211" s="377"/>
      <c r="AG211" s="377"/>
      <c r="AH211" s="371" t="e">
        <f t="shared" si="93"/>
        <v>#N/A</v>
      </c>
      <c r="AI211" s="572"/>
      <c r="AJ211" s="377"/>
      <c r="AK211" s="377"/>
      <c r="AL211" s="377"/>
      <c r="AM211" s="371" t="e">
        <f t="shared" si="94"/>
        <v>#N/A</v>
      </c>
      <c r="AN211" s="572"/>
      <c r="AO211" s="377"/>
      <c r="AP211" s="377"/>
      <c r="AQ211" s="377"/>
      <c r="AR211" s="371" t="e">
        <f t="shared" si="95"/>
        <v>#N/A</v>
      </c>
      <c r="AS211" s="572"/>
      <c r="AT211" s="377"/>
      <c r="AU211" s="377"/>
      <c r="AV211" s="377"/>
      <c r="AW211" s="374" t="e">
        <f t="shared" si="96"/>
        <v>#N/A</v>
      </c>
      <c r="AX211" s="563"/>
      <c r="AZ211" s="374" t="e">
        <f t="shared" si="97"/>
        <v>#N/A</v>
      </c>
      <c r="BA211" s="563"/>
    </row>
    <row r="213" spans="2:53" ht="15.75">
      <c r="B213" s="573" t="s">
        <v>487</v>
      </c>
      <c r="C213" s="574"/>
      <c r="D213" s="574"/>
      <c r="E213" s="574"/>
      <c r="F213" s="574"/>
      <c r="G213" s="574"/>
      <c r="H213" s="575"/>
      <c r="I213" s="319"/>
      <c r="J213" s="319"/>
      <c r="K213" s="319"/>
      <c r="L213" s="319"/>
      <c r="M213" s="320"/>
    </row>
    <row r="214" spans="2:53" ht="15.75">
      <c r="B214" s="576"/>
      <c r="C214" s="576"/>
      <c r="D214" s="576"/>
      <c r="E214" s="576"/>
      <c r="F214" s="576"/>
      <c r="G214" s="576"/>
      <c r="H214" s="576"/>
      <c r="I214" s="321"/>
      <c r="J214" s="321"/>
      <c r="K214" s="321"/>
      <c r="L214" s="321"/>
      <c r="M214" s="322"/>
    </row>
    <row r="215" spans="2:53">
      <c r="B215" s="564" t="s">
        <v>488</v>
      </c>
      <c r="C215" s="564" t="s">
        <v>489</v>
      </c>
      <c r="D215" s="564"/>
      <c r="E215" s="564" t="s">
        <v>490</v>
      </c>
      <c r="F215" s="564"/>
      <c r="G215" s="564"/>
      <c r="H215" s="564" t="s">
        <v>491</v>
      </c>
      <c r="I215" s="577" t="s">
        <v>492</v>
      </c>
      <c r="J215" s="577"/>
      <c r="K215" s="577"/>
      <c r="L215" s="577" t="s">
        <v>491</v>
      </c>
      <c r="M215" s="577" t="s">
        <v>493</v>
      </c>
    </row>
    <row r="216" spans="2:53">
      <c r="B216" s="564"/>
      <c r="C216" s="564"/>
      <c r="D216" s="564"/>
      <c r="E216" s="564" t="s">
        <v>494</v>
      </c>
      <c r="F216" s="564"/>
      <c r="G216" s="564"/>
      <c r="H216" s="564"/>
      <c r="I216" s="577" t="s">
        <v>494</v>
      </c>
      <c r="J216" s="577"/>
      <c r="K216" s="577"/>
      <c r="L216" s="577"/>
      <c r="M216" s="577"/>
    </row>
    <row r="217" spans="2:53">
      <c r="B217" s="564"/>
      <c r="C217" s="564"/>
      <c r="D217" s="564"/>
      <c r="E217" s="316" t="s">
        <v>495</v>
      </c>
      <c r="F217" s="316" t="s">
        <v>496</v>
      </c>
      <c r="G217" s="316" t="s">
        <v>497</v>
      </c>
      <c r="H217" s="564"/>
      <c r="I217" s="323" t="s">
        <v>495</v>
      </c>
      <c r="J217" s="323" t="s">
        <v>496</v>
      </c>
      <c r="K217" s="323" t="s">
        <v>497</v>
      </c>
      <c r="L217" s="577"/>
      <c r="M217" s="577"/>
    </row>
    <row r="218" spans="2:53">
      <c r="B218" s="569" t="s">
        <v>498</v>
      </c>
      <c r="C218" s="315">
        <v>1</v>
      </c>
      <c r="D218" s="315"/>
      <c r="E218" s="315"/>
      <c r="F218" s="315"/>
      <c r="G218" s="315"/>
      <c r="H218" s="565" t="e">
        <f>AVERAGE(G218:G247)</f>
        <v>#DIV/0!</v>
      </c>
      <c r="I218" s="199" t="e">
        <f t="shared" ref="I218:K240" si="98">AVERAGEIF($D$7:$D$211,$D218,I$7:I$211)</f>
        <v>#DIV/0!</v>
      </c>
      <c r="J218" s="199" t="e">
        <f t="shared" si="98"/>
        <v>#DIV/0!</v>
      </c>
      <c r="K218" s="199" t="e">
        <f>AVERAGEIF($D$7:$D$211,$D218,K$7:K$211)</f>
        <v>#DIV/0!</v>
      </c>
      <c r="L218" s="571" t="e">
        <f>AVERAGE(K218:K247)</f>
        <v>#DIV/0!</v>
      </c>
      <c r="M218" s="199" t="e">
        <f>RANK(K218, K$218:$K$247)</f>
        <v>#DIV/0!</v>
      </c>
    </row>
    <row r="219" spans="2:53">
      <c r="B219" s="570"/>
      <c r="C219" s="315">
        <v>2</v>
      </c>
      <c r="D219" s="315"/>
      <c r="E219" s="315"/>
      <c r="F219" s="315"/>
      <c r="G219" s="388"/>
      <c r="H219" s="565"/>
      <c r="I219" s="199" t="e">
        <f t="shared" si="98"/>
        <v>#DIV/0!</v>
      </c>
      <c r="J219" s="199" t="e">
        <f t="shared" si="98"/>
        <v>#DIV/0!</v>
      </c>
      <c r="K219" s="199" t="e">
        <f t="shared" si="98"/>
        <v>#DIV/0!</v>
      </c>
      <c r="L219" s="571"/>
      <c r="M219" s="199" t="e">
        <f>RANK(K219, K$218:$K$247)</f>
        <v>#DIV/0!</v>
      </c>
    </row>
    <row r="220" spans="2:53">
      <c r="B220" s="570"/>
      <c r="C220" s="315">
        <v>3</v>
      </c>
      <c r="D220" s="315"/>
      <c r="E220" s="315"/>
      <c r="F220" s="388"/>
      <c r="G220" s="315"/>
      <c r="H220" s="565"/>
      <c r="I220" s="199" t="e">
        <f t="shared" si="98"/>
        <v>#DIV/0!</v>
      </c>
      <c r="J220" s="199" t="e">
        <f t="shared" si="98"/>
        <v>#DIV/0!</v>
      </c>
      <c r="K220" s="199" t="e">
        <f t="shared" si="98"/>
        <v>#DIV/0!</v>
      </c>
      <c r="L220" s="571"/>
      <c r="M220" s="199" t="e">
        <f>RANK(K220, K$218:$K$247)</f>
        <v>#DIV/0!</v>
      </c>
    </row>
    <row r="221" spans="2:53">
      <c r="B221" s="570"/>
      <c r="C221" s="315">
        <v>4</v>
      </c>
      <c r="D221" s="315"/>
      <c r="E221" s="315"/>
      <c r="F221" s="388"/>
      <c r="G221" s="388"/>
      <c r="H221" s="565"/>
      <c r="I221" s="199" t="e">
        <f t="shared" si="98"/>
        <v>#DIV/0!</v>
      </c>
      <c r="J221" s="199" t="e">
        <f t="shared" si="98"/>
        <v>#DIV/0!</v>
      </c>
      <c r="K221" s="199" t="e">
        <f t="shared" si="98"/>
        <v>#DIV/0!</v>
      </c>
      <c r="L221" s="571"/>
      <c r="M221" s="199" t="e">
        <f>RANK(K221, K$218:$K$247)</f>
        <v>#DIV/0!</v>
      </c>
    </row>
    <row r="222" spans="2:53">
      <c r="B222" s="570"/>
      <c r="C222" s="315">
        <v>5</v>
      </c>
      <c r="D222" s="315"/>
      <c r="E222" s="315"/>
      <c r="F222" s="388"/>
      <c r="G222" s="388"/>
      <c r="H222" s="565"/>
      <c r="I222" s="199" t="e">
        <f t="shared" si="98"/>
        <v>#DIV/0!</v>
      </c>
      <c r="J222" s="199" t="e">
        <f t="shared" si="98"/>
        <v>#DIV/0!</v>
      </c>
      <c r="K222" s="199" t="e">
        <f t="shared" si="98"/>
        <v>#DIV/0!</v>
      </c>
      <c r="L222" s="571"/>
      <c r="M222" s="199" t="e">
        <f>RANK(K222, K$218:$K$247)</f>
        <v>#DIV/0!</v>
      </c>
    </row>
    <row r="223" spans="2:53">
      <c r="B223" s="570"/>
      <c r="C223" s="315">
        <v>6</v>
      </c>
      <c r="D223" s="315"/>
      <c r="E223" s="315"/>
      <c r="F223" s="388"/>
      <c r="G223" s="388"/>
      <c r="H223" s="565"/>
      <c r="I223" s="199" t="e">
        <f t="shared" si="98"/>
        <v>#DIV/0!</v>
      </c>
      <c r="J223" s="199" t="e">
        <f t="shared" si="98"/>
        <v>#DIV/0!</v>
      </c>
      <c r="K223" s="199" t="e">
        <f t="shared" si="98"/>
        <v>#DIV/0!</v>
      </c>
      <c r="L223" s="571"/>
      <c r="M223" s="199" t="e">
        <f>RANK(K223, K$218:$K$247)</f>
        <v>#DIV/0!</v>
      </c>
    </row>
    <row r="224" spans="2:53">
      <c r="B224" s="570"/>
      <c r="C224" s="315">
        <v>7</v>
      </c>
      <c r="D224" s="387"/>
      <c r="E224" s="315"/>
      <c r="F224" s="388"/>
      <c r="G224" s="388"/>
      <c r="H224" s="565"/>
      <c r="I224" s="199" t="e">
        <f t="shared" si="98"/>
        <v>#DIV/0!</v>
      </c>
      <c r="J224" s="199" t="e">
        <f t="shared" si="98"/>
        <v>#DIV/0!</v>
      </c>
      <c r="K224" s="199" t="e">
        <f t="shared" si="98"/>
        <v>#DIV/0!</v>
      </c>
      <c r="L224" s="571"/>
      <c r="M224" s="199" t="e">
        <f>RANK(K224, K$218:$K$247)</f>
        <v>#DIV/0!</v>
      </c>
    </row>
    <row r="225" spans="2:39">
      <c r="B225" s="570"/>
      <c r="C225" s="315">
        <v>8</v>
      </c>
      <c r="D225" s="387"/>
      <c r="E225" s="315"/>
      <c r="F225" s="388"/>
      <c r="G225" s="388"/>
      <c r="H225" s="565"/>
      <c r="I225" s="199" t="e">
        <f t="shared" si="98"/>
        <v>#DIV/0!</v>
      </c>
      <c r="J225" s="199" t="e">
        <f t="shared" si="98"/>
        <v>#DIV/0!</v>
      </c>
      <c r="K225" s="199" t="e">
        <f t="shared" si="98"/>
        <v>#DIV/0!</v>
      </c>
      <c r="L225" s="571"/>
      <c r="M225" s="199" t="e">
        <f>RANK(K225, K$218:$K$247)</f>
        <v>#DIV/0!</v>
      </c>
      <c r="N225" s="108"/>
      <c r="O225" s="108"/>
      <c r="P225" s="108"/>
      <c r="Q225" s="108"/>
      <c r="R225" s="108"/>
      <c r="S225" s="108"/>
      <c r="T225" s="108"/>
      <c r="X225" s="108"/>
      <c r="AC225" s="108"/>
      <c r="AH225" s="108"/>
      <c r="AM225" s="108"/>
    </row>
    <row r="226" spans="2:39">
      <c r="B226" s="570"/>
      <c r="C226" s="315">
        <v>9</v>
      </c>
      <c r="D226" s="315"/>
      <c r="E226" s="315"/>
      <c r="F226" s="315"/>
      <c r="G226" s="315"/>
      <c r="H226" s="565"/>
      <c r="I226" s="199" t="e">
        <f t="shared" si="98"/>
        <v>#DIV/0!</v>
      </c>
      <c r="J226" s="199" t="e">
        <f t="shared" si="98"/>
        <v>#DIV/0!</v>
      </c>
      <c r="K226" s="199" t="e">
        <f t="shared" si="98"/>
        <v>#DIV/0!</v>
      </c>
      <c r="L226" s="571"/>
      <c r="M226" s="199" t="e">
        <f>RANK(K226, K$218:$K$247)</f>
        <v>#DIV/0!</v>
      </c>
      <c r="N226" s="108"/>
      <c r="O226" s="108"/>
      <c r="P226" s="108"/>
      <c r="Q226" s="108"/>
      <c r="R226" s="108"/>
      <c r="S226" s="108"/>
      <c r="T226" s="108"/>
      <c r="X226" s="108"/>
      <c r="AC226" s="108"/>
      <c r="AH226" s="108"/>
      <c r="AM226" s="108"/>
    </row>
    <row r="227" spans="2:39">
      <c r="B227" s="570"/>
      <c r="C227" s="315">
        <v>10</v>
      </c>
      <c r="D227" s="315"/>
      <c r="E227" s="315"/>
      <c r="F227" s="315"/>
      <c r="G227" s="315"/>
      <c r="H227" s="565"/>
      <c r="I227" s="199" t="e">
        <f t="shared" si="98"/>
        <v>#DIV/0!</v>
      </c>
      <c r="J227" s="199" t="e">
        <f t="shared" si="98"/>
        <v>#DIV/0!</v>
      </c>
      <c r="K227" s="199" t="e">
        <f t="shared" si="98"/>
        <v>#DIV/0!</v>
      </c>
      <c r="L227" s="571"/>
      <c r="M227" s="199" t="e">
        <f>RANK(K227, K$218:$K$247)</f>
        <v>#DIV/0!</v>
      </c>
      <c r="N227" s="108"/>
      <c r="O227" s="108"/>
      <c r="P227" s="108"/>
      <c r="Q227" s="108"/>
      <c r="R227" s="108"/>
      <c r="S227" s="108"/>
      <c r="T227" s="108"/>
      <c r="X227" s="108"/>
      <c r="AC227" s="108"/>
      <c r="AH227" s="108"/>
      <c r="AM227" s="108"/>
    </row>
    <row r="228" spans="2:39">
      <c r="B228" s="570"/>
      <c r="C228" s="315">
        <v>11</v>
      </c>
      <c r="D228" s="315"/>
      <c r="E228" s="315"/>
      <c r="F228" s="315"/>
      <c r="G228" s="315"/>
      <c r="H228" s="565"/>
      <c r="I228" s="199" t="e">
        <f t="shared" si="98"/>
        <v>#DIV/0!</v>
      </c>
      <c r="J228" s="199" t="e">
        <f t="shared" si="98"/>
        <v>#DIV/0!</v>
      </c>
      <c r="K228" s="199" t="e">
        <f t="shared" si="98"/>
        <v>#DIV/0!</v>
      </c>
      <c r="L228" s="571"/>
      <c r="M228" s="199" t="e">
        <f>RANK(K228, K$218:$K$247)</f>
        <v>#DIV/0!</v>
      </c>
      <c r="N228" s="108"/>
      <c r="O228" s="108"/>
      <c r="P228" s="108"/>
      <c r="Q228" s="108"/>
      <c r="R228" s="108"/>
      <c r="S228" s="108"/>
      <c r="T228" s="108"/>
      <c r="X228" s="108"/>
      <c r="AC228" s="108"/>
      <c r="AH228" s="108"/>
      <c r="AM228" s="108"/>
    </row>
    <row r="229" spans="2:39">
      <c r="B229" s="570"/>
      <c r="C229" s="315">
        <v>12</v>
      </c>
      <c r="D229" s="315"/>
      <c r="E229" s="315"/>
      <c r="F229" s="315"/>
      <c r="G229" s="315"/>
      <c r="H229" s="565"/>
      <c r="I229" s="199" t="e">
        <f t="shared" si="98"/>
        <v>#DIV/0!</v>
      </c>
      <c r="J229" s="199" t="e">
        <f t="shared" si="98"/>
        <v>#DIV/0!</v>
      </c>
      <c r="K229" s="199" t="e">
        <f t="shared" si="98"/>
        <v>#DIV/0!</v>
      </c>
      <c r="L229" s="571"/>
      <c r="M229" s="199" t="e">
        <f>RANK(K229, K$218:$K$247)</f>
        <v>#DIV/0!</v>
      </c>
      <c r="N229" s="108"/>
      <c r="O229" s="108"/>
      <c r="P229" s="108"/>
      <c r="Q229" s="108"/>
      <c r="R229" s="108"/>
      <c r="S229" s="108"/>
      <c r="T229" s="108"/>
      <c r="X229" s="108"/>
      <c r="AC229" s="108"/>
      <c r="AH229" s="108"/>
      <c r="AM229" s="108"/>
    </row>
    <row r="230" spans="2:39">
      <c r="B230" s="570"/>
      <c r="C230" s="315">
        <v>13</v>
      </c>
      <c r="D230" s="315"/>
      <c r="E230" s="315"/>
      <c r="F230" s="315"/>
      <c r="G230" s="315"/>
      <c r="H230" s="565"/>
      <c r="I230" s="199" t="e">
        <f t="shared" si="98"/>
        <v>#DIV/0!</v>
      </c>
      <c r="J230" s="199" t="e">
        <f t="shared" si="98"/>
        <v>#DIV/0!</v>
      </c>
      <c r="K230" s="199" t="e">
        <f t="shared" si="98"/>
        <v>#DIV/0!</v>
      </c>
      <c r="L230" s="571"/>
      <c r="M230" s="199" t="e">
        <f>RANK(K230, K$218:$K$247)</f>
        <v>#DIV/0!</v>
      </c>
      <c r="N230" s="108"/>
      <c r="O230" s="108"/>
      <c r="P230" s="108"/>
      <c r="Q230" s="108"/>
      <c r="R230" s="108"/>
      <c r="S230" s="108"/>
      <c r="T230" s="108"/>
      <c r="X230" s="108"/>
      <c r="AC230" s="108"/>
      <c r="AH230" s="108"/>
      <c r="AM230" s="108"/>
    </row>
    <row r="231" spans="2:39">
      <c r="B231" s="570"/>
      <c r="C231" s="315">
        <v>14</v>
      </c>
      <c r="D231" s="315"/>
      <c r="E231" s="315"/>
      <c r="F231" s="315"/>
      <c r="G231" s="315"/>
      <c r="H231" s="565"/>
      <c r="I231" s="199" t="e">
        <f t="shared" si="98"/>
        <v>#DIV/0!</v>
      </c>
      <c r="J231" s="199" t="e">
        <f t="shared" si="98"/>
        <v>#DIV/0!</v>
      </c>
      <c r="K231" s="199" t="e">
        <f t="shared" si="98"/>
        <v>#DIV/0!</v>
      </c>
      <c r="L231" s="571"/>
      <c r="M231" s="199" t="e">
        <f>RANK(K231, K$218:$K$247)</f>
        <v>#DIV/0!</v>
      </c>
      <c r="N231" s="108"/>
      <c r="O231" s="108"/>
      <c r="P231" s="108"/>
      <c r="Q231" s="108"/>
      <c r="R231" s="108"/>
      <c r="S231" s="108"/>
      <c r="T231" s="108"/>
      <c r="X231" s="108"/>
      <c r="AC231" s="108"/>
      <c r="AH231" s="108"/>
      <c r="AM231" s="108"/>
    </row>
    <row r="232" spans="2:39">
      <c r="B232" s="570"/>
      <c r="C232" s="315">
        <v>15</v>
      </c>
      <c r="D232" s="315"/>
      <c r="E232" s="315"/>
      <c r="F232" s="315"/>
      <c r="G232" s="315"/>
      <c r="H232" s="565"/>
      <c r="I232" s="199" t="e">
        <f t="shared" si="98"/>
        <v>#DIV/0!</v>
      </c>
      <c r="J232" s="199" t="e">
        <f t="shared" si="98"/>
        <v>#DIV/0!</v>
      </c>
      <c r="K232" s="199" t="e">
        <f t="shared" si="98"/>
        <v>#DIV/0!</v>
      </c>
      <c r="L232" s="571"/>
      <c r="M232" s="199" t="e">
        <f>RANK(K232, K$218:$K$247)</f>
        <v>#DIV/0!</v>
      </c>
      <c r="N232" s="108"/>
      <c r="O232" s="108"/>
      <c r="P232" s="108"/>
      <c r="Q232" s="108"/>
      <c r="R232" s="108"/>
      <c r="S232" s="108"/>
      <c r="T232" s="108"/>
      <c r="X232" s="108"/>
      <c r="AC232" s="108"/>
      <c r="AH232" s="108"/>
      <c r="AM232" s="108"/>
    </row>
    <row r="233" spans="2:39">
      <c r="B233" s="570"/>
      <c r="C233" s="315">
        <v>16</v>
      </c>
      <c r="D233" s="315"/>
      <c r="E233" s="315"/>
      <c r="F233" s="315"/>
      <c r="G233" s="315"/>
      <c r="H233" s="565"/>
      <c r="I233" s="199" t="e">
        <f t="shared" si="98"/>
        <v>#DIV/0!</v>
      </c>
      <c r="J233" s="199" t="e">
        <f t="shared" si="98"/>
        <v>#DIV/0!</v>
      </c>
      <c r="K233" s="199" t="e">
        <f t="shared" si="98"/>
        <v>#DIV/0!</v>
      </c>
      <c r="L233" s="571"/>
      <c r="M233" s="199" t="e">
        <f>RANK(K233, K$218:$K$247)</f>
        <v>#DIV/0!</v>
      </c>
      <c r="N233" s="108"/>
      <c r="O233" s="108"/>
      <c r="P233" s="108"/>
      <c r="Q233" s="108"/>
      <c r="R233" s="108"/>
      <c r="S233" s="108"/>
      <c r="T233" s="108"/>
      <c r="X233" s="108"/>
      <c r="AC233" s="108"/>
      <c r="AH233" s="108"/>
      <c r="AM233" s="108"/>
    </row>
    <row r="234" spans="2:39">
      <c r="B234" s="570"/>
      <c r="C234" s="315">
        <v>17</v>
      </c>
      <c r="D234" s="315"/>
      <c r="E234" s="315"/>
      <c r="F234" s="315"/>
      <c r="G234" s="315"/>
      <c r="H234" s="565"/>
      <c r="I234" s="199" t="e">
        <f t="shared" si="98"/>
        <v>#DIV/0!</v>
      </c>
      <c r="J234" s="199" t="e">
        <f t="shared" si="98"/>
        <v>#DIV/0!</v>
      </c>
      <c r="K234" s="199" t="e">
        <f t="shared" si="98"/>
        <v>#DIV/0!</v>
      </c>
      <c r="L234" s="571"/>
      <c r="M234" s="199" t="e">
        <f>RANK(K234, K$218:$K$247)</f>
        <v>#DIV/0!</v>
      </c>
      <c r="N234" s="108"/>
      <c r="O234" s="108"/>
      <c r="P234" s="108"/>
      <c r="Q234" s="108"/>
      <c r="R234" s="108"/>
      <c r="S234" s="108"/>
      <c r="T234" s="108"/>
      <c r="X234" s="108"/>
      <c r="AC234" s="108"/>
      <c r="AH234" s="108"/>
      <c r="AM234" s="108"/>
    </row>
    <row r="235" spans="2:39">
      <c r="B235" s="570"/>
      <c r="C235" s="315">
        <v>18</v>
      </c>
      <c r="D235" s="315"/>
      <c r="E235" s="315"/>
      <c r="F235" s="315"/>
      <c r="G235" s="315"/>
      <c r="H235" s="565"/>
      <c r="I235" s="199" t="e">
        <f t="shared" si="98"/>
        <v>#DIV/0!</v>
      </c>
      <c r="J235" s="199" t="e">
        <f t="shared" si="98"/>
        <v>#DIV/0!</v>
      </c>
      <c r="K235" s="199" t="e">
        <f t="shared" si="98"/>
        <v>#DIV/0!</v>
      </c>
      <c r="L235" s="571"/>
      <c r="M235" s="199" t="e">
        <f>RANK(K235, K$218:$K$247)</f>
        <v>#DIV/0!</v>
      </c>
      <c r="N235" s="108"/>
      <c r="O235" s="108"/>
      <c r="P235" s="108"/>
      <c r="Q235" s="108"/>
      <c r="R235" s="108"/>
      <c r="S235" s="108"/>
      <c r="T235" s="108"/>
      <c r="X235" s="108"/>
      <c r="AC235" s="108"/>
      <c r="AH235" s="108"/>
      <c r="AM235" s="108"/>
    </row>
    <row r="236" spans="2:39">
      <c r="B236" s="570"/>
      <c r="C236" s="315">
        <v>19</v>
      </c>
      <c r="D236" s="315"/>
      <c r="E236" s="315"/>
      <c r="F236" s="315"/>
      <c r="G236" s="315"/>
      <c r="H236" s="565"/>
      <c r="I236" s="199" t="e">
        <f t="shared" si="98"/>
        <v>#DIV/0!</v>
      </c>
      <c r="J236" s="199" t="e">
        <f t="shared" si="98"/>
        <v>#DIV/0!</v>
      </c>
      <c r="K236" s="199" t="e">
        <f t="shared" si="98"/>
        <v>#DIV/0!</v>
      </c>
      <c r="L236" s="571"/>
      <c r="M236" s="199" t="e">
        <f>RANK(K236, K$218:$K$247)</f>
        <v>#DIV/0!</v>
      </c>
      <c r="N236" s="108"/>
      <c r="O236" s="108"/>
      <c r="P236" s="108"/>
      <c r="Q236" s="108"/>
      <c r="R236" s="108"/>
      <c r="S236" s="108"/>
      <c r="T236" s="108"/>
      <c r="X236" s="108"/>
      <c r="AC236" s="108"/>
      <c r="AH236" s="108"/>
      <c r="AM236" s="108"/>
    </row>
    <row r="237" spans="2:39">
      <c r="B237" s="570"/>
      <c r="C237" s="315">
        <v>20</v>
      </c>
      <c r="D237" s="315"/>
      <c r="E237" s="315"/>
      <c r="F237" s="315"/>
      <c r="G237" s="315"/>
      <c r="H237" s="565"/>
      <c r="I237" s="199" t="e">
        <f t="shared" si="98"/>
        <v>#DIV/0!</v>
      </c>
      <c r="J237" s="199" t="e">
        <f t="shared" si="98"/>
        <v>#DIV/0!</v>
      </c>
      <c r="K237" s="199" t="e">
        <f t="shared" si="98"/>
        <v>#DIV/0!</v>
      </c>
      <c r="L237" s="571"/>
      <c r="M237" s="199" t="e">
        <f>RANK(K237, K$218:$K$247)</f>
        <v>#DIV/0!</v>
      </c>
      <c r="N237" s="108"/>
      <c r="O237" s="108"/>
      <c r="P237" s="108"/>
      <c r="Q237" s="108"/>
      <c r="R237" s="108"/>
      <c r="S237" s="108"/>
      <c r="T237" s="108"/>
      <c r="X237" s="108"/>
      <c r="AC237" s="108"/>
      <c r="AH237" s="108"/>
      <c r="AM237" s="108"/>
    </row>
    <row r="238" spans="2:39">
      <c r="B238" s="570"/>
      <c r="C238" s="315">
        <v>21</v>
      </c>
      <c r="D238" s="315"/>
      <c r="E238" s="315"/>
      <c r="F238" s="315"/>
      <c r="G238" s="315"/>
      <c r="H238" s="565"/>
      <c r="I238" s="199" t="e">
        <f t="shared" si="98"/>
        <v>#DIV/0!</v>
      </c>
      <c r="J238" s="199" t="e">
        <f t="shared" si="98"/>
        <v>#DIV/0!</v>
      </c>
      <c r="K238" s="199" t="e">
        <f t="shared" si="98"/>
        <v>#DIV/0!</v>
      </c>
      <c r="L238" s="571"/>
      <c r="M238" s="199" t="e">
        <f>RANK(K238, K$218:$K$247)</f>
        <v>#DIV/0!</v>
      </c>
      <c r="N238" s="108"/>
      <c r="O238" s="108"/>
      <c r="P238" s="108"/>
      <c r="Q238" s="108"/>
      <c r="R238" s="108"/>
      <c r="S238" s="108"/>
      <c r="T238" s="108"/>
      <c r="X238" s="108"/>
      <c r="AC238" s="108"/>
      <c r="AH238" s="108"/>
      <c r="AM238" s="108"/>
    </row>
    <row r="239" spans="2:39">
      <c r="B239" s="570"/>
      <c r="C239" s="315">
        <v>22</v>
      </c>
      <c r="D239" s="315"/>
      <c r="E239" s="315"/>
      <c r="F239" s="315"/>
      <c r="G239" s="315"/>
      <c r="H239" s="565"/>
      <c r="I239" s="199" t="e">
        <f t="shared" si="98"/>
        <v>#DIV/0!</v>
      </c>
      <c r="J239" s="199" t="e">
        <f t="shared" si="98"/>
        <v>#DIV/0!</v>
      </c>
      <c r="K239" s="199" t="e">
        <f t="shared" si="98"/>
        <v>#DIV/0!</v>
      </c>
      <c r="L239" s="571"/>
      <c r="M239" s="199" t="e">
        <f>RANK(K239, K$218:$K$247)</f>
        <v>#DIV/0!</v>
      </c>
      <c r="N239" s="108"/>
      <c r="O239" s="108"/>
      <c r="P239" s="108"/>
      <c r="Q239" s="108"/>
      <c r="R239" s="108"/>
      <c r="S239" s="108"/>
      <c r="T239" s="108"/>
      <c r="X239" s="108"/>
      <c r="AC239" s="108"/>
      <c r="AH239" s="108"/>
      <c r="AM239" s="108"/>
    </row>
    <row r="240" spans="2:39">
      <c r="B240" s="570"/>
      <c r="C240" s="315">
        <v>23</v>
      </c>
      <c r="D240" s="315"/>
      <c r="E240" s="315"/>
      <c r="F240" s="315"/>
      <c r="G240" s="315"/>
      <c r="H240" s="565"/>
      <c r="I240" s="199" t="e">
        <f t="shared" si="98"/>
        <v>#DIV/0!</v>
      </c>
      <c r="J240" s="199" t="e">
        <f t="shared" si="98"/>
        <v>#DIV/0!</v>
      </c>
      <c r="K240" s="199" t="e">
        <f t="shared" si="98"/>
        <v>#DIV/0!</v>
      </c>
      <c r="L240" s="571"/>
      <c r="M240" s="199" t="e">
        <f>RANK(K240, K$218:$K$247)</f>
        <v>#DIV/0!</v>
      </c>
      <c r="N240" s="108"/>
      <c r="O240" s="108"/>
      <c r="P240" s="108"/>
      <c r="Q240" s="108"/>
      <c r="R240" s="108"/>
      <c r="S240" s="108"/>
      <c r="T240" s="108"/>
      <c r="X240" s="108"/>
      <c r="AC240" s="108"/>
      <c r="AH240" s="108"/>
      <c r="AM240" s="108"/>
    </row>
    <row r="241" spans="2:39">
      <c r="B241" s="570"/>
      <c r="C241" s="315">
        <v>24</v>
      </c>
      <c r="D241" s="315"/>
      <c r="E241" s="315"/>
      <c r="F241" s="315"/>
      <c r="G241" s="315"/>
      <c r="H241" s="565"/>
      <c r="I241" s="199"/>
      <c r="J241" s="199"/>
      <c r="K241" s="199"/>
      <c r="L241" s="571"/>
      <c r="M241" s="199" t="e">
        <f>RANK(K241, K$218:$K$247)</f>
        <v>#DIV/0!</v>
      </c>
      <c r="N241" s="108"/>
      <c r="O241" s="108"/>
      <c r="P241" s="108"/>
      <c r="Q241" s="108"/>
      <c r="R241" s="108"/>
      <c r="S241" s="108"/>
      <c r="T241" s="108"/>
      <c r="X241" s="108"/>
      <c r="AC241" s="108"/>
      <c r="AH241" s="108"/>
      <c r="AM241" s="108"/>
    </row>
    <row r="242" spans="2:39">
      <c r="B242" s="570"/>
      <c r="C242" s="315">
        <v>25</v>
      </c>
      <c r="D242" s="315"/>
      <c r="E242" s="315"/>
      <c r="F242" s="315"/>
      <c r="G242" s="315"/>
      <c r="H242" s="565"/>
      <c r="I242" s="199"/>
      <c r="J242" s="199"/>
      <c r="K242" s="199"/>
      <c r="L242" s="571"/>
      <c r="M242" s="199" t="e">
        <f>RANK(K242, K$218:$K$247)</f>
        <v>#DIV/0!</v>
      </c>
      <c r="N242" s="108"/>
      <c r="O242" s="108"/>
      <c r="P242" s="108"/>
      <c r="Q242" s="108"/>
      <c r="R242" s="108"/>
      <c r="S242" s="108"/>
      <c r="T242" s="108"/>
      <c r="X242" s="108"/>
      <c r="AC242" s="108"/>
      <c r="AH242" s="108"/>
      <c r="AM242" s="108"/>
    </row>
    <row r="243" spans="2:39">
      <c r="B243" s="570"/>
      <c r="C243" s="315">
        <v>26</v>
      </c>
      <c r="D243" s="315"/>
      <c r="E243" s="315"/>
      <c r="F243" s="315"/>
      <c r="G243" s="315"/>
      <c r="H243" s="565"/>
      <c r="I243" s="199"/>
      <c r="J243" s="199"/>
      <c r="K243" s="199"/>
      <c r="L243" s="571"/>
      <c r="M243" s="199" t="e">
        <f>RANK(K243, K$218:$K$247)</f>
        <v>#DIV/0!</v>
      </c>
      <c r="N243" s="108"/>
      <c r="O243" s="108"/>
      <c r="P243" s="108"/>
      <c r="Q243" s="108"/>
      <c r="R243" s="108"/>
      <c r="S243" s="108"/>
      <c r="T243" s="108"/>
      <c r="X243" s="108"/>
      <c r="AC243" s="108"/>
      <c r="AH243" s="108"/>
      <c r="AM243" s="108"/>
    </row>
    <row r="244" spans="2:39">
      <c r="B244" s="570"/>
      <c r="C244" s="315">
        <v>27</v>
      </c>
      <c r="D244" s="315"/>
      <c r="E244" s="315"/>
      <c r="F244" s="315"/>
      <c r="G244" s="315"/>
      <c r="H244" s="565"/>
      <c r="I244" s="199"/>
      <c r="J244" s="199"/>
      <c r="K244" s="199"/>
      <c r="L244" s="571"/>
      <c r="M244" s="199" t="e">
        <f>RANK(K244, K$218:$K$247)</f>
        <v>#DIV/0!</v>
      </c>
      <c r="N244" s="108"/>
      <c r="O244" s="108"/>
      <c r="P244" s="108"/>
      <c r="Q244" s="108"/>
      <c r="R244" s="108"/>
      <c r="S244" s="108"/>
      <c r="T244" s="108"/>
      <c r="X244" s="108"/>
      <c r="AC244" s="108"/>
      <c r="AH244" s="108"/>
      <c r="AM244" s="108"/>
    </row>
    <row r="245" spans="2:39">
      <c r="B245" s="570"/>
      <c r="C245" s="315">
        <v>28</v>
      </c>
      <c r="D245" s="315"/>
      <c r="E245" s="315"/>
      <c r="F245" s="315"/>
      <c r="G245" s="315"/>
      <c r="H245" s="565"/>
      <c r="I245" s="199"/>
      <c r="J245" s="199"/>
      <c r="K245" s="199"/>
      <c r="L245" s="571"/>
      <c r="M245" s="199" t="e">
        <f>RANK(K245, K$218:$K$247)</f>
        <v>#DIV/0!</v>
      </c>
      <c r="N245" s="108"/>
      <c r="O245" s="108"/>
      <c r="P245" s="108"/>
      <c r="Q245" s="108"/>
      <c r="R245" s="108"/>
      <c r="S245" s="108"/>
      <c r="T245" s="108"/>
      <c r="X245" s="108"/>
      <c r="AC245" s="108"/>
      <c r="AH245" s="108"/>
      <c r="AM245" s="108"/>
    </row>
    <row r="246" spans="2:39">
      <c r="B246" s="570"/>
      <c r="C246" s="315">
        <v>29</v>
      </c>
      <c r="D246" s="315"/>
      <c r="E246" s="315"/>
      <c r="F246" s="315"/>
      <c r="G246" s="315"/>
      <c r="H246" s="565"/>
      <c r="I246" s="199"/>
      <c r="J246" s="199"/>
      <c r="K246" s="199"/>
      <c r="L246" s="571"/>
      <c r="M246" s="199" t="e">
        <f>RANK(K246, K$218:$K$247)</f>
        <v>#DIV/0!</v>
      </c>
      <c r="N246" s="108"/>
      <c r="O246" s="108"/>
      <c r="P246" s="108"/>
      <c r="Q246" s="108"/>
      <c r="R246" s="108"/>
      <c r="S246" s="108"/>
      <c r="T246" s="108"/>
      <c r="X246" s="108"/>
      <c r="AC246" s="108"/>
      <c r="AH246" s="108"/>
      <c r="AM246" s="108"/>
    </row>
    <row r="247" spans="2:39">
      <c r="B247" s="570"/>
      <c r="C247" s="315">
        <v>30</v>
      </c>
      <c r="D247" s="315"/>
      <c r="E247" s="315"/>
      <c r="F247" s="315"/>
      <c r="G247" s="315"/>
      <c r="H247" s="565"/>
      <c r="I247" s="199"/>
      <c r="J247" s="199"/>
      <c r="K247" s="199"/>
      <c r="L247" s="571"/>
      <c r="M247" s="199" t="e">
        <f>RANK(K247, K$218:$K$247)</f>
        <v>#DIV/0!</v>
      </c>
      <c r="N247" s="108"/>
      <c r="O247" s="108"/>
      <c r="P247" s="108"/>
      <c r="Q247" s="108"/>
      <c r="R247" s="108"/>
      <c r="S247" s="108"/>
      <c r="T247" s="108"/>
      <c r="X247" s="108"/>
      <c r="AC247" s="108"/>
      <c r="AH247" s="108"/>
      <c r="AM247" s="108"/>
    </row>
    <row r="250" spans="2:39">
      <c r="D250" s="388" t="s">
        <v>343</v>
      </c>
      <c r="E250" s="388">
        <v>4</v>
      </c>
      <c r="F250" s="388">
        <v>2700</v>
      </c>
      <c r="G250" s="388">
        <f>F250/E250</f>
        <v>675</v>
      </c>
      <c r="H250" s="107">
        <v>704.2</v>
      </c>
      <c r="N250" s="108"/>
      <c r="O250" s="108"/>
      <c r="P250" s="108"/>
      <c r="Q250" s="108"/>
      <c r="R250" s="108"/>
      <c r="S250" s="108"/>
      <c r="T250" s="108"/>
      <c r="X250" s="108"/>
      <c r="AC250" s="108"/>
      <c r="AH250" s="108"/>
      <c r="AM250" s="108"/>
    </row>
    <row r="251" spans="2:39">
      <c r="D251" s="388" t="s">
        <v>345</v>
      </c>
      <c r="E251" s="388">
        <v>3</v>
      </c>
      <c r="F251" s="388">
        <v>2700</v>
      </c>
      <c r="G251" s="388">
        <f t="shared" ref="G251:G255" si="99">F251/E251</f>
        <v>900</v>
      </c>
      <c r="N251" s="108"/>
      <c r="O251" s="108"/>
      <c r="P251" s="108"/>
      <c r="Q251" s="108"/>
      <c r="R251" s="108"/>
      <c r="S251" s="108"/>
      <c r="T251" s="108"/>
      <c r="X251" s="108"/>
      <c r="AC251" s="108"/>
      <c r="AH251" s="108"/>
      <c r="AM251" s="108"/>
    </row>
    <row r="252" spans="2:39">
      <c r="D252" s="388" t="s">
        <v>346</v>
      </c>
      <c r="E252" s="388">
        <v>4</v>
      </c>
      <c r="F252" s="388">
        <v>2700</v>
      </c>
      <c r="G252" s="388">
        <f t="shared" si="99"/>
        <v>675</v>
      </c>
      <c r="N252" s="108"/>
      <c r="O252" s="108"/>
      <c r="P252" s="108"/>
      <c r="Q252" s="108"/>
      <c r="R252" s="108"/>
      <c r="S252" s="108"/>
      <c r="T252" s="108"/>
      <c r="X252" s="108"/>
      <c r="AC252" s="108"/>
      <c r="AH252" s="108"/>
      <c r="AM252" s="108"/>
    </row>
    <row r="253" spans="2:39">
      <c r="D253" s="388" t="s">
        <v>529</v>
      </c>
      <c r="E253" s="388">
        <v>4</v>
      </c>
      <c r="F253" s="388">
        <v>2700</v>
      </c>
      <c r="G253" s="388">
        <f t="shared" si="99"/>
        <v>675</v>
      </c>
      <c r="N253" s="108"/>
      <c r="O253" s="108"/>
      <c r="P253" s="108"/>
      <c r="Q253" s="108"/>
      <c r="R253" s="108"/>
      <c r="S253" s="108"/>
      <c r="T253" s="108"/>
      <c r="X253" s="108"/>
      <c r="AC253" s="108"/>
      <c r="AH253" s="108"/>
      <c r="AM253" s="108"/>
    </row>
    <row r="254" spans="2:39">
      <c r="D254" s="387" t="s">
        <v>584</v>
      </c>
      <c r="E254" s="388">
        <v>4</v>
      </c>
      <c r="F254" s="388">
        <v>2600</v>
      </c>
      <c r="G254" s="388">
        <f t="shared" si="99"/>
        <v>650</v>
      </c>
      <c r="N254" s="108"/>
      <c r="O254" s="108"/>
      <c r="P254" s="108"/>
      <c r="Q254" s="108"/>
      <c r="R254" s="108"/>
      <c r="S254" s="108"/>
      <c r="T254" s="108"/>
      <c r="X254" s="108"/>
      <c r="AC254" s="108"/>
      <c r="AH254" s="108"/>
      <c r="AM254" s="108"/>
    </row>
    <row r="255" spans="2:39">
      <c r="D255" s="387" t="s">
        <v>585</v>
      </c>
      <c r="E255" s="388">
        <v>4</v>
      </c>
      <c r="F255" s="388">
        <v>2600</v>
      </c>
      <c r="G255" s="388">
        <f t="shared" si="99"/>
        <v>650</v>
      </c>
      <c r="N255" s="108"/>
      <c r="O255" s="108"/>
      <c r="P255" s="108"/>
      <c r="Q255" s="108"/>
      <c r="R255" s="108"/>
      <c r="S255" s="108"/>
      <c r="T255" s="108"/>
      <c r="X255" s="108"/>
      <c r="AC255" s="108"/>
      <c r="AH255" s="108"/>
      <c r="AM255" s="108"/>
    </row>
    <row r="257" spans="4:8" s="108" customFormat="1">
      <c r="D257" s="388" t="s">
        <v>343</v>
      </c>
      <c r="E257" s="388">
        <v>4</v>
      </c>
      <c r="F257" s="388">
        <v>3300</v>
      </c>
      <c r="G257" s="388">
        <f>F257/E257</f>
        <v>825</v>
      </c>
      <c r="H257" s="107">
        <v>845.8</v>
      </c>
    </row>
    <row r="258" spans="4:8" s="108" customFormat="1">
      <c r="D258" s="388" t="s">
        <v>345</v>
      </c>
      <c r="E258" s="388">
        <v>3</v>
      </c>
      <c r="F258" s="388">
        <v>3300</v>
      </c>
      <c r="G258" s="388">
        <f t="shared" ref="G258:G262" si="100">F258/E258</f>
        <v>1100</v>
      </c>
      <c r="H258" s="107"/>
    </row>
    <row r="259" spans="4:8" s="108" customFormat="1">
      <c r="D259" s="388" t="s">
        <v>346</v>
      </c>
      <c r="E259" s="388">
        <v>4</v>
      </c>
      <c r="F259" s="388">
        <v>3300</v>
      </c>
      <c r="G259" s="388">
        <f t="shared" si="100"/>
        <v>825</v>
      </c>
      <c r="H259" s="107"/>
    </row>
    <row r="260" spans="4:8" s="108" customFormat="1">
      <c r="D260" s="388" t="s">
        <v>529</v>
      </c>
      <c r="E260" s="388">
        <v>4</v>
      </c>
      <c r="F260" s="388">
        <v>3100</v>
      </c>
      <c r="G260" s="388">
        <f t="shared" si="100"/>
        <v>775</v>
      </c>
      <c r="H260" s="107"/>
    </row>
    <row r="261" spans="4:8" s="108" customFormat="1">
      <c r="D261" s="387" t="s">
        <v>584</v>
      </c>
      <c r="E261" s="388">
        <v>4</v>
      </c>
      <c r="F261" s="388">
        <v>3100</v>
      </c>
      <c r="G261" s="388">
        <f t="shared" si="100"/>
        <v>775</v>
      </c>
      <c r="H261" s="107"/>
    </row>
    <row r="262" spans="4:8" s="108" customFormat="1">
      <c r="D262" s="387" t="s">
        <v>585</v>
      </c>
      <c r="E262" s="388">
        <v>4</v>
      </c>
      <c r="F262" s="388">
        <v>3100</v>
      </c>
      <c r="G262" s="388">
        <f t="shared" si="100"/>
        <v>775</v>
      </c>
      <c r="H262" s="107"/>
    </row>
  </sheetData>
  <mergeCells count="379">
    <mergeCell ref="L112:L141"/>
    <mergeCell ref="I144:K144"/>
    <mergeCell ref="L144:L146"/>
    <mergeCell ref="I145:K145"/>
    <mergeCell ref="L147:L176"/>
    <mergeCell ref="I39:K39"/>
    <mergeCell ref="L39:L41"/>
    <mergeCell ref="I40:K40"/>
    <mergeCell ref="L42:L71"/>
    <mergeCell ref="I74:K74"/>
    <mergeCell ref="L74:L76"/>
    <mergeCell ref="I75:K75"/>
    <mergeCell ref="L77:L106"/>
    <mergeCell ref="I109:K109"/>
    <mergeCell ref="L109:L111"/>
    <mergeCell ref="I110:K110"/>
    <mergeCell ref="AJ110:AM110"/>
    <mergeCell ref="AO110:AR110"/>
    <mergeCell ref="AT110:AW110"/>
    <mergeCell ref="T109:T111"/>
    <mergeCell ref="Y109:Y111"/>
    <mergeCell ref="I4:K4"/>
    <mergeCell ref="L4:L6"/>
    <mergeCell ref="I5:K5"/>
    <mergeCell ref="L7:L36"/>
    <mergeCell ref="AN39:AN41"/>
    <mergeCell ref="AO109:AR109"/>
    <mergeCell ref="AT109:AW109"/>
    <mergeCell ref="P110:S110"/>
    <mergeCell ref="U110:X110"/>
    <mergeCell ref="Z110:AC110"/>
    <mergeCell ref="AE110:AH110"/>
    <mergeCell ref="AE72:AI72"/>
    <mergeCell ref="AE107:AI107"/>
    <mergeCell ref="AS74:AS76"/>
    <mergeCell ref="AE74:AH74"/>
    <mergeCell ref="AI74:AI76"/>
    <mergeCell ref="AN74:AN76"/>
    <mergeCell ref="AJ74:AM74"/>
    <mergeCell ref="AE108:AI108"/>
    <mergeCell ref="AO144:AR144"/>
    <mergeCell ref="AT144:AW144"/>
    <mergeCell ref="P145:S145"/>
    <mergeCell ref="U145:X145"/>
    <mergeCell ref="Z145:AC145"/>
    <mergeCell ref="AE145:AH145"/>
    <mergeCell ref="AJ145:AM145"/>
    <mergeCell ref="AO145:AR145"/>
    <mergeCell ref="AT145:AW145"/>
    <mergeCell ref="P144:S144"/>
    <mergeCell ref="U144:X144"/>
    <mergeCell ref="AD144:AD146"/>
    <mergeCell ref="AI144:AI146"/>
    <mergeCell ref="AN144:AN146"/>
    <mergeCell ref="Z144:AC144"/>
    <mergeCell ref="AE144:AH144"/>
    <mergeCell ref="AJ144:AM144"/>
    <mergeCell ref="M144:M146"/>
    <mergeCell ref="AO75:AR75"/>
    <mergeCell ref="AT75:AW75"/>
    <mergeCell ref="AE39:AH39"/>
    <mergeCell ref="AJ39:AM39"/>
    <mergeCell ref="AO39:AR39"/>
    <mergeCell ref="AT39:AW39"/>
    <mergeCell ref="P40:S40"/>
    <mergeCell ref="U40:X40"/>
    <mergeCell ref="Z40:AC40"/>
    <mergeCell ref="AE40:AH40"/>
    <mergeCell ref="AJ40:AM40"/>
    <mergeCell ref="AO40:AR40"/>
    <mergeCell ref="P73:T73"/>
    <mergeCell ref="U73:Y73"/>
    <mergeCell ref="AO74:AR74"/>
    <mergeCell ref="AT74:AW74"/>
    <mergeCell ref="AS39:AS41"/>
    <mergeCell ref="AN42:AN71"/>
    <mergeCell ref="AS42:AS71"/>
    <mergeCell ref="T42:T71"/>
    <mergeCell ref="Y42:Y71"/>
    <mergeCell ref="AD42:AD71"/>
    <mergeCell ref="AI42:AI71"/>
    <mergeCell ref="B147:B176"/>
    <mergeCell ref="H147:H176"/>
    <mergeCell ref="P5:S5"/>
    <mergeCell ref="P4:S4"/>
    <mergeCell ref="U4:X4"/>
    <mergeCell ref="U5:X5"/>
    <mergeCell ref="P39:S39"/>
    <mergeCell ref="U39:X39"/>
    <mergeCell ref="P74:S74"/>
    <mergeCell ref="U74:X74"/>
    <mergeCell ref="B112:B141"/>
    <mergeCell ref="H112:H141"/>
    <mergeCell ref="B142:H143"/>
    <mergeCell ref="B144:B146"/>
    <mergeCell ref="C144:D146"/>
    <mergeCell ref="E144:G144"/>
    <mergeCell ref="H144:H146"/>
    <mergeCell ref="E145:G145"/>
    <mergeCell ref="P75:S75"/>
    <mergeCell ref="U75:X75"/>
    <mergeCell ref="M39:M41"/>
    <mergeCell ref="M74:M76"/>
    <mergeCell ref="M109:M111"/>
    <mergeCell ref="C39:D41"/>
    <mergeCell ref="E39:G39"/>
    <mergeCell ref="H39:H41"/>
    <mergeCell ref="E40:G40"/>
    <mergeCell ref="N72:N73"/>
    <mergeCell ref="O72:O73"/>
    <mergeCell ref="P72:T72"/>
    <mergeCell ref="U72:Y72"/>
    <mergeCell ref="Z72:AD72"/>
    <mergeCell ref="Z143:AD143"/>
    <mergeCell ref="Z75:AC75"/>
    <mergeCell ref="Z107:AD107"/>
    <mergeCell ref="Z74:AC74"/>
    <mergeCell ref="AD74:AD76"/>
    <mergeCell ref="N74:N106"/>
    <mergeCell ref="O74:O106"/>
    <mergeCell ref="T74:T76"/>
    <mergeCell ref="Y74:Y76"/>
    <mergeCell ref="T77:T106"/>
    <mergeCell ref="Y77:Y106"/>
    <mergeCell ref="P108:T108"/>
    <mergeCell ref="U108:Y108"/>
    <mergeCell ref="Z108:AD108"/>
    <mergeCell ref="N39:N71"/>
    <mergeCell ref="O39:O71"/>
    <mergeCell ref="AE143:AI143"/>
    <mergeCell ref="AJ143:AN143"/>
    <mergeCell ref="AO143:AS143"/>
    <mergeCell ref="AD112:AD141"/>
    <mergeCell ref="AI112:AI141"/>
    <mergeCell ref="AT2:AX2"/>
    <mergeCell ref="AT3:AX3"/>
    <mergeCell ref="AX4:AX6"/>
    <mergeCell ref="AX7:AX36"/>
    <mergeCell ref="AT4:AW4"/>
    <mergeCell ref="AT5:AW5"/>
    <mergeCell ref="AO2:AS2"/>
    <mergeCell ref="AO3:AS3"/>
    <mergeCell ref="AS4:AS6"/>
    <mergeCell ref="AS7:AS36"/>
    <mergeCell ref="AO4:AR4"/>
    <mergeCell ref="AO5:AR5"/>
    <mergeCell ref="AE4:AH4"/>
    <mergeCell ref="AE5:AH5"/>
    <mergeCell ref="AJ4:AM4"/>
    <mergeCell ref="AJ5:AM5"/>
    <mergeCell ref="AE75:AH75"/>
    <mergeCell ref="AT37:AX37"/>
    <mergeCell ref="AT38:AX38"/>
    <mergeCell ref="AX39:AX41"/>
    <mergeCell ref="AX42:AX71"/>
    <mergeCell ref="AT40:AW40"/>
    <mergeCell ref="B77:B106"/>
    <mergeCell ref="H77:H106"/>
    <mergeCell ref="B107:H108"/>
    <mergeCell ref="B109:B111"/>
    <mergeCell ref="C109:D111"/>
    <mergeCell ref="E109:G109"/>
    <mergeCell ref="H109:H111"/>
    <mergeCell ref="E110:G110"/>
    <mergeCell ref="B42:B71"/>
    <mergeCell ref="H42:H71"/>
    <mergeCell ref="B72:H73"/>
    <mergeCell ref="B74:B76"/>
    <mergeCell ref="C74:D76"/>
    <mergeCell ref="E74:G74"/>
    <mergeCell ref="H74:H76"/>
    <mergeCell ref="E75:G75"/>
    <mergeCell ref="AJ75:AM75"/>
    <mergeCell ref="N107:N108"/>
    <mergeCell ref="O107:O108"/>
    <mergeCell ref="P107:T107"/>
    <mergeCell ref="U107:Y107"/>
    <mergeCell ref="B37:H38"/>
    <mergeCell ref="B39:B41"/>
    <mergeCell ref="AX144:AX146"/>
    <mergeCell ref="AX147:AX176"/>
    <mergeCell ref="AT107:AX107"/>
    <mergeCell ref="AT108:AX108"/>
    <mergeCell ref="AX109:AX111"/>
    <mergeCell ref="AX112:AX141"/>
    <mergeCell ref="AT72:AX72"/>
    <mergeCell ref="AT73:AX73"/>
    <mergeCell ref="AX74:AX76"/>
    <mergeCell ref="AX77:AX106"/>
    <mergeCell ref="AT142:AX142"/>
    <mergeCell ref="AT143:AX143"/>
    <mergeCell ref="N144:N176"/>
    <mergeCell ref="O144:O176"/>
    <mergeCell ref="T144:T146"/>
    <mergeCell ref="Y144:Y146"/>
    <mergeCell ref="T147:T176"/>
    <mergeCell ref="Y147:Y176"/>
    <mergeCell ref="T112:T141"/>
    <mergeCell ref="Y112:Y141"/>
    <mergeCell ref="P143:T143"/>
    <mergeCell ref="U143:Y143"/>
    <mergeCell ref="AJ2:AN2"/>
    <mergeCell ref="AJ3:AN3"/>
    <mergeCell ref="AN4:AN6"/>
    <mergeCell ref="AN7:AN36"/>
    <mergeCell ref="AD147:AD176"/>
    <mergeCell ref="AI147:AI176"/>
    <mergeCell ref="AN147:AN176"/>
    <mergeCell ref="AS147:AS176"/>
    <mergeCell ref="AS144:AS146"/>
    <mergeCell ref="AJ142:AN142"/>
    <mergeCell ref="AO142:AS142"/>
    <mergeCell ref="AJ107:AN107"/>
    <mergeCell ref="AO107:AS107"/>
    <mergeCell ref="AJ72:AN72"/>
    <mergeCell ref="AO72:AS72"/>
    <mergeCell ref="Z73:AD73"/>
    <mergeCell ref="AE73:AI73"/>
    <mergeCell ref="AJ73:AN73"/>
    <mergeCell ref="AO73:AS73"/>
    <mergeCell ref="AJ37:AN37"/>
    <mergeCell ref="AO37:AS37"/>
    <mergeCell ref="AJ38:AN38"/>
    <mergeCell ref="AO38:AS38"/>
    <mergeCell ref="AE37:AI37"/>
    <mergeCell ref="AN112:AN141"/>
    <mergeCell ref="AS112:AS141"/>
    <mergeCell ref="AO108:AS108"/>
    <mergeCell ref="AD77:AD106"/>
    <mergeCell ref="AI77:AI106"/>
    <mergeCell ref="AN77:AN106"/>
    <mergeCell ref="AS77:AS106"/>
    <mergeCell ref="N142:N143"/>
    <mergeCell ref="O142:O143"/>
    <mergeCell ref="P142:T142"/>
    <mergeCell ref="U142:Y142"/>
    <mergeCell ref="Z142:AD142"/>
    <mergeCell ref="AE142:AI142"/>
    <mergeCell ref="AS109:AS111"/>
    <mergeCell ref="P109:S109"/>
    <mergeCell ref="U109:X109"/>
    <mergeCell ref="AD109:AD111"/>
    <mergeCell ref="AI109:AI111"/>
    <mergeCell ref="AN109:AN111"/>
    <mergeCell ref="Z109:AC109"/>
    <mergeCell ref="AE109:AH109"/>
    <mergeCell ref="AJ109:AM109"/>
    <mergeCell ref="N109:N141"/>
    <mergeCell ref="O109:O141"/>
    <mergeCell ref="AJ108:AN108"/>
    <mergeCell ref="Y39:Y41"/>
    <mergeCell ref="AD39:AD41"/>
    <mergeCell ref="AI39:AI41"/>
    <mergeCell ref="Z39:AC39"/>
    <mergeCell ref="P38:T38"/>
    <mergeCell ref="U38:Y38"/>
    <mergeCell ref="Z38:AD38"/>
    <mergeCell ref="AE38:AI38"/>
    <mergeCell ref="T39:T41"/>
    <mergeCell ref="U3:Y3"/>
    <mergeCell ref="Z3:AD3"/>
    <mergeCell ref="AE3:AI3"/>
    <mergeCell ref="N37:N38"/>
    <mergeCell ref="O37:O38"/>
    <mergeCell ref="P37:T37"/>
    <mergeCell ref="U37:Y37"/>
    <mergeCell ref="Z37:AD37"/>
    <mergeCell ref="Z2:AD2"/>
    <mergeCell ref="AD4:AD6"/>
    <mergeCell ref="AD7:AD36"/>
    <mergeCell ref="AE2:AI2"/>
    <mergeCell ref="AI4:AI6"/>
    <mergeCell ref="AI7:AI36"/>
    <mergeCell ref="P2:T2"/>
    <mergeCell ref="Z4:AC4"/>
    <mergeCell ref="Z5:AC5"/>
    <mergeCell ref="U2:Y2"/>
    <mergeCell ref="Y4:Y6"/>
    <mergeCell ref="Y7:Y36"/>
    <mergeCell ref="N2:N3"/>
    <mergeCell ref="B2:H3"/>
    <mergeCell ref="B7:B36"/>
    <mergeCell ref="B4:B6"/>
    <mergeCell ref="C4:D6"/>
    <mergeCell ref="H4:H6"/>
    <mergeCell ref="H7:H36"/>
    <mergeCell ref="E5:G5"/>
    <mergeCell ref="M4:M6"/>
    <mergeCell ref="T4:T6"/>
    <mergeCell ref="T7:T36"/>
    <mergeCell ref="N4:N36"/>
    <mergeCell ref="O4:O36"/>
    <mergeCell ref="E4:G4"/>
    <mergeCell ref="O2:O3"/>
    <mergeCell ref="P3:T3"/>
    <mergeCell ref="B177:H178"/>
    <mergeCell ref="N177:N178"/>
    <mergeCell ref="O177:O178"/>
    <mergeCell ref="P177:T177"/>
    <mergeCell ref="U177:Y177"/>
    <mergeCell ref="Z177:AD177"/>
    <mergeCell ref="B179:B181"/>
    <mergeCell ref="C179:D181"/>
    <mergeCell ref="E179:G179"/>
    <mergeCell ref="H179:H181"/>
    <mergeCell ref="I179:K179"/>
    <mergeCell ref="L179:L181"/>
    <mergeCell ref="M179:M181"/>
    <mergeCell ref="N179:N211"/>
    <mergeCell ref="O179:O211"/>
    <mergeCell ref="P179:S179"/>
    <mergeCell ref="T179:T181"/>
    <mergeCell ref="U179:X179"/>
    <mergeCell ref="Y179:Y181"/>
    <mergeCell ref="Z179:AC179"/>
    <mergeCell ref="AD179:AD181"/>
    <mergeCell ref="E180:G180"/>
    <mergeCell ref="I180:K180"/>
    <mergeCell ref="B182:B211"/>
    <mergeCell ref="AE177:AI177"/>
    <mergeCell ref="AJ177:AN177"/>
    <mergeCell ref="AO177:AS177"/>
    <mergeCell ref="AT177:AX177"/>
    <mergeCell ref="P178:T178"/>
    <mergeCell ref="U178:Y178"/>
    <mergeCell ref="Z178:AD178"/>
    <mergeCell ref="AE178:AI178"/>
    <mergeCell ref="AJ178:AN178"/>
    <mergeCell ref="AO178:AS178"/>
    <mergeCell ref="AT178:AX178"/>
    <mergeCell ref="AE179:AH179"/>
    <mergeCell ref="AI179:AI181"/>
    <mergeCell ref="AJ179:AM179"/>
    <mergeCell ref="AN179:AN181"/>
    <mergeCell ref="AO179:AR179"/>
    <mergeCell ref="AS179:AS181"/>
    <mergeCell ref="AT179:AW179"/>
    <mergeCell ref="AX179:AX181"/>
    <mergeCell ref="P180:S180"/>
    <mergeCell ref="U180:X180"/>
    <mergeCell ref="Z180:AC180"/>
    <mergeCell ref="AE180:AH180"/>
    <mergeCell ref="AJ180:AM180"/>
    <mergeCell ref="AO180:AR180"/>
    <mergeCell ref="AT180:AW180"/>
    <mergeCell ref="AX182:AX211"/>
    <mergeCell ref="B213:H214"/>
    <mergeCell ref="B215:B217"/>
    <mergeCell ref="C215:D217"/>
    <mergeCell ref="E215:G215"/>
    <mergeCell ref="H215:H217"/>
    <mergeCell ref="I215:K215"/>
    <mergeCell ref="L215:L217"/>
    <mergeCell ref="M215:M217"/>
    <mergeCell ref="E216:G216"/>
    <mergeCell ref="I216:K216"/>
    <mergeCell ref="H182:H211"/>
    <mergeCell ref="L182:L211"/>
    <mergeCell ref="B218:B247"/>
    <mergeCell ref="H218:H247"/>
    <mergeCell ref="L218:L247"/>
    <mergeCell ref="T182:T211"/>
    <mergeCell ref="Y182:Y211"/>
    <mergeCell ref="AD182:AD211"/>
    <mergeCell ref="AI182:AI211"/>
    <mergeCell ref="AN182:AN211"/>
    <mergeCell ref="AS182:AS211"/>
    <mergeCell ref="BA147:BA176"/>
    <mergeCell ref="BA179:BA181"/>
    <mergeCell ref="BA182:BA211"/>
    <mergeCell ref="BA4:BA6"/>
    <mergeCell ref="BA7:BA36"/>
    <mergeCell ref="BA39:BA41"/>
    <mergeCell ref="BA42:BA71"/>
    <mergeCell ref="BA74:BA76"/>
    <mergeCell ref="BA77:BA106"/>
    <mergeCell ref="BA109:BA111"/>
    <mergeCell ref="BA112:BA141"/>
    <mergeCell ref="BA144:BA146"/>
  </mergeCells>
  <phoneticPr fontId="12"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A142"/>
  <sheetViews>
    <sheetView topLeftCell="A16" zoomScale="70" zoomScaleNormal="70" workbookViewId="0">
      <pane xSplit="15" topLeftCell="Z1" activePane="topRight" state="frozen"/>
      <selection activeCell="T7" activeCellId="4" sqref="AM7:AN36 AH7:AI36 AC7:AD36 X7:Y36 S7:T36"/>
      <selection pane="topRight" activeCell="I30" activeCellId="1" sqref="D30:G31 I30:K31"/>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51" width="8.85546875" style="108"/>
    <col min="52" max="52" width="5.42578125" style="108" customWidth="1"/>
    <col min="53" max="53" width="13.140625" style="108" customWidth="1"/>
    <col min="54" max="16384" width="8.85546875" style="108"/>
  </cols>
  <sheetData>
    <row r="1" spans="1:53" ht="24">
      <c r="A1" s="75"/>
      <c r="B1" s="221" t="s">
        <v>314</v>
      </c>
      <c r="C1" s="220">
        <f>AVERAGE(L7,L27,L47,L87,L87,L107)</f>
        <v>176.88143333757606</v>
      </c>
    </row>
    <row r="2" spans="1:53" ht="15.75">
      <c r="A2" s="81"/>
      <c r="B2" s="593" t="s">
        <v>163</v>
      </c>
      <c r="C2" s="593"/>
      <c r="D2" s="593"/>
      <c r="E2" s="593"/>
      <c r="F2" s="593"/>
      <c r="G2" s="593"/>
      <c r="H2" s="593"/>
      <c r="I2" s="293"/>
      <c r="J2" s="293"/>
      <c r="K2" s="293"/>
      <c r="L2" s="293"/>
      <c r="M2" s="197"/>
      <c r="N2" s="566" t="s">
        <v>156</v>
      </c>
      <c r="O2" s="566" t="s">
        <v>155</v>
      </c>
      <c r="P2" s="605">
        <v>46140</v>
      </c>
      <c r="Q2" s="606"/>
      <c r="R2" s="606"/>
      <c r="S2" s="606"/>
      <c r="T2" s="607"/>
      <c r="U2" s="592">
        <f>P2+1</f>
        <v>46141</v>
      </c>
      <c r="V2" s="570"/>
      <c r="W2" s="570"/>
      <c r="X2" s="570"/>
      <c r="Y2" s="570"/>
      <c r="Z2" s="592">
        <f>U2+1</f>
        <v>46142</v>
      </c>
      <c r="AA2" s="570"/>
      <c r="AB2" s="570"/>
      <c r="AC2" s="570"/>
      <c r="AD2" s="570"/>
      <c r="AE2" s="592">
        <f>Z2+1</f>
        <v>46143</v>
      </c>
      <c r="AF2" s="570"/>
      <c r="AG2" s="570"/>
      <c r="AH2" s="570"/>
      <c r="AI2" s="570"/>
      <c r="AJ2" s="592">
        <f>AE2+1</f>
        <v>46144</v>
      </c>
      <c r="AK2" s="570"/>
      <c r="AL2" s="570"/>
      <c r="AM2" s="570"/>
      <c r="AN2" s="570"/>
      <c r="AO2" s="592">
        <f>AJ2+1</f>
        <v>46145</v>
      </c>
      <c r="AP2" s="570"/>
      <c r="AQ2" s="570"/>
      <c r="AR2" s="570"/>
      <c r="AS2" s="570"/>
      <c r="AT2" s="589">
        <f>AO2+1</f>
        <v>46146</v>
      </c>
      <c r="AU2" s="590"/>
      <c r="AV2" s="590"/>
      <c r="AW2" s="590"/>
      <c r="AX2" s="591"/>
    </row>
    <row r="3" spans="1:53" ht="15.75">
      <c r="A3" s="81"/>
      <c r="B3" s="601"/>
      <c r="C3" s="601"/>
      <c r="D3" s="601"/>
      <c r="E3" s="601"/>
      <c r="F3" s="601"/>
      <c r="G3" s="601"/>
      <c r="H3" s="601"/>
      <c r="I3" s="294"/>
      <c r="J3" s="294"/>
      <c r="K3" s="294"/>
      <c r="L3" s="294"/>
      <c r="M3" s="198"/>
      <c r="N3" s="568"/>
      <c r="O3" s="568"/>
      <c r="P3" s="592" t="s">
        <v>158</v>
      </c>
      <c r="Q3" s="570"/>
      <c r="R3" s="570"/>
      <c r="S3" s="570"/>
      <c r="T3" s="570"/>
      <c r="U3" s="592" t="s">
        <v>114</v>
      </c>
      <c r="V3" s="570"/>
      <c r="W3" s="570"/>
      <c r="X3" s="570"/>
      <c r="Y3" s="570"/>
      <c r="Z3" s="592" t="s">
        <v>159</v>
      </c>
      <c r="AA3" s="570"/>
      <c r="AB3" s="570"/>
      <c r="AC3" s="570"/>
      <c r="AD3" s="570"/>
      <c r="AE3" s="592" t="s">
        <v>157</v>
      </c>
      <c r="AF3" s="570"/>
      <c r="AG3" s="570"/>
      <c r="AH3" s="570"/>
      <c r="AI3" s="570"/>
      <c r="AJ3" s="592" t="s">
        <v>160</v>
      </c>
      <c r="AK3" s="570"/>
      <c r="AL3" s="570"/>
      <c r="AM3" s="570"/>
      <c r="AN3" s="570"/>
      <c r="AO3" s="592" t="s">
        <v>115</v>
      </c>
      <c r="AP3" s="570"/>
      <c r="AQ3" s="570"/>
      <c r="AR3" s="570"/>
      <c r="AS3" s="570"/>
      <c r="AT3" s="592" t="s">
        <v>162</v>
      </c>
      <c r="AU3" s="570"/>
      <c r="AV3" s="570"/>
      <c r="AW3" s="570"/>
      <c r="AX3" s="570"/>
    </row>
    <row r="4" spans="1:53" ht="14.25">
      <c r="A4" s="81"/>
      <c r="B4" s="564" t="s">
        <v>577</v>
      </c>
      <c r="C4" s="564" t="s">
        <v>387</v>
      </c>
      <c r="D4" s="564"/>
      <c r="E4" s="564" t="s">
        <v>378</v>
      </c>
      <c r="F4" s="564"/>
      <c r="G4" s="564"/>
      <c r="H4" s="597" t="s">
        <v>374</v>
      </c>
      <c r="I4" s="616" t="s">
        <v>379</v>
      </c>
      <c r="J4" s="616"/>
      <c r="K4" s="616"/>
      <c r="L4" s="617" t="s">
        <v>374</v>
      </c>
      <c r="M4" s="602" t="s">
        <v>375</v>
      </c>
      <c r="N4" s="564"/>
      <c r="O4" s="564" t="s">
        <v>380</v>
      </c>
      <c r="P4" s="583" t="s">
        <v>376</v>
      </c>
      <c r="Q4" s="584"/>
      <c r="R4" s="584"/>
      <c r="S4" s="585"/>
      <c r="T4" s="564" t="s">
        <v>374</v>
      </c>
      <c r="U4" s="583" t="s">
        <v>376</v>
      </c>
      <c r="V4" s="584"/>
      <c r="W4" s="584"/>
      <c r="X4" s="585"/>
      <c r="Y4" s="564" t="s">
        <v>374</v>
      </c>
      <c r="Z4" s="583" t="s">
        <v>376</v>
      </c>
      <c r="AA4" s="584"/>
      <c r="AB4" s="584"/>
      <c r="AC4" s="585"/>
      <c r="AD4" s="564" t="s">
        <v>374</v>
      </c>
      <c r="AE4" s="583" t="s">
        <v>376</v>
      </c>
      <c r="AF4" s="584"/>
      <c r="AG4" s="584"/>
      <c r="AH4" s="585"/>
      <c r="AI4" s="564" t="s">
        <v>374</v>
      </c>
      <c r="AJ4" s="583" t="s">
        <v>376</v>
      </c>
      <c r="AK4" s="584"/>
      <c r="AL4" s="584"/>
      <c r="AM4" s="585"/>
      <c r="AN4" s="564" t="s">
        <v>374</v>
      </c>
      <c r="AO4" s="583" t="s">
        <v>376</v>
      </c>
      <c r="AP4" s="584"/>
      <c r="AQ4" s="584"/>
      <c r="AR4" s="585"/>
      <c r="AS4" s="564" t="s">
        <v>374</v>
      </c>
      <c r="AT4" s="583" t="s">
        <v>376</v>
      </c>
      <c r="AU4" s="584"/>
      <c r="AV4" s="584"/>
      <c r="AW4" s="585"/>
      <c r="AX4" s="564" t="s">
        <v>374</v>
      </c>
      <c r="BA4" s="564" t="s">
        <v>374</v>
      </c>
    </row>
    <row r="5" spans="1:53" ht="14.25">
      <c r="A5" s="81"/>
      <c r="B5" s="564"/>
      <c r="C5" s="564"/>
      <c r="D5" s="564"/>
      <c r="E5" s="564" t="s">
        <v>381</v>
      </c>
      <c r="F5" s="564"/>
      <c r="G5" s="564"/>
      <c r="H5" s="598"/>
      <c r="I5" s="616" t="s">
        <v>381</v>
      </c>
      <c r="J5" s="616"/>
      <c r="K5" s="616"/>
      <c r="L5" s="618"/>
      <c r="M5" s="603"/>
      <c r="N5" s="564"/>
      <c r="O5" s="564"/>
      <c r="P5" s="583" t="s">
        <v>382</v>
      </c>
      <c r="Q5" s="584"/>
      <c r="R5" s="584"/>
      <c r="S5" s="585"/>
      <c r="T5" s="564"/>
      <c r="U5" s="583" t="s">
        <v>382</v>
      </c>
      <c r="V5" s="584"/>
      <c r="W5" s="584"/>
      <c r="X5" s="585"/>
      <c r="Y5" s="564"/>
      <c r="Z5" s="583" t="s">
        <v>382</v>
      </c>
      <c r="AA5" s="584"/>
      <c r="AB5" s="584"/>
      <c r="AC5" s="585"/>
      <c r="AD5" s="564"/>
      <c r="AE5" s="583" t="s">
        <v>382</v>
      </c>
      <c r="AF5" s="584"/>
      <c r="AG5" s="584"/>
      <c r="AH5" s="585"/>
      <c r="AI5" s="564"/>
      <c r="AJ5" s="583" t="s">
        <v>382</v>
      </c>
      <c r="AK5" s="584"/>
      <c r="AL5" s="584"/>
      <c r="AM5" s="585"/>
      <c r="AN5" s="564"/>
      <c r="AO5" s="583" t="s">
        <v>382</v>
      </c>
      <c r="AP5" s="584"/>
      <c r="AQ5" s="584"/>
      <c r="AR5" s="585"/>
      <c r="AS5" s="564"/>
      <c r="AT5" s="583" t="s">
        <v>382</v>
      </c>
      <c r="AU5" s="584"/>
      <c r="AV5" s="584"/>
      <c r="AW5" s="585"/>
      <c r="AX5" s="564"/>
      <c r="BA5" s="564"/>
    </row>
    <row r="6" spans="1:53" ht="14.25">
      <c r="A6" s="79"/>
      <c r="B6" s="564"/>
      <c r="C6" s="564"/>
      <c r="D6" s="564"/>
      <c r="E6" s="417" t="s">
        <v>383</v>
      </c>
      <c r="F6" s="417" t="s">
        <v>384</v>
      </c>
      <c r="G6" s="417" t="s">
        <v>385</v>
      </c>
      <c r="H6" s="599"/>
      <c r="I6" s="416" t="s">
        <v>383</v>
      </c>
      <c r="J6" s="416" t="s">
        <v>384</v>
      </c>
      <c r="K6" s="416" t="s">
        <v>385</v>
      </c>
      <c r="L6" s="619"/>
      <c r="M6" s="604"/>
      <c r="N6" s="564"/>
      <c r="O6" s="564"/>
      <c r="P6" s="417" t="s">
        <v>383</v>
      </c>
      <c r="Q6" s="417" t="s">
        <v>384</v>
      </c>
      <c r="R6" s="417" t="s">
        <v>385</v>
      </c>
      <c r="S6" s="417" t="s">
        <v>375</v>
      </c>
      <c r="T6" s="564"/>
      <c r="U6" s="417" t="s">
        <v>383</v>
      </c>
      <c r="V6" s="417" t="s">
        <v>384</v>
      </c>
      <c r="W6" s="417" t="s">
        <v>385</v>
      </c>
      <c r="X6" s="417" t="s">
        <v>375</v>
      </c>
      <c r="Y6" s="564"/>
      <c r="Z6" s="417" t="s">
        <v>383</v>
      </c>
      <c r="AA6" s="417" t="s">
        <v>384</v>
      </c>
      <c r="AB6" s="417" t="s">
        <v>385</v>
      </c>
      <c r="AC6" s="417" t="s">
        <v>375</v>
      </c>
      <c r="AD6" s="564"/>
      <c r="AE6" s="417" t="s">
        <v>383</v>
      </c>
      <c r="AF6" s="417" t="s">
        <v>384</v>
      </c>
      <c r="AG6" s="417" t="s">
        <v>385</v>
      </c>
      <c r="AH6" s="417" t="s">
        <v>375</v>
      </c>
      <c r="AI6" s="564"/>
      <c r="AJ6" s="417" t="s">
        <v>383</v>
      </c>
      <c r="AK6" s="417" t="s">
        <v>384</v>
      </c>
      <c r="AL6" s="417" t="s">
        <v>385</v>
      </c>
      <c r="AM6" s="417" t="s">
        <v>375</v>
      </c>
      <c r="AN6" s="564"/>
      <c r="AO6" s="417" t="s">
        <v>383</v>
      </c>
      <c r="AP6" s="417" t="s">
        <v>384</v>
      </c>
      <c r="AQ6" s="417" t="s">
        <v>385</v>
      </c>
      <c r="AR6" s="417" t="s">
        <v>375</v>
      </c>
      <c r="AS6" s="564"/>
      <c r="AT6" s="417" t="s">
        <v>383</v>
      </c>
      <c r="AU6" s="417" t="s">
        <v>384</v>
      </c>
      <c r="AV6" s="417" t="s">
        <v>385</v>
      </c>
      <c r="AW6" s="417" t="s">
        <v>375</v>
      </c>
      <c r="AX6" s="564"/>
      <c r="AZ6" s="412" t="s">
        <v>375</v>
      </c>
      <c r="BA6" s="564"/>
    </row>
    <row r="7" spans="1:53" ht="14.25">
      <c r="A7" s="81"/>
      <c r="B7" s="626" t="s">
        <v>578</v>
      </c>
      <c r="C7" s="418">
        <v>1</v>
      </c>
      <c r="D7" s="418" t="s">
        <v>609</v>
      </c>
      <c r="E7" s="418">
        <v>10</v>
      </c>
      <c r="F7" s="418">
        <v>1500</v>
      </c>
      <c r="G7" s="425">
        <v>150</v>
      </c>
      <c r="H7" s="627">
        <f>AVERAGE(G7:G21)</f>
        <v>188</v>
      </c>
      <c r="I7" s="422">
        <f t="shared" ref="I7:I21" si="0">IFERROR(AVERAGE(P7,U7,Z7,AE7,AJ7,AO7,AT7),"-")</f>
        <v>10</v>
      </c>
      <c r="J7" s="422">
        <f t="shared" ref="J7:J21" si="1">IFERROR(AVERAGE(Q7,V7,AA7,AF7,AK7,AP7,AU7),"-")</f>
        <v>1323.8389610389593</v>
      </c>
      <c r="K7" s="200">
        <f t="shared" ref="K7:K21" si="2">IFERROR(AVERAGE(R7,W7,AB7,AG7,AL7,AQ7,AV7),"-")</f>
        <v>132.38389610389595</v>
      </c>
      <c r="L7" s="580">
        <f>IFERROR(AVERAGE(K7:K21),"-")</f>
        <v>194.28858850927031</v>
      </c>
      <c r="M7" s="424">
        <f>RANK(K7, K$7:$K$21)</f>
        <v>5</v>
      </c>
      <c r="N7" s="564"/>
      <c r="O7" s="564"/>
      <c r="P7" s="418">
        <v>10</v>
      </c>
      <c r="Q7" s="425">
        <v>1256.3636363636347</v>
      </c>
      <c r="R7" s="425">
        <v>125.63636363636347</v>
      </c>
      <c r="S7" s="418">
        <f t="shared" ref="S7:S21" si="3">RANK(R7, R$7:R$21)</f>
        <v>5</v>
      </c>
      <c r="T7" s="572">
        <f t="shared" ref="T7" si="4">AVERAGE(R7:R21)</f>
        <v>190.47887354882658</v>
      </c>
      <c r="U7" s="418">
        <v>10</v>
      </c>
      <c r="V7" s="425">
        <v>1353.9999999999977</v>
      </c>
      <c r="W7" s="425">
        <v>135.39999999999978</v>
      </c>
      <c r="X7" s="418">
        <f t="shared" ref="X7:X21" si="5">RANK(W7, W$7:W$21)</f>
        <v>5</v>
      </c>
      <c r="Y7" s="572">
        <f t="shared" ref="Y7" si="6">AVERAGE(W7:W21)</f>
        <v>199.19464624122716</v>
      </c>
      <c r="Z7" s="418">
        <v>10</v>
      </c>
      <c r="AA7" s="425">
        <v>1269.9999999999959</v>
      </c>
      <c r="AB7" s="425">
        <v>126.99999999999959</v>
      </c>
      <c r="AC7" s="418">
        <f t="shared" ref="AC7:AC21" si="7">RANK(AB7, AB$7:AB$21)</f>
        <v>3</v>
      </c>
      <c r="AD7" s="572">
        <f t="shared" ref="AD7" si="8">AVERAGE(AB7:AB21)</f>
        <v>188.23333333333335</v>
      </c>
      <c r="AE7" s="428">
        <v>10</v>
      </c>
      <c r="AF7" s="425">
        <v>1269.5999999999963</v>
      </c>
      <c r="AG7" s="425">
        <v>126.95999999999962</v>
      </c>
      <c r="AH7" s="418">
        <f t="shared" ref="AH7:AH21" si="9">RANK(AG7, AG$7:AG$21)</f>
        <v>5</v>
      </c>
      <c r="AI7" s="572">
        <f t="shared" ref="AI7" si="10">AVERAGE(AG7:AG21)</f>
        <v>196.15428070175443</v>
      </c>
      <c r="AJ7" s="418">
        <v>10</v>
      </c>
      <c r="AK7" s="425">
        <v>1270.9090909090955</v>
      </c>
      <c r="AL7" s="425">
        <v>127.09090909090955</v>
      </c>
      <c r="AM7" s="418">
        <f t="shared" ref="AM7:AM21" si="11">RANK(AL7, AL$7:AL$21)</f>
        <v>5</v>
      </c>
      <c r="AN7" s="572">
        <f t="shared" ref="AN7" si="12">AVERAGE(AL7:AL21)</f>
        <v>190.88484848484845</v>
      </c>
      <c r="AO7" s="418">
        <v>10</v>
      </c>
      <c r="AP7" s="425">
        <v>1457.9999999999975</v>
      </c>
      <c r="AQ7" s="425">
        <v>145.79999999999976</v>
      </c>
      <c r="AR7" s="418">
        <f t="shared" ref="AR7:AR21" si="13">RANK(AQ7, AQ$7:AQ$21)</f>
        <v>5</v>
      </c>
      <c r="AS7" s="572">
        <f t="shared" ref="AS7" si="14">AVERAGE(AQ7:AQ21)</f>
        <v>200.42847058823531</v>
      </c>
      <c r="AT7" s="418">
        <v>10</v>
      </c>
      <c r="AU7" s="425">
        <v>1387.9999999999977</v>
      </c>
      <c r="AV7" s="425">
        <v>138.79999999999978</v>
      </c>
      <c r="AW7" s="418">
        <f t="shared" ref="AW7:AW21" si="15">RANK(AV7, AV$7:AV$21)</f>
        <v>5</v>
      </c>
      <c r="AX7" s="572">
        <f t="shared" ref="AX7" si="16">AVERAGE(AV7:AV21)</f>
        <v>194.64566666666681</v>
      </c>
      <c r="AZ7" s="411" t="e">
        <f t="shared" ref="AZ7:AZ21" si="17">RANK(AY7, AY$7:AY$21)</f>
        <v>#N/A</v>
      </c>
      <c r="BA7" s="572" t="e">
        <f t="shared" ref="BA7" si="18">AVERAGE(AY7:AY21)</f>
        <v>#DIV/0!</v>
      </c>
    </row>
    <row r="8" spans="1:53" ht="15" customHeight="1">
      <c r="A8" s="81"/>
      <c r="B8" s="600"/>
      <c r="C8" s="418">
        <v>2</v>
      </c>
      <c r="D8" s="418" t="s">
        <v>651</v>
      </c>
      <c r="E8" s="418">
        <v>15</v>
      </c>
      <c r="F8" s="418">
        <v>1800</v>
      </c>
      <c r="G8" s="425">
        <v>120</v>
      </c>
      <c r="H8" s="628"/>
      <c r="I8" s="422">
        <f t="shared" si="0"/>
        <v>12.428571428571429</v>
      </c>
      <c r="J8" s="422">
        <f t="shared" si="1"/>
        <v>1804.051109289421</v>
      </c>
      <c r="K8" s="200">
        <f t="shared" si="2"/>
        <v>145.83521148840413</v>
      </c>
      <c r="L8" s="581"/>
      <c r="M8" s="424">
        <f>RANK(K8, K$7:$K$21)</f>
        <v>3</v>
      </c>
      <c r="N8" s="564"/>
      <c r="O8" s="564"/>
      <c r="P8" s="418">
        <v>12</v>
      </c>
      <c r="Q8" s="425">
        <v>1651.6129032258068</v>
      </c>
      <c r="R8" s="425">
        <v>137.63440860215056</v>
      </c>
      <c r="S8" s="418">
        <f t="shared" si="3"/>
        <v>3</v>
      </c>
      <c r="T8" s="572"/>
      <c r="U8" s="418">
        <v>12</v>
      </c>
      <c r="V8" s="425">
        <v>1789.1566265060235</v>
      </c>
      <c r="W8" s="425">
        <v>149.09638554216863</v>
      </c>
      <c r="X8" s="418">
        <f t="shared" si="5"/>
        <v>3</v>
      </c>
      <c r="Y8" s="572"/>
      <c r="Z8" s="418">
        <v>15</v>
      </c>
      <c r="AA8" s="425">
        <v>1890.9999999999991</v>
      </c>
      <c r="AB8" s="425">
        <v>126.06666666666661</v>
      </c>
      <c r="AC8" s="418">
        <f t="shared" si="7"/>
        <v>4</v>
      </c>
      <c r="AD8" s="572"/>
      <c r="AE8" s="428">
        <v>12</v>
      </c>
      <c r="AF8" s="425">
        <v>1853.9999999999991</v>
      </c>
      <c r="AG8" s="425">
        <v>154.49999999999991</v>
      </c>
      <c r="AH8" s="418">
        <f t="shared" si="9"/>
        <v>3</v>
      </c>
      <c r="AI8" s="572"/>
      <c r="AJ8" s="418">
        <v>12</v>
      </c>
      <c r="AK8" s="425">
        <v>1819.9999999999991</v>
      </c>
      <c r="AL8" s="425">
        <v>151.6666666666666</v>
      </c>
      <c r="AM8" s="418">
        <f t="shared" si="11"/>
        <v>3</v>
      </c>
      <c r="AN8" s="572"/>
      <c r="AO8" s="418">
        <v>12</v>
      </c>
      <c r="AP8" s="425">
        <v>1810.5882352941173</v>
      </c>
      <c r="AQ8" s="425">
        <v>150.88235294117644</v>
      </c>
      <c r="AR8" s="418">
        <f t="shared" si="13"/>
        <v>3</v>
      </c>
      <c r="AS8" s="572"/>
      <c r="AT8" s="418">
        <v>12</v>
      </c>
      <c r="AU8" s="425">
        <v>1812.0000000000009</v>
      </c>
      <c r="AV8" s="425">
        <v>151.00000000000009</v>
      </c>
      <c r="AW8" s="418">
        <f t="shared" si="15"/>
        <v>3</v>
      </c>
      <c r="AX8" s="572"/>
      <c r="AZ8" s="411" t="e">
        <f t="shared" si="17"/>
        <v>#N/A</v>
      </c>
      <c r="BA8" s="572"/>
    </row>
    <row r="9" spans="1:53" ht="14.25">
      <c r="A9" s="81"/>
      <c r="B9" s="600"/>
      <c r="C9" s="418">
        <v>3</v>
      </c>
      <c r="D9" s="418" t="s">
        <v>652</v>
      </c>
      <c r="E9" s="418">
        <v>15</v>
      </c>
      <c r="F9" s="418">
        <v>1800</v>
      </c>
      <c r="G9" s="425">
        <v>120</v>
      </c>
      <c r="H9" s="628"/>
      <c r="I9" s="422">
        <f t="shared" si="0"/>
        <v>12.428571428571429</v>
      </c>
      <c r="J9" s="422">
        <f t="shared" si="1"/>
        <v>1731.2959648089075</v>
      </c>
      <c r="K9" s="200">
        <f t="shared" si="2"/>
        <v>140.08656849598037</v>
      </c>
      <c r="L9" s="581"/>
      <c r="M9" s="424">
        <f>RANK(K9, K$7:$K$21)</f>
        <v>4</v>
      </c>
      <c r="N9" s="564"/>
      <c r="O9" s="564"/>
      <c r="P9" s="418">
        <v>12</v>
      </c>
      <c r="Q9" s="425">
        <v>1633.4831460674159</v>
      </c>
      <c r="R9" s="425">
        <v>136.123595505618</v>
      </c>
      <c r="S9" s="418">
        <f t="shared" si="3"/>
        <v>4</v>
      </c>
      <c r="T9" s="572"/>
      <c r="U9" s="418">
        <v>12</v>
      </c>
      <c r="V9" s="425">
        <v>1787.0886075949356</v>
      </c>
      <c r="W9" s="425">
        <v>148.9240506329113</v>
      </c>
      <c r="X9" s="418">
        <f t="shared" si="5"/>
        <v>4</v>
      </c>
      <c r="Y9" s="572"/>
      <c r="Z9" s="418">
        <v>15</v>
      </c>
      <c r="AA9" s="425">
        <v>1758.9999999999991</v>
      </c>
      <c r="AB9" s="425">
        <v>117.26666666666661</v>
      </c>
      <c r="AC9" s="418">
        <f t="shared" si="7"/>
        <v>5</v>
      </c>
      <c r="AD9" s="572"/>
      <c r="AE9" s="428">
        <v>12</v>
      </c>
      <c r="AF9" s="425">
        <v>1749.0000000000016</v>
      </c>
      <c r="AG9" s="425">
        <v>145.75000000000014</v>
      </c>
      <c r="AH9" s="418">
        <f t="shared" si="9"/>
        <v>4</v>
      </c>
      <c r="AI9" s="572"/>
      <c r="AJ9" s="418">
        <v>12</v>
      </c>
      <c r="AK9" s="425">
        <v>1699.9999999999993</v>
      </c>
      <c r="AL9" s="425">
        <v>141.6666666666666</v>
      </c>
      <c r="AM9" s="418">
        <f t="shared" si="11"/>
        <v>4</v>
      </c>
      <c r="AN9" s="572"/>
      <c r="AO9" s="418">
        <v>12</v>
      </c>
      <c r="AP9" s="425">
        <v>1793.9999999999993</v>
      </c>
      <c r="AQ9" s="425">
        <v>149.49999999999994</v>
      </c>
      <c r="AR9" s="418">
        <f t="shared" si="13"/>
        <v>4</v>
      </c>
      <c r="AS9" s="572"/>
      <c r="AT9" s="418">
        <v>12</v>
      </c>
      <c r="AU9" s="425">
        <v>1696.4999999999995</v>
      </c>
      <c r="AV9" s="425">
        <v>141.37499999999997</v>
      </c>
      <c r="AW9" s="418">
        <f t="shared" si="15"/>
        <v>4</v>
      </c>
      <c r="AX9" s="572"/>
      <c r="AZ9" s="411" t="e">
        <f t="shared" si="17"/>
        <v>#N/A</v>
      </c>
      <c r="BA9" s="572"/>
    </row>
    <row r="10" spans="1:53" ht="14.25">
      <c r="A10" s="81"/>
      <c r="B10" s="600"/>
      <c r="C10" s="418">
        <v>4</v>
      </c>
      <c r="D10" s="418" t="s">
        <v>527</v>
      </c>
      <c r="E10" s="418">
        <v>6</v>
      </c>
      <c r="F10" s="418">
        <v>1500</v>
      </c>
      <c r="G10" s="425">
        <v>250</v>
      </c>
      <c r="H10" s="628"/>
      <c r="I10" s="422">
        <f t="shared" si="0"/>
        <v>6</v>
      </c>
      <c r="J10" s="422">
        <f t="shared" si="1"/>
        <v>1517.734693877552</v>
      </c>
      <c r="K10" s="200">
        <f t="shared" si="2"/>
        <v>252.95578231292529</v>
      </c>
      <c r="L10" s="581"/>
      <c r="M10" s="424">
        <f>RANK(K10, K$7:$K$21)</f>
        <v>2</v>
      </c>
      <c r="N10" s="564"/>
      <c r="O10" s="564"/>
      <c r="P10" s="418">
        <v>6</v>
      </c>
      <c r="Q10" s="425">
        <v>1512.0000000000014</v>
      </c>
      <c r="R10" s="425">
        <v>252.00000000000023</v>
      </c>
      <c r="S10" s="418">
        <f t="shared" si="3"/>
        <v>2</v>
      </c>
      <c r="T10" s="572"/>
      <c r="U10" s="418">
        <v>6</v>
      </c>
      <c r="V10" s="425">
        <v>1547.1428571428582</v>
      </c>
      <c r="W10" s="425">
        <v>257.85714285714306</v>
      </c>
      <c r="X10" s="418">
        <f t="shared" si="5"/>
        <v>2</v>
      </c>
      <c r="Y10" s="572"/>
      <c r="Z10" s="418">
        <v>6</v>
      </c>
      <c r="AA10" s="425">
        <v>1565.0000000000005</v>
      </c>
      <c r="AB10" s="425">
        <v>260.83333333333343</v>
      </c>
      <c r="AC10" s="418">
        <f t="shared" si="7"/>
        <v>2</v>
      </c>
      <c r="AD10" s="572"/>
      <c r="AE10" s="428">
        <v>6</v>
      </c>
      <c r="AF10" s="425">
        <v>1510.0000000000005</v>
      </c>
      <c r="AG10" s="425">
        <v>251.66666666666674</v>
      </c>
      <c r="AH10" s="418">
        <f t="shared" si="9"/>
        <v>2</v>
      </c>
      <c r="AI10" s="572"/>
      <c r="AJ10" s="418">
        <v>6</v>
      </c>
      <c r="AK10" s="425">
        <v>1475.9999999999995</v>
      </c>
      <c r="AL10" s="425">
        <v>245.99999999999991</v>
      </c>
      <c r="AM10" s="418">
        <f t="shared" si="11"/>
        <v>2</v>
      </c>
      <c r="AN10" s="572"/>
      <c r="AO10" s="418">
        <v>6</v>
      </c>
      <c r="AP10" s="425">
        <v>1530.0000000000018</v>
      </c>
      <c r="AQ10" s="425">
        <v>255.00000000000031</v>
      </c>
      <c r="AR10" s="418">
        <f t="shared" si="13"/>
        <v>2</v>
      </c>
      <c r="AS10" s="572"/>
      <c r="AT10" s="418">
        <v>6</v>
      </c>
      <c r="AU10" s="425">
        <v>1484.0000000000014</v>
      </c>
      <c r="AV10" s="425">
        <v>247.33333333333357</v>
      </c>
      <c r="AW10" s="418">
        <f t="shared" si="15"/>
        <v>2</v>
      </c>
      <c r="AX10" s="572"/>
      <c r="AZ10" s="411" t="e">
        <f t="shared" si="17"/>
        <v>#N/A</v>
      </c>
      <c r="BA10" s="572"/>
    </row>
    <row r="11" spans="1:53" ht="14.25">
      <c r="A11" s="81"/>
      <c r="B11" s="600"/>
      <c r="C11" s="418">
        <v>5</v>
      </c>
      <c r="D11" s="418" t="s">
        <v>507</v>
      </c>
      <c r="E11" s="418">
        <v>5</v>
      </c>
      <c r="F11" s="418">
        <v>1500</v>
      </c>
      <c r="G11" s="425">
        <v>300</v>
      </c>
      <c r="H11" s="628"/>
      <c r="I11" s="422">
        <f t="shared" si="0"/>
        <v>5</v>
      </c>
      <c r="J11" s="422">
        <f t="shared" si="1"/>
        <v>1500.9074207257286</v>
      </c>
      <c r="K11" s="200">
        <f t="shared" si="2"/>
        <v>300.1814841451457</v>
      </c>
      <c r="L11" s="581"/>
      <c r="M11" s="424">
        <f>RANK(K11, K$7:$K$21)</f>
        <v>1</v>
      </c>
      <c r="N11" s="564"/>
      <c r="O11" s="564"/>
      <c r="P11" s="418">
        <v>5</v>
      </c>
      <c r="Q11" s="425">
        <v>1505.000000000003</v>
      </c>
      <c r="R11" s="425">
        <v>301.00000000000057</v>
      </c>
      <c r="S11" s="418">
        <f t="shared" si="3"/>
        <v>1</v>
      </c>
      <c r="T11" s="572"/>
      <c r="U11" s="418">
        <v>5</v>
      </c>
      <c r="V11" s="425">
        <v>1523.4782608695652</v>
      </c>
      <c r="W11" s="425">
        <v>304.69565217391306</v>
      </c>
      <c r="X11" s="418">
        <f t="shared" si="5"/>
        <v>1</v>
      </c>
      <c r="Y11" s="572"/>
      <c r="Z11" s="418">
        <v>5</v>
      </c>
      <c r="AA11" s="425">
        <v>1550.000000000002</v>
      </c>
      <c r="AB11" s="425">
        <v>310.0000000000004</v>
      </c>
      <c r="AC11" s="418">
        <f t="shared" si="7"/>
        <v>1</v>
      </c>
      <c r="AD11" s="572"/>
      <c r="AE11" s="428">
        <v>5</v>
      </c>
      <c r="AF11" s="425">
        <v>1509.4736842105285</v>
      </c>
      <c r="AG11" s="425">
        <v>301.89473684210571</v>
      </c>
      <c r="AH11" s="418">
        <f t="shared" si="9"/>
        <v>1</v>
      </c>
      <c r="AI11" s="572"/>
      <c r="AJ11" s="418">
        <v>5</v>
      </c>
      <c r="AK11" s="425">
        <v>1439.9999999999982</v>
      </c>
      <c r="AL11" s="425">
        <v>287.99999999999966</v>
      </c>
      <c r="AM11" s="418">
        <f t="shared" si="11"/>
        <v>1</v>
      </c>
      <c r="AN11" s="572"/>
      <c r="AO11" s="418">
        <v>5</v>
      </c>
      <c r="AP11" s="425">
        <v>1504.8000000000004</v>
      </c>
      <c r="AQ11" s="425">
        <v>300.96000000000009</v>
      </c>
      <c r="AR11" s="418">
        <f t="shared" si="13"/>
        <v>1</v>
      </c>
      <c r="AS11" s="572"/>
      <c r="AT11" s="418">
        <v>5</v>
      </c>
      <c r="AU11" s="425">
        <v>1473.6000000000029</v>
      </c>
      <c r="AV11" s="425">
        <v>294.7200000000006</v>
      </c>
      <c r="AW11" s="418">
        <f t="shared" si="15"/>
        <v>1</v>
      </c>
      <c r="AX11" s="572"/>
      <c r="AZ11" s="411" t="e">
        <f t="shared" si="17"/>
        <v>#N/A</v>
      </c>
      <c r="BA11" s="572"/>
    </row>
    <row r="12" spans="1:53" ht="14.25">
      <c r="A12" s="81"/>
      <c r="B12" s="600"/>
      <c r="C12" s="418">
        <v>6</v>
      </c>
      <c r="D12" s="418"/>
      <c r="E12" s="418"/>
      <c r="F12" s="418"/>
      <c r="G12" s="425"/>
      <c r="H12" s="628"/>
      <c r="I12" s="422" t="str">
        <f t="shared" si="0"/>
        <v>-</v>
      </c>
      <c r="J12" s="422" t="str">
        <f t="shared" si="1"/>
        <v>-</v>
      </c>
      <c r="K12" s="200" t="str">
        <f t="shared" si="2"/>
        <v>-</v>
      </c>
      <c r="L12" s="581"/>
      <c r="M12" s="424" t="e">
        <f>RANK(K12, K$7:$K$21)</f>
        <v>#VALUE!</v>
      </c>
      <c r="N12" s="564"/>
      <c r="O12" s="564"/>
      <c r="P12" s="418" t="s">
        <v>639</v>
      </c>
      <c r="Q12" s="425" t="s">
        <v>639</v>
      </c>
      <c r="R12" s="425" t="s">
        <v>639</v>
      </c>
      <c r="S12" s="418" t="e">
        <f t="shared" si="3"/>
        <v>#VALUE!</v>
      </c>
      <c r="T12" s="572"/>
      <c r="U12" s="418" t="s">
        <v>639</v>
      </c>
      <c r="V12" s="425" t="s">
        <v>639</v>
      </c>
      <c r="W12" s="425" t="s">
        <v>639</v>
      </c>
      <c r="X12" s="418" t="e">
        <f t="shared" si="5"/>
        <v>#VALUE!</v>
      </c>
      <c r="Y12" s="572"/>
      <c r="Z12" s="418" t="s">
        <v>639</v>
      </c>
      <c r="AA12" s="425" t="s">
        <v>639</v>
      </c>
      <c r="AB12" s="425" t="s">
        <v>639</v>
      </c>
      <c r="AC12" s="418" t="e">
        <f t="shared" si="7"/>
        <v>#VALUE!</v>
      </c>
      <c r="AD12" s="572"/>
      <c r="AE12" s="428"/>
      <c r="AF12" s="425" t="s">
        <v>639</v>
      </c>
      <c r="AG12" s="425" t="s">
        <v>639</v>
      </c>
      <c r="AH12" s="418" t="e">
        <f t="shared" si="9"/>
        <v>#VALUE!</v>
      </c>
      <c r="AI12" s="572"/>
      <c r="AJ12" s="418" t="s">
        <v>639</v>
      </c>
      <c r="AK12" s="425" t="s">
        <v>639</v>
      </c>
      <c r="AL12" s="425" t="s">
        <v>639</v>
      </c>
      <c r="AM12" s="418" t="e">
        <f t="shared" si="11"/>
        <v>#VALUE!</v>
      </c>
      <c r="AN12" s="572"/>
      <c r="AO12" s="418" t="s">
        <v>639</v>
      </c>
      <c r="AP12" s="425" t="s">
        <v>639</v>
      </c>
      <c r="AQ12" s="425" t="s">
        <v>639</v>
      </c>
      <c r="AR12" s="418" t="e">
        <f t="shared" si="13"/>
        <v>#VALUE!</v>
      </c>
      <c r="AS12" s="572"/>
      <c r="AT12" s="418" t="s">
        <v>639</v>
      </c>
      <c r="AU12" s="425" t="s">
        <v>639</v>
      </c>
      <c r="AV12" s="425" t="s">
        <v>639</v>
      </c>
      <c r="AW12" s="418" t="e">
        <f t="shared" si="15"/>
        <v>#VALUE!</v>
      </c>
      <c r="AX12" s="572"/>
      <c r="AZ12" s="411" t="e">
        <f t="shared" si="17"/>
        <v>#N/A</v>
      </c>
      <c r="BA12" s="572"/>
    </row>
    <row r="13" spans="1:53" ht="14.25">
      <c r="A13" s="81"/>
      <c r="B13" s="600"/>
      <c r="C13" s="418">
        <v>7</v>
      </c>
      <c r="D13" s="418"/>
      <c r="E13" s="418"/>
      <c r="F13" s="418"/>
      <c r="G13" s="425"/>
      <c r="H13" s="628"/>
      <c r="I13" s="422" t="str">
        <f t="shared" si="0"/>
        <v>-</v>
      </c>
      <c r="J13" s="422" t="str">
        <f t="shared" si="1"/>
        <v>-</v>
      </c>
      <c r="K13" s="200" t="str">
        <f t="shared" si="2"/>
        <v>-</v>
      </c>
      <c r="L13" s="581"/>
      <c r="M13" s="424" t="e">
        <f>RANK(K13, K$7:$K$21)</f>
        <v>#VALUE!</v>
      </c>
      <c r="N13" s="564"/>
      <c r="O13" s="564"/>
      <c r="P13" s="418" t="s">
        <v>639</v>
      </c>
      <c r="Q13" s="425" t="s">
        <v>639</v>
      </c>
      <c r="R13" s="425" t="s">
        <v>639</v>
      </c>
      <c r="S13" s="418" t="e">
        <f t="shared" si="3"/>
        <v>#VALUE!</v>
      </c>
      <c r="T13" s="572"/>
      <c r="U13" s="418" t="s">
        <v>639</v>
      </c>
      <c r="V13" s="425" t="s">
        <v>639</v>
      </c>
      <c r="W13" s="425" t="s">
        <v>639</v>
      </c>
      <c r="X13" s="418" t="e">
        <f t="shared" si="5"/>
        <v>#VALUE!</v>
      </c>
      <c r="Y13" s="572"/>
      <c r="Z13" s="418" t="s">
        <v>639</v>
      </c>
      <c r="AA13" s="425" t="s">
        <v>639</v>
      </c>
      <c r="AB13" s="425" t="s">
        <v>639</v>
      </c>
      <c r="AC13" s="418" t="e">
        <f t="shared" si="7"/>
        <v>#VALUE!</v>
      </c>
      <c r="AD13" s="572"/>
      <c r="AE13" s="428"/>
      <c r="AF13" s="425" t="s">
        <v>639</v>
      </c>
      <c r="AG13" s="425" t="s">
        <v>639</v>
      </c>
      <c r="AH13" s="418" t="e">
        <f t="shared" si="9"/>
        <v>#VALUE!</v>
      </c>
      <c r="AI13" s="572"/>
      <c r="AJ13" s="418" t="s">
        <v>639</v>
      </c>
      <c r="AK13" s="425" t="s">
        <v>639</v>
      </c>
      <c r="AL13" s="425" t="s">
        <v>639</v>
      </c>
      <c r="AM13" s="418" t="e">
        <f t="shared" si="11"/>
        <v>#VALUE!</v>
      </c>
      <c r="AN13" s="572"/>
      <c r="AO13" s="418" t="s">
        <v>639</v>
      </c>
      <c r="AP13" s="425" t="s">
        <v>639</v>
      </c>
      <c r="AQ13" s="425" t="s">
        <v>639</v>
      </c>
      <c r="AR13" s="418" t="e">
        <f t="shared" si="13"/>
        <v>#VALUE!</v>
      </c>
      <c r="AS13" s="572"/>
      <c r="AT13" s="418" t="s">
        <v>639</v>
      </c>
      <c r="AU13" s="425" t="s">
        <v>639</v>
      </c>
      <c r="AV13" s="425" t="s">
        <v>639</v>
      </c>
      <c r="AW13" s="418" t="e">
        <f t="shared" si="15"/>
        <v>#VALUE!</v>
      </c>
      <c r="AX13" s="572"/>
      <c r="AZ13" s="411" t="e">
        <f t="shared" si="17"/>
        <v>#N/A</v>
      </c>
      <c r="BA13" s="572"/>
    </row>
    <row r="14" spans="1:53" ht="14.25">
      <c r="A14" s="81"/>
      <c r="B14" s="600"/>
      <c r="C14" s="418">
        <v>8</v>
      </c>
      <c r="D14" s="418"/>
      <c r="E14" s="418"/>
      <c r="F14" s="418"/>
      <c r="G14" s="425"/>
      <c r="H14" s="628"/>
      <c r="I14" s="422" t="str">
        <f t="shared" si="0"/>
        <v>-</v>
      </c>
      <c r="J14" s="422" t="str">
        <f t="shared" si="1"/>
        <v>-</v>
      </c>
      <c r="K14" s="200" t="str">
        <f t="shared" si="2"/>
        <v>-</v>
      </c>
      <c r="L14" s="581"/>
      <c r="M14" s="424" t="e">
        <f>RANK(K14, K$7:$K$21)</f>
        <v>#VALUE!</v>
      </c>
      <c r="N14" s="564"/>
      <c r="O14" s="564"/>
      <c r="P14" s="418" t="s">
        <v>639</v>
      </c>
      <c r="Q14" s="425" t="s">
        <v>639</v>
      </c>
      <c r="R14" s="425" t="s">
        <v>639</v>
      </c>
      <c r="S14" s="418" t="e">
        <f t="shared" si="3"/>
        <v>#VALUE!</v>
      </c>
      <c r="T14" s="572"/>
      <c r="U14" s="418" t="s">
        <v>639</v>
      </c>
      <c r="V14" s="425" t="s">
        <v>639</v>
      </c>
      <c r="W14" s="425" t="s">
        <v>639</v>
      </c>
      <c r="X14" s="418" t="e">
        <f t="shared" si="5"/>
        <v>#VALUE!</v>
      </c>
      <c r="Y14" s="572"/>
      <c r="Z14" s="418" t="s">
        <v>639</v>
      </c>
      <c r="AA14" s="425" t="s">
        <v>639</v>
      </c>
      <c r="AB14" s="425" t="s">
        <v>639</v>
      </c>
      <c r="AC14" s="418" t="e">
        <f t="shared" si="7"/>
        <v>#VALUE!</v>
      </c>
      <c r="AD14" s="572"/>
      <c r="AE14" s="428"/>
      <c r="AF14" s="425" t="s">
        <v>639</v>
      </c>
      <c r="AG14" s="425" t="s">
        <v>639</v>
      </c>
      <c r="AH14" s="418" t="e">
        <f t="shared" si="9"/>
        <v>#VALUE!</v>
      </c>
      <c r="AI14" s="572"/>
      <c r="AJ14" s="418" t="s">
        <v>639</v>
      </c>
      <c r="AK14" s="425" t="s">
        <v>639</v>
      </c>
      <c r="AL14" s="425" t="s">
        <v>639</v>
      </c>
      <c r="AM14" s="418" t="e">
        <f t="shared" si="11"/>
        <v>#VALUE!</v>
      </c>
      <c r="AN14" s="572"/>
      <c r="AO14" s="418" t="s">
        <v>639</v>
      </c>
      <c r="AP14" s="425" t="s">
        <v>639</v>
      </c>
      <c r="AQ14" s="425" t="s">
        <v>639</v>
      </c>
      <c r="AR14" s="418" t="e">
        <f t="shared" si="13"/>
        <v>#VALUE!</v>
      </c>
      <c r="AS14" s="572"/>
      <c r="AT14" s="418" t="s">
        <v>639</v>
      </c>
      <c r="AU14" s="425" t="s">
        <v>639</v>
      </c>
      <c r="AV14" s="425" t="s">
        <v>639</v>
      </c>
      <c r="AW14" s="418" t="e">
        <f t="shared" si="15"/>
        <v>#VALUE!</v>
      </c>
      <c r="AX14" s="572"/>
      <c r="AZ14" s="411" t="e">
        <f t="shared" si="17"/>
        <v>#N/A</v>
      </c>
      <c r="BA14" s="572"/>
    </row>
    <row r="15" spans="1:53" ht="14.25">
      <c r="A15" s="81"/>
      <c r="B15" s="600"/>
      <c r="C15" s="418">
        <v>9</v>
      </c>
      <c r="D15" s="418"/>
      <c r="E15" s="418"/>
      <c r="F15" s="418"/>
      <c r="G15" s="425"/>
      <c r="H15" s="628"/>
      <c r="I15" s="422" t="str">
        <f t="shared" si="0"/>
        <v>-</v>
      </c>
      <c r="J15" s="422" t="str">
        <f t="shared" si="1"/>
        <v>-</v>
      </c>
      <c r="K15" s="200" t="str">
        <f t="shared" si="2"/>
        <v>-</v>
      </c>
      <c r="L15" s="581"/>
      <c r="M15" s="424" t="e">
        <f>RANK(K15, K$7:$K$21)</f>
        <v>#VALUE!</v>
      </c>
      <c r="N15" s="564"/>
      <c r="O15" s="564"/>
      <c r="P15" s="418" t="s">
        <v>639</v>
      </c>
      <c r="Q15" s="425" t="s">
        <v>639</v>
      </c>
      <c r="R15" s="425" t="s">
        <v>639</v>
      </c>
      <c r="S15" s="418" t="e">
        <f t="shared" si="3"/>
        <v>#VALUE!</v>
      </c>
      <c r="T15" s="572"/>
      <c r="U15" s="418" t="s">
        <v>639</v>
      </c>
      <c r="V15" s="425" t="s">
        <v>639</v>
      </c>
      <c r="W15" s="425" t="s">
        <v>639</v>
      </c>
      <c r="X15" s="418" t="e">
        <f t="shared" si="5"/>
        <v>#VALUE!</v>
      </c>
      <c r="Y15" s="572"/>
      <c r="Z15" s="418" t="s">
        <v>639</v>
      </c>
      <c r="AA15" s="425" t="s">
        <v>639</v>
      </c>
      <c r="AB15" s="425" t="s">
        <v>639</v>
      </c>
      <c r="AC15" s="418" t="e">
        <f t="shared" si="7"/>
        <v>#VALUE!</v>
      </c>
      <c r="AD15" s="572"/>
      <c r="AE15" s="428"/>
      <c r="AF15" s="425" t="s">
        <v>639</v>
      </c>
      <c r="AG15" s="425" t="s">
        <v>639</v>
      </c>
      <c r="AH15" s="418" t="e">
        <f t="shared" si="9"/>
        <v>#VALUE!</v>
      </c>
      <c r="AI15" s="572"/>
      <c r="AJ15" s="418" t="s">
        <v>639</v>
      </c>
      <c r="AK15" s="425" t="s">
        <v>639</v>
      </c>
      <c r="AL15" s="425" t="s">
        <v>639</v>
      </c>
      <c r="AM15" s="418" t="e">
        <f t="shared" si="11"/>
        <v>#VALUE!</v>
      </c>
      <c r="AN15" s="572"/>
      <c r="AO15" s="418" t="s">
        <v>639</v>
      </c>
      <c r="AP15" s="425" t="s">
        <v>639</v>
      </c>
      <c r="AQ15" s="425" t="s">
        <v>639</v>
      </c>
      <c r="AR15" s="418" t="e">
        <f t="shared" si="13"/>
        <v>#VALUE!</v>
      </c>
      <c r="AS15" s="572"/>
      <c r="AT15" s="418" t="s">
        <v>639</v>
      </c>
      <c r="AU15" s="425" t="s">
        <v>639</v>
      </c>
      <c r="AV15" s="425" t="s">
        <v>639</v>
      </c>
      <c r="AW15" s="418" t="e">
        <f t="shared" si="15"/>
        <v>#VALUE!</v>
      </c>
      <c r="AX15" s="572"/>
      <c r="AZ15" s="411" t="e">
        <f t="shared" si="17"/>
        <v>#N/A</v>
      </c>
      <c r="BA15" s="572"/>
    </row>
    <row r="16" spans="1:53" ht="14.25">
      <c r="A16" s="81"/>
      <c r="B16" s="600"/>
      <c r="C16" s="418">
        <v>10</v>
      </c>
      <c r="D16" s="418"/>
      <c r="E16" s="418"/>
      <c r="F16" s="418"/>
      <c r="G16" s="425"/>
      <c r="H16" s="628"/>
      <c r="I16" s="422" t="str">
        <f t="shared" si="0"/>
        <v>-</v>
      </c>
      <c r="J16" s="422" t="str">
        <f t="shared" si="1"/>
        <v>-</v>
      </c>
      <c r="K16" s="200" t="str">
        <f t="shared" si="2"/>
        <v>-</v>
      </c>
      <c r="L16" s="581"/>
      <c r="M16" s="424" t="e">
        <f>RANK(K16, K$7:$K$21)</f>
        <v>#VALUE!</v>
      </c>
      <c r="N16" s="564"/>
      <c r="O16" s="564"/>
      <c r="P16" s="418" t="s">
        <v>639</v>
      </c>
      <c r="Q16" s="425" t="s">
        <v>639</v>
      </c>
      <c r="R16" s="425" t="s">
        <v>639</v>
      </c>
      <c r="S16" s="418" t="e">
        <f t="shared" si="3"/>
        <v>#VALUE!</v>
      </c>
      <c r="T16" s="572"/>
      <c r="U16" s="418" t="s">
        <v>639</v>
      </c>
      <c r="V16" s="425" t="s">
        <v>639</v>
      </c>
      <c r="W16" s="425" t="s">
        <v>639</v>
      </c>
      <c r="X16" s="418" t="e">
        <f t="shared" si="5"/>
        <v>#VALUE!</v>
      </c>
      <c r="Y16" s="572"/>
      <c r="Z16" s="418" t="s">
        <v>639</v>
      </c>
      <c r="AA16" s="425" t="s">
        <v>639</v>
      </c>
      <c r="AB16" s="425" t="s">
        <v>639</v>
      </c>
      <c r="AC16" s="418" t="e">
        <f t="shared" si="7"/>
        <v>#VALUE!</v>
      </c>
      <c r="AD16" s="572"/>
      <c r="AE16" s="428"/>
      <c r="AF16" s="425" t="s">
        <v>639</v>
      </c>
      <c r="AG16" s="425" t="s">
        <v>639</v>
      </c>
      <c r="AH16" s="418" t="e">
        <f t="shared" si="9"/>
        <v>#VALUE!</v>
      </c>
      <c r="AI16" s="572"/>
      <c r="AJ16" s="418" t="s">
        <v>639</v>
      </c>
      <c r="AK16" s="425" t="s">
        <v>639</v>
      </c>
      <c r="AL16" s="425" t="s">
        <v>639</v>
      </c>
      <c r="AM16" s="418" t="e">
        <f t="shared" si="11"/>
        <v>#VALUE!</v>
      </c>
      <c r="AN16" s="572"/>
      <c r="AO16" s="418" t="s">
        <v>639</v>
      </c>
      <c r="AP16" s="425" t="s">
        <v>639</v>
      </c>
      <c r="AQ16" s="425" t="s">
        <v>639</v>
      </c>
      <c r="AR16" s="418" t="e">
        <f t="shared" si="13"/>
        <v>#VALUE!</v>
      </c>
      <c r="AS16" s="572"/>
      <c r="AT16" s="418" t="s">
        <v>639</v>
      </c>
      <c r="AU16" s="425" t="s">
        <v>639</v>
      </c>
      <c r="AV16" s="425" t="s">
        <v>639</v>
      </c>
      <c r="AW16" s="418" t="e">
        <f t="shared" si="15"/>
        <v>#VALUE!</v>
      </c>
      <c r="AX16" s="572"/>
      <c r="AZ16" s="411" t="e">
        <f t="shared" si="17"/>
        <v>#N/A</v>
      </c>
      <c r="BA16" s="572"/>
    </row>
    <row r="17" spans="2:53">
      <c r="B17" s="600"/>
      <c r="C17" s="418">
        <v>11</v>
      </c>
      <c r="D17" s="418"/>
      <c r="E17" s="418"/>
      <c r="F17" s="418"/>
      <c r="G17" s="425"/>
      <c r="H17" s="628"/>
      <c r="I17" s="422" t="str">
        <f t="shared" si="0"/>
        <v>-</v>
      </c>
      <c r="J17" s="422" t="str">
        <f t="shared" si="1"/>
        <v>-</v>
      </c>
      <c r="K17" s="200" t="str">
        <f t="shared" si="2"/>
        <v>-</v>
      </c>
      <c r="L17" s="581"/>
      <c r="M17" s="424" t="e">
        <f>RANK(K17, K$7:$K$21)</f>
        <v>#VALUE!</v>
      </c>
      <c r="N17" s="564"/>
      <c r="O17" s="564"/>
      <c r="P17" s="418" t="s">
        <v>639</v>
      </c>
      <c r="Q17" s="425" t="s">
        <v>639</v>
      </c>
      <c r="R17" s="425" t="s">
        <v>639</v>
      </c>
      <c r="S17" s="418" t="e">
        <f t="shared" si="3"/>
        <v>#VALUE!</v>
      </c>
      <c r="T17" s="572"/>
      <c r="U17" s="418" t="s">
        <v>639</v>
      </c>
      <c r="V17" s="425" t="s">
        <v>639</v>
      </c>
      <c r="W17" s="425" t="s">
        <v>639</v>
      </c>
      <c r="X17" s="418" t="e">
        <f t="shared" si="5"/>
        <v>#VALUE!</v>
      </c>
      <c r="Y17" s="572"/>
      <c r="Z17" s="418" t="s">
        <v>639</v>
      </c>
      <c r="AA17" s="425" t="s">
        <v>639</v>
      </c>
      <c r="AB17" s="425" t="s">
        <v>639</v>
      </c>
      <c r="AC17" s="418" t="e">
        <f t="shared" si="7"/>
        <v>#VALUE!</v>
      </c>
      <c r="AD17" s="572"/>
      <c r="AE17" s="428"/>
      <c r="AF17" s="425" t="s">
        <v>639</v>
      </c>
      <c r="AG17" s="425" t="s">
        <v>639</v>
      </c>
      <c r="AH17" s="418" t="e">
        <f t="shared" si="9"/>
        <v>#VALUE!</v>
      </c>
      <c r="AI17" s="572"/>
      <c r="AJ17" s="418" t="s">
        <v>639</v>
      </c>
      <c r="AK17" s="425" t="s">
        <v>639</v>
      </c>
      <c r="AL17" s="425" t="s">
        <v>639</v>
      </c>
      <c r="AM17" s="418" t="e">
        <f t="shared" si="11"/>
        <v>#VALUE!</v>
      </c>
      <c r="AN17" s="572"/>
      <c r="AO17" s="418" t="s">
        <v>639</v>
      </c>
      <c r="AP17" s="425" t="s">
        <v>639</v>
      </c>
      <c r="AQ17" s="425" t="s">
        <v>639</v>
      </c>
      <c r="AR17" s="418" t="e">
        <f t="shared" si="13"/>
        <v>#VALUE!</v>
      </c>
      <c r="AS17" s="572"/>
      <c r="AT17" s="418" t="s">
        <v>639</v>
      </c>
      <c r="AU17" s="425" t="s">
        <v>639</v>
      </c>
      <c r="AV17" s="425" t="s">
        <v>639</v>
      </c>
      <c r="AW17" s="418" t="e">
        <f t="shared" si="15"/>
        <v>#VALUE!</v>
      </c>
      <c r="AX17" s="572"/>
      <c r="AZ17" s="411" t="e">
        <f t="shared" si="17"/>
        <v>#N/A</v>
      </c>
      <c r="BA17" s="572"/>
    </row>
    <row r="18" spans="2:53">
      <c r="B18" s="600"/>
      <c r="C18" s="418">
        <v>12</v>
      </c>
      <c r="D18" s="418"/>
      <c r="E18" s="418"/>
      <c r="F18" s="418"/>
      <c r="G18" s="425"/>
      <c r="H18" s="628"/>
      <c r="I18" s="422" t="str">
        <f t="shared" si="0"/>
        <v>-</v>
      </c>
      <c r="J18" s="422" t="str">
        <f t="shared" si="1"/>
        <v>-</v>
      </c>
      <c r="K18" s="200" t="str">
        <f t="shared" si="2"/>
        <v>-</v>
      </c>
      <c r="L18" s="581"/>
      <c r="M18" s="424" t="e">
        <f>RANK(K18, K$7:$K$21)</f>
        <v>#VALUE!</v>
      </c>
      <c r="N18" s="564"/>
      <c r="O18" s="564"/>
      <c r="P18" s="418" t="s">
        <v>639</v>
      </c>
      <c r="Q18" s="425" t="s">
        <v>639</v>
      </c>
      <c r="R18" s="425" t="s">
        <v>639</v>
      </c>
      <c r="S18" s="418" t="e">
        <f t="shared" si="3"/>
        <v>#VALUE!</v>
      </c>
      <c r="T18" s="572"/>
      <c r="U18" s="418" t="s">
        <v>639</v>
      </c>
      <c r="V18" s="425" t="s">
        <v>639</v>
      </c>
      <c r="W18" s="425" t="s">
        <v>639</v>
      </c>
      <c r="X18" s="418" t="e">
        <f t="shared" si="5"/>
        <v>#VALUE!</v>
      </c>
      <c r="Y18" s="572"/>
      <c r="Z18" s="418" t="s">
        <v>639</v>
      </c>
      <c r="AA18" s="425" t="s">
        <v>639</v>
      </c>
      <c r="AB18" s="425" t="s">
        <v>639</v>
      </c>
      <c r="AC18" s="418" t="e">
        <f t="shared" si="7"/>
        <v>#VALUE!</v>
      </c>
      <c r="AD18" s="572"/>
      <c r="AE18" s="428"/>
      <c r="AF18" s="425" t="s">
        <v>639</v>
      </c>
      <c r="AG18" s="425" t="s">
        <v>639</v>
      </c>
      <c r="AH18" s="418" t="e">
        <f t="shared" si="9"/>
        <v>#VALUE!</v>
      </c>
      <c r="AI18" s="572"/>
      <c r="AJ18" s="418" t="s">
        <v>639</v>
      </c>
      <c r="AK18" s="425" t="s">
        <v>639</v>
      </c>
      <c r="AL18" s="425" t="s">
        <v>639</v>
      </c>
      <c r="AM18" s="418" t="e">
        <f t="shared" si="11"/>
        <v>#VALUE!</v>
      </c>
      <c r="AN18" s="572"/>
      <c r="AO18" s="418" t="s">
        <v>639</v>
      </c>
      <c r="AP18" s="425" t="s">
        <v>639</v>
      </c>
      <c r="AQ18" s="425" t="s">
        <v>639</v>
      </c>
      <c r="AR18" s="418" t="e">
        <f t="shared" si="13"/>
        <v>#VALUE!</v>
      </c>
      <c r="AS18" s="572"/>
      <c r="AT18" s="418" t="s">
        <v>639</v>
      </c>
      <c r="AU18" s="425" t="s">
        <v>639</v>
      </c>
      <c r="AV18" s="425" t="s">
        <v>639</v>
      </c>
      <c r="AW18" s="418" t="e">
        <f t="shared" si="15"/>
        <v>#VALUE!</v>
      </c>
      <c r="AX18" s="572"/>
      <c r="AZ18" s="411" t="e">
        <f t="shared" si="17"/>
        <v>#N/A</v>
      </c>
      <c r="BA18" s="572"/>
    </row>
    <row r="19" spans="2:53">
      <c r="B19" s="600"/>
      <c r="C19" s="418">
        <v>13</v>
      </c>
      <c r="D19" s="418"/>
      <c r="E19" s="418"/>
      <c r="F19" s="418"/>
      <c r="G19" s="425"/>
      <c r="H19" s="628"/>
      <c r="I19" s="422" t="str">
        <f t="shared" si="0"/>
        <v>-</v>
      </c>
      <c r="J19" s="422" t="str">
        <f t="shared" si="1"/>
        <v>-</v>
      </c>
      <c r="K19" s="200" t="str">
        <f t="shared" si="2"/>
        <v>-</v>
      </c>
      <c r="L19" s="581"/>
      <c r="M19" s="424" t="e">
        <f>RANK(K19, K$7:$K$21)</f>
        <v>#VALUE!</v>
      </c>
      <c r="N19" s="564"/>
      <c r="O19" s="564"/>
      <c r="P19" s="418" t="s">
        <v>639</v>
      </c>
      <c r="Q19" s="425" t="s">
        <v>639</v>
      </c>
      <c r="R19" s="425" t="s">
        <v>639</v>
      </c>
      <c r="S19" s="418" t="e">
        <f t="shared" si="3"/>
        <v>#VALUE!</v>
      </c>
      <c r="T19" s="572"/>
      <c r="U19" s="418" t="s">
        <v>639</v>
      </c>
      <c r="V19" s="425" t="s">
        <v>639</v>
      </c>
      <c r="W19" s="425" t="s">
        <v>639</v>
      </c>
      <c r="X19" s="418" t="e">
        <f t="shared" si="5"/>
        <v>#VALUE!</v>
      </c>
      <c r="Y19" s="572"/>
      <c r="Z19" s="418" t="s">
        <v>639</v>
      </c>
      <c r="AA19" s="425" t="s">
        <v>639</v>
      </c>
      <c r="AB19" s="425" t="s">
        <v>639</v>
      </c>
      <c r="AC19" s="418" t="e">
        <f t="shared" si="7"/>
        <v>#VALUE!</v>
      </c>
      <c r="AD19" s="572"/>
      <c r="AE19" s="428"/>
      <c r="AF19" s="425" t="s">
        <v>639</v>
      </c>
      <c r="AG19" s="425" t="s">
        <v>639</v>
      </c>
      <c r="AH19" s="418" t="e">
        <f t="shared" si="9"/>
        <v>#VALUE!</v>
      </c>
      <c r="AI19" s="572"/>
      <c r="AJ19" s="418" t="s">
        <v>639</v>
      </c>
      <c r="AK19" s="425" t="s">
        <v>639</v>
      </c>
      <c r="AL19" s="425" t="s">
        <v>639</v>
      </c>
      <c r="AM19" s="418" t="e">
        <f t="shared" si="11"/>
        <v>#VALUE!</v>
      </c>
      <c r="AN19" s="572"/>
      <c r="AO19" s="418" t="s">
        <v>639</v>
      </c>
      <c r="AP19" s="425" t="s">
        <v>639</v>
      </c>
      <c r="AQ19" s="425" t="s">
        <v>639</v>
      </c>
      <c r="AR19" s="418" t="e">
        <f t="shared" si="13"/>
        <v>#VALUE!</v>
      </c>
      <c r="AS19" s="572"/>
      <c r="AT19" s="418" t="s">
        <v>639</v>
      </c>
      <c r="AU19" s="425" t="s">
        <v>639</v>
      </c>
      <c r="AV19" s="425" t="s">
        <v>639</v>
      </c>
      <c r="AW19" s="418" t="e">
        <f t="shared" si="15"/>
        <v>#VALUE!</v>
      </c>
      <c r="AX19" s="572"/>
      <c r="AZ19" s="411" t="e">
        <f t="shared" si="17"/>
        <v>#N/A</v>
      </c>
      <c r="BA19" s="572"/>
    </row>
    <row r="20" spans="2:53">
      <c r="B20" s="600"/>
      <c r="C20" s="418">
        <v>14</v>
      </c>
      <c r="D20" s="418"/>
      <c r="E20" s="418"/>
      <c r="F20" s="418"/>
      <c r="G20" s="425"/>
      <c r="H20" s="628"/>
      <c r="I20" s="422" t="str">
        <f t="shared" si="0"/>
        <v>-</v>
      </c>
      <c r="J20" s="422" t="str">
        <f t="shared" si="1"/>
        <v>-</v>
      </c>
      <c r="K20" s="200" t="str">
        <f t="shared" si="2"/>
        <v>-</v>
      </c>
      <c r="L20" s="581"/>
      <c r="M20" s="424" t="e">
        <f>RANK(K20, K$7:$K$21)</f>
        <v>#VALUE!</v>
      </c>
      <c r="N20" s="564"/>
      <c r="O20" s="564"/>
      <c r="P20" s="418" t="s">
        <v>639</v>
      </c>
      <c r="Q20" s="425" t="s">
        <v>639</v>
      </c>
      <c r="R20" s="425" t="s">
        <v>639</v>
      </c>
      <c r="S20" s="418" t="e">
        <f t="shared" si="3"/>
        <v>#VALUE!</v>
      </c>
      <c r="T20" s="572"/>
      <c r="U20" s="418" t="s">
        <v>639</v>
      </c>
      <c r="V20" s="425" t="s">
        <v>639</v>
      </c>
      <c r="W20" s="425" t="s">
        <v>639</v>
      </c>
      <c r="X20" s="418" t="e">
        <f t="shared" si="5"/>
        <v>#VALUE!</v>
      </c>
      <c r="Y20" s="572"/>
      <c r="Z20" s="418" t="s">
        <v>639</v>
      </c>
      <c r="AA20" s="425" t="s">
        <v>639</v>
      </c>
      <c r="AB20" s="425" t="s">
        <v>639</v>
      </c>
      <c r="AC20" s="418" t="e">
        <f t="shared" si="7"/>
        <v>#VALUE!</v>
      </c>
      <c r="AD20" s="572"/>
      <c r="AE20" s="428"/>
      <c r="AF20" s="425" t="s">
        <v>639</v>
      </c>
      <c r="AG20" s="425" t="s">
        <v>639</v>
      </c>
      <c r="AH20" s="418" t="e">
        <f t="shared" si="9"/>
        <v>#VALUE!</v>
      </c>
      <c r="AI20" s="572"/>
      <c r="AJ20" s="418" t="s">
        <v>639</v>
      </c>
      <c r="AK20" s="425" t="s">
        <v>639</v>
      </c>
      <c r="AL20" s="425" t="s">
        <v>639</v>
      </c>
      <c r="AM20" s="418" t="e">
        <f t="shared" si="11"/>
        <v>#VALUE!</v>
      </c>
      <c r="AN20" s="572"/>
      <c r="AO20" s="418" t="s">
        <v>639</v>
      </c>
      <c r="AP20" s="425" t="s">
        <v>639</v>
      </c>
      <c r="AQ20" s="425" t="s">
        <v>639</v>
      </c>
      <c r="AR20" s="418" t="e">
        <f t="shared" si="13"/>
        <v>#VALUE!</v>
      </c>
      <c r="AS20" s="572"/>
      <c r="AT20" s="418" t="s">
        <v>639</v>
      </c>
      <c r="AU20" s="425" t="s">
        <v>639</v>
      </c>
      <c r="AV20" s="425" t="s">
        <v>639</v>
      </c>
      <c r="AW20" s="418" t="e">
        <f t="shared" si="15"/>
        <v>#VALUE!</v>
      </c>
      <c r="AX20" s="572"/>
      <c r="AZ20" s="411" t="e">
        <f t="shared" si="17"/>
        <v>#N/A</v>
      </c>
      <c r="BA20" s="572"/>
    </row>
    <row r="21" spans="2:53">
      <c r="B21" s="600"/>
      <c r="C21" s="418">
        <v>15</v>
      </c>
      <c r="D21" s="418"/>
      <c r="E21" s="418"/>
      <c r="F21" s="418"/>
      <c r="G21" s="418"/>
      <c r="H21" s="629"/>
      <c r="I21" s="422" t="str">
        <f t="shared" si="0"/>
        <v>-</v>
      </c>
      <c r="J21" s="422" t="str">
        <f t="shared" si="1"/>
        <v>-</v>
      </c>
      <c r="K21" s="200" t="str">
        <f t="shared" si="2"/>
        <v>-</v>
      </c>
      <c r="L21" s="582"/>
      <c r="M21" s="424" t="e">
        <f>RANK(K21, K$7:$K$21)</f>
        <v>#VALUE!</v>
      </c>
      <c r="N21" s="564"/>
      <c r="O21" s="564"/>
      <c r="P21" s="418" t="s">
        <v>639</v>
      </c>
      <c r="Q21" s="425" t="s">
        <v>639</v>
      </c>
      <c r="R21" s="425" t="s">
        <v>639</v>
      </c>
      <c r="S21" s="418" t="e">
        <f t="shared" si="3"/>
        <v>#VALUE!</v>
      </c>
      <c r="T21" s="572"/>
      <c r="U21" s="418" t="s">
        <v>639</v>
      </c>
      <c r="V21" s="425" t="s">
        <v>639</v>
      </c>
      <c r="W21" s="425" t="s">
        <v>639</v>
      </c>
      <c r="X21" s="418" t="e">
        <f t="shared" si="5"/>
        <v>#VALUE!</v>
      </c>
      <c r="Y21" s="572"/>
      <c r="Z21" s="418" t="s">
        <v>639</v>
      </c>
      <c r="AA21" s="425" t="s">
        <v>639</v>
      </c>
      <c r="AB21" s="425" t="s">
        <v>639</v>
      </c>
      <c r="AC21" s="418" t="e">
        <f t="shared" si="7"/>
        <v>#VALUE!</v>
      </c>
      <c r="AD21" s="572"/>
      <c r="AE21" s="428"/>
      <c r="AF21" s="425" t="s">
        <v>639</v>
      </c>
      <c r="AG21" s="425" t="s">
        <v>639</v>
      </c>
      <c r="AH21" s="418" t="e">
        <f t="shared" si="9"/>
        <v>#VALUE!</v>
      </c>
      <c r="AI21" s="572"/>
      <c r="AJ21" s="418" t="s">
        <v>639</v>
      </c>
      <c r="AK21" s="425" t="s">
        <v>639</v>
      </c>
      <c r="AL21" s="425" t="s">
        <v>639</v>
      </c>
      <c r="AM21" s="418" t="e">
        <f t="shared" si="11"/>
        <v>#VALUE!</v>
      </c>
      <c r="AN21" s="572"/>
      <c r="AO21" s="418" t="s">
        <v>639</v>
      </c>
      <c r="AP21" s="425" t="s">
        <v>639</v>
      </c>
      <c r="AQ21" s="425" t="s">
        <v>639</v>
      </c>
      <c r="AR21" s="418" t="e">
        <f t="shared" si="13"/>
        <v>#VALUE!</v>
      </c>
      <c r="AS21" s="572"/>
      <c r="AT21" s="418"/>
      <c r="AU21" s="425"/>
      <c r="AV21" s="425"/>
      <c r="AW21" s="418" t="e">
        <f t="shared" si="15"/>
        <v>#N/A</v>
      </c>
      <c r="AX21" s="572"/>
      <c r="AZ21" s="411" t="e">
        <f t="shared" si="17"/>
        <v>#N/A</v>
      </c>
      <c r="BA21" s="572"/>
    </row>
    <row r="22" spans="2:53" ht="15.75">
      <c r="B22" s="608" t="s">
        <v>163</v>
      </c>
      <c r="C22" s="609"/>
      <c r="D22" s="609"/>
      <c r="E22" s="609"/>
      <c r="F22" s="609"/>
      <c r="G22" s="609"/>
      <c r="H22" s="609"/>
      <c r="I22" s="203"/>
      <c r="J22" s="203"/>
      <c r="K22" s="203"/>
      <c r="L22" s="203"/>
      <c r="M22" s="204"/>
      <c r="N22" s="566" t="s">
        <v>156</v>
      </c>
      <c r="O22" s="566" t="s">
        <v>105</v>
      </c>
      <c r="P22" s="592">
        <f>P2+7</f>
        <v>46147</v>
      </c>
      <c r="Q22" s="570"/>
      <c r="R22" s="570"/>
      <c r="S22" s="570"/>
      <c r="T22" s="570"/>
      <c r="U22" s="589">
        <f>P22+1</f>
        <v>46148</v>
      </c>
      <c r="V22" s="590"/>
      <c r="W22" s="590"/>
      <c r="X22" s="590"/>
      <c r="Y22" s="591"/>
      <c r="Z22" s="589">
        <f>U22+1</f>
        <v>46149</v>
      </c>
      <c r="AA22" s="590"/>
      <c r="AB22" s="590"/>
      <c r="AC22" s="590"/>
      <c r="AD22" s="591"/>
      <c r="AE22" s="589">
        <f>Z22+1</f>
        <v>46150</v>
      </c>
      <c r="AF22" s="590"/>
      <c r="AG22" s="590"/>
      <c r="AH22" s="590"/>
      <c r="AI22" s="591"/>
      <c r="AJ22" s="589">
        <f>AE22+1</f>
        <v>46151</v>
      </c>
      <c r="AK22" s="590"/>
      <c r="AL22" s="590"/>
      <c r="AM22" s="590"/>
      <c r="AN22" s="591"/>
      <c r="AO22" s="589">
        <f>AJ22+1</f>
        <v>46152</v>
      </c>
      <c r="AP22" s="590"/>
      <c r="AQ22" s="590"/>
      <c r="AR22" s="590"/>
      <c r="AS22" s="591"/>
      <c r="AT22" s="589">
        <f>AO22+1</f>
        <v>46153</v>
      </c>
      <c r="AU22" s="590"/>
      <c r="AV22" s="590"/>
      <c r="AW22" s="590"/>
      <c r="AX22" s="591"/>
    </row>
    <row r="23" spans="2:53" ht="15.75">
      <c r="B23" s="596"/>
      <c r="C23" s="596"/>
      <c r="D23" s="596"/>
      <c r="E23" s="596"/>
      <c r="F23" s="596"/>
      <c r="G23" s="596"/>
      <c r="H23" s="596"/>
      <c r="I23" s="205"/>
      <c r="J23" s="205"/>
      <c r="K23" s="205"/>
      <c r="L23" s="205"/>
      <c r="M23" s="206"/>
      <c r="N23" s="568"/>
      <c r="O23" s="568"/>
      <c r="P23" s="592" t="s">
        <v>318</v>
      </c>
      <c r="Q23" s="570"/>
      <c r="R23" s="570"/>
      <c r="S23" s="570"/>
      <c r="T23" s="570"/>
      <c r="U23" s="592" t="s">
        <v>319</v>
      </c>
      <c r="V23" s="570"/>
      <c r="W23" s="570"/>
      <c r="X23" s="570"/>
      <c r="Y23" s="570"/>
      <c r="Z23" s="592" t="s">
        <v>320</v>
      </c>
      <c r="AA23" s="570"/>
      <c r="AB23" s="570"/>
      <c r="AC23" s="570"/>
      <c r="AD23" s="570"/>
      <c r="AE23" s="592" t="s">
        <v>321</v>
      </c>
      <c r="AF23" s="570"/>
      <c r="AG23" s="570"/>
      <c r="AH23" s="570"/>
      <c r="AI23" s="570"/>
      <c r="AJ23" s="592" t="s">
        <v>322</v>
      </c>
      <c r="AK23" s="570"/>
      <c r="AL23" s="570"/>
      <c r="AM23" s="570"/>
      <c r="AN23" s="570"/>
      <c r="AO23" s="592" t="s">
        <v>323</v>
      </c>
      <c r="AP23" s="570"/>
      <c r="AQ23" s="570"/>
      <c r="AR23" s="570"/>
      <c r="AS23" s="570"/>
      <c r="AT23" s="592" t="s">
        <v>324</v>
      </c>
      <c r="AU23" s="570"/>
      <c r="AV23" s="570"/>
      <c r="AW23" s="570"/>
      <c r="AX23" s="570"/>
    </row>
    <row r="24" spans="2:53">
      <c r="B24" s="564" t="s">
        <v>579</v>
      </c>
      <c r="C24" s="564" t="s">
        <v>387</v>
      </c>
      <c r="D24" s="564"/>
      <c r="E24" s="564" t="s">
        <v>378</v>
      </c>
      <c r="F24" s="564"/>
      <c r="G24" s="564"/>
      <c r="H24" s="597" t="s">
        <v>374</v>
      </c>
      <c r="I24" s="564" t="s">
        <v>379</v>
      </c>
      <c r="J24" s="564"/>
      <c r="K24" s="564"/>
      <c r="L24" s="597" t="s">
        <v>374</v>
      </c>
      <c r="M24" s="566" t="s">
        <v>375</v>
      </c>
      <c r="N24" s="564"/>
      <c r="O24" s="564" t="s">
        <v>380</v>
      </c>
      <c r="P24" s="583" t="s">
        <v>376</v>
      </c>
      <c r="Q24" s="584"/>
      <c r="R24" s="584"/>
      <c r="S24" s="585"/>
      <c r="T24" s="564" t="s">
        <v>374</v>
      </c>
      <c r="U24" s="583" t="s">
        <v>376</v>
      </c>
      <c r="V24" s="584"/>
      <c r="W24" s="584"/>
      <c r="X24" s="585"/>
      <c r="Y24" s="564" t="s">
        <v>374</v>
      </c>
      <c r="Z24" s="583" t="s">
        <v>376</v>
      </c>
      <c r="AA24" s="584"/>
      <c r="AB24" s="584"/>
      <c r="AC24" s="585"/>
      <c r="AD24" s="564" t="s">
        <v>374</v>
      </c>
      <c r="AE24" s="583" t="s">
        <v>376</v>
      </c>
      <c r="AF24" s="584"/>
      <c r="AG24" s="584"/>
      <c r="AH24" s="585"/>
      <c r="AI24" s="564" t="s">
        <v>374</v>
      </c>
      <c r="AJ24" s="583" t="s">
        <v>376</v>
      </c>
      <c r="AK24" s="584"/>
      <c r="AL24" s="584"/>
      <c r="AM24" s="585"/>
      <c r="AN24" s="564" t="s">
        <v>374</v>
      </c>
      <c r="AO24" s="583" t="s">
        <v>376</v>
      </c>
      <c r="AP24" s="584"/>
      <c r="AQ24" s="584"/>
      <c r="AR24" s="585"/>
      <c r="AS24" s="564" t="s">
        <v>374</v>
      </c>
      <c r="AT24" s="583" t="s">
        <v>376</v>
      </c>
      <c r="AU24" s="584"/>
      <c r="AV24" s="584"/>
      <c r="AW24" s="585"/>
      <c r="AX24" s="564" t="s">
        <v>374</v>
      </c>
      <c r="BA24" s="564" t="s">
        <v>374</v>
      </c>
    </row>
    <row r="25" spans="2:53">
      <c r="B25" s="564"/>
      <c r="C25" s="564"/>
      <c r="D25" s="564"/>
      <c r="E25" s="564" t="s">
        <v>381</v>
      </c>
      <c r="F25" s="564"/>
      <c r="G25" s="564"/>
      <c r="H25" s="598"/>
      <c r="I25" s="564" t="s">
        <v>381</v>
      </c>
      <c r="J25" s="564"/>
      <c r="K25" s="564"/>
      <c r="L25" s="598"/>
      <c r="M25" s="567"/>
      <c r="N25" s="564"/>
      <c r="O25" s="564"/>
      <c r="P25" s="583" t="s">
        <v>382</v>
      </c>
      <c r="Q25" s="584"/>
      <c r="R25" s="584"/>
      <c r="S25" s="585"/>
      <c r="T25" s="564"/>
      <c r="U25" s="583" t="s">
        <v>382</v>
      </c>
      <c r="V25" s="584"/>
      <c r="W25" s="584"/>
      <c r="X25" s="585"/>
      <c r="Y25" s="564"/>
      <c r="Z25" s="583" t="s">
        <v>382</v>
      </c>
      <c r="AA25" s="584"/>
      <c r="AB25" s="584"/>
      <c r="AC25" s="585"/>
      <c r="AD25" s="564"/>
      <c r="AE25" s="583" t="s">
        <v>382</v>
      </c>
      <c r="AF25" s="584"/>
      <c r="AG25" s="584"/>
      <c r="AH25" s="585"/>
      <c r="AI25" s="564"/>
      <c r="AJ25" s="583" t="s">
        <v>382</v>
      </c>
      <c r="AK25" s="584"/>
      <c r="AL25" s="584"/>
      <c r="AM25" s="585"/>
      <c r="AN25" s="564"/>
      <c r="AO25" s="583" t="s">
        <v>382</v>
      </c>
      <c r="AP25" s="584"/>
      <c r="AQ25" s="584"/>
      <c r="AR25" s="585"/>
      <c r="AS25" s="564"/>
      <c r="AT25" s="583" t="s">
        <v>382</v>
      </c>
      <c r="AU25" s="584"/>
      <c r="AV25" s="584"/>
      <c r="AW25" s="585"/>
      <c r="AX25" s="564"/>
      <c r="BA25" s="564"/>
    </row>
    <row r="26" spans="2:53">
      <c r="B26" s="564"/>
      <c r="C26" s="564"/>
      <c r="D26" s="564"/>
      <c r="E26" s="417" t="s">
        <v>383</v>
      </c>
      <c r="F26" s="417" t="s">
        <v>384</v>
      </c>
      <c r="G26" s="417" t="s">
        <v>385</v>
      </c>
      <c r="H26" s="599"/>
      <c r="I26" s="417" t="s">
        <v>383</v>
      </c>
      <c r="J26" s="417" t="s">
        <v>384</v>
      </c>
      <c r="K26" s="417" t="s">
        <v>385</v>
      </c>
      <c r="L26" s="599"/>
      <c r="M26" s="568"/>
      <c r="N26" s="564"/>
      <c r="O26" s="564"/>
      <c r="P26" s="417" t="s">
        <v>383</v>
      </c>
      <c r="Q26" s="417" t="s">
        <v>384</v>
      </c>
      <c r="R26" s="417" t="s">
        <v>385</v>
      </c>
      <c r="S26" s="417" t="s">
        <v>375</v>
      </c>
      <c r="T26" s="564"/>
      <c r="U26" s="417" t="s">
        <v>383</v>
      </c>
      <c r="V26" s="417" t="s">
        <v>384</v>
      </c>
      <c r="W26" s="417" t="s">
        <v>385</v>
      </c>
      <c r="X26" s="417" t="s">
        <v>375</v>
      </c>
      <c r="Y26" s="564"/>
      <c r="Z26" s="417" t="s">
        <v>383</v>
      </c>
      <c r="AA26" s="417" t="s">
        <v>384</v>
      </c>
      <c r="AB26" s="417" t="s">
        <v>385</v>
      </c>
      <c r="AC26" s="417" t="s">
        <v>375</v>
      </c>
      <c r="AD26" s="564"/>
      <c r="AE26" s="417" t="s">
        <v>383</v>
      </c>
      <c r="AF26" s="417" t="s">
        <v>384</v>
      </c>
      <c r="AG26" s="417" t="s">
        <v>385</v>
      </c>
      <c r="AH26" s="417" t="s">
        <v>375</v>
      </c>
      <c r="AI26" s="564"/>
      <c r="AJ26" s="417" t="s">
        <v>383</v>
      </c>
      <c r="AK26" s="417" t="s">
        <v>384</v>
      </c>
      <c r="AL26" s="417" t="s">
        <v>385</v>
      </c>
      <c r="AM26" s="417" t="s">
        <v>375</v>
      </c>
      <c r="AN26" s="564"/>
      <c r="AO26" s="417" t="s">
        <v>383</v>
      </c>
      <c r="AP26" s="417" t="s">
        <v>384</v>
      </c>
      <c r="AQ26" s="417" t="s">
        <v>385</v>
      </c>
      <c r="AR26" s="417" t="s">
        <v>375</v>
      </c>
      <c r="AS26" s="564"/>
      <c r="AT26" s="417" t="s">
        <v>383</v>
      </c>
      <c r="AU26" s="417" t="s">
        <v>384</v>
      </c>
      <c r="AV26" s="417" t="s">
        <v>385</v>
      </c>
      <c r="AW26" s="417" t="s">
        <v>375</v>
      </c>
      <c r="AX26" s="564"/>
      <c r="AZ26" s="412" t="s">
        <v>375</v>
      </c>
      <c r="BA26" s="564"/>
    </row>
    <row r="27" spans="2:53">
      <c r="B27" s="626" t="s">
        <v>581</v>
      </c>
      <c r="C27" s="420">
        <v>1</v>
      </c>
      <c r="D27" s="418" t="s">
        <v>609</v>
      </c>
      <c r="E27" s="418">
        <v>10</v>
      </c>
      <c r="F27" s="418">
        <v>1500</v>
      </c>
      <c r="G27" s="425">
        <v>150</v>
      </c>
      <c r="H27" s="578">
        <f>AVERAGE(G27:G41)</f>
        <v>188</v>
      </c>
      <c r="I27" s="422">
        <f t="shared" ref="I27:I41" si="19">IFERROR(AVERAGE(P27,U27,Z27,AE27,AJ27,AO27,AT27),"-")</f>
        <v>10</v>
      </c>
      <c r="J27" s="422">
        <f t="shared" ref="J27:J41" si="20">IFERROR(AVERAGE(Q27,V27,AA27,AF27,AK27,AP27,AU27),"-")</f>
        <v>1250.3698156682008</v>
      </c>
      <c r="K27" s="200">
        <f t="shared" ref="K27:K41" si="21">IFERROR(AVERAGE(R27,W27,AB27,AG27,AL27,AQ27,AV27),"-")</f>
        <v>125.03698156682007</v>
      </c>
      <c r="L27" s="580">
        <f>IFERROR(AVERAGE(K27:K41),"-")</f>
        <v>195.79932140355822</v>
      </c>
      <c r="M27" s="426">
        <f>RANK(K27, K$27:$K$41)</f>
        <v>5</v>
      </c>
      <c r="N27" s="564"/>
      <c r="O27" s="564"/>
      <c r="P27" s="425">
        <v>10</v>
      </c>
      <c r="Q27" s="425">
        <v>1310.3225806451592</v>
      </c>
      <c r="R27" s="419">
        <v>131.03225806451593</v>
      </c>
      <c r="S27" s="420">
        <f>RANK(R27, R$27:R$41)</f>
        <v>5</v>
      </c>
      <c r="T27" s="572">
        <f>AVERAGE(R27:R41)</f>
        <v>201.70531524926704</v>
      </c>
      <c r="U27" s="425">
        <v>10</v>
      </c>
      <c r="V27" s="425">
        <v>1314.3749999999982</v>
      </c>
      <c r="W27" s="419">
        <v>131.43749999999983</v>
      </c>
      <c r="X27" s="430">
        <f>RANK(W27, W$27:W$41)</f>
        <v>5</v>
      </c>
      <c r="Y27" s="572">
        <f t="shared" ref="Y27" si="22">AVERAGE(W27:W41)</f>
        <v>195.45833333333351</v>
      </c>
      <c r="Z27" s="425">
        <v>10</v>
      </c>
      <c r="AA27" s="425">
        <v>1309.9999999999975</v>
      </c>
      <c r="AB27" s="419">
        <v>130.99999999999974</v>
      </c>
      <c r="AC27" s="430">
        <f>RANK(AB27, AB$27:AB$41)</f>
        <v>5</v>
      </c>
      <c r="AD27" s="572">
        <f t="shared" ref="AD27" si="23">AVERAGE(AB27:AB41)</f>
        <v>193.79376799670931</v>
      </c>
      <c r="AE27" s="425">
        <v>10</v>
      </c>
      <c r="AF27" s="425">
        <v>1089.677419354837</v>
      </c>
      <c r="AG27" s="419">
        <v>108.9677419354837</v>
      </c>
      <c r="AH27" s="430">
        <f>RANK(AG27, AG$27:AG$41)</f>
        <v>5</v>
      </c>
      <c r="AI27" s="572">
        <f t="shared" ref="AI27" si="24">AVERAGE(AG27:AG41)</f>
        <v>193.81856337211158</v>
      </c>
      <c r="AJ27" s="425">
        <v>10</v>
      </c>
      <c r="AK27" s="425">
        <v>1114.8387096774175</v>
      </c>
      <c r="AL27" s="419">
        <v>111.48387096774175</v>
      </c>
      <c r="AM27" s="430">
        <f>RANK(AL27, AL$27:AL$41)</f>
        <v>5</v>
      </c>
      <c r="AN27" s="572">
        <f t="shared" ref="AN27" si="25">AVERAGE(AL27:AL41)</f>
        <v>191.15608155285543</v>
      </c>
      <c r="AO27" s="425">
        <v>10</v>
      </c>
      <c r="AP27" s="425">
        <v>1299.3749999999982</v>
      </c>
      <c r="AQ27" s="419">
        <v>129.93749999999983</v>
      </c>
      <c r="AR27" s="430">
        <f>RANK(AQ27, AQ$27:AQ$41)</f>
        <v>5</v>
      </c>
      <c r="AS27" s="572">
        <f t="shared" ref="AS27" si="26">AVERAGE(AQ27:AQ41)</f>
        <v>197.59486664230911</v>
      </c>
      <c r="AT27" s="425">
        <v>10</v>
      </c>
      <c r="AU27" s="425">
        <v>1313.9999999999975</v>
      </c>
      <c r="AV27" s="419">
        <v>131.39999999999975</v>
      </c>
      <c r="AW27" s="430">
        <f>RANK(AV27, AV$27:AV$41)</f>
        <v>5</v>
      </c>
      <c r="AX27" s="572">
        <f t="shared" ref="AX27" si="27">AVERAGE(AV27:AV41)</f>
        <v>197.06832167832147</v>
      </c>
      <c r="AZ27" s="411" t="e">
        <f t="shared" ref="AZ27:AZ41" si="28">RANK(AY27, AY$27:AY$41)</f>
        <v>#N/A</v>
      </c>
      <c r="BA27" s="559" t="e">
        <f t="shared" ref="BA27" si="29">AVERAGE(AY27:AY41)</f>
        <v>#DIV/0!</v>
      </c>
    </row>
    <row r="28" spans="2:53">
      <c r="B28" s="570"/>
      <c r="C28" s="420">
        <v>2</v>
      </c>
      <c r="D28" s="418" t="s">
        <v>651</v>
      </c>
      <c r="E28" s="418">
        <v>15</v>
      </c>
      <c r="F28" s="418">
        <v>1800</v>
      </c>
      <c r="G28" s="425">
        <v>120</v>
      </c>
      <c r="H28" s="579"/>
      <c r="I28" s="422">
        <f t="shared" si="19"/>
        <v>12.285714285714286</v>
      </c>
      <c r="J28" s="422">
        <f t="shared" si="20"/>
        <v>1844.7920168067228</v>
      </c>
      <c r="K28" s="200">
        <f t="shared" si="21"/>
        <v>150.41410795087268</v>
      </c>
      <c r="L28" s="581"/>
      <c r="M28" s="432">
        <f>RANK(K28, K$27:$K$41)</f>
        <v>3</v>
      </c>
      <c r="N28" s="564"/>
      <c r="O28" s="564"/>
      <c r="P28" s="418">
        <v>12</v>
      </c>
      <c r="Q28" s="425">
        <v>1866.0000000000009</v>
      </c>
      <c r="R28" s="419">
        <v>155.50000000000009</v>
      </c>
      <c r="S28" s="430">
        <f t="shared" ref="S28:S41" si="30">RANK(R28, R$27:R$41)</f>
        <v>3</v>
      </c>
      <c r="T28" s="572"/>
      <c r="U28" s="418">
        <v>12</v>
      </c>
      <c r="V28" s="425">
        <v>1864.500000000003</v>
      </c>
      <c r="W28" s="419">
        <v>155.37500000000026</v>
      </c>
      <c r="X28" s="430">
        <f t="shared" ref="X28:X41" si="31">RANK(W28, W$27:W$41)</f>
        <v>3</v>
      </c>
      <c r="Y28" s="572"/>
      <c r="Z28" s="418">
        <v>13</v>
      </c>
      <c r="AA28" s="425">
        <v>1766.1176470588232</v>
      </c>
      <c r="AB28" s="419">
        <v>135.85520361990947</v>
      </c>
      <c r="AC28" s="430">
        <f t="shared" ref="AC28:AC41" si="32">RANK(AB28, AB$27:AB$41)</f>
        <v>3</v>
      </c>
      <c r="AD28" s="572"/>
      <c r="AE28" s="418">
        <v>12</v>
      </c>
      <c r="AF28" s="425">
        <v>1853.1428571428594</v>
      </c>
      <c r="AG28" s="419">
        <v>154.42857142857162</v>
      </c>
      <c r="AH28" s="430">
        <f t="shared" ref="AH28:AH41" si="33">RANK(AG28, AG$27:AG$41)</f>
        <v>3</v>
      </c>
      <c r="AI28" s="572"/>
      <c r="AJ28" s="418">
        <v>12</v>
      </c>
      <c r="AK28" s="425">
        <v>1884.8571428571408</v>
      </c>
      <c r="AL28" s="419">
        <v>157.07142857142841</v>
      </c>
      <c r="AM28" s="430">
        <f t="shared" ref="AM28:AM41" si="34">RANK(AL28, AL$27:AL$41)</f>
        <v>3</v>
      </c>
      <c r="AN28" s="572"/>
      <c r="AO28" s="418">
        <v>12</v>
      </c>
      <c r="AP28" s="425">
        <v>1821.1764705882365</v>
      </c>
      <c r="AQ28" s="419">
        <v>151.76470588235304</v>
      </c>
      <c r="AR28" s="430">
        <f t="shared" ref="AR28:AR41" si="35">RANK(AQ28, AQ$27:AQ$41)</f>
        <v>3</v>
      </c>
      <c r="AS28" s="572"/>
      <c r="AT28" s="418">
        <v>13</v>
      </c>
      <c r="AU28" s="425">
        <v>1857.7499999999973</v>
      </c>
      <c r="AV28" s="419">
        <v>142.90384615384593</v>
      </c>
      <c r="AW28" s="430">
        <f t="shared" ref="AW28:AW41" si="36">RANK(AV28, AV$27:AV$41)</f>
        <v>3</v>
      </c>
      <c r="AX28" s="572"/>
      <c r="AZ28" s="411" t="e">
        <f t="shared" si="28"/>
        <v>#N/A</v>
      </c>
      <c r="BA28" s="560"/>
    </row>
    <row r="29" spans="2:53">
      <c r="B29" s="570"/>
      <c r="C29" s="420">
        <v>3</v>
      </c>
      <c r="D29" s="418" t="s">
        <v>652</v>
      </c>
      <c r="E29" s="418">
        <v>15</v>
      </c>
      <c r="F29" s="418">
        <v>1800</v>
      </c>
      <c r="G29" s="425">
        <v>120</v>
      </c>
      <c r="H29" s="579"/>
      <c r="I29" s="422">
        <f t="shared" si="19"/>
        <v>12.285714285714286</v>
      </c>
      <c r="J29" s="422">
        <f t="shared" si="20"/>
        <v>1771.5799058084772</v>
      </c>
      <c r="K29" s="200">
        <f t="shared" si="21"/>
        <v>144.35771193092617</v>
      </c>
      <c r="L29" s="581"/>
      <c r="M29" s="432">
        <f>RANK(K29, K$27:$K$41)</f>
        <v>4</v>
      </c>
      <c r="N29" s="564"/>
      <c r="O29" s="564"/>
      <c r="P29" s="418">
        <v>12</v>
      </c>
      <c r="Q29" s="425">
        <v>1749.750000000003</v>
      </c>
      <c r="R29" s="419">
        <v>145.81250000000026</v>
      </c>
      <c r="S29" s="430">
        <f t="shared" si="30"/>
        <v>4</v>
      </c>
      <c r="T29" s="572"/>
      <c r="U29" s="418">
        <v>12</v>
      </c>
      <c r="V29" s="425">
        <v>1761.7499999999993</v>
      </c>
      <c r="W29" s="419">
        <v>146.81249999999994</v>
      </c>
      <c r="X29" s="430">
        <f t="shared" si="31"/>
        <v>4</v>
      </c>
      <c r="Y29" s="572"/>
      <c r="Z29" s="418">
        <v>13</v>
      </c>
      <c r="AA29" s="425">
        <v>1764.750000000003</v>
      </c>
      <c r="AB29" s="419">
        <v>135.75000000000023</v>
      </c>
      <c r="AC29" s="430">
        <f t="shared" si="32"/>
        <v>4</v>
      </c>
      <c r="AD29" s="572"/>
      <c r="AE29" s="418">
        <v>12</v>
      </c>
      <c r="AF29" s="425">
        <v>1821.2307692307668</v>
      </c>
      <c r="AG29" s="419">
        <v>151.76923076923057</v>
      </c>
      <c r="AH29" s="430">
        <f t="shared" si="33"/>
        <v>4</v>
      </c>
      <c r="AI29" s="572"/>
      <c r="AJ29" s="418">
        <v>12</v>
      </c>
      <c r="AK29" s="425">
        <v>1719.4285714285677</v>
      </c>
      <c r="AL29" s="419">
        <v>143.28571428571396</v>
      </c>
      <c r="AM29" s="430">
        <f t="shared" si="34"/>
        <v>4</v>
      </c>
      <c r="AN29" s="572"/>
      <c r="AO29" s="418">
        <v>12</v>
      </c>
      <c r="AP29" s="425">
        <v>1773.7499999999993</v>
      </c>
      <c r="AQ29" s="419">
        <v>147.81249999999994</v>
      </c>
      <c r="AR29" s="430">
        <f t="shared" si="35"/>
        <v>4</v>
      </c>
      <c r="AS29" s="572"/>
      <c r="AT29" s="418">
        <v>13</v>
      </c>
      <c r="AU29" s="425">
        <v>1810.3999999999987</v>
      </c>
      <c r="AV29" s="419">
        <v>139.26153846153835</v>
      </c>
      <c r="AW29" s="430">
        <f t="shared" si="36"/>
        <v>4</v>
      </c>
      <c r="AX29" s="572"/>
      <c r="AZ29" s="411" t="e">
        <f t="shared" si="28"/>
        <v>#N/A</v>
      </c>
      <c r="BA29" s="560"/>
    </row>
    <row r="30" spans="2:53">
      <c r="B30" s="570"/>
      <c r="C30" s="420">
        <v>4</v>
      </c>
      <c r="D30" s="418" t="s">
        <v>527</v>
      </c>
      <c r="E30" s="418">
        <v>6</v>
      </c>
      <c r="F30" s="418">
        <v>1500</v>
      </c>
      <c r="G30" s="425">
        <v>250</v>
      </c>
      <c r="H30" s="579"/>
      <c r="I30" s="422">
        <f t="shared" si="19"/>
        <v>6</v>
      </c>
      <c r="J30" s="422">
        <f t="shared" si="20"/>
        <v>1525.8712715855581</v>
      </c>
      <c r="K30" s="200">
        <f t="shared" si="21"/>
        <v>254.31187859759302</v>
      </c>
      <c r="L30" s="581"/>
      <c r="M30" s="432">
        <f>RANK(K30, K$27:$K$41)</f>
        <v>2</v>
      </c>
      <c r="N30" s="564"/>
      <c r="O30" s="564"/>
      <c r="P30" s="418">
        <v>6</v>
      </c>
      <c r="Q30" s="425">
        <v>1572.0000000000014</v>
      </c>
      <c r="R30" s="419">
        <v>262.00000000000023</v>
      </c>
      <c r="S30" s="430">
        <f t="shared" si="30"/>
        <v>2</v>
      </c>
      <c r="T30" s="572"/>
      <c r="U30" s="418">
        <v>6</v>
      </c>
      <c r="V30" s="425">
        <v>1492.0000000000014</v>
      </c>
      <c r="W30" s="419">
        <v>248.66666666666688</v>
      </c>
      <c r="X30" s="430">
        <f t="shared" si="31"/>
        <v>2</v>
      </c>
      <c r="Y30" s="572"/>
      <c r="Z30" s="418">
        <v>6</v>
      </c>
      <c r="AA30" s="425">
        <v>1536.0000000000014</v>
      </c>
      <c r="AB30" s="419">
        <v>256.00000000000023</v>
      </c>
      <c r="AC30" s="430">
        <f t="shared" si="32"/>
        <v>2</v>
      </c>
      <c r="AD30" s="572"/>
      <c r="AE30" s="418">
        <v>6</v>
      </c>
      <c r="AF30" s="425">
        <v>1516.3636363636365</v>
      </c>
      <c r="AG30" s="419">
        <v>252.72727272727275</v>
      </c>
      <c r="AH30" s="430">
        <f t="shared" si="33"/>
        <v>2</v>
      </c>
      <c r="AI30" s="572"/>
      <c r="AJ30" s="418">
        <v>6</v>
      </c>
      <c r="AK30" s="425">
        <v>1483.6363636363635</v>
      </c>
      <c r="AL30" s="419">
        <v>247.27272727272725</v>
      </c>
      <c r="AM30" s="430">
        <f t="shared" si="34"/>
        <v>2</v>
      </c>
      <c r="AN30" s="572"/>
      <c r="AO30" s="418">
        <v>6</v>
      </c>
      <c r="AP30" s="425">
        <v>1525.7142857142869</v>
      </c>
      <c r="AQ30" s="419">
        <v>254.28571428571448</v>
      </c>
      <c r="AR30" s="430">
        <f t="shared" si="35"/>
        <v>2</v>
      </c>
      <c r="AS30" s="572"/>
      <c r="AT30" s="418">
        <v>6</v>
      </c>
      <c r="AU30" s="425">
        <v>1555.3846153846162</v>
      </c>
      <c r="AV30" s="419">
        <v>259.23076923076934</v>
      </c>
      <c r="AW30" s="430">
        <f t="shared" si="36"/>
        <v>2</v>
      </c>
      <c r="AX30" s="572"/>
      <c r="AZ30" s="411" t="e">
        <f t="shared" si="28"/>
        <v>#N/A</v>
      </c>
      <c r="BA30" s="560"/>
    </row>
    <row r="31" spans="2:53">
      <c r="B31" s="570"/>
      <c r="C31" s="420">
        <v>5</v>
      </c>
      <c r="D31" s="418" t="s">
        <v>507</v>
      </c>
      <c r="E31" s="418">
        <v>5</v>
      </c>
      <c r="F31" s="418">
        <v>1500</v>
      </c>
      <c r="G31" s="425">
        <v>300</v>
      </c>
      <c r="H31" s="579"/>
      <c r="I31" s="422">
        <f t="shared" si="19"/>
        <v>5</v>
      </c>
      <c r="J31" s="422">
        <f t="shared" si="20"/>
        <v>1524.3796348578956</v>
      </c>
      <c r="K31" s="200">
        <f t="shared" si="21"/>
        <v>304.87592697157908</v>
      </c>
      <c r="L31" s="581"/>
      <c r="M31" s="432">
        <f>RANK(K31, K$27:$K$41)</f>
        <v>1</v>
      </c>
      <c r="N31" s="564"/>
      <c r="O31" s="564"/>
      <c r="P31" s="418">
        <v>5</v>
      </c>
      <c r="Q31" s="425">
        <v>1570.9090909090937</v>
      </c>
      <c r="R31" s="419">
        <v>314.18181818181876</v>
      </c>
      <c r="S31" s="430">
        <f t="shared" si="30"/>
        <v>1</v>
      </c>
      <c r="T31" s="572"/>
      <c r="U31" s="418">
        <v>5</v>
      </c>
      <c r="V31" s="425">
        <v>1475.000000000003</v>
      </c>
      <c r="W31" s="419">
        <v>295.00000000000057</v>
      </c>
      <c r="X31" s="430">
        <f t="shared" si="31"/>
        <v>1</v>
      </c>
      <c r="Y31" s="572"/>
      <c r="Z31" s="418">
        <v>5</v>
      </c>
      <c r="AA31" s="425">
        <v>1551.8181818181845</v>
      </c>
      <c r="AB31" s="419">
        <v>310.36363636363689</v>
      </c>
      <c r="AC31" s="430">
        <f t="shared" si="32"/>
        <v>1</v>
      </c>
      <c r="AD31" s="572"/>
      <c r="AE31" s="418">
        <v>5</v>
      </c>
      <c r="AF31" s="425">
        <v>1505.9999999999964</v>
      </c>
      <c r="AG31" s="419">
        <v>301.19999999999925</v>
      </c>
      <c r="AH31" s="430">
        <f t="shared" si="33"/>
        <v>1</v>
      </c>
      <c r="AI31" s="572"/>
      <c r="AJ31" s="418">
        <v>5</v>
      </c>
      <c r="AK31" s="425">
        <v>1483.3333333333285</v>
      </c>
      <c r="AL31" s="419">
        <v>296.66666666666572</v>
      </c>
      <c r="AM31" s="430">
        <f t="shared" si="34"/>
        <v>1</v>
      </c>
      <c r="AN31" s="572"/>
      <c r="AO31" s="418">
        <v>5</v>
      </c>
      <c r="AP31" s="425">
        <v>1520.8695652173915</v>
      </c>
      <c r="AQ31" s="419">
        <v>304.17391304347831</v>
      </c>
      <c r="AR31" s="430">
        <f t="shared" si="35"/>
        <v>1</v>
      </c>
      <c r="AS31" s="572"/>
      <c r="AT31" s="418">
        <v>5</v>
      </c>
      <c r="AU31" s="425">
        <v>1562.7272727272696</v>
      </c>
      <c r="AV31" s="419">
        <v>312.54545454545394</v>
      </c>
      <c r="AW31" s="430">
        <f t="shared" si="36"/>
        <v>1</v>
      </c>
      <c r="AX31" s="572"/>
      <c r="AZ31" s="411" t="e">
        <f t="shared" si="28"/>
        <v>#N/A</v>
      </c>
      <c r="BA31" s="560"/>
    </row>
    <row r="32" spans="2:53">
      <c r="B32" s="570"/>
      <c r="C32" s="420">
        <v>6</v>
      </c>
      <c r="D32" s="418"/>
      <c r="E32" s="418"/>
      <c r="F32" s="418"/>
      <c r="G32" s="425"/>
      <c r="H32" s="579"/>
      <c r="I32" s="422" t="str">
        <f t="shared" si="19"/>
        <v>-</v>
      </c>
      <c r="J32" s="422" t="str">
        <f t="shared" si="20"/>
        <v>-</v>
      </c>
      <c r="K32" s="200" t="str">
        <f t="shared" si="21"/>
        <v>-</v>
      </c>
      <c r="L32" s="581"/>
      <c r="M32" s="432" t="e">
        <f>RANK(K32, K$27:$K$41)</f>
        <v>#VALUE!</v>
      </c>
      <c r="N32" s="564"/>
      <c r="O32" s="564"/>
      <c r="P32" s="418"/>
      <c r="Q32" s="425"/>
      <c r="R32" s="419"/>
      <c r="S32" s="430" t="e">
        <f t="shared" si="30"/>
        <v>#N/A</v>
      </c>
      <c r="T32" s="572"/>
      <c r="U32" s="418"/>
      <c r="V32" s="425"/>
      <c r="W32" s="419"/>
      <c r="X32" s="430" t="e">
        <f t="shared" si="31"/>
        <v>#N/A</v>
      </c>
      <c r="Y32" s="572"/>
      <c r="Z32" s="418"/>
      <c r="AA32" s="425"/>
      <c r="AB32" s="419"/>
      <c r="AC32" s="430" t="e">
        <f t="shared" si="32"/>
        <v>#N/A</v>
      </c>
      <c r="AD32" s="572"/>
      <c r="AE32" s="418"/>
      <c r="AF32" s="425"/>
      <c r="AG32" s="419"/>
      <c r="AH32" s="430" t="e">
        <f t="shared" si="33"/>
        <v>#N/A</v>
      </c>
      <c r="AI32" s="572"/>
      <c r="AJ32" s="418"/>
      <c r="AK32" s="425"/>
      <c r="AL32" s="419"/>
      <c r="AM32" s="430" t="e">
        <f t="shared" si="34"/>
        <v>#N/A</v>
      </c>
      <c r="AN32" s="572"/>
      <c r="AO32" s="418"/>
      <c r="AP32" s="425"/>
      <c r="AQ32" s="419"/>
      <c r="AR32" s="430" t="e">
        <f t="shared" si="35"/>
        <v>#N/A</v>
      </c>
      <c r="AS32" s="572"/>
      <c r="AT32" s="418"/>
      <c r="AU32" s="425"/>
      <c r="AV32" s="419"/>
      <c r="AW32" s="430" t="e">
        <f t="shared" si="36"/>
        <v>#N/A</v>
      </c>
      <c r="AX32" s="572"/>
      <c r="AZ32" s="411" t="e">
        <f t="shared" si="28"/>
        <v>#N/A</v>
      </c>
      <c r="BA32" s="560"/>
    </row>
    <row r="33" spans="2:53">
      <c r="B33" s="570"/>
      <c r="C33" s="420">
        <v>7</v>
      </c>
      <c r="D33" s="418"/>
      <c r="E33" s="418"/>
      <c r="F33" s="418"/>
      <c r="G33" s="425"/>
      <c r="H33" s="579"/>
      <c r="I33" s="422" t="str">
        <f t="shared" si="19"/>
        <v>-</v>
      </c>
      <c r="J33" s="422" t="str">
        <f t="shared" si="20"/>
        <v>-</v>
      </c>
      <c r="K33" s="200" t="str">
        <f t="shared" si="21"/>
        <v>-</v>
      </c>
      <c r="L33" s="581"/>
      <c r="M33" s="432" t="e">
        <f>RANK(K33, K$27:$K$41)</f>
        <v>#VALUE!</v>
      </c>
      <c r="N33" s="564"/>
      <c r="O33" s="564"/>
      <c r="P33" s="418"/>
      <c r="Q33" s="425"/>
      <c r="R33" s="419"/>
      <c r="S33" s="430" t="e">
        <f t="shared" si="30"/>
        <v>#N/A</v>
      </c>
      <c r="T33" s="572"/>
      <c r="U33" s="418"/>
      <c r="V33" s="425"/>
      <c r="W33" s="419"/>
      <c r="X33" s="430" t="e">
        <f t="shared" si="31"/>
        <v>#N/A</v>
      </c>
      <c r="Y33" s="572"/>
      <c r="Z33" s="418"/>
      <c r="AA33" s="425"/>
      <c r="AB33" s="419"/>
      <c r="AC33" s="430" t="e">
        <f t="shared" si="32"/>
        <v>#N/A</v>
      </c>
      <c r="AD33" s="572"/>
      <c r="AE33" s="418"/>
      <c r="AF33" s="425"/>
      <c r="AG33" s="419"/>
      <c r="AH33" s="430" t="e">
        <f t="shared" si="33"/>
        <v>#N/A</v>
      </c>
      <c r="AI33" s="572"/>
      <c r="AJ33" s="418"/>
      <c r="AK33" s="425"/>
      <c r="AL33" s="419"/>
      <c r="AM33" s="430" t="e">
        <f t="shared" si="34"/>
        <v>#N/A</v>
      </c>
      <c r="AN33" s="572"/>
      <c r="AO33" s="418"/>
      <c r="AP33" s="425"/>
      <c r="AQ33" s="419"/>
      <c r="AR33" s="430" t="e">
        <f t="shared" si="35"/>
        <v>#N/A</v>
      </c>
      <c r="AS33" s="572"/>
      <c r="AT33" s="418"/>
      <c r="AU33" s="425"/>
      <c r="AV33" s="419"/>
      <c r="AW33" s="430" t="e">
        <f t="shared" si="36"/>
        <v>#N/A</v>
      </c>
      <c r="AX33" s="572"/>
      <c r="AZ33" s="411" t="e">
        <f t="shared" si="28"/>
        <v>#N/A</v>
      </c>
      <c r="BA33" s="560"/>
    </row>
    <row r="34" spans="2:53">
      <c r="B34" s="570"/>
      <c r="C34" s="420">
        <v>8</v>
      </c>
      <c r="D34" s="418"/>
      <c r="E34" s="418"/>
      <c r="F34" s="418"/>
      <c r="G34" s="425"/>
      <c r="H34" s="579"/>
      <c r="I34" s="422" t="str">
        <f t="shared" si="19"/>
        <v>-</v>
      </c>
      <c r="J34" s="422" t="str">
        <f t="shared" si="20"/>
        <v>-</v>
      </c>
      <c r="K34" s="200" t="str">
        <f t="shared" si="21"/>
        <v>-</v>
      </c>
      <c r="L34" s="581"/>
      <c r="M34" s="432" t="e">
        <f>RANK(K34, K$27:$K$41)</f>
        <v>#VALUE!</v>
      </c>
      <c r="N34" s="564"/>
      <c r="O34" s="564"/>
      <c r="P34" s="418"/>
      <c r="Q34" s="425"/>
      <c r="R34" s="419"/>
      <c r="S34" s="430" t="e">
        <f t="shared" si="30"/>
        <v>#N/A</v>
      </c>
      <c r="T34" s="572"/>
      <c r="U34" s="418"/>
      <c r="V34" s="425"/>
      <c r="W34" s="419"/>
      <c r="X34" s="430" t="e">
        <f t="shared" si="31"/>
        <v>#N/A</v>
      </c>
      <c r="Y34" s="572"/>
      <c r="Z34" s="418"/>
      <c r="AA34" s="425"/>
      <c r="AB34" s="419"/>
      <c r="AC34" s="430" t="e">
        <f t="shared" si="32"/>
        <v>#N/A</v>
      </c>
      <c r="AD34" s="572"/>
      <c r="AE34" s="418"/>
      <c r="AF34" s="425"/>
      <c r="AG34" s="419"/>
      <c r="AH34" s="430" t="e">
        <f t="shared" si="33"/>
        <v>#N/A</v>
      </c>
      <c r="AI34" s="572"/>
      <c r="AJ34" s="418"/>
      <c r="AK34" s="425"/>
      <c r="AL34" s="419"/>
      <c r="AM34" s="430" t="e">
        <f t="shared" si="34"/>
        <v>#N/A</v>
      </c>
      <c r="AN34" s="572"/>
      <c r="AO34" s="418"/>
      <c r="AP34" s="425"/>
      <c r="AQ34" s="419"/>
      <c r="AR34" s="430" t="e">
        <f t="shared" si="35"/>
        <v>#N/A</v>
      </c>
      <c r="AS34" s="572"/>
      <c r="AT34" s="418"/>
      <c r="AU34" s="425"/>
      <c r="AV34" s="419"/>
      <c r="AW34" s="430" t="e">
        <f t="shared" si="36"/>
        <v>#N/A</v>
      </c>
      <c r="AX34" s="572"/>
      <c r="AZ34" s="411" t="e">
        <f t="shared" si="28"/>
        <v>#N/A</v>
      </c>
      <c r="BA34" s="560"/>
    </row>
    <row r="35" spans="2:53">
      <c r="B35" s="570"/>
      <c r="C35" s="420">
        <v>9</v>
      </c>
      <c r="D35" s="418"/>
      <c r="E35" s="418"/>
      <c r="F35" s="418"/>
      <c r="G35" s="425"/>
      <c r="H35" s="579"/>
      <c r="I35" s="422" t="str">
        <f t="shared" si="19"/>
        <v>-</v>
      </c>
      <c r="J35" s="422" t="str">
        <f t="shared" si="20"/>
        <v>-</v>
      </c>
      <c r="K35" s="200" t="str">
        <f t="shared" si="21"/>
        <v>-</v>
      </c>
      <c r="L35" s="581"/>
      <c r="M35" s="432" t="e">
        <f>RANK(K35, K$27:$K$41)</f>
        <v>#VALUE!</v>
      </c>
      <c r="N35" s="564"/>
      <c r="O35" s="564"/>
      <c r="P35" s="418"/>
      <c r="Q35" s="425"/>
      <c r="R35" s="419"/>
      <c r="S35" s="430" t="e">
        <f t="shared" si="30"/>
        <v>#N/A</v>
      </c>
      <c r="T35" s="572"/>
      <c r="U35" s="418"/>
      <c r="V35" s="425"/>
      <c r="W35" s="419"/>
      <c r="X35" s="430" t="e">
        <f t="shared" si="31"/>
        <v>#N/A</v>
      </c>
      <c r="Y35" s="572"/>
      <c r="Z35" s="418"/>
      <c r="AA35" s="425"/>
      <c r="AB35" s="419"/>
      <c r="AC35" s="430" t="e">
        <f t="shared" si="32"/>
        <v>#N/A</v>
      </c>
      <c r="AD35" s="572"/>
      <c r="AE35" s="418"/>
      <c r="AF35" s="425"/>
      <c r="AG35" s="419"/>
      <c r="AH35" s="430" t="e">
        <f t="shared" si="33"/>
        <v>#N/A</v>
      </c>
      <c r="AI35" s="572"/>
      <c r="AJ35" s="418"/>
      <c r="AK35" s="425"/>
      <c r="AL35" s="419"/>
      <c r="AM35" s="430" t="e">
        <f t="shared" si="34"/>
        <v>#N/A</v>
      </c>
      <c r="AN35" s="572"/>
      <c r="AO35" s="418"/>
      <c r="AP35" s="425"/>
      <c r="AQ35" s="419"/>
      <c r="AR35" s="430" t="e">
        <f t="shared" si="35"/>
        <v>#N/A</v>
      </c>
      <c r="AS35" s="572"/>
      <c r="AT35" s="418"/>
      <c r="AU35" s="425"/>
      <c r="AV35" s="419"/>
      <c r="AW35" s="430" t="e">
        <f t="shared" si="36"/>
        <v>#N/A</v>
      </c>
      <c r="AX35" s="572"/>
      <c r="AZ35" s="411" t="e">
        <f t="shared" si="28"/>
        <v>#N/A</v>
      </c>
      <c r="BA35" s="560"/>
    </row>
    <row r="36" spans="2:53">
      <c r="B36" s="570"/>
      <c r="C36" s="420">
        <v>10</v>
      </c>
      <c r="D36" s="418"/>
      <c r="E36" s="418"/>
      <c r="F36" s="418"/>
      <c r="G36" s="425"/>
      <c r="H36" s="579"/>
      <c r="I36" s="422" t="str">
        <f t="shared" si="19"/>
        <v>-</v>
      </c>
      <c r="J36" s="422" t="str">
        <f t="shared" si="20"/>
        <v>-</v>
      </c>
      <c r="K36" s="200" t="str">
        <f t="shared" si="21"/>
        <v>-</v>
      </c>
      <c r="L36" s="581"/>
      <c r="M36" s="432" t="e">
        <f>RANK(K36, K$27:$K$41)</f>
        <v>#VALUE!</v>
      </c>
      <c r="N36" s="564"/>
      <c r="O36" s="564"/>
      <c r="P36" s="418"/>
      <c r="Q36" s="425"/>
      <c r="R36" s="419"/>
      <c r="S36" s="430" t="e">
        <f t="shared" si="30"/>
        <v>#N/A</v>
      </c>
      <c r="T36" s="572"/>
      <c r="U36" s="418"/>
      <c r="V36" s="425"/>
      <c r="W36" s="419"/>
      <c r="X36" s="430" t="e">
        <f t="shared" si="31"/>
        <v>#N/A</v>
      </c>
      <c r="Y36" s="572"/>
      <c r="Z36" s="418"/>
      <c r="AA36" s="425"/>
      <c r="AB36" s="419"/>
      <c r="AC36" s="430" t="e">
        <f t="shared" si="32"/>
        <v>#N/A</v>
      </c>
      <c r="AD36" s="572"/>
      <c r="AE36" s="418"/>
      <c r="AF36" s="425"/>
      <c r="AG36" s="419"/>
      <c r="AH36" s="430" t="e">
        <f t="shared" si="33"/>
        <v>#N/A</v>
      </c>
      <c r="AI36" s="572"/>
      <c r="AJ36" s="418"/>
      <c r="AK36" s="425"/>
      <c r="AL36" s="419"/>
      <c r="AM36" s="430" t="e">
        <f t="shared" si="34"/>
        <v>#N/A</v>
      </c>
      <c r="AN36" s="572"/>
      <c r="AO36" s="418"/>
      <c r="AP36" s="425"/>
      <c r="AQ36" s="419"/>
      <c r="AR36" s="430" t="e">
        <f t="shared" si="35"/>
        <v>#N/A</v>
      </c>
      <c r="AS36" s="572"/>
      <c r="AT36" s="418"/>
      <c r="AU36" s="425"/>
      <c r="AV36" s="419"/>
      <c r="AW36" s="430" t="e">
        <f t="shared" si="36"/>
        <v>#N/A</v>
      </c>
      <c r="AX36" s="572"/>
      <c r="AZ36" s="411" t="e">
        <f t="shared" si="28"/>
        <v>#N/A</v>
      </c>
      <c r="BA36" s="560"/>
    </row>
    <row r="37" spans="2:53">
      <c r="B37" s="570"/>
      <c r="C37" s="420">
        <v>11</v>
      </c>
      <c r="D37" s="418"/>
      <c r="E37" s="418"/>
      <c r="F37" s="418"/>
      <c r="G37" s="425"/>
      <c r="H37" s="579"/>
      <c r="I37" s="422" t="str">
        <f t="shared" si="19"/>
        <v>-</v>
      </c>
      <c r="J37" s="422" t="str">
        <f t="shared" si="20"/>
        <v>-</v>
      </c>
      <c r="K37" s="200" t="str">
        <f t="shared" si="21"/>
        <v>-</v>
      </c>
      <c r="L37" s="581"/>
      <c r="M37" s="432" t="e">
        <f>RANK(K37, K$27:$K$41)</f>
        <v>#VALUE!</v>
      </c>
      <c r="N37" s="564"/>
      <c r="O37" s="564"/>
      <c r="P37" s="418"/>
      <c r="Q37" s="418"/>
      <c r="R37" s="418"/>
      <c r="S37" s="430" t="e">
        <f t="shared" si="30"/>
        <v>#N/A</v>
      </c>
      <c r="T37" s="572"/>
      <c r="U37" s="418"/>
      <c r="V37" s="418"/>
      <c r="W37" s="418"/>
      <c r="X37" s="430" t="e">
        <f t="shared" si="31"/>
        <v>#N/A</v>
      </c>
      <c r="Y37" s="572"/>
      <c r="Z37" s="418"/>
      <c r="AA37" s="418"/>
      <c r="AB37" s="418"/>
      <c r="AC37" s="430" t="e">
        <f t="shared" si="32"/>
        <v>#N/A</v>
      </c>
      <c r="AD37" s="572"/>
      <c r="AE37" s="418"/>
      <c r="AF37" s="418"/>
      <c r="AG37" s="418"/>
      <c r="AH37" s="430" t="e">
        <f t="shared" si="33"/>
        <v>#N/A</v>
      </c>
      <c r="AI37" s="572"/>
      <c r="AJ37" s="418"/>
      <c r="AK37" s="418"/>
      <c r="AL37" s="418"/>
      <c r="AM37" s="430" t="e">
        <f t="shared" si="34"/>
        <v>#N/A</v>
      </c>
      <c r="AN37" s="572"/>
      <c r="AO37" s="418"/>
      <c r="AP37" s="418"/>
      <c r="AQ37" s="418"/>
      <c r="AR37" s="430" t="e">
        <f t="shared" si="35"/>
        <v>#N/A</v>
      </c>
      <c r="AS37" s="572"/>
      <c r="AT37" s="418"/>
      <c r="AU37" s="418"/>
      <c r="AV37" s="418"/>
      <c r="AW37" s="430" t="e">
        <f t="shared" si="36"/>
        <v>#N/A</v>
      </c>
      <c r="AX37" s="572"/>
      <c r="AZ37" s="411" t="e">
        <f t="shared" si="28"/>
        <v>#N/A</v>
      </c>
      <c r="BA37" s="560"/>
    </row>
    <row r="38" spans="2:53">
      <c r="B38" s="570"/>
      <c r="C38" s="420">
        <v>12</v>
      </c>
      <c r="D38" s="418"/>
      <c r="E38" s="418"/>
      <c r="F38" s="418"/>
      <c r="G38" s="425"/>
      <c r="H38" s="579"/>
      <c r="I38" s="422" t="str">
        <f t="shared" si="19"/>
        <v>-</v>
      </c>
      <c r="J38" s="422" t="str">
        <f t="shared" si="20"/>
        <v>-</v>
      </c>
      <c r="K38" s="200" t="str">
        <f t="shared" si="21"/>
        <v>-</v>
      </c>
      <c r="L38" s="581"/>
      <c r="M38" s="432" t="e">
        <f>RANK(K38, K$27:$K$41)</f>
        <v>#VALUE!</v>
      </c>
      <c r="N38" s="564"/>
      <c r="O38" s="564"/>
      <c r="P38" s="418"/>
      <c r="Q38" s="418"/>
      <c r="R38" s="418"/>
      <c r="S38" s="430" t="e">
        <f t="shared" si="30"/>
        <v>#N/A</v>
      </c>
      <c r="T38" s="572"/>
      <c r="U38" s="418"/>
      <c r="V38" s="418"/>
      <c r="W38" s="418"/>
      <c r="X38" s="430" t="e">
        <f t="shared" si="31"/>
        <v>#N/A</v>
      </c>
      <c r="Y38" s="572"/>
      <c r="Z38" s="418"/>
      <c r="AA38" s="418"/>
      <c r="AB38" s="418"/>
      <c r="AC38" s="430" t="e">
        <f t="shared" si="32"/>
        <v>#N/A</v>
      </c>
      <c r="AD38" s="572"/>
      <c r="AE38" s="418"/>
      <c r="AF38" s="418"/>
      <c r="AG38" s="418"/>
      <c r="AH38" s="430" t="e">
        <f t="shared" si="33"/>
        <v>#N/A</v>
      </c>
      <c r="AI38" s="572"/>
      <c r="AJ38" s="418"/>
      <c r="AK38" s="418"/>
      <c r="AL38" s="418"/>
      <c r="AM38" s="430" t="e">
        <f t="shared" si="34"/>
        <v>#N/A</v>
      </c>
      <c r="AN38" s="572"/>
      <c r="AO38" s="418"/>
      <c r="AP38" s="418"/>
      <c r="AQ38" s="418"/>
      <c r="AR38" s="430" t="e">
        <f t="shared" si="35"/>
        <v>#N/A</v>
      </c>
      <c r="AS38" s="572"/>
      <c r="AT38" s="418"/>
      <c r="AU38" s="418"/>
      <c r="AV38" s="418"/>
      <c r="AW38" s="430" t="e">
        <f t="shared" si="36"/>
        <v>#N/A</v>
      </c>
      <c r="AX38" s="572"/>
      <c r="AZ38" s="411" t="e">
        <f t="shared" si="28"/>
        <v>#N/A</v>
      </c>
      <c r="BA38" s="560"/>
    </row>
    <row r="39" spans="2:53">
      <c r="B39" s="570"/>
      <c r="C39" s="420">
        <v>13</v>
      </c>
      <c r="D39" s="418"/>
      <c r="E39" s="418"/>
      <c r="F39" s="418"/>
      <c r="G39" s="425"/>
      <c r="H39" s="579"/>
      <c r="I39" s="422" t="str">
        <f t="shared" si="19"/>
        <v>-</v>
      </c>
      <c r="J39" s="422" t="str">
        <f t="shared" si="20"/>
        <v>-</v>
      </c>
      <c r="K39" s="200" t="str">
        <f t="shared" si="21"/>
        <v>-</v>
      </c>
      <c r="L39" s="581"/>
      <c r="M39" s="432" t="e">
        <f>RANK(K39, K$27:$K$41)</f>
        <v>#VALUE!</v>
      </c>
      <c r="N39" s="564"/>
      <c r="O39" s="564"/>
      <c r="P39" s="418"/>
      <c r="Q39" s="418"/>
      <c r="R39" s="418"/>
      <c r="S39" s="430" t="e">
        <f t="shared" si="30"/>
        <v>#N/A</v>
      </c>
      <c r="T39" s="572"/>
      <c r="U39" s="418"/>
      <c r="V39" s="418"/>
      <c r="W39" s="418"/>
      <c r="X39" s="430" t="e">
        <f t="shared" si="31"/>
        <v>#N/A</v>
      </c>
      <c r="Y39" s="572"/>
      <c r="Z39" s="418"/>
      <c r="AA39" s="418"/>
      <c r="AB39" s="418"/>
      <c r="AC39" s="430" t="e">
        <f t="shared" si="32"/>
        <v>#N/A</v>
      </c>
      <c r="AD39" s="572"/>
      <c r="AE39" s="418"/>
      <c r="AF39" s="418"/>
      <c r="AG39" s="418"/>
      <c r="AH39" s="430" t="e">
        <f t="shared" si="33"/>
        <v>#N/A</v>
      </c>
      <c r="AI39" s="572"/>
      <c r="AJ39" s="418"/>
      <c r="AK39" s="418"/>
      <c r="AL39" s="418"/>
      <c r="AM39" s="430" t="e">
        <f t="shared" si="34"/>
        <v>#N/A</v>
      </c>
      <c r="AN39" s="572"/>
      <c r="AO39" s="418"/>
      <c r="AP39" s="418"/>
      <c r="AQ39" s="418"/>
      <c r="AR39" s="430" t="e">
        <f t="shared" si="35"/>
        <v>#N/A</v>
      </c>
      <c r="AS39" s="572"/>
      <c r="AT39" s="418"/>
      <c r="AU39" s="418"/>
      <c r="AV39" s="418"/>
      <c r="AW39" s="430" t="e">
        <f t="shared" si="36"/>
        <v>#N/A</v>
      </c>
      <c r="AX39" s="572"/>
      <c r="AZ39" s="411" t="e">
        <f t="shared" si="28"/>
        <v>#N/A</v>
      </c>
      <c r="BA39" s="560"/>
    </row>
    <row r="40" spans="2:53">
      <c r="B40" s="570"/>
      <c r="C40" s="420">
        <v>14</v>
      </c>
      <c r="D40" s="418"/>
      <c r="E40" s="418"/>
      <c r="F40" s="418"/>
      <c r="G40" s="425"/>
      <c r="H40" s="579"/>
      <c r="I40" s="422" t="str">
        <f t="shared" si="19"/>
        <v>-</v>
      </c>
      <c r="J40" s="422" t="str">
        <f t="shared" si="20"/>
        <v>-</v>
      </c>
      <c r="K40" s="200" t="str">
        <f t="shared" si="21"/>
        <v>-</v>
      </c>
      <c r="L40" s="581"/>
      <c r="M40" s="432" t="e">
        <f>RANK(K40, K$27:$K$41)</f>
        <v>#VALUE!</v>
      </c>
      <c r="N40" s="564"/>
      <c r="O40" s="564"/>
      <c r="P40" s="418"/>
      <c r="Q40" s="418"/>
      <c r="R40" s="418"/>
      <c r="S40" s="430" t="e">
        <f t="shared" si="30"/>
        <v>#N/A</v>
      </c>
      <c r="T40" s="572"/>
      <c r="U40" s="418"/>
      <c r="V40" s="418"/>
      <c r="W40" s="418"/>
      <c r="X40" s="430" t="e">
        <f t="shared" si="31"/>
        <v>#N/A</v>
      </c>
      <c r="Y40" s="572"/>
      <c r="Z40" s="418"/>
      <c r="AA40" s="418"/>
      <c r="AB40" s="418"/>
      <c r="AC40" s="430" t="e">
        <f t="shared" si="32"/>
        <v>#N/A</v>
      </c>
      <c r="AD40" s="572"/>
      <c r="AE40" s="418"/>
      <c r="AF40" s="418"/>
      <c r="AG40" s="418"/>
      <c r="AH40" s="430" t="e">
        <f t="shared" si="33"/>
        <v>#N/A</v>
      </c>
      <c r="AI40" s="572"/>
      <c r="AJ40" s="418"/>
      <c r="AK40" s="418"/>
      <c r="AL40" s="418"/>
      <c r="AM40" s="430" t="e">
        <f t="shared" si="34"/>
        <v>#N/A</v>
      </c>
      <c r="AN40" s="572"/>
      <c r="AO40" s="418"/>
      <c r="AP40" s="418"/>
      <c r="AQ40" s="418"/>
      <c r="AR40" s="430" t="e">
        <f t="shared" si="35"/>
        <v>#N/A</v>
      </c>
      <c r="AS40" s="572"/>
      <c r="AT40" s="418"/>
      <c r="AU40" s="418"/>
      <c r="AV40" s="418"/>
      <c r="AW40" s="430" t="e">
        <f t="shared" si="36"/>
        <v>#N/A</v>
      </c>
      <c r="AX40" s="572"/>
      <c r="AZ40" s="411" t="e">
        <f t="shared" si="28"/>
        <v>#N/A</v>
      </c>
      <c r="BA40" s="560"/>
    </row>
    <row r="41" spans="2:53">
      <c r="B41" s="570"/>
      <c r="C41" s="420">
        <v>15</v>
      </c>
      <c r="D41" s="418"/>
      <c r="E41" s="418"/>
      <c r="F41" s="418"/>
      <c r="G41" s="418"/>
      <c r="H41" s="639"/>
      <c r="I41" s="422" t="str">
        <f t="shared" si="19"/>
        <v>-</v>
      </c>
      <c r="J41" s="422" t="str">
        <f t="shared" si="20"/>
        <v>-</v>
      </c>
      <c r="K41" s="200" t="str">
        <f t="shared" si="21"/>
        <v>-</v>
      </c>
      <c r="L41" s="582"/>
      <c r="M41" s="432" t="e">
        <f>RANK(K41, K$27:$K$41)</f>
        <v>#VALUE!</v>
      </c>
      <c r="N41" s="564"/>
      <c r="O41" s="564"/>
      <c r="P41" s="420"/>
      <c r="Q41" s="426"/>
      <c r="R41" s="426"/>
      <c r="S41" s="430" t="e">
        <f t="shared" si="30"/>
        <v>#N/A</v>
      </c>
      <c r="T41" s="572"/>
      <c r="U41" s="420"/>
      <c r="V41" s="426"/>
      <c r="W41" s="426"/>
      <c r="X41" s="430" t="e">
        <f t="shared" si="31"/>
        <v>#N/A</v>
      </c>
      <c r="Y41" s="572"/>
      <c r="Z41" s="420"/>
      <c r="AA41" s="426"/>
      <c r="AB41" s="426"/>
      <c r="AC41" s="430" t="e">
        <f t="shared" si="32"/>
        <v>#N/A</v>
      </c>
      <c r="AD41" s="572"/>
      <c r="AE41" s="420"/>
      <c r="AF41" s="426"/>
      <c r="AG41" s="426"/>
      <c r="AH41" s="430" t="e">
        <f t="shared" si="33"/>
        <v>#N/A</v>
      </c>
      <c r="AI41" s="572"/>
      <c r="AJ41" s="420"/>
      <c r="AK41" s="426"/>
      <c r="AL41" s="426"/>
      <c r="AM41" s="430" t="e">
        <f t="shared" si="34"/>
        <v>#N/A</v>
      </c>
      <c r="AN41" s="572"/>
      <c r="AO41" s="420"/>
      <c r="AP41" s="426"/>
      <c r="AQ41" s="426"/>
      <c r="AR41" s="430" t="e">
        <f t="shared" si="35"/>
        <v>#N/A</v>
      </c>
      <c r="AS41" s="572"/>
      <c r="AT41" s="420"/>
      <c r="AU41" s="426"/>
      <c r="AV41" s="426"/>
      <c r="AW41" s="430" t="e">
        <f t="shared" si="36"/>
        <v>#N/A</v>
      </c>
      <c r="AX41" s="572"/>
      <c r="AZ41" s="411" t="e">
        <f t="shared" si="28"/>
        <v>#N/A</v>
      </c>
      <c r="BA41" s="561"/>
    </row>
    <row r="42" spans="2:53" ht="15.75">
      <c r="B42" s="608" t="s">
        <v>163</v>
      </c>
      <c r="C42" s="609"/>
      <c r="D42" s="609"/>
      <c r="E42" s="609"/>
      <c r="F42" s="609"/>
      <c r="G42" s="609"/>
      <c r="H42" s="609"/>
      <c r="I42" s="208"/>
      <c r="J42" s="203"/>
      <c r="K42" s="208"/>
      <c r="L42" s="208"/>
      <c r="M42" s="204"/>
      <c r="N42" s="566" t="s">
        <v>156</v>
      </c>
      <c r="O42" s="566" t="s">
        <v>105</v>
      </c>
      <c r="P42" s="592">
        <f>P22+7</f>
        <v>46154</v>
      </c>
      <c r="Q42" s="570"/>
      <c r="R42" s="570"/>
      <c r="S42" s="570"/>
      <c r="T42" s="570"/>
      <c r="U42" s="589">
        <f>P42+1</f>
        <v>46155</v>
      </c>
      <c r="V42" s="590"/>
      <c r="W42" s="590"/>
      <c r="X42" s="590"/>
      <c r="Y42" s="591"/>
      <c r="Z42" s="589">
        <f>U42+1</f>
        <v>46156</v>
      </c>
      <c r="AA42" s="590"/>
      <c r="AB42" s="590"/>
      <c r="AC42" s="590"/>
      <c r="AD42" s="591"/>
      <c r="AE42" s="589">
        <f>Z42+1</f>
        <v>46157</v>
      </c>
      <c r="AF42" s="590"/>
      <c r="AG42" s="590"/>
      <c r="AH42" s="590"/>
      <c r="AI42" s="591"/>
      <c r="AJ42" s="589">
        <f>AE42+1</f>
        <v>46158</v>
      </c>
      <c r="AK42" s="590"/>
      <c r="AL42" s="590"/>
      <c r="AM42" s="590"/>
      <c r="AN42" s="591"/>
      <c r="AO42" s="589">
        <f>AJ42+1</f>
        <v>46159</v>
      </c>
      <c r="AP42" s="590"/>
      <c r="AQ42" s="590"/>
      <c r="AR42" s="590"/>
      <c r="AS42" s="591"/>
      <c r="AT42" s="589">
        <f>AO42+1</f>
        <v>46160</v>
      </c>
      <c r="AU42" s="590"/>
      <c r="AV42" s="590"/>
      <c r="AW42" s="590"/>
      <c r="AX42" s="591"/>
    </row>
    <row r="43" spans="2:53" ht="15.75">
      <c r="B43" s="596"/>
      <c r="C43" s="596"/>
      <c r="D43" s="596"/>
      <c r="E43" s="596"/>
      <c r="F43" s="596"/>
      <c r="G43" s="596"/>
      <c r="H43" s="596"/>
      <c r="I43" s="205"/>
      <c r="J43" s="205"/>
      <c r="K43" s="205"/>
      <c r="L43" s="205"/>
      <c r="M43" s="206"/>
      <c r="N43" s="568"/>
      <c r="O43" s="568"/>
      <c r="P43" s="592" t="s">
        <v>318</v>
      </c>
      <c r="Q43" s="570"/>
      <c r="R43" s="570"/>
      <c r="S43" s="570"/>
      <c r="T43" s="570"/>
      <c r="U43" s="592" t="s">
        <v>319</v>
      </c>
      <c r="V43" s="570"/>
      <c r="W43" s="570"/>
      <c r="X43" s="570"/>
      <c r="Y43" s="570"/>
      <c r="Z43" s="592" t="s">
        <v>320</v>
      </c>
      <c r="AA43" s="570"/>
      <c r="AB43" s="570"/>
      <c r="AC43" s="570"/>
      <c r="AD43" s="570"/>
      <c r="AE43" s="592" t="s">
        <v>321</v>
      </c>
      <c r="AF43" s="570"/>
      <c r="AG43" s="570"/>
      <c r="AH43" s="570"/>
      <c r="AI43" s="570"/>
      <c r="AJ43" s="592" t="s">
        <v>322</v>
      </c>
      <c r="AK43" s="570"/>
      <c r="AL43" s="570"/>
      <c r="AM43" s="570"/>
      <c r="AN43" s="570"/>
      <c r="AO43" s="592" t="s">
        <v>323</v>
      </c>
      <c r="AP43" s="570"/>
      <c r="AQ43" s="570"/>
      <c r="AR43" s="570"/>
      <c r="AS43" s="570"/>
      <c r="AT43" s="592" t="s">
        <v>324</v>
      </c>
      <c r="AU43" s="570"/>
      <c r="AV43" s="570"/>
      <c r="AW43" s="570"/>
      <c r="AX43" s="570"/>
    </row>
    <row r="44" spans="2:53">
      <c r="B44" s="564" t="s">
        <v>485</v>
      </c>
      <c r="C44" s="564" t="s">
        <v>387</v>
      </c>
      <c r="D44" s="564"/>
      <c r="E44" s="564" t="s">
        <v>378</v>
      </c>
      <c r="F44" s="564"/>
      <c r="G44" s="564"/>
      <c r="H44" s="597" t="s">
        <v>374</v>
      </c>
      <c r="I44" s="564" t="s">
        <v>379</v>
      </c>
      <c r="J44" s="564"/>
      <c r="K44" s="564"/>
      <c r="L44" s="597" t="s">
        <v>374</v>
      </c>
      <c r="M44" s="566" t="s">
        <v>375</v>
      </c>
      <c r="N44" s="564"/>
      <c r="O44" s="564" t="s">
        <v>380</v>
      </c>
      <c r="P44" s="583" t="s">
        <v>376</v>
      </c>
      <c r="Q44" s="584"/>
      <c r="R44" s="584"/>
      <c r="S44" s="585"/>
      <c r="T44" s="564" t="s">
        <v>374</v>
      </c>
      <c r="U44" s="583" t="s">
        <v>376</v>
      </c>
      <c r="V44" s="584"/>
      <c r="W44" s="584"/>
      <c r="X44" s="585"/>
      <c r="Y44" s="564" t="s">
        <v>374</v>
      </c>
      <c r="Z44" s="583" t="s">
        <v>376</v>
      </c>
      <c r="AA44" s="584"/>
      <c r="AB44" s="584"/>
      <c r="AC44" s="585"/>
      <c r="AD44" s="564" t="s">
        <v>374</v>
      </c>
      <c r="AE44" s="583" t="s">
        <v>376</v>
      </c>
      <c r="AF44" s="584"/>
      <c r="AG44" s="584"/>
      <c r="AH44" s="585"/>
      <c r="AI44" s="564" t="s">
        <v>374</v>
      </c>
      <c r="AJ44" s="583" t="s">
        <v>376</v>
      </c>
      <c r="AK44" s="584"/>
      <c r="AL44" s="584"/>
      <c r="AM44" s="585"/>
      <c r="AN44" s="564" t="s">
        <v>374</v>
      </c>
      <c r="AO44" s="583" t="s">
        <v>376</v>
      </c>
      <c r="AP44" s="584"/>
      <c r="AQ44" s="584"/>
      <c r="AR44" s="585"/>
      <c r="AS44" s="564" t="s">
        <v>374</v>
      </c>
      <c r="AT44" s="583" t="s">
        <v>376</v>
      </c>
      <c r="AU44" s="584"/>
      <c r="AV44" s="584"/>
      <c r="AW44" s="585"/>
      <c r="AX44" s="564" t="s">
        <v>374</v>
      </c>
      <c r="BA44" s="564" t="s">
        <v>374</v>
      </c>
    </row>
    <row r="45" spans="2:53">
      <c r="B45" s="564"/>
      <c r="C45" s="564"/>
      <c r="D45" s="564"/>
      <c r="E45" s="564" t="s">
        <v>381</v>
      </c>
      <c r="F45" s="564"/>
      <c r="G45" s="564"/>
      <c r="H45" s="598"/>
      <c r="I45" s="564" t="s">
        <v>381</v>
      </c>
      <c r="J45" s="564"/>
      <c r="K45" s="564"/>
      <c r="L45" s="598"/>
      <c r="M45" s="567"/>
      <c r="N45" s="564"/>
      <c r="O45" s="564"/>
      <c r="P45" s="583" t="s">
        <v>382</v>
      </c>
      <c r="Q45" s="584"/>
      <c r="R45" s="584"/>
      <c r="S45" s="585"/>
      <c r="T45" s="564"/>
      <c r="U45" s="583" t="s">
        <v>382</v>
      </c>
      <c r="V45" s="584"/>
      <c r="W45" s="584"/>
      <c r="X45" s="585"/>
      <c r="Y45" s="564"/>
      <c r="Z45" s="583" t="s">
        <v>382</v>
      </c>
      <c r="AA45" s="584"/>
      <c r="AB45" s="584"/>
      <c r="AC45" s="585"/>
      <c r="AD45" s="564"/>
      <c r="AE45" s="583" t="s">
        <v>382</v>
      </c>
      <c r="AF45" s="584"/>
      <c r="AG45" s="584"/>
      <c r="AH45" s="585"/>
      <c r="AI45" s="564"/>
      <c r="AJ45" s="583" t="s">
        <v>382</v>
      </c>
      <c r="AK45" s="584"/>
      <c r="AL45" s="584"/>
      <c r="AM45" s="585"/>
      <c r="AN45" s="564"/>
      <c r="AO45" s="583" t="s">
        <v>382</v>
      </c>
      <c r="AP45" s="584"/>
      <c r="AQ45" s="584"/>
      <c r="AR45" s="585"/>
      <c r="AS45" s="564"/>
      <c r="AT45" s="583" t="s">
        <v>382</v>
      </c>
      <c r="AU45" s="584"/>
      <c r="AV45" s="584"/>
      <c r="AW45" s="585"/>
      <c r="AX45" s="564"/>
      <c r="BA45" s="564"/>
    </row>
    <row r="46" spans="2:53">
      <c r="B46" s="564"/>
      <c r="C46" s="564"/>
      <c r="D46" s="564"/>
      <c r="E46" s="417" t="s">
        <v>383</v>
      </c>
      <c r="F46" s="417" t="s">
        <v>384</v>
      </c>
      <c r="G46" s="417" t="s">
        <v>385</v>
      </c>
      <c r="H46" s="599"/>
      <c r="I46" s="417" t="s">
        <v>383</v>
      </c>
      <c r="J46" s="417" t="s">
        <v>384</v>
      </c>
      <c r="K46" s="417" t="s">
        <v>385</v>
      </c>
      <c r="L46" s="599"/>
      <c r="M46" s="568"/>
      <c r="N46" s="564"/>
      <c r="O46" s="564"/>
      <c r="P46" s="417" t="s">
        <v>383</v>
      </c>
      <c r="Q46" s="417" t="s">
        <v>384</v>
      </c>
      <c r="R46" s="417" t="s">
        <v>385</v>
      </c>
      <c r="S46" s="417" t="s">
        <v>375</v>
      </c>
      <c r="T46" s="564"/>
      <c r="U46" s="417" t="s">
        <v>383</v>
      </c>
      <c r="V46" s="417" t="s">
        <v>384</v>
      </c>
      <c r="W46" s="417" t="s">
        <v>385</v>
      </c>
      <c r="X46" s="417" t="s">
        <v>375</v>
      </c>
      <c r="Y46" s="564"/>
      <c r="Z46" s="417" t="s">
        <v>383</v>
      </c>
      <c r="AA46" s="417" t="s">
        <v>384</v>
      </c>
      <c r="AB46" s="417" t="s">
        <v>385</v>
      </c>
      <c r="AC46" s="417" t="s">
        <v>375</v>
      </c>
      <c r="AD46" s="564"/>
      <c r="AE46" s="417" t="s">
        <v>383</v>
      </c>
      <c r="AF46" s="417" t="s">
        <v>384</v>
      </c>
      <c r="AG46" s="417" t="s">
        <v>385</v>
      </c>
      <c r="AH46" s="417" t="s">
        <v>375</v>
      </c>
      <c r="AI46" s="564"/>
      <c r="AJ46" s="417" t="s">
        <v>383</v>
      </c>
      <c r="AK46" s="417" t="s">
        <v>384</v>
      </c>
      <c r="AL46" s="417" t="s">
        <v>385</v>
      </c>
      <c r="AM46" s="417" t="s">
        <v>375</v>
      </c>
      <c r="AN46" s="564"/>
      <c r="AO46" s="417" t="s">
        <v>383</v>
      </c>
      <c r="AP46" s="417" t="s">
        <v>384</v>
      </c>
      <c r="AQ46" s="417" t="s">
        <v>385</v>
      </c>
      <c r="AR46" s="417" t="s">
        <v>375</v>
      </c>
      <c r="AS46" s="564"/>
      <c r="AT46" s="417" t="s">
        <v>383</v>
      </c>
      <c r="AU46" s="417" t="s">
        <v>384</v>
      </c>
      <c r="AV46" s="417" t="s">
        <v>385</v>
      </c>
      <c r="AW46" s="417" t="s">
        <v>375</v>
      </c>
      <c r="AX46" s="564"/>
      <c r="AZ46" s="412" t="s">
        <v>375</v>
      </c>
      <c r="BA46" s="564"/>
    </row>
    <row r="47" spans="2:53">
      <c r="B47" s="626" t="s">
        <v>486</v>
      </c>
      <c r="C47" s="420">
        <v>1</v>
      </c>
      <c r="D47" s="418" t="s">
        <v>609</v>
      </c>
      <c r="E47" s="418">
        <v>10</v>
      </c>
      <c r="F47" s="418">
        <v>1500</v>
      </c>
      <c r="G47" s="425">
        <v>150</v>
      </c>
      <c r="H47" s="578">
        <f>AVERAGE(G47:G61)</f>
        <v>130</v>
      </c>
      <c r="I47" s="422">
        <f t="shared" ref="I47:I61" si="37">IFERROR(AVERAGE(P47,U47,Z47,AE47,AJ47,AO47,AT47),"-")</f>
        <v>10</v>
      </c>
      <c r="J47" s="422">
        <f t="shared" ref="J47:J61" si="38">IFERROR(AVERAGE(Q47,V47,AA47,AF47,AK47,AP47,AU47),"-")</f>
        <v>1258.1009667024703</v>
      </c>
      <c r="K47" s="200">
        <f t="shared" ref="K47:K61" si="39">IFERROR(AVERAGE(R47,W47,AB47,AG47,AL47,AQ47,AV47),"-")</f>
        <v>125.81009667024703</v>
      </c>
      <c r="L47" s="580">
        <f>IFERROR(AVERAGE(K47:K61),"-")</f>
        <v>140.55639009989966</v>
      </c>
      <c r="M47" s="501">
        <f>RANK(K47, K$47:$K$61)</f>
        <v>3</v>
      </c>
      <c r="N47" s="564"/>
      <c r="O47" s="564"/>
      <c r="P47" s="498">
        <v>10</v>
      </c>
      <c r="Q47" s="425">
        <v>1321.7142857142874</v>
      </c>
      <c r="R47" s="425">
        <v>132.17142857142875</v>
      </c>
      <c r="S47" s="499">
        <f t="shared" ref="S47:S53" si="40">RANK(R47, R$47:R$61)</f>
        <v>3</v>
      </c>
      <c r="T47" s="559">
        <f t="shared" ref="T47" si="41">AVERAGE(R47:R61)</f>
        <v>146.46190476190498</v>
      </c>
      <c r="U47" s="498">
        <v>10</v>
      </c>
      <c r="V47" s="425">
        <v>1198.4210526315808</v>
      </c>
      <c r="W47" s="425">
        <v>119.84210526315807</v>
      </c>
      <c r="X47" s="499">
        <f t="shared" ref="X47:X53" si="42">RANK(W47, W$47:W$61)</f>
        <v>3</v>
      </c>
      <c r="Y47" s="559">
        <f t="shared" ref="Y47" si="43">AVERAGE(W47:W61)</f>
        <v>142.84042397660832</v>
      </c>
      <c r="Z47" s="498">
        <v>10</v>
      </c>
      <c r="AA47" s="425">
        <v>1307.9999999999989</v>
      </c>
      <c r="AB47" s="425">
        <v>130.7999999999999</v>
      </c>
      <c r="AC47" s="499">
        <f t="shared" ref="AC47:AC53" si="44">RANK(AB47, AB$47:AB$61)</f>
        <v>3</v>
      </c>
      <c r="AD47" s="559">
        <f t="shared" ref="AD47" si="45">AVERAGE(AB47:AB61)</f>
        <v>144.52638888888882</v>
      </c>
      <c r="AE47" s="498">
        <v>10</v>
      </c>
      <c r="AF47" s="425">
        <v>1237.9999999999977</v>
      </c>
      <c r="AG47" s="425">
        <v>123.79999999999977</v>
      </c>
      <c r="AH47" s="499">
        <f t="shared" ref="AH47:AH53" si="46">RANK(AG47, AG$47:AG$61)</f>
        <v>2</v>
      </c>
      <c r="AI47" s="559">
        <f t="shared" ref="AI47" si="47">AVERAGE(AG47:AG61)</f>
        <v>125.52857142857142</v>
      </c>
      <c r="AJ47" s="498">
        <v>10</v>
      </c>
      <c r="AK47" s="425">
        <v>1224.0000000000011</v>
      </c>
      <c r="AL47" s="425">
        <v>122.40000000000012</v>
      </c>
      <c r="AM47" s="499">
        <f t="shared" ref="AM47:AM53" si="48">RANK(AL47, AL$47:AL$61)</f>
        <v>3</v>
      </c>
      <c r="AN47" s="559">
        <f t="shared" ref="AN47" si="49">AVERAGE(AL47:AL61)</f>
        <v>140.86349206349215</v>
      </c>
      <c r="AO47" s="498">
        <v>10</v>
      </c>
      <c r="AP47" s="425">
        <v>1340.5714285714273</v>
      </c>
      <c r="AQ47" s="425">
        <v>134.05714285714274</v>
      </c>
      <c r="AR47" s="499">
        <f t="shared" ref="AR47:AR53" si="50">RANK(AQ47, AQ$47:AQ$61)</f>
        <v>3</v>
      </c>
      <c r="AS47" s="559">
        <f t="shared" ref="AS47" si="51">AVERAGE(AQ47:AQ61)</f>
        <v>145.43473389355736</v>
      </c>
      <c r="AT47" s="498">
        <v>10</v>
      </c>
      <c r="AU47" s="425">
        <v>1175.9999999999995</v>
      </c>
      <c r="AV47" s="425">
        <v>117.59999999999995</v>
      </c>
      <c r="AW47" s="499">
        <f t="shared" ref="AW47:AW53" si="52">RANK(AV47, AV$47:AV$61)</f>
        <v>3</v>
      </c>
      <c r="AX47" s="559">
        <f t="shared" ref="AX47" si="53">AVERAGE(AV47:AV61)</f>
        <v>138.23921568627449</v>
      </c>
      <c r="AZ47" s="414" t="e">
        <f t="shared" ref="AZ47:AZ53" si="54">RANK(AY47, AY$47:AY$61)</f>
        <v>#N/A</v>
      </c>
      <c r="BA47" s="559" t="e">
        <f t="shared" ref="BA47" si="55">AVERAGE(AY47:AY61)</f>
        <v>#DIV/0!</v>
      </c>
    </row>
    <row r="48" spans="2:53">
      <c r="B48" s="570"/>
      <c r="C48" s="420">
        <v>2</v>
      </c>
      <c r="D48" s="418" t="s">
        <v>651</v>
      </c>
      <c r="E48" s="418">
        <v>15</v>
      </c>
      <c r="F48" s="418">
        <v>1800</v>
      </c>
      <c r="G48" s="425">
        <v>120</v>
      </c>
      <c r="H48" s="579"/>
      <c r="I48" s="422">
        <f t="shared" si="37"/>
        <v>12.285714285714286</v>
      </c>
      <c r="J48" s="422">
        <f t="shared" si="38"/>
        <v>1797.8517406962794</v>
      </c>
      <c r="K48" s="200">
        <f t="shared" si="39"/>
        <v>146.88220288115255</v>
      </c>
      <c r="L48" s="581"/>
      <c r="M48" s="501">
        <f>RANK(K48, K$47:$K$61)</f>
        <v>2</v>
      </c>
      <c r="N48" s="564"/>
      <c r="O48" s="564"/>
      <c r="P48" s="498">
        <v>12</v>
      </c>
      <c r="Q48" s="425">
        <v>1812.000000000003</v>
      </c>
      <c r="R48" s="425">
        <v>151.00000000000026</v>
      </c>
      <c r="S48" s="499">
        <f t="shared" si="40"/>
        <v>2</v>
      </c>
      <c r="T48" s="560"/>
      <c r="U48" s="498">
        <v>12</v>
      </c>
      <c r="V48" s="425">
        <v>1881.7499999999993</v>
      </c>
      <c r="W48" s="425">
        <v>156.81249999999994</v>
      </c>
      <c r="X48" s="499">
        <f t="shared" si="42"/>
        <v>1</v>
      </c>
      <c r="Y48" s="560"/>
      <c r="Z48" s="498">
        <v>12</v>
      </c>
      <c r="AA48" s="425">
        <v>1827.7499999999993</v>
      </c>
      <c r="AB48" s="425">
        <v>152.31249999999994</v>
      </c>
      <c r="AC48" s="499">
        <f t="shared" si="44"/>
        <v>1</v>
      </c>
      <c r="AD48" s="560"/>
      <c r="AE48" s="498">
        <v>14</v>
      </c>
      <c r="AF48" s="425">
        <v>1728.0000000000023</v>
      </c>
      <c r="AG48" s="425">
        <v>123.42857142857159</v>
      </c>
      <c r="AH48" s="499">
        <f t="shared" si="46"/>
        <v>3</v>
      </c>
      <c r="AI48" s="560"/>
      <c r="AJ48" s="498">
        <v>12</v>
      </c>
      <c r="AK48" s="425">
        <v>1762.2857142857163</v>
      </c>
      <c r="AL48" s="425">
        <v>146.85714285714303</v>
      </c>
      <c r="AM48" s="499">
        <f t="shared" si="48"/>
        <v>2</v>
      </c>
      <c r="AN48" s="560"/>
      <c r="AO48" s="498">
        <v>12</v>
      </c>
      <c r="AP48" s="425">
        <v>1795.7647058823527</v>
      </c>
      <c r="AQ48" s="425">
        <v>149.64705882352939</v>
      </c>
      <c r="AR48" s="499">
        <f t="shared" si="50"/>
        <v>2</v>
      </c>
      <c r="AS48" s="560"/>
      <c r="AT48" s="498">
        <v>12</v>
      </c>
      <c r="AU48" s="425">
        <v>1777.4117647058836</v>
      </c>
      <c r="AV48" s="425">
        <v>148.11764705882362</v>
      </c>
      <c r="AW48" s="499">
        <f t="shared" si="52"/>
        <v>2</v>
      </c>
      <c r="AX48" s="560"/>
      <c r="AZ48" s="414" t="e">
        <f t="shared" si="54"/>
        <v>#N/A</v>
      </c>
      <c r="BA48" s="560"/>
    </row>
    <row r="49" spans="2:53">
      <c r="B49" s="570"/>
      <c r="C49" s="420">
        <v>3</v>
      </c>
      <c r="D49" s="418" t="s">
        <v>652</v>
      </c>
      <c r="E49" s="418">
        <v>15</v>
      </c>
      <c r="F49" s="418">
        <v>1800</v>
      </c>
      <c r="G49" s="425">
        <v>120</v>
      </c>
      <c r="H49" s="579"/>
      <c r="I49" s="422">
        <f t="shared" si="37"/>
        <v>12.285714285714286</v>
      </c>
      <c r="J49" s="422">
        <f t="shared" si="38"/>
        <v>1824.6816326530618</v>
      </c>
      <c r="K49" s="200">
        <f t="shared" si="39"/>
        <v>148.97687074829938</v>
      </c>
      <c r="L49" s="581"/>
      <c r="M49" s="501">
        <f>RANK(K49, K$47:$K$61)</f>
        <v>1</v>
      </c>
      <c r="N49" s="564"/>
      <c r="O49" s="564"/>
      <c r="P49" s="498">
        <v>12</v>
      </c>
      <c r="Q49" s="425">
        <v>1874.5714285714307</v>
      </c>
      <c r="R49" s="425">
        <v>156.21428571428589</v>
      </c>
      <c r="S49" s="499">
        <f t="shared" si="40"/>
        <v>1</v>
      </c>
      <c r="T49" s="560"/>
      <c r="U49" s="498">
        <v>12</v>
      </c>
      <c r="V49" s="425">
        <v>1822.4000000000028</v>
      </c>
      <c r="W49" s="425">
        <v>151.8666666666669</v>
      </c>
      <c r="X49" s="499">
        <f t="shared" si="42"/>
        <v>2</v>
      </c>
      <c r="Y49" s="560"/>
      <c r="Z49" s="498">
        <v>12</v>
      </c>
      <c r="AA49" s="425">
        <v>1805.5999999999985</v>
      </c>
      <c r="AB49" s="425">
        <v>150.46666666666655</v>
      </c>
      <c r="AC49" s="499">
        <f t="shared" si="44"/>
        <v>2</v>
      </c>
      <c r="AD49" s="560"/>
      <c r="AE49" s="498">
        <v>14</v>
      </c>
      <c r="AF49" s="425">
        <v>1811.0000000000018</v>
      </c>
      <c r="AG49" s="425">
        <v>129.35714285714297</v>
      </c>
      <c r="AH49" s="499">
        <f t="shared" si="46"/>
        <v>1</v>
      </c>
      <c r="AI49" s="560"/>
      <c r="AJ49" s="498">
        <v>12</v>
      </c>
      <c r="AK49" s="425">
        <v>1839.9999999999993</v>
      </c>
      <c r="AL49" s="425">
        <v>153.33333333333329</v>
      </c>
      <c r="AM49" s="499">
        <f t="shared" si="48"/>
        <v>1</v>
      </c>
      <c r="AN49" s="560"/>
      <c r="AO49" s="498">
        <v>12</v>
      </c>
      <c r="AP49" s="425">
        <v>1831.2000000000007</v>
      </c>
      <c r="AQ49" s="425">
        <v>152.60000000000005</v>
      </c>
      <c r="AR49" s="499">
        <f t="shared" si="50"/>
        <v>1</v>
      </c>
      <c r="AS49" s="560"/>
      <c r="AT49" s="498">
        <v>12</v>
      </c>
      <c r="AU49" s="425">
        <v>1787.9999999999986</v>
      </c>
      <c r="AV49" s="425">
        <v>148.99999999999989</v>
      </c>
      <c r="AW49" s="499">
        <f t="shared" si="52"/>
        <v>1</v>
      </c>
      <c r="AX49" s="560"/>
      <c r="AZ49" s="414" t="e">
        <f t="shared" si="54"/>
        <v>#N/A</v>
      </c>
      <c r="BA49" s="560"/>
    </row>
    <row r="50" spans="2:53">
      <c r="B50" s="570"/>
      <c r="C50" s="420">
        <v>4</v>
      </c>
      <c r="D50" s="418"/>
      <c r="E50" s="418"/>
      <c r="F50" s="418"/>
      <c r="G50" s="425"/>
      <c r="H50" s="579"/>
      <c r="I50" s="422" t="str">
        <f t="shared" si="37"/>
        <v>-</v>
      </c>
      <c r="J50" s="422" t="str">
        <f t="shared" si="38"/>
        <v>-</v>
      </c>
      <c r="K50" s="200" t="str">
        <f t="shared" si="39"/>
        <v>-</v>
      </c>
      <c r="L50" s="581"/>
      <c r="M50" s="501" t="e">
        <f>RANK(K50, K$47:$K$61)</f>
        <v>#VALUE!</v>
      </c>
      <c r="N50" s="564"/>
      <c r="O50" s="564"/>
      <c r="P50" s="498"/>
      <c r="Q50" s="425"/>
      <c r="R50" s="425"/>
      <c r="S50" s="499" t="e">
        <f t="shared" si="40"/>
        <v>#N/A</v>
      </c>
      <c r="T50" s="560"/>
      <c r="U50" s="498"/>
      <c r="V50" s="425"/>
      <c r="W50" s="425"/>
      <c r="X50" s="499" t="e">
        <f t="shared" si="42"/>
        <v>#N/A</v>
      </c>
      <c r="Y50" s="560"/>
      <c r="Z50" s="498"/>
      <c r="AA50" s="425"/>
      <c r="AB50" s="425"/>
      <c r="AC50" s="499" t="e">
        <f t="shared" si="44"/>
        <v>#N/A</v>
      </c>
      <c r="AD50" s="560"/>
      <c r="AE50" s="498"/>
      <c r="AF50" s="425"/>
      <c r="AG50" s="425"/>
      <c r="AH50" s="499" t="e">
        <f t="shared" si="46"/>
        <v>#N/A</v>
      </c>
      <c r="AI50" s="560"/>
      <c r="AJ50" s="498"/>
      <c r="AK50" s="425"/>
      <c r="AL50" s="425"/>
      <c r="AM50" s="499" t="e">
        <f t="shared" si="48"/>
        <v>#N/A</v>
      </c>
      <c r="AN50" s="560"/>
      <c r="AO50" s="498"/>
      <c r="AP50" s="425"/>
      <c r="AQ50" s="425"/>
      <c r="AR50" s="499" t="e">
        <f t="shared" si="50"/>
        <v>#N/A</v>
      </c>
      <c r="AS50" s="560"/>
      <c r="AT50" s="498"/>
      <c r="AU50" s="425"/>
      <c r="AV50" s="425"/>
      <c r="AW50" s="499" t="e">
        <f t="shared" si="52"/>
        <v>#N/A</v>
      </c>
      <c r="AX50" s="560"/>
      <c r="AZ50" s="414" t="e">
        <f t="shared" si="54"/>
        <v>#N/A</v>
      </c>
      <c r="BA50" s="560"/>
    </row>
    <row r="51" spans="2:53">
      <c r="B51" s="570"/>
      <c r="C51" s="420">
        <v>5</v>
      </c>
      <c r="D51" s="418"/>
      <c r="E51" s="418"/>
      <c r="F51" s="418"/>
      <c r="G51" s="425"/>
      <c r="H51" s="579"/>
      <c r="I51" s="422" t="str">
        <f t="shared" si="37"/>
        <v>-</v>
      </c>
      <c r="J51" s="422" t="str">
        <f t="shared" si="38"/>
        <v>-</v>
      </c>
      <c r="K51" s="200" t="str">
        <f t="shared" si="39"/>
        <v>-</v>
      </c>
      <c r="L51" s="581"/>
      <c r="M51" s="501" t="e">
        <f>RANK(K51, K$47:$K$61)</f>
        <v>#VALUE!</v>
      </c>
      <c r="N51" s="564"/>
      <c r="O51" s="564"/>
      <c r="P51" s="498"/>
      <c r="Q51" s="425"/>
      <c r="R51" s="425"/>
      <c r="S51" s="499" t="e">
        <f t="shared" si="40"/>
        <v>#N/A</v>
      </c>
      <c r="T51" s="560"/>
      <c r="U51" s="498"/>
      <c r="V51" s="425"/>
      <c r="W51" s="425"/>
      <c r="X51" s="499" t="e">
        <f t="shared" si="42"/>
        <v>#N/A</v>
      </c>
      <c r="Y51" s="560"/>
      <c r="Z51" s="498"/>
      <c r="AA51" s="425"/>
      <c r="AB51" s="425"/>
      <c r="AC51" s="499" t="e">
        <f t="shared" si="44"/>
        <v>#N/A</v>
      </c>
      <c r="AD51" s="560"/>
      <c r="AE51" s="498"/>
      <c r="AF51" s="425"/>
      <c r="AG51" s="425"/>
      <c r="AH51" s="499" t="e">
        <f t="shared" si="46"/>
        <v>#N/A</v>
      </c>
      <c r="AI51" s="560"/>
      <c r="AJ51" s="498"/>
      <c r="AK51" s="425"/>
      <c r="AL51" s="425"/>
      <c r="AM51" s="499" t="e">
        <f t="shared" si="48"/>
        <v>#N/A</v>
      </c>
      <c r="AN51" s="560"/>
      <c r="AO51" s="498"/>
      <c r="AP51" s="425"/>
      <c r="AQ51" s="425"/>
      <c r="AR51" s="499" t="e">
        <f t="shared" si="50"/>
        <v>#N/A</v>
      </c>
      <c r="AS51" s="560"/>
      <c r="AT51" s="498"/>
      <c r="AU51" s="425"/>
      <c r="AV51" s="425"/>
      <c r="AW51" s="499" t="e">
        <f t="shared" si="52"/>
        <v>#N/A</v>
      </c>
      <c r="AX51" s="560"/>
      <c r="AZ51" s="414" t="e">
        <f t="shared" si="54"/>
        <v>#N/A</v>
      </c>
      <c r="BA51" s="560"/>
    </row>
    <row r="52" spans="2:53">
      <c r="B52" s="570"/>
      <c r="C52" s="420">
        <v>6</v>
      </c>
      <c r="D52" s="418"/>
      <c r="E52" s="418"/>
      <c r="F52" s="418"/>
      <c r="G52" s="425"/>
      <c r="H52" s="579"/>
      <c r="I52" s="422" t="str">
        <f t="shared" si="37"/>
        <v>-</v>
      </c>
      <c r="J52" s="422" t="str">
        <f t="shared" si="38"/>
        <v>-</v>
      </c>
      <c r="K52" s="200" t="str">
        <f t="shared" si="39"/>
        <v>-</v>
      </c>
      <c r="L52" s="581"/>
      <c r="M52" s="501" t="e">
        <f>RANK(K52, K$47:$K$61)</f>
        <v>#VALUE!</v>
      </c>
      <c r="N52" s="564"/>
      <c r="O52" s="564"/>
      <c r="P52" s="498"/>
      <c r="Q52" s="425"/>
      <c r="R52" s="425"/>
      <c r="S52" s="499" t="e">
        <f t="shared" si="40"/>
        <v>#N/A</v>
      </c>
      <c r="T52" s="560"/>
      <c r="U52" s="498"/>
      <c r="V52" s="425"/>
      <c r="W52" s="425"/>
      <c r="X52" s="499" t="e">
        <f t="shared" si="42"/>
        <v>#N/A</v>
      </c>
      <c r="Y52" s="560"/>
      <c r="Z52" s="498"/>
      <c r="AA52" s="425"/>
      <c r="AB52" s="425"/>
      <c r="AC52" s="499" t="e">
        <f t="shared" si="44"/>
        <v>#N/A</v>
      </c>
      <c r="AD52" s="560"/>
      <c r="AE52" s="498"/>
      <c r="AF52" s="425"/>
      <c r="AG52" s="425"/>
      <c r="AH52" s="499" t="e">
        <f t="shared" si="46"/>
        <v>#N/A</v>
      </c>
      <c r="AI52" s="560"/>
      <c r="AJ52" s="498"/>
      <c r="AK52" s="425"/>
      <c r="AL52" s="425"/>
      <c r="AM52" s="499" t="e">
        <f t="shared" si="48"/>
        <v>#N/A</v>
      </c>
      <c r="AN52" s="560"/>
      <c r="AO52" s="498"/>
      <c r="AP52" s="425"/>
      <c r="AQ52" s="425"/>
      <c r="AR52" s="499" t="e">
        <f t="shared" si="50"/>
        <v>#N/A</v>
      </c>
      <c r="AS52" s="560"/>
      <c r="AT52" s="498"/>
      <c r="AU52" s="425"/>
      <c r="AV52" s="425"/>
      <c r="AW52" s="499" t="e">
        <f t="shared" si="52"/>
        <v>#N/A</v>
      </c>
      <c r="AX52" s="560"/>
      <c r="AZ52" s="414" t="e">
        <f t="shared" si="54"/>
        <v>#N/A</v>
      </c>
      <c r="BA52" s="560"/>
    </row>
    <row r="53" spans="2:53">
      <c r="B53" s="570"/>
      <c r="C53" s="420">
        <v>7</v>
      </c>
      <c r="D53" s="418"/>
      <c r="E53" s="418"/>
      <c r="F53" s="418"/>
      <c r="G53" s="425"/>
      <c r="H53" s="579"/>
      <c r="I53" s="422" t="str">
        <f t="shared" si="37"/>
        <v>-</v>
      </c>
      <c r="J53" s="422" t="str">
        <f t="shared" si="38"/>
        <v>-</v>
      </c>
      <c r="K53" s="200" t="str">
        <f t="shared" si="39"/>
        <v>-</v>
      </c>
      <c r="L53" s="581"/>
      <c r="M53" s="501" t="e">
        <f>RANK(K53, K$47:$K$61)</f>
        <v>#VALUE!</v>
      </c>
      <c r="N53" s="564"/>
      <c r="O53" s="564"/>
      <c r="P53" s="498"/>
      <c r="Q53" s="425"/>
      <c r="R53" s="425"/>
      <c r="S53" s="499" t="e">
        <f t="shared" si="40"/>
        <v>#N/A</v>
      </c>
      <c r="T53" s="560"/>
      <c r="U53" s="498"/>
      <c r="V53" s="425"/>
      <c r="W53" s="425"/>
      <c r="X53" s="499" t="e">
        <f t="shared" si="42"/>
        <v>#N/A</v>
      </c>
      <c r="Y53" s="560"/>
      <c r="Z53" s="498"/>
      <c r="AA53" s="425"/>
      <c r="AB53" s="425"/>
      <c r="AC53" s="499" t="e">
        <f t="shared" si="44"/>
        <v>#N/A</v>
      </c>
      <c r="AD53" s="560"/>
      <c r="AE53" s="498"/>
      <c r="AF53" s="425"/>
      <c r="AG53" s="425"/>
      <c r="AH53" s="499" t="e">
        <f t="shared" si="46"/>
        <v>#N/A</v>
      </c>
      <c r="AI53" s="560"/>
      <c r="AJ53" s="498"/>
      <c r="AK53" s="425"/>
      <c r="AL53" s="425"/>
      <c r="AM53" s="499" t="e">
        <f t="shared" si="48"/>
        <v>#N/A</v>
      </c>
      <c r="AN53" s="560"/>
      <c r="AO53" s="498"/>
      <c r="AP53" s="425"/>
      <c r="AQ53" s="425"/>
      <c r="AR53" s="499" t="e">
        <f t="shared" si="50"/>
        <v>#N/A</v>
      </c>
      <c r="AS53" s="560"/>
      <c r="AT53" s="498"/>
      <c r="AU53" s="425"/>
      <c r="AV53" s="425"/>
      <c r="AW53" s="499" t="e">
        <f t="shared" si="52"/>
        <v>#N/A</v>
      </c>
      <c r="AX53" s="560"/>
      <c r="AZ53" s="414" t="e">
        <f t="shared" si="54"/>
        <v>#N/A</v>
      </c>
      <c r="BA53" s="560"/>
    </row>
    <row r="54" spans="2:53">
      <c r="B54" s="570"/>
      <c r="C54" s="420">
        <v>8</v>
      </c>
      <c r="D54" s="418"/>
      <c r="E54" s="418"/>
      <c r="F54" s="418"/>
      <c r="G54" s="425"/>
      <c r="H54" s="579"/>
      <c r="I54" s="422" t="str">
        <f t="shared" si="37"/>
        <v>-</v>
      </c>
      <c r="J54" s="422" t="str">
        <f t="shared" si="38"/>
        <v>-</v>
      </c>
      <c r="K54" s="200" t="str">
        <f t="shared" si="39"/>
        <v>-</v>
      </c>
      <c r="L54" s="581"/>
      <c r="M54" s="501" t="e">
        <f>RANK(K54, K$47:$K$61)</f>
        <v>#VALUE!</v>
      </c>
      <c r="N54" s="564"/>
      <c r="O54" s="564"/>
      <c r="P54" s="498"/>
      <c r="Q54" s="425"/>
      <c r="R54" s="425"/>
      <c r="S54" s="499"/>
      <c r="T54" s="560"/>
      <c r="U54" s="498"/>
      <c r="V54" s="425"/>
      <c r="W54" s="425"/>
      <c r="X54" s="499"/>
      <c r="Y54" s="560"/>
      <c r="Z54" s="498"/>
      <c r="AA54" s="425"/>
      <c r="AB54" s="425"/>
      <c r="AC54" s="499"/>
      <c r="AD54" s="560"/>
      <c r="AE54" s="498"/>
      <c r="AF54" s="425"/>
      <c r="AG54" s="425"/>
      <c r="AH54" s="499"/>
      <c r="AI54" s="560"/>
      <c r="AJ54" s="498"/>
      <c r="AK54" s="425"/>
      <c r="AL54" s="425"/>
      <c r="AM54" s="499"/>
      <c r="AN54" s="560"/>
      <c r="AO54" s="498"/>
      <c r="AP54" s="425"/>
      <c r="AQ54" s="425"/>
      <c r="AR54" s="499"/>
      <c r="AS54" s="560"/>
      <c r="AT54" s="498"/>
      <c r="AU54" s="425"/>
      <c r="AV54" s="425"/>
      <c r="AW54" s="499"/>
      <c r="AX54" s="560"/>
      <c r="AZ54" s="414"/>
      <c r="BA54" s="560"/>
    </row>
    <row r="55" spans="2:53">
      <c r="B55" s="570"/>
      <c r="C55" s="420">
        <v>9</v>
      </c>
      <c r="D55" s="418"/>
      <c r="E55" s="418"/>
      <c r="F55" s="418"/>
      <c r="G55" s="425"/>
      <c r="H55" s="579"/>
      <c r="I55" s="422" t="str">
        <f t="shared" si="37"/>
        <v>-</v>
      </c>
      <c r="J55" s="422" t="str">
        <f t="shared" si="38"/>
        <v>-</v>
      </c>
      <c r="K55" s="200" t="str">
        <f t="shared" si="39"/>
        <v>-</v>
      </c>
      <c r="L55" s="581"/>
      <c r="M55" s="501" t="e">
        <f>RANK(K55, K$47:$K$61)</f>
        <v>#VALUE!</v>
      </c>
      <c r="N55" s="564"/>
      <c r="O55" s="564"/>
      <c r="P55" s="498"/>
      <c r="Q55" s="425"/>
      <c r="R55" s="425"/>
      <c r="S55" s="499"/>
      <c r="T55" s="560"/>
      <c r="U55" s="498"/>
      <c r="V55" s="425"/>
      <c r="W55" s="425"/>
      <c r="X55" s="499"/>
      <c r="Y55" s="560"/>
      <c r="Z55" s="498"/>
      <c r="AA55" s="425"/>
      <c r="AB55" s="425"/>
      <c r="AC55" s="499"/>
      <c r="AD55" s="560"/>
      <c r="AE55" s="498"/>
      <c r="AF55" s="425"/>
      <c r="AG55" s="425"/>
      <c r="AH55" s="499"/>
      <c r="AI55" s="560"/>
      <c r="AJ55" s="498"/>
      <c r="AK55" s="425"/>
      <c r="AL55" s="425"/>
      <c r="AM55" s="499"/>
      <c r="AN55" s="560"/>
      <c r="AO55" s="498"/>
      <c r="AP55" s="425"/>
      <c r="AQ55" s="425"/>
      <c r="AR55" s="499"/>
      <c r="AS55" s="560"/>
      <c r="AT55" s="498"/>
      <c r="AU55" s="425"/>
      <c r="AV55" s="425"/>
      <c r="AW55" s="499"/>
      <c r="AX55" s="560"/>
      <c r="AZ55" s="414"/>
      <c r="BA55" s="560"/>
    </row>
    <row r="56" spans="2:53">
      <c r="B56" s="570"/>
      <c r="C56" s="420">
        <v>10</v>
      </c>
      <c r="D56" s="418"/>
      <c r="E56" s="418"/>
      <c r="F56" s="418"/>
      <c r="G56" s="425"/>
      <c r="H56" s="579"/>
      <c r="I56" s="422" t="str">
        <f t="shared" si="37"/>
        <v>-</v>
      </c>
      <c r="J56" s="422" t="str">
        <f t="shared" si="38"/>
        <v>-</v>
      </c>
      <c r="K56" s="200" t="str">
        <f t="shared" si="39"/>
        <v>-</v>
      </c>
      <c r="L56" s="581"/>
      <c r="M56" s="501" t="e">
        <f>RANK(K56, K$47:$K$61)</f>
        <v>#VALUE!</v>
      </c>
      <c r="N56" s="564"/>
      <c r="O56" s="564"/>
      <c r="P56" s="498"/>
      <c r="Q56" s="425"/>
      <c r="R56" s="425"/>
      <c r="S56" s="499"/>
      <c r="T56" s="560"/>
      <c r="U56" s="498"/>
      <c r="V56" s="425"/>
      <c r="W56" s="425"/>
      <c r="X56" s="499"/>
      <c r="Y56" s="560"/>
      <c r="Z56" s="498"/>
      <c r="AA56" s="425"/>
      <c r="AB56" s="425"/>
      <c r="AC56" s="499"/>
      <c r="AD56" s="560"/>
      <c r="AE56" s="498"/>
      <c r="AF56" s="425"/>
      <c r="AG56" s="425"/>
      <c r="AH56" s="499"/>
      <c r="AI56" s="560"/>
      <c r="AJ56" s="498"/>
      <c r="AK56" s="425"/>
      <c r="AL56" s="425"/>
      <c r="AM56" s="499"/>
      <c r="AN56" s="560"/>
      <c r="AO56" s="498"/>
      <c r="AP56" s="425"/>
      <c r="AQ56" s="425"/>
      <c r="AR56" s="499"/>
      <c r="AS56" s="560"/>
      <c r="AT56" s="498"/>
      <c r="AU56" s="425"/>
      <c r="AV56" s="425"/>
      <c r="AW56" s="499"/>
      <c r="AX56" s="560"/>
      <c r="AZ56" s="414"/>
      <c r="BA56" s="560"/>
    </row>
    <row r="57" spans="2:53">
      <c r="B57" s="570"/>
      <c r="C57" s="420">
        <v>11</v>
      </c>
      <c r="D57" s="418"/>
      <c r="E57" s="418"/>
      <c r="F57" s="418"/>
      <c r="G57" s="425"/>
      <c r="H57" s="579"/>
      <c r="I57" s="422" t="str">
        <f t="shared" si="37"/>
        <v>-</v>
      </c>
      <c r="J57" s="422" t="str">
        <f t="shared" si="38"/>
        <v>-</v>
      </c>
      <c r="K57" s="200" t="str">
        <f t="shared" si="39"/>
        <v>-</v>
      </c>
      <c r="L57" s="581"/>
      <c r="M57" s="501" t="e">
        <f>RANK(K57, K$47:$K$61)</f>
        <v>#VALUE!</v>
      </c>
      <c r="N57" s="564"/>
      <c r="O57" s="564"/>
      <c r="P57" s="498"/>
      <c r="Q57" s="425"/>
      <c r="R57" s="425"/>
      <c r="S57" s="499"/>
      <c r="T57" s="560"/>
      <c r="U57" s="498"/>
      <c r="V57" s="425"/>
      <c r="W57" s="425"/>
      <c r="X57" s="499"/>
      <c r="Y57" s="560"/>
      <c r="Z57" s="498"/>
      <c r="AA57" s="425"/>
      <c r="AB57" s="425"/>
      <c r="AC57" s="499"/>
      <c r="AD57" s="560"/>
      <c r="AE57" s="498"/>
      <c r="AF57" s="425"/>
      <c r="AG57" s="425"/>
      <c r="AH57" s="499"/>
      <c r="AI57" s="560"/>
      <c r="AJ57" s="498"/>
      <c r="AK57" s="425"/>
      <c r="AL57" s="425"/>
      <c r="AM57" s="499"/>
      <c r="AN57" s="560"/>
      <c r="AO57" s="498"/>
      <c r="AP57" s="425"/>
      <c r="AQ57" s="425"/>
      <c r="AR57" s="499"/>
      <c r="AS57" s="560"/>
      <c r="AT57" s="498"/>
      <c r="AU57" s="425"/>
      <c r="AV57" s="425"/>
      <c r="AW57" s="499"/>
      <c r="AX57" s="560"/>
      <c r="AZ57" s="414"/>
      <c r="BA57" s="560"/>
    </row>
    <row r="58" spans="2:53">
      <c r="B58" s="570"/>
      <c r="C58" s="420">
        <v>12</v>
      </c>
      <c r="D58" s="418"/>
      <c r="E58" s="418"/>
      <c r="F58" s="418"/>
      <c r="G58" s="425"/>
      <c r="H58" s="579"/>
      <c r="I58" s="422" t="str">
        <f t="shared" si="37"/>
        <v>-</v>
      </c>
      <c r="J58" s="422" t="str">
        <f t="shared" si="38"/>
        <v>-</v>
      </c>
      <c r="K58" s="200" t="str">
        <f t="shared" si="39"/>
        <v>-</v>
      </c>
      <c r="L58" s="581"/>
      <c r="M58" s="501" t="e">
        <f>RANK(K58, K$47:$K$61)</f>
        <v>#VALUE!</v>
      </c>
      <c r="N58" s="564"/>
      <c r="O58" s="564"/>
      <c r="P58" s="498"/>
      <c r="Q58" s="425"/>
      <c r="R58" s="425"/>
      <c r="S58" s="499"/>
      <c r="T58" s="560"/>
      <c r="U58" s="498"/>
      <c r="V58" s="425"/>
      <c r="W58" s="425"/>
      <c r="X58" s="499"/>
      <c r="Y58" s="560"/>
      <c r="Z58" s="498"/>
      <c r="AA58" s="425"/>
      <c r="AB58" s="425"/>
      <c r="AC58" s="499"/>
      <c r="AD58" s="560"/>
      <c r="AE58" s="498"/>
      <c r="AF58" s="425"/>
      <c r="AG58" s="425"/>
      <c r="AH58" s="499"/>
      <c r="AI58" s="560"/>
      <c r="AJ58" s="498"/>
      <c r="AK58" s="425"/>
      <c r="AL58" s="425"/>
      <c r="AM58" s="499"/>
      <c r="AN58" s="560"/>
      <c r="AO58" s="498"/>
      <c r="AP58" s="425"/>
      <c r="AQ58" s="425"/>
      <c r="AR58" s="499"/>
      <c r="AS58" s="560"/>
      <c r="AT58" s="498"/>
      <c r="AU58" s="425"/>
      <c r="AV58" s="425"/>
      <c r="AW58" s="499"/>
      <c r="AX58" s="560"/>
      <c r="AZ58" s="414"/>
      <c r="BA58" s="560"/>
    </row>
    <row r="59" spans="2:53">
      <c r="B59" s="570"/>
      <c r="C59" s="420">
        <v>13</v>
      </c>
      <c r="D59" s="418"/>
      <c r="E59" s="418"/>
      <c r="F59" s="418"/>
      <c r="G59" s="425"/>
      <c r="H59" s="579"/>
      <c r="I59" s="422" t="str">
        <f t="shared" si="37"/>
        <v>-</v>
      </c>
      <c r="J59" s="422" t="str">
        <f t="shared" si="38"/>
        <v>-</v>
      </c>
      <c r="K59" s="200" t="str">
        <f t="shared" si="39"/>
        <v>-</v>
      </c>
      <c r="L59" s="581"/>
      <c r="M59" s="501" t="e">
        <f>RANK(K59, K$47:$K$61)</f>
        <v>#VALUE!</v>
      </c>
      <c r="N59" s="564"/>
      <c r="O59" s="564"/>
      <c r="P59" s="498"/>
      <c r="Q59" s="425"/>
      <c r="R59" s="425"/>
      <c r="S59" s="499"/>
      <c r="T59" s="560"/>
      <c r="U59" s="498"/>
      <c r="V59" s="425"/>
      <c r="W59" s="425"/>
      <c r="X59" s="499"/>
      <c r="Y59" s="560"/>
      <c r="Z59" s="498"/>
      <c r="AA59" s="425"/>
      <c r="AB59" s="425"/>
      <c r="AC59" s="499"/>
      <c r="AD59" s="560"/>
      <c r="AE59" s="498"/>
      <c r="AF59" s="425"/>
      <c r="AG59" s="425"/>
      <c r="AH59" s="499"/>
      <c r="AI59" s="560"/>
      <c r="AJ59" s="498"/>
      <c r="AK59" s="425"/>
      <c r="AL59" s="425"/>
      <c r="AM59" s="499"/>
      <c r="AN59" s="560"/>
      <c r="AO59" s="498"/>
      <c r="AP59" s="425"/>
      <c r="AQ59" s="425"/>
      <c r="AR59" s="499"/>
      <c r="AS59" s="560"/>
      <c r="AT59" s="498"/>
      <c r="AU59" s="425"/>
      <c r="AV59" s="425"/>
      <c r="AW59" s="499"/>
      <c r="AX59" s="560"/>
      <c r="AZ59" s="414"/>
      <c r="BA59" s="560"/>
    </row>
    <row r="60" spans="2:53">
      <c r="B60" s="570"/>
      <c r="C60" s="420">
        <v>14</v>
      </c>
      <c r="D60" s="418"/>
      <c r="E60" s="418"/>
      <c r="F60" s="418"/>
      <c r="G60" s="425"/>
      <c r="H60" s="579"/>
      <c r="I60" s="422" t="str">
        <f t="shared" si="37"/>
        <v>-</v>
      </c>
      <c r="J60" s="422" t="str">
        <f t="shared" si="38"/>
        <v>-</v>
      </c>
      <c r="K60" s="200" t="str">
        <f t="shared" si="39"/>
        <v>-</v>
      </c>
      <c r="L60" s="581"/>
      <c r="M60" s="501" t="e">
        <f>RANK(K60, K$47:$K$61)</f>
        <v>#VALUE!</v>
      </c>
      <c r="N60" s="564"/>
      <c r="O60" s="564"/>
      <c r="P60" s="498"/>
      <c r="Q60" s="425"/>
      <c r="R60" s="425"/>
      <c r="S60" s="499"/>
      <c r="T60" s="560"/>
      <c r="U60" s="498"/>
      <c r="V60" s="425"/>
      <c r="W60" s="425"/>
      <c r="X60" s="499"/>
      <c r="Y60" s="560"/>
      <c r="Z60" s="498"/>
      <c r="AA60" s="425"/>
      <c r="AB60" s="425"/>
      <c r="AC60" s="499"/>
      <c r="AD60" s="560"/>
      <c r="AE60" s="498"/>
      <c r="AF60" s="425"/>
      <c r="AG60" s="425"/>
      <c r="AH60" s="499"/>
      <c r="AI60" s="560"/>
      <c r="AJ60" s="498"/>
      <c r="AK60" s="425"/>
      <c r="AL60" s="425"/>
      <c r="AM60" s="499"/>
      <c r="AN60" s="560"/>
      <c r="AO60" s="498"/>
      <c r="AP60" s="425"/>
      <c r="AQ60" s="425"/>
      <c r="AR60" s="499"/>
      <c r="AS60" s="560"/>
      <c r="AT60" s="498"/>
      <c r="AU60" s="425"/>
      <c r="AV60" s="425"/>
      <c r="AW60" s="499"/>
      <c r="AX60" s="560"/>
      <c r="AZ60" s="414"/>
      <c r="BA60" s="560"/>
    </row>
    <row r="61" spans="2:53">
      <c r="B61" s="570"/>
      <c r="C61" s="420">
        <v>15</v>
      </c>
      <c r="D61" s="418"/>
      <c r="E61" s="418"/>
      <c r="F61" s="418"/>
      <c r="G61" s="418"/>
      <c r="H61" s="639"/>
      <c r="I61" s="422" t="str">
        <f t="shared" si="37"/>
        <v>-</v>
      </c>
      <c r="J61" s="422" t="str">
        <f t="shared" si="38"/>
        <v>-</v>
      </c>
      <c r="K61" s="200" t="str">
        <f t="shared" si="39"/>
        <v>-</v>
      </c>
      <c r="L61" s="582"/>
      <c r="M61" s="501" t="e">
        <f>RANK(K61, K$47:$K$61)</f>
        <v>#VALUE!</v>
      </c>
      <c r="N61" s="564"/>
      <c r="O61" s="564"/>
      <c r="P61" s="498"/>
      <c r="Q61" s="425"/>
      <c r="R61" s="425"/>
      <c r="S61" s="499"/>
      <c r="T61" s="561"/>
      <c r="U61" s="498"/>
      <c r="V61" s="425"/>
      <c r="W61" s="425"/>
      <c r="X61" s="499"/>
      <c r="Y61" s="561"/>
      <c r="Z61" s="498"/>
      <c r="AA61" s="425"/>
      <c r="AB61" s="425"/>
      <c r="AC61" s="499"/>
      <c r="AD61" s="561"/>
      <c r="AE61" s="498"/>
      <c r="AF61" s="425"/>
      <c r="AG61" s="425"/>
      <c r="AH61" s="499"/>
      <c r="AI61" s="561"/>
      <c r="AJ61" s="498"/>
      <c r="AK61" s="425"/>
      <c r="AL61" s="425"/>
      <c r="AM61" s="499"/>
      <c r="AN61" s="561"/>
      <c r="AO61" s="498"/>
      <c r="AP61" s="425"/>
      <c r="AQ61" s="425"/>
      <c r="AR61" s="499"/>
      <c r="AS61" s="561"/>
      <c r="AT61" s="498"/>
      <c r="AU61" s="425"/>
      <c r="AV61" s="425"/>
      <c r="AW61" s="499"/>
      <c r="AX61" s="561"/>
      <c r="AZ61" s="414"/>
      <c r="BA61" s="561"/>
    </row>
    <row r="62" spans="2:53" ht="15.75">
      <c r="B62" s="593" t="s">
        <v>163</v>
      </c>
      <c r="C62" s="594"/>
      <c r="D62" s="594"/>
      <c r="E62" s="594"/>
      <c r="F62" s="594"/>
      <c r="G62" s="594"/>
      <c r="H62" s="595"/>
      <c r="I62" s="208"/>
      <c r="J62" s="208"/>
      <c r="K62" s="208"/>
      <c r="L62" s="208"/>
      <c r="M62" s="207"/>
      <c r="N62" s="566" t="s">
        <v>156</v>
      </c>
      <c r="O62" s="566" t="s">
        <v>105</v>
      </c>
      <c r="P62" s="592">
        <f>P42+7</f>
        <v>46161</v>
      </c>
      <c r="Q62" s="570"/>
      <c r="R62" s="570"/>
      <c r="S62" s="570"/>
      <c r="T62" s="570"/>
      <c r="U62" s="589">
        <f>P62+1</f>
        <v>46162</v>
      </c>
      <c r="V62" s="590"/>
      <c r="W62" s="590"/>
      <c r="X62" s="590"/>
      <c r="Y62" s="591"/>
      <c r="Z62" s="589">
        <f>U62+1</f>
        <v>46163</v>
      </c>
      <c r="AA62" s="590"/>
      <c r="AB62" s="590"/>
      <c r="AC62" s="590"/>
      <c r="AD62" s="591"/>
      <c r="AE62" s="589">
        <f>Z62+1</f>
        <v>46164</v>
      </c>
      <c r="AF62" s="590"/>
      <c r="AG62" s="590"/>
      <c r="AH62" s="590"/>
      <c r="AI62" s="591"/>
      <c r="AJ62" s="589">
        <f>AE62+1</f>
        <v>46165</v>
      </c>
      <c r="AK62" s="590"/>
      <c r="AL62" s="590"/>
      <c r="AM62" s="590"/>
      <c r="AN62" s="591"/>
      <c r="AO62" s="589">
        <f>AJ62+1</f>
        <v>46166</v>
      </c>
      <c r="AP62" s="590"/>
      <c r="AQ62" s="590"/>
      <c r="AR62" s="590"/>
      <c r="AS62" s="591"/>
      <c r="AT62" s="589">
        <f>AO62+1</f>
        <v>46167</v>
      </c>
      <c r="AU62" s="590"/>
      <c r="AV62" s="590"/>
      <c r="AW62" s="590"/>
      <c r="AX62" s="591"/>
    </row>
    <row r="63" spans="2:53" ht="15.75">
      <c r="B63" s="596"/>
      <c r="C63" s="596"/>
      <c r="D63" s="596"/>
      <c r="E63" s="596"/>
      <c r="F63" s="596"/>
      <c r="G63" s="596"/>
      <c r="H63" s="596"/>
      <c r="I63" s="205"/>
      <c r="J63" s="205"/>
      <c r="K63" s="205"/>
      <c r="L63" s="205"/>
      <c r="M63" s="206"/>
      <c r="N63" s="568"/>
      <c r="O63" s="568"/>
      <c r="P63" s="592" t="s">
        <v>318</v>
      </c>
      <c r="Q63" s="570"/>
      <c r="R63" s="570"/>
      <c r="S63" s="570"/>
      <c r="T63" s="570"/>
      <c r="U63" s="592" t="s">
        <v>319</v>
      </c>
      <c r="V63" s="570"/>
      <c r="W63" s="570"/>
      <c r="X63" s="570"/>
      <c r="Y63" s="570"/>
      <c r="Z63" s="592" t="s">
        <v>320</v>
      </c>
      <c r="AA63" s="570"/>
      <c r="AB63" s="570"/>
      <c r="AC63" s="570"/>
      <c r="AD63" s="570"/>
      <c r="AE63" s="592" t="s">
        <v>321</v>
      </c>
      <c r="AF63" s="570"/>
      <c r="AG63" s="570"/>
      <c r="AH63" s="570"/>
      <c r="AI63" s="570"/>
      <c r="AJ63" s="592" t="s">
        <v>322</v>
      </c>
      <c r="AK63" s="570"/>
      <c r="AL63" s="570"/>
      <c r="AM63" s="570"/>
      <c r="AN63" s="570"/>
      <c r="AO63" s="592" t="s">
        <v>323</v>
      </c>
      <c r="AP63" s="570"/>
      <c r="AQ63" s="570"/>
      <c r="AR63" s="570"/>
      <c r="AS63" s="570"/>
      <c r="AT63" s="592" t="s">
        <v>324</v>
      </c>
      <c r="AU63" s="570"/>
      <c r="AV63" s="570"/>
      <c r="AW63" s="570"/>
      <c r="AX63" s="570"/>
    </row>
    <row r="64" spans="2:53">
      <c r="B64" s="564" t="s">
        <v>377</v>
      </c>
      <c r="C64" s="564" t="s">
        <v>387</v>
      </c>
      <c r="D64" s="564"/>
      <c r="E64" s="564" t="s">
        <v>378</v>
      </c>
      <c r="F64" s="564"/>
      <c r="G64" s="564"/>
      <c r="H64" s="597" t="s">
        <v>374</v>
      </c>
      <c r="I64" s="564" t="s">
        <v>379</v>
      </c>
      <c r="J64" s="564"/>
      <c r="K64" s="564"/>
      <c r="L64" s="597" t="s">
        <v>374</v>
      </c>
      <c r="M64" s="566" t="s">
        <v>375</v>
      </c>
      <c r="N64" s="564"/>
      <c r="O64" s="564" t="s">
        <v>380</v>
      </c>
      <c r="P64" s="583" t="s">
        <v>376</v>
      </c>
      <c r="Q64" s="584"/>
      <c r="R64" s="584"/>
      <c r="S64" s="585"/>
      <c r="T64" s="564" t="s">
        <v>374</v>
      </c>
      <c r="U64" s="583" t="s">
        <v>376</v>
      </c>
      <c r="V64" s="584"/>
      <c r="W64" s="584"/>
      <c r="X64" s="585"/>
      <c r="Y64" s="564" t="s">
        <v>374</v>
      </c>
      <c r="Z64" s="583" t="s">
        <v>376</v>
      </c>
      <c r="AA64" s="584"/>
      <c r="AB64" s="584"/>
      <c r="AC64" s="585"/>
      <c r="AD64" s="564" t="s">
        <v>374</v>
      </c>
      <c r="AE64" s="583" t="s">
        <v>376</v>
      </c>
      <c r="AF64" s="584"/>
      <c r="AG64" s="584"/>
      <c r="AH64" s="585"/>
      <c r="AI64" s="564" t="s">
        <v>374</v>
      </c>
      <c r="AJ64" s="583" t="s">
        <v>376</v>
      </c>
      <c r="AK64" s="584"/>
      <c r="AL64" s="584"/>
      <c r="AM64" s="585"/>
      <c r="AN64" s="564" t="s">
        <v>374</v>
      </c>
      <c r="AO64" s="583" t="s">
        <v>376</v>
      </c>
      <c r="AP64" s="584"/>
      <c r="AQ64" s="584"/>
      <c r="AR64" s="585"/>
      <c r="AS64" s="564" t="s">
        <v>374</v>
      </c>
      <c r="AT64" s="583" t="s">
        <v>376</v>
      </c>
      <c r="AU64" s="584"/>
      <c r="AV64" s="584"/>
      <c r="AW64" s="585"/>
      <c r="AX64" s="564" t="s">
        <v>374</v>
      </c>
      <c r="BA64" s="564" t="s">
        <v>374</v>
      </c>
    </row>
    <row r="65" spans="2:53">
      <c r="B65" s="564"/>
      <c r="C65" s="564"/>
      <c r="D65" s="564"/>
      <c r="E65" s="564" t="s">
        <v>381</v>
      </c>
      <c r="F65" s="564"/>
      <c r="G65" s="564"/>
      <c r="H65" s="598"/>
      <c r="I65" s="564" t="s">
        <v>381</v>
      </c>
      <c r="J65" s="564"/>
      <c r="K65" s="564"/>
      <c r="L65" s="598"/>
      <c r="M65" s="567"/>
      <c r="N65" s="564"/>
      <c r="O65" s="564"/>
      <c r="P65" s="583" t="s">
        <v>382</v>
      </c>
      <c r="Q65" s="584"/>
      <c r="R65" s="584"/>
      <c r="S65" s="585"/>
      <c r="T65" s="564"/>
      <c r="U65" s="583" t="s">
        <v>382</v>
      </c>
      <c r="V65" s="584"/>
      <c r="W65" s="584"/>
      <c r="X65" s="585"/>
      <c r="Y65" s="564"/>
      <c r="Z65" s="583" t="s">
        <v>382</v>
      </c>
      <c r="AA65" s="584"/>
      <c r="AB65" s="584"/>
      <c r="AC65" s="585"/>
      <c r="AD65" s="564"/>
      <c r="AE65" s="583" t="s">
        <v>382</v>
      </c>
      <c r="AF65" s="584"/>
      <c r="AG65" s="584"/>
      <c r="AH65" s="585"/>
      <c r="AI65" s="564"/>
      <c r="AJ65" s="583" t="s">
        <v>382</v>
      </c>
      <c r="AK65" s="584"/>
      <c r="AL65" s="584"/>
      <c r="AM65" s="585"/>
      <c r="AN65" s="564"/>
      <c r="AO65" s="583" t="s">
        <v>382</v>
      </c>
      <c r="AP65" s="584"/>
      <c r="AQ65" s="584"/>
      <c r="AR65" s="585"/>
      <c r="AS65" s="564"/>
      <c r="AT65" s="583" t="s">
        <v>382</v>
      </c>
      <c r="AU65" s="584"/>
      <c r="AV65" s="584"/>
      <c r="AW65" s="585"/>
      <c r="AX65" s="564"/>
      <c r="BA65" s="564"/>
    </row>
    <row r="66" spans="2:53">
      <c r="B66" s="564"/>
      <c r="C66" s="564"/>
      <c r="D66" s="564"/>
      <c r="E66" s="417" t="s">
        <v>383</v>
      </c>
      <c r="F66" s="417" t="s">
        <v>384</v>
      </c>
      <c r="G66" s="417" t="s">
        <v>385</v>
      </c>
      <c r="H66" s="599"/>
      <c r="I66" s="417" t="s">
        <v>383</v>
      </c>
      <c r="J66" s="417" t="s">
        <v>384</v>
      </c>
      <c r="K66" s="417" t="s">
        <v>385</v>
      </c>
      <c r="L66" s="599"/>
      <c r="M66" s="568"/>
      <c r="N66" s="564"/>
      <c r="O66" s="564"/>
      <c r="P66" s="417" t="s">
        <v>383</v>
      </c>
      <c r="Q66" s="417" t="s">
        <v>384</v>
      </c>
      <c r="R66" s="417" t="s">
        <v>385</v>
      </c>
      <c r="S66" s="417" t="s">
        <v>375</v>
      </c>
      <c r="T66" s="564"/>
      <c r="U66" s="417" t="s">
        <v>383</v>
      </c>
      <c r="V66" s="417" t="s">
        <v>384</v>
      </c>
      <c r="W66" s="417" t="s">
        <v>385</v>
      </c>
      <c r="X66" s="417" t="s">
        <v>375</v>
      </c>
      <c r="Y66" s="564"/>
      <c r="Z66" s="417" t="s">
        <v>383</v>
      </c>
      <c r="AA66" s="417" t="s">
        <v>384</v>
      </c>
      <c r="AB66" s="417" t="s">
        <v>385</v>
      </c>
      <c r="AC66" s="417" t="s">
        <v>375</v>
      </c>
      <c r="AD66" s="564"/>
      <c r="AE66" s="417" t="s">
        <v>383</v>
      </c>
      <c r="AF66" s="417" t="s">
        <v>384</v>
      </c>
      <c r="AG66" s="417" t="s">
        <v>385</v>
      </c>
      <c r="AH66" s="417" t="s">
        <v>375</v>
      </c>
      <c r="AI66" s="564"/>
      <c r="AJ66" s="417" t="s">
        <v>383</v>
      </c>
      <c r="AK66" s="417" t="s">
        <v>384</v>
      </c>
      <c r="AL66" s="417" t="s">
        <v>385</v>
      </c>
      <c r="AM66" s="417" t="s">
        <v>375</v>
      </c>
      <c r="AN66" s="564"/>
      <c r="AO66" s="417" t="s">
        <v>383</v>
      </c>
      <c r="AP66" s="417" t="s">
        <v>384</v>
      </c>
      <c r="AQ66" s="417" t="s">
        <v>385</v>
      </c>
      <c r="AR66" s="417" t="s">
        <v>375</v>
      </c>
      <c r="AS66" s="564"/>
      <c r="AT66" s="417" t="s">
        <v>383</v>
      </c>
      <c r="AU66" s="417" t="s">
        <v>384</v>
      </c>
      <c r="AV66" s="417" t="s">
        <v>385</v>
      </c>
      <c r="AW66" s="417" t="s">
        <v>375</v>
      </c>
      <c r="AX66" s="564"/>
      <c r="AZ66" s="412" t="s">
        <v>375</v>
      </c>
      <c r="BA66" s="564"/>
    </row>
    <row r="67" spans="2:53">
      <c r="B67" s="626" t="s">
        <v>399</v>
      </c>
      <c r="C67" s="420">
        <v>1</v>
      </c>
      <c r="D67" s="418"/>
      <c r="E67" s="418"/>
      <c r="F67" s="418"/>
      <c r="G67" s="425"/>
      <c r="H67" s="578" t="e">
        <f>AVERAGE(G67:G81)</f>
        <v>#DIV/0!</v>
      </c>
      <c r="I67" s="422" t="str">
        <f t="shared" ref="I67:I81" si="56">IFERROR(AVERAGE(P67,U67,Z67,AE67,AJ67,AO67,AT67),"-")</f>
        <v>-</v>
      </c>
      <c r="J67" s="422" t="str">
        <f t="shared" ref="J67:J81" si="57">IFERROR(AVERAGE(Q67,V67,AA67,AF67,AK67,AP67,AU67),"-")</f>
        <v>-</v>
      </c>
      <c r="K67" s="200" t="str">
        <f t="shared" ref="K67:K81" si="58">IFERROR(AVERAGE(R67,W67,AB67,AG67,AL67,AQ67,AV67),"-")</f>
        <v>-</v>
      </c>
      <c r="L67" s="580" t="str">
        <f>IFERROR(AVERAGE(K67:K81),"-")</f>
        <v>-</v>
      </c>
      <c r="M67" s="426" t="e">
        <f>RANK(K67, K$107:$K$121)</f>
        <v>#VALUE!</v>
      </c>
      <c r="N67" s="564"/>
      <c r="O67" s="564"/>
      <c r="P67" s="425"/>
      <c r="Q67" s="425"/>
      <c r="R67" s="419"/>
      <c r="S67" s="420" t="e">
        <f t="shared" ref="S67:S81" si="59">RANK(R67, R$81:R$87)</f>
        <v>#N/A</v>
      </c>
      <c r="T67" s="572" t="e">
        <f>AVERAGE(R67:R81)</f>
        <v>#DIV/0!</v>
      </c>
      <c r="U67" s="425"/>
      <c r="V67" s="425"/>
      <c r="W67" s="419"/>
      <c r="X67" s="420" t="e">
        <f t="shared" ref="X67:X81" si="60">RANK(W67, W$81:W$87)</f>
        <v>#N/A</v>
      </c>
      <c r="Y67" s="572" t="e">
        <f t="shared" ref="Y67" si="61">AVERAGE(W67:W81)</f>
        <v>#DIV/0!</v>
      </c>
      <c r="Z67" s="425"/>
      <c r="AA67" s="425"/>
      <c r="AB67" s="419"/>
      <c r="AC67" s="420" t="e">
        <f t="shared" ref="AC67:AC81" si="62">RANK(AB67, AB$81:AB$87)</f>
        <v>#N/A</v>
      </c>
      <c r="AD67" s="572" t="e">
        <f t="shared" ref="AD67" si="63">AVERAGE(AB67:AB81)</f>
        <v>#DIV/0!</v>
      </c>
      <c r="AE67" s="425"/>
      <c r="AF67" s="425"/>
      <c r="AG67" s="419"/>
      <c r="AH67" s="420" t="e">
        <f t="shared" ref="AH67:AH81" si="64">RANK(AG67, AG$81:AG$87)</f>
        <v>#N/A</v>
      </c>
      <c r="AI67" s="572" t="e">
        <f t="shared" ref="AI67" si="65">AVERAGE(AG67:AG81)</f>
        <v>#DIV/0!</v>
      </c>
      <c r="AJ67" s="425"/>
      <c r="AK67" s="425"/>
      <c r="AL67" s="419"/>
      <c r="AM67" s="420" t="e">
        <f t="shared" ref="AM67:AM81" si="66">RANK(AL67, AL$81:AL$87)</f>
        <v>#N/A</v>
      </c>
      <c r="AN67" s="572" t="e">
        <f t="shared" ref="AN67" si="67">AVERAGE(AL67:AL81)</f>
        <v>#DIV/0!</v>
      </c>
      <c r="AO67" s="425"/>
      <c r="AP67" s="425"/>
      <c r="AQ67" s="419"/>
      <c r="AR67" s="420" t="e">
        <f t="shared" ref="AR67:AR81" si="68">RANK(AQ67, AQ$81:AQ$87)</f>
        <v>#N/A</v>
      </c>
      <c r="AS67" s="572" t="e">
        <f t="shared" ref="AS67" si="69">AVERAGE(AQ67:AQ81)</f>
        <v>#DIV/0!</v>
      </c>
      <c r="AT67" s="425"/>
      <c r="AU67" s="425"/>
      <c r="AV67" s="419"/>
      <c r="AW67" s="420" t="e">
        <f t="shared" ref="AW67:AW81" si="70">RANK(AV67, AV$81:AV$87)</f>
        <v>#N/A</v>
      </c>
      <c r="AX67" s="572" t="e">
        <f t="shared" ref="AX67" si="71">AVERAGE(AV67:AV81)</f>
        <v>#DIV/0!</v>
      </c>
      <c r="AZ67" s="414" t="e">
        <f t="shared" ref="AZ67:AZ81" si="72">RANK(AY67, AY$67:AY$81)</f>
        <v>#N/A</v>
      </c>
      <c r="BA67" s="559" t="e">
        <f t="shared" ref="BA67" si="73">AVERAGE(AY67:AY81)</f>
        <v>#DIV/0!</v>
      </c>
    </row>
    <row r="68" spans="2:53">
      <c r="B68" s="570"/>
      <c r="C68" s="420">
        <v>2</v>
      </c>
      <c r="D68" s="418"/>
      <c r="E68" s="418"/>
      <c r="F68" s="418"/>
      <c r="G68" s="425"/>
      <c r="H68" s="579"/>
      <c r="I68" s="422" t="str">
        <f t="shared" si="56"/>
        <v>-</v>
      </c>
      <c r="J68" s="422" t="str">
        <f t="shared" si="57"/>
        <v>-</v>
      </c>
      <c r="K68" s="200" t="str">
        <f t="shared" si="58"/>
        <v>-</v>
      </c>
      <c r="L68" s="581"/>
      <c r="M68" s="426" t="e">
        <f>RANK(K68, K$107:$K$121)</f>
        <v>#VALUE!</v>
      </c>
      <c r="N68" s="564"/>
      <c r="O68" s="564"/>
      <c r="P68" s="418"/>
      <c r="Q68" s="425"/>
      <c r="R68" s="419"/>
      <c r="S68" s="420" t="e">
        <f t="shared" si="59"/>
        <v>#N/A</v>
      </c>
      <c r="T68" s="572"/>
      <c r="U68" s="418"/>
      <c r="V68" s="425"/>
      <c r="W68" s="419"/>
      <c r="X68" s="420" t="e">
        <f t="shared" si="60"/>
        <v>#N/A</v>
      </c>
      <c r="Y68" s="572"/>
      <c r="Z68" s="418"/>
      <c r="AA68" s="425"/>
      <c r="AB68" s="419"/>
      <c r="AC68" s="420" t="e">
        <f t="shared" si="62"/>
        <v>#N/A</v>
      </c>
      <c r="AD68" s="572"/>
      <c r="AE68" s="418"/>
      <c r="AF68" s="425"/>
      <c r="AG68" s="419"/>
      <c r="AH68" s="420" t="e">
        <f t="shared" si="64"/>
        <v>#N/A</v>
      </c>
      <c r="AI68" s="572"/>
      <c r="AJ68" s="418"/>
      <c r="AK68" s="425"/>
      <c r="AL68" s="419"/>
      <c r="AM68" s="420" t="e">
        <f t="shared" si="66"/>
        <v>#N/A</v>
      </c>
      <c r="AN68" s="572"/>
      <c r="AO68" s="418"/>
      <c r="AP68" s="425"/>
      <c r="AQ68" s="419"/>
      <c r="AR68" s="420" t="e">
        <f t="shared" si="68"/>
        <v>#N/A</v>
      </c>
      <c r="AS68" s="572"/>
      <c r="AT68" s="418"/>
      <c r="AU68" s="425"/>
      <c r="AV68" s="419"/>
      <c r="AW68" s="420" t="e">
        <f t="shared" si="70"/>
        <v>#N/A</v>
      </c>
      <c r="AX68" s="572"/>
      <c r="AZ68" s="414" t="e">
        <f t="shared" si="72"/>
        <v>#N/A</v>
      </c>
      <c r="BA68" s="560"/>
    </row>
    <row r="69" spans="2:53">
      <c r="B69" s="570"/>
      <c r="C69" s="420">
        <v>3</v>
      </c>
      <c r="D69" s="418"/>
      <c r="E69" s="418"/>
      <c r="F69" s="418"/>
      <c r="G69" s="425"/>
      <c r="H69" s="579"/>
      <c r="I69" s="422" t="str">
        <f t="shared" si="56"/>
        <v>-</v>
      </c>
      <c r="J69" s="422" t="str">
        <f t="shared" si="57"/>
        <v>-</v>
      </c>
      <c r="K69" s="200" t="str">
        <f t="shared" si="58"/>
        <v>-</v>
      </c>
      <c r="L69" s="581"/>
      <c r="M69" s="426" t="e">
        <f>RANK(K69, K$107:$K$121)</f>
        <v>#VALUE!</v>
      </c>
      <c r="N69" s="564"/>
      <c r="O69" s="564"/>
      <c r="P69" s="418"/>
      <c r="Q69" s="425"/>
      <c r="R69" s="419"/>
      <c r="S69" s="420" t="e">
        <f t="shared" si="59"/>
        <v>#N/A</v>
      </c>
      <c r="T69" s="572"/>
      <c r="U69" s="418"/>
      <c r="V69" s="425"/>
      <c r="W69" s="419"/>
      <c r="X69" s="420" t="e">
        <f t="shared" si="60"/>
        <v>#N/A</v>
      </c>
      <c r="Y69" s="572"/>
      <c r="Z69" s="418"/>
      <c r="AA69" s="425"/>
      <c r="AB69" s="419"/>
      <c r="AC69" s="420" t="e">
        <f t="shared" si="62"/>
        <v>#N/A</v>
      </c>
      <c r="AD69" s="572"/>
      <c r="AE69" s="418"/>
      <c r="AF69" s="425"/>
      <c r="AG69" s="419"/>
      <c r="AH69" s="420" t="e">
        <f t="shared" si="64"/>
        <v>#N/A</v>
      </c>
      <c r="AI69" s="572"/>
      <c r="AJ69" s="418"/>
      <c r="AK69" s="425"/>
      <c r="AL69" s="419"/>
      <c r="AM69" s="420" t="e">
        <f t="shared" si="66"/>
        <v>#N/A</v>
      </c>
      <c r="AN69" s="572"/>
      <c r="AO69" s="418"/>
      <c r="AP69" s="425"/>
      <c r="AQ69" s="419"/>
      <c r="AR69" s="420" t="e">
        <f t="shared" si="68"/>
        <v>#N/A</v>
      </c>
      <c r="AS69" s="572"/>
      <c r="AT69" s="418"/>
      <c r="AU69" s="425"/>
      <c r="AV69" s="419"/>
      <c r="AW69" s="420" t="e">
        <f t="shared" si="70"/>
        <v>#N/A</v>
      </c>
      <c r="AX69" s="572"/>
      <c r="AZ69" s="414" t="e">
        <f t="shared" si="72"/>
        <v>#N/A</v>
      </c>
      <c r="BA69" s="560"/>
    </row>
    <row r="70" spans="2:53">
      <c r="B70" s="570"/>
      <c r="C70" s="420">
        <v>4</v>
      </c>
      <c r="D70" s="418"/>
      <c r="E70" s="418"/>
      <c r="F70" s="418"/>
      <c r="G70" s="425"/>
      <c r="H70" s="579"/>
      <c r="I70" s="422" t="str">
        <f t="shared" si="56"/>
        <v>-</v>
      </c>
      <c r="J70" s="422" t="str">
        <f t="shared" si="57"/>
        <v>-</v>
      </c>
      <c r="K70" s="200" t="str">
        <f t="shared" si="58"/>
        <v>-</v>
      </c>
      <c r="L70" s="581"/>
      <c r="M70" s="426" t="e">
        <f>RANK(K70, K$107:$K$121)</f>
        <v>#VALUE!</v>
      </c>
      <c r="N70" s="564"/>
      <c r="O70" s="564"/>
      <c r="P70" s="418"/>
      <c r="Q70" s="425"/>
      <c r="R70" s="419"/>
      <c r="S70" s="420" t="e">
        <f t="shared" si="59"/>
        <v>#N/A</v>
      </c>
      <c r="T70" s="572"/>
      <c r="U70" s="418"/>
      <c r="V70" s="425"/>
      <c r="W70" s="419"/>
      <c r="X70" s="420" t="e">
        <f t="shared" si="60"/>
        <v>#N/A</v>
      </c>
      <c r="Y70" s="572"/>
      <c r="Z70" s="418"/>
      <c r="AA70" s="425"/>
      <c r="AB70" s="419"/>
      <c r="AC70" s="420" t="e">
        <f t="shared" si="62"/>
        <v>#N/A</v>
      </c>
      <c r="AD70" s="572"/>
      <c r="AE70" s="418"/>
      <c r="AF70" s="425"/>
      <c r="AG70" s="419"/>
      <c r="AH70" s="420" t="e">
        <f t="shared" si="64"/>
        <v>#N/A</v>
      </c>
      <c r="AI70" s="572"/>
      <c r="AJ70" s="418"/>
      <c r="AK70" s="425"/>
      <c r="AL70" s="419"/>
      <c r="AM70" s="420" t="e">
        <f t="shared" si="66"/>
        <v>#N/A</v>
      </c>
      <c r="AN70" s="572"/>
      <c r="AO70" s="418"/>
      <c r="AP70" s="425"/>
      <c r="AQ70" s="419"/>
      <c r="AR70" s="420" t="e">
        <f t="shared" si="68"/>
        <v>#N/A</v>
      </c>
      <c r="AS70" s="572"/>
      <c r="AT70" s="418"/>
      <c r="AU70" s="425"/>
      <c r="AV70" s="419"/>
      <c r="AW70" s="420" t="e">
        <f t="shared" si="70"/>
        <v>#N/A</v>
      </c>
      <c r="AX70" s="572"/>
      <c r="AZ70" s="414" t="e">
        <f t="shared" si="72"/>
        <v>#N/A</v>
      </c>
      <c r="BA70" s="560"/>
    </row>
    <row r="71" spans="2:53">
      <c r="B71" s="570"/>
      <c r="C71" s="420">
        <v>5</v>
      </c>
      <c r="D71" s="418"/>
      <c r="E71" s="418"/>
      <c r="F71" s="418"/>
      <c r="G71" s="425"/>
      <c r="H71" s="579"/>
      <c r="I71" s="422" t="str">
        <f t="shared" si="56"/>
        <v>-</v>
      </c>
      <c r="J71" s="422" t="str">
        <f t="shared" si="57"/>
        <v>-</v>
      </c>
      <c r="K71" s="200" t="str">
        <f t="shared" si="58"/>
        <v>-</v>
      </c>
      <c r="L71" s="581"/>
      <c r="M71" s="426" t="e">
        <f>RANK(K71, K$107:$K$121)</f>
        <v>#VALUE!</v>
      </c>
      <c r="N71" s="564"/>
      <c r="O71" s="564"/>
      <c r="P71" s="418"/>
      <c r="Q71" s="425"/>
      <c r="R71" s="419"/>
      <c r="S71" s="420" t="e">
        <f t="shared" si="59"/>
        <v>#N/A</v>
      </c>
      <c r="T71" s="572"/>
      <c r="U71" s="418"/>
      <c r="V71" s="425"/>
      <c r="W71" s="419"/>
      <c r="X71" s="420" t="e">
        <f t="shared" si="60"/>
        <v>#N/A</v>
      </c>
      <c r="Y71" s="572"/>
      <c r="Z71" s="418"/>
      <c r="AA71" s="425"/>
      <c r="AB71" s="419"/>
      <c r="AC71" s="420" t="e">
        <f t="shared" si="62"/>
        <v>#N/A</v>
      </c>
      <c r="AD71" s="572"/>
      <c r="AE71" s="418"/>
      <c r="AF71" s="425"/>
      <c r="AG71" s="419"/>
      <c r="AH71" s="420" t="e">
        <f t="shared" si="64"/>
        <v>#N/A</v>
      </c>
      <c r="AI71" s="572"/>
      <c r="AJ71" s="418"/>
      <c r="AK71" s="425"/>
      <c r="AL71" s="419"/>
      <c r="AM71" s="420" t="e">
        <f t="shared" si="66"/>
        <v>#N/A</v>
      </c>
      <c r="AN71" s="572"/>
      <c r="AO71" s="418"/>
      <c r="AP71" s="425"/>
      <c r="AQ71" s="419"/>
      <c r="AR71" s="420" t="e">
        <f t="shared" si="68"/>
        <v>#N/A</v>
      </c>
      <c r="AS71" s="572"/>
      <c r="AT71" s="418"/>
      <c r="AU71" s="425"/>
      <c r="AV71" s="419"/>
      <c r="AW71" s="420" t="e">
        <f t="shared" si="70"/>
        <v>#N/A</v>
      </c>
      <c r="AX71" s="572"/>
      <c r="AZ71" s="414" t="e">
        <f t="shared" si="72"/>
        <v>#N/A</v>
      </c>
      <c r="BA71" s="560"/>
    </row>
    <row r="72" spans="2:53">
      <c r="B72" s="570"/>
      <c r="C72" s="420">
        <v>6</v>
      </c>
      <c r="D72" s="418"/>
      <c r="E72" s="418"/>
      <c r="F72" s="418"/>
      <c r="G72" s="425"/>
      <c r="H72" s="579"/>
      <c r="I72" s="422" t="str">
        <f t="shared" si="56"/>
        <v>-</v>
      </c>
      <c r="J72" s="422" t="str">
        <f t="shared" si="57"/>
        <v>-</v>
      </c>
      <c r="K72" s="200" t="str">
        <f t="shared" si="58"/>
        <v>-</v>
      </c>
      <c r="L72" s="581"/>
      <c r="M72" s="426" t="e">
        <f>RANK(K72, K$107:$K$121)</f>
        <v>#VALUE!</v>
      </c>
      <c r="N72" s="564"/>
      <c r="O72" s="564"/>
      <c r="P72" s="418"/>
      <c r="Q72" s="425"/>
      <c r="R72" s="419"/>
      <c r="S72" s="420" t="e">
        <f t="shared" si="59"/>
        <v>#N/A</v>
      </c>
      <c r="T72" s="572"/>
      <c r="U72" s="418"/>
      <c r="V72" s="425"/>
      <c r="W72" s="419"/>
      <c r="X72" s="420" t="e">
        <f t="shared" si="60"/>
        <v>#N/A</v>
      </c>
      <c r="Y72" s="572"/>
      <c r="Z72" s="418"/>
      <c r="AA72" s="425"/>
      <c r="AB72" s="419"/>
      <c r="AC72" s="420" t="e">
        <f t="shared" si="62"/>
        <v>#N/A</v>
      </c>
      <c r="AD72" s="572"/>
      <c r="AE72" s="418"/>
      <c r="AF72" s="425"/>
      <c r="AG72" s="419"/>
      <c r="AH72" s="420" t="e">
        <f t="shared" si="64"/>
        <v>#N/A</v>
      </c>
      <c r="AI72" s="572"/>
      <c r="AJ72" s="418"/>
      <c r="AK72" s="425"/>
      <c r="AL72" s="419"/>
      <c r="AM72" s="420" t="e">
        <f t="shared" si="66"/>
        <v>#N/A</v>
      </c>
      <c r="AN72" s="572"/>
      <c r="AO72" s="418"/>
      <c r="AP72" s="425"/>
      <c r="AQ72" s="419"/>
      <c r="AR72" s="420" t="e">
        <f t="shared" si="68"/>
        <v>#N/A</v>
      </c>
      <c r="AS72" s="572"/>
      <c r="AT72" s="418"/>
      <c r="AU72" s="425"/>
      <c r="AV72" s="419"/>
      <c r="AW72" s="420" t="e">
        <f t="shared" si="70"/>
        <v>#N/A</v>
      </c>
      <c r="AX72" s="572"/>
      <c r="AZ72" s="414" t="e">
        <f t="shared" si="72"/>
        <v>#N/A</v>
      </c>
      <c r="BA72" s="560"/>
    </row>
    <row r="73" spans="2:53">
      <c r="B73" s="570"/>
      <c r="C73" s="420">
        <v>7</v>
      </c>
      <c r="D73" s="418"/>
      <c r="E73" s="418"/>
      <c r="F73" s="418"/>
      <c r="G73" s="425"/>
      <c r="H73" s="579"/>
      <c r="I73" s="422" t="str">
        <f t="shared" si="56"/>
        <v>-</v>
      </c>
      <c r="J73" s="422" t="str">
        <f t="shared" si="57"/>
        <v>-</v>
      </c>
      <c r="K73" s="200" t="str">
        <f t="shared" si="58"/>
        <v>-</v>
      </c>
      <c r="L73" s="581"/>
      <c r="M73" s="426" t="e">
        <f>RANK(K73, K$107:$K$121)</f>
        <v>#VALUE!</v>
      </c>
      <c r="N73" s="564"/>
      <c r="O73" s="564"/>
      <c r="P73" s="418"/>
      <c r="Q73" s="425"/>
      <c r="R73" s="419"/>
      <c r="S73" s="420" t="e">
        <f t="shared" si="59"/>
        <v>#N/A</v>
      </c>
      <c r="T73" s="572"/>
      <c r="U73" s="418"/>
      <c r="V73" s="425"/>
      <c r="W73" s="419"/>
      <c r="X73" s="420" t="e">
        <f t="shared" si="60"/>
        <v>#N/A</v>
      </c>
      <c r="Y73" s="572"/>
      <c r="Z73" s="418"/>
      <c r="AA73" s="425"/>
      <c r="AB73" s="419"/>
      <c r="AC73" s="420" t="e">
        <f t="shared" si="62"/>
        <v>#N/A</v>
      </c>
      <c r="AD73" s="572"/>
      <c r="AE73" s="418"/>
      <c r="AF73" s="425"/>
      <c r="AG73" s="419"/>
      <c r="AH73" s="420" t="e">
        <f t="shared" si="64"/>
        <v>#N/A</v>
      </c>
      <c r="AI73" s="572"/>
      <c r="AJ73" s="418"/>
      <c r="AK73" s="425"/>
      <c r="AL73" s="419"/>
      <c r="AM73" s="420" t="e">
        <f t="shared" si="66"/>
        <v>#N/A</v>
      </c>
      <c r="AN73" s="572"/>
      <c r="AO73" s="418"/>
      <c r="AP73" s="425"/>
      <c r="AQ73" s="419"/>
      <c r="AR73" s="420" t="e">
        <f t="shared" si="68"/>
        <v>#N/A</v>
      </c>
      <c r="AS73" s="572"/>
      <c r="AT73" s="418"/>
      <c r="AU73" s="425"/>
      <c r="AV73" s="419"/>
      <c r="AW73" s="420" t="e">
        <f t="shared" si="70"/>
        <v>#N/A</v>
      </c>
      <c r="AX73" s="572"/>
      <c r="AZ73" s="414" t="e">
        <f t="shared" si="72"/>
        <v>#N/A</v>
      </c>
      <c r="BA73" s="560"/>
    </row>
    <row r="74" spans="2:53">
      <c r="B74" s="570"/>
      <c r="C74" s="420">
        <v>8</v>
      </c>
      <c r="D74" s="418"/>
      <c r="E74" s="418"/>
      <c r="F74" s="418"/>
      <c r="G74" s="425"/>
      <c r="H74" s="579"/>
      <c r="I74" s="422" t="str">
        <f t="shared" si="56"/>
        <v>-</v>
      </c>
      <c r="J74" s="422" t="str">
        <f t="shared" si="57"/>
        <v>-</v>
      </c>
      <c r="K74" s="200" t="str">
        <f t="shared" si="58"/>
        <v>-</v>
      </c>
      <c r="L74" s="581"/>
      <c r="M74" s="426" t="e">
        <f>RANK(K74, K$107:$K$121)</f>
        <v>#VALUE!</v>
      </c>
      <c r="N74" s="564"/>
      <c r="O74" s="564"/>
      <c r="P74" s="418"/>
      <c r="Q74" s="425"/>
      <c r="R74" s="419"/>
      <c r="S74" s="420" t="e">
        <f t="shared" si="59"/>
        <v>#N/A</v>
      </c>
      <c r="T74" s="572"/>
      <c r="U74" s="418"/>
      <c r="V74" s="425"/>
      <c r="W74" s="419"/>
      <c r="X74" s="420" t="e">
        <f t="shared" si="60"/>
        <v>#N/A</v>
      </c>
      <c r="Y74" s="572"/>
      <c r="Z74" s="418"/>
      <c r="AA74" s="425"/>
      <c r="AB74" s="419"/>
      <c r="AC74" s="420" t="e">
        <f t="shared" si="62"/>
        <v>#N/A</v>
      </c>
      <c r="AD74" s="572"/>
      <c r="AE74" s="418"/>
      <c r="AF74" s="425"/>
      <c r="AG74" s="419"/>
      <c r="AH74" s="420" t="e">
        <f t="shared" si="64"/>
        <v>#N/A</v>
      </c>
      <c r="AI74" s="572"/>
      <c r="AJ74" s="418"/>
      <c r="AK74" s="425"/>
      <c r="AL74" s="419"/>
      <c r="AM74" s="420" t="e">
        <f t="shared" si="66"/>
        <v>#N/A</v>
      </c>
      <c r="AN74" s="572"/>
      <c r="AO74" s="418"/>
      <c r="AP74" s="425"/>
      <c r="AQ74" s="419"/>
      <c r="AR74" s="420" t="e">
        <f t="shared" si="68"/>
        <v>#N/A</v>
      </c>
      <c r="AS74" s="572"/>
      <c r="AT74" s="418"/>
      <c r="AU74" s="425"/>
      <c r="AV74" s="419"/>
      <c r="AW74" s="420" t="e">
        <f t="shared" si="70"/>
        <v>#N/A</v>
      </c>
      <c r="AX74" s="572"/>
      <c r="AZ74" s="414" t="e">
        <f t="shared" si="72"/>
        <v>#N/A</v>
      </c>
      <c r="BA74" s="560"/>
    </row>
    <row r="75" spans="2:53">
      <c r="B75" s="570"/>
      <c r="C75" s="420">
        <v>9</v>
      </c>
      <c r="D75" s="418"/>
      <c r="E75" s="418"/>
      <c r="F75" s="418"/>
      <c r="G75" s="425"/>
      <c r="H75" s="579"/>
      <c r="I75" s="422" t="str">
        <f t="shared" si="56"/>
        <v>-</v>
      </c>
      <c r="J75" s="422" t="str">
        <f t="shared" si="57"/>
        <v>-</v>
      </c>
      <c r="K75" s="200" t="str">
        <f t="shared" si="58"/>
        <v>-</v>
      </c>
      <c r="L75" s="581"/>
      <c r="M75" s="426" t="e">
        <f>RANK(K75, K$107:$K$121)</f>
        <v>#VALUE!</v>
      </c>
      <c r="N75" s="564"/>
      <c r="O75" s="564"/>
      <c r="P75" s="418"/>
      <c r="Q75" s="425"/>
      <c r="R75" s="419"/>
      <c r="S75" s="420" t="e">
        <f t="shared" si="59"/>
        <v>#N/A</v>
      </c>
      <c r="T75" s="572"/>
      <c r="U75" s="418"/>
      <c r="V75" s="425"/>
      <c r="W75" s="419"/>
      <c r="X75" s="420" t="e">
        <f t="shared" si="60"/>
        <v>#N/A</v>
      </c>
      <c r="Y75" s="572"/>
      <c r="Z75" s="418"/>
      <c r="AA75" s="425"/>
      <c r="AB75" s="419"/>
      <c r="AC75" s="420" t="e">
        <f t="shared" si="62"/>
        <v>#N/A</v>
      </c>
      <c r="AD75" s="572"/>
      <c r="AE75" s="418"/>
      <c r="AF75" s="425"/>
      <c r="AG75" s="419"/>
      <c r="AH75" s="420" t="e">
        <f t="shared" si="64"/>
        <v>#N/A</v>
      </c>
      <c r="AI75" s="572"/>
      <c r="AJ75" s="418"/>
      <c r="AK75" s="425"/>
      <c r="AL75" s="419"/>
      <c r="AM75" s="420" t="e">
        <f t="shared" si="66"/>
        <v>#N/A</v>
      </c>
      <c r="AN75" s="572"/>
      <c r="AO75" s="418"/>
      <c r="AP75" s="425"/>
      <c r="AQ75" s="419"/>
      <c r="AR75" s="420" t="e">
        <f t="shared" si="68"/>
        <v>#N/A</v>
      </c>
      <c r="AS75" s="572"/>
      <c r="AT75" s="418"/>
      <c r="AU75" s="425"/>
      <c r="AV75" s="419"/>
      <c r="AW75" s="420" t="e">
        <f t="shared" si="70"/>
        <v>#N/A</v>
      </c>
      <c r="AX75" s="572"/>
      <c r="AZ75" s="414" t="e">
        <f t="shared" si="72"/>
        <v>#N/A</v>
      </c>
      <c r="BA75" s="560"/>
    </row>
    <row r="76" spans="2:53">
      <c r="B76" s="570"/>
      <c r="C76" s="420">
        <v>10</v>
      </c>
      <c r="D76" s="418"/>
      <c r="E76" s="418"/>
      <c r="F76" s="418"/>
      <c r="G76" s="425"/>
      <c r="H76" s="579"/>
      <c r="I76" s="422" t="str">
        <f t="shared" si="56"/>
        <v>-</v>
      </c>
      <c r="J76" s="422" t="str">
        <f t="shared" si="57"/>
        <v>-</v>
      </c>
      <c r="K76" s="200" t="str">
        <f t="shared" si="58"/>
        <v>-</v>
      </c>
      <c r="L76" s="581"/>
      <c r="M76" s="426" t="e">
        <f>RANK(K76, K$107:$K$121)</f>
        <v>#VALUE!</v>
      </c>
      <c r="N76" s="564"/>
      <c r="O76" s="564"/>
      <c r="P76" s="418"/>
      <c r="Q76" s="425"/>
      <c r="R76" s="419"/>
      <c r="S76" s="420" t="e">
        <f t="shared" si="59"/>
        <v>#N/A</v>
      </c>
      <c r="T76" s="572"/>
      <c r="U76" s="418"/>
      <c r="V76" s="425"/>
      <c r="W76" s="419"/>
      <c r="X76" s="420" t="e">
        <f t="shared" si="60"/>
        <v>#N/A</v>
      </c>
      <c r="Y76" s="572"/>
      <c r="Z76" s="418"/>
      <c r="AA76" s="425"/>
      <c r="AB76" s="419"/>
      <c r="AC76" s="420" t="e">
        <f t="shared" si="62"/>
        <v>#N/A</v>
      </c>
      <c r="AD76" s="572"/>
      <c r="AE76" s="418"/>
      <c r="AF76" s="425"/>
      <c r="AG76" s="419"/>
      <c r="AH76" s="420" t="e">
        <f t="shared" si="64"/>
        <v>#N/A</v>
      </c>
      <c r="AI76" s="572"/>
      <c r="AJ76" s="418"/>
      <c r="AK76" s="425"/>
      <c r="AL76" s="419"/>
      <c r="AM76" s="420" t="e">
        <f t="shared" si="66"/>
        <v>#N/A</v>
      </c>
      <c r="AN76" s="572"/>
      <c r="AO76" s="418"/>
      <c r="AP76" s="425"/>
      <c r="AQ76" s="419"/>
      <c r="AR76" s="420" t="e">
        <f t="shared" si="68"/>
        <v>#N/A</v>
      </c>
      <c r="AS76" s="572"/>
      <c r="AT76" s="418"/>
      <c r="AU76" s="425"/>
      <c r="AV76" s="419"/>
      <c r="AW76" s="420" t="e">
        <f t="shared" si="70"/>
        <v>#N/A</v>
      </c>
      <c r="AX76" s="572"/>
      <c r="AZ76" s="414" t="e">
        <f t="shared" si="72"/>
        <v>#N/A</v>
      </c>
      <c r="BA76" s="560"/>
    </row>
    <row r="77" spans="2:53">
      <c r="B77" s="570"/>
      <c r="C77" s="420">
        <v>11</v>
      </c>
      <c r="D77" s="418"/>
      <c r="E77" s="418"/>
      <c r="F77" s="418"/>
      <c r="G77" s="425"/>
      <c r="H77" s="579"/>
      <c r="I77" s="422" t="str">
        <f t="shared" si="56"/>
        <v>-</v>
      </c>
      <c r="J77" s="422" t="str">
        <f t="shared" si="57"/>
        <v>-</v>
      </c>
      <c r="K77" s="200" t="str">
        <f t="shared" si="58"/>
        <v>-</v>
      </c>
      <c r="L77" s="581"/>
      <c r="M77" s="426" t="e">
        <f>RANK(K77, K$107:$K$121)</f>
        <v>#VALUE!</v>
      </c>
      <c r="N77" s="564"/>
      <c r="O77" s="564"/>
      <c r="P77" s="418"/>
      <c r="Q77" s="418"/>
      <c r="R77" s="418"/>
      <c r="S77" s="420" t="e">
        <f t="shared" si="59"/>
        <v>#N/A</v>
      </c>
      <c r="T77" s="572"/>
      <c r="U77" s="418"/>
      <c r="V77" s="418"/>
      <c r="W77" s="418"/>
      <c r="X77" s="420" t="e">
        <f t="shared" si="60"/>
        <v>#N/A</v>
      </c>
      <c r="Y77" s="572"/>
      <c r="Z77" s="418"/>
      <c r="AA77" s="418"/>
      <c r="AB77" s="418"/>
      <c r="AC77" s="420" t="e">
        <f t="shared" si="62"/>
        <v>#N/A</v>
      </c>
      <c r="AD77" s="572"/>
      <c r="AE77" s="418"/>
      <c r="AF77" s="418"/>
      <c r="AG77" s="418"/>
      <c r="AH77" s="420" t="e">
        <f t="shared" si="64"/>
        <v>#N/A</v>
      </c>
      <c r="AI77" s="572"/>
      <c r="AJ77" s="418"/>
      <c r="AK77" s="418"/>
      <c r="AL77" s="418"/>
      <c r="AM77" s="420" t="e">
        <f t="shared" si="66"/>
        <v>#N/A</v>
      </c>
      <c r="AN77" s="572"/>
      <c r="AO77" s="418"/>
      <c r="AP77" s="418"/>
      <c r="AQ77" s="418"/>
      <c r="AR77" s="420" t="e">
        <f t="shared" si="68"/>
        <v>#N/A</v>
      </c>
      <c r="AS77" s="572"/>
      <c r="AT77" s="418"/>
      <c r="AU77" s="418"/>
      <c r="AV77" s="418"/>
      <c r="AW77" s="420" t="e">
        <f t="shared" si="70"/>
        <v>#N/A</v>
      </c>
      <c r="AX77" s="572"/>
      <c r="AZ77" s="414" t="e">
        <f t="shared" si="72"/>
        <v>#N/A</v>
      </c>
      <c r="BA77" s="560"/>
    </row>
    <row r="78" spans="2:53">
      <c r="B78" s="570"/>
      <c r="C78" s="420">
        <v>12</v>
      </c>
      <c r="D78" s="418"/>
      <c r="E78" s="418"/>
      <c r="F78" s="418"/>
      <c r="G78" s="425"/>
      <c r="H78" s="579"/>
      <c r="I78" s="422" t="str">
        <f t="shared" si="56"/>
        <v>-</v>
      </c>
      <c r="J78" s="422" t="str">
        <f t="shared" si="57"/>
        <v>-</v>
      </c>
      <c r="K78" s="200" t="str">
        <f t="shared" si="58"/>
        <v>-</v>
      </c>
      <c r="L78" s="581"/>
      <c r="M78" s="426" t="e">
        <f>RANK(K78, K$107:$K$121)</f>
        <v>#VALUE!</v>
      </c>
      <c r="N78" s="564"/>
      <c r="O78" s="564"/>
      <c r="P78" s="418"/>
      <c r="Q78" s="418"/>
      <c r="R78" s="418"/>
      <c r="S78" s="420" t="e">
        <f t="shared" si="59"/>
        <v>#N/A</v>
      </c>
      <c r="T78" s="572"/>
      <c r="U78" s="418"/>
      <c r="V78" s="418"/>
      <c r="W78" s="418"/>
      <c r="X78" s="420" t="e">
        <f t="shared" si="60"/>
        <v>#N/A</v>
      </c>
      <c r="Y78" s="572"/>
      <c r="Z78" s="418"/>
      <c r="AA78" s="418"/>
      <c r="AB78" s="418"/>
      <c r="AC78" s="420" t="e">
        <f t="shared" si="62"/>
        <v>#N/A</v>
      </c>
      <c r="AD78" s="572"/>
      <c r="AE78" s="418"/>
      <c r="AF78" s="418"/>
      <c r="AG78" s="418"/>
      <c r="AH78" s="420" t="e">
        <f t="shared" si="64"/>
        <v>#N/A</v>
      </c>
      <c r="AI78" s="572"/>
      <c r="AJ78" s="418"/>
      <c r="AK78" s="418"/>
      <c r="AL78" s="418"/>
      <c r="AM78" s="420" t="e">
        <f t="shared" si="66"/>
        <v>#N/A</v>
      </c>
      <c r="AN78" s="572"/>
      <c r="AO78" s="418"/>
      <c r="AP78" s="418"/>
      <c r="AQ78" s="418"/>
      <c r="AR78" s="420" t="e">
        <f t="shared" si="68"/>
        <v>#N/A</v>
      </c>
      <c r="AS78" s="572"/>
      <c r="AT78" s="418"/>
      <c r="AU78" s="418"/>
      <c r="AV78" s="418"/>
      <c r="AW78" s="420" t="e">
        <f t="shared" si="70"/>
        <v>#N/A</v>
      </c>
      <c r="AX78" s="572"/>
      <c r="AZ78" s="414" t="e">
        <f t="shared" si="72"/>
        <v>#N/A</v>
      </c>
      <c r="BA78" s="560"/>
    </row>
    <row r="79" spans="2:53">
      <c r="B79" s="570"/>
      <c r="C79" s="420">
        <v>13</v>
      </c>
      <c r="D79" s="418"/>
      <c r="E79" s="418"/>
      <c r="F79" s="418"/>
      <c r="G79" s="425"/>
      <c r="H79" s="579"/>
      <c r="I79" s="422" t="str">
        <f t="shared" si="56"/>
        <v>-</v>
      </c>
      <c r="J79" s="422" t="str">
        <f t="shared" si="57"/>
        <v>-</v>
      </c>
      <c r="K79" s="200" t="str">
        <f t="shared" si="58"/>
        <v>-</v>
      </c>
      <c r="L79" s="581"/>
      <c r="M79" s="426" t="e">
        <f>RANK(K79, K$107:$K$121)</f>
        <v>#VALUE!</v>
      </c>
      <c r="N79" s="564"/>
      <c r="O79" s="564"/>
      <c r="P79" s="418"/>
      <c r="Q79" s="418"/>
      <c r="R79" s="418"/>
      <c r="S79" s="420" t="e">
        <f t="shared" si="59"/>
        <v>#N/A</v>
      </c>
      <c r="T79" s="572"/>
      <c r="U79" s="418"/>
      <c r="V79" s="418"/>
      <c r="W79" s="418"/>
      <c r="X79" s="420" t="e">
        <f t="shared" si="60"/>
        <v>#N/A</v>
      </c>
      <c r="Y79" s="572"/>
      <c r="Z79" s="418"/>
      <c r="AA79" s="418"/>
      <c r="AB79" s="418"/>
      <c r="AC79" s="420" t="e">
        <f t="shared" si="62"/>
        <v>#N/A</v>
      </c>
      <c r="AD79" s="572"/>
      <c r="AE79" s="418"/>
      <c r="AF79" s="418"/>
      <c r="AG79" s="418"/>
      <c r="AH79" s="420" t="e">
        <f t="shared" si="64"/>
        <v>#N/A</v>
      </c>
      <c r="AI79" s="572"/>
      <c r="AJ79" s="418"/>
      <c r="AK79" s="418"/>
      <c r="AL79" s="418"/>
      <c r="AM79" s="420" t="e">
        <f t="shared" si="66"/>
        <v>#N/A</v>
      </c>
      <c r="AN79" s="572"/>
      <c r="AO79" s="418"/>
      <c r="AP79" s="418"/>
      <c r="AQ79" s="418"/>
      <c r="AR79" s="420" t="e">
        <f t="shared" si="68"/>
        <v>#N/A</v>
      </c>
      <c r="AS79" s="572"/>
      <c r="AT79" s="418"/>
      <c r="AU79" s="418"/>
      <c r="AV79" s="418"/>
      <c r="AW79" s="420" t="e">
        <f t="shared" si="70"/>
        <v>#N/A</v>
      </c>
      <c r="AX79" s="572"/>
      <c r="AZ79" s="414" t="e">
        <f t="shared" si="72"/>
        <v>#N/A</v>
      </c>
      <c r="BA79" s="560"/>
    </row>
    <row r="80" spans="2:53">
      <c r="B80" s="570"/>
      <c r="C80" s="420">
        <v>14</v>
      </c>
      <c r="D80" s="418"/>
      <c r="E80" s="418"/>
      <c r="F80" s="418"/>
      <c r="G80" s="425"/>
      <c r="H80" s="579"/>
      <c r="I80" s="422" t="str">
        <f t="shared" si="56"/>
        <v>-</v>
      </c>
      <c r="J80" s="422" t="str">
        <f t="shared" si="57"/>
        <v>-</v>
      </c>
      <c r="K80" s="200" t="str">
        <f t="shared" si="58"/>
        <v>-</v>
      </c>
      <c r="L80" s="581"/>
      <c r="M80" s="426" t="e">
        <f>RANK(K80, K$107:$K$121)</f>
        <v>#VALUE!</v>
      </c>
      <c r="N80" s="564"/>
      <c r="O80" s="564"/>
      <c r="P80" s="418"/>
      <c r="Q80" s="418"/>
      <c r="R80" s="418"/>
      <c r="S80" s="420" t="e">
        <f t="shared" si="59"/>
        <v>#N/A</v>
      </c>
      <c r="T80" s="572"/>
      <c r="U80" s="418"/>
      <c r="V80" s="418"/>
      <c r="W80" s="418"/>
      <c r="X80" s="420" t="e">
        <f t="shared" si="60"/>
        <v>#N/A</v>
      </c>
      <c r="Y80" s="572"/>
      <c r="Z80" s="418"/>
      <c r="AA80" s="418"/>
      <c r="AB80" s="418"/>
      <c r="AC80" s="420" t="e">
        <f t="shared" si="62"/>
        <v>#N/A</v>
      </c>
      <c r="AD80" s="572"/>
      <c r="AE80" s="418"/>
      <c r="AF80" s="418"/>
      <c r="AG80" s="418"/>
      <c r="AH80" s="420" t="e">
        <f t="shared" si="64"/>
        <v>#N/A</v>
      </c>
      <c r="AI80" s="572"/>
      <c r="AJ80" s="418"/>
      <c r="AK80" s="418"/>
      <c r="AL80" s="418"/>
      <c r="AM80" s="420" t="e">
        <f t="shared" si="66"/>
        <v>#N/A</v>
      </c>
      <c r="AN80" s="572"/>
      <c r="AO80" s="418"/>
      <c r="AP80" s="418"/>
      <c r="AQ80" s="418"/>
      <c r="AR80" s="420" t="e">
        <f t="shared" si="68"/>
        <v>#N/A</v>
      </c>
      <c r="AS80" s="572"/>
      <c r="AT80" s="418"/>
      <c r="AU80" s="418"/>
      <c r="AV80" s="418"/>
      <c r="AW80" s="420" t="e">
        <f t="shared" si="70"/>
        <v>#N/A</v>
      </c>
      <c r="AX80" s="572"/>
      <c r="AZ80" s="414" t="e">
        <f t="shared" si="72"/>
        <v>#N/A</v>
      </c>
      <c r="BA80" s="560"/>
    </row>
    <row r="81" spans="2:53">
      <c r="B81" s="570"/>
      <c r="C81" s="420">
        <v>15</v>
      </c>
      <c r="D81" s="418"/>
      <c r="E81" s="418"/>
      <c r="F81" s="418"/>
      <c r="G81" s="418"/>
      <c r="H81" s="639"/>
      <c r="I81" s="422" t="str">
        <f t="shared" si="56"/>
        <v>-</v>
      </c>
      <c r="J81" s="422" t="str">
        <f t="shared" si="57"/>
        <v>-</v>
      </c>
      <c r="K81" s="200" t="str">
        <f t="shared" si="58"/>
        <v>-</v>
      </c>
      <c r="L81" s="582"/>
      <c r="M81" s="426" t="e">
        <f>RANK(K81, K$107:$K$121)</f>
        <v>#VALUE!</v>
      </c>
      <c r="N81" s="564"/>
      <c r="O81" s="564"/>
      <c r="P81" s="420"/>
      <c r="Q81" s="426"/>
      <c r="R81" s="426"/>
      <c r="S81" s="420" t="e">
        <f t="shared" si="59"/>
        <v>#N/A</v>
      </c>
      <c r="T81" s="572"/>
      <c r="U81" s="420"/>
      <c r="V81" s="426"/>
      <c r="W81" s="426"/>
      <c r="X81" s="420" t="e">
        <f t="shared" si="60"/>
        <v>#N/A</v>
      </c>
      <c r="Y81" s="572"/>
      <c r="Z81" s="420"/>
      <c r="AA81" s="426"/>
      <c r="AB81" s="426"/>
      <c r="AC81" s="420" t="e">
        <f t="shared" si="62"/>
        <v>#N/A</v>
      </c>
      <c r="AD81" s="572"/>
      <c r="AE81" s="420"/>
      <c r="AF81" s="426"/>
      <c r="AG81" s="426"/>
      <c r="AH81" s="420" t="e">
        <f t="shared" si="64"/>
        <v>#N/A</v>
      </c>
      <c r="AI81" s="572"/>
      <c r="AJ81" s="420"/>
      <c r="AK81" s="426"/>
      <c r="AL81" s="426"/>
      <c r="AM81" s="420" t="e">
        <f t="shared" si="66"/>
        <v>#N/A</v>
      </c>
      <c r="AN81" s="572"/>
      <c r="AO81" s="420"/>
      <c r="AP81" s="426"/>
      <c r="AQ81" s="426"/>
      <c r="AR81" s="420" t="e">
        <f t="shared" si="68"/>
        <v>#N/A</v>
      </c>
      <c r="AS81" s="572"/>
      <c r="AT81" s="420"/>
      <c r="AU81" s="426"/>
      <c r="AV81" s="426"/>
      <c r="AW81" s="420" t="e">
        <f t="shared" si="70"/>
        <v>#N/A</v>
      </c>
      <c r="AX81" s="572"/>
      <c r="AZ81" s="414" t="e">
        <f t="shared" si="72"/>
        <v>#N/A</v>
      </c>
      <c r="BA81" s="561"/>
    </row>
    <row r="82" spans="2:53" ht="15.75">
      <c r="B82" s="593" t="s">
        <v>163</v>
      </c>
      <c r="C82" s="594"/>
      <c r="D82" s="594"/>
      <c r="E82" s="594"/>
      <c r="F82" s="594"/>
      <c r="G82" s="594"/>
      <c r="H82" s="595"/>
      <c r="I82" s="208"/>
      <c r="J82" s="208"/>
      <c r="K82" s="208"/>
      <c r="L82" s="208"/>
      <c r="M82" s="207"/>
      <c r="N82" s="566" t="s">
        <v>156</v>
      </c>
      <c r="O82" s="566" t="s">
        <v>105</v>
      </c>
      <c r="P82" s="592">
        <f>P62+7</f>
        <v>46168</v>
      </c>
      <c r="Q82" s="570"/>
      <c r="R82" s="570"/>
      <c r="S82" s="570"/>
      <c r="T82" s="570"/>
      <c r="U82" s="589">
        <f>P82+1</f>
        <v>46169</v>
      </c>
      <c r="V82" s="590"/>
      <c r="W82" s="590"/>
      <c r="X82" s="590"/>
      <c r="Y82" s="591"/>
      <c r="Z82" s="589">
        <f>U82+1</f>
        <v>46170</v>
      </c>
      <c r="AA82" s="590"/>
      <c r="AB82" s="590"/>
      <c r="AC82" s="590"/>
      <c r="AD82" s="591"/>
      <c r="AE82" s="589">
        <f>Z82+1</f>
        <v>46171</v>
      </c>
      <c r="AF82" s="590"/>
      <c r="AG82" s="590"/>
      <c r="AH82" s="590"/>
      <c r="AI82" s="591"/>
      <c r="AJ82" s="589">
        <f>AE82+1</f>
        <v>46172</v>
      </c>
      <c r="AK82" s="590"/>
      <c r="AL82" s="590"/>
      <c r="AM82" s="590"/>
      <c r="AN82" s="591"/>
      <c r="AO82" s="589">
        <f>AJ82+1</f>
        <v>46173</v>
      </c>
      <c r="AP82" s="590"/>
      <c r="AQ82" s="590"/>
      <c r="AR82" s="590"/>
      <c r="AS82" s="591"/>
      <c r="AT82" s="589">
        <f>AO82+1</f>
        <v>46174</v>
      </c>
      <c r="AU82" s="590"/>
      <c r="AV82" s="590"/>
      <c r="AW82" s="590"/>
      <c r="AX82" s="591"/>
    </row>
    <row r="83" spans="2:53" ht="15.75">
      <c r="B83" s="596"/>
      <c r="C83" s="596"/>
      <c r="D83" s="596"/>
      <c r="E83" s="596"/>
      <c r="F83" s="596"/>
      <c r="G83" s="596"/>
      <c r="H83" s="596"/>
      <c r="I83" s="205"/>
      <c r="J83" s="205"/>
      <c r="K83" s="205"/>
      <c r="L83" s="205"/>
      <c r="M83" s="206"/>
      <c r="N83" s="568"/>
      <c r="O83" s="568"/>
      <c r="P83" s="592" t="s">
        <v>318</v>
      </c>
      <c r="Q83" s="570"/>
      <c r="R83" s="570"/>
      <c r="S83" s="570"/>
      <c r="T83" s="570"/>
      <c r="U83" s="592" t="s">
        <v>319</v>
      </c>
      <c r="V83" s="570"/>
      <c r="W83" s="570"/>
      <c r="X83" s="570"/>
      <c r="Y83" s="570"/>
      <c r="Z83" s="592" t="s">
        <v>320</v>
      </c>
      <c r="AA83" s="570"/>
      <c r="AB83" s="570"/>
      <c r="AC83" s="570"/>
      <c r="AD83" s="570"/>
      <c r="AE83" s="592" t="s">
        <v>321</v>
      </c>
      <c r="AF83" s="570"/>
      <c r="AG83" s="570"/>
      <c r="AH83" s="570"/>
      <c r="AI83" s="570"/>
      <c r="AJ83" s="592" t="s">
        <v>322</v>
      </c>
      <c r="AK83" s="570"/>
      <c r="AL83" s="570"/>
      <c r="AM83" s="570"/>
      <c r="AN83" s="570"/>
      <c r="AO83" s="592" t="s">
        <v>323</v>
      </c>
      <c r="AP83" s="570"/>
      <c r="AQ83" s="570"/>
      <c r="AR83" s="570"/>
      <c r="AS83" s="570"/>
      <c r="AT83" s="592" t="s">
        <v>324</v>
      </c>
      <c r="AU83" s="570"/>
      <c r="AV83" s="570"/>
      <c r="AW83" s="570"/>
      <c r="AX83" s="570"/>
    </row>
    <row r="84" spans="2:53">
      <c r="B84" s="564" t="s">
        <v>402</v>
      </c>
      <c r="C84" s="564" t="s">
        <v>387</v>
      </c>
      <c r="D84" s="564"/>
      <c r="E84" s="564" t="s">
        <v>378</v>
      </c>
      <c r="F84" s="564"/>
      <c r="G84" s="564"/>
      <c r="H84" s="597" t="s">
        <v>374</v>
      </c>
      <c r="I84" s="564" t="s">
        <v>379</v>
      </c>
      <c r="J84" s="564"/>
      <c r="K84" s="564"/>
      <c r="L84" s="597" t="s">
        <v>374</v>
      </c>
      <c r="M84" s="566" t="s">
        <v>375</v>
      </c>
      <c r="N84" s="564"/>
      <c r="O84" s="564" t="s">
        <v>380</v>
      </c>
      <c r="P84" s="583" t="s">
        <v>376</v>
      </c>
      <c r="Q84" s="584"/>
      <c r="R84" s="584"/>
      <c r="S84" s="585"/>
      <c r="T84" s="564" t="s">
        <v>374</v>
      </c>
      <c r="U84" s="583" t="s">
        <v>376</v>
      </c>
      <c r="V84" s="584"/>
      <c r="W84" s="584"/>
      <c r="X84" s="585"/>
      <c r="Y84" s="564" t="s">
        <v>374</v>
      </c>
      <c r="Z84" s="583" t="s">
        <v>376</v>
      </c>
      <c r="AA84" s="584"/>
      <c r="AB84" s="584"/>
      <c r="AC84" s="585"/>
      <c r="AD84" s="564" t="s">
        <v>374</v>
      </c>
      <c r="AE84" s="583" t="s">
        <v>376</v>
      </c>
      <c r="AF84" s="584"/>
      <c r="AG84" s="584"/>
      <c r="AH84" s="585"/>
      <c r="AI84" s="564" t="s">
        <v>374</v>
      </c>
      <c r="AJ84" s="583" t="s">
        <v>376</v>
      </c>
      <c r="AK84" s="584"/>
      <c r="AL84" s="584"/>
      <c r="AM84" s="585"/>
      <c r="AN84" s="564" t="s">
        <v>374</v>
      </c>
      <c r="AO84" s="583" t="s">
        <v>376</v>
      </c>
      <c r="AP84" s="584"/>
      <c r="AQ84" s="584"/>
      <c r="AR84" s="585"/>
      <c r="AS84" s="564" t="s">
        <v>374</v>
      </c>
      <c r="AT84" s="583" t="s">
        <v>376</v>
      </c>
      <c r="AU84" s="584"/>
      <c r="AV84" s="584"/>
      <c r="AW84" s="585"/>
      <c r="AX84" s="564" t="s">
        <v>374</v>
      </c>
      <c r="BA84" s="564" t="s">
        <v>374</v>
      </c>
    </row>
    <row r="85" spans="2:53">
      <c r="B85" s="564"/>
      <c r="C85" s="564"/>
      <c r="D85" s="564"/>
      <c r="E85" s="564" t="s">
        <v>381</v>
      </c>
      <c r="F85" s="564"/>
      <c r="G85" s="564"/>
      <c r="H85" s="598"/>
      <c r="I85" s="564" t="s">
        <v>381</v>
      </c>
      <c r="J85" s="564"/>
      <c r="K85" s="564"/>
      <c r="L85" s="598"/>
      <c r="M85" s="567"/>
      <c r="N85" s="564"/>
      <c r="O85" s="564"/>
      <c r="P85" s="583" t="s">
        <v>382</v>
      </c>
      <c r="Q85" s="584"/>
      <c r="R85" s="584"/>
      <c r="S85" s="585"/>
      <c r="T85" s="564"/>
      <c r="U85" s="583" t="s">
        <v>382</v>
      </c>
      <c r="V85" s="584"/>
      <c r="W85" s="584"/>
      <c r="X85" s="585"/>
      <c r="Y85" s="564"/>
      <c r="Z85" s="583" t="s">
        <v>382</v>
      </c>
      <c r="AA85" s="584"/>
      <c r="AB85" s="584"/>
      <c r="AC85" s="585"/>
      <c r="AD85" s="564"/>
      <c r="AE85" s="583" t="s">
        <v>382</v>
      </c>
      <c r="AF85" s="584"/>
      <c r="AG85" s="584"/>
      <c r="AH85" s="585"/>
      <c r="AI85" s="564"/>
      <c r="AJ85" s="583" t="s">
        <v>382</v>
      </c>
      <c r="AK85" s="584"/>
      <c r="AL85" s="584"/>
      <c r="AM85" s="585"/>
      <c r="AN85" s="564"/>
      <c r="AO85" s="583" t="s">
        <v>382</v>
      </c>
      <c r="AP85" s="584"/>
      <c r="AQ85" s="584"/>
      <c r="AR85" s="585"/>
      <c r="AS85" s="564"/>
      <c r="AT85" s="583" t="s">
        <v>382</v>
      </c>
      <c r="AU85" s="584"/>
      <c r="AV85" s="584"/>
      <c r="AW85" s="585"/>
      <c r="AX85" s="564"/>
      <c r="BA85" s="564"/>
    </row>
    <row r="86" spans="2:53">
      <c r="B86" s="564"/>
      <c r="C86" s="564"/>
      <c r="D86" s="564"/>
      <c r="E86" s="417" t="s">
        <v>383</v>
      </c>
      <c r="F86" s="417" t="s">
        <v>384</v>
      </c>
      <c r="G86" s="417" t="s">
        <v>385</v>
      </c>
      <c r="H86" s="599"/>
      <c r="I86" s="417" t="s">
        <v>383</v>
      </c>
      <c r="J86" s="417" t="s">
        <v>384</v>
      </c>
      <c r="K86" s="417" t="s">
        <v>385</v>
      </c>
      <c r="L86" s="599"/>
      <c r="M86" s="568"/>
      <c r="N86" s="564"/>
      <c r="O86" s="564"/>
      <c r="P86" s="417" t="s">
        <v>383</v>
      </c>
      <c r="Q86" s="417" t="s">
        <v>384</v>
      </c>
      <c r="R86" s="417" t="s">
        <v>385</v>
      </c>
      <c r="S86" s="417" t="s">
        <v>375</v>
      </c>
      <c r="T86" s="564"/>
      <c r="U86" s="417" t="s">
        <v>383</v>
      </c>
      <c r="V86" s="417" t="s">
        <v>384</v>
      </c>
      <c r="W86" s="417" t="s">
        <v>385</v>
      </c>
      <c r="X86" s="417" t="s">
        <v>375</v>
      </c>
      <c r="Y86" s="564"/>
      <c r="Z86" s="417" t="s">
        <v>383</v>
      </c>
      <c r="AA86" s="417" t="s">
        <v>384</v>
      </c>
      <c r="AB86" s="417" t="s">
        <v>385</v>
      </c>
      <c r="AC86" s="417" t="s">
        <v>375</v>
      </c>
      <c r="AD86" s="564"/>
      <c r="AE86" s="417" t="s">
        <v>383</v>
      </c>
      <c r="AF86" s="417" t="s">
        <v>384</v>
      </c>
      <c r="AG86" s="417" t="s">
        <v>385</v>
      </c>
      <c r="AH86" s="417" t="s">
        <v>375</v>
      </c>
      <c r="AI86" s="564"/>
      <c r="AJ86" s="417" t="s">
        <v>383</v>
      </c>
      <c r="AK86" s="417" t="s">
        <v>384</v>
      </c>
      <c r="AL86" s="417" t="s">
        <v>385</v>
      </c>
      <c r="AM86" s="417" t="s">
        <v>375</v>
      </c>
      <c r="AN86" s="564"/>
      <c r="AO86" s="417" t="s">
        <v>383</v>
      </c>
      <c r="AP86" s="417" t="s">
        <v>384</v>
      </c>
      <c r="AQ86" s="417" t="s">
        <v>385</v>
      </c>
      <c r="AR86" s="417" t="s">
        <v>375</v>
      </c>
      <c r="AS86" s="564"/>
      <c r="AT86" s="417" t="s">
        <v>383</v>
      </c>
      <c r="AU86" s="417" t="s">
        <v>384</v>
      </c>
      <c r="AV86" s="417" t="s">
        <v>385</v>
      </c>
      <c r="AW86" s="417" t="s">
        <v>375</v>
      </c>
      <c r="AX86" s="564"/>
      <c r="AZ86" s="412" t="s">
        <v>375</v>
      </c>
      <c r="BA86" s="564"/>
    </row>
    <row r="87" spans="2:53">
      <c r="B87" s="626" t="s">
        <v>415</v>
      </c>
      <c r="C87" s="420">
        <v>1</v>
      </c>
      <c r="D87" s="418"/>
      <c r="E87" s="418"/>
      <c r="F87" s="418"/>
      <c r="G87" s="425"/>
      <c r="H87" s="578" t="e">
        <f>AVERAGE(G87:G101)</f>
        <v>#DIV/0!</v>
      </c>
      <c r="I87" s="422" t="str">
        <f t="shared" ref="I87:I101" si="74">IFERROR(AVERAGE(P87,U87,Z87,AE87,AJ87,AO87,AT87),"-")</f>
        <v>-</v>
      </c>
      <c r="J87" s="422" t="str">
        <f t="shared" ref="J87:J101" si="75">IFERROR(AVERAGE(Q87,V87,AA87,AF87,AK87,AP87,AU87),"-")</f>
        <v>-</v>
      </c>
      <c r="K87" s="200" t="str">
        <f t="shared" ref="K87:K101" si="76">IFERROR(AVERAGE(R87,W87,AB87,AG87,AL87,AQ87,AV87),"-")</f>
        <v>-</v>
      </c>
      <c r="L87" s="580" t="str">
        <f>IFERROR(AVERAGE(K87:K101),"-")</f>
        <v>-</v>
      </c>
      <c r="M87" s="426" t="e">
        <f>RANK(K87, K$107:$K$121)</f>
        <v>#VALUE!</v>
      </c>
      <c r="N87" s="564"/>
      <c r="O87" s="564"/>
      <c r="P87" s="425"/>
      <c r="Q87" s="425"/>
      <c r="R87" s="419"/>
      <c r="S87" s="420" t="e">
        <f t="shared" ref="S87:S101" si="77">RANK(R87, R$81:R$87)</f>
        <v>#N/A</v>
      </c>
      <c r="T87" s="572" t="e">
        <f>AVERAGE(R87:R101)</f>
        <v>#DIV/0!</v>
      </c>
      <c r="U87" s="425"/>
      <c r="V87" s="425"/>
      <c r="W87" s="419"/>
      <c r="X87" s="420" t="e">
        <f t="shared" ref="X87:X101" si="78">RANK(W87, W$81:W$87)</f>
        <v>#N/A</v>
      </c>
      <c r="Y87" s="572" t="e">
        <f t="shared" ref="Y87" si="79">AVERAGE(W87:W101)</f>
        <v>#DIV/0!</v>
      </c>
      <c r="Z87" s="425"/>
      <c r="AA87" s="425"/>
      <c r="AB87" s="419"/>
      <c r="AC87" s="420" t="e">
        <f t="shared" ref="AC87:AC101" si="80">RANK(AB87, AB$81:AB$87)</f>
        <v>#N/A</v>
      </c>
      <c r="AD87" s="572" t="e">
        <f t="shared" ref="AD87" si="81">AVERAGE(AB87:AB101)</f>
        <v>#DIV/0!</v>
      </c>
      <c r="AE87" s="425"/>
      <c r="AF87" s="425"/>
      <c r="AG87" s="419"/>
      <c r="AH87" s="420" t="e">
        <f t="shared" ref="AH87:AH101" si="82">RANK(AG87, AG$81:AG$87)</f>
        <v>#N/A</v>
      </c>
      <c r="AI87" s="572" t="e">
        <f t="shared" ref="AI87" si="83">AVERAGE(AG87:AG101)</f>
        <v>#DIV/0!</v>
      </c>
      <c r="AJ87" s="425"/>
      <c r="AK87" s="425"/>
      <c r="AL87" s="419"/>
      <c r="AM87" s="420" t="e">
        <f t="shared" ref="AM87:AM101" si="84">RANK(AL87, AL$81:AL$87)</f>
        <v>#N/A</v>
      </c>
      <c r="AN87" s="572" t="e">
        <f t="shared" ref="AN87" si="85">AVERAGE(AL87:AL101)</f>
        <v>#DIV/0!</v>
      </c>
      <c r="AO87" s="425"/>
      <c r="AP87" s="425"/>
      <c r="AQ87" s="419"/>
      <c r="AR87" s="420" t="e">
        <f t="shared" ref="AR87:AR101" si="86">RANK(AQ87, AQ$81:AQ$87)</f>
        <v>#N/A</v>
      </c>
      <c r="AS87" s="572" t="e">
        <f t="shared" ref="AS87" si="87">AVERAGE(AQ87:AQ101)</f>
        <v>#DIV/0!</v>
      </c>
      <c r="AT87" s="425"/>
      <c r="AU87" s="425"/>
      <c r="AV87" s="419"/>
      <c r="AW87" s="420" t="e">
        <f t="shared" ref="AW87:AW101" si="88">RANK(AV87, AV$81:AV$87)</f>
        <v>#N/A</v>
      </c>
      <c r="AX87" s="572" t="e">
        <f t="shared" ref="AX87" si="89">AVERAGE(AV87:AV101)</f>
        <v>#DIV/0!</v>
      </c>
      <c r="AZ87" s="411" t="e">
        <f t="shared" ref="AZ87:AZ101" si="90">RANK(AY87, AY$87:AY$101)</f>
        <v>#N/A</v>
      </c>
      <c r="BA87" s="565" t="e">
        <f t="shared" ref="BA87" si="91">AVERAGE(AY87:AY101)</f>
        <v>#DIV/0!</v>
      </c>
    </row>
    <row r="88" spans="2:53">
      <c r="B88" s="570"/>
      <c r="C88" s="420">
        <v>2</v>
      </c>
      <c r="D88" s="418"/>
      <c r="E88" s="418"/>
      <c r="F88" s="418"/>
      <c r="G88" s="425"/>
      <c r="H88" s="579"/>
      <c r="I88" s="422" t="str">
        <f t="shared" si="74"/>
        <v>-</v>
      </c>
      <c r="J88" s="422" t="str">
        <f t="shared" si="75"/>
        <v>-</v>
      </c>
      <c r="K88" s="200" t="str">
        <f t="shared" si="76"/>
        <v>-</v>
      </c>
      <c r="L88" s="581"/>
      <c r="M88" s="426" t="e">
        <f>RANK(K88, K$107:$K$121)</f>
        <v>#VALUE!</v>
      </c>
      <c r="N88" s="564"/>
      <c r="O88" s="564"/>
      <c r="P88" s="418"/>
      <c r="Q88" s="425"/>
      <c r="R88" s="419"/>
      <c r="S88" s="420" t="e">
        <f t="shared" si="77"/>
        <v>#N/A</v>
      </c>
      <c r="T88" s="572"/>
      <c r="U88" s="418"/>
      <c r="V88" s="425"/>
      <c r="W88" s="419"/>
      <c r="X88" s="420" t="e">
        <f t="shared" si="78"/>
        <v>#N/A</v>
      </c>
      <c r="Y88" s="572"/>
      <c r="Z88" s="418"/>
      <c r="AA88" s="425"/>
      <c r="AB88" s="419"/>
      <c r="AC88" s="420" t="e">
        <f t="shared" si="80"/>
        <v>#N/A</v>
      </c>
      <c r="AD88" s="572"/>
      <c r="AE88" s="418"/>
      <c r="AF88" s="425"/>
      <c r="AG88" s="419"/>
      <c r="AH88" s="420" t="e">
        <f t="shared" si="82"/>
        <v>#N/A</v>
      </c>
      <c r="AI88" s="572"/>
      <c r="AJ88" s="418"/>
      <c r="AK88" s="425"/>
      <c r="AL88" s="419"/>
      <c r="AM88" s="420" t="e">
        <f t="shared" si="84"/>
        <v>#N/A</v>
      </c>
      <c r="AN88" s="572"/>
      <c r="AO88" s="418"/>
      <c r="AP88" s="425"/>
      <c r="AQ88" s="419"/>
      <c r="AR88" s="420" t="e">
        <f t="shared" si="86"/>
        <v>#N/A</v>
      </c>
      <c r="AS88" s="572"/>
      <c r="AT88" s="418"/>
      <c r="AU88" s="425"/>
      <c r="AV88" s="419"/>
      <c r="AW88" s="420" t="e">
        <f t="shared" si="88"/>
        <v>#N/A</v>
      </c>
      <c r="AX88" s="572"/>
      <c r="AZ88" s="411" t="e">
        <f t="shared" si="90"/>
        <v>#N/A</v>
      </c>
      <c r="BA88" s="565"/>
    </row>
    <row r="89" spans="2:53">
      <c r="B89" s="570"/>
      <c r="C89" s="420">
        <v>3</v>
      </c>
      <c r="D89" s="418"/>
      <c r="E89" s="418"/>
      <c r="F89" s="418"/>
      <c r="G89" s="425"/>
      <c r="H89" s="579"/>
      <c r="I89" s="422" t="str">
        <f t="shared" si="74"/>
        <v>-</v>
      </c>
      <c r="J89" s="422" t="str">
        <f t="shared" si="75"/>
        <v>-</v>
      </c>
      <c r="K89" s="200" t="str">
        <f t="shared" si="76"/>
        <v>-</v>
      </c>
      <c r="L89" s="581"/>
      <c r="M89" s="426" t="e">
        <f>RANK(K89, K$107:$K$121)</f>
        <v>#VALUE!</v>
      </c>
      <c r="N89" s="564"/>
      <c r="O89" s="564"/>
      <c r="P89" s="418"/>
      <c r="Q89" s="425"/>
      <c r="R89" s="419"/>
      <c r="S89" s="420" t="e">
        <f t="shared" si="77"/>
        <v>#N/A</v>
      </c>
      <c r="T89" s="572"/>
      <c r="U89" s="418"/>
      <c r="V89" s="425"/>
      <c r="W89" s="419"/>
      <c r="X89" s="420" t="e">
        <f t="shared" si="78"/>
        <v>#N/A</v>
      </c>
      <c r="Y89" s="572"/>
      <c r="Z89" s="418"/>
      <c r="AA89" s="425"/>
      <c r="AB89" s="419"/>
      <c r="AC89" s="420" t="e">
        <f t="shared" si="80"/>
        <v>#N/A</v>
      </c>
      <c r="AD89" s="572"/>
      <c r="AE89" s="418"/>
      <c r="AF89" s="425"/>
      <c r="AG89" s="419"/>
      <c r="AH89" s="420" t="e">
        <f t="shared" si="82"/>
        <v>#N/A</v>
      </c>
      <c r="AI89" s="572"/>
      <c r="AJ89" s="418"/>
      <c r="AK89" s="425"/>
      <c r="AL89" s="419"/>
      <c r="AM89" s="420" t="e">
        <f t="shared" si="84"/>
        <v>#N/A</v>
      </c>
      <c r="AN89" s="572"/>
      <c r="AO89" s="418"/>
      <c r="AP89" s="425"/>
      <c r="AQ89" s="419"/>
      <c r="AR89" s="420" t="e">
        <f t="shared" si="86"/>
        <v>#N/A</v>
      </c>
      <c r="AS89" s="572"/>
      <c r="AT89" s="418"/>
      <c r="AU89" s="425"/>
      <c r="AV89" s="419"/>
      <c r="AW89" s="420" t="e">
        <f t="shared" si="88"/>
        <v>#N/A</v>
      </c>
      <c r="AX89" s="572"/>
      <c r="AZ89" s="411" t="e">
        <f t="shared" si="90"/>
        <v>#N/A</v>
      </c>
      <c r="BA89" s="565"/>
    </row>
    <row r="90" spans="2:53">
      <c r="B90" s="570"/>
      <c r="C90" s="420">
        <v>4</v>
      </c>
      <c r="D90" s="418"/>
      <c r="E90" s="418"/>
      <c r="F90" s="418"/>
      <c r="G90" s="425"/>
      <c r="H90" s="579"/>
      <c r="I90" s="422" t="str">
        <f t="shared" si="74"/>
        <v>-</v>
      </c>
      <c r="J90" s="422" t="str">
        <f t="shared" si="75"/>
        <v>-</v>
      </c>
      <c r="K90" s="200" t="str">
        <f t="shared" si="76"/>
        <v>-</v>
      </c>
      <c r="L90" s="581"/>
      <c r="M90" s="426" t="e">
        <f>RANK(K90, K$107:$K$121)</f>
        <v>#VALUE!</v>
      </c>
      <c r="N90" s="564"/>
      <c r="O90" s="564"/>
      <c r="P90" s="418"/>
      <c r="Q90" s="425"/>
      <c r="R90" s="419"/>
      <c r="S90" s="420" t="e">
        <f t="shared" si="77"/>
        <v>#N/A</v>
      </c>
      <c r="T90" s="572"/>
      <c r="U90" s="418"/>
      <c r="V90" s="425"/>
      <c r="W90" s="419"/>
      <c r="X90" s="420" t="e">
        <f t="shared" si="78"/>
        <v>#N/A</v>
      </c>
      <c r="Y90" s="572"/>
      <c r="Z90" s="418"/>
      <c r="AA90" s="425"/>
      <c r="AB90" s="419"/>
      <c r="AC90" s="420" t="e">
        <f t="shared" si="80"/>
        <v>#N/A</v>
      </c>
      <c r="AD90" s="572"/>
      <c r="AE90" s="418"/>
      <c r="AF90" s="425"/>
      <c r="AG90" s="419"/>
      <c r="AH90" s="420" t="e">
        <f t="shared" si="82"/>
        <v>#N/A</v>
      </c>
      <c r="AI90" s="572"/>
      <c r="AJ90" s="418"/>
      <c r="AK90" s="425"/>
      <c r="AL90" s="419"/>
      <c r="AM90" s="420" t="e">
        <f t="shared" si="84"/>
        <v>#N/A</v>
      </c>
      <c r="AN90" s="572"/>
      <c r="AO90" s="418"/>
      <c r="AP90" s="425"/>
      <c r="AQ90" s="419"/>
      <c r="AR90" s="420" t="e">
        <f t="shared" si="86"/>
        <v>#N/A</v>
      </c>
      <c r="AS90" s="572"/>
      <c r="AT90" s="418"/>
      <c r="AU90" s="425"/>
      <c r="AV90" s="419"/>
      <c r="AW90" s="420" t="e">
        <f t="shared" si="88"/>
        <v>#N/A</v>
      </c>
      <c r="AX90" s="572"/>
      <c r="AZ90" s="411" t="e">
        <f t="shared" si="90"/>
        <v>#N/A</v>
      </c>
      <c r="BA90" s="565"/>
    </row>
    <row r="91" spans="2:53">
      <c r="B91" s="570"/>
      <c r="C91" s="420">
        <v>5</v>
      </c>
      <c r="D91" s="418"/>
      <c r="E91" s="418"/>
      <c r="F91" s="418"/>
      <c r="G91" s="425"/>
      <c r="H91" s="579"/>
      <c r="I91" s="422" t="str">
        <f t="shared" si="74"/>
        <v>-</v>
      </c>
      <c r="J91" s="422" t="str">
        <f t="shared" si="75"/>
        <v>-</v>
      </c>
      <c r="K91" s="200" t="str">
        <f t="shared" si="76"/>
        <v>-</v>
      </c>
      <c r="L91" s="581"/>
      <c r="M91" s="426" t="e">
        <f>RANK(K91, K$107:$K$121)</f>
        <v>#VALUE!</v>
      </c>
      <c r="N91" s="564"/>
      <c r="O91" s="564"/>
      <c r="P91" s="418"/>
      <c r="Q91" s="425"/>
      <c r="R91" s="419"/>
      <c r="S91" s="420" t="e">
        <f t="shared" si="77"/>
        <v>#N/A</v>
      </c>
      <c r="T91" s="572"/>
      <c r="U91" s="418"/>
      <c r="V91" s="425"/>
      <c r="W91" s="419"/>
      <c r="X91" s="420" t="e">
        <f t="shared" si="78"/>
        <v>#N/A</v>
      </c>
      <c r="Y91" s="572"/>
      <c r="Z91" s="418"/>
      <c r="AA91" s="425"/>
      <c r="AB91" s="419"/>
      <c r="AC91" s="420" t="e">
        <f t="shared" si="80"/>
        <v>#N/A</v>
      </c>
      <c r="AD91" s="572"/>
      <c r="AE91" s="418"/>
      <c r="AF91" s="425"/>
      <c r="AG91" s="419"/>
      <c r="AH91" s="420" t="e">
        <f t="shared" si="82"/>
        <v>#N/A</v>
      </c>
      <c r="AI91" s="572"/>
      <c r="AJ91" s="418"/>
      <c r="AK91" s="425"/>
      <c r="AL91" s="419"/>
      <c r="AM91" s="420" t="e">
        <f t="shared" si="84"/>
        <v>#N/A</v>
      </c>
      <c r="AN91" s="572"/>
      <c r="AO91" s="418"/>
      <c r="AP91" s="425"/>
      <c r="AQ91" s="419"/>
      <c r="AR91" s="420" t="e">
        <f t="shared" si="86"/>
        <v>#N/A</v>
      </c>
      <c r="AS91" s="572"/>
      <c r="AT91" s="418"/>
      <c r="AU91" s="425"/>
      <c r="AV91" s="419"/>
      <c r="AW91" s="420" t="e">
        <f t="shared" si="88"/>
        <v>#N/A</v>
      </c>
      <c r="AX91" s="572"/>
      <c r="AZ91" s="411" t="e">
        <f t="shared" si="90"/>
        <v>#N/A</v>
      </c>
      <c r="BA91" s="565"/>
    </row>
    <row r="92" spans="2:53">
      <c r="B92" s="570"/>
      <c r="C92" s="420">
        <v>6</v>
      </c>
      <c r="D92" s="418"/>
      <c r="E92" s="418"/>
      <c r="F92" s="418"/>
      <c r="G92" s="425"/>
      <c r="H92" s="579"/>
      <c r="I92" s="422" t="str">
        <f t="shared" si="74"/>
        <v>-</v>
      </c>
      <c r="J92" s="422" t="str">
        <f t="shared" si="75"/>
        <v>-</v>
      </c>
      <c r="K92" s="200" t="str">
        <f t="shared" si="76"/>
        <v>-</v>
      </c>
      <c r="L92" s="581"/>
      <c r="M92" s="426" t="e">
        <f>RANK(K92, K$107:$K$121)</f>
        <v>#VALUE!</v>
      </c>
      <c r="N92" s="564"/>
      <c r="O92" s="564"/>
      <c r="P92" s="418"/>
      <c r="Q92" s="425"/>
      <c r="R92" s="419"/>
      <c r="S92" s="420" t="e">
        <f t="shared" si="77"/>
        <v>#N/A</v>
      </c>
      <c r="T92" s="572"/>
      <c r="U92" s="418"/>
      <c r="V92" s="425"/>
      <c r="W92" s="419"/>
      <c r="X92" s="420" t="e">
        <f t="shared" si="78"/>
        <v>#N/A</v>
      </c>
      <c r="Y92" s="572"/>
      <c r="Z92" s="418"/>
      <c r="AA92" s="425"/>
      <c r="AB92" s="419"/>
      <c r="AC92" s="420" t="e">
        <f t="shared" si="80"/>
        <v>#N/A</v>
      </c>
      <c r="AD92" s="572"/>
      <c r="AE92" s="418"/>
      <c r="AF92" s="425"/>
      <c r="AG92" s="419"/>
      <c r="AH92" s="420" t="e">
        <f t="shared" si="82"/>
        <v>#N/A</v>
      </c>
      <c r="AI92" s="572"/>
      <c r="AJ92" s="418"/>
      <c r="AK92" s="425"/>
      <c r="AL92" s="419"/>
      <c r="AM92" s="420" t="e">
        <f t="shared" si="84"/>
        <v>#N/A</v>
      </c>
      <c r="AN92" s="572"/>
      <c r="AO92" s="418"/>
      <c r="AP92" s="425"/>
      <c r="AQ92" s="419"/>
      <c r="AR92" s="420" t="e">
        <f t="shared" si="86"/>
        <v>#N/A</v>
      </c>
      <c r="AS92" s="572"/>
      <c r="AT92" s="418"/>
      <c r="AU92" s="425"/>
      <c r="AV92" s="419"/>
      <c r="AW92" s="420" t="e">
        <f t="shared" si="88"/>
        <v>#N/A</v>
      </c>
      <c r="AX92" s="572"/>
      <c r="AZ92" s="411" t="e">
        <f t="shared" si="90"/>
        <v>#N/A</v>
      </c>
      <c r="BA92" s="565"/>
    </row>
    <row r="93" spans="2:53">
      <c r="B93" s="570"/>
      <c r="C93" s="420">
        <v>7</v>
      </c>
      <c r="D93" s="418"/>
      <c r="E93" s="418"/>
      <c r="F93" s="418"/>
      <c r="G93" s="425"/>
      <c r="H93" s="579"/>
      <c r="I93" s="422" t="str">
        <f t="shared" si="74"/>
        <v>-</v>
      </c>
      <c r="J93" s="422" t="str">
        <f t="shared" si="75"/>
        <v>-</v>
      </c>
      <c r="K93" s="200" t="str">
        <f t="shared" si="76"/>
        <v>-</v>
      </c>
      <c r="L93" s="581"/>
      <c r="M93" s="426" t="e">
        <f>RANK(K93, K$107:$K$121)</f>
        <v>#VALUE!</v>
      </c>
      <c r="N93" s="564"/>
      <c r="O93" s="564"/>
      <c r="P93" s="418"/>
      <c r="Q93" s="425"/>
      <c r="R93" s="419"/>
      <c r="S93" s="420" t="e">
        <f t="shared" si="77"/>
        <v>#N/A</v>
      </c>
      <c r="T93" s="572"/>
      <c r="U93" s="418"/>
      <c r="V93" s="425"/>
      <c r="W93" s="419"/>
      <c r="X93" s="420" t="e">
        <f t="shared" si="78"/>
        <v>#N/A</v>
      </c>
      <c r="Y93" s="572"/>
      <c r="Z93" s="418"/>
      <c r="AA93" s="425"/>
      <c r="AB93" s="419"/>
      <c r="AC93" s="420" t="e">
        <f t="shared" si="80"/>
        <v>#N/A</v>
      </c>
      <c r="AD93" s="572"/>
      <c r="AE93" s="418"/>
      <c r="AF93" s="425"/>
      <c r="AG93" s="419"/>
      <c r="AH93" s="420" t="e">
        <f t="shared" si="82"/>
        <v>#N/A</v>
      </c>
      <c r="AI93" s="572"/>
      <c r="AJ93" s="418"/>
      <c r="AK93" s="425"/>
      <c r="AL93" s="419"/>
      <c r="AM93" s="420" t="e">
        <f t="shared" si="84"/>
        <v>#N/A</v>
      </c>
      <c r="AN93" s="572"/>
      <c r="AO93" s="418"/>
      <c r="AP93" s="425"/>
      <c r="AQ93" s="419"/>
      <c r="AR93" s="420" t="e">
        <f t="shared" si="86"/>
        <v>#N/A</v>
      </c>
      <c r="AS93" s="572"/>
      <c r="AT93" s="418"/>
      <c r="AU93" s="425"/>
      <c r="AV93" s="419"/>
      <c r="AW93" s="420" t="e">
        <f t="shared" si="88"/>
        <v>#N/A</v>
      </c>
      <c r="AX93" s="572"/>
      <c r="AZ93" s="411" t="e">
        <f t="shared" si="90"/>
        <v>#N/A</v>
      </c>
      <c r="BA93" s="565"/>
    </row>
    <row r="94" spans="2:53">
      <c r="B94" s="570"/>
      <c r="C94" s="420">
        <v>8</v>
      </c>
      <c r="D94" s="418"/>
      <c r="E94" s="418"/>
      <c r="F94" s="418"/>
      <c r="G94" s="425"/>
      <c r="H94" s="579"/>
      <c r="I94" s="422" t="str">
        <f t="shared" si="74"/>
        <v>-</v>
      </c>
      <c r="J94" s="422" t="str">
        <f t="shared" si="75"/>
        <v>-</v>
      </c>
      <c r="K94" s="200" t="str">
        <f t="shared" si="76"/>
        <v>-</v>
      </c>
      <c r="L94" s="581"/>
      <c r="M94" s="426" t="e">
        <f>RANK(K94, K$107:$K$121)</f>
        <v>#VALUE!</v>
      </c>
      <c r="N94" s="564"/>
      <c r="O94" s="564"/>
      <c r="P94" s="418"/>
      <c r="Q94" s="425"/>
      <c r="R94" s="419"/>
      <c r="S94" s="420" t="e">
        <f t="shared" si="77"/>
        <v>#N/A</v>
      </c>
      <c r="T94" s="572"/>
      <c r="U94" s="418"/>
      <c r="V94" s="425"/>
      <c r="W94" s="419"/>
      <c r="X94" s="420" t="e">
        <f t="shared" si="78"/>
        <v>#N/A</v>
      </c>
      <c r="Y94" s="572"/>
      <c r="Z94" s="418"/>
      <c r="AA94" s="425"/>
      <c r="AB94" s="419"/>
      <c r="AC94" s="420" t="e">
        <f t="shared" si="80"/>
        <v>#N/A</v>
      </c>
      <c r="AD94" s="572"/>
      <c r="AE94" s="418"/>
      <c r="AF94" s="425"/>
      <c r="AG94" s="419"/>
      <c r="AH94" s="420" t="e">
        <f t="shared" si="82"/>
        <v>#N/A</v>
      </c>
      <c r="AI94" s="572"/>
      <c r="AJ94" s="418"/>
      <c r="AK94" s="425"/>
      <c r="AL94" s="419"/>
      <c r="AM94" s="420" t="e">
        <f t="shared" si="84"/>
        <v>#N/A</v>
      </c>
      <c r="AN94" s="572"/>
      <c r="AO94" s="418"/>
      <c r="AP94" s="425"/>
      <c r="AQ94" s="419"/>
      <c r="AR94" s="420" t="e">
        <f t="shared" si="86"/>
        <v>#N/A</v>
      </c>
      <c r="AS94" s="572"/>
      <c r="AT94" s="418"/>
      <c r="AU94" s="425"/>
      <c r="AV94" s="419"/>
      <c r="AW94" s="420" t="e">
        <f t="shared" si="88"/>
        <v>#N/A</v>
      </c>
      <c r="AX94" s="572"/>
      <c r="AZ94" s="411" t="e">
        <f t="shared" si="90"/>
        <v>#N/A</v>
      </c>
      <c r="BA94" s="565"/>
    </row>
    <row r="95" spans="2:53">
      <c r="B95" s="570"/>
      <c r="C95" s="420">
        <v>9</v>
      </c>
      <c r="D95" s="418"/>
      <c r="E95" s="418"/>
      <c r="F95" s="418"/>
      <c r="G95" s="425"/>
      <c r="H95" s="579"/>
      <c r="I95" s="422" t="str">
        <f t="shared" si="74"/>
        <v>-</v>
      </c>
      <c r="J95" s="422" t="str">
        <f t="shared" si="75"/>
        <v>-</v>
      </c>
      <c r="K95" s="200" t="str">
        <f t="shared" si="76"/>
        <v>-</v>
      </c>
      <c r="L95" s="581"/>
      <c r="M95" s="426" t="e">
        <f>RANK(K95, K$107:$K$121)</f>
        <v>#VALUE!</v>
      </c>
      <c r="N95" s="564"/>
      <c r="O95" s="564"/>
      <c r="P95" s="418"/>
      <c r="Q95" s="425"/>
      <c r="R95" s="419"/>
      <c r="S95" s="420" t="e">
        <f t="shared" si="77"/>
        <v>#N/A</v>
      </c>
      <c r="T95" s="572"/>
      <c r="U95" s="418"/>
      <c r="V95" s="425"/>
      <c r="W95" s="419"/>
      <c r="X95" s="420" t="e">
        <f t="shared" si="78"/>
        <v>#N/A</v>
      </c>
      <c r="Y95" s="572"/>
      <c r="Z95" s="418"/>
      <c r="AA95" s="425"/>
      <c r="AB95" s="419"/>
      <c r="AC95" s="420" t="e">
        <f t="shared" si="80"/>
        <v>#N/A</v>
      </c>
      <c r="AD95" s="572"/>
      <c r="AE95" s="418"/>
      <c r="AF95" s="425"/>
      <c r="AG95" s="419"/>
      <c r="AH95" s="420" t="e">
        <f t="shared" si="82"/>
        <v>#N/A</v>
      </c>
      <c r="AI95" s="572"/>
      <c r="AJ95" s="418"/>
      <c r="AK95" s="425"/>
      <c r="AL95" s="419"/>
      <c r="AM95" s="420" t="e">
        <f t="shared" si="84"/>
        <v>#N/A</v>
      </c>
      <c r="AN95" s="572"/>
      <c r="AO95" s="418"/>
      <c r="AP95" s="425"/>
      <c r="AQ95" s="419"/>
      <c r="AR95" s="420" t="e">
        <f t="shared" si="86"/>
        <v>#N/A</v>
      </c>
      <c r="AS95" s="572"/>
      <c r="AT95" s="418"/>
      <c r="AU95" s="425"/>
      <c r="AV95" s="419"/>
      <c r="AW95" s="420" t="e">
        <f t="shared" si="88"/>
        <v>#N/A</v>
      </c>
      <c r="AX95" s="572"/>
      <c r="AZ95" s="411" t="e">
        <f t="shared" si="90"/>
        <v>#N/A</v>
      </c>
      <c r="BA95" s="565"/>
    </row>
    <row r="96" spans="2:53">
      <c r="B96" s="570"/>
      <c r="C96" s="420">
        <v>10</v>
      </c>
      <c r="D96" s="418"/>
      <c r="E96" s="418"/>
      <c r="F96" s="418"/>
      <c r="G96" s="425"/>
      <c r="H96" s="579"/>
      <c r="I96" s="422" t="str">
        <f t="shared" si="74"/>
        <v>-</v>
      </c>
      <c r="J96" s="422" t="str">
        <f t="shared" si="75"/>
        <v>-</v>
      </c>
      <c r="K96" s="200" t="str">
        <f t="shared" si="76"/>
        <v>-</v>
      </c>
      <c r="L96" s="581"/>
      <c r="M96" s="426" t="e">
        <f>RANK(K96, K$107:$K$121)</f>
        <v>#VALUE!</v>
      </c>
      <c r="N96" s="564"/>
      <c r="O96" s="564"/>
      <c r="P96" s="418"/>
      <c r="Q96" s="425"/>
      <c r="R96" s="419"/>
      <c r="S96" s="420" t="e">
        <f t="shared" si="77"/>
        <v>#N/A</v>
      </c>
      <c r="T96" s="572"/>
      <c r="U96" s="418"/>
      <c r="V96" s="425"/>
      <c r="W96" s="419"/>
      <c r="X96" s="420" t="e">
        <f t="shared" si="78"/>
        <v>#N/A</v>
      </c>
      <c r="Y96" s="572"/>
      <c r="Z96" s="418"/>
      <c r="AA96" s="425"/>
      <c r="AB96" s="419"/>
      <c r="AC96" s="420" t="e">
        <f t="shared" si="80"/>
        <v>#N/A</v>
      </c>
      <c r="AD96" s="572"/>
      <c r="AE96" s="418"/>
      <c r="AF96" s="425"/>
      <c r="AG96" s="419"/>
      <c r="AH96" s="420" t="e">
        <f t="shared" si="82"/>
        <v>#N/A</v>
      </c>
      <c r="AI96" s="572"/>
      <c r="AJ96" s="418"/>
      <c r="AK96" s="425"/>
      <c r="AL96" s="419"/>
      <c r="AM96" s="420" t="e">
        <f t="shared" si="84"/>
        <v>#N/A</v>
      </c>
      <c r="AN96" s="572"/>
      <c r="AO96" s="418"/>
      <c r="AP96" s="425"/>
      <c r="AQ96" s="419"/>
      <c r="AR96" s="420" t="e">
        <f t="shared" si="86"/>
        <v>#N/A</v>
      </c>
      <c r="AS96" s="572"/>
      <c r="AT96" s="418"/>
      <c r="AU96" s="425"/>
      <c r="AV96" s="419"/>
      <c r="AW96" s="420" t="e">
        <f t="shared" si="88"/>
        <v>#N/A</v>
      </c>
      <c r="AX96" s="572"/>
      <c r="AZ96" s="411" t="e">
        <f t="shared" si="90"/>
        <v>#N/A</v>
      </c>
      <c r="BA96" s="565"/>
    </row>
    <row r="97" spans="2:53">
      <c r="B97" s="570"/>
      <c r="C97" s="420">
        <v>11</v>
      </c>
      <c r="D97" s="418"/>
      <c r="E97" s="418"/>
      <c r="F97" s="418"/>
      <c r="G97" s="425"/>
      <c r="H97" s="579"/>
      <c r="I97" s="422" t="str">
        <f t="shared" si="74"/>
        <v>-</v>
      </c>
      <c r="J97" s="422" t="str">
        <f t="shared" si="75"/>
        <v>-</v>
      </c>
      <c r="K97" s="200" t="str">
        <f t="shared" si="76"/>
        <v>-</v>
      </c>
      <c r="L97" s="581"/>
      <c r="M97" s="426" t="e">
        <f>RANK(K97, K$107:$K$121)</f>
        <v>#VALUE!</v>
      </c>
      <c r="N97" s="564"/>
      <c r="O97" s="564"/>
      <c r="P97" s="418"/>
      <c r="Q97" s="418"/>
      <c r="R97" s="418"/>
      <c r="S97" s="420" t="e">
        <f t="shared" si="77"/>
        <v>#N/A</v>
      </c>
      <c r="T97" s="572"/>
      <c r="U97" s="418"/>
      <c r="V97" s="418"/>
      <c r="W97" s="418"/>
      <c r="X97" s="420" t="e">
        <f t="shared" si="78"/>
        <v>#N/A</v>
      </c>
      <c r="Y97" s="572"/>
      <c r="Z97" s="418"/>
      <c r="AA97" s="418"/>
      <c r="AB97" s="418"/>
      <c r="AC97" s="420" t="e">
        <f t="shared" si="80"/>
        <v>#N/A</v>
      </c>
      <c r="AD97" s="572"/>
      <c r="AE97" s="418"/>
      <c r="AF97" s="418"/>
      <c r="AG97" s="418"/>
      <c r="AH97" s="420" t="e">
        <f t="shared" si="82"/>
        <v>#N/A</v>
      </c>
      <c r="AI97" s="572"/>
      <c r="AJ97" s="418"/>
      <c r="AK97" s="418"/>
      <c r="AL97" s="418"/>
      <c r="AM97" s="420" t="e">
        <f t="shared" si="84"/>
        <v>#N/A</v>
      </c>
      <c r="AN97" s="572"/>
      <c r="AO97" s="418"/>
      <c r="AP97" s="418"/>
      <c r="AQ97" s="418"/>
      <c r="AR97" s="420" t="e">
        <f t="shared" si="86"/>
        <v>#N/A</v>
      </c>
      <c r="AS97" s="572"/>
      <c r="AT97" s="418"/>
      <c r="AU97" s="418"/>
      <c r="AV97" s="418"/>
      <c r="AW97" s="420" t="e">
        <f t="shared" si="88"/>
        <v>#N/A</v>
      </c>
      <c r="AX97" s="572"/>
      <c r="AZ97" s="411" t="e">
        <f t="shared" si="90"/>
        <v>#N/A</v>
      </c>
      <c r="BA97" s="565"/>
    </row>
    <row r="98" spans="2:53">
      <c r="B98" s="570"/>
      <c r="C98" s="420">
        <v>12</v>
      </c>
      <c r="D98" s="418"/>
      <c r="E98" s="418"/>
      <c r="F98" s="418"/>
      <c r="G98" s="425"/>
      <c r="H98" s="579"/>
      <c r="I98" s="422" t="str">
        <f t="shared" si="74"/>
        <v>-</v>
      </c>
      <c r="J98" s="422" t="str">
        <f t="shared" si="75"/>
        <v>-</v>
      </c>
      <c r="K98" s="200" t="str">
        <f t="shared" si="76"/>
        <v>-</v>
      </c>
      <c r="L98" s="581"/>
      <c r="M98" s="426" t="e">
        <f>RANK(K98, K$107:$K$121)</f>
        <v>#VALUE!</v>
      </c>
      <c r="N98" s="564"/>
      <c r="O98" s="564"/>
      <c r="P98" s="418"/>
      <c r="Q98" s="418"/>
      <c r="R98" s="418"/>
      <c r="S98" s="420" t="e">
        <f t="shared" si="77"/>
        <v>#N/A</v>
      </c>
      <c r="T98" s="572"/>
      <c r="U98" s="418"/>
      <c r="V98" s="418"/>
      <c r="W98" s="418"/>
      <c r="X98" s="420" t="e">
        <f t="shared" si="78"/>
        <v>#N/A</v>
      </c>
      <c r="Y98" s="572"/>
      <c r="Z98" s="418"/>
      <c r="AA98" s="418"/>
      <c r="AB98" s="418"/>
      <c r="AC98" s="420" t="e">
        <f t="shared" si="80"/>
        <v>#N/A</v>
      </c>
      <c r="AD98" s="572"/>
      <c r="AE98" s="418"/>
      <c r="AF98" s="418"/>
      <c r="AG98" s="418"/>
      <c r="AH98" s="420" t="e">
        <f t="shared" si="82"/>
        <v>#N/A</v>
      </c>
      <c r="AI98" s="572"/>
      <c r="AJ98" s="418"/>
      <c r="AK98" s="418"/>
      <c r="AL98" s="418"/>
      <c r="AM98" s="420" t="e">
        <f t="shared" si="84"/>
        <v>#N/A</v>
      </c>
      <c r="AN98" s="572"/>
      <c r="AO98" s="418"/>
      <c r="AP98" s="418"/>
      <c r="AQ98" s="418"/>
      <c r="AR98" s="420" t="e">
        <f t="shared" si="86"/>
        <v>#N/A</v>
      </c>
      <c r="AS98" s="572"/>
      <c r="AT98" s="418"/>
      <c r="AU98" s="418"/>
      <c r="AV98" s="418"/>
      <c r="AW98" s="420" t="e">
        <f t="shared" si="88"/>
        <v>#N/A</v>
      </c>
      <c r="AX98" s="572"/>
      <c r="AZ98" s="411" t="e">
        <f t="shared" si="90"/>
        <v>#N/A</v>
      </c>
      <c r="BA98" s="565"/>
    </row>
    <row r="99" spans="2:53">
      <c r="B99" s="570"/>
      <c r="C99" s="420">
        <v>13</v>
      </c>
      <c r="D99" s="418"/>
      <c r="E99" s="418"/>
      <c r="F99" s="418"/>
      <c r="G99" s="425"/>
      <c r="H99" s="579"/>
      <c r="I99" s="422" t="str">
        <f t="shared" si="74"/>
        <v>-</v>
      </c>
      <c r="J99" s="422" t="str">
        <f t="shared" si="75"/>
        <v>-</v>
      </c>
      <c r="K99" s="200" t="str">
        <f t="shared" si="76"/>
        <v>-</v>
      </c>
      <c r="L99" s="581"/>
      <c r="M99" s="426" t="e">
        <f>RANK(K99, K$107:$K$121)</f>
        <v>#VALUE!</v>
      </c>
      <c r="N99" s="564"/>
      <c r="O99" s="564"/>
      <c r="P99" s="418"/>
      <c r="Q99" s="418"/>
      <c r="R99" s="418"/>
      <c r="S99" s="420" t="e">
        <f t="shared" si="77"/>
        <v>#N/A</v>
      </c>
      <c r="T99" s="572"/>
      <c r="U99" s="418"/>
      <c r="V99" s="418"/>
      <c r="W99" s="418"/>
      <c r="X99" s="420" t="e">
        <f t="shared" si="78"/>
        <v>#N/A</v>
      </c>
      <c r="Y99" s="572"/>
      <c r="Z99" s="418"/>
      <c r="AA99" s="418"/>
      <c r="AB99" s="418"/>
      <c r="AC99" s="420" t="e">
        <f t="shared" si="80"/>
        <v>#N/A</v>
      </c>
      <c r="AD99" s="572"/>
      <c r="AE99" s="418"/>
      <c r="AF99" s="418"/>
      <c r="AG99" s="418"/>
      <c r="AH99" s="420" t="e">
        <f t="shared" si="82"/>
        <v>#N/A</v>
      </c>
      <c r="AI99" s="572"/>
      <c r="AJ99" s="418"/>
      <c r="AK99" s="418"/>
      <c r="AL99" s="418"/>
      <c r="AM99" s="420" t="e">
        <f t="shared" si="84"/>
        <v>#N/A</v>
      </c>
      <c r="AN99" s="572"/>
      <c r="AO99" s="418"/>
      <c r="AP99" s="418"/>
      <c r="AQ99" s="418"/>
      <c r="AR99" s="420" t="e">
        <f t="shared" si="86"/>
        <v>#N/A</v>
      </c>
      <c r="AS99" s="572"/>
      <c r="AT99" s="418"/>
      <c r="AU99" s="418"/>
      <c r="AV99" s="418"/>
      <c r="AW99" s="420" t="e">
        <f t="shared" si="88"/>
        <v>#N/A</v>
      </c>
      <c r="AX99" s="572"/>
      <c r="AZ99" s="411" t="e">
        <f t="shared" si="90"/>
        <v>#N/A</v>
      </c>
      <c r="BA99" s="565"/>
    </row>
    <row r="100" spans="2:53">
      <c r="B100" s="570"/>
      <c r="C100" s="420">
        <v>14</v>
      </c>
      <c r="D100" s="418"/>
      <c r="E100" s="418"/>
      <c r="F100" s="418"/>
      <c r="G100" s="425"/>
      <c r="H100" s="579"/>
      <c r="I100" s="422" t="str">
        <f t="shared" si="74"/>
        <v>-</v>
      </c>
      <c r="J100" s="422" t="str">
        <f t="shared" si="75"/>
        <v>-</v>
      </c>
      <c r="K100" s="200" t="str">
        <f t="shared" si="76"/>
        <v>-</v>
      </c>
      <c r="L100" s="581"/>
      <c r="M100" s="426" t="e">
        <f>RANK(K100, K$107:$K$121)</f>
        <v>#VALUE!</v>
      </c>
      <c r="N100" s="564"/>
      <c r="O100" s="564"/>
      <c r="P100" s="418"/>
      <c r="Q100" s="418"/>
      <c r="R100" s="418"/>
      <c r="S100" s="420" t="e">
        <f t="shared" si="77"/>
        <v>#N/A</v>
      </c>
      <c r="T100" s="572"/>
      <c r="U100" s="418"/>
      <c r="V100" s="418"/>
      <c r="W100" s="418"/>
      <c r="X100" s="420" t="e">
        <f t="shared" si="78"/>
        <v>#N/A</v>
      </c>
      <c r="Y100" s="572"/>
      <c r="Z100" s="418"/>
      <c r="AA100" s="418"/>
      <c r="AB100" s="418"/>
      <c r="AC100" s="420" t="e">
        <f t="shared" si="80"/>
        <v>#N/A</v>
      </c>
      <c r="AD100" s="572"/>
      <c r="AE100" s="418"/>
      <c r="AF100" s="418"/>
      <c r="AG100" s="418"/>
      <c r="AH100" s="420" t="e">
        <f t="shared" si="82"/>
        <v>#N/A</v>
      </c>
      <c r="AI100" s="572"/>
      <c r="AJ100" s="418"/>
      <c r="AK100" s="418"/>
      <c r="AL100" s="418"/>
      <c r="AM100" s="420" t="e">
        <f t="shared" si="84"/>
        <v>#N/A</v>
      </c>
      <c r="AN100" s="572"/>
      <c r="AO100" s="418"/>
      <c r="AP100" s="418"/>
      <c r="AQ100" s="418"/>
      <c r="AR100" s="420" t="e">
        <f t="shared" si="86"/>
        <v>#N/A</v>
      </c>
      <c r="AS100" s="572"/>
      <c r="AT100" s="418"/>
      <c r="AU100" s="418"/>
      <c r="AV100" s="418"/>
      <c r="AW100" s="420" t="e">
        <f t="shared" si="88"/>
        <v>#N/A</v>
      </c>
      <c r="AX100" s="572"/>
      <c r="AZ100" s="411" t="e">
        <f t="shared" si="90"/>
        <v>#N/A</v>
      </c>
      <c r="BA100" s="565"/>
    </row>
    <row r="101" spans="2:53">
      <c r="B101" s="570"/>
      <c r="C101" s="420">
        <v>15</v>
      </c>
      <c r="D101" s="418"/>
      <c r="E101" s="418"/>
      <c r="F101" s="418"/>
      <c r="G101" s="418"/>
      <c r="H101" s="639"/>
      <c r="I101" s="422" t="str">
        <f t="shared" si="74"/>
        <v>-</v>
      </c>
      <c r="J101" s="422" t="str">
        <f t="shared" si="75"/>
        <v>-</v>
      </c>
      <c r="K101" s="200" t="str">
        <f t="shared" si="76"/>
        <v>-</v>
      </c>
      <c r="L101" s="582"/>
      <c r="M101" s="426" t="e">
        <f>RANK(K101, K$107:$K$121)</f>
        <v>#VALUE!</v>
      </c>
      <c r="N101" s="564"/>
      <c r="O101" s="564"/>
      <c r="P101" s="420"/>
      <c r="Q101" s="426"/>
      <c r="R101" s="426"/>
      <c r="S101" s="420" t="e">
        <f t="shared" si="77"/>
        <v>#N/A</v>
      </c>
      <c r="T101" s="572"/>
      <c r="U101" s="420"/>
      <c r="V101" s="426"/>
      <c r="W101" s="426"/>
      <c r="X101" s="420" t="e">
        <f t="shared" si="78"/>
        <v>#N/A</v>
      </c>
      <c r="Y101" s="572"/>
      <c r="Z101" s="420"/>
      <c r="AA101" s="426"/>
      <c r="AB101" s="426"/>
      <c r="AC101" s="420" t="e">
        <f t="shared" si="80"/>
        <v>#N/A</v>
      </c>
      <c r="AD101" s="572"/>
      <c r="AE101" s="420"/>
      <c r="AF101" s="426"/>
      <c r="AG101" s="426"/>
      <c r="AH101" s="420" t="e">
        <f t="shared" si="82"/>
        <v>#N/A</v>
      </c>
      <c r="AI101" s="572"/>
      <c r="AJ101" s="420"/>
      <c r="AK101" s="426"/>
      <c r="AL101" s="426"/>
      <c r="AM101" s="420" t="e">
        <f t="shared" si="84"/>
        <v>#N/A</v>
      </c>
      <c r="AN101" s="572"/>
      <c r="AO101" s="420"/>
      <c r="AP101" s="426"/>
      <c r="AQ101" s="426"/>
      <c r="AR101" s="420" t="e">
        <f t="shared" si="86"/>
        <v>#N/A</v>
      </c>
      <c r="AS101" s="572"/>
      <c r="AT101" s="420"/>
      <c r="AU101" s="426"/>
      <c r="AV101" s="426"/>
      <c r="AW101" s="420" t="e">
        <f t="shared" si="88"/>
        <v>#N/A</v>
      </c>
      <c r="AX101" s="572"/>
      <c r="AZ101" s="411" t="e">
        <f t="shared" si="90"/>
        <v>#N/A</v>
      </c>
      <c r="BA101" s="565"/>
    </row>
    <row r="102" spans="2:53" ht="15.75">
      <c r="B102" s="593" t="s">
        <v>163</v>
      </c>
      <c r="C102" s="594"/>
      <c r="D102" s="594"/>
      <c r="E102" s="594"/>
      <c r="F102" s="594"/>
      <c r="G102" s="594"/>
      <c r="H102" s="595"/>
      <c r="I102" s="208"/>
      <c r="J102" s="208"/>
      <c r="K102" s="208"/>
      <c r="L102" s="208"/>
      <c r="M102" s="207"/>
      <c r="N102" s="566" t="s">
        <v>156</v>
      </c>
      <c r="O102" s="566" t="s">
        <v>105</v>
      </c>
      <c r="P102" s="592">
        <f>P82+7</f>
        <v>46175</v>
      </c>
      <c r="Q102" s="570"/>
      <c r="R102" s="570"/>
      <c r="S102" s="570"/>
      <c r="T102" s="570"/>
      <c r="U102" s="589">
        <f>P102+1</f>
        <v>46176</v>
      </c>
      <c r="V102" s="590"/>
      <c r="W102" s="590"/>
      <c r="X102" s="590"/>
      <c r="Y102" s="591"/>
      <c r="Z102" s="589">
        <f>U102+1</f>
        <v>46177</v>
      </c>
      <c r="AA102" s="590"/>
      <c r="AB102" s="590"/>
      <c r="AC102" s="590"/>
      <c r="AD102" s="591"/>
      <c r="AE102" s="589">
        <f>Z102+1</f>
        <v>46178</v>
      </c>
      <c r="AF102" s="590"/>
      <c r="AG102" s="590"/>
      <c r="AH102" s="590"/>
      <c r="AI102" s="591"/>
      <c r="AJ102" s="589">
        <f>AE102+1</f>
        <v>46179</v>
      </c>
      <c r="AK102" s="590"/>
      <c r="AL102" s="590"/>
      <c r="AM102" s="590"/>
      <c r="AN102" s="591"/>
      <c r="AO102" s="589">
        <f>AJ102+1</f>
        <v>46180</v>
      </c>
      <c r="AP102" s="590"/>
      <c r="AQ102" s="590"/>
      <c r="AR102" s="590"/>
      <c r="AS102" s="591"/>
      <c r="AT102" s="589">
        <f>AO102+1</f>
        <v>46181</v>
      </c>
      <c r="AU102" s="590"/>
      <c r="AV102" s="590"/>
      <c r="AW102" s="590"/>
      <c r="AX102" s="591"/>
    </row>
    <row r="103" spans="2:53" ht="15.75">
      <c r="B103" s="596"/>
      <c r="C103" s="596"/>
      <c r="D103" s="596"/>
      <c r="E103" s="596"/>
      <c r="F103" s="596"/>
      <c r="G103" s="596"/>
      <c r="H103" s="596"/>
      <c r="I103" s="205"/>
      <c r="J103" s="205"/>
      <c r="K103" s="205"/>
      <c r="L103" s="205"/>
      <c r="M103" s="206"/>
      <c r="N103" s="568"/>
      <c r="O103" s="568"/>
      <c r="P103" s="592" t="s">
        <v>158</v>
      </c>
      <c r="Q103" s="570"/>
      <c r="R103" s="570"/>
      <c r="S103" s="570"/>
      <c r="T103" s="570"/>
      <c r="U103" s="592" t="s">
        <v>114</v>
      </c>
      <c r="V103" s="570"/>
      <c r="W103" s="570"/>
      <c r="X103" s="570"/>
      <c r="Y103" s="570"/>
      <c r="Z103" s="592" t="s">
        <v>159</v>
      </c>
      <c r="AA103" s="570"/>
      <c r="AB103" s="570"/>
      <c r="AC103" s="570"/>
      <c r="AD103" s="570"/>
      <c r="AE103" s="592" t="s">
        <v>157</v>
      </c>
      <c r="AF103" s="570"/>
      <c r="AG103" s="570"/>
      <c r="AH103" s="570"/>
      <c r="AI103" s="570"/>
      <c r="AJ103" s="592" t="s">
        <v>160</v>
      </c>
      <c r="AK103" s="570"/>
      <c r="AL103" s="570"/>
      <c r="AM103" s="570"/>
      <c r="AN103" s="570"/>
      <c r="AO103" s="592" t="s">
        <v>115</v>
      </c>
      <c r="AP103" s="570"/>
      <c r="AQ103" s="570"/>
      <c r="AR103" s="570"/>
      <c r="AS103" s="570"/>
      <c r="AT103" s="592" t="s">
        <v>162</v>
      </c>
      <c r="AU103" s="570"/>
      <c r="AV103" s="570"/>
      <c r="AW103" s="570"/>
      <c r="AX103" s="570"/>
    </row>
    <row r="104" spans="2:53">
      <c r="B104" s="564" t="s">
        <v>544</v>
      </c>
      <c r="C104" s="564" t="s">
        <v>545</v>
      </c>
      <c r="D104" s="564"/>
      <c r="E104" s="564" t="s">
        <v>546</v>
      </c>
      <c r="F104" s="564"/>
      <c r="G104" s="564"/>
      <c r="H104" s="597" t="s">
        <v>547</v>
      </c>
      <c r="I104" s="564" t="s">
        <v>548</v>
      </c>
      <c r="J104" s="564"/>
      <c r="K104" s="564"/>
      <c r="L104" s="597" t="s">
        <v>547</v>
      </c>
      <c r="M104" s="566" t="s">
        <v>549</v>
      </c>
      <c r="N104" s="564"/>
      <c r="O104" s="564" t="s">
        <v>550</v>
      </c>
      <c r="P104" s="583" t="s">
        <v>551</v>
      </c>
      <c r="Q104" s="584"/>
      <c r="R104" s="584"/>
      <c r="S104" s="585"/>
      <c r="T104" s="564" t="s">
        <v>547</v>
      </c>
      <c r="U104" s="583" t="s">
        <v>551</v>
      </c>
      <c r="V104" s="584"/>
      <c r="W104" s="584"/>
      <c r="X104" s="585"/>
      <c r="Y104" s="564" t="s">
        <v>547</v>
      </c>
      <c r="Z104" s="583" t="s">
        <v>551</v>
      </c>
      <c r="AA104" s="584"/>
      <c r="AB104" s="584"/>
      <c r="AC104" s="585"/>
      <c r="AD104" s="564" t="s">
        <v>547</v>
      </c>
      <c r="AE104" s="583" t="s">
        <v>551</v>
      </c>
      <c r="AF104" s="584"/>
      <c r="AG104" s="584"/>
      <c r="AH104" s="585"/>
      <c r="AI104" s="564" t="s">
        <v>547</v>
      </c>
      <c r="AJ104" s="583" t="s">
        <v>551</v>
      </c>
      <c r="AK104" s="584"/>
      <c r="AL104" s="584"/>
      <c r="AM104" s="585"/>
      <c r="AN104" s="564" t="s">
        <v>547</v>
      </c>
      <c r="AO104" s="583" t="s">
        <v>551</v>
      </c>
      <c r="AP104" s="584"/>
      <c r="AQ104" s="584"/>
      <c r="AR104" s="585"/>
      <c r="AS104" s="564" t="s">
        <v>547</v>
      </c>
      <c r="AT104" s="583" t="s">
        <v>551</v>
      </c>
      <c r="AU104" s="584"/>
      <c r="AV104" s="584"/>
      <c r="AW104" s="585"/>
      <c r="AX104" s="564" t="s">
        <v>547</v>
      </c>
      <c r="BA104" s="564" t="s">
        <v>374</v>
      </c>
    </row>
    <row r="105" spans="2:53">
      <c r="B105" s="564"/>
      <c r="C105" s="564"/>
      <c r="D105" s="564"/>
      <c r="E105" s="564" t="s">
        <v>552</v>
      </c>
      <c r="F105" s="564"/>
      <c r="G105" s="564"/>
      <c r="H105" s="598"/>
      <c r="I105" s="564" t="s">
        <v>552</v>
      </c>
      <c r="J105" s="564"/>
      <c r="K105" s="564"/>
      <c r="L105" s="598"/>
      <c r="M105" s="567"/>
      <c r="N105" s="564"/>
      <c r="O105" s="564"/>
      <c r="P105" s="583" t="s">
        <v>553</v>
      </c>
      <c r="Q105" s="584"/>
      <c r="R105" s="584"/>
      <c r="S105" s="585"/>
      <c r="T105" s="564"/>
      <c r="U105" s="583" t="s">
        <v>553</v>
      </c>
      <c r="V105" s="584"/>
      <c r="W105" s="584"/>
      <c r="X105" s="585"/>
      <c r="Y105" s="564"/>
      <c r="Z105" s="583" t="s">
        <v>553</v>
      </c>
      <c r="AA105" s="584"/>
      <c r="AB105" s="584"/>
      <c r="AC105" s="585"/>
      <c r="AD105" s="564"/>
      <c r="AE105" s="583" t="s">
        <v>553</v>
      </c>
      <c r="AF105" s="584"/>
      <c r="AG105" s="584"/>
      <c r="AH105" s="585"/>
      <c r="AI105" s="564"/>
      <c r="AJ105" s="583" t="s">
        <v>553</v>
      </c>
      <c r="AK105" s="584"/>
      <c r="AL105" s="584"/>
      <c r="AM105" s="585"/>
      <c r="AN105" s="564"/>
      <c r="AO105" s="583" t="s">
        <v>553</v>
      </c>
      <c r="AP105" s="584"/>
      <c r="AQ105" s="584"/>
      <c r="AR105" s="585"/>
      <c r="AS105" s="564"/>
      <c r="AT105" s="583" t="s">
        <v>553</v>
      </c>
      <c r="AU105" s="584"/>
      <c r="AV105" s="584"/>
      <c r="AW105" s="585"/>
      <c r="AX105" s="564"/>
      <c r="BA105" s="564"/>
    </row>
    <row r="106" spans="2:53">
      <c r="B106" s="564"/>
      <c r="C106" s="564"/>
      <c r="D106" s="564"/>
      <c r="E106" s="366" t="s">
        <v>554</v>
      </c>
      <c r="F106" s="366" t="s">
        <v>555</v>
      </c>
      <c r="G106" s="366" t="s">
        <v>556</v>
      </c>
      <c r="H106" s="599"/>
      <c r="I106" s="366" t="s">
        <v>554</v>
      </c>
      <c r="J106" s="366" t="s">
        <v>555</v>
      </c>
      <c r="K106" s="366" t="s">
        <v>556</v>
      </c>
      <c r="L106" s="599"/>
      <c r="M106" s="568"/>
      <c r="N106" s="564"/>
      <c r="O106" s="564"/>
      <c r="P106" s="366" t="s">
        <v>554</v>
      </c>
      <c r="Q106" s="366" t="s">
        <v>555</v>
      </c>
      <c r="R106" s="366" t="s">
        <v>556</v>
      </c>
      <c r="S106" s="366" t="s">
        <v>549</v>
      </c>
      <c r="T106" s="564"/>
      <c r="U106" s="366" t="s">
        <v>554</v>
      </c>
      <c r="V106" s="366" t="s">
        <v>555</v>
      </c>
      <c r="W106" s="366" t="s">
        <v>556</v>
      </c>
      <c r="X106" s="366" t="s">
        <v>549</v>
      </c>
      <c r="Y106" s="564"/>
      <c r="Z106" s="366" t="s">
        <v>554</v>
      </c>
      <c r="AA106" s="366" t="s">
        <v>555</v>
      </c>
      <c r="AB106" s="366" t="s">
        <v>556</v>
      </c>
      <c r="AC106" s="366" t="s">
        <v>549</v>
      </c>
      <c r="AD106" s="564"/>
      <c r="AE106" s="366" t="s">
        <v>554</v>
      </c>
      <c r="AF106" s="366" t="s">
        <v>555</v>
      </c>
      <c r="AG106" s="366" t="s">
        <v>556</v>
      </c>
      <c r="AH106" s="366" t="s">
        <v>549</v>
      </c>
      <c r="AI106" s="564"/>
      <c r="AJ106" s="366" t="s">
        <v>554</v>
      </c>
      <c r="AK106" s="366" t="s">
        <v>555</v>
      </c>
      <c r="AL106" s="366" t="s">
        <v>556</v>
      </c>
      <c r="AM106" s="366" t="s">
        <v>549</v>
      </c>
      <c r="AN106" s="564"/>
      <c r="AO106" s="366" t="s">
        <v>554</v>
      </c>
      <c r="AP106" s="366" t="s">
        <v>555</v>
      </c>
      <c r="AQ106" s="366" t="s">
        <v>556</v>
      </c>
      <c r="AR106" s="366" t="s">
        <v>549</v>
      </c>
      <c r="AS106" s="564"/>
      <c r="AT106" s="366" t="s">
        <v>554</v>
      </c>
      <c r="AU106" s="366" t="s">
        <v>555</v>
      </c>
      <c r="AV106" s="366" t="s">
        <v>556</v>
      </c>
      <c r="AW106" s="366" t="s">
        <v>549</v>
      </c>
      <c r="AX106" s="564"/>
      <c r="AZ106" s="412" t="s">
        <v>375</v>
      </c>
      <c r="BA106" s="564"/>
    </row>
    <row r="107" spans="2:53">
      <c r="B107" s="626" t="s">
        <v>557</v>
      </c>
      <c r="C107" s="371">
        <v>1</v>
      </c>
      <c r="D107" s="377"/>
      <c r="E107" s="377"/>
      <c r="F107" s="377"/>
      <c r="G107" s="182"/>
      <c r="H107" s="578" t="e">
        <f>AVERAGE(G107:G121)</f>
        <v>#DIV/0!</v>
      </c>
      <c r="I107" s="400" t="str">
        <f t="shared" ref="I107:I121" si="92">IFERROR(AVERAGE(P107,U107,Z107,AE107,AJ107,AO107,AT107),"-")</f>
        <v>-</v>
      </c>
      <c r="J107" s="400" t="str">
        <f t="shared" ref="J107:J121" si="93">IFERROR(AVERAGE(Q107,V107,AA107,AF107,AK107,AP107,AU107),"-")</f>
        <v>-</v>
      </c>
      <c r="K107" s="200" t="str">
        <f t="shared" ref="K107:K121" si="94">IFERROR(AVERAGE(R107,W107,AB107,AG107,AL107,AQ107,AV107),"-")</f>
        <v>-</v>
      </c>
      <c r="L107" s="580" t="str">
        <f>IFERROR(AVERAGE(K107:K121),"-")</f>
        <v>-</v>
      </c>
      <c r="M107" s="372" t="e">
        <f>RANK(K107, K$107:$K$121)</f>
        <v>#VALUE!</v>
      </c>
      <c r="N107" s="564"/>
      <c r="O107" s="564"/>
      <c r="P107" s="182"/>
      <c r="Q107" s="182"/>
      <c r="R107" s="378"/>
      <c r="S107" s="371" t="e">
        <f t="shared" ref="S107:S121" si="95">RANK(R107, R$81:R$87)</f>
        <v>#N/A</v>
      </c>
      <c r="T107" s="572" t="e">
        <f>AVERAGE(R107:R121)</f>
        <v>#DIV/0!</v>
      </c>
      <c r="U107" s="182"/>
      <c r="V107" s="182"/>
      <c r="W107" s="378"/>
      <c r="X107" s="371" t="e">
        <f t="shared" ref="X107:X121" si="96">RANK(W107, W$81:W$87)</f>
        <v>#N/A</v>
      </c>
      <c r="Y107" s="572" t="e">
        <f t="shared" ref="Y107" si="97">AVERAGE(W107:W121)</f>
        <v>#DIV/0!</v>
      </c>
      <c r="Z107" s="182"/>
      <c r="AA107" s="182"/>
      <c r="AB107" s="378"/>
      <c r="AC107" s="371" t="e">
        <f t="shared" ref="AC107:AC121" si="98">RANK(AB107, AB$81:AB$87)</f>
        <v>#N/A</v>
      </c>
      <c r="AD107" s="572" t="e">
        <f t="shared" ref="AD107" si="99">AVERAGE(AB107:AB121)</f>
        <v>#DIV/0!</v>
      </c>
      <c r="AE107" s="182"/>
      <c r="AF107" s="182"/>
      <c r="AG107" s="378"/>
      <c r="AH107" s="371" t="e">
        <f t="shared" ref="AH107:AH121" si="100">RANK(AG107, AG$81:AG$87)</f>
        <v>#N/A</v>
      </c>
      <c r="AI107" s="572" t="e">
        <f t="shared" ref="AI107" si="101">AVERAGE(AG107:AG121)</f>
        <v>#DIV/0!</v>
      </c>
      <c r="AJ107" s="182"/>
      <c r="AK107" s="182"/>
      <c r="AL107" s="378"/>
      <c r="AM107" s="371" t="e">
        <f t="shared" ref="AM107:AM121" si="102">RANK(AL107, AL$81:AL$87)</f>
        <v>#N/A</v>
      </c>
      <c r="AN107" s="572" t="e">
        <f t="shared" ref="AN107" si="103">AVERAGE(AL107:AL121)</f>
        <v>#DIV/0!</v>
      </c>
      <c r="AO107" s="182"/>
      <c r="AP107" s="182"/>
      <c r="AQ107" s="378"/>
      <c r="AR107" s="371" t="e">
        <f t="shared" ref="AR107:AR121" si="104">RANK(AQ107, AQ$81:AQ$87)</f>
        <v>#N/A</v>
      </c>
      <c r="AS107" s="572" t="e">
        <f t="shared" ref="AS107" si="105">AVERAGE(AQ107:AQ121)</f>
        <v>#DIV/0!</v>
      </c>
      <c r="AT107" s="182"/>
      <c r="AU107" s="182"/>
      <c r="AV107" s="378"/>
      <c r="AW107" s="371" t="e">
        <f t="shared" ref="AW107:AW121" si="106">RANK(AV107, AV$81:AV$87)</f>
        <v>#N/A</v>
      </c>
      <c r="AX107" s="572" t="e">
        <f t="shared" ref="AX107" si="107">AVERAGE(AV107:AV121)</f>
        <v>#DIV/0!</v>
      </c>
      <c r="AZ107" s="414" t="e">
        <f t="shared" ref="AZ107:AZ121" si="108">RANK(AY107, AY$81:AY$87)</f>
        <v>#N/A</v>
      </c>
      <c r="BA107" s="572" t="e">
        <f t="shared" ref="BA107" si="109">AVERAGE(AY107:AY121)</f>
        <v>#DIV/0!</v>
      </c>
    </row>
    <row r="108" spans="2:53">
      <c r="B108" s="600"/>
      <c r="C108" s="371">
        <v>2</v>
      </c>
      <c r="D108" s="377"/>
      <c r="E108" s="377"/>
      <c r="F108" s="377"/>
      <c r="G108" s="182"/>
      <c r="H108" s="579"/>
      <c r="I108" s="400" t="str">
        <f t="shared" si="92"/>
        <v>-</v>
      </c>
      <c r="J108" s="400" t="str">
        <f t="shared" si="93"/>
        <v>-</v>
      </c>
      <c r="K108" s="200" t="str">
        <f t="shared" si="94"/>
        <v>-</v>
      </c>
      <c r="L108" s="581"/>
      <c r="M108" s="372" t="e">
        <f>RANK(K108, K$107:$K$121)</f>
        <v>#VALUE!</v>
      </c>
      <c r="N108" s="564"/>
      <c r="O108" s="564"/>
      <c r="P108" s="377"/>
      <c r="Q108" s="182"/>
      <c r="R108" s="378"/>
      <c r="S108" s="371" t="e">
        <f t="shared" si="95"/>
        <v>#N/A</v>
      </c>
      <c r="T108" s="572"/>
      <c r="U108" s="377"/>
      <c r="V108" s="182"/>
      <c r="W108" s="378"/>
      <c r="X108" s="371" t="e">
        <f t="shared" si="96"/>
        <v>#N/A</v>
      </c>
      <c r="Y108" s="572"/>
      <c r="Z108" s="377"/>
      <c r="AA108" s="182"/>
      <c r="AB108" s="378"/>
      <c r="AC108" s="371" t="e">
        <f t="shared" si="98"/>
        <v>#N/A</v>
      </c>
      <c r="AD108" s="572"/>
      <c r="AE108" s="377"/>
      <c r="AF108" s="182"/>
      <c r="AG108" s="378"/>
      <c r="AH108" s="371" t="e">
        <f t="shared" si="100"/>
        <v>#N/A</v>
      </c>
      <c r="AI108" s="572"/>
      <c r="AJ108" s="377"/>
      <c r="AK108" s="182"/>
      <c r="AL108" s="378"/>
      <c r="AM108" s="371" t="e">
        <f t="shared" si="102"/>
        <v>#N/A</v>
      </c>
      <c r="AN108" s="572"/>
      <c r="AO108" s="377"/>
      <c r="AP108" s="182"/>
      <c r="AQ108" s="378"/>
      <c r="AR108" s="371" t="e">
        <f t="shared" si="104"/>
        <v>#N/A</v>
      </c>
      <c r="AS108" s="572"/>
      <c r="AT108" s="377"/>
      <c r="AU108" s="182"/>
      <c r="AV108" s="378"/>
      <c r="AW108" s="371" t="e">
        <f t="shared" si="106"/>
        <v>#N/A</v>
      </c>
      <c r="AX108" s="572"/>
      <c r="AZ108" s="414" t="e">
        <f t="shared" si="108"/>
        <v>#N/A</v>
      </c>
      <c r="BA108" s="572"/>
    </row>
    <row r="109" spans="2:53">
      <c r="B109" s="600"/>
      <c r="C109" s="371">
        <v>3</v>
      </c>
      <c r="D109" s="377"/>
      <c r="E109" s="377"/>
      <c r="F109" s="377"/>
      <c r="G109" s="182"/>
      <c r="H109" s="579"/>
      <c r="I109" s="400" t="str">
        <f t="shared" si="92"/>
        <v>-</v>
      </c>
      <c r="J109" s="400" t="str">
        <f t="shared" si="93"/>
        <v>-</v>
      </c>
      <c r="K109" s="200" t="str">
        <f t="shared" si="94"/>
        <v>-</v>
      </c>
      <c r="L109" s="581"/>
      <c r="M109" s="372" t="e">
        <f>RANK(K109, K$107:$K$121)</f>
        <v>#VALUE!</v>
      </c>
      <c r="N109" s="564"/>
      <c r="O109" s="564"/>
      <c r="P109" s="377"/>
      <c r="Q109" s="182"/>
      <c r="R109" s="378"/>
      <c r="S109" s="371" t="e">
        <f t="shared" si="95"/>
        <v>#N/A</v>
      </c>
      <c r="T109" s="572"/>
      <c r="U109" s="377"/>
      <c r="V109" s="182"/>
      <c r="W109" s="378"/>
      <c r="X109" s="371" t="e">
        <f t="shared" si="96"/>
        <v>#N/A</v>
      </c>
      <c r="Y109" s="572"/>
      <c r="Z109" s="377"/>
      <c r="AA109" s="182"/>
      <c r="AB109" s="378"/>
      <c r="AC109" s="371" t="e">
        <f t="shared" si="98"/>
        <v>#N/A</v>
      </c>
      <c r="AD109" s="572"/>
      <c r="AE109" s="377"/>
      <c r="AF109" s="182"/>
      <c r="AG109" s="378"/>
      <c r="AH109" s="371" t="e">
        <f t="shared" si="100"/>
        <v>#N/A</v>
      </c>
      <c r="AI109" s="572"/>
      <c r="AJ109" s="377"/>
      <c r="AK109" s="182"/>
      <c r="AL109" s="378"/>
      <c r="AM109" s="371" t="e">
        <f t="shared" si="102"/>
        <v>#N/A</v>
      </c>
      <c r="AN109" s="572"/>
      <c r="AO109" s="377"/>
      <c r="AP109" s="182"/>
      <c r="AQ109" s="378"/>
      <c r="AR109" s="371" t="e">
        <f t="shared" si="104"/>
        <v>#N/A</v>
      </c>
      <c r="AS109" s="572"/>
      <c r="AT109" s="377"/>
      <c r="AU109" s="182"/>
      <c r="AV109" s="378"/>
      <c r="AW109" s="371" t="e">
        <f t="shared" si="106"/>
        <v>#N/A</v>
      </c>
      <c r="AX109" s="572"/>
      <c r="AZ109" s="414" t="e">
        <f t="shared" si="108"/>
        <v>#N/A</v>
      </c>
      <c r="BA109" s="572"/>
    </row>
    <row r="110" spans="2:53">
      <c r="B110" s="600"/>
      <c r="C110" s="371">
        <v>4</v>
      </c>
      <c r="D110" s="377"/>
      <c r="E110" s="377"/>
      <c r="F110" s="377"/>
      <c r="G110" s="182"/>
      <c r="H110" s="579"/>
      <c r="I110" s="400" t="str">
        <f t="shared" si="92"/>
        <v>-</v>
      </c>
      <c r="J110" s="400" t="str">
        <f t="shared" si="93"/>
        <v>-</v>
      </c>
      <c r="K110" s="200" t="str">
        <f t="shared" si="94"/>
        <v>-</v>
      </c>
      <c r="L110" s="581"/>
      <c r="M110" s="372" t="e">
        <f>RANK(K110, K$107:$K$121)</f>
        <v>#VALUE!</v>
      </c>
      <c r="N110" s="564"/>
      <c r="O110" s="564"/>
      <c r="P110" s="377"/>
      <c r="Q110" s="182"/>
      <c r="R110" s="378"/>
      <c r="S110" s="371" t="e">
        <f t="shared" si="95"/>
        <v>#N/A</v>
      </c>
      <c r="T110" s="572"/>
      <c r="U110" s="377"/>
      <c r="V110" s="182"/>
      <c r="W110" s="378"/>
      <c r="X110" s="371" t="e">
        <f t="shared" si="96"/>
        <v>#N/A</v>
      </c>
      <c r="Y110" s="572"/>
      <c r="Z110" s="377"/>
      <c r="AA110" s="182"/>
      <c r="AB110" s="378"/>
      <c r="AC110" s="371" t="e">
        <f t="shared" si="98"/>
        <v>#N/A</v>
      </c>
      <c r="AD110" s="572"/>
      <c r="AE110" s="377"/>
      <c r="AF110" s="182"/>
      <c r="AG110" s="378"/>
      <c r="AH110" s="371" t="e">
        <f t="shared" si="100"/>
        <v>#N/A</v>
      </c>
      <c r="AI110" s="572"/>
      <c r="AJ110" s="377"/>
      <c r="AK110" s="182"/>
      <c r="AL110" s="378"/>
      <c r="AM110" s="371" t="e">
        <f t="shared" si="102"/>
        <v>#N/A</v>
      </c>
      <c r="AN110" s="572"/>
      <c r="AO110" s="377"/>
      <c r="AP110" s="182"/>
      <c r="AQ110" s="378"/>
      <c r="AR110" s="371" t="e">
        <f t="shared" si="104"/>
        <v>#N/A</v>
      </c>
      <c r="AS110" s="572"/>
      <c r="AT110" s="377"/>
      <c r="AU110" s="182"/>
      <c r="AV110" s="378"/>
      <c r="AW110" s="371" t="e">
        <f t="shared" si="106"/>
        <v>#N/A</v>
      </c>
      <c r="AX110" s="572"/>
      <c r="AZ110" s="414" t="e">
        <f t="shared" si="108"/>
        <v>#N/A</v>
      </c>
      <c r="BA110" s="572"/>
    </row>
    <row r="111" spans="2:53">
      <c r="B111" s="600"/>
      <c r="C111" s="371">
        <v>5</v>
      </c>
      <c r="D111" s="377"/>
      <c r="E111" s="377"/>
      <c r="F111" s="377"/>
      <c r="G111" s="182"/>
      <c r="H111" s="579"/>
      <c r="I111" s="400" t="str">
        <f t="shared" si="92"/>
        <v>-</v>
      </c>
      <c r="J111" s="400" t="str">
        <f t="shared" si="93"/>
        <v>-</v>
      </c>
      <c r="K111" s="200" t="str">
        <f t="shared" si="94"/>
        <v>-</v>
      </c>
      <c r="L111" s="581"/>
      <c r="M111" s="372" t="e">
        <f>RANK(K111, K$107:$K$121)</f>
        <v>#VALUE!</v>
      </c>
      <c r="N111" s="564"/>
      <c r="O111" s="564"/>
      <c r="P111" s="377"/>
      <c r="Q111" s="182"/>
      <c r="R111" s="378"/>
      <c r="S111" s="371" t="e">
        <f t="shared" si="95"/>
        <v>#N/A</v>
      </c>
      <c r="T111" s="572"/>
      <c r="U111" s="377"/>
      <c r="V111" s="182"/>
      <c r="W111" s="378"/>
      <c r="X111" s="371" t="e">
        <f t="shared" si="96"/>
        <v>#N/A</v>
      </c>
      <c r="Y111" s="572"/>
      <c r="Z111" s="377"/>
      <c r="AA111" s="182"/>
      <c r="AB111" s="378"/>
      <c r="AC111" s="371" t="e">
        <f t="shared" si="98"/>
        <v>#N/A</v>
      </c>
      <c r="AD111" s="572"/>
      <c r="AE111" s="377"/>
      <c r="AF111" s="182"/>
      <c r="AG111" s="378"/>
      <c r="AH111" s="371" t="e">
        <f t="shared" si="100"/>
        <v>#N/A</v>
      </c>
      <c r="AI111" s="572"/>
      <c r="AJ111" s="377"/>
      <c r="AK111" s="182"/>
      <c r="AL111" s="378"/>
      <c r="AM111" s="371" t="e">
        <f t="shared" si="102"/>
        <v>#N/A</v>
      </c>
      <c r="AN111" s="572"/>
      <c r="AO111" s="377"/>
      <c r="AP111" s="182"/>
      <c r="AQ111" s="378"/>
      <c r="AR111" s="371" t="e">
        <f t="shared" si="104"/>
        <v>#N/A</v>
      </c>
      <c r="AS111" s="572"/>
      <c r="AT111" s="377"/>
      <c r="AU111" s="182"/>
      <c r="AV111" s="378"/>
      <c r="AW111" s="371" t="e">
        <f t="shared" si="106"/>
        <v>#N/A</v>
      </c>
      <c r="AX111" s="572"/>
      <c r="AZ111" s="414" t="e">
        <f t="shared" si="108"/>
        <v>#N/A</v>
      </c>
      <c r="BA111" s="572"/>
    </row>
    <row r="112" spans="2:53">
      <c r="B112" s="600"/>
      <c r="C112" s="371">
        <v>6</v>
      </c>
      <c r="D112" s="377"/>
      <c r="E112" s="377"/>
      <c r="F112" s="377"/>
      <c r="G112" s="182"/>
      <c r="H112" s="579"/>
      <c r="I112" s="400" t="str">
        <f t="shared" si="92"/>
        <v>-</v>
      </c>
      <c r="J112" s="400" t="str">
        <f t="shared" si="93"/>
        <v>-</v>
      </c>
      <c r="K112" s="200" t="str">
        <f t="shared" si="94"/>
        <v>-</v>
      </c>
      <c r="L112" s="581"/>
      <c r="M112" s="372" t="e">
        <f>RANK(K112, K$107:$K$121)</f>
        <v>#VALUE!</v>
      </c>
      <c r="N112" s="564"/>
      <c r="O112" s="564"/>
      <c r="P112" s="377"/>
      <c r="Q112" s="182"/>
      <c r="R112" s="378"/>
      <c r="S112" s="371" t="e">
        <f t="shared" si="95"/>
        <v>#N/A</v>
      </c>
      <c r="T112" s="572"/>
      <c r="U112" s="377"/>
      <c r="V112" s="182"/>
      <c r="W112" s="378"/>
      <c r="X112" s="371" t="e">
        <f t="shared" si="96"/>
        <v>#N/A</v>
      </c>
      <c r="Y112" s="572"/>
      <c r="Z112" s="377"/>
      <c r="AA112" s="182"/>
      <c r="AB112" s="378"/>
      <c r="AC112" s="371" t="e">
        <f t="shared" si="98"/>
        <v>#N/A</v>
      </c>
      <c r="AD112" s="572"/>
      <c r="AE112" s="377"/>
      <c r="AF112" s="182"/>
      <c r="AG112" s="378"/>
      <c r="AH112" s="371" t="e">
        <f t="shared" si="100"/>
        <v>#N/A</v>
      </c>
      <c r="AI112" s="572"/>
      <c r="AJ112" s="377"/>
      <c r="AK112" s="182"/>
      <c r="AL112" s="378"/>
      <c r="AM112" s="371" t="e">
        <f t="shared" si="102"/>
        <v>#N/A</v>
      </c>
      <c r="AN112" s="572"/>
      <c r="AO112" s="377"/>
      <c r="AP112" s="182"/>
      <c r="AQ112" s="378"/>
      <c r="AR112" s="371" t="e">
        <f t="shared" si="104"/>
        <v>#N/A</v>
      </c>
      <c r="AS112" s="572"/>
      <c r="AT112" s="377"/>
      <c r="AU112" s="182"/>
      <c r="AV112" s="378"/>
      <c r="AW112" s="371" t="e">
        <f t="shared" si="106"/>
        <v>#N/A</v>
      </c>
      <c r="AX112" s="572"/>
      <c r="AZ112" s="414" t="e">
        <f t="shared" si="108"/>
        <v>#N/A</v>
      </c>
      <c r="BA112" s="572"/>
    </row>
    <row r="113" spans="2:53">
      <c r="B113" s="600"/>
      <c r="C113" s="371">
        <v>7</v>
      </c>
      <c r="D113" s="377"/>
      <c r="E113" s="377"/>
      <c r="F113" s="377"/>
      <c r="G113" s="182"/>
      <c r="H113" s="579"/>
      <c r="I113" s="400" t="str">
        <f t="shared" si="92"/>
        <v>-</v>
      </c>
      <c r="J113" s="400" t="str">
        <f t="shared" si="93"/>
        <v>-</v>
      </c>
      <c r="K113" s="200" t="str">
        <f t="shared" si="94"/>
        <v>-</v>
      </c>
      <c r="L113" s="581"/>
      <c r="M113" s="372" t="e">
        <f>RANK(K113, K$107:$K$121)</f>
        <v>#VALUE!</v>
      </c>
      <c r="N113" s="564"/>
      <c r="O113" s="564"/>
      <c r="P113" s="377"/>
      <c r="Q113" s="182"/>
      <c r="R113" s="378"/>
      <c r="S113" s="371" t="e">
        <f t="shared" si="95"/>
        <v>#N/A</v>
      </c>
      <c r="T113" s="572"/>
      <c r="U113" s="377"/>
      <c r="V113" s="182"/>
      <c r="W113" s="378"/>
      <c r="X113" s="371" t="e">
        <f t="shared" si="96"/>
        <v>#N/A</v>
      </c>
      <c r="Y113" s="572"/>
      <c r="Z113" s="377"/>
      <c r="AA113" s="182"/>
      <c r="AB113" s="378"/>
      <c r="AC113" s="371" t="e">
        <f t="shared" si="98"/>
        <v>#N/A</v>
      </c>
      <c r="AD113" s="572"/>
      <c r="AE113" s="377"/>
      <c r="AF113" s="182"/>
      <c r="AG113" s="378"/>
      <c r="AH113" s="371" t="e">
        <f t="shared" si="100"/>
        <v>#N/A</v>
      </c>
      <c r="AI113" s="572"/>
      <c r="AJ113" s="377"/>
      <c r="AK113" s="182"/>
      <c r="AL113" s="378"/>
      <c r="AM113" s="371" t="e">
        <f t="shared" si="102"/>
        <v>#N/A</v>
      </c>
      <c r="AN113" s="572"/>
      <c r="AO113" s="377"/>
      <c r="AP113" s="182"/>
      <c r="AQ113" s="378"/>
      <c r="AR113" s="371" t="e">
        <f t="shared" si="104"/>
        <v>#N/A</v>
      </c>
      <c r="AS113" s="572"/>
      <c r="AT113" s="377"/>
      <c r="AU113" s="182"/>
      <c r="AV113" s="378"/>
      <c r="AW113" s="371" t="e">
        <f t="shared" si="106"/>
        <v>#N/A</v>
      </c>
      <c r="AX113" s="572"/>
      <c r="AZ113" s="414" t="e">
        <f t="shared" si="108"/>
        <v>#N/A</v>
      </c>
      <c r="BA113" s="572"/>
    </row>
    <row r="114" spans="2:53">
      <c r="B114" s="600"/>
      <c r="C114" s="371">
        <v>8</v>
      </c>
      <c r="D114" s="377"/>
      <c r="E114" s="377"/>
      <c r="F114" s="377"/>
      <c r="G114" s="182"/>
      <c r="H114" s="579"/>
      <c r="I114" s="400" t="str">
        <f t="shared" si="92"/>
        <v>-</v>
      </c>
      <c r="J114" s="400" t="str">
        <f t="shared" si="93"/>
        <v>-</v>
      </c>
      <c r="K114" s="200" t="str">
        <f t="shared" si="94"/>
        <v>-</v>
      </c>
      <c r="L114" s="581"/>
      <c r="M114" s="372" t="e">
        <f>RANK(K114, K$107:$K$121)</f>
        <v>#VALUE!</v>
      </c>
      <c r="N114" s="564"/>
      <c r="O114" s="564"/>
      <c r="P114" s="377"/>
      <c r="Q114" s="182"/>
      <c r="R114" s="378"/>
      <c r="S114" s="371" t="e">
        <f t="shared" si="95"/>
        <v>#N/A</v>
      </c>
      <c r="T114" s="572"/>
      <c r="U114" s="377"/>
      <c r="V114" s="182"/>
      <c r="W114" s="378"/>
      <c r="X114" s="371" t="e">
        <f t="shared" si="96"/>
        <v>#N/A</v>
      </c>
      <c r="Y114" s="572"/>
      <c r="Z114" s="377"/>
      <c r="AA114" s="182"/>
      <c r="AB114" s="378"/>
      <c r="AC114" s="371" t="e">
        <f t="shared" si="98"/>
        <v>#N/A</v>
      </c>
      <c r="AD114" s="572"/>
      <c r="AE114" s="377"/>
      <c r="AF114" s="182"/>
      <c r="AG114" s="378"/>
      <c r="AH114" s="371" t="e">
        <f t="shared" si="100"/>
        <v>#N/A</v>
      </c>
      <c r="AI114" s="572"/>
      <c r="AJ114" s="377"/>
      <c r="AK114" s="182"/>
      <c r="AL114" s="378"/>
      <c r="AM114" s="371" t="e">
        <f t="shared" si="102"/>
        <v>#N/A</v>
      </c>
      <c r="AN114" s="572"/>
      <c r="AO114" s="377"/>
      <c r="AP114" s="182"/>
      <c r="AQ114" s="378"/>
      <c r="AR114" s="371" t="e">
        <f t="shared" si="104"/>
        <v>#N/A</v>
      </c>
      <c r="AS114" s="572"/>
      <c r="AT114" s="377"/>
      <c r="AU114" s="182"/>
      <c r="AV114" s="378"/>
      <c r="AW114" s="371" t="e">
        <f t="shared" si="106"/>
        <v>#N/A</v>
      </c>
      <c r="AX114" s="572"/>
      <c r="AZ114" s="414" t="e">
        <f t="shared" si="108"/>
        <v>#N/A</v>
      </c>
      <c r="BA114" s="572"/>
    </row>
    <row r="115" spans="2:53">
      <c r="B115" s="600"/>
      <c r="C115" s="371">
        <v>9</v>
      </c>
      <c r="D115" s="377"/>
      <c r="E115" s="377"/>
      <c r="F115" s="377"/>
      <c r="G115" s="182"/>
      <c r="H115" s="579"/>
      <c r="I115" s="400" t="str">
        <f t="shared" si="92"/>
        <v>-</v>
      </c>
      <c r="J115" s="400" t="str">
        <f t="shared" si="93"/>
        <v>-</v>
      </c>
      <c r="K115" s="200" t="str">
        <f t="shared" si="94"/>
        <v>-</v>
      </c>
      <c r="L115" s="581"/>
      <c r="M115" s="372" t="e">
        <f>RANK(K115, K$107:$K$121)</f>
        <v>#VALUE!</v>
      </c>
      <c r="N115" s="564"/>
      <c r="O115" s="564"/>
      <c r="P115" s="377"/>
      <c r="Q115" s="182"/>
      <c r="R115" s="378"/>
      <c r="S115" s="371" t="e">
        <f t="shared" si="95"/>
        <v>#N/A</v>
      </c>
      <c r="T115" s="572"/>
      <c r="U115" s="377"/>
      <c r="V115" s="182"/>
      <c r="W115" s="378"/>
      <c r="X115" s="371" t="e">
        <f t="shared" si="96"/>
        <v>#N/A</v>
      </c>
      <c r="Y115" s="572"/>
      <c r="Z115" s="377"/>
      <c r="AA115" s="182"/>
      <c r="AB115" s="378"/>
      <c r="AC115" s="371" t="e">
        <f t="shared" si="98"/>
        <v>#N/A</v>
      </c>
      <c r="AD115" s="572"/>
      <c r="AE115" s="377"/>
      <c r="AF115" s="182"/>
      <c r="AG115" s="378"/>
      <c r="AH115" s="371" t="e">
        <f t="shared" si="100"/>
        <v>#N/A</v>
      </c>
      <c r="AI115" s="572"/>
      <c r="AJ115" s="377"/>
      <c r="AK115" s="182"/>
      <c r="AL115" s="378"/>
      <c r="AM115" s="371" t="e">
        <f t="shared" si="102"/>
        <v>#N/A</v>
      </c>
      <c r="AN115" s="572"/>
      <c r="AO115" s="377"/>
      <c r="AP115" s="182"/>
      <c r="AQ115" s="378"/>
      <c r="AR115" s="371" t="e">
        <f t="shared" si="104"/>
        <v>#N/A</v>
      </c>
      <c r="AS115" s="572"/>
      <c r="AT115" s="377"/>
      <c r="AU115" s="182"/>
      <c r="AV115" s="378"/>
      <c r="AW115" s="371" t="e">
        <f t="shared" si="106"/>
        <v>#N/A</v>
      </c>
      <c r="AX115" s="572"/>
      <c r="AZ115" s="414" t="e">
        <f t="shared" si="108"/>
        <v>#N/A</v>
      </c>
      <c r="BA115" s="572"/>
    </row>
    <row r="116" spans="2:53">
      <c r="B116" s="600"/>
      <c r="C116" s="371">
        <v>10</v>
      </c>
      <c r="D116" s="377"/>
      <c r="E116" s="377"/>
      <c r="F116" s="377"/>
      <c r="G116" s="182"/>
      <c r="H116" s="579"/>
      <c r="I116" s="400" t="str">
        <f t="shared" si="92"/>
        <v>-</v>
      </c>
      <c r="J116" s="400" t="str">
        <f t="shared" si="93"/>
        <v>-</v>
      </c>
      <c r="K116" s="200" t="str">
        <f t="shared" si="94"/>
        <v>-</v>
      </c>
      <c r="L116" s="581"/>
      <c r="M116" s="372" t="e">
        <f>RANK(K116, K$107:$K$121)</f>
        <v>#VALUE!</v>
      </c>
      <c r="N116" s="564"/>
      <c r="O116" s="564"/>
      <c r="P116" s="377"/>
      <c r="Q116" s="182"/>
      <c r="R116" s="378"/>
      <c r="S116" s="371" t="e">
        <f t="shared" si="95"/>
        <v>#N/A</v>
      </c>
      <c r="T116" s="572"/>
      <c r="U116" s="377"/>
      <c r="V116" s="182"/>
      <c r="W116" s="378"/>
      <c r="X116" s="371" t="e">
        <f t="shared" si="96"/>
        <v>#N/A</v>
      </c>
      <c r="Y116" s="572"/>
      <c r="Z116" s="377"/>
      <c r="AA116" s="182"/>
      <c r="AB116" s="378"/>
      <c r="AC116" s="371" t="e">
        <f t="shared" si="98"/>
        <v>#N/A</v>
      </c>
      <c r="AD116" s="572"/>
      <c r="AE116" s="377"/>
      <c r="AF116" s="182"/>
      <c r="AG116" s="378"/>
      <c r="AH116" s="371" t="e">
        <f t="shared" si="100"/>
        <v>#N/A</v>
      </c>
      <c r="AI116" s="572"/>
      <c r="AJ116" s="377"/>
      <c r="AK116" s="182"/>
      <c r="AL116" s="378"/>
      <c r="AM116" s="371" t="e">
        <f t="shared" si="102"/>
        <v>#N/A</v>
      </c>
      <c r="AN116" s="572"/>
      <c r="AO116" s="377"/>
      <c r="AP116" s="182"/>
      <c r="AQ116" s="378"/>
      <c r="AR116" s="371" t="e">
        <f t="shared" si="104"/>
        <v>#N/A</v>
      </c>
      <c r="AS116" s="572"/>
      <c r="AT116" s="377"/>
      <c r="AU116" s="182"/>
      <c r="AV116" s="378"/>
      <c r="AW116" s="371" t="e">
        <f t="shared" si="106"/>
        <v>#N/A</v>
      </c>
      <c r="AX116" s="572"/>
      <c r="AZ116" s="414" t="e">
        <f t="shared" si="108"/>
        <v>#N/A</v>
      </c>
      <c r="BA116" s="572"/>
    </row>
    <row r="117" spans="2:53">
      <c r="B117" s="600"/>
      <c r="C117" s="371">
        <v>11</v>
      </c>
      <c r="D117" s="377"/>
      <c r="E117" s="377"/>
      <c r="F117" s="377"/>
      <c r="G117" s="182"/>
      <c r="H117" s="579"/>
      <c r="I117" s="400" t="str">
        <f t="shared" si="92"/>
        <v>-</v>
      </c>
      <c r="J117" s="400" t="str">
        <f t="shared" si="93"/>
        <v>-</v>
      </c>
      <c r="K117" s="200" t="str">
        <f t="shared" si="94"/>
        <v>-</v>
      </c>
      <c r="L117" s="581"/>
      <c r="M117" s="372" t="e">
        <f>RANK(K117, K$107:$K$121)</f>
        <v>#VALUE!</v>
      </c>
      <c r="N117" s="564"/>
      <c r="O117" s="564"/>
      <c r="P117" s="377"/>
      <c r="Q117" s="377"/>
      <c r="R117" s="377"/>
      <c r="S117" s="371" t="e">
        <f t="shared" si="95"/>
        <v>#N/A</v>
      </c>
      <c r="T117" s="572"/>
      <c r="U117" s="377"/>
      <c r="V117" s="377"/>
      <c r="W117" s="377"/>
      <c r="X117" s="371" t="e">
        <f t="shared" si="96"/>
        <v>#N/A</v>
      </c>
      <c r="Y117" s="572"/>
      <c r="Z117" s="377"/>
      <c r="AA117" s="377"/>
      <c r="AB117" s="377"/>
      <c r="AC117" s="371" t="e">
        <f t="shared" si="98"/>
        <v>#N/A</v>
      </c>
      <c r="AD117" s="572"/>
      <c r="AE117" s="377"/>
      <c r="AF117" s="377"/>
      <c r="AG117" s="377"/>
      <c r="AH117" s="371" t="e">
        <f t="shared" si="100"/>
        <v>#N/A</v>
      </c>
      <c r="AI117" s="572"/>
      <c r="AJ117" s="377"/>
      <c r="AK117" s="377"/>
      <c r="AL117" s="377"/>
      <c r="AM117" s="371" t="e">
        <f t="shared" si="102"/>
        <v>#N/A</v>
      </c>
      <c r="AN117" s="572"/>
      <c r="AO117" s="377"/>
      <c r="AP117" s="377"/>
      <c r="AQ117" s="377"/>
      <c r="AR117" s="371" t="e">
        <f t="shared" si="104"/>
        <v>#N/A</v>
      </c>
      <c r="AS117" s="572"/>
      <c r="AT117" s="377"/>
      <c r="AU117" s="377"/>
      <c r="AV117" s="377"/>
      <c r="AW117" s="371" t="e">
        <f t="shared" si="106"/>
        <v>#N/A</v>
      </c>
      <c r="AX117" s="572"/>
      <c r="AZ117" s="414" t="e">
        <f t="shared" si="108"/>
        <v>#N/A</v>
      </c>
      <c r="BA117" s="572"/>
    </row>
    <row r="118" spans="2:53">
      <c r="B118" s="600"/>
      <c r="C118" s="371">
        <v>12</v>
      </c>
      <c r="D118" s="377"/>
      <c r="E118" s="377"/>
      <c r="F118" s="377"/>
      <c r="G118" s="182"/>
      <c r="H118" s="579"/>
      <c r="I118" s="400" t="str">
        <f t="shared" si="92"/>
        <v>-</v>
      </c>
      <c r="J118" s="400" t="str">
        <f t="shared" si="93"/>
        <v>-</v>
      </c>
      <c r="K118" s="200" t="str">
        <f t="shared" si="94"/>
        <v>-</v>
      </c>
      <c r="L118" s="581"/>
      <c r="M118" s="372" t="e">
        <f>RANK(K118, K$107:$K$121)</f>
        <v>#VALUE!</v>
      </c>
      <c r="N118" s="564"/>
      <c r="O118" s="564"/>
      <c r="P118" s="377"/>
      <c r="Q118" s="377"/>
      <c r="R118" s="377"/>
      <c r="S118" s="371" t="e">
        <f t="shared" si="95"/>
        <v>#N/A</v>
      </c>
      <c r="T118" s="572"/>
      <c r="U118" s="377"/>
      <c r="V118" s="377"/>
      <c r="W118" s="377"/>
      <c r="X118" s="371" t="e">
        <f t="shared" si="96"/>
        <v>#N/A</v>
      </c>
      <c r="Y118" s="572"/>
      <c r="Z118" s="377"/>
      <c r="AA118" s="377"/>
      <c r="AB118" s="377"/>
      <c r="AC118" s="371" t="e">
        <f t="shared" si="98"/>
        <v>#N/A</v>
      </c>
      <c r="AD118" s="572"/>
      <c r="AE118" s="377"/>
      <c r="AF118" s="377"/>
      <c r="AG118" s="377"/>
      <c r="AH118" s="371" t="e">
        <f t="shared" si="100"/>
        <v>#N/A</v>
      </c>
      <c r="AI118" s="572"/>
      <c r="AJ118" s="377"/>
      <c r="AK118" s="377"/>
      <c r="AL118" s="377"/>
      <c r="AM118" s="371" t="e">
        <f t="shared" si="102"/>
        <v>#N/A</v>
      </c>
      <c r="AN118" s="572"/>
      <c r="AO118" s="377"/>
      <c r="AP118" s="377"/>
      <c r="AQ118" s="377"/>
      <c r="AR118" s="371" t="e">
        <f t="shared" si="104"/>
        <v>#N/A</v>
      </c>
      <c r="AS118" s="572"/>
      <c r="AT118" s="377"/>
      <c r="AU118" s="377"/>
      <c r="AV118" s="377"/>
      <c r="AW118" s="371" t="e">
        <f t="shared" si="106"/>
        <v>#N/A</v>
      </c>
      <c r="AX118" s="572"/>
      <c r="AZ118" s="414" t="e">
        <f t="shared" si="108"/>
        <v>#N/A</v>
      </c>
      <c r="BA118" s="572"/>
    </row>
    <row r="119" spans="2:53">
      <c r="B119" s="600"/>
      <c r="C119" s="371">
        <v>13</v>
      </c>
      <c r="D119" s="377"/>
      <c r="E119" s="377"/>
      <c r="F119" s="377"/>
      <c r="G119" s="182"/>
      <c r="H119" s="579"/>
      <c r="I119" s="400" t="str">
        <f t="shared" si="92"/>
        <v>-</v>
      </c>
      <c r="J119" s="400" t="str">
        <f t="shared" si="93"/>
        <v>-</v>
      </c>
      <c r="K119" s="200" t="str">
        <f t="shared" si="94"/>
        <v>-</v>
      </c>
      <c r="L119" s="581"/>
      <c r="M119" s="372" t="e">
        <f>RANK(K119, K$107:$K$121)</f>
        <v>#VALUE!</v>
      </c>
      <c r="N119" s="564"/>
      <c r="O119" s="564"/>
      <c r="P119" s="377"/>
      <c r="Q119" s="377"/>
      <c r="R119" s="377"/>
      <c r="S119" s="371" t="e">
        <f t="shared" si="95"/>
        <v>#N/A</v>
      </c>
      <c r="T119" s="572"/>
      <c r="U119" s="377"/>
      <c r="V119" s="377"/>
      <c r="W119" s="377"/>
      <c r="X119" s="371" t="e">
        <f t="shared" si="96"/>
        <v>#N/A</v>
      </c>
      <c r="Y119" s="572"/>
      <c r="Z119" s="377"/>
      <c r="AA119" s="377"/>
      <c r="AB119" s="377"/>
      <c r="AC119" s="371" t="e">
        <f t="shared" si="98"/>
        <v>#N/A</v>
      </c>
      <c r="AD119" s="572"/>
      <c r="AE119" s="377"/>
      <c r="AF119" s="377"/>
      <c r="AG119" s="377"/>
      <c r="AH119" s="371" t="e">
        <f t="shared" si="100"/>
        <v>#N/A</v>
      </c>
      <c r="AI119" s="572"/>
      <c r="AJ119" s="377"/>
      <c r="AK119" s="377"/>
      <c r="AL119" s="377"/>
      <c r="AM119" s="371" t="e">
        <f t="shared" si="102"/>
        <v>#N/A</v>
      </c>
      <c r="AN119" s="572"/>
      <c r="AO119" s="377"/>
      <c r="AP119" s="377"/>
      <c r="AQ119" s="377"/>
      <c r="AR119" s="371" t="e">
        <f t="shared" si="104"/>
        <v>#N/A</v>
      </c>
      <c r="AS119" s="572"/>
      <c r="AT119" s="377"/>
      <c r="AU119" s="377"/>
      <c r="AV119" s="377"/>
      <c r="AW119" s="371" t="e">
        <f t="shared" si="106"/>
        <v>#N/A</v>
      </c>
      <c r="AX119" s="572"/>
      <c r="AZ119" s="414" t="e">
        <f t="shared" si="108"/>
        <v>#N/A</v>
      </c>
      <c r="BA119" s="572"/>
    </row>
    <row r="120" spans="2:53">
      <c r="B120" s="600"/>
      <c r="C120" s="371">
        <v>14</v>
      </c>
      <c r="D120" s="377"/>
      <c r="E120" s="377"/>
      <c r="F120" s="377"/>
      <c r="G120" s="182"/>
      <c r="H120" s="579"/>
      <c r="I120" s="400" t="str">
        <f t="shared" si="92"/>
        <v>-</v>
      </c>
      <c r="J120" s="400" t="str">
        <f t="shared" si="93"/>
        <v>-</v>
      </c>
      <c r="K120" s="200" t="str">
        <f t="shared" si="94"/>
        <v>-</v>
      </c>
      <c r="L120" s="581"/>
      <c r="M120" s="372" t="e">
        <f>RANK(K120, K$107:$K$121)</f>
        <v>#VALUE!</v>
      </c>
      <c r="N120" s="564"/>
      <c r="O120" s="564"/>
      <c r="P120" s="377"/>
      <c r="Q120" s="377"/>
      <c r="R120" s="377"/>
      <c r="S120" s="371" t="e">
        <f t="shared" si="95"/>
        <v>#N/A</v>
      </c>
      <c r="T120" s="572"/>
      <c r="U120" s="377"/>
      <c r="V120" s="377"/>
      <c r="W120" s="377"/>
      <c r="X120" s="371" t="e">
        <f t="shared" si="96"/>
        <v>#N/A</v>
      </c>
      <c r="Y120" s="572"/>
      <c r="Z120" s="377"/>
      <c r="AA120" s="377"/>
      <c r="AB120" s="377"/>
      <c r="AC120" s="371" t="e">
        <f t="shared" si="98"/>
        <v>#N/A</v>
      </c>
      <c r="AD120" s="572"/>
      <c r="AE120" s="377"/>
      <c r="AF120" s="377"/>
      <c r="AG120" s="377"/>
      <c r="AH120" s="371" t="e">
        <f t="shared" si="100"/>
        <v>#N/A</v>
      </c>
      <c r="AI120" s="572"/>
      <c r="AJ120" s="377"/>
      <c r="AK120" s="377"/>
      <c r="AL120" s="377"/>
      <c r="AM120" s="371" t="e">
        <f t="shared" si="102"/>
        <v>#N/A</v>
      </c>
      <c r="AN120" s="572"/>
      <c r="AO120" s="377"/>
      <c r="AP120" s="377"/>
      <c r="AQ120" s="377"/>
      <c r="AR120" s="371" t="e">
        <f t="shared" si="104"/>
        <v>#N/A</v>
      </c>
      <c r="AS120" s="572"/>
      <c r="AT120" s="377"/>
      <c r="AU120" s="377"/>
      <c r="AV120" s="377"/>
      <c r="AW120" s="371" t="e">
        <f t="shared" si="106"/>
        <v>#N/A</v>
      </c>
      <c r="AX120" s="572"/>
      <c r="AZ120" s="414" t="e">
        <f t="shared" si="108"/>
        <v>#N/A</v>
      </c>
      <c r="BA120" s="572"/>
    </row>
    <row r="121" spans="2:53">
      <c r="B121" s="600"/>
      <c r="C121" s="371">
        <v>15</v>
      </c>
      <c r="D121" s="377"/>
      <c r="E121" s="377"/>
      <c r="F121" s="377"/>
      <c r="G121" s="377"/>
      <c r="H121" s="639"/>
      <c r="I121" s="400" t="str">
        <f t="shared" si="92"/>
        <v>-</v>
      </c>
      <c r="J121" s="400" t="str">
        <f t="shared" si="93"/>
        <v>-</v>
      </c>
      <c r="K121" s="200" t="str">
        <f t="shared" si="94"/>
        <v>-</v>
      </c>
      <c r="L121" s="582"/>
      <c r="M121" s="372" t="e">
        <f>RANK(K121, K$107:$K$121)</f>
        <v>#VALUE!</v>
      </c>
      <c r="N121" s="564"/>
      <c r="O121" s="564"/>
      <c r="P121" s="371"/>
      <c r="Q121" s="372"/>
      <c r="R121" s="372"/>
      <c r="S121" s="371" t="e">
        <f t="shared" si="95"/>
        <v>#N/A</v>
      </c>
      <c r="T121" s="572"/>
      <c r="U121" s="371"/>
      <c r="V121" s="372"/>
      <c r="W121" s="372"/>
      <c r="X121" s="371" t="e">
        <f t="shared" si="96"/>
        <v>#N/A</v>
      </c>
      <c r="Y121" s="572"/>
      <c r="Z121" s="371"/>
      <c r="AA121" s="372"/>
      <c r="AB121" s="372"/>
      <c r="AC121" s="371" t="e">
        <f t="shared" si="98"/>
        <v>#N/A</v>
      </c>
      <c r="AD121" s="572"/>
      <c r="AE121" s="371"/>
      <c r="AF121" s="372"/>
      <c r="AG121" s="372"/>
      <c r="AH121" s="371" t="e">
        <f t="shared" si="100"/>
        <v>#N/A</v>
      </c>
      <c r="AI121" s="572"/>
      <c r="AJ121" s="371"/>
      <c r="AK121" s="372"/>
      <c r="AL121" s="372"/>
      <c r="AM121" s="371" t="e">
        <f t="shared" si="102"/>
        <v>#N/A</v>
      </c>
      <c r="AN121" s="572"/>
      <c r="AO121" s="371"/>
      <c r="AP121" s="372"/>
      <c r="AQ121" s="372"/>
      <c r="AR121" s="371" t="e">
        <f t="shared" si="104"/>
        <v>#N/A</v>
      </c>
      <c r="AS121" s="572"/>
      <c r="AT121" s="371"/>
      <c r="AU121" s="372"/>
      <c r="AV121" s="372"/>
      <c r="AW121" s="371" t="e">
        <f t="shared" si="106"/>
        <v>#N/A</v>
      </c>
      <c r="AX121" s="572"/>
      <c r="AZ121" s="414" t="e">
        <f t="shared" si="108"/>
        <v>#N/A</v>
      </c>
      <c r="BA121" s="572"/>
    </row>
    <row r="123" spans="2:53" ht="15.75">
      <c r="B123" s="573" t="s">
        <v>487</v>
      </c>
      <c r="C123" s="574"/>
      <c r="D123" s="574"/>
      <c r="E123" s="574"/>
      <c r="F123" s="574"/>
      <c r="G123" s="574"/>
      <c r="H123" s="575"/>
      <c r="I123" s="319"/>
      <c r="J123" s="319"/>
      <c r="K123" s="319"/>
      <c r="L123" s="319"/>
      <c r="M123" s="320"/>
    </row>
    <row r="124" spans="2:53" ht="15.75">
      <c r="B124" s="576"/>
      <c r="C124" s="576"/>
      <c r="D124" s="576"/>
      <c r="E124" s="576"/>
      <c r="F124" s="576"/>
      <c r="G124" s="576"/>
      <c r="H124" s="576"/>
      <c r="I124" s="321"/>
      <c r="J124" s="321"/>
      <c r="K124" s="321"/>
      <c r="L124" s="321"/>
      <c r="M124" s="322"/>
    </row>
    <row r="125" spans="2:53">
      <c r="B125" s="564" t="s">
        <v>488</v>
      </c>
      <c r="C125" s="564" t="s">
        <v>489</v>
      </c>
      <c r="D125" s="564"/>
      <c r="E125" s="564" t="s">
        <v>490</v>
      </c>
      <c r="F125" s="564"/>
      <c r="G125" s="564"/>
      <c r="H125" s="597" t="s">
        <v>491</v>
      </c>
      <c r="I125" s="577" t="s">
        <v>492</v>
      </c>
      <c r="J125" s="577"/>
      <c r="K125" s="577"/>
      <c r="L125" s="633" t="s">
        <v>491</v>
      </c>
      <c r="M125" s="636" t="s">
        <v>493</v>
      </c>
    </row>
    <row r="126" spans="2:53">
      <c r="B126" s="564"/>
      <c r="C126" s="564"/>
      <c r="D126" s="564"/>
      <c r="E126" s="564" t="s">
        <v>494</v>
      </c>
      <c r="F126" s="564"/>
      <c r="G126" s="564"/>
      <c r="H126" s="598"/>
      <c r="I126" s="577" t="s">
        <v>494</v>
      </c>
      <c r="J126" s="577"/>
      <c r="K126" s="577"/>
      <c r="L126" s="634"/>
      <c r="M126" s="637"/>
    </row>
    <row r="127" spans="2:53">
      <c r="B127" s="564"/>
      <c r="C127" s="564"/>
      <c r="D127" s="564"/>
      <c r="E127" s="316" t="s">
        <v>495</v>
      </c>
      <c r="F127" s="316" t="s">
        <v>496</v>
      </c>
      <c r="G127" s="316" t="s">
        <v>497</v>
      </c>
      <c r="H127" s="599"/>
      <c r="I127" s="323" t="s">
        <v>495</v>
      </c>
      <c r="J127" s="323" t="s">
        <v>496</v>
      </c>
      <c r="K127" s="323" t="s">
        <v>497</v>
      </c>
      <c r="L127" s="635"/>
      <c r="M127" s="638"/>
    </row>
    <row r="128" spans="2:53">
      <c r="B128" s="626" t="s">
        <v>499</v>
      </c>
      <c r="C128" s="315">
        <v>1</v>
      </c>
      <c r="D128" s="226"/>
      <c r="E128" s="182"/>
      <c r="F128" s="315"/>
      <c r="G128" s="318"/>
      <c r="H128" s="627" t="e">
        <f>AVERAGE(G128:G142)</f>
        <v>#DIV/0!</v>
      </c>
      <c r="I128" s="199" t="e">
        <f t="shared" ref="I128:K134" si="110">AVERAGEIF($D$7:$D$121,$D128,I$7:I$121)</f>
        <v>#DIV/0!</v>
      </c>
      <c r="J128" s="199" t="e">
        <f t="shared" si="110"/>
        <v>#DIV/0!</v>
      </c>
      <c r="K128" s="199" t="e">
        <f>AVERAGEIF($D$7:$D$121,$D128,K$7:K$121)</f>
        <v>#DIV/0!</v>
      </c>
      <c r="L128" s="630" t="e">
        <f>AVERAGE(K128:K142)</f>
        <v>#DIV/0!</v>
      </c>
      <c r="M128" s="199" t="e">
        <f>RANK(K128, K$128:$K$142)</f>
        <v>#DIV/0!</v>
      </c>
    </row>
    <row r="129" spans="2:39">
      <c r="B129" s="570"/>
      <c r="C129" s="315">
        <v>2</v>
      </c>
      <c r="D129" s="226"/>
      <c r="E129" s="182"/>
      <c r="F129" s="315"/>
      <c r="G129" s="318"/>
      <c r="H129" s="628"/>
      <c r="I129" s="199" t="e">
        <f t="shared" si="110"/>
        <v>#DIV/0!</v>
      </c>
      <c r="J129" s="199" t="e">
        <f t="shared" si="110"/>
        <v>#DIV/0!</v>
      </c>
      <c r="K129" s="199" t="e">
        <f t="shared" si="110"/>
        <v>#DIV/0!</v>
      </c>
      <c r="L129" s="631"/>
      <c r="M129" s="199" t="e">
        <f>RANK(K129, K$128:$K$142)</f>
        <v>#DIV/0!</v>
      </c>
      <c r="N129" s="108"/>
      <c r="O129" s="108"/>
      <c r="P129" s="108"/>
      <c r="Q129" s="108"/>
      <c r="R129" s="108"/>
      <c r="S129" s="108"/>
      <c r="T129" s="108"/>
      <c r="X129" s="108"/>
      <c r="AC129" s="108"/>
      <c r="AH129" s="108"/>
      <c r="AM129" s="108"/>
    </row>
    <row r="130" spans="2:39">
      <c r="B130" s="570"/>
      <c r="C130" s="315">
        <v>3</v>
      </c>
      <c r="D130" s="226"/>
      <c r="E130" s="182"/>
      <c r="F130" s="315"/>
      <c r="G130" s="318"/>
      <c r="H130" s="628"/>
      <c r="I130" s="199" t="e">
        <f t="shared" si="110"/>
        <v>#DIV/0!</v>
      </c>
      <c r="J130" s="199" t="e">
        <f t="shared" si="110"/>
        <v>#DIV/0!</v>
      </c>
      <c r="K130" s="199" t="e">
        <f t="shared" si="110"/>
        <v>#DIV/0!</v>
      </c>
      <c r="L130" s="631"/>
      <c r="M130" s="199" t="e">
        <f>RANK(K130, K$128:$K$142)</f>
        <v>#DIV/0!</v>
      </c>
      <c r="N130" s="108"/>
      <c r="O130" s="108"/>
      <c r="P130" s="108"/>
      <c r="Q130" s="108"/>
      <c r="R130" s="108"/>
      <c r="S130" s="108"/>
      <c r="T130" s="108"/>
      <c r="X130" s="108"/>
      <c r="AC130" s="108"/>
      <c r="AH130" s="108"/>
      <c r="AM130" s="108"/>
    </row>
    <row r="131" spans="2:39">
      <c r="B131" s="570"/>
      <c r="C131" s="315">
        <v>4</v>
      </c>
      <c r="D131" s="226"/>
      <c r="E131" s="182"/>
      <c r="F131" s="315"/>
      <c r="G131" s="318"/>
      <c r="H131" s="628"/>
      <c r="I131" s="199" t="e">
        <f t="shared" si="110"/>
        <v>#DIV/0!</v>
      </c>
      <c r="J131" s="199" t="e">
        <f t="shared" si="110"/>
        <v>#DIV/0!</v>
      </c>
      <c r="K131" s="199" t="e">
        <f t="shared" si="110"/>
        <v>#DIV/0!</v>
      </c>
      <c r="L131" s="631"/>
      <c r="M131" s="199" t="e">
        <f>RANK(K131, K$128:$K$142)</f>
        <v>#DIV/0!</v>
      </c>
      <c r="N131" s="108"/>
      <c r="O131" s="108"/>
      <c r="P131" s="108"/>
      <c r="Q131" s="108"/>
      <c r="R131" s="108"/>
      <c r="S131" s="108"/>
      <c r="T131" s="108"/>
      <c r="X131" s="108"/>
      <c r="AC131" s="108"/>
      <c r="AH131" s="108"/>
      <c r="AM131" s="108"/>
    </row>
    <row r="132" spans="2:39">
      <c r="B132" s="570"/>
      <c r="C132" s="315">
        <v>5</v>
      </c>
      <c r="D132" s="226"/>
      <c r="E132" s="182"/>
      <c r="F132" s="315"/>
      <c r="G132" s="318"/>
      <c r="H132" s="628"/>
      <c r="I132" s="199" t="e">
        <f t="shared" si="110"/>
        <v>#DIV/0!</v>
      </c>
      <c r="J132" s="199" t="e">
        <f t="shared" si="110"/>
        <v>#DIV/0!</v>
      </c>
      <c r="K132" s="199" t="e">
        <f t="shared" si="110"/>
        <v>#DIV/0!</v>
      </c>
      <c r="L132" s="631"/>
      <c r="M132" s="199" t="e">
        <f>RANK(K132, K$128:$K$142)</f>
        <v>#DIV/0!</v>
      </c>
      <c r="N132" s="108"/>
      <c r="O132" s="108"/>
      <c r="P132" s="108"/>
      <c r="Q132" s="108"/>
      <c r="R132" s="108"/>
      <c r="S132" s="108"/>
      <c r="T132" s="108"/>
      <c r="X132" s="108"/>
      <c r="AC132" s="108"/>
      <c r="AH132" s="108"/>
      <c r="AM132" s="108"/>
    </row>
    <row r="133" spans="2:39">
      <c r="B133" s="570"/>
      <c r="C133" s="315">
        <v>6</v>
      </c>
      <c r="D133" s="324"/>
      <c r="E133" s="182"/>
      <c r="F133" s="315"/>
      <c r="G133" s="318"/>
      <c r="H133" s="628"/>
      <c r="I133" s="199" t="e">
        <f t="shared" si="110"/>
        <v>#DIV/0!</v>
      </c>
      <c r="J133" s="199" t="e">
        <f t="shared" si="110"/>
        <v>#DIV/0!</v>
      </c>
      <c r="K133" s="199" t="e">
        <f t="shared" si="110"/>
        <v>#DIV/0!</v>
      </c>
      <c r="L133" s="631"/>
      <c r="M133" s="199" t="e">
        <f>RANK(K133, K$128:$K$142)</f>
        <v>#DIV/0!</v>
      </c>
      <c r="N133" s="108"/>
      <c r="O133" s="108"/>
      <c r="P133" s="108"/>
      <c r="Q133" s="108"/>
      <c r="R133" s="108"/>
      <c r="S133" s="108"/>
      <c r="T133" s="108"/>
      <c r="X133" s="108"/>
      <c r="AC133" s="108"/>
      <c r="AH133" s="108"/>
      <c r="AM133" s="108"/>
    </row>
    <row r="134" spans="2:39">
      <c r="B134" s="570"/>
      <c r="C134" s="315">
        <v>7</v>
      </c>
      <c r="D134" s="226"/>
      <c r="E134" s="182"/>
      <c r="F134" s="315"/>
      <c r="G134" s="318"/>
      <c r="H134" s="628"/>
      <c r="I134" s="199" t="e">
        <f t="shared" si="110"/>
        <v>#DIV/0!</v>
      </c>
      <c r="J134" s="199" t="e">
        <f t="shared" si="110"/>
        <v>#DIV/0!</v>
      </c>
      <c r="K134" s="199" t="e">
        <f t="shared" si="110"/>
        <v>#DIV/0!</v>
      </c>
      <c r="L134" s="631"/>
      <c r="M134" s="199" t="e">
        <f>RANK(K134, K$128:$K$142)</f>
        <v>#DIV/0!</v>
      </c>
      <c r="N134" s="108"/>
      <c r="O134" s="108"/>
      <c r="P134" s="108"/>
      <c r="Q134" s="108"/>
      <c r="R134" s="108"/>
      <c r="S134" s="108"/>
      <c r="T134" s="108"/>
      <c r="X134" s="108"/>
      <c r="AC134" s="108"/>
      <c r="AH134" s="108"/>
      <c r="AM134" s="108"/>
    </row>
    <row r="135" spans="2:39">
      <c r="B135" s="570"/>
      <c r="C135" s="315">
        <v>8</v>
      </c>
      <c r="D135" s="226"/>
      <c r="E135" s="182"/>
      <c r="F135" s="315"/>
      <c r="G135" s="318"/>
      <c r="H135" s="628"/>
      <c r="I135" s="199"/>
      <c r="J135" s="199"/>
      <c r="K135" s="199"/>
      <c r="L135" s="631"/>
      <c r="M135" s="199" t="e">
        <f>RANK(K135, K$128:$K$142)</f>
        <v>#DIV/0!</v>
      </c>
      <c r="N135" s="108"/>
      <c r="O135" s="108"/>
      <c r="P135" s="108"/>
      <c r="Q135" s="108"/>
      <c r="R135" s="108"/>
      <c r="S135" s="108"/>
      <c r="T135" s="108"/>
      <c r="X135" s="108"/>
      <c r="AC135" s="108"/>
      <c r="AH135" s="108"/>
      <c r="AM135" s="108"/>
    </row>
    <row r="136" spans="2:39">
      <c r="B136" s="570"/>
      <c r="C136" s="315">
        <v>9</v>
      </c>
      <c r="D136" s="226"/>
      <c r="E136" s="315"/>
      <c r="F136" s="315"/>
      <c r="G136" s="315"/>
      <c r="H136" s="628"/>
      <c r="I136" s="199"/>
      <c r="J136" s="199"/>
      <c r="K136" s="199"/>
      <c r="L136" s="631"/>
      <c r="M136" s="199" t="e">
        <f>RANK(K136, K$128:$K$142)</f>
        <v>#DIV/0!</v>
      </c>
      <c r="N136" s="108"/>
      <c r="O136" s="108"/>
      <c r="P136" s="108"/>
      <c r="Q136" s="108"/>
      <c r="R136" s="108"/>
      <c r="S136" s="108"/>
      <c r="T136" s="108"/>
      <c r="X136" s="108"/>
      <c r="AC136" s="108"/>
      <c r="AH136" s="108"/>
      <c r="AM136" s="108"/>
    </row>
    <row r="137" spans="2:39">
      <c r="B137" s="570"/>
      <c r="C137" s="315">
        <v>10</v>
      </c>
      <c r="D137" s="226"/>
      <c r="E137" s="315"/>
      <c r="F137" s="315"/>
      <c r="G137" s="315"/>
      <c r="H137" s="628"/>
      <c r="I137" s="199"/>
      <c r="J137" s="199"/>
      <c r="K137" s="199"/>
      <c r="L137" s="631"/>
      <c r="M137" s="199" t="e">
        <f>RANK(K137, K$128:$K$142)</f>
        <v>#DIV/0!</v>
      </c>
      <c r="N137" s="108"/>
      <c r="O137" s="108"/>
      <c r="P137" s="108"/>
      <c r="Q137" s="108"/>
      <c r="R137" s="108"/>
      <c r="S137" s="108"/>
      <c r="T137" s="108"/>
      <c r="X137" s="108"/>
      <c r="AC137" s="108"/>
      <c r="AH137" s="108"/>
      <c r="AM137" s="108"/>
    </row>
    <row r="138" spans="2:39">
      <c r="B138" s="570"/>
      <c r="C138" s="315">
        <v>11</v>
      </c>
      <c r="D138" s="226"/>
      <c r="E138" s="315"/>
      <c r="F138" s="315"/>
      <c r="G138" s="315"/>
      <c r="H138" s="628"/>
      <c r="I138" s="199"/>
      <c r="J138" s="199"/>
      <c r="K138" s="199"/>
      <c r="L138" s="631"/>
      <c r="M138" s="199" t="e">
        <f>RANK(K138, K$128:$K$142)</f>
        <v>#DIV/0!</v>
      </c>
      <c r="N138" s="108"/>
      <c r="O138" s="108"/>
      <c r="P138" s="108"/>
      <c r="Q138" s="108"/>
      <c r="R138" s="108"/>
      <c r="S138" s="108"/>
      <c r="T138" s="108"/>
      <c r="X138" s="108"/>
      <c r="AC138" s="108"/>
      <c r="AH138" s="108"/>
      <c r="AM138" s="108"/>
    </row>
    <row r="139" spans="2:39">
      <c r="B139" s="570"/>
      <c r="C139" s="315">
        <v>12</v>
      </c>
      <c r="D139" s="226"/>
      <c r="E139" s="315"/>
      <c r="F139" s="315"/>
      <c r="G139" s="315"/>
      <c r="H139" s="628"/>
      <c r="I139" s="199"/>
      <c r="J139" s="199"/>
      <c r="K139" s="199"/>
      <c r="L139" s="631"/>
      <c r="M139" s="199" t="e">
        <f>RANK(K139, K$128:$K$142)</f>
        <v>#DIV/0!</v>
      </c>
      <c r="N139" s="108"/>
      <c r="O139" s="108"/>
      <c r="P139" s="108"/>
      <c r="Q139" s="108"/>
      <c r="R139" s="108"/>
      <c r="S139" s="108"/>
      <c r="T139" s="108"/>
      <c r="X139" s="108"/>
      <c r="AC139" s="108"/>
      <c r="AH139" s="108"/>
      <c r="AM139" s="108"/>
    </row>
    <row r="140" spans="2:39">
      <c r="B140" s="570"/>
      <c r="C140" s="315">
        <v>13</v>
      </c>
      <c r="D140" s="226"/>
      <c r="E140" s="315"/>
      <c r="F140" s="315"/>
      <c r="G140" s="315"/>
      <c r="H140" s="628"/>
      <c r="I140" s="199"/>
      <c r="J140" s="199"/>
      <c r="K140" s="199"/>
      <c r="L140" s="631"/>
      <c r="M140" s="199" t="e">
        <f>RANK(K140, K$128:$K$142)</f>
        <v>#DIV/0!</v>
      </c>
      <c r="N140" s="108"/>
      <c r="O140" s="108"/>
      <c r="P140" s="108"/>
      <c r="Q140" s="108"/>
      <c r="R140" s="108"/>
      <c r="S140" s="108"/>
      <c r="T140" s="108"/>
      <c r="X140" s="108"/>
      <c r="AC140" s="108"/>
      <c r="AH140" s="108"/>
      <c r="AM140" s="108"/>
    </row>
    <row r="141" spans="2:39">
      <c r="B141" s="570"/>
      <c r="C141" s="315">
        <v>14</v>
      </c>
      <c r="D141" s="226"/>
      <c r="E141" s="315"/>
      <c r="F141" s="315"/>
      <c r="G141" s="315"/>
      <c r="H141" s="628"/>
      <c r="I141" s="199"/>
      <c r="J141" s="199"/>
      <c r="K141" s="199"/>
      <c r="L141" s="631"/>
      <c r="M141" s="199" t="e">
        <f>RANK(K141, K$128:$K$142)</f>
        <v>#DIV/0!</v>
      </c>
      <c r="N141" s="108"/>
      <c r="O141" s="108"/>
      <c r="P141" s="108"/>
      <c r="Q141" s="108"/>
      <c r="R141" s="108"/>
      <c r="S141" s="108"/>
      <c r="T141" s="108"/>
      <c r="X141" s="108"/>
      <c r="AC141" s="108"/>
      <c r="AH141" s="108"/>
      <c r="AM141" s="108"/>
    </row>
    <row r="142" spans="2:39">
      <c r="B142" s="570"/>
      <c r="C142" s="315">
        <v>15</v>
      </c>
      <c r="D142" s="226"/>
      <c r="E142" s="315"/>
      <c r="F142" s="315"/>
      <c r="G142" s="315"/>
      <c r="H142" s="629"/>
      <c r="I142" s="199"/>
      <c r="J142" s="199"/>
      <c r="K142" s="199"/>
      <c r="L142" s="632"/>
      <c r="M142" s="199" t="e">
        <f>RANK(K142, K$128:$K$142)</f>
        <v>#DIV/0!</v>
      </c>
      <c r="N142" s="108"/>
      <c r="O142" s="108"/>
      <c r="P142" s="108"/>
      <c r="Q142" s="108"/>
      <c r="R142" s="108"/>
      <c r="S142" s="108"/>
      <c r="T142" s="108"/>
      <c r="X142" s="108"/>
      <c r="AC142" s="108"/>
      <c r="AH142" s="108"/>
      <c r="AM142" s="108"/>
    </row>
  </sheetData>
  <mergeCells count="379">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T22:AX22"/>
    <mergeCell ref="P23:T23"/>
    <mergeCell ref="U23:Y23"/>
    <mergeCell ref="Z23:AD23"/>
    <mergeCell ref="AE23:AI23"/>
    <mergeCell ref="AJ23:AN23"/>
    <mergeCell ref="AO23:AS23"/>
    <mergeCell ref="AT23:AX23"/>
    <mergeCell ref="AX7:AX21"/>
    <mergeCell ref="B22:H23"/>
    <mergeCell ref="N22:N23"/>
    <mergeCell ref="O22:O23"/>
    <mergeCell ref="P22:T22"/>
    <mergeCell ref="U22:Y22"/>
    <mergeCell ref="Z22:AD22"/>
    <mergeCell ref="AE22:AI22"/>
    <mergeCell ref="AJ22:AN22"/>
    <mergeCell ref="AO22:AS22"/>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102:H103"/>
    <mergeCell ref="N102:N103"/>
    <mergeCell ref="O102:O103"/>
    <mergeCell ref="P102:T102"/>
    <mergeCell ref="U102:Y102"/>
    <mergeCell ref="Z102:AD102"/>
    <mergeCell ref="AE102:AI102"/>
    <mergeCell ref="AJ102:AN102"/>
    <mergeCell ref="AO102:AS102"/>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 ref="BA87:BA101"/>
    <mergeCell ref="BA104:BA106"/>
    <mergeCell ref="BA107:BA121"/>
    <mergeCell ref="BA4:BA6"/>
    <mergeCell ref="BA7:BA21"/>
    <mergeCell ref="BA24:BA26"/>
    <mergeCell ref="BA27:BA41"/>
    <mergeCell ref="BA44:BA46"/>
    <mergeCell ref="BA47:BA61"/>
    <mergeCell ref="BA64:BA66"/>
    <mergeCell ref="BA67:BA81"/>
    <mergeCell ref="BA84:BA86"/>
  </mergeCells>
  <phoneticPr fontId="12"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A142"/>
  <sheetViews>
    <sheetView topLeftCell="A4" zoomScale="70" zoomScaleNormal="70" workbookViewId="0">
      <pane xSplit="15" topLeftCell="P1" activePane="topRight" state="frozen"/>
      <selection activeCell="T7" activeCellId="4" sqref="AM7:AN36 AH7:AI36 AC7:AD36 X7:Y36 S7:T36"/>
      <selection pane="topRight" activeCell="I35" activeCellId="1" sqref="D35:G35 I35:K35"/>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51" width="8.85546875" style="108"/>
    <col min="52" max="52" width="5.42578125" style="108" customWidth="1"/>
    <col min="53" max="53" width="13.140625" style="108" customWidth="1"/>
    <col min="54" max="16384" width="8.85546875" style="108"/>
  </cols>
  <sheetData>
    <row r="1" spans="1:53" ht="24">
      <c r="A1" s="75"/>
      <c r="B1" s="221" t="s">
        <v>314</v>
      </c>
      <c r="C1" s="220">
        <f>AVERAGE(L7,L27,L47,L67,L87,L107)</f>
        <v>239.11267144431966</v>
      </c>
    </row>
    <row r="2" spans="1:53" ht="15.75">
      <c r="A2" s="81"/>
      <c r="B2" s="593" t="s">
        <v>163</v>
      </c>
      <c r="C2" s="593"/>
      <c r="D2" s="593"/>
      <c r="E2" s="593"/>
      <c r="F2" s="593"/>
      <c r="G2" s="593"/>
      <c r="H2" s="593"/>
      <c r="I2" s="293"/>
      <c r="J2" s="293"/>
      <c r="K2" s="293"/>
      <c r="L2" s="293"/>
      <c r="M2" s="197"/>
      <c r="N2" s="566" t="s">
        <v>156</v>
      </c>
      <c r="O2" s="566" t="s">
        <v>155</v>
      </c>
      <c r="P2" s="605">
        <v>46140</v>
      </c>
      <c r="Q2" s="606"/>
      <c r="R2" s="606"/>
      <c r="S2" s="606"/>
      <c r="T2" s="607"/>
      <c r="U2" s="592">
        <f>P2+1</f>
        <v>46141</v>
      </c>
      <c r="V2" s="570"/>
      <c r="W2" s="570"/>
      <c r="X2" s="570"/>
      <c r="Y2" s="570"/>
      <c r="Z2" s="592">
        <f>U2+1</f>
        <v>46142</v>
      </c>
      <c r="AA2" s="570"/>
      <c r="AB2" s="570"/>
      <c r="AC2" s="570"/>
      <c r="AD2" s="570"/>
      <c r="AE2" s="592">
        <f>Z2+1</f>
        <v>46143</v>
      </c>
      <c r="AF2" s="570"/>
      <c r="AG2" s="570"/>
      <c r="AH2" s="570"/>
      <c r="AI2" s="570"/>
      <c r="AJ2" s="592">
        <f>AE2+1</f>
        <v>46144</v>
      </c>
      <c r="AK2" s="570"/>
      <c r="AL2" s="570"/>
      <c r="AM2" s="570"/>
      <c r="AN2" s="570"/>
      <c r="AO2" s="592">
        <f>AJ2+1</f>
        <v>46145</v>
      </c>
      <c r="AP2" s="570"/>
      <c r="AQ2" s="570"/>
      <c r="AR2" s="570"/>
      <c r="AS2" s="570"/>
      <c r="AT2" s="589">
        <f>AO2+1</f>
        <v>46146</v>
      </c>
      <c r="AU2" s="590"/>
      <c r="AV2" s="590"/>
      <c r="AW2" s="590"/>
      <c r="AX2" s="591"/>
    </row>
    <row r="3" spans="1:53" ht="15.75">
      <c r="A3" s="81"/>
      <c r="B3" s="601"/>
      <c r="C3" s="601"/>
      <c r="D3" s="601"/>
      <c r="E3" s="601"/>
      <c r="F3" s="601"/>
      <c r="G3" s="601"/>
      <c r="H3" s="601"/>
      <c r="I3" s="294"/>
      <c r="J3" s="294"/>
      <c r="K3" s="294"/>
      <c r="L3" s="294"/>
      <c r="M3" s="198"/>
      <c r="N3" s="568"/>
      <c r="O3" s="568"/>
      <c r="P3" s="589" t="s">
        <v>158</v>
      </c>
      <c r="Q3" s="590"/>
      <c r="R3" s="590"/>
      <c r="S3" s="590"/>
      <c r="T3" s="591"/>
      <c r="U3" s="589" t="s">
        <v>114</v>
      </c>
      <c r="V3" s="590"/>
      <c r="W3" s="590"/>
      <c r="X3" s="590"/>
      <c r="Y3" s="591"/>
      <c r="Z3" s="589" t="s">
        <v>159</v>
      </c>
      <c r="AA3" s="590"/>
      <c r="AB3" s="590"/>
      <c r="AC3" s="590"/>
      <c r="AD3" s="591"/>
      <c r="AE3" s="589" t="s">
        <v>157</v>
      </c>
      <c r="AF3" s="590"/>
      <c r="AG3" s="590"/>
      <c r="AH3" s="590"/>
      <c r="AI3" s="591"/>
      <c r="AJ3" s="589" t="s">
        <v>160</v>
      </c>
      <c r="AK3" s="590"/>
      <c r="AL3" s="590"/>
      <c r="AM3" s="590"/>
      <c r="AN3" s="591"/>
      <c r="AO3" s="589" t="s">
        <v>161</v>
      </c>
      <c r="AP3" s="590"/>
      <c r="AQ3" s="590"/>
      <c r="AR3" s="590"/>
      <c r="AS3" s="591"/>
      <c r="AT3" s="589" t="s">
        <v>162</v>
      </c>
      <c r="AU3" s="590"/>
      <c r="AV3" s="590"/>
      <c r="AW3" s="590"/>
      <c r="AX3" s="591"/>
    </row>
    <row r="4" spans="1:53" ht="14.25">
      <c r="A4" s="81"/>
      <c r="B4" s="564" t="s">
        <v>154</v>
      </c>
      <c r="C4" s="564" t="s">
        <v>387</v>
      </c>
      <c r="D4" s="564"/>
      <c r="E4" s="564" t="s">
        <v>378</v>
      </c>
      <c r="F4" s="564"/>
      <c r="G4" s="564"/>
      <c r="H4" s="597" t="s">
        <v>374</v>
      </c>
      <c r="I4" s="616" t="s">
        <v>379</v>
      </c>
      <c r="J4" s="616"/>
      <c r="K4" s="616"/>
      <c r="L4" s="617" t="s">
        <v>374</v>
      </c>
      <c r="M4" s="602" t="s">
        <v>375</v>
      </c>
      <c r="N4" s="564"/>
      <c r="O4" s="564" t="s">
        <v>380</v>
      </c>
      <c r="P4" s="583" t="s">
        <v>376</v>
      </c>
      <c r="Q4" s="584"/>
      <c r="R4" s="584"/>
      <c r="S4" s="585"/>
      <c r="T4" s="564" t="s">
        <v>374</v>
      </c>
      <c r="U4" s="583" t="s">
        <v>376</v>
      </c>
      <c r="V4" s="584"/>
      <c r="W4" s="584"/>
      <c r="X4" s="585"/>
      <c r="Y4" s="564" t="s">
        <v>374</v>
      </c>
      <c r="Z4" s="583" t="s">
        <v>376</v>
      </c>
      <c r="AA4" s="584"/>
      <c r="AB4" s="584"/>
      <c r="AC4" s="585"/>
      <c r="AD4" s="564" t="s">
        <v>374</v>
      </c>
      <c r="AE4" s="583" t="s">
        <v>376</v>
      </c>
      <c r="AF4" s="584"/>
      <c r="AG4" s="584"/>
      <c r="AH4" s="585"/>
      <c r="AI4" s="564" t="s">
        <v>374</v>
      </c>
      <c r="AJ4" s="583" t="s">
        <v>376</v>
      </c>
      <c r="AK4" s="584"/>
      <c r="AL4" s="584"/>
      <c r="AM4" s="585"/>
      <c r="AN4" s="564" t="s">
        <v>374</v>
      </c>
      <c r="AO4" s="583" t="s">
        <v>376</v>
      </c>
      <c r="AP4" s="584"/>
      <c r="AQ4" s="584"/>
      <c r="AR4" s="585"/>
      <c r="AS4" s="564" t="s">
        <v>374</v>
      </c>
      <c r="AT4" s="583" t="s">
        <v>376</v>
      </c>
      <c r="AU4" s="584"/>
      <c r="AV4" s="584"/>
      <c r="AW4" s="585"/>
      <c r="AX4" s="564" t="s">
        <v>374</v>
      </c>
      <c r="BA4" s="564" t="s">
        <v>374</v>
      </c>
    </row>
    <row r="5" spans="1:53" ht="14.25">
      <c r="A5" s="81"/>
      <c r="B5" s="564"/>
      <c r="C5" s="564"/>
      <c r="D5" s="564"/>
      <c r="E5" s="564" t="s">
        <v>381</v>
      </c>
      <c r="F5" s="564"/>
      <c r="G5" s="564"/>
      <c r="H5" s="598"/>
      <c r="I5" s="616" t="s">
        <v>381</v>
      </c>
      <c r="J5" s="616"/>
      <c r="K5" s="616"/>
      <c r="L5" s="618"/>
      <c r="M5" s="603"/>
      <c r="N5" s="564"/>
      <c r="O5" s="564"/>
      <c r="P5" s="583" t="s">
        <v>382</v>
      </c>
      <c r="Q5" s="584"/>
      <c r="R5" s="584"/>
      <c r="S5" s="585"/>
      <c r="T5" s="564"/>
      <c r="U5" s="583" t="s">
        <v>382</v>
      </c>
      <c r="V5" s="584"/>
      <c r="W5" s="584"/>
      <c r="X5" s="585"/>
      <c r="Y5" s="564"/>
      <c r="Z5" s="583" t="s">
        <v>382</v>
      </c>
      <c r="AA5" s="584"/>
      <c r="AB5" s="584"/>
      <c r="AC5" s="585"/>
      <c r="AD5" s="564"/>
      <c r="AE5" s="583" t="s">
        <v>382</v>
      </c>
      <c r="AF5" s="584"/>
      <c r="AG5" s="584"/>
      <c r="AH5" s="585"/>
      <c r="AI5" s="564"/>
      <c r="AJ5" s="583" t="s">
        <v>382</v>
      </c>
      <c r="AK5" s="584"/>
      <c r="AL5" s="584"/>
      <c r="AM5" s="585"/>
      <c r="AN5" s="564"/>
      <c r="AO5" s="583" t="s">
        <v>382</v>
      </c>
      <c r="AP5" s="584"/>
      <c r="AQ5" s="584"/>
      <c r="AR5" s="585"/>
      <c r="AS5" s="564"/>
      <c r="AT5" s="583" t="s">
        <v>382</v>
      </c>
      <c r="AU5" s="584"/>
      <c r="AV5" s="584"/>
      <c r="AW5" s="585"/>
      <c r="AX5" s="564"/>
      <c r="BA5" s="564"/>
    </row>
    <row r="6" spans="1:53" ht="14.25">
      <c r="A6" s="79"/>
      <c r="B6" s="564"/>
      <c r="C6" s="564"/>
      <c r="D6" s="564"/>
      <c r="E6" s="417" t="s">
        <v>383</v>
      </c>
      <c r="F6" s="417" t="s">
        <v>384</v>
      </c>
      <c r="G6" s="417" t="s">
        <v>385</v>
      </c>
      <c r="H6" s="599"/>
      <c r="I6" s="416" t="s">
        <v>383</v>
      </c>
      <c r="J6" s="416" t="s">
        <v>384</v>
      </c>
      <c r="K6" s="416" t="s">
        <v>385</v>
      </c>
      <c r="L6" s="619"/>
      <c r="M6" s="604"/>
      <c r="N6" s="564"/>
      <c r="O6" s="564"/>
      <c r="P6" s="417" t="s">
        <v>383</v>
      </c>
      <c r="Q6" s="417" t="s">
        <v>384</v>
      </c>
      <c r="R6" s="417" t="s">
        <v>385</v>
      </c>
      <c r="S6" s="417" t="s">
        <v>375</v>
      </c>
      <c r="T6" s="564"/>
      <c r="U6" s="417" t="s">
        <v>383</v>
      </c>
      <c r="V6" s="417" t="s">
        <v>384</v>
      </c>
      <c r="W6" s="417" t="s">
        <v>385</v>
      </c>
      <c r="X6" s="417" t="s">
        <v>375</v>
      </c>
      <c r="Y6" s="564"/>
      <c r="Z6" s="417" t="s">
        <v>383</v>
      </c>
      <c r="AA6" s="417" t="s">
        <v>384</v>
      </c>
      <c r="AB6" s="417" t="s">
        <v>385</v>
      </c>
      <c r="AC6" s="417" t="s">
        <v>375</v>
      </c>
      <c r="AD6" s="564"/>
      <c r="AE6" s="417" t="s">
        <v>383</v>
      </c>
      <c r="AF6" s="417" t="s">
        <v>384</v>
      </c>
      <c r="AG6" s="417" t="s">
        <v>385</v>
      </c>
      <c r="AH6" s="417" t="s">
        <v>375</v>
      </c>
      <c r="AI6" s="564"/>
      <c r="AJ6" s="417" t="s">
        <v>383</v>
      </c>
      <c r="AK6" s="417" t="s">
        <v>384</v>
      </c>
      <c r="AL6" s="417" t="s">
        <v>385</v>
      </c>
      <c r="AM6" s="417" t="s">
        <v>375</v>
      </c>
      <c r="AN6" s="564"/>
      <c r="AO6" s="417" t="s">
        <v>383</v>
      </c>
      <c r="AP6" s="417" t="s">
        <v>384</v>
      </c>
      <c r="AQ6" s="417" t="s">
        <v>385</v>
      </c>
      <c r="AR6" s="417" t="s">
        <v>375</v>
      </c>
      <c r="AS6" s="564"/>
      <c r="AT6" s="417" t="s">
        <v>383</v>
      </c>
      <c r="AU6" s="417" t="s">
        <v>384</v>
      </c>
      <c r="AV6" s="417" t="s">
        <v>385</v>
      </c>
      <c r="AW6" s="417" t="s">
        <v>375</v>
      </c>
      <c r="AX6" s="564"/>
      <c r="AZ6" s="406" t="s">
        <v>375</v>
      </c>
      <c r="BA6" s="564"/>
    </row>
    <row r="7" spans="1:53" ht="14.25">
      <c r="A7" s="81"/>
      <c r="B7" s="626" t="s">
        <v>558</v>
      </c>
      <c r="C7" s="418">
        <v>1</v>
      </c>
      <c r="D7" s="226" t="s">
        <v>365</v>
      </c>
      <c r="E7" s="425">
        <v>4</v>
      </c>
      <c r="F7" s="418">
        <v>2000</v>
      </c>
      <c r="G7" s="419">
        <v>500</v>
      </c>
      <c r="H7" s="627">
        <f>AVERAGE(G7:G21)</f>
        <v>284.12962962962968</v>
      </c>
      <c r="I7" s="422" t="str">
        <f t="shared" ref="I7:I20" si="0">IFERROR(AVERAGE(P7,U7,Z7,AE7,AJ7,AO7,AT7),"-")</f>
        <v>-</v>
      </c>
      <c r="J7" s="422">
        <f t="shared" ref="J7:J20" si="1">IFERROR(AVERAGE(Q7,V7,AA7,AF7,AK7,AP7,AU7),"-")</f>
        <v>2161.5886867188619</v>
      </c>
      <c r="K7" s="200">
        <f t="shared" ref="K7:K20" si="2">IFERROR(AVERAGE(R7,W7,AB7,AG7,AL7,AQ7,AV7),"-")</f>
        <v>432.31773734377236</v>
      </c>
      <c r="L7" s="580">
        <f>IFERROR(AVERAGE(K7:K21),"-")</f>
        <v>244.25233159007874</v>
      </c>
      <c r="M7" s="424">
        <f>RANK(K7, K$7:$K$21)</f>
        <v>1</v>
      </c>
      <c r="N7" s="564"/>
      <c r="O7" s="564"/>
      <c r="P7" s="418">
        <v>5</v>
      </c>
      <c r="Q7" s="425">
        <v>2159.090909090909</v>
      </c>
      <c r="R7" s="425">
        <v>431.81818181818181</v>
      </c>
      <c r="S7" s="420">
        <f t="shared" ref="S7:S21" si="3">RANK(R7, R$7:R$21)</f>
        <v>2</v>
      </c>
      <c r="T7" s="572">
        <f t="shared" ref="T7" si="4">AVERAGE(R7:R21)</f>
        <v>244.30168675116985</v>
      </c>
      <c r="U7" s="418">
        <v>5</v>
      </c>
      <c r="V7" s="425">
        <v>2199.272727272727</v>
      </c>
      <c r="W7" s="425">
        <v>439.85454545454542</v>
      </c>
      <c r="X7" s="420">
        <f t="shared" ref="X7:X21" si="5">RANK(W7, W$7:W$21)</f>
        <v>1</v>
      </c>
      <c r="Y7" s="572">
        <f t="shared" ref="Y7" si="6">AVERAGE(W7:W21)</f>
        <v>247.07244120394392</v>
      </c>
      <c r="Z7" s="418">
        <v>5</v>
      </c>
      <c r="AA7" s="425">
        <v>2143.0434782608695</v>
      </c>
      <c r="AB7" s="425">
        <v>428.60869565217388</v>
      </c>
      <c r="AC7" s="420">
        <f t="shared" ref="AC7:AC21" si="7">RANK(AB7, AB$7:AB$21)</f>
        <v>1</v>
      </c>
      <c r="AD7" s="572">
        <f t="shared" ref="AD7" si="8">AVERAGE(AB7:AB21)</f>
        <v>245.51344573865734</v>
      </c>
      <c r="AE7" s="572" t="e">
        <f t="shared" ref="AE7" si="9">AVERAGE(AC7:AC21)</f>
        <v>#VALUE!</v>
      </c>
      <c r="AF7" s="425">
        <v>2113.0434782608695</v>
      </c>
      <c r="AG7" s="425">
        <v>422.60869565217388</v>
      </c>
      <c r="AH7" s="420">
        <f t="shared" ref="AH7:AH21" si="10">RANK(AG7, AG$7:AG$21)</f>
        <v>2</v>
      </c>
      <c r="AI7" s="572">
        <f t="shared" ref="AI7" si="11">AVERAGE(AG7:AG21)</f>
        <v>241.10904323618084</v>
      </c>
      <c r="AJ7" s="418">
        <v>5</v>
      </c>
      <c r="AK7" s="425">
        <v>2176.7999999999993</v>
      </c>
      <c r="AL7" s="425">
        <v>435.35999999999984</v>
      </c>
      <c r="AM7" s="420">
        <f t="shared" ref="AM7:AM21" si="12">RANK(AL7, AL$7:AL$21)</f>
        <v>1</v>
      </c>
      <c r="AN7" s="572">
        <f t="shared" ref="AN7" si="13">AVERAGE(AL7:AL21)</f>
        <v>244.1281492021624</v>
      </c>
      <c r="AO7" s="418">
        <v>5</v>
      </c>
      <c r="AP7" s="425">
        <v>2184.3478260869565</v>
      </c>
      <c r="AQ7" s="425">
        <v>436.86956521739131</v>
      </c>
      <c r="AR7" s="420">
        <f t="shared" ref="AR7:AR21" si="14">RANK(AQ7, AQ$7:AQ$21)</f>
        <v>1</v>
      </c>
      <c r="AS7" s="572">
        <f t="shared" ref="AS7" si="15">AVERAGE(AQ7:AQ21)</f>
        <v>243.28813595111276</v>
      </c>
      <c r="AT7" s="418">
        <v>5</v>
      </c>
      <c r="AU7" s="425">
        <v>2155.5223880597018</v>
      </c>
      <c r="AV7" s="425">
        <v>431.10447761194035</v>
      </c>
      <c r="AW7" s="420">
        <f t="shared" ref="AW7:AW21" si="16">RANK(AV7, AV$7:AV$21)</f>
        <v>2</v>
      </c>
      <c r="AX7" s="572">
        <f t="shared" ref="AX7" si="17">AVERAGE(AV7:AV21)</f>
        <v>244.35341904732397</v>
      </c>
      <c r="AZ7" s="408" t="e">
        <f t="shared" ref="AZ7:AZ21" si="18">RANK(AY7, AY$7:AY$21)</f>
        <v>#N/A</v>
      </c>
      <c r="BA7" s="572" t="e">
        <f t="shared" ref="BA7" si="19">AVERAGE(AY7:AY21)</f>
        <v>#DIV/0!</v>
      </c>
    </row>
    <row r="8" spans="1:53" ht="15" customHeight="1">
      <c r="A8" s="81"/>
      <c r="B8" s="600"/>
      <c r="C8" s="418">
        <v>2</v>
      </c>
      <c r="D8" s="226" t="s">
        <v>443</v>
      </c>
      <c r="E8" s="425">
        <v>4</v>
      </c>
      <c r="F8" s="418">
        <v>2000</v>
      </c>
      <c r="G8" s="419">
        <v>500</v>
      </c>
      <c r="H8" s="628"/>
      <c r="I8" s="422">
        <f t="shared" si="0"/>
        <v>5</v>
      </c>
      <c r="J8" s="422">
        <f t="shared" si="1"/>
        <v>2154.5383867760438</v>
      </c>
      <c r="K8" s="200">
        <f t="shared" si="2"/>
        <v>430.90767735520882</v>
      </c>
      <c r="L8" s="581"/>
      <c r="M8" s="424">
        <f>RANK(K8, K$7:$K$21)</f>
        <v>2</v>
      </c>
      <c r="N8" s="564"/>
      <c r="O8" s="564"/>
      <c r="P8" s="418">
        <v>5</v>
      </c>
      <c r="Q8" s="425">
        <v>2188.0645161290331</v>
      </c>
      <c r="R8" s="425">
        <v>437.61290322580663</v>
      </c>
      <c r="S8" s="420">
        <f t="shared" si="3"/>
        <v>1</v>
      </c>
      <c r="T8" s="572"/>
      <c r="U8" s="418">
        <v>5</v>
      </c>
      <c r="V8" s="425">
        <v>2157.7777777777774</v>
      </c>
      <c r="W8" s="425">
        <v>431.55555555555549</v>
      </c>
      <c r="X8" s="420">
        <f t="shared" si="5"/>
        <v>2</v>
      </c>
      <c r="Y8" s="572"/>
      <c r="Z8" s="418">
        <v>5</v>
      </c>
      <c r="AA8" s="425">
        <v>2106.818181818182</v>
      </c>
      <c r="AB8" s="425">
        <v>421.36363636363637</v>
      </c>
      <c r="AC8" s="420">
        <f t="shared" si="7"/>
        <v>3</v>
      </c>
      <c r="AD8" s="572"/>
      <c r="AE8" s="572"/>
      <c r="AF8" s="425">
        <v>2173.170731707316</v>
      </c>
      <c r="AG8" s="425">
        <v>434.63414634146318</v>
      </c>
      <c r="AH8" s="420">
        <f t="shared" si="10"/>
        <v>1</v>
      </c>
      <c r="AI8" s="572"/>
      <c r="AJ8" s="418">
        <v>5</v>
      </c>
      <c r="AK8" s="425">
        <v>2157.5000000000005</v>
      </c>
      <c r="AL8" s="425">
        <v>431.50000000000011</v>
      </c>
      <c r="AM8" s="420">
        <f t="shared" si="12"/>
        <v>2</v>
      </c>
      <c r="AN8" s="572"/>
      <c r="AO8" s="418">
        <v>5</v>
      </c>
      <c r="AP8" s="425">
        <v>2118.7500000000009</v>
      </c>
      <c r="AQ8" s="425">
        <v>423.75000000000017</v>
      </c>
      <c r="AR8" s="420">
        <f t="shared" si="14"/>
        <v>2</v>
      </c>
      <c r="AS8" s="572"/>
      <c r="AT8" s="418">
        <v>5</v>
      </c>
      <c r="AU8" s="425">
        <v>2179.6875000000009</v>
      </c>
      <c r="AV8" s="425">
        <v>435.93750000000017</v>
      </c>
      <c r="AW8" s="420">
        <f t="shared" si="16"/>
        <v>1</v>
      </c>
      <c r="AX8" s="572"/>
      <c r="AZ8" s="408" t="e">
        <f t="shared" si="18"/>
        <v>#N/A</v>
      </c>
      <c r="BA8" s="572"/>
    </row>
    <row r="9" spans="1:53" ht="14.25">
      <c r="A9" s="81"/>
      <c r="B9" s="600"/>
      <c r="C9" s="418">
        <v>3</v>
      </c>
      <c r="D9" s="226" t="s">
        <v>366</v>
      </c>
      <c r="E9" s="425">
        <v>12</v>
      </c>
      <c r="F9" s="418">
        <v>2118</v>
      </c>
      <c r="G9" s="419">
        <v>176.5</v>
      </c>
      <c r="H9" s="628"/>
      <c r="I9" s="422">
        <f t="shared" si="0"/>
        <v>12</v>
      </c>
      <c r="J9" s="422">
        <f t="shared" si="1"/>
        <v>1868.74585700379</v>
      </c>
      <c r="K9" s="200">
        <f t="shared" si="2"/>
        <v>155.7288214169825</v>
      </c>
      <c r="L9" s="581"/>
      <c r="M9" s="424">
        <f>RANK(K9, K$7:$K$21)</f>
        <v>8</v>
      </c>
      <c r="N9" s="564"/>
      <c r="O9" s="564"/>
      <c r="P9" s="418">
        <v>12</v>
      </c>
      <c r="Q9" s="425">
        <v>1880.5263157894733</v>
      </c>
      <c r="R9" s="425">
        <v>156.71052631578945</v>
      </c>
      <c r="S9" s="420">
        <f t="shared" si="3"/>
        <v>8</v>
      </c>
      <c r="T9" s="572"/>
      <c r="U9" s="418">
        <v>12</v>
      </c>
      <c r="V9" s="425">
        <v>1858.181818181818</v>
      </c>
      <c r="W9" s="425">
        <v>154.84848484848484</v>
      </c>
      <c r="X9" s="420">
        <f t="shared" si="5"/>
        <v>8</v>
      </c>
      <c r="Y9" s="572"/>
      <c r="Z9" s="418">
        <v>12</v>
      </c>
      <c r="AA9" s="425">
        <v>1860</v>
      </c>
      <c r="AB9" s="425">
        <v>155</v>
      </c>
      <c r="AC9" s="420">
        <f t="shared" si="7"/>
        <v>7</v>
      </c>
      <c r="AD9" s="572"/>
      <c r="AE9" s="572"/>
      <c r="AF9" s="425">
        <v>1864.0677966101698</v>
      </c>
      <c r="AG9" s="425">
        <v>155.33898305084747</v>
      </c>
      <c r="AH9" s="420">
        <f t="shared" si="10"/>
        <v>8</v>
      </c>
      <c r="AI9" s="572"/>
      <c r="AJ9" s="418">
        <v>12</v>
      </c>
      <c r="AK9" s="425">
        <v>1876.3636363636365</v>
      </c>
      <c r="AL9" s="425">
        <v>156.36363636363637</v>
      </c>
      <c r="AM9" s="420">
        <f t="shared" si="12"/>
        <v>8</v>
      </c>
      <c r="AN9" s="572"/>
      <c r="AO9" s="418">
        <v>12</v>
      </c>
      <c r="AP9" s="425">
        <v>1886.7567567567564</v>
      </c>
      <c r="AQ9" s="425">
        <v>157.22972972972971</v>
      </c>
      <c r="AR9" s="420">
        <f t="shared" si="14"/>
        <v>7</v>
      </c>
      <c r="AS9" s="572"/>
      <c r="AT9" s="418">
        <v>12</v>
      </c>
      <c r="AU9" s="425">
        <v>1855.3246753246754</v>
      </c>
      <c r="AV9" s="425">
        <v>154.6103896103896</v>
      </c>
      <c r="AW9" s="420">
        <f t="shared" si="16"/>
        <v>8</v>
      </c>
      <c r="AX9" s="572"/>
      <c r="AZ9" s="408" t="e">
        <f t="shared" si="18"/>
        <v>#N/A</v>
      </c>
      <c r="BA9" s="572"/>
    </row>
    <row r="10" spans="1:53" ht="14.25">
      <c r="A10" s="81"/>
      <c r="B10" s="600"/>
      <c r="C10" s="418">
        <v>4</v>
      </c>
      <c r="D10" s="226" t="s">
        <v>610</v>
      </c>
      <c r="E10" s="425">
        <v>13</v>
      </c>
      <c r="F10" s="418">
        <v>2250</v>
      </c>
      <c r="G10" s="419">
        <v>187.5</v>
      </c>
      <c r="H10" s="628"/>
      <c r="I10" s="422">
        <f t="shared" si="0"/>
        <v>13</v>
      </c>
      <c r="J10" s="422">
        <f t="shared" si="1"/>
        <v>2146.9268779087529</v>
      </c>
      <c r="K10" s="200">
        <f t="shared" si="2"/>
        <v>165.14822137759634</v>
      </c>
      <c r="L10" s="581"/>
      <c r="M10" s="424">
        <f>RANK(K10, K$7:$K$21)</f>
        <v>5</v>
      </c>
      <c r="N10" s="564"/>
      <c r="O10" s="564"/>
      <c r="P10" s="418">
        <v>13</v>
      </c>
      <c r="Q10" s="425">
        <v>2125.294117647059</v>
      </c>
      <c r="R10" s="425">
        <v>163.48416289592762</v>
      </c>
      <c r="S10" s="420">
        <f t="shared" si="3"/>
        <v>5</v>
      </c>
      <c r="T10" s="572"/>
      <c r="U10" s="418">
        <v>13</v>
      </c>
      <c r="V10" s="425">
        <v>2249.6470588235302</v>
      </c>
      <c r="W10" s="425">
        <v>173.04977375565616</v>
      </c>
      <c r="X10" s="420">
        <f t="shared" si="5"/>
        <v>5</v>
      </c>
      <c r="Y10" s="572"/>
      <c r="Z10" s="418">
        <v>13</v>
      </c>
      <c r="AA10" s="425">
        <v>2143.0769230769229</v>
      </c>
      <c r="AB10" s="425">
        <v>164.85207100591714</v>
      </c>
      <c r="AC10" s="420">
        <f t="shared" si="7"/>
        <v>5</v>
      </c>
      <c r="AD10" s="572"/>
      <c r="AE10" s="572"/>
      <c r="AF10" s="425">
        <v>2143.4210526315783</v>
      </c>
      <c r="AG10" s="425">
        <v>164.87854251012141</v>
      </c>
      <c r="AH10" s="420">
        <f t="shared" si="10"/>
        <v>5</v>
      </c>
      <c r="AI10" s="572"/>
      <c r="AJ10" s="418">
        <v>13</v>
      </c>
      <c r="AK10" s="425">
        <v>2140.9411764705887</v>
      </c>
      <c r="AL10" s="425">
        <v>164.68778280542989</v>
      </c>
      <c r="AM10" s="420">
        <f t="shared" si="12"/>
        <v>5</v>
      </c>
      <c r="AN10" s="572"/>
      <c r="AO10" s="418">
        <v>13</v>
      </c>
      <c r="AP10" s="425">
        <v>2107.4285714285716</v>
      </c>
      <c r="AQ10" s="425">
        <v>162.10989010989013</v>
      </c>
      <c r="AR10" s="420">
        <f t="shared" si="14"/>
        <v>6</v>
      </c>
      <c r="AS10" s="572"/>
      <c r="AT10" s="418">
        <v>13</v>
      </c>
      <c r="AU10" s="425">
        <v>2118.6792452830191</v>
      </c>
      <c r="AV10" s="425">
        <v>162.97532656023225</v>
      </c>
      <c r="AW10" s="420">
        <f t="shared" si="16"/>
        <v>6</v>
      </c>
      <c r="AX10" s="572"/>
      <c r="AZ10" s="408" t="e">
        <f t="shared" si="18"/>
        <v>#N/A</v>
      </c>
      <c r="BA10" s="572"/>
    </row>
    <row r="11" spans="1:53" ht="14.25">
      <c r="A11" s="81"/>
      <c r="B11" s="600"/>
      <c r="C11" s="418">
        <v>5</v>
      </c>
      <c r="D11" s="226" t="s">
        <v>367</v>
      </c>
      <c r="E11" s="425">
        <v>13</v>
      </c>
      <c r="F11" s="418">
        <v>2250</v>
      </c>
      <c r="G11" s="419">
        <v>173.1</v>
      </c>
      <c r="H11" s="628"/>
      <c r="I11" s="422">
        <f t="shared" si="0"/>
        <v>13</v>
      </c>
      <c r="J11" s="422">
        <f t="shared" si="1"/>
        <v>2143.4693376627324</v>
      </c>
      <c r="K11" s="200">
        <f t="shared" si="2"/>
        <v>164.88225674328712</v>
      </c>
      <c r="L11" s="581"/>
      <c r="M11" s="424">
        <f>RANK(K11, K$7:$K$21)</f>
        <v>6</v>
      </c>
      <c r="N11" s="564"/>
      <c r="O11" s="564"/>
      <c r="P11" s="418">
        <v>13</v>
      </c>
      <c r="Q11" s="425">
        <v>2107.3043478260879</v>
      </c>
      <c r="R11" s="425">
        <v>162.1003344481606</v>
      </c>
      <c r="S11" s="420">
        <f t="shared" si="3"/>
        <v>6</v>
      </c>
      <c r="T11" s="572"/>
      <c r="U11" s="418">
        <v>13</v>
      </c>
      <c r="V11" s="425">
        <v>2205.7731958762884</v>
      </c>
      <c r="W11" s="425">
        <v>169.67486122125294</v>
      </c>
      <c r="X11" s="420">
        <f t="shared" si="5"/>
        <v>6</v>
      </c>
      <c r="Y11" s="572"/>
      <c r="Z11" s="418">
        <v>13</v>
      </c>
      <c r="AA11" s="425">
        <v>2101.3953488372099</v>
      </c>
      <c r="AB11" s="425">
        <v>161.64579606440077</v>
      </c>
      <c r="AC11" s="420">
        <f t="shared" si="7"/>
        <v>6</v>
      </c>
      <c r="AD11" s="572"/>
      <c r="AE11" s="572"/>
      <c r="AF11" s="425">
        <v>2133.5714285714289</v>
      </c>
      <c r="AG11" s="425">
        <v>164.12087912087915</v>
      </c>
      <c r="AH11" s="420">
        <f t="shared" si="10"/>
        <v>6</v>
      </c>
      <c r="AI11" s="572"/>
      <c r="AJ11" s="418">
        <v>13</v>
      </c>
      <c r="AK11" s="425">
        <v>2125.3608247422676</v>
      </c>
      <c r="AL11" s="425">
        <v>163.48929421094365</v>
      </c>
      <c r="AM11" s="420">
        <f t="shared" si="12"/>
        <v>6</v>
      </c>
      <c r="AN11" s="572"/>
      <c r="AO11" s="418">
        <v>13</v>
      </c>
      <c r="AP11" s="425">
        <v>2169.8275862068963</v>
      </c>
      <c r="AQ11" s="425">
        <v>166.90981432360741</v>
      </c>
      <c r="AR11" s="420">
        <f t="shared" si="14"/>
        <v>5</v>
      </c>
      <c r="AS11" s="572"/>
      <c r="AT11" s="418">
        <v>13</v>
      </c>
      <c r="AU11" s="425">
        <v>2161.0526315789484</v>
      </c>
      <c r="AV11" s="425">
        <v>166.23481781376526</v>
      </c>
      <c r="AW11" s="420">
        <f t="shared" si="16"/>
        <v>5</v>
      </c>
      <c r="AX11" s="572"/>
      <c r="AZ11" s="408" t="e">
        <f t="shared" si="18"/>
        <v>#N/A</v>
      </c>
      <c r="BA11" s="572"/>
    </row>
    <row r="12" spans="1:53" ht="14.25">
      <c r="A12" s="81"/>
      <c r="B12" s="600"/>
      <c r="C12" s="418">
        <v>6</v>
      </c>
      <c r="D12" s="226" t="s">
        <v>368</v>
      </c>
      <c r="E12" s="425">
        <v>10</v>
      </c>
      <c r="F12" s="418">
        <v>2769</v>
      </c>
      <c r="G12" s="419">
        <v>276.89999999999998</v>
      </c>
      <c r="H12" s="628"/>
      <c r="I12" s="422">
        <f t="shared" si="0"/>
        <v>10</v>
      </c>
      <c r="J12" s="422">
        <f t="shared" si="1"/>
        <v>2388.5834490104921</v>
      </c>
      <c r="K12" s="200">
        <f t="shared" si="2"/>
        <v>238.85834490104921</v>
      </c>
      <c r="L12" s="581"/>
      <c r="M12" s="424">
        <f>RANK(K12, K$7:$K$21)</f>
        <v>4</v>
      </c>
      <c r="N12" s="564"/>
      <c r="O12" s="564"/>
      <c r="P12" s="418">
        <v>10</v>
      </c>
      <c r="Q12" s="425">
        <v>2357.0828025477722</v>
      </c>
      <c r="R12" s="425">
        <v>235.70828025477721</v>
      </c>
      <c r="S12" s="420">
        <f t="shared" si="3"/>
        <v>4</v>
      </c>
      <c r="T12" s="572"/>
      <c r="U12" s="418">
        <v>10</v>
      </c>
      <c r="V12" s="425">
        <v>2487.1874999999995</v>
      </c>
      <c r="W12" s="425">
        <v>248.71874999999994</v>
      </c>
      <c r="X12" s="420">
        <f t="shared" si="5"/>
        <v>4</v>
      </c>
      <c r="Y12" s="572"/>
      <c r="Z12" s="418">
        <v>10</v>
      </c>
      <c r="AA12" s="425">
        <v>2385.2347826086957</v>
      </c>
      <c r="AB12" s="425">
        <v>238.52347826086958</v>
      </c>
      <c r="AC12" s="420">
        <f t="shared" si="7"/>
        <v>4</v>
      </c>
      <c r="AD12" s="572"/>
      <c r="AE12" s="572"/>
      <c r="AF12" s="425">
        <v>2398.5</v>
      </c>
      <c r="AG12" s="425">
        <v>239.85</v>
      </c>
      <c r="AH12" s="420">
        <f t="shared" si="10"/>
        <v>4</v>
      </c>
      <c r="AI12" s="572"/>
      <c r="AJ12" s="418">
        <v>10</v>
      </c>
      <c r="AK12" s="425">
        <v>2345.3500000000008</v>
      </c>
      <c r="AL12" s="425">
        <v>234.53500000000008</v>
      </c>
      <c r="AM12" s="420">
        <f t="shared" si="12"/>
        <v>4</v>
      </c>
      <c r="AN12" s="572"/>
      <c r="AO12" s="418">
        <v>10</v>
      </c>
      <c r="AP12" s="425">
        <v>2366.2592592592596</v>
      </c>
      <c r="AQ12" s="425">
        <v>236.62592592592597</v>
      </c>
      <c r="AR12" s="420">
        <f t="shared" si="14"/>
        <v>4</v>
      </c>
      <c r="AS12" s="572"/>
      <c r="AT12" s="418">
        <v>10</v>
      </c>
      <c r="AU12" s="425">
        <v>2380.4697986577189</v>
      </c>
      <c r="AV12" s="425">
        <v>238.0469798657719</v>
      </c>
      <c r="AW12" s="420">
        <f t="shared" si="16"/>
        <v>4</v>
      </c>
      <c r="AX12" s="572"/>
      <c r="AZ12" s="408" t="e">
        <f t="shared" si="18"/>
        <v>#N/A</v>
      </c>
      <c r="BA12" s="572"/>
    </row>
    <row r="13" spans="1:53" ht="14.25">
      <c r="A13" s="81"/>
      <c r="B13" s="600"/>
      <c r="C13" s="418">
        <v>7</v>
      </c>
      <c r="D13" s="226" t="s">
        <v>364</v>
      </c>
      <c r="E13" s="425">
        <v>18</v>
      </c>
      <c r="F13" s="418">
        <v>1200</v>
      </c>
      <c r="G13" s="419">
        <v>66.666666666666671</v>
      </c>
      <c r="H13" s="628"/>
      <c r="I13" s="422">
        <f t="shared" si="0"/>
        <v>18.166666666666668</v>
      </c>
      <c r="J13" s="422">
        <f t="shared" si="1"/>
        <v>1152.1757489496777</v>
      </c>
      <c r="K13" s="200">
        <f t="shared" si="2"/>
        <v>63.511402542702676</v>
      </c>
      <c r="L13" s="581"/>
      <c r="M13" s="424">
        <f>RANK(K13, K$7:$K$21)</f>
        <v>9</v>
      </c>
      <c r="N13" s="564"/>
      <c r="O13" s="564"/>
      <c r="P13" s="418">
        <v>19</v>
      </c>
      <c r="Q13" s="425">
        <v>1193.0769230769235</v>
      </c>
      <c r="R13" s="425">
        <v>62.793522267206505</v>
      </c>
      <c r="S13" s="420">
        <f t="shared" si="3"/>
        <v>9</v>
      </c>
      <c r="T13" s="572"/>
      <c r="U13" s="418">
        <v>18</v>
      </c>
      <c r="V13" s="425">
        <v>1191.6000000000004</v>
      </c>
      <c r="W13" s="425">
        <v>66.200000000000017</v>
      </c>
      <c r="X13" s="420">
        <f t="shared" si="5"/>
        <v>9</v>
      </c>
      <c r="Y13" s="572"/>
      <c r="Z13" s="418">
        <v>18</v>
      </c>
      <c r="AA13" s="425">
        <v>1093.8000000000038</v>
      </c>
      <c r="AB13" s="425">
        <v>60.766666666666879</v>
      </c>
      <c r="AC13" s="420">
        <f t="shared" si="7"/>
        <v>9</v>
      </c>
      <c r="AD13" s="572"/>
      <c r="AE13" s="572"/>
      <c r="AF13" s="425">
        <v>1121.3333333333374</v>
      </c>
      <c r="AG13" s="425">
        <v>62.296296296296518</v>
      </c>
      <c r="AH13" s="420">
        <f t="shared" si="10"/>
        <v>9</v>
      </c>
      <c r="AI13" s="572"/>
      <c r="AJ13" s="418">
        <v>18</v>
      </c>
      <c r="AK13" s="425">
        <v>1178.7804878048778</v>
      </c>
      <c r="AL13" s="425">
        <v>65.487804878048763</v>
      </c>
      <c r="AM13" s="420">
        <f t="shared" si="12"/>
        <v>9</v>
      </c>
      <c r="AN13" s="572"/>
      <c r="AO13" s="418">
        <v>18</v>
      </c>
      <c r="AP13" s="425">
        <v>1178.2758620689649</v>
      </c>
      <c r="AQ13" s="425">
        <v>65.459770114942501</v>
      </c>
      <c r="AR13" s="420">
        <f t="shared" si="14"/>
        <v>9</v>
      </c>
      <c r="AS13" s="572"/>
      <c r="AT13" s="418">
        <v>18</v>
      </c>
      <c r="AU13" s="425">
        <v>1108.3636363636356</v>
      </c>
      <c r="AV13" s="425">
        <v>61.575757575757535</v>
      </c>
      <c r="AW13" s="420">
        <f t="shared" si="16"/>
        <v>9</v>
      </c>
      <c r="AX13" s="572"/>
      <c r="AZ13" s="408" t="e">
        <f t="shared" si="18"/>
        <v>#N/A</v>
      </c>
      <c r="BA13" s="572"/>
    </row>
    <row r="14" spans="1:53" ht="14.25">
      <c r="A14" s="81"/>
      <c r="B14" s="600"/>
      <c r="C14" s="418">
        <v>8</v>
      </c>
      <c r="D14" s="226" t="s">
        <v>542</v>
      </c>
      <c r="E14" s="425">
        <v>12</v>
      </c>
      <c r="F14" s="418">
        <v>2118</v>
      </c>
      <c r="G14" s="419">
        <v>176.5</v>
      </c>
      <c r="H14" s="628"/>
      <c r="I14" s="422">
        <f t="shared" si="0"/>
        <v>12</v>
      </c>
      <c r="J14" s="422">
        <f t="shared" si="1"/>
        <v>1870.6786298584841</v>
      </c>
      <c r="K14" s="200">
        <f t="shared" si="2"/>
        <v>155.88988582154033</v>
      </c>
      <c r="L14" s="581"/>
      <c r="M14" s="424">
        <f>RANK(K14, K$7:$K$21)</f>
        <v>7</v>
      </c>
      <c r="N14" s="564"/>
      <c r="O14" s="564"/>
      <c r="P14" s="418">
        <v>12</v>
      </c>
      <c r="Q14" s="425">
        <v>1897.6119402985062</v>
      </c>
      <c r="R14" s="425">
        <v>158.13432835820885</v>
      </c>
      <c r="S14" s="420">
        <f t="shared" si="3"/>
        <v>7</v>
      </c>
      <c r="T14" s="572"/>
      <c r="U14" s="418">
        <v>12</v>
      </c>
      <c r="V14" s="425">
        <v>1859.9999999999993</v>
      </c>
      <c r="W14" s="425">
        <v>154.99999999999994</v>
      </c>
      <c r="X14" s="420">
        <f t="shared" si="5"/>
        <v>7</v>
      </c>
      <c r="Y14" s="572"/>
      <c r="Z14" s="418">
        <v>12</v>
      </c>
      <c r="AA14" s="425">
        <v>1850.9433962264145</v>
      </c>
      <c r="AB14" s="425">
        <v>154.24528301886787</v>
      </c>
      <c r="AC14" s="420">
        <f t="shared" si="7"/>
        <v>8</v>
      </c>
      <c r="AD14" s="572"/>
      <c r="AE14" s="572"/>
      <c r="AF14" s="425">
        <v>1873.1999999999994</v>
      </c>
      <c r="AG14" s="425">
        <v>156.09999999999994</v>
      </c>
      <c r="AH14" s="420">
        <f t="shared" si="10"/>
        <v>7</v>
      </c>
      <c r="AI14" s="572"/>
      <c r="AJ14" s="418">
        <v>12</v>
      </c>
      <c r="AK14" s="425">
        <v>1883.1578947368437</v>
      </c>
      <c r="AL14" s="425">
        <v>156.92982456140365</v>
      </c>
      <c r="AM14" s="420">
        <f t="shared" si="12"/>
        <v>7</v>
      </c>
      <c r="AN14" s="572"/>
      <c r="AO14" s="418">
        <v>12</v>
      </c>
      <c r="AP14" s="425">
        <v>1859.0909090909099</v>
      </c>
      <c r="AQ14" s="425">
        <v>154.92424242424249</v>
      </c>
      <c r="AR14" s="420">
        <f t="shared" si="14"/>
        <v>8</v>
      </c>
      <c r="AS14" s="572"/>
      <c r="AT14" s="418">
        <v>12</v>
      </c>
      <c r="AU14" s="425">
        <v>1870.7462686567153</v>
      </c>
      <c r="AV14" s="425">
        <v>155.89552238805962</v>
      </c>
      <c r="AW14" s="420">
        <f t="shared" si="16"/>
        <v>7</v>
      </c>
      <c r="AX14" s="572"/>
      <c r="AZ14" s="408" t="e">
        <f t="shared" si="18"/>
        <v>#N/A</v>
      </c>
      <c r="BA14" s="572"/>
    </row>
    <row r="15" spans="1:53" ht="14.25">
      <c r="A15" s="81"/>
      <c r="B15" s="600"/>
      <c r="C15" s="418">
        <v>9</v>
      </c>
      <c r="D15" s="226" t="s">
        <v>600</v>
      </c>
      <c r="E15" s="425">
        <v>4</v>
      </c>
      <c r="F15" s="418">
        <v>2000</v>
      </c>
      <c r="G15" s="419">
        <v>500</v>
      </c>
      <c r="H15" s="628"/>
      <c r="I15" s="422">
        <f t="shared" si="0"/>
        <v>5</v>
      </c>
      <c r="J15" s="422">
        <f t="shared" si="1"/>
        <v>1955.1331840428454</v>
      </c>
      <c r="K15" s="200">
        <f t="shared" si="2"/>
        <v>391.02663680856915</v>
      </c>
      <c r="L15" s="581"/>
      <c r="M15" s="424">
        <f>RANK(K15, K$7:$K$21)</f>
        <v>3</v>
      </c>
      <c r="N15" s="564"/>
      <c r="O15" s="564"/>
      <c r="P15" s="418">
        <v>5</v>
      </c>
      <c r="Q15" s="425">
        <v>1951.7647058823504</v>
      </c>
      <c r="R15" s="425">
        <v>390.3529411764701</v>
      </c>
      <c r="S15" s="420">
        <f t="shared" si="3"/>
        <v>3</v>
      </c>
      <c r="T15" s="572"/>
      <c r="U15" s="418">
        <v>5</v>
      </c>
      <c r="V15" s="425">
        <v>1923.750000000002</v>
      </c>
      <c r="W15" s="425">
        <v>384.7500000000004</v>
      </c>
      <c r="X15" s="420">
        <f t="shared" si="5"/>
        <v>3</v>
      </c>
      <c r="Y15" s="572"/>
      <c r="Z15" s="418">
        <v>5</v>
      </c>
      <c r="AA15" s="425">
        <v>2123.0769230769179</v>
      </c>
      <c r="AB15" s="425">
        <v>424.61538461538356</v>
      </c>
      <c r="AC15" s="420">
        <f t="shared" si="7"/>
        <v>2</v>
      </c>
      <c r="AD15" s="572"/>
      <c r="AE15" s="572"/>
      <c r="AF15" s="425">
        <v>1850.7692307692319</v>
      </c>
      <c r="AG15" s="425">
        <v>370.15384615384636</v>
      </c>
      <c r="AH15" s="420">
        <f t="shared" si="10"/>
        <v>3</v>
      </c>
      <c r="AI15" s="572"/>
      <c r="AJ15" s="418">
        <v>5</v>
      </c>
      <c r="AK15" s="425">
        <v>1943.9999999999966</v>
      </c>
      <c r="AL15" s="425">
        <v>388.79999999999933</v>
      </c>
      <c r="AM15" s="420">
        <f t="shared" si="12"/>
        <v>3</v>
      </c>
      <c r="AN15" s="572"/>
      <c r="AO15" s="418">
        <v>5</v>
      </c>
      <c r="AP15" s="425">
        <v>1928.5714285714246</v>
      </c>
      <c r="AQ15" s="425">
        <v>385.71428571428493</v>
      </c>
      <c r="AR15" s="420">
        <f t="shared" si="14"/>
        <v>3</v>
      </c>
      <c r="AS15" s="572"/>
      <c r="AT15" s="418">
        <v>5</v>
      </c>
      <c r="AU15" s="425">
        <v>1963.9999999999966</v>
      </c>
      <c r="AV15" s="425">
        <v>392.79999999999933</v>
      </c>
      <c r="AW15" s="420">
        <f t="shared" si="16"/>
        <v>3</v>
      </c>
      <c r="AX15" s="572"/>
      <c r="AZ15" s="408" t="e">
        <f t="shared" si="18"/>
        <v>#N/A</v>
      </c>
      <c r="BA15" s="572"/>
    </row>
    <row r="16" spans="1:53" ht="14.25">
      <c r="A16" s="81"/>
      <c r="B16" s="600"/>
      <c r="C16" s="418">
        <v>10</v>
      </c>
      <c r="D16" s="226"/>
      <c r="E16" s="425"/>
      <c r="F16" s="418"/>
      <c r="G16" s="419"/>
      <c r="H16" s="628"/>
      <c r="I16" s="422" t="str">
        <f t="shared" si="0"/>
        <v>-</v>
      </c>
      <c r="J16" s="422" t="str">
        <f t="shared" si="1"/>
        <v>-</v>
      </c>
      <c r="K16" s="200" t="str">
        <f t="shared" si="2"/>
        <v>-</v>
      </c>
      <c r="L16" s="581"/>
      <c r="M16" s="424" t="e">
        <f>RANK(K16, K$7:$K$21)</f>
        <v>#VALUE!</v>
      </c>
      <c r="N16" s="564"/>
      <c r="O16" s="564"/>
      <c r="P16" s="418" t="s">
        <v>639</v>
      </c>
      <c r="Q16" s="425" t="s">
        <v>639</v>
      </c>
      <c r="R16" s="425" t="s">
        <v>639</v>
      </c>
      <c r="S16" s="420" t="e">
        <f t="shared" si="3"/>
        <v>#VALUE!</v>
      </c>
      <c r="T16" s="572"/>
      <c r="U16" s="418" t="s">
        <v>639</v>
      </c>
      <c r="V16" s="425" t="s">
        <v>639</v>
      </c>
      <c r="W16" s="425" t="s">
        <v>639</v>
      </c>
      <c r="X16" s="420" t="e">
        <f t="shared" si="5"/>
        <v>#VALUE!</v>
      </c>
      <c r="Y16" s="572"/>
      <c r="Z16" s="418" t="s">
        <v>639</v>
      </c>
      <c r="AA16" s="425" t="s">
        <v>639</v>
      </c>
      <c r="AB16" s="425" t="s">
        <v>639</v>
      </c>
      <c r="AC16" s="420" t="e">
        <f t="shared" si="7"/>
        <v>#VALUE!</v>
      </c>
      <c r="AD16" s="572"/>
      <c r="AE16" s="572"/>
      <c r="AF16" s="425" t="s">
        <v>639</v>
      </c>
      <c r="AG16" s="425" t="s">
        <v>639</v>
      </c>
      <c r="AH16" s="420" t="e">
        <f t="shared" si="10"/>
        <v>#VALUE!</v>
      </c>
      <c r="AI16" s="572"/>
      <c r="AJ16" s="418" t="s">
        <v>639</v>
      </c>
      <c r="AK16" s="425" t="s">
        <v>639</v>
      </c>
      <c r="AL16" s="425" t="s">
        <v>639</v>
      </c>
      <c r="AM16" s="420" t="e">
        <f t="shared" si="12"/>
        <v>#VALUE!</v>
      </c>
      <c r="AN16" s="572"/>
      <c r="AO16" s="418" t="s">
        <v>639</v>
      </c>
      <c r="AP16" s="425" t="s">
        <v>639</v>
      </c>
      <c r="AQ16" s="425" t="s">
        <v>639</v>
      </c>
      <c r="AR16" s="420" t="e">
        <f t="shared" si="14"/>
        <v>#VALUE!</v>
      </c>
      <c r="AS16" s="572"/>
      <c r="AT16" s="418" t="s">
        <v>639</v>
      </c>
      <c r="AU16" s="425" t="s">
        <v>639</v>
      </c>
      <c r="AV16" s="425" t="s">
        <v>639</v>
      </c>
      <c r="AW16" s="420" t="e">
        <f t="shared" si="16"/>
        <v>#VALUE!</v>
      </c>
      <c r="AX16" s="572"/>
      <c r="AZ16" s="408" t="e">
        <f t="shared" si="18"/>
        <v>#N/A</v>
      </c>
      <c r="BA16" s="572"/>
    </row>
    <row r="17" spans="2:53">
      <c r="B17" s="600"/>
      <c r="C17" s="418">
        <v>11</v>
      </c>
      <c r="D17" s="226"/>
      <c r="E17" s="425"/>
      <c r="F17" s="418"/>
      <c r="G17" s="419"/>
      <c r="H17" s="628"/>
      <c r="I17" s="422" t="str">
        <f t="shared" si="0"/>
        <v>-</v>
      </c>
      <c r="J17" s="422" t="str">
        <f t="shared" si="1"/>
        <v>-</v>
      </c>
      <c r="K17" s="200" t="str">
        <f t="shared" si="2"/>
        <v>-</v>
      </c>
      <c r="L17" s="581"/>
      <c r="M17" s="424" t="e">
        <f>RANK(K17, K$7:$K$21)</f>
        <v>#VALUE!</v>
      </c>
      <c r="N17" s="564"/>
      <c r="O17" s="564"/>
      <c r="P17" s="418" t="s">
        <v>639</v>
      </c>
      <c r="Q17" s="425" t="s">
        <v>639</v>
      </c>
      <c r="R17" s="425" t="s">
        <v>639</v>
      </c>
      <c r="S17" s="420" t="e">
        <f t="shared" si="3"/>
        <v>#VALUE!</v>
      </c>
      <c r="T17" s="572"/>
      <c r="U17" s="418" t="s">
        <v>639</v>
      </c>
      <c r="V17" s="425" t="s">
        <v>639</v>
      </c>
      <c r="W17" s="425" t="s">
        <v>639</v>
      </c>
      <c r="X17" s="420" t="e">
        <f t="shared" si="5"/>
        <v>#VALUE!</v>
      </c>
      <c r="Y17" s="572"/>
      <c r="Z17" s="418" t="s">
        <v>639</v>
      </c>
      <c r="AA17" s="425" t="s">
        <v>639</v>
      </c>
      <c r="AB17" s="425" t="s">
        <v>639</v>
      </c>
      <c r="AC17" s="420" t="e">
        <f t="shared" si="7"/>
        <v>#VALUE!</v>
      </c>
      <c r="AD17" s="572"/>
      <c r="AE17" s="572"/>
      <c r="AF17" s="425" t="s">
        <v>639</v>
      </c>
      <c r="AG17" s="425" t="s">
        <v>639</v>
      </c>
      <c r="AH17" s="420" t="e">
        <f t="shared" si="10"/>
        <v>#VALUE!</v>
      </c>
      <c r="AI17" s="572"/>
      <c r="AJ17" s="418" t="s">
        <v>639</v>
      </c>
      <c r="AK17" s="425" t="s">
        <v>639</v>
      </c>
      <c r="AL17" s="425" t="s">
        <v>639</v>
      </c>
      <c r="AM17" s="420" t="e">
        <f t="shared" si="12"/>
        <v>#VALUE!</v>
      </c>
      <c r="AN17" s="572"/>
      <c r="AO17" s="418" t="s">
        <v>639</v>
      </c>
      <c r="AP17" s="425" t="s">
        <v>639</v>
      </c>
      <c r="AQ17" s="425" t="s">
        <v>639</v>
      </c>
      <c r="AR17" s="420" t="e">
        <f t="shared" si="14"/>
        <v>#VALUE!</v>
      </c>
      <c r="AS17" s="572"/>
      <c r="AT17" s="418" t="s">
        <v>639</v>
      </c>
      <c r="AU17" s="425" t="s">
        <v>639</v>
      </c>
      <c r="AV17" s="425" t="s">
        <v>639</v>
      </c>
      <c r="AW17" s="420" t="e">
        <f t="shared" si="16"/>
        <v>#VALUE!</v>
      </c>
      <c r="AX17" s="572"/>
      <c r="AZ17" s="408" t="e">
        <f t="shared" si="18"/>
        <v>#N/A</v>
      </c>
      <c r="BA17" s="572"/>
    </row>
    <row r="18" spans="2:53">
      <c r="B18" s="600"/>
      <c r="C18" s="418">
        <v>12</v>
      </c>
      <c r="D18" s="226"/>
      <c r="E18" s="425"/>
      <c r="F18" s="418"/>
      <c r="G18" s="419"/>
      <c r="H18" s="628"/>
      <c r="I18" s="422" t="str">
        <f t="shared" si="0"/>
        <v>-</v>
      </c>
      <c r="J18" s="422" t="str">
        <f t="shared" si="1"/>
        <v>-</v>
      </c>
      <c r="K18" s="200" t="str">
        <f t="shared" si="2"/>
        <v>-</v>
      </c>
      <c r="L18" s="581"/>
      <c r="M18" s="424" t="e">
        <f>RANK(K18, K$7:$K$21)</f>
        <v>#VALUE!</v>
      </c>
      <c r="N18" s="564"/>
      <c r="O18" s="564"/>
      <c r="P18" s="418" t="s">
        <v>639</v>
      </c>
      <c r="Q18" s="425" t="s">
        <v>639</v>
      </c>
      <c r="R18" s="425" t="s">
        <v>639</v>
      </c>
      <c r="S18" s="420" t="e">
        <f t="shared" si="3"/>
        <v>#VALUE!</v>
      </c>
      <c r="T18" s="572"/>
      <c r="U18" s="418" t="s">
        <v>639</v>
      </c>
      <c r="V18" s="425" t="s">
        <v>639</v>
      </c>
      <c r="W18" s="425" t="s">
        <v>639</v>
      </c>
      <c r="X18" s="420" t="e">
        <f t="shared" si="5"/>
        <v>#VALUE!</v>
      </c>
      <c r="Y18" s="572"/>
      <c r="Z18" s="418" t="s">
        <v>639</v>
      </c>
      <c r="AA18" s="425" t="s">
        <v>639</v>
      </c>
      <c r="AB18" s="425" t="s">
        <v>639</v>
      </c>
      <c r="AC18" s="420" t="e">
        <f t="shared" si="7"/>
        <v>#VALUE!</v>
      </c>
      <c r="AD18" s="572"/>
      <c r="AE18" s="572"/>
      <c r="AF18" s="425" t="s">
        <v>639</v>
      </c>
      <c r="AG18" s="425" t="s">
        <v>639</v>
      </c>
      <c r="AH18" s="420" t="e">
        <f t="shared" si="10"/>
        <v>#VALUE!</v>
      </c>
      <c r="AI18" s="572"/>
      <c r="AJ18" s="418" t="s">
        <v>639</v>
      </c>
      <c r="AK18" s="425" t="s">
        <v>639</v>
      </c>
      <c r="AL18" s="425" t="s">
        <v>639</v>
      </c>
      <c r="AM18" s="420" t="e">
        <f t="shared" si="12"/>
        <v>#VALUE!</v>
      </c>
      <c r="AN18" s="572"/>
      <c r="AO18" s="418" t="s">
        <v>639</v>
      </c>
      <c r="AP18" s="425" t="s">
        <v>639</v>
      </c>
      <c r="AQ18" s="425" t="s">
        <v>639</v>
      </c>
      <c r="AR18" s="420" t="e">
        <f t="shared" si="14"/>
        <v>#VALUE!</v>
      </c>
      <c r="AS18" s="572"/>
      <c r="AT18" s="418" t="s">
        <v>639</v>
      </c>
      <c r="AU18" s="425" t="s">
        <v>639</v>
      </c>
      <c r="AV18" s="425" t="s">
        <v>639</v>
      </c>
      <c r="AW18" s="420" t="e">
        <f t="shared" si="16"/>
        <v>#VALUE!</v>
      </c>
      <c r="AX18" s="572"/>
      <c r="AZ18" s="408" t="e">
        <f t="shared" si="18"/>
        <v>#N/A</v>
      </c>
      <c r="BA18" s="572"/>
    </row>
    <row r="19" spans="2:53">
      <c r="B19" s="600"/>
      <c r="C19" s="418">
        <v>13</v>
      </c>
      <c r="D19" s="226"/>
      <c r="E19" s="425"/>
      <c r="F19" s="418"/>
      <c r="G19" s="419"/>
      <c r="H19" s="628"/>
      <c r="I19" s="422" t="str">
        <f t="shared" si="0"/>
        <v>-</v>
      </c>
      <c r="J19" s="422" t="str">
        <f t="shared" si="1"/>
        <v>-</v>
      </c>
      <c r="K19" s="200" t="str">
        <f t="shared" si="2"/>
        <v>-</v>
      </c>
      <c r="L19" s="581"/>
      <c r="M19" s="424" t="e">
        <f>RANK(K19, K$7:$K$21)</f>
        <v>#VALUE!</v>
      </c>
      <c r="N19" s="564"/>
      <c r="O19" s="564"/>
      <c r="P19" s="418" t="s">
        <v>639</v>
      </c>
      <c r="Q19" s="425" t="s">
        <v>639</v>
      </c>
      <c r="R19" s="425" t="s">
        <v>639</v>
      </c>
      <c r="S19" s="420" t="e">
        <f t="shared" si="3"/>
        <v>#VALUE!</v>
      </c>
      <c r="T19" s="572"/>
      <c r="U19" s="418" t="s">
        <v>639</v>
      </c>
      <c r="V19" s="425" t="s">
        <v>639</v>
      </c>
      <c r="W19" s="425" t="s">
        <v>639</v>
      </c>
      <c r="X19" s="420" t="e">
        <f t="shared" si="5"/>
        <v>#VALUE!</v>
      </c>
      <c r="Y19" s="572"/>
      <c r="Z19" s="418" t="s">
        <v>639</v>
      </c>
      <c r="AA19" s="425" t="s">
        <v>639</v>
      </c>
      <c r="AB19" s="425" t="s">
        <v>639</v>
      </c>
      <c r="AC19" s="420" t="e">
        <f t="shared" si="7"/>
        <v>#VALUE!</v>
      </c>
      <c r="AD19" s="572"/>
      <c r="AE19" s="572"/>
      <c r="AF19" s="425" t="s">
        <v>639</v>
      </c>
      <c r="AG19" s="425" t="s">
        <v>639</v>
      </c>
      <c r="AH19" s="420" t="e">
        <f t="shared" si="10"/>
        <v>#VALUE!</v>
      </c>
      <c r="AI19" s="572"/>
      <c r="AJ19" s="418" t="s">
        <v>639</v>
      </c>
      <c r="AK19" s="425" t="s">
        <v>639</v>
      </c>
      <c r="AL19" s="425" t="s">
        <v>639</v>
      </c>
      <c r="AM19" s="420" t="e">
        <f t="shared" si="12"/>
        <v>#VALUE!</v>
      </c>
      <c r="AN19" s="572"/>
      <c r="AO19" s="418" t="s">
        <v>639</v>
      </c>
      <c r="AP19" s="425" t="s">
        <v>639</v>
      </c>
      <c r="AQ19" s="425" t="s">
        <v>639</v>
      </c>
      <c r="AR19" s="420" t="e">
        <f t="shared" si="14"/>
        <v>#VALUE!</v>
      </c>
      <c r="AS19" s="572"/>
      <c r="AT19" s="418" t="s">
        <v>639</v>
      </c>
      <c r="AU19" s="425" t="s">
        <v>639</v>
      </c>
      <c r="AV19" s="425" t="s">
        <v>639</v>
      </c>
      <c r="AW19" s="420" t="e">
        <f t="shared" si="16"/>
        <v>#VALUE!</v>
      </c>
      <c r="AX19" s="572"/>
      <c r="AZ19" s="408" t="e">
        <f t="shared" si="18"/>
        <v>#N/A</v>
      </c>
      <c r="BA19" s="572"/>
    </row>
    <row r="20" spans="2:53">
      <c r="B20" s="600"/>
      <c r="C20" s="418">
        <v>14</v>
      </c>
      <c r="D20" s="226"/>
      <c r="E20" s="425"/>
      <c r="F20" s="418"/>
      <c r="G20" s="419"/>
      <c r="H20" s="628"/>
      <c r="I20" s="422" t="str">
        <f t="shared" si="0"/>
        <v>-</v>
      </c>
      <c r="J20" s="422" t="str">
        <f t="shared" si="1"/>
        <v>-</v>
      </c>
      <c r="K20" s="200" t="str">
        <f t="shared" si="2"/>
        <v>-</v>
      </c>
      <c r="L20" s="581"/>
      <c r="M20" s="424" t="e">
        <f>RANK(K20, K$7:$K$21)</f>
        <v>#VALUE!</v>
      </c>
      <c r="N20" s="564"/>
      <c r="O20" s="564"/>
      <c r="P20" s="418" t="s">
        <v>639</v>
      </c>
      <c r="Q20" s="425" t="s">
        <v>639</v>
      </c>
      <c r="R20" s="425" t="s">
        <v>639</v>
      </c>
      <c r="S20" s="420" t="e">
        <f t="shared" si="3"/>
        <v>#VALUE!</v>
      </c>
      <c r="T20" s="572"/>
      <c r="U20" s="418" t="s">
        <v>639</v>
      </c>
      <c r="V20" s="425" t="s">
        <v>639</v>
      </c>
      <c r="W20" s="425" t="s">
        <v>639</v>
      </c>
      <c r="X20" s="420" t="e">
        <f t="shared" si="5"/>
        <v>#VALUE!</v>
      </c>
      <c r="Y20" s="572"/>
      <c r="Z20" s="418" t="s">
        <v>639</v>
      </c>
      <c r="AA20" s="425" t="s">
        <v>639</v>
      </c>
      <c r="AB20" s="425" t="s">
        <v>639</v>
      </c>
      <c r="AC20" s="420" t="e">
        <f t="shared" si="7"/>
        <v>#VALUE!</v>
      </c>
      <c r="AD20" s="572"/>
      <c r="AE20" s="572"/>
      <c r="AF20" s="425" t="s">
        <v>639</v>
      </c>
      <c r="AG20" s="425" t="s">
        <v>639</v>
      </c>
      <c r="AH20" s="420" t="e">
        <f t="shared" si="10"/>
        <v>#VALUE!</v>
      </c>
      <c r="AI20" s="572"/>
      <c r="AJ20" s="418" t="s">
        <v>639</v>
      </c>
      <c r="AK20" s="425" t="s">
        <v>639</v>
      </c>
      <c r="AL20" s="425" t="s">
        <v>639</v>
      </c>
      <c r="AM20" s="420" t="e">
        <f t="shared" si="12"/>
        <v>#VALUE!</v>
      </c>
      <c r="AN20" s="572"/>
      <c r="AO20" s="418" t="s">
        <v>639</v>
      </c>
      <c r="AP20" s="425" t="s">
        <v>639</v>
      </c>
      <c r="AQ20" s="425" t="s">
        <v>639</v>
      </c>
      <c r="AR20" s="420" t="e">
        <f t="shared" si="14"/>
        <v>#VALUE!</v>
      </c>
      <c r="AS20" s="572"/>
      <c r="AT20" s="418" t="s">
        <v>639</v>
      </c>
      <c r="AU20" s="425" t="s">
        <v>639</v>
      </c>
      <c r="AV20" s="425" t="s">
        <v>639</v>
      </c>
      <c r="AW20" s="420" t="e">
        <f t="shared" si="16"/>
        <v>#VALUE!</v>
      </c>
      <c r="AX20" s="572"/>
      <c r="AZ20" s="408" t="e">
        <f t="shared" si="18"/>
        <v>#N/A</v>
      </c>
      <c r="BA20" s="572"/>
    </row>
    <row r="21" spans="2:53">
      <c r="B21" s="600"/>
      <c r="C21" s="418">
        <v>15</v>
      </c>
      <c r="D21" s="226"/>
      <c r="E21" s="425"/>
      <c r="F21" s="418"/>
      <c r="G21" s="419"/>
      <c r="H21" s="629"/>
      <c r="I21" s="426"/>
      <c r="J21" s="426"/>
      <c r="K21" s="423"/>
      <c r="L21" s="582"/>
      <c r="M21" s="424" t="e">
        <f>RANK(K21, K$7:$K$21)</f>
        <v>#N/A</v>
      </c>
      <c r="N21" s="564"/>
      <c r="O21" s="564"/>
      <c r="P21" s="418" t="s">
        <v>639</v>
      </c>
      <c r="Q21" s="425" t="s">
        <v>639</v>
      </c>
      <c r="R21" s="425" t="s">
        <v>639</v>
      </c>
      <c r="S21" s="420" t="e">
        <f t="shared" si="3"/>
        <v>#VALUE!</v>
      </c>
      <c r="T21" s="572"/>
      <c r="U21" s="418" t="s">
        <v>639</v>
      </c>
      <c r="V21" s="425" t="s">
        <v>639</v>
      </c>
      <c r="W21" s="425" t="s">
        <v>639</v>
      </c>
      <c r="X21" s="420" t="e">
        <f t="shared" si="5"/>
        <v>#VALUE!</v>
      </c>
      <c r="Y21" s="572"/>
      <c r="Z21" s="418" t="s">
        <v>639</v>
      </c>
      <c r="AA21" s="425" t="s">
        <v>639</v>
      </c>
      <c r="AB21" s="425" t="s">
        <v>639</v>
      </c>
      <c r="AC21" s="420" t="e">
        <f t="shared" si="7"/>
        <v>#VALUE!</v>
      </c>
      <c r="AD21" s="572"/>
      <c r="AE21" s="572"/>
      <c r="AF21" s="425" t="s">
        <v>639</v>
      </c>
      <c r="AG21" s="425" t="s">
        <v>639</v>
      </c>
      <c r="AH21" s="420" t="e">
        <f t="shared" si="10"/>
        <v>#VALUE!</v>
      </c>
      <c r="AI21" s="572"/>
      <c r="AJ21" s="418" t="s">
        <v>639</v>
      </c>
      <c r="AK21" s="425" t="s">
        <v>639</v>
      </c>
      <c r="AL21" s="425" t="s">
        <v>639</v>
      </c>
      <c r="AM21" s="420" t="e">
        <f t="shared" si="12"/>
        <v>#VALUE!</v>
      </c>
      <c r="AN21" s="572"/>
      <c r="AO21" s="418" t="s">
        <v>639</v>
      </c>
      <c r="AP21" s="425" t="s">
        <v>639</v>
      </c>
      <c r="AQ21" s="425" t="s">
        <v>639</v>
      </c>
      <c r="AR21" s="420" t="e">
        <f t="shared" si="14"/>
        <v>#VALUE!</v>
      </c>
      <c r="AS21" s="572"/>
      <c r="AT21" s="418" t="s">
        <v>639</v>
      </c>
      <c r="AU21" s="425" t="s">
        <v>639</v>
      </c>
      <c r="AV21" s="425" t="s">
        <v>639</v>
      </c>
      <c r="AW21" s="420" t="e">
        <f t="shared" si="16"/>
        <v>#VALUE!</v>
      </c>
      <c r="AX21" s="572"/>
      <c r="AZ21" s="408" t="e">
        <f t="shared" si="18"/>
        <v>#N/A</v>
      </c>
      <c r="BA21" s="572"/>
    </row>
    <row r="22" spans="2:53" ht="15.75">
      <c r="B22" s="608" t="s">
        <v>163</v>
      </c>
      <c r="C22" s="609"/>
      <c r="D22" s="609"/>
      <c r="E22" s="609"/>
      <c r="F22" s="609"/>
      <c r="G22" s="609"/>
      <c r="H22" s="609"/>
      <c r="I22" s="203"/>
      <c r="J22" s="203"/>
      <c r="K22" s="203"/>
      <c r="L22" s="203"/>
      <c r="M22" s="204"/>
      <c r="N22" s="566" t="s">
        <v>156</v>
      </c>
      <c r="O22" s="566" t="s">
        <v>105</v>
      </c>
      <c r="P22" s="592">
        <f>P2+7</f>
        <v>46147</v>
      </c>
      <c r="Q22" s="570"/>
      <c r="R22" s="570"/>
      <c r="S22" s="570"/>
      <c r="T22" s="570"/>
      <c r="U22" s="589">
        <f>P22+1</f>
        <v>46148</v>
      </c>
      <c r="V22" s="590"/>
      <c r="W22" s="590"/>
      <c r="X22" s="590"/>
      <c r="Y22" s="591"/>
      <c r="Z22" s="589">
        <f>U22+1</f>
        <v>46149</v>
      </c>
      <c r="AA22" s="590"/>
      <c r="AB22" s="590"/>
      <c r="AC22" s="590"/>
      <c r="AD22" s="591"/>
      <c r="AE22" s="589">
        <f>Z22+1</f>
        <v>46150</v>
      </c>
      <c r="AF22" s="590"/>
      <c r="AG22" s="590"/>
      <c r="AH22" s="590"/>
      <c r="AI22" s="591"/>
      <c r="AJ22" s="589">
        <f>AE22+1</f>
        <v>46151</v>
      </c>
      <c r="AK22" s="590"/>
      <c r="AL22" s="590"/>
      <c r="AM22" s="590"/>
      <c r="AN22" s="591"/>
      <c r="AO22" s="589">
        <f>AJ22+1</f>
        <v>46152</v>
      </c>
      <c r="AP22" s="590"/>
      <c r="AQ22" s="590"/>
      <c r="AR22" s="590"/>
      <c r="AS22" s="591"/>
      <c r="AT22" s="589">
        <f>AO22+1</f>
        <v>46153</v>
      </c>
      <c r="AU22" s="590"/>
      <c r="AV22" s="590"/>
      <c r="AW22" s="590"/>
      <c r="AX22" s="591"/>
    </row>
    <row r="23" spans="2:53" ht="15.75">
      <c r="B23" s="596"/>
      <c r="C23" s="596"/>
      <c r="D23" s="596"/>
      <c r="E23" s="596"/>
      <c r="F23" s="596"/>
      <c r="G23" s="596"/>
      <c r="H23" s="596"/>
      <c r="I23" s="205"/>
      <c r="J23" s="205"/>
      <c r="K23" s="205"/>
      <c r="L23" s="205"/>
      <c r="M23" s="206"/>
      <c r="N23" s="568"/>
      <c r="O23" s="568"/>
      <c r="P23" s="592" t="s">
        <v>318</v>
      </c>
      <c r="Q23" s="570"/>
      <c r="R23" s="570"/>
      <c r="S23" s="570"/>
      <c r="T23" s="570"/>
      <c r="U23" s="592" t="s">
        <v>319</v>
      </c>
      <c r="V23" s="570"/>
      <c r="W23" s="570"/>
      <c r="X23" s="570"/>
      <c r="Y23" s="570"/>
      <c r="Z23" s="592" t="s">
        <v>320</v>
      </c>
      <c r="AA23" s="570"/>
      <c r="AB23" s="570"/>
      <c r="AC23" s="570"/>
      <c r="AD23" s="570"/>
      <c r="AE23" s="592" t="s">
        <v>321</v>
      </c>
      <c r="AF23" s="570"/>
      <c r="AG23" s="570"/>
      <c r="AH23" s="570"/>
      <c r="AI23" s="570"/>
      <c r="AJ23" s="592" t="s">
        <v>322</v>
      </c>
      <c r="AK23" s="570"/>
      <c r="AL23" s="570"/>
      <c r="AM23" s="570"/>
      <c r="AN23" s="570"/>
      <c r="AO23" s="592" t="s">
        <v>323</v>
      </c>
      <c r="AP23" s="570"/>
      <c r="AQ23" s="570"/>
      <c r="AR23" s="570"/>
      <c r="AS23" s="570"/>
      <c r="AT23" s="592" t="s">
        <v>324</v>
      </c>
      <c r="AU23" s="570"/>
      <c r="AV23" s="570"/>
      <c r="AW23" s="570"/>
      <c r="AX23" s="570"/>
    </row>
    <row r="24" spans="2:53">
      <c r="B24" s="564" t="s">
        <v>377</v>
      </c>
      <c r="C24" s="564" t="s">
        <v>387</v>
      </c>
      <c r="D24" s="564"/>
      <c r="E24" s="564" t="s">
        <v>378</v>
      </c>
      <c r="F24" s="564"/>
      <c r="G24" s="564"/>
      <c r="H24" s="597" t="s">
        <v>374</v>
      </c>
      <c r="I24" s="564" t="s">
        <v>379</v>
      </c>
      <c r="J24" s="564"/>
      <c r="K24" s="564"/>
      <c r="L24" s="597" t="s">
        <v>374</v>
      </c>
      <c r="M24" s="566" t="s">
        <v>375</v>
      </c>
      <c r="N24" s="564"/>
      <c r="O24" s="564" t="s">
        <v>380</v>
      </c>
      <c r="P24" s="583" t="s">
        <v>376</v>
      </c>
      <c r="Q24" s="584"/>
      <c r="R24" s="584"/>
      <c r="S24" s="585"/>
      <c r="T24" s="564" t="s">
        <v>374</v>
      </c>
      <c r="U24" s="583" t="s">
        <v>376</v>
      </c>
      <c r="V24" s="584"/>
      <c r="W24" s="584"/>
      <c r="X24" s="585"/>
      <c r="Y24" s="564" t="s">
        <v>374</v>
      </c>
      <c r="Z24" s="583" t="s">
        <v>376</v>
      </c>
      <c r="AA24" s="584"/>
      <c r="AB24" s="584"/>
      <c r="AC24" s="585"/>
      <c r="AD24" s="564" t="s">
        <v>374</v>
      </c>
      <c r="AE24" s="583" t="s">
        <v>376</v>
      </c>
      <c r="AF24" s="584"/>
      <c r="AG24" s="584"/>
      <c r="AH24" s="585"/>
      <c r="AI24" s="564" t="s">
        <v>374</v>
      </c>
      <c r="AJ24" s="583" t="s">
        <v>376</v>
      </c>
      <c r="AK24" s="584"/>
      <c r="AL24" s="584"/>
      <c r="AM24" s="585"/>
      <c r="AN24" s="564" t="s">
        <v>374</v>
      </c>
      <c r="AO24" s="583" t="s">
        <v>376</v>
      </c>
      <c r="AP24" s="584"/>
      <c r="AQ24" s="584"/>
      <c r="AR24" s="585"/>
      <c r="AS24" s="564" t="s">
        <v>374</v>
      </c>
      <c r="AT24" s="583" t="s">
        <v>376</v>
      </c>
      <c r="AU24" s="584"/>
      <c r="AV24" s="584"/>
      <c r="AW24" s="585"/>
      <c r="AX24" s="564" t="s">
        <v>374</v>
      </c>
      <c r="BA24" s="564" t="s">
        <v>580</v>
      </c>
    </row>
    <row r="25" spans="2:53">
      <c r="B25" s="564"/>
      <c r="C25" s="564"/>
      <c r="D25" s="564"/>
      <c r="E25" s="564" t="s">
        <v>381</v>
      </c>
      <c r="F25" s="564"/>
      <c r="G25" s="564"/>
      <c r="H25" s="598"/>
      <c r="I25" s="564" t="s">
        <v>381</v>
      </c>
      <c r="J25" s="564"/>
      <c r="K25" s="564"/>
      <c r="L25" s="598"/>
      <c r="M25" s="567"/>
      <c r="N25" s="564"/>
      <c r="O25" s="564"/>
      <c r="P25" s="583" t="s">
        <v>382</v>
      </c>
      <c r="Q25" s="584"/>
      <c r="R25" s="584"/>
      <c r="S25" s="585"/>
      <c r="T25" s="564"/>
      <c r="U25" s="583" t="s">
        <v>382</v>
      </c>
      <c r="V25" s="584"/>
      <c r="W25" s="584"/>
      <c r="X25" s="585"/>
      <c r="Y25" s="564"/>
      <c r="Z25" s="583" t="s">
        <v>382</v>
      </c>
      <c r="AA25" s="584"/>
      <c r="AB25" s="584"/>
      <c r="AC25" s="585"/>
      <c r="AD25" s="564"/>
      <c r="AE25" s="583" t="s">
        <v>382</v>
      </c>
      <c r="AF25" s="584"/>
      <c r="AG25" s="584"/>
      <c r="AH25" s="585"/>
      <c r="AI25" s="564"/>
      <c r="AJ25" s="583" t="s">
        <v>382</v>
      </c>
      <c r="AK25" s="584"/>
      <c r="AL25" s="584"/>
      <c r="AM25" s="585"/>
      <c r="AN25" s="564"/>
      <c r="AO25" s="583" t="s">
        <v>382</v>
      </c>
      <c r="AP25" s="584"/>
      <c r="AQ25" s="584"/>
      <c r="AR25" s="585"/>
      <c r="AS25" s="564"/>
      <c r="AT25" s="583" t="s">
        <v>382</v>
      </c>
      <c r="AU25" s="584"/>
      <c r="AV25" s="584"/>
      <c r="AW25" s="585"/>
      <c r="AX25" s="564"/>
      <c r="BA25" s="564"/>
    </row>
    <row r="26" spans="2:53">
      <c r="B26" s="564"/>
      <c r="C26" s="564"/>
      <c r="D26" s="564"/>
      <c r="E26" s="417" t="s">
        <v>383</v>
      </c>
      <c r="F26" s="417" t="s">
        <v>384</v>
      </c>
      <c r="G26" s="417" t="s">
        <v>385</v>
      </c>
      <c r="H26" s="599"/>
      <c r="I26" s="417" t="s">
        <v>383</v>
      </c>
      <c r="J26" s="417" t="s">
        <v>384</v>
      </c>
      <c r="K26" s="417" t="s">
        <v>385</v>
      </c>
      <c r="L26" s="599"/>
      <c r="M26" s="568"/>
      <c r="N26" s="564"/>
      <c r="O26" s="564"/>
      <c r="P26" s="417" t="s">
        <v>383</v>
      </c>
      <c r="Q26" s="417" t="s">
        <v>384</v>
      </c>
      <c r="R26" s="417" t="s">
        <v>385</v>
      </c>
      <c r="S26" s="417" t="s">
        <v>375</v>
      </c>
      <c r="T26" s="564"/>
      <c r="U26" s="417" t="s">
        <v>383</v>
      </c>
      <c r="V26" s="417" t="s">
        <v>384</v>
      </c>
      <c r="W26" s="417" t="s">
        <v>385</v>
      </c>
      <c r="X26" s="417" t="s">
        <v>375</v>
      </c>
      <c r="Y26" s="564"/>
      <c r="Z26" s="417" t="s">
        <v>383</v>
      </c>
      <c r="AA26" s="417" t="s">
        <v>384</v>
      </c>
      <c r="AB26" s="417" t="s">
        <v>385</v>
      </c>
      <c r="AC26" s="417" t="s">
        <v>375</v>
      </c>
      <c r="AD26" s="564"/>
      <c r="AE26" s="417" t="s">
        <v>383</v>
      </c>
      <c r="AF26" s="417" t="s">
        <v>384</v>
      </c>
      <c r="AG26" s="417" t="s">
        <v>385</v>
      </c>
      <c r="AH26" s="417" t="s">
        <v>375</v>
      </c>
      <c r="AI26" s="564"/>
      <c r="AJ26" s="417" t="s">
        <v>383</v>
      </c>
      <c r="AK26" s="417" t="s">
        <v>384</v>
      </c>
      <c r="AL26" s="417" t="s">
        <v>385</v>
      </c>
      <c r="AM26" s="417" t="s">
        <v>375</v>
      </c>
      <c r="AN26" s="564"/>
      <c r="AO26" s="417" t="s">
        <v>383</v>
      </c>
      <c r="AP26" s="417" t="s">
        <v>384</v>
      </c>
      <c r="AQ26" s="417" t="s">
        <v>385</v>
      </c>
      <c r="AR26" s="417" t="s">
        <v>375</v>
      </c>
      <c r="AS26" s="564"/>
      <c r="AT26" s="417" t="s">
        <v>383</v>
      </c>
      <c r="AU26" s="417" t="s">
        <v>384</v>
      </c>
      <c r="AV26" s="417" t="s">
        <v>385</v>
      </c>
      <c r="AW26" s="417" t="s">
        <v>375</v>
      </c>
      <c r="AX26" s="564"/>
      <c r="AZ26" s="406" t="s">
        <v>375</v>
      </c>
      <c r="BA26" s="564"/>
    </row>
    <row r="27" spans="2:53">
      <c r="B27" s="626" t="s">
        <v>386</v>
      </c>
      <c r="C27" s="420">
        <v>1</v>
      </c>
      <c r="D27" s="375" t="s">
        <v>365</v>
      </c>
      <c r="E27" s="426">
        <v>4</v>
      </c>
      <c r="F27" s="426">
        <v>2000</v>
      </c>
      <c r="G27" s="426">
        <v>500</v>
      </c>
      <c r="H27" s="578">
        <f>AVERAGE(G27:G41)</f>
        <v>284.12962962962968</v>
      </c>
      <c r="I27" s="422">
        <f t="shared" ref="I27:I40" si="20">IFERROR(AVERAGE(P27,U27,Z27,AE27,AJ27,AO27,AT27),"-")</f>
        <v>5</v>
      </c>
      <c r="J27" s="422">
        <f t="shared" ref="J27:J40" si="21">IFERROR(AVERAGE(Q27,V27,AA27,AF27,AK27,AP27,AU27),"-")</f>
        <v>2145.7776470967642</v>
      </c>
      <c r="K27" s="200">
        <f t="shared" ref="K27:K40" si="22">IFERROR(AVERAGE(R27,W27,AB27,AG27,AL27,AQ27,AV27),"-")</f>
        <v>429.15552941935283</v>
      </c>
      <c r="L27" s="580">
        <f>IFERROR(AVERAGE(K27:K41),"-")</f>
        <v>243.85708832275472</v>
      </c>
      <c r="M27" s="426">
        <f>RANK(K27, K$27:$K$41)</f>
        <v>2</v>
      </c>
      <c r="N27" s="564"/>
      <c r="O27" s="564"/>
      <c r="P27" s="425">
        <v>5</v>
      </c>
      <c r="Q27" s="425">
        <v>2138.5074626865671</v>
      </c>
      <c r="R27" s="425">
        <v>427.70149253731341</v>
      </c>
      <c r="S27" s="420">
        <f>RANK(R27, R$27:R$41)</f>
        <v>1</v>
      </c>
      <c r="T27" s="572">
        <f>AVERAGE(R27:R41)</f>
        <v>242.6264323807564</v>
      </c>
      <c r="U27" s="425">
        <v>5</v>
      </c>
      <c r="V27" s="425">
        <v>2154.1935483870975</v>
      </c>
      <c r="W27" s="425">
        <v>430.8387096774195</v>
      </c>
      <c r="X27" s="430">
        <f>RANK(W27, W$27:W$41)</f>
        <v>2</v>
      </c>
      <c r="Y27" s="572">
        <f t="shared" ref="Y27" si="23">AVERAGE(W27:W41)</f>
        <v>243.89738310808349</v>
      </c>
      <c r="Z27" s="425">
        <v>5</v>
      </c>
      <c r="AA27" s="425">
        <v>2134.0000000000005</v>
      </c>
      <c r="AB27" s="425">
        <v>426.80000000000007</v>
      </c>
      <c r="AC27" s="430">
        <f>RANK(AB27, AB$27:AB$41)</f>
        <v>2</v>
      </c>
      <c r="AD27" s="572">
        <f t="shared" ref="AD27" si="24">AVERAGE(AB27:AB41)</f>
        <v>244.18666971507531</v>
      </c>
      <c r="AE27" s="425">
        <v>5</v>
      </c>
      <c r="AF27" s="425">
        <v>2136.7346938775518</v>
      </c>
      <c r="AG27" s="425">
        <v>427.34693877551035</v>
      </c>
      <c r="AH27" s="430">
        <f>RANK(AG27, AG$27:AG$41)</f>
        <v>2</v>
      </c>
      <c r="AI27" s="572">
        <f t="shared" ref="AI27" si="25">AVERAGE(AG27:AG41)</f>
        <v>243.20592070685038</v>
      </c>
      <c r="AJ27" s="425">
        <v>5</v>
      </c>
      <c r="AK27" s="425">
        <v>2164.4444444444443</v>
      </c>
      <c r="AL27" s="425">
        <v>432.88888888888886</v>
      </c>
      <c r="AM27" s="430">
        <f>RANK(AL27, AL$27:AL$41)</f>
        <v>1</v>
      </c>
      <c r="AN27" s="572">
        <f t="shared" ref="AN27" si="26">AVERAGE(AL27:AL41)</f>
        <v>243.73213612290888</v>
      </c>
      <c r="AO27" s="425">
        <v>5</v>
      </c>
      <c r="AP27" s="425">
        <v>2151.9999999999995</v>
      </c>
      <c r="AQ27" s="425">
        <v>430.39999999999992</v>
      </c>
      <c r="AR27" s="430">
        <f>RANK(AQ27, AQ$27:AQ$41)</f>
        <v>1</v>
      </c>
      <c r="AS27" s="572">
        <f t="shared" ref="AS27" si="27">AVERAGE(AQ27:AQ41)</f>
        <v>244.61991686811405</v>
      </c>
      <c r="AT27" s="425">
        <v>5</v>
      </c>
      <c r="AU27" s="425">
        <v>2140.5633802816906</v>
      </c>
      <c r="AV27" s="425">
        <v>428.1126760563381</v>
      </c>
      <c r="AW27" s="430">
        <f>RANK(AV27, AV$27:AV$41)</f>
        <v>2</v>
      </c>
      <c r="AX27" s="572">
        <f t="shared" ref="AX27" si="28">AVERAGE(AV27:AV41)</f>
        <v>244.73115935749476</v>
      </c>
      <c r="AZ27" s="407" t="e">
        <f t="shared" ref="AZ27:AZ41" si="29">RANK(AY27, AY$27:AY$41)</f>
        <v>#N/A</v>
      </c>
      <c r="BA27" s="559" t="e">
        <f t="shared" ref="BA27" si="30">AVERAGE(AY27:AY41)</f>
        <v>#DIV/0!</v>
      </c>
    </row>
    <row r="28" spans="2:53">
      <c r="B28" s="570"/>
      <c r="C28" s="420">
        <v>2</v>
      </c>
      <c r="D28" s="375" t="s">
        <v>443</v>
      </c>
      <c r="E28" s="426">
        <v>4</v>
      </c>
      <c r="F28" s="426">
        <v>2000</v>
      </c>
      <c r="G28" s="426">
        <v>500</v>
      </c>
      <c r="H28" s="579"/>
      <c r="I28" s="422">
        <f t="shared" si="20"/>
        <v>5</v>
      </c>
      <c r="J28" s="422">
        <f t="shared" si="21"/>
        <v>2155.8039321287192</v>
      </c>
      <c r="K28" s="200">
        <f t="shared" si="22"/>
        <v>431.16078642574382</v>
      </c>
      <c r="L28" s="581"/>
      <c r="M28" s="432">
        <f>RANK(K28, K$27:$K$41)</f>
        <v>1</v>
      </c>
      <c r="N28" s="564"/>
      <c r="O28" s="564"/>
      <c r="P28" s="425">
        <v>5</v>
      </c>
      <c r="Q28" s="425">
        <v>2136.1904761904771</v>
      </c>
      <c r="R28" s="425">
        <v>427.23809523809541</v>
      </c>
      <c r="S28" s="430">
        <f t="shared" ref="S28:S41" si="31">RANK(R28, R$27:R$41)</f>
        <v>2</v>
      </c>
      <c r="T28" s="572"/>
      <c r="U28" s="425">
        <v>5</v>
      </c>
      <c r="V28" s="425">
        <v>2161.0344827586191</v>
      </c>
      <c r="W28" s="425">
        <v>432.20689655172384</v>
      </c>
      <c r="X28" s="430">
        <f t="shared" ref="X28:X41" si="32">RANK(W28, W$27:W$41)</f>
        <v>1</v>
      </c>
      <c r="Y28" s="572"/>
      <c r="Z28" s="425">
        <v>5</v>
      </c>
      <c r="AA28" s="425">
        <v>2181.0526315789457</v>
      </c>
      <c r="AB28" s="425">
        <v>436.21052631578914</v>
      </c>
      <c r="AC28" s="430">
        <f t="shared" ref="AC28:AC41" si="33">RANK(AB28, AB$27:AB$41)</f>
        <v>1</v>
      </c>
      <c r="AD28" s="572"/>
      <c r="AE28" s="425">
        <v>5</v>
      </c>
      <c r="AF28" s="425">
        <v>2161.304347826087</v>
      </c>
      <c r="AG28" s="425">
        <v>432.26086956521738</v>
      </c>
      <c r="AH28" s="430">
        <f t="shared" ref="AH28:AH41" si="34">RANK(AG28, AG$27:AG$41)</f>
        <v>1</v>
      </c>
      <c r="AI28" s="572"/>
      <c r="AJ28" s="425">
        <v>5</v>
      </c>
      <c r="AK28" s="425">
        <v>2161.1764705882365</v>
      </c>
      <c r="AL28" s="425">
        <v>432.2352941176473</v>
      </c>
      <c r="AM28" s="430">
        <f t="shared" ref="AM28:AM41" si="35">RANK(AL28, AL$27:AL$41)</f>
        <v>2</v>
      </c>
      <c r="AN28" s="572"/>
      <c r="AO28" s="425">
        <v>5</v>
      </c>
      <c r="AP28" s="425">
        <v>2149.2537313432836</v>
      </c>
      <c r="AQ28" s="425">
        <v>429.85074626865674</v>
      </c>
      <c r="AR28" s="430">
        <f t="shared" ref="AR28:AR41" si="36">RANK(AQ28, AQ$27:AQ$41)</f>
        <v>2</v>
      </c>
      <c r="AS28" s="572"/>
      <c r="AT28" s="425">
        <v>5</v>
      </c>
      <c r="AU28" s="425">
        <v>2140.6153846153857</v>
      </c>
      <c r="AV28" s="425">
        <v>428.12307692307712</v>
      </c>
      <c r="AW28" s="430">
        <f t="shared" ref="AW28:AW41" si="37">RANK(AV28, AV$27:AV$41)</f>
        <v>1</v>
      </c>
      <c r="AX28" s="572"/>
      <c r="AZ28" s="407" t="e">
        <f t="shared" si="29"/>
        <v>#N/A</v>
      </c>
      <c r="BA28" s="560"/>
    </row>
    <row r="29" spans="2:53">
      <c r="B29" s="570"/>
      <c r="C29" s="420">
        <v>3</v>
      </c>
      <c r="D29" s="375" t="s">
        <v>366</v>
      </c>
      <c r="E29" s="426">
        <v>12</v>
      </c>
      <c r="F29" s="426">
        <v>2118</v>
      </c>
      <c r="G29" s="426">
        <v>176.5</v>
      </c>
      <c r="H29" s="579"/>
      <c r="I29" s="422">
        <f t="shared" si="20"/>
        <v>12</v>
      </c>
      <c r="J29" s="422">
        <f t="shared" si="21"/>
        <v>1935.3711359209299</v>
      </c>
      <c r="K29" s="200">
        <f t="shared" si="22"/>
        <v>161.28092799341081</v>
      </c>
      <c r="L29" s="581"/>
      <c r="M29" s="432">
        <f>RANK(K29, K$27:$K$41)</f>
        <v>8</v>
      </c>
      <c r="N29" s="564"/>
      <c r="O29" s="564"/>
      <c r="P29" s="425">
        <v>12</v>
      </c>
      <c r="Q29" s="425">
        <v>1893.3333333333326</v>
      </c>
      <c r="R29" s="425">
        <v>157.77777777777771</v>
      </c>
      <c r="S29" s="430">
        <f t="shared" si="31"/>
        <v>8</v>
      </c>
      <c r="T29" s="572"/>
      <c r="U29" s="425">
        <v>12</v>
      </c>
      <c r="V29" s="425">
        <v>1876.7647058823532</v>
      </c>
      <c r="W29" s="425">
        <v>156.39705882352942</v>
      </c>
      <c r="X29" s="430">
        <f t="shared" si="32"/>
        <v>8</v>
      </c>
      <c r="Y29" s="572"/>
      <c r="Z29" s="425">
        <v>12</v>
      </c>
      <c r="AA29" s="425">
        <v>1948.5714285714294</v>
      </c>
      <c r="AB29" s="425">
        <v>162.38095238095244</v>
      </c>
      <c r="AC29" s="430">
        <f t="shared" si="33"/>
        <v>7</v>
      </c>
      <c r="AD29" s="572"/>
      <c r="AE29" s="425">
        <v>12</v>
      </c>
      <c r="AF29" s="425">
        <v>1929.4736842105262</v>
      </c>
      <c r="AG29" s="425">
        <v>160.78947368421052</v>
      </c>
      <c r="AH29" s="430">
        <f t="shared" si="34"/>
        <v>8</v>
      </c>
      <c r="AI29" s="572"/>
      <c r="AJ29" s="425">
        <v>12</v>
      </c>
      <c r="AK29" s="425">
        <v>1939.6874999999995</v>
      </c>
      <c r="AL29" s="425">
        <v>161.64062499999997</v>
      </c>
      <c r="AM29" s="430">
        <f t="shared" si="35"/>
        <v>7</v>
      </c>
      <c r="AN29" s="572"/>
      <c r="AO29" s="425">
        <v>12</v>
      </c>
      <c r="AP29" s="425">
        <v>2001.7391304347827</v>
      </c>
      <c r="AQ29" s="425">
        <v>166.81159420289856</v>
      </c>
      <c r="AR29" s="430">
        <f t="shared" si="36"/>
        <v>6</v>
      </c>
      <c r="AS29" s="572"/>
      <c r="AT29" s="425">
        <v>12</v>
      </c>
      <c r="AU29" s="425">
        <v>1958.0281690140848</v>
      </c>
      <c r="AV29" s="425">
        <v>163.16901408450707</v>
      </c>
      <c r="AW29" s="430">
        <f t="shared" si="37"/>
        <v>7</v>
      </c>
      <c r="AX29" s="572"/>
      <c r="AZ29" s="407" t="e">
        <f t="shared" si="29"/>
        <v>#N/A</v>
      </c>
      <c r="BA29" s="560"/>
    </row>
    <row r="30" spans="2:53">
      <c r="B30" s="570"/>
      <c r="C30" s="420">
        <v>4</v>
      </c>
      <c r="D30" s="375" t="s">
        <v>610</v>
      </c>
      <c r="E30" s="426">
        <v>13</v>
      </c>
      <c r="F30" s="426">
        <v>2250</v>
      </c>
      <c r="G30" s="426">
        <v>187.5</v>
      </c>
      <c r="H30" s="579"/>
      <c r="I30" s="422">
        <f t="shared" si="20"/>
        <v>13</v>
      </c>
      <c r="J30" s="422">
        <f t="shared" si="21"/>
        <v>2153.2312908566432</v>
      </c>
      <c r="K30" s="200">
        <f t="shared" si="22"/>
        <v>165.63317621974178</v>
      </c>
      <c r="L30" s="581"/>
      <c r="M30" s="432">
        <f>RANK(K30, K$27:$K$41)</f>
        <v>5</v>
      </c>
      <c r="N30" s="564"/>
      <c r="O30" s="564"/>
      <c r="P30" s="425">
        <v>13</v>
      </c>
      <c r="Q30" s="425">
        <v>2175.1515151515146</v>
      </c>
      <c r="R30" s="425">
        <v>167.31934731934729</v>
      </c>
      <c r="S30" s="430">
        <f t="shared" si="31"/>
        <v>5</v>
      </c>
      <c r="T30" s="572"/>
      <c r="U30" s="425">
        <v>13</v>
      </c>
      <c r="V30" s="425">
        <v>2168.2978723404249</v>
      </c>
      <c r="W30" s="425">
        <v>166.79214402618652</v>
      </c>
      <c r="X30" s="430">
        <f t="shared" si="32"/>
        <v>5</v>
      </c>
      <c r="Y30" s="572"/>
      <c r="Z30" s="425">
        <v>13</v>
      </c>
      <c r="AA30" s="425">
        <v>2116.1290322580639</v>
      </c>
      <c r="AB30" s="425">
        <v>162.77915632754338</v>
      </c>
      <c r="AC30" s="430">
        <f t="shared" si="33"/>
        <v>6</v>
      </c>
      <c r="AD30" s="572"/>
      <c r="AE30" s="425">
        <v>13</v>
      </c>
      <c r="AF30" s="425">
        <v>2134.588235294118</v>
      </c>
      <c r="AG30" s="425">
        <v>164.19909502262448</v>
      </c>
      <c r="AH30" s="430">
        <f t="shared" si="34"/>
        <v>6</v>
      </c>
      <c r="AI30" s="572"/>
      <c r="AJ30" s="425">
        <v>13</v>
      </c>
      <c r="AK30" s="425">
        <v>2176.6666666666665</v>
      </c>
      <c r="AL30" s="425">
        <v>167.43589743589743</v>
      </c>
      <c r="AM30" s="430">
        <f t="shared" si="35"/>
        <v>5</v>
      </c>
      <c r="AN30" s="572"/>
      <c r="AO30" s="425">
        <v>13</v>
      </c>
      <c r="AP30" s="425">
        <v>2134.2857142857147</v>
      </c>
      <c r="AQ30" s="425">
        <v>164.1758241758242</v>
      </c>
      <c r="AR30" s="430">
        <f t="shared" si="36"/>
        <v>8</v>
      </c>
      <c r="AS30" s="572"/>
      <c r="AT30" s="425">
        <v>13</v>
      </c>
      <c r="AU30" s="425">
        <v>2167.5000000000005</v>
      </c>
      <c r="AV30" s="425">
        <v>166.73076923076925</v>
      </c>
      <c r="AW30" s="430">
        <f t="shared" si="37"/>
        <v>5</v>
      </c>
      <c r="AX30" s="572"/>
      <c r="AZ30" s="407" t="e">
        <f t="shared" si="29"/>
        <v>#N/A</v>
      </c>
      <c r="BA30" s="560"/>
    </row>
    <row r="31" spans="2:53">
      <c r="B31" s="570"/>
      <c r="C31" s="420">
        <v>5</v>
      </c>
      <c r="D31" s="375" t="s">
        <v>367</v>
      </c>
      <c r="E31" s="426">
        <v>13</v>
      </c>
      <c r="F31" s="426">
        <v>2250</v>
      </c>
      <c r="G31" s="426">
        <v>173.1</v>
      </c>
      <c r="H31" s="579"/>
      <c r="I31" s="422">
        <f t="shared" si="20"/>
        <v>13</v>
      </c>
      <c r="J31" s="422">
        <f t="shared" si="21"/>
        <v>2136.7121277355623</v>
      </c>
      <c r="K31" s="200">
        <f t="shared" si="22"/>
        <v>164.362471364274</v>
      </c>
      <c r="L31" s="581"/>
      <c r="M31" s="432">
        <f>RANK(K31, K$27:$K$41)</f>
        <v>6</v>
      </c>
      <c r="N31" s="564"/>
      <c r="O31" s="564"/>
      <c r="P31" s="425">
        <v>13</v>
      </c>
      <c r="Q31" s="425">
        <v>2138.4210526315787</v>
      </c>
      <c r="R31" s="425">
        <v>164.49392712550605</v>
      </c>
      <c r="S31" s="430">
        <f t="shared" si="31"/>
        <v>6</v>
      </c>
      <c r="T31" s="572"/>
      <c r="U31" s="425">
        <v>13</v>
      </c>
      <c r="V31" s="425">
        <v>2152.5714285714289</v>
      </c>
      <c r="W31" s="425">
        <v>165.58241758241761</v>
      </c>
      <c r="X31" s="430">
        <f t="shared" si="32"/>
        <v>6</v>
      </c>
      <c r="Y31" s="572"/>
      <c r="Z31" s="425">
        <v>13</v>
      </c>
      <c r="AA31" s="425">
        <v>2102.9411764705883</v>
      </c>
      <c r="AB31" s="425">
        <v>161.76470588235296</v>
      </c>
      <c r="AC31" s="430">
        <f t="shared" si="33"/>
        <v>8</v>
      </c>
      <c r="AD31" s="572"/>
      <c r="AE31" s="425">
        <v>13</v>
      </c>
      <c r="AF31" s="425">
        <v>2126.0000000000009</v>
      </c>
      <c r="AG31" s="425">
        <v>163.5384615384616</v>
      </c>
      <c r="AH31" s="430">
        <f t="shared" si="34"/>
        <v>7</v>
      </c>
      <c r="AI31" s="572"/>
      <c r="AJ31" s="425">
        <v>13</v>
      </c>
      <c r="AK31" s="425">
        <v>2152.5773195876295</v>
      </c>
      <c r="AL31" s="425">
        <v>165.58287073750995</v>
      </c>
      <c r="AM31" s="430">
        <f t="shared" si="35"/>
        <v>6</v>
      </c>
      <c r="AN31" s="572"/>
      <c r="AO31" s="425">
        <v>13</v>
      </c>
      <c r="AP31" s="425">
        <v>2141.0256410256407</v>
      </c>
      <c r="AQ31" s="425">
        <v>164.69428007889545</v>
      </c>
      <c r="AR31" s="430">
        <f t="shared" si="36"/>
        <v>7</v>
      </c>
      <c r="AS31" s="572"/>
      <c r="AT31" s="425">
        <v>13</v>
      </c>
      <c r="AU31" s="425">
        <v>2143.4482758620688</v>
      </c>
      <c r="AV31" s="425">
        <v>164.88063660477454</v>
      </c>
      <c r="AW31" s="430">
        <f t="shared" si="37"/>
        <v>6</v>
      </c>
      <c r="AX31" s="572"/>
      <c r="AZ31" s="407" t="e">
        <f t="shared" si="29"/>
        <v>#N/A</v>
      </c>
      <c r="BA31" s="560"/>
    </row>
    <row r="32" spans="2:53">
      <c r="B32" s="570"/>
      <c r="C32" s="420">
        <v>6</v>
      </c>
      <c r="D32" s="375" t="s">
        <v>368</v>
      </c>
      <c r="E32" s="426">
        <v>10</v>
      </c>
      <c r="F32" s="426">
        <v>2769</v>
      </c>
      <c r="G32" s="426">
        <v>276.89999999999998</v>
      </c>
      <c r="H32" s="579"/>
      <c r="I32" s="422">
        <f t="shared" si="20"/>
        <v>10</v>
      </c>
      <c r="J32" s="422">
        <f t="shared" si="21"/>
        <v>2373.5311383114213</v>
      </c>
      <c r="K32" s="200">
        <f t="shared" si="22"/>
        <v>237.35311383114217</v>
      </c>
      <c r="L32" s="581"/>
      <c r="M32" s="432">
        <f>RANK(K32, K$27:$K$41)</f>
        <v>4</v>
      </c>
      <c r="N32" s="564"/>
      <c r="O32" s="564"/>
      <c r="P32" s="425">
        <v>10</v>
      </c>
      <c r="Q32" s="425">
        <v>2378.7234042553182</v>
      </c>
      <c r="R32" s="425">
        <v>237.87234042553183</v>
      </c>
      <c r="S32" s="430">
        <f t="shared" si="31"/>
        <v>4</v>
      </c>
      <c r="T32" s="572"/>
      <c r="U32" s="425">
        <v>10</v>
      </c>
      <c r="V32" s="425">
        <v>2360.6249999999995</v>
      </c>
      <c r="W32" s="425">
        <v>236.06249999999994</v>
      </c>
      <c r="X32" s="430">
        <f t="shared" si="32"/>
        <v>4</v>
      </c>
      <c r="Y32" s="572"/>
      <c r="Z32" s="425">
        <v>10</v>
      </c>
      <c r="AA32" s="425">
        <v>2361.6716417910452</v>
      </c>
      <c r="AB32" s="425">
        <v>236.16716417910453</v>
      </c>
      <c r="AC32" s="430">
        <f t="shared" si="33"/>
        <v>4</v>
      </c>
      <c r="AD32" s="572"/>
      <c r="AE32" s="425">
        <v>10</v>
      </c>
      <c r="AF32" s="425">
        <v>2386.8749999999995</v>
      </c>
      <c r="AG32" s="425">
        <v>238.68749999999994</v>
      </c>
      <c r="AH32" s="430">
        <f t="shared" si="34"/>
        <v>4</v>
      </c>
      <c r="AI32" s="572"/>
      <c r="AJ32" s="425">
        <v>10</v>
      </c>
      <c r="AK32" s="425">
        <v>2386.588235294118</v>
      </c>
      <c r="AL32" s="425">
        <v>238.65882352941179</v>
      </c>
      <c r="AM32" s="430">
        <f t="shared" si="35"/>
        <v>4</v>
      </c>
      <c r="AN32" s="572"/>
      <c r="AO32" s="425">
        <v>10</v>
      </c>
      <c r="AP32" s="425">
        <v>2379.7752808988776</v>
      </c>
      <c r="AQ32" s="425">
        <v>237.97752808988776</v>
      </c>
      <c r="AR32" s="430">
        <f t="shared" si="36"/>
        <v>4</v>
      </c>
      <c r="AS32" s="572"/>
      <c r="AT32" s="425">
        <v>10</v>
      </c>
      <c r="AU32" s="425">
        <v>2360.4594059405931</v>
      </c>
      <c r="AV32" s="425">
        <v>236.04594059405932</v>
      </c>
      <c r="AW32" s="430">
        <f t="shared" si="37"/>
        <v>4</v>
      </c>
      <c r="AX32" s="572"/>
      <c r="AZ32" s="407" t="e">
        <f t="shared" si="29"/>
        <v>#N/A</v>
      </c>
      <c r="BA32" s="560"/>
    </row>
    <row r="33" spans="2:53">
      <c r="B33" s="570"/>
      <c r="C33" s="420">
        <v>7</v>
      </c>
      <c r="D33" s="375" t="s">
        <v>364</v>
      </c>
      <c r="E33" s="426">
        <v>18</v>
      </c>
      <c r="F33" s="426">
        <v>1200</v>
      </c>
      <c r="G33" s="426">
        <v>66.666666666666671</v>
      </c>
      <c r="H33" s="579"/>
      <c r="I33" s="422">
        <f t="shared" si="20"/>
        <v>18</v>
      </c>
      <c r="J33" s="422">
        <f t="shared" si="21"/>
        <v>1165.4066249360235</v>
      </c>
      <c r="K33" s="200">
        <f t="shared" si="22"/>
        <v>64.744812496445746</v>
      </c>
      <c r="L33" s="581"/>
      <c r="M33" s="432">
        <f>RANK(K33, K$27:$K$41)</f>
        <v>9</v>
      </c>
      <c r="N33" s="564"/>
      <c r="O33" s="564"/>
      <c r="P33" s="425">
        <v>18</v>
      </c>
      <c r="Q33" s="425">
        <v>1101.5533980582529</v>
      </c>
      <c r="R33" s="425">
        <v>61.197411003236276</v>
      </c>
      <c r="S33" s="430">
        <f t="shared" si="31"/>
        <v>9</v>
      </c>
      <c r="T33" s="572"/>
      <c r="U33" s="425">
        <v>18</v>
      </c>
      <c r="V33" s="425">
        <v>1170.0000000000002</v>
      </c>
      <c r="W33" s="425">
        <v>65.000000000000014</v>
      </c>
      <c r="X33" s="430">
        <f t="shared" si="32"/>
        <v>9</v>
      </c>
      <c r="Y33" s="572"/>
      <c r="Z33" s="425">
        <v>18</v>
      </c>
      <c r="AA33" s="425">
        <v>1189.3333333333335</v>
      </c>
      <c r="AB33" s="425">
        <v>66.074074074074076</v>
      </c>
      <c r="AC33" s="430">
        <f t="shared" si="33"/>
        <v>9</v>
      </c>
      <c r="AD33" s="572"/>
      <c r="AE33" s="425">
        <v>18</v>
      </c>
      <c r="AF33" s="425">
        <v>1186.3636363636365</v>
      </c>
      <c r="AG33" s="425">
        <v>65.909090909090921</v>
      </c>
      <c r="AH33" s="430">
        <f t="shared" si="34"/>
        <v>9</v>
      </c>
      <c r="AI33" s="572"/>
      <c r="AJ33" s="425">
        <v>18</v>
      </c>
      <c r="AK33" s="425">
        <v>1157.5000000000002</v>
      </c>
      <c r="AL33" s="425">
        <v>64.305555555555571</v>
      </c>
      <c r="AM33" s="430">
        <f t="shared" si="35"/>
        <v>9</v>
      </c>
      <c r="AN33" s="572"/>
      <c r="AO33" s="425">
        <v>18</v>
      </c>
      <c r="AP33" s="425">
        <v>1192.9090909090899</v>
      </c>
      <c r="AQ33" s="425">
        <v>66.272727272727209</v>
      </c>
      <c r="AR33" s="430">
        <f t="shared" si="36"/>
        <v>9</v>
      </c>
      <c r="AS33" s="572"/>
      <c r="AT33" s="425">
        <v>18</v>
      </c>
      <c r="AU33" s="425">
        <v>1160.186915887851</v>
      </c>
      <c r="AV33" s="425">
        <v>64.454828660436164</v>
      </c>
      <c r="AW33" s="430">
        <f t="shared" si="37"/>
        <v>9</v>
      </c>
      <c r="AX33" s="572"/>
      <c r="AZ33" s="407" t="e">
        <f t="shared" si="29"/>
        <v>#N/A</v>
      </c>
      <c r="BA33" s="560"/>
    </row>
    <row r="34" spans="2:53">
      <c r="B34" s="570"/>
      <c r="C34" s="420">
        <v>8</v>
      </c>
      <c r="D34" s="375" t="s">
        <v>542</v>
      </c>
      <c r="E34" s="426">
        <v>12</v>
      </c>
      <c r="F34" s="426">
        <v>2118</v>
      </c>
      <c r="G34" s="426">
        <v>176.5</v>
      </c>
      <c r="H34" s="579"/>
      <c r="I34" s="422">
        <f t="shared" si="20"/>
        <v>12</v>
      </c>
      <c r="J34" s="422">
        <f t="shared" si="21"/>
        <v>1950.3091210324383</v>
      </c>
      <c r="K34" s="200">
        <f t="shared" si="22"/>
        <v>162.52576008603651</v>
      </c>
      <c r="L34" s="581"/>
      <c r="M34" s="432">
        <f>RANK(K34, K$27:$K$41)</f>
        <v>7</v>
      </c>
      <c r="N34" s="564"/>
      <c r="O34" s="564"/>
      <c r="P34" s="425">
        <v>12</v>
      </c>
      <c r="Q34" s="425">
        <v>1901.2500000000009</v>
      </c>
      <c r="R34" s="425">
        <v>158.43750000000009</v>
      </c>
      <c r="S34" s="430">
        <f t="shared" si="31"/>
        <v>7</v>
      </c>
      <c r="T34" s="572"/>
      <c r="U34" s="425">
        <v>12</v>
      </c>
      <c r="V34" s="425">
        <v>1898.3606557377043</v>
      </c>
      <c r="W34" s="425">
        <v>158.19672131147536</v>
      </c>
      <c r="X34" s="430">
        <f t="shared" si="32"/>
        <v>7</v>
      </c>
      <c r="Y34" s="572"/>
      <c r="Z34" s="425">
        <v>12</v>
      </c>
      <c r="AA34" s="425">
        <v>1957.2413793103451</v>
      </c>
      <c r="AB34" s="425">
        <v>163.10344827586209</v>
      </c>
      <c r="AC34" s="430">
        <f t="shared" si="33"/>
        <v>5</v>
      </c>
      <c r="AD34" s="572"/>
      <c r="AE34" s="425">
        <v>12</v>
      </c>
      <c r="AF34" s="425">
        <v>1982.553191489362</v>
      </c>
      <c r="AG34" s="425">
        <v>165.21276595744683</v>
      </c>
      <c r="AH34" s="430">
        <f t="shared" si="34"/>
        <v>5</v>
      </c>
      <c r="AI34" s="572"/>
      <c r="AJ34" s="425">
        <v>12</v>
      </c>
      <c r="AK34" s="425">
        <v>1926.6666666666677</v>
      </c>
      <c r="AL34" s="425">
        <v>160.55555555555563</v>
      </c>
      <c r="AM34" s="430">
        <f t="shared" si="35"/>
        <v>8</v>
      </c>
      <c r="AN34" s="572"/>
      <c r="AO34" s="425">
        <v>12</v>
      </c>
      <c r="AP34" s="425">
        <v>2032.758620689654</v>
      </c>
      <c r="AQ34" s="425">
        <v>169.39655172413782</v>
      </c>
      <c r="AR34" s="430">
        <f t="shared" si="36"/>
        <v>5</v>
      </c>
      <c r="AS34" s="572"/>
      <c r="AT34" s="425">
        <v>12</v>
      </c>
      <c r="AU34" s="425">
        <v>1953.333333333333</v>
      </c>
      <c r="AV34" s="425">
        <v>162.77777777777774</v>
      </c>
      <c r="AW34" s="430">
        <f t="shared" si="37"/>
        <v>8</v>
      </c>
      <c r="AX34" s="572"/>
      <c r="AZ34" s="407" t="e">
        <f t="shared" si="29"/>
        <v>#N/A</v>
      </c>
      <c r="BA34" s="560"/>
    </row>
    <row r="35" spans="2:53">
      <c r="B35" s="570"/>
      <c r="C35" s="420">
        <v>9</v>
      </c>
      <c r="D35" s="375" t="s">
        <v>600</v>
      </c>
      <c r="E35" s="426">
        <v>4</v>
      </c>
      <c r="F35" s="426">
        <v>2000</v>
      </c>
      <c r="G35" s="426">
        <v>500</v>
      </c>
      <c r="H35" s="579"/>
      <c r="I35" s="422">
        <f t="shared" si="20"/>
        <v>5</v>
      </c>
      <c r="J35" s="422">
        <f t="shared" si="21"/>
        <v>1892.4860853432249</v>
      </c>
      <c r="K35" s="200">
        <f t="shared" si="22"/>
        <v>378.497217068645</v>
      </c>
      <c r="L35" s="581"/>
      <c r="M35" s="432">
        <f>RANK(K35, K$27:$K$41)</f>
        <v>3</v>
      </c>
      <c r="N35" s="564"/>
      <c r="O35" s="564"/>
      <c r="P35" s="425">
        <v>5</v>
      </c>
      <c r="Q35" s="425">
        <v>1907.9999999999966</v>
      </c>
      <c r="R35" s="425">
        <v>381.59999999999934</v>
      </c>
      <c r="S35" s="430">
        <f t="shared" si="31"/>
        <v>3</v>
      </c>
      <c r="T35" s="572"/>
      <c r="U35" s="425">
        <v>5</v>
      </c>
      <c r="V35" s="425">
        <v>1919.9999999999975</v>
      </c>
      <c r="W35" s="425">
        <v>383.99999999999949</v>
      </c>
      <c r="X35" s="430">
        <f t="shared" si="32"/>
        <v>3</v>
      </c>
      <c r="Y35" s="572"/>
      <c r="Z35" s="425">
        <v>5</v>
      </c>
      <c r="AA35" s="425">
        <v>1911.9999999999966</v>
      </c>
      <c r="AB35" s="425">
        <v>382.3999999999993</v>
      </c>
      <c r="AC35" s="430">
        <f t="shared" si="33"/>
        <v>3</v>
      </c>
      <c r="AD35" s="572"/>
      <c r="AE35" s="425">
        <v>5</v>
      </c>
      <c r="AF35" s="425">
        <v>1854.5454545454545</v>
      </c>
      <c r="AG35" s="425">
        <v>370.90909090909088</v>
      </c>
      <c r="AH35" s="430">
        <f t="shared" si="34"/>
        <v>3</v>
      </c>
      <c r="AI35" s="572"/>
      <c r="AJ35" s="425">
        <v>5</v>
      </c>
      <c r="AK35" s="425">
        <v>1851.4285714285675</v>
      </c>
      <c r="AL35" s="425">
        <v>370.28571428571348</v>
      </c>
      <c r="AM35" s="430">
        <f t="shared" si="35"/>
        <v>3</v>
      </c>
      <c r="AN35" s="572"/>
      <c r="AO35" s="425">
        <v>5</v>
      </c>
      <c r="AP35" s="425">
        <v>1859.999999999995</v>
      </c>
      <c r="AQ35" s="425">
        <v>371.99999999999898</v>
      </c>
      <c r="AR35" s="430">
        <f t="shared" si="36"/>
        <v>3</v>
      </c>
      <c r="AS35" s="572"/>
      <c r="AT35" s="425">
        <v>5</v>
      </c>
      <c r="AU35" s="425">
        <v>1941.4285714285675</v>
      </c>
      <c r="AV35" s="425">
        <v>388.28571428571348</v>
      </c>
      <c r="AW35" s="430">
        <f t="shared" si="37"/>
        <v>3</v>
      </c>
      <c r="AX35" s="572"/>
      <c r="AZ35" s="407" t="e">
        <f t="shared" si="29"/>
        <v>#N/A</v>
      </c>
      <c r="BA35" s="560"/>
    </row>
    <row r="36" spans="2:53">
      <c r="B36" s="570"/>
      <c r="C36" s="420">
        <v>10</v>
      </c>
      <c r="D36" s="375"/>
      <c r="E36" s="426"/>
      <c r="F36" s="426"/>
      <c r="G36" s="426"/>
      <c r="H36" s="579"/>
      <c r="I36" s="422" t="str">
        <f t="shared" si="20"/>
        <v>-</v>
      </c>
      <c r="J36" s="422" t="str">
        <f t="shared" si="21"/>
        <v>-</v>
      </c>
      <c r="K36" s="200" t="str">
        <f t="shared" si="22"/>
        <v>-</v>
      </c>
      <c r="L36" s="581"/>
      <c r="M36" s="432" t="e">
        <f>RANK(K36, K$27:$K$41)</f>
        <v>#VALUE!</v>
      </c>
      <c r="N36" s="564"/>
      <c r="O36" s="564"/>
      <c r="P36" s="425"/>
      <c r="Q36" s="425"/>
      <c r="R36" s="425"/>
      <c r="S36" s="430" t="e">
        <f t="shared" si="31"/>
        <v>#N/A</v>
      </c>
      <c r="T36" s="572"/>
      <c r="U36" s="425"/>
      <c r="V36" s="425"/>
      <c r="W36" s="425"/>
      <c r="X36" s="430" t="e">
        <f t="shared" si="32"/>
        <v>#N/A</v>
      </c>
      <c r="Y36" s="572"/>
      <c r="Z36" s="425"/>
      <c r="AA36" s="425"/>
      <c r="AB36" s="425"/>
      <c r="AC36" s="430" t="e">
        <f t="shared" si="33"/>
        <v>#N/A</v>
      </c>
      <c r="AD36" s="572"/>
      <c r="AE36" s="425"/>
      <c r="AF36" s="425"/>
      <c r="AG36" s="425"/>
      <c r="AH36" s="430" t="e">
        <f t="shared" si="34"/>
        <v>#N/A</v>
      </c>
      <c r="AI36" s="572"/>
      <c r="AJ36" s="425"/>
      <c r="AK36" s="425"/>
      <c r="AL36" s="425"/>
      <c r="AM36" s="430" t="e">
        <f t="shared" si="35"/>
        <v>#N/A</v>
      </c>
      <c r="AN36" s="572"/>
      <c r="AO36" s="425"/>
      <c r="AP36" s="425"/>
      <c r="AQ36" s="425"/>
      <c r="AR36" s="430" t="e">
        <f t="shared" si="36"/>
        <v>#N/A</v>
      </c>
      <c r="AS36" s="572"/>
      <c r="AT36" s="425"/>
      <c r="AU36" s="425"/>
      <c r="AV36" s="425"/>
      <c r="AW36" s="430" t="e">
        <f t="shared" si="37"/>
        <v>#N/A</v>
      </c>
      <c r="AX36" s="572"/>
      <c r="AZ36" s="407" t="e">
        <f t="shared" si="29"/>
        <v>#N/A</v>
      </c>
      <c r="BA36" s="560"/>
    </row>
    <row r="37" spans="2:53">
      <c r="B37" s="570"/>
      <c r="C37" s="420">
        <v>11</v>
      </c>
      <c r="D37" s="375"/>
      <c r="E37" s="426"/>
      <c r="F37" s="426"/>
      <c r="G37" s="426"/>
      <c r="H37" s="579"/>
      <c r="I37" s="422" t="str">
        <f t="shared" si="20"/>
        <v>-</v>
      </c>
      <c r="J37" s="422" t="str">
        <f t="shared" si="21"/>
        <v>-</v>
      </c>
      <c r="K37" s="200" t="str">
        <f t="shared" si="22"/>
        <v>-</v>
      </c>
      <c r="L37" s="581"/>
      <c r="M37" s="432" t="e">
        <f>RANK(K37, K$27:$K$41)</f>
        <v>#VALUE!</v>
      </c>
      <c r="N37" s="564"/>
      <c r="O37" s="564"/>
      <c r="P37" s="425"/>
      <c r="Q37" s="425"/>
      <c r="R37" s="425"/>
      <c r="S37" s="430" t="e">
        <f t="shared" si="31"/>
        <v>#N/A</v>
      </c>
      <c r="T37" s="572"/>
      <c r="U37" s="425"/>
      <c r="V37" s="425"/>
      <c r="W37" s="425"/>
      <c r="X37" s="430" t="e">
        <f t="shared" si="32"/>
        <v>#N/A</v>
      </c>
      <c r="Y37" s="572"/>
      <c r="Z37" s="425"/>
      <c r="AA37" s="425"/>
      <c r="AB37" s="425"/>
      <c r="AC37" s="430" t="e">
        <f t="shared" si="33"/>
        <v>#N/A</v>
      </c>
      <c r="AD37" s="572"/>
      <c r="AE37" s="425"/>
      <c r="AF37" s="425"/>
      <c r="AG37" s="425"/>
      <c r="AH37" s="430" t="e">
        <f t="shared" si="34"/>
        <v>#N/A</v>
      </c>
      <c r="AI37" s="572"/>
      <c r="AJ37" s="425"/>
      <c r="AK37" s="425"/>
      <c r="AL37" s="425"/>
      <c r="AM37" s="430" t="e">
        <f t="shared" si="35"/>
        <v>#N/A</v>
      </c>
      <c r="AN37" s="572"/>
      <c r="AO37" s="425"/>
      <c r="AP37" s="425"/>
      <c r="AQ37" s="425"/>
      <c r="AR37" s="430" t="e">
        <f t="shared" si="36"/>
        <v>#N/A</v>
      </c>
      <c r="AS37" s="572"/>
      <c r="AT37" s="425"/>
      <c r="AU37" s="425"/>
      <c r="AV37" s="425"/>
      <c r="AW37" s="430" t="e">
        <f t="shared" si="37"/>
        <v>#N/A</v>
      </c>
      <c r="AX37" s="572"/>
      <c r="AZ37" s="407" t="e">
        <f t="shared" si="29"/>
        <v>#N/A</v>
      </c>
      <c r="BA37" s="560"/>
    </row>
    <row r="38" spans="2:53">
      <c r="B38" s="570"/>
      <c r="C38" s="420">
        <v>12</v>
      </c>
      <c r="D38" s="375"/>
      <c r="E38" s="426"/>
      <c r="F38" s="426"/>
      <c r="G38" s="426"/>
      <c r="H38" s="579"/>
      <c r="I38" s="422" t="str">
        <f t="shared" si="20"/>
        <v>-</v>
      </c>
      <c r="J38" s="422" t="str">
        <f t="shared" si="21"/>
        <v>-</v>
      </c>
      <c r="K38" s="200" t="str">
        <f t="shared" si="22"/>
        <v>-</v>
      </c>
      <c r="L38" s="581"/>
      <c r="M38" s="432" t="e">
        <f>RANK(K38, K$27:$K$41)</f>
        <v>#VALUE!</v>
      </c>
      <c r="N38" s="564"/>
      <c r="O38" s="564"/>
      <c r="P38" s="425"/>
      <c r="Q38" s="425"/>
      <c r="R38" s="425"/>
      <c r="S38" s="430" t="e">
        <f t="shared" si="31"/>
        <v>#N/A</v>
      </c>
      <c r="T38" s="572"/>
      <c r="U38" s="425"/>
      <c r="V38" s="425"/>
      <c r="W38" s="425"/>
      <c r="X38" s="430" t="e">
        <f t="shared" si="32"/>
        <v>#N/A</v>
      </c>
      <c r="Y38" s="572"/>
      <c r="Z38" s="425"/>
      <c r="AA38" s="425"/>
      <c r="AB38" s="425"/>
      <c r="AC38" s="430" t="e">
        <f t="shared" si="33"/>
        <v>#N/A</v>
      </c>
      <c r="AD38" s="572"/>
      <c r="AE38" s="425"/>
      <c r="AF38" s="425"/>
      <c r="AG38" s="425"/>
      <c r="AH38" s="430" t="e">
        <f t="shared" si="34"/>
        <v>#N/A</v>
      </c>
      <c r="AI38" s="572"/>
      <c r="AJ38" s="425"/>
      <c r="AK38" s="425"/>
      <c r="AL38" s="425"/>
      <c r="AM38" s="430" t="e">
        <f t="shared" si="35"/>
        <v>#N/A</v>
      </c>
      <c r="AN38" s="572"/>
      <c r="AO38" s="425"/>
      <c r="AP38" s="425"/>
      <c r="AQ38" s="425"/>
      <c r="AR38" s="430" t="e">
        <f t="shared" si="36"/>
        <v>#N/A</v>
      </c>
      <c r="AS38" s="572"/>
      <c r="AT38" s="425"/>
      <c r="AU38" s="425"/>
      <c r="AV38" s="425"/>
      <c r="AW38" s="430" t="e">
        <f t="shared" si="37"/>
        <v>#N/A</v>
      </c>
      <c r="AX38" s="572"/>
      <c r="AZ38" s="407" t="e">
        <f t="shared" si="29"/>
        <v>#N/A</v>
      </c>
      <c r="BA38" s="560"/>
    </row>
    <row r="39" spans="2:53">
      <c r="B39" s="570"/>
      <c r="C39" s="420">
        <v>13</v>
      </c>
      <c r="D39" s="375"/>
      <c r="E39" s="426"/>
      <c r="F39" s="426"/>
      <c r="G39" s="426"/>
      <c r="H39" s="579"/>
      <c r="I39" s="422" t="str">
        <f t="shared" si="20"/>
        <v>-</v>
      </c>
      <c r="J39" s="422" t="str">
        <f t="shared" si="21"/>
        <v>-</v>
      </c>
      <c r="K39" s="200" t="str">
        <f t="shared" si="22"/>
        <v>-</v>
      </c>
      <c r="L39" s="581"/>
      <c r="M39" s="432" t="e">
        <f>RANK(K39, K$27:$K$41)</f>
        <v>#VALUE!</v>
      </c>
      <c r="N39" s="564"/>
      <c r="O39" s="564"/>
      <c r="P39" s="425"/>
      <c r="Q39" s="425"/>
      <c r="R39" s="425"/>
      <c r="S39" s="430" t="e">
        <f t="shared" si="31"/>
        <v>#N/A</v>
      </c>
      <c r="T39" s="572"/>
      <c r="U39" s="425"/>
      <c r="V39" s="425"/>
      <c r="W39" s="425"/>
      <c r="X39" s="430" t="e">
        <f t="shared" si="32"/>
        <v>#N/A</v>
      </c>
      <c r="Y39" s="572"/>
      <c r="Z39" s="425"/>
      <c r="AA39" s="425"/>
      <c r="AB39" s="425"/>
      <c r="AC39" s="430" t="e">
        <f t="shared" si="33"/>
        <v>#N/A</v>
      </c>
      <c r="AD39" s="572"/>
      <c r="AE39" s="425"/>
      <c r="AF39" s="425"/>
      <c r="AG39" s="425"/>
      <c r="AH39" s="430" t="e">
        <f t="shared" si="34"/>
        <v>#N/A</v>
      </c>
      <c r="AI39" s="572"/>
      <c r="AJ39" s="425"/>
      <c r="AK39" s="425"/>
      <c r="AL39" s="425"/>
      <c r="AM39" s="430" t="e">
        <f t="shared" si="35"/>
        <v>#N/A</v>
      </c>
      <c r="AN39" s="572"/>
      <c r="AO39" s="425"/>
      <c r="AP39" s="425"/>
      <c r="AQ39" s="425"/>
      <c r="AR39" s="430" t="e">
        <f t="shared" si="36"/>
        <v>#N/A</v>
      </c>
      <c r="AS39" s="572"/>
      <c r="AT39" s="425"/>
      <c r="AU39" s="425"/>
      <c r="AV39" s="425"/>
      <c r="AW39" s="430" t="e">
        <f t="shared" si="37"/>
        <v>#N/A</v>
      </c>
      <c r="AX39" s="572"/>
      <c r="AZ39" s="407" t="e">
        <f t="shared" si="29"/>
        <v>#N/A</v>
      </c>
      <c r="BA39" s="560"/>
    </row>
    <row r="40" spans="2:53">
      <c r="B40" s="570"/>
      <c r="C40" s="420">
        <v>14</v>
      </c>
      <c r="D40" s="375"/>
      <c r="E40" s="426"/>
      <c r="F40" s="426"/>
      <c r="G40" s="426"/>
      <c r="H40" s="579"/>
      <c r="I40" s="422" t="str">
        <f t="shared" si="20"/>
        <v>-</v>
      </c>
      <c r="J40" s="422" t="str">
        <f t="shared" si="21"/>
        <v>-</v>
      </c>
      <c r="K40" s="200" t="str">
        <f t="shared" si="22"/>
        <v>-</v>
      </c>
      <c r="L40" s="581"/>
      <c r="M40" s="432" t="e">
        <f>RANK(K40, K$27:$K$41)</f>
        <v>#VALUE!</v>
      </c>
      <c r="N40" s="564"/>
      <c r="O40" s="564"/>
      <c r="P40" s="425"/>
      <c r="Q40" s="425"/>
      <c r="R40" s="425"/>
      <c r="S40" s="430" t="e">
        <f t="shared" si="31"/>
        <v>#N/A</v>
      </c>
      <c r="T40" s="572"/>
      <c r="U40" s="425"/>
      <c r="V40" s="425"/>
      <c r="W40" s="425"/>
      <c r="X40" s="430" t="e">
        <f t="shared" si="32"/>
        <v>#N/A</v>
      </c>
      <c r="Y40" s="572"/>
      <c r="Z40" s="425"/>
      <c r="AA40" s="425"/>
      <c r="AB40" s="425"/>
      <c r="AC40" s="430" t="e">
        <f t="shared" si="33"/>
        <v>#N/A</v>
      </c>
      <c r="AD40" s="572"/>
      <c r="AE40" s="425"/>
      <c r="AF40" s="425"/>
      <c r="AG40" s="425"/>
      <c r="AH40" s="430" t="e">
        <f t="shared" si="34"/>
        <v>#N/A</v>
      </c>
      <c r="AI40" s="572"/>
      <c r="AJ40" s="425"/>
      <c r="AK40" s="425"/>
      <c r="AL40" s="425"/>
      <c r="AM40" s="430" t="e">
        <f t="shared" si="35"/>
        <v>#N/A</v>
      </c>
      <c r="AN40" s="572"/>
      <c r="AO40" s="425"/>
      <c r="AP40" s="425"/>
      <c r="AQ40" s="425"/>
      <c r="AR40" s="430" t="e">
        <f t="shared" si="36"/>
        <v>#N/A</v>
      </c>
      <c r="AS40" s="572"/>
      <c r="AT40" s="425"/>
      <c r="AU40" s="425"/>
      <c r="AV40" s="425"/>
      <c r="AW40" s="430" t="e">
        <f t="shared" si="37"/>
        <v>#N/A</v>
      </c>
      <c r="AX40" s="572"/>
      <c r="AZ40" s="407" t="e">
        <f t="shared" si="29"/>
        <v>#N/A</v>
      </c>
      <c r="BA40" s="560"/>
    </row>
    <row r="41" spans="2:53">
      <c r="B41" s="570"/>
      <c r="C41" s="420">
        <v>15</v>
      </c>
      <c r="D41" s="375"/>
      <c r="E41" s="426"/>
      <c r="F41" s="426"/>
      <c r="G41" s="426"/>
      <c r="H41" s="639"/>
      <c r="I41" s="426"/>
      <c r="J41" s="426"/>
      <c r="K41" s="423"/>
      <c r="L41" s="582"/>
      <c r="M41" s="432" t="e">
        <f>RANK(K41, K$27:$K$41)</f>
        <v>#N/A</v>
      </c>
      <c r="N41" s="564"/>
      <c r="O41" s="564"/>
      <c r="P41" s="425"/>
      <c r="Q41" s="425"/>
      <c r="R41" s="425"/>
      <c r="S41" s="430" t="e">
        <f t="shared" si="31"/>
        <v>#N/A</v>
      </c>
      <c r="T41" s="572"/>
      <c r="U41" s="425"/>
      <c r="V41" s="425"/>
      <c r="W41" s="425"/>
      <c r="X41" s="430" t="e">
        <f t="shared" si="32"/>
        <v>#N/A</v>
      </c>
      <c r="Y41" s="572"/>
      <c r="Z41" s="425"/>
      <c r="AA41" s="425"/>
      <c r="AB41" s="425"/>
      <c r="AC41" s="430" t="e">
        <f t="shared" si="33"/>
        <v>#N/A</v>
      </c>
      <c r="AD41" s="572"/>
      <c r="AE41" s="425"/>
      <c r="AF41" s="425"/>
      <c r="AG41" s="425"/>
      <c r="AH41" s="430" t="e">
        <f t="shared" si="34"/>
        <v>#N/A</v>
      </c>
      <c r="AI41" s="572"/>
      <c r="AJ41" s="425"/>
      <c r="AK41" s="425"/>
      <c r="AL41" s="425"/>
      <c r="AM41" s="430" t="e">
        <f t="shared" si="35"/>
        <v>#N/A</v>
      </c>
      <c r="AN41" s="572"/>
      <c r="AO41" s="425"/>
      <c r="AP41" s="425"/>
      <c r="AQ41" s="425"/>
      <c r="AR41" s="430" t="e">
        <f t="shared" si="36"/>
        <v>#N/A</v>
      </c>
      <c r="AS41" s="572"/>
      <c r="AT41" s="425"/>
      <c r="AU41" s="425"/>
      <c r="AV41" s="425"/>
      <c r="AW41" s="430" t="e">
        <f t="shared" si="37"/>
        <v>#N/A</v>
      </c>
      <c r="AX41" s="572"/>
      <c r="AZ41" s="407" t="e">
        <f t="shared" si="29"/>
        <v>#N/A</v>
      </c>
      <c r="BA41" s="561"/>
    </row>
    <row r="42" spans="2:53" ht="15.75">
      <c r="B42" s="608" t="s">
        <v>163</v>
      </c>
      <c r="C42" s="609"/>
      <c r="D42" s="609"/>
      <c r="E42" s="609"/>
      <c r="F42" s="609"/>
      <c r="G42" s="609"/>
      <c r="H42" s="609"/>
      <c r="I42" s="208"/>
      <c r="J42" s="203"/>
      <c r="K42" s="208"/>
      <c r="L42" s="208"/>
      <c r="M42" s="204"/>
      <c r="N42" s="566" t="s">
        <v>156</v>
      </c>
      <c r="O42" s="566" t="s">
        <v>105</v>
      </c>
      <c r="P42" s="592">
        <f>P22+7</f>
        <v>46154</v>
      </c>
      <c r="Q42" s="570"/>
      <c r="R42" s="570"/>
      <c r="S42" s="570"/>
      <c r="T42" s="570"/>
      <c r="U42" s="589">
        <f>P42+1</f>
        <v>46155</v>
      </c>
      <c r="V42" s="590"/>
      <c r="W42" s="590"/>
      <c r="X42" s="590"/>
      <c r="Y42" s="591"/>
      <c r="Z42" s="589">
        <f>U42+1</f>
        <v>46156</v>
      </c>
      <c r="AA42" s="590"/>
      <c r="AB42" s="590"/>
      <c r="AC42" s="590"/>
      <c r="AD42" s="591"/>
      <c r="AE42" s="589">
        <f>Z42+1</f>
        <v>46157</v>
      </c>
      <c r="AF42" s="590"/>
      <c r="AG42" s="590"/>
      <c r="AH42" s="590"/>
      <c r="AI42" s="591"/>
      <c r="AJ42" s="589">
        <f>AE42+1</f>
        <v>46158</v>
      </c>
      <c r="AK42" s="590"/>
      <c r="AL42" s="590"/>
      <c r="AM42" s="590"/>
      <c r="AN42" s="591"/>
      <c r="AO42" s="589">
        <f>AJ42+1</f>
        <v>46159</v>
      </c>
      <c r="AP42" s="590"/>
      <c r="AQ42" s="590"/>
      <c r="AR42" s="590"/>
      <c r="AS42" s="591"/>
      <c r="AT42" s="589">
        <f>AO42+1</f>
        <v>46160</v>
      </c>
      <c r="AU42" s="590"/>
      <c r="AV42" s="590"/>
      <c r="AW42" s="590"/>
      <c r="AX42" s="591"/>
    </row>
    <row r="43" spans="2:53" ht="15.75">
      <c r="B43" s="596"/>
      <c r="C43" s="596"/>
      <c r="D43" s="596"/>
      <c r="E43" s="596"/>
      <c r="F43" s="596"/>
      <c r="G43" s="596"/>
      <c r="H43" s="596"/>
      <c r="I43" s="205"/>
      <c r="J43" s="205"/>
      <c r="K43" s="205"/>
      <c r="L43" s="205"/>
      <c r="M43" s="206"/>
      <c r="N43" s="568"/>
      <c r="O43" s="568"/>
      <c r="P43" s="592" t="s">
        <v>318</v>
      </c>
      <c r="Q43" s="570"/>
      <c r="R43" s="570"/>
      <c r="S43" s="570"/>
      <c r="T43" s="570"/>
      <c r="U43" s="592" t="s">
        <v>319</v>
      </c>
      <c r="V43" s="570"/>
      <c r="W43" s="570"/>
      <c r="X43" s="570"/>
      <c r="Y43" s="570"/>
      <c r="Z43" s="592" t="s">
        <v>320</v>
      </c>
      <c r="AA43" s="570"/>
      <c r="AB43" s="570"/>
      <c r="AC43" s="570"/>
      <c r="AD43" s="570"/>
      <c r="AE43" s="592" t="s">
        <v>321</v>
      </c>
      <c r="AF43" s="570"/>
      <c r="AG43" s="570"/>
      <c r="AH43" s="570"/>
      <c r="AI43" s="570"/>
      <c r="AJ43" s="592" t="s">
        <v>322</v>
      </c>
      <c r="AK43" s="570"/>
      <c r="AL43" s="570"/>
      <c r="AM43" s="570"/>
      <c r="AN43" s="570"/>
      <c r="AO43" s="592" t="s">
        <v>323</v>
      </c>
      <c r="AP43" s="570"/>
      <c r="AQ43" s="570"/>
      <c r="AR43" s="570"/>
      <c r="AS43" s="570"/>
      <c r="AT43" s="592" t="s">
        <v>324</v>
      </c>
      <c r="AU43" s="570"/>
      <c r="AV43" s="570"/>
      <c r="AW43" s="570"/>
      <c r="AX43" s="570"/>
    </row>
    <row r="44" spans="2:53">
      <c r="B44" s="564" t="s">
        <v>377</v>
      </c>
      <c r="C44" s="564" t="s">
        <v>387</v>
      </c>
      <c r="D44" s="564"/>
      <c r="E44" s="564" t="s">
        <v>378</v>
      </c>
      <c r="F44" s="564"/>
      <c r="G44" s="564"/>
      <c r="H44" s="597" t="s">
        <v>374</v>
      </c>
      <c r="I44" s="564" t="s">
        <v>379</v>
      </c>
      <c r="J44" s="564"/>
      <c r="K44" s="564"/>
      <c r="L44" s="597" t="s">
        <v>374</v>
      </c>
      <c r="M44" s="566" t="s">
        <v>375</v>
      </c>
      <c r="N44" s="564"/>
      <c r="O44" s="564" t="s">
        <v>380</v>
      </c>
      <c r="P44" s="583" t="s">
        <v>376</v>
      </c>
      <c r="Q44" s="584"/>
      <c r="R44" s="584"/>
      <c r="S44" s="585"/>
      <c r="T44" s="564" t="s">
        <v>374</v>
      </c>
      <c r="U44" s="583" t="s">
        <v>376</v>
      </c>
      <c r="V44" s="584"/>
      <c r="W44" s="584"/>
      <c r="X44" s="585"/>
      <c r="Y44" s="564" t="s">
        <v>374</v>
      </c>
      <c r="Z44" s="583" t="s">
        <v>376</v>
      </c>
      <c r="AA44" s="584"/>
      <c r="AB44" s="584"/>
      <c r="AC44" s="585"/>
      <c r="AD44" s="564" t="s">
        <v>374</v>
      </c>
      <c r="AE44" s="583" t="s">
        <v>376</v>
      </c>
      <c r="AF44" s="584"/>
      <c r="AG44" s="584"/>
      <c r="AH44" s="585"/>
      <c r="AI44" s="564" t="s">
        <v>374</v>
      </c>
      <c r="AJ44" s="583" t="s">
        <v>376</v>
      </c>
      <c r="AK44" s="584"/>
      <c r="AL44" s="584"/>
      <c r="AM44" s="585"/>
      <c r="AN44" s="564" t="s">
        <v>374</v>
      </c>
      <c r="AO44" s="583" t="s">
        <v>376</v>
      </c>
      <c r="AP44" s="584"/>
      <c r="AQ44" s="584"/>
      <c r="AR44" s="585"/>
      <c r="AS44" s="564" t="s">
        <v>374</v>
      </c>
      <c r="AT44" s="583" t="s">
        <v>376</v>
      </c>
      <c r="AU44" s="584"/>
      <c r="AV44" s="584"/>
      <c r="AW44" s="585"/>
      <c r="AX44" s="564" t="s">
        <v>374</v>
      </c>
      <c r="BA44" s="564" t="s">
        <v>374</v>
      </c>
    </row>
    <row r="45" spans="2:53">
      <c r="B45" s="564"/>
      <c r="C45" s="564"/>
      <c r="D45" s="564"/>
      <c r="E45" s="564" t="s">
        <v>381</v>
      </c>
      <c r="F45" s="564"/>
      <c r="G45" s="564"/>
      <c r="H45" s="598"/>
      <c r="I45" s="564" t="s">
        <v>381</v>
      </c>
      <c r="J45" s="564"/>
      <c r="K45" s="564"/>
      <c r="L45" s="598"/>
      <c r="M45" s="567"/>
      <c r="N45" s="564"/>
      <c r="O45" s="564"/>
      <c r="P45" s="583" t="s">
        <v>382</v>
      </c>
      <c r="Q45" s="584"/>
      <c r="R45" s="584"/>
      <c r="S45" s="585"/>
      <c r="T45" s="564"/>
      <c r="U45" s="583" t="s">
        <v>382</v>
      </c>
      <c r="V45" s="584"/>
      <c r="W45" s="584"/>
      <c r="X45" s="585"/>
      <c r="Y45" s="564"/>
      <c r="Z45" s="583" t="s">
        <v>382</v>
      </c>
      <c r="AA45" s="584"/>
      <c r="AB45" s="584"/>
      <c r="AC45" s="585"/>
      <c r="AD45" s="564"/>
      <c r="AE45" s="583" t="s">
        <v>382</v>
      </c>
      <c r="AF45" s="584"/>
      <c r="AG45" s="584"/>
      <c r="AH45" s="585"/>
      <c r="AI45" s="564"/>
      <c r="AJ45" s="583" t="s">
        <v>382</v>
      </c>
      <c r="AK45" s="584"/>
      <c r="AL45" s="584"/>
      <c r="AM45" s="585"/>
      <c r="AN45" s="564"/>
      <c r="AO45" s="583" t="s">
        <v>382</v>
      </c>
      <c r="AP45" s="584"/>
      <c r="AQ45" s="584"/>
      <c r="AR45" s="585"/>
      <c r="AS45" s="564"/>
      <c r="AT45" s="583" t="s">
        <v>382</v>
      </c>
      <c r="AU45" s="584"/>
      <c r="AV45" s="584"/>
      <c r="AW45" s="585"/>
      <c r="AX45" s="564"/>
      <c r="BA45" s="564"/>
    </row>
    <row r="46" spans="2:53">
      <c r="B46" s="564"/>
      <c r="C46" s="564"/>
      <c r="D46" s="564"/>
      <c r="E46" s="417" t="s">
        <v>383</v>
      </c>
      <c r="F46" s="417" t="s">
        <v>384</v>
      </c>
      <c r="G46" s="417" t="s">
        <v>385</v>
      </c>
      <c r="H46" s="599"/>
      <c r="I46" s="417" t="s">
        <v>383</v>
      </c>
      <c r="J46" s="417" t="s">
        <v>384</v>
      </c>
      <c r="K46" s="417" t="s">
        <v>385</v>
      </c>
      <c r="L46" s="599"/>
      <c r="M46" s="568"/>
      <c r="N46" s="564"/>
      <c r="O46" s="564"/>
      <c r="P46" s="417" t="s">
        <v>383</v>
      </c>
      <c r="Q46" s="417" t="s">
        <v>384</v>
      </c>
      <c r="R46" s="417" t="s">
        <v>385</v>
      </c>
      <c r="S46" s="417" t="s">
        <v>375</v>
      </c>
      <c r="T46" s="564"/>
      <c r="U46" s="417" t="s">
        <v>383</v>
      </c>
      <c r="V46" s="417" t="s">
        <v>384</v>
      </c>
      <c r="W46" s="417" t="s">
        <v>385</v>
      </c>
      <c r="X46" s="417" t="s">
        <v>375</v>
      </c>
      <c r="Y46" s="564"/>
      <c r="Z46" s="417" t="s">
        <v>383</v>
      </c>
      <c r="AA46" s="417" t="s">
        <v>384</v>
      </c>
      <c r="AB46" s="417" t="s">
        <v>385</v>
      </c>
      <c r="AC46" s="417" t="s">
        <v>375</v>
      </c>
      <c r="AD46" s="564"/>
      <c r="AE46" s="417" t="s">
        <v>383</v>
      </c>
      <c r="AF46" s="417" t="s">
        <v>384</v>
      </c>
      <c r="AG46" s="417" t="s">
        <v>385</v>
      </c>
      <c r="AH46" s="417" t="s">
        <v>375</v>
      </c>
      <c r="AI46" s="564"/>
      <c r="AJ46" s="417" t="s">
        <v>383</v>
      </c>
      <c r="AK46" s="417" t="s">
        <v>384</v>
      </c>
      <c r="AL46" s="417" t="s">
        <v>385</v>
      </c>
      <c r="AM46" s="417" t="s">
        <v>375</v>
      </c>
      <c r="AN46" s="564"/>
      <c r="AO46" s="417" t="s">
        <v>383</v>
      </c>
      <c r="AP46" s="417" t="s">
        <v>384</v>
      </c>
      <c r="AQ46" s="417" t="s">
        <v>385</v>
      </c>
      <c r="AR46" s="417" t="s">
        <v>375</v>
      </c>
      <c r="AS46" s="564"/>
      <c r="AT46" s="417" t="s">
        <v>383</v>
      </c>
      <c r="AU46" s="417" t="s">
        <v>384</v>
      </c>
      <c r="AV46" s="417" t="s">
        <v>385</v>
      </c>
      <c r="AW46" s="417" t="s">
        <v>375</v>
      </c>
      <c r="AX46" s="564"/>
      <c r="AZ46" s="406" t="s">
        <v>595</v>
      </c>
      <c r="BA46" s="564"/>
    </row>
    <row r="47" spans="2:53">
      <c r="B47" s="626" t="s">
        <v>386</v>
      </c>
      <c r="C47" s="420">
        <v>1</v>
      </c>
      <c r="D47" s="375" t="s">
        <v>365</v>
      </c>
      <c r="E47" s="426">
        <v>4</v>
      </c>
      <c r="F47" s="426">
        <v>2000</v>
      </c>
      <c r="G47" s="426">
        <v>500</v>
      </c>
      <c r="H47" s="578">
        <f>AVERAGE(G47:G61)</f>
        <v>257.14583333333337</v>
      </c>
      <c r="I47" s="422" t="str">
        <f t="shared" ref="I47:I60" si="38">IFERROR(AVERAGE(P47,U47,Z47,AE47,AJ47,AO47,AT47),"-")</f>
        <v>-</v>
      </c>
      <c r="J47" s="422">
        <f t="shared" ref="J47:J60" si="39">IFERROR(AVERAGE(Q47,V47,AA47,AF47,AK47,AP47,AU47),"-")</f>
        <v>2128.8056352446451</v>
      </c>
      <c r="K47" s="200">
        <f t="shared" ref="K47:K60" si="40">IFERROR(AVERAGE(R47,W47,AB47,AG47,AL47,AQ47,AV47),"-")</f>
        <v>425.76112704892915</v>
      </c>
      <c r="L47" s="580">
        <f>IFERROR(AVERAGE(K47:K61),"-")</f>
        <v>229.22859442012552</v>
      </c>
      <c r="M47" s="501">
        <f>RANK(K47, K$47:$K$61)</f>
        <v>1</v>
      </c>
      <c r="N47" s="564"/>
      <c r="O47" s="564"/>
      <c r="P47" s="498">
        <v>5</v>
      </c>
      <c r="Q47" s="425">
        <v>2141.739130434783</v>
      </c>
      <c r="R47" s="425">
        <v>428.34782608695662</v>
      </c>
      <c r="S47" s="498">
        <f t="shared" ref="S47:S61" si="41">RANK(R47, R$47:R$61)</f>
        <v>2</v>
      </c>
      <c r="T47" s="559">
        <f t="shared" ref="T47" si="42">AVERAGE(R47:R61)</f>
        <v>231.48797751776056</v>
      </c>
      <c r="U47" s="498">
        <v>5</v>
      </c>
      <c r="V47" s="425">
        <v>2107.6190476190486</v>
      </c>
      <c r="W47" s="425">
        <v>421.52380952380975</v>
      </c>
      <c r="X47" s="498">
        <f t="shared" ref="X47:X61" si="43">RANK(W47, W$47:W$61)</f>
        <v>2</v>
      </c>
      <c r="Y47" s="559">
        <f t="shared" ref="Y47" si="44">AVERAGE(W47:W61)</f>
        <v>228.70239441814331</v>
      </c>
      <c r="Z47" s="498">
        <v>5</v>
      </c>
      <c r="AA47" s="425">
        <v>2139.6774193548395</v>
      </c>
      <c r="AB47" s="425">
        <v>427.93548387096791</v>
      </c>
      <c r="AC47" s="498">
        <f t="shared" ref="AC47:AC61" si="45">RANK(AB47, AB$47:AB$61)</f>
        <v>1</v>
      </c>
      <c r="AD47" s="559">
        <f t="shared" ref="AD47" si="46">AVERAGE(AB47:AB61)</f>
        <v>230.1426229142912</v>
      </c>
      <c r="AE47" s="498">
        <v>5</v>
      </c>
      <c r="AF47" s="425">
        <v>2134.7999999999993</v>
      </c>
      <c r="AG47" s="425">
        <v>426.95999999999987</v>
      </c>
      <c r="AH47" s="498">
        <f t="shared" ref="AH47:AH61" si="47">RANK(AG47, AG$47:AG$61)</f>
        <v>1</v>
      </c>
      <c r="AI47" s="559">
        <f t="shared" ref="AI47" si="48">AVERAGE(AG47:AG61)</f>
        <v>227.35444653668753</v>
      </c>
      <c r="AJ47" s="498">
        <v>5</v>
      </c>
      <c r="AK47" s="425">
        <v>2108.7272727272725</v>
      </c>
      <c r="AL47" s="425">
        <v>421.74545454545449</v>
      </c>
      <c r="AM47" s="498">
        <f t="shared" ref="AM47:AM61" si="49">RANK(AL47, AL$47:AL$61)</f>
        <v>1</v>
      </c>
      <c r="AN47" s="559">
        <f t="shared" ref="AN47" si="50">AVERAGE(AL47:AL61)</f>
        <v>228.00168823642807</v>
      </c>
      <c r="AO47" s="498">
        <v>5</v>
      </c>
      <c r="AP47" s="425">
        <v>2133.2432432432429</v>
      </c>
      <c r="AQ47" s="425">
        <v>426.64864864864859</v>
      </c>
      <c r="AR47" s="498">
        <f t="shared" ref="AR47:AR61" si="51">RANK(AQ47, AQ$47:AQ$61)</f>
        <v>1</v>
      </c>
      <c r="AS47" s="559">
        <f t="shared" ref="AS47" si="52">AVERAGE(AQ47:AQ61)</f>
        <v>229.84788111371336</v>
      </c>
      <c r="AT47" s="559" t="e">
        <f t="shared" ref="AT47" si="53">AVERAGE(AR47:AR61)</f>
        <v>#VALUE!</v>
      </c>
      <c r="AU47" s="425">
        <v>2135.8333333333326</v>
      </c>
      <c r="AV47" s="425">
        <v>427.16666666666652</v>
      </c>
      <c r="AW47" s="498">
        <f t="shared" ref="AW47:AW61" si="54">RANK(AV47, AV$47:AV$61)</f>
        <v>1</v>
      </c>
      <c r="AX47" s="559">
        <f t="shared" ref="AX47" si="55">AVERAGE(AV47:AV61)</f>
        <v>229.06315020385432</v>
      </c>
      <c r="AZ47" s="407" t="e">
        <f t="shared" ref="AZ47:AZ61" si="56">RANK(AY47, AY$47:AY$61)</f>
        <v>#N/A</v>
      </c>
      <c r="BA47" s="559" t="e">
        <f t="shared" ref="BA47" si="57">AVERAGE(AY47:AY61)</f>
        <v>#DIV/0!</v>
      </c>
    </row>
    <row r="48" spans="2:53">
      <c r="B48" s="570"/>
      <c r="C48" s="420">
        <v>2</v>
      </c>
      <c r="D48" s="375" t="s">
        <v>443</v>
      </c>
      <c r="E48" s="426">
        <v>4</v>
      </c>
      <c r="F48" s="426">
        <v>2000</v>
      </c>
      <c r="G48" s="426">
        <v>500</v>
      </c>
      <c r="H48" s="579"/>
      <c r="I48" s="422">
        <f t="shared" si="38"/>
        <v>5</v>
      </c>
      <c r="J48" s="422">
        <f t="shared" si="39"/>
        <v>2122.6110862880637</v>
      </c>
      <c r="K48" s="200">
        <f t="shared" si="40"/>
        <v>424.52221725761274</v>
      </c>
      <c r="L48" s="581"/>
      <c r="M48" s="501">
        <f>RANK(K48, K$47:$K$61)</f>
        <v>2</v>
      </c>
      <c r="N48" s="564"/>
      <c r="O48" s="564"/>
      <c r="P48" s="498">
        <v>5</v>
      </c>
      <c r="Q48" s="425">
        <v>2158.1538461538471</v>
      </c>
      <c r="R48" s="425">
        <v>431.63076923076943</v>
      </c>
      <c r="S48" s="498">
        <f t="shared" si="41"/>
        <v>1</v>
      </c>
      <c r="T48" s="560"/>
      <c r="U48" s="498">
        <v>5</v>
      </c>
      <c r="V48" s="425">
        <v>2146.9999999999991</v>
      </c>
      <c r="W48" s="425">
        <v>429.39999999999981</v>
      </c>
      <c r="X48" s="498">
        <f t="shared" si="43"/>
        <v>1</v>
      </c>
      <c r="Y48" s="560"/>
      <c r="Z48" s="498">
        <v>5</v>
      </c>
      <c r="AA48" s="425">
        <v>2131.0344827586191</v>
      </c>
      <c r="AB48" s="425">
        <v>426.20689655172384</v>
      </c>
      <c r="AC48" s="498">
        <f t="shared" si="45"/>
        <v>2</v>
      </c>
      <c r="AD48" s="560"/>
      <c r="AE48" s="498">
        <v>5</v>
      </c>
      <c r="AF48" s="425">
        <v>2093.7500000000005</v>
      </c>
      <c r="AG48" s="425">
        <v>418.75000000000011</v>
      </c>
      <c r="AH48" s="498">
        <f t="shared" si="47"/>
        <v>2</v>
      </c>
      <c r="AI48" s="560"/>
      <c r="AJ48" s="498">
        <v>5</v>
      </c>
      <c r="AK48" s="425">
        <v>2087.7777777777774</v>
      </c>
      <c r="AL48" s="425">
        <v>417.55555555555549</v>
      </c>
      <c r="AM48" s="498">
        <f t="shared" si="49"/>
        <v>2</v>
      </c>
      <c r="AN48" s="560"/>
      <c r="AO48" s="498">
        <v>5</v>
      </c>
      <c r="AP48" s="425">
        <v>2129.090909090909</v>
      </c>
      <c r="AQ48" s="425">
        <v>425.81818181818181</v>
      </c>
      <c r="AR48" s="498">
        <f t="shared" si="51"/>
        <v>2</v>
      </c>
      <c r="AS48" s="560"/>
      <c r="AT48" s="560"/>
      <c r="AU48" s="425">
        <v>2111.4705882352937</v>
      </c>
      <c r="AV48" s="425">
        <v>422.29411764705873</v>
      </c>
      <c r="AW48" s="498">
        <f t="shared" si="54"/>
        <v>2</v>
      </c>
      <c r="AX48" s="560"/>
      <c r="AZ48" s="407" t="e">
        <f t="shared" si="56"/>
        <v>#N/A</v>
      </c>
      <c r="BA48" s="560"/>
    </row>
    <row r="49" spans="2:53">
      <c r="B49" s="570"/>
      <c r="C49" s="420">
        <v>3</v>
      </c>
      <c r="D49" s="375" t="s">
        <v>366</v>
      </c>
      <c r="E49" s="426">
        <v>12</v>
      </c>
      <c r="F49" s="426">
        <v>2118</v>
      </c>
      <c r="G49" s="426">
        <v>176.5</v>
      </c>
      <c r="H49" s="579"/>
      <c r="I49" s="422">
        <f t="shared" si="38"/>
        <v>12</v>
      </c>
      <c r="J49" s="422">
        <f t="shared" si="39"/>
        <v>1983.9960397157006</v>
      </c>
      <c r="K49" s="200">
        <f t="shared" si="40"/>
        <v>165.3330033096417</v>
      </c>
      <c r="L49" s="581"/>
      <c r="M49" s="501">
        <f>RANK(K49, K$47:$K$61)</f>
        <v>7</v>
      </c>
      <c r="N49" s="564"/>
      <c r="O49" s="564"/>
      <c r="P49" s="498">
        <v>12</v>
      </c>
      <c r="Q49" s="425">
        <v>2023.3333333333323</v>
      </c>
      <c r="R49" s="425">
        <v>168.61111111111103</v>
      </c>
      <c r="S49" s="498">
        <f t="shared" si="41"/>
        <v>6</v>
      </c>
      <c r="T49" s="560"/>
      <c r="U49" s="498">
        <v>12</v>
      </c>
      <c r="V49" s="425">
        <v>1956.8571428571433</v>
      </c>
      <c r="W49" s="425">
        <v>163.07142857142861</v>
      </c>
      <c r="X49" s="498">
        <f t="shared" si="43"/>
        <v>7</v>
      </c>
      <c r="Y49" s="560"/>
      <c r="Z49" s="498">
        <v>12</v>
      </c>
      <c r="AA49" s="425">
        <v>1970.1492537313434</v>
      </c>
      <c r="AB49" s="425">
        <v>164.17910447761196</v>
      </c>
      <c r="AC49" s="498">
        <f t="shared" si="45"/>
        <v>7</v>
      </c>
      <c r="AD49" s="560"/>
      <c r="AE49" s="498">
        <v>12</v>
      </c>
      <c r="AF49" s="425">
        <v>2007.4576271186443</v>
      </c>
      <c r="AG49" s="425">
        <v>167.28813559322035</v>
      </c>
      <c r="AH49" s="498">
        <f t="shared" si="47"/>
        <v>4</v>
      </c>
      <c r="AI49" s="560"/>
      <c r="AJ49" s="498">
        <v>12</v>
      </c>
      <c r="AK49" s="425">
        <v>1957.8461538461536</v>
      </c>
      <c r="AL49" s="425">
        <v>163.15384615384613</v>
      </c>
      <c r="AM49" s="498">
        <f t="shared" si="49"/>
        <v>7</v>
      </c>
      <c r="AN49" s="560"/>
      <c r="AO49" s="498">
        <v>12</v>
      </c>
      <c r="AP49" s="425">
        <v>1992.3287671232874</v>
      </c>
      <c r="AQ49" s="425">
        <v>166.02739726027394</v>
      </c>
      <c r="AR49" s="498">
        <f t="shared" si="51"/>
        <v>6</v>
      </c>
      <c r="AS49" s="560"/>
      <c r="AT49" s="560"/>
      <c r="AU49" s="425">
        <v>1980</v>
      </c>
      <c r="AV49" s="425">
        <v>165</v>
      </c>
      <c r="AW49" s="498">
        <f t="shared" si="54"/>
        <v>7</v>
      </c>
      <c r="AX49" s="560"/>
      <c r="AZ49" s="407" t="e">
        <f t="shared" si="56"/>
        <v>#N/A</v>
      </c>
      <c r="BA49" s="560"/>
    </row>
    <row r="50" spans="2:53">
      <c r="B50" s="570"/>
      <c r="C50" s="420">
        <v>4</v>
      </c>
      <c r="D50" s="375" t="s">
        <v>610</v>
      </c>
      <c r="E50" s="426">
        <v>13</v>
      </c>
      <c r="F50" s="426">
        <v>2250</v>
      </c>
      <c r="G50" s="426">
        <v>187.5</v>
      </c>
      <c r="H50" s="579"/>
      <c r="I50" s="422">
        <f t="shared" si="38"/>
        <v>13</v>
      </c>
      <c r="J50" s="422">
        <f t="shared" si="39"/>
        <v>2216.8667745594857</v>
      </c>
      <c r="K50" s="200">
        <f t="shared" si="40"/>
        <v>170.52821342765279</v>
      </c>
      <c r="L50" s="581"/>
      <c r="M50" s="501">
        <f>RANK(K50, K$47:$K$61)</f>
        <v>4</v>
      </c>
      <c r="N50" s="564"/>
      <c r="O50" s="564"/>
      <c r="P50" s="498">
        <v>13</v>
      </c>
      <c r="Q50" s="425">
        <v>2243.7499999999995</v>
      </c>
      <c r="R50" s="425">
        <v>172.59615384615381</v>
      </c>
      <c r="S50" s="498">
        <f t="shared" si="41"/>
        <v>4</v>
      </c>
      <c r="T50" s="560"/>
      <c r="U50" s="498">
        <v>13</v>
      </c>
      <c r="V50" s="425">
        <v>2227.2527472527472</v>
      </c>
      <c r="W50" s="425">
        <v>171.32713440405749</v>
      </c>
      <c r="X50" s="498">
        <f t="shared" si="43"/>
        <v>4</v>
      </c>
      <c r="Y50" s="560"/>
      <c r="Z50" s="498">
        <v>13</v>
      </c>
      <c r="AA50" s="425">
        <v>2241.6279069767438</v>
      </c>
      <c r="AB50" s="425">
        <v>172.43291592128799</v>
      </c>
      <c r="AC50" s="498">
        <f t="shared" si="45"/>
        <v>4</v>
      </c>
      <c r="AD50" s="560"/>
      <c r="AE50" s="498">
        <v>13</v>
      </c>
      <c r="AF50" s="425">
        <v>2156.4705882352946</v>
      </c>
      <c r="AG50" s="425">
        <v>165.88235294117652</v>
      </c>
      <c r="AH50" s="498">
        <f t="shared" si="47"/>
        <v>7</v>
      </c>
      <c r="AI50" s="560"/>
      <c r="AJ50" s="498">
        <v>13</v>
      </c>
      <c r="AK50" s="425">
        <v>2193.6263736263736</v>
      </c>
      <c r="AL50" s="425">
        <v>168.74049027895182</v>
      </c>
      <c r="AM50" s="498">
        <f t="shared" si="49"/>
        <v>5</v>
      </c>
      <c r="AN50" s="560"/>
      <c r="AO50" s="498">
        <v>13</v>
      </c>
      <c r="AP50" s="425">
        <v>2215.3398058252424</v>
      </c>
      <c r="AQ50" s="425">
        <v>170.41075429424941</v>
      </c>
      <c r="AR50" s="498">
        <f t="shared" si="51"/>
        <v>5</v>
      </c>
      <c r="AS50" s="560"/>
      <c r="AT50" s="560"/>
      <c r="AU50" s="425">
        <v>2240</v>
      </c>
      <c r="AV50" s="425">
        <v>172.30769230769232</v>
      </c>
      <c r="AW50" s="498">
        <f t="shared" si="54"/>
        <v>4</v>
      </c>
      <c r="AX50" s="560"/>
      <c r="AZ50" s="407" t="e">
        <f t="shared" si="56"/>
        <v>#N/A</v>
      </c>
      <c r="BA50" s="560"/>
    </row>
    <row r="51" spans="2:53">
      <c r="B51" s="570"/>
      <c r="C51" s="420">
        <v>5</v>
      </c>
      <c r="D51" s="375" t="s">
        <v>367</v>
      </c>
      <c r="E51" s="426">
        <v>13</v>
      </c>
      <c r="F51" s="426">
        <v>2250</v>
      </c>
      <c r="G51" s="426">
        <v>173.1</v>
      </c>
      <c r="H51" s="579"/>
      <c r="I51" s="422">
        <f t="shared" si="38"/>
        <v>13</v>
      </c>
      <c r="J51" s="422">
        <f t="shared" si="39"/>
        <v>2212.6599643193408</v>
      </c>
      <c r="K51" s="200">
        <f t="shared" si="40"/>
        <v>170.20461263994932</v>
      </c>
      <c r="L51" s="581"/>
      <c r="M51" s="501">
        <f>RANK(K51, K$47:$K$61)</f>
        <v>5</v>
      </c>
      <c r="N51" s="564"/>
      <c r="O51" s="564"/>
      <c r="P51" s="498">
        <v>13</v>
      </c>
      <c r="Q51" s="425">
        <v>2229.8076923076937</v>
      </c>
      <c r="R51" s="425">
        <v>171.52366863905337</v>
      </c>
      <c r="S51" s="498">
        <f t="shared" si="41"/>
        <v>5</v>
      </c>
      <c r="T51" s="560"/>
      <c r="U51" s="498">
        <v>13</v>
      </c>
      <c r="V51" s="425">
        <v>2224.705882352941</v>
      </c>
      <c r="W51" s="425">
        <v>171.13122171945699</v>
      </c>
      <c r="X51" s="498">
        <f t="shared" si="43"/>
        <v>5</v>
      </c>
      <c r="Y51" s="560"/>
      <c r="Z51" s="498">
        <v>13</v>
      </c>
      <c r="AA51" s="425">
        <v>2199.9999999999991</v>
      </c>
      <c r="AB51" s="425">
        <v>169.23076923076917</v>
      </c>
      <c r="AC51" s="498">
        <f t="shared" si="45"/>
        <v>5</v>
      </c>
      <c r="AD51" s="560"/>
      <c r="AE51" s="498">
        <v>13</v>
      </c>
      <c r="AF51" s="425">
        <v>2161.3483146067429</v>
      </c>
      <c r="AG51" s="425">
        <v>166.25756266205715</v>
      </c>
      <c r="AH51" s="498">
        <f t="shared" si="47"/>
        <v>6</v>
      </c>
      <c r="AI51" s="560"/>
      <c r="AJ51" s="498">
        <v>13</v>
      </c>
      <c r="AK51" s="425">
        <v>2207.8723404255311</v>
      </c>
      <c r="AL51" s="425">
        <v>169.83633387888702</v>
      </c>
      <c r="AM51" s="498">
        <f t="shared" si="49"/>
        <v>4</v>
      </c>
      <c r="AN51" s="560"/>
      <c r="AO51" s="498">
        <v>13</v>
      </c>
      <c r="AP51" s="425">
        <v>2246.9724770642197</v>
      </c>
      <c r="AQ51" s="425">
        <v>172.84403669724767</v>
      </c>
      <c r="AR51" s="498">
        <f t="shared" si="51"/>
        <v>4</v>
      </c>
      <c r="AS51" s="560"/>
      <c r="AT51" s="560"/>
      <c r="AU51" s="425">
        <v>2217.913043478261</v>
      </c>
      <c r="AV51" s="425">
        <v>170.60869565217394</v>
      </c>
      <c r="AW51" s="498">
        <f t="shared" si="54"/>
        <v>5</v>
      </c>
      <c r="AX51" s="560"/>
      <c r="AZ51" s="407" t="e">
        <f t="shared" si="56"/>
        <v>#N/A</v>
      </c>
      <c r="BA51" s="560"/>
    </row>
    <row r="52" spans="2:53">
      <c r="B52" s="570"/>
      <c r="C52" s="420">
        <v>6</v>
      </c>
      <c r="D52" s="375" t="s">
        <v>368</v>
      </c>
      <c r="E52" s="426">
        <v>10</v>
      </c>
      <c r="F52" s="426">
        <v>2769</v>
      </c>
      <c r="G52" s="426">
        <v>276.89999999999998</v>
      </c>
      <c r="H52" s="579"/>
      <c r="I52" s="422">
        <f t="shared" si="38"/>
        <v>10</v>
      </c>
      <c r="J52" s="422">
        <f t="shared" si="39"/>
        <v>2458.7165521105894</v>
      </c>
      <c r="K52" s="200">
        <f t="shared" si="40"/>
        <v>245.87165521105899</v>
      </c>
      <c r="L52" s="581"/>
      <c r="M52" s="501">
        <f>RANK(K52, K$47:$K$61)</f>
        <v>3</v>
      </c>
      <c r="N52" s="564"/>
      <c r="O52" s="564"/>
      <c r="P52" s="498">
        <v>10</v>
      </c>
      <c r="Q52" s="425">
        <v>2468.4507042253513</v>
      </c>
      <c r="R52" s="425">
        <v>246.84507042253512</v>
      </c>
      <c r="S52" s="498">
        <f t="shared" si="41"/>
        <v>3</v>
      </c>
      <c r="T52" s="560"/>
      <c r="U52" s="498">
        <v>10</v>
      </c>
      <c r="V52" s="425">
        <v>2443.9790575916227</v>
      </c>
      <c r="W52" s="425">
        <v>244.39790575916226</v>
      </c>
      <c r="X52" s="498">
        <f t="shared" si="43"/>
        <v>3</v>
      </c>
      <c r="Y52" s="560"/>
      <c r="Z52" s="498">
        <v>10</v>
      </c>
      <c r="AA52" s="425">
        <v>2475.5932203389839</v>
      </c>
      <c r="AB52" s="425">
        <v>247.55932203389838</v>
      </c>
      <c r="AC52" s="498">
        <f t="shared" si="45"/>
        <v>3</v>
      </c>
      <c r="AD52" s="560"/>
      <c r="AE52" s="498">
        <v>10</v>
      </c>
      <c r="AF52" s="425">
        <v>2407.2151898734178</v>
      </c>
      <c r="AG52" s="425">
        <v>240.72151898734177</v>
      </c>
      <c r="AH52" s="498">
        <f t="shared" si="47"/>
        <v>3</v>
      </c>
      <c r="AI52" s="560"/>
      <c r="AJ52" s="498">
        <v>10</v>
      </c>
      <c r="AK52" s="425">
        <v>2503.8596491228077</v>
      </c>
      <c r="AL52" s="425">
        <v>250.38596491228077</v>
      </c>
      <c r="AM52" s="498">
        <f t="shared" si="49"/>
        <v>3</v>
      </c>
      <c r="AN52" s="560"/>
      <c r="AO52" s="498">
        <v>10</v>
      </c>
      <c r="AP52" s="425">
        <v>2481.176470588236</v>
      </c>
      <c r="AQ52" s="425">
        <v>248.11764705882359</v>
      </c>
      <c r="AR52" s="498">
        <f t="shared" si="51"/>
        <v>3</v>
      </c>
      <c r="AS52" s="560"/>
      <c r="AT52" s="560"/>
      <c r="AU52" s="425">
        <v>2430.7415730337084</v>
      </c>
      <c r="AV52" s="425">
        <v>243.07415730337084</v>
      </c>
      <c r="AW52" s="498">
        <f t="shared" si="54"/>
        <v>3</v>
      </c>
      <c r="AX52" s="560"/>
      <c r="AZ52" s="407" t="e">
        <f t="shared" si="56"/>
        <v>#N/A</v>
      </c>
      <c r="BA52" s="560"/>
    </row>
    <row r="53" spans="2:53">
      <c r="B53" s="570"/>
      <c r="C53" s="420">
        <v>7</v>
      </c>
      <c r="D53" s="375" t="s">
        <v>364</v>
      </c>
      <c r="E53" s="426">
        <v>18</v>
      </c>
      <c r="F53" s="426">
        <v>1200</v>
      </c>
      <c r="G53" s="426">
        <v>66.666666666666671</v>
      </c>
      <c r="H53" s="579"/>
      <c r="I53" s="422">
        <f t="shared" si="38"/>
        <v>18</v>
      </c>
      <c r="J53" s="422">
        <f t="shared" si="39"/>
        <v>1177.7337939315528</v>
      </c>
      <c r="K53" s="200">
        <f t="shared" si="40"/>
        <v>65.429655218419597</v>
      </c>
      <c r="L53" s="581"/>
      <c r="M53" s="501">
        <f>RANK(K53, K$47:$K$61)</f>
        <v>8</v>
      </c>
      <c r="N53" s="564"/>
      <c r="O53" s="564"/>
      <c r="P53" s="498">
        <v>18</v>
      </c>
      <c r="Q53" s="425">
        <v>1182.7777777777783</v>
      </c>
      <c r="R53" s="425">
        <v>65.709876543209901</v>
      </c>
      <c r="S53" s="498">
        <f t="shared" si="41"/>
        <v>8</v>
      </c>
      <c r="T53" s="560"/>
      <c r="U53" s="498">
        <v>18</v>
      </c>
      <c r="V53" s="425">
        <v>1173.7500000000005</v>
      </c>
      <c r="W53" s="425">
        <v>65.208333333333357</v>
      </c>
      <c r="X53" s="498">
        <f t="shared" si="43"/>
        <v>8</v>
      </c>
      <c r="Y53" s="560"/>
      <c r="Z53" s="498">
        <v>18</v>
      </c>
      <c r="AA53" s="425">
        <v>1170.0000000000005</v>
      </c>
      <c r="AB53" s="425">
        <v>65.000000000000028</v>
      </c>
      <c r="AC53" s="498">
        <f t="shared" si="45"/>
        <v>8</v>
      </c>
      <c r="AD53" s="560"/>
      <c r="AE53" s="498">
        <v>18</v>
      </c>
      <c r="AF53" s="425">
        <v>1195.443037974683</v>
      </c>
      <c r="AG53" s="425">
        <v>66.413502109704609</v>
      </c>
      <c r="AH53" s="498">
        <f t="shared" si="47"/>
        <v>8</v>
      </c>
      <c r="AI53" s="560"/>
      <c r="AJ53" s="498">
        <v>18</v>
      </c>
      <c r="AK53" s="425">
        <v>1195.0588235294115</v>
      </c>
      <c r="AL53" s="425">
        <v>66.392156862745082</v>
      </c>
      <c r="AM53" s="498">
        <f t="shared" si="49"/>
        <v>8</v>
      </c>
      <c r="AN53" s="560"/>
      <c r="AO53" s="498">
        <v>18</v>
      </c>
      <c r="AP53" s="425">
        <v>1163.773584905661</v>
      </c>
      <c r="AQ53" s="425">
        <v>64.654088050314499</v>
      </c>
      <c r="AR53" s="498">
        <f t="shared" si="51"/>
        <v>8</v>
      </c>
      <c r="AS53" s="560"/>
      <c r="AT53" s="560"/>
      <c r="AU53" s="425">
        <v>1163.3333333333339</v>
      </c>
      <c r="AV53" s="425">
        <v>64.629629629629662</v>
      </c>
      <c r="AW53" s="498">
        <f t="shared" si="54"/>
        <v>8</v>
      </c>
      <c r="AX53" s="560"/>
      <c r="AZ53" s="407" t="e">
        <f t="shared" si="56"/>
        <v>#N/A</v>
      </c>
      <c r="BA53" s="560"/>
    </row>
    <row r="54" spans="2:53">
      <c r="B54" s="570"/>
      <c r="C54" s="420">
        <v>8</v>
      </c>
      <c r="D54" s="375" t="s">
        <v>542</v>
      </c>
      <c r="E54" s="426">
        <v>12</v>
      </c>
      <c r="F54" s="426">
        <v>2118</v>
      </c>
      <c r="G54" s="426">
        <v>176.5</v>
      </c>
      <c r="H54" s="579"/>
      <c r="I54" s="422">
        <f t="shared" si="38"/>
        <v>12</v>
      </c>
      <c r="J54" s="422">
        <f t="shared" si="39"/>
        <v>1994.1392549728753</v>
      </c>
      <c r="K54" s="200">
        <f t="shared" si="40"/>
        <v>166.17827124773962</v>
      </c>
      <c r="L54" s="581"/>
      <c r="M54" s="501">
        <f>RANK(K54, K$47:$K$61)</f>
        <v>6</v>
      </c>
      <c r="N54" s="564"/>
      <c r="O54" s="564"/>
      <c r="P54" s="498">
        <v>12</v>
      </c>
      <c r="Q54" s="425">
        <v>1999.6721311475417</v>
      </c>
      <c r="R54" s="425">
        <v>166.63934426229514</v>
      </c>
      <c r="S54" s="498">
        <f t="shared" si="41"/>
        <v>7</v>
      </c>
      <c r="T54" s="560"/>
      <c r="U54" s="498">
        <v>12</v>
      </c>
      <c r="V54" s="425">
        <v>1962.7118644067789</v>
      </c>
      <c r="W54" s="425">
        <v>163.55932203389824</v>
      </c>
      <c r="X54" s="498">
        <f t="shared" si="43"/>
        <v>6</v>
      </c>
      <c r="Y54" s="560"/>
      <c r="Z54" s="498">
        <v>12</v>
      </c>
      <c r="AA54" s="425">
        <v>2023.1578947368437</v>
      </c>
      <c r="AB54" s="425">
        <v>168.59649122807031</v>
      </c>
      <c r="AC54" s="498">
        <f t="shared" si="45"/>
        <v>6</v>
      </c>
      <c r="AD54" s="560"/>
      <c r="AE54" s="498">
        <v>12</v>
      </c>
      <c r="AF54" s="425">
        <v>1998.7500000000005</v>
      </c>
      <c r="AG54" s="425">
        <v>166.56250000000003</v>
      </c>
      <c r="AH54" s="498">
        <f t="shared" si="47"/>
        <v>5</v>
      </c>
      <c r="AI54" s="560"/>
      <c r="AJ54" s="498">
        <v>12</v>
      </c>
      <c r="AK54" s="425">
        <v>1994.4444444444453</v>
      </c>
      <c r="AL54" s="425">
        <v>166.20370370370378</v>
      </c>
      <c r="AM54" s="498">
        <f t="shared" si="49"/>
        <v>6</v>
      </c>
      <c r="AN54" s="560"/>
      <c r="AO54" s="498">
        <v>12</v>
      </c>
      <c r="AP54" s="425">
        <v>1971.1475409836071</v>
      </c>
      <c r="AQ54" s="425">
        <v>164.26229508196727</v>
      </c>
      <c r="AR54" s="498">
        <f t="shared" si="51"/>
        <v>7</v>
      </c>
      <c r="AS54" s="560"/>
      <c r="AT54" s="560"/>
      <c r="AU54" s="425">
        <v>2009.0909090909099</v>
      </c>
      <c r="AV54" s="425">
        <v>167.42424242424249</v>
      </c>
      <c r="AW54" s="498">
        <f t="shared" si="54"/>
        <v>6</v>
      </c>
      <c r="AX54" s="560"/>
      <c r="AZ54" s="407" t="e">
        <f t="shared" si="56"/>
        <v>#N/A</v>
      </c>
      <c r="BA54" s="560"/>
    </row>
    <row r="55" spans="2:53">
      <c r="B55" s="570"/>
      <c r="C55" s="420">
        <v>9</v>
      </c>
      <c r="D55" s="375"/>
      <c r="E55" s="426"/>
      <c r="F55" s="426"/>
      <c r="G55" s="426"/>
      <c r="H55" s="579"/>
      <c r="I55" s="422" t="str">
        <f t="shared" si="38"/>
        <v>-</v>
      </c>
      <c r="J55" s="422" t="str">
        <f t="shared" si="39"/>
        <v>-</v>
      </c>
      <c r="K55" s="200" t="str">
        <f t="shared" si="40"/>
        <v>-</v>
      </c>
      <c r="L55" s="581"/>
      <c r="M55" s="501" t="e">
        <f>RANK(K55, K$47:$K$61)</f>
        <v>#VALUE!</v>
      </c>
      <c r="N55" s="564"/>
      <c r="O55" s="564"/>
      <c r="P55" s="498" t="s">
        <v>639</v>
      </c>
      <c r="Q55" s="425" t="s">
        <v>639</v>
      </c>
      <c r="R55" s="425" t="s">
        <v>639</v>
      </c>
      <c r="S55" s="498" t="e">
        <f t="shared" si="41"/>
        <v>#VALUE!</v>
      </c>
      <c r="T55" s="560"/>
      <c r="U55" s="498" t="s">
        <v>639</v>
      </c>
      <c r="V55" s="425" t="s">
        <v>639</v>
      </c>
      <c r="W55" s="425" t="s">
        <v>639</v>
      </c>
      <c r="X55" s="498" t="e">
        <f t="shared" si="43"/>
        <v>#VALUE!</v>
      </c>
      <c r="Y55" s="560"/>
      <c r="Z55" s="498" t="s">
        <v>639</v>
      </c>
      <c r="AA55" s="425" t="s">
        <v>639</v>
      </c>
      <c r="AB55" s="425" t="s">
        <v>639</v>
      </c>
      <c r="AC55" s="498" t="e">
        <f t="shared" si="45"/>
        <v>#VALUE!</v>
      </c>
      <c r="AD55" s="560"/>
      <c r="AE55" s="498" t="s">
        <v>639</v>
      </c>
      <c r="AF55" s="425" t="s">
        <v>639</v>
      </c>
      <c r="AG55" s="425" t="s">
        <v>639</v>
      </c>
      <c r="AH55" s="498" t="e">
        <f t="shared" si="47"/>
        <v>#VALUE!</v>
      </c>
      <c r="AI55" s="560"/>
      <c r="AJ55" s="498" t="s">
        <v>639</v>
      </c>
      <c r="AK55" s="425" t="s">
        <v>639</v>
      </c>
      <c r="AL55" s="425" t="s">
        <v>639</v>
      </c>
      <c r="AM55" s="498" t="e">
        <f t="shared" si="49"/>
        <v>#VALUE!</v>
      </c>
      <c r="AN55" s="560"/>
      <c r="AO55" s="498" t="s">
        <v>639</v>
      </c>
      <c r="AP55" s="425" t="s">
        <v>639</v>
      </c>
      <c r="AQ55" s="425" t="s">
        <v>639</v>
      </c>
      <c r="AR55" s="498" t="e">
        <f t="shared" si="51"/>
        <v>#VALUE!</v>
      </c>
      <c r="AS55" s="560"/>
      <c r="AT55" s="560"/>
      <c r="AU55" s="425" t="s">
        <v>639</v>
      </c>
      <c r="AV55" s="425" t="s">
        <v>639</v>
      </c>
      <c r="AW55" s="498" t="e">
        <f t="shared" si="54"/>
        <v>#VALUE!</v>
      </c>
      <c r="AX55" s="560"/>
      <c r="AZ55" s="407" t="e">
        <f t="shared" si="56"/>
        <v>#N/A</v>
      </c>
      <c r="BA55" s="560"/>
    </row>
    <row r="56" spans="2:53">
      <c r="B56" s="570"/>
      <c r="C56" s="420">
        <v>10</v>
      </c>
      <c r="D56" s="375"/>
      <c r="E56" s="426"/>
      <c r="F56" s="426"/>
      <c r="G56" s="426"/>
      <c r="H56" s="579"/>
      <c r="I56" s="422" t="str">
        <f t="shared" si="38"/>
        <v>-</v>
      </c>
      <c r="J56" s="422" t="str">
        <f t="shared" si="39"/>
        <v>-</v>
      </c>
      <c r="K56" s="200" t="str">
        <f t="shared" si="40"/>
        <v>-</v>
      </c>
      <c r="L56" s="581"/>
      <c r="M56" s="501" t="e">
        <f>RANK(K56, K$47:$K$61)</f>
        <v>#VALUE!</v>
      </c>
      <c r="N56" s="564"/>
      <c r="O56" s="564"/>
      <c r="P56" s="498" t="s">
        <v>639</v>
      </c>
      <c r="Q56" s="425" t="s">
        <v>639</v>
      </c>
      <c r="R56" s="425" t="s">
        <v>639</v>
      </c>
      <c r="S56" s="498" t="e">
        <f t="shared" si="41"/>
        <v>#VALUE!</v>
      </c>
      <c r="T56" s="560"/>
      <c r="U56" s="498" t="s">
        <v>639</v>
      </c>
      <c r="V56" s="425" t="s">
        <v>639</v>
      </c>
      <c r="W56" s="425" t="s">
        <v>639</v>
      </c>
      <c r="X56" s="498" t="e">
        <f t="shared" si="43"/>
        <v>#VALUE!</v>
      </c>
      <c r="Y56" s="560"/>
      <c r="Z56" s="498" t="s">
        <v>639</v>
      </c>
      <c r="AA56" s="425" t="s">
        <v>639</v>
      </c>
      <c r="AB56" s="425" t="s">
        <v>639</v>
      </c>
      <c r="AC56" s="498" t="e">
        <f t="shared" si="45"/>
        <v>#VALUE!</v>
      </c>
      <c r="AD56" s="560"/>
      <c r="AE56" s="498" t="s">
        <v>639</v>
      </c>
      <c r="AF56" s="425" t="s">
        <v>639</v>
      </c>
      <c r="AG56" s="425" t="s">
        <v>639</v>
      </c>
      <c r="AH56" s="498" t="e">
        <f t="shared" si="47"/>
        <v>#VALUE!</v>
      </c>
      <c r="AI56" s="560"/>
      <c r="AJ56" s="498" t="s">
        <v>639</v>
      </c>
      <c r="AK56" s="425" t="s">
        <v>639</v>
      </c>
      <c r="AL56" s="425" t="s">
        <v>639</v>
      </c>
      <c r="AM56" s="498" t="e">
        <f t="shared" si="49"/>
        <v>#VALUE!</v>
      </c>
      <c r="AN56" s="560"/>
      <c r="AO56" s="498" t="s">
        <v>639</v>
      </c>
      <c r="AP56" s="425" t="s">
        <v>639</v>
      </c>
      <c r="AQ56" s="425" t="s">
        <v>639</v>
      </c>
      <c r="AR56" s="498" t="e">
        <f t="shared" si="51"/>
        <v>#VALUE!</v>
      </c>
      <c r="AS56" s="560"/>
      <c r="AT56" s="560"/>
      <c r="AU56" s="425" t="s">
        <v>639</v>
      </c>
      <c r="AV56" s="425" t="s">
        <v>639</v>
      </c>
      <c r="AW56" s="498" t="e">
        <f t="shared" si="54"/>
        <v>#VALUE!</v>
      </c>
      <c r="AX56" s="560"/>
      <c r="AZ56" s="407" t="e">
        <f t="shared" si="56"/>
        <v>#N/A</v>
      </c>
      <c r="BA56" s="560"/>
    </row>
    <row r="57" spans="2:53">
      <c r="B57" s="570"/>
      <c r="C57" s="420">
        <v>11</v>
      </c>
      <c r="D57" s="375"/>
      <c r="E57" s="426"/>
      <c r="F57" s="426"/>
      <c r="G57" s="426"/>
      <c r="H57" s="579"/>
      <c r="I57" s="422" t="str">
        <f t="shared" si="38"/>
        <v>-</v>
      </c>
      <c r="J57" s="422" t="str">
        <f t="shared" si="39"/>
        <v>-</v>
      </c>
      <c r="K57" s="200" t="str">
        <f t="shared" si="40"/>
        <v>-</v>
      </c>
      <c r="L57" s="581"/>
      <c r="M57" s="501" t="e">
        <f>RANK(K57, K$47:$K$61)</f>
        <v>#VALUE!</v>
      </c>
      <c r="N57" s="564"/>
      <c r="O57" s="564"/>
      <c r="P57" s="498" t="s">
        <v>639</v>
      </c>
      <c r="Q57" s="425" t="s">
        <v>639</v>
      </c>
      <c r="R57" s="425" t="s">
        <v>639</v>
      </c>
      <c r="S57" s="498" t="e">
        <f t="shared" si="41"/>
        <v>#VALUE!</v>
      </c>
      <c r="T57" s="560"/>
      <c r="U57" s="498" t="s">
        <v>639</v>
      </c>
      <c r="V57" s="425" t="s">
        <v>639</v>
      </c>
      <c r="W57" s="425" t="s">
        <v>639</v>
      </c>
      <c r="X57" s="498" t="e">
        <f t="shared" si="43"/>
        <v>#VALUE!</v>
      </c>
      <c r="Y57" s="560"/>
      <c r="Z57" s="498" t="s">
        <v>639</v>
      </c>
      <c r="AA57" s="425" t="s">
        <v>639</v>
      </c>
      <c r="AB57" s="425" t="s">
        <v>639</v>
      </c>
      <c r="AC57" s="498" t="e">
        <f t="shared" si="45"/>
        <v>#VALUE!</v>
      </c>
      <c r="AD57" s="560"/>
      <c r="AE57" s="498" t="s">
        <v>639</v>
      </c>
      <c r="AF57" s="425" t="s">
        <v>639</v>
      </c>
      <c r="AG57" s="425" t="s">
        <v>639</v>
      </c>
      <c r="AH57" s="498" t="e">
        <f t="shared" si="47"/>
        <v>#VALUE!</v>
      </c>
      <c r="AI57" s="560"/>
      <c r="AJ57" s="498" t="s">
        <v>639</v>
      </c>
      <c r="AK57" s="425" t="s">
        <v>639</v>
      </c>
      <c r="AL57" s="425" t="s">
        <v>639</v>
      </c>
      <c r="AM57" s="498" t="e">
        <f t="shared" si="49"/>
        <v>#VALUE!</v>
      </c>
      <c r="AN57" s="560"/>
      <c r="AO57" s="498" t="s">
        <v>639</v>
      </c>
      <c r="AP57" s="425" t="s">
        <v>639</v>
      </c>
      <c r="AQ57" s="425" t="s">
        <v>639</v>
      </c>
      <c r="AR57" s="498" t="e">
        <f t="shared" si="51"/>
        <v>#VALUE!</v>
      </c>
      <c r="AS57" s="560"/>
      <c r="AT57" s="560"/>
      <c r="AU57" s="425" t="s">
        <v>639</v>
      </c>
      <c r="AV57" s="425" t="s">
        <v>639</v>
      </c>
      <c r="AW57" s="498" t="e">
        <f t="shared" si="54"/>
        <v>#VALUE!</v>
      </c>
      <c r="AX57" s="560"/>
      <c r="AZ57" s="407" t="e">
        <f t="shared" si="56"/>
        <v>#N/A</v>
      </c>
      <c r="BA57" s="560"/>
    </row>
    <row r="58" spans="2:53">
      <c r="B58" s="570"/>
      <c r="C58" s="420">
        <v>12</v>
      </c>
      <c r="D58" s="375"/>
      <c r="E58" s="426"/>
      <c r="F58" s="426"/>
      <c r="G58" s="426"/>
      <c r="H58" s="579"/>
      <c r="I58" s="422" t="str">
        <f t="shared" si="38"/>
        <v>-</v>
      </c>
      <c r="J58" s="422" t="str">
        <f t="shared" si="39"/>
        <v>-</v>
      </c>
      <c r="K58" s="200" t="str">
        <f t="shared" si="40"/>
        <v>-</v>
      </c>
      <c r="L58" s="581"/>
      <c r="M58" s="501" t="e">
        <f>RANK(K58, K$47:$K$61)</f>
        <v>#VALUE!</v>
      </c>
      <c r="N58" s="564"/>
      <c r="O58" s="564"/>
      <c r="P58" s="498" t="s">
        <v>639</v>
      </c>
      <c r="Q58" s="425" t="s">
        <v>639</v>
      </c>
      <c r="R58" s="425" t="s">
        <v>639</v>
      </c>
      <c r="S58" s="498" t="e">
        <f t="shared" si="41"/>
        <v>#VALUE!</v>
      </c>
      <c r="T58" s="560"/>
      <c r="U58" s="498" t="s">
        <v>639</v>
      </c>
      <c r="V58" s="425" t="s">
        <v>639</v>
      </c>
      <c r="W58" s="425" t="s">
        <v>639</v>
      </c>
      <c r="X58" s="498" t="e">
        <f t="shared" si="43"/>
        <v>#VALUE!</v>
      </c>
      <c r="Y58" s="560"/>
      <c r="Z58" s="498" t="s">
        <v>639</v>
      </c>
      <c r="AA58" s="425" t="s">
        <v>639</v>
      </c>
      <c r="AB58" s="425" t="s">
        <v>639</v>
      </c>
      <c r="AC58" s="498" t="e">
        <f t="shared" si="45"/>
        <v>#VALUE!</v>
      </c>
      <c r="AD58" s="560"/>
      <c r="AE58" s="498" t="s">
        <v>639</v>
      </c>
      <c r="AF58" s="425" t="s">
        <v>639</v>
      </c>
      <c r="AG58" s="425" t="s">
        <v>639</v>
      </c>
      <c r="AH58" s="498" t="e">
        <f t="shared" si="47"/>
        <v>#VALUE!</v>
      </c>
      <c r="AI58" s="560"/>
      <c r="AJ58" s="498" t="s">
        <v>639</v>
      </c>
      <c r="AK58" s="425" t="s">
        <v>639</v>
      </c>
      <c r="AL58" s="425" t="s">
        <v>639</v>
      </c>
      <c r="AM58" s="498" t="e">
        <f t="shared" si="49"/>
        <v>#VALUE!</v>
      </c>
      <c r="AN58" s="560"/>
      <c r="AO58" s="498" t="s">
        <v>639</v>
      </c>
      <c r="AP58" s="425" t="s">
        <v>639</v>
      </c>
      <c r="AQ58" s="425" t="s">
        <v>639</v>
      </c>
      <c r="AR58" s="498" t="e">
        <f t="shared" si="51"/>
        <v>#VALUE!</v>
      </c>
      <c r="AS58" s="560"/>
      <c r="AT58" s="560"/>
      <c r="AU58" s="425" t="s">
        <v>639</v>
      </c>
      <c r="AV58" s="425" t="s">
        <v>639</v>
      </c>
      <c r="AW58" s="498" t="e">
        <f t="shared" si="54"/>
        <v>#VALUE!</v>
      </c>
      <c r="AX58" s="560"/>
      <c r="AZ58" s="407" t="e">
        <f t="shared" si="56"/>
        <v>#N/A</v>
      </c>
      <c r="BA58" s="560"/>
    </row>
    <row r="59" spans="2:53">
      <c r="B59" s="570"/>
      <c r="C59" s="420">
        <v>13</v>
      </c>
      <c r="D59" s="375"/>
      <c r="E59" s="426"/>
      <c r="F59" s="426"/>
      <c r="G59" s="426"/>
      <c r="H59" s="579"/>
      <c r="I59" s="422" t="str">
        <f t="shared" si="38"/>
        <v>-</v>
      </c>
      <c r="J59" s="422" t="str">
        <f t="shared" si="39"/>
        <v>-</v>
      </c>
      <c r="K59" s="200" t="str">
        <f t="shared" si="40"/>
        <v>-</v>
      </c>
      <c r="L59" s="581"/>
      <c r="M59" s="501" t="e">
        <f>RANK(K59, K$47:$K$61)</f>
        <v>#VALUE!</v>
      </c>
      <c r="N59" s="564"/>
      <c r="O59" s="564"/>
      <c r="P59" s="498" t="s">
        <v>639</v>
      </c>
      <c r="Q59" s="425" t="s">
        <v>639</v>
      </c>
      <c r="R59" s="425" t="s">
        <v>639</v>
      </c>
      <c r="S59" s="498" t="e">
        <f t="shared" si="41"/>
        <v>#VALUE!</v>
      </c>
      <c r="T59" s="560"/>
      <c r="U59" s="498" t="s">
        <v>639</v>
      </c>
      <c r="V59" s="425" t="s">
        <v>639</v>
      </c>
      <c r="W59" s="425" t="s">
        <v>639</v>
      </c>
      <c r="X59" s="498" t="e">
        <f t="shared" si="43"/>
        <v>#VALUE!</v>
      </c>
      <c r="Y59" s="560"/>
      <c r="Z59" s="498" t="s">
        <v>639</v>
      </c>
      <c r="AA59" s="425" t="s">
        <v>639</v>
      </c>
      <c r="AB59" s="425" t="s">
        <v>639</v>
      </c>
      <c r="AC59" s="498" t="e">
        <f t="shared" si="45"/>
        <v>#VALUE!</v>
      </c>
      <c r="AD59" s="560"/>
      <c r="AE59" s="498" t="s">
        <v>639</v>
      </c>
      <c r="AF59" s="425" t="s">
        <v>639</v>
      </c>
      <c r="AG59" s="425" t="s">
        <v>639</v>
      </c>
      <c r="AH59" s="498" t="e">
        <f t="shared" si="47"/>
        <v>#VALUE!</v>
      </c>
      <c r="AI59" s="560"/>
      <c r="AJ59" s="498" t="s">
        <v>639</v>
      </c>
      <c r="AK59" s="425" t="s">
        <v>639</v>
      </c>
      <c r="AL59" s="425" t="s">
        <v>639</v>
      </c>
      <c r="AM59" s="498" t="e">
        <f t="shared" si="49"/>
        <v>#VALUE!</v>
      </c>
      <c r="AN59" s="560"/>
      <c r="AO59" s="498" t="s">
        <v>639</v>
      </c>
      <c r="AP59" s="425" t="s">
        <v>639</v>
      </c>
      <c r="AQ59" s="425" t="s">
        <v>639</v>
      </c>
      <c r="AR59" s="498" t="e">
        <f t="shared" si="51"/>
        <v>#VALUE!</v>
      </c>
      <c r="AS59" s="560"/>
      <c r="AT59" s="560"/>
      <c r="AU59" s="425" t="s">
        <v>639</v>
      </c>
      <c r="AV59" s="425" t="s">
        <v>639</v>
      </c>
      <c r="AW59" s="498" t="e">
        <f t="shared" si="54"/>
        <v>#VALUE!</v>
      </c>
      <c r="AX59" s="560"/>
      <c r="AZ59" s="407" t="e">
        <f t="shared" si="56"/>
        <v>#N/A</v>
      </c>
      <c r="BA59" s="560"/>
    </row>
    <row r="60" spans="2:53">
      <c r="B60" s="570"/>
      <c r="C60" s="420">
        <v>14</v>
      </c>
      <c r="D60" s="375"/>
      <c r="E60" s="426"/>
      <c r="F60" s="426"/>
      <c r="G60" s="426"/>
      <c r="H60" s="579"/>
      <c r="I60" s="422" t="str">
        <f t="shared" si="38"/>
        <v>-</v>
      </c>
      <c r="J60" s="422" t="str">
        <f t="shared" si="39"/>
        <v>-</v>
      </c>
      <c r="K60" s="200" t="str">
        <f t="shared" si="40"/>
        <v>-</v>
      </c>
      <c r="L60" s="581"/>
      <c r="M60" s="501" t="e">
        <f>RANK(K60, K$47:$K$61)</f>
        <v>#VALUE!</v>
      </c>
      <c r="N60" s="564"/>
      <c r="O60" s="564"/>
      <c r="P60" s="498" t="s">
        <v>639</v>
      </c>
      <c r="Q60" s="425" t="s">
        <v>639</v>
      </c>
      <c r="R60" s="425" t="s">
        <v>639</v>
      </c>
      <c r="S60" s="498" t="e">
        <f t="shared" si="41"/>
        <v>#VALUE!</v>
      </c>
      <c r="T60" s="560"/>
      <c r="U60" s="498" t="s">
        <v>639</v>
      </c>
      <c r="V60" s="425" t="s">
        <v>639</v>
      </c>
      <c r="W60" s="425" t="s">
        <v>639</v>
      </c>
      <c r="X60" s="498" t="e">
        <f t="shared" si="43"/>
        <v>#VALUE!</v>
      </c>
      <c r="Y60" s="560"/>
      <c r="Z60" s="498" t="s">
        <v>639</v>
      </c>
      <c r="AA60" s="425" t="s">
        <v>639</v>
      </c>
      <c r="AB60" s="425" t="s">
        <v>639</v>
      </c>
      <c r="AC60" s="498" t="e">
        <f t="shared" si="45"/>
        <v>#VALUE!</v>
      </c>
      <c r="AD60" s="560"/>
      <c r="AE60" s="498" t="s">
        <v>639</v>
      </c>
      <c r="AF60" s="425" t="s">
        <v>639</v>
      </c>
      <c r="AG60" s="425" t="s">
        <v>639</v>
      </c>
      <c r="AH60" s="498" t="e">
        <f t="shared" si="47"/>
        <v>#VALUE!</v>
      </c>
      <c r="AI60" s="560"/>
      <c r="AJ60" s="498" t="s">
        <v>639</v>
      </c>
      <c r="AK60" s="425" t="s">
        <v>639</v>
      </c>
      <c r="AL60" s="425" t="s">
        <v>639</v>
      </c>
      <c r="AM60" s="498" t="e">
        <f t="shared" si="49"/>
        <v>#VALUE!</v>
      </c>
      <c r="AN60" s="560"/>
      <c r="AO60" s="498" t="s">
        <v>639</v>
      </c>
      <c r="AP60" s="425" t="s">
        <v>639</v>
      </c>
      <c r="AQ60" s="425" t="s">
        <v>639</v>
      </c>
      <c r="AR60" s="498" t="e">
        <f t="shared" si="51"/>
        <v>#VALUE!</v>
      </c>
      <c r="AS60" s="560"/>
      <c r="AT60" s="560"/>
      <c r="AU60" s="425" t="s">
        <v>639</v>
      </c>
      <c r="AV60" s="425" t="s">
        <v>639</v>
      </c>
      <c r="AW60" s="498" t="e">
        <f t="shared" si="54"/>
        <v>#VALUE!</v>
      </c>
      <c r="AX60" s="560"/>
      <c r="AZ60" s="407" t="e">
        <f t="shared" si="56"/>
        <v>#N/A</v>
      </c>
      <c r="BA60" s="560"/>
    </row>
    <row r="61" spans="2:53">
      <c r="B61" s="570"/>
      <c r="C61" s="420">
        <v>15</v>
      </c>
      <c r="D61" s="375"/>
      <c r="E61" s="426"/>
      <c r="F61" s="426"/>
      <c r="G61" s="426"/>
      <c r="H61" s="639"/>
      <c r="I61" s="426"/>
      <c r="J61" s="426"/>
      <c r="K61" s="423"/>
      <c r="L61" s="582"/>
      <c r="M61" s="501" t="e">
        <f>RANK(K61, K$47:$K$61)</f>
        <v>#N/A</v>
      </c>
      <c r="N61" s="564"/>
      <c r="O61" s="564"/>
      <c r="P61" s="498" t="s">
        <v>639</v>
      </c>
      <c r="Q61" s="425" t="s">
        <v>639</v>
      </c>
      <c r="R61" s="425" t="s">
        <v>639</v>
      </c>
      <c r="S61" s="498" t="e">
        <f t="shared" si="41"/>
        <v>#VALUE!</v>
      </c>
      <c r="T61" s="561"/>
      <c r="U61" s="498" t="s">
        <v>639</v>
      </c>
      <c r="V61" s="425" t="s">
        <v>639</v>
      </c>
      <c r="W61" s="425" t="s">
        <v>639</v>
      </c>
      <c r="X61" s="498" t="e">
        <f t="shared" si="43"/>
        <v>#VALUE!</v>
      </c>
      <c r="Y61" s="561"/>
      <c r="Z61" s="498" t="s">
        <v>639</v>
      </c>
      <c r="AA61" s="425" t="s">
        <v>639</v>
      </c>
      <c r="AB61" s="425" t="s">
        <v>639</v>
      </c>
      <c r="AC61" s="498" t="e">
        <f t="shared" si="45"/>
        <v>#VALUE!</v>
      </c>
      <c r="AD61" s="561"/>
      <c r="AE61" s="498" t="s">
        <v>639</v>
      </c>
      <c r="AF61" s="425" t="s">
        <v>639</v>
      </c>
      <c r="AG61" s="425" t="s">
        <v>639</v>
      </c>
      <c r="AH61" s="498" t="e">
        <f t="shared" si="47"/>
        <v>#VALUE!</v>
      </c>
      <c r="AI61" s="561"/>
      <c r="AJ61" s="498" t="s">
        <v>639</v>
      </c>
      <c r="AK61" s="425" t="s">
        <v>639</v>
      </c>
      <c r="AL61" s="425" t="s">
        <v>639</v>
      </c>
      <c r="AM61" s="498" t="e">
        <f t="shared" si="49"/>
        <v>#VALUE!</v>
      </c>
      <c r="AN61" s="561"/>
      <c r="AO61" s="498" t="s">
        <v>639</v>
      </c>
      <c r="AP61" s="425" t="s">
        <v>639</v>
      </c>
      <c r="AQ61" s="425" t="s">
        <v>639</v>
      </c>
      <c r="AR61" s="498" t="e">
        <f t="shared" si="51"/>
        <v>#VALUE!</v>
      </c>
      <c r="AS61" s="561"/>
      <c r="AT61" s="561"/>
      <c r="AU61" s="425" t="s">
        <v>639</v>
      </c>
      <c r="AV61" s="425" t="s">
        <v>639</v>
      </c>
      <c r="AW61" s="498" t="e">
        <f t="shared" si="54"/>
        <v>#VALUE!</v>
      </c>
      <c r="AX61" s="561"/>
      <c r="AZ61" s="407" t="e">
        <f t="shared" si="56"/>
        <v>#N/A</v>
      </c>
      <c r="BA61" s="561"/>
    </row>
    <row r="62" spans="2:53" ht="15.75">
      <c r="B62" s="593" t="s">
        <v>163</v>
      </c>
      <c r="C62" s="594"/>
      <c r="D62" s="594"/>
      <c r="E62" s="594"/>
      <c r="F62" s="594"/>
      <c r="G62" s="594"/>
      <c r="H62" s="595"/>
      <c r="I62" s="208"/>
      <c r="J62" s="208"/>
      <c r="K62" s="208"/>
      <c r="L62" s="208"/>
      <c r="M62" s="207"/>
      <c r="N62" s="566" t="s">
        <v>156</v>
      </c>
      <c r="O62" s="566" t="s">
        <v>105</v>
      </c>
      <c r="P62" s="592">
        <f>P42+7</f>
        <v>46161</v>
      </c>
      <c r="Q62" s="570"/>
      <c r="R62" s="570"/>
      <c r="S62" s="570"/>
      <c r="T62" s="570"/>
      <c r="U62" s="589">
        <f>P62+1</f>
        <v>46162</v>
      </c>
      <c r="V62" s="590"/>
      <c r="W62" s="590"/>
      <c r="X62" s="590"/>
      <c r="Y62" s="591"/>
      <c r="Z62" s="589">
        <f>U62+1</f>
        <v>46163</v>
      </c>
      <c r="AA62" s="590"/>
      <c r="AB62" s="590"/>
      <c r="AC62" s="590"/>
      <c r="AD62" s="591"/>
      <c r="AE62" s="589">
        <f>Z62+1</f>
        <v>46164</v>
      </c>
      <c r="AF62" s="590"/>
      <c r="AG62" s="590"/>
      <c r="AH62" s="590"/>
      <c r="AI62" s="591"/>
      <c r="AJ62" s="589">
        <f>AE62+1</f>
        <v>46165</v>
      </c>
      <c r="AK62" s="590"/>
      <c r="AL62" s="590"/>
      <c r="AM62" s="590"/>
      <c r="AN62" s="591"/>
      <c r="AO62" s="589">
        <f>AJ62+1</f>
        <v>46166</v>
      </c>
      <c r="AP62" s="590"/>
      <c r="AQ62" s="590"/>
      <c r="AR62" s="590"/>
      <c r="AS62" s="591"/>
      <c r="AT62" s="589">
        <f>AO62+1</f>
        <v>46167</v>
      </c>
      <c r="AU62" s="590"/>
      <c r="AV62" s="590"/>
      <c r="AW62" s="590"/>
      <c r="AX62" s="591"/>
    </row>
    <row r="63" spans="2:53" ht="15.75">
      <c r="B63" s="596"/>
      <c r="C63" s="596"/>
      <c r="D63" s="596"/>
      <c r="E63" s="596"/>
      <c r="F63" s="596"/>
      <c r="G63" s="596"/>
      <c r="H63" s="596"/>
      <c r="I63" s="205"/>
      <c r="J63" s="205"/>
      <c r="K63" s="205"/>
      <c r="L63" s="205"/>
      <c r="M63" s="206"/>
      <c r="N63" s="568"/>
      <c r="O63" s="568"/>
      <c r="P63" s="592" t="s">
        <v>318</v>
      </c>
      <c r="Q63" s="570"/>
      <c r="R63" s="570"/>
      <c r="S63" s="570"/>
      <c r="T63" s="570"/>
      <c r="U63" s="592" t="s">
        <v>319</v>
      </c>
      <c r="V63" s="570"/>
      <c r="W63" s="570"/>
      <c r="X63" s="570"/>
      <c r="Y63" s="570"/>
      <c r="Z63" s="592" t="s">
        <v>320</v>
      </c>
      <c r="AA63" s="570"/>
      <c r="AB63" s="570"/>
      <c r="AC63" s="570"/>
      <c r="AD63" s="570"/>
      <c r="AE63" s="592" t="s">
        <v>321</v>
      </c>
      <c r="AF63" s="570"/>
      <c r="AG63" s="570"/>
      <c r="AH63" s="570"/>
      <c r="AI63" s="570"/>
      <c r="AJ63" s="592" t="s">
        <v>322</v>
      </c>
      <c r="AK63" s="570"/>
      <c r="AL63" s="570"/>
      <c r="AM63" s="570"/>
      <c r="AN63" s="570"/>
      <c r="AO63" s="592" t="s">
        <v>323</v>
      </c>
      <c r="AP63" s="570"/>
      <c r="AQ63" s="570"/>
      <c r="AR63" s="570"/>
      <c r="AS63" s="570"/>
      <c r="AT63" s="592" t="s">
        <v>324</v>
      </c>
      <c r="AU63" s="570"/>
      <c r="AV63" s="570"/>
      <c r="AW63" s="570"/>
      <c r="AX63" s="570"/>
    </row>
    <row r="64" spans="2:53">
      <c r="B64" s="564" t="s">
        <v>377</v>
      </c>
      <c r="C64" s="564" t="s">
        <v>387</v>
      </c>
      <c r="D64" s="564"/>
      <c r="E64" s="564" t="s">
        <v>378</v>
      </c>
      <c r="F64" s="564"/>
      <c r="G64" s="564"/>
      <c r="H64" s="597" t="s">
        <v>374</v>
      </c>
      <c r="I64" s="564" t="s">
        <v>379</v>
      </c>
      <c r="J64" s="564"/>
      <c r="K64" s="564"/>
      <c r="L64" s="597" t="s">
        <v>374</v>
      </c>
      <c r="M64" s="566" t="s">
        <v>375</v>
      </c>
      <c r="N64" s="564"/>
      <c r="O64" s="564" t="s">
        <v>380</v>
      </c>
      <c r="P64" s="583" t="s">
        <v>376</v>
      </c>
      <c r="Q64" s="584"/>
      <c r="R64" s="584"/>
      <c r="S64" s="585"/>
      <c r="T64" s="564" t="s">
        <v>374</v>
      </c>
      <c r="U64" s="583" t="s">
        <v>376</v>
      </c>
      <c r="V64" s="584"/>
      <c r="W64" s="584"/>
      <c r="X64" s="585"/>
      <c r="Y64" s="564" t="s">
        <v>374</v>
      </c>
      <c r="Z64" s="583" t="s">
        <v>376</v>
      </c>
      <c r="AA64" s="584"/>
      <c r="AB64" s="584"/>
      <c r="AC64" s="585"/>
      <c r="AD64" s="564" t="s">
        <v>374</v>
      </c>
      <c r="AE64" s="583" t="s">
        <v>376</v>
      </c>
      <c r="AF64" s="584"/>
      <c r="AG64" s="584"/>
      <c r="AH64" s="585"/>
      <c r="AI64" s="564" t="s">
        <v>374</v>
      </c>
      <c r="AJ64" s="583" t="s">
        <v>376</v>
      </c>
      <c r="AK64" s="584"/>
      <c r="AL64" s="584"/>
      <c r="AM64" s="585"/>
      <c r="AN64" s="564" t="s">
        <v>374</v>
      </c>
      <c r="AO64" s="583" t="s">
        <v>376</v>
      </c>
      <c r="AP64" s="584"/>
      <c r="AQ64" s="584"/>
      <c r="AR64" s="585"/>
      <c r="AS64" s="564" t="s">
        <v>374</v>
      </c>
      <c r="AT64" s="583" t="s">
        <v>376</v>
      </c>
      <c r="AU64" s="584"/>
      <c r="AV64" s="584"/>
      <c r="AW64" s="585"/>
      <c r="AX64" s="564" t="s">
        <v>374</v>
      </c>
      <c r="BA64" s="564" t="s">
        <v>374</v>
      </c>
    </row>
    <row r="65" spans="2:53">
      <c r="B65" s="564"/>
      <c r="C65" s="564"/>
      <c r="D65" s="564"/>
      <c r="E65" s="564" t="s">
        <v>381</v>
      </c>
      <c r="F65" s="564"/>
      <c r="G65" s="564"/>
      <c r="H65" s="598"/>
      <c r="I65" s="564" t="s">
        <v>381</v>
      </c>
      <c r="J65" s="564"/>
      <c r="K65" s="564"/>
      <c r="L65" s="598"/>
      <c r="M65" s="567"/>
      <c r="N65" s="564"/>
      <c r="O65" s="564"/>
      <c r="P65" s="583" t="s">
        <v>382</v>
      </c>
      <c r="Q65" s="584"/>
      <c r="R65" s="584"/>
      <c r="S65" s="585"/>
      <c r="T65" s="564"/>
      <c r="U65" s="583" t="s">
        <v>382</v>
      </c>
      <c r="V65" s="584"/>
      <c r="W65" s="584"/>
      <c r="X65" s="585"/>
      <c r="Y65" s="564"/>
      <c r="Z65" s="583" t="s">
        <v>382</v>
      </c>
      <c r="AA65" s="584"/>
      <c r="AB65" s="584"/>
      <c r="AC65" s="585"/>
      <c r="AD65" s="564"/>
      <c r="AE65" s="583" t="s">
        <v>382</v>
      </c>
      <c r="AF65" s="584"/>
      <c r="AG65" s="584"/>
      <c r="AH65" s="585"/>
      <c r="AI65" s="564"/>
      <c r="AJ65" s="583" t="s">
        <v>382</v>
      </c>
      <c r="AK65" s="584"/>
      <c r="AL65" s="584"/>
      <c r="AM65" s="585"/>
      <c r="AN65" s="564"/>
      <c r="AO65" s="583" t="s">
        <v>382</v>
      </c>
      <c r="AP65" s="584"/>
      <c r="AQ65" s="584"/>
      <c r="AR65" s="585"/>
      <c r="AS65" s="564"/>
      <c r="AT65" s="583" t="s">
        <v>382</v>
      </c>
      <c r="AU65" s="584"/>
      <c r="AV65" s="584"/>
      <c r="AW65" s="585"/>
      <c r="AX65" s="564"/>
      <c r="BA65" s="564"/>
    </row>
    <row r="66" spans="2:53">
      <c r="B66" s="564"/>
      <c r="C66" s="564"/>
      <c r="D66" s="564"/>
      <c r="E66" s="417" t="s">
        <v>383</v>
      </c>
      <c r="F66" s="417" t="s">
        <v>384</v>
      </c>
      <c r="G66" s="417" t="s">
        <v>385</v>
      </c>
      <c r="H66" s="599"/>
      <c r="I66" s="417" t="s">
        <v>383</v>
      </c>
      <c r="J66" s="417" t="s">
        <v>384</v>
      </c>
      <c r="K66" s="417" t="s">
        <v>385</v>
      </c>
      <c r="L66" s="599"/>
      <c r="M66" s="568"/>
      <c r="N66" s="564"/>
      <c r="O66" s="564"/>
      <c r="P66" s="417" t="s">
        <v>383</v>
      </c>
      <c r="Q66" s="417" t="s">
        <v>384</v>
      </c>
      <c r="R66" s="417" t="s">
        <v>385</v>
      </c>
      <c r="S66" s="417" t="s">
        <v>375</v>
      </c>
      <c r="T66" s="564"/>
      <c r="U66" s="417" t="s">
        <v>383</v>
      </c>
      <c r="V66" s="417" t="s">
        <v>384</v>
      </c>
      <c r="W66" s="417" t="s">
        <v>385</v>
      </c>
      <c r="X66" s="417" t="s">
        <v>375</v>
      </c>
      <c r="Y66" s="564"/>
      <c r="Z66" s="417" t="s">
        <v>383</v>
      </c>
      <c r="AA66" s="417" t="s">
        <v>384</v>
      </c>
      <c r="AB66" s="417" t="s">
        <v>385</v>
      </c>
      <c r="AC66" s="417" t="s">
        <v>375</v>
      </c>
      <c r="AD66" s="564"/>
      <c r="AE66" s="417" t="s">
        <v>383</v>
      </c>
      <c r="AF66" s="417" t="s">
        <v>384</v>
      </c>
      <c r="AG66" s="417" t="s">
        <v>385</v>
      </c>
      <c r="AH66" s="417" t="s">
        <v>375</v>
      </c>
      <c r="AI66" s="564"/>
      <c r="AJ66" s="417" t="s">
        <v>383</v>
      </c>
      <c r="AK66" s="417" t="s">
        <v>384</v>
      </c>
      <c r="AL66" s="417" t="s">
        <v>385</v>
      </c>
      <c r="AM66" s="417" t="s">
        <v>375</v>
      </c>
      <c r="AN66" s="564"/>
      <c r="AO66" s="417" t="s">
        <v>383</v>
      </c>
      <c r="AP66" s="417" t="s">
        <v>384</v>
      </c>
      <c r="AQ66" s="417" t="s">
        <v>385</v>
      </c>
      <c r="AR66" s="417" t="s">
        <v>375</v>
      </c>
      <c r="AS66" s="564"/>
      <c r="AT66" s="417" t="s">
        <v>383</v>
      </c>
      <c r="AU66" s="417" t="s">
        <v>384</v>
      </c>
      <c r="AV66" s="417" t="s">
        <v>385</v>
      </c>
      <c r="AW66" s="417" t="s">
        <v>375</v>
      </c>
      <c r="AX66" s="564"/>
      <c r="AZ66" s="406" t="s">
        <v>375</v>
      </c>
      <c r="BA66" s="564"/>
    </row>
    <row r="67" spans="2:53">
      <c r="B67" s="626" t="s">
        <v>386</v>
      </c>
      <c r="C67" s="420">
        <v>1</v>
      </c>
      <c r="D67" s="375"/>
      <c r="E67" s="426"/>
      <c r="F67" s="426"/>
      <c r="G67" s="426"/>
      <c r="H67" s="578" t="e">
        <f>AVERAGE(G67:G81)</f>
        <v>#DIV/0!</v>
      </c>
      <c r="I67" s="422" t="str">
        <f t="shared" ref="I67:I80" si="58">IFERROR(AVERAGE(P67,U67,Z67,AE67,AJ67,AO67,AT67),"-")</f>
        <v>-</v>
      </c>
      <c r="J67" s="422" t="str">
        <f t="shared" ref="J67:J80" si="59">IFERROR(AVERAGE(Q67,V67,AA67,AF67,AK67,AP67,AU67),"-")</f>
        <v>-</v>
      </c>
      <c r="K67" s="200" t="str">
        <f t="shared" ref="K67:K80" si="60">IFERROR(AVERAGE(R67,W67,AB67,AG67,AL67,AQ67,AV67),"-")</f>
        <v>-</v>
      </c>
      <c r="L67" s="580" t="str">
        <f>IFERROR(AVERAGE(K67:K81),"-")</f>
        <v>-</v>
      </c>
      <c r="M67" s="426" t="e">
        <f>RANK(K67, K$67:$K$81)</f>
        <v>#VALUE!</v>
      </c>
      <c r="N67" s="564"/>
      <c r="O67" s="564"/>
      <c r="P67" s="425"/>
      <c r="Q67" s="425"/>
      <c r="R67" s="425"/>
      <c r="S67" s="420" t="e">
        <f>RANK(R67, R$67:R$81)</f>
        <v>#N/A</v>
      </c>
      <c r="T67" s="572" t="e">
        <f>AVERAGE(R67:R81)</f>
        <v>#DIV/0!</v>
      </c>
      <c r="U67" s="425"/>
      <c r="V67" s="425"/>
      <c r="W67" s="425"/>
      <c r="X67" s="420" t="e">
        <f t="shared" ref="X67:X81" si="61">RANK(W67, W$67:W$81)</f>
        <v>#N/A</v>
      </c>
      <c r="Y67" s="572" t="e">
        <f t="shared" ref="Y67" si="62">AVERAGE(W67:W81)</f>
        <v>#DIV/0!</v>
      </c>
      <c r="Z67" s="425"/>
      <c r="AA67" s="425"/>
      <c r="AB67" s="425"/>
      <c r="AC67" s="420" t="e">
        <f t="shared" ref="AC67:AC81" si="63">RANK(AB67, AB$67:AB$81)</f>
        <v>#N/A</v>
      </c>
      <c r="AD67" s="572" t="e">
        <f t="shared" ref="AD67" si="64">AVERAGE(AB67:AB81)</f>
        <v>#DIV/0!</v>
      </c>
      <c r="AE67" s="425"/>
      <c r="AF67" s="425"/>
      <c r="AG67" s="425"/>
      <c r="AH67" s="420" t="e">
        <f t="shared" ref="AH67:AH81" si="65">RANK(AG67, AG$67:AG$81)</f>
        <v>#N/A</v>
      </c>
      <c r="AI67" s="572" t="e">
        <f t="shared" ref="AI67" si="66">AVERAGE(AG67:AG81)</f>
        <v>#DIV/0!</v>
      </c>
      <c r="AJ67" s="425"/>
      <c r="AK67" s="425"/>
      <c r="AL67" s="425"/>
      <c r="AM67" s="420" t="e">
        <f t="shared" ref="AM67:AM81" si="67">RANK(AL67, AL$67:AL$81)</f>
        <v>#N/A</v>
      </c>
      <c r="AN67" s="572" t="e">
        <f t="shared" ref="AN67" si="68">AVERAGE(AL67:AL81)</f>
        <v>#DIV/0!</v>
      </c>
      <c r="AO67" s="425"/>
      <c r="AP67" s="425"/>
      <c r="AQ67" s="425"/>
      <c r="AR67" s="420" t="e">
        <f t="shared" ref="AR67:AR81" si="69">RANK(AQ67, AQ$67:AQ$81)</f>
        <v>#N/A</v>
      </c>
      <c r="AS67" s="572" t="e">
        <f t="shared" ref="AS67" si="70">AVERAGE(AQ67:AQ81)</f>
        <v>#DIV/0!</v>
      </c>
      <c r="AT67" s="425"/>
      <c r="AU67" s="425"/>
      <c r="AV67" s="425"/>
      <c r="AW67" s="420" t="e">
        <f t="shared" ref="AW67:AW81" si="71">RANK(AV67, AV$67:AV$81)</f>
        <v>#N/A</v>
      </c>
      <c r="AX67" s="572" t="e">
        <f t="shared" ref="AX67" si="72">AVERAGE(AV67:AV81)</f>
        <v>#DIV/0!</v>
      </c>
      <c r="AZ67" s="407" t="e">
        <f t="shared" ref="AZ67:AZ81" si="73">RANK(AY67, AY$67:AY$81)</f>
        <v>#N/A</v>
      </c>
      <c r="BA67" s="559" t="e">
        <f t="shared" ref="BA67" si="74">AVERAGE(AY67:AY81)</f>
        <v>#DIV/0!</v>
      </c>
    </row>
    <row r="68" spans="2:53">
      <c r="B68" s="570"/>
      <c r="C68" s="420">
        <v>2</v>
      </c>
      <c r="D68" s="375"/>
      <c r="E68" s="426"/>
      <c r="F68" s="426"/>
      <c r="G68" s="426"/>
      <c r="H68" s="579"/>
      <c r="I68" s="422" t="str">
        <f t="shared" si="58"/>
        <v>-</v>
      </c>
      <c r="J68" s="422" t="str">
        <f t="shared" si="59"/>
        <v>-</v>
      </c>
      <c r="K68" s="200" t="str">
        <f t="shared" si="60"/>
        <v>-</v>
      </c>
      <c r="L68" s="581"/>
      <c r="M68" s="426" t="e">
        <f>RANK(K68, K$67:$K$81)</f>
        <v>#VALUE!</v>
      </c>
      <c r="N68" s="564"/>
      <c r="O68" s="564"/>
      <c r="P68" s="425"/>
      <c r="Q68" s="425"/>
      <c r="R68" s="425"/>
      <c r="S68" s="420" t="e">
        <f t="shared" ref="S68:S81" si="75">RANK(R68, R$67:R$81)</f>
        <v>#N/A</v>
      </c>
      <c r="T68" s="572"/>
      <c r="U68" s="425"/>
      <c r="V68" s="425"/>
      <c r="W68" s="425"/>
      <c r="X68" s="420" t="e">
        <f t="shared" si="61"/>
        <v>#N/A</v>
      </c>
      <c r="Y68" s="572"/>
      <c r="Z68" s="425"/>
      <c r="AA68" s="425"/>
      <c r="AB68" s="425"/>
      <c r="AC68" s="420" t="e">
        <f t="shared" si="63"/>
        <v>#N/A</v>
      </c>
      <c r="AD68" s="572"/>
      <c r="AE68" s="425"/>
      <c r="AF68" s="425"/>
      <c r="AG68" s="425"/>
      <c r="AH68" s="420" t="e">
        <f t="shared" si="65"/>
        <v>#N/A</v>
      </c>
      <c r="AI68" s="572"/>
      <c r="AJ68" s="425"/>
      <c r="AK68" s="425"/>
      <c r="AL68" s="425"/>
      <c r="AM68" s="420" t="e">
        <f t="shared" si="67"/>
        <v>#N/A</v>
      </c>
      <c r="AN68" s="572"/>
      <c r="AO68" s="425"/>
      <c r="AP68" s="425"/>
      <c r="AQ68" s="425"/>
      <c r="AR68" s="420" t="e">
        <f t="shared" si="69"/>
        <v>#N/A</v>
      </c>
      <c r="AS68" s="572"/>
      <c r="AT68" s="425"/>
      <c r="AU68" s="425"/>
      <c r="AV68" s="425"/>
      <c r="AW68" s="420" t="e">
        <f t="shared" si="71"/>
        <v>#N/A</v>
      </c>
      <c r="AX68" s="572"/>
      <c r="AZ68" s="407" t="e">
        <f t="shared" si="73"/>
        <v>#N/A</v>
      </c>
      <c r="BA68" s="560"/>
    </row>
    <row r="69" spans="2:53">
      <c r="B69" s="570"/>
      <c r="C69" s="420">
        <v>3</v>
      </c>
      <c r="D69" s="375"/>
      <c r="E69" s="426"/>
      <c r="F69" s="426"/>
      <c r="G69" s="426"/>
      <c r="H69" s="579"/>
      <c r="I69" s="422" t="str">
        <f t="shared" si="58"/>
        <v>-</v>
      </c>
      <c r="J69" s="422" t="str">
        <f t="shared" si="59"/>
        <v>-</v>
      </c>
      <c r="K69" s="200" t="str">
        <f t="shared" si="60"/>
        <v>-</v>
      </c>
      <c r="L69" s="581"/>
      <c r="M69" s="426" t="e">
        <f>RANK(K69, K$67:$K$81)</f>
        <v>#VALUE!</v>
      </c>
      <c r="N69" s="564"/>
      <c r="O69" s="564"/>
      <c r="P69" s="425"/>
      <c r="Q69" s="425"/>
      <c r="R69" s="425"/>
      <c r="S69" s="420" t="e">
        <f t="shared" si="75"/>
        <v>#N/A</v>
      </c>
      <c r="T69" s="572"/>
      <c r="U69" s="425"/>
      <c r="V69" s="425"/>
      <c r="W69" s="425"/>
      <c r="X69" s="420" t="e">
        <f t="shared" si="61"/>
        <v>#N/A</v>
      </c>
      <c r="Y69" s="572"/>
      <c r="Z69" s="425"/>
      <c r="AA69" s="425"/>
      <c r="AB69" s="425"/>
      <c r="AC69" s="420" t="e">
        <f t="shared" si="63"/>
        <v>#N/A</v>
      </c>
      <c r="AD69" s="572"/>
      <c r="AE69" s="425"/>
      <c r="AF69" s="425"/>
      <c r="AG69" s="425"/>
      <c r="AH69" s="420" t="e">
        <f t="shared" si="65"/>
        <v>#N/A</v>
      </c>
      <c r="AI69" s="572"/>
      <c r="AJ69" s="425"/>
      <c r="AK69" s="425"/>
      <c r="AL69" s="425"/>
      <c r="AM69" s="420" t="e">
        <f t="shared" si="67"/>
        <v>#N/A</v>
      </c>
      <c r="AN69" s="572"/>
      <c r="AO69" s="425"/>
      <c r="AP69" s="425"/>
      <c r="AQ69" s="425"/>
      <c r="AR69" s="420" t="e">
        <f t="shared" si="69"/>
        <v>#N/A</v>
      </c>
      <c r="AS69" s="572"/>
      <c r="AT69" s="425"/>
      <c r="AU69" s="425"/>
      <c r="AV69" s="425"/>
      <c r="AW69" s="420" t="e">
        <f t="shared" si="71"/>
        <v>#N/A</v>
      </c>
      <c r="AX69" s="572"/>
      <c r="AZ69" s="407" t="e">
        <f t="shared" si="73"/>
        <v>#N/A</v>
      </c>
      <c r="BA69" s="560"/>
    </row>
    <row r="70" spans="2:53">
      <c r="B70" s="570"/>
      <c r="C70" s="420">
        <v>4</v>
      </c>
      <c r="D70" s="375"/>
      <c r="E70" s="426"/>
      <c r="F70" s="426"/>
      <c r="G70" s="426"/>
      <c r="H70" s="579"/>
      <c r="I70" s="422" t="str">
        <f t="shared" si="58"/>
        <v>-</v>
      </c>
      <c r="J70" s="422" t="str">
        <f t="shared" si="59"/>
        <v>-</v>
      </c>
      <c r="K70" s="200" t="str">
        <f t="shared" si="60"/>
        <v>-</v>
      </c>
      <c r="L70" s="581"/>
      <c r="M70" s="426" t="e">
        <f>RANK(K70, K$67:$K$81)</f>
        <v>#VALUE!</v>
      </c>
      <c r="N70" s="564"/>
      <c r="O70" s="564"/>
      <c r="P70" s="425"/>
      <c r="Q70" s="425"/>
      <c r="R70" s="425"/>
      <c r="S70" s="420" t="e">
        <f t="shared" si="75"/>
        <v>#N/A</v>
      </c>
      <c r="T70" s="572"/>
      <c r="U70" s="425"/>
      <c r="V70" s="425"/>
      <c r="W70" s="425"/>
      <c r="X70" s="420" t="e">
        <f t="shared" si="61"/>
        <v>#N/A</v>
      </c>
      <c r="Y70" s="572"/>
      <c r="Z70" s="425"/>
      <c r="AA70" s="425"/>
      <c r="AB70" s="425"/>
      <c r="AC70" s="420" t="e">
        <f t="shared" si="63"/>
        <v>#N/A</v>
      </c>
      <c r="AD70" s="572"/>
      <c r="AE70" s="425"/>
      <c r="AF70" s="425"/>
      <c r="AG70" s="425"/>
      <c r="AH70" s="420" t="e">
        <f t="shared" si="65"/>
        <v>#N/A</v>
      </c>
      <c r="AI70" s="572"/>
      <c r="AJ70" s="425"/>
      <c r="AK70" s="425"/>
      <c r="AL70" s="425"/>
      <c r="AM70" s="420" t="e">
        <f t="shared" si="67"/>
        <v>#N/A</v>
      </c>
      <c r="AN70" s="572"/>
      <c r="AO70" s="425"/>
      <c r="AP70" s="425"/>
      <c r="AQ70" s="425"/>
      <c r="AR70" s="420" t="e">
        <f t="shared" si="69"/>
        <v>#N/A</v>
      </c>
      <c r="AS70" s="572"/>
      <c r="AT70" s="425"/>
      <c r="AU70" s="425"/>
      <c r="AV70" s="425"/>
      <c r="AW70" s="420" t="e">
        <f t="shared" si="71"/>
        <v>#N/A</v>
      </c>
      <c r="AX70" s="572"/>
      <c r="AZ70" s="407" t="e">
        <f t="shared" si="73"/>
        <v>#N/A</v>
      </c>
      <c r="BA70" s="560"/>
    </row>
    <row r="71" spans="2:53">
      <c r="B71" s="570"/>
      <c r="C71" s="420">
        <v>5</v>
      </c>
      <c r="D71" s="375"/>
      <c r="E71" s="426"/>
      <c r="F71" s="426"/>
      <c r="G71" s="426"/>
      <c r="H71" s="579"/>
      <c r="I71" s="422" t="str">
        <f t="shared" si="58"/>
        <v>-</v>
      </c>
      <c r="J71" s="422" t="str">
        <f t="shared" si="59"/>
        <v>-</v>
      </c>
      <c r="K71" s="200" t="str">
        <f t="shared" si="60"/>
        <v>-</v>
      </c>
      <c r="L71" s="581"/>
      <c r="M71" s="426" t="e">
        <f>RANK(K71, K$67:$K$81)</f>
        <v>#VALUE!</v>
      </c>
      <c r="N71" s="564"/>
      <c r="O71" s="564"/>
      <c r="P71" s="425"/>
      <c r="Q71" s="425"/>
      <c r="R71" s="425"/>
      <c r="S71" s="420" t="e">
        <f t="shared" si="75"/>
        <v>#N/A</v>
      </c>
      <c r="T71" s="572"/>
      <c r="U71" s="425"/>
      <c r="V71" s="425"/>
      <c r="W71" s="425"/>
      <c r="X71" s="420" t="e">
        <f t="shared" si="61"/>
        <v>#N/A</v>
      </c>
      <c r="Y71" s="572"/>
      <c r="Z71" s="425"/>
      <c r="AA71" s="425"/>
      <c r="AB71" s="425"/>
      <c r="AC71" s="420" t="e">
        <f t="shared" si="63"/>
        <v>#N/A</v>
      </c>
      <c r="AD71" s="572"/>
      <c r="AE71" s="425"/>
      <c r="AF71" s="425"/>
      <c r="AG71" s="425"/>
      <c r="AH71" s="420" t="e">
        <f t="shared" si="65"/>
        <v>#N/A</v>
      </c>
      <c r="AI71" s="572"/>
      <c r="AJ71" s="425"/>
      <c r="AK71" s="425"/>
      <c r="AL71" s="425"/>
      <c r="AM71" s="420" t="e">
        <f t="shared" si="67"/>
        <v>#N/A</v>
      </c>
      <c r="AN71" s="572"/>
      <c r="AO71" s="425"/>
      <c r="AP71" s="425"/>
      <c r="AQ71" s="425"/>
      <c r="AR71" s="420" t="e">
        <f t="shared" si="69"/>
        <v>#N/A</v>
      </c>
      <c r="AS71" s="572"/>
      <c r="AT71" s="425"/>
      <c r="AU71" s="425"/>
      <c r="AV71" s="425"/>
      <c r="AW71" s="420" t="e">
        <f t="shared" si="71"/>
        <v>#N/A</v>
      </c>
      <c r="AX71" s="572"/>
      <c r="AZ71" s="407" t="e">
        <f t="shared" si="73"/>
        <v>#N/A</v>
      </c>
      <c r="BA71" s="560"/>
    </row>
    <row r="72" spans="2:53">
      <c r="B72" s="570"/>
      <c r="C72" s="420">
        <v>6</v>
      </c>
      <c r="D72" s="375"/>
      <c r="E72" s="426"/>
      <c r="F72" s="426"/>
      <c r="G72" s="426"/>
      <c r="H72" s="579"/>
      <c r="I72" s="422" t="str">
        <f t="shared" si="58"/>
        <v>-</v>
      </c>
      <c r="J72" s="422" t="str">
        <f t="shared" si="59"/>
        <v>-</v>
      </c>
      <c r="K72" s="200" t="str">
        <f t="shared" si="60"/>
        <v>-</v>
      </c>
      <c r="L72" s="581"/>
      <c r="M72" s="426" t="e">
        <f>RANK(K72, K$67:$K$81)</f>
        <v>#VALUE!</v>
      </c>
      <c r="N72" s="564"/>
      <c r="O72" s="564"/>
      <c r="P72" s="425"/>
      <c r="Q72" s="425"/>
      <c r="R72" s="425"/>
      <c r="S72" s="420" t="e">
        <f t="shared" si="75"/>
        <v>#N/A</v>
      </c>
      <c r="T72" s="572"/>
      <c r="U72" s="425"/>
      <c r="V72" s="425"/>
      <c r="W72" s="425"/>
      <c r="X72" s="420" t="e">
        <f t="shared" si="61"/>
        <v>#N/A</v>
      </c>
      <c r="Y72" s="572"/>
      <c r="Z72" s="425"/>
      <c r="AA72" s="425"/>
      <c r="AB72" s="425"/>
      <c r="AC72" s="420" t="e">
        <f t="shared" si="63"/>
        <v>#N/A</v>
      </c>
      <c r="AD72" s="572"/>
      <c r="AE72" s="425"/>
      <c r="AF72" s="425"/>
      <c r="AG72" s="425"/>
      <c r="AH72" s="420" t="e">
        <f t="shared" si="65"/>
        <v>#N/A</v>
      </c>
      <c r="AI72" s="572"/>
      <c r="AJ72" s="425"/>
      <c r="AK72" s="425"/>
      <c r="AL72" s="425"/>
      <c r="AM72" s="420" t="e">
        <f t="shared" si="67"/>
        <v>#N/A</v>
      </c>
      <c r="AN72" s="572"/>
      <c r="AO72" s="425"/>
      <c r="AP72" s="425"/>
      <c r="AQ72" s="425"/>
      <c r="AR72" s="420" t="e">
        <f t="shared" si="69"/>
        <v>#N/A</v>
      </c>
      <c r="AS72" s="572"/>
      <c r="AT72" s="425"/>
      <c r="AU72" s="425"/>
      <c r="AV72" s="425"/>
      <c r="AW72" s="420" t="e">
        <f t="shared" si="71"/>
        <v>#N/A</v>
      </c>
      <c r="AX72" s="572"/>
      <c r="AZ72" s="407" t="e">
        <f t="shared" si="73"/>
        <v>#N/A</v>
      </c>
      <c r="BA72" s="560"/>
    </row>
    <row r="73" spans="2:53">
      <c r="B73" s="570"/>
      <c r="C73" s="420">
        <v>7</v>
      </c>
      <c r="D73" s="375"/>
      <c r="E73" s="426"/>
      <c r="F73" s="426"/>
      <c r="G73" s="426"/>
      <c r="H73" s="579"/>
      <c r="I73" s="422" t="str">
        <f t="shared" si="58"/>
        <v>-</v>
      </c>
      <c r="J73" s="422" t="str">
        <f t="shared" si="59"/>
        <v>-</v>
      </c>
      <c r="K73" s="200" t="str">
        <f t="shared" si="60"/>
        <v>-</v>
      </c>
      <c r="L73" s="581"/>
      <c r="M73" s="426" t="e">
        <f>RANK(K73, K$67:$K$81)</f>
        <v>#VALUE!</v>
      </c>
      <c r="N73" s="564"/>
      <c r="O73" s="564"/>
      <c r="P73" s="425"/>
      <c r="Q73" s="425"/>
      <c r="R73" s="425"/>
      <c r="S73" s="420" t="e">
        <f t="shared" si="75"/>
        <v>#N/A</v>
      </c>
      <c r="T73" s="572"/>
      <c r="U73" s="425"/>
      <c r="V73" s="425"/>
      <c r="W73" s="425"/>
      <c r="X73" s="420" t="e">
        <f t="shared" si="61"/>
        <v>#N/A</v>
      </c>
      <c r="Y73" s="572"/>
      <c r="Z73" s="425"/>
      <c r="AA73" s="425"/>
      <c r="AB73" s="425"/>
      <c r="AC73" s="420" t="e">
        <f t="shared" si="63"/>
        <v>#N/A</v>
      </c>
      <c r="AD73" s="572"/>
      <c r="AE73" s="425"/>
      <c r="AF73" s="425"/>
      <c r="AG73" s="425"/>
      <c r="AH73" s="420" t="e">
        <f t="shared" si="65"/>
        <v>#N/A</v>
      </c>
      <c r="AI73" s="572"/>
      <c r="AJ73" s="425"/>
      <c r="AK73" s="425"/>
      <c r="AL73" s="425"/>
      <c r="AM73" s="420" t="e">
        <f t="shared" si="67"/>
        <v>#N/A</v>
      </c>
      <c r="AN73" s="572"/>
      <c r="AO73" s="425"/>
      <c r="AP73" s="425"/>
      <c r="AQ73" s="425"/>
      <c r="AR73" s="420" t="e">
        <f t="shared" si="69"/>
        <v>#N/A</v>
      </c>
      <c r="AS73" s="572"/>
      <c r="AT73" s="425"/>
      <c r="AU73" s="425"/>
      <c r="AV73" s="425"/>
      <c r="AW73" s="420" t="e">
        <f t="shared" si="71"/>
        <v>#N/A</v>
      </c>
      <c r="AX73" s="572"/>
      <c r="AZ73" s="407" t="e">
        <f t="shared" si="73"/>
        <v>#N/A</v>
      </c>
      <c r="BA73" s="560"/>
    </row>
    <row r="74" spans="2:53">
      <c r="B74" s="570"/>
      <c r="C74" s="420">
        <v>8</v>
      </c>
      <c r="D74" s="375"/>
      <c r="E74" s="426"/>
      <c r="F74" s="426"/>
      <c r="G74" s="426"/>
      <c r="H74" s="579"/>
      <c r="I74" s="422" t="str">
        <f t="shared" si="58"/>
        <v>-</v>
      </c>
      <c r="J74" s="422" t="str">
        <f t="shared" si="59"/>
        <v>-</v>
      </c>
      <c r="K74" s="200" t="str">
        <f t="shared" si="60"/>
        <v>-</v>
      </c>
      <c r="L74" s="581"/>
      <c r="M74" s="426" t="e">
        <f>RANK(K74, K$67:$K$81)</f>
        <v>#VALUE!</v>
      </c>
      <c r="N74" s="564"/>
      <c r="O74" s="564"/>
      <c r="P74" s="425"/>
      <c r="Q74" s="425"/>
      <c r="R74" s="425"/>
      <c r="S74" s="420" t="e">
        <f t="shared" si="75"/>
        <v>#N/A</v>
      </c>
      <c r="T74" s="572"/>
      <c r="U74" s="425"/>
      <c r="V74" s="425"/>
      <c r="W74" s="425"/>
      <c r="X74" s="420" t="e">
        <f t="shared" si="61"/>
        <v>#N/A</v>
      </c>
      <c r="Y74" s="572"/>
      <c r="Z74" s="425"/>
      <c r="AA74" s="425"/>
      <c r="AB74" s="425"/>
      <c r="AC74" s="420" t="e">
        <f t="shared" si="63"/>
        <v>#N/A</v>
      </c>
      <c r="AD74" s="572"/>
      <c r="AE74" s="425"/>
      <c r="AF74" s="425"/>
      <c r="AG74" s="425"/>
      <c r="AH74" s="420" t="e">
        <f t="shared" si="65"/>
        <v>#N/A</v>
      </c>
      <c r="AI74" s="572"/>
      <c r="AJ74" s="425"/>
      <c r="AK74" s="425"/>
      <c r="AL74" s="425"/>
      <c r="AM74" s="420" t="e">
        <f t="shared" si="67"/>
        <v>#N/A</v>
      </c>
      <c r="AN74" s="572"/>
      <c r="AO74" s="425"/>
      <c r="AP74" s="425"/>
      <c r="AQ74" s="425"/>
      <c r="AR74" s="420" t="e">
        <f t="shared" si="69"/>
        <v>#N/A</v>
      </c>
      <c r="AS74" s="572"/>
      <c r="AT74" s="425"/>
      <c r="AU74" s="425"/>
      <c r="AV74" s="425"/>
      <c r="AW74" s="420" t="e">
        <f t="shared" si="71"/>
        <v>#N/A</v>
      </c>
      <c r="AX74" s="572"/>
      <c r="AZ74" s="407" t="e">
        <f t="shared" si="73"/>
        <v>#N/A</v>
      </c>
      <c r="BA74" s="560"/>
    </row>
    <row r="75" spans="2:53">
      <c r="B75" s="570"/>
      <c r="C75" s="420">
        <v>9</v>
      </c>
      <c r="D75" s="375"/>
      <c r="E75" s="426"/>
      <c r="F75" s="426"/>
      <c r="G75" s="426"/>
      <c r="H75" s="579"/>
      <c r="I75" s="422" t="str">
        <f t="shared" si="58"/>
        <v>-</v>
      </c>
      <c r="J75" s="422" t="str">
        <f t="shared" si="59"/>
        <v>-</v>
      </c>
      <c r="K75" s="200" t="str">
        <f t="shared" si="60"/>
        <v>-</v>
      </c>
      <c r="L75" s="581"/>
      <c r="M75" s="426" t="e">
        <f>RANK(K75, K$67:$K$81)</f>
        <v>#VALUE!</v>
      </c>
      <c r="N75" s="564"/>
      <c r="O75" s="564"/>
      <c r="P75" s="425"/>
      <c r="Q75" s="425"/>
      <c r="R75" s="425"/>
      <c r="S75" s="420" t="e">
        <f t="shared" si="75"/>
        <v>#N/A</v>
      </c>
      <c r="T75" s="572"/>
      <c r="U75" s="425"/>
      <c r="V75" s="425"/>
      <c r="W75" s="425"/>
      <c r="X75" s="420" t="e">
        <f t="shared" si="61"/>
        <v>#N/A</v>
      </c>
      <c r="Y75" s="572"/>
      <c r="Z75" s="425"/>
      <c r="AA75" s="425"/>
      <c r="AB75" s="425"/>
      <c r="AC75" s="420" t="e">
        <f t="shared" si="63"/>
        <v>#N/A</v>
      </c>
      <c r="AD75" s="572"/>
      <c r="AE75" s="425"/>
      <c r="AF75" s="425"/>
      <c r="AG75" s="425"/>
      <c r="AH75" s="420" t="e">
        <f t="shared" si="65"/>
        <v>#N/A</v>
      </c>
      <c r="AI75" s="572"/>
      <c r="AJ75" s="425"/>
      <c r="AK75" s="425"/>
      <c r="AL75" s="425"/>
      <c r="AM75" s="420" t="e">
        <f t="shared" si="67"/>
        <v>#N/A</v>
      </c>
      <c r="AN75" s="572"/>
      <c r="AO75" s="425"/>
      <c r="AP75" s="425"/>
      <c r="AQ75" s="425"/>
      <c r="AR75" s="420" t="e">
        <f t="shared" si="69"/>
        <v>#N/A</v>
      </c>
      <c r="AS75" s="572"/>
      <c r="AT75" s="425"/>
      <c r="AU75" s="425"/>
      <c r="AV75" s="425"/>
      <c r="AW75" s="420" t="e">
        <f t="shared" si="71"/>
        <v>#N/A</v>
      </c>
      <c r="AX75" s="572"/>
      <c r="AZ75" s="407" t="e">
        <f t="shared" si="73"/>
        <v>#N/A</v>
      </c>
      <c r="BA75" s="560"/>
    </row>
    <row r="76" spans="2:53">
      <c r="B76" s="570"/>
      <c r="C76" s="420">
        <v>10</v>
      </c>
      <c r="D76" s="375"/>
      <c r="E76" s="426"/>
      <c r="F76" s="426"/>
      <c r="G76" s="426"/>
      <c r="H76" s="579"/>
      <c r="I76" s="422" t="str">
        <f t="shared" si="58"/>
        <v>-</v>
      </c>
      <c r="J76" s="422" t="str">
        <f t="shared" si="59"/>
        <v>-</v>
      </c>
      <c r="K76" s="200" t="str">
        <f t="shared" si="60"/>
        <v>-</v>
      </c>
      <c r="L76" s="581"/>
      <c r="M76" s="426" t="e">
        <f>RANK(K76, K$67:$K$81)</f>
        <v>#VALUE!</v>
      </c>
      <c r="N76" s="564"/>
      <c r="O76" s="564"/>
      <c r="P76" s="425"/>
      <c r="Q76" s="425"/>
      <c r="R76" s="425"/>
      <c r="S76" s="420" t="e">
        <f t="shared" si="75"/>
        <v>#N/A</v>
      </c>
      <c r="T76" s="572"/>
      <c r="U76" s="425"/>
      <c r="V76" s="425"/>
      <c r="W76" s="425"/>
      <c r="X76" s="420" t="e">
        <f t="shared" si="61"/>
        <v>#N/A</v>
      </c>
      <c r="Y76" s="572"/>
      <c r="Z76" s="425"/>
      <c r="AA76" s="425"/>
      <c r="AB76" s="425"/>
      <c r="AC76" s="420" t="e">
        <f t="shared" si="63"/>
        <v>#N/A</v>
      </c>
      <c r="AD76" s="572"/>
      <c r="AE76" s="425"/>
      <c r="AF76" s="425"/>
      <c r="AG76" s="425"/>
      <c r="AH76" s="420" t="e">
        <f t="shared" si="65"/>
        <v>#N/A</v>
      </c>
      <c r="AI76" s="572"/>
      <c r="AJ76" s="425"/>
      <c r="AK76" s="425"/>
      <c r="AL76" s="425"/>
      <c r="AM76" s="420" t="e">
        <f t="shared" si="67"/>
        <v>#N/A</v>
      </c>
      <c r="AN76" s="572"/>
      <c r="AO76" s="425"/>
      <c r="AP76" s="425"/>
      <c r="AQ76" s="425"/>
      <c r="AR76" s="420" t="e">
        <f t="shared" si="69"/>
        <v>#N/A</v>
      </c>
      <c r="AS76" s="572"/>
      <c r="AT76" s="425"/>
      <c r="AU76" s="425"/>
      <c r="AV76" s="425"/>
      <c r="AW76" s="420" t="e">
        <f t="shared" si="71"/>
        <v>#N/A</v>
      </c>
      <c r="AX76" s="572"/>
      <c r="AZ76" s="407" t="e">
        <f t="shared" si="73"/>
        <v>#N/A</v>
      </c>
      <c r="BA76" s="560"/>
    </row>
    <row r="77" spans="2:53">
      <c r="B77" s="570"/>
      <c r="C77" s="420">
        <v>11</v>
      </c>
      <c r="D77" s="375"/>
      <c r="E77" s="426"/>
      <c r="F77" s="426"/>
      <c r="G77" s="426"/>
      <c r="H77" s="579"/>
      <c r="I77" s="422" t="str">
        <f t="shared" si="58"/>
        <v>-</v>
      </c>
      <c r="J77" s="422" t="str">
        <f t="shared" si="59"/>
        <v>-</v>
      </c>
      <c r="K77" s="200" t="str">
        <f t="shared" si="60"/>
        <v>-</v>
      </c>
      <c r="L77" s="581"/>
      <c r="M77" s="426" t="e">
        <f>RANK(K77, K$67:$K$81)</f>
        <v>#VALUE!</v>
      </c>
      <c r="N77" s="564"/>
      <c r="O77" s="564"/>
      <c r="P77" s="425"/>
      <c r="Q77" s="425"/>
      <c r="R77" s="425"/>
      <c r="S77" s="420" t="e">
        <f t="shared" si="75"/>
        <v>#N/A</v>
      </c>
      <c r="T77" s="572"/>
      <c r="U77" s="425"/>
      <c r="V77" s="425"/>
      <c r="W77" s="425"/>
      <c r="X77" s="420" t="e">
        <f t="shared" si="61"/>
        <v>#N/A</v>
      </c>
      <c r="Y77" s="572"/>
      <c r="Z77" s="425"/>
      <c r="AA77" s="425"/>
      <c r="AB77" s="425"/>
      <c r="AC77" s="420" t="e">
        <f t="shared" si="63"/>
        <v>#N/A</v>
      </c>
      <c r="AD77" s="572"/>
      <c r="AE77" s="425"/>
      <c r="AF77" s="425"/>
      <c r="AG77" s="425"/>
      <c r="AH77" s="420" t="e">
        <f t="shared" si="65"/>
        <v>#N/A</v>
      </c>
      <c r="AI77" s="572"/>
      <c r="AJ77" s="425"/>
      <c r="AK77" s="425"/>
      <c r="AL77" s="425"/>
      <c r="AM77" s="420" t="e">
        <f t="shared" si="67"/>
        <v>#N/A</v>
      </c>
      <c r="AN77" s="572"/>
      <c r="AO77" s="425"/>
      <c r="AP77" s="425"/>
      <c r="AQ77" s="425"/>
      <c r="AR77" s="420" t="e">
        <f t="shared" si="69"/>
        <v>#N/A</v>
      </c>
      <c r="AS77" s="572"/>
      <c r="AT77" s="425"/>
      <c r="AU77" s="425"/>
      <c r="AV77" s="425"/>
      <c r="AW77" s="420" t="e">
        <f t="shared" si="71"/>
        <v>#N/A</v>
      </c>
      <c r="AX77" s="572"/>
      <c r="AZ77" s="407" t="e">
        <f t="shared" si="73"/>
        <v>#N/A</v>
      </c>
      <c r="BA77" s="560"/>
    </row>
    <row r="78" spans="2:53">
      <c r="B78" s="570"/>
      <c r="C78" s="420">
        <v>12</v>
      </c>
      <c r="D78" s="375"/>
      <c r="E78" s="426"/>
      <c r="F78" s="426"/>
      <c r="G78" s="426"/>
      <c r="H78" s="579"/>
      <c r="I78" s="422" t="str">
        <f t="shared" si="58"/>
        <v>-</v>
      </c>
      <c r="J78" s="422" t="str">
        <f t="shared" si="59"/>
        <v>-</v>
      </c>
      <c r="K78" s="200" t="str">
        <f t="shared" si="60"/>
        <v>-</v>
      </c>
      <c r="L78" s="581"/>
      <c r="M78" s="426" t="e">
        <f>RANK(K78, K$67:$K$81)</f>
        <v>#VALUE!</v>
      </c>
      <c r="N78" s="564"/>
      <c r="O78" s="564"/>
      <c r="P78" s="425"/>
      <c r="Q78" s="425"/>
      <c r="R78" s="425"/>
      <c r="S78" s="420" t="e">
        <f t="shared" si="75"/>
        <v>#N/A</v>
      </c>
      <c r="T78" s="572"/>
      <c r="U78" s="425"/>
      <c r="V78" s="425"/>
      <c r="W78" s="425"/>
      <c r="X78" s="420" t="e">
        <f t="shared" si="61"/>
        <v>#N/A</v>
      </c>
      <c r="Y78" s="572"/>
      <c r="Z78" s="425"/>
      <c r="AA78" s="425"/>
      <c r="AB78" s="425"/>
      <c r="AC78" s="420" t="e">
        <f t="shared" si="63"/>
        <v>#N/A</v>
      </c>
      <c r="AD78" s="572"/>
      <c r="AE78" s="425"/>
      <c r="AF78" s="425"/>
      <c r="AG78" s="425"/>
      <c r="AH78" s="420" t="e">
        <f t="shared" si="65"/>
        <v>#N/A</v>
      </c>
      <c r="AI78" s="572"/>
      <c r="AJ78" s="425"/>
      <c r="AK78" s="425"/>
      <c r="AL78" s="425"/>
      <c r="AM78" s="420" t="e">
        <f t="shared" si="67"/>
        <v>#N/A</v>
      </c>
      <c r="AN78" s="572"/>
      <c r="AO78" s="425"/>
      <c r="AP78" s="425"/>
      <c r="AQ78" s="425"/>
      <c r="AR78" s="420" t="e">
        <f t="shared" si="69"/>
        <v>#N/A</v>
      </c>
      <c r="AS78" s="572"/>
      <c r="AT78" s="425"/>
      <c r="AU78" s="425"/>
      <c r="AV78" s="425"/>
      <c r="AW78" s="420" t="e">
        <f t="shared" si="71"/>
        <v>#N/A</v>
      </c>
      <c r="AX78" s="572"/>
      <c r="AZ78" s="407" t="e">
        <f t="shared" si="73"/>
        <v>#N/A</v>
      </c>
      <c r="BA78" s="560"/>
    </row>
    <row r="79" spans="2:53">
      <c r="B79" s="570"/>
      <c r="C79" s="420">
        <v>13</v>
      </c>
      <c r="D79" s="375"/>
      <c r="E79" s="426"/>
      <c r="F79" s="426"/>
      <c r="G79" s="426"/>
      <c r="H79" s="579"/>
      <c r="I79" s="422" t="str">
        <f t="shared" si="58"/>
        <v>-</v>
      </c>
      <c r="J79" s="422" t="str">
        <f t="shared" si="59"/>
        <v>-</v>
      </c>
      <c r="K79" s="200" t="str">
        <f t="shared" si="60"/>
        <v>-</v>
      </c>
      <c r="L79" s="581"/>
      <c r="M79" s="426" t="e">
        <f>RANK(K79, K$67:$K$81)</f>
        <v>#VALUE!</v>
      </c>
      <c r="N79" s="564"/>
      <c r="O79" s="564"/>
      <c r="P79" s="425"/>
      <c r="Q79" s="425"/>
      <c r="R79" s="425"/>
      <c r="S79" s="420" t="e">
        <f t="shared" si="75"/>
        <v>#N/A</v>
      </c>
      <c r="T79" s="572"/>
      <c r="U79" s="425"/>
      <c r="V79" s="425"/>
      <c r="W79" s="425"/>
      <c r="X79" s="420" t="e">
        <f t="shared" si="61"/>
        <v>#N/A</v>
      </c>
      <c r="Y79" s="572"/>
      <c r="Z79" s="425"/>
      <c r="AA79" s="425"/>
      <c r="AB79" s="425"/>
      <c r="AC79" s="420" t="e">
        <f t="shared" si="63"/>
        <v>#N/A</v>
      </c>
      <c r="AD79" s="572"/>
      <c r="AE79" s="425"/>
      <c r="AF79" s="425"/>
      <c r="AG79" s="425"/>
      <c r="AH79" s="420" t="e">
        <f t="shared" si="65"/>
        <v>#N/A</v>
      </c>
      <c r="AI79" s="572"/>
      <c r="AJ79" s="425"/>
      <c r="AK79" s="425"/>
      <c r="AL79" s="425"/>
      <c r="AM79" s="420" t="e">
        <f t="shared" si="67"/>
        <v>#N/A</v>
      </c>
      <c r="AN79" s="572"/>
      <c r="AO79" s="425"/>
      <c r="AP79" s="425"/>
      <c r="AQ79" s="425"/>
      <c r="AR79" s="420" t="e">
        <f t="shared" si="69"/>
        <v>#N/A</v>
      </c>
      <c r="AS79" s="572"/>
      <c r="AT79" s="425"/>
      <c r="AU79" s="425"/>
      <c r="AV79" s="425"/>
      <c r="AW79" s="420" t="e">
        <f t="shared" si="71"/>
        <v>#N/A</v>
      </c>
      <c r="AX79" s="572"/>
      <c r="AZ79" s="407" t="e">
        <f t="shared" si="73"/>
        <v>#N/A</v>
      </c>
      <c r="BA79" s="560"/>
    </row>
    <row r="80" spans="2:53">
      <c r="B80" s="570"/>
      <c r="C80" s="420">
        <v>14</v>
      </c>
      <c r="D80" s="375"/>
      <c r="E80" s="426"/>
      <c r="F80" s="426"/>
      <c r="G80" s="426"/>
      <c r="H80" s="579"/>
      <c r="I80" s="422" t="str">
        <f t="shared" si="58"/>
        <v>-</v>
      </c>
      <c r="J80" s="422" t="str">
        <f t="shared" si="59"/>
        <v>-</v>
      </c>
      <c r="K80" s="200" t="str">
        <f t="shared" si="60"/>
        <v>-</v>
      </c>
      <c r="L80" s="581"/>
      <c r="M80" s="426" t="e">
        <f>RANK(K80, K$67:$K$81)</f>
        <v>#VALUE!</v>
      </c>
      <c r="N80" s="564"/>
      <c r="O80" s="564"/>
      <c r="P80" s="425"/>
      <c r="Q80" s="425"/>
      <c r="R80" s="425"/>
      <c r="S80" s="420" t="e">
        <f t="shared" si="75"/>
        <v>#N/A</v>
      </c>
      <c r="T80" s="572"/>
      <c r="U80" s="425"/>
      <c r="V80" s="425"/>
      <c r="W80" s="425"/>
      <c r="X80" s="420" t="e">
        <f t="shared" si="61"/>
        <v>#N/A</v>
      </c>
      <c r="Y80" s="572"/>
      <c r="Z80" s="425"/>
      <c r="AA80" s="425"/>
      <c r="AB80" s="425"/>
      <c r="AC80" s="420" t="e">
        <f t="shared" si="63"/>
        <v>#N/A</v>
      </c>
      <c r="AD80" s="572"/>
      <c r="AE80" s="425"/>
      <c r="AF80" s="425"/>
      <c r="AG80" s="425"/>
      <c r="AH80" s="420" t="e">
        <f t="shared" si="65"/>
        <v>#N/A</v>
      </c>
      <c r="AI80" s="572"/>
      <c r="AJ80" s="425"/>
      <c r="AK80" s="425"/>
      <c r="AL80" s="425"/>
      <c r="AM80" s="420" t="e">
        <f t="shared" si="67"/>
        <v>#N/A</v>
      </c>
      <c r="AN80" s="572"/>
      <c r="AO80" s="425"/>
      <c r="AP80" s="425"/>
      <c r="AQ80" s="425"/>
      <c r="AR80" s="420" t="e">
        <f t="shared" si="69"/>
        <v>#N/A</v>
      </c>
      <c r="AS80" s="572"/>
      <c r="AT80" s="425"/>
      <c r="AU80" s="425"/>
      <c r="AV80" s="425"/>
      <c r="AW80" s="420" t="e">
        <f t="shared" si="71"/>
        <v>#N/A</v>
      </c>
      <c r="AX80" s="572"/>
      <c r="AZ80" s="407" t="e">
        <f t="shared" si="73"/>
        <v>#N/A</v>
      </c>
      <c r="BA80" s="560"/>
    </row>
    <row r="81" spans="2:53">
      <c r="B81" s="570"/>
      <c r="C81" s="420">
        <v>15</v>
      </c>
      <c r="D81" s="375"/>
      <c r="E81" s="426"/>
      <c r="F81" s="426"/>
      <c r="G81" s="426"/>
      <c r="H81" s="639"/>
      <c r="I81" s="426"/>
      <c r="J81" s="426"/>
      <c r="K81" s="423"/>
      <c r="L81" s="582"/>
      <c r="M81" s="426" t="e">
        <f>RANK(K81, K$67:$K$81)</f>
        <v>#N/A</v>
      </c>
      <c r="N81" s="564"/>
      <c r="O81" s="564"/>
      <c r="P81" s="425"/>
      <c r="Q81" s="425"/>
      <c r="R81" s="425"/>
      <c r="S81" s="420" t="e">
        <f t="shared" si="75"/>
        <v>#N/A</v>
      </c>
      <c r="T81" s="572"/>
      <c r="U81" s="425"/>
      <c r="V81" s="425"/>
      <c r="W81" s="425"/>
      <c r="X81" s="420" t="e">
        <f t="shared" si="61"/>
        <v>#N/A</v>
      </c>
      <c r="Y81" s="572"/>
      <c r="Z81" s="425"/>
      <c r="AA81" s="425"/>
      <c r="AB81" s="425"/>
      <c r="AC81" s="420" t="e">
        <f t="shared" si="63"/>
        <v>#N/A</v>
      </c>
      <c r="AD81" s="572"/>
      <c r="AE81" s="425"/>
      <c r="AF81" s="425"/>
      <c r="AG81" s="425"/>
      <c r="AH81" s="420" t="e">
        <f t="shared" si="65"/>
        <v>#N/A</v>
      </c>
      <c r="AI81" s="572"/>
      <c r="AJ81" s="425"/>
      <c r="AK81" s="425"/>
      <c r="AL81" s="425"/>
      <c r="AM81" s="420" t="e">
        <f t="shared" si="67"/>
        <v>#N/A</v>
      </c>
      <c r="AN81" s="572"/>
      <c r="AO81" s="425"/>
      <c r="AP81" s="425"/>
      <c r="AQ81" s="425"/>
      <c r="AR81" s="420" t="e">
        <f t="shared" si="69"/>
        <v>#N/A</v>
      </c>
      <c r="AS81" s="572"/>
      <c r="AT81" s="425"/>
      <c r="AU81" s="425"/>
      <c r="AV81" s="425"/>
      <c r="AW81" s="420" t="e">
        <f t="shared" si="71"/>
        <v>#N/A</v>
      </c>
      <c r="AX81" s="572"/>
      <c r="AZ81" s="407" t="e">
        <f t="shared" si="73"/>
        <v>#N/A</v>
      </c>
      <c r="BA81" s="561"/>
    </row>
    <row r="82" spans="2:53" ht="15.75">
      <c r="B82" s="593" t="s">
        <v>163</v>
      </c>
      <c r="C82" s="594"/>
      <c r="D82" s="594"/>
      <c r="E82" s="594"/>
      <c r="F82" s="594"/>
      <c r="G82" s="594"/>
      <c r="H82" s="595"/>
      <c r="I82" s="208"/>
      <c r="J82" s="208"/>
      <c r="K82" s="208"/>
      <c r="L82" s="208"/>
      <c r="M82" s="207"/>
      <c r="N82" s="566" t="s">
        <v>156</v>
      </c>
      <c r="O82" s="566" t="s">
        <v>105</v>
      </c>
      <c r="P82" s="592">
        <f>P62+7</f>
        <v>46168</v>
      </c>
      <c r="Q82" s="570"/>
      <c r="R82" s="570"/>
      <c r="S82" s="570"/>
      <c r="T82" s="570"/>
      <c r="U82" s="589">
        <f>P82+1</f>
        <v>46169</v>
      </c>
      <c r="V82" s="590"/>
      <c r="W82" s="590"/>
      <c r="X82" s="590"/>
      <c r="Y82" s="591"/>
      <c r="Z82" s="589">
        <f>U82+1</f>
        <v>46170</v>
      </c>
      <c r="AA82" s="590"/>
      <c r="AB82" s="590"/>
      <c r="AC82" s="590"/>
      <c r="AD82" s="591"/>
      <c r="AE82" s="589">
        <f>Z82+1</f>
        <v>46171</v>
      </c>
      <c r="AF82" s="590"/>
      <c r="AG82" s="590"/>
      <c r="AH82" s="590"/>
      <c r="AI82" s="591"/>
      <c r="AJ82" s="589">
        <f>AE82+1</f>
        <v>46172</v>
      </c>
      <c r="AK82" s="590"/>
      <c r="AL82" s="590"/>
      <c r="AM82" s="590"/>
      <c r="AN82" s="591"/>
      <c r="AO82" s="589">
        <f>AJ82+1</f>
        <v>46173</v>
      </c>
      <c r="AP82" s="590"/>
      <c r="AQ82" s="590"/>
      <c r="AR82" s="590"/>
      <c r="AS82" s="591"/>
      <c r="AT82" s="589">
        <f>AO82+1</f>
        <v>46174</v>
      </c>
      <c r="AU82" s="590"/>
      <c r="AV82" s="590"/>
      <c r="AW82" s="590"/>
      <c r="AX82" s="591"/>
    </row>
    <row r="83" spans="2:53" ht="15.75">
      <c r="B83" s="596"/>
      <c r="C83" s="596"/>
      <c r="D83" s="596"/>
      <c r="E83" s="596"/>
      <c r="F83" s="596"/>
      <c r="G83" s="596"/>
      <c r="H83" s="596"/>
      <c r="I83" s="205"/>
      <c r="J83" s="205"/>
      <c r="K83" s="205"/>
      <c r="L83" s="205"/>
      <c r="M83" s="206"/>
      <c r="N83" s="568"/>
      <c r="O83" s="568"/>
      <c r="P83" s="592" t="s">
        <v>318</v>
      </c>
      <c r="Q83" s="570"/>
      <c r="R83" s="570"/>
      <c r="S83" s="570"/>
      <c r="T83" s="570"/>
      <c r="U83" s="592" t="s">
        <v>319</v>
      </c>
      <c r="V83" s="570"/>
      <c r="W83" s="570"/>
      <c r="X83" s="570"/>
      <c r="Y83" s="570"/>
      <c r="Z83" s="592" t="s">
        <v>320</v>
      </c>
      <c r="AA83" s="570"/>
      <c r="AB83" s="570"/>
      <c r="AC83" s="570"/>
      <c r="AD83" s="570"/>
      <c r="AE83" s="592" t="s">
        <v>321</v>
      </c>
      <c r="AF83" s="570"/>
      <c r="AG83" s="570"/>
      <c r="AH83" s="570"/>
      <c r="AI83" s="570"/>
      <c r="AJ83" s="592" t="s">
        <v>322</v>
      </c>
      <c r="AK83" s="570"/>
      <c r="AL83" s="570"/>
      <c r="AM83" s="570"/>
      <c r="AN83" s="570"/>
      <c r="AO83" s="592" t="s">
        <v>323</v>
      </c>
      <c r="AP83" s="570"/>
      <c r="AQ83" s="570"/>
      <c r="AR83" s="570"/>
      <c r="AS83" s="570"/>
      <c r="AT83" s="592" t="s">
        <v>324</v>
      </c>
      <c r="AU83" s="570"/>
      <c r="AV83" s="570"/>
      <c r="AW83" s="570"/>
      <c r="AX83" s="570"/>
    </row>
    <row r="84" spans="2:53">
      <c r="B84" s="564" t="s">
        <v>402</v>
      </c>
      <c r="C84" s="564" t="s">
        <v>387</v>
      </c>
      <c r="D84" s="564"/>
      <c r="E84" s="564" t="s">
        <v>378</v>
      </c>
      <c r="F84" s="564"/>
      <c r="G84" s="564"/>
      <c r="H84" s="597" t="s">
        <v>374</v>
      </c>
      <c r="I84" s="564" t="s">
        <v>379</v>
      </c>
      <c r="J84" s="564"/>
      <c r="K84" s="564"/>
      <c r="L84" s="597" t="s">
        <v>374</v>
      </c>
      <c r="M84" s="566" t="s">
        <v>375</v>
      </c>
      <c r="N84" s="564"/>
      <c r="O84" s="564" t="s">
        <v>380</v>
      </c>
      <c r="P84" s="583" t="s">
        <v>376</v>
      </c>
      <c r="Q84" s="584"/>
      <c r="R84" s="584"/>
      <c r="S84" s="585"/>
      <c r="T84" s="564" t="s">
        <v>374</v>
      </c>
      <c r="U84" s="583" t="s">
        <v>376</v>
      </c>
      <c r="V84" s="584"/>
      <c r="W84" s="584"/>
      <c r="X84" s="585"/>
      <c r="Y84" s="564" t="s">
        <v>374</v>
      </c>
      <c r="Z84" s="583" t="s">
        <v>376</v>
      </c>
      <c r="AA84" s="584"/>
      <c r="AB84" s="584"/>
      <c r="AC84" s="585"/>
      <c r="AD84" s="564" t="s">
        <v>374</v>
      </c>
      <c r="AE84" s="583" t="s">
        <v>376</v>
      </c>
      <c r="AF84" s="584"/>
      <c r="AG84" s="584"/>
      <c r="AH84" s="585"/>
      <c r="AI84" s="564" t="s">
        <v>374</v>
      </c>
      <c r="AJ84" s="583" t="s">
        <v>376</v>
      </c>
      <c r="AK84" s="584"/>
      <c r="AL84" s="584"/>
      <c r="AM84" s="585"/>
      <c r="AN84" s="564" t="s">
        <v>374</v>
      </c>
      <c r="AO84" s="583" t="s">
        <v>376</v>
      </c>
      <c r="AP84" s="584"/>
      <c r="AQ84" s="584"/>
      <c r="AR84" s="585"/>
      <c r="AS84" s="564" t="s">
        <v>374</v>
      </c>
      <c r="AT84" s="583" t="s">
        <v>376</v>
      </c>
      <c r="AU84" s="584"/>
      <c r="AV84" s="584"/>
      <c r="AW84" s="585"/>
      <c r="AX84" s="564" t="s">
        <v>374</v>
      </c>
      <c r="BA84" s="564" t="s">
        <v>374</v>
      </c>
    </row>
    <row r="85" spans="2:53">
      <c r="B85" s="564"/>
      <c r="C85" s="564"/>
      <c r="D85" s="564"/>
      <c r="E85" s="564" t="s">
        <v>381</v>
      </c>
      <c r="F85" s="564"/>
      <c r="G85" s="564"/>
      <c r="H85" s="598"/>
      <c r="I85" s="564" t="s">
        <v>381</v>
      </c>
      <c r="J85" s="564"/>
      <c r="K85" s="564"/>
      <c r="L85" s="598"/>
      <c r="M85" s="567"/>
      <c r="N85" s="564"/>
      <c r="O85" s="564"/>
      <c r="P85" s="583" t="s">
        <v>382</v>
      </c>
      <c r="Q85" s="584"/>
      <c r="R85" s="584"/>
      <c r="S85" s="585"/>
      <c r="T85" s="564"/>
      <c r="U85" s="583" t="s">
        <v>382</v>
      </c>
      <c r="V85" s="584"/>
      <c r="W85" s="584"/>
      <c r="X85" s="585"/>
      <c r="Y85" s="564"/>
      <c r="Z85" s="583" t="s">
        <v>382</v>
      </c>
      <c r="AA85" s="584"/>
      <c r="AB85" s="584"/>
      <c r="AC85" s="585"/>
      <c r="AD85" s="564"/>
      <c r="AE85" s="583" t="s">
        <v>382</v>
      </c>
      <c r="AF85" s="584"/>
      <c r="AG85" s="584"/>
      <c r="AH85" s="585"/>
      <c r="AI85" s="564"/>
      <c r="AJ85" s="583" t="s">
        <v>382</v>
      </c>
      <c r="AK85" s="584"/>
      <c r="AL85" s="584"/>
      <c r="AM85" s="585"/>
      <c r="AN85" s="564"/>
      <c r="AO85" s="583" t="s">
        <v>382</v>
      </c>
      <c r="AP85" s="584"/>
      <c r="AQ85" s="584"/>
      <c r="AR85" s="585"/>
      <c r="AS85" s="564"/>
      <c r="AT85" s="583" t="s">
        <v>382</v>
      </c>
      <c r="AU85" s="584"/>
      <c r="AV85" s="584"/>
      <c r="AW85" s="585"/>
      <c r="AX85" s="564"/>
      <c r="BA85" s="564"/>
    </row>
    <row r="86" spans="2:53">
      <c r="B86" s="564"/>
      <c r="C86" s="564"/>
      <c r="D86" s="564"/>
      <c r="E86" s="417" t="s">
        <v>383</v>
      </c>
      <c r="F86" s="417" t="s">
        <v>384</v>
      </c>
      <c r="G86" s="417" t="s">
        <v>385</v>
      </c>
      <c r="H86" s="599"/>
      <c r="I86" s="417" t="s">
        <v>383</v>
      </c>
      <c r="J86" s="417" t="s">
        <v>384</v>
      </c>
      <c r="K86" s="417" t="s">
        <v>385</v>
      </c>
      <c r="L86" s="599"/>
      <c r="M86" s="568"/>
      <c r="N86" s="564"/>
      <c r="O86" s="564"/>
      <c r="P86" s="417" t="s">
        <v>383</v>
      </c>
      <c r="Q86" s="417" t="s">
        <v>384</v>
      </c>
      <c r="R86" s="417" t="s">
        <v>385</v>
      </c>
      <c r="S86" s="417" t="s">
        <v>375</v>
      </c>
      <c r="T86" s="564"/>
      <c r="U86" s="417" t="s">
        <v>383</v>
      </c>
      <c r="V86" s="417" t="s">
        <v>384</v>
      </c>
      <c r="W86" s="417" t="s">
        <v>385</v>
      </c>
      <c r="X86" s="417" t="s">
        <v>375</v>
      </c>
      <c r="Y86" s="564"/>
      <c r="Z86" s="417" t="s">
        <v>383</v>
      </c>
      <c r="AA86" s="417" t="s">
        <v>384</v>
      </c>
      <c r="AB86" s="417" t="s">
        <v>385</v>
      </c>
      <c r="AC86" s="417" t="s">
        <v>375</v>
      </c>
      <c r="AD86" s="564"/>
      <c r="AE86" s="417" t="s">
        <v>383</v>
      </c>
      <c r="AF86" s="417" t="s">
        <v>384</v>
      </c>
      <c r="AG86" s="417" t="s">
        <v>385</v>
      </c>
      <c r="AH86" s="417" t="s">
        <v>375</v>
      </c>
      <c r="AI86" s="564"/>
      <c r="AJ86" s="417" t="s">
        <v>383</v>
      </c>
      <c r="AK86" s="417" t="s">
        <v>384</v>
      </c>
      <c r="AL86" s="417" t="s">
        <v>385</v>
      </c>
      <c r="AM86" s="417" t="s">
        <v>375</v>
      </c>
      <c r="AN86" s="564"/>
      <c r="AO86" s="417" t="s">
        <v>383</v>
      </c>
      <c r="AP86" s="417" t="s">
        <v>384</v>
      </c>
      <c r="AQ86" s="417" t="s">
        <v>385</v>
      </c>
      <c r="AR86" s="417" t="s">
        <v>375</v>
      </c>
      <c r="AS86" s="564"/>
      <c r="AT86" s="417" t="s">
        <v>383</v>
      </c>
      <c r="AU86" s="417" t="s">
        <v>384</v>
      </c>
      <c r="AV86" s="417" t="s">
        <v>385</v>
      </c>
      <c r="AW86" s="417" t="s">
        <v>375</v>
      </c>
      <c r="AX86" s="564"/>
      <c r="AZ86" s="406" t="s">
        <v>375</v>
      </c>
      <c r="BA86" s="564"/>
    </row>
    <row r="87" spans="2:53">
      <c r="B87" s="626" t="s">
        <v>416</v>
      </c>
      <c r="C87" s="420">
        <v>1</v>
      </c>
      <c r="D87" s="375"/>
      <c r="E87" s="426"/>
      <c r="F87" s="426"/>
      <c r="G87" s="426"/>
      <c r="H87" s="578" t="e">
        <f>AVERAGE(G87:G101)</f>
        <v>#DIV/0!</v>
      </c>
      <c r="I87" s="422" t="str">
        <f t="shared" ref="I87:I100" si="76">IFERROR(AVERAGE(P87,U87,Z87,AE87,AJ87,AO87,AT87),"-")</f>
        <v>-</v>
      </c>
      <c r="J87" s="422" t="str">
        <f t="shared" ref="J87:J100" si="77">IFERROR(AVERAGE(Q87,V87,AA87,AF87,AK87,AP87,AU87),"-")</f>
        <v>-</v>
      </c>
      <c r="K87" s="200" t="str">
        <f t="shared" ref="K87:K100" si="78">IFERROR(AVERAGE(R87,W87,AB87,AG87,AL87,AQ87,AV87),"-")</f>
        <v>-</v>
      </c>
      <c r="L87" s="580" t="str">
        <f>IFERROR(AVERAGE(K87:K101),"-")</f>
        <v>-</v>
      </c>
      <c r="M87" s="426" t="e">
        <f>RANK(K87, K$67:$K$81)</f>
        <v>#VALUE!</v>
      </c>
      <c r="N87" s="564"/>
      <c r="O87" s="564"/>
      <c r="P87" s="425"/>
      <c r="Q87" s="425"/>
      <c r="R87" s="425"/>
      <c r="S87" s="420" t="e">
        <f>RANK(R87, R$67:R$81)</f>
        <v>#N/A</v>
      </c>
      <c r="T87" s="572" t="e">
        <f>AVERAGE(R87:R101)</f>
        <v>#DIV/0!</v>
      </c>
      <c r="U87" s="425"/>
      <c r="V87" s="425"/>
      <c r="W87" s="425"/>
      <c r="X87" s="420" t="e">
        <f t="shared" ref="X87:X101" si="79">RANK(W87, W$67:W$81)</f>
        <v>#N/A</v>
      </c>
      <c r="Y87" s="572" t="e">
        <f t="shared" ref="Y87" si="80">AVERAGE(W87:W101)</f>
        <v>#DIV/0!</v>
      </c>
      <c r="Z87" s="425"/>
      <c r="AA87" s="425"/>
      <c r="AB87" s="425"/>
      <c r="AC87" s="420" t="e">
        <f t="shared" ref="AC87:AC101" si="81">RANK(AB87, AB$67:AB$81)</f>
        <v>#N/A</v>
      </c>
      <c r="AD87" s="572" t="e">
        <f t="shared" ref="AD87" si="82">AVERAGE(AB87:AB101)</f>
        <v>#DIV/0!</v>
      </c>
      <c r="AE87" s="425"/>
      <c r="AF87" s="425"/>
      <c r="AG87" s="425"/>
      <c r="AH87" s="420" t="e">
        <f t="shared" ref="AH87:AH101" si="83">RANK(AG87, AG$67:AG$81)</f>
        <v>#N/A</v>
      </c>
      <c r="AI87" s="572" t="e">
        <f t="shared" ref="AI87" si="84">AVERAGE(AG87:AG101)</f>
        <v>#DIV/0!</v>
      </c>
      <c r="AJ87" s="425"/>
      <c r="AK87" s="425"/>
      <c r="AL87" s="425"/>
      <c r="AM87" s="420" t="e">
        <f t="shared" ref="AM87:AM101" si="85">RANK(AL87, AL$67:AL$81)</f>
        <v>#N/A</v>
      </c>
      <c r="AN87" s="572" t="e">
        <f t="shared" ref="AN87" si="86">AVERAGE(AL87:AL101)</f>
        <v>#DIV/0!</v>
      </c>
      <c r="AO87" s="425"/>
      <c r="AP87" s="425"/>
      <c r="AQ87" s="425"/>
      <c r="AR87" s="420" t="e">
        <f t="shared" ref="AR87:AR101" si="87">RANK(AQ87, AQ$67:AQ$81)</f>
        <v>#N/A</v>
      </c>
      <c r="AS87" s="572" t="e">
        <f t="shared" ref="AS87" si="88">AVERAGE(AQ87:AQ101)</f>
        <v>#DIV/0!</v>
      </c>
      <c r="AT87" s="425"/>
      <c r="AU87" s="425"/>
      <c r="AV87" s="425"/>
      <c r="AW87" s="420" t="e">
        <f t="shared" ref="AW87:AW101" si="89">RANK(AV87, AV$67:AV$81)</f>
        <v>#N/A</v>
      </c>
      <c r="AX87" s="572" t="e">
        <f t="shared" ref="AX87" si="90">AVERAGE(AV87:AV101)</f>
        <v>#DIV/0!</v>
      </c>
      <c r="AZ87" s="407" t="e">
        <f t="shared" ref="AZ87:AZ101" si="91">RANK(AY87, AY$87:AY$101)</f>
        <v>#N/A</v>
      </c>
      <c r="BA87" s="565" t="e">
        <f t="shared" ref="BA87" si="92">AVERAGE(AY87:AY101)</f>
        <v>#DIV/0!</v>
      </c>
    </row>
    <row r="88" spans="2:53">
      <c r="B88" s="570"/>
      <c r="C88" s="420">
        <v>2</v>
      </c>
      <c r="D88" s="375"/>
      <c r="E88" s="426"/>
      <c r="F88" s="426"/>
      <c r="G88" s="426"/>
      <c r="H88" s="579"/>
      <c r="I88" s="422" t="str">
        <f t="shared" si="76"/>
        <v>-</v>
      </c>
      <c r="J88" s="422" t="str">
        <f t="shared" si="77"/>
        <v>-</v>
      </c>
      <c r="K88" s="200" t="str">
        <f t="shared" si="78"/>
        <v>-</v>
      </c>
      <c r="L88" s="581"/>
      <c r="M88" s="426" t="e">
        <f>RANK(K88, K$67:$K$81)</f>
        <v>#VALUE!</v>
      </c>
      <c r="N88" s="564"/>
      <c r="O88" s="564"/>
      <c r="P88" s="425"/>
      <c r="Q88" s="425"/>
      <c r="R88" s="425"/>
      <c r="S88" s="420" t="e">
        <f t="shared" ref="S88:S101" si="93">RANK(R88, R$67:R$81)</f>
        <v>#N/A</v>
      </c>
      <c r="T88" s="572"/>
      <c r="U88" s="425"/>
      <c r="V88" s="425"/>
      <c r="W88" s="425"/>
      <c r="X88" s="420" t="e">
        <f t="shared" si="79"/>
        <v>#N/A</v>
      </c>
      <c r="Y88" s="572"/>
      <c r="Z88" s="425"/>
      <c r="AA88" s="425"/>
      <c r="AB88" s="425"/>
      <c r="AC88" s="420" t="e">
        <f t="shared" si="81"/>
        <v>#N/A</v>
      </c>
      <c r="AD88" s="572"/>
      <c r="AE88" s="425"/>
      <c r="AF88" s="425"/>
      <c r="AG88" s="425"/>
      <c r="AH88" s="420" t="e">
        <f t="shared" si="83"/>
        <v>#N/A</v>
      </c>
      <c r="AI88" s="572"/>
      <c r="AJ88" s="425"/>
      <c r="AK88" s="425"/>
      <c r="AL88" s="425"/>
      <c r="AM88" s="420" t="e">
        <f t="shared" si="85"/>
        <v>#N/A</v>
      </c>
      <c r="AN88" s="572"/>
      <c r="AO88" s="425"/>
      <c r="AP88" s="425"/>
      <c r="AQ88" s="425"/>
      <c r="AR88" s="420" t="e">
        <f t="shared" si="87"/>
        <v>#N/A</v>
      </c>
      <c r="AS88" s="572"/>
      <c r="AT88" s="425"/>
      <c r="AU88" s="425"/>
      <c r="AV88" s="425"/>
      <c r="AW88" s="420" t="e">
        <f t="shared" si="89"/>
        <v>#N/A</v>
      </c>
      <c r="AX88" s="572"/>
      <c r="AZ88" s="407" t="e">
        <f t="shared" si="91"/>
        <v>#N/A</v>
      </c>
      <c r="BA88" s="565"/>
    </row>
    <row r="89" spans="2:53">
      <c r="B89" s="570"/>
      <c r="C89" s="420">
        <v>3</v>
      </c>
      <c r="D89" s="375"/>
      <c r="E89" s="426"/>
      <c r="F89" s="426"/>
      <c r="G89" s="426"/>
      <c r="H89" s="579"/>
      <c r="I89" s="422" t="str">
        <f t="shared" si="76"/>
        <v>-</v>
      </c>
      <c r="J89" s="422" t="str">
        <f t="shared" si="77"/>
        <v>-</v>
      </c>
      <c r="K89" s="200" t="str">
        <f t="shared" si="78"/>
        <v>-</v>
      </c>
      <c r="L89" s="581"/>
      <c r="M89" s="426" t="e">
        <f>RANK(K89, K$67:$K$81)</f>
        <v>#VALUE!</v>
      </c>
      <c r="N89" s="564"/>
      <c r="O89" s="564"/>
      <c r="P89" s="425"/>
      <c r="Q89" s="425"/>
      <c r="R89" s="425"/>
      <c r="S89" s="420" t="e">
        <f t="shared" si="93"/>
        <v>#N/A</v>
      </c>
      <c r="T89" s="572"/>
      <c r="U89" s="425"/>
      <c r="V89" s="425"/>
      <c r="W89" s="425"/>
      <c r="X89" s="420" t="e">
        <f t="shared" si="79"/>
        <v>#N/A</v>
      </c>
      <c r="Y89" s="572"/>
      <c r="Z89" s="425"/>
      <c r="AA89" s="425"/>
      <c r="AB89" s="425"/>
      <c r="AC89" s="420" t="e">
        <f t="shared" si="81"/>
        <v>#N/A</v>
      </c>
      <c r="AD89" s="572"/>
      <c r="AE89" s="425"/>
      <c r="AF89" s="425"/>
      <c r="AG89" s="425"/>
      <c r="AH89" s="420" t="e">
        <f t="shared" si="83"/>
        <v>#N/A</v>
      </c>
      <c r="AI89" s="572"/>
      <c r="AJ89" s="425"/>
      <c r="AK89" s="425"/>
      <c r="AL89" s="425"/>
      <c r="AM89" s="420" t="e">
        <f t="shared" si="85"/>
        <v>#N/A</v>
      </c>
      <c r="AN89" s="572"/>
      <c r="AO89" s="425"/>
      <c r="AP89" s="425"/>
      <c r="AQ89" s="425"/>
      <c r="AR89" s="420" t="e">
        <f t="shared" si="87"/>
        <v>#N/A</v>
      </c>
      <c r="AS89" s="572"/>
      <c r="AT89" s="425"/>
      <c r="AU89" s="425"/>
      <c r="AV89" s="425"/>
      <c r="AW89" s="420" t="e">
        <f t="shared" si="89"/>
        <v>#N/A</v>
      </c>
      <c r="AX89" s="572"/>
      <c r="AZ89" s="407" t="e">
        <f t="shared" si="91"/>
        <v>#N/A</v>
      </c>
      <c r="BA89" s="565"/>
    </row>
    <row r="90" spans="2:53">
      <c r="B90" s="570"/>
      <c r="C90" s="420">
        <v>4</v>
      </c>
      <c r="D90" s="375"/>
      <c r="E90" s="426"/>
      <c r="F90" s="426"/>
      <c r="G90" s="426"/>
      <c r="H90" s="579"/>
      <c r="I90" s="422" t="str">
        <f t="shared" si="76"/>
        <v>-</v>
      </c>
      <c r="J90" s="422" t="str">
        <f t="shared" si="77"/>
        <v>-</v>
      </c>
      <c r="K90" s="200" t="str">
        <f t="shared" si="78"/>
        <v>-</v>
      </c>
      <c r="L90" s="581"/>
      <c r="M90" s="426" t="e">
        <f>RANK(K90, K$67:$K$81)</f>
        <v>#VALUE!</v>
      </c>
      <c r="N90" s="564"/>
      <c r="O90" s="564"/>
      <c r="P90" s="425"/>
      <c r="Q90" s="425"/>
      <c r="R90" s="425"/>
      <c r="S90" s="420" t="e">
        <f t="shared" si="93"/>
        <v>#N/A</v>
      </c>
      <c r="T90" s="572"/>
      <c r="U90" s="425"/>
      <c r="V90" s="425"/>
      <c r="W90" s="425"/>
      <c r="X90" s="420" t="e">
        <f t="shared" si="79"/>
        <v>#N/A</v>
      </c>
      <c r="Y90" s="572"/>
      <c r="Z90" s="425"/>
      <c r="AA90" s="425"/>
      <c r="AB90" s="425"/>
      <c r="AC90" s="420" t="e">
        <f t="shared" si="81"/>
        <v>#N/A</v>
      </c>
      <c r="AD90" s="572"/>
      <c r="AE90" s="425"/>
      <c r="AF90" s="425"/>
      <c r="AG90" s="425"/>
      <c r="AH90" s="420" t="e">
        <f t="shared" si="83"/>
        <v>#N/A</v>
      </c>
      <c r="AI90" s="572"/>
      <c r="AJ90" s="425"/>
      <c r="AK90" s="425"/>
      <c r="AL90" s="425"/>
      <c r="AM90" s="420" t="e">
        <f t="shared" si="85"/>
        <v>#N/A</v>
      </c>
      <c r="AN90" s="572"/>
      <c r="AO90" s="425"/>
      <c r="AP90" s="425"/>
      <c r="AQ90" s="425"/>
      <c r="AR90" s="420" t="e">
        <f t="shared" si="87"/>
        <v>#N/A</v>
      </c>
      <c r="AS90" s="572"/>
      <c r="AT90" s="425"/>
      <c r="AU90" s="425"/>
      <c r="AV90" s="425"/>
      <c r="AW90" s="420" t="e">
        <f t="shared" si="89"/>
        <v>#N/A</v>
      </c>
      <c r="AX90" s="572"/>
      <c r="AZ90" s="407" t="e">
        <f t="shared" si="91"/>
        <v>#N/A</v>
      </c>
      <c r="BA90" s="565"/>
    </row>
    <row r="91" spans="2:53">
      <c r="B91" s="570"/>
      <c r="C91" s="420">
        <v>5</v>
      </c>
      <c r="D91" s="375"/>
      <c r="E91" s="426"/>
      <c r="F91" s="426"/>
      <c r="G91" s="426"/>
      <c r="H91" s="579"/>
      <c r="I91" s="422" t="str">
        <f t="shared" si="76"/>
        <v>-</v>
      </c>
      <c r="J91" s="422" t="str">
        <f t="shared" si="77"/>
        <v>-</v>
      </c>
      <c r="K91" s="200" t="str">
        <f t="shared" si="78"/>
        <v>-</v>
      </c>
      <c r="L91" s="581"/>
      <c r="M91" s="426" t="e">
        <f>RANK(K91, K$67:$K$81)</f>
        <v>#VALUE!</v>
      </c>
      <c r="N91" s="564"/>
      <c r="O91" s="564"/>
      <c r="P91" s="425"/>
      <c r="Q91" s="425"/>
      <c r="R91" s="425"/>
      <c r="S91" s="420" t="e">
        <f t="shared" si="93"/>
        <v>#N/A</v>
      </c>
      <c r="T91" s="572"/>
      <c r="U91" s="425"/>
      <c r="V91" s="425"/>
      <c r="W91" s="425"/>
      <c r="X91" s="420" t="e">
        <f t="shared" si="79"/>
        <v>#N/A</v>
      </c>
      <c r="Y91" s="572"/>
      <c r="Z91" s="425"/>
      <c r="AA91" s="425"/>
      <c r="AB91" s="425"/>
      <c r="AC91" s="420" t="e">
        <f t="shared" si="81"/>
        <v>#N/A</v>
      </c>
      <c r="AD91" s="572"/>
      <c r="AE91" s="425"/>
      <c r="AF91" s="425"/>
      <c r="AG91" s="425"/>
      <c r="AH91" s="420" t="e">
        <f t="shared" si="83"/>
        <v>#N/A</v>
      </c>
      <c r="AI91" s="572"/>
      <c r="AJ91" s="425"/>
      <c r="AK91" s="425"/>
      <c r="AL91" s="425"/>
      <c r="AM91" s="420" t="e">
        <f t="shared" si="85"/>
        <v>#N/A</v>
      </c>
      <c r="AN91" s="572"/>
      <c r="AO91" s="425"/>
      <c r="AP91" s="425"/>
      <c r="AQ91" s="425"/>
      <c r="AR91" s="420" t="e">
        <f t="shared" si="87"/>
        <v>#N/A</v>
      </c>
      <c r="AS91" s="572"/>
      <c r="AT91" s="425"/>
      <c r="AU91" s="425"/>
      <c r="AV91" s="425"/>
      <c r="AW91" s="420" t="e">
        <f t="shared" si="89"/>
        <v>#N/A</v>
      </c>
      <c r="AX91" s="572"/>
      <c r="AZ91" s="407" t="e">
        <f t="shared" si="91"/>
        <v>#N/A</v>
      </c>
      <c r="BA91" s="565"/>
    </row>
    <row r="92" spans="2:53">
      <c r="B92" s="570"/>
      <c r="C92" s="420">
        <v>6</v>
      </c>
      <c r="D92" s="375"/>
      <c r="E92" s="426"/>
      <c r="F92" s="426"/>
      <c r="G92" s="426"/>
      <c r="H92" s="579"/>
      <c r="I92" s="422" t="str">
        <f t="shared" si="76"/>
        <v>-</v>
      </c>
      <c r="J92" s="422" t="str">
        <f t="shared" si="77"/>
        <v>-</v>
      </c>
      <c r="K92" s="200" t="str">
        <f t="shared" si="78"/>
        <v>-</v>
      </c>
      <c r="L92" s="581"/>
      <c r="M92" s="426" t="e">
        <f>RANK(K92, K$67:$K$81)</f>
        <v>#VALUE!</v>
      </c>
      <c r="N92" s="564"/>
      <c r="O92" s="564"/>
      <c r="P92" s="425"/>
      <c r="Q92" s="425"/>
      <c r="R92" s="425"/>
      <c r="S92" s="420" t="e">
        <f t="shared" si="93"/>
        <v>#N/A</v>
      </c>
      <c r="T92" s="572"/>
      <c r="U92" s="425"/>
      <c r="V92" s="425"/>
      <c r="W92" s="425"/>
      <c r="X92" s="420" t="e">
        <f t="shared" si="79"/>
        <v>#N/A</v>
      </c>
      <c r="Y92" s="572"/>
      <c r="Z92" s="425"/>
      <c r="AA92" s="425"/>
      <c r="AB92" s="425"/>
      <c r="AC92" s="420" t="e">
        <f t="shared" si="81"/>
        <v>#N/A</v>
      </c>
      <c r="AD92" s="572"/>
      <c r="AE92" s="425"/>
      <c r="AF92" s="425"/>
      <c r="AG92" s="425"/>
      <c r="AH92" s="420" t="e">
        <f t="shared" si="83"/>
        <v>#N/A</v>
      </c>
      <c r="AI92" s="572"/>
      <c r="AJ92" s="425"/>
      <c r="AK92" s="425"/>
      <c r="AL92" s="425"/>
      <c r="AM92" s="420" t="e">
        <f t="shared" si="85"/>
        <v>#N/A</v>
      </c>
      <c r="AN92" s="572"/>
      <c r="AO92" s="425"/>
      <c r="AP92" s="425"/>
      <c r="AQ92" s="425"/>
      <c r="AR92" s="420" t="e">
        <f t="shared" si="87"/>
        <v>#N/A</v>
      </c>
      <c r="AS92" s="572"/>
      <c r="AT92" s="425"/>
      <c r="AU92" s="425"/>
      <c r="AV92" s="425"/>
      <c r="AW92" s="420" t="e">
        <f t="shared" si="89"/>
        <v>#N/A</v>
      </c>
      <c r="AX92" s="572"/>
      <c r="AZ92" s="407" t="e">
        <f t="shared" si="91"/>
        <v>#N/A</v>
      </c>
      <c r="BA92" s="565"/>
    </row>
    <row r="93" spans="2:53">
      <c r="B93" s="570"/>
      <c r="C93" s="420">
        <v>7</v>
      </c>
      <c r="D93" s="375"/>
      <c r="E93" s="426"/>
      <c r="F93" s="426"/>
      <c r="G93" s="426"/>
      <c r="H93" s="579"/>
      <c r="I93" s="422" t="str">
        <f t="shared" si="76"/>
        <v>-</v>
      </c>
      <c r="J93" s="422" t="str">
        <f t="shared" si="77"/>
        <v>-</v>
      </c>
      <c r="K93" s="200" t="str">
        <f t="shared" si="78"/>
        <v>-</v>
      </c>
      <c r="L93" s="581"/>
      <c r="M93" s="426" t="e">
        <f>RANK(K93, K$67:$K$81)</f>
        <v>#VALUE!</v>
      </c>
      <c r="N93" s="564"/>
      <c r="O93" s="564"/>
      <c r="P93" s="425"/>
      <c r="Q93" s="425"/>
      <c r="R93" s="425"/>
      <c r="S93" s="420" t="e">
        <f t="shared" si="93"/>
        <v>#N/A</v>
      </c>
      <c r="T93" s="572"/>
      <c r="U93" s="425"/>
      <c r="V93" s="425"/>
      <c r="W93" s="425"/>
      <c r="X93" s="420" t="e">
        <f t="shared" si="79"/>
        <v>#N/A</v>
      </c>
      <c r="Y93" s="572"/>
      <c r="Z93" s="425"/>
      <c r="AA93" s="425"/>
      <c r="AB93" s="425"/>
      <c r="AC93" s="420" t="e">
        <f t="shared" si="81"/>
        <v>#N/A</v>
      </c>
      <c r="AD93" s="572"/>
      <c r="AE93" s="425"/>
      <c r="AF93" s="425"/>
      <c r="AG93" s="425"/>
      <c r="AH93" s="420" t="e">
        <f t="shared" si="83"/>
        <v>#N/A</v>
      </c>
      <c r="AI93" s="572"/>
      <c r="AJ93" s="425"/>
      <c r="AK93" s="425"/>
      <c r="AL93" s="425"/>
      <c r="AM93" s="420" t="e">
        <f t="shared" si="85"/>
        <v>#N/A</v>
      </c>
      <c r="AN93" s="572"/>
      <c r="AO93" s="425"/>
      <c r="AP93" s="425"/>
      <c r="AQ93" s="425"/>
      <c r="AR93" s="420" t="e">
        <f t="shared" si="87"/>
        <v>#N/A</v>
      </c>
      <c r="AS93" s="572"/>
      <c r="AT93" s="425"/>
      <c r="AU93" s="425"/>
      <c r="AV93" s="425"/>
      <c r="AW93" s="420" t="e">
        <f t="shared" si="89"/>
        <v>#N/A</v>
      </c>
      <c r="AX93" s="572"/>
      <c r="AZ93" s="407" t="e">
        <f t="shared" si="91"/>
        <v>#N/A</v>
      </c>
      <c r="BA93" s="565"/>
    </row>
    <row r="94" spans="2:53">
      <c r="B94" s="570"/>
      <c r="C94" s="420">
        <v>8</v>
      </c>
      <c r="D94" s="375"/>
      <c r="E94" s="426"/>
      <c r="F94" s="426"/>
      <c r="G94" s="426"/>
      <c r="H94" s="579"/>
      <c r="I94" s="422" t="str">
        <f t="shared" si="76"/>
        <v>-</v>
      </c>
      <c r="J94" s="422" t="str">
        <f t="shared" si="77"/>
        <v>-</v>
      </c>
      <c r="K94" s="200" t="str">
        <f t="shared" si="78"/>
        <v>-</v>
      </c>
      <c r="L94" s="581"/>
      <c r="M94" s="426" t="e">
        <f>RANK(K94, K$67:$K$81)</f>
        <v>#VALUE!</v>
      </c>
      <c r="N94" s="564"/>
      <c r="O94" s="564"/>
      <c r="P94" s="425"/>
      <c r="Q94" s="425"/>
      <c r="R94" s="425"/>
      <c r="S94" s="420" t="e">
        <f t="shared" si="93"/>
        <v>#N/A</v>
      </c>
      <c r="T94" s="572"/>
      <c r="U94" s="425"/>
      <c r="V94" s="425"/>
      <c r="W94" s="425"/>
      <c r="X94" s="420" t="e">
        <f t="shared" si="79"/>
        <v>#N/A</v>
      </c>
      <c r="Y94" s="572"/>
      <c r="Z94" s="425"/>
      <c r="AA94" s="425"/>
      <c r="AB94" s="425"/>
      <c r="AC94" s="420" t="e">
        <f t="shared" si="81"/>
        <v>#N/A</v>
      </c>
      <c r="AD94" s="572"/>
      <c r="AE94" s="425"/>
      <c r="AF94" s="425"/>
      <c r="AG94" s="425"/>
      <c r="AH94" s="420" t="e">
        <f t="shared" si="83"/>
        <v>#N/A</v>
      </c>
      <c r="AI94" s="572"/>
      <c r="AJ94" s="425"/>
      <c r="AK94" s="425"/>
      <c r="AL94" s="425"/>
      <c r="AM94" s="420" t="e">
        <f t="shared" si="85"/>
        <v>#N/A</v>
      </c>
      <c r="AN94" s="572"/>
      <c r="AO94" s="425"/>
      <c r="AP94" s="425"/>
      <c r="AQ94" s="425"/>
      <c r="AR94" s="420" t="e">
        <f t="shared" si="87"/>
        <v>#N/A</v>
      </c>
      <c r="AS94" s="572"/>
      <c r="AT94" s="425"/>
      <c r="AU94" s="425"/>
      <c r="AV94" s="425"/>
      <c r="AW94" s="420" t="e">
        <f t="shared" si="89"/>
        <v>#N/A</v>
      </c>
      <c r="AX94" s="572"/>
      <c r="AZ94" s="407" t="e">
        <f t="shared" si="91"/>
        <v>#N/A</v>
      </c>
      <c r="BA94" s="565"/>
    </row>
    <row r="95" spans="2:53">
      <c r="B95" s="570"/>
      <c r="C95" s="420">
        <v>9</v>
      </c>
      <c r="D95" s="375"/>
      <c r="E95" s="426"/>
      <c r="F95" s="426"/>
      <c r="G95" s="426"/>
      <c r="H95" s="579"/>
      <c r="I95" s="422" t="str">
        <f t="shared" si="76"/>
        <v>-</v>
      </c>
      <c r="J95" s="422" t="str">
        <f t="shared" si="77"/>
        <v>-</v>
      </c>
      <c r="K95" s="200" t="str">
        <f t="shared" si="78"/>
        <v>-</v>
      </c>
      <c r="L95" s="581"/>
      <c r="M95" s="426" t="e">
        <f>RANK(K95, K$67:$K$81)</f>
        <v>#VALUE!</v>
      </c>
      <c r="N95" s="564"/>
      <c r="O95" s="564"/>
      <c r="P95" s="425"/>
      <c r="Q95" s="425"/>
      <c r="R95" s="425"/>
      <c r="S95" s="420" t="e">
        <f t="shared" si="93"/>
        <v>#N/A</v>
      </c>
      <c r="T95" s="572"/>
      <c r="U95" s="425"/>
      <c r="V95" s="425"/>
      <c r="W95" s="425"/>
      <c r="X95" s="420" t="e">
        <f t="shared" si="79"/>
        <v>#N/A</v>
      </c>
      <c r="Y95" s="572"/>
      <c r="Z95" s="425"/>
      <c r="AA95" s="425"/>
      <c r="AB95" s="425"/>
      <c r="AC95" s="420" t="e">
        <f t="shared" si="81"/>
        <v>#N/A</v>
      </c>
      <c r="AD95" s="572"/>
      <c r="AE95" s="425"/>
      <c r="AF95" s="425"/>
      <c r="AG95" s="425"/>
      <c r="AH95" s="420" t="e">
        <f t="shared" si="83"/>
        <v>#N/A</v>
      </c>
      <c r="AI95" s="572"/>
      <c r="AJ95" s="425"/>
      <c r="AK95" s="425"/>
      <c r="AL95" s="425"/>
      <c r="AM95" s="420" t="e">
        <f t="shared" si="85"/>
        <v>#N/A</v>
      </c>
      <c r="AN95" s="572"/>
      <c r="AO95" s="425"/>
      <c r="AP95" s="425"/>
      <c r="AQ95" s="425"/>
      <c r="AR95" s="420" t="e">
        <f t="shared" si="87"/>
        <v>#N/A</v>
      </c>
      <c r="AS95" s="572"/>
      <c r="AT95" s="425"/>
      <c r="AU95" s="425"/>
      <c r="AV95" s="425"/>
      <c r="AW95" s="420" t="e">
        <f t="shared" si="89"/>
        <v>#N/A</v>
      </c>
      <c r="AX95" s="572"/>
      <c r="AZ95" s="407" t="e">
        <f t="shared" si="91"/>
        <v>#N/A</v>
      </c>
      <c r="BA95" s="565"/>
    </row>
    <row r="96" spans="2:53">
      <c r="B96" s="570"/>
      <c r="C96" s="420">
        <v>10</v>
      </c>
      <c r="D96" s="375"/>
      <c r="E96" s="426"/>
      <c r="F96" s="426"/>
      <c r="G96" s="426"/>
      <c r="H96" s="579"/>
      <c r="I96" s="422" t="str">
        <f t="shared" si="76"/>
        <v>-</v>
      </c>
      <c r="J96" s="422" t="str">
        <f t="shared" si="77"/>
        <v>-</v>
      </c>
      <c r="K96" s="200" t="str">
        <f t="shared" si="78"/>
        <v>-</v>
      </c>
      <c r="L96" s="581"/>
      <c r="M96" s="426" t="e">
        <f>RANK(K96, K$67:$K$81)</f>
        <v>#VALUE!</v>
      </c>
      <c r="N96" s="564"/>
      <c r="O96" s="564"/>
      <c r="P96" s="425"/>
      <c r="Q96" s="425"/>
      <c r="R96" s="425"/>
      <c r="S96" s="420" t="e">
        <f t="shared" si="93"/>
        <v>#N/A</v>
      </c>
      <c r="T96" s="572"/>
      <c r="U96" s="425"/>
      <c r="V96" s="425"/>
      <c r="W96" s="425"/>
      <c r="X96" s="420" t="e">
        <f t="shared" si="79"/>
        <v>#N/A</v>
      </c>
      <c r="Y96" s="572"/>
      <c r="Z96" s="425"/>
      <c r="AA96" s="425"/>
      <c r="AB96" s="425"/>
      <c r="AC96" s="420" t="e">
        <f t="shared" si="81"/>
        <v>#N/A</v>
      </c>
      <c r="AD96" s="572"/>
      <c r="AE96" s="425"/>
      <c r="AF96" s="425"/>
      <c r="AG96" s="425"/>
      <c r="AH96" s="420" t="e">
        <f t="shared" si="83"/>
        <v>#N/A</v>
      </c>
      <c r="AI96" s="572"/>
      <c r="AJ96" s="425"/>
      <c r="AK96" s="425"/>
      <c r="AL96" s="425"/>
      <c r="AM96" s="420" t="e">
        <f t="shared" si="85"/>
        <v>#N/A</v>
      </c>
      <c r="AN96" s="572"/>
      <c r="AO96" s="425"/>
      <c r="AP96" s="425"/>
      <c r="AQ96" s="425"/>
      <c r="AR96" s="420" t="e">
        <f t="shared" si="87"/>
        <v>#N/A</v>
      </c>
      <c r="AS96" s="572"/>
      <c r="AT96" s="425"/>
      <c r="AU96" s="425"/>
      <c r="AV96" s="425"/>
      <c r="AW96" s="420" t="e">
        <f t="shared" si="89"/>
        <v>#N/A</v>
      </c>
      <c r="AX96" s="572"/>
      <c r="AZ96" s="407" t="e">
        <f t="shared" si="91"/>
        <v>#N/A</v>
      </c>
      <c r="BA96" s="565"/>
    </row>
    <row r="97" spans="2:53">
      <c r="B97" s="570"/>
      <c r="C97" s="420">
        <v>11</v>
      </c>
      <c r="D97" s="375"/>
      <c r="E97" s="426"/>
      <c r="F97" s="426"/>
      <c r="G97" s="426"/>
      <c r="H97" s="579"/>
      <c r="I97" s="422" t="str">
        <f t="shared" si="76"/>
        <v>-</v>
      </c>
      <c r="J97" s="422" t="str">
        <f t="shared" si="77"/>
        <v>-</v>
      </c>
      <c r="K97" s="200" t="str">
        <f t="shared" si="78"/>
        <v>-</v>
      </c>
      <c r="L97" s="581"/>
      <c r="M97" s="426" t="e">
        <f>RANK(K97, K$67:$K$81)</f>
        <v>#VALUE!</v>
      </c>
      <c r="N97" s="564"/>
      <c r="O97" s="564"/>
      <c r="P97" s="425"/>
      <c r="Q97" s="425"/>
      <c r="R97" s="425"/>
      <c r="S97" s="420" t="e">
        <f t="shared" si="93"/>
        <v>#N/A</v>
      </c>
      <c r="T97" s="572"/>
      <c r="U97" s="425"/>
      <c r="V97" s="425"/>
      <c r="W97" s="425"/>
      <c r="X97" s="420" t="e">
        <f t="shared" si="79"/>
        <v>#N/A</v>
      </c>
      <c r="Y97" s="572"/>
      <c r="Z97" s="425"/>
      <c r="AA97" s="425"/>
      <c r="AB97" s="425"/>
      <c r="AC97" s="420" t="e">
        <f t="shared" si="81"/>
        <v>#N/A</v>
      </c>
      <c r="AD97" s="572"/>
      <c r="AE97" s="425"/>
      <c r="AF97" s="425"/>
      <c r="AG97" s="425"/>
      <c r="AH97" s="420" t="e">
        <f t="shared" si="83"/>
        <v>#N/A</v>
      </c>
      <c r="AI97" s="572"/>
      <c r="AJ97" s="425"/>
      <c r="AK97" s="425"/>
      <c r="AL97" s="425"/>
      <c r="AM97" s="420" t="e">
        <f t="shared" si="85"/>
        <v>#N/A</v>
      </c>
      <c r="AN97" s="572"/>
      <c r="AO97" s="425"/>
      <c r="AP97" s="425"/>
      <c r="AQ97" s="425"/>
      <c r="AR97" s="420" t="e">
        <f t="shared" si="87"/>
        <v>#N/A</v>
      </c>
      <c r="AS97" s="572"/>
      <c r="AT97" s="425"/>
      <c r="AU97" s="425"/>
      <c r="AV97" s="425"/>
      <c r="AW97" s="420" t="e">
        <f t="shared" si="89"/>
        <v>#N/A</v>
      </c>
      <c r="AX97" s="572"/>
      <c r="AZ97" s="407" t="e">
        <f t="shared" si="91"/>
        <v>#N/A</v>
      </c>
      <c r="BA97" s="565"/>
    </row>
    <row r="98" spans="2:53">
      <c r="B98" s="570"/>
      <c r="C98" s="420">
        <v>12</v>
      </c>
      <c r="D98" s="375"/>
      <c r="E98" s="426"/>
      <c r="F98" s="426"/>
      <c r="G98" s="426"/>
      <c r="H98" s="579"/>
      <c r="I98" s="422" t="str">
        <f t="shared" si="76"/>
        <v>-</v>
      </c>
      <c r="J98" s="422" t="str">
        <f t="shared" si="77"/>
        <v>-</v>
      </c>
      <c r="K98" s="200" t="str">
        <f t="shared" si="78"/>
        <v>-</v>
      </c>
      <c r="L98" s="581"/>
      <c r="M98" s="426" t="e">
        <f>RANK(K98, K$67:$K$81)</f>
        <v>#VALUE!</v>
      </c>
      <c r="N98" s="564"/>
      <c r="O98" s="564"/>
      <c r="P98" s="425"/>
      <c r="Q98" s="425"/>
      <c r="R98" s="425"/>
      <c r="S98" s="420" t="e">
        <f t="shared" si="93"/>
        <v>#N/A</v>
      </c>
      <c r="T98" s="572"/>
      <c r="U98" s="425"/>
      <c r="V98" s="425"/>
      <c r="W98" s="425"/>
      <c r="X98" s="420" t="e">
        <f t="shared" si="79"/>
        <v>#N/A</v>
      </c>
      <c r="Y98" s="572"/>
      <c r="Z98" s="425"/>
      <c r="AA98" s="425"/>
      <c r="AB98" s="425"/>
      <c r="AC98" s="420" t="e">
        <f t="shared" si="81"/>
        <v>#N/A</v>
      </c>
      <c r="AD98" s="572"/>
      <c r="AE98" s="425"/>
      <c r="AF98" s="425"/>
      <c r="AG98" s="425"/>
      <c r="AH98" s="420" t="e">
        <f t="shared" si="83"/>
        <v>#N/A</v>
      </c>
      <c r="AI98" s="572"/>
      <c r="AJ98" s="425"/>
      <c r="AK98" s="425"/>
      <c r="AL98" s="425"/>
      <c r="AM98" s="420" t="e">
        <f t="shared" si="85"/>
        <v>#N/A</v>
      </c>
      <c r="AN98" s="572"/>
      <c r="AO98" s="425"/>
      <c r="AP98" s="425"/>
      <c r="AQ98" s="425"/>
      <c r="AR98" s="420" t="e">
        <f t="shared" si="87"/>
        <v>#N/A</v>
      </c>
      <c r="AS98" s="572"/>
      <c r="AT98" s="425"/>
      <c r="AU98" s="425"/>
      <c r="AV98" s="425"/>
      <c r="AW98" s="420" t="e">
        <f t="shared" si="89"/>
        <v>#N/A</v>
      </c>
      <c r="AX98" s="572"/>
      <c r="AZ98" s="407" t="e">
        <f t="shared" si="91"/>
        <v>#N/A</v>
      </c>
      <c r="BA98" s="565"/>
    </row>
    <row r="99" spans="2:53">
      <c r="B99" s="570"/>
      <c r="C99" s="420">
        <v>13</v>
      </c>
      <c r="D99" s="375"/>
      <c r="E99" s="426"/>
      <c r="F99" s="426"/>
      <c r="G99" s="426"/>
      <c r="H99" s="579"/>
      <c r="I99" s="422" t="str">
        <f t="shared" si="76"/>
        <v>-</v>
      </c>
      <c r="J99" s="422" t="str">
        <f t="shared" si="77"/>
        <v>-</v>
      </c>
      <c r="K99" s="200" t="str">
        <f t="shared" si="78"/>
        <v>-</v>
      </c>
      <c r="L99" s="581"/>
      <c r="M99" s="426" t="e">
        <f>RANK(K99, K$67:$K$81)</f>
        <v>#VALUE!</v>
      </c>
      <c r="N99" s="564"/>
      <c r="O99" s="564"/>
      <c r="P99" s="425"/>
      <c r="Q99" s="425"/>
      <c r="R99" s="425"/>
      <c r="S99" s="420" t="e">
        <f t="shared" si="93"/>
        <v>#N/A</v>
      </c>
      <c r="T99" s="572"/>
      <c r="U99" s="425"/>
      <c r="V99" s="425"/>
      <c r="W99" s="425"/>
      <c r="X99" s="420" t="e">
        <f t="shared" si="79"/>
        <v>#N/A</v>
      </c>
      <c r="Y99" s="572"/>
      <c r="Z99" s="425"/>
      <c r="AA99" s="425"/>
      <c r="AB99" s="425"/>
      <c r="AC99" s="420" t="e">
        <f t="shared" si="81"/>
        <v>#N/A</v>
      </c>
      <c r="AD99" s="572"/>
      <c r="AE99" s="425"/>
      <c r="AF99" s="425"/>
      <c r="AG99" s="425"/>
      <c r="AH99" s="420" t="e">
        <f t="shared" si="83"/>
        <v>#N/A</v>
      </c>
      <c r="AI99" s="572"/>
      <c r="AJ99" s="425"/>
      <c r="AK99" s="425"/>
      <c r="AL99" s="425"/>
      <c r="AM99" s="420" t="e">
        <f t="shared" si="85"/>
        <v>#N/A</v>
      </c>
      <c r="AN99" s="572"/>
      <c r="AO99" s="425"/>
      <c r="AP99" s="425"/>
      <c r="AQ99" s="425"/>
      <c r="AR99" s="420" t="e">
        <f t="shared" si="87"/>
        <v>#N/A</v>
      </c>
      <c r="AS99" s="572"/>
      <c r="AT99" s="425"/>
      <c r="AU99" s="425"/>
      <c r="AV99" s="425"/>
      <c r="AW99" s="420" t="e">
        <f t="shared" si="89"/>
        <v>#N/A</v>
      </c>
      <c r="AX99" s="572"/>
      <c r="AZ99" s="407" t="e">
        <f t="shared" si="91"/>
        <v>#N/A</v>
      </c>
      <c r="BA99" s="565"/>
    </row>
    <row r="100" spans="2:53">
      <c r="B100" s="570"/>
      <c r="C100" s="420">
        <v>14</v>
      </c>
      <c r="D100" s="375"/>
      <c r="E100" s="426"/>
      <c r="F100" s="426"/>
      <c r="G100" s="426"/>
      <c r="H100" s="579"/>
      <c r="I100" s="422" t="str">
        <f t="shared" si="76"/>
        <v>-</v>
      </c>
      <c r="J100" s="422" t="str">
        <f t="shared" si="77"/>
        <v>-</v>
      </c>
      <c r="K100" s="200" t="str">
        <f t="shared" si="78"/>
        <v>-</v>
      </c>
      <c r="L100" s="581"/>
      <c r="M100" s="426" t="e">
        <f>RANK(K100, K$67:$K$81)</f>
        <v>#VALUE!</v>
      </c>
      <c r="N100" s="564"/>
      <c r="O100" s="564"/>
      <c r="P100" s="425"/>
      <c r="Q100" s="425"/>
      <c r="R100" s="425"/>
      <c r="S100" s="420" t="e">
        <f t="shared" si="93"/>
        <v>#N/A</v>
      </c>
      <c r="T100" s="572"/>
      <c r="U100" s="425"/>
      <c r="V100" s="425"/>
      <c r="W100" s="425"/>
      <c r="X100" s="420" t="e">
        <f t="shared" si="79"/>
        <v>#N/A</v>
      </c>
      <c r="Y100" s="572"/>
      <c r="Z100" s="425"/>
      <c r="AA100" s="425"/>
      <c r="AB100" s="425"/>
      <c r="AC100" s="420" t="e">
        <f t="shared" si="81"/>
        <v>#N/A</v>
      </c>
      <c r="AD100" s="572"/>
      <c r="AE100" s="425"/>
      <c r="AF100" s="425"/>
      <c r="AG100" s="425"/>
      <c r="AH100" s="420" t="e">
        <f t="shared" si="83"/>
        <v>#N/A</v>
      </c>
      <c r="AI100" s="572"/>
      <c r="AJ100" s="425"/>
      <c r="AK100" s="425"/>
      <c r="AL100" s="425"/>
      <c r="AM100" s="420" t="e">
        <f t="shared" si="85"/>
        <v>#N/A</v>
      </c>
      <c r="AN100" s="572"/>
      <c r="AO100" s="425"/>
      <c r="AP100" s="425"/>
      <c r="AQ100" s="425"/>
      <c r="AR100" s="420" t="e">
        <f t="shared" si="87"/>
        <v>#N/A</v>
      </c>
      <c r="AS100" s="572"/>
      <c r="AT100" s="425"/>
      <c r="AU100" s="425"/>
      <c r="AV100" s="425"/>
      <c r="AW100" s="420" t="e">
        <f t="shared" si="89"/>
        <v>#N/A</v>
      </c>
      <c r="AX100" s="572"/>
      <c r="AZ100" s="407" t="e">
        <f t="shared" si="91"/>
        <v>#N/A</v>
      </c>
      <c r="BA100" s="565"/>
    </row>
    <row r="101" spans="2:53">
      <c r="B101" s="570"/>
      <c r="C101" s="420">
        <v>15</v>
      </c>
      <c r="D101" s="375"/>
      <c r="E101" s="426"/>
      <c r="F101" s="426"/>
      <c r="G101" s="426"/>
      <c r="H101" s="639"/>
      <c r="I101" s="426"/>
      <c r="J101" s="426"/>
      <c r="K101" s="423"/>
      <c r="L101" s="582"/>
      <c r="M101" s="426" t="e">
        <f>RANK(K101, K$67:$K$81)</f>
        <v>#N/A</v>
      </c>
      <c r="N101" s="564"/>
      <c r="O101" s="564"/>
      <c r="P101" s="425"/>
      <c r="Q101" s="425"/>
      <c r="R101" s="425"/>
      <c r="S101" s="420" t="e">
        <f t="shared" si="93"/>
        <v>#N/A</v>
      </c>
      <c r="T101" s="572"/>
      <c r="U101" s="425"/>
      <c r="V101" s="425"/>
      <c r="W101" s="425"/>
      <c r="X101" s="420" t="e">
        <f t="shared" si="79"/>
        <v>#N/A</v>
      </c>
      <c r="Y101" s="572"/>
      <c r="Z101" s="425"/>
      <c r="AA101" s="425"/>
      <c r="AB101" s="425"/>
      <c r="AC101" s="420" t="e">
        <f t="shared" si="81"/>
        <v>#N/A</v>
      </c>
      <c r="AD101" s="572"/>
      <c r="AE101" s="425"/>
      <c r="AF101" s="425"/>
      <c r="AG101" s="425"/>
      <c r="AH101" s="420" t="e">
        <f t="shared" si="83"/>
        <v>#N/A</v>
      </c>
      <c r="AI101" s="572"/>
      <c r="AJ101" s="425"/>
      <c r="AK101" s="425"/>
      <c r="AL101" s="425"/>
      <c r="AM101" s="420" t="e">
        <f t="shared" si="85"/>
        <v>#N/A</v>
      </c>
      <c r="AN101" s="572"/>
      <c r="AO101" s="425"/>
      <c r="AP101" s="425"/>
      <c r="AQ101" s="425"/>
      <c r="AR101" s="420" t="e">
        <f t="shared" si="87"/>
        <v>#N/A</v>
      </c>
      <c r="AS101" s="572"/>
      <c r="AT101" s="425"/>
      <c r="AU101" s="425"/>
      <c r="AV101" s="425"/>
      <c r="AW101" s="420" t="e">
        <f t="shared" si="89"/>
        <v>#N/A</v>
      </c>
      <c r="AX101" s="572"/>
      <c r="AZ101" s="407" t="e">
        <f t="shared" si="91"/>
        <v>#N/A</v>
      </c>
      <c r="BA101" s="565"/>
    </row>
    <row r="102" spans="2:53" ht="15.75">
      <c r="B102" s="593" t="s">
        <v>163</v>
      </c>
      <c r="C102" s="594"/>
      <c r="D102" s="594"/>
      <c r="E102" s="594"/>
      <c r="F102" s="594"/>
      <c r="G102" s="594"/>
      <c r="H102" s="595"/>
      <c r="I102" s="208"/>
      <c r="J102" s="208"/>
      <c r="K102" s="208"/>
      <c r="L102" s="208"/>
      <c r="M102" s="207"/>
      <c r="N102" s="566" t="s">
        <v>156</v>
      </c>
      <c r="O102" s="566" t="s">
        <v>105</v>
      </c>
      <c r="P102" s="592">
        <f>P82+7</f>
        <v>46175</v>
      </c>
      <c r="Q102" s="570"/>
      <c r="R102" s="570"/>
      <c r="S102" s="570"/>
      <c r="T102" s="570"/>
      <c r="U102" s="589">
        <f>P102+1</f>
        <v>46176</v>
      </c>
      <c r="V102" s="590"/>
      <c r="W102" s="590"/>
      <c r="X102" s="590"/>
      <c r="Y102" s="591"/>
      <c r="Z102" s="589">
        <f>U102+1</f>
        <v>46177</v>
      </c>
      <c r="AA102" s="590"/>
      <c r="AB102" s="590"/>
      <c r="AC102" s="590"/>
      <c r="AD102" s="591"/>
      <c r="AE102" s="589">
        <f>Z102+1</f>
        <v>46178</v>
      </c>
      <c r="AF102" s="590"/>
      <c r="AG102" s="590"/>
      <c r="AH102" s="590"/>
      <c r="AI102" s="591"/>
      <c r="AJ102" s="589">
        <f>AE102+1</f>
        <v>46179</v>
      </c>
      <c r="AK102" s="590"/>
      <c r="AL102" s="590"/>
      <c r="AM102" s="590"/>
      <c r="AN102" s="591"/>
      <c r="AO102" s="589">
        <f>AJ102+1</f>
        <v>46180</v>
      </c>
      <c r="AP102" s="590"/>
      <c r="AQ102" s="590"/>
      <c r="AR102" s="590"/>
      <c r="AS102" s="591"/>
      <c r="AT102" s="589">
        <f>AO102+1</f>
        <v>46181</v>
      </c>
      <c r="AU102" s="590"/>
      <c r="AV102" s="590"/>
      <c r="AW102" s="590"/>
      <c r="AX102" s="591"/>
    </row>
    <row r="103" spans="2:53" ht="15.75">
      <c r="B103" s="596"/>
      <c r="C103" s="596"/>
      <c r="D103" s="596"/>
      <c r="E103" s="596"/>
      <c r="F103" s="596"/>
      <c r="G103" s="596"/>
      <c r="H103" s="596"/>
      <c r="I103" s="205"/>
      <c r="J103" s="205"/>
      <c r="K103" s="205"/>
      <c r="L103" s="205"/>
      <c r="M103" s="206"/>
      <c r="N103" s="568"/>
      <c r="O103" s="568"/>
      <c r="P103" s="592" t="s">
        <v>158</v>
      </c>
      <c r="Q103" s="570"/>
      <c r="R103" s="570"/>
      <c r="S103" s="570"/>
      <c r="T103" s="570"/>
      <c r="U103" s="592" t="s">
        <v>114</v>
      </c>
      <c r="V103" s="570"/>
      <c r="W103" s="570"/>
      <c r="X103" s="570"/>
      <c r="Y103" s="570"/>
      <c r="Z103" s="592" t="s">
        <v>159</v>
      </c>
      <c r="AA103" s="570"/>
      <c r="AB103" s="570"/>
      <c r="AC103" s="570"/>
      <c r="AD103" s="570"/>
      <c r="AE103" s="592" t="s">
        <v>157</v>
      </c>
      <c r="AF103" s="570"/>
      <c r="AG103" s="570"/>
      <c r="AH103" s="570"/>
      <c r="AI103" s="570"/>
      <c r="AJ103" s="592" t="s">
        <v>160</v>
      </c>
      <c r="AK103" s="570"/>
      <c r="AL103" s="570"/>
      <c r="AM103" s="570"/>
      <c r="AN103" s="570"/>
      <c r="AO103" s="592" t="s">
        <v>115</v>
      </c>
      <c r="AP103" s="570"/>
      <c r="AQ103" s="570"/>
      <c r="AR103" s="570"/>
      <c r="AS103" s="570"/>
      <c r="AT103" s="592" t="s">
        <v>162</v>
      </c>
      <c r="AU103" s="570"/>
      <c r="AV103" s="570"/>
      <c r="AW103" s="570"/>
      <c r="AX103" s="570"/>
    </row>
    <row r="104" spans="2:53">
      <c r="B104" s="564" t="s">
        <v>544</v>
      </c>
      <c r="C104" s="564" t="s">
        <v>545</v>
      </c>
      <c r="D104" s="564"/>
      <c r="E104" s="564" t="s">
        <v>546</v>
      </c>
      <c r="F104" s="564"/>
      <c r="G104" s="564"/>
      <c r="H104" s="597" t="s">
        <v>547</v>
      </c>
      <c r="I104" s="564" t="s">
        <v>548</v>
      </c>
      <c r="J104" s="564"/>
      <c r="K104" s="564"/>
      <c r="L104" s="597" t="s">
        <v>374</v>
      </c>
      <c r="M104" s="566" t="s">
        <v>549</v>
      </c>
      <c r="N104" s="564"/>
      <c r="O104" s="564" t="s">
        <v>550</v>
      </c>
      <c r="P104" s="583" t="s">
        <v>551</v>
      </c>
      <c r="Q104" s="584"/>
      <c r="R104" s="584"/>
      <c r="S104" s="585"/>
      <c r="T104" s="564" t="s">
        <v>547</v>
      </c>
      <c r="U104" s="583" t="s">
        <v>551</v>
      </c>
      <c r="V104" s="584"/>
      <c r="W104" s="584"/>
      <c r="X104" s="585"/>
      <c r="Y104" s="564" t="s">
        <v>547</v>
      </c>
      <c r="Z104" s="583" t="s">
        <v>551</v>
      </c>
      <c r="AA104" s="584"/>
      <c r="AB104" s="584"/>
      <c r="AC104" s="585"/>
      <c r="AD104" s="564" t="s">
        <v>547</v>
      </c>
      <c r="AE104" s="583" t="s">
        <v>551</v>
      </c>
      <c r="AF104" s="584"/>
      <c r="AG104" s="584"/>
      <c r="AH104" s="585"/>
      <c r="AI104" s="564" t="s">
        <v>547</v>
      </c>
      <c r="AJ104" s="583" t="s">
        <v>551</v>
      </c>
      <c r="AK104" s="584"/>
      <c r="AL104" s="584"/>
      <c r="AM104" s="585"/>
      <c r="AN104" s="564" t="s">
        <v>547</v>
      </c>
      <c r="AO104" s="583" t="s">
        <v>551</v>
      </c>
      <c r="AP104" s="584"/>
      <c r="AQ104" s="584"/>
      <c r="AR104" s="585"/>
      <c r="AS104" s="564" t="s">
        <v>547</v>
      </c>
      <c r="AT104" s="583" t="s">
        <v>551</v>
      </c>
      <c r="AU104" s="584"/>
      <c r="AV104" s="584"/>
      <c r="AW104" s="585"/>
      <c r="AX104" s="564" t="s">
        <v>547</v>
      </c>
      <c r="BA104" s="564" t="s">
        <v>374</v>
      </c>
    </row>
    <row r="105" spans="2:53">
      <c r="B105" s="564"/>
      <c r="C105" s="564"/>
      <c r="D105" s="564"/>
      <c r="E105" s="564" t="s">
        <v>552</v>
      </c>
      <c r="F105" s="564"/>
      <c r="G105" s="564"/>
      <c r="H105" s="598"/>
      <c r="I105" s="564" t="s">
        <v>552</v>
      </c>
      <c r="J105" s="564"/>
      <c r="K105" s="564"/>
      <c r="L105" s="598"/>
      <c r="M105" s="567"/>
      <c r="N105" s="564"/>
      <c r="O105" s="564"/>
      <c r="P105" s="583" t="s">
        <v>553</v>
      </c>
      <c r="Q105" s="584"/>
      <c r="R105" s="584"/>
      <c r="S105" s="585"/>
      <c r="T105" s="564"/>
      <c r="U105" s="583" t="s">
        <v>553</v>
      </c>
      <c r="V105" s="584"/>
      <c r="W105" s="584"/>
      <c r="X105" s="585"/>
      <c r="Y105" s="564"/>
      <c r="Z105" s="583" t="s">
        <v>553</v>
      </c>
      <c r="AA105" s="584"/>
      <c r="AB105" s="584"/>
      <c r="AC105" s="585"/>
      <c r="AD105" s="564"/>
      <c r="AE105" s="583" t="s">
        <v>553</v>
      </c>
      <c r="AF105" s="584"/>
      <c r="AG105" s="584"/>
      <c r="AH105" s="585"/>
      <c r="AI105" s="564"/>
      <c r="AJ105" s="583" t="s">
        <v>553</v>
      </c>
      <c r="AK105" s="584"/>
      <c r="AL105" s="584"/>
      <c r="AM105" s="585"/>
      <c r="AN105" s="564"/>
      <c r="AO105" s="583" t="s">
        <v>553</v>
      </c>
      <c r="AP105" s="584"/>
      <c r="AQ105" s="584"/>
      <c r="AR105" s="585"/>
      <c r="AS105" s="564"/>
      <c r="AT105" s="583" t="s">
        <v>553</v>
      </c>
      <c r="AU105" s="584"/>
      <c r="AV105" s="584"/>
      <c r="AW105" s="585"/>
      <c r="AX105" s="564"/>
      <c r="BA105" s="564"/>
    </row>
    <row r="106" spans="2:53">
      <c r="B106" s="564"/>
      <c r="C106" s="564"/>
      <c r="D106" s="564"/>
      <c r="E106" s="366" t="s">
        <v>554</v>
      </c>
      <c r="F106" s="366" t="s">
        <v>555</v>
      </c>
      <c r="G106" s="366" t="s">
        <v>556</v>
      </c>
      <c r="H106" s="599"/>
      <c r="I106" s="366" t="s">
        <v>554</v>
      </c>
      <c r="J106" s="366" t="s">
        <v>555</v>
      </c>
      <c r="K106" s="366" t="s">
        <v>556</v>
      </c>
      <c r="L106" s="599"/>
      <c r="M106" s="568"/>
      <c r="N106" s="564"/>
      <c r="O106" s="564"/>
      <c r="P106" s="366" t="s">
        <v>554</v>
      </c>
      <c r="Q106" s="366" t="s">
        <v>555</v>
      </c>
      <c r="R106" s="366" t="s">
        <v>556</v>
      </c>
      <c r="S106" s="366" t="s">
        <v>549</v>
      </c>
      <c r="T106" s="564"/>
      <c r="U106" s="366" t="s">
        <v>554</v>
      </c>
      <c r="V106" s="366" t="s">
        <v>555</v>
      </c>
      <c r="W106" s="366" t="s">
        <v>556</v>
      </c>
      <c r="X106" s="366" t="s">
        <v>549</v>
      </c>
      <c r="Y106" s="564"/>
      <c r="Z106" s="366" t="s">
        <v>554</v>
      </c>
      <c r="AA106" s="366" t="s">
        <v>555</v>
      </c>
      <c r="AB106" s="366" t="s">
        <v>556</v>
      </c>
      <c r="AC106" s="366" t="s">
        <v>549</v>
      </c>
      <c r="AD106" s="564"/>
      <c r="AE106" s="366" t="s">
        <v>554</v>
      </c>
      <c r="AF106" s="366" t="s">
        <v>555</v>
      </c>
      <c r="AG106" s="366" t="s">
        <v>556</v>
      </c>
      <c r="AH106" s="366" t="s">
        <v>549</v>
      </c>
      <c r="AI106" s="564"/>
      <c r="AJ106" s="366" t="s">
        <v>554</v>
      </c>
      <c r="AK106" s="366" t="s">
        <v>555</v>
      </c>
      <c r="AL106" s="366" t="s">
        <v>556</v>
      </c>
      <c r="AM106" s="366" t="s">
        <v>549</v>
      </c>
      <c r="AN106" s="564"/>
      <c r="AO106" s="366" t="s">
        <v>554</v>
      </c>
      <c r="AP106" s="366" t="s">
        <v>555</v>
      </c>
      <c r="AQ106" s="366" t="s">
        <v>556</v>
      </c>
      <c r="AR106" s="366" t="s">
        <v>549</v>
      </c>
      <c r="AS106" s="564"/>
      <c r="AT106" s="366" t="s">
        <v>554</v>
      </c>
      <c r="AU106" s="366" t="s">
        <v>555</v>
      </c>
      <c r="AV106" s="366" t="s">
        <v>556</v>
      </c>
      <c r="AW106" s="366" t="s">
        <v>549</v>
      </c>
      <c r="AX106" s="564"/>
      <c r="AZ106" s="406" t="s">
        <v>549</v>
      </c>
      <c r="BA106" s="564"/>
    </row>
    <row r="107" spans="2:53">
      <c r="B107" s="626" t="s">
        <v>558</v>
      </c>
      <c r="C107" s="371">
        <v>1</v>
      </c>
      <c r="D107" s="375"/>
      <c r="E107" s="372"/>
      <c r="F107" s="372"/>
      <c r="G107" s="372"/>
      <c r="H107" s="578" t="e">
        <f>AVERAGE(G107:G121)</f>
        <v>#DIV/0!</v>
      </c>
      <c r="I107" s="400" t="str">
        <f t="shared" ref="I107:I120" si="94">IFERROR(AVERAGE(P107,U107,Z107,AE107,AJ107,AO107,AT107),"-")</f>
        <v>-</v>
      </c>
      <c r="J107" s="400" t="str">
        <f t="shared" ref="J107:J120" si="95">IFERROR(AVERAGE(Q107,V107,AA107,AF107,AK107,AP107,AU107),"-")</f>
        <v>-</v>
      </c>
      <c r="K107" s="200" t="str">
        <f t="shared" ref="K107:K120" si="96">IFERROR(AVERAGE(R107,W107,AB107,AG107,AL107,AQ107,AV107),"-")</f>
        <v>-</v>
      </c>
      <c r="L107" s="580" t="str">
        <f>IFERROR(AVERAGE(K107:K121),"-")</f>
        <v>-</v>
      </c>
      <c r="M107" s="372" t="e">
        <f>RANK(K107, K$67:$K$81)</f>
        <v>#VALUE!</v>
      </c>
      <c r="N107" s="564"/>
      <c r="O107" s="564"/>
      <c r="P107" s="182"/>
      <c r="Q107" s="182"/>
      <c r="R107" s="182"/>
      <c r="S107" s="371" t="e">
        <f>RANK(R107, R$67:R$81)</f>
        <v>#N/A</v>
      </c>
      <c r="T107" s="572" t="e">
        <f>AVERAGE(R107:R121)</f>
        <v>#DIV/0!</v>
      </c>
      <c r="U107" s="182"/>
      <c r="V107" s="182"/>
      <c r="W107" s="182"/>
      <c r="X107" s="371" t="e">
        <f t="shared" ref="X107:AM121" si="97">RANK(W107, W$67:W$81)</f>
        <v>#N/A</v>
      </c>
      <c r="Y107" s="572" t="e">
        <f t="shared" ref="Y107" si="98">AVERAGE(W107:W121)</f>
        <v>#DIV/0!</v>
      </c>
      <c r="Z107" s="182"/>
      <c r="AA107" s="182"/>
      <c r="AB107" s="182"/>
      <c r="AC107" s="371" t="e">
        <f t="shared" ref="AC107" si="99">RANK(AB107, AB$67:AB$81)</f>
        <v>#N/A</v>
      </c>
      <c r="AD107" s="572" t="e">
        <f t="shared" ref="AD107" si="100">AVERAGE(AB107:AB121)</f>
        <v>#DIV/0!</v>
      </c>
      <c r="AE107" s="182"/>
      <c r="AF107" s="182"/>
      <c r="AG107" s="182"/>
      <c r="AH107" s="371" t="e">
        <f t="shared" ref="AH107" si="101">RANK(AG107, AG$67:AG$81)</f>
        <v>#N/A</v>
      </c>
      <c r="AI107" s="572" t="e">
        <f t="shared" ref="AI107" si="102">AVERAGE(AG107:AG121)</f>
        <v>#DIV/0!</v>
      </c>
      <c r="AJ107" s="182"/>
      <c r="AK107" s="182"/>
      <c r="AL107" s="182"/>
      <c r="AM107" s="371" t="e">
        <f t="shared" ref="AM107" si="103">RANK(AL107, AL$67:AL$81)</f>
        <v>#N/A</v>
      </c>
      <c r="AN107" s="572" t="e">
        <f t="shared" ref="AN107" si="104">AVERAGE(AL107:AL121)</f>
        <v>#DIV/0!</v>
      </c>
      <c r="AO107" s="182"/>
      <c r="AP107" s="182"/>
      <c r="AQ107" s="182"/>
      <c r="AR107" s="371" t="e">
        <f t="shared" ref="AR107:AW121" si="105">RANK(AQ107, AQ$67:AQ$81)</f>
        <v>#N/A</v>
      </c>
      <c r="AS107" s="572" t="e">
        <f t="shared" ref="AS107" si="106">AVERAGE(AQ107:AQ121)</f>
        <v>#DIV/0!</v>
      </c>
      <c r="AT107" s="182"/>
      <c r="AU107" s="182"/>
      <c r="AV107" s="182"/>
      <c r="AW107" s="371" t="e">
        <f t="shared" ref="AW107" si="107">RANK(AV107, AV$67:AV$81)</f>
        <v>#N/A</v>
      </c>
      <c r="AX107" s="572" t="e">
        <f t="shared" ref="AX107" si="108">AVERAGE(AV107:AV121)</f>
        <v>#DIV/0!</v>
      </c>
      <c r="AZ107" s="408" t="e">
        <f t="shared" ref="AZ107:AZ121" si="109">RANK(AY107, AY$67:AY$81)</f>
        <v>#N/A</v>
      </c>
      <c r="BA107" s="572" t="e">
        <f t="shared" ref="BA107" si="110">AVERAGE(AY107:AY121)</f>
        <v>#DIV/0!</v>
      </c>
    </row>
    <row r="108" spans="2:53">
      <c r="B108" s="600"/>
      <c r="C108" s="371">
        <v>2</v>
      </c>
      <c r="D108" s="375"/>
      <c r="E108" s="372"/>
      <c r="F108" s="372"/>
      <c r="G108" s="372"/>
      <c r="H108" s="579"/>
      <c r="I108" s="400" t="str">
        <f t="shared" si="94"/>
        <v>-</v>
      </c>
      <c r="J108" s="400" t="str">
        <f t="shared" si="95"/>
        <v>-</v>
      </c>
      <c r="K108" s="200" t="str">
        <f t="shared" si="96"/>
        <v>-</v>
      </c>
      <c r="L108" s="581"/>
      <c r="M108" s="372" t="e">
        <f>RANK(K108, K$67:$K$81)</f>
        <v>#VALUE!</v>
      </c>
      <c r="N108" s="564"/>
      <c r="O108" s="564"/>
      <c r="P108" s="182"/>
      <c r="Q108" s="182"/>
      <c r="R108" s="182"/>
      <c r="S108" s="371" t="e">
        <f t="shared" ref="S108:S121" si="111">RANK(R108, R$67:R$81)</f>
        <v>#N/A</v>
      </c>
      <c r="T108" s="572"/>
      <c r="U108" s="182"/>
      <c r="V108" s="182"/>
      <c r="W108" s="182"/>
      <c r="X108" s="371" t="e">
        <f t="shared" si="97"/>
        <v>#N/A</v>
      </c>
      <c r="Y108" s="572"/>
      <c r="Z108" s="182"/>
      <c r="AA108" s="182"/>
      <c r="AB108" s="182"/>
      <c r="AC108" s="371" t="e">
        <f t="shared" si="97"/>
        <v>#N/A</v>
      </c>
      <c r="AD108" s="572"/>
      <c r="AE108" s="182"/>
      <c r="AF108" s="182"/>
      <c r="AG108" s="182"/>
      <c r="AH108" s="371" t="e">
        <f t="shared" si="97"/>
        <v>#N/A</v>
      </c>
      <c r="AI108" s="572"/>
      <c r="AJ108" s="182"/>
      <c r="AK108" s="182"/>
      <c r="AL108" s="182"/>
      <c r="AM108" s="371" t="e">
        <f t="shared" si="97"/>
        <v>#N/A</v>
      </c>
      <c r="AN108" s="572"/>
      <c r="AO108" s="182"/>
      <c r="AP108" s="182"/>
      <c r="AQ108" s="182"/>
      <c r="AR108" s="371" t="e">
        <f t="shared" si="105"/>
        <v>#N/A</v>
      </c>
      <c r="AS108" s="572"/>
      <c r="AT108" s="182"/>
      <c r="AU108" s="182"/>
      <c r="AV108" s="182"/>
      <c r="AW108" s="371" t="e">
        <f t="shared" si="105"/>
        <v>#N/A</v>
      </c>
      <c r="AX108" s="572"/>
      <c r="AZ108" s="408" t="e">
        <f t="shared" si="109"/>
        <v>#N/A</v>
      </c>
      <c r="BA108" s="572"/>
    </row>
    <row r="109" spans="2:53">
      <c r="B109" s="600"/>
      <c r="C109" s="371">
        <v>3</v>
      </c>
      <c r="D109" s="375"/>
      <c r="E109" s="372"/>
      <c r="F109" s="372"/>
      <c r="G109" s="372"/>
      <c r="H109" s="579"/>
      <c r="I109" s="400" t="str">
        <f t="shared" si="94"/>
        <v>-</v>
      </c>
      <c r="J109" s="400" t="str">
        <f t="shared" si="95"/>
        <v>-</v>
      </c>
      <c r="K109" s="200" t="str">
        <f t="shared" si="96"/>
        <v>-</v>
      </c>
      <c r="L109" s="581"/>
      <c r="M109" s="372" t="e">
        <f>RANK(K109, K$67:$K$81)</f>
        <v>#VALUE!</v>
      </c>
      <c r="N109" s="564"/>
      <c r="O109" s="564"/>
      <c r="P109" s="182"/>
      <c r="Q109" s="182"/>
      <c r="R109" s="182"/>
      <c r="S109" s="371" t="e">
        <f t="shared" si="111"/>
        <v>#N/A</v>
      </c>
      <c r="T109" s="572"/>
      <c r="U109" s="182"/>
      <c r="V109" s="182"/>
      <c r="W109" s="182"/>
      <c r="X109" s="371" t="e">
        <f t="shared" si="97"/>
        <v>#N/A</v>
      </c>
      <c r="Y109" s="572"/>
      <c r="Z109" s="182"/>
      <c r="AA109" s="182"/>
      <c r="AB109" s="182"/>
      <c r="AC109" s="371" t="e">
        <f t="shared" si="97"/>
        <v>#N/A</v>
      </c>
      <c r="AD109" s="572"/>
      <c r="AE109" s="182"/>
      <c r="AF109" s="182"/>
      <c r="AG109" s="182"/>
      <c r="AH109" s="371" t="e">
        <f t="shared" si="97"/>
        <v>#N/A</v>
      </c>
      <c r="AI109" s="572"/>
      <c r="AJ109" s="182"/>
      <c r="AK109" s="182"/>
      <c r="AL109" s="182"/>
      <c r="AM109" s="371" t="e">
        <f t="shared" si="97"/>
        <v>#N/A</v>
      </c>
      <c r="AN109" s="572"/>
      <c r="AO109" s="182"/>
      <c r="AP109" s="182"/>
      <c r="AQ109" s="182"/>
      <c r="AR109" s="371" t="e">
        <f t="shared" si="105"/>
        <v>#N/A</v>
      </c>
      <c r="AS109" s="572"/>
      <c r="AT109" s="182"/>
      <c r="AU109" s="182"/>
      <c r="AV109" s="182"/>
      <c r="AW109" s="371" t="e">
        <f t="shared" si="105"/>
        <v>#N/A</v>
      </c>
      <c r="AX109" s="572"/>
      <c r="AZ109" s="408" t="e">
        <f t="shared" si="109"/>
        <v>#N/A</v>
      </c>
      <c r="BA109" s="572"/>
    </row>
    <row r="110" spans="2:53">
      <c r="B110" s="600"/>
      <c r="C110" s="371">
        <v>4</v>
      </c>
      <c r="D110" s="375"/>
      <c r="E110" s="372"/>
      <c r="F110" s="372"/>
      <c r="G110" s="372"/>
      <c r="H110" s="579"/>
      <c r="I110" s="400" t="str">
        <f t="shared" si="94"/>
        <v>-</v>
      </c>
      <c r="J110" s="400" t="str">
        <f t="shared" si="95"/>
        <v>-</v>
      </c>
      <c r="K110" s="200" t="str">
        <f t="shared" si="96"/>
        <v>-</v>
      </c>
      <c r="L110" s="581"/>
      <c r="M110" s="372" t="e">
        <f>RANK(K110, K$67:$K$81)</f>
        <v>#VALUE!</v>
      </c>
      <c r="N110" s="564"/>
      <c r="O110" s="564"/>
      <c r="P110" s="182"/>
      <c r="Q110" s="182"/>
      <c r="R110" s="182"/>
      <c r="S110" s="371" t="e">
        <f t="shared" si="111"/>
        <v>#N/A</v>
      </c>
      <c r="T110" s="572"/>
      <c r="U110" s="182"/>
      <c r="V110" s="182"/>
      <c r="W110" s="182"/>
      <c r="X110" s="371" t="e">
        <f t="shared" si="97"/>
        <v>#N/A</v>
      </c>
      <c r="Y110" s="572"/>
      <c r="Z110" s="182"/>
      <c r="AA110" s="182"/>
      <c r="AB110" s="182"/>
      <c r="AC110" s="371" t="e">
        <f t="shared" si="97"/>
        <v>#N/A</v>
      </c>
      <c r="AD110" s="572"/>
      <c r="AE110" s="182"/>
      <c r="AF110" s="182"/>
      <c r="AG110" s="182"/>
      <c r="AH110" s="371" t="e">
        <f t="shared" si="97"/>
        <v>#N/A</v>
      </c>
      <c r="AI110" s="572"/>
      <c r="AJ110" s="182"/>
      <c r="AK110" s="182"/>
      <c r="AL110" s="182"/>
      <c r="AM110" s="371" t="e">
        <f t="shared" si="97"/>
        <v>#N/A</v>
      </c>
      <c r="AN110" s="572"/>
      <c r="AO110" s="182"/>
      <c r="AP110" s="182"/>
      <c r="AQ110" s="182"/>
      <c r="AR110" s="371" t="e">
        <f t="shared" si="105"/>
        <v>#N/A</v>
      </c>
      <c r="AS110" s="572"/>
      <c r="AT110" s="182"/>
      <c r="AU110" s="182"/>
      <c r="AV110" s="182"/>
      <c r="AW110" s="371" t="e">
        <f t="shared" si="105"/>
        <v>#N/A</v>
      </c>
      <c r="AX110" s="572"/>
      <c r="AZ110" s="408" t="e">
        <f t="shared" si="109"/>
        <v>#N/A</v>
      </c>
      <c r="BA110" s="572"/>
    </row>
    <row r="111" spans="2:53">
      <c r="B111" s="600"/>
      <c r="C111" s="371">
        <v>5</v>
      </c>
      <c r="D111" s="375"/>
      <c r="E111" s="372"/>
      <c r="F111" s="372"/>
      <c r="G111" s="372"/>
      <c r="H111" s="579"/>
      <c r="I111" s="400" t="str">
        <f t="shared" si="94"/>
        <v>-</v>
      </c>
      <c r="J111" s="400" t="str">
        <f t="shared" si="95"/>
        <v>-</v>
      </c>
      <c r="K111" s="200" t="str">
        <f t="shared" si="96"/>
        <v>-</v>
      </c>
      <c r="L111" s="581"/>
      <c r="M111" s="372" t="e">
        <f>RANK(K111, K$67:$K$81)</f>
        <v>#VALUE!</v>
      </c>
      <c r="N111" s="564"/>
      <c r="O111" s="564"/>
      <c r="P111" s="182"/>
      <c r="Q111" s="182"/>
      <c r="R111" s="182"/>
      <c r="S111" s="371" t="e">
        <f t="shared" si="111"/>
        <v>#N/A</v>
      </c>
      <c r="T111" s="572"/>
      <c r="U111" s="182"/>
      <c r="V111" s="182"/>
      <c r="W111" s="182"/>
      <c r="X111" s="371" t="e">
        <f t="shared" si="97"/>
        <v>#N/A</v>
      </c>
      <c r="Y111" s="572"/>
      <c r="Z111" s="182"/>
      <c r="AA111" s="182"/>
      <c r="AB111" s="182"/>
      <c r="AC111" s="371" t="e">
        <f t="shared" si="97"/>
        <v>#N/A</v>
      </c>
      <c r="AD111" s="572"/>
      <c r="AE111" s="182"/>
      <c r="AF111" s="182"/>
      <c r="AG111" s="182"/>
      <c r="AH111" s="371" t="e">
        <f t="shared" si="97"/>
        <v>#N/A</v>
      </c>
      <c r="AI111" s="572"/>
      <c r="AJ111" s="182"/>
      <c r="AK111" s="182"/>
      <c r="AL111" s="182"/>
      <c r="AM111" s="371" t="e">
        <f t="shared" si="97"/>
        <v>#N/A</v>
      </c>
      <c r="AN111" s="572"/>
      <c r="AO111" s="182"/>
      <c r="AP111" s="182"/>
      <c r="AQ111" s="182"/>
      <c r="AR111" s="371" t="e">
        <f t="shared" si="105"/>
        <v>#N/A</v>
      </c>
      <c r="AS111" s="572"/>
      <c r="AT111" s="182"/>
      <c r="AU111" s="182"/>
      <c r="AV111" s="182"/>
      <c r="AW111" s="371" t="e">
        <f t="shared" si="105"/>
        <v>#N/A</v>
      </c>
      <c r="AX111" s="572"/>
      <c r="AZ111" s="408" t="e">
        <f t="shared" si="109"/>
        <v>#N/A</v>
      </c>
      <c r="BA111" s="572"/>
    </row>
    <row r="112" spans="2:53">
      <c r="B112" s="600"/>
      <c r="C112" s="371">
        <v>6</v>
      </c>
      <c r="D112" s="375"/>
      <c r="E112" s="372"/>
      <c r="F112" s="372"/>
      <c r="G112" s="372"/>
      <c r="H112" s="579"/>
      <c r="I112" s="400" t="str">
        <f t="shared" si="94"/>
        <v>-</v>
      </c>
      <c r="J112" s="400" t="str">
        <f t="shared" si="95"/>
        <v>-</v>
      </c>
      <c r="K112" s="200" t="str">
        <f t="shared" si="96"/>
        <v>-</v>
      </c>
      <c r="L112" s="581"/>
      <c r="M112" s="372" t="e">
        <f>RANK(K112, K$67:$K$81)</f>
        <v>#VALUE!</v>
      </c>
      <c r="N112" s="564"/>
      <c r="O112" s="564"/>
      <c r="P112" s="182"/>
      <c r="Q112" s="182"/>
      <c r="R112" s="182"/>
      <c r="S112" s="371" t="e">
        <f t="shared" si="111"/>
        <v>#N/A</v>
      </c>
      <c r="T112" s="572"/>
      <c r="U112" s="182"/>
      <c r="V112" s="182"/>
      <c r="W112" s="182"/>
      <c r="X112" s="371" t="e">
        <f t="shared" si="97"/>
        <v>#N/A</v>
      </c>
      <c r="Y112" s="572"/>
      <c r="Z112" s="182"/>
      <c r="AA112" s="182"/>
      <c r="AB112" s="182"/>
      <c r="AC112" s="371" t="e">
        <f t="shared" si="97"/>
        <v>#N/A</v>
      </c>
      <c r="AD112" s="572"/>
      <c r="AE112" s="182"/>
      <c r="AF112" s="182"/>
      <c r="AG112" s="182"/>
      <c r="AH112" s="371" t="e">
        <f t="shared" si="97"/>
        <v>#N/A</v>
      </c>
      <c r="AI112" s="572"/>
      <c r="AJ112" s="182"/>
      <c r="AK112" s="182"/>
      <c r="AL112" s="182"/>
      <c r="AM112" s="371" t="e">
        <f t="shared" si="97"/>
        <v>#N/A</v>
      </c>
      <c r="AN112" s="572"/>
      <c r="AO112" s="182"/>
      <c r="AP112" s="182"/>
      <c r="AQ112" s="182"/>
      <c r="AR112" s="371" t="e">
        <f t="shared" si="105"/>
        <v>#N/A</v>
      </c>
      <c r="AS112" s="572"/>
      <c r="AT112" s="182"/>
      <c r="AU112" s="182"/>
      <c r="AV112" s="182"/>
      <c r="AW112" s="371" t="e">
        <f t="shared" si="105"/>
        <v>#N/A</v>
      </c>
      <c r="AX112" s="572"/>
      <c r="AZ112" s="408" t="e">
        <f t="shared" si="109"/>
        <v>#N/A</v>
      </c>
      <c r="BA112" s="572"/>
    </row>
    <row r="113" spans="2:53">
      <c r="B113" s="600"/>
      <c r="C113" s="371">
        <v>7</v>
      </c>
      <c r="D113" s="375"/>
      <c r="E113" s="372"/>
      <c r="F113" s="372"/>
      <c r="G113" s="372"/>
      <c r="H113" s="579"/>
      <c r="I113" s="400" t="str">
        <f t="shared" si="94"/>
        <v>-</v>
      </c>
      <c r="J113" s="400" t="str">
        <f t="shared" si="95"/>
        <v>-</v>
      </c>
      <c r="K113" s="200" t="str">
        <f t="shared" si="96"/>
        <v>-</v>
      </c>
      <c r="L113" s="581"/>
      <c r="M113" s="372" t="e">
        <f>RANK(K113, K$67:$K$81)</f>
        <v>#VALUE!</v>
      </c>
      <c r="N113" s="564"/>
      <c r="O113" s="564"/>
      <c r="P113" s="182"/>
      <c r="Q113" s="182"/>
      <c r="R113" s="182"/>
      <c r="S113" s="371" t="e">
        <f t="shared" si="111"/>
        <v>#N/A</v>
      </c>
      <c r="T113" s="572"/>
      <c r="U113" s="182"/>
      <c r="V113" s="182"/>
      <c r="W113" s="182"/>
      <c r="X113" s="371" t="e">
        <f t="shared" si="97"/>
        <v>#N/A</v>
      </c>
      <c r="Y113" s="572"/>
      <c r="Z113" s="182"/>
      <c r="AA113" s="182"/>
      <c r="AB113" s="182"/>
      <c r="AC113" s="371" t="e">
        <f t="shared" si="97"/>
        <v>#N/A</v>
      </c>
      <c r="AD113" s="572"/>
      <c r="AE113" s="182"/>
      <c r="AF113" s="182"/>
      <c r="AG113" s="182"/>
      <c r="AH113" s="371" t="e">
        <f t="shared" si="97"/>
        <v>#N/A</v>
      </c>
      <c r="AI113" s="572"/>
      <c r="AJ113" s="182"/>
      <c r="AK113" s="182"/>
      <c r="AL113" s="182"/>
      <c r="AM113" s="371" t="e">
        <f t="shared" si="97"/>
        <v>#N/A</v>
      </c>
      <c r="AN113" s="572"/>
      <c r="AO113" s="182"/>
      <c r="AP113" s="182"/>
      <c r="AQ113" s="182"/>
      <c r="AR113" s="371" t="e">
        <f t="shared" si="105"/>
        <v>#N/A</v>
      </c>
      <c r="AS113" s="572"/>
      <c r="AT113" s="182"/>
      <c r="AU113" s="182"/>
      <c r="AV113" s="182"/>
      <c r="AW113" s="371" t="e">
        <f t="shared" si="105"/>
        <v>#N/A</v>
      </c>
      <c r="AX113" s="572"/>
      <c r="AZ113" s="408" t="e">
        <f t="shared" si="109"/>
        <v>#N/A</v>
      </c>
      <c r="BA113" s="572"/>
    </row>
    <row r="114" spans="2:53">
      <c r="B114" s="600"/>
      <c r="C114" s="371">
        <v>8</v>
      </c>
      <c r="D114" s="375"/>
      <c r="E114" s="372"/>
      <c r="F114" s="372"/>
      <c r="G114" s="372"/>
      <c r="H114" s="579"/>
      <c r="I114" s="400" t="str">
        <f t="shared" si="94"/>
        <v>-</v>
      </c>
      <c r="J114" s="400" t="str">
        <f t="shared" si="95"/>
        <v>-</v>
      </c>
      <c r="K114" s="200" t="str">
        <f t="shared" si="96"/>
        <v>-</v>
      </c>
      <c r="L114" s="581"/>
      <c r="M114" s="372" t="e">
        <f>RANK(K114, K$67:$K$81)</f>
        <v>#VALUE!</v>
      </c>
      <c r="N114" s="564"/>
      <c r="O114" s="564"/>
      <c r="P114" s="182"/>
      <c r="Q114" s="182"/>
      <c r="R114" s="182"/>
      <c r="S114" s="371" t="e">
        <f t="shared" si="111"/>
        <v>#N/A</v>
      </c>
      <c r="T114" s="572"/>
      <c r="U114" s="182"/>
      <c r="V114" s="182"/>
      <c r="W114" s="182"/>
      <c r="X114" s="371" t="e">
        <f t="shared" si="97"/>
        <v>#N/A</v>
      </c>
      <c r="Y114" s="572"/>
      <c r="Z114" s="182"/>
      <c r="AA114" s="182"/>
      <c r="AB114" s="182"/>
      <c r="AC114" s="371" t="e">
        <f t="shared" si="97"/>
        <v>#N/A</v>
      </c>
      <c r="AD114" s="572"/>
      <c r="AE114" s="182"/>
      <c r="AF114" s="182"/>
      <c r="AG114" s="182"/>
      <c r="AH114" s="371" t="e">
        <f t="shared" si="97"/>
        <v>#N/A</v>
      </c>
      <c r="AI114" s="572"/>
      <c r="AJ114" s="182"/>
      <c r="AK114" s="182"/>
      <c r="AL114" s="182"/>
      <c r="AM114" s="371" t="e">
        <f t="shared" si="97"/>
        <v>#N/A</v>
      </c>
      <c r="AN114" s="572"/>
      <c r="AO114" s="182"/>
      <c r="AP114" s="182"/>
      <c r="AQ114" s="182"/>
      <c r="AR114" s="371" t="e">
        <f t="shared" si="105"/>
        <v>#N/A</v>
      </c>
      <c r="AS114" s="572"/>
      <c r="AT114" s="182"/>
      <c r="AU114" s="182"/>
      <c r="AV114" s="182"/>
      <c r="AW114" s="371" t="e">
        <f t="shared" si="105"/>
        <v>#N/A</v>
      </c>
      <c r="AX114" s="572"/>
      <c r="AZ114" s="408" t="e">
        <f t="shared" si="109"/>
        <v>#N/A</v>
      </c>
      <c r="BA114" s="572"/>
    </row>
    <row r="115" spans="2:53">
      <c r="B115" s="600"/>
      <c r="C115" s="371">
        <v>9</v>
      </c>
      <c r="D115" s="375"/>
      <c r="E115" s="372"/>
      <c r="F115" s="372"/>
      <c r="G115" s="372"/>
      <c r="H115" s="579"/>
      <c r="I115" s="400" t="str">
        <f t="shared" si="94"/>
        <v>-</v>
      </c>
      <c r="J115" s="400" t="str">
        <f t="shared" si="95"/>
        <v>-</v>
      </c>
      <c r="K115" s="200" t="str">
        <f t="shared" si="96"/>
        <v>-</v>
      </c>
      <c r="L115" s="581"/>
      <c r="M115" s="372" t="e">
        <f>RANK(K115, K$67:$K$81)</f>
        <v>#VALUE!</v>
      </c>
      <c r="N115" s="564"/>
      <c r="O115" s="564"/>
      <c r="P115" s="182"/>
      <c r="Q115" s="182"/>
      <c r="R115" s="182"/>
      <c r="S115" s="371" t="e">
        <f t="shared" si="111"/>
        <v>#N/A</v>
      </c>
      <c r="T115" s="572"/>
      <c r="U115" s="182"/>
      <c r="V115" s="182"/>
      <c r="W115" s="182"/>
      <c r="X115" s="371" t="e">
        <f t="shared" si="97"/>
        <v>#N/A</v>
      </c>
      <c r="Y115" s="572"/>
      <c r="Z115" s="182"/>
      <c r="AA115" s="182"/>
      <c r="AB115" s="182"/>
      <c r="AC115" s="371" t="e">
        <f t="shared" si="97"/>
        <v>#N/A</v>
      </c>
      <c r="AD115" s="572"/>
      <c r="AE115" s="182"/>
      <c r="AF115" s="182"/>
      <c r="AG115" s="182"/>
      <c r="AH115" s="371" t="e">
        <f t="shared" si="97"/>
        <v>#N/A</v>
      </c>
      <c r="AI115" s="572"/>
      <c r="AJ115" s="182"/>
      <c r="AK115" s="182"/>
      <c r="AL115" s="182"/>
      <c r="AM115" s="371" t="e">
        <f t="shared" si="97"/>
        <v>#N/A</v>
      </c>
      <c r="AN115" s="572"/>
      <c r="AO115" s="182"/>
      <c r="AP115" s="182"/>
      <c r="AQ115" s="182"/>
      <c r="AR115" s="371" t="e">
        <f t="shared" si="105"/>
        <v>#N/A</v>
      </c>
      <c r="AS115" s="572"/>
      <c r="AT115" s="182"/>
      <c r="AU115" s="182"/>
      <c r="AV115" s="182"/>
      <c r="AW115" s="371" t="e">
        <f t="shared" si="105"/>
        <v>#N/A</v>
      </c>
      <c r="AX115" s="572"/>
      <c r="AZ115" s="408" t="e">
        <f t="shared" si="109"/>
        <v>#N/A</v>
      </c>
      <c r="BA115" s="572"/>
    </row>
    <row r="116" spans="2:53">
      <c r="B116" s="600"/>
      <c r="C116" s="371">
        <v>10</v>
      </c>
      <c r="D116" s="375"/>
      <c r="E116" s="372"/>
      <c r="F116" s="372"/>
      <c r="G116" s="372"/>
      <c r="H116" s="579"/>
      <c r="I116" s="400" t="str">
        <f t="shared" si="94"/>
        <v>-</v>
      </c>
      <c r="J116" s="400" t="str">
        <f t="shared" si="95"/>
        <v>-</v>
      </c>
      <c r="K116" s="200" t="str">
        <f t="shared" si="96"/>
        <v>-</v>
      </c>
      <c r="L116" s="581"/>
      <c r="M116" s="372" t="e">
        <f>RANK(K116, K$67:$K$81)</f>
        <v>#VALUE!</v>
      </c>
      <c r="N116" s="564"/>
      <c r="O116" s="564"/>
      <c r="P116" s="182"/>
      <c r="Q116" s="182"/>
      <c r="R116" s="182"/>
      <c r="S116" s="371" t="e">
        <f t="shared" si="111"/>
        <v>#N/A</v>
      </c>
      <c r="T116" s="572"/>
      <c r="U116" s="182"/>
      <c r="V116" s="182"/>
      <c r="W116" s="182"/>
      <c r="X116" s="371" t="e">
        <f t="shared" si="97"/>
        <v>#N/A</v>
      </c>
      <c r="Y116" s="572"/>
      <c r="Z116" s="182"/>
      <c r="AA116" s="182"/>
      <c r="AB116" s="182"/>
      <c r="AC116" s="371" t="e">
        <f t="shared" si="97"/>
        <v>#N/A</v>
      </c>
      <c r="AD116" s="572"/>
      <c r="AE116" s="182"/>
      <c r="AF116" s="182"/>
      <c r="AG116" s="182"/>
      <c r="AH116" s="371" t="e">
        <f t="shared" si="97"/>
        <v>#N/A</v>
      </c>
      <c r="AI116" s="572"/>
      <c r="AJ116" s="182"/>
      <c r="AK116" s="182"/>
      <c r="AL116" s="182"/>
      <c r="AM116" s="371" t="e">
        <f t="shared" si="97"/>
        <v>#N/A</v>
      </c>
      <c r="AN116" s="572"/>
      <c r="AO116" s="182"/>
      <c r="AP116" s="182"/>
      <c r="AQ116" s="182"/>
      <c r="AR116" s="371" t="e">
        <f t="shared" si="105"/>
        <v>#N/A</v>
      </c>
      <c r="AS116" s="572"/>
      <c r="AT116" s="182"/>
      <c r="AU116" s="182"/>
      <c r="AV116" s="182"/>
      <c r="AW116" s="371" t="e">
        <f t="shared" si="105"/>
        <v>#N/A</v>
      </c>
      <c r="AX116" s="572"/>
      <c r="AZ116" s="408" t="e">
        <f t="shared" si="109"/>
        <v>#N/A</v>
      </c>
      <c r="BA116" s="572"/>
    </row>
    <row r="117" spans="2:53">
      <c r="B117" s="600"/>
      <c r="C117" s="371">
        <v>11</v>
      </c>
      <c r="D117" s="375"/>
      <c r="E117" s="372"/>
      <c r="F117" s="372"/>
      <c r="G117" s="372"/>
      <c r="H117" s="579"/>
      <c r="I117" s="400" t="str">
        <f t="shared" si="94"/>
        <v>-</v>
      </c>
      <c r="J117" s="400" t="str">
        <f t="shared" si="95"/>
        <v>-</v>
      </c>
      <c r="K117" s="200" t="str">
        <f t="shared" si="96"/>
        <v>-</v>
      </c>
      <c r="L117" s="581"/>
      <c r="M117" s="372" t="e">
        <f>RANK(K117, K$67:$K$81)</f>
        <v>#VALUE!</v>
      </c>
      <c r="N117" s="564"/>
      <c r="O117" s="564"/>
      <c r="P117" s="182"/>
      <c r="Q117" s="182"/>
      <c r="R117" s="182"/>
      <c r="S117" s="371" t="e">
        <f t="shared" si="111"/>
        <v>#N/A</v>
      </c>
      <c r="T117" s="572"/>
      <c r="U117" s="182"/>
      <c r="V117" s="182"/>
      <c r="W117" s="182"/>
      <c r="X117" s="371" t="e">
        <f t="shared" si="97"/>
        <v>#N/A</v>
      </c>
      <c r="Y117" s="572"/>
      <c r="Z117" s="182"/>
      <c r="AA117" s="182"/>
      <c r="AB117" s="182"/>
      <c r="AC117" s="371" t="e">
        <f t="shared" si="97"/>
        <v>#N/A</v>
      </c>
      <c r="AD117" s="572"/>
      <c r="AE117" s="182"/>
      <c r="AF117" s="182"/>
      <c r="AG117" s="182"/>
      <c r="AH117" s="371" t="e">
        <f t="shared" si="97"/>
        <v>#N/A</v>
      </c>
      <c r="AI117" s="572"/>
      <c r="AJ117" s="182"/>
      <c r="AK117" s="182"/>
      <c r="AL117" s="182"/>
      <c r="AM117" s="371" t="e">
        <f t="shared" si="97"/>
        <v>#N/A</v>
      </c>
      <c r="AN117" s="572"/>
      <c r="AO117" s="182"/>
      <c r="AP117" s="182"/>
      <c r="AQ117" s="182"/>
      <c r="AR117" s="371" t="e">
        <f t="shared" si="105"/>
        <v>#N/A</v>
      </c>
      <c r="AS117" s="572"/>
      <c r="AT117" s="182"/>
      <c r="AU117" s="182"/>
      <c r="AV117" s="182"/>
      <c r="AW117" s="371" t="e">
        <f t="shared" si="105"/>
        <v>#N/A</v>
      </c>
      <c r="AX117" s="572"/>
      <c r="AZ117" s="408" t="e">
        <f t="shared" si="109"/>
        <v>#N/A</v>
      </c>
      <c r="BA117" s="572"/>
    </row>
    <row r="118" spans="2:53">
      <c r="B118" s="600"/>
      <c r="C118" s="371">
        <v>12</v>
      </c>
      <c r="D118" s="375"/>
      <c r="E118" s="372"/>
      <c r="F118" s="372"/>
      <c r="G118" s="372"/>
      <c r="H118" s="579"/>
      <c r="I118" s="400" t="str">
        <f t="shared" si="94"/>
        <v>-</v>
      </c>
      <c r="J118" s="400" t="str">
        <f t="shared" si="95"/>
        <v>-</v>
      </c>
      <c r="K118" s="200" t="str">
        <f t="shared" si="96"/>
        <v>-</v>
      </c>
      <c r="L118" s="581"/>
      <c r="M118" s="372" t="e">
        <f>RANK(K118, K$67:$K$81)</f>
        <v>#VALUE!</v>
      </c>
      <c r="N118" s="564"/>
      <c r="O118" s="564"/>
      <c r="P118" s="182"/>
      <c r="Q118" s="182"/>
      <c r="R118" s="182"/>
      <c r="S118" s="371" t="e">
        <f t="shared" si="111"/>
        <v>#N/A</v>
      </c>
      <c r="T118" s="572"/>
      <c r="U118" s="182"/>
      <c r="V118" s="182"/>
      <c r="W118" s="182"/>
      <c r="X118" s="371" t="e">
        <f t="shared" si="97"/>
        <v>#N/A</v>
      </c>
      <c r="Y118" s="572"/>
      <c r="Z118" s="182"/>
      <c r="AA118" s="182"/>
      <c r="AB118" s="182"/>
      <c r="AC118" s="371" t="e">
        <f t="shared" si="97"/>
        <v>#N/A</v>
      </c>
      <c r="AD118" s="572"/>
      <c r="AE118" s="182"/>
      <c r="AF118" s="182"/>
      <c r="AG118" s="182"/>
      <c r="AH118" s="371" t="e">
        <f t="shared" si="97"/>
        <v>#N/A</v>
      </c>
      <c r="AI118" s="572"/>
      <c r="AJ118" s="182"/>
      <c r="AK118" s="182"/>
      <c r="AL118" s="182"/>
      <c r="AM118" s="371" t="e">
        <f t="shared" si="97"/>
        <v>#N/A</v>
      </c>
      <c r="AN118" s="572"/>
      <c r="AO118" s="182"/>
      <c r="AP118" s="182"/>
      <c r="AQ118" s="182"/>
      <c r="AR118" s="371" t="e">
        <f t="shared" si="105"/>
        <v>#N/A</v>
      </c>
      <c r="AS118" s="572"/>
      <c r="AT118" s="182"/>
      <c r="AU118" s="182"/>
      <c r="AV118" s="182"/>
      <c r="AW118" s="371" t="e">
        <f t="shared" si="105"/>
        <v>#N/A</v>
      </c>
      <c r="AX118" s="572"/>
      <c r="AZ118" s="408" t="e">
        <f t="shared" si="109"/>
        <v>#N/A</v>
      </c>
      <c r="BA118" s="572"/>
    </row>
    <row r="119" spans="2:53">
      <c r="B119" s="600"/>
      <c r="C119" s="371">
        <v>13</v>
      </c>
      <c r="D119" s="375"/>
      <c r="E119" s="372"/>
      <c r="F119" s="372"/>
      <c r="G119" s="372"/>
      <c r="H119" s="579"/>
      <c r="I119" s="400" t="str">
        <f t="shared" si="94"/>
        <v>-</v>
      </c>
      <c r="J119" s="400" t="str">
        <f t="shared" si="95"/>
        <v>-</v>
      </c>
      <c r="K119" s="200" t="str">
        <f t="shared" si="96"/>
        <v>-</v>
      </c>
      <c r="L119" s="581"/>
      <c r="M119" s="372" t="e">
        <f>RANK(K119, K$67:$K$81)</f>
        <v>#VALUE!</v>
      </c>
      <c r="N119" s="564"/>
      <c r="O119" s="564"/>
      <c r="P119" s="182"/>
      <c r="Q119" s="182"/>
      <c r="R119" s="182"/>
      <c r="S119" s="371" t="e">
        <f t="shared" si="111"/>
        <v>#N/A</v>
      </c>
      <c r="T119" s="572"/>
      <c r="U119" s="182"/>
      <c r="V119" s="182"/>
      <c r="W119" s="182"/>
      <c r="X119" s="371" t="e">
        <f t="shared" si="97"/>
        <v>#N/A</v>
      </c>
      <c r="Y119" s="572"/>
      <c r="Z119" s="182"/>
      <c r="AA119" s="182"/>
      <c r="AB119" s="182"/>
      <c r="AC119" s="371" t="e">
        <f t="shared" si="97"/>
        <v>#N/A</v>
      </c>
      <c r="AD119" s="572"/>
      <c r="AE119" s="182"/>
      <c r="AF119" s="182"/>
      <c r="AG119" s="182"/>
      <c r="AH119" s="371" t="e">
        <f t="shared" si="97"/>
        <v>#N/A</v>
      </c>
      <c r="AI119" s="572"/>
      <c r="AJ119" s="182"/>
      <c r="AK119" s="182"/>
      <c r="AL119" s="182"/>
      <c r="AM119" s="371" t="e">
        <f t="shared" si="97"/>
        <v>#N/A</v>
      </c>
      <c r="AN119" s="572"/>
      <c r="AO119" s="182"/>
      <c r="AP119" s="182"/>
      <c r="AQ119" s="182"/>
      <c r="AR119" s="371" t="e">
        <f t="shared" si="105"/>
        <v>#N/A</v>
      </c>
      <c r="AS119" s="572"/>
      <c r="AT119" s="182"/>
      <c r="AU119" s="182"/>
      <c r="AV119" s="182"/>
      <c r="AW119" s="371" t="e">
        <f t="shared" si="105"/>
        <v>#N/A</v>
      </c>
      <c r="AX119" s="572"/>
      <c r="AZ119" s="408" t="e">
        <f t="shared" si="109"/>
        <v>#N/A</v>
      </c>
      <c r="BA119" s="572"/>
    </row>
    <row r="120" spans="2:53">
      <c r="B120" s="600"/>
      <c r="C120" s="371">
        <v>14</v>
      </c>
      <c r="D120" s="375"/>
      <c r="E120" s="372"/>
      <c r="F120" s="372"/>
      <c r="G120" s="372"/>
      <c r="H120" s="579"/>
      <c r="I120" s="400" t="str">
        <f t="shared" si="94"/>
        <v>-</v>
      </c>
      <c r="J120" s="400" t="str">
        <f t="shared" si="95"/>
        <v>-</v>
      </c>
      <c r="K120" s="200" t="str">
        <f t="shared" si="96"/>
        <v>-</v>
      </c>
      <c r="L120" s="581"/>
      <c r="M120" s="372" t="e">
        <f>RANK(K120, K$67:$K$81)</f>
        <v>#VALUE!</v>
      </c>
      <c r="N120" s="564"/>
      <c r="O120" s="564"/>
      <c r="P120" s="182"/>
      <c r="Q120" s="182"/>
      <c r="R120" s="182"/>
      <c r="S120" s="371" t="e">
        <f t="shared" si="111"/>
        <v>#N/A</v>
      </c>
      <c r="T120" s="572"/>
      <c r="U120" s="182"/>
      <c r="V120" s="182"/>
      <c r="W120" s="182"/>
      <c r="X120" s="371" t="e">
        <f t="shared" si="97"/>
        <v>#N/A</v>
      </c>
      <c r="Y120" s="572"/>
      <c r="Z120" s="182"/>
      <c r="AA120" s="182"/>
      <c r="AB120" s="182"/>
      <c r="AC120" s="371" t="e">
        <f t="shared" si="97"/>
        <v>#N/A</v>
      </c>
      <c r="AD120" s="572"/>
      <c r="AE120" s="182"/>
      <c r="AF120" s="182"/>
      <c r="AG120" s="182"/>
      <c r="AH120" s="371" t="e">
        <f t="shared" si="97"/>
        <v>#N/A</v>
      </c>
      <c r="AI120" s="572"/>
      <c r="AJ120" s="182"/>
      <c r="AK120" s="182"/>
      <c r="AL120" s="182"/>
      <c r="AM120" s="371" t="e">
        <f t="shared" si="97"/>
        <v>#N/A</v>
      </c>
      <c r="AN120" s="572"/>
      <c r="AO120" s="182"/>
      <c r="AP120" s="182"/>
      <c r="AQ120" s="182"/>
      <c r="AR120" s="371" t="e">
        <f t="shared" si="105"/>
        <v>#N/A</v>
      </c>
      <c r="AS120" s="572"/>
      <c r="AT120" s="182"/>
      <c r="AU120" s="182"/>
      <c r="AV120" s="182"/>
      <c r="AW120" s="371" t="e">
        <f t="shared" si="105"/>
        <v>#N/A</v>
      </c>
      <c r="AX120" s="572"/>
      <c r="AZ120" s="408" t="e">
        <f t="shared" si="109"/>
        <v>#N/A</v>
      </c>
      <c r="BA120" s="572"/>
    </row>
    <row r="121" spans="2:53">
      <c r="B121" s="600"/>
      <c r="C121" s="371">
        <v>15</v>
      </c>
      <c r="D121" s="375"/>
      <c r="E121" s="372"/>
      <c r="F121" s="372"/>
      <c r="G121" s="372"/>
      <c r="H121" s="639"/>
      <c r="I121" s="405"/>
      <c r="J121" s="405"/>
      <c r="K121" s="401"/>
      <c r="L121" s="582"/>
      <c r="M121" s="372" t="e">
        <f>RANK(K121, K$67:$K$81)</f>
        <v>#N/A</v>
      </c>
      <c r="N121" s="564"/>
      <c r="O121" s="564"/>
      <c r="P121" s="182"/>
      <c r="Q121" s="182"/>
      <c r="R121" s="182"/>
      <c r="S121" s="371" t="e">
        <f t="shared" si="111"/>
        <v>#N/A</v>
      </c>
      <c r="T121" s="572"/>
      <c r="U121" s="182"/>
      <c r="V121" s="182"/>
      <c r="W121" s="182"/>
      <c r="X121" s="371" t="e">
        <f t="shared" si="97"/>
        <v>#N/A</v>
      </c>
      <c r="Y121" s="572"/>
      <c r="Z121" s="182"/>
      <c r="AA121" s="182"/>
      <c r="AB121" s="182"/>
      <c r="AC121" s="371" t="e">
        <f t="shared" si="97"/>
        <v>#N/A</v>
      </c>
      <c r="AD121" s="572"/>
      <c r="AE121" s="182"/>
      <c r="AF121" s="182"/>
      <c r="AG121" s="182"/>
      <c r="AH121" s="371" t="e">
        <f t="shared" si="97"/>
        <v>#N/A</v>
      </c>
      <c r="AI121" s="572"/>
      <c r="AJ121" s="182"/>
      <c r="AK121" s="182"/>
      <c r="AL121" s="182"/>
      <c r="AM121" s="371" t="e">
        <f t="shared" si="97"/>
        <v>#N/A</v>
      </c>
      <c r="AN121" s="572"/>
      <c r="AO121" s="182"/>
      <c r="AP121" s="182"/>
      <c r="AQ121" s="182"/>
      <c r="AR121" s="371" t="e">
        <f t="shared" si="105"/>
        <v>#N/A</v>
      </c>
      <c r="AS121" s="572"/>
      <c r="AT121" s="182"/>
      <c r="AU121" s="182"/>
      <c r="AV121" s="182"/>
      <c r="AW121" s="371" t="e">
        <f t="shared" si="105"/>
        <v>#N/A</v>
      </c>
      <c r="AX121" s="572"/>
      <c r="AZ121" s="408" t="e">
        <f t="shared" si="109"/>
        <v>#N/A</v>
      </c>
      <c r="BA121" s="572"/>
    </row>
    <row r="123" spans="2:53" ht="15.75">
      <c r="B123" s="573" t="s">
        <v>500</v>
      </c>
      <c r="C123" s="574"/>
      <c r="D123" s="574"/>
      <c r="E123" s="574"/>
      <c r="F123" s="574"/>
      <c r="G123" s="574"/>
      <c r="H123" s="575"/>
      <c r="I123" s="319"/>
      <c r="J123" s="319"/>
      <c r="K123" s="319"/>
      <c r="L123" s="319"/>
      <c r="M123" s="320"/>
    </row>
    <row r="124" spans="2:53" ht="15.75">
      <c r="B124" s="576"/>
      <c r="C124" s="576"/>
      <c r="D124" s="576"/>
      <c r="E124" s="576"/>
      <c r="F124" s="576"/>
      <c r="G124" s="576"/>
      <c r="H124" s="576"/>
      <c r="I124" s="321"/>
      <c r="J124" s="321"/>
      <c r="K124" s="321"/>
      <c r="L124" s="321"/>
      <c r="M124" s="322"/>
    </row>
    <row r="125" spans="2:53">
      <c r="B125" s="564" t="s">
        <v>154</v>
      </c>
      <c r="C125" s="564" t="s">
        <v>387</v>
      </c>
      <c r="D125" s="564"/>
      <c r="E125" s="564" t="s">
        <v>378</v>
      </c>
      <c r="F125" s="564"/>
      <c r="G125" s="564"/>
      <c r="H125" s="597" t="s">
        <v>374</v>
      </c>
      <c r="I125" s="577" t="s">
        <v>379</v>
      </c>
      <c r="J125" s="577"/>
      <c r="K125" s="577"/>
      <c r="L125" s="633" t="s">
        <v>374</v>
      </c>
      <c r="M125" s="636" t="s">
        <v>375</v>
      </c>
    </row>
    <row r="126" spans="2:53">
      <c r="B126" s="564"/>
      <c r="C126" s="564"/>
      <c r="D126" s="564"/>
      <c r="E126" s="564" t="s">
        <v>381</v>
      </c>
      <c r="F126" s="564"/>
      <c r="G126" s="564"/>
      <c r="H126" s="598"/>
      <c r="I126" s="577" t="s">
        <v>381</v>
      </c>
      <c r="J126" s="577"/>
      <c r="K126" s="577"/>
      <c r="L126" s="634"/>
      <c r="M126" s="637"/>
    </row>
    <row r="127" spans="2:53">
      <c r="B127" s="564"/>
      <c r="C127" s="564"/>
      <c r="D127" s="564"/>
      <c r="E127" s="316" t="s">
        <v>383</v>
      </c>
      <c r="F127" s="316" t="s">
        <v>384</v>
      </c>
      <c r="G127" s="316" t="s">
        <v>385</v>
      </c>
      <c r="H127" s="599"/>
      <c r="I127" s="323" t="s">
        <v>383</v>
      </c>
      <c r="J127" s="323" t="s">
        <v>384</v>
      </c>
      <c r="K127" s="323" t="s">
        <v>385</v>
      </c>
      <c r="L127" s="635"/>
      <c r="M127" s="638"/>
    </row>
    <row r="128" spans="2:53">
      <c r="B128" s="626" t="s">
        <v>386</v>
      </c>
      <c r="C128" s="315">
        <v>1</v>
      </c>
      <c r="D128" s="226"/>
      <c r="E128" s="182"/>
      <c r="F128" s="315"/>
      <c r="G128" s="318"/>
      <c r="H128" s="627" t="e">
        <f>AVERAGE(G128:G142)</f>
        <v>#DIV/0!</v>
      </c>
      <c r="I128" s="199" t="e">
        <f t="shared" ref="I128:J138" si="112">AVERAGEIF($D$7:$D$121,$D128,I$7:I$121)</f>
        <v>#DIV/0!</v>
      </c>
      <c r="J128" s="199" t="e">
        <f t="shared" si="112"/>
        <v>#DIV/0!</v>
      </c>
      <c r="K128" s="199" t="e">
        <f t="shared" ref="K128:K138" si="113">AVERAGEIF($D$7:$D$121,$D128,K$7:K$121)</f>
        <v>#DIV/0!</v>
      </c>
      <c r="L128" s="630" t="e">
        <f>AVERAGE(K128:K142)</f>
        <v>#DIV/0!</v>
      </c>
      <c r="M128" s="199" t="e">
        <f>RANK(K128, K$128:$K$142)</f>
        <v>#DIV/0!</v>
      </c>
    </row>
    <row r="129" spans="2:39">
      <c r="B129" s="570"/>
      <c r="C129" s="315">
        <v>2</v>
      </c>
      <c r="D129" s="226"/>
      <c r="E129" s="182"/>
      <c r="F129" s="315"/>
      <c r="G129" s="318"/>
      <c r="H129" s="628"/>
      <c r="I129" s="199" t="e">
        <f t="shared" si="112"/>
        <v>#DIV/0!</v>
      </c>
      <c r="J129" s="199" t="e">
        <f t="shared" si="112"/>
        <v>#DIV/0!</v>
      </c>
      <c r="K129" s="199" t="e">
        <f t="shared" si="113"/>
        <v>#DIV/0!</v>
      </c>
      <c r="L129" s="631"/>
      <c r="M129" s="199" t="e">
        <f>RANK(K129, K$128:$K$142)</f>
        <v>#DIV/0!</v>
      </c>
      <c r="N129" s="108"/>
      <c r="O129" s="108"/>
      <c r="P129" s="108"/>
      <c r="Q129" s="108"/>
      <c r="R129" s="108"/>
      <c r="S129" s="108"/>
      <c r="T129" s="108"/>
      <c r="X129" s="108"/>
      <c r="AC129" s="108"/>
      <c r="AH129" s="108"/>
      <c r="AM129" s="108"/>
    </row>
    <row r="130" spans="2:39">
      <c r="B130" s="570"/>
      <c r="C130" s="315">
        <v>3</v>
      </c>
      <c r="D130" s="226"/>
      <c r="E130" s="182"/>
      <c r="F130" s="315"/>
      <c r="G130" s="318"/>
      <c r="H130" s="628"/>
      <c r="I130" s="199" t="e">
        <f t="shared" si="112"/>
        <v>#DIV/0!</v>
      </c>
      <c r="J130" s="199" t="e">
        <f t="shared" si="112"/>
        <v>#DIV/0!</v>
      </c>
      <c r="K130" s="199" t="e">
        <f t="shared" si="113"/>
        <v>#DIV/0!</v>
      </c>
      <c r="L130" s="631"/>
      <c r="M130" s="199" t="e">
        <f>RANK(K130, K$128:$K$142)</f>
        <v>#DIV/0!</v>
      </c>
      <c r="N130" s="108"/>
      <c r="O130" s="108"/>
      <c r="P130" s="108"/>
      <c r="Q130" s="108"/>
      <c r="R130" s="108"/>
      <c r="S130" s="108"/>
      <c r="T130" s="108"/>
      <c r="X130" s="108"/>
      <c r="AC130" s="108"/>
      <c r="AH130" s="108"/>
      <c r="AM130" s="108"/>
    </row>
    <row r="131" spans="2:39">
      <c r="B131" s="570"/>
      <c r="C131" s="315">
        <v>4</v>
      </c>
      <c r="D131" s="226"/>
      <c r="E131" s="182"/>
      <c r="F131" s="315"/>
      <c r="G131" s="318"/>
      <c r="H131" s="628"/>
      <c r="I131" s="199" t="e">
        <f t="shared" si="112"/>
        <v>#DIV/0!</v>
      </c>
      <c r="J131" s="199" t="e">
        <f t="shared" si="112"/>
        <v>#DIV/0!</v>
      </c>
      <c r="K131" s="199" t="e">
        <f t="shared" si="113"/>
        <v>#DIV/0!</v>
      </c>
      <c r="L131" s="631"/>
      <c r="M131" s="199" t="e">
        <f>RANK(K131, K$128:$K$142)</f>
        <v>#DIV/0!</v>
      </c>
      <c r="N131" s="108"/>
      <c r="O131" s="108"/>
      <c r="P131" s="108"/>
      <c r="Q131" s="108"/>
      <c r="R131" s="108"/>
      <c r="S131" s="108"/>
      <c r="T131" s="108"/>
      <c r="X131" s="108"/>
      <c r="AC131" s="108"/>
      <c r="AH131" s="108"/>
      <c r="AM131" s="108"/>
    </row>
    <row r="132" spans="2:39">
      <c r="B132" s="570"/>
      <c r="C132" s="315">
        <v>5</v>
      </c>
      <c r="D132" s="226"/>
      <c r="E132" s="182"/>
      <c r="F132" s="315"/>
      <c r="G132" s="318"/>
      <c r="H132" s="628"/>
      <c r="I132" s="199" t="e">
        <f t="shared" si="112"/>
        <v>#DIV/0!</v>
      </c>
      <c r="J132" s="199" t="e">
        <f t="shared" si="112"/>
        <v>#DIV/0!</v>
      </c>
      <c r="K132" s="199" t="e">
        <f t="shared" si="113"/>
        <v>#DIV/0!</v>
      </c>
      <c r="L132" s="631"/>
      <c r="M132" s="199" t="e">
        <f>RANK(K132, K$128:$K$142)</f>
        <v>#DIV/0!</v>
      </c>
      <c r="N132" s="108"/>
      <c r="O132" s="108"/>
      <c r="P132" s="108"/>
      <c r="Q132" s="108"/>
      <c r="R132" s="108"/>
      <c r="S132" s="108"/>
      <c r="T132" s="108"/>
      <c r="X132" s="108"/>
      <c r="AC132" s="108"/>
      <c r="AH132" s="108"/>
      <c r="AM132" s="108"/>
    </row>
    <row r="133" spans="2:39">
      <c r="B133" s="570"/>
      <c r="C133" s="315">
        <v>6</v>
      </c>
      <c r="D133" s="324"/>
      <c r="E133" s="182"/>
      <c r="F133" s="315"/>
      <c r="G133" s="318"/>
      <c r="H133" s="628"/>
      <c r="I133" s="199" t="e">
        <f t="shared" si="112"/>
        <v>#DIV/0!</v>
      </c>
      <c r="J133" s="199" t="e">
        <f t="shared" si="112"/>
        <v>#DIV/0!</v>
      </c>
      <c r="K133" s="199" t="e">
        <f t="shared" si="113"/>
        <v>#DIV/0!</v>
      </c>
      <c r="L133" s="631"/>
      <c r="M133" s="199" t="e">
        <f>RANK(K133, K$128:$K$142)</f>
        <v>#DIV/0!</v>
      </c>
      <c r="N133" s="108"/>
      <c r="O133" s="108"/>
      <c r="P133" s="108"/>
      <c r="Q133" s="108"/>
      <c r="R133" s="108"/>
      <c r="S133" s="108"/>
      <c r="T133" s="108"/>
      <c r="X133" s="108"/>
      <c r="AC133" s="108"/>
      <c r="AH133" s="108"/>
      <c r="AM133" s="108"/>
    </row>
    <row r="134" spans="2:39">
      <c r="B134" s="570"/>
      <c r="C134" s="315">
        <v>7</v>
      </c>
      <c r="D134" s="226"/>
      <c r="E134" s="182"/>
      <c r="F134" s="315"/>
      <c r="G134" s="318"/>
      <c r="H134" s="628"/>
      <c r="I134" s="199" t="e">
        <f t="shared" si="112"/>
        <v>#DIV/0!</v>
      </c>
      <c r="J134" s="199" t="e">
        <f t="shared" si="112"/>
        <v>#DIV/0!</v>
      </c>
      <c r="K134" s="199" t="e">
        <f t="shared" si="113"/>
        <v>#DIV/0!</v>
      </c>
      <c r="L134" s="631"/>
      <c r="M134" s="199" t="e">
        <f>RANK(K134, K$128:$K$142)</f>
        <v>#DIV/0!</v>
      </c>
      <c r="N134" s="108"/>
      <c r="O134" s="108"/>
      <c r="P134" s="108"/>
      <c r="Q134" s="108"/>
      <c r="R134" s="108"/>
      <c r="S134" s="108"/>
      <c r="T134" s="108"/>
      <c r="X134" s="108"/>
      <c r="AC134" s="108"/>
      <c r="AH134" s="108"/>
      <c r="AM134" s="108"/>
    </row>
    <row r="135" spans="2:39">
      <c r="B135" s="570"/>
      <c r="C135" s="315">
        <v>8</v>
      </c>
      <c r="D135" s="226"/>
      <c r="E135" s="182"/>
      <c r="F135" s="315"/>
      <c r="G135" s="318"/>
      <c r="H135" s="628"/>
      <c r="I135" s="199" t="e">
        <f t="shared" si="112"/>
        <v>#DIV/0!</v>
      </c>
      <c r="J135" s="199" t="e">
        <f t="shared" si="112"/>
        <v>#DIV/0!</v>
      </c>
      <c r="K135" s="199" t="e">
        <f t="shared" si="113"/>
        <v>#DIV/0!</v>
      </c>
      <c r="L135" s="631"/>
      <c r="M135" s="199" t="e">
        <f>RANK(K135, K$128:$K$142)</f>
        <v>#DIV/0!</v>
      </c>
      <c r="N135" s="108"/>
      <c r="O135" s="108"/>
      <c r="P135" s="108"/>
      <c r="Q135" s="108"/>
      <c r="R135" s="108"/>
      <c r="S135" s="108"/>
      <c r="T135" s="108"/>
      <c r="X135" s="108"/>
      <c r="AC135" s="108"/>
      <c r="AH135" s="108"/>
      <c r="AM135" s="108"/>
    </row>
    <row r="136" spans="2:39">
      <c r="B136" s="570"/>
      <c r="C136" s="315">
        <v>9</v>
      </c>
      <c r="D136" s="226"/>
      <c r="E136" s="315"/>
      <c r="F136" s="315"/>
      <c r="G136" s="315"/>
      <c r="H136" s="628"/>
      <c r="I136" s="199" t="e">
        <f t="shared" si="112"/>
        <v>#DIV/0!</v>
      </c>
      <c r="J136" s="199" t="e">
        <f t="shared" si="112"/>
        <v>#DIV/0!</v>
      </c>
      <c r="K136" s="199" t="e">
        <f t="shared" si="113"/>
        <v>#DIV/0!</v>
      </c>
      <c r="L136" s="631"/>
      <c r="M136" s="199" t="e">
        <f>RANK(K136, K$128:$K$142)</f>
        <v>#DIV/0!</v>
      </c>
      <c r="N136" s="108"/>
      <c r="O136" s="108"/>
      <c r="P136" s="108"/>
      <c r="Q136" s="108"/>
      <c r="R136" s="108"/>
      <c r="S136" s="108"/>
      <c r="T136" s="108"/>
      <c r="X136" s="108"/>
      <c r="AC136" s="108"/>
      <c r="AH136" s="108"/>
      <c r="AM136" s="108"/>
    </row>
    <row r="137" spans="2:39">
      <c r="B137" s="570"/>
      <c r="C137" s="315">
        <v>10</v>
      </c>
      <c r="D137" s="226"/>
      <c r="E137" s="315"/>
      <c r="F137" s="315"/>
      <c r="G137" s="315"/>
      <c r="H137" s="628"/>
      <c r="I137" s="199" t="e">
        <f t="shared" si="112"/>
        <v>#DIV/0!</v>
      </c>
      <c r="J137" s="199" t="e">
        <f t="shared" si="112"/>
        <v>#DIV/0!</v>
      </c>
      <c r="K137" s="199" t="e">
        <f t="shared" si="113"/>
        <v>#DIV/0!</v>
      </c>
      <c r="L137" s="631"/>
      <c r="M137" s="199" t="e">
        <f>RANK(K137, K$128:$K$142)</f>
        <v>#DIV/0!</v>
      </c>
      <c r="N137" s="108"/>
      <c r="O137" s="108"/>
      <c r="P137" s="108"/>
      <c r="Q137" s="108"/>
      <c r="R137" s="108"/>
      <c r="S137" s="108"/>
      <c r="T137" s="108"/>
      <c r="X137" s="108"/>
      <c r="AC137" s="108"/>
      <c r="AH137" s="108"/>
      <c r="AM137" s="108"/>
    </row>
    <row r="138" spans="2:39">
      <c r="B138" s="570"/>
      <c r="C138" s="315">
        <v>11</v>
      </c>
      <c r="D138" s="226"/>
      <c r="E138" s="315"/>
      <c r="F138" s="315"/>
      <c r="G138" s="315"/>
      <c r="H138" s="628"/>
      <c r="I138" s="199" t="e">
        <f t="shared" si="112"/>
        <v>#DIV/0!</v>
      </c>
      <c r="J138" s="199" t="e">
        <f t="shared" si="112"/>
        <v>#DIV/0!</v>
      </c>
      <c r="K138" s="199" t="e">
        <f t="shared" si="113"/>
        <v>#DIV/0!</v>
      </c>
      <c r="L138" s="631"/>
      <c r="M138" s="199" t="e">
        <f>RANK(K138, K$128:$K$142)</f>
        <v>#DIV/0!</v>
      </c>
      <c r="N138" s="108"/>
      <c r="O138" s="108"/>
      <c r="P138" s="108"/>
      <c r="Q138" s="108"/>
      <c r="R138" s="108"/>
      <c r="S138" s="108"/>
      <c r="T138" s="108"/>
      <c r="X138" s="108"/>
      <c r="AC138" s="108"/>
      <c r="AH138" s="108"/>
      <c r="AM138" s="108"/>
    </row>
    <row r="139" spans="2:39">
      <c r="B139" s="570"/>
      <c r="C139" s="315">
        <v>12</v>
      </c>
      <c r="D139" s="226"/>
      <c r="E139" s="315"/>
      <c r="F139" s="315"/>
      <c r="G139" s="315"/>
      <c r="H139" s="628"/>
      <c r="I139" s="199"/>
      <c r="J139" s="199"/>
      <c r="K139" s="199"/>
      <c r="L139" s="631"/>
      <c r="M139" s="199" t="e">
        <f>RANK(K139, K$128:$K$142)</f>
        <v>#DIV/0!</v>
      </c>
      <c r="N139" s="108"/>
      <c r="O139" s="108"/>
      <c r="P139" s="108"/>
      <c r="Q139" s="108"/>
      <c r="R139" s="108"/>
      <c r="S139" s="108"/>
      <c r="T139" s="108"/>
      <c r="X139" s="108"/>
      <c r="AC139" s="108"/>
      <c r="AH139" s="108"/>
      <c r="AM139" s="108"/>
    </row>
    <row r="140" spans="2:39">
      <c r="B140" s="570"/>
      <c r="C140" s="315">
        <v>13</v>
      </c>
      <c r="D140" s="226"/>
      <c r="E140" s="315"/>
      <c r="F140" s="315"/>
      <c r="G140" s="315"/>
      <c r="H140" s="628"/>
      <c r="I140" s="199"/>
      <c r="J140" s="199"/>
      <c r="K140" s="199"/>
      <c r="L140" s="631"/>
      <c r="M140" s="199" t="e">
        <f>RANK(K140, K$128:$K$142)</f>
        <v>#DIV/0!</v>
      </c>
      <c r="N140" s="108"/>
      <c r="O140" s="108"/>
      <c r="P140" s="108"/>
      <c r="Q140" s="108"/>
      <c r="R140" s="108"/>
      <c r="S140" s="108"/>
      <c r="T140" s="108"/>
      <c r="X140" s="108"/>
      <c r="AC140" s="108"/>
      <c r="AH140" s="108"/>
      <c r="AM140" s="108"/>
    </row>
    <row r="141" spans="2:39">
      <c r="B141" s="570"/>
      <c r="C141" s="315">
        <v>14</v>
      </c>
      <c r="D141" s="226"/>
      <c r="E141" s="315"/>
      <c r="F141" s="315"/>
      <c r="G141" s="315"/>
      <c r="H141" s="628"/>
      <c r="I141" s="199"/>
      <c r="J141" s="199"/>
      <c r="K141" s="199"/>
      <c r="L141" s="631"/>
      <c r="M141" s="199" t="e">
        <f>RANK(K141, K$128:$K$142)</f>
        <v>#DIV/0!</v>
      </c>
      <c r="N141" s="108"/>
      <c r="O141" s="108"/>
      <c r="P141" s="108"/>
      <c r="Q141" s="108"/>
      <c r="R141" s="108"/>
      <c r="S141" s="108"/>
      <c r="T141" s="108"/>
      <c r="X141" s="108"/>
      <c r="AC141" s="108"/>
      <c r="AH141" s="108"/>
      <c r="AM141" s="108"/>
    </row>
    <row r="142" spans="2:39">
      <c r="B142" s="570"/>
      <c r="C142" s="315">
        <v>15</v>
      </c>
      <c r="D142" s="226"/>
      <c r="E142" s="315"/>
      <c r="F142" s="315"/>
      <c r="G142" s="315"/>
      <c r="H142" s="629"/>
      <c r="I142" s="199"/>
      <c r="J142" s="199"/>
      <c r="K142" s="199"/>
      <c r="L142" s="632"/>
      <c r="M142" s="199" t="e">
        <f>RANK(K142, K$128:$K$142)</f>
        <v>#DIV/0!</v>
      </c>
      <c r="N142" s="108"/>
      <c r="O142" s="108"/>
      <c r="P142" s="108"/>
      <c r="Q142" s="108"/>
      <c r="R142" s="108"/>
      <c r="S142" s="108"/>
      <c r="T142" s="108"/>
      <c r="X142" s="108"/>
      <c r="AC142" s="108"/>
      <c r="AH142" s="108"/>
      <c r="AM142" s="108"/>
    </row>
  </sheetData>
  <mergeCells count="381">
    <mergeCell ref="BA87:BA101"/>
    <mergeCell ref="BA104:BA106"/>
    <mergeCell ref="BA107:BA121"/>
    <mergeCell ref="BA7:BA21"/>
    <mergeCell ref="BA4:BA6"/>
    <mergeCell ref="BA24:BA26"/>
    <mergeCell ref="BA27:BA41"/>
    <mergeCell ref="BA44:BA46"/>
    <mergeCell ref="BA47:BA61"/>
    <mergeCell ref="BA64:BA66"/>
    <mergeCell ref="BA67:BA81"/>
    <mergeCell ref="BA84:BA86"/>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T47:AT61"/>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T22:AX22"/>
    <mergeCell ref="P23:T23"/>
    <mergeCell ref="U23:Y23"/>
    <mergeCell ref="Z23:AD23"/>
    <mergeCell ref="AE23:AI23"/>
    <mergeCell ref="AJ23:AN23"/>
    <mergeCell ref="AO23:AS23"/>
    <mergeCell ref="AT23:AX23"/>
    <mergeCell ref="AX7:AX21"/>
    <mergeCell ref="AE7:AE21"/>
    <mergeCell ref="B22:H23"/>
    <mergeCell ref="N22:N23"/>
    <mergeCell ref="O22:O23"/>
    <mergeCell ref="P22:T22"/>
    <mergeCell ref="U22:Y22"/>
    <mergeCell ref="Z22:AD22"/>
    <mergeCell ref="AE22:AI22"/>
    <mergeCell ref="AJ22:AN22"/>
    <mergeCell ref="AO22:AS22"/>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102:H103"/>
    <mergeCell ref="N102:N103"/>
    <mergeCell ref="O102:O103"/>
    <mergeCell ref="P102:T102"/>
    <mergeCell ref="U102:Y102"/>
    <mergeCell ref="Z102:AD102"/>
    <mergeCell ref="AE102:AI102"/>
    <mergeCell ref="AJ102:AN102"/>
    <mergeCell ref="AO102:AS102"/>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s>
  <phoneticPr fontId="12" type="noConversion"/>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A142"/>
  <sheetViews>
    <sheetView topLeftCell="A10" zoomScale="55" zoomScaleNormal="55" workbookViewId="0">
      <pane xSplit="15" topLeftCell="P1" activePane="topRight" state="frozen"/>
      <selection activeCell="T7" activeCellId="4" sqref="AM7:AN36 AH7:AI36 AC7:AD36 X7:Y36 S7:T36"/>
      <selection pane="topRight" activeCell="M47" sqref="M47:M61"/>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51" width="8.85546875" style="108"/>
    <col min="52" max="52" width="5.42578125" style="108" customWidth="1"/>
    <col min="53" max="53" width="13.140625" style="108" customWidth="1"/>
    <col min="54" max="16384" width="8.85546875" style="108"/>
  </cols>
  <sheetData>
    <row r="1" spans="1:53" ht="24">
      <c r="A1" s="75"/>
      <c r="B1" s="221" t="s">
        <v>314</v>
      </c>
      <c r="C1" s="220">
        <f>AVERAGE(L7,L27,L47,L67,L87,L107)</f>
        <v>92.894867289781303</v>
      </c>
    </row>
    <row r="2" spans="1:53" ht="15.75">
      <c r="A2" s="81"/>
      <c r="B2" s="593" t="s">
        <v>163</v>
      </c>
      <c r="C2" s="593"/>
      <c r="D2" s="593"/>
      <c r="E2" s="593"/>
      <c r="F2" s="593"/>
      <c r="G2" s="593"/>
      <c r="H2" s="593"/>
      <c r="I2" s="293"/>
      <c r="J2" s="293"/>
      <c r="K2" s="293"/>
      <c r="L2" s="293"/>
      <c r="M2" s="197"/>
      <c r="N2" s="566" t="s">
        <v>156</v>
      </c>
      <c r="O2" s="566" t="s">
        <v>155</v>
      </c>
      <c r="P2" s="640">
        <v>46140</v>
      </c>
      <c r="Q2" s="641"/>
      <c r="R2" s="641"/>
      <c r="S2" s="641"/>
      <c r="T2" s="642"/>
      <c r="U2" s="592">
        <f>P2+1</f>
        <v>46141</v>
      </c>
      <c r="V2" s="570"/>
      <c r="W2" s="570"/>
      <c r="X2" s="570"/>
      <c r="Y2" s="570"/>
      <c r="Z2" s="592">
        <f>U2+1</f>
        <v>46142</v>
      </c>
      <c r="AA2" s="570"/>
      <c r="AB2" s="570"/>
      <c r="AC2" s="570"/>
      <c r="AD2" s="570"/>
      <c r="AE2" s="592">
        <f>Z2+1</f>
        <v>46143</v>
      </c>
      <c r="AF2" s="570"/>
      <c r="AG2" s="570"/>
      <c r="AH2" s="570"/>
      <c r="AI2" s="570"/>
      <c r="AJ2" s="592">
        <f>AE2+1</f>
        <v>46144</v>
      </c>
      <c r="AK2" s="570"/>
      <c r="AL2" s="570"/>
      <c r="AM2" s="570"/>
      <c r="AN2" s="570"/>
      <c r="AO2" s="592">
        <f>AJ2+1</f>
        <v>46145</v>
      </c>
      <c r="AP2" s="570"/>
      <c r="AQ2" s="570"/>
      <c r="AR2" s="570"/>
      <c r="AS2" s="570"/>
      <c r="AT2" s="589">
        <f>AO2+1</f>
        <v>46146</v>
      </c>
      <c r="AU2" s="590"/>
      <c r="AV2" s="590"/>
      <c r="AW2" s="590"/>
      <c r="AX2" s="591"/>
    </row>
    <row r="3" spans="1:53" ht="15.75">
      <c r="A3" s="81"/>
      <c r="B3" s="601"/>
      <c r="C3" s="601"/>
      <c r="D3" s="601"/>
      <c r="E3" s="601"/>
      <c r="F3" s="601"/>
      <c r="G3" s="601"/>
      <c r="H3" s="601"/>
      <c r="I3" s="294"/>
      <c r="J3" s="294"/>
      <c r="K3" s="294"/>
      <c r="L3" s="294"/>
      <c r="M3" s="198"/>
      <c r="N3" s="568"/>
      <c r="O3" s="568"/>
      <c r="P3" s="589" t="s">
        <v>158</v>
      </c>
      <c r="Q3" s="590"/>
      <c r="R3" s="590"/>
      <c r="S3" s="590"/>
      <c r="T3" s="591"/>
      <c r="U3" s="589" t="s">
        <v>114</v>
      </c>
      <c r="V3" s="590"/>
      <c r="W3" s="590"/>
      <c r="X3" s="590"/>
      <c r="Y3" s="591"/>
      <c r="Z3" s="589" t="s">
        <v>159</v>
      </c>
      <c r="AA3" s="590"/>
      <c r="AB3" s="590"/>
      <c r="AC3" s="590"/>
      <c r="AD3" s="591"/>
      <c r="AE3" s="589" t="s">
        <v>157</v>
      </c>
      <c r="AF3" s="590"/>
      <c r="AG3" s="590"/>
      <c r="AH3" s="590"/>
      <c r="AI3" s="591"/>
      <c r="AJ3" s="589" t="s">
        <v>160</v>
      </c>
      <c r="AK3" s="590"/>
      <c r="AL3" s="590"/>
      <c r="AM3" s="590"/>
      <c r="AN3" s="591"/>
      <c r="AO3" s="589" t="s">
        <v>161</v>
      </c>
      <c r="AP3" s="590"/>
      <c r="AQ3" s="590"/>
      <c r="AR3" s="590"/>
      <c r="AS3" s="591"/>
      <c r="AT3" s="589" t="s">
        <v>162</v>
      </c>
      <c r="AU3" s="590"/>
      <c r="AV3" s="590"/>
      <c r="AW3" s="590"/>
      <c r="AX3" s="591"/>
    </row>
    <row r="4" spans="1:53" ht="14.25">
      <c r="A4" s="81"/>
      <c r="B4" s="564" t="s">
        <v>402</v>
      </c>
      <c r="C4" s="564" t="s">
        <v>387</v>
      </c>
      <c r="D4" s="564"/>
      <c r="E4" s="564" t="s">
        <v>378</v>
      </c>
      <c r="F4" s="564"/>
      <c r="G4" s="564"/>
      <c r="H4" s="597" t="s">
        <v>374</v>
      </c>
      <c r="I4" s="616" t="s">
        <v>379</v>
      </c>
      <c r="J4" s="616"/>
      <c r="K4" s="616"/>
      <c r="L4" s="617" t="s">
        <v>374</v>
      </c>
      <c r="M4" s="602" t="s">
        <v>375</v>
      </c>
      <c r="N4" s="564"/>
      <c r="O4" s="564" t="s">
        <v>380</v>
      </c>
      <c r="P4" s="583" t="s">
        <v>376</v>
      </c>
      <c r="Q4" s="584"/>
      <c r="R4" s="584"/>
      <c r="S4" s="585"/>
      <c r="T4" s="564" t="s">
        <v>374</v>
      </c>
      <c r="U4" s="583" t="s">
        <v>376</v>
      </c>
      <c r="V4" s="584"/>
      <c r="W4" s="584"/>
      <c r="X4" s="585"/>
      <c r="Y4" s="564" t="s">
        <v>374</v>
      </c>
      <c r="Z4" s="583" t="s">
        <v>376</v>
      </c>
      <c r="AA4" s="584"/>
      <c r="AB4" s="584"/>
      <c r="AC4" s="585"/>
      <c r="AD4" s="564" t="s">
        <v>374</v>
      </c>
      <c r="AE4" s="583" t="s">
        <v>376</v>
      </c>
      <c r="AF4" s="584"/>
      <c r="AG4" s="584"/>
      <c r="AH4" s="585"/>
      <c r="AI4" s="564" t="s">
        <v>374</v>
      </c>
      <c r="AJ4" s="583" t="s">
        <v>376</v>
      </c>
      <c r="AK4" s="584"/>
      <c r="AL4" s="584"/>
      <c r="AM4" s="585"/>
      <c r="AN4" s="564" t="s">
        <v>374</v>
      </c>
      <c r="AO4" s="583" t="s">
        <v>376</v>
      </c>
      <c r="AP4" s="584"/>
      <c r="AQ4" s="584"/>
      <c r="AR4" s="585"/>
      <c r="AS4" s="564" t="s">
        <v>374</v>
      </c>
      <c r="AT4" s="583" t="s">
        <v>376</v>
      </c>
      <c r="AU4" s="584"/>
      <c r="AV4" s="584"/>
      <c r="AW4" s="585"/>
      <c r="AX4" s="564" t="s">
        <v>374</v>
      </c>
      <c r="BA4" s="564" t="s">
        <v>374</v>
      </c>
    </row>
    <row r="5" spans="1:53" ht="14.25">
      <c r="A5" s="81"/>
      <c r="B5" s="564"/>
      <c r="C5" s="564"/>
      <c r="D5" s="564"/>
      <c r="E5" s="564" t="s">
        <v>381</v>
      </c>
      <c r="F5" s="564"/>
      <c r="G5" s="564"/>
      <c r="H5" s="598"/>
      <c r="I5" s="616" t="s">
        <v>381</v>
      </c>
      <c r="J5" s="616"/>
      <c r="K5" s="616"/>
      <c r="L5" s="618"/>
      <c r="M5" s="603"/>
      <c r="N5" s="564"/>
      <c r="O5" s="564"/>
      <c r="P5" s="583" t="s">
        <v>382</v>
      </c>
      <c r="Q5" s="584"/>
      <c r="R5" s="584"/>
      <c r="S5" s="585"/>
      <c r="T5" s="564"/>
      <c r="U5" s="583" t="s">
        <v>382</v>
      </c>
      <c r="V5" s="584"/>
      <c r="W5" s="584"/>
      <c r="X5" s="585"/>
      <c r="Y5" s="564"/>
      <c r="Z5" s="583" t="s">
        <v>382</v>
      </c>
      <c r="AA5" s="584"/>
      <c r="AB5" s="584"/>
      <c r="AC5" s="585"/>
      <c r="AD5" s="564"/>
      <c r="AE5" s="583" t="s">
        <v>382</v>
      </c>
      <c r="AF5" s="584"/>
      <c r="AG5" s="584"/>
      <c r="AH5" s="585"/>
      <c r="AI5" s="564"/>
      <c r="AJ5" s="583" t="s">
        <v>382</v>
      </c>
      <c r="AK5" s="584"/>
      <c r="AL5" s="584"/>
      <c r="AM5" s="585"/>
      <c r="AN5" s="564"/>
      <c r="AO5" s="583" t="s">
        <v>382</v>
      </c>
      <c r="AP5" s="584"/>
      <c r="AQ5" s="584"/>
      <c r="AR5" s="585"/>
      <c r="AS5" s="564"/>
      <c r="AT5" s="583" t="s">
        <v>382</v>
      </c>
      <c r="AU5" s="584"/>
      <c r="AV5" s="584"/>
      <c r="AW5" s="585"/>
      <c r="AX5" s="564"/>
      <c r="BA5" s="564"/>
    </row>
    <row r="6" spans="1:53" ht="14.25">
      <c r="A6" s="79"/>
      <c r="B6" s="564"/>
      <c r="C6" s="564"/>
      <c r="D6" s="564"/>
      <c r="E6" s="417" t="s">
        <v>383</v>
      </c>
      <c r="F6" s="417" t="s">
        <v>384</v>
      </c>
      <c r="G6" s="417" t="s">
        <v>385</v>
      </c>
      <c r="H6" s="599"/>
      <c r="I6" s="416" t="s">
        <v>383</v>
      </c>
      <c r="J6" s="416" t="s">
        <v>384</v>
      </c>
      <c r="K6" s="416" t="s">
        <v>385</v>
      </c>
      <c r="L6" s="619"/>
      <c r="M6" s="604"/>
      <c r="N6" s="564"/>
      <c r="O6" s="564"/>
      <c r="P6" s="417" t="s">
        <v>383</v>
      </c>
      <c r="Q6" s="417" t="s">
        <v>384</v>
      </c>
      <c r="R6" s="417" t="s">
        <v>385</v>
      </c>
      <c r="S6" s="417" t="s">
        <v>375</v>
      </c>
      <c r="T6" s="564"/>
      <c r="U6" s="417" t="s">
        <v>383</v>
      </c>
      <c r="V6" s="417" t="s">
        <v>384</v>
      </c>
      <c r="W6" s="417" t="s">
        <v>385</v>
      </c>
      <c r="X6" s="417" t="s">
        <v>375</v>
      </c>
      <c r="Y6" s="564"/>
      <c r="Z6" s="417" t="s">
        <v>383</v>
      </c>
      <c r="AA6" s="417" t="s">
        <v>384</v>
      </c>
      <c r="AB6" s="417" t="s">
        <v>385</v>
      </c>
      <c r="AC6" s="417" t="s">
        <v>375</v>
      </c>
      <c r="AD6" s="564"/>
      <c r="AE6" s="417" t="s">
        <v>383</v>
      </c>
      <c r="AF6" s="417" t="s">
        <v>384</v>
      </c>
      <c r="AG6" s="417" t="s">
        <v>385</v>
      </c>
      <c r="AH6" s="417" t="s">
        <v>375</v>
      </c>
      <c r="AI6" s="564"/>
      <c r="AJ6" s="417" t="s">
        <v>383</v>
      </c>
      <c r="AK6" s="417" t="s">
        <v>384</v>
      </c>
      <c r="AL6" s="417" t="s">
        <v>385</v>
      </c>
      <c r="AM6" s="417" t="s">
        <v>375</v>
      </c>
      <c r="AN6" s="564"/>
      <c r="AO6" s="417" t="s">
        <v>383</v>
      </c>
      <c r="AP6" s="417" t="s">
        <v>384</v>
      </c>
      <c r="AQ6" s="417" t="s">
        <v>385</v>
      </c>
      <c r="AR6" s="417" t="s">
        <v>375</v>
      </c>
      <c r="AS6" s="564"/>
      <c r="AT6" s="417" t="s">
        <v>383</v>
      </c>
      <c r="AU6" s="417" t="s">
        <v>384</v>
      </c>
      <c r="AV6" s="417" t="s">
        <v>385</v>
      </c>
      <c r="AW6" s="417" t="s">
        <v>375</v>
      </c>
      <c r="AX6" s="564"/>
      <c r="AZ6" s="406" t="s">
        <v>375</v>
      </c>
      <c r="BA6" s="564"/>
    </row>
    <row r="7" spans="1:53" ht="14.25">
      <c r="A7" s="81"/>
      <c r="B7" s="564" t="s">
        <v>417</v>
      </c>
      <c r="C7" s="418">
        <v>1</v>
      </c>
      <c r="D7" s="226" t="s">
        <v>648</v>
      </c>
      <c r="E7" s="425">
        <v>15</v>
      </c>
      <c r="F7" s="418">
        <v>1500</v>
      </c>
      <c r="G7" s="419">
        <v>100</v>
      </c>
      <c r="H7" s="627">
        <f>AVERAGE(G7:G21)</f>
        <v>93.333333333333329</v>
      </c>
      <c r="I7" s="422" t="str">
        <f t="shared" ref="I7:I20" si="0">IFERROR(AVERAGE(P7,U7,Z7,AE7,AJ7,AO7,AT7),"-")</f>
        <v>-</v>
      </c>
      <c r="J7" s="422">
        <f t="shared" ref="J7:J20" si="1">IFERROR(AVERAGE(Q7,V7,AA7,AF7,AK7,AP7,AU7),"-")</f>
        <v>1186.1966945356075</v>
      </c>
      <c r="K7" s="200">
        <f t="shared" ref="K7:K20" si="2">IFERROR(AVERAGE(R7,W7,AB7,AG7,AL7,AQ7,AV7),"-")</f>
        <v>79.079779635707155</v>
      </c>
      <c r="L7" s="580">
        <f>IFERROR(AVERAGE(K7:K21),"-")</f>
        <v>90.130272335127458</v>
      </c>
      <c r="M7" s="424">
        <f>RANK(K7, K$7:$K$21)</f>
        <v>3</v>
      </c>
      <c r="N7" s="564"/>
      <c r="O7" s="564"/>
      <c r="P7" s="418">
        <v>15</v>
      </c>
      <c r="Q7" s="425">
        <v>1103.4146341463411</v>
      </c>
      <c r="R7" s="425">
        <v>73.560975609756071</v>
      </c>
      <c r="S7" s="418">
        <f t="shared" ref="S7:S21" si="3">RANK(R7, R$7:R$21)</f>
        <v>2</v>
      </c>
      <c r="T7" s="565">
        <f t="shared" ref="T7" si="4">AVERAGE(R7:R21)</f>
        <v>82.60699925271679</v>
      </c>
      <c r="U7" s="418">
        <v>15</v>
      </c>
      <c r="V7" s="425">
        <v>1158.3050847457637</v>
      </c>
      <c r="W7" s="425">
        <v>77.220338983050908</v>
      </c>
      <c r="X7" s="418">
        <f t="shared" ref="X7:X21" si="5">RANK(W7, W$7:W$21)</f>
        <v>3</v>
      </c>
      <c r="Y7" s="565">
        <f t="shared" ref="Y7" si="6">AVERAGE(W7:W21)</f>
        <v>86.002634583296739</v>
      </c>
      <c r="Z7" s="418">
        <v>15</v>
      </c>
      <c r="AA7" s="425">
        <v>1124.5714285714328</v>
      </c>
      <c r="AB7" s="425">
        <v>74.971428571428845</v>
      </c>
      <c r="AC7" s="418">
        <f t="shared" ref="AC7:AC21" si="7">RANK(AB7, AB$7:AB$21)</f>
        <v>3</v>
      </c>
      <c r="AD7" s="565">
        <f t="shared" ref="AD7" si="8">AVERAGE(AB7:AB21)</f>
        <v>89.381386195503978</v>
      </c>
      <c r="AE7" s="565" t="e">
        <f t="shared" ref="AE7" si="9">AVERAGE(AC7:AC21)</f>
        <v>#VALUE!</v>
      </c>
      <c r="AF7" s="425">
        <v>1240.7999999999965</v>
      </c>
      <c r="AG7" s="425">
        <v>82.719999999999771</v>
      </c>
      <c r="AH7" s="418">
        <f t="shared" ref="AH7:AH21" si="10">RANK(AG7, AG$7:AG$21)</f>
        <v>3</v>
      </c>
      <c r="AI7" s="565">
        <f t="shared" ref="AI7" si="11">AVERAGE(AG7:AG21)</f>
        <v>107.5238095238094</v>
      </c>
      <c r="AJ7" s="418">
        <v>15</v>
      </c>
      <c r="AK7" s="425">
        <v>1192.0000000000011</v>
      </c>
      <c r="AL7" s="425">
        <v>79.46666666666674</v>
      </c>
      <c r="AM7" s="418">
        <f t="shared" ref="AM7:AM21" si="12">RANK(AL7, AL$7:AL$21)</f>
        <v>3</v>
      </c>
      <c r="AN7" s="565">
        <f t="shared" ref="AN7" si="13">AVERAGE(AL7:AL21)</f>
        <v>86.02442002442001</v>
      </c>
      <c r="AO7" s="418">
        <v>15</v>
      </c>
      <c r="AP7" s="425">
        <v>1274.0000000000045</v>
      </c>
      <c r="AQ7" s="425">
        <v>84.933333333333636</v>
      </c>
      <c r="AR7" s="418">
        <f t="shared" ref="AR7:AR21" si="14">RANK(AQ7, AQ$7:AQ$21)</f>
        <v>3</v>
      </c>
      <c r="AS7" s="565">
        <f t="shared" ref="AS7" si="15">AVERAGE(AQ7:AQ21)</f>
        <v>90.654056847545419</v>
      </c>
      <c r="AT7" s="418">
        <v>15</v>
      </c>
      <c r="AU7" s="425">
        <v>1210.2857142857129</v>
      </c>
      <c r="AV7" s="425">
        <v>80.685714285714184</v>
      </c>
      <c r="AW7" s="418">
        <f t="shared" ref="AW7:AW21" si="16">RANK(AV7, AV$7:AV$21)</f>
        <v>3</v>
      </c>
      <c r="AX7" s="565">
        <f t="shared" ref="AX7" si="17">AVERAGE(AV7:AV21)</f>
        <v>88.718599918599878</v>
      </c>
      <c r="AZ7" s="407" t="e">
        <f t="shared" ref="AZ7:AZ21" si="18">RANK(AY7, AY$7:AY$21)</f>
        <v>#N/A</v>
      </c>
      <c r="BA7" s="565" t="e">
        <f t="shared" ref="BA7" si="19">AVERAGE(AY7:AY21)</f>
        <v>#DIV/0!</v>
      </c>
    </row>
    <row r="8" spans="1:53" ht="15" customHeight="1">
      <c r="A8" s="81"/>
      <c r="B8" s="570"/>
      <c r="C8" s="418">
        <v>2</v>
      </c>
      <c r="D8" s="226" t="s">
        <v>671</v>
      </c>
      <c r="E8" s="425">
        <v>15</v>
      </c>
      <c r="F8" s="418">
        <v>1200</v>
      </c>
      <c r="G8" s="419">
        <v>80</v>
      </c>
      <c r="H8" s="628"/>
      <c r="I8" s="422">
        <f t="shared" si="0"/>
        <v>15</v>
      </c>
      <c r="J8" s="422">
        <f t="shared" si="1"/>
        <v>1210.8707482993207</v>
      </c>
      <c r="K8" s="200">
        <f t="shared" si="2"/>
        <v>80.724716553288047</v>
      </c>
      <c r="L8" s="581"/>
      <c r="M8" s="424">
        <f>RANK(K8, K$7:$K$21)</f>
        <v>2</v>
      </c>
      <c r="N8" s="564"/>
      <c r="O8" s="564"/>
      <c r="P8" s="418">
        <v>15</v>
      </c>
      <c r="Q8" s="425">
        <v>1085.7142857142867</v>
      </c>
      <c r="R8" s="425">
        <v>72.380952380952451</v>
      </c>
      <c r="S8" s="418">
        <f t="shared" si="3"/>
        <v>3</v>
      </c>
      <c r="T8" s="565"/>
      <c r="U8" s="418">
        <v>15</v>
      </c>
      <c r="V8" s="425">
        <v>1199.9999999999986</v>
      </c>
      <c r="W8" s="425">
        <v>79.999999999999915</v>
      </c>
      <c r="X8" s="418">
        <f t="shared" si="5"/>
        <v>2</v>
      </c>
      <c r="Y8" s="565"/>
      <c r="Z8" s="418">
        <v>15</v>
      </c>
      <c r="AA8" s="425">
        <v>1165.600000000002</v>
      </c>
      <c r="AB8" s="425">
        <v>77.706666666666791</v>
      </c>
      <c r="AC8" s="418">
        <f t="shared" si="7"/>
        <v>2</v>
      </c>
      <c r="AD8" s="565"/>
      <c r="AE8" s="565"/>
      <c r="AF8" s="425">
        <v>1249.2000000000005</v>
      </c>
      <c r="AG8" s="425">
        <v>83.28000000000003</v>
      </c>
      <c r="AH8" s="418">
        <f t="shared" si="10"/>
        <v>2</v>
      </c>
      <c r="AI8" s="565"/>
      <c r="AJ8" s="418">
        <v>15</v>
      </c>
      <c r="AK8" s="425">
        <v>1201.7142857142844</v>
      </c>
      <c r="AL8" s="425">
        <v>80.114285714285629</v>
      </c>
      <c r="AM8" s="418">
        <f t="shared" si="12"/>
        <v>2</v>
      </c>
      <c r="AN8" s="565"/>
      <c r="AO8" s="418">
        <v>15</v>
      </c>
      <c r="AP8" s="425">
        <v>1291.2000000000046</v>
      </c>
      <c r="AQ8" s="425">
        <v>86.080000000000311</v>
      </c>
      <c r="AR8" s="418">
        <f t="shared" si="14"/>
        <v>2</v>
      </c>
      <c r="AS8" s="565"/>
      <c r="AT8" s="418">
        <v>15</v>
      </c>
      <c r="AU8" s="425">
        <v>1282.6666666666665</v>
      </c>
      <c r="AV8" s="425">
        <v>85.511111111111106</v>
      </c>
      <c r="AW8" s="418">
        <f t="shared" si="16"/>
        <v>2</v>
      </c>
      <c r="AX8" s="565"/>
      <c r="AZ8" s="407" t="e">
        <f t="shared" si="18"/>
        <v>#N/A</v>
      </c>
      <c r="BA8" s="565"/>
    </row>
    <row r="9" spans="1:53" ht="14.25">
      <c r="A9" s="81"/>
      <c r="B9" s="570"/>
      <c r="C9" s="418">
        <v>3</v>
      </c>
      <c r="D9" s="226" t="s">
        <v>667</v>
      </c>
      <c r="E9" s="425">
        <v>15</v>
      </c>
      <c r="F9" s="418">
        <v>1500</v>
      </c>
      <c r="G9" s="419">
        <v>100</v>
      </c>
      <c r="H9" s="628"/>
      <c r="I9" s="422">
        <f t="shared" si="0"/>
        <v>14.666666666666666</v>
      </c>
      <c r="J9" s="422">
        <f t="shared" si="1"/>
        <v>1625.8045084319745</v>
      </c>
      <c r="K9" s="200">
        <f t="shared" si="2"/>
        <v>110.5863208163872</v>
      </c>
      <c r="L9" s="581"/>
      <c r="M9" s="424">
        <f>RANK(K9, K$7:$K$21)</f>
        <v>1</v>
      </c>
      <c r="N9" s="564"/>
      <c r="O9" s="564"/>
      <c r="P9" s="418">
        <v>15</v>
      </c>
      <c r="Q9" s="425">
        <v>1528.1860465116276</v>
      </c>
      <c r="R9" s="425">
        <v>101.87906976744185</v>
      </c>
      <c r="S9" s="418">
        <f t="shared" si="3"/>
        <v>1</v>
      </c>
      <c r="T9" s="565"/>
      <c r="U9" s="418">
        <v>15</v>
      </c>
      <c r="V9" s="425">
        <v>1511.8134715025906</v>
      </c>
      <c r="W9" s="425">
        <v>100.78756476683937</v>
      </c>
      <c r="X9" s="418">
        <f t="shared" si="5"/>
        <v>1</v>
      </c>
      <c r="Y9" s="565"/>
      <c r="Z9" s="418">
        <v>13</v>
      </c>
      <c r="AA9" s="425">
        <v>1501.0588235294115</v>
      </c>
      <c r="AB9" s="425">
        <v>115.46606334841627</v>
      </c>
      <c r="AC9" s="418">
        <f t="shared" si="7"/>
        <v>1</v>
      </c>
      <c r="AD9" s="565"/>
      <c r="AE9" s="565"/>
      <c r="AF9" s="425">
        <v>2348.5714285714262</v>
      </c>
      <c r="AG9" s="425">
        <v>156.57142857142841</v>
      </c>
      <c r="AH9" s="418">
        <f t="shared" si="10"/>
        <v>1</v>
      </c>
      <c r="AI9" s="565"/>
      <c r="AJ9" s="418">
        <v>15</v>
      </c>
      <c r="AK9" s="425">
        <v>1477.3846153846152</v>
      </c>
      <c r="AL9" s="425">
        <v>98.492307692307676</v>
      </c>
      <c r="AM9" s="418">
        <f t="shared" si="12"/>
        <v>1</v>
      </c>
      <c r="AN9" s="565"/>
      <c r="AO9" s="418">
        <v>15</v>
      </c>
      <c r="AP9" s="425">
        <v>1514.2325581395353</v>
      </c>
      <c r="AQ9" s="425">
        <v>100.94883720930235</v>
      </c>
      <c r="AR9" s="418">
        <f t="shared" si="14"/>
        <v>1</v>
      </c>
      <c r="AS9" s="565"/>
      <c r="AT9" s="418">
        <v>15</v>
      </c>
      <c r="AU9" s="425">
        <v>1499.3846153846152</v>
      </c>
      <c r="AV9" s="425">
        <v>99.958974358974345</v>
      </c>
      <c r="AW9" s="418">
        <f t="shared" si="16"/>
        <v>1</v>
      </c>
      <c r="AX9" s="565"/>
      <c r="AZ9" s="407" t="e">
        <f t="shared" si="18"/>
        <v>#N/A</v>
      </c>
      <c r="BA9" s="565"/>
    </row>
    <row r="10" spans="1:53" ht="14.25">
      <c r="A10" s="81"/>
      <c r="B10" s="570"/>
      <c r="C10" s="418">
        <v>4</v>
      </c>
      <c r="D10" s="226"/>
      <c r="E10" s="425"/>
      <c r="F10" s="418"/>
      <c r="G10" s="419"/>
      <c r="H10" s="628"/>
      <c r="I10" s="422" t="str">
        <f t="shared" si="0"/>
        <v>-</v>
      </c>
      <c r="J10" s="422" t="str">
        <f t="shared" si="1"/>
        <v>-</v>
      </c>
      <c r="K10" s="200" t="str">
        <f t="shared" si="2"/>
        <v>-</v>
      </c>
      <c r="L10" s="581"/>
      <c r="M10" s="424" t="e">
        <f>RANK(K10, K$7:$K$21)</f>
        <v>#VALUE!</v>
      </c>
      <c r="N10" s="564"/>
      <c r="O10" s="564"/>
      <c r="P10" s="418" t="s">
        <v>639</v>
      </c>
      <c r="Q10" s="425" t="s">
        <v>639</v>
      </c>
      <c r="R10" s="425" t="s">
        <v>639</v>
      </c>
      <c r="S10" s="418" t="e">
        <f t="shared" si="3"/>
        <v>#VALUE!</v>
      </c>
      <c r="T10" s="565"/>
      <c r="U10" s="418" t="s">
        <v>639</v>
      </c>
      <c r="V10" s="425" t="s">
        <v>639</v>
      </c>
      <c r="W10" s="425" t="s">
        <v>639</v>
      </c>
      <c r="X10" s="418" t="e">
        <f t="shared" si="5"/>
        <v>#VALUE!</v>
      </c>
      <c r="Y10" s="565"/>
      <c r="Z10" s="418" t="s">
        <v>639</v>
      </c>
      <c r="AA10" s="425" t="s">
        <v>639</v>
      </c>
      <c r="AB10" s="425" t="s">
        <v>639</v>
      </c>
      <c r="AC10" s="418" t="e">
        <f t="shared" si="7"/>
        <v>#VALUE!</v>
      </c>
      <c r="AD10" s="565"/>
      <c r="AE10" s="565"/>
      <c r="AF10" s="425" t="s">
        <v>639</v>
      </c>
      <c r="AG10" s="425" t="s">
        <v>639</v>
      </c>
      <c r="AH10" s="418" t="e">
        <f t="shared" si="10"/>
        <v>#VALUE!</v>
      </c>
      <c r="AI10" s="565"/>
      <c r="AJ10" s="418" t="s">
        <v>639</v>
      </c>
      <c r="AK10" s="425" t="s">
        <v>639</v>
      </c>
      <c r="AL10" s="425" t="s">
        <v>639</v>
      </c>
      <c r="AM10" s="418" t="e">
        <f t="shared" si="12"/>
        <v>#VALUE!</v>
      </c>
      <c r="AN10" s="565"/>
      <c r="AO10" s="418" t="s">
        <v>639</v>
      </c>
      <c r="AP10" s="425" t="s">
        <v>639</v>
      </c>
      <c r="AQ10" s="425" t="s">
        <v>639</v>
      </c>
      <c r="AR10" s="418" t="e">
        <f t="shared" si="14"/>
        <v>#VALUE!</v>
      </c>
      <c r="AS10" s="565"/>
      <c r="AT10" s="418" t="s">
        <v>639</v>
      </c>
      <c r="AU10" s="425" t="s">
        <v>639</v>
      </c>
      <c r="AV10" s="425" t="s">
        <v>639</v>
      </c>
      <c r="AW10" s="418" t="e">
        <f t="shared" si="16"/>
        <v>#VALUE!</v>
      </c>
      <c r="AX10" s="565"/>
      <c r="AZ10" s="407" t="e">
        <f t="shared" si="18"/>
        <v>#N/A</v>
      </c>
      <c r="BA10" s="565"/>
    </row>
    <row r="11" spans="1:53" ht="14.25">
      <c r="A11" s="81"/>
      <c r="B11" s="570"/>
      <c r="C11" s="418">
        <v>5</v>
      </c>
      <c r="D11" s="226"/>
      <c r="E11" s="425"/>
      <c r="F11" s="418"/>
      <c r="G11" s="419"/>
      <c r="H11" s="628"/>
      <c r="I11" s="422" t="str">
        <f t="shared" si="0"/>
        <v>-</v>
      </c>
      <c r="J11" s="422" t="str">
        <f t="shared" si="1"/>
        <v>-</v>
      </c>
      <c r="K11" s="200" t="str">
        <f t="shared" si="2"/>
        <v>-</v>
      </c>
      <c r="L11" s="581"/>
      <c r="M11" s="424" t="e">
        <f>RANK(K11, K$7:$K$21)</f>
        <v>#VALUE!</v>
      </c>
      <c r="N11" s="564"/>
      <c r="O11" s="564"/>
      <c r="P11" s="418" t="s">
        <v>639</v>
      </c>
      <c r="Q11" s="425" t="s">
        <v>639</v>
      </c>
      <c r="R11" s="425" t="s">
        <v>639</v>
      </c>
      <c r="S11" s="418" t="e">
        <f t="shared" si="3"/>
        <v>#VALUE!</v>
      </c>
      <c r="T11" s="565"/>
      <c r="U11" s="418" t="s">
        <v>639</v>
      </c>
      <c r="V11" s="425" t="s">
        <v>639</v>
      </c>
      <c r="W11" s="425" t="s">
        <v>639</v>
      </c>
      <c r="X11" s="418" t="e">
        <f t="shared" si="5"/>
        <v>#VALUE!</v>
      </c>
      <c r="Y11" s="565"/>
      <c r="Z11" s="418" t="s">
        <v>639</v>
      </c>
      <c r="AA11" s="425" t="s">
        <v>639</v>
      </c>
      <c r="AB11" s="425" t="s">
        <v>639</v>
      </c>
      <c r="AC11" s="418" t="e">
        <f t="shared" si="7"/>
        <v>#VALUE!</v>
      </c>
      <c r="AD11" s="565"/>
      <c r="AE11" s="565"/>
      <c r="AF11" s="425" t="s">
        <v>639</v>
      </c>
      <c r="AG11" s="425" t="s">
        <v>639</v>
      </c>
      <c r="AH11" s="418" t="e">
        <f t="shared" si="10"/>
        <v>#VALUE!</v>
      </c>
      <c r="AI11" s="565"/>
      <c r="AJ11" s="418" t="s">
        <v>639</v>
      </c>
      <c r="AK11" s="425" t="s">
        <v>639</v>
      </c>
      <c r="AL11" s="425" t="s">
        <v>639</v>
      </c>
      <c r="AM11" s="418" t="e">
        <f t="shared" si="12"/>
        <v>#VALUE!</v>
      </c>
      <c r="AN11" s="565"/>
      <c r="AO11" s="418" t="s">
        <v>639</v>
      </c>
      <c r="AP11" s="425" t="s">
        <v>639</v>
      </c>
      <c r="AQ11" s="425" t="s">
        <v>639</v>
      </c>
      <c r="AR11" s="418" t="e">
        <f t="shared" si="14"/>
        <v>#VALUE!</v>
      </c>
      <c r="AS11" s="565"/>
      <c r="AT11" s="418" t="s">
        <v>639</v>
      </c>
      <c r="AU11" s="425" t="s">
        <v>639</v>
      </c>
      <c r="AV11" s="425" t="s">
        <v>639</v>
      </c>
      <c r="AW11" s="418" t="e">
        <f t="shared" si="16"/>
        <v>#VALUE!</v>
      </c>
      <c r="AX11" s="565"/>
      <c r="AZ11" s="407" t="e">
        <f t="shared" si="18"/>
        <v>#N/A</v>
      </c>
      <c r="BA11" s="565"/>
    </row>
    <row r="12" spans="1:53" ht="14.25">
      <c r="A12" s="81"/>
      <c r="B12" s="570"/>
      <c r="C12" s="418">
        <v>6</v>
      </c>
      <c r="D12" s="226"/>
      <c r="E12" s="425"/>
      <c r="F12" s="418"/>
      <c r="G12" s="419"/>
      <c r="H12" s="628"/>
      <c r="I12" s="422" t="str">
        <f t="shared" si="0"/>
        <v>-</v>
      </c>
      <c r="J12" s="422" t="str">
        <f t="shared" si="1"/>
        <v>-</v>
      </c>
      <c r="K12" s="200" t="str">
        <f t="shared" si="2"/>
        <v>-</v>
      </c>
      <c r="L12" s="581"/>
      <c r="M12" s="424" t="e">
        <f>RANK(K12, K$7:$K$21)</f>
        <v>#VALUE!</v>
      </c>
      <c r="N12" s="564"/>
      <c r="O12" s="564"/>
      <c r="P12" s="418" t="s">
        <v>639</v>
      </c>
      <c r="Q12" s="425" t="s">
        <v>639</v>
      </c>
      <c r="R12" s="425" t="s">
        <v>639</v>
      </c>
      <c r="S12" s="418" t="e">
        <f t="shared" si="3"/>
        <v>#VALUE!</v>
      </c>
      <c r="T12" s="565"/>
      <c r="U12" s="418" t="s">
        <v>639</v>
      </c>
      <c r="V12" s="425" t="s">
        <v>639</v>
      </c>
      <c r="W12" s="425" t="s">
        <v>639</v>
      </c>
      <c r="X12" s="418" t="e">
        <f t="shared" si="5"/>
        <v>#VALUE!</v>
      </c>
      <c r="Y12" s="565"/>
      <c r="Z12" s="418" t="s">
        <v>639</v>
      </c>
      <c r="AA12" s="425" t="s">
        <v>639</v>
      </c>
      <c r="AB12" s="425" t="s">
        <v>639</v>
      </c>
      <c r="AC12" s="418" t="e">
        <f t="shared" si="7"/>
        <v>#VALUE!</v>
      </c>
      <c r="AD12" s="565"/>
      <c r="AE12" s="565"/>
      <c r="AF12" s="425" t="s">
        <v>639</v>
      </c>
      <c r="AG12" s="425" t="s">
        <v>639</v>
      </c>
      <c r="AH12" s="418" t="e">
        <f t="shared" si="10"/>
        <v>#VALUE!</v>
      </c>
      <c r="AI12" s="565"/>
      <c r="AJ12" s="418" t="s">
        <v>639</v>
      </c>
      <c r="AK12" s="425" t="s">
        <v>639</v>
      </c>
      <c r="AL12" s="425" t="s">
        <v>639</v>
      </c>
      <c r="AM12" s="418" t="e">
        <f t="shared" si="12"/>
        <v>#VALUE!</v>
      </c>
      <c r="AN12" s="565"/>
      <c r="AO12" s="418" t="s">
        <v>639</v>
      </c>
      <c r="AP12" s="425" t="s">
        <v>639</v>
      </c>
      <c r="AQ12" s="425" t="s">
        <v>639</v>
      </c>
      <c r="AR12" s="418" t="e">
        <f t="shared" si="14"/>
        <v>#VALUE!</v>
      </c>
      <c r="AS12" s="565"/>
      <c r="AT12" s="418" t="s">
        <v>639</v>
      </c>
      <c r="AU12" s="425" t="s">
        <v>639</v>
      </c>
      <c r="AV12" s="425" t="s">
        <v>639</v>
      </c>
      <c r="AW12" s="418" t="e">
        <f t="shared" si="16"/>
        <v>#VALUE!</v>
      </c>
      <c r="AX12" s="565"/>
      <c r="AZ12" s="407" t="e">
        <f t="shared" si="18"/>
        <v>#N/A</v>
      </c>
      <c r="BA12" s="565"/>
    </row>
    <row r="13" spans="1:53" ht="14.25">
      <c r="A13" s="81"/>
      <c r="B13" s="570"/>
      <c r="C13" s="418">
        <v>7</v>
      </c>
      <c r="D13" s="226"/>
      <c r="E13" s="425"/>
      <c r="F13" s="418"/>
      <c r="G13" s="419"/>
      <c r="H13" s="628"/>
      <c r="I13" s="422" t="str">
        <f t="shared" si="0"/>
        <v>-</v>
      </c>
      <c r="J13" s="422" t="str">
        <f t="shared" si="1"/>
        <v>-</v>
      </c>
      <c r="K13" s="200" t="str">
        <f t="shared" si="2"/>
        <v>-</v>
      </c>
      <c r="L13" s="581"/>
      <c r="M13" s="424" t="e">
        <f>RANK(K13, K$7:$K$21)</f>
        <v>#VALUE!</v>
      </c>
      <c r="N13" s="564"/>
      <c r="O13" s="564"/>
      <c r="P13" s="418" t="s">
        <v>639</v>
      </c>
      <c r="Q13" s="425" t="s">
        <v>639</v>
      </c>
      <c r="R13" s="425" t="s">
        <v>639</v>
      </c>
      <c r="S13" s="418" t="e">
        <f t="shared" si="3"/>
        <v>#VALUE!</v>
      </c>
      <c r="T13" s="565"/>
      <c r="U13" s="418" t="s">
        <v>639</v>
      </c>
      <c r="V13" s="425" t="s">
        <v>639</v>
      </c>
      <c r="W13" s="425" t="s">
        <v>639</v>
      </c>
      <c r="X13" s="418" t="e">
        <f t="shared" si="5"/>
        <v>#VALUE!</v>
      </c>
      <c r="Y13" s="565"/>
      <c r="Z13" s="418" t="s">
        <v>639</v>
      </c>
      <c r="AA13" s="425" t="s">
        <v>639</v>
      </c>
      <c r="AB13" s="425" t="s">
        <v>639</v>
      </c>
      <c r="AC13" s="418" t="e">
        <f t="shared" si="7"/>
        <v>#VALUE!</v>
      </c>
      <c r="AD13" s="565"/>
      <c r="AE13" s="565"/>
      <c r="AF13" s="425" t="s">
        <v>639</v>
      </c>
      <c r="AG13" s="425" t="s">
        <v>639</v>
      </c>
      <c r="AH13" s="418" t="e">
        <f t="shared" si="10"/>
        <v>#VALUE!</v>
      </c>
      <c r="AI13" s="565"/>
      <c r="AJ13" s="418" t="s">
        <v>639</v>
      </c>
      <c r="AK13" s="425" t="s">
        <v>639</v>
      </c>
      <c r="AL13" s="425" t="s">
        <v>639</v>
      </c>
      <c r="AM13" s="418" t="e">
        <f t="shared" si="12"/>
        <v>#VALUE!</v>
      </c>
      <c r="AN13" s="565"/>
      <c r="AO13" s="418" t="s">
        <v>639</v>
      </c>
      <c r="AP13" s="425" t="s">
        <v>639</v>
      </c>
      <c r="AQ13" s="425" t="s">
        <v>639</v>
      </c>
      <c r="AR13" s="418" t="e">
        <f t="shared" si="14"/>
        <v>#VALUE!</v>
      </c>
      <c r="AS13" s="565"/>
      <c r="AT13" s="418" t="s">
        <v>639</v>
      </c>
      <c r="AU13" s="425" t="s">
        <v>639</v>
      </c>
      <c r="AV13" s="425" t="s">
        <v>639</v>
      </c>
      <c r="AW13" s="418" t="e">
        <f t="shared" si="16"/>
        <v>#VALUE!</v>
      </c>
      <c r="AX13" s="565"/>
      <c r="AZ13" s="407" t="e">
        <f t="shared" si="18"/>
        <v>#N/A</v>
      </c>
      <c r="BA13" s="565"/>
    </row>
    <row r="14" spans="1:53" ht="14.25">
      <c r="A14" s="81"/>
      <c r="B14" s="570"/>
      <c r="C14" s="418">
        <v>8</v>
      </c>
      <c r="D14" s="226"/>
      <c r="E14" s="425"/>
      <c r="F14" s="418"/>
      <c r="G14" s="419"/>
      <c r="H14" s="628"/>
      <c r="I14" s="422" t="str">
        <f t="shared" si="0"/>
        <v>-</v>
      </c>
      <c r="J14" s="422" t="str">
        <f t="shared" si="1"/>
        <v>-</v>
      </c>
      <c r="K14" s="200" t="str">
        <f t="shared" si="2"/>
        <v>-</v>
      </c>
      <c r="L14" s="581"/>
      <c r="M14" s="424" t="e">
        <f>RANK(K14, K$7:$K$21)</f>
        <v>#VALUE!</v>
      </c>
      <c r="N14" s="564"/>
      <c r="O14" s="564"/>
      <c r="P14" s="418" t="s">
        <v>639</v>
      </c>
      <c r="Q14" s="425" t="s">
        <v>639</v>
      </c>
      <c r="R14" s="425" t="s">
        <v>639</v>
      </c>
      <c r="S14" s="418" t="e">
        <f t="shared" si="3"/>
        <v>#VALUE!</v>
      </c>
      <c r="T14" s="565"/>
      <c r="U14" s="418" t="s">
        <v>639</v>
      </c>
      <c r="V14" s="425" t="s">
        <v>639</v>
      </c>
      <c r="W14" s="425" t="s">
        <v>639</v>
      </c>
      <c r="X14" s="418" t="e">
        <f t="shared" si="5"/>
        <v>#VALUE!</v>
      </c>
      <c r="Y14" s="565"/>
      <c r="Z14" s="418" t="s">
        <v>639</v>
      </c>
      <c r="AA14" s="425" t="s">
        <v>639</v>
      </c>
      <c r="AB14" s="425" t="s">
        <v>639</v>
      </c>
      <c r="AC14" s="418" t="e">
        <f t="shared" si="7"/>
        <v>#VALUE!</v>
      </c>
      <c r="AD14" s="565"/>
      <c r="AE14" s="565"/>
      <c r="AF14" s="425" t="s">
        <v>639</v>
      </c>
      <c r="AG14" s="425" t="s">
        <v>639</v>
      </c>
      <c r="AH14" s="418" t="e">
        <f t="shared" si="10"/>
        <v>#VALUE!</v>
      </c>
      <c r="AI14" s="565"/>
      <c r="AJ14" s="418" t="s">
        <v>639</v>
      </c>
      <c r="AK14" s="425" t="s">
        <v>639</v>
      </c>
      <c r="AL14" s="425" t="s">
        <v>639</v>
      </c>
      <c r="AM14" s="418" t="e">
        <f t="shared" si="12"/>
        <v>#VALUE!</v>
      </c>
      <c r="AN14" s="565"/>
      <c r="AO14" s="418" t="s">
        <v>639</v>
      </c>
      <c r="AP14" s="425" t="s">
        <v>639</v>
      </c>
      <c r="AQ14" s="425" t="s">
        <v>639</v>
      </c>
      <c r="AR14" s="418" t="e">
        <f t="shared" si="14"/>
        <v>#VALUE!</v>
      </c>
      <c r="AS14" s="565"/>
      <c r="AT14" s="418" t="s">
        <v>639</v>
      </c>
      <c r="AU14" s="425" t="s">
        <v>639</v>
      </c>
      <c r="AV14" s="425" t="s">
        <v>639</v>
      </c>
      <c r="AW14" s="418" t="e">
        <f t="shared" si="16"/>
        <v>#VALUE!</v>
      </c>
      <c r="AX14" s="565"/>
      <c r="AZ14" s="407" t="e">
        <f t="shared" si="18"/>
        <v>#N/A</v>
      </c>
      <c r="BA14" s="565"/>
    </row>
    <row r="15" spans="1:53" ht="14.25">
      <c r="A15" s="81"/>
      <c r="B15" s="570"/>
      <c r="C15" s="418">
        <v>9</v>
      </c>
      <c r="D15" s="226"/>
      <c r="E15" s="425"/>
      <c r="F15" s="418"/>
      <c r="G15" s="419"/>
      <c r="H15" s="628"/>
      <c r="I15" s="422" t="str">
        <f t="shared" si="0"/>
        <v>-</v>
      </c>
      <c r="J15" s="422" t="str">
        <f t="shared" si="1"/>
        <v>-</v>
      </c>
      <c r="K15" s="200" t="str">
        <f t="shared" si="2"/>
        <v>-</v>
      </c>
      <c r="L15" s="581"/>
      <c r="M15" s="424" t="e">
        <f>RANK(K15, K$7:$K$21)</f>
        <v>#VALUE!</v>
      </c>
      <c r="N15" s="564"/>
      <c r="O15" s="564"/>
      <c r="P15" s="418" t="s">
        <v>639</v>
      </c>
      <c r="Q15" s="425" t="s">
        <v>639</v>
      </c>
      <c r="R15" s="425" t="s">
        <v>639</v>
      </c>
      <c r="S15" s="418" t="e">
        <f t="shared" si="3"/>
        <v>#VALUE!</v>
      </c>
      <c r="T15" s="565"/>
      <c r="U15" s="418" t="s">
        <v>639</v>
      </c>
      <c r="V15" s="425" t="s">
        <v>639</v>
      </c>
      <c r="W15" s="425" t="s">
        <v>639</v>
      </c>
      <c r="X15" s="418" t="e">
        <f t="shared" si="5"/>
        <v>#VALUE!</v>
      </c>
      <c r="Y15" s="565"/>
      <c r="Z15" s="418" t="s">
        <v>639</v>
      </c>
      <c r="AA15" s="425" t="s">
        <v>639</v>
      </c>
      <c r="AB15" s="425" t="s">
        <v>639</v>
      </c>
      <c r="AC15" s="418" t="e">
        <f t="shared" si="7"/>
        <v>#VALUE!</v>
      </c>
      <c r="AD15" s="565"/>
      <c r="AE15" s="565"/>
      <c r="AF15" s="425" t="s">
        <v>639</v>
      </c>
      <c r="AG15" s="425" t="s">
        <v>639</v>
      </c>
      <c r="AH15" s="418" t="e">
        <f t="shared" si="10"/>
        <v>#VALUE!</v>
      </c>
      <c r="AI15" s="565"/>
      <c r="AJ15" s="418" t="s">
        <v>639</v>
      </c>
      <c r="AK15" s="425" t="s">
        <v>639</v>
      </c>
      <c r="AL15" s="425" t="s">
        <v>639</v>
      </c>
      <c r="AM15" s="418" t="e">
        <f t="shared" si="12"/>
        <v>#VALUE!</v>
      </c>
      <c r="AN15" s="565"/>
      <c r="AO15" s="418" t="s">
        <v>639</v>
      </c>
      <c r="AP15" s="425" t="s">
        <v>639</v>
      </c>
      <c r="AQ15" s="425" t="s">
        <v>639</v>
      </c>
      <c r="AR15" s="418" t="e">
        <f t="shared" si="14"/>
        <v>#VALUE!</v>
      </c>
      <c r="AS15" s="565"/>
      <c r="AT15" s="418" t="s">
        <v>639</v>
      </c>
      <c r="AU15" s="425" t="s">
        <v>639</v>
      </c>
      <c r="AV15" s="425" t="s">
        <v>639</v>
      </c>
      <c r="AW15" s="418" t="e">
        <f t="shared" si="16"/>
        <v>#VALUE!</v>
      </c>
      <c r="AX15" s="565"/>
      <c r="AZ15" s="407" t="e">
        <f t="shared" si="18"/>
        <v>#N/A</v>
      </c>
      <c r="BA15" s="565"/>
    </row>
    <row r="16" spans="1:53" ht="14.25">
      <c r="A16" s="81"/>
      <c r="B16" s="570"/>
      <c r="C16" s="418">
        <v>10</v>
      </c>
      <c r="D16" s="226"/>
      <c r="E16" s="425"/>
      <c r="F16" s="418"/>
      <c r="G16" s="419"/>
      <c r="H16" s="628"/>
      <c r="I16" s="422" t="str">
        <f t="shared" si="0"/>
        <v>-</v>
      </c>
      <c r="J16" s="422" t="str">
        <f t="shared" si="1"/>
        <v>-</v>
      </c>
      <c r="K16" s="200" t="str">
        <f t="shared" si="2"/>
        <v>-</v>
      </c>
      <c r="L16" s="581"/>
      <c r="M16" s="424" t="e">
        <f>RANK(K16, K$7:$K$21)</f>
        <v>#VALUE!</v>
      </c>
      <c r="N16" s="564"/>
      <c r="O16" s="564"/>
      <c r="P16" s="418" t="s">
        <v>639</v>
      </c>
      <c r="Q16" s="425" t="s">
        <v>639</v>
      </c>
      <c r="R16" s="425" t="s">
        <v>639</v>
      </c>
      <c r="S16" s="418" t="e">
        <f t="shared" si="3"/>
        <v>#VALUE!</v>
      </c>
      <c r="T16" s="565"/>
      <c r="U16" s="418" t="s">
        <v>639</v>
      </c>
      <c r="V16" s="425" t="s">
        <v>639</v>
      </c>
      <c r="W16" s="425" t="s">
        <v>639</v>
      </c>
      <c r="X16" s="418" t="e">
        <f t="shared" si="5"/>
        <v>#VALUE!</v>
      </c>
      <c r="Y16" s="565"/>
      <c r="Z16" s="418" t="s">
        <v>639</v>
      </c>
      <c r="AA16" s="425" t="s">
        <v>639</v>
      </c>
      <c r="AB16" s="425" t="s">
        <v>639</v>
      </c>
      <c r="AC16" s="418" t="e">
        <f t="shared" si="7"/>
        <v>#VALUE!</v>
      </c>
      <c r="AD16" s="565"/>
      <c r="AE16" s="565"/>
      <c r="AF16" s="425" t="s">
        <v>639</v>
      </c>
      <c r="AG16" s="425" t="s">
        <v>639</v>
      </c>
      <c r="AH16" s="418" t="e">
        <f t="shared" si="10"/>
        <v>#VALUE!</v>
      </c>
      <c r="AI16" s="565"/>
      <c r="AJ16" s="418" t="s">
        <v>639</v>
      </c>
      <c r="AK16" s="425" t="s">
        <v>639</v>
      </c>
      <c r="AL16" s="425" t="s">
        <v>639</v>
      </c>
      <c r="AM16" s="418" t="e">
        <f t="shared" si="12"/>
        <v>#VALUE!</v>
      </c>
      <c r="AN16" s="565"/>
      <c r="AO16" s="418" t="s">
        <v>639</v>
      </c>
      <c r="AP16" s="425" t="s">
        <v>639</v>
      </c>
      <c r="AQ16" s="425" t="s">
        <v>639</v>
      </c>
      <c r="AR16" s="418" t="e">
        <f t="shared" si="14"/>
        <v>#VALUE!</v>
      </c>
      <c r="AS16" s="565"/>
      <c r="AT16" s="418" t="s">
        <v>639</v>
      </c>
      <c r="AU16" s="425" t="s">
        <v>639</v>
      </c>
      <c r="AV16" s="425" t="s">
        <v>639</v>
      </c>
      <c r="AW16" s="418" t="e">
        <f t="shared" si="16"/>
        <v>#VALUE!</v>
      </c>
      <c r="AX16" s="565"/>
      <c r="AZ16" s="407" t="e">
        <f t="shared" si="18"/>
        <v>#N/A</v>
      </c>
      <c r="BA16" s="565"/>
    </row>
    <row r="17" spans="2:53">
      <c r="B17" s="570"/>
      <c r="C17" s="418">
        <v>11</v>
      </c>
      <c r="D17" s="226"/>
      <c r="E17" s="425"/>
      <c r="F17" s="418"/>
      <c r="G17" s="419"/>
      <c r="H17" s="628"/>
      <c r="I17" s="422" t="str">
        <f t="shared" si="0"/>
        <v>-</v>
      </c>
      <c r="J17" s="422" t="str">
        <f t="shared" si="1"/>
        <v>-</v>
      </c>
      <c r="K17" s="200" t="str">
        <f t="shared" si="2"/>
        <v>-</v>
      </c>
      <c r="L17" s="581"/>
      <c r="M17" s="424" t="e">
        <f>RANK(K17, K$7:$K$21)</f>
        <v>#VALUE!</v>
      </c>
      <c r="N17" s="564"/>
      <c r="O17" s="564"/>
      <c r="P17" s="418" t="s">
        <v>639</v>
      </c>
      <c r="Q17" s="425" t="s">
        <v>639</v>
      </c>
      <c r="R17" s="425" t="s">
        <v>639</v>
      </c>
      <c r="S17" s="418" t="e">
        <f t="shared" si="3"/>
        <v>#VALUE!</v>
      </c>
      <c r="T17" s="565"/>
      <c r="U17" s="418" t="s">
        <v>639</v>
      </c>
      <c r="V17" s="425" t="s">
        <v>639</v>
      </c>
      <c r="W17" s="425" t="s">
        <v>639</v>
      </c>
      <c r="X17" s="418" t="e">
        <f t="shared" si="5"/>
        <v>#VALUE!</v>
      </c>
      <c r="Y17" s="565"/>
      <c r="Z17" s="418" t="s">
        <v>639</v>
      </c>
      <c r="AA17" s="425" t="s">
        <v>639</v>
      </c>
      <c r="AB17" s="425" t="s">
        <v>639</v>
      </c>
      <c r="AC17" s="418" t="e">
        <f t="shared" si="7"/>
        <v>#VALUE!</v>
      </c>
      <c r="AD17" s="565"/>
      <c r="AE17" s="565"/>
      <c r="AF17" s="425" t="s">
        <v>639</v>
      </c>
      <c r="AG17" s="425" t="s">
        <v>639</v>
      </c>
      <c r="AH17" s="418" t="e">
        <f t="shared" si="10"/>
        <v>#VALUE!</v>
      </c>
      <c r="AI17" s="565"/>
      <c r="AJ17" s="418" t="s">
        <v>639</v>
      </c>
      <c r="AK17" s="425" t="s">
        <v>639</v>
      </c>
      <c r="AL17" s="425" t="s">
        <v>639</v>
      </c>
      <c r="AM17" s="418" t="e">
        <f t="shared" si="12"/>
        <v>#VALUE!</v>
      </c>
      <c r="AN17" s="565"/>
      <c r="AO17" s="418" t="s">
        <v>639</v>
      </c>
      <c r="AP17" s="425" t="s">
        <v>639</v>
      </c>
      <c r="AQ17" s="425" t="s">
        <v>639</v>
      </c>
      <c r="AR17" s="418" t="e">
        <f t="shared" si="14"/>
        <v>#VALUE!</v>
      </c>
      <c r="AS17" s="565"/>
      <c r="AT17" s="418" t="s">
        <v>639</v>
      </c>
      <c r="AU17" s="425" t="s">
        <v>639</v>
      </c>
      <c r="AV17" s="425" t="s">
        <v>639</v>
      </c>
      <c r="AW17" s="418" t="e">
        <f t="shared" si="16"/>
        <v>#VALUE!</v>
      </c>
      <c r="AX17" s="565"/>
      <c r="AZ17" s="407" t="e">
        <f t="shared" si="18"/>
        <v>#N/A</v>
      </c>
      <c r="BA17" s="565"/>
    </row>
    <row r="18" spans="2:53">
      <c r="B18" s="570"/>
      <c r="C18" s="418">
        <v>12</v>
      </c>
      <c r="D18" s="226"/>
      <c r="E18" s="425"/>
      <c r="F18" s="418"/>
      <c r="G18" s="419"/>
      <c r="H18" s="628"/>
      <c r="I18" s="422" t="str">
        <f t="shared" si="0"/>
        <v>-</v>
      </c>
      <c r="J18" s="422" t="str">
        <f t="shared" si="1"/>
        <v>-</v>
      </c>
      <c r="K18" s="200" t="str">
        <f t="shared" si="2"/>
        <v>-</v>
      </c>
      <c r="L18" s="581"/>
      <c r="M18" s="424" t="e">
        <f>RANK(K18, K$7:$K$21)</f>
        <v>#VALUE!</v>
      </c>
      <c r="N18" s="564"/>
      <c r="O18" s="564"/>
      <c r="P18" s="418" t="s">
        <v>639</v>
      </c>
      <c r="Q18" s="425" t="s">
        <v>639</v>
      </c>
      <c r="R18" s="425" t="s">
        <v>639</v>
      </c>
      <c r="S18" s="418" t="e">
        <f t="shared" si="3"/>
        <v>#VALUE!</v>
      </c>
      <c r="T18" s="565"/>
      <c r="U18" s="418" t="s">
        <v>639</v>
      </c>
      <c r="V18" s="425" t="s">
        <v>639</v>
      </c>
      <c r="W18" s="425" t="s">
        <v>639</v>
      </c>
      <c r="X18" s="418" t="e">
        <f t="shared" si="5"/>
        <v>#VALUE!</v>
      </c>
      <c r="Y18" s="565"/>
      <c r="Z18" s="418" t="s">
        <v>639</v>
      </c>
      <c r="AA18" s="425" t="s">
        <v>639</v>
      </c>
      <c r="AB18" s="425" t="s">
        <v>639</v>
      </c>
      <c r="AC18" s="418" t="e">
        <f t="shared" si="7"/>
        <v>#VALUE!</v>
      </c>
      <c r="AD18" s="565"/>
      <c r="AE18" s="565"/>
      <c r="AF18" s="425" t="s">
        <v>639</v>
      </c>
      <c r="AG18" s="425" t="s">
        <v>639</v>
      </c>
      <c r="AH18" s="418" t="e">
        <f t="shared" si="10"/>
        <v>#VALUE!</v>
      </c>
      <c r="AI18" s="565"/>
      <c r="AJ18" s="418" t="s">
        <v>639</v>
      </c>
      <c r="AK18" s="425" t="s">
        <v>639</v>
      </c>
      <c r="AL18" s="425" t="s">
        <v>639</v>
      </c>
      <c r="AM18" s="418" t="e">
        <f t="shared" si="12"/>
        <v>#VALUE!</v>
      </c>
      <c r="AN18" s="565"/>
      <c r="AO18" s="418" t="s">
        <v>639</v>
      </c>
      <c r="AP18" s="425" t="s">
        <v>639</v>
      </c>
      <c r="AQ18" s="425" t="s">
        <v>639</v>
      </c>
      <c r="AR18" s="418" t="e">
        <f t="shared" si="14"/>
        <v>#VALUE!</v>
      </c>
      <c r="AS18" s="565"/>
      <c r="AT18" s="418"/>
      <c r="AU18" s="425"/>
      <c r="AV18" s="425"/>
      <c r="AW18" s="418" t="e">
        <f t="shared" si="16"/>
        <v>#N/A</v>
      </c>
      <c r="AX18" s="565"/>
      <c r="AZ18" s="407" t="e">
        <f t="shared" si="18"/>
        <v>#N/A</v>
      </c>
      <c r="BA18" s="565"/>
    </row>
    <row r="19" spans="2:53">
      <c r="B19" s="570"/>
      <c r="C19" s="418">
        <v>13</v>
      </c>
      <c r="D19" s="226"/>
      <c r="E19" s="425"/>
      <c r="F19" s="418"/>
      <c r="G19" s="419"/>
      <c r="H19" s="628"/>
      <c r="I19" s="422" t="str">
        <f t="shared" si="0"/>
        <v>-</v>
      </c>
      <c r="J19" s="422" t="str">
        <f t="shared" si="1"/>
        <v>-</v>
      </c>
      <c r="K19" s="200" t="str">
        <f t="shared" si="2"/>
        <v>-</v>
      </c>
      <c r="L19" s="581"/>
      <c r="M19" s="424" t="e">
        <f>RANK(K19, K$7:$K$21)</f>
        <v>#VALUE!</v>
      </c>
      <c r="N19" s="564"/>
      <c r="O19" s="564"/>
      <c r="P19" s="418" t="s">
        <v>639</v>
      </c>
      <c r="Q19" s="425" t="s">
        <v>639</v>
      </c>
      <c r="R19" s="425" t="s">
        <v>639</v>
      </c>
      <c r="S19" s="418" t="e">
        <f t="shared" si="3"/>
        <v>#VALUE!</v>
      </c>
      <c r="T19" s="565"/>
      <c r="U19" s="418" t="s">
        <v>639</v>
      </c>
      <c r="V19" s="425" t="s">
        <v>639</v>
      </c>
      <c r="W19" s="425" t="s">
        <v>639</v>
      </c>
      <c r="X19" s="418" t="e">
        <f t="shared" si="5"/>
        <v>#VALUE!</v>
      </c>
      <c r="Y19" s="565"/>
      <c r="Z19" s="418" t="s">
        <v>639</v>
      </c>
      <c r="AA19" s="425" t="s">
        <v>639</v>
      </c>
      <c r="AB19" s="425" t="s">
        <v>639</v>
      </c>
      <c r="AC19" s="418" t="e">
        <f t="shared" si="7"/>
        <v>#VALUE!</v>
      </c>
      <c r="AD19" s="565"/>
      <c r="AE19" s="565"/>
      <c r="AF19" s="425" t="s">
        <v>639</v>
      </c>
      <c r="AG19" s="425" t="s">
        <v>639</v>
      </c>
      <c r="AH19" s="418" t="e">
        <f t="shared" si="10"/>
        <v>#VALUE!</v>
      </c>
      <c r="AI19" s="565"/>
      <c r="AJ19" s="418" t="s">
        <v>639</v>
      </c>
      <c r="AK19" s="425" t="s">
        <v>639</v>
      </c>
      <c r="AL19" s="425" t="s">
        <v>639</v>
      </c>
      <c r="AM19" s="418" t="e">
        <f t="shared" si="12"/>
        <v>#VALUE!</v>
      </c>
      <c r="AN19" s="565"/>
      <c r="AO19" s="418" t="s">
        <v>639</v>
      </c>
      <c r="AP19" s="425" t="s">
        <v>639</v>
      </c>
      <c r="AQ19" s="425" t="s">
        <v>639</v>
      </c>
      <c r="AR19" s="418" t="e">
        <f t="shared" si="14"/>
        <v>#VALUE!</v>
      </c>
      <c r="AS19" s="565"/>
      <c r="AT19" s="418"/>
      <c r="AU19" s="425"/>
      <c r="AV19" s="425"/>
      <c r="AW19" s="418" t="e">
        <f t="shared" si="16"/>
        <v>#N/A</v>
      </c>
      <c r="AX19" s="565"/>
      <c r="AZ19" s="407" t="e">
        <f t="shared" si="18"/>
        <v>#N/A</v>
      </c>
      <c r="BA19" s="565"/>
    </row>
    <row r="20" spans="2:53">
      <c r="B20" s="570"/>
      <c r="C20" s="418">
        <v>14</v>
      </c>
      <c r="D20" s="226"/>
      <c r="E20" s="425"/>
      <c r="F20" s="418"/>
      <c r="G20" s="419"/>
      <c r="H20" s="628"/>
      <c r="I20" s="422" t="str">
        <f t="shared" si="0"/>
        <v>-</v>
      </c>
      <c r="J20" s="422" t="str">
        <f t="shared" si="1"/>
        <v>-</v>
      </c>
      <c r="K20" s="200" t="str">
        <f t="shared" si="2"/>
        <v>-</v>
      </c>
      <c r="L20" s="581"/>
      <c r="M20" s="424" t="e">
        <f>RANK(K20, K$7:$K$21)</f>
        <v>#VALUE!</v>
      </c>
      <c r="N20" s="564"/>
      <c r="O20" s="564"/>
      <c r="P20" s="418" t="s">
        <v>639</v>
      </c>
      <c r="Q20" s="425" t="s">
        <v>639</v>
      </c>
      <c r="R20" s="425" t="s">
        <v>639</v>
      </c>
      <c r="S20" s="418" t="e">
        <f t="shared" si="3"/>
        <v>#VALUE!</v>
      </c>
      <c r="T20" s="565"/>
      <c r="U20" s="418" t="s">
        <v>639</v>
      </c>
      <c r="V20" s="425" t="s">
        <v>639</v>
      </c>
      <c r="W20" s="425" t="s">
        <v>639</v>
      </c>
      <c r="X20" s="418" t="e">
        <f t="shared" si="5"/>
        <v>#VALUE!</v>
      </c>
      <c r="Y20" s="565"/>
      <c r="Z20" s="418" t="s">
        <v>639</v>
      </c>
      <c r="AA20" s="425" t="s">
        <v>639</v>
      </c>
      <c r="AB20" s="425" t="s">
        <v>639</v>
      </c>
      <c r="AC20" s="418" t="e">
        <f t="shared" si="7"/>
        <v>#VALUE!</v>
      </c>
      <c r="AD20" s="565"/>
      <c r="AE20" s="565"/>
      <c r="AF20" s="425" t="s">
        <v>639</v>
      </c>
      <c r="AG20" s="425" t="s">
        <v>639</v>
      </c>
      <c r="AH20" s="418" t="e">
        <f t="shared" si="10"/>
        <v>#VALUE!</v>
      </c>
      <c r="AI20" s="565"/>
      <c r="AJ20" s="418" t="s">
        <v>639</v>
      </c>
      <c r="AK20" s="425" t="s">
        <v>639</v>
      </c>
      <c r="AL20" s="425" t="s">
        <v>639</v>
      </c>
      <c r="AM20" s="418" t="e">
        <f t="shared" si="12"/>
        <v>#VALUE!</v>
      </c>
      <c r="AN20" s="565"/>
      <c r="AO20" s="418" t="s">
        <v>639</v>
      </c>
      <c r="AP20" s="425" t="s">
        <v>639</v>
      </c>
      <c r="AQ20" s="425" t="s">
        <v>639</v>
      </c>
      <c r="AR20" s="418" t="e">
        <f t="shared" si="14"/>
        <v>#VALUE!</v>
      </c>
      <c r="AS20" s="565"/>
      <c r="AT20" s="418"/>
      <c r="AU20" s="425"/>
      <c r="AV20" s="425"/>
      <c r="AW20" s="418" t="e">
        <f t="shared" si="16"/>
        <v>#N/A</v>
      </c>
      <c r="AX20" s="565"/>
      <c r="AZ20" s="407" t="e">
        <f t="shared" si="18"/>
        <v>#N/A</v>
      </c>
      <c r="BA20" s="565"/>
    </row>
    <row r="21" spans="2:53">
      <c r="B21" s="570"/>
      <c r="C21" s="418">
        <v>15</v>
      </c>
      <c r="D21" s="226"/>
      <c r="E21" s="425"/>
      <c r="F21" s="418"/>
      <c r="G21" s="419"/>
      <c r="H21" s="629"/>
      <c r="I21" s="202"/>
      <c r="J21" s="202"/>
      <c r="K21" s="202"/>
      <c r="L21" s="582"/>
      <c r="M21" s="429" t="e">
        <f>RANK(K21, K$7:$K$21)</f>
        <v>#N/A</v>
      </c>
      <c r="N21" s="564"/>
      <c r="O21" s="564"/>
      <c r="P21" s="418" t="s">
        <v>639</v>
      </c>
      <c r="Q21" s="425" t="s">
        <v>639</v>
      </c>
      <c r="R21" s="425" t="s">
        <v>639</v>
      </c>
      <c r="S21" s="418" t="e">
        <f t="shared" si="3"/>
        <v>#VALUE!</v>
      </c>
      <c r="T21" s="565"/>
      <c r="U21" s="418" t="s">
        <v>639</v>
      </c>
      <c r="V21" s="425" t="s">
        <v>639</v>
      </c>
      <c r="W21" s="425" t="s">
        <v>639</v>
      </c>
      <c r="X21" s="418" t="e">
        <f t="shared" si="5"/>
        <v>#VALUE!</v>
      </c>
      <c r="Y21" s="565"/>
      <c r="Z21" s="418" t="s">
        <v>639</v>
      </c>
      <c r="AA21" s="425" t="s">
        <v>639</v>
      </c>
      <c r="AB21" s="425" t="s">
        <v>639</v>
      </c>
      <c r="AC21" s="418" t="e">
        <f t="shared" si="7"/>
        <v>#VALUE!</v>
      </c>
      <c r="AD21" s="565"/>
      <c r="AE21" s="565"/>
      <c r="AF21" s="425" t="s">
        <v>639</v>
      </c>
      <c r="AG21" s="425" t="s">
        <v>639</v>
      </c>
      <c r="AH21" s="418" t="e">
        <f t="shared" si="10"/>
        <v>#VALUE!</v>
      </c>
      <c r="AI21" s="565"/>
      <c r="AJ21" s="418" t="s">
        <v>639</v>
      </c>
      <c r="AK21" s="425" t="s">
        <v>639</v>
      </c>
      <c r="AL21" s="425" t="s">
        <v>639</v>
      </c>
      <c r="AM21" s="418" t="e">
        <f t="shared" si="12"/>
        <v>#VALUE!</v>
      </c>
      <c r="AN21" s="565"/>
      <c r="AO21" s="418" t="s">
        <v>639</v>
      </c>
      <c r="AP21" s="425" t="s">
        <v>639</v>
      </c>
      <c r="AQ21" s="425" t="s">
        <v>639</v>
      </c>
      <c r="AR21" s="418" t="e">
        <f t="shared" si="14"/>
        <v>#VALUE!</v>
      </c>
      <c r="AS21" s="565"/>
      <c r="AT21" s="418"/>
      <c r="AU21" s="425"/>
      <c r="AV21" s="425"/>
      <c r="AW21" s="418" t="e">
        <f t="shared" si="16"/>
        <v>#N/A</v>
      </c>
      <c r="AX21" s="565"/>
      <c r="AZ21" s="407" t="e">
        <f t="shared" si="18"/>
        <v>#N/A</v>
      </c>
      <c r="BA21" s="565"/>
    </row>
    <row r="22" spans="2:53" ht="15.75">
      <c r="B22" s="608" t="s">
        <v>163</v>
      </c>
      <c r="C22" s="609"/>
      <c r="D22" s="609"/>
      <c r="E22" s="609"/>
      <c r="F22" s="609"/>
      <c r="G22" s="609"/>
      <c r="H22" s="609"/>
      <c r="I22" s="203"/>
      <c r="J22" s="203"/>
      <c r="K22" s="203"/>
      <c r="L22" s="203"/>
      <c r="M22" s="204"/>
      <c r="N22" s="566" t="s">
        <v>156</v>
      </c>
      <c r="O22" s="566" t="s">
        <v>105</v>
      </c>
      <c r="P22" s="592">
        <f>P2+7</f>
        <v>46147</v>
      </c>
      <c r="Q22" s="570"/>
      <c r="R22" s="570"/>
      <c r="S22" s="570"/>
      <c r="T22" s="570"/>
      <c r="U22" s="589">
        <f>P22+1</f>
        <v>46148</v>
      </c>
      <c r="V22" s="590"/>
      <c r="W22" s="590"/>
      <c r="X22" s="590"/>
      <c r="Y22" s="591"/>
      <c r="Z22" s="589">
        <f>U22+1</f>
        <v>46149</v>
      </c>
      <c r="AA22" s="590"/>
      <c r="AB22" s="590"/>
      <c r="AC22" s="590"/>
      <c r="AD22" s="591"/>
      <c r="AE22" s="589">
        <f>Z22+1</f>
        <v>46150</v>
      </c>
      <c r="AF22" s="590"/>
      <c r="AG22" s="590"/>
      <c r="AH22" s="590"/>
      <c r="AI22" s="591"/>
      <c r="AJ22" s="589">
        <f>AE22+1</f>
        <v>46151</v>
      </c>
      <c r="AK22" s="590"/>
      <c r="AL22" s="590"/>
      <c r="AM22" s="590"/>
      <c r="AN22" s="591"/>
      <c r="AO22" s="589">
        <f>AJ22+1</f>
        <v>46152</v>
      </c>
      <c r="AP22" s="590"/>
      <c r="AQ22" s="590"/>
      <c r="AR22" s="590"/>
      <c r="AS22" s="591"/>
      <c r="AT22" s="589">
        <f>AO22+1</f>
        <v>46153</v>
      </c>
      <c r="AU22" s="590"/>
      <c r="AV22" s="590"/>
      <c r="AW22" s="590"/>
      <c r="AX22" s="591"/>
    </row>
    <row r="23" spans="2:53" ht="15.75">
      <c r="B23" s="596"/>
      <c r="C23" s="596"/>
      <c r="D23" s="596"/>
      <c r="E23" s="596"/>
      <c r="F23" s="596"/>
      <c r="G23" s="596"/>
      <c r="H23" s="596"/>
      <c r="I23" s="205"/>
      <c r="J23" s="205"/>
      <c r="K23" s="205"/>
      <c r="L23" s="205"/>
      <c r="M23" s="206"/>
      <c r="N23" s="568"/>
      <c r="O23" s="568"/>
      <c r="P23" s="592" t="s">
        <v>318</v>
      </c>
      <c r="Q23" s="570"/>
      <c r="R23" s="570"/>
      <c r="S23" s="570"/>
      <c r="T23" s="570"/>
      <c r="U23" s="592" t="s">
        <v>319</v>
      </c>
      <c r="V23" s="570"/>
      <c r="W23" s="570"/>
      <c r="X23" s="570"/>
      <c r="Y23" s="570"/>
      <c r="Z23" s="592" t="s">
        <v>320</v>
      </c>
      <c r="AA23" s="570"/>
      <c r="AB23" s="570"/>
      <c r="AC23" s="570"/>
      <c r="AD23" s="570"/>
      <c r="AE23" s="592" t="s">
        <v>321</v>
      </c>
      <c r="AF23" s="570"/>
      <c r="AG23" s="570"/>
      <c r="AH23" s="570"/>
      <c r="AI23" s="570"/>
      <c r="AJ23" s="592" t="s">
        <v>322</v>
      </c>
      <c r="AK23" s="570"/>
      <c r="AL23" s="570"/>
      <c r="AM23" s="570"/>
      <c r="AN23" s="570"/>
      <c r="AO23" s="592" t="s">
        <v>323</v>
      </c>
      <c r="AP23" s="570"/>
      <c r="AQ23" s="570"/>
      <c r="AR23" s="570"/>
      <c r="AS23" s="570"/>
      <c r="AT23" s="592" t="s">
        <v>324</v>
      </c>
      <c r="AU23" s="570"/>
      <c r="AV23" s="570"/>
      <c r="AW23" s="570"/>
      <c r="AX23" s="570"/>
    </row>
    <row r="24" spans="2:53">
      <c r="B24" s="564" t="s">
        <v>154</v>
      </c>
      <c r="C24" s="564" t="s">
        <v>387</v>
      </c>
      <c r="D24" s="564"/>
      <c r="E24" s="564" t="s">
        <v>378</v>
      </c>
      <c r="F24" s="564"/>
      <c r="G24" s="564"/>
      <c r="H24" s="597" t="s">
        <v>374</v>
      </c>
      <c r="I24" s="616" t="s">
        <v>379</v>
      </c>
      <c r="J24" s="616"/>
      <c r="K24" s="616"/>
      <c r="L24" s="617" t="s">
        <v>374</v>
      </c>
      <c r="M24" s="602" t="s">
        <v>375</v>
      </c>
      <c r="N24" s="564"/>
      <c r="O24" s="564" t="s">
        <v>380</v>
      </c>
      <c r="P24" s="583" t="s">
        <v>376</v>
      </c>
      <c r="Q24" s="584"/>
      <c r="R24" s="584"/>
      <c r="S24" s="585"/>
      <c r="T24" s="564" t="s">
        <v>374</v>
      </c>
      <c r="U24" s="583" t="s">
        <v>376</v>
      </c>
      <c r="V24" s="584"/>
      <c r="W24" s="584"/>
      <c r="X24" s="585"/>
      <c r="Y24" s="564" t="s">
        <v>374</v>
      </c>
      <c r="Z24" s="583" t="s">
        <v>376</v>
      </c>
      <c r="AA24" s="584"/>
      <c r="AB24" s="584"/>
      <c r="AC24" s="585"/>
      <c r="AD24" s="564" t="s">
        <v>374</v>
      </c>
      <c r="AE24" s="583" t="s">
        <v>376</v>
      </c>
      <c r="AF24" s="584"/>
      <c r="AG24" s="584"/>
      <c r="AH24" s="585"/>
      <c r="AI24" s="564" t="s">
        <v>374</v>
      </c>
      <c r="AJ24" s="583" t="s">
        <v>376</v>
      </c>
      <c r="AK24" s="584"/>
      <c r="AL24" s="584"/>
      <c r="AM24" s="585"/>
      <c r="AN24" s="564" t="s">
        <v>374</v>
      </c>
      <c r="AO24" s="583" t="s">
        <v>376</v>
      </c>
      <c r="AP24" s="584"/>
      <c r="AQ24" s="584"/>
      <c r="AR24" s="585"/>
      <c r="AS24" s="564" t="s">
        <v>374</v>
      </c>
      <c r="AT24" s="583" t="s">
        <v>376</v>
      </c>
      <c r="AU24" s="584"/>
      <c r="AV24" s="584"/>
      <c r="AW24" s="585"/>
      <c r="AX24" s="564" t="s">
        <v>374</v>
      </c>
      <c r="BA24" s="564" t="s">
        <v>374</v>
      </c>
    </row>
    <row r="25" spans="2:53">
      <c r="B25" s="564"/>
      <c r="C25" s="564"/>
      <c r="D25" s="564"/>
      <c r="E25" s="564" t="s">
        <v>381</v>
      </c>
      <c r="F25" s="564"/>
      <c r="G25" s="564"/>
      <c r="H25" s="598"/>
      <c r="I25" s="616" t="s">
        <v>381</v>
      </c>
      <c r="J25" s="616"/>
      <c r="K25" s="616"/>
      <c r="L25" s="618"/>
      <c r="M25" s="603"/>
      <c r="N25" s="564"/>
      <c r="O25" s="564"/>
      <c r="P25" s="583" t="s">
        <v>382</v>
      </c>
      <c r="Q25" s="584"/>
      <c r="R25" s="584"/>
      <c r="S25" s="585"/>
      <c r="T25" s="564"/>
      <c r="U25" s="583" t="s">
        <v>382</v>
      </c>
      <c r="V25" s="584"/>
      <c r="W25" s="584"/>
      <c r="X25" s="585"/>
      <c r="Y25" s="564"/>
      <c r="Z25" s="583" t="s">
        <v>382</v>
      </c>
      <c r="AA25" s="584"/>
      <c r="AB25" s="584"/>
      <c r="AC25" s="585"/>
      <c r="AD25" s="564"/>
      <c r="AE25" s="583" t="s">
        <v>382</v>
      </c>
      <c r="AF25" s="584"/>
      <c r="AG25" s="584"/>
      <c r="AH25" s="585"/>
      <c r="AI25" s="564"/>
      <c r="AJ25" s="583" t="s">
        <v>382</v>
      </c>
      <c r="AK25" s="584"/>
      <c r="AL25" s="584"/>
      <c r="AM25" s="585"/>
      <c r="AN25" s="564"/>
      <c r="AO25" s="583" t="s">
        <v>382</v>
      </c>
      <c r="AP25" s="584"/>
      <c r="AQ25" s="584"/>
      <c r="AR25" s="585"/>
      <c r="AS25" s="564"/>
      <c r="AT25" s="583" t="s">
        <v>382</v>
      </c>
      <c r="AU25" s="584"/>
      <c r="AV25" s="584"/>
      <c r="AW25" s="585"/>
      <c r="AX25" s="564"/>
      <c r="BA25" s="564"/>
    </row>
    <row r="26" spans="2:53">
      <c r="B26" s="564"/>
      <c r="C26" s="564"/>
      <c r="D26" s="564"/>
      <c r="E26" s="417" t="s">
        <v>383</v>
      </c>
      <c r="F26" s="417" t="s">
        <v>384</v>
      </c>
      <c r="G26" s="417" t="s">
        <v>385</v>
      </c>
      <c r="H26" s="599"/>
      <c r="I26" s="416" t="s">
        <v>383</v>
      </c>
      <c r="J26" s="416" t="s">
        <v>384</v>
      </c>
      <c r="K26" s="416" t="s">
        <v>385</v>
      </c>
      <c r="L26" s="619"/>
      <c r="M26" s="604"/>
      <c r="N26" s="564"/>
      <c r="O26" s="564"/>
      <c r="P26" s="417" t="s">
        <v>383</v>
      </c>
      <c r="Q26" s="417" t="s">
        <v>384</v>
      </c>
      <c r="R26" s="417" t="s">
        <v>385</v>
      </c>
      <c r="S26" s="417" t="s">
        <v>375</v>
      </c>
      <c r="T26" s="564"/>
      <c r="U26" s="417" t="s">
        <v>383</v>
      </c>
      <c r="V26" s="417" t="s">
        <v>384</v>
      </c>
      <c r="W26" s="417" t="s">
        <v>385</v>
      </c>
      <c r="X26" s="417" t="s">
        <v>375</v>
      </c>
      <c r="Y26" s="564"/>
      <c r="Z26" s="417" t="s">
        <v>383</v>
      </c>
      <c r="AA26" s="417" t="s">
        <v>384</v>
      </c>
      <c r="AB26" s="417" t="s">
        <v>385</v>
      </c>
      <c r="AC26" s="417" t="s">
        <v>375</v>
      </c>
      <c r="AD26" s="564"/>
      <c r="AE26" s="417" t="s">
        <v>383</v>
      </c>
      <c r="AF26" s="417" t="s">
        <v>384</v>
      </c>
      <c r="AG26" s="417" t="s">
        <v>385</v>
      </c>
      <c r="AH26" s="417" t="s">
        <v>375</v>
      </c>
      <c r="AI26" s="564"/>
      <c r="AJ26" s="417" t="s">
        <v>383</v>
      </c>
      <c r="AK26" s="417" t="s">
        <v>384</v>
      </c>
      <c r="AL26" s="417" t="s">
        <v>385</v>
      </c>
      <c r="AM26" s="417" t="s">
        <v>375</v>
      </c>
      <c r="AN26" s="564"/>
      <c r="AO26" s="417" t="s">
        <v>383</v>
      </c>
      <c r="AP26" s="417" t="s">
        <v>384</v>
      </c>
      <c r="AQ26" s="417" t="s">
        <v>385</v>
      </c>
      <c r="AR26" s="417" t="s">
        <v>375</v>
      </c>
      <c r="AS26" s="564"/>
      <c r="AT26" s="417" t="s">
        <v>383</v>
      </c>
      <c r="AU26" s="417" t="s">
        <v>384</v>
      </c>
      <c r="AV26" s="417" t="s">
        <v>385</v>
      </c>
      <c r="AW26" s="417" t="s">
        <v>375</v>
      </c>
      <c r="AX26" s="564"/>
      <c r="AZ26" s="406" t="s">
        <v>375</v>
      </c>
      <c r="BA26" s="564"/>
    </row>
    <row r="27" spans="2:53">
      <c r="B27" s="564" t="s">
        <v>388</v>
      </c>
      <c r="C27" s="418">
        <v>1</v>
      </c>
      <c r="D27" s="226" t="s">
        <v>648</v>
      </c>
      <c r="E27" s="425">
        <v>15</v>
      </c>
      <c r="F27" s="418">
        <v>1500</v>
      </c>
      <c r="G27" s="419">
        <v>100</v>
      </c>
      <c r="H27" s="627">
        <f>AVERAGE(G27:G41)</f>
        <v>93.333333333333329</v>
      </c>
      <c r="I27" s="422">
        <f t="shared" ref="I27:I40" si="20">IFERROR(AVERAGE(P27,U27,Z27,AE27,AJ27,AO27,AT27),"-")</f>
        <v>15</v>
      </c>
      <c r="J27" s="422">
        <f t="shared" ref="J27:J40" si="21">IFERROR(AVERAGE(Q27,V27,AA27,AF27,AK27,AP27,AU27),"-")</f>
        <v>1233.3428571428547</v>
      </c>
      <c r="K27" s="200">
        <f t="shared" ref="K27:K40" si="22">IFERROR(AVERAGE(R27,W27,AB27,AG27,AL27,AQ27,AV27),"-")</f>
        <v>82.222857142856967</v>
      </c>
      <c r="L27" s="580">
        <f>IFERROR(AVERAGE(K27:K41),"-")</f>
        <v>93.229387943211421</v>
      </c>
      <c r="M27" s="424">
        <f>RANK(K27, K$24:$K$41)</f>
        <v>3</v>
      </c>
      <c r="N27" s="564"/>
      <c r="O27" s="564"/>
      <c r="P27" s="425">
        <v>15</v>
      </c>
      <c r="Q27" s="425">
        <v>1370.9999999999939</v>
      </c>
      <c r="R27" s="419">
        <v>91.399999999999594</v>
      </c>
      <c r="S27" s="418">
        <f>RANK(R27, R$24:R$41)</f>
        <v>2</v>
      </c>
      <c r="T27" s="565">
        <f>AVERAGE(R27:R41)</f>
        <v>92.268518518518377</v>
      </c>
      <c r="U27" s="425">
        <v>15</v>
      </c>
      <c r="V27" s="425">
        <v>1250.3999999999965</v>
      </c>
      <c r="W27" s="419">
        <v>83.359999999999758</v>
      </c>
      <c r="X27" s="428">
        <f>RANK(W27, W$24:W$41)</f>
        <v>2</v>
      </c>
      <c r="Y27" s="565">
        <f>AVERAGE(W27:W41)</f>
        <v>87.086666666666588</v>
      </c>
      <c r="Z27" s="425">
        <v>15</v>
      </c>
      <c r="AA27" s="425">
        <v>1130.0000000000041</v>
      </c>
      <c r="AB27" s="419">
        <v>75.333333333333613</v>
      </c>
      <c r="AC27" s="428">
        <f>RANK(AB27, AB$24:AB$41)</f>
        <v>3</v>
      </c>
      <c r="AD27" s="565">
        <f>AVERAGE(AB27:AB41)</f>
        <v>94.122777777777969</v>
      </c>
      <c r="AE27" s="425">
        <v>15</v>
      </c>
      <c r="AF27" s="425">
        <v>1145.999999999995</v>
      </c>
      <c r="AG27" s="419">
        <v>76.399999999999665</v>
      </c>
      <c r="AH27" s="428">
        <f>RANK(AG27, AG$24:AG$41)</f>
        <v>3</v>
      </c>
      <c r="AI27" s="565">
        <f>AVERAGE(AG27:AG41)</f>
        <v>93.602413273001346</v>
      </c>
      <c r="AJ27" s="425">
        <v>15</v>
      </c>
      <c r="AK27" s="425">
        <v>1160.9999999999948</v>
      </c>
      <c r="AL27" s="419">
        <v>77.39999999999965</v>
      </c>
      <c r="AM27" s="428">
        <f>RANK(AL27, AL$24:AL$41)</f>
        <v>3</v>
      </c>
      <c r="AN27" s="565">
        <f>AVERAGE(AL27:AL41)</f>
        <v>91.970940170940025</v>
      </c>
      <c r="AO27" s="425">
        <v>15</v>
      </c>
      <c r="AP27" s="425">
        <v>1288.0000000000045</v>
      </c>
      <c r="AQ27" s="419">
        <v>85.866666666666973</v>
      </c>
      <c r="AR27" s="428">
        <f>RANK(AQ27, AQ$24:AQ$41)</f>
        <v>3</v>
      </c>
      <c r="AS27" s="565">
        <f>AVERAGE(AQ27:AQ41)</f>
        <v>98.136752136752349</v>
      </c>
      <c r="AT27" s="425">
        <v>15</v>
      </c>
      <c r="AU27" s="425">
        <v>1286.9999999999941</v>
      </c>
      <c r="AV27" s="419">
        <v>85.799999999999599</v>
      </c>
      <c r="AW27" s="428">
        <f>RANK(AV27, AV$24:AV$41)</f>
        <v>2</v>
      </c>
      <c r="AX27" s="565">
        <f>AVERAGE(AV27:AV41)</f>
        <v>95.417647058823377</v>
      </c>
      <c r="AZ27" s="407" t="e">
        <f t="shared" ref="AZ27:AZ41" si="23">RANK(AY27, AY$27:AY$41)</f>
        <v>#N/A</v>
      </c>
      <c r="BA27" s="559" t="e">
        <f t="shared" ref="BA27" si="24">AVERAGE(AY27:AY41)</f>
        <v>#DIV/0!</v>
      </c>
    </row>
    <row r="28" spans="2:53">
      <c r="B28" s="570"/>
      <c r="C28" s="418">
        <v>2</v>
      </c>
      <c r="D28" s="226" t="s">
        <v>671</v>
      </c>
      <c r="E28" s="425">
        <v>15</v>
      </c>
      <c r="F28" s="418">
        <v>1200</v>
      </c>
      <c r="G28" s="419">
        <v>80</v>
      </c>
      <c r="H28" s="628"/>
      <c r="I28" s="422">
        <f t="shared" si="20"/>
        <v>15</v>
      </c>
      <c r="J28" s="422">
        <f t="shared" si="21"/>
        <v>1251.7476190476195</v>
      </c>
      <c r="K28" s="200">
        <f t="shared" si="22"/>
        <v>83.449841269841301</v>
      </c>
      <c r="L28" s="581"/>
      <c r="M28" s="431">
        <f>RANK(K28, K$24:$K$41)</f>
        <v>2</v>
      </c>
      <c r="N28" s="564"/>
      <c r="O28" s="564"/>
      <c r="P28" s="418">
        <v>15</v>
      </c>
      <c r="Q28" s="425">
        <v>1253.3333333333333</v>
      </c>
      <c r="R28" s="419">
        <v>83.555555555555557</v>
      </c>
      <c r="S28" s="428">
        <f t="shared" ref="S28:S41" si="25">RANK(R28, R$24:R$41)</f>
        <v>3</v>
      </c>
      <c r="T28" s="565"/>
      <c r="U28" s="418">
        <v>15</v>
      </c>
      <c r="V28" s="425">
        <v>1167.0000000000009</v>
      </c>
      <c r="W28" s="419">
        <v>77.800000000000054</v>
      </c>
      <c r="X28" s="428">
        <f t="shared" ref="X28:X41" si="26">RANK(W28, W$24:W$41)</f>
        <v>3</v>
      </c>
      <c r="Y28" s="565"/>
      <c r="Z28" s="418">
        <v>15</v>
      </c>
      <c r="AA28" s="425">
        <v>1202.4000000000042</v>
      </c>
      <c r="AB28" s="419">
        <v>80.160000000000281</v>
      </c>
      <c r="AC28" s="428">
        <f t="shared" ref="AC28:AC41" si="27">RANK(AB28, AB$24:AB$41)</f>
        <v>2</v>
      </c>
      <c r="AD28" s="565"/>
      <c r="AE28" s="418">
        <v>15</v>
      </c>
      <c r="AF28" s="425">
        <v>1349.9999999999977</v>
      </c>
      <c r="AG28" s="419">
        <v>89.999999999999844</v>
      </c>
      <c r="AH28" s="428">
        <f t="shared" ref="AH28:AH41" si="28">RANK(AG28, AG$24:AG$41)</f>
        <v>2</v>
      </c>
      <c r="AI28" s="565"/>
      <c r="AJ28" s="418">
        <v>15</v>
      </c>
      <c r="AK28" s="425">
        <v>1269.9999999999977</v>
      </c>
      <c r="AL28" s="419">
        <v>84.666666666666515</v>
      </c>
      <c r="AM28" s="428">
        <f t="shared" ref="AM28:AM41" si="29">RANK(AL28, AL$24:AL$41)</f>
        <v>2</v>
      </c>
      <c r="AN28" s="565"/>
      <c r="AO28" s="418">
        <v>15</v>
      </c>
      <c r="AP28" s="425">
        <v>1378.0000000000048</v>
      </c>
      <c r="AQ28" s="419">
        <v>91.866666666666987</v>
      </c>
      <c r="AR28" s="428">
        <f t="shared" ref="AR28:AR41" si="30">RANK(AQ28, AQ$24:AQ$41)</f>
        <v>2</v>
      </c>
      <c r="AS28" s="565"/>
      <c r="AT28" s="418">
        <v>15</v>
      </c>
      <c r="AU28" s="425">
        <v>1141.4999999999995</v>
      </c>
      <c r="AV28" s="419">
        <v>76.099999999999966</v>
      </c>
      <c r="AW28" s="428">
        <f t="shared" ref="AW28:AW41" si="31">RANK(AV28, AV$24:AV$41)</f>
        <v>3</v>
      </c>
      <c r="AX28" s="565"/>
      <c r="AZ28" s="407" t="e">
        <f t="shared" si="23"/>
        <v>#N/A</v>
      </c>
      <c r="BA28" s="560"/>
    </row>
    <row r="29" spans="2:53">
      <c r="B29" s="570"/>
      <c r="C29" s="418">
        <v>3</v>
      </c>
      <c r="D29" s="226" t="s">
        <v>667</v>
      </c>
      <c r="E29" s="425">
        <v>15</v>
      </c>
      <c r="F29" s="418">
        <v>1500</v>
      </c>
      <c r="G29" s="419">
        <v>100</v>
      </c>
      <c r="H29" s="628"/>
      <c r="I29" s="422">
        <f t="shared" si="20"/>
        <v>13.285714285714286</v>
      </c>
      <c r="J29" s="422">
        <f t="shared" si="21"/>
        <v>1504.0113445378154</v>
      </c>
      <c r="K29" s="200">
        <f t="shared" si="22"/>
        <v>114.01546541693604</v>
      </c>
      <c r="L29" s="581"/>
      <c r="M29" s="431">
        <f>RANK(K29, K$24:$K$41)</f>
        <v>1</v>
      </c>
      <c r="N29" s="564"/>
      <c r="O29" s="564"/>
      <c r="P29" s="418">
        <v>15</v>
      </c>
      <c r="Q29" s="425">
        <v>1527.75</v>
      </c>
      <c r="R29" s="427">
        <v>101.85</v>
      </c>
      <c r="S29" s="428">
        <f t="shared" si="25"/>
        <v>1</v>
      </c>
      <c r="T29" s="565"/>
      <c r="U29" s="418">
        <v>15</v>
      </c>
      <c r="V29" s="425">
        <v>1501.5</v>
      </c>
      <c r="W29" s="418">
        <v>100.1</v>
      </c>
      <c r="X29" s="428">
        <f t="shared" si="26"/>
        <v>1</v>
      </c>
      <c r="Y29" s="565"/>
      <c r="Z29" s="418">
        <v>12</v>
      </c>
      <c r="AA29" s="425">
        <v>1522.5</v>
      </c>
      <c r="AB29" s="427">
        <v>126.875</v>
      </c>
      <c r="AC29" s="428">
        <f t="shared" si="27"/>
        <v>1</v>
      </c>
      <c r="AD29" s="565"/>
      <c r="AE29" s="418">
        <v>13</v>
      </c>
      <c r="AF29" s="425">
        <v>1487.2941176470592</v>
      </c>
      <c r="AG29" s="427">
        <v>114.40723981900456</v>
      </c>
      <c r="AH29" s="428">
        <f t="shared" si="28"/>
        <v>1</v>
      </c>
      <c r="AI29" s="565"/>
      <c r="AJ29" s="418">
        <v>13</v>
      </c>
      <c r="AK29" s="418">
        <v>1480.0000000000014</v>
      </c>
      <c r="AL29" s="427">
        <v>113.84615384615395</v>
      </c>
      <c r="AM29" s="428">
        <f t="shared" si="29"/>
        <v>1</v>
      </c>
      <c r="AN29" s="565"/>
      <c r="AO29" s="418">
        <v>13</v>
      </c>
      <c r="AP29" s="425">
        <v>1516.8</v>
      </c>
      <c r="AQ29" s="427">
        <v>116.67692307692307</v>
      </c>
      <c r="AR29" s="428">
        <f t="shared" si="30"/>
        <v>1</v>
      </c>
      <c r="AS29" s="565"/>
      <c r="AT29" s="418">
        <v>12</v>
      </c>
      <c r="AU29" s="425">
        <v>1492.2352941176468</v>
      </c>
      <c r="AV29" s="427">
        <v>124.35294117647057</v>
      </c>
      <c r="AW29" s="428">
        <f t="shared" si="31"/>
        <v>1</v>
      </c>
      <c r="AX29" s="565"/>
      <c r="AZ29" s="407" t="e">
        <f t="shared" si="23"/>
        <v>#N/A</v>
      </c>
      <c r="BA29" s="560"/>
    </row>
    <row r="30" spans="2:53">
      <c r="B30" s="570"/>
      <c r="C30" s="418">
        <v>4</v>
      </c>
      <c r="D30" s="226"/>
      <c r="E30" s="425"/>
      <c r="F30" s="418"/>
      <c r="G30" s="419"/>
      <c r="H30" s="628"/>
      <c r="I30" s="422" t="str">
        <f t="shared" si="20"/>
        <v>-</v>
      </c>
      <c r="J30" s="422" t="str">
        <f t="shared" si="21"/>
        <v>-</v>
      </c>
      <c r="K30" s="200" t="str">
        <f t="shared" si="22"/>
        <v>-</v>
      </c>
      <c r="L30" s="581"/>
      <c r="M30" s="431" t="e">
        <f>RANK(K30, K$24:$K$41)</f>
        <v>#VALUE!</v>
      </c>
      <c r="N30" s="564"/>
      <c r="O30" s="564"/>
      <c r="P30" s="418"/>
      <c r="Q30" s="418"/>
      <c r="R30" s="418"/>
      <c r="S30" s="428" t="e">
        <f t="shared" si="25"/>
        <v>#N/A</v>
      </c>
      <c r="T30" s="565"/>
      <c r="U30" s="418"/>
      <c r="V30" s="418"/>
      <c r="W30" s="418"/>
      <c r="X30" s="428" t="e">
        <f t="shared" si="26"/>
        <v>#N/A</v>
      </c>
      <c r="Y30" s="565"/>
      <c r="Z30" s="418"/>
      <c r="AA30" s="418"/>
      <c r="AB30" s="418"/>
      <c r="AC30" s="428" t="e">
        <f t="shared" si="27"/>
        <v>#N/A</v>
      </c>
      <c r="AD30" s="565"/>
      <c r="AE30" s="418"/>
      <c r="AF30" s="418"/>
      <c r="AG30" s="418"/>
      <c r="AH30" s="428" t="e">
        <f t="shared" si="28"/>
        <v>#N/A</v>
      </c>
      <c r="AI30" s="565"/>
      <c r="AJ30" s="418"/>
      <c r="AK30" s="418"/>
      <c r="AL30" s="418"/>
      <c r="AM30" s="428" t="e">
        <f t="shared" si="29"/>
        <v>#N/A</v>
      </c>
      <c r="AN30" s="565"/>
      <c r="AO30" s="418"/>
      <c r="AP30" s="418"/>
      <c r="AQ30" s="418"/>
      <c r="AR30" s="428" t="e">
        <f t="shared" si="30"/>
        <v>#N/A</v>
      </c>
      <c r="AS30" s="565"/>
      <c r="AT30" s="418"/>
      <c r="AU30" s="418"/>
      <c r="AV30" s="418"/>
      <c r="AW30" s="428" t="e">
        <f t="shared" si="31"/>
        <v>#N/A</v>
      </c>
      <c r="AX30" s="565"/>
      <c r="AZ30" s="407" t="e">
        <f t="shared" si="23"/>
        <v>#N/A</v>
      </c>
      <c r="BA30" s="560"/>
    </row>
    <row r="31" spans="2:53">
      <c r="B31" s="570"/>
      <c r="C31" s="418">
        <v>5</v>
      </c>
      <c r="D31" s="226"/>
      <c r="E31" s="425"/>
      <c r="F31" s="418"/>
      <c r="G31" s="419"/>
      <c r="H31" s="628"/>
      <c r="I31" s="422" t="str">
        <f t="shared" si="20"/>
        <v>-</v>
      </c>
      <c r="J31" s="422" t="str">
        <f t="shared" si="21"/>
        <v>-</v>
      </c>
      <c r="K31" s="200" t="str">
        <f t="shared" si="22"/>
        <v>-</v>
      </c>
      <c r="L31" s="581"/>
      <c r="M31" s="431" t="e">
        <f>RANK(K31, K$24:$K$41)</f>
        <v>#VALUE!</v>
      </c>
      <c r="N31" s="564"/>
      <c r="O31" s="564"/>
      <c r="P31" s="418"/>
      <c r="Q31" s="418"/>
      <c r="R31" s="418"/>
      <c r="S31" s="428" t="e">
        <f t="shared" si="25"/>
        <v>#N/A</v>
      </c>
      <c r="T31" s="565"/>
      <c r="U31" s="418"/>
      <c r="V31" s="418"/>
      <c r="W31" s="418"/>
      <c r="X31" s="428" t="e">
        <f t="shared" si="26"/>
        <v>#N/A</v>
      </c>
      <c r="Y31" s="565"/>
      <c r="Z31" s="418"/>
      <c r="AA31" s="418"/>
      <c r="AB31" s="418"/>
      <c r="AC31" s="428" t="e">
        <f t="shared" si="27"/>
        <v>#N/A</v>
      </c>
      <c r="AD31" s="565"/>
      <c r="AE31" s="418"/>
      <c r="AF31" s="418"/>
      <c r="AG31" s="418"/>
      <c r="AH31" s="428" t="e">
        <f t="shared" si="28"/>
        <v>#N/A</v>
      </c>
      <c r="AI31" s="565"/>
      <c r="AJ31" s="418"/>
      <c r="AK31" s="418"/>
      <c r="AL31" s="418"/>
      <c r="AM31" s="428" t="e">
        <f t="shared" si="29"/>
        <v>#N/A</v>
      </c>
      <c r="AN31" s="565"/>
      <c r="AO31" s="418"/>
      <c r="AP31" s="418"/>
      <c r="AQ31" s="418"/>
      <c r="AR31" s="428" t="e">
        <f t="shared" si="30"/>
        <v>#N/A</v>
      </c>
      <c r="AS31" s="565"/>
      <c r="AT31" s="418"/>
      <c r="AU31" s="418"/>
      <c r="AV31" s="418"/>
      <c r="AW31" s="428" t="e">
        <f t="shared" si="31"/>
        <v>#N/A</v>
      </c>
      <c r="AX31" s="565"/>
      <c r="AZ31" s="407" t="e">
        <f t="shared" si="23"/>
        <v>#N/A</v>
      </c>
      <c r="BA31" s="560"/>
    </row>
    <row r="32" spans="2:53">
      <c r="B32" s="570"/>
      <c r="C32" s="418">
        <v>6</v>
      </c>
      <c r="D32" s="226"/>
      <c r="E32" s="425"/>
      <c r="F32" s="418"/>
      <c r="G32" s="419"/>
      <c r="H32" s="628"/>
      <c r="I32" s="422" t="str">
        <f t="shared" si="20"/>
        <v>-</v>
      </c>
      <c r="J32" s="422" t="str">
        <f t="shared" si="21"/>
        <v>-</v>
      </c>
      <c r="K32" s="200" t="str">
        <f t="shared" si="22"/>
        <v>-</v>
      </c>
      <c r="L32" s="581"/>
      <c r="M32" s="431" t="e">
        <f>RANK(K32, K$24:$K$41)</f>
        <v>#VALUE!</v>
      </c>
      <c r="N32" s="564"/>
      <c r="O32" s="564"/>
      <c r="P32" s="418"/>
      <c r="Q32" s="418"/>
      <c r="R32" s="418"/>
      <c r="S32" s="428" t="e">
        <f t="shared" si="25"/>
        <v>#N/A</v>
      </c>
      <c r="T32" s="565"/>
      <c r="U32" s="418"/>
      <c r="V32" s="418"/>
      <c r="W32" s="418"/>
      <c r="X32" s="428" t="e">
        <f t="shared" si="26"/>
        <v>#N/A</v>
      </c>
      <c r="Y32" s="565"/>
      <c r="Z32" s="418"/>
      <c r="AA32" s="418"/>
      <c r="AB32" s="418"/>
      <c r="AC32" s="428" t="e">
        <f t="shared" si="27"/>
        <v>#N/A</v>
      </c>
      <c r="AD32" s="565"/>
      <c r="AE32" s="418"/>
      <c r="AF32" s="418"/>
      <c r="AG32" s="418"/>
      <c r="AH32" s="428" t="e">
        <f t="shared" si="28"/>
        <v>#N/A</v>
      </c>
      <c r="AI32" s="565"/>
      <c r="AJ32" s="418"/>
      <c r="AK32" s="418"/>
      <c r="AL32" s="418"/>
      <c r="AM32" s="428" t="e">
        <f t="shared" si="29"/>
        <v>#N/A</v>
      </c>
      <c r="AN32" s="565"/>
      <c r="AO32" s="418"/>
      <c r="AP32" s="418"/>
      <c r="AQ32" s="418"/>
      <c r="AR32" s="428" t="e">
        <f t="shared" si="30"/>
        <v>#N/A</v>
      </c>
      <c r="AS32" s="565"/>
      <c r="AT32" s="418"/>
      <c r="AU32" s="418"/>
      <c r="AV32" s="418"/>
      <c r="AW32" s="428" t="e">
        <f t="shared" si="31"/>
        <v>#N/A</v>
      </c>
      <c r="AX32" s="565"/>
      <c r="AZ32" s="407" t="e">
        <f t="shared" si="23"/>
        <v>#N/A</v>
      </c>
      <c r="BA32" s="560"/>
    </row>
    <row r="33" spans="2:53">
      <c r="B33" s="570"/>
      <c r="C33" s="418">
        <v>7</v>
      </c>
      <c r="D33" s="226"/>
      <c r="E33" s="425"/>
      <c r="F33" s="418"/>
      <c r="G33" s="419"/>
      <c r="H33" s="628"/>
      <c r="I33" s="422" t="str">
        <f t="shared" si="20"/>
        <v>-</v>
      </c>
      <c r="J33" s="422" t="str">
        <f t="shared" si="21"/>
        <v>-</v>
      </c>
      <c r="K33" s="200" t="str">
        <f t="shared" si="22"/>
        <v>-</v>
      </c>
      <c r="L33" s="581"/>
      <c r="M33" s="431" t="e">
        <f>RANK(K33, K$24:$K$41)</f>
        <v>#VALUE!</v>
      </c>
      <c r="N33" s="564"/>
      <c r="O33" s="564"/>
      <c r="P33" s="418"/>
      <c r="Q33" s="418"/>
      <c r="R33" s="418"/>
      <c r="S33" s="428" t="e">
        <f t="shared" si="25"/>
        <v>#N/A</v>
      </c>
      <c r="T33" s="565"/>
      <c r="U33" s="418"/>
      <c r="V33" s="418"/>
      <c r="W33" s="418"/>
      <c r="X33" s="428" t="e">
        <f t="shared" si="26"/>
        <v>#N/A</v>
      </c>
      <c r="Y33" s="565"/>
      <c r="Z33" s="418"/>
      <c r="AA33" s="418"/>
      <c r="AB33" s="418"/>
      <c r="AC33" s="428" t="e">
        <f t="shared" si="27"/>
        <v>#N/A</v>
      </c>
      <c r="AD33" s="565"/>
      <c r="AE33" s="418"/>
      <c r="AF33" s="418"/>
      <c r="AG33" s="418"/>
      <c r="AH33" s="428" t="e">
        <f t="shared" si="28"/>
        <v>#N/A</v>
      </c>
      <c r="AI33" s="565"/>
      <c r="AJ33" s="418"/>
      <c r="AK33" s="418"/>
      <c r="AL33" s="418"/>
      <c r="AM33" s="428" t="e">
        <f t="shared" si="29"/>
        <v>#N/A</v>
      </c>
      <c r="AN33" s="565"/>
      <c r="AO33" s="418"/>
      <c r="AP33" s="418"/>
      <c r="AQ33" s="418"/>
      <c r="AR33" s="428" t="e">
        <f t="shared" si="30"/>
        <v>#N/A</v>
      </c>
      <c r="AS33" s="565"/>
      <c r="AT33" s="418"/>
      <c r="AU33" s="418"/>
      <c r="AV33" s="418"/>
      <c r="AW33" s="428" t="e">
        <f t="shared" si="31"/>
        <v>#N/A</v>
      </c>
      <c r="AX33" s="565"/>
      <c r="AZ33" s="407" t="e">
        <f t="shared" si="23"/>
        <v>#N/A</v>
      </c>
      <c r="BA33" s="560"/>
    </row>
    <row r="34" spans="2:53">
      <c r="B34" s="570"/>
      <c r="C34" s="418">
        <v>8</v>
      </c>
      <c r="D34" s="226"/>
      <c r="E34" s="425"/>
      <c r="F34" s="418"/>
      <c r="G34" s="419"/>
      <c r="H34" s="628"/>
      <c r="I34" s="422" t="str">
        <f t="shared" si="20"/>
        <v>-</v>
      </c>
      <c r="J34" s="422" t="str">
        <f t="shared" si="21"/>
        <v>-</v>
      </c>
      <c r="K34" s="200" t="str">
        <f t="shared" si="22"/>
        <v>-</v>
      </c>
      <c r="L34" s="581"/>
      <c r="M34" s="431" t="e">
        <f>RANK(K34, K$24:$K$41)</f>
        <v>#VALUE!</v>
      </c>
      <c r="N34" s="564"/>
      <c r="O34" s="564"/>
      <c r="P34" s="418"/>
      <c r="Q34" s="418"/>
      <c r="R34" s="418"/>
      <c r="S34" s="428" t="e">
        <f t="shared" si="25"/>
        <v>#N/A</v>
      </c>
      <c r="T34" s="565"/>
      <c r="U34" s="418"/>
      <c r="V34" s="418"/>
      <c r="W34" s="418"/>
      <c r="X34" s="428" t="e">
        <f t="shared" si="26"/>
        <v>#N/A</v>
      </c>
      <c r="Y34" s="565"/>
      <c r="Z34" s="418"/>
      <c r="AA34" s="418"/>
      <c r="AB34" s="418"/>
      <c r="AC34" s="428" t="e">
        <f t="shared" si="27"/>
        <v>#N/A</v>
      </c>
      <c r="AD34" s="565"/>
      <c r="AE34" s="418"/>
      <c r="AF34" s="418"/>
      <c r="AG34" s="418"/>
      <c r="AH34" s="428" t="e">
        <f t="shared" si="28"/>
        <v>#N/A</v>
      </c>
      <c r="AI34" s="565"/>
      <c r="AJ34" s="418"/>
      <c r="AK34" s="418"/>
      <c r="AL34" s="418"/>
      <c r="AM34" s="428" t="e">
        <f t="shared" si="29"/>
        <v>#N/A</v>
      </c>
      <c r="AN34" s="565"/>
      <c r="AO34" s="418"/>
      <c r="AP34" s="418"/>
      <c r="AQ34" s="418"/>
      <c r="AR34" s="428" t="e">
        <f t="shared" si="30"/>
        <v>#N/A</v>
      </c>
      <c r="AS34" s="565"/>
      <c r="AT34" s="418"/>
      <c r="AU34" s="418"/>
      <c r="AV34" s="418"/>
      <c r="AW34" s="428" t="e">
        <f t="shared" si="31"/>
        <v>#N/A</v>
      </c>
      <c r="AX34" s="565"/>
      <c r="AZ34" s="407" t="e">
        <f t="shared" si="23"/>
        <v>#N/A</v>
      </c>
      <c r="BA34" s="560"/>
    </row>
    <row r="35" spans="2:53">
      <c r="B35" s="570"/>
      <c r="C35" s="418">
        <v>9</v>
      </c>
      <c r="D35" s="226"/>
      <c r="E35" s="425"/>
      <c r="F35" s="418"/>
      <c r="G35" s="419"/>
      <c r="H35" s="628"/>
      <c r="I35" s="422" t="str">
        <f t="shared" si="20"/>
        <v>-</v>
      </c>
      <c r="J35" s="422" t="str">
        <f t="shared" si="21"/>
        <v>-</v>
      </c>
      <c r="K35" s="200" t="str">
        <f t="shared" si="22"/>
        <v>-</v>
      </c>
      <c r="L35" s="581"/>
      <c r="M35" s="431" t="e">
        <f>RANK(K35, K$24:$K$41)</f>
        <v>#VALUE!</v>
      </c>
      <c r="N35" s="564"/>
      <c r="O35" s="564"/>
      <c r="P35" s="418"/>
      <c r="Q35" s="418"/>
      <c r="R35" s="418"/>
      <c r="S35" s="428" t="e">
        <f t="shared" si="25"/>
        <v>#N/A</v>
      </c>
      <c r="T35" s="565"/>
      <c r="U35" s="418"/>
      <c r="V35" s="418"/>
      <c r="W35" s="418"/>
      <c r="X35" s="428" t="e">
        <f t="shared" si="26"/>
        <v>#N/A</v>
      </c>
      <c r="Y35" s="565"/>
      <c r="Z35" s="418"/>
      <c r="AA35" s="418"/>
      <c r="AB35" s="418"/>
      <c r="AC35" s="428" t="e">
        <f t="shared" si="27"/>
        <v>#N/A</v>
      </c>
      <c r="AD35" s="565"/>
      <c r="AE35" s="418"/>
      <c r="AF35" s="418"/>
      <c r="AG35" s="418"/>
      <c r="AH35" s="428" t="e">
        <f t="shared" si="28"/>
        <v>#N/A</v>
      </c>
      <c r="AI35" s="565"/>
      <c r="AJ35" s="418"/>
      <c r="AK35" s="418"/>
      <c r="AL35" s="418"/>
      <c r="AM35" s="428" t="e">
        <f t="shared" si="29"/>
        <v>#N/A</v>
      </c>
      <c r="AN35" s="565"/>
      <c r="AO35" s="418"/>
      <c r="AP35" s="418"/>
      <c r="AQ35" s="418"/>
      <c r="AR35" s="428" t="e">
        <f t="shared" si="30"/>
        <v>#N/A</v>
      </c>
      <c r="AS35" s="565"/>
      <c r="AT35" s="418"/>
      <c r="AU35" s="418"/>
      <c r="AV35" s="418"/>
      <c r="AW35" s="428" t="e">
        <f t="shared" si="31"/>
        <v>#N/A</v>
      </c>
      <c r="AX35" s="565"/>
      <c r="AZ35" s="407" t="e">
        <f t="shared" si="23"/>
        <v>#N/A</v>
      </c>
      <c r="BA35" s="560"/>
    </row>
    <row r="36" spans="2:53">
      <c r="B36" s="570"/>
      <c r="C36" s="418">
        <v>10</v>
      </c>
      <c r="D36" s="226"/>
      <c r="E36" s="425"/>
      <c r="F36" s="418"/>
      <c r="G36" s="419"/>
      <c r="H36" s="628"/>
      <c r="I36" s="422" t="str">
        <f t="shared" si="20"/>
        <v>-</v>
      </c>
      <c r="J36" s="422" t="str">
        <f t="shared" si="21"/>
        <v>-</v>
      </c>
      <c r="K36" s="200" t="str">
        <f t="shared" si="22"/>
        <v>-</v>
      </c>
      <c r="L36" s="581"/>
      <c r="M36" s="431" t="e">
        <f>RANK(K36, K$24:$K$41)</f>
        <v>#VALUE!</v>
      </c>
      <c r="N36" s="564"/>
      <c r="O36" s="564"/>
      <c r="P36" s="418"/>
      <c r="Q36" s="418"/>
      <c r="R36" s="418"/>
      <c r="S36" s="428" t="e">
        <f t="shared" si="25"/>
        <v>#N/A</v>
      </c>
      <c r="T36" s="565"/>
      <c r="U36" s="418"/>
      <c r="V36" s="418"/>
      <c r="W36" s="418"/>
      <c r="X36" s="428" t="e">
        <f t="shared" si="26"/>
        <v>#N/A</v>
      </c>
      <c r="Y36" s="565"/>
      <c r="Z36" s="418"/>
      <c r="AA36" s="418"/>
      <c r="AB36" s="418"/>
      <c r="AC36" s="428" t="e">
        <f t="shared" si="27"/>
        <v>#N/A</v>
      </c>
      <c r="AD36" s="565"/>
      <c r="AE36" s="418"/>
      <c r="AF36" s="418"/>
      <c r="AG36" s="418"/>
      <c r="AH36" s="428" t="e">
        <f t="shared" si="28"/>
        <v>#N/A</v>
      </c>
      <c r="AI36" s="565"/>
      <c r="AJ36" s="418"/>
      <c r="AK36" s="418"/>
      <c r="AL36" s="418"/>
      <c r="AM36" s="428" t="e">
        <f t="shared" si="29"/>
        <v>#N/A</v>
      </c>
      <c r="AN36" s="565"/>
      <c r="AO36" s="418"/>
      <c r="AP36" s="418"/>
      <c r="AQ36" s="418"/>
      <c r="AR36" s="428" t="e">
        <f t="shared" si="30"/>
        <v>#N/A</v>
      </c>
      <c r="AS36" s="565"/>
      <c r="AT36" s="418"/>
      <c r="AU36" s="418"/>
      <c r="AV36" s="418"/>
      <c r="AW36" s="428" t="e">
        <f t="shared" si="31"/>
        <v>#N/A</v>
      </c>
      <c r="AX36" s="565"/>
      <c r="AZ36" s="407" t="e">
        <f t="shared" si="23"/>
        <v>#N/A</v>
      </c>
      <c r="BA36" s="560"/>
    </row>
    <row r="37" spans="2:53">
      <c r="B37" s="570"/>
      <c r="C37" s="418">
        <v>11</v>
      </c>
      <c r="D37" s="226"/>
      <c r="E37" s="425"/>
      <c r="F37" s="418"/>
      <c r="G37" s="419"/>
      <c r="H37" s="628"/>
      <c r="I37" s="422" t="str">
        <f t="shared" si="20"/>
        <v>-</v>
      </c>
      <c r="J37" s="422" t="str">
        <f t="shared" si="21"/>
        <v>-</v>
      </c>
      <c r="K37" s="200" t="str">
        <f t="shared" si="22"/>
        <v>-</v>
      </c>
      <c r="L37" s="581"/>
      <c r="M37" s="431" t="e">
        <f>RANK(K37, K$24:$K$41)</f>
        <v>#VALUE!</v>
      </c>
      <c r="N37" s="564"/>
      <c r="O37" s="564"/>
      <c r="P37" s="418"/>
      <c r="Q37" s="418"/>
      <c r="R37" s="418"/>
      <c r="S37" s="428" t="e">
        <f t="shared" si="25"/>
        <v>#N/A</v>
      </c>
      <c r="T37" s="565"/>
      <c r="U37" s="418"/>
      <c r="V37" s="418"/>
      <c r="W37" s="418"/>
      <c r="X37" s="428" t="e">
        <f t="shared" si="26"/>
        <v>#N/A</v>
      </c>
      <c r="Y37" s="565"/>
      <c r="Z37" s="418"/>
      <c r="AA37" s="418"/>
      <c r="AB37" s="418"/>
      <c r="AC37" s="428" t="e">
        <f t="shared" si="27"/>
        <v>#N/A</v>
      </c>
      <c r="AD37" s="565"/>
      <c r="AE37" s="418"/>
      <c r="AF37" s="418"/>
      <c r="AG37" s="418"/>
      <c r="AH37" s="428" t="e">
        <f t="shared" si="28"/>
        <v>#N/A</v>
      </c>
      <c r="AI37" s="565"/>
      <c r="AJ37" s="418"/>
      <c r="AK37" s="418"/>
      <c r="AL37" s="418"/>
      <c r="AM37" s="428" t="e">
        <f t="shared" si="29"/>
        <v>#N/A</v>
      </c>
      <c r="AN37" s="565"/>
      <c r="AO37" s="418"/>
      <c r="AP37" s="418"/>
      <c r="AQ37" s="418"/>
      <c r="AR37" s="428" t="e">
        <f t="shared" si="30"/>
        <v>#N/A</v>
      </c>
      <c r="AS37" s="565"/>
      <c r="AT37" s="418"/>
      <c r="AU37" s="418"/>
      <c r="AV37" s="418"/>
      <c r="AW37" s="428" t="e">
        <f t="shared" si="31"/>
        <v>#N/A</v>
      </c>
      <c r="AX37" s="565"/>
      <c r="AZ37" s="407" t="e">
        <f t="shared" si="23"/>
        <v>#N/A</v>
      </c>
      <c r="BA37" s="560"/>
    </row>
    <row r="38" spans="2:53">
      <c r="B38" s="570"/>
      <c r="C38" s="418">
        <v>12</v>
      </c>
      <c r="D38" s="226"/>
      <c r="E38" s="425"/>
      <c r="F38" s="418"/>
      <c r="G38" s="419"/>
      <c r="H38" s="628"/>
      <c r="I38" s="422" t="str">
        <f t="shared" si="20"/>
        <v>-</v>
      </c>
      <c r="J38" s="422" t="str">
        <f t="shared" si="21"/>
        <v>-</v>
      </c>
      <c r="K38" s="200" t="str">
        <f t="shared" si="22"/>
        <v>-</v>
      </c>
      <c r="L38" s="581"/>
      <c r="M38" s="431" t="e">
        <f>RANK(K38, K$24:$K$41)</f>
        <v>#VALUE!</v>
      </c>
      <c r="N38" s="564"/>
      <c r="O38" s="564"/>
      <c r="P38" s="418"/>
      <c r="Q38" s="418"/>
      <c r="R38" s="418"/>
      <c r="S38" s="428" t="e">
        <f t="shared" si="25"/>
        <v>#N/A</v>
      </c>
      <c r="T38" s="565"/>
      <c r="U38" s="418"/>
      <c r="V38" s="418"/>
      <c r="W38" s="418"/>
      <c r="X38" s="428" t="e">
        <f t="shared" si="26"/>
        <v>#N/A</v>
      </c>
      <c r="Y38" s="565"/>
      <c r="Z38" s="418"/>
      <c r="AA38" s="418"/>
      <c r="AB38" s="418"/>
      <c r="AC38" s="428" t="e">
        <f t="shared" si="27"/>
        <v>#N/A</v>
      </c>
      <c r="AD38" s="565"/>
      <c r="AE38" s="418"/>
      <c r="AF38" s="418"/>
      <c r="AG38" s="418"/>
      <c r="AH38" s="428" t="e">
        <f t="shared" si="28"/>
        <v>#N/A</v>
      </c>
      <c r="AI38" s="565"/>
      <c r="AJ38" s="418"/>
      <c r="AK38" s="418"/>
      <c r="AL38" s="418"/>
      <c r="AM38" s="428" t="e">
        <f t="shared" si="29"/>
        <v>#N/A</v>
      </c>
      <c r="AN38" s="565"/>
      <c r="AO38" s="418"/>
      <c r="AP38" s="418"/>
      <c r="AQ38" s="418"/>
      <c r="AR38" s="428" t="e">
        <f t="shared" si="30"/>
        <v>#N/A</v>
      </c>
      <c r="AS38" s="565"/>
      <c r="AT38" s="418"/>
      <c r="AU38" s="418"/>
      <c r="AV38" s="418"/>
      <c r="AW38" s="428" t="e">
        <f t="shared" si="31"/>
        <v>#N/A</v>
      </c>
      <c r="AX38" s="565"/>
      <c r="AZ38" s="407" t="e">
        <f t="shared" si="23"/>
        <v>#N/A</v>
      </c>
      <c r="BA38" s="560"/>
    </row>
    <row r="39" spans="2:53">
      <c r="B39" s="570"/>
      <c r="C39" s="418">
        <v>13</v>
      </c>
      <c r="D39" s="226"/>
      <c r="E39" s="425"/>
      <c r="F39" s="418"/>
      <c r="G39" s="419"/>
      <c r="H39" s="628"/>
      <c r="I39" s="422" t="str">
        <f t="shared" si="20"/>
        <v>-</v>
      </c>
      <c r="J39" s="422" t="str">
        <f t="shared" si="21"/>
        <v>-</v>
      </c>
      <c r="K39" s="200" t="str">
        <f t="shared" si="22"/>
        <v>-</v>
      </c>
      <c r="L39" s="581"/>
      <c r="M39" s="431" t="e">
        <f>RANK(K39, K$24:$K$41)</f>
        <v>#VALUE!</v>
      </c>
      <c r="N39" s="564"/>
      <c r="O39" s="564"/>
      <c r="P39" s="418"/>
      <c r="Q39" s="418"/>
      <c r="R39" s="418"/>
      <c r="S39" s="428" t="e">
        <f t="shared" si="25"/>
        <v>#N/A</v>
      </c>
      <c r="T39" s="565"/>
      <c r="U39" s="418"/>
      <c r="V39" s="418"/>
      <c r="W39" s="418"/>
      <c r="X39" s="428" t="e">
        <f t="shared" si="26"/>
        <v>#N/A</v>
      </c>
      <c r="Y39" s="565"/>
      <c r="Z39" s="418"/>
      <c r="AA39" s="418"/>
      <c r="AB39" s="418"/>
      <c r="AC39" s="428" t="e">
        <f t="shared" si="27"/>
        <v>#N/A</v>
      </c>
      <c r="AD39" s="565"/>
      <c r="AE39" s="418"/>
      <c r="AF39" s="418"/>
      <c r="AG39" s="418"/>
      <c r="AH39" s="428" t="e">
        <f t="shared" si="28"/>
        <v>#N/A</v>
      </c>
      <c r="AI39" s="565"/>
      <c r="AJ39" s="418"/>
      <c r="AK39" s="418"/>
      <c r="AL39" s="418"/>
      <c r="AM39" s="428" t="e">
        <f t="shared" si="29"/>
        <v>#N/A</v>
      </c>
      <c r="AN39" s="565"/>
      <c r="AO39" s="418"/>
      <c r="AP39" s="418"/>
      <c r="AQ39" s="418"/>
      <c r="AR39" s="428" t="e">
        <f t="shared" si="30"/>
        <v>#N/A</v>
      </c>
      <c r="AS39" s="565"/>
      <c r="AT39" s="418"/>
      <c r="AU39" s="418"/>
      <c r="AV39" s="418"/>
      <c r="AW39" s="428" t="e">
        <f t="shared" si="31"/>
        <v>#N/A</v>
      </c>
      <c r="AX39" s="565"/>
      <c r="AZ39" s="407" t="e">
        <f t="shared" si="23"/>
        <v>#N/A</v>
      </c>
      <c r="BA39" s="560"/>
    </row>
    <row r="40" spans="2:53">
      <c r="B40" s="570"/>
      <c r="C40" s="418">
        <v>14</v>
      </c>
      <c r="D40" s="226"/>
      <c r="E40" s="425"/>
      <c r="F40" s="418"/>
      <c r="G40" s="419"/>
      <c r="H40" s="628"/>
      <c r="I40" s="422" t="str">
        <f t="shared" si="20"/>
        <v>-</v>
      </c>
      <c r="J40" s="422" t="str">
        <f t="shared" si="21"/>
        <v>-</v>
      </c>
      <c r="K40" s="200" t="str">
        <f t="shared" si="22"/>
        <v>-</v>
      </c>
      <c r="L40" s="581"/>
      <c r="M40" s="431" t="e">
        <f>RANK(K40, K$24:$K$41)</f>
        <v>#VALUE!</v>
      </c>
      <c r="N40" s="564"/>
      <c r="O40" s="564"/>
      <c r="P40" s="418"/>
      <c r="Q40" s="418"/>
      <c r="R40" s="418"/>
      <c r="S40" s="428" t="e">
        <f t="shared" si="25"/>
        <v>#N/A</v>
      </c>
      <c r="T40" s="565"/>
      <c r="U40" s="418"/>
      <c r="V40" s="418"/>
      <c r="W40" s="418"/>
      <c r="X40" s="428" t="e">
        <f t="shared" si="26"/>
        <v>#N/A</v>
      </c>
      <c r="Y40" s="565"/>
      <c r="Z40" s="418"/>
      <c r="AA40" s="418"/>
      <c r="AB40" s="418"/>
      <c r="AC40" s="428" t="e">
        <f t="shared" si="27"/>
        <v>#N/A</v>
      </c>
      <c r="AD40" s="565"/>
      <c r="AE40" s="418"/>
      <c r="AF40" s="418"/>
      <c r="AG40" s="418"/>
      <c r="AH40" s="428" t="e">
        <f t="shared" si="28"/>
        <v>#N/A</v>
      </c>
      <c r="AI40" s="565"/>
      <c r="AJ40" s="418"/>
      <c r="AK40" s="418"/>
      <c r="AL40" s="418"/>
      <c r="AM40" s="428" t="e">
        <f t="shared" si="29"/>
        <v>#N/A</v>
      </c>
      <c r="AN40" s="565"/>
      <c r="AO40" s="418"/>
      <c r="AP40" s="418"/>
      <c r="AQ40" s="418"/>
      <c r="AR40" s="428" t="e">
        <f t="shared" si="30"/>
        <v>#N/A</v>
      </c>
      <c r="AS40" s="565"/>
      <c r="AT40" s="418"/>
      <c r="AU40" s="418"/>
      <c r="AV40" s="418"/>
      <c r="AW40" s="428" t="e">
        <f t="shared" si="31"/>
        <v>#N/A</v>
      </c>
      <c r="AX40" s="565"/>
      <c r="AZ40" s="407" t="e">
        <f t="shared" si="23"/>
        <v>#N/A</v>
      </c>
      <c r="BA40" s="560"/>
    </row>
    <row r="41" spans="2:53">
      <c r="B41" s="570"/>
      <c r="C41" s="418">
        <v>15</v>
      </c>
      <c r="D41" s="226"/>
      <c r="E41" s="425"/>
      <c r="F41" s="418"/>
      <c r="G41" s="419"/>
      <c r="H41" s="629"/>
      <c r="I41" s="202"/>
      <c r="J41" s="202"/>
      <c r="K41" s="202"/>
      <c r="L41" s="582"/>
      <c r="M41" s="429" t="e">
        <f>RANK(K41, K$24:$K$41)</f>
        <v>#N/A</v>
      </c>
      <c r="N41" s="564"/>
      <c r="O41" s="564"/>
      <c r="P41" s="418"/>
      <c r="Q41" s="418"/>
      <c r="R41" s="418"/>
      <c r="S41" s="428" t="e">
        <f t="shared" si="25"/>
        <v>#N/A</v>
      </c>
      <c r="T41" s="565"/>
      <c r="U41" s="418"/>
      <c r="V41" s="418"/>
      <c r="W41" s="418"/>
      <c r="X41" s="428" t="e">
        <f t="shared" si="26"/>
        <v>#N/A</v>
      </c>
      <c r="Y41" s="565"/>
      <c r="Z41" s="418"/>
      <c r="AA41" s="418"/>
      <c r="AB41" s="418"/>
      <c r="AC41" s="428" t="e">
        <f t="shared" si="27"/>
        <v>#N/A</v>
      </c>
      <c r="AD41" s="565"/>
      <c r="AE41" s="418"/>
      <c r="AF41" s="418"/>
      <c r="AG41" s="418"/>
      <c r="AH41" s="428" t="e">
        <f t="shared" si="28"/>
        <v>#N/A</v>
      </c>
      <c r="AI41" s="565"/>
      <c r="AJ41" s="418"/>
      <c r="AK41" s="418"/>
      <c r="AL41" s="418"/>
      <c r="AM41" s="428" t="e">
        <f t="shared" si="29"/>
        <v>#N/A</v>
      </c>
      <c r="AN41" s="565"/>
      <c r="AO41" s="418"/>
      <c r="AP41" s="418"/>
      <c r="AQ41" s="418"/>
      <c r="AR41" s="428" t="e">
        <f t="shared" si="30"/>
        <v>#N/A</v>
      </c>
      <c r="AS41" s="565"/>
      <c r="AT41" s="418"/>
      <c r="AU41" s="418"/>
      <c r="AV41" s="418"/>
      <c r="AW41" s="428" t="e">
        <f t="shared" si="31"/>
        <v>#N/A</v>
      </c>
      <c r="AX41" s="565"/>
      <c r="AZ41" s="407" t="e">
        <f t="shared" si="23"/>
        <v>#N/A</v>
      </c>
      <c r="BA41" s="561"/>
    </row>
    <row r="42" spans="2:53" ht="15.75">
      <c r="B42" s="608" t="s">
        <v>163</v>
      </c>
      <c r="C42" s="609"/>
      <c r="D42" s="609"/>
      <c r="E42" s="609"/>
      <c r="F42" s="609"/>
      <c r="G42" s="609"/>
      <c r="H42" s="609"/>
      <c r="I42" s="208"/>
      <c r="J42" s="203"/>
      <c r="K42" s="208"/>
      <c r="L42" s="208"/>
      <c r="M42" s="204"/>
      <c r="N42" s="566" t="s">
        <v>156</v>
      </c>
      <c r="O42" s="566" t="s">
        <v>105</v>
      </c>
      <c r="P42" s="592">
        <f>P22+7</f>
        <v>46154</v>
      </c>
      <c r="Q42" s="570"/>
      <c r="R42" s="570"/>
      <c r="S42" s="570"/>
      <c r="T42" s="570"/>
      <c r="U42" s="589">
        <f>P42+1</f>
        <v>46155</v>
      </c>
      <c r="V42" s="590"/>
      <c r="W42" s="590"/>
      <c r="X42" s="590"/>
      <c r="Y42" s="591"/>
      <c r="Z42" s="589">
        <f>U42+1</f>
        <v>46156</v>
      </c>
      <c r="AA42" s="590"/>
      <c r="AB42" s="590"/>
      <c r="AC42" s="590"/>
      <c r="AD42" s="591"/>
      <c r="AE42" s="589">
        <f>Z42+1</f>
        <v>46157</v>
      </c>
      <c r="AF42" s="590"/>
      <c r="AG42" s="590"/>
      <c r="AH42" s="590"/>
      <c r="AI42" s="591"/>
      <c r="AJ42" s="589">
        <f>AE42+1</f>
        <v>46158</v>
      </c>
      <c r="AK42" s="590"/>
      <c r="AL42" s="590"/>
      <c r="AM42" s="590"/>
      <c r="AN42" s="591"/>
      <c r="AO42" s="589">
        <f>AJ42+1</f>
        <v>46159</v>
      </c>
      <c r="AP42" s="590"/>
      <c r="AQ42" s="590"/>
      <c r="AR42" s="590"/>
      <c r="AS42" s="591"/>
      <c r="AT42" s="589">
        <f>AO42+1</f>
        <v>46160</v>
      </c>
      <c r="AU42" s="590"/>
      <c r="AV42" s="590"/>
      <c r="AW42" s="590"/>
      <c r="AX42" s="591"/>
    </row>
    <row r="43" spans="2:53" ht="15.75">
      <c r="B43" s="596"/>
      <c r="C43" s="596"/>
      <c r="D43" s="596"/>
      <c r="E43" s="596"/>
      <c r="F43" s="596"/>
      <c r="G43" s="596"/>
      <c r="H43" s="596"/>
      <c r="I43" s="205"/>
      <c r="J43" s="205"/>
      <c r="K43" s="205"/>
      <c r="L43" s="205"/>
      <c r="M43" s="206"/>
      <c r="N43" s="568"/>
      <c r="O43" s="568"/>
      <c r="P43" s="592" t="s">
        <v>318</v>
      </c>
      <c r="Q43" s="570"/>
      <c r="R43" s="570"/>
      <c r="S43" s="570"/>
      <c r="T43" s="570"/>
      <c r="U43" s="592" t="s">
        <v>319</v>
      </c>
      <c r="V43" s="570"/>
      <c r="W43" s="570"/>
      <c r="X43" s="570"/>
      <c r="Y43" s="570"/>
      <c r="Z43" s="592" t="s">
        <v>320</v>
      </c>
      <c r="AA43" s="570"/>
      <c r="AB43" s="570"/>
      <c r="AC43" s="570"/>
      <c r="AD43" s="570"/>
      <c r="AE43" s="592" t="s">
        <v>321</v>
      </c>
      <c r="AF43" s="570"/>
      <c r="AG43" s="570"/>
      <c r="AH43" s="570"/>
      <c r="AI43" s="570"/>
      <c r="AJ43" s="592" t="s">
        <v>322</v>
      </c>
      <c r="AK43" s="570"/>
      <c r="AL43" s="570"/>
      <c r="AM43" s="570"/>
      <c r="AN43" s="570"/>
      <c r="AO43" s="592" t="s">
        <v>323</v>
      </c>
      <c r="AP43" s="570"/>
      <c r="AQ43" s="570"/>
      <c r="AR43" s="570"/>
      <c r="AS43" s="570"/>
      <c r="AT43" s="592" t="s">
        <v>324</v>
      </c>
      <c r="AU43" s="570"/>
      <c r="AV43" s="570"/>
      <c r="AW43" s="570"/>
      <c r="AX43" s="570"/>
    </row>
    <row r="44" spans="2:53">
      <c r="B44" s="564" t="s">
        <v>468</v>
      </c>
      <c r="C44" s="564" t="s">
        <v>387</v>
      </c>
      <c r="D44" s="564"/>
      <c r="E44" s="564" t="s">
        <v>378</v>
      </c>
      <c r="F44" s="564"/>
      <c r="G44" s="564"/>
      <c r="H44" s="597" t="s">
        <v>374</v>
      </c>
      <c r="I44" s="616" t="s">
        <v>379</v>
      </c>
      <c r="J44" s="616"/>
      <c r="K44" s="616"/>
      <c r="L44" s="617" t="s">
        <v>374</v>
      </c>
      <c r="M44" s="602" t="s">
        <v>375</v>
      </c>
      <c r="N44" s="564"/>
      <c r="O44" s="564" t="s">
        <v>380</v>
      </c>
      <c r="P44" s="583" t="s">
        <v>376</v>
      </c>
      <c r="Q44" s="584"/>
      <c r="R44" s="584"/>
      <c r="S44" s="585"/>
      <c r="T44" s="564" t="s">
        <v>374</v>
      </c>
      <c r="U44" s="583" t="s">
        <v>376</v>
      </c>
      <c r="V44" s="584"/>
      <c r="W44" s="584"/>
      <c r="X44" s="585"/>
      <c r="Y44" s="564" t="s">
        <v>374</v>
      </c>
      <c r="Z44" s="583" t="s">
        <v>376</v>
      </c>
      <c r="AA44" s="584"/>
      <c r="AB44" s="584"/>
      <c r="AC44" s="585"/>
      <c r="AD44" s="564" t="s">
        <v>374</v>
      </c>
      <c r="AE44" s="583" t="s">
        <v>376</v>
      </c>
      <c r="AF44" s="584"/>
      <c r="AG44" s="584"/>
      <c r="AH44" s="585"/>
      <c r="AI44" s="564" t="s">
        <v>374</v>
      </c>
      <c r="AJ44" s="583" t="s">
        <v>376</v>
      </c>
      <c r="AK44" s="584"/>
      <c r="AL44" s="584"/>
      <c r="AM44" s="585"/>
      <c r="AN44" s="564" t="s">
        <v>374</v>
      </c>
      <c r="AO44" s="583" t="s">
        <v>376</v>
      </c>
      <c r="AP44" s="584"/>
      <c r="AQ44" s="584"/>
      <c r="AR44" s="585"/>
      <c r="AS44" s="564" t="s">
        <v>374</v>
      </c>
      <c r="AT44" s="583" t="s">
        <v>376</v>
      </c>
      <c r="AU44" s="584"/>
      <c r="AV44" s="584"/>
      <c r="AW44" s="585"/>
      <c r="AX44" s="564" t="s">
        <v>374</v>
      </c>
      <c r="BA44" s="564" t="s">
        <v>374</v>
      </c>
    </row>
    <row r="45" spans="2:53">
      <c r="B45" s="564"/>
      <c r="C45" s="564"/>
      <c r="D45" s="564"/>
      <c r="E45" s="564" t="s">
        <v>381</v>
      </c>
      <c r="F45" s="564"/>
      <c r="G45" s="564"/>
      <c r="H45" s="598"/>
      <c r="I45" s="616" t="s">
        <v>381</v>
      </c>
      <c r="J45" s="616"/>
      <c r="K45" s="616"/>
      <c r="L45" s="618"/>
      <c r="M45" s="603"/>
      <c r="N45" s="564"/>
      <c r="O45" s="564"/>
      <c r="P45" s="583" t="s">
        <v>382</v>
      </c>
      <c r="Q45" s="584"/>
      <c r="R45" s="584"/>
      <c r="S45" s="585"/>
      <c r="T45" s="564"/>
      <c r="U45" s="583" t="s">
        <v>382</v>
      </c>
      <c r="V45" s="584"/>
      <c r="W45" s="584"/>
      <c r="X45" s="585"/>
      <c r="Y45" s="564"/>
      <c r="Z45" s="583" t="s">
        <v>382</v>
      </c>
      <c r="AA45" s="584"/>
      <c r="AB45" s="584"/>
      <c r="AC45" s="585"/>
      <c r="AD45" s="564"/>
      <c r="AE45" s="583" t="s">
        <v>382</v>
      </c>
      <c r="AF45" s="584"/>
      <c r="AG45" s="584"/>
      <c r="AH45" s="585"/>
      <c r="AI45" s="564"/>
      <c r="AJ45" s="583" t="s">
        <v>382</v>
      </c>
      <c r="AK45" s="584"/>
      <c r="AL45" s="584"/>
      <c r="AM45" s="585"/>
      <c r="AN45" s="564"/>
      <c r="AO45" s="583" t="s">
        <v>382</v>
      </c>
      <c r="AP45" s="584"/>
      <c r="AQ45" s="584"/>
      <c r="AR45" s="585"/>
      <c r="AS45" s="564"/>
      <c r="AT45" s="583" t="s">
        <v>382</v>
      </c>
      <c r="AU45" s="584"/>
      <c r="AV45" s="584"/>
      <c r="AW45" s="585"/>
      <c r="AX45" s="564"/>
      <c r="BA45" s="564"/>
    </row>
    <row r="46" spans="2:53">
      <c r="B46" s="564"/>
      <c r="C46" s="564"/>
      <c r="D46" s="564"/>
      <c r="E46" s="417" t="s">
        <v>383</v>
      </c>
      <c r="F46" s="417" t="s">
        <v>384</v>
      </c>
      <c r="G46" s="417" t="s">
        <v>385</v>
      </c>
      <c r="H46" s="599"/>
      <c r="I46" s="416" t="s">
        <v>383</v>
      </c>
      <c r="J46" s="416" t="s">
        <v>384</v>
      </c>
      <c r="K46" s="416" t="s">
        <v>385</v>
      </c>
      <c r="L46" s="619"/>
      <c r="M46" s="604"/>
      <c r="N46" s="564"/>
      <c r="O46" s="564"/>
      <c r="P46" s="417" t="s">
        <v>383</v>
      </c>
      <c r="Q46" s="417" t="s">
        <v>384</v>
      </c>
      <c r="R46" s="417" t="s">
        <v>385</v>
      </c>
      <c r="S46" s="417" t="s">
        <v>375</v>
      </c>
      <c r="T46" s="564"/>
      <c r="U46" s="417" t="s">
        <v>383</v>
      </c>
      <c r="V46" s="417" t="s">
        <v>384</v>
      </c>
      <c r="W46" s="417" t="s">
        <v>385</v>
      </c>
      <c r="X46" s="417" t="s">
        <v>375</v>
      </c>
      <c r="Y46" s="564"/>
      <c r="Z46" s="417" t="s">
        <v>383</v>
      </c>
      <c r="AA46" s="417" t="s">
        <v>384</v>
      </c>
      <c r="AB46" s="417" t="s">
        <v>385</v>
      </c>
      <c r="AC46" s="417" t="s">
        <v>375</v>
      </c>
      <c r="AD46" s="564"/>
      <c r="AE46" s="417" t="s">
        <v>383</v>
      </c>
      <c r="AF46" s="417" t="s">
        <v>384</v>
      </c>
      <c r="AG46" s="417" t="s">
        <v>385</v>
      </c>
      <c r="AH46" s="417" t="s">
        <v>375</v>
      </c>
      <c r="AI46" s="564"/>
      <c r="AJ46" s="417" t="s">
        <v>383</v>
      </c>
      <c r="AK46" s="417" t="s">
        <v>384</v>
      </c>
      <c r="AL46" s="417" t="s">
        <v>385</v>
      </c>
      <c r="AM46" s="417" t="s">
        <v>375</v>
      </c>
      <c r="AN46" s="564"/>
      <c r="AO46" s="417" t="s">
        <v>383</v>
      </c>
      <c r="AP46" s="417" t="s">
        <v>384</v>
      </c>
      <c r="AQ46" s="417" t="s">
        <v>385</v>
      </c>
      <c r="AR46" s="417" t="s">
        <v>375</v>
      </c>
      <c r="AS46" s="564"/>
      <c r="AT46" s="417" t="s">
        <v>383</v>
      </c>
      <c r="AU46" s="417" t="s">
        <v>384</v>
      </c>
      <c r="AV46" s="417" t="s">
        <v>385</v>
      </c>
      <c r="AW46" s="417" t="s">
        <v>375</v>
      </c>
      <c r="AX46" s="564"/>
      <c r="AZ46" s="406" t="s">
        <v>375</v>
      </c>
      <c r="BA46" s="564"/>
    </row>
    <row r="47" spans="2:53">
      <c r="B47" s="564" t="s">
        <v>481</v>
      </c>
      <c r="C47" s="418">
        <v>1</v>
      </c>
      <c r="D47" s="226" t="s">
        <v>648</v>
      </c>
      <c r="E47" s="425">
        <v>15</v>
      </c>
      <c r="F47" s="418">
        <v>1500</v>
      </c>
      <c r="G47" s="419">
        <v>100</v>
      </c>
      <c r="H47" s="627">
        <f>AVERAGE(G47:G61)</f>
        <v>93.333333333333329</v>
      </c>
      <c r="I47" s="422">
        <f t="shared" ref="I47:I60" si="32">IFERROR(AVERAGE(P47,U47,Z47,AE47,AJ47,AO47,AT47),"-")</f>
        <v>15</v>
      </c>
      <c r="J47" s="422">
        <f t="shared" ref="J47:J60" si="33">IFERROR(AVERAGE(Q47,V47,AA47,AF47,AK47,AP47,AU47),"-")</f>
        <v>1288.3333333333348</v>
      </c>
      <c r="K47" s="200">
        <f t="shared" ref="K47:K60" si="34">IFERROR(AVERAGE(R47,W47,AB47,AG47,AL47,AQ47,AV47),"-")</f>
        <v>85.888888888888985</v>
      </c>
      <c r="L47" s="580">
        <f>IFERROR(AVERAGE(K47:K61),"-")</f>
        <v>95.324941591005029</v>
      </c>
      <c r="M47" s="424">
        <f>RANK(K47, K$47:$K$61)</f>
        <v>2</v>
      </c>
      <c r="N47" s="564"/>
      <c r="O47" s="564"/>
      <c r="P47" s="498">
        <v>15</v>
      </c>
      <c r="Q47" s="425">
        <v>1109.999999999995</v>
      </c>
      <c r="R47" s="425">
        <v>73.999999999999673</v>
      </c>
      <c r="S47" s="498">
        <f t="shared" ref="S47:S61" si="35">RANK(R47, R$47:R$61)</f>
        <v>3</v>
      </c>
      <c r="T47" s="559">
        <f t="shared" ref="T47" si="36">AVERAGE(R47:R61)</f>
        <v>91.574603174603155</v>
      </c>
      <c r="U47" s="498">
        <v>15</v>
      </c>
      <c r="V47" s="425">
        <v>1540.0000000000055</v>
      </c>
      <c r="W47" s="425">
        <v>102.66666666666703</v>
      </c>
      <c r="X47" s="498">
        <f t="shared" ref="X47:X61" si="37">RANK(W47, W$47:W$61)</f>
        <v>2</v>
      </c>
      <c r="Y47" s="559">
        <f t="shared" ref="Y47" si="38">AVERAGE(W47:W61)</f>
        <v>98.969474969475058</v>
      </c>
      <c r="Z47" s="498">
        <v>15</v>
      </c>
      <c r="AA47" s="425">
        <v>1215.0000000000043</v>
      </c>
      <c r="AB47" s="425">
        <v>81.000000000000284</v>
      </c>
      <c r="AC47" s="498">
        <f t="shared" ref="AC47:AC61" si="39">RANK(AB47, AB$47:AB$61)</f>
        <v>3</v>
      </c>
      <c r="AD47" s="559">
        <f t="shared" ref="AD47" si="40">AVERAGE(AB47:AB61)</f>
        <v>95.615384615384826</v>
      </c>
      <c r="AE47" s="498"/>
      <c r="AF47" s="425"/>
      <c r="AG47" s="425"/>
      <c r="AH47" s="498" t="e">
        <f t="shared" ref="AH47:AH61" si="41">RANK(AG47, AG$47:AG$61)</f>
        <v>#N/A</v>
      </c>
      <c r="AI47" s="559">
        <f t="shared" ref="AI47" si="42">AVERAGE(AG47:AG61)</f>
        <v>122.07692307692305</v>
      </c>
      <c r="AJ47" s="498"/>
      <c r="AK47" s="425"/>
      <c r="AL47" s="425"/>
      <c r="AM47" s="498" t="e">
        <f t="shared" ref="AM47:AM61" si="43">RANK(AL47, AL$47:AL$61)</f>
        <v>#N/A</v>
      </c>
      <c r="AN47" s="559">
        <f t="shared" ref="AN47" si="44">AVERAGE(AL47:AL61)</f>
        <v>116.57918552036197</v>
      </c>
      <c r="AO47" s="498"/>
      <c r="AP47" s="425"/>
      <c r="AQ47" s="425"/>
      <c r="AR47" s="498" t="e">
        <f t="shared" ref="AR47:AR61" si="45">RANK(AQ47, AQ$47:AQ$61)</f>
        <v>#N/A</v>
      </c>
      <c r="AS47" s="559">
        <f t="shared" ref="AS47" si="46">AVERAGE(AQ47:AQ61)</f>
        <v>115.88811188811187</v>
      </c>
      <c r="AT47" s="498"/>
      <c r="AU47" s="425"/>
      <c r="AV47" s="425"/>
      <c r="AW47" s="498" t="e">
        <f t="shared" ref="AW47:AW61" si="47">RANK(AV47, AV$47:AV$61)</f>
        <v>#N/A</v>
      </c>
      <c r="AX47" s="559">
        <f t="shared" ref="AX47" si="48">AVERAGE(AV47:AV61)</f>
        <v>114.07100591715974</v>
      </c>
      <c r="AZ47" s="407" t="e">
        <f t="shared" ref="AZ47:AZ61" si="49">RANK(AY47, AY$47:AY$61)</f>
        <v>#N/A</v>
      </c>
      <c r="BA47" s="559" t="e">
        <f t="shared" ref="BA47" si="50">AVERAGE(AY47:AY61)</f>
        <v>#DIV/0!</v>
      </c>
    </row>
    <row r="48" spans="2:53">
      <c r="B48" s="570"/>
      <c r="C48" s="418">
        <v>2</v>
      </c>
      <c r="D48" s="226" t="s">
        <v>671</v>
      </c>
      <c r="E48" s="425">
        <v>15</v>
      </c>
      <c r="F48" s="418">
        <v>1200</v>
      </c>
      <c r="G48" s="419">
        <v>80</v>
      </c>
      <c r="H48" s="628"/>
      <c r="I48" s="422">
        <f t="shared" si="32"/>
        <v>15</v>
      </c>
      <c r="J48" s="422">
        <f t="shared" si="33"/>
        <v>1241.9047619047644</v>
      </c>
      <c r="K48" s="200">
        <f t="shared" si="34"/>
        <v>82.793650793650968</v>
      </c>
      <c r="L48" s="581"/>
      <c r="M48" s="500">
        <f>RANK(K48, K$47:$K$61)</f>
        <v>3</v>
      </c>
      <c r="N48" s="564"/>
      <c r="O48" s="564"/>
      <c r="P48" s="498">
        <v>15</v>
      </c>
      <c r="Q48" s="425">
        <v>1288.0000000000045</v>
      </c>
      <c r="R48" s="425">
        <v>85.866666666666973</v>
      </c>
      <c r="S48" s="498">
        <f t="shared" si="35"/>
        <v>2</v>
      </c>
      <c r="T48" s="560"/>
      <c r="U48" s="498">
        <v>15</v>
      </c>
      <c r="V48" s="425">
        <v>1177.7142857142844</v>
      </c>
      <c r="W48" s="425">
        <v>78.514285714285634</v>
      </c>
      <c r="X48" s="498">
        <f t="shared" si="37"/>
        <v>3</v>
      </c>
      <c r="Y48" s="560"/>
      <c r="Z48" s="498">
        <v>15</v>
      </c>
      <c r="AA48" s="425">
        <v>1260.0000000000048</v>
      </c>
      <c r="AB48" s="425">
        <v>84.000000000000313</v>
      </c>
      <c r="AC48" s="498">
        <f t="shared" si="39"/>
        <v>2</v>
      </c>
      <c r="AD48" s="560"/>
      <c r="AE48" s="498"/>
      <c r="AF48" s="425"/>
      <c r="AG48" s="425"/>
      <c r="AH48" s="498" t="e">
        <f t="shared" si="41"/>
        <v>#N/A</v>
      </c>
      <c r="AI48" s="560"/>
      <c r="AJ48" s="498"/>
      <c r="AK48" s="425"/>
      <c r="AL48" s="425"/>
      <c r="AM48" s="498" t="e">
        <f t="shared" si="43"/>
        <v>#N/A</v>
      </c>
      <c r="AN48" s="560"/>
      <c r="AO48" s="498"/>
      <c r="AP48" s="425"/>
      <c r="AQ48" s="425"/>
      <c r="AR48" s="498" t="e">
        <f t="shared" si="45"/>
        <v>#N/A</v>
      </c>
      <c r="AS48" s="560"/>
      <c r="AT48" s="498"/>
      <c r="AU48" s="425"/>
      <c r="AV48" s="425"/>
      <c r="AW48" s="498" t="e">
        <f t="shared" si="47"/>
        <v>#N/A</v>
      </c>
      <c r="AX48" s="560"/>
      <c r="AZ48" s="407" t="e">
        <f t="shared" si="49"/>
        <v>#N/A</v>
      </c>
      <c r="BA48" s="560"/>
    </row>
    <row r="49" spans="2:53">
      <c r="B49" s="570"/>
      <c r="C49" s="418">
        <v>3</v>
      </c>
      <c r="D49" s="226" t="s">
        <v>667</v>
      </c>
      <c r="E49" s="425">
        <v>15</v>
      </c>
      <c r="F49" s="418">
        <v>1500</v>
      </c>
      <c r="G49" s="419">
        <v>100</v>
      </c>
      <c r="H49" s="628"/>
      <c r="I49" s="422">
        <f t="shared" si="32"/>
        <v>12.857142857142858</v>
      </c>
      <c r="J49" s="422">
        <f t="shared" si="33"/>
        <v>1507.3601457366162</v>
      </c>
      <c r="K49" s="200">
        <f t="shared" si="34"/>
        <v>117.29228509047512</v>
      </c>
      <c r="L49" s="581"/>
      <c r="M49" s="500">
        <f>RANK(K49, K$47:$K$61)</f>
        <v>1</v>
      </c>
      <c r="N49" s="564"/>
      <c r="O49" s="564"/>
      <c r="P49" s="498">
        <v>13</v>
      </c>
      <c r="Q49" s="425">
        <v>1493.1428571428569</v>
      </c>
      <c r="R49" s="425">
        <v>114.85714285714283</v>
      </c>
      <c r="S49" s="498">
        <f t="shared" si="35"/>
        <v>1</v>
      </c>
      <c r="T49" s="560"/>
      <c r="U49" s="498">
        <v>13</v>
      </c>
      <c r="V49" s="425">
        <v>1504.4571428571426</v>
      </c>
      <c r="W49" s="425">
        <v>115.7274725274725</v>
      </c>
      <c r="X49" s="498">
        <f t="shared" si="37"/>
        <v>1</v>
      </c>
      <c r="Y49" s="560"/>
      <c r="Z49" s="498">
        <v>13</v>
      </c>
      <c r="AA49" s="425">
        <v>1584.0000000000005</v>
      </c>
      <c r="AB49" s="425">
        <v>121.84615384615388</v>
      </c>
      <c r="AC49" s="498">
        <f t="shared" si="39"/>
        <v>1</v>
      </c>
      <c r="AD49" s="560"/>
      <c r="AE49" s="498">
        <v>12</v>
      </c>
      <c r="AF49" s="425">
        <v>1464.9230769230767</v>
      </c>
      <c r="AG49" s="425">
        <v>122.07692307692305</v>
      </c>
      <c r="AH49" s="498">
        <f t="shared" si="41"/>
        <v>1</v>
      </c>
      <c r="AI49" s="560"/>
      <c r="AJ49" s="498">
        <v>13</v>
      </c>
      <c r="AK49" s="425">
        <v>1515.5294117647056</v>
      </c>
      <c r="AL49" s="425">
        <v>116.57918552036197</v>
      </c>
      <c r="AM49" s="498">
        <f t="shared" si="43"/>
        <v>1</v>
      </c>
      <c r="AN49" s="560"/>
      <c r="AO49" s="498">
        <v>13</v>
      </c>
      <c r="AP49" s="425">
        <v>1506.5454545454543</v>
      </c>
      <c r="AQ49" s="425">
        <v>115.88811188811187</v>
      </c>
      <c r="AR49" s="498">
        <f t="shared" si="45"/>
        <v>1</v>
      </c>
      <c r="AS49" s="560"/>
      <c r="AT49" s="498">
        <v>13</v>
      </c>
      <c r="AU49" s="425">
        <v>1482.9230769230767</v>
      </c>
      <c r="AV49" s="425">
        <v>114.07100591715974</v>
      </c>
      <c r="AW49" s="498">
        <f t="shared" si="47"/>
        <v>1</v>
      </c>
      <c r="AX49" s="560"/>
      <c r="AZ49" s="407" t="e">
        <f t="shared" si="49"/>
        <v>#N/A</v>
      </c>
      <c r="BA49" s="560"/>
    </row>
    <row r="50" spans="2:53">
      <c r="B50" s="570"/>
      <c r="C50" s="418">
        <v>4</v>
      </c>
      <c r="D50" s="226"/>
      <c r="E50" s="425"/>
      <c r="F50" s="418"/>
      <c r="G50" s="419"/>
      <c r="H50" s="628"/>
      <c r="I50" s="422" t="str">
        <f t="shared" si="32"/>
        <v>-</v>
      </c>
      <c r="J50" s="422" t="str">
        <f t="shared" si="33"/>
        <v>-</v>
      </c>
      <c r="K50" s="200" t="str">
        <f t="shared" si="34"/>
        <v>-</v>
      </c>
      <c r="L50" s="581"/>
      <c r="M50" s="500" t="e">
        <f>RANK(K50, K$47:$K$61)</f>
        <v>#VALUE!</v>
      </c>
      <c r="N50" s="564"/>
      <c r="O50" s="564"/>
      <c r="P50" s="498" t="s">
        <v>639</v>
      </c>
      <c r="Q50" s="425" t="s">
        <v>639</v>
      </c>
      <c r="R50" s="425" t="s">
        <v>639</v>
      </c>
      <c r="S50" s="498" t="e">
        <f t="shared" si="35"/>
        <v>#VALUE!</v>
      </c>
      <c r="T50" s="560"/>
      <c r="U50" s="498"/>
      <c r="V50" s="498"/>
      <c r="W50" s="498"/>
      <c r="X50" s="498" t="e">
        <f t="shared" si="37"/>
        <v>#N/A</v>
      </c>
      <c r="Y50" s="560"/>
      <c r="Z50" s="498"/>
      <c r="AA50" s="498"/>
      <c r="AB50" s="498"/>
      <c r="AC50" s="498" t="e">
        <f t="shared" si="39"/>
        <v>#N/A</v>
      </c>
      <c r="AD50" s="560"/>
      <c r="AE50" s="498"/>
      <c r="AF50" s="498"/>
      <c r="AG50" s="498"/>
      <c r="AH50" s="498" t="e">
        <f t="shared" si="41"/>
        <v>#N/A</v>
      </c>
      <c r="AI50" s="560"/>
      <c r="AJ50" s="498"/>
      <c r="AK50" s="498"/>
      <c r="AL50" s="498"/>
      <c r="AM50" s="498" t="e">
        <f t="shared" si="43"/>
        <v>#N/A</v>
      </c>
      <c r="AN50" s="560"/>
      <c r="AO50" s="498"/>
      <c r="AP50" s="498"/>
      <c r="AQ50" s="498"/>
      <c r="AR50" s="498" t="e">
        <f t="shared" si="45"/>
        <v>#N/A</v>
      </c>
      <c r="AS50" s="560"/>
      <c r="AT50" s="498"/>
      <c r="AU50" s="498"/>
      <c r="AV50" s="498"/>
      <c r="AW50" s="498" t="e">
        <f t="shared" si="47"/>
        <v>#N/A</v>
      </c>
      <c r="AX50" s="560"/>
      <c r="AZ50" s="407" t="e">
        <f t="shared" si="49"/>
        <v>#N/A</v>
      </c>
      <c r="BA50" s="560"/>
    </row>
    <row r="51" spans="2:53">
      <c r="B51" s="570"/>
      <c r="C51" s="418">
        <v>5</v>
      </c>
      <c r="D51" s="226"/>
      <c r="E51" s="425"/>
      <c r="F51" s="418"/>
      <c r="G51" s="419"/>
      <c r="H51" s="628"/>
      <c r="I51" s="422" t="str">
        <f t="shared" si="32"/>
        <v>-</v>
      </c>
      <c r="J51" s="422" t="str">
        <f t="shared" si="33"/>
        <v>-</v>
      </c>
      <c r="K51" s="200" t="str">
        <f t="shared" si="34"/>
        <v>-</v>
      </c>
      <c r="L51" s="581"/>
      <c r="M51" s="500" t="e">
        <f>RANK(K51, K$47:$K$61)</f>
        <v>#VALUE!</v>
      </c>
      <c r="N51" s="564"/>
      <c r="O51" s="564"/>
      <c r="P51" s="498" t="s">
        <v>639</v>
      </c>
      <c r="Q51" s="425" t="s">
        <v>639</v>
      </c>
      <c r="R51" s="425" t="s">
        <v>639</v>
      </c>
      <c r="S51" s="498" t="e">
        <f t="shared" si="35"/>
        <v>#VALUE!</v>
      </c>
      <c r="T51" s="560"/>
      <c r="U51" s="498"/>
      <c r="V51" s="498"/>
      <c r="W51" s="498"/>
      <c r="X51" s="498" t="e">
        <f t="shared" si="37"/>
        <v>#N/A</v>
      </c>
      <c r="Y51" s="560"/>
      <c r="Z51" s="498"/>
      <c r="AA51" s="498"/>
      <c r="AB51" s="498"/>
      <c r="AC51" s="498" t="e">
        <f t="shared" si="39"/>
        <v>#N/A</v>
      </c>
      <c r="AD51" s="560"/>
      <c r="AE51" s="498"/>
      <c r="AF51" s="498"/>
      <c r="AG51" s="498"/>
      <c r="AH51" s="498" t="e">
        <f t="shared" si="41"/>
        <v>#N/A</v>
      </c>
      <c r="AI51" s="560"/>
      <c r="AJ51" s="498"/>
      <c r="AK51" s="498"/>
      <c r="AL51" s="498"/>
      <c r="AM51" s="498" t="e">
        <f t="shared" si="43"/>
        <v>#N/A</v>
      </c>
      <c r="AN51" s="560"/>
      <c r="AO51" s="498"/>
      <c r="AP51" s="498"/>
      <c r="AQ51" s="498"/>
      <c r="AR51" s="498" t="e">
        <f t="shared" si="45"/>
        <v>#N/A</v>
      </c>
      <c r="AS51" s="560"/>
      <c r="AT51" s="498"/>
      <c r="AU51" s="498"/>
      <c r="AV51" s="498"/>
      <c r="AW51" s="498" t="e">
        <f t="shared" si="47"/>
        <v>#N/A</v>
      </c>
      <c r="AX51" s="560"/>
      <c r="AZ51" s="407" t="e">
        <f t="shared" si="49"/>
        <v>#N/A</v>
      </c>
      <c r="BA51" s="560"/>
    </row>
    <row r="52" spans="2:53">
      <c r="B52" s="570"/>
      <c r="C52" s="418">
        <v>6</v>
      </c>
      <c r="D52" s="226"/>
      <c r="E52" s="425"/>
      <c r="F52" s="418"/>
      <c r="G52" s="419"/>
      <c r="H52" s="628"/>
      <c r="I52" s="422" t="str">
        <f t="shared" si="32"/>
        <v>-</v>
      </c>
      <c r="J52" s="422" t="str">
        <f t="shared" si="33"/>
        <v>-</v>
      </c>
      <c r="K52" s="200" t="str">
        <f t="shared" si="34"/>
        <v>-</v>
      </c>
      <c r="L52" s="581"/>
      <c r="M52" s="500" t="e">
        <f>RANK(K52, K$47:$K$61)</f>
        <v>#VALUE!</v>
      </c>
      <c r="N52" s="564"/>
      <c r="O52" s="564"/>
      <c r="P52" s="498" t="s">
        <v>639</v>
      </c>
      <c r="Q52" s="425" t="s">
        <v>639</v>
      </c>
      <c r="R52" s="425" t="s">
        <v>639</v>
      </c>
      <c r="S52" s="498" t="e">
        <f t="shared" si="35"/>
        <v>#VALUE!</v>
      </c>
      <c r="T52" s="560"/>
      <c r="U52" s="498"/>
      <c r="V52" s="498"/>
      <c r="W52" s="498"/>
      <c r="X52" s="498" t="e">
        <f t="shared" si="37"/>
        <v>#N/A</v>
      </c>
      <c r="Y52" s="560"/>
      <c r="Z52" s="498"/>
      <c r="AA52" s="498"/>
      <c r="AB52" s="498"/>
      <c r="AC52" s="498" t="e">
        <f t="shared" si="39"/>
        <v>#N/A</v>
      </c>
      <c r="AD52" s="560"/>
      <c r="AE52" s="498"/>
      <c r="AF52" s="498"/>
      <c r="AG52" s="498"/>
      <c r="AH52" s="498" t="e">
        <f t="shared" si="41"/>
        <v>#N/A</v>
      </c>
      <c r="AI52" s="560"/>
      <c r="AJ52" s="498"/>
      <c r="AK52" s="498"/>
      <c r="AL52" s="498"/>
      <c r="AM52" s="498" t="e">
        <f t="shared" si="43"/>
        <v>#N/A</v>
      </c>
      <c r="AN52" s="560"/>
      <c r="AO52" s="498"/>
      <c r="AP52" s="498"/>
      <c r="AQ52" s="498"/>
      <c r="AR52" s="498" t="e">
        <f t="shared" si="45"/>
        <v>#N/A</v>
      </c>
      <c r="AS52" s="560"/>
      <c r="AT52" s="498"/>
      <c r="AU52" s="498"/>
      <c r="AV52" s="498"/>
      <c r="AW52" s="498" t="e">
        <f t="shared" si="47"/>
        <v>#N/A</v>
      </c>
      <c r="AX52" s="560"/>
      <c r="AZ52" s="407" t="e">
        <f t="shared" si="49"/>
        <v>#N/A</v>
      </c>
      <c r="BA52" s="560"/>
    </row>
    <row r="53" spans="2:53">
      <c r="B53" s="570"/>
      <c r="C53" s="418">
        <v>7</v>
      </c>
      <c r="D53" s="226"/>
      <c r="E53" s="425"/>
      <c r="F53" s="418"/>
      <c r="G53" s="419"/>
      <c r="H53" s="628"/>
      <c r="I53" s="422" t="str">
        <f t="shared" si="32"/>
        <v>-</v>
      </c>
      <c r="J53" s="422" t="str">
        <f t="shared" si="33"/>
        <v>-</v>
      </c>
      <c r="K53" s="200" t="str">
        <f t="shared" si="34"/>
        <v>-</v>
      </c>
      <c r="L53" s="581"/>
      <c r="M53" s="500" t="e">
        <f>RANK(K53, K$47:$K$61)</f>
        <v>#VALUE!</v>
      </c>
      <c r="N53" s="564"/>
      <c r="O53" s="564"/>
      <c r="P53" s="498" t="s">
        <v>639</v>
      </c>
      <c r="Q53" s="425" t="s">
        <v>639</v>
      </c>
      <c r="R53" s="425" t="s">
        <v>639</v>
      </c>
      <c r="S53" s="498" t="e">
        <f t="shared" si="35"/>
        <v>#VALUE!</v>
      </c>
      <c r="T53" s="560"/>
      <c r="U53" s="498"/>
      <c r="V53" s="498"/>
      <c r="W53" s="498"/>
      <c r="X53" s="498" t="e">
        <f t="shared" si="37"/>
        <v>#N/A</v>
      </c>
      <c r="Y53" s="560"/>
      <c r="Z53" s="498"/>
      <c r="AA53" s="498"/>
      <c r="AB53" s="498"/>
      <c r="AC53" s="498" t="e">
        <f t="shared" si="39"/>
        <v>#N/A</v>
      </c>
      <c r="AD53" s="560"/>
      <c r="AE53" s="498"/>
      <c r="AF53" s="498"/>
      <c r="AG53" s="498"/>
      <c r="AH53" s="498" t="e">
        <f t="shared" si="41"/>
        <v>#N/A</v>
      </c>
      <c r="AI53" s="560"/>
      <c r="AJ53" s="498"/>
      <c r="AK53" s="498"/>
      <c r="AL53" s="498"/>
      <c r="AM53" s="498" t="e">
        <f t="shared" si="43"/>
        <v>#N/A</v>
      </c>
      <c r="AN53" s="560"/>
      <c r="AO53" s="498"/>
      <c r="AP53" s="498"/>
      <c r="AQ53" s="498"/>
      <c r="AR53" s="498" t="e">
        <f t="shared" si="45"/>
        <v>#N/A</v>
      </c>
      <c r="AS53" s="560"/>
      <c r="AT53" s="498"/>
      <c r="AU53" s="498"/>
      <c r="AV53" s="498"/>
      <c r="AW53" s="498" t="e">
        <f t="shared" si="47"/>
        <v>#N/A</v>
      </c>
      <c r="AX53" s="560"/>
      <c r="AZ53" s="407" t="e">
        <f t="shared" si="49"/>
        <v>#N/A</v>
      </c>
      <c r="BA53" s="560"/>
    </row>
    <row r="54" spans="2:53">
      <c r="B54" s="570"/>
      <c r="C54" s="418">
        <v>8</v>
      </c>
      <c r="D54" s="226"/>
      <c r="E54" s="425"/>
      <c r="F54" s="418"/>
      <c r="G54" s="419"/>
      <c r="H54" s="628"/>
      <c r="I54" s="422" t="str">
        <f t="shared" si="32"/>
        <v>-</v>
      </c>
      <c r="J54" s="422" t="str">
        <f t="shared" si="33"/>
        <v>-</v>
      </c>
      <c r="K54" s="200" t="str">
        <f t="shared" si="34"/>
        <v>-</v>
      </c>
      <c r="L54" s="581"/>
      <c r="M54" s="500" t="e">
        <f>RANK(K54, K$47:$K$61)</f>
        <v>#VALUE!</v>
      </c>
      <c r="N54" s="564"/>
      <c r="O54" s="564"/>
      <c r="P54" s="498" t="s">
        <v>639</v>
      </c>
      <c r="Q54" s="425" t="s">
        <v>639</v>
      </c>
      <c r="R54" s="425" t="s">
        <v>639</v>
      </c>
      <c r="S54" s="498" t="e">
        <f t="shared" si="35"/>
        <v>#VALUE!</v>
      </c>
      <c r="T54" s="560"/>
      <c r="U54" s="498"/>
      <c r="V54" s="498"/>
      <c r="W54" s="498"/>
      <c r="X54" s="498" t="e">
        <f t="shared" si="37"/>
        <v>#N/A</v>
      </c>
      <c r="Y54" s="560"/>
      <c r="Z54" s="498"/>
      <c r="AA54" s="498"/>
      <c r="AB54" s="498"/>
      <c r="AC54" s="498" t="e">
        <f t="shared" si="39"/>
        <v>#N/A</v>
      </c>
      <c r="AD54" s="560"/>
      <c r="AE54" s="498"/>
      <c r="AF54" s="498"/>
      <c r="AG54" s="498"/>
      <c r="AH54" s="498" t="e">
        <f t="shared" si="41"/>
        <v>#N/A</v>
      </c>
      <c r="AI54" s="560"/>
      <c r="AJ54" s="498"/>
      <c r="AK54" s="498"/>
      <c r="AL54" s="498"/>
      <c r="AM54" s="498" t="e">
        <f t="shared" si="43"/>
        <v>#N/A</v>
      </c>
      <c r="AN54" s="560"/>
      <c r="AO54" s="498"/>
      <c r="AP54" s="498"/>
      <c r="AQ54" s="498"/>
      <c r="AR54" s="498" t="e">
        <f t="shared" si="45"/>
        <v>#N/A</v>
      </c>
      <c r="AS54" s="560"/>
      <c r="AT54" s="498"/>
      <c r="AU54" s="498"/>
      <c r="AV54" s="498"/>
      <c r="AW54" s="498" t="e">
        <f t="shared" si="47"/>
        <v>#N/A</v>
      </c>
      <c r="AX54" s="560"/>
      <c r="AZ54" s="407" t="e">
        <f t="shared" si="49"/>
        <v>#N/A</v>
      </c>
      <c r="BA54" s="560"/>
    </row>
    <row r="55" spans="2:53">
      <c r="B55" s="570"/>
      <c r="C55" s="418">
        <v>9</v>
      </c>
      <c r="D55" s="226"/>
      <c r="E55" s="425"/>
      <c r="F55" s="418"/>
      <c r="G55" s="419"/>
      <c r="H55" s="628"/>
      <c r="I55" s="422" t="str">
        <f t="shared" si="32"/>
        <v>-</v>
      </c>
      <c r="J55" s="422" t="str">
        <f t="shared" si="33"/>
        <v>-</v>
      </c>
      <c r="K55" s="200" t="str">
        <f t="shared" si="34"/>
        <v>-</v>
      </c>
      <c r="L55" s="581"/>
      <c r="M55" s="500" t="e">
        <f>RANK(K55, K$47:$K$61)</f>
        <v>#VALUE!</v>
      </c>
      <c r="N55" s="564"/>
      <c r="O55" s="564"/>
      <c r="P55" s="498" t="s">
        <v>639</v>
      </c>
      <c r="Q55" s="425" t="s">
        <v>639</v>
      </c>
      <c r="R55" s="425" t="s">
        <v>639</v>
      </c>
      <c r="S55" s="498" t="e">
        <f t="shared" si="35"/>
        <v>#VALUE!</v>
      </c>
      <c r="T55" s="560"/>
      <c r="U55" s="498"/>
      <c r="V55" s="498"/>
      <c r="W55" s="498"/>
      <c r="X55" s="498" t="e">
        <f t="shared" si="37"/>
        <v>#N/A</v>
      </c>
      <c r="Y55" s="560"/>
      <c r="Z55" s="498"/>
      <c r="AA55" s="498"/>
      <c r="AB55" s="498"/>
      <c r="AC55" s="498" t="e">
        <f t="shared" si="39"/>
        <v>#N/A</v>
      </c>
      <c r="AD55" s="560"/>
      <c r="AE55" s="498"/>
      <c r="AF55" s="498"/>
      <c r="AG55" s="498"/>
      <c r="AH55" s="498" t="e">
        <f t="shared" si="41"/>
        <v>#N/A</v>
      </c>
      <c r="AI55" s="560"/>
      <c r="AJ55" s="498"/>
      <c r="AK55" s="498"/>
      <c r="AL55" s="498"/>
      <c r="AM55" s="498" t="e">
        <f t="shared" si="43"/>
        <v>#N/A</v>
      </c>
      <c r="AN55" s="560"/>
      <c r="AO55" s="498"/>
      <c r="AP55" s="498"/>
      <c r="AQ55" s="498"/>
      <c r="AR55" s="498" t="e">
        <f t="shared" si="45"/>
        <v>#N/A</v>
      </c>
      <c r="AS55" s="560"/>
      <c r="AT55" s="498"/>
      <c r="AU55" s="498"/>
      <c r="AV55" s="498"/>
      <c r="AW55" s="498" t="e">
        <f t="shared" si="47"/>
        <v>#N/A</v>
      </c>
      <c r="AX55" s="560"/>
      <c r="AZ55" s="407" t="e">
        <f t="shared" si="49"/>
        <v>#N/A</v>
      </c>
      <c r="BA55" s="560"/>
    </row>
    <row r="56" spans="2:53">
      <c r="B56" s="570"/>
      <c r="C56" s="418">
        <v>10</v>
      </c>
      <c r="D56" s="226"/>
      <c r="E56" s="425"/>
      <c r="F56" s="418"/>
      <c r="G56" s="419"/>
      <c r="H56" s="628"/>
      <c r="I56" s="422" t="str">
        <f t="shared" si="32"/>
        <v>-</v>
      </c>
      <c r="J56" s="422" t="str">
        <f t="shared" si="33"/>
        <v>-</v>
      </c>
      <c r="K56" s="200" t="str">
        <f t="shared" si="34"/>
        <v>-</v>
      </c>
      <c r="L56" s="581"/>
      <c r="M56" s="500" t="e">
        <f>RANK(K56, K$47:$K$61)</f>
        <v>#VALUE!</v>
      </c>
      <c r="N56" s="564"/>
      <c r="O56" s="564"/>
      <c r="P56" s="498" t="s">
        <v>639</v>
      </c>
      <c r="Q56" s="425" t="s">
        <v>639</v>
      </c>
      <c r="R56" s="425" t="s">
        <v>639</v>
      </c>
      <c r="S56" s="498" t="e">
        <f t="shared" si="35"/>
        <v>#VALUE!</v>
      </c>
      <c r="T56" s="560"/>
      <c r="U56" s="498"/>
      <c r="V56" s="498"/>
      <c r="W56" s="498"/>
      <c r="X56" s="498" t="e">
        <f t="shared" si="37"/>
        <v>#N/A</v>
      </c>
      <c r="Y56" s="560"/>
      <c r="Z56" s="498"/>
      <c r="AA56" s="498"/>
      <c r="AB56" s="498"/>
      <c r="AC56" s="498" t="e">
        <f t="shared" si="39"/>
        <v>#N/A</v>
      </c>
      <c r="AD56" s="560"/>
      <c r="AE56" s="498"/>
      <c r="AF56" s="498"/>
      <c r="AG56" s="498"/>
      <c r="AH56" s="498" t="e">
        <f t="shared" si="41"/>
        <v>#N/A</v>
      </c>
      <c r="AI56" s="560"/>
      <c r="AJ56" s="498"/>
      <c r="AK56" s="498"/>
      <c r="AL56" s="498"/>
      <c r="AM56" s="498" t="e">
        <f t="shared" si="43"/>
        <v>#N/A</v>
      </c>
      <c r="AN56" s="560"/>
      <c r="AO56" s="498"/>
      <c r="AP56" s="498"/>
      <c r="AQ56" s="498"/>
      <c r="AR56" s="498" t="e">
        <f t="shared" si="45"/>
        <v>#N/A</v>
      </c>
      <c r="AS56" s="560"/>
      <c r="AT56" s="498"/>
      <c r="AU56" s="498"/>
      <c r="AV56" s="498"/>
      <c r="AW56" s="498" t="e">
        <f t="shared" si="47"/>
        <v>#N/A</v>
      </c>
      <c r="AX56" s="560"/>
      <c r="AZ56" s="407" t="e">
        <f t="shared" si="49"/>
        <v>#N/A</v>
      </c>
      <c r="BA56" s="560"/>
    </row>
    <row r="57" spans="2:53">
      <c r="B57" s="570"/>
      <c r="C57" s="418">
        <v>11</v>
      </c>
      <c r="D57" s="226"/>
      <c r="E57" s="425"/>
      <c r="F57" s="418"/>
      <c r="G57" s="419"/>
      <c r="H57" s="628"/>
      <c r="I57" s="422" t="str">
        <f t="shared" si="32"/>
        <v>-</v>
      </c>
      <c r="J57" s="422" t="str">
        <f t="shared" si="33"/>
        <v>-</v>
      </c>
      <c r="K57" s="200" t="str">
        <f t="shared" si="34"/>
        <v>-</v>
      </c>
      <c r="L57" s="581"/>
      <c r="M57" s="500" t="e">
        <f>RANK(K57, K$47:$K$61)</f>
        <v>#VALUE!</v>
      </c>
      <c r="N57" s="564"/>
      <c r="O57" s="564"/>
      <c r="P57" s="498" t="s">
        <v>639</v>
      </c>
      <c r="Q57" s="425" t="s">
        <v>639</v>
      </c>
      <c r="R57" s="425" t="s">
        <v>639</v>
      </c>
      <c r="S57" s="498" t="e">
        <f t="shared" si="35"/>
        <v>#VALUE!</v>
      </c>
      <c r="T57" s="560"/>
      <c r="U57" s="498"/>
      <c r="V57" s="498"/>
      <c r="W57" s="498"/>
      <c r="X57" s="498" t="e">
        <f t="shared" si="37"/>
        <v>#N/A</v>
      </c>
      <c r="Y57" s="560"/>
      <c r="Z57" s="498"/>
      <c r="AA57" s="498"/>
      <c r="AB57" s="498"/>
      <c r="AC57" s="498" t="e">
        <f t="shared" si="39"/>
        <v>#N/A</v>
      </c>
      <c r="AD57" s="560"/>
      <c r="AE57" s="498"/>
      <c r="AF57" s="498"/>
      <c r="AG57" s="498"/>
      <c r="AH57" s="498" t="e">
        <f t="shared" si="41"/>
        <v>#N/A</v>
      </c>
      <c r="AI57" s="560"/>
      <c r="AJ57" s="498"/>
      <c r="AK57" s="498"/>
      <c r="AL57" s="498"/>
      <c r="AM57" s="498" t="e">
        <f t="shared" si="43"/>
        <v>#N/A</v>
      </c>
      <c r="AN57" s="560"/>
      <c r="AO57" s="498"/>
      <c r="AP57" s="498"/>
      <c r="AQ57" s="498"/>
      <c r="AR57" s="498" t="e">
        <f t="shared" si="45"/>
        <v>#N/A</v>
      </c>
      <c r="AS57" s="560"/>
      <c r="AT57" s="498"/>
      <c r="AU57" s="498"/>
      <c r="AV57" s="498"/>
      <c r="AW57" s="498" t="e">
        <f t="shared" si="47"/>
        <v>#N/A</v>
      </c>
      <c r="AX57" s="560"/>
      <c r="AZ57" s="407" t="e">
        <f t="shared" si="49"/>
        <v>#N/A</v>
      </c>
      <c r="BA57" s="560"/>
    </row>
    <row r="58" spans="2:53">
      <c r="B58" s="570"/>
      <c r="C58" s="418">
        <v>12</v>
      </c>
      <c r="D58" s="226"/>
      <c r="E58" s="425"/>
      <c r="F58" s="418"/>
      <c r="G58" s="419"/>
      <c r="H58" s="628"/>
      <c r="I58" s="422" t="str">
        <f t="shared" si="32"/>
        <v>-</v>
      </c>
      <c r="J58" s="422" t="str">
        <f t="shared" si="33"/>
        <v>-</v>
      </c>
      <c r="K58" s="200" t="str">
        <f t="shared" si="34"/>
        <v>-</v>
      </c>
      <c r="L58" s="581"/>
      <c r="M58" s="500" t="e">
        <f>RANK(K58, K$47:$K$61)</f>
        <v>#VALUE!</v>
      </c>
      <c r="N58" s="564"/>
      <c r="O58" s="564"/>
      <c r="P58" s="498" t="s">
        <v>639</v>
      </c>
      <c r="Q58" s="425" t="s">
        <v>639</v>
      </c>
      <c r="R58" s="425" t="s">
        <v>639</v>
      </c>
      <c r="S58" s="498" t="e">
        <f t="shared" si="35"/>
        <v>#VALUE!</v>
      </c>
      <c r="T58" s="560"/>
      <c r="U58" s="498"/>
      <c r="V58" s="498"/>
      <c r="W58" s="498"/>
      <c r="X58" s="498" t="e">
        <f t="shared" si="37"/>
        <v>#N/A</v>
      </c>
      <c r="Y58" s="560"/>
      <c r="Z58" s="498"/>
      <c r="AA58" s="498"/>
      <c r="AB58" s="498"/>
      <c r="AC58" s="498" t="e">
        <f t="shared" si="39"/>
        <v>#N/A</v>
      </c>
      <c r="AD58" s="560"/>
      <c r="AE58" s="498"/>
      <c r="AF58" s="498"/>
      <c r="AG58" s="498"/>
      <c r="AH58" s="498" t="e">
        <f t="shared" si="41"/>
        <v>#N/A</v>
      </c>
      <c r="AI58" s="560"/>
      <c r="AJ58" s="498"/>
      <c r="AK58" s="498"/>
      <c r="AL58" s="498"/>
      <c r="AM58" s="498" t="e">
        <f t="shared" si="43"/>
        <v>#N/A</v>
      </c>
      <c r="AN58" s="560"/>
      <c r="AO58" s="498"/>
      <c r="AP58" s="498"/>
      <c r="AQ58" s="498"/>
      <c r="AR58" s="498" t="e">
        <f t="shared" si="45"/>
        <v>#N/A</v>
      </c>
      <c r="AS58" s="560"/>
      <c r="AT58" s="498"/>
      <c r="AU58" s="498"/>
      <c r="AV58" s="498"/>
      <c r="AW58" s="498" t="e">
        <f t="shared" si="47"/>
        <v>#N/A</v>
      </c>
      <c r="AX58" s="560"/>
      <c r="AZ58" s="407" t="e">
        <f t="shared" si="49"/>
        <v>#N/A</v>
      </c>
      <c r="BA58" s="560"/>
    </row>
    <row r="59" spans="2:53">
      <c r="B59" s="570"/>
      <c r="C59" s="418">
        <v>13</v>
      </c>
      <c r="D59" s="226"/>
      <c r="E59" s="425"/>
      <c r="F59" s="418"/>
      <c r="G59" s="419"/>
      <c r="H59" s="628"/>
      <c r="I59" s="422" t="str">
        <f t="shared" si="32"/>
        <v>-</v>
      </c>
      <c r="J59" s="422" t="str">
        <f t="shared" si="33"/>
        <v>-</v>
      </c>
      <c r="K59" s="200" t="str">
        <f t="shared" si="34"/>
        <v>-</v>
      </c>
      <c r="L59" s="581"/>
      <c r="M59" s="500" t="e">
        <f>RANK(K59, K$47:$K$61)</f>
        <v>#VALUE!</v>
      </c>
      <c r="N59" s="564"/>
      <c r="O59" s="564"/>
      <c r="P59" s="498" t="s">
        <v>639</v>
      </c>
      <c r="Q59" s="425" t="s">
        <v>639</v>
      </c>
      <c r="R59" s="425" t="s">
        <v>639</v>
      </c>
      <c r="S59" s="498" t="e">
        <f t="shared" si="35"/>
        <v>#VALUE!</v>
      </c>
      <c r="T59" s="560"/>
      <c r="U59" s="498"/>
      <c r="V59" s="498"/>
      <c r="W59" s="498"/>
      <c r="X59" s="498" t="e">
        <f t="shared" si="37"/>
        <v>#N/A</v>
      </c>
      <c r="Y59" s="560"/>
      <c r="Z59" s="498"/>
      <c r="AA59" s="498"/>
      <c r="AB59" s="498"/>
      <c r="AC59" s="498" t="e">
        <f t="shared" si="39"/>
        <v>#N/A</v>
      </c>
      <c r="AD59" s="560"/>
      <c r="AE59" s="498"/>
      <c r="AF59" s="498"/>
      <c r="AG59" s="498"/>
      <c r="AH59" s="498" t="e">
        <f t="shared" si="41"/>
        <v>#N/A</v>
      </c>
      <c r="AI59" s="560"/>
      <c r="AJ59" s="498"/>
      <c r="AK59" s="498"/>
      <c r="AL59" s="498"/>
      <c r="AM59" s="498" t="e">
        <f t="shared" si="43"/>
        <v>#N/A</v>
      </c>
      <c r="AN59" s="560"/>
      <c r="AO59" s="498"/>
      <c r="AP59" s="498"/>
      <c r="AQ59" s="498"/>
      <c r="AR59" s="498" t="e">
        <f t="shared" si="45"/>
        <v>#N/A</v>
      </c>
      <c r="AS59" s="560"/>
      <c r="AT59" s="498"/>
      <c r="AU59" s="498"/>
      <c r="AV59" s="498"/>
      <c r="AW59" s="498" t="e">
        <f t="shared" si="47"/>
        <v>#N/A</v>
      </c>
      <c r="AX59" s="560"/>
      <c r="AZ59" s="407" t="e">
        <f t="shared" si="49"/>
        <v>#N/A</v>
      </c>
      <c r="BA59" s="560"/>
    </row>
    <row r="60" spans="2:53">
      <c r="B60" s="570"/>
      <c r="C60" s="418">
        <v>14</v>
      </c>
      <c r="D60" s="226"/>
      <c r="E60" s="425"/>
      <c r="F60" s="418"/>
      <c r="G60" s="419"/>
      <c r="H60" s="628"/>
      <c r="I60" s="422" t="str">
        <f t="shared" si="32"/>
        <v>-</v>
      </c>
      <c r="J60" s="422" t="str">
        <f t="shared" si="33"/>
        <v>-</v>
      </c>
      <c r="K60" s="200" t="str">
        <f t="shared" si="34"/>
        <v>-</v>
      </c>
      <c r="L60" s="581"/>
      <c r="M60" s="500" t="e">
        <f>RANK(K60, K$47:$K$61)</f>
        <v>#VALUE!</v>
      </c>
      <c r="N60" s="564"/>
      <c r="O60" s="564"/>
      <c r="P60" s="498" t="s">
        <v>639</v>
      </c>
      <c r="Q60" s="425" t="s">
        <v>639</v>
      </c>
      <c r="R60" s="425" t="s">
        <v>639</v>
      </c>
      <c r="S60" s="498" t="e">
        <f t="shared" si="35"/>
        <v>#VALUE!</v>
      </c>
      <c r="T60" s="560"/>
      <c r="U60" s="498"/>
      <c r="V60" s="498"/>
      <c r="W60" s="498"/>
      <c r="X60" s="498" t="e">
        <f t="shared" si="37"/>
        <v>#N/A</v>
      </c>
      <c r="Y60" s="560"/>
      <c r="Z60" s="498"/>
      <c r="AA60" s="498"/>
      <c r="AB60" s="498"/>
      <c r="AC60" s="498" t="e">
        <f t="shared" si="39"/>
        <v>#N/A</v>
      </c>
      <c r="AD60" s="560"/>
      <c r="AE60" s="498"/>
      <c r="AF60" s="498"/>
      <c r="AG60" s="498"/>
      <c r="AH60" s="498" t="e">
        <f t="shared" si="41"/>
        <v>#N/A</v>
      </c>
      <c r="AI60" s="560"/>
      <c r="AJ60" s="498"/>
      <c r="AK60" s="498"/>
      <c r="AL60" s="498"/>
      <c r="AM60" s="498" t="e">
        <f t="shared" si="43"/>
        <v>#N/A</v>
      </c>
      <c r="AN60" s="560"/>
      <c r="AO60" s="498"/>
      <c r="AP60" s="498"/>
      <c r="AQ60" s="498"/>
      <c r="AR60" s="498" t="e">
        <f t="shared" si="45"/>
        <v>#N/A</v>
      </c>
      <c r="AS60" s="560"/>
      <c r="AT60" s="498"/>
      <c r="AU60" s="498"/>
      <c r="AV60" s="498"/>
      <c r="AW60" s="498" t="e">
        <f t="shared" si="47"/>
        <v>#N/A</v>
      </c>
      <c r="AX60" s="560"/>
      <c r="AZ60" s="407" t="e">
        <f t="shared" si="49"/>
        <v>#N/A</v>
      </c>
      <c r="BA60" s="560"/>
    </row>
    <row r="61" spans="2:53">
      <c r="B61" s="570"/>
      <c r="C61" s="418">
        <v>15</v>
      </c>
      <c r="D61" s="226"/>
      <c r="E61" s="425"/>
      <c r="F61" s="418"/>
      <c r="G61" s="419"/>
      <c r="H61" s="629"/>
      <c r="I61" s="202"/>
      <c r="J61" s="202"/>
      <c r="K61" s="202"/>
      <c r="L61" s="582"/>
      <c r="M61" s="500" t="e">
        <f>RANK(K61, K$47:$K$61)</f>
        <v>#N/A</v>
      </c>
      <c r="N61" s="564"/>
      <c r="O61" s="564"/>
      <c r="P61" s="498" t="s">
        <v>639</v>
      </c>
      <c r="Q61" s="425" t="s">
        <v>639</v>
      </c>
      <c r="R61" s="425" t="s">
        <v>639</v>
      </c>
      <c r="S61" s="498" t="e">
        <f t="shared" si="35"/>
        <v>#VALUE!</v>
      </c>
      <c r="T61" s="561"/>
      <c r="U61" s="498"/>
      <c r="V61" s="498"/>
      <c r="W61" s="498"/>
      <c r="X61" s="498" t="e">
        <f t="shared" si="37"/>
        <v>#N/A</v>
      </c>
      <c r="Y61" s="561"/>
      <c r="Z61" s="498"/>
      <c r="AA61" s="498"/>
      <c r="AB61" s="498"/>
      <c r="AC61" s="498" t="e">
        <f t="shared" si="39"/>
        <v>#N/A</v>
      </c>
      <c r="AD61" s="561"/>
      <c r="AE61" s="498"/>
      <c r="AF61" s="498"/>
      <c r="AG61" s="498"/>
      <c r="AH61" s="498" t="e">
        <f t="shared" si="41"/>
        <v>#N/A</v>
      </c>
      <c r="AI61" s="561"/>
      <c r="AJ61" s="498"/>
      <c r="AK61" s="498"/>
      <c r="AL61" s="498"/>
      <c r="AM61" s="498" t="e">
        <f t="shared" si="43"/>
        <v>#N/A</v>
      </c>
      <c r="AN61" s="561"/>
      <c r="AO61" s="498"/>
      <c r="AP61" s="498"/>
      <c r="AQ61" s="498"/>
      <c r="AR61" s="498" t="e">
        <f t="shared" si="45"/>
        <v>#N/A</v>
      </c>
      <c r="AS61" s="561"/>
      <c r="AT61" s="498"/>
      <c r="AU61" s="498"/>
      <c r="AV61" s="498"/>
      <c r="AW61" s="498" t="e">
        <f t="shared" si="47"/>
        <v>#N/A</v>
      </c>
      <c r="AX61" s="561"/>
      <c r="AZ61" s="407" t="e">
        <f t="shared" si="49"/>
        <v>#N/A</v>
      </c>
      <c r="BA61" s="561"/>
    </row>
    <row r="62" spans="2:53" ht="15.75">
      <c r="B62" s="593" t="s">
        <v>163</v>
      </c>
      <c r="C62" s="594"/>
      <c r="D62" s="594"/>
      <c r="E62" s="594"/>
      <c r="F62" s="594"/>
      <c r="G62" s="594"/>
      <c r="H62" s="595"/>
      <c r="I62" s="208"/>
      <c r="J62" s="208"/>
      <c r="K62" s="208"/>
      <c r="L62" s="208"/>
      <c r="M62" s="207"/>
      <c r="N62" s="566" t="s">
        <v>156</v>
      </c>
      <c r="O62" s="566" t="s">
        <v>105</v>
      </c>
      <c r="P62" s="592">
        <f>P42+7</f>
        <v>46161</v>
      </c>
      <c r="Q62" s="570"/>
      <c r="R62" s="570"/>
      <c r="S62" s="570"/>
      <c r="T62" s="570"/>
      <c r="U62" s="589">
        <f>P62+1</f>
        <v>46162</v>
      </c>
      <c r="V62" s="590"/>
      <c r="W62" s="590"/>
      <c r="X62" s="590"/>
      <c r="Y62" s="591"/>
      <c r="Z62" s="589">
        <f>U62+1</f>
        <v>46163</v>
      </c>
      <c r="AA62" s="590"/>
      <c r="AB62" s="590"/>
      <c r="AC62" s="590"/>
      <c r="AD62" s="591"/>
      <c r="AE62" s="589">
        <f>Z62+1</f>
        <v>46164</v>
      </c>
      <c r="AF62" s="590"/>
      <c r="AG62" s="590"/>
      <c r="AH62" s="590"/>
      <c r="AI62" s="591"/>
      <c r="AJ62" s="589">
        <f>AE62+1</f>
        <v>46165</v>
      </c>
      <c r="AK62" s="590"/>
      <c r="AL62" s="590"/>
      <c r="AM62" s="590"/>
      <c r="AN62" s="591"/>
      <c r="AO62" s="589">
        <f>AJ62+1</f>
        <v>46166</v>
      </c>
      <c r="AP62" s="590"/>
      <c r="AQ62" s="590"/>
      <c r="AR62" s="590"/>
      <c r="AS62" s="591"/>
      <c r="AT62" s="589">
        <f>AO62+1</f>
        <v>46167</v>
      </c>
      <c r="AU62" s="590"/>
      <c r="AV62" s="590"/>
      <c r="AW62" s="590"/>
      <c r="AX62" s="591"/>
    </row>
    <row r="63" spans="2:53" ht="15.75">
      <c r="B63" s="596"/>
      <c r="C63" s="596"/>
      <c r="D63" s="596"/>
      <c r="E63" s="596"/>
      <c r="F63" s="596"/>
      <c r="G63" s="596"/>
      <c r="H63" s="596"/>
      <c r="I63" s="205"/>
      <c r="J63" s="205"/>
      <c r="K63" s="205"/>
      <c r="L63" s="205"/>
      <c r="M63" s="206"/>
      <c r="N63" s="568"/>
      <c r="O63" s="568"/>
      <c r="P63" s="592" t="s">
        <v>318</v>
      </c>
      <c r="Q63" s="570"/>
      <c r="R63" s="570"/>
      <c r="S63" s="570"/>
      <c r="T63" s="570"/>
      <c r="U63" s="592" t="s">
        <v>319</v>
      </c>
      <c r="V63" s="570"/>
      <c r="W63" s="570"/>
      <c r="X63" s="570"/>
      <c r="Y63" s="570"/>
      <c r="Z63" s="592" t="s">
        <v>320</v>
      </c>
      <c r="AA63" s="570"/>
      <c r="AB63" s="570"/>
      <c r="AC63" s="570"/>
      <c r="AD63" s="570"/>
      <c r="AE63" s="592" t="s">
        <v>321</v>
      </c>
      <c r="AF63" s="570"/>
      <c r="AG63" s="570"/>
      <c r="AH63" s="570"/>
      <c r="AI63" s="570"/>
      <c r="AJ63" s="592" t="s">
        <v>322</v>
      </c>
      <c r="AK63" s="570"/>
      <c r="AL63" s="570"/>
      <c r="AM63" s="570"/>
      <c r="AN63" s="570"/>
      <c r="AO63" s="592" t="s">
        <v>323</v>
      </c>
      <c r="AP63" s="570"/>
      <c r="AQ63" s="570"/>
      <c r="AR63" s="570"/>
      <c r="AS63" s="570"/>
      <c r="AT63" s="592" t="s">
        <v>324</v>
      </c>
      <c r="AU63" s="570"/>
      <c r="AV63" s="570"/>
      <c r="AW63" s="570"/>
      <c r="AX63" s="570"/>
    </row>
    <row r="64" spans="2:53">
      <c r="B64" s="564" t="s">
        <v>377</v>
      </c>
      <c r="C64" s="564" t="s">
        <v>387</v>
      </c>
      <c r="D64" s="564"/>
      <c r="E64" s="564" t="s">
        <v>378</v>
      </c>
      <c r="F64" s="564"/>
      <c r="G64" s="564"/>
      <c r="H64" s="597" t="s">
        <v>374</v>
      </c>
      <c r="I64" s="616" t="s">
        <v>379</v>
      </c>
      <c r="J64" s="616"/>
      <c r="K64" s="616"/>
      <c r="L64" s="617" t="s">
        <v>374</v>
      </c>
      <c r="M64" s="602" t="s">
        <v>375</v>
      </c>
      <c r="N64" s="564"/>
      <c r="O64" s="564" t="s">
        <v>380</v>
      </c>
      <c r="P64" s="583" t="s">
        <v>376</v>
      </c>
      <c r="Q64" s="584"/>
      <c r="R64" s="584"/>
      <c r="S64" s="585"/>
      <c r="T64" s="564" t="s">
        <v>374</v>
      </c>
      <c r="U64" s="583" t="s">
        <v>376</v>
      </c>
      <c r="V64" s="584"/>
      <c r="W64" s="584"/>
      <c r="X64" s="585"/>
      <c r="Y64" s="564" t="s">
        <v>374</v>
      </c>
      <c r="Z64" s="583" t="s">
        <v>376</v>
      </c>
      <c r="AA64" s="584"/>
      <c r="AB64" s="584"/>
      <c r="AC64" s="585"/>
      <c r="AD64" s="564" t="s">
        <v>374</v>
      </c>
      <c r="AE64" s="583" t="s">
        <v>376</v>
      </c>
      <c r="AF64" s="584"/>
      <c r="AG64" s="584"/>
      <c r="AH64" s="585"/>
      <c r="AI64" s="564" t="s">
        <v>374</v>
      </c>
      <c r="AJ64" s="583" t="s">
        <v>376</v>
      </c>
      <c r="AK64" s="584"/>
      <c r="AL64" s="584"/>
      <c r="AM64" s="585"/>
      <c r="AN64" s="564" t="s">
        <v>374</v>
      </c>
      <c r="AO64" s="583" t="s">
        <v>376</v>
      </c>
      <c r="AP64" s="584"/>
      <c r="AQ64" s="584"/>
      <c r="AR64" s="585"/>
      <c r="AS64" s="564" t="s">
        <v>374</v>
      </c>
      <c r="AT64" s="583" t="s">
        <v>376</v>
      </c>
      <c r="AU64" s="584"/>
      <c r="AV64" s="584"/>
      <c r="AW64" s="585"/>
      <c r="AX64" s="564" t="s">
        <v>374</v>
      </c>
      <c r="BA64" s="564" t="s">
        <v>374</v>
      </c>
    </row>
    <row r="65" spans="2:53">
      <c r="B65" s="564"/>
      <c r="C65" s="564"/>
      <c r="D65" s="564"/>
      <c r="E65" s="564" t="s">
        <v>381</v>
      </c>
      <c r="F65" s="564"/>
      <c r="G65" s="564"/>
      <c r="H65" s="598"/>
      <c r="I65" s="616" t="s">
        <v>381</v>
      </c>
      <c r="J65" s="616"/>
      <c r="K65" s="616"/>
      <c r="L65" s="618"/>
      <c r="M65" s="603"/>
      <c r="N65" s="564"/>
      <c r="O65" s="564"/>
      <c r="P65" s="583" t="s">
        <v>382</v>
      </c>
      <c r="Q65" s="584"/>
      <c r="R65" s="584"/>
      <c r="S65" s="585"/>
      <c r="T65" s="564"/>
      <c r="U65" s="583" t="s">
        <v>382</v>
      </c>
      <c r="V65" s="584"/>
      <c r="W65" s="584"/>
      <c r="X65" s="585"/>
      <c r="Y65" s="564"/>
      <c r="Z65" s="583" t="s">
        <v>382</v>
      </c>
      <c r="AA65" s="584"/>
      <c r="AB65" s="584"/>
      <c r="AC65" s="585"/>
      <c r="AD65" s="564"/>
      <c r="AE65" s="583" t="s">
        <v>382</v>
      </c>
      <c r="AF65" s="584"/>
      <c r="AG65" s="584"/>
      <c r="AH65" s="585"/>
      <c r="AI65" s="564"/>
      <c r="AJ65" s="583" t="s">
        <v>382</v>
      </c>
      <c r="AK65" s="584"/>
      <c r="AL65" s="584"/>
      <c r="AM65" s="585"/>
      <c r="AN65" s="564"/>
      <c r="AO65" s="583" t="s">
        <v>382</v>
      </c>
      <c r="AP65" s="584"/>
      <c r="AQ65" s="584"/>
      <c r="AR65" s="585"/>
      <c r="AS65" s="564"/>
      <c r="AT65" s="583" t="s">
        <v>382</v>
      </c>
      <c r="AU65" s="584"/>
      <c r="AV65" s="584"/>
      <c r="AW65" s="585"/>
      <c r="AX65" s="564"/>
      <c r="BA65" s="564"/>
    </row>
    <row r="66" spans="2:53">
      <c r="B66" s="564"/>
      <c r="C66" s="564"/>
      <c r="D66" s="564"/>
      <c r="E66" s="417" t="s">
        <v>383</v>
      </c>
      <c r="F66" s="417" t="s">
        <v>384</v>
      </c>
      <c r="G66" s="417" t="s">
        <v>385</v>
      </c>
      <c r="H66" s="599"/>
      <c r="I66" s="416" t="s">
        <v>383</v>
      </c>
      <c r="J66" s="416" t="s">
        <v>384</v>
      </c>
      <c r="K66" s="416" t="s">
        <v>385</v>
      </c>
      <c r="L66" s="619"/>
      <c r="M66" s="604"/>
      <c r="N66" s="564"/>
      <c r="O66" s="564"/>
      <c r="P66" s="417" t="s">
        <v>383</v>
      </c>
      <c r="Q66" s="417" t="s">
        <v>384</v>
      </c>
      <c r="R66" s="417" t="s">
        <v>385</v>
      </c>
      <c r="S66" s="417" t="s">
        <v>375</v>
      </c>
      <c r="T66" s="564"/>
      <c r="U66" s="417" t="s">
        <v>383</v>
      </c>
      <c r="V66" s="417" t="s">
        <v>384</v>
      </c>
      <c r="W66" s="417" t="s">
        <v>385</v>
      </c>
      <c r="X66" s="417" t="s">
        <v>375</v>
      </c>
      <c r="Y66" s="564"/>
      <c r="Z66" s="417" t="s">
        <v>383</v>
      </c>
      <c r="AA66" s="417" t="s">
        <v>384</v>
      </c>
      <c r="AB66" s="417" t="s">
        <v>385</v>
      </c>
      <c r="AC66" s="417" t="s">
        <v>375</v>
      </c>
      <c r="AD66" s="564"/>
      <c r="AE66" s="417" t="s">
        <v>383</v>
      </c>
      <c r="AF66" s="417" t="s">
        <v>384</v>
      </c>
      <c r="AG66" s="417" t="s">
        <v>385</v>
      </c>
      <c r="AH66" s="417" t="s">
        <v>375</v>
      </c>
      <c r="AI66" s="564"/>
      <c r="AJ66" s="417" t="s">
        <v>383</v>
      </c>
      <c r="AK66" s="417" t="s">
        <v>384</v>
      </c>
      <c r="AL66" s="417" t="s">
        <v>385</v>
      </c>
      <c r="AM66" s="417" t="s">
        <v>375</v>
      </c>
      <c r="AN66" s="564"/>
      <c r="AO66" s="417" t="s">
        <v>383</v>
      </c>
      <c r="AP66" s="417" t="s">
        <v>384</v>
      </c>
      <c r="AQ66" s="417" t="s">
        <v>385</v>
      </c>
      <c r="AR66" s="417" t="s">
        <v>375</v>
      </c>
      <c r="AS66" s="564"/>
      <c r="AT66" s="417" t="s">
        <v>383</v>
      </c>
      <c r="AU66" s="417" t="s">
        <v>384</v>
      </c>
      <c r="AV66" s="417" t="s">
        <v>385</v>
      </c>
      <c r="AW66" s="417" t="s">
        <v>375</v>
      </c>
      <c r="AX66" s="564"/>
      <c r="AZ66" s="406" t="s">
        <v>375</v>
      </c>
      <c r="BA66" s="564"/>
    </row>
    <row r="67" spans="2:53">
      <c r="B67" s="564" t="s">
        <v>388</v>
      </c>
      <c r="C67" s="418">
        <v>1</v>
      </c>
      <c r="D67" s="226"/>
      <c r="E67" s="425"/>
      <c r="F67" s="418"/>
      <c r="G67" s="419"/>
      <c r="H67" s="627" t="e">
        <f>AVERAGE(G67:G81)</f>
        <v>#DIV/0!</v>
      </c>
      <c r="I67" s="422" t="str">
        <f t="shared" ref="I67:I80" si="51">IFERROR(AVERAGE(P67,U67,Z67,AE67,AJ67,AO67,AT67),"-")</f>
        <v>-</v>
      </c>
      <c r="J67" s="422" t="str">
        <f t="shared" ref="J67:J80" si="52">IFERROR(AVERAGE(Q67,V67,AA67,AF67,AK67,AP67,AU67),"-")</f>
        <v>-</v>
      </c>
      <c r="K67" s="200" t="str">
        <f t="shared" ref="K67:K80" si="53">IFERROR(AVERAGE(R67,W67,AB67,AG67,AL67,AQ67,AV67),"-")</f>
        <v>-</v>
      </c>
      <c r="L67" s="580" t="str">
        <f>IFERROR(AVERAGE(K67:K81),"-")</f>
        <v>-</v>
      </c>
      <c r="M67" s="424" t="e">
        <f>RANK(K67, K$87:$K$101)</f>
        <v>#VALUE!</v>
      </c>
      <c r="N67" s="564"/>
      <c r="O67" s="564"/>
      <c r="P67" s="425"/>
      <c r="Q67" s="425"/>
      <c r="R67" s="419"/>
      <c r="S67" s="418" t="e">
        <f>RANK(R67, R$107:R$121)</f>
        <v>#N/A</v>
      </c>
      <c r="T67" s="565" t="e">
        <f>AVERAGE(R67:R81)</f>
        <v>#DIV/0!</v>
      </c>
      <c r="U67" s="425"/>
      <c r="V67" s="425"/>
      <c r="W67" s="419"/>
      <c r="X67" s="418" t="e">
        <f>RANK(W67, W$107:W$121)</f>
        <v>#N/A</v>
      </c>
      <c r="Y67" s="565" t="e">
        <f>AVERAGE(W67:W81)</f>
        <v>#DIV/0!</v>
      </c>
      <c r="Z67" s="425"/>
      <c r="AA67" s="425"/>
      <c r="AB67" s="419"/>
      <c r="AC67" s="418" t="e">
        <f>RANK(AB67, AB$107:AB$121)</f>
        <v>#N/A</v>
      </c>
      <c r="AD67" s="565" t="e">
        <f>AVERAGE(AB67:AB81)</f>
        <v>#DIV/0!</v>
      </c>
      <c r="AE67" s="425"/>
      <c r="AF67" s="425"/>
      <c r="AG67" s="419"/>
      <c r="AH67" s="418" t="e">
        <f>RANK(AG67, AG$107:AG$121)</f>
        <v>#N/A</v>
      </c>
      <c r="AI67" s="565" t="e">
        <f>AVERAGE(AG67:AG81)</f>
        <v>#DIV/0!</v>
      </c>
      <c r="AJ67" s="425"/>
      <c r="AK67" s="425"/>
      <c r="AL67" s="419"/>
      <c r="AM67" s="418" t="e">
        <f>RANK(AL67, AL$107:AL$121)</f>
        <v>#N/A</v>
      </c>
      <c r="AN67" s="565" t="e">
        <f>AVERAGE(AL67:AL81)</f>
        <v>#DIV/0!</v>
      </c>
      <c r="AO67" s="425"/>
      <c r="AP67" s="425"/>
      <c r="AQ67" s="419"/>
      <c r="AR67" s="418" t="e">
        <f>RANK(AQ67, AQ$107:AQ$121)</f>
        <v>#N/A</v>
      </c>
      <c r="AS67" s="565" t="e">
        <f>AVERAGE(AQ67:AQ81)</f>
        <v>#DIV/0!</v>
      </c>
      <c r="AT67" s="425"/>
      <c r="AU67" s="425"/>
      <c r="AV67" s="419"/>
      <c r="AW67" s="418" t="e">
        <f>RANK(AV67, AV$107:AV$121)</f>
        <v>#N/A</v>
      </c>
      <c r="AX67" s="565" t="e">
        <f>AVERAGE(AV67:AV81)</f>
        <v>#DIV/0!</v>
      </c>
      <c r="AZ67" s="407" t="e">
        <f t="shared" ref="AZ67:AZ81" si="54">RANK(AY67, AY$67:AY$81)</f>
        <v>#N/A</v>
      </c>
      <c r="BA67" s="559" t="e">
        <f t="shared" ref="BA67" si="55">AVERAGE(AY67:AY81)</f>
        <v>#DIV/0!</v>
      </c>
    </row>
    <row r="68" spans="2:53">
      <c r="B68" s="570"/>
      <c r="C68" s="418">
        <v>2</v>
      </c>
      <c r="D68" s="226"/>
      <c r="E68" s="425"/>
      <c r="F68" s="418"/>
      <c r="G68" s="419"/>
      <c r="H68" s="628"/>
      <c r="I68" s="422" t="str">
        <f t="shared" si="51"/>
        <v>-</v>
      </c>
      <c r="J68" s="422" t="str">
        <f t="shared" si="52"/>
        <v>-</v>
      </c>
      <c r="K68" s="200" t="str">
        <f t="shared" si="53"/>
        <v>-</v>
      </c>
      <c r="L68" s="581"/>
      <c r="M68" s="424" t="e">
        <f>RANK(K68, K$87:$K$101)</f>
        <v>#VALUE!</v>
      </c>
      <c r="N68" s="564"/>
      <c r="O68" s="564"/>
      <c r="P68" s="418"/>
      <c r="Q68" s="425"/>
      <c r="R68" s="419"/>
      <c r="S68" s="418" t="e">
        <f t="shared" ref="S68:S81" si="56">RANK(R68, R$107:R$121)</f>
        <v>#N/A</v>
      </c>
      <c r="T68" s="565"/>
      <c r="U68" s="418"/>
      <c r="V68" s="425"/>
      <c r="W68" s="419"/>
      <c r="X68" s="418" t="e">
        <f t="shared" ref="X68:X81" si="57">RANK(W68, W$107:W$121)</f>
        <v>#N/A</v>
      </c>
      <c r="Y68" s="565"/>
      <c r="Z68" s="418"/>
      <c r="AA68" s="425"/>
      <c r="AB68" s="419"/>
      <c r="AC68" s="418" t="e">
        <f t="shared" ref="AC68:AC81" si="58">RANK(AB68, AB$107:AB$121)</f>
        <v>#N/A</v>
      </c>
      <c r="AD68" s="565"/>
      <c r="AE68" s="418"/>
      <c r="AF68" s="425"/>
      <c r="AG68" s="419"/>
      <c r="AH68" s="418" t="e">
        <f t="shared" ref="AH68:AH81" si="59">RANK(AG68, AG$107:AG$121)</f>
        <v>#N/A</v>
      </c>
      <c r="AI68" s="565"/>
      <c r="AJ68" s="418"/>
      <c r="AK68" s="425"/>
      <c r="AL68" s="419"/>
      <c r="AM68" s="418" t="e">
        <f t="shared" ref="AM68:AM81" si="60">RANK(AL68, AL$107:AL$121)</f>
        <v>#N/A</v>
      </c>
      <c r="AN68" s="565"/>
      <c r="AO68" s="418"/>
      <c r="AP68" s="425"/>
      <c r="AQ68" s="419"/>
      <c r="AR68" s="418" t="e">
        <f t="shared" ref="AR68:AR81" si="61">RANK(AQ68, AQ$107:AQ$121)</f>
        <v>#N/A</v>
      </c>
      <c r="AS68" s="565"/>
      <c r="AT68" s="418"/>
      <c r="AU68" s="425"/>
      <c r="AV68" s="419"/>
      <c r="AW68" s="418" t="e">
        <f t="shared" ref="AW68:AW81" si="62">RANK(AV68, AV$107:AV$121)</f>
        <v>#N/A</v>
      </c>
      <c r="AX68" s="565"/>
      <c r="AZ68" s="407" t="e">
        <f t="shared" si="54"/>
        <v>#N/A</v>
      </c>
      <c r="BA68" s="560"/>
    </row>
    <row r="69" spans="2:53">
      <c r="B69" s="570"/>
      <c r="C69" s="418">
        <v>3</v>
      </c>
      <c r="D69" s="226"/>
      <c r="E69" s="425"/>
      <c r="F69" s="418"/>
      <c r="G69" s="419"/>
      <c r="H69" s="628"/>
      <c r="I69" s="422" t="str">
        <f t="shared" si="51"/>
        <v>-</v>
      </c>
      <c r="J69" s="422" t="str">
        <f t="shared" si="52"/>
        <v>-</v>
      </c>
      <c r="K69" s="200" t="str">
        <f t="shared" si="53"/>
        <v>-</v>
      </c>
      <c r="L69" s="581"/>
      <c r="M69" s="424" t="e">
        <f>RANK(K69, K$87:$K$101)</f>
        <v>#VALUE!</v>
      </c>
      <c r="N69" s="564"/>
      <c r="O69" s="564"/>
      <c r="P69" s="418"/>
      <c r="Q69" s="418"/>
      <c r="R69" s="418"/>
      <c r="S69" s="418" t="e">
        <f t="shared" si="56"/>
        <v>#N/A</v>
      </c>
      <c r="T69" s="565"/>
      <c r="U69" s="418"/>
      <c r="V69" s="418"/>
      <c r="W69" s="418"/>
      <c r="X69" s="418" t="e">
        <f t="shared" si="57"/>
        <v>#N/A</v>
      </c>
      <c r="Y69" s="565"/>
      <c r="Z69" s="418"/>
      <c r="AA69" s="418"/>
      <c r="AB69" s="418"/>
      <c r="AC69" s="418" t="e">
        <f t="shared" si="58"/>
        <v>#N/A</v>
      </c>
      <c r="AD69" s="565"/>
      <c r="AE69" s="418"/>
      <c r="AF69" s="418"/>
      <c r="AG69" s="418"/>
      <c r="AH69" s="418" t="e">
        <f t="shared" si="59"/>
        <v>#N/A</v>
      </c>
      <c r="AI69" s="565"/>
      <c r="AJ69" s="418"/>
      <c r="AK69" s="418"/>
      <c r="AL69" s="418"/>
      <c r="AM69" s="418" t="e">
        <f t="shared" si="60"/>
        <v>#N/A</v>
      </c>
      <c r="AN69" s="565"/>
      <c r="AO69" s="418"/>
      <c r="AP69" s="418"/>
      <c r="AQ69" s="418"/>
      <c r="AR69" s="418" t="e">
        <f t="shared" si="61"/>
        <v>#N/A</v>
      </c>
      <c r="AS69" s="565"/>
      <c r="AT69" s="418"/>
      <c r="AU69" s="418"/>
      <c r="AV69" s="418"/>
      <c r="AW69" s="418" t="e">
        <f t="shared" si="62"/>
        <v>#N/A</v>
      </c>
      <c r="AX69" s="565"/>
      <c r="AZ69" s="407" t="e">
        <f t="shared" si="54"/>
        <v>#N/A</v>
      </c>
      <c r="BA69" s="560"/>
    </row>
    <row r="70" spans="2:53">
      <c r="B70" s="570"/>
      <c r="C70" s="418">
        <v>4</v>
      </c>
      <c r="D70" s="226"/>
      <c r="E70" s="425"/>
      <c r="F70" s="418"/>
      <c r="G70" s="419"/>
      <c r="H70" s="628"/>
      <c r="I70" s="422" t="str">
        <f t="shared" si="51"/>
        <v>-</v>
      </c>
      <c r="J70" s="422" t="str">
        <f t="shared" si="52"/>
        <v>-</v>
      </c>
      <c r="K70" s="200" t="str">
        <f t="shared" si="53"/>
        <v>-</v>
      </c>
      <c r="L70" s="581"/>
      <c r="M70" s="424" t="e">
        <f>RANK(K70, K$87:$K$101)</f>
        <v>#VALUE!</v>
      </c>
      <c r="N70" s="564"/>
      <c r="O70" s="564"/>
      <c r="P70" s="418"/>
      <c r="Q70" s="418"/>
      <c r="R70" s="418"/>
      <c r="S70" s="418" t="e">
        <f t="shared" si="56"/>
        <v>#N/A</v>
      </c>
      <c r="T70" s="565"/>
      <c r="U70" s="418"/>
      <c r="V70" s="418"/>
      <c r="W70" s="418"/>
      <c r="X70" s="418" t="e">
        <f t="shared" si="57"/>
        <v>#N/A</v>
      </c>
      <c r="Y70" s="565"/>
      <c r="Z70" s="418"/>
      <c r="AA70" s="418"/>
      <c r="AB70" s="418"/>
      <c r="AC70" s="418" t="e">
        <f t="shared" si="58"/>
        <v>#N/A</v>
      </c>
      <c r="AD70" s="565"/>
      <c r="AE70" s="418"/>
      <c r="AF70" s="418"/>
      <c r="AG70" s="418"/>
      <c r="AH70" s="418" t="e">
        <f t="shared" si="59"/>
        <v>#N/A</v>
      </c>
      <c r="AI70" s="565"/>
      <c r="AJ70" s="418"/>
      <c r="AK70" s="418"/>
      <c r="AL70" s="418"/>
      <c r="AM70" s="418" t="e">
        <f t="shared" si="60"/>
        <v>#N/A</v>
      </c>
      <c r="AN70" s="565"/>
      <c r="AO70" s="418"/>
      <c r="AP70" s="418"/>
      <c r="AQ70" s="418"/>
      <c r="AR70" s="418" t="e">
        <f t="shared" si="61"/>
        <v>#N/A</v>
      </c>
      <c r="AS70" s="565"/>
      <c r="AT70" s="418"/>
      <c r="AU70" s="418"/>
      <c r="AV70" s="418"/>
      <c r="AW70" s="418" t="e">
        <f t="shared" si="62"/>
        <v>#N/A</v>
      </c>
      <c r="AX70" s="565"/>
      <c r="AZ70" s="407" t="e">
        <f t="shared" si="54"/>
        <v>#N/A</v>
      </c>
      <c r="BA70" s="560"/>
    </row>
    <row r="71" spans="2:53">
      <c r="B71" s="570"/>
      <c r="C71" s="418">
        <v>5</v>
      </c>
      <c r="D71" s="226"/>
      <c r="E71" s="425"/>
      <c r="F71" s="418"/>
      <c r="G71" s="419"/>
      <c r="H71" s="628"/>
      <c r="I71" s="422" t="str">
        <f t="shared" si="51"/>
        <v>-</v>
      </c>
      <c r="J71" s="422" t="str">
        <f t="shared" si="52"/>
        <v>-</v>
      </c>
      <c r="K71" s="200" t="str">
        <f t="shared" si="53"/>
        <v>-</v>
      </c>
      <c r="L71" s="581"/>
      <c r="M71" s="424" t="e">
        <f>RANK(K71, K$87:$K$101)</f>
        <v>#VALUE!</v>
      </c>
      <c r="N71" s="564"/>
      <c r="O71" s="564"/>
      <c r="P71" s="418"/>
      <c r="Q71" s="418"/>
      <c r="R71" s="418"/>
      <c r="S71" s="418" t="e">
        <f t="shared" si="56"/>
        <v>#N/A</v>
      </c>
      <c r="T71" s="565"/>
      <c r="U71" s="418"/>
      <c r="V71" s="418"/>
      <c r="W71" s="418"/>
      <c r="X71" s="418" t="e">
        <f t="shared" si="57"/>
        <v>#N/A</v>
      </c>
      <c r="Y71" s="565"/>
      <c r="Z71" s="418"/>
      <c r="AA71" s="418"/>
      <c r="AB71" s="418"/>
      <c r="AC71" s="418" t="e">
        <f t="shared" si="58"/>
        <v>#N/A</v>
      </c>
      <c r="AD71" s="565"/>
      <c r="AE71" s="418"/>
      <c r="AF71" s="418"/>
      <c r="AG71" s="418"/>
      <c r="AH71" s="418" t="e">
        <f t="shared" si="59"/>
        <v>#N/A</v>
      </c>
      <c r="AI71" s="565"/>
      <c r="AJ71" s="418"/>
      <c r="AK71" s="418"/>
      <c r="AL71" s="418"/>
      <c r="AM71" s="418" t="e">
        <f t="shared" si="60"/>
        <v>#N/A</v>
      </c>
      <c r="AN71" s="565"/>
      <c r="AO71" s="418"/>
      <c r="AP71" s="418"/>
      <c r="AQ71" s="418"/>
      <c r="AR71" s="418" t="e">
        <f t="shared" si="61"/>
        <v>#N/A</v>
      </c>
      <c r="AS71" s="565"/>
      <c r="AT71" s="418"/>
      <c r="AU71" s="418"/>
      <c r="AV71" s="418"/>
      <c r="AW71" s="418" t="e">
        <f t="shared" si="62"/>
        <v>#N/A</v>
      </c>
      <c r="AX71" s="565"/>
      <c r="AZ71" s="407" t="e">
        <f t="shared" si="54"/>
        <v>#N/A</v>
      </c>
      <c r="BA71" s="560"/>
    </row>
    <row r="72" spans="2:53">
      <c r="B72" s="570"/>
      <c r="C72" s="418">
        <v>6</v>
      </c>
      <c r="D72" s="226"/>
      <c r="E72" s="425"/>
      <c r="F72" s="418"/>
      <c r="G72" s="419"/>
      <c r="H72" s="628"/>
      <c r="I72" s="422" t="str">
        <f t="shared" si="51"/>
        <v>-</v>
      </c>
      <c r="J72" s="422" t="str">
        <f t="shared" si="52"/>
        <v>-</v>
      </c>
      <c r="K72" s="200" t="str">
        <f t="shared" si="53"/>
        <v>-</v>
      </c>
      <c r="L72" s="581"/>
      <c r="M72" s="424" t="e">
        <f>RANK(K72, K$87:$K$101)</f>
        <v>#VALUE!</v>
      </c>
      <c r="N72" s="564"/>
      <c r="O72" s="564"/>
      <c r="P72" s="418"/>
      <c r="Q72" s="418"/>
      <c r="R72" s="418"/>
      <c r="S72" s="418" t="e">
        <f t="shared" si="56"/>
        <v>#N/A</v>
      </c>
      <c r="T72" s="565"/>
      <c r="U72" s="418"/>
      <c r="V72" s="418"/>
      <c r="W72" s="418"/>
      <c r="X72" s="418" t="e">
        <f t="shared" si="57"/>
        <v>#N/A</v>
      </c>
      <c r="Y72" s="565"/>
      <c r="Z72" s="418"/>
      <c r="AA72" s="418"/>
      <c r="AB72" s="418"/>
      <c r="AC72" s="418" t="e">
        <f t="shared" si="58"/>
        <v>#N/A</v>
      </c>
      <c r="AD72" s="565"/>
      <c r="AE72" s="418"/>
      <c r="AF72" s="418"/>
      <c r="AG72" s="418"/>
      <c r="AH72" s="418" t="e">
        <f t="shared" si="59"/>
        <v>#N/A</v>
      </c>
      <c r="AI72" s="565"/>
      <c r="AJ72" s="418"/>
      <c r="AK72" s="418"/>
      <c r="AL72" s="418"/>
      <c r="AM72" s="418" t="e">
        <f t="shared" si="60"/>
        <v>#N/A</v>
      </c>
      <c r="AN72" s="565"/>
      <c r="AO72" s="418"/>
      <c r="AP72" s="418"/>
      <c r="AQ72" s="418"/>
      <c r="AR72" s="418" t="e">
        <f t="shared" si="61"/>
        <v>#N/A</v>
      </c>
      <c r="AS72" s="565"/>
      <c r="AT72" s="418"/>
      <c r="AU72" s="418"/>
      <c r="AV72" s="418"/>
      <c r="AW72" s="418" t="e">
        <f t="shared" si="62"/>
        <v>#N/A</v>
      </c>
      <c r="AX72" s="565"/>
      <c r="AZ72" s="407" t="e">
        <f t="shared" si="54"/>
        <v>#N/A</v>
      </c>
      <c r="BA72" s="560"/>
    </row>
    <row r="73" spans="2:53">
      <c r="B73" s="570"/>
      <c r="C73" s="418">
        <v>7</v>
      </c>
      <c r="D73" s="226"/>
      <c r="E73" s="425"/>
      <c r="F73" s="418"/>
      <c r="G73" s="419"/>
      <c r="H73" s="628"/>
      <c r="I73" s="422" t="str">
        <f t="shared" si="51"/>
        <v>-</v>
      </c>
      <c r="J73" s="422" t="str">
        <f t="shared" si="52"/>
        <v>-</v>
      </c>
      <c r="K73" s="200" t="str">
        <f t="shared" si="53"/>
        <v>-</v>
      </c>
      <c r="L73" s="581"/>
      <c r="M73" s="424" t="e">
        <f>RANK(K73, K$87:$K$101)</f>
        <v>#VALUE!</v>
      </c>
      <c r="N73" s="564"/>
      <c r="O73" s="564"/>
      <c r="P73" s="418"/>
      <c r="Q73" s="418"/>
      <c r="R73" s="418"/>
      <c r="S73" s="418" t="e">
        <f t="shared" si="56"/>
        <v>#N/A</v>
      </c>
      <c r="T73" s="565"/>
      <c r="U73" s="418"/>
      <c r="V73" s="418"/>
      <c r="W73" s="418"/>
      <c r="X73" s="418" t="e">
        <f t="shared" si="57"/>
        <v>#N/A</v>
      </c>
      <c r="Y73" s="565"/>
      <c r="Z73" s="418"/>
      <c r="AA73" s="418"/>
      <c r="AB73" s="418"/>
      <c r="AC73" s="418" t="e">
        <f t="shared" si="58"/>
        <v>#N/A</v>
      </c>
      <c r="AD73" s="565"/>
      <c r="AE73" s="418"/>
      <c r="AF73" s="418"/>
      <c r="AG73" s="418"/>
      <c r="AH73" s="418" t="e">
        <f t="shared" si="59"/>
        <v>#N/A</v>
      </c>
      <c r="AI73" s="565"/>
      <c r="AJ73" s="418"/>
      <c r="AK73" s="418"/>
      <c r="AL73" s="418"/>
      <c r="AM73" s="418" t="e">
        <f t="shared" si="60"/>
        <v>#N/A</v>
      </c>
      <c r="AN73" s="565"/>
      <c r="AO73" s="418"/>
      <c r="AP73" s="418"/>
      <c r="AQ73" s="418"/>
      <c r="AR73" s="418" t="e">
        <f t="shared" si="61"/>
        <v>#N/A</v>
      </c>
      <c r="AS73" s="565"/>
      <c r="AT73" s="418"/>
      <c r="AU73" s="418"/>
      <c r="AV73" s="418"/>
      <c r="AW73" s="418" t="e">
        <f t="shared" si="62"/>
        <v>#N/A</v>
      </c>
      <c r="AX73" s="565"/>
      <c r="AZ73" s="407" t="e">
        <f t="shared" si="54"/>
        <v>#N/A</v>
      </c>
      <c r="BA73" s="560"/>
    </row>
    <row r="74" spans="2:53">
      <c r="B74" s="570"/>
      <c r="C74" s="418">
        <v>8</v>
      </c>
      <c r="D74" s="226"/>
      <c r="E74" s="425"/>
      <c r="F74" s="418"/>
      <c r="G74" s="419"/>
      <c r="H74" s="628"/>
      <c r="I74" s="422" t="str">
        <f t="shared" si="51"/>
        <v>-</v>
      </c>
      <c r="J74" s="422" t="str">
        <f t="shared" si="52"/>
        <v>-</v>
      </c>
      <c r="K74" s="200" t="str">
        <f t="shared" si="53"/>
        <v>-</v>
      </c>
      <c r="L74" s="581"/>
      <c r="M74" s="424" t="e">
        <f>RANK(K74, K$87:$K$101)</f>
        <v>#VALUE!</v>
      </c>
      <c r="N74" s="564"/>
      <c r="O74" s="564"/>
      <c r="P74" s="418"/>
      <c r="Q74" s="418"/>
      <c r="R74" s="418"/>
      <c r="S74" s="418" t="e">
        <f t="shared" si="56"/>
        <v>#N/A</v>
      </c>
      <c r="T74" s="565"/>
      <c r="U74" s="418"/>
      <c r="V74" s="418"/>
      <c r="W74" s="418"/>
      <c r="X74" s="418" t="e">
        <f t="shared" si="57"/>
        <v>#N/A</v>
      </c>
      <c r="Y74" s="565"/>
      <c r="Z74" s="418"/>
      <c r="AA74" s="418"/>
      <c r="AB74" s="418"/>
      <c r="AC74" s="418" t="e">
        <f t="shared" si="58"/>
        <v>#N/A</v>
      </c>
      <c r="AD74" s="565"/>
      <c r="AE74" s="418"/>
      <c r="AF74" s="418"/>
      <c r="AG74" s="418"/>
      <c r="AH74" s="418" t="e">
        <f t="shared" si="59"/>
        <v>#N/A</v>
      </c>
      <c r="AI74" s="565"/>
      <c r="AJ74" s="418"/>
      <c r="AK74" s="418"/>
      <c r="AL74" s="418"/>
      <c r="AM74" s="418" t="e">
        <f t="shared" si="60"/>
        <v>#N/A</v>
      </c>
      <c r="AN74" s="565"/>
      <c r="AO74" s="418"/>
      <c r="AP74" s="418"/>
      <c r="AQ74" s="418"/>
      <c r="AR74" s="418" t="e">
        <f t="shared" si="61"/>
        <v>#N/A</v>
      </c>
      <c r="AS74" s="565"/>
      <c r="AT74" s="418"/>
      <c r="AU74" s="418"/>
      <c r="AV74" s="418"/>
      <c r="AW74" s="418" t="e">
        <f t="shared" si="62"/>
        <v>#N/A</v>
      </c>
      <c r="AX74" s="565"/>
      <c r="AZ74" s="407" t="e">
        <f t="shared" si="54"/>
        <v>#N/A</v>
      </c>
      <c r="BA74" s="560"/>
    </row>
    <row r="75" spans="2:53">
      <c r="B75" s="570"/>
      <c r="C75" s="418">
        <v>9</v>
      </c>
      <c r="D75" s="226"/>
      <c r="E75" s="425"/>
      <c r="F75" s="418"/>
      <c r="G75" s="419"/>
      <c r="H75" s="628"/>
      <c r="I75" s="422" t="str">
        <f t="shared" si="51"/>
        <v>-</v>
      </c>
      <c r="J75" s="422" t="str">
        <f t="shared" si="52"/>
        <v>-</v>
      </c>
      <c r="K75" s="200" t="str">
        <f t="shared" si="53"/>
        <v>-</v>
      </c>
      <c r="L75" s="581"/>
      <c r="M75" s="424" t="e">
        <f>RANK(K75, K$87:$K$101)</f>
        <v>#VALUE!</v>
      </c>
      <c r="N75" s="564"/>
      <c r="O75" s="564"/>
      <c r="P75" s="418"/>
      <c r="Q75" s="418"/>
      <c r="R75" s="418"/>
      <c r="S75" s="418" t="e">
        <f t="shared" si="56"/>
        <v>#N/A</v>
      </c>
      <c r="T75" s="565"/>
      <c r="U75" s="418"/>
      <c r="V75" s="418"/>
      <c r="W75" s="418"/>
      <c r="X75" s="418" t="e">
        <f t="shared" si="57"/>
        <v>#N/A</v>
      </c>
      <c r="Y75" s="565"/>
      <c r="Z75" s="418"/>
      <c r="AA75" s="418"/>
      <c r="AB75" s="418"/>
      <c r="AC75" s="418" t="e">
        <f t="shared" si="58"/>
        <v>#N/A</v>
      </c>
      <c r="AD75" s="565"/>
      <c r="AE75" s="418"/>
      <c r="AF75" s="418"/>
      <c r="AG75" s="418"/>
      <c r="AH75" s="418" t="e">
        <f t="shared" si="59"/>
        <v>#N/A</v>
      </c>
      <c r="AI75" s="565"/>
      <c r="AJ75" s="418"/>
      <c r="AK75" s="418"/>
      <c r="AL75" s="418"/>
      <c r="AM75" s="418" t="e">
        <f t="shared" si="60"/>
        <v>#N/A</v>
      </c>
      <c r="AN75" s="565"/>
      <c r="AO75" s="418"/>
      <c r="AP75" s="418"/>
      <c r="AQ75" s="418"/>
      <c r="AR75" s="418" t="e">
        <f t="shared" si="61"/>
        <v>#N/A</v>
      </c>
      <c r="AS75" s="565"/>
      <c r="AT75" s="418"/>
      <c r="AU75" s="418"/>
      <c r="AV75" s="418"/>
      <c r="AW75" s="418" t="e">
        <f t="shared" si="62"/>
        <v>#N/A</v>
      </c>
      <c r="AX75" s="565"/>
      <c r="AZ75" s="407" t="e">
        <f t="shared" si="54"/>
        <v>#N/A</v>
      </c>
      <c r="BA75" s="560"/>
    </row>
    <row r="76" spans="2:53">
      <c r="B76" s="570"/>
      <c r="C76" s="418">
        <v>10</v>
      </c>
      <c r="D76" s="226"/>
      <c r="E76" s="425"/>
      <c r="F76" s="418"/>
      <c r="G76" s="419"/>
      <c r="H76" s="628"/>
      <c r="I76" s="422" t="str">
        <f t="shared" si="51"/>
        <v>-</v>
      </c>
      <c r="J76" s="422" t="str">
        <f t="shared" si="52"/>
        <v>-</v>
      </c>
      <c r="K76" s="200" t="str">
        <f t="shared" si="53"/>
        <v>-</v>
      </c>
      <c r="L76" s="581"/>
      <c r="M76" s="424" t="e">
        <f>RANK(K76, K$87:$K$101)</f>
        <v>#VALUE!</v>
      </c>
      <c r="N76" s="564"/>
      <c r="O76" s="564"/>
      <c r="P76" s="418"/>
      <c r="Q76" s="418"/>
      <c r="R76" s="418"/>
      <c r="S76" s="418" t="e">
        <f t="shared" si="56"/>
        <v>#N/A</v>
      </c>
      <c r="T76" s="565"/>
      <c r="U76" s="418"/>
      <c r="V76" s="418"/>
      <c r="W76" s="418"/>
      <c r="X76" s="418" t="e">
        <f t="shared" si="57"/>
        <v>#N/A</v>
      </c>
      <c r="Y76" s="565"/>
      <c r="Z76" s="418"/>
      <c r="AA76" s="418"/>
      <c r="AB76" s="418"/>
      <c r="AC76" s="418" t="e">
        <f t="shared" si="58"/>
        <v>#N/A</v>
      </c>
      <c r="AD76" s="565"/>
      <c r="AE76" s="418"/>
      <c r="AF76" s="418"/>
      <c r="AG76" s="418"/>
      <c r="AH76" s="418" t="e">
        <f t="shared" si="59"/>
        <v>#N/A</v>
      </c>
      <c r="AI76" s="565"/>
      <c r="AJ76" s="418"/>
      <c r="AK76" s="418"/>
      <c r="AL76" s="418"/>
      <c r="AM76" s="418" t="e">
        <f t="shared" si="60"/>
        <v>#N/A</v>
      </c>
      <c r="AN76" s="565"/>
      <c r="AO76" s="418"/>
      <c r="AP76" s="418"/>
      <c r="AQ76" s="418"/>
      <c r="AR76" s="418" t="e">
        <f t="shared" si="61"/>
        <v>#N/A</v>
      </c>
      <c r="AS76" s="565"/>
      <c r="AT76" s="418"/>
      <c r="AU76" s="418"/>
      <c r="AV76" s="418"/>
      <c r="AW76" s="418" t="e">
        <f t="shared" si="62"/>
        <v>#N/A</v>
      </c>
      <c r="AX76" s="565"/>
      <c r="AZ76" s="407" t="e">
        <f t="shared" si="54"/>
        <v>#N/A</v>
      </c>
      <c r="BA76" s="560"/>
    </row>
    <row r="77" spans="2:53">
      <c r="B77" s="570"/>
      <c r="C77" s="418">
        <v>11</v>
      </c>
      <c r="D77" s="226"/>
      <c r="E77" s="425"/>
      <c r="F77" s="418"/>
      <c r="G77" s="419"/>
      <c r="H77" s="628"/>
      <c r="I77" s="422" t="str">
        <f t="shared" si="51"/>
        <v>-</v>
      </c>
      <c r="J77" s="422" t="str">
        <f t="shared" si="52"/>
        <v>-</v>
      </c>
      <c r="K77" s="200" t="str">
        <f t="shared" si="53"/>
        <v>-</v>
      </c>
      <c r="L77" s="581"/>
      <c r="M77" s="424" t="e">
        <f>RANK(K77, K$87:$K$101)</f>
        <v>#VALUE!</v>
      </c>
      <c r="N77" s="564"/>
      <c r="O77" s="564"/>
      <c r="P77" s="418"/>
      <c r="Q77" s="418"/>
      <c r="R77" s="418"/>
      <c r="S77" s="418" t="e">
        <f t="shared" si="56"/>
        <v>#N/A</v>
      </c>
      <c r="T77" s="565"/>
      <c r="U77" s="418"/>
      <c r="V77" s="418"/>
      <c r="W77" s="418"/>
      <c r="X77" s="418" t="e">
        <f t="shared" si="57"/>
        <v>#N/A</v>
      </c>
      <c r="Y77" s="565"/>
      <c r="Z77" s="418"/>
      <c r="AA77" s="418"/>
      <c r="AB77" s="418"/>
      <c r="AC77" s="418" t="e">
        <f t="shared" si="58"/>
        <v>#N/A</v>
      </c>
      <c r="AD77" s="565"/>
      <c r="AE77" s="418"/>
      <c r="AF77" s="418"/>
      <c r="AG77" s="418"/>
      <c r="AH77" s="418" t="e">
        <f t="shared" si="59"/>
        <v>#N/A</v>
      </c>
      <c r="AI77" s="565"/>
      <c r="AJ77" s="418"/>
      <c r="AK77" s="418"/>
      <c r="AL77" s="418"/>
      <c r="AM77" s="418" t="e">
        <f t="shared" si="60"/>
        <v>#N/A</v>
      </c>
      <c r="AN77" s="565"/>
      <c r="AO77" s="418"/>
      <c r="AP77" s="418"/>
      <c r="AQ77" s="418"/>
      <c r="AR77" s="418" t="e">
        <f t="shared" si="61"/>
        <v>#N/A</v>
      </c>
      <c r="AS77" s="565"/>
      <c r="AT77" s="418"/>
      <c r="AU77" s="418"/>
      <c r="AV77" s="418"/>
      <c r="AW77" s="418" t="e">
        <f t="shared" si="62"/>
        <v>#N/A</v>
      </c>
      <c r="AX77" s="565"/>
      <c r="AZ77" s="407" t="e">
        <f t="shared" si="54"/>
        <v>#N/A</v>
      </c>
      <c r="BA77" s="560"/>
    </row>
    <row r="78" spans="2:53">
      <c r="B78" s="570"/>
      <c r="C78" s="418">
        <v>12</v>
      </c>
      <c r="D78" s="226"/>
      <c r="E78" s="425"/>
      <c r="F78" s="418"/>
      <c r="G78" s="419"/>
      <c r="H78" s="628"/>
      <c r="I78" s="422" t="str">
        <f t="shared" si="51"/>
        <v>-</v>
      </c>
      <c r="J78" s="422" t="str">
        <f t="shared" si="52"/>
        <v>-</v>
      </c>
      <c r="K78" s="200" t="str">
        <f t="shared" si="53"/>
        <v>-</v>
      </c>
      <c r="L78" s="581"/>
      <c r="M78" s="424" t="e">
        <f>RANK(K78, K$87:$K$101)</f>
        <v>#VALUE!</v>
      </c>
      <c r="N78" s="564"/>
      <c r="O78" s="564"/>
      <c r="P78" s="418"/>
      <c r="Q78" s="418"/>
      <c r="R78" s="418"/>
      <c r="S78" s="418" t="e">
        <f t="shared" si="56"/>
        <v>#N/A</v>
      </c>
      <c r="T78" s="565"/>
      <c r="U78" s="418"/>
      <c r="V78" s="418"/>
      <c r="W78" s="418"/>
      <c r="X78" s="418" t="e">
        <f t="shared" si="57"/>
        <v>#N/A</v>
      </c>
      <c r="Y78" s="565"/>
      <c r="Z78" s="418"/>
      <c r="AA78" s="418"/>
      <c r="AB78" s="418"/>
      <c r="AC78" s="418" t="e">
        <f t="shared" si="58"/>
        <v>#N/A</v>
      </c>
      <c r="AD78" s="565"/>
      <c r="AE78" s="418"/>
      <c r="AF78" s="418"/>
      <c r="AG78" s="418"/>
      <c r="AH78" s="418" t="e">
        <f t="shared" si="59"/>
        <v>#N/A</v>
      </c>
      <c r="AI78" s="565"/>
      <c r="AJ78" s="418"/>
      <c r="AK78" s="418"/>
      <c r="AL78" s="418"/>
      <c r="AM78" s="418" t="e">
        <f t="shared" si="60"/>
        <v>#N/A</v>
      </c>
      <c r="AN78" s="565"/>
      <c r="AO78" s="418"/>
      <c r="AP78" s="418"/>
      <c r="AQ78" s="418"/>
      <c r="AR78" s="418" t="e">
        <f t="shared" si="61"/>
        <v>#N/A</v>
      </c>
      <c r="AS78" s="565"/>
      <c r="AT78" s="418"/>
      <c r="AU78" s="418"/>
      <c r="AV78" s="418"/>
      <c r="AW78" s="418" t="e">
        <f t="shared" si="62"/>
        <v>#N/A</v>
      </c>
      <c r="AX78" s="565"/>
      <c r="AZ78" s="407" t="e">
        <f t="shared" si="54"/>
        <v>#N/A</v>
      </c>
      <c r="BA78" s="560"/>
    </row>
    <row r="79" spans="2:53">
      <c r="B79" s="570"/>
      <c r="C79" s="418">
        <v>13</v>
      </c>
      <c r="D79" s="226"/>
      <c r="E79" s="425"/>
      <c r="F79" s="418"/>
      <c r="G79" s="419"/>
      <c r="H79" s="628"/>
      <c r="I79" s="422" t="str">
        <f t="shared" si="51"/>
        <v>-</v>
      </c>
      <c r="J79" s="422" t="str">
        <f t="shared" si="52"/>
        <v>-</v>
      </c>
      <c r="K79" s="200" t="str">
        <f t="shared" si="53"/>
        <v>-</v>
      </c>
      <c r="L79" s="581"/>
      <c r="M79" s="424" t="e">
        <f>RANK(K79, K$87:$K$101)</f>
        <v>#VALUE!</v>
      </c>
      <c r="N79" s="564"/>
      <c r="O79" s="564"/>
      <c r="P79" s="418"/>
      <c r="Q79" s="418"/>
      <c r="R79" s="418"/>
      <c r="S79" s="418" t="e">
        <f t="shared" si="56"/>
        <v>#N/A</v>
      </c>
      <c r="T79" s="565"/>
      <c r="U79" s="418"/>
      <c r="V79" s="418"/>
      <c r="W79" s="418"/>
      <c r="X79" s="418" t="e">
        <f t="shared" si="57"/>
        <v>#N/A</v>
      </c>
      <c r="Y79" s="565"/>
      <c r="Z79" s="418"/>
      <c r="AA79" s="418"/>
      <c r="AB79" s="418"/>
      <c r="AC79" s="418" t="e">
        <f t="shared" si="58"/>
        <v>#N/A</v>
      </c>
      <c r="AD79" s="565"/>
      <c r="AE79" s="418"/>
      <c r="AF79" s="418"/>
      <c r="AG79" s="418"/>
      <c r="AH79" s="418" t="e">
        <f t="shared" si="59"/>
        <v>#N/A</v>
      </c>
      <c r="AI79" s="565"/>
      <c r="AJ79" s="418"/>
      <c r="AK79" s="418"/>
      <c r="AL79" s="418"/>
      <c r="AM79" s="418" t="e">
        <f t="shared" si="60"/>
        <v>#N/A</v>
      </c>
      <c r="AN79" s="565"/>
      <c r="AO79" s="418"/>
      <c r="AP79" s="418"/>
      <c r="AQ79" s="418"/>
      <c r="AR79" s="418" t="e">
        <f t="shared" si="61"/>
        <v>#N/A</v>
      </c>
      <c r="AS79" s="565"/>
      <c r="AT79" s="418"/>
      <c r="AU79" s="418"/>
      <c r="AV79" s="418"/>
      <c r="AW79" s="418" t="e">
        <f t="shared" si="62"/>
        <v>#N/A</v>
      </c>
      <c r="AX79" s="565"/>
      <c r="AZ79" s="407" t="e">
        <f t="shared" si="54"/>
        <v>#N/A</v>
      </c>
      <c r="BA79" s="560"/>
    </row>
    <row r="80" spans="2:53">
      <c r="B80" s="570"/>
      <c r="C80" s="418">
        <v>14</v>
      </c>
      <c r="D80" s="226"/>
      <c r="E80" s="425"/>
      <c r="F80" s="418"/>
      <c r="G80" s="419"/>
      <c r="H80" s="628"/>
      <c r="I80" s="422" t="str">
        <f t="shared" si="51"/>
        <v>-</v>
      </c>
      <c r="J80" s="422" t="str">
        <f t="shared" si="52"/>
        <v>-</v>
      </c>
      <c r="K80" s="200" t="str">
        <f t="shared" si="53"/>
        <v>-</v>
      </c>
      <c r="L80" s="581"/>
      <c r="M80" s="424" t="e">
        <f>RANK(K80, K$87:$K$101)</f>
        <v>#VALUE!</v>
      </c>
      <c r="N80" s="564"/>
      <c r="O80" s="564"/>
      <c r="P80" s="418"/>
      <c r="Q80" s="418"/>
      <c r="R80" s="418"/>
      <c r="S80" s="418" t="e">
        <f t="shared" si="56"/>
        <v>#N/A</v>
      </c>
      <c r="T80" s="565"/>
      <c r="U80" s="418"/>
      <c r="V80" s="418"/>
      <c r="W80" s="418"/>
      <c r="X80" s="418" t="e">
        <f t="shared" si="57"/>
        <v>#N/A</v>
      </c>
      <c r="Y80" s="565"/>
      <c r="Z80" s="418"/>
      <c r="AA80" s="418"/>
      <c r="AB80" s="418"/>
      <c r="AC80" s="418" t="e">
        <f t="shared" si="58"/>
        <v>#N/A</v>
      </c>
      <c r="AD80" s="565"/>
      <c r="AE80" s="418"/>
      <c r="AF80" s="418"/>
      <c r="AG80" s="418"/>
      <c r="AH80" s="418" t="e">
        <f t="shared" si="59"/>
        <v>#N/A</v>
      </c>
      <c r="AI80" s="565"/>
      <c r="AJ80" s="418"/>
      <c r="AK80" s="418"/>
      <c r="AL80" s="418"/>
      <c r="AM80" s="418" t="e">
        <f t="shared" si="60"/>
        <v>#N/A</v>
      </c>
      <c r="AN80" s="565"/>
      <c r="AO80" s="418"/>
      <c r="AP80" s="418"/>
      <c r="AQ80" s="418"/>
      <c r="AR80" s="418" t="e">
        <f t="shared" si="61"/>
        <v>#N/A</v>
      </c>
      <c r="AS80" s="565"/>
      <c r="AT80" s="418"/>
      <c r="AU80" s="418"/>
      <c r="AV80" s="418"/>
      <c r="AW80" s="418" t="e">
        <f t="shared" si="62"/>
        <v>#N/A</v>
      </c>
      <c r="AX80" s="565"/>
      <c r="AZ80" s="407" t="e">
        <f t="shared" si="54"/>
        <v>#N/A</v>
      </c>
      <c r="BA80" s="560"/>
    </row>
    <row r="81" spans="2:53">
      <c r="B81" s="570"/>
      <c r="C81" s="418">
        <v>15</v>
      </c>
      <c r="D81" s="226"/>
      <c r="E81" s="425"/>
      <c r="F81" s="418"/>
      <c r="G81" s="419"/>
      <c r="H81" s="629"/>
      <c r="I81" s="202"/>
      <c r="J81" s="202"/>
      <c r="K81" s="202"/>
      <c r="L81" s="582"/>
      <c r="M81" s="422" t="e">
        <f>RANK(K81, K$87:$K$101)</f>
        <v>#N/A</v>
      </c>
      <c r="N81" s="564"/>
      <c r="O81" s="564"/>
      <c r="P81" s="418"/>
      <c r="Q81" s="418"/>
      <c r="R81" s="418"/>
      <c r="S81" s="418" t="e">
        <f t="shared" si="56"/>
        <v>#N/A</v>
      </c>
      <c r="T81" s="565"/>
      <c r="U81" s="418"/>
      <c r="V81" s="418"/>
      <c r="W81" s="418"/>
      <c r="X81" s="418" t="e">
        <f t="shared" si="57"/>
        <v>#N/A</v>
      </c>
      <c r="Y81" s="565"/>
      <c r="Z81" s="418"/>
      <c r="AA81" s="418"/>
      <c r="AB81" s="418"/>
      <c r="AC81" s="418" t="e">
        <f t="shared" si="58"/>
        <v>#N/A</v>
      </c>
      <c r="AD81" s="565"/>
      <c r="AE81" s="418"/>
      <c r="AF81" s="418"/>
      <c r="AG81" s="418"/>
      <c r="AH81" s="418" t="e">
        <f t="shared" si="59"/>
        <v>#N/A</v>
      </c>
      <c r="AI81" s="565"/>
      <c r="AJ81" s="418"/>
      <c r="AK81" s="418"/>
      <c r="AL81" s="418"/>
      <c r="AM81" s="418" t="e">
        <f t="shared" si="60"/>
        <v>#N/A</v>
      </c>
      <c r="AN81" s="565"/>
      <c r="AO81" s="418"/>
      <c r="AP81" s="418"/>
      <c r="AQ81" s="418"/>
      <c r="AR81" s="418" t="e">
        <f t="shared" si="61"/>
        <v>#N/A</v>
      </c>
      <c r="AS81" s="565"/>
      <c r="AT81" s="418"/>
      <c r="AU81" s="418"/>
      <c r="AV81" s="418"/>
      <c r="AW81" s="418" t="e">
        <f t="shared" si="62"/>
        <v>#N/A</v>
      </c>
      <c r="AX81" s="565"/>
      <c r="AZ81" s="407" t="e">
        <f t="shared" si="54"/>
        <v>#N/A</v>
      </c>
      <c r="BA81" s="561"/>
    </row>
    <row r="82" spans="2:53" ht="15.75">
      <c r="B82" s="593" t="s">
        <v>163</v>
      </c>
      <c r="C82" s="594"/>
      <c r="D82" s="594"/>
      <c r="E82" s="594"/>
      <c r="F82" s="594"/>
      <c r="G82" s="594"/>
      <c r="H82" s="595"/>
      <c r="I82" s="208"/>
      <c r="J82" s="208"/>
      <c r="K82" s="208"/>
      <c r="L82" s="208"/>
      <c r="M82" s="207"/>
      <c r="N82" s="566" t="s">
        <v>156</v>
      </c>
      <c r="O82" s="566" t="s">
        <v>105</v>
      </c>
      <c r="P82" s="592">
        <f>P62+7</f>
        <v>46168</v>
      </c>
      <c r="Q82" s="570"/>
      <c r="R82" s="570"/>
      <c r="S82" s="570"/>
      <c r="T82" s="570"/>
      <c r="U82" s="589">
        <f>P82+1</f>
        <v>46169</v>
      </c>
      <c r="V82" s="590"/>
      <c r="W82" s="590"/>
      <c r="X82" s="590"/>
      <c r="Y82" s="591"/>
      <c r="Z82" s="589">
        <f>U82+1</f>
        <v>46170</v>
      </c>
      <c r="AA82" s="590"/>
      <c r="AB82" s="590"/>
      <c r="AC82" s="590"/>
      <c r="AD82" s="591"/>
      <c r="AE82" s="589">
        <f>Z82+1</f>
        <v>46171</v>
      </c>
      <c r="AF82" s="590"/>
      <c r="AG82" s="590"/>
      <c r="AH82" s="590"/>
      <c r="AI82" s="591"/>
      <c r="AJ82" s="589">
        <f>AE82+1</f>
        <v>46172</v>
      </c>
      <c r="AK82" s="590"/>
      <c r="AL82" s="590"/>
      <c r="AM82" s="590"/>
      <c r="AN82" s="591"/>
      <c r="AO82" s="589">
        <f>AJ82+1</f>
        <v>46173</v>
      </c>
      <c r="AP82" s="590"/>
      <c r="AQ82" s="590"/>
      <c r="AR82" s="590"/>
      <c r="AS82" s="591"/>
      <c r="AT82" s="589">
        <f>AO82+1</f>
        <v>46174</v>
      </c>
      <c r="AU82" s="590"/>
      <c r="AV82" s="590"/>
      <c r="AW82" s="590"/>
      <c r="AX82" s="591"/>
    </row>
    <row r="83" spans="2:53" ht="15.75">
      <c r="B83" s="596"/>
      <c r="C83" s="596"/>
      <c r="D83" s="596"/>
      <c r="E83" s="596"/>
      <c r="F83" s="596"/>
      <c r="G83" s="596"/>
      <c r="H83" s="596"/>
      <c r="I83" s="205"/>
      <c r="J83" s="205"/>
      <c r="K83" s="205"/>
      <c r="L83" s="205"/>
      <c r="M83" s="206"/>
      <c r="N83" s="568"/>
      <c r="O83" s="568"/>
      <c r="P83" s="592" t="s">
        <v>318</v>
      </c>
      <c r="Q83" s="570"/>
      <c r="R83" s="570"/>
      <c r="S83" s="570"/>
      <c r="T83" s="570"/>
      <c r="U83" s="592" t="s">
        <v>319</v>
      </c>
      <c r="V83" s="570"/>
      <c r="W83" s="570"/>
      <c r="X83" s="570"/>
      <c r="Y83" s="570"/>
      <c r="Z83" s="592" t="s">
        <v>320</v>
      </c>
      <c r="AA83" s="570"/>
      <c r="AB83" s="570"/>
      <c r="AC83" s="570"/>
      <c r="AD83" s="570"/>
      <c r="AE83" s="592" t="s">
        <v>321</v>
      </c>
      <c r="AF83" s="570"/>
      <c r="AG83" s="570"/>
      <c r="AH83" s="570"/>
      <c r="AI83" s="570"/>
      <c r="AJ83" s="592" t="s">
        <v>322</v>
      </c>
      <c r="AK83" s="570"/>
      <c r="AL83" s="570"/>
      <c r="AM83" s="570"/>
      <c r="AN83" s="570"/>
      <c r="AO83" s="592" t="s">
        <v>323</v>
      </c>
      <c r="AP83" s="570"/>
      <c r="AQ83" s="570"/>
      <c r="AR83" s="570"/>
      <c r="AS83" s="570"/>
      <c r="AT83" s="592" t="s">
        <v>324</v>
      </c>
      <c r="AU83" s="570"/>
      <c r="AV83" s="570"/>
      <c r="AW83" s="570"/>
      <c r="AX83" s="570"/>
    </row>
    <row r="84" spans="2:53">
      <c r="B84" s="564" t="s">
        <v>402</v>
      </c>
      <c r="C84" s="564" t="s">
        <v>387</v>
      </c>
      <c r="D84" s="564"/>
      <c r="E84" s="564" t="s">
        <v>378</v>
      </c>
      <c r="F84" s="564"/>
      <c r="G84" s="564"/>
      <c r="H84" s="597" t="s">
        <v>374</v>
      </c>
      <c r="I84" s="616" t="s">
        <v>379</v>
      </c>
      <c r="J84" s="616"/>
      <c r="K84" s="616"/>
      <c r="L84" s="617" t="s">
        <v>374</v>
      </c>
      <c r="M84" s="602" t="s">
        <v>375</v>
      </c>
      <c r="N84" s="564"/>
      <c r="O84" s="564" t="s">
        <v>380</v>
      </c>
      <c r="P84" s="583" t="s">
        <v>376</v>
      </c>
      <c r="Q84" s="584"/>
      <c r="R84" s="584"/>
      <c r="S84" s="585"/>
      <c r="T84" s="564" t="s">
        <v>374</v>
      </c>
      <c r="U84" s="583" t="s">
        <v>376</v>
      </c>
      <c r="V84" s="584"/>
      <c r="W84" s="584"/>
      <c r="X84" s="585"/>
      <c r="Y84" s="564" t="s">
        <v>374</v>
      </c>
      <c r="Z84" s="583" t="s">
        <v>376</v>
      </c>
      <c r="AA84" s="584"/>
      <c r="AB84" s="584"/>
      <c r="AC84" s="585"/>
      <c r="AD84" s="564" t="s">
        <v>374</v>
      </c>
      <c r="AE84" s="583" t="s">
        <v>376</v>
      </c>
      <c r="AF84" s="584"/>
      <c r="AG84" s="584"/>
      <c r="AH84" s="585"/>
      <c r="AI84" s="564" t="s">
        <v>374</v>
      </c>
      <c r="AJ84" s="583" t="s">
        <v>376</v>
      </c>
      <c r="AK84" s="584"/>
      <c r="AL84" s="584"/>
      <c r="AM84" s="585"/>
      <c r="AN84" s="564" t="s">
        <v>374</v>
      </c>
      <c r="AO84" s="583" t="s">
        <v>376</v>
      </c>
      <c r="AP84" s="584"/>
      <c r="AQ84" s="584"/>
      <c r="AR84" s="585"/>
      <c r="AS84" s="564" t="s">
        <v>374</v>
      </c>
      <c r="AT84" s="583" t="s">
        <v>376</v>
      </c>
      <c r="AU84" s="584"/>
      <c r="AV84" s="584"/>
      <c r="AW84" s="585"/>
      <c r="AX84" s="564" t="s">
        <v>374</v>
      </c>
      <c r="BA84" s="564" t="s">
        <v>374</v>
      </c>
    </row>
    <row r="85" spans="2:53">
      <c r="B85" s="564"/>
      <c r="C85" s="564"/>
      <c r="D85" s="564"/>
      <c r="E85" s="564" t="s">
        <v>381</v>
      </c>
      <c r="F85" s="564"/>
      <c r="G85" s="564"/>
      <c r="H85" s="598"/>
      <c r="I85" s="616" t="s">
        <v>381</v>
      </c>
      <c r="J85" s="616"/>
      <c r="K85" s="616"/>
      <c r="L85" s="618"/>
      <c r="M85" s="603"/>
      <c r="N85" s="564"/>
      <c r="O85" s="564"/>
      <c r="P85" s="583" t="s">
        <v>382</v>
      </c>
      <c r="Q85" s="584"/>
      <c r="R85" s="584"/>
      <c r="S85" s="585"/>
      <c r="T85" s="564"/>
      <c r="U85" s="583" t="s">
        <v>382</v>
      </c>
      <c r="V85" s="584"/>
      <c r="W85" s="584"/>
      <c r="X85" s="585"/>
      <c r="Y85" s="564"/>
      <c r="Z85" s="583" t="s">
        <v>382</v>
      </c>
      <c r="AA85" s="584"/>
      <c r="AB85" s="584"/>
      <c r="AC85" s="585"/>
      <c r="AD85" s="564"/>
      <c r="AE85" s="583" t="s">
        <v>382</v>
      </c>
      <c r="AF85" s="584"/>
      <c r="AG85" s="584"/>
      <c r="AH85" s="585"/>
      <c r="AI85" s="564"/>
      <c r="AJ85" s="583" t="s">
        <v>382</v>
      </c>
      <c r="AK85" s="584"/>
      <c r="AL85" s="584"/>
      <c r="AM85" s="585"/>
      <c r="AN85" s="564"/>
      <c r="AO85" s="583" t="s">
        <v>382</v>
      </c>
      <c r="AP85" s="584"/>
      <c r="AQ85" s="584"/>
      <c r="AR85" s="585"/>
      <c r="AS85" s="564"/>
      <c r="AT85" s="583" t="s">
        <v>382</v>
      </c>
      <c r="AU85" s="584"/>
      <c r="AV85" s="584"/>
      <c r="AW85" s="585"/>
      <c r="AX85" s="564"/>
      <c r="BA85" s="564"/>
    </row>
    <row r="86" spans="2:53">
      <c r="B86" s="564"/>
      <c r="C86" s="564"/>
      <c r="D86" s="564"/>
      <c r="E86" s="417" t="s">
        <v>383</v>
      </c>
      <c r="F86" s="417" t="s">
        <v>384</v>
      </c>
      <c r="G86" s="417" t="s">
        <v>385</v>
      </c>
      <c r="H86" s="599"/>
      <c r="I86" s="416" t="s">
        <v>383</v>
      </c>
      <c r="J86" s="416" t="s">
        <v>384</v>
      </c>
      <c r="K86" s="416" t="s">
        <v>385</v>
      </c>
      <c r="L86" s="619"/>
      <c r="M86" s="604"/>
      <c r="N86" s="564"/>
      <c r="O86" s="564"/>
      <c r="P86" s="417" t="s">
        <v>383</v>
      </c>
      <c r="Q86" s="417" t="s">
        <v>384</v>
      </c>
      <c r="R86" s="417" t="s">
        <v>385</v>
      </c>
      <c r="S86" s="417" t="s">
        <v>375</v>
      </c>
      <c r="T86" s="564"/>
      <c r="U86" s="417" t="s">
        <v>383</v>
      </c>
      <c r="V86" s="417" t="s">
        <v>384</v>
      </c>
      <c r="W86" s="417" t="s">
        <v>385</v>
      </c>
      <c r="X86" s="417" t="s">
        <v>375</v>
      </c>
      <c r="Y86" s="564"/>
      <c r="Z86" s="417" t="s">
        <v>383</v>
      </c>
      <c r="AA86" s="417" t="s">
        <v>384</v>
      </c>
      <c r="AB86" s="417" t="s">
        <v>385</v>
      </c>
      <c r="AC86" s="417" t="s">
        <v>375</v>
      </c>
      <c r="AD86" s="564"/>
      <c r="AE86" s="417" t="s">
        <v>383</v>
      </c>
      <c r="AF86" s="417" t="s">
        <v>384</v>
      </c>
      <c r="AG86" s="417" t="s">
        <v>385</v>
      </c>
      <c r="AH86" s="417" t="s">
        <v>375</v>
      </c>
      <c r="AI86" s="564"/>
      <c r="AJ86" s="417" t="s">
        <v>383</v>
      </c>
      <c r="AK86" s="417" t="s">
        <v>384</v>
      </c>
      <c r="AL86" s="417" t="s">
        <v>385</v>
      </c>
      <c r="AM86" s="417" t="s">
        <v>375</v>
      </c>
      <c r="AN86" s="564"/>
      <c r="AO86" s="417" t="s">
        <v>383</v>
      </c>
      <c r="AP86" s="417" t="s">
        <v>384</v>
      </c>
      <c r="AQ86" s="417" t="s">
        <v>385</v>
      </c>
      <c r="AR86" s="417" t="s">
        <v>375</v>
      </c>
      <c r="AS86" s="564"/>
      <c r="AT86" s="417" t="s">
        <v>383</v>
      </c>
      <c r="AU86" s="417" t="s">
        <v>384</v>
      </c>
      <c r="AV86" s="417" t="s">
        <v>385</v>
      </c>
      <c r="AW86" s="417" t="s">
        <v>375</v>
      </c>
      <c r="AX86" s="564"/>
      <c r="AZ86" s="406" t="s">
        <v>375</v>
      </c>
      <c r="BA86" s="564"/>
    </row>
    <row r="87" spans="2:53">
      <c r="B87" s="564" t="s">
        <v>417</v>
      </c>
      <c r="C87" s="418">
        <v>1</v>
      </c>
      <c r="D87" s="226"/>
      <c r="E87" s="425"/>
      <c r="F87" s="418"/>
      <c r="G87" s="419"/>
      <c r="H87" s="627" t="e">
        <f>AVERAGE(G87:G101)</f>
        <v>#DIV/0!</v>
      </c>
      <c r="I87" s="422" t="str">
        <f t="shared" ref="I87:I100" si="63">IFERROR(AVERAGE(P87,U87,Z87,AE87,AJ87,AO87,AT87),"-")</f>
        <v>-</v>
      </c>
      <c r="J87" s="422" t="str">
        <f t="shared" ref="J87:J100" si="64">IFERROR(AVERAGE(Q87,V87,AA87,AF87,AK87,AP87,AU87),"-")</f>
        <v>-</v>
      </c>
      <c r="K87" s="200" t="str">
        <f t="shared" ref="K87:K100" si="65">IFERROR(AVERAGE(R87,W87,AB87,AG87,AL87,AQ87,AV87),"-")</f>
        <v>-</v>
      </c>
      <c r="L87" s="580" t="str">
        <f>IFERROR(AVERAGE(K87:K101),"-")</f>
        <v>-</v>
      </c>
      <c r="M87" s="424" t="e">
        <f>RANK(K87, K$87:$K$101)</f>
        <v>#VALUE!</v>
      </c>
      <c r="N87" s="564"/>
      <c r="O87" s="564"/>
      <c r="P87" s="425"/>
      <c r="Q87" s="425"/>
      <c r="R87" s="419"/>
      <c r="S87" s="418" t="e">
        <f>RANK(R87, R$107:R$121)</f>
        <v>#N/A</v>
      </c>
      <c r="T87" s="565" t="e">
        <f>AVERAGE(R87:R101)</f>
        <v>#DIV/0!</v>
      </c>
      <c r="U87" s="425"/>
      <c r="V87" s="425"/>
      <c r="W87" s="419"/>
      <c r="X87" s="418" t="e">
        <f>RANK(W87, W$107:W$121)</f>
        <v>#N/A</v>
      </c>
      <c r="Y87" s="565" t="e">
        <f>AVERAGE(W87:W101)</f>
        <v>#DIV/0!</v>
      </c>
      <c r="Z87" s="425"/>
      <c r="AA87" s="425"/>
      <c r="AB87" s="419"/>
      <c r="AC87" s="418" t="e">
        <f>RANK(AB87, AB$107:AB$121)</f>
        <v>#N/A</v>
      </c>
      <c r="AD87" s="565" t="e">
        <f>AVERAGE(AB87:AB101)</f>
        <v>#DIV/0!</v>
      </c>
      <c r="AE87" s="425"/>
      <c r="AF87" s="425"/>
      <c r="AG87" s="419"/>
      <c r="AH87" s="418" t="e">
        <f>RANK(AG87, AG$107:AG$121)</f>
        <v>#N/A</v>
      </c>
      <c r="AI87" s="565" t="e">
        <f>AVERAGE(AG87:AG101)</f>
        <v>#DIV/0!</v>
      </c>
      <c r="AJ87" s="425"/>
      <c r="AK87" s="425"/>
      <c r="AL87" s="419"/>
      <c r="AM87" s="418" t="e">
        <f>RANK(AL87, AL$107:AL$121)</f>
        <v>#N/A</v>
      </c>
      <c r="AN87" s="565" t="e">
        <f>AVERAGE(AL87:AL101)</f>
        <v>#DIV/0!</v>
      </c>
      <c r="AO87" s="425"/>
      <c r="AP87" s="425"/>
      <c r="AQ87" s="419"/>
      <c r="AR87" s="418" t="e">
        <f>RANK(AQ87, AQ$107:AQ$121)</f>
        <v>#N/A</v>
      </c>
      <c r="AS87" s="565" t="e">
        <f>AVERAGE(AQ87:AQ101)</f>
        <v>#DIV/0!</v>
      </c>
      <c r="AT87" s="425"/>
      <c r="AU87" s="425"/>
      <c r="AV87" s="419"/>
      <c r="AW87" s="418" t="e">
        <f>RANK(AV87, AV$107:AV$121)</f>
        <v>#N/A</v>
      </c>
      <c r="AX87" s="565" t="e">
        <f>AVERAGE(AV87:AV101)</f>
        <v>#DIV/0!</v>
      </c>
      <c r="AZ87" s="407" t="e">
        <f t="shared" ref="AZ87:AZ101" si="66">RANK(AY87, AY$87:AY$101)</f>
        <v>#N/A</v>
      </c>
      <c r="BA87" s="565" t="e">
        <f t="shared" ref="BA87" si="67">AVERAGE(AY87:AY101)</f>
        <v>#DIV/0!</v>
      </c>
    </row>
    <row r="88" spans="2:53">
      <c r="B88" s="570"/>
      <c r="C88" s="418">
        <v>2</v>
      </c>
      <c r="D88" s="226"/>
      <c r="E88" s="425"/>
      <c r="F88" s="418"/>
      <c r="G88" s="419"/>
      <c r="H88" s="628"/>
      <c r="I88" s="422" t="str">
        <f t="shared" si="63"/>
        <v>-</v>
      </c>
      <c r="J88" s="422" t="str">
        <f t="shared" si="64"/>
        <v>-</v>
      </c>
      <c r="K88" s="200" t="str">
        <f t="shared" si="65"/>
        <v>-</v>
      </c>
      <c r="L88" s="581"/>
      <c r="M88" s="424" t="e">
        <f>RANK(K88, K$87:$K$101)</f>
        <v>#VALUE!</v>
      </c>
      <c r="N88" s="564"/>
      <c r="O88" s="564"/>
      <c r="P88" s="418"/>
      <c r="Q88" s="425"/>
      <c r="R88" s="419"/>
      <c r="S88" s="418" t="e">
        <f t="shared" ref="S88:S101" si="68">RANK(R88, R$107:R$121)</f>
        <v>#N/A</v>
      </c>
      <c r="T88" s="565"/>
      <c r="U88" s="418"/>
      <c r="V88" s="425"/>
      <c r="W88" s="419"/>
      <c r="X88" s="418" t="e">
        <f t="shared" ref="X88:X101" si="69">RANK(W88, W$107:W$121)</f>
        <v>#N/A</v>
      </c>
      <c r="Y88" s="565"/>
      <c r="Z88" s="418"/>
      <c r="AA88" s="425"/>
      <c r="AB88" s="419"/>
      <c r="AC88" s="418" t="e">
        <f t="shared" ref="AC88:AC101" si="70">RANK(AB88, AB$107:AB$121)</f>
        <v>#N/A</v>
      </c>
      <c r="AD88" s="565"/>
      <c r="AE88" s="418"/>
      <c r="AF88" s="425"/>
      <c r="AG88" s="419"/>
      <c r="AH88" s="418" t="e">
        <f t="shared" ref="AH88:AH101" si="71">RANK(AG88, AG$107:AG$121)</f>
        <v>#N/A</v>
      </c>
      <c r="AI88" s="565"/>
      <c r="AJ88" s="418"/>
      <c r="AK88" s="425"/>
      <c r="AL88" s="419"/>
      <c r="AM88" s="418" t="e">
        <f t="shared" ref="AM88:AM101" si="72">RANK(AL88, AL$107:AL$121)</f>
        <v>#N/A</v>
      </c>
      <c r="AN88" s="565"/>
      <c r="AO88" s="418"/>
      <c r="AP88" s="425"/>
      <c r="AQ88" s="419"/>
      <c r="AR88" s="418" t="e">
        <f t="shared" ref="AR88:AR101" si="73">RANK(AQ88, AQ$107:AQ$121)</f>
        <v>#N/A</v>
      </c>
      <c r="AS88" s="565"/>
      <c r="AT88" s="418"/>
      <c r="AU88" s="425"/>
      <c r="AV88" s="419"/>
      <c r="AW88" s="418" t="e">
        <f t="shared" ref="AW88:AW101" si="74">RANK(AV88, AV$107:AV$121)</f>
        <v>#N/A</v>
      </c>
      <c r="AX88" s="565"/>
      <c r="AZ88" s="407" t="e">
        <f t="shared" si="66"/>
        <v>#N/A</v>
      </c>
      <c r="BA88" s="565"/>
    </row>
    <row r="89" spans="2:53">
      <c r="B89" s="570"/>
      <c r="C89" s="418">
        <v>3</v>
      </c>
      <c r="D89" s="226"/>
      <c r="E89" s="425"/>
      <c r="F89" s="418"/>
      <c r="G89" s="419"/>
      <c r="H89" s="628"/>
      <c r="I89" s="422" t="str">
        <f t="shared" si="63"/>
        <v>-</v>
      </c>
      <c r="J89" s="422" t="str">
        <f t="shared" si="64"/>
        <v>-</v>
      </c>
      <c r="K89" s="200" t="str">
        <f t="shared" si="65"/>
        <v>-</v>
      </c>
      <c r="L89" s="581"/>
      <c r="M89" s="424" t="e">
        <f>RANK(K89, K$87:$K$101)</f>
        <v>#VALUE!</v>
      </c>
      <c r="N89" s="564"/>
      <c r="O89" s="564"/>
      <c r="P89" s="418"/>
      <c r="Q89" s="418"/>
      <c r="R89" s="418"/>
      <c r="S89" s="418" t="e">
        <f t="shared" si="68"/>
        <v>#N/A</v>
      </c>
      <c r="T89" s="565"/>
      <c r="U89" s="418"/>
      <c r="V89" s="418"/>
      <c r="W89" s="418"/>
      <c r="X89" s="418" t="e">
        <f t="shared" si="69"/>
        <v>#N/A</v>
      </c>
      <c r="Y89" s="565"/>
      <c r="Z89" s="418"/>
      <c r="AA89" s="418"/>
      <c r="AB89" s="418"/>
      <c r="AC89" s="418" t="e">
        <f t="shared" si="70"/>
        <v>#N/A</v>
      </c>
      <c r="AD89" s="565"/>
      <c r="AE89" s="418"/>
      <c r="AF89" s="418"/>
      <c r="AG89" s="418"/>
      <c r="AH89" s="418" t="e">
        <f t="shared" si="71"/>
        <v>#N/A</v>
      </c>
      <c r="AI89" s="565"/>
      <c r="AJ89" s="418"/>
      <c r="AK89" s="418"/>
      <c r="AL89" s="418"/>
      <c r="AM89" s="418" t="e">
        <f t="shared" si="72"/>
        <v>#N/A</v>
      </c>
      <c r="AN89" s="565"/>
      <c r="AO89" s="418"/>
      <c r="AP89" s="418"/>
      <c r="AQ89" s="418"/>
      <c r="AR89" s="418" t="e">
        <f t="shared" si="73"/>
        <v>#N/A</v>
      </c>
      <c r="AS89" s="565"/>
      <c r="AT89" s="418"/>
      <c r="AU89" s="418"/>
      <c r="AV89" s="418"/>
      <c r="AW89" s="418" t="e">
        <f t="shared" si="74"/>
        <v>#N/A</v>
      </c>
      <c r="AX89" s="565"/>
      <c r="AZ89" s="407" t="e">
        <f t="shared" si="66"/>
        <v>#N/A</v>
      </c>
      <c r="BA89" s="565"/>
    </row>
    <row r="90" spans="2:53">
      <c r="B90" s="570"/>
      <c r="C90" s="418">
        <v>4</v>
      </c>
      <c r="D90" s="226"/>
      <c r="E90" s="425"/>
      <c r="F90" s="418"/>
      <c r="G90" s="419"/>
      <c r="H90" s="628"/>
      <c r="I90" s="422" t="str">
        <f t="shared" si="63"/>
        <v>-</v>
      </c>
      <c r="J90" s="422" t="str">
        <f t="shared" si="64"/>
        <v>-</v>
      </c>
      <c r="K90" s="200" t="str">
        <f t="shared" si="65"/>
        <v>-</v>
      </c>
      <c r="L90" s="581"/>
      <c r="M90" s="424" t="e">
        <f>RANK(K90, K$87:$K$101)</f>
        <v>#VALUE!</v>
      </c>
      <c r="N90" s="564"/>
      <c r="O90" s="564"/>
      <c r="P90" s="418"/>
      <c r="Q90" s="418"/>
      <c r="R90" s="418"/>
      <c r="S90" s="418" t="e">
        <f t="shared" si="68"/>
        <v>#N/A</v>
      </c>
      <c r="T90" s="565"/>
      <c r="U90" s="418"/>
      <c r="V90" s="418"/>
      <c r="W90" s="418"/>
      <c r="X90" s="418" t="e">
        <f t="shared" si="69"/>
        <v>#N/A</v>
      </c>
      <c r="Y90" s="565"/>
      <c r="Z90" s="418"/>
      <c r="AA90" s="418"/>
      <c r="AB90" s="418"/>
      <c r="AC90" s="418" t="e">
        <f t="shared" si="70"/>
        <v>#N/A</v>
      </c>
      <c r="AD90" s="565"/>
      <c r="AE90" s="418"/>
      <c r="AF90" s="418"/>
      <c r="AG90" s="418"/>
      <c r="AH90" s="418" t="e">
        <f t="shared" si="71"/>
        <v>#N/A</v>
      </c>
      <c r="AI90" s="565"/>
      <c r="AJ90" s="418"/>
      <c r="AK90" s="418"/>
      <c r="AL90" s="418"/>
      <c r="AM90" s="418" t="e">
        <f t="shared" si="72"/>
        <v>#N/A</v>
      </c>
      <c r="AN90" s="565"/>
      <c r="AO90" s="418"/>
      <c r="AP90" s="418"/>
      <c r="AQ90" s="418"/>
      <c r="AR90" s="418" t="e">
        <f t="shared" si="73"/>
        <v>#N/A</v>
      </c>
      <c r="AS90" s="565"/>
      <c r="AT90" s="418"/>
      <c r="AU90" s="418"/>
      <c r="AV90" s="418"/>
      <c r="AW90" s="418" t="e">
        <f t="shared" si="74"/>
        <v>#N/A</v>
      </c>
      <c r="AX90" s="565"/>
      <c r="AZ90" s="407" t="e">
        <f t="shared" si="66"/>
        <v>#N/A</v>
      </c>
      <c r="BA90" s="565"/>
    </row>
    <row r="91" spans="2:53">
      <c r="B91" s="570"/>
      <c r="C91" s="418">
        <v>5</v>
      </c>
      <c r="D91" s="226"/>
      <c r="E91" s="425"/>
      <c r="F91" s="418"/>
      <c r="G91" s="419"/>
      <c r="H91" s="628"/>
      <c r="I91" s="422" t="str">
        <f t="shared" si="63"/>
        <v>-</v>
      </c>
      <c r="J91" s="422" t="str">
        <f t="shared" si="64"/>
        <v>-</v>
      </c>
      <c r="K91" s="200" t="str">
        <f t="shared" si="65"/>
        <v>-</v>
      </c>
      <c r="L91" s="581"/>
      <c r="M91" s="424" t="e">
        <f>RANK(K91, K$87:$K$101)</f>
        <v>#VALUE!</v>
      </c>
      <c r="N91" s="564"/>
      <c r="O91" s="564"/>
      <c r="P91" s="418"/>
      <c r="Q91" s="418"/>
      <c r="R91" s="418"/>
      <c r="S91" s="418" t="e">
        <f t="shared" si="68"/>
        <v>#N/A</v>
      </c>
      <c r="T91" s="565"/>
      <c r="U91" s="418"/>
      <c r="V91" s="418"/>
      <c r="W91" s="418"/>
      <c r="X91" s="418" t="e">
        <f t="shared" si="69"/>
        <v>#N/A</v>
      </c>
      <c r="Y91" s="565"/>
      <c r="Z91" s="418"/>
      <c r="AA91" s="418"/>
      <c r="AB91" s="418"/>
      <c r="AC91" s="418" t="e">
        <f t="shared" si="70"/>
        <v>#N/A</v>
      </c>
      <c r="AD91" s="565"/>
      <c r="AE91" s="418"/>
      <c r="AF91" s="418"/>
      <c r="AG91" s="418"/>
      <c r="AH91" s="418" t="e">
        <f t="shared" si="71"/>
        <v>#N/A</v>
      </c>
      <c r="AI91" s="565"/>
      <c r="AJ91" s="418"/>
      <c r="AK91" s="418"/>
      <c r="AL91" s="418"/>
      <c r="AM91" s="418" t="e">
        <f t="shared" si="72"/>
        <v>#N/A</v>
      </c>
      <c r="AN91" s="565"/>
      <c r="AO91" s="418"/>
      <c r="AP91" s="418"/>
      <c r="AQ91" s="418"/>
      <c r="AR91" s="418" t="e">
        <f t="shared" si="73"/>
        <v>#N/A</v>
      </c>
      <c r="AS91" s="565"/>
      <c r="AT91" s="418"/>
      <c r="AU91" s="418"/>
      <c r="AV91" s="418"/>
      <c r="AW91" s="418" t="e">
        <f t="shared" si="74"/>
        <v>#N/A</v>
      </c>
      <c r="AX91" s="565"/>
      <c r="AZ91" s="407" t="e">
        <f t="shared" si="66"/>
        <v>#N/A</v>
      </c>
      <c r="BA91" s="565"/>
    </row>
    <row r="92" spans="2:53">
      <c r="B92" s="570"/>
      <c r="C92" s="418">
        <v>6</v>
      </c>
      <c r="D92" s="226"/>
      <c r="E92" s="425"/>
      <c r="F92" s="418"/>
      <c r="G92" s="419"/>
      <c r="H92" s="628"/>
      <c r="I92" s="422" t="str">
        <f t="shared" si="63"/>
        <v>-</v>
      </c>
      <c r="J92" s="422" t="str">
        <f t="shared" si="64"/>
        <v>-</v>
      </c>
      <c r="K92" s="200" t="str">
        <f t="shared" si="65"/>
        <v>-</v>
      </c>
      <c r="L92" s="581"/>
      <c r="M92" s="424" t="e">
        <f>RANK(K92, K$87:$K$101)</f>
        <v>#VALUE!</v>
      </c>
      <c r="N92" s="564"/>
      <c r="O92" s="564"/>
      <c r="P92" s="418"/>
      <c r="Q92" s="418"/>
      <c r="R92" s="418"/>
      <c r="S92" s="418" t="e">
        <f t="shared" si="68"/>
        <v>#N/A</v>
      </c>
      <c r="T92" s="565"/>
      <c r="U92" s="418"/>
      <c r="V92" s="418"/>
      <c r="W92" s="418"/>
      <c r="X92" s="418" t="e">
        <f t="shared" si="69"/>
        <v>#N/A</v>
      </c>
      <c r="Y92" s="565"/>
      <c r="Z92" s="418"/>
      <c r="AA92" s="418"/>
      <c r="AB92" s="418"/>
      <c r="AC92" s="418" t="e">
        <f t="shared" si="70"/>
        <v>#N/A</v>
      </c>
      <c r="AD92" s="565"/>
      <c r="AE92" s="418"/>
      <c r="AF92" s="418"/>
      <c r="AG92" s="418"/>
      <c r="AH92" s="418" t="e">
        <f t="shared" si="71"/>
        <v>#N/A</v>
      </c>
      <c r="AI92" s="565"/>
      <c r="AJ92" s="418"/>
      <c r="AK92" s="418"/>
      <c r="AL92" s="418"/>
      <c r="AM92" s="418" t="e">
        <f t="shared" si="72"/>
        <v>#N/A</v>
      </c>
      <c r="AN92" s="565"/>
      <c r="AO92" s="418"/>
      <c r="AP92" s="418"/>
      <c r="AQ92" s="418"/>
      <c r="AR92" s="418" t="e">
        <f t="shared" si="73"/>
        <v>#N/A</v>
      </c>
      <c r="AS92" s="565"/>
      <c r="AT92" s="418"/>
      <c r="AU92" s="418"/>
      <c r="AV92" s="418"/>
      <c r="AW92" s="418" t="e">
        <f t="shared" si="74"/>
        <v>#N/A</v>
      </c>
      <c r="AX92" s="565"/>
      <c r="AZ92" s="407" t="e">
        <f t="shared" si="66"/>
        <v>#N/A</v>
      </c>
      <c r="BA92" s="565"/>
    </row>
    <row r="93" spans="2:53">
      <c r="B93" s="570"/>
      <c r="C93" s="418">
        <v>7</v>
      </c>
      <c r="D93" s="226"/>
      <c r="E93" s="425"/>
      <c r="F93" s="418"/>
      <c r="G93" s="419"/>
      <c r="H93" s="628"/>
      <c r="I93" s="422" t="str">
        <f t="shared" si="63"/>
        <v>-</v>
      </c>
      <c r="J93" s="422" t="str">
        <f t="shared" si="64"/>
        <v>-</v>
      </c>
      <c r="K93" s="200" t="str">
        <f t="shared" si="65"/>
        <v>-</v>
      </c>
      <c r="L93" s="581"/>
      <c r="M93" s="424" t="e">
        <f>RANK(K93, K$87:$K$101)</f>
        <v>#VALUE!</v>
      </c>
      <c r="N93" s="564"/>
      <c r="O93" s="564"/>
      <c r="P93" s="418"/>
      <c r="Q93" s="418"/>
      <c r="R93" s="418"/>
      <c r="S93" s="418" t="e">
        <f t="shared" si="68"/>
        <v>#N/A</v>
      </c>
      <c r="T93" s="565"/>
      <c r="U93" s="418"/>
      <c r="V93" s="418"/>
      <c r="W93" s="418"/>
      <c r="X93" s="418" t="e">
        <f t="shared" si="69"/>
        <v>#N/A</v>
      </c>
      <c r="Y93" s="565"/>
      <c r="Z93" s="418"/>
      <c r="AA93" s="418"/>
      <c r="AB93" s="418"/>
      <c r="AC93" s="418" t="e">
        <f t="shared" si="70"/>
        <v>#N/A</v>
      </c>
      <c r="AD93" s="565"/>
      <c r="AE93" s="418"/>
      <c r="AF93" s="418"/>
      <c r="AG93" s="418"/>
      <c r="AH93" s="418" t="e">
        <f t="shared" si="71"/>
        <v>#N/A</v>
      </c>
      <c r="AI93" s="565"/>
      <c r="AJ93" s="418"/>
      <c r="AK93" s="418"/>
      <c r="AL93" s="418"/>
      <c r="AM93" s="418" t="e">
        <f t="shared" si="72"/>
        <v>#N/A</v>
      </c>
      <c r="AN93" s="565"/>
      <c r="AO93" s="418"/>
      <c r="AP93" s="418"/>
      <c r="AQ93" s="418"/>
      <c r="AR93" s="418" t="e">
        <f t="shared" si="73"/>
        <v>#N/A</v>
      </c>
      <c r="AS93" s="565"/>
      <c r="AT93" s="418"/>
      <c r="AU93" s="418"/>
      <c r="AV93" s="418"/>
      <c r="AW93" s="418" t="e">
        <f t="shared" si="74"/>
        <v>#N/A</v>
      </c>
      <c r="AX93" s="565"/>
      <c r="AZ93" s="407" t="e">
        <f t="shared" si="66"/>
        <v>#N/A</v>
      </c>
      <c r="BA93" s="565"/>
    </row>
    <row r="94" spans="2:53">
      <c r="B94" s="570"/>
      <c r="C94" s="418">
        <v>8</v>
      </c>
      <c r="D94" s="226"/>
      <c r="E94" s="425"/>
      <c r="F94" s="418"/>
      <c r="G94" s="419"/>
      <c r="H94" s="628"/>
      <c r="I94" s="422" t="str">
        <f t="shared" si="63"/>
        <v>-</v>
      </c>
      <c r="J94" s="422" t="str">
        <f t="shared" si="64"/>
        <v>-</v>
      </c>
      <c r="K94" s="200" t="str">
        <f t="shared" si="65"/>
        <v>-</v>
      </c>
      <c r="L94" s="581"/>
      <c r="M94" s="424" t="e">
        <f>RANK(K94, K$87:$K$101)</f>
        <v>#VALUE!</v>
      </c>
      <c r="N94" s="564"/>
      <c r="O94" s="564"/>
      <c r="P94" s="418"/>
      <c r="Q94" s="418"/>
      <c r="R94" s="418"/>
      <c r="S94" s="418" t="e">
        <f t="shared" si="68"/>
        <v>#N/A</v>
      </c>
      <c r="T94" s="565"/>
      <c r="U94" s="418"/>
      <c r="V94" s="418"/>
      <c r="W94" s="418"/>
      <c r="X94" s="418" t="e">
        <f t="shared" si="69"/>
        <v>#N/A</v>
      </c>
      <c r="Y94" s="565"/>
      <c r="Z94" s="418"/>
      <c r="AA94" s="418"/>
      <c r="AB94" s="418"/>
      <c r="AC94" s="418" t="e">
        <f t="shared" si="70"/>
        <v>#N/A</v>
      </c>
      <c r="AD94" s="565"/>
      <c r="AE94" s="418"/>
      <c r="AF94" s="418"/>
      <c r="AG94" s="418"/>
      <c r="AH94" s="418" t="e">
        <f t="shared" si="71"/>
        <v>#N/A</v>
      </c>
      <c r="AI94" s="565"/>
      <c r="AJ94" s="418"/>
      <c r="AK94" s="418"/>
      <c r="AL94" s="418"/>
      <c r="AM94" s="418" t="e">
        <f t="shared" si="72"/>
        <v>#N/A</v>
      </c>
      <c r="AN94" s="565"/>
      <c r="AO94" s="418"/>
      <c r="AP94" s="418"/>
      <c r="AQ94" s="418"/>
      <c r="AR94" s="418" t="e">
        <f t="shared" si="73"/>
        <v>#N/A</v>
      </c>
      <c r="AS94" s="565"/>
      <c r="AT94" s="418"/>
      <c r="AU94" s="418"/>
      <c r="AV94" s="418"/>
      <c r="AW94" s="418" t="e">
        <f t="shared" si="74"/>
        <v>#N/A</v>
      </c>
      <c r="AX94" s="565"/>
      <c r="AZ94" s="407" t="e">
        <f t="shared" si="66"/>
        <v>#N/A</v>
      </c>
      <c r="BA94" s="565"/>
    </row>
    <row r="95" spans="2:53">
      <c r="B95" s="570"/>
      <c r="C95" s="418">
        <v>9</v>
      </c>
      <c r="D95" s="226"/>
      <c r="E95" s="425"/>
      <c r="F95" s="418"/>
      <c r="G95" s="419"/>
      <c r="H95" s="628"/>
      <c r="I95" s="422" t="str">
        <f t="shared" si="63"/>
        <v>-</v>
      </c>
      <c r="J95" s="422" t="str">
        <f t="shared" si="64"/>
        <v>-</v>
      </c>
      <c r="K95" s="200" t="str">
        <f t="shared" si="65"/>
        <v>-</v>
      </c>
      <c r="L95" s="581"/>
      <c r="M95" s="424" t="e">
        <f>RANK(K95, K$87:$K$101)</f>
        <v>#VALUE!</v>
      </c>
      <c r="N95" s="564"/>
      <c r="O95" s="564"/>
      <c r="P95" s="418"/>
      <c r="Q95" s="418"/>
      <c r="R95" s="418"/>
      <c r="S95" s="418" t="e">
        <f t="shared" si="68"/>
        <v>#N/A</v>
      </c>
      <c r="T95" s="565"/>
      <c r="U95" s="418"/>
      <c r="V95" s="418"/>
      <c r="W95" s="418"/>
      <c r="X95" s="418" t="e">
        <f t="shared" si="69"/>
        <v>#N/A</v>
      </c>
      <c r="Y95" s="565"/>
      <c r="Z95" s="418"/>
      <c r="AA95" s="418"/>
      <c r="AB95" s="418"/>
      <c r="AC95" s="418" t="e">
        <f t="shared" si="70"/>
        <v>#N/A</v>
      </c>
      <c r="AD95" s="565"/>
      <c r="AE95" s="418"/>
      <c r="AF95" s="418"/>
      <c r="AG95" s="418"/>
      <c r="AH95" s="418" t="e">
        <f t="shared" si="71"/>
        <v>#N/A</v>
      </c>
      <c r="AI95" s="565"/>
      <c r="AJ95" s="418"/>
      <c r="AK95" s="418"/>
      <c r="AL95" s="418"/>
      <c r="AM95" s="418" t="e">
        <f t="shared" si="72"/>
        <v>#N/A</v>
      </c>
      <c r="AN95" s="565"/>
      <c r="AO95" s="418"/>
      <c r="AP95" s="418"/>
      <c r="AQ95" s="418"/>
      <c r="AR95" s="418" t="e">
        <f t="shared" si="73"/>
        <v>#N/A</v>
      </c>
      <c r="AS95" s="565"/>
      <c r="AT95" s="418"/>
      <c r="AU95" s="418"/>
      <c r="AV95" s="418"/>
      <c r="AW95" s="418" t="e">
        <f t="shared" si="74"/>
        <v>#N/A</v>
      </c>
      <c r="AX95" s="565"/>
      <c r="AZ95" s="407" t="e">
        <f t="shared" si="66"/>
        <v>#N/A</v>
      </c>
      <c r="BA95" s="565"/>
    </row>
    <row r="96" spans="2:53">
      <c r="B96" s="570"/>
      <c r="C96" s="418">
        <v>10</v>
      </c>
      <c r="D96" s="226"/>
      <c r="E96" s="425"/>
      <c r="F96" s="418"/>
      <c r="G96" s="419"/>
      <c r="H96" s="628"/>
      <c r="I96" s="422" t="str">
        <f t="shared" si="63"/>
        <v>-</v>
      </c>
      <c r="J96" s="422" t="str">
        <f t="shared" si="64"/>
        <v>-</v>
      </c>
      <c r="K96" s="200" t="str">
        <f t="shared" si="65"/>
        <v>-</v>
      </c>
      <c r="L96" s="581"/>
      <c r="M96" s="424" t="e">
        <f>RANK(K96, K$87:$K$101)</f>
        <v>#VALUE!</v>
      </c>
      <c r="N96" s="564"/>
      <c r="O96" s="564"/>
      <c r="P96" s="418"/>
      <c r="Q96" s="418"/>
      <c r="R96" s="418"/>
      <c r="S96" s="418" t="e">
        <f t="shared" si="68"/>
        <v>#N/A</v>
      </c>
      <c r="T96" s="565"/>
      <c r="U96" s="418"/>
      <c r="V96" s="418"/>
      <c r="W96" s="418"/>
      <c r="X96" s="418" t="e">
        <f t="shared" si="69"/>
        <v>#N/A</v>
      </c>
      <c r="Y96" s="565"/>
      <c r="Z96" s="418"/>
      <c r="AA96" s="418"/>
      <c r="AB96" s="418"/>
      <c r="AC96" s="418" t="e">
        <f t="shared" si="70"/>
        <v>#N/A</v>
      </c>
      <c r="AD96" s="565"/>
      <c r="AE96" s="418"/>
      <c r="AF96" s="418"/>
      <c r="AG96" s="418"/>
      <c r="AH96" s="418" t="e">
        <f t="shared" si="71"/>
        <v>#N/A</v>
      </c>
      <c r="AI96" s="565"/>
      <c r="AJ96" s="418"/>
      <c r="AK96" s="418"/>
      <c r="AL96" s="418"/>
      <c r="AM96" s="418" t="e">
        <f t="shared" si="72"/>
        <v>#N/A</v>
      </c>
      <c r="AN96" s="565"/>
      <c r="AO96" s="418"/>
      <c r="AP96" s="418"/>
      <c r="AQ96" s="418"/>
      <c r="AR96" s="418" t="e">
        <f t="shared" si="73"/>
        <v>#N/A</v>
      </c>
      <c r="AS96" s="565"/>
      <c r="AT96" s="418"/>
      <c r="AU96" s="418"/>
      <c r="AV96" s="418"/>
      <c r="AW96" s="418" t="e">
        <f t="shared" si="74"/>
        <v>#N/A</v>
      </c>
      <c r="AX96" s="565"/>
      <c r="AZ96" s="407" t="e">
        <f t="shared" si="66"/>
        <v>#N/A</v>
      </c>
      <c r="BA96" s="565"/>
    </row>
    <row r="97" spans="2:53">
      <c r="B97" s="570"/>
      <c r="C97" s="418">
        <v>11</v>
      </c>
      <c r="D97" s="226"/>
      <c r="E97" s="425"/>
      <c r="F97" s="418"/>
      <c r="G97" s="419"/>
      <c r="H97" s="628"/>
      <c r="I97" s="422" t="str">
        <f t="shared" si="63"/>
        <v>-</v>
      </c>
      <c r="J97" s="422" t="str">
        <f t="shared" si="64"/>
        <v>-</v>
      </c>
      <c r="K97" s="200" t="str">
        <f t="shared" si="65"/>
        <v>-</v>
      </c>
      <c r="L97" s="581"/>
      <c r="M97" s="424" t="e">
        <f>RANK(K97, K$87:$K$101)</f>
        <v>#VALUE!</v>
      </c>
      <c r="N97" s="564"/>
      <c r="O97" s="564"/>
      <c r="P97" s="418"/>
      <c r="Q97" s="418"/>
      <c r="R97" s="418"/>
      <c r="S97" s="418" t="e">
        <f t="shared" si="68"/>
        <v>#N/A</v>
      </c>
      <c r="T97" s="565"/>
      <c r="U97" s="418"/>
      <c r="V97" s="418"/>
      <c r="W97" s="418"/>
      <c r="X97" s="418" t="e">
        <f t="shared" si="69"/>
        <v>#N/A</v>
      </c>
      <c r="Y97" s="565"/>
      <c r="Z97" s="418"/>
      <c r="AA97" s="418"/>
      <c r="AB97" s="418"/>
      <c r="AC97" s="418" t="e">
        <f t="shared" si="70"/>
        <v>#N/A</v>
      </c>
      <c r="AD97" s="565"/>
      <c r="AE97" s="418"/>
      <c r="AF97" s="418"/>
      <c r="AG97" s="418"/>
      <c r="AH97" s="418" t="e">
        <f t="shared" si="71"/>
        <v>#N/A</v>
      </c>
      <c r="AI97" s="565"/>
      <c r="AJ97" s="418"/>
      <c r="AK97" s="418"/>
      <c r="AL97" s="418"/>
      <c r="AM97" s="418" t="e">
        <f t="shared" si="72"/>
        <v>#N/A</v>
      </c>
      <c r="AN97" s="565"/>
      <c r="AO97" s="418"/>
      <c r="AP97" s="418"/>
      <c r="AQ97" s="418"/>
      <c r="AR97" s="418" t="e">
        <f t="shared" si="73"/>
        <v>#N/A</v>
      </c>
      <c r="AS97" s="565"/>
      <c r="AT97" s="418"/>
      <c r="AU97" s="418"/>
      <c r="AV97" s="418"/>
      <c r="AW97" s="418" t="e">
        <f t="shared" si="74"/>
        <v>#N/A</v>
      </c>
      <c r="AX97" s="565"/>
      <c r="AZ97" s="407" t="e">
        <f t="shared" si="66"/>
        <v>#N/A</v>
      </c>
      <c r="BA97" s="565"/>
    </row>
    <row r="98" spans="2:53">
      <c r="B98" s="570"/>
      <c r="C98" s="418">
        <v>12</v>
      </c>
      <c r="D98" s="226"/>
      <c r="E98" s="425"/>
      <c r="F98" s="418"/>
      <c r="G98" s="419"/>
      <c r="H98" s="628"/>
      <c r="I98" s="422" t="str">
        <f t="shared" si="63"/>
        <v>-</v>
      </c>
      <c r="J98" s="422" t="str">
        <f t="shared" si="64"/>
        <v>-</v>
      </c>
      <c r="K98" s="200" t="str">
        <f t="shared" si="65"/>
        <v>-</v>
      </c>
      <c r="L98" s="581"/>
      <c r="M98" s="424" t="e">
        <f>RANK(K98, K$87:$K$101)</f>
        <v>#VALUE!</v>
      </c>
      <c r="N98" s="564"/>
      <c r="O98" s="564"/>
      <c r="P98" s="418"/>
      <c r="Q98" s="418"/>
      <c r="R98" s="418"/>
      <c r="S98" s="418" t="e">
        <f t="shared" si="68"/>
        <v>#N/A</v>
      </c>
      <c r="T98" s="565"/>
      <c r="U98" s="418"/>
      <c r="V98" s="418"/>
      <c r="W98" s="418"/>
      <c r="X98" s="418" t="e">
        <f t="shared" si="69"/>
        <v>#N/A</v>
      </c>
      <c r="Y98" s="565"/>
      <c r="Z98" s="418"/>
      <c r="AA98" s="418"/>
      <c r="AB98" s="418"/>
      <c r="AC98" s="418" t="e">
        <f t="shared" si="70"/>
        <v>#N/A</v>
      </c>
      <c r="AD98" s="565"/>
      <c r="AE98" s="418"/>
      <c r="AF98" s="418"/>
      <c r="AG98" s="418"/>
      <c r="AH98" s="418" t="e">
        <f t="shared" si="71"/>
        <v>#N/A</v>
      </c>
      <c r="AI98" s="565"/>
      <c r="AJ98" s="418"/>
      <c r="AK98" s="418"/>
      <c r="AL98" s="418"/>
      <c r="AM98" s="418" t="e">
        <f t="shared" si="72"/>
        <v>#N/A</v>
      </c>
      <c r="AN98" s="565"/>
      <c r="AO98" s="418"/>
      <c r="AP98" s="418"/>
      <c r="AQ98" s="418"/>
      <c r="AR98" s="418" t="e">
        <f t="shared" si="73"/>
        <v>#N/A</v>
      </c>
      <c r="AS98" s="565"/>
      <c r="AT98" s="418"/>
      <c r="AU98" s="418"/>
      <c r="AV98" s="418"/>
      <c r="AW98" s="418" t="e">
        <f t="shared" si="74"/>
        <v>#N/A</v>
      </c>
      <c r="AX98" s="565"/>
      <c r="AZ98" s="407" t="e">
        <f t="shared" si="66"/>
        <v>#N/A</v>
      </c>
      <c r="BA98" s="565"/>
    </row>
    <row r="99" spans="2:53">
      <c r="B99" s="570"/>
      <c r="C99" s="418">
        <v>13</v>
      </c>
      <c r="D99" s="226"/>
      <c r="E99" s="425"/>
      <c r="F99" s="418"/>
      <c r="G99" s="419"/>
      <c r="H99" s="628"/>
      <c r="I99" s="422" t="str">
        <f t="shared" si="63"/>
        <v>-</v>
      </c>
      <c r="J99" s="422" t="str">
        <f t="shared" si="64"/>
        <v>-</v>
      </c>
      <c r="K99" s="200" t="str">
        <f t="shared" si="65"/>
        <v>-</v>
      </c>
      <c r="L99" s="581"/>
      <c r="M99" s="424" t="e">
        <f>RANK(K99, K$87:$K$101)</f>
        <v>#VALUE!</v>
      </c>
      <c r="N99" s="564"/>
      <c r="O99" s="564"/>
      <c r="P99" s="418"/>
      <c r="Q99" s="418"/>
      <c r="R99" s="418"/>
      <c r="S99" s="418" t="e">
        <f t="shared" si="68"/>
        <v>#N/A</v>
      </c>
      <c r="T99" s="565"/>
      <c r="U99" s="418"/>
      <c r="V99" s="418"/>
      <c r="W99" s="418"/>
      <c r="X99" s="418" t="e">
        <f t="shared" si="69"/>
        <v>#N/A</v>
      </c>
      <c r="Y99" s="565"/>
      <c r="Z99" s="418"/>
      <c r="AA99" s="418"/>
      <c r="AB99" s="418"/>
      <c r="AC99" s="418" t="e">
        <f t="shared" si="70"/>
        <v>#N/A</v>
      </c>
      <c r="AD99" s="565"/>
      <c r="AE99" s="418"/>
      <c r="AF99" s="418"/>
      <c r="AG99" s="418"/>
      <c r="AH99" s="418" t="e">
        <f t="shared" si="71"/>
        <v>#N/A</v>
      </c>
      <c r="AI99" s="565"/>
      <c r="AJ99" s="418"/>
      <c r="AK99" s="418"/>
      <c r="AL99" s="418"/>
      <c r="AM99" s="418" t="e">
        <f t="shared" si="72"/>
        <v>#N/A</v>
      </c>
      <c r="AN99" s="565"/>
      <c r="AO99" s="418"/>
      <c r="AP99" s="418"/>
      <c r="AQ99" s="418"/>
      <c r="AR99" s="418" t="e">
        <f t="shared" si="73"/>
        <v>#N/A</v>
      </c>
      <c r="AS99" s="565"/>
      <c r="AT99" s="418"/>
      <c r="AU99" s="418"/>
      <c r="AV99" s="418"/>
      <c r="AW99" s="418" t="e">
        <f t="shared" si="74"/>
        <v>#N/A</v>
      </c>
      <c r="AX99" s="565"/>
      <c r="AZ99" s="407" t="e">
        <f t="shared" si="66"/>
        <v>#N/A</v>
      </c>
      <c r="BA99" s="565"/>
    </row>
    <row r="100" spans="2:53">
      <c r="B100" s="570"/>
      <c r="C100" s="418">
        <v>14</v>
      </c>
      <c r="D100" s="226"/>
      <c r="E100" s="425"/>
      <c r="F100" s="418"/>
      <c r="G100" s="419"/>
      <c r="H100" s="628"/>
      <c r="I100" s="422" t="str">
        <f t="shared" si="63"/>
        <v>-</v>
      </c>
      <c r="J100" s="422" t="str">
        <f t="shared" si="64"/>
        <v>-</v>
      </c>
      <c r="K100" s="200" t="str">
        <f t="shared" si="65"/>
        <v>-</v>
      </c>
      <c r="L100" s="581"/>
      <c r="M100" s="424" t="e">
        <f>RANK(K100, K$87:$K$101)</f>
        <v>#VALUE!</v>
      </c>
      <c r="N100" s="564"/>
      <c r="O100" s="564"/>
      <c r="P100" s="418"/>
      <c r="Q100" s="418"/>
      <c r="R100" s="418"/>
      <c r="S100" s="418" t="e">
        <f t="shared" si="68"/>
        <v>#N/A</v>
      </c>
      <c r="T100" s="565"/>
      <c r="U100" s="418"/>
      <c r="V100" s="418"/>
      <c r="W100" s="418"/>
      <c r="X100" s="418" t="e">
        <f t="shared" si="69"/>
        <v>#N/A</v>
      </c>
      <c r="Y100" s="565"/>
      <c r="Z100" s="418"/>
      <c r="AA100" s="418"/>
      <c r="AB100" s="418"/>
      <c r="AC100" s="418" t="e">
        <f t="shared" si="70"/>
        <v>#N/A</v>
      </c>
      <c r="AD100" s="565"/>
      <c r="AE100" s="418"/>
      <c r="AF100" s="418"/>
      <c r="AG100" s="418"/>
      <c r="AH100" s="418" t="e">
        <f t="shared" si="71"/>
        <v>#N/A</v>
      </c>
      <c r="AI100" s="565"/>
      <c r="AJ100" s="418"/>
      <c r="AK100" s="418"/>
      <c r="AL100" s="418"/>
      <c r="AM100" s="418" t="e">
        <f t="shared" si="72"/>
        <v>#N/A</v>
      </c>
      <c r="AN100" s="565"/>
      <c r="AO100" s="418"/>
      <c r="AP100" s="418"/>
      <c r="AQ100" s="418"/>
      <c r="AR100" s="418" t="e">
        <f t="shared" si="73"/>
        <v>#N/A</v>
      </c>
      <c r="AS100" s="565"/>
      <c r="AT100" s="418"/>
      <c r="AU100" s="418"/>
      <c r="AV100" s="418"/>
      <c r="AW100" s="418" t="e">
        <f t="shared" si="74"/>
        <v>#N/A</v>
      </c>
      <c r="AX100" s="565"/>
      <c r="AZ100" s="407" t="e">
        <f t="shared" si="66"/>
        <v>#N/A</v>
      </c>
      <c r="BA100" s="565"/>
    </row>
    <row r="101" spans="2:53">
      <c r="B101" s="570"/>
      <c r="C101" s="418">
        <v>15</v>
      </c>
      <c r="D101" s="226"/>
      <c r="E101" s="425"/>
      <c r="F101" s="418"/>
      <c r="G101" s="419"/>
      <c r="H101" s="629"/>
      <c r="I101" s="202"/>
      <c r="J101" s="202"/>
      <c r="K101" s="202"/>
      <c r="L101" s="582"/>
      <c r="M101" s="422" t="e">
        <f>RANK(K101, K$87:$K$101)</f>
        <v>#N/A</v>
      </c>
      <c r="N101" s="564"/>
      <c r="O101" s="564"/>
      <c r="P101" s="418"/>
      <c r="Q101" s="418"/>
      <c r="R101" s="418"/>
      <c r="S101" s="418" t="e">
        <f t="shared" si="68"/>
        <v>#N/A</v>
      </c>
      <c r="T101" s="565"/>
      <c r="U101" s="418"/>
      <c r="V101" s="418"/>
      <c r="W101" s="418"/>
      <c r="X101" s="418" t="e">
        <f t="shared" si="69"/>
        <v>#N/A</v>
      </c>
      <c r="Y101" s="565"/>
      <c r="Z101" s="418"/>
      <c r="AA101" s="418"/>
      <c r="AB101" s="418"/>
      <c r="AC101" s="418" t="e">
        <f t="shared" si="70"/>
        <v>#N/A</v>
      </c>
      <c r="AD101" s="565"/>
      <c r="AE101" s="418"/>
      <c r="AF101" s="418"/>
      <c r="AG101" s="418"/>
      <c r="AH101" s="418" t="e">
        <f t="shared" si="71"/>
        <v>#N/A</v>
      </c>
      <c r="AI101" s="565"/>
      <c r="AJ101" s="418"/>
      <c r="AK101" s="418"/>
      <c r="AL101" s="418"/>
      <c r="AM101" s="418" t="e">
        <f t="shared" si="72"/>
        <v>#N/A</v>
      </c>
      <c r="AN101" s="565"/>
      <c r="AO101" s="418"/>
      <c r="AP101" s="418"/>
      <c r="AQ101" s="418"/>
      <c r="AR101" s="418" t="e">
        <f t="shared" si="73"/>
        <v>#N/A</v>
      </c>
      <c r="AS101" s="565"/>
      <c r="AT101" s="418"/>
      <c r="AU101" s="418"/>
      <c r="AV101" s="418"/>
      <c r="AW101" s="418" t="e">
        <f t="shared" si="74"/>
        <v>#N/A</v>
      </c>
      <c r="AX101" s="565"/>
      <c r="AZ101" s="407" t="e">
        <f t="shared" si="66"/>
        <v>#N/A</v>
      </c>
      <c r="BA101" s="565"/>
    </row>
    <row r="102" spans="2:53" ht="15.75">
      <c r="B102" s="593" t="s">
        <v>163</v>
      </c>
      <c r="C102" s="594"/>
      <c r="D102" s="594"/>
      <c r="E102" s="594"/>
      <c r="F102" s="594"/>
      <c r="G102" s="594"/>
      <c r="H102" s="595"/>
      <c r="I102" s="208"/>
      <c r="J102" s="208"/>
      <c r="K102" s="208"/>
      <c r="L102" s="208"/>
      <c r="M102" s="207"/>
      <c r="N102" s="566" t="s">
        <v>156</v>
      </c>
      <c r="O102" s="566" t="s">
        <v>105</v>
      </c>
      <c r="P102" s="592">
        <f>P82+7</f>
        <v>46175</v>
      </c>
      <c r="Q102" s="570"/>
      <c r="R102" s="570"/>
      <c r="S102" s="570"/>
      <c r="T102" s="570"/>
      <c r="U102" s="589">
        <f>P102+1</f>
        <v>46176</v>
      </c>
      <c r="V102" s="590"/>
      <c r="W102" s="590"/>
      <c r="X102" s="590"/>
      <c r="Y102" s="591"/>
      <c r="Z102" s="589">
        <f>U102+1</f>
        <v>46177</v>
      </c>
      <c r="AA102" s="590"/>
      <c r="AB102" s="590"/>
      <c r="AC102" s="590"/>
      <c r="AD102" s="591"/>
      <c r="AE102" s="589">
        <f>Z102+1</f>
        <v>46178</v>
      </c>
      <c r="AF102" s="590"/>
      <c r="AG102" s="590"/>
      <c r="AH102" s="590"/>
      <c r="AI102" s="591"/>
      <c r="AJ102" s="589">
        <f>AE102+1</f>
        <v>46179</v>
      </c>
      <c r="AK102" s="590"/>
      <c r="AL102" s="590"/>
      <c r="AM102" s="590"/>
      <c r="AN102" s="591"/>
      <c r="AO102" s="589">
        <f>AJ102+1</f>
        <v>46180</v>
      </c>
      <c r="AP102" s="590"/>
      <c r="AQ102" s="590"/>
      <c r="AR102" s="590"/>
      <c r="AS102" s="591"/>
      <c r="AT102" s="589">
        <f>AO102+1</f>
        <v>46181</v>
      </c>
      <c r="AU102" s="590"/>
      <c r="AV102" s="590"/>
      <c r="AW102" s="590"/>
      <c r="AX102" s="591"/>
    </row>
    <row r="103" spans="2:53" ht="15.75">
      <c r="B103" s="596"/>
      <c r="C103" s="596"/>
      <c r="D103" s="596"/>
      <c r="E103" s="596"/>
      <c r="F103" s="596"/>
      <c r="G103" s="596"/>
      <c r="H103" s="596"/>
      <c r="I103" s="205"/>
      <c r="J103" s="205"/>
      <c r="K103" s="205"/>
      <c r="L103" s="205"/>
      <c r="M103" s="206"/>
      <c r="N103" s="568"/>
      <c r="O103" s="568"/>
      <c r="P103" s="592" t="s">
        <v>158</v>
      </c>
      <c r="Q103" s="570"/>
      <c r="R103" s="570"/>
      <c r="S103" s="570"/>
      <c r="T103" s="570"/>
      <c r="U103" s="592" t="s">
        <v>114</v>
      </c>
      <c r="V103" s="570"/>
      <c r="W103" s="570"/>
      <c r="X103" s="570"/>
      <c r="Y103" s="570"/>
      <c r="Z103" s="592" t="s">
        <v>159</v>
      </c>
      <c r="AA103" s="570"/>
      <c r="AB103" s="570"/>
      <c r="AC103" s="570"/>
      <c r="AD103" s="570"/>
      <c r="AE103" s="592" t="s">
        <v>157</v>
      </c>
      <c r="AF103" s="570"/>
      <c r="AG103" s="570"/>
      <c r="AH103" s="570"/>
      <c r="AI103" s="570"/>
      <c r="AJ103" s="592" t="s">
        <v>160</v>
      </c>
      <c r="AK103" s="570"/>
      <c r="AL103" s="570"/>
      <c r="AM103" s="570"/>
      <c r="AN103" s="570"/>
      <c r="AO103" s="592" t="s">
        <v>115</v>
      </c>
      <c r="AP103" s="570"/>
      <c r="AQ103" s="570"/>
      <c r="AR103" s="570"/>
      <c r="AS103" s="570"/>
      <c r="AT103" s="592" t="s">
        <v>162</v>
      </c>
      <c r="AU103" s="570"/>
      <c r="AV103" s="570"/>
      <c r="AW103" s="570"/>
      <c r="AX103" s="570"/>
    </row>
    <row r="104" spans="2:53">
      <c r="B104" s="564" t="s">
        <v>154</v>
      </c>
      <c r="C104" s="564" t="s">
        <v>387</v>
      </c>
      <c r="D104" s="564"/>
      <c r="E104" s="564" t="s">
        <v>378</v>
      </c>
      <c r="F104" s="564"/>
      <c r="G104" s="564"/>
      <c r="H104" s="597" t="s">
        <v>374</v>
      </c>
      <c r="I104" s="616" t="s">
        <v>379</v>
      </c>
      <c r="J104" s="616"/>
      <c r="K104" s="616"/>
      <c r="L104" s="617" t="s">
        <v>374</v>
      </c>
      <c r="M104" s="602" t="s">
        <v>375</v>
      </c>
      <c r="N104" s="564"/>
      <c r="O104" s="564" t="s">
        <v>380</v>
      </c>
      <c r="P104" s="583" t="s">
        <v>376</v>
      </c>
      <c r="Q104" s="584"/>
      <c r="R104" s="584"/>
      <c r="S104" s="585"/>
      <c r="T104" s="564" t="s">
        <v>374</v>
      </c>
      <c r="U104" s="583" t="s">
        <v>376</v>
      </c>
      <c r="V104" s="584"/>
      <c r="W104" s="584"/>
      <c r="X104" s="585"/>
      <c r="Y104" s="564" t="s">
        <v>374</v>
      </c>
      <c r="Z104" s="583" t="s">
        <v>376</v>
      </c>
      <c r="AA104" s="584"/>
      <c r="AB104" s="584"/>
      <c r="AC104" s="585"/>
      <c r="AD104" s="564" t="s">
        <v>374</v>
      </c>
      <c r="AE104" s="583" t="s">
        <v>376</v>
      </c>
      <c r="AF104" s="584"/>
      <c r="AG104" s="584"/>
      <c r="AH104" s="585"/>
      <c r="AI104" s="564" t="s">
        <v>374</v>
      </c>
      <c r="AJ104" s="583" t="s">
        <v>376</v>
      </c>
      <c r="AK104" s="584"/>
      <c r="AL104" s="584"/>
      <c r="AM104" s="585"/>
      <c r="AN104" s="564" t="s">
        <v>374</v>
      </c>
      <c r="AO104" s="583" t="s">
        <v>376</v>
      </c>
      <c r="AP104" s="584"/>
      <c r="AQ104" s="584"/>
      <c r="AR104" s="585"/>
      <c r="AS104" s="564" t="s">
        <v>374</v>
      </c>
      <c r="AT104" s="583" t="s">
        <v>376</v>
      </c>
      <c r="AU104" s="584"/>
      <c r="AV104" s="584"/>
      <c r="AW104" s="585"/>
      <c r="AX104" s="564" t="s">
        <v>374</v>
      </c>
      <c r="BA104" s="564" t="s">
        <v>374</v>
      </c>
    </row>
    <row r="105" spans="2:53">
      <c r="B105" s="564"/>
      <c r="C105" s="564"/>
      <c r="D105" s="564"/>
      <c r="E105" s="564" t="s">
        <v>381</v>
      </c>
      <c r="F105" s="564"/>
      <c r="G105" s="564"/>
      <c r="H105" s="598"/>
      <c r="I105" s="616" t="s">
        <v>381</v>
      </c>
      <c r="J105" s="616"/>
      <c r="K105" s="616"/>
      <c r="L105" s="618"/>
      <c r="M105" s="603"/>
      <c r="N105" s="564"/>
      <c r="O105" s="564"/>
      <c r="P105" s="583" t="s">
        <v>382</v>
      </c>
      <c r="Q105" s="584"/>
      <c r="R105" s="584"/>
      <c r="S105" s="585"/>
      <c r="T105" s="564"/>
      <c r="U105" s="583" t="s">
        <v>382</v>
      </c>
      <c r="V105" s="584"/>
      <c r="W105" s="584"/>
      <c r="X105" s="585"/>
      <c r="Y105" s="564"/>
      <c r="Z105" s="583" t="s">
        <v>382</v>
      </c>
      <c r="AA105" s="584"/>
      <c r="AB105" s="584"/>
      <c r="AC105" s="585"/>
      <c r="AD105" s="564"/>
      <c r="AE105" s="583" t="s">
        <v>382</v>
      </c>
      <c r="AF105" s="584"/>
      <c r="AG105" s="584"/>
      <c r="AH105" s="585"/>
      <c r="AI105" s="564"/>
      <c r="AJ105" s="583" t="s">
        <v>382</v>
      </c>
      <c r="AK105" s="584"/>
      <c r="AL105" s="584"/>
      <c r="AM105" s="585"/>
      <c r="AN105" s="564"/>
      <c r="AO105" s="583" t="s">
        <v>382</v>
      </c>
      <c r="AP105" s="584"/>
      <c r="AQ105" s="584"/>
      <c r="AR105" s="585"/>
      <c r="AS105" s="564"/>
      <c r="AT105" s="583" t="s">
        <v>382</v>
      </c>
      <c r="AU105" s="584"/>
      <c r="AV105" s="584"/>
      <c r="AW105" s="585"/>
      <c r="AX105" s="564"/>
      <c r="BA105" s="564"/>
    </row>
    <row r="106" spans="2:53">
      <c r="B106" s="564"/>
      <c r="C106" s="564"/>
      <c r="D106" s="564"/>
      <c r="E106" s="316" t="s">
        <v>383</v>
      </c>
      <c r="F106" s="316" t="s">
        <v>384</v>
      </c>
      <c r="G106" s="316" t="s">
        <v>385</v>
      </c>
      <c r="H106" s="599"/>
      <c r="I106" s="317" t="s">
        <v>383</v>
      </c>
      <c r="J106" s="317" t="s">
        <v>384</v>
      </c>
      <c r="K106" s="317" t="s">
        <v>385</v>
      </c>
      <c r="L106" s="619"/>
      <c r="M106" s="604"/>
      <c r="N106" s="564"/>
      <c r="O106" s="564"/>
      <c r="P106" s="316" t="s">
        <v>383</v>
      </c>
      <c r="Q106" s="316" t="s">
        <v>384</v>
      </c>
      <c r="R106" s="316" t="s">
        <v>385</v>
      </c>
      <c r="S106" s="316" t="s">
        <v>375</v>
      </c>
      <c r="T106" s="564"/>
      <c r="U106" s="316" t="s">
        <v>383</v>
      </c>
      <c r="V106" s="316" t="s">
        <v>384</v>
      </c>
      <c r="W106" s="316" t="s">
        <v>385</v>
      </c>
      <c r="X106" s="316" t="s">
        <v>375</v>
      </c>
      <c r="Y106" s="564"/>
      <c r="Z106" s="316" t="s">
        <v>383</v>
      </c>
      <c r="AA106" s="316" t="s">
        <v>384</v>
      </c>
      <c r="AB106" s="316" t="s">
        <v>385</v>
      </c>
      <c r="AC106" s="316" t="s">
        <v>375</v>
      </c>
      <c r="AD106" s="564"/>
      <c r="AE106" s="316" t="s">
        <v>383</v>
      </c>
      <c r="AF106" s="316" t="s">
        <v>384</v>
      </c>
      <c r="AG106" s="316" t="s">
        <v>385</v>
      </c>
      <c r="AH106" s="316" t="s">
        <v>375</v>
      </c>
      <c r="AI106" s="564"/>
      <c r="AJ106" s="316" t="s">
        <v>383</v>
      </c>
      <c r="AK106" s="316" t="s">
        <v>384</v>
      </c>
      <c r="AL106" s="316" t="s">
        <v>385</v>
      </c>
      <c r="AM106" s="316" t="s">
        <v>375</v>
      </c>
      <c r="AN106" s="564"/>
      <c r="AO106" s="316" t="s">
        <v>383</v>
      </c>
      <c r="AP106" s="316" t="s">
        <v>384</v>
      </c>
      <c r="AQ106" s="316" t="s">
        <v>385</v>
      </c>
      <c r="AR106" s="316" t="s">
        <v>375</v>
      </c>
      <c r="AS106" s="564"/>
      <c r="AT106" s="316" t="s">
        <v>383</v>
      </c>
      <c r="AU106" s="316" t="s">
        <v>384</v>
      </c>
      <c r="AV106" s="316" t="s">
        <v>385</v>
      </c>
      <c r="AW106" s="316" t="s">
        <v>375</v>
      </c>
      <c r="AX106" s="564"/>
      <c r="AZ106" s="406" t="s">
        <v>375</v>
      </c>
      <c r="BA106" s="564"/>
    </row>
    <row r="107" spans="2:53">
      <c r="B107" s="564" t="s">
        <v>388</v>
      </c>
      <c r="C107" s="315">
        <v>1</v>
      </c>
      <c r="D107" s="226"/>
      <c r="E107" s="182"/>
      <c r="F107" s="315"/>
      <c r="G107" s="318"/>
      <c r="H107" s="627" t="e">
        <f>AVERAGE(G107:G121)</f>
        <v>#DIV/0!</v>
      </c>
      <c r="I107" s="400" t="str">
        <f t="shared" ref="I107:I120" si="75">IFERROR(AVERAGE(P107,U107,Z107,AE107,AJ107,AO107,AT107),"-")</f>
        <v>-</v>
      </c>
      <c r="J107" s="400" t="str">
        <f t="shared" ref="J107:J120" si="76">IFERROR(AVERAGE(Q107,V107,AA107,AF107,AK107,AP107,AU107),"-")</f>
        <v>-</v>
      </c>
      <c r="K107" s="200" t="str">
        <f t="shared" ref="K107:K120" si="77">IFERROR(AVERAGE(R107,W107,AB107,AG107,AL107,AQ107,AV107),"-")</f>
        <v>-</v>
      </c>
      <c r="L107" s="580" t="str">
        <f>IFERROR(AVERAGE(K107:K121),"-")</f>
        <v>-</v>
      </c>
      <c r="M107" s="201" t="e">
        <f>RANK(K107, K$87:$K$101)</f>
        <v>#VALUE!</v>
      </c>
      <c r="N107" s="564"/>
      <c r="O107" s="564"/>
      <c r="P107" s="182"/>
      <c r="Q107" s="182"/>
      <c r="R107" s="318"/>
      <c r="S107" s="315" t="e">
        <f>RANK(R107, R$107:R$121)</f>
        <v>#N/A</v>
      </c>
      <c r="T107" s="565" t="e">
        <f>AVERAGE(R107:R121)</f>
        <v>#DIV/0!</v>
      </c>
      <c r="U107" s="182"/>
      <c r="V107" s="182"/>
      <c r="W107" s="329"/>
      <c r="X107" s="325" t="e">
        <f>RANK(W107, W$107:W$121)</f>
        <v>#N/A</v>
      </c>
      <c r="Y107" s="565" t="e">
        <f>AVERAGE(W107:W121)</f>
        <v>#DIV/0!</v>
      </c>
      <c r="Z107" s="182"/>
      <c r="AA107" s="182"/>
      <c r="AB107" s="329"/>
      <c r="AC107" s="325" t="e">
        <f>RANK(AB107, AB$107:AB$121)</f>
        <v>#N/A</v>
      </c>
      <c r="AD107" s="565" t="e">
        <f>AVERAGE(AB107:AB121)</f>
        <v>#DIV/0!</v>
      </c>
      <c r="AE107" s="182"/>
      <c r="AF107" s="182"/>
      <c r="AG107" s="329"/>
      <c r="AH107" s="325" t="e">
        <f>RANK(AG107, AG$107:AG$121)</f>
        <v>#N/A</v>
      </c>
      <c r="AI107" s="565" t="e">
        <f>AVERAGE(AG107:AG121)</f>
        <v>#DIV/0!</v>
      </c>
      <c r="AJ107" s="182"/>
      <c r="AK107" s="182"/>
      <c r="AL107" s="329"/>
      <c r="AM107" s="325" t="e">
        <f>RANK(AL107, AL$107:AL$121)</f>
        <v>#N/A</v>
      </c>
      <c r="AN107" s="565" t="e">
        <f>AVERAGE(AL107:AL121)</f>
        <v>#DIV/0!</v>
      </c>
      <c r="AO107" s="182"/>
      <c r="AP107" s="182"/>
      <c r="AQ107" s="329"/>
      <c r="AR107" s="325" t="e">
        <f>RANK(AQ107, AQ$107:AQ$121)</f>
        <v>#N/A</v>
      </c>
      <c r="AS107" s="565" t="e">
        <f>AVERAGE(AQ107:AQ121)</f>
        <v>#DIV/0!</v>
      </c>
      <c r="AT107" s="182"/>
      <c r="AU107" s="182"/>
      <c r="AV107" s="329"/>
      <c r="AW107" s="325" t="e">
        <f>RANK(AV107, AV$107:AV$121)</f>
        <v>#N/A</v>
      </c>
      <c r="AX107" s="565" t="e">
        <f>AVERAGE(AV107:AV121)</f>
        <v>#DIV/0!</v>
      </c>
      <c r="AZ107" s="407" t="e">
        <f>RANK(AY107, AY$107:AY$121)</f>
        <v>#N/A</v>
      </c>
      <c r="BA107" s="565" t="e">
        <f>AVERAGE(AY107:AY121)</f>
        <v>#DIV/0!</v>
      </c>
    </row>
    <row r="108" spans="2:53">
      <c r="B108" s="570"/>
      <c r="C108" s="315">
        <v>2</v>
      </c>
      <c r="D108" s="226"/>
      <c r="E108" s="182"/>
      <c r="F108" s="315"/>
      <c r="G108" s="318"/>
      <c r="H108" s="628"/>
      <c r="I108" s="400" t="str">
        <f t="shared" si="75"/>
        <v>-</v>
      </c>
      <c r="J108" s="400" t="str">
        <f t="shared" si="76"/>
        <v>-</v>
      </c>
      <c r="K108" s="200" t="str">
        <f t="shared" si="77"/>
        <v>-</v>
      </c>
      <c r="L108" s="581"/>
      <c r="M108" s="201" t="e">
        <f>RANK(K108, K$87:$K$101)</f>
        <v>#VALUE!</v>
      </c>
      <c r="N108" s="564"/>
      <c r="O108" s="564"/>
      <c r="P108" s="315"/>
      <c r="Q108" s="182"/>
      <c r="R108" s="326"/>
      <c r="S108" s="325" t="e">
        <f t="shared" ref="S108:S121" si="78">RANK(R108, R$107:R$121)</f>
        <v>#N/A</v>
      </c>
      <c r="T108" s="565"/>
      <c r="U108" s="328"/>
      <c r="V108" s="182"/>
      <c r="W108" s="329"/>
      <c r="X108" s="325" t="e">
        <f t="shared" ref="X108:X121" si="79">RANK(W108, W$107:W$121)</f>
        <v>#N/A</v>
      </c>
      <c r="Y108" s="565"/>
      <c r="Z108" s="328"/>
      <c r="AA108" s="182"/>
      <c r="AB108" s="329"/>
      <c r="AC108" s="325" t="e">
        <f t="shared" ref="AC108:AC121" si="80">RANK(AB108, AB$107:AB$121)</f>
        <v>#N/A</v>
      </c>
      <c r="AD108" s="565"/>
      <c r="AE108" s="328"/>
      <c r="AF108" s="182"/>
      <c r="AG108" s="329"/>
      <c r="AH108" s="325" t="e">
        <f t="shared" ref="AH108:AH121" si="81">RANK(AG108, AG$107:AG$121)</f>
        <v>#N/A</v>
      </c>
      <c r="AI108" s="565"/>
      <c r="AJ108" s="328"/>
      <c r="AK108" s="182"/>
      <c r="AL108" s="329"/>
      <c r="AM108" s="325" t="e">
        <f t="shared" ref="AM108:AM121" si="82">RANK(AL108, AL$107:AL$121)</f>
        <v>#N/A</v>
      </c>
      <c r="AN108" s="565"/>
      <c r="AO108" s="328"/>
      <c r="AP108" s="182"/>
      <c r="AQ108" s="329"/>
      <c r="AR108" s="325" t="e">
        <f t="shared" ref="AR108:AR121" si="83">RANK(AQ108, AQ$107:AQ$121)</f>
        <v>#N/A</v>
      </c>
      <c r="AS108" s="565"/>
      <c r="AT108" s="328"/>
      <c r="AU108" s="182"/>
      <c r="AV108" s="329"/>
      <c r="AW108" s="325" t="e">
        <f t="shared" ref="AW108:AW121" si="84">RANK(AV108, AV$107:AV$121)</f>
        <v>#N/A</v>
      </c>
      <c r="AX108" s="565"/>
      <c r="AZ108" s="407" t="e">
        <f t="shared" ref="AZ108:AZ121" si="85">RANK(AY108, AY$107:AY$121)</f>
        <v>#N/A</v>
      </c>
      <c r="BA108" s="565"/>
    </row>
    <row r="109" spans="2:53">
      <c r="B109" s="570"/>
      <c r="C109" s="315">
        <v>3</v>
      </c>
      <c r="D109" s="226"/>
      <c r="E109" s="182"/>
      <c r="F109" s="315"/>
      <c r="G109" s="318"/>
      <c r="H109" s="628"/>
      <c r="I109" s="400" t="str">
        <f t="shared" si="75"/>
        <v>-</v>
      </c>
      <c r="J109" s="400" t="str">
        <f t="shared" si="76"/>
        <v>-</v>
      </c>
      <c r="K109" s="200" t="str">
        <f t="shared" si="77"/>
        <v>-</v>
      </c>
      <c r="L109" s="581"/>
      <c r="M109" s="201" t="e">
        <f>RANK(K109, K$87:$K$101)</f>
        <v>#VALUE!</v>
      </c>
      <c r="N109" s="564"/>
      <c r="O109" s="564"/>
      <c r="P109" s="315"/>
      <c r="Q109" s="315"/>
      <c r="R109" s="315"/>
      <c r="S109" s="325" t="e">
        <f t="shared" si="78"/>
        <v>#N/A</v>
      </c>
      <c r="T109" s="565"/>
      <c r="U109" s="328"/>
      <c r="V109" s="328"/>
      <c r="W109" s="328"/>
      <c r="X109" s="325" t="e">
        <f t="shared" si="79"/>
        <v>#N/A</v>
      </c>
      <c r="Y109" s="565"/>
      <c r="Z109" s="328"/>
      <c r="AA109" s="328"/>
      <c r="AB109" s="328"/>
      <c r="AC109" s="325" t="e">
        <f t="shared" si="80"/>
        <v>#N/A</v>
      </c>
      <c r="AD109" s="565"/>
      <c r="AE109" s="328"/>
      <c r="AF109" s="328"/>
      <c r="AG109" s="328"/>
      <c r="AH109" s="325" t="e">
        <f t="shared" si="81"/>
        <v>#N/A</v>
      </c>
      <c r="AI109" s="565"/>
      <c r="AJ109" s="328"/>
      <c r="AK109" s="328"/>
      <c r="AL109" s="328"/>
      <c r="AM109" s="325" t="e">
        <f t="shared" si="82"/>
        <v>#N/A</v>
      </c>
      <c r="AN109" s="565"/>
      <c r="AO109" s="328"/>
      <c r="AP109" s="328"/>
      <c r="AQ109" s="328"/>
      <c r="AR109" s="325" t="e">
        <f t="shared" si="83"/>
        <v>#N/A</v>
      </c>
      <c r="AS109" s="565"/>
      <c r="AT109" s="328"/>
      <c r="AU109" s="328"/>
      <c r="AV109" s="328"/>
      <c r="AW109" s="325" t="e">
        <f t="shared" si="84"/>
        <v>#N/A</v>
      </c>
      <c r="AX109" s="565"/>
      <c r="AZ109" s="407" t="e">
        <f t="shared" si="85"/>
        <v>#N/A</v>
      </c>
      <c r="BA109" s="565"/>
    </row>
    <row r="110" spans="2:53">
      <c r="B110" s="570"/>
      <c r="C110" s="315">
        <v>4</v>
      </c>
      <c r="D110" s="226"/>
      <c r="E110" s="182"/>
      <c r="F110" s="315"/>
      <c r="G110" s="318"/>
      <c r="H110" s="628"/>
      <c r="I110" s="400" t="str">
        <f t="shared" si="75"/>
        <v>-</v>
      </c>
      <c r="J110" s="400" t="str">
        <f t="shared" si="76"/>
        <v>-</v>
      </c>
      <c r="K110" s="200" t="str">
        <f t="shared" si="77"/>
        <v>-</v>
      </c>
      <c r="L110" s="581"/>
      <c r="M110" s="201" t="e">
        <f>RANK(K110, K$87:$K$101)</f>
        <v>#VALUE!</v>
      </c>
      <c r="N110" s="564"/>
      <c r="O110" s="564"/>
      <c r="P110" s="315"/>
      <c r="Q110" s="315"/>
      <c r="R110" s="315"/>
      <c r="S110" s="325" t="e">
        <f t="shared" si="78"/>
        <v>#N/A</v>
      </c>
      <c r="T110" s="565"/>
      <c r="U110" s="328"/>
      <c r="V110" s="328"/>
      <c r="W110" s="328"/>
      <c r="X110" s="325" t="e">
        <f t="shared" si="79"/>
        <v>#N/A</v>
      </c>
      <c r="Y110" s="565"/>
      <c r="Z110" s="328"/>
      <c r="AA110" s="328"/>
      <c r="AB110" s="328"/>
      <c r="AC110" s="325" t="e">
        <f t="shared" si="80"/>
        <v>#N/A</v>
      </c>
      <c r="AD110" s="565"/>
      <c r="AE110" s="328"/>
      <c r="AF110" s="328"/>
      <c r="AG110" s="328"/>
      <c r="AH110" s="325" t="e">
        <f t="shared" si="81"/>
        <v>#N/A</v>
      </c>
      <c r="AI110" s="565"/>
      <c r="AJ110" s="328"/>
      <c r="AK110" s="328"/>
      <c r="AL110" s="328"/>
      <c r="AM110" s="325" t="e">
        <f t="shared" si="82"/>
        <v>#N/A</v>
      </c>
      <c r="AN110" s="565"/>
      <c r="AO110" s="328"/>
      <c r="AP110" s="328"/>
      <c r="AQ110" s="328"/>
      <c r="AR110" s="325" t="e">
        <f t="shared" si="83"/>
        <v>#N/A</v>
      </c>
      <c r="AS110" s="565"/>
      <c r="AT110" s="328"/>
      <c r="AU110" s="328"/>
      <c r="AV110" s="328"/>
      <c r="AW110" s="325" t="e">
        <f t="shared" si="84"/>
        <v>#N/A</v>
      </c>
      <c r="AX110" s="565"/>
      <c r="AZ110" s="407" t="e">
        <f t="shared" si="85"/>
        <v>#N/A</v>
      </c>
      <c r="BA110" s="565"/>
    </row>
    <row r="111" spans="2:53">
      <c r="B111" s="570"/>
      <c r="C111" s="315">
        <v>5</v>
      </c>
      <c r="D111" s="226"/>
      <c r="E111" s="182"/>
      <c r="F111" s="315"/>
      <c r="G111" s="318"/>
      <c r="H111" s="628"/>
      <c r="I111" s="400" t="str">
        <f t="shared" si="75"/>
        <v>-</v>
      </c>
      <c r="J111" s="400" t="str">
        <f t="shared" si="76"/>
        <v>-</v>
      </c>
      <c r="K111" s="200" t="str">
        <f t="shared" si="77"/>
        <v>-</v>
      </c>
      <c r="L111" s="581"/>
      <c r="M111" s="201" t="e">
        <f>RANK(K111, K$87:$K$101)</f>
        <v>#VALUE!</v>
      </c>
      <c r="N111" s="564"/>
      <c r="O111" s="564"/>
      <c r="P111" s="315"/>
      <c r="Q111" s="315"/>
      <c r="R111" s="315"/>
      <c r="S111" s="325" t="e">
        <f t="shared" si="78"/>
        <v>#N/A</v>
      </c>
      <c r="T111" s="565"/>
      <c r="U111" s="328"/>
      <c r="V111" s="328"/>
      <c r="W111" s="328"/>
      <c r="X111" s="325" t="e">
        <f t="shared" si="79"/>
        <v>#N/A</v>
      </c>
      <c r="Y111" s="565"/>
      <c r="Z111" s="328"/>
      <c r="AA111" s="328"/>
      <c r="AB111" s="328"/>
      <c r="AC111" s="325" t="e">
        <f t="shared" si="80"/>
        <v>#N/A</v>
      </c>
      <c r="AD111" s="565"/>
      <c r="AE111" s="328"/>
      <c r="AF111" s="328"/>
      <c r="AG111" s="328"/>
      <c r="AH111" s="325" t="e">
        <f t="shared" si="81"/>
        <v>#N/A</v>
      </c>
      <c r="AI111" s="565"/>
      <c r="AJ111" s="328"/>
      <c r="AK111" s="328"/>
      <c r="AL111" s="328"/>
      <c r="AM111" s="325" t="e">
        <f t="shared" si="82"/>
        <v>#N/A</v>
      </c>
      <c r="AN111" s="565"/>
      <c r="AO111" s="328"/>
      <c r="AP111" s="328"/>
      <c r="AQ111" s="328"/>
      <c r="AR111" s="325" t="e">
        <f t="shared" si="83"/>
        <v>#N/A</v>
      </c>
      <c r="AS111" s="565"/>
      <c r="AT111" s="328"/>
      <c r="AU111" s="328"/>
      <c r="AV111" s="328"/>
      <c r="AW111" s="325" t="e">
        <f t="shared" si="84"/>
        <v>#N/A</v>
      </c>
      <c r="AX111" s="565"/>
      <c r="AZ111" s="407" t="e">
        <f t="shared" si="85"/>
        <v>#N/A</v>
      </c>
      <c r="BA111" s="565"/>
    </row>
    <row r="112" spans="2:53">
      <c r="B112" s="570"/>
      <c r="C112" s="315">
        <v>6</v>
      </c>
      <c r="D112" s="226"/>
      <c r="E112" s="182"/>
      <c r="F112" s="315"/>
      <c r="G112" s="318"/>
      <c r="H112" s="628"/>
      <c r="I112" s="400" t="str">
        <f t="shared" si="75"/>
        <v>-</v>
      </c>
      <c r="J112" s="400" t="str">
        <f t="shared" si="76"/>
        <v>-</v>
      </c>
      <c r="K112" s="200" t="str">
        <f t="shared" si="77"/>
        <v>-</v>
      </c>
      <c r="L112" s="581"/>
      <c r="M112" s="201" t="e">
        <f>RANK(K112, K$87:$K$101)</f>
        <v>#VALUE!</v>
      </c>
      <c r="N112" s="564"/>
      <c r="O112" s="564"/>
      <c r="P112" s="315"/>
      <c r="Q112" s="315"/>
      <c r="R112" s="315"/>
      <c r="S112" s="325" t="e">
        <f t="shared" si="78"/>
        <v>#N/A</v>
      </c>
      <c r="T112" s="565"/>
      <c r="U112" s="328"/>
      <c r="V112" s="328"/>
      <c r="W112" s="328"/>
      <c r="X112" s="325" t="e">
        <f t="shared" si="79"/>
        <v>#N/A</v>
      </c>
      <c r="Y112" s="565"/>
      <c r="Z112" s="328"/>
      <c r="AA112" s="328"/>
      <c r="AB112" s="328"/>
      <c r="AC112" s="325" t="e">
        <f t="shared" si="80"/>
        <v>#N/A</v>
      </c>
      <c r="AD112" s="565"/>
      <c r="AE112" s="328"/>
      <c r="AF112" s="328"/>
      <c r="AG112" s="328"/>
      <c r="AH112" s="325" t="e">
        <f t="shared" si="81"/>
        <v>#N/A</v>
      </c>
      <c r="AI112" s="565"/>
      <c r="AJ112" s="328"/>
      <c r="AK112" s="328"/>
      <c r="AL112" s="328"/>
      <c r="AM112" s="325" t="e">
        <f t="shared" si="82"/>
        <v>#N/A</v>
      </c>
      <c r="AN112" s="565"/>
      <c r="AO112" s="328"/>
      <c r="AP112" s="328"/>
      <c r="AQ112" s="328"/>
      <c r="AR112" s="325" t="e">
        <f t="shared" si="83"/>
        <v>#N/A</v>
      </c>
      <c r="AS112" s="565"/>
      <c r="AT112" s="328"/>
      <c r="AU112" s="328"/>
      <c r="AV112" s="328"/>
      <c r="AW112" s="325" t="e">
        <f t="shared" si="84"/>
        <v>#N/A</v>
      </c>
      <c r="AX112" s="565"/>
      <c r="AZ112" s="407" t="e">
        <f t="shared" si="85"/>
        <v>#N/A</v>
      </c>
      <c r="BA112" s="565"/>
    </row>
    <row r="113" spans="2:53">
      <c r="B113" s="570"/>
      <c r="C113" s="315">
        <v>7</v>
      </c>
      <c r="D113" s="226"/>
      <c r="E113" s="182"/>
      <c r="F113" s="315"/>
      <c r="G113" s="318"/>
      <c r="H113" s="628"/>
      <c r="I113" s="400" t="str">
        <f t="shared" si="75"/>
        <v>-</v>
      </c>
      <c r="J113" s="400" t="str">
        <f t="shared" si="76"/>
        <v>-</v>
      </c>
      <c r="K113" s="200" t="str">
        <f t="shared" si="77"/>
        <v>-</v>
      </c>
      <c r="L113" s="581"/>
      <c r="M113" s="201" t="e">
        <f>RANK(K113, K$87:$K$101)</f>
        <v>#VALUE!</v>
      </c>
      <c r="N113" s="564"/>
      <c r="O113" s="564"/>
      <c r="P113" s="315"/>
      <c r="Q113" s="315"/>
      <c r="R113" s="315"/>
      <c r="S113" s="325" t="e">
        <f t="shared" si="78"/>
        <v>#N/A</v>
      </c>
      <c r="T113" s="565"/>
      <c r="U113" s="328"/>
      <c r="V113" s="328"/>
      <c r="W113" s="328"/>
      <c r="X113" s="325" t="e">
        <f t="shared" si="79"/>
        <v>#N/A</v>
      </c>
      <c r="Y113" s="565"/>
      <c r="Z113" s="328"/>
      <c r="AA113" s="328"/>
      <c r="AB113" s="328"/>
      <c r="AC113" s="325" t="e">
        <f t="shared" si="80"/>
        <v>#N/A</v>
      </c>
      <c r="AD113" s="565"/>
      <c r="AE113" s="328"/>
      <c r="AF113" s="328"/>
      <c r="AG113" s="328"/>
      <c r="AH113" s="325" t="e">
        <f t="shared" si="81"/>
        <v>#N/A</v>
      </c>
      <c r="AI113" s="565"/>
      <c r="AJ113" s="328"/>
      <c r="AK113" s="328"/>
      <c r="AL113" s="328"/>
      <c r="AM113" s="325" t="e">
        <f t="shared" si="82"/>
        <v>#N/A</v>
      </c>
      <c r="AN113" s="565"/>
      <c r="AO113" s="328"/>
      <c r="AP113" s="328"/>
      <c r="AQ113" s="328"/>
      <c r="AR113" s="325" t="e">
        <f t="shared" si="83"/>
        <v>#N/A</v>
      </c>
      <c r="AS113" s="565"/>
      <c r="AT113" s="328"/>
      <c r="AU113" s="328"/>
      <c r="AV113" s="328"/>
      <c r="AW113" s="325" t="e">
        <f t="shared" si="84"/>
        <v>#N/A</v>
      </c>
      <c r="AX113" s="565"/>
      <c r="AZ113" s="407" t="e">
        <f t="shared" si="85"/>
        <v>#N/A</v>
      </c>
      <c r="BA113" s="565"/>
    </row>
    <row r="114" spans="2:53">
      <c r="B114" s="570"/>
      <c r="C114" s="315">
        <v>8</v>
      </c>
      <c r="D114" s="226"/>
      <c r="E114" s="182"/>
      <c r="F114" s="315"/>
      <c r="G114" s="318"/>
      <c r="H114" s="628"/>
      <c r="I114" s="400" t="str">
        <f t="shared" si="75"/>
        <v>-</v>
      </c>
      <c r="J114" s="400" t="str">
        <f t="shared" si="76"/>
        <v>-</v>
      </c>
      <c r="K114" s="200" t="str">
        <f t="shared" si="77"/>
        <v>-</v>
      </c>
      <c r="L114" s="581"/>
      <c r="M114" s="201" t="e">
        <f>RANK(K114, K$87:$K$101)</f>
        <v>#VALUE!</v>
      </c>
      <c r="N114" s="564"/>
      <c r="O114" s="564"/>
      <c r="P114" s="315"/>
      <c r="Q114" s="315"/>
      <c r="R114" s="315"/>
      <c r="S114" s="325" t="e">
        <f t="shared" si="78"/>
        <v>#N/A</v>
      </c>
      <c r="T114" s="565"/>
      <c r="U114" s="328"/>
      <c r="V114" s="328"/>
      <c r="W114" s="328"/>
      <c r="X114" s="325" t="e">
        <f t="shared" si="79"/>
        <v>#N/A</v>
      </c>
      <c r="Y114" s="565"/>
      <c r="Z114" s="328"/>
      <c r="AA114" s="328"/>
      <c r="AB114" s="328"/>
      <c r="AC114" s="325" t="e">
        <f t="shared" si="80"/>
        <v>#N/A</v>
      </c>
      <c r="AD114" s="565"/>
      <c r="AE114" s="328"/>
      <c r="AF114" s="328"/>
      <c r="AG114" s="328"/>
      <c r="AH114" s="325" t="e">
        <f t="shared" si="81"/>
        <v>#N/A</v>
      </c>
      <c r="AI114" s="565"/>
      <c r="AJ114" s="328"/>
      <c r="AK114" s="328"/>
      <c r="AL114" s="328"/>
      <c r="AM114" s="325" t="e">
        <f t="shared" si="82"/>
        <v>#N/A</v>
      </c>
      <c r="AN114" s="565"/>
      <c r="AO114" s="328"/>
      <c r="AP114" s="328"/>
      <c r="AQ114" s="328"/>
      <c r="AR114" s="325" t="e">
        <f t="shared" si="83"/>
        <v>#N/A</v>
      </c>
      <c r="AS114" s="565"/>
      <c r="AT114" s="328"/>
      <c r="AU114" s="328"/>
      <c r="AV114" s="328"/>
      <c r="AW114" s="325" t="e">
        <f t="shared" si="84"/>
        <v>#N/A</v>
      </c>
      <c r="AX114" s="565"/>
      <c r="AZ114" s="407" t="e">
        <f t="shared" si="85"/>
        <v>#N/A</v>
      </c>
      <c r="BA114" s="565"/>
    </row>
    <row r="115" spans="2:53">
      <c r="B115" s="570"/>
      <c r="C115" s="315">
        <v>9</v>
      </c>
      <c r="D115" s="226"/>
      <c r="E115" s="182"/>
      <c r="F115" s="315"/>
      <c r="G115" s="318"/>
      <c r="H115" s="628"/>
      <c r="I115" s="400" t="str">
        <f t="shared" si="75"/>
        <v>-</v>
      </c>
      <c r="J115" s="400" t="str">
        <f t="shared" si="76"/>
        <v>-</v>
      </c>
      <c r="K115" s="200" t="str">
        <f t="shared" si="77"/>
        <v>-</v>
      </c>
      <c r="L115" s="581"/>
      <c r="M115" s="201" t="e">
        <f>RANK(K115, K$87:$K$101)</f>
        <v>#VALUE!</v>
      </c>
      <c r="N115" s="564"/>
      <c r="O115" s="564"/>
      <c r="P115" s="315"/>
      <c r="Q115" s="315"/>
      <c r="R115" s="315"/>
      <c r="S115" s="325" t="e">
        <f t="shared" si="78"/>
        <v>#N/A</v>
      </c>
      <c r="T115" s="565"/>
      <c r="U115" s="328"/>
      <c r="V115" s="328"/>
      <c r="W115" s="328"/>
      <c r="X115" s="325" t="e">
        <f t="shared" si="79"/>
        <v>#N/A</v>
      </c>
      <c r="Y115" s="565"/>
      <c r="Z115" s="328"/>
      <c r="AA115" s="328"/>
      <c r="AB115" s="328"/>
      <c r="AC115" s="325" t="e">
        <f t="shared" si="80"/>
        <v>#N/A</v>
      </c>
      <c r="AD115" s="565"/>
      <c r="AE115" s="328"/>
      <c r="AF115" s="328"/>
      <c r="AG115" s="328"/>
      <c r="AH115" s="325" t="e">
        <f t="shared" si="81"/>
        <v>#N/A</v>
      </c>
      <c r="AI115" s="565"/>
      <c r="AJ115" s="328"/>
      <c r="AK115" s="328"/>
      <c r="AL115" s="328"/>
      <c r="AM115" s="325" t="e">
        <f t="shared" si="82"/>
        <v>#N/A</v>
      </c>
      <c r="AN115" s="565"/>
      <c r="AO115" s="328"/>
      <c r="AP115" s="328"/>
      <c r="AQ115" s="328"/>
      <c r="AR115" s="325" t="e">
        <f t="shared" si="83"/>
        <v>#N/A</v>
      </c>
      <c r="AS115" s="565"/>
      <c r="AT115" s="328"/>
      <c r="AU115" s="328"/>
      <c r="AV115" s="328"/>
      <c r="AW115" s="325" t="e">
        <f t="shared" si="84"/>
        <v>#N/A</v>
      </c>
      <c r="AX115" s="565"/>
      <c r="AZ115" s="407" t="e">
        <f t="shared" si="85"/>
        <v>#N/A</v>
      </c>
      <c r="BA115" s="565"/>
    </row>
    <row r="116" spans="2:53">
      <c r="B116" s="570"/>
      <c r="C116" s="315">
        <v>10</v>
      </c>
      <c r="D116" s="226"/>
      <c r="E116" s="182"/>
      <c r="F116" s="315"/>
      <c r="G116" s="318"/>
      <c r="H116" s="628"/>
      <c r="I116" s="400" t="str">
        <f t="shared" si="75"/>
        <v>-</v>
      </c>
      <c r="J116" s="400" t="str">
        <f t="shared" si="76"/>
        <v>-</v>
      </c>
      <c r="K116" s="200" t="str">
        <f t="shared" si="77"/>
        <v>-</v>
      </c>
      <c r="L116" s="581"/>
      <c r="M116" s="201" t="e">
        <f>RANK(K116, K$87:$K$101)</f>
        <v>#VALUE!</v>
      </c>
      <c r="N116" s="564"/>
      <c r="O116" s="564"/>
      <c r="P116" s="315"/>
      <c r="Q116" s="315"/>
      <c r="R116" s="315"/>
      <c r="S116" s="325" t="e">
        <f t="shared" si="78"/>
        <v>#N/A</v>
      </c>
      <c r="T116" s="565"/>
      <c r="U116" s="328"/>
      <c r="V116" s="328"/>
      <c r="W116" s="328"/>
      <c r="X116" s="325" t="e">
        <f t="shared" si="79"/>
        <v>#N/A</v>
      </c>
      <c r="Y116" s="565"/>
      <c r="Z116" s="328"/>
      <c r="AA116" s="328"/>
      <c r="AB116" s="328"/>
      <c r="AC116" s="325" t="e">
        <f t="shared" si="80"/>
        <v>#N/A</v>
      </c>
      <c r="AD116" s="565"/>
      <c r="AE116" s="328"/>
      <c r="AF116" s="328"/>
      <c r="AG116" s="328"/>
      <c r="AH116" s="325" t="e">
        <f t="shared" si="81"/>
        <v>#N/A</v>
      </c>
      <c r="AI116" s="565"/>
      <c r="AJ116" s="328"/>
      <c r="AK116" s="328"/>
      <c r="AL116" s="328"/>
      <c r="AM116" s="325" t="e">
        <f t="shared" si="82"/>
        <v>#N/A</v>
      </c>
      <c r="AN116" s="565"/>
      <c r="AO116" s="328"/>
      <c r="AP116" s="328"/>
      <c r="AQ116" s="328"/>
      <c r="AR116" s="325" t="e">
        <f t="shared" si="83"/>
        <v>#N/A</v>
      </c>
      <c r="AS116" s="565"/>
      <c r="AT116" s="328"/>
      <c r="AU116" s="328"/>
      <c r="AV116" s="328"/>
      <c r="AW116" s="325" t="e">
        <f t="shared" si="84"/>
        <v>#N/A</v>
      </c>
      <c r="AX116" s="565"/>
      <c r="AZ116" s="407" t="e">
        <f t="shared" si="85"/>
        <v>#N/A</v>
      </c>
      <c r="BA116" s="565"/>
    </row>
    <row r="117" spans="2:53">
      <c r="B117" s="570"/>
      <c r="C117" s="315">
        <v>11</v>
      </c>
      <c r="D117" s="226"/>
      <c r="E117" s="182"/>
      <c r="F117" s="315"/>
      <c r="G117" s="318"/>
      <c r="H117" s="628"/>
      <c r="I117" s="400" t="str">
        <f t="shared" si="75"/>
        <v>-</v>
      </c>
      <c r="J117" s="400" t="str">
        <f t="shared" si="76"/>
        <v>-</v>
      </c>
      <c r="K117" s="200" t="str">
        <f t="shared" si="77"/>
        <v>-</v>
      </c>
      <c r="L117" s="581"/>
      <c r="M117" s="201" t="e">
        <f>RANK(K117, K$87:$K$101)</f>
        <v>#VALUE!</v>
      </c>
      <c r="N117" s="564"/>
      <c r="O117" s="564"/>
      <c r="P117" s="315"/>
      <c r="Q117" s="315"/>
      <c r="R117" s="315"/>
      <c r="S117" s="325" t="e">
        <f t="shared" si="78"/>
        <v>#N/A</v>
      </c>
      <c r="T117" s="565"/>
      <c r="U117" s="328"/>
      <c r="V117" s="328"/>
      <c r="W117" s="328"/>
      <c r="X117" s="325" t="e">
        <f t="shared" si="79"/>
        <v>#N/A</v>
      </c>
      <c r="Y117" s="565"/>
      <c r="Z117" s="328"/>
      <c r="AA117" s="328"/>
      <c r="AB117" s="328"/>
      <c r="AC117" s="325" t="e">
        <f t="shared" si="80"/>
        <v>#N/A</v>
      </c>
      <c r="AD117" s="565"/>
      <c r="AE117" s="328"/>
      <c r="AF117" s="328"/>
      <c r="AG117" s="328"/>
      <c r="AH117" s="325" t="e">
        <f t="shared" si="81"/>
        <v>#N/A</v>
      </c>
      <c r="AI117" s="565"/>
      <c r="AJ117" s="328"/>
      <c r="AK117" s="328"/>
      <c r="AL117" s="328"/>
      <c r="AM117" s="325" t="e">
        <f t="shared" si="82"/>
        <v>#N/A</v>
      </c>
      <c r="AN117" s="565"/>
      <c r="AO117" s="328"/>
      <c r="AP117" s="328"/>
      <c r="AQ117" s="328"/>
      <c r="AR117" s="325" t="e">
        <f t="shared" si="83"/>
        <v>#N/A</v>
      </c>
      <c r="AS117" s="565"/>
      <c r="AT117" s="328"/>
      <c r="AU117" s="328"/>
      <c r="AV117" s="328"/>
      <c r="AW117" s="325" t="e">
        <f t="shared" si="84"/>
        <v>#N/A</v>
      </c>
      <c r="AX117" s="565"/>
      <c r="AZ117" s="407" t="e">
        <f t="shared" si="85"/>
        <v>#N/A</v>
      </c>
      <c r="BA117" s="565"/>
    </row>
    <row r="118" spans="2:53">
      <c r="B118" s="570"/>
      <c r="C118" s="315">
        <v>12</v>
      </c>
      <c r="D118" s="226"/>
      <c r="E118" s="182"/>
      <c r="F118" s="315"/>
      <c r="G118" s="318"/>
      <c r="H118" s="628"/>
      <c r="I118" s="400" t="str">
        <f t="shared" si="75"/>
        <v>-</v>
      </c>
      <c r="J118" s="400" t="str">
        <f t="shared" si="76"/>
        <v>-</v>
      </c>
      <c r="K118" s="200" t="str">
        <f t="shared" si="77"/>
        <v>-</v>
      </c>
      <c r="L118" s="581"/>
      <c r="M118" s="201" t="e">
        <f>RANK(K118, K$87:$K$101)</f>
        <v>#VALUE!</v>
      </c>
      <c r="N118" s="564"/>
      <c r="O118" s="564"/>
      <c r="P118" s="315"/>
      <c r="Q118" s="315"/>
      <c r="R118" s="315"/>
      <c r="S118" s="325" t="e">
        <f t="shared" si="78"/>
        <v>#N/A</v>
      </c>
      <c r="T118" s="565"/>
      <c r="U118" s="328"/>
      <c r="V118" s="328"/>
      <c r="W118" s="328"/>
      <c r="X118" s="325" t="e">
        <f t="shared" si="79"/>
        <v>#N/A</v>
      </c>
      <c r="Y118" s="565"/>
      <c r="Z118" s="328"/>
      <c r="AA118" s="328"/>
      <c r="AB118" s="328"/>
      <c r="AC118" s="325" t="e">
        <f t="shared" si="80"/>
        <v>#N/A</v>
      </c>
      <c r="AD118" s="565"/>
      <c r="AE118" s="328"/>
      <c r="AF118" s="328"/>
      <c r="AG118" s="328"/>
      <c r="AH118" s="325" t="e">
        <f t="shared" si="81"/>
        <v>#N/A</v>
      </c>
      <c r="AI118" s="565"/>
      <c r="AJ118" s="328"/>
      <c r="AK118" s="328"/>
      <c r="AL118" s="328"/>
      <c r="AM118" s="325" t="e">
        <f t="shared" si="82"/>
        <v>#N/A</v>
      </c>
      <c r="AN118" s="565"/>
      <c r="AO118" s="328"/>
      <c r="AP118" s="328"/>
      <c r="AQ118" s="328"/>
      <c r="AR118" s="325" t="e">
        <f t="shared" si="83"/>
        <v>#N/A</v>
      </c>
      <c r="AS118" s="565"/>
      <c r="AT118" s="328"/>
      <c r="AU118" s="328"/>
      <c r="AV118" s="328"/>
      <c r="AW118" s="325" t="e">
        <f t="shared" si="84"/>
        <v>#N/A</v>
      </c>
      <c r="AX118" s="565"/>
      <c r="AZ118" s="407" t="e">
        <f t="shared" si="85"/>
        <v>#N/A</v>
      </c>
      <c r="BA118" s="565"/>
    </row>
    <row r="119" spans="2:53">
      <c r="B119" s="570"/>
      <c r="C119" s="315">
        <v>13</v>
      </c>
      <c r="D119" s="226"/>
      <c r="E119" s="182"/>
      <c r="F119" s="315"/>
      <c r="G119" s="318"/>
      <c r="H119" s="628"/>
      <c r="I119" s="400" t="str">
        <f t="shared" si="75"/>
        <v>-</v>
      </c>
      <c r="J119" s="400" t="str">
        <f t="shared" si="76"/>
        <v>-</v>
      </c>
      <c r="K119" s="200" t="str">
        <f t="shared" si="77"/>
        <v>-</v>
      </c>
      <c r="L119" s="581"/>
      <c r="M119" s="201" t="e">
        <f>RANK(K119, K$87:$K$101)</f>
        <v>#VALUE!</v>
      </c>
      <c r="N119" s="564"/>
      <c r="O119" s="564"/>
      <c r="P119" s="315"/>
      <c r="Q119" s="315"/>
      <c r="R119" s="315"/>
      <c r="S119" s="325" t="e">
        <f t="shared" si="78"/>
        <v>#N/A</v>
      </c>
      <c r="T119" s="565"/>
      <c r="U119" s="328"/>
      <c r="V119" s="328"/>
      <c r="W119" s="328"/>
      <c r="X119" s="325" t="e">
        <f t="shared" si="79"/>
        <v>#N/A</v>
      </c>
      <c r="Y119" s="565"/>
      <c r="Z119" s="328"/>
      <c r="AA119" s="328"/>
      <c r="AB119" s="328"/>
      <c r="AC119" s="325" t="e">
        <f t="shared" si="80"/>
        <v>#N/A</v>
      </c>
      <c r="AD119" s="565"/>
      <c r="AE119" s="328"/>
      <c r="AF119" s="328"/>
      <c r="AG119" s="328"/>
      <c r="AH119" s="325" t="e">
        <f t="shared" si="81"/>
        <v>#N/A</v>
      </c>
      <c r="AI119" s="565"/>
      <c r="AJ119" s="328"/>
      <c r="AK119" s="328"/>
      <c r="AL119" s="328"/>
      <c r="AM119" s="325" t="e">
        <f t="shared" si="82"/>
        <v>#N/A</v>
      </c>
      <c r="AN119" s="565"/>
      <c r="AO119" s="328"/>
      <c r="AP119" s="328"/>
      <c r="AQ119" s="328"/>
      <c r="AR119" s="325" t="e">
        <f t="shared" si="83"/>
        <v>#N/A</v>
      </c>
      <c r="AS119" s="565"/>
      <c r="AT119" s="328"/>
      <c r="AU119" s="328"/>
      <c r="AV119" s="328"/>
      <c r="AW119" s="325" t="e">
        <f t="shared" si="84"/>
        <v>#N/A</v>
      </c>
      <c r="AX119" s="565"/>
      <c r="AZ119" s="407" t="e">
        <f t="shared" si="85"/>
        <v>#N/A</v>
      </c>
      <c r="BA119" s="565"/>
    </row>
    <row r="120" spans="2:53">
      <c r="B120" s="570"/>
      <c r="C120" s="315">
        <v>14</v>
      </c>
      <c r="D120" s="226"/>
      <c r="E120" s="182"/>
      <c r="F120" s="315"/>
      <c r="G120" s="318"/>
      <c r="H120" s="628"/>
      <c r="I120" s="400" t="str">
        <f t="shared" si="75"/>
        <v>-</v>
      </c>
      <c r="J120" s="400" t="str">
        <f t="shared" si="76"/>
        <v>-</v>
      </c>
      <c r="K120" s="200" t="str">
        <f t="shared" si="77"/>
        <v>-</v>
      </c>
      <c r="L120" s="581"/>
      <c r="M120" s="201" t="e">
        <f>RANK(K120, K$87:$K$101)</f>
        <v>#VALUE!</v>
      </c>
      <c r="N120" s="564"/>
      <c r="O120" s="564"/>
      <c r="P120" s="315"/>
      <c r="Q120" s="315"/>
      <c r="R120" s="315"/>
      <c r="S120" s="325" t="e">
        <f t="shared" si="78"/>
        <v>#N/A</v>
      </c>
      <c r="T120" s="565"/>
      <c r="U120" s="328"/>
      <c r="V120" s="328"/>
      <c r="W120" s="328"/>
      <c r="X120" s="325" t="e">
        <f t="shared" si="79"/>
        <v>#N/A</v>
      </c>
      <c r="Y120" s="565"/>
      <c r="Z120" s="328"/>
      <c r="AA120" s="328"/>
      <c r="AB120" s="328"/>
      <c r="AC120" s="325" t="e">
        <f t="shared" si="80"/>
        <v>#N/A</v>
      </c>
      <c r="AD120" s="565"/>
      <c r="AE120" s="328"/>
      <c r="AF120" s="328"/>
      <c r="AG120" s="328"/>
      <c r="AH120" s="325" t="e">
        <f t="shared" si="81"/>
        <v>#N/A</v>
      </c>
      <c r="AI120" s="565"/>
      <c r="AJ120" s="328"/>
      <c r="AK120" s="328"/>
      <c r="AL120" s="328"/>
      <c r="AM120" s="325" t="e">
        <f t="shared" si="82"/>
        <v>#N/A</v>
      </c>
      <c r="AN120" s="565"/>
      <c r="AO120" s="328"/>
      <c r="AP120" s="328"/>
      <c r="AQ120" s="328"/>
      <c r="AR120" s="325" t="e">
        <f t="shared" si="83"/>
        <v>#N/A</v>
      </c>
      <c r="AS120" s="565"/>
      <c r="AT120" s="328"/>
      <c r="AU120" s="328"/>
      <c r="AV120" s="328"/>
      <c r="AW120" s="325" t="e">
        <f t="shared" si="84"/>
        <v>#N/A</v>
      </c>
      <c r="AX120" s="565"/>
      <c r="AZ120" s="407" t="e">
        <f t="shared" si="85"/>
        <v>#N/A</v>
      </c>
      <c r="BA120" s="565"/>
    </row>
    <row r="121" spans="2:53">
      <c r="B121" s="570"/>
      <c r="C121" s="315">
        <v>15</v>
      </c>
      <c r="D121" s="226"/>
      <c r="E121" s="182"/>
      <c r="F121" s="315"/>
      <c r="G121" s="318"/>
      <c r="H121" s="629"/>
      <c r="I121" s="202"/>
      <c r="J121" s="202"/>
      <c r="K121" s="202"/>
      <c r="L121" s="582"/>
      <c r="M121" s="199" t="e">
        <f>RANK(K121, K$87:$K$101)</f>
        <v>#N/A</v>
      </c>
      <c r="N121" s="564"/>
      <c r="O121" s="564"/>
      <c r="P121" s="315"/>
      <c r="Q121" s="315"/>
      <c r="R121" s="315"/>
      <c r="S121" s="325" t="e">
        <f t="shared" si="78"/>
        <v>#N/A</v>
      </c>
      <c r="T121" s="565"/>
      <c r="U121" s="328"/>
      <c r="V121" s="328"/>
      <c r="W121" s="328"/>
      <c r="X121" s="325" t="e">
        <f t="shared" si="79"/>
        <v>#N/A</v>
      </c>
      <c r="Y121" s="565"/>
      <c r="Z121" s="328"/>
      <c r="AA121" s="328"/>
      <c r="AB121" s="328"/>
      <c r="AC121" s="325" t="e">
        <f t="shared" si="80"/>
        <v>#N/A</v>
      </c>
      <c r="AD121" s="565"/>
      <c r="AE121" s="328"/>
      <c r="AF121" s="328"/>
      <c r="AG121" s="328"/>
      <c r="AH121" s="325" t="e">
        <f t="shared" si="81"/>
        <v>#N/A</v>
      </c>
      <c r="AI121" s="565"/>
      <c r="AJ121" s="328"/>
      <c r="AK121" s="328"/>
      <c r="AL121" s="328"/>
      <c r="AM121" s="325" t="e">
        <f t="shared" si="82"/>
        <v>#N/A</v>
      </c>
      <c r="AN121" s="565"/>
      <c r="AO121" s="328"/>
      <c r="AP121" s="328"/>
      <c r="AQ121" s="328"/>
      <c r="AR121" s="325" t="e">
        <f t="shared" si="83"/>
        <v>#N/A</v>
      </c>
      <c r="AS121" s="565"/>
      <c r="AT121" s="328"/>
      <c r="AU121" s="328"/>
      <c r="AV121" s="328"/>
      <c r="AW121" s="325" t="e">
        <f t="shared" si="84"/>
        <v>#N/A</v>
      </c>
      <c r="AX121" s="565"/>
      <c r="AZ121" s="407" t="e">
        <f t="shared" si="85"/>
        <v>#N/A</v>
      </c>
      <c r="BA121" s="565"/>
    </row>
    <row r="123" spans="2:53" ht="15.75">
      <c r="B123" s="573" t="s">
        <v>487</v>
      </c>
      <c r="C123" s="574"/>
      <c r="D123" s="574"/>
      <c r="E123" s="574"/>
      <c r="F123" s="574"/>
      <c r="G123" s="574"/>
      <c r="H123" s="575"/>
      <c r="I123" s="319"/>
      <c r="J123" s="319"/>
      <c r="K123" s="319"/>
      <c r="L123" s="319"/>
      <c r="M123" s="320"/>
    </row>
    <row r="124" spans="2:53" ht="15.75">
      <c r="B124" s="576"/>
      <c r="C124" s="576"/>
      <c r="D124" s="576"/>
      <c r="E124" s="576"/>
      <c r="F124" s="576"/>
      <c r="G124" s="576"/>
      <c r="H124" s="576"/>
      <c r="I124" s="321"/>
      <c r="J124" s="321"/>
      <c r="K124" s="321"/>
      <c r="L124" s="321"/>
      <c r="M124" s="322"/>
    </row>
    <row r="125" spans="2:53">
      <c r="B125" s="564" t="s">
        <v>488</v>
      </c>
      <c r="C125" s="564" t="s">
        <v>489</v>
      </c>
      <c r="D125" s="564"/>
      <c r="E125" s="564" t="s">
        <v>490</v>
      </c>
      <c r="F125" s="564"/>
      <c r="G125" s="564"/>
      <c r="H125" s="597" t="s">
        <v>491</v>
      </c>
      <c r="I125" s="577" t="s">
        <v>492</v>
      </c>
      <c r="J125" s="577"/>
      <c r="K125" s="577"/>
      <c r="L125" s="633" t="s">
        <v>491</v>
      </c>
      <c r="M125" s="636" t="s">
        <v>493</v>
      </c>
    </row>
    <row r="126" spans="2:53">
      <c r="B126" s="564"/>
      <c r="C126" s="564"/>
      <c r="D126" s="564"/>
      <c r="E126" s="564" t="s">
        <v>494</v>
      </c>
      <c r="F126" s="564"/>
      <c r="G126" s="564"/>
      <c r="H126" s="598"/>
      <c r="I126" s="577" t="s">
        <v>494</v>
      </c>
      <c r="J126" s="577"/>
      <c r="K126" s="577"/>
      <c r="L126" s="634"/>
      <c r="M126" s="637"/>
    </row>
    <row r="127" spans="2:53">
      <c r="B127" s="564"/>
      <c r="C127" s="564"/>
      <c r="D127" s="564"/>
      <c r="E127" s="316" t="s">
        <v>495</v>
      </c>
      <c r="F127" s="316" t="s">
        <v>496</v>
      </c>
      <c r="G127" s="316" t="s">
        <v>497</v>
      </c>
      <c r="H127" s="599"/>
      <c r="I127" s="323" t="s">
        <v>495</v>
      </c>
      <c r="J127" s="323" t="s">
        <v>496</v>
      </c>
      <c r="K127" s="323" t="s">
        <v>497</v>
      </c>
      <c r="L127" s="635"/>
      <c r="M127" s="638"/>
    </row>
    <row r="128" spans="2:53">
      <c r="B128" s="564" t="s">
        <v>501</v>
      </c>
      <c r="C128" s="315">
        <v>1</v>
      </c>
      <c r="D128" s="226"/>
      <c r="E128" s="182"/>
      <c r="F128" s="315"/>
      <c r="G128" s="318"/>
      <c r="H128" s="627" t="e">
        <f>AVERAGE(G128:G142)</f>
        <v>#DIV/0!</v>
      </c>
      <c r="I128" s="199" t="e">
        <f t="shared" ref="I128:J128" si="86">AVERAGEIF($D$7:$D$121,$D128,I$7:I$121)</f>
        <v>#DIV/0!</v>
      </c>
      <c r="J128" s="199" t="e">
        <f t="shared" si="86"/>
        <v>#DIV/0!</v>
      </c>
      <c r="K128" s="199" t="e">
        <f>AVERAGEIF($D$7:$D$121,$D128,K$7:K$121)</f>
        <v>#DIV/0!</v>
      </c>
      <c r="L128" s="630" t="e">
        <f>AVERAGE(K128:K142)</f>
        <v>#DIV/0!</v>
      </c>
      <c r="M128" s="199" t="e">
        <f>RANK(K128, K$128:$K$142)</f>
        <v>#DIV/0!</v>
      </c>
    </row>
    <row r="129" spans="2:39">
      <c r="B129" s="570"/>
      <c r="C129" s="315">
        <v>2</v>
      </c>
      <c r="D129" s="226"/>
      <c r="E129" s="182"/>
      <c r="F129" s="315"/>
      <c r="G129" s="318"/>
      <c r="H129" s="628"/>
      <c r="I129" s="199"/>
      <c r="J129" s="199"/>
      <c r="K129" s="199"/>
      <c r="L129" s="631"/>
      <c r="M129" s="199" t="e">
        <f>RANK(K129, K$128:$K$142)</f>
        <v>#DIV/0!</v>
      </c>
      <c r="N129" s="108"/>
      <c r="O129" s="108"/>
      <c r="P129" s="108"/>
      <c r="Q129" s="108"/>
      <c r="R129" s="108"/>
      <c r="S129" s="108"/>
      <c r="T129" s="108"/>
      <c r="X129" s="108"/>
      <c r="AC129" s="108"/>
      <c r="AH129" s="108"/>
      <c r="AM129" s="108"/>
    </row>
    <row r="130" spans="2:39">
      <c r="B130" s="570"/>
      <c r="C130" s="315">
        <v>3</v>
      </c>
      <c r="D130" s="226"/>
      <c r="E130" s="182"/>
      <c r="F130" s="315"/>
      <c r="G130" s="318"/>
      <c r="H130" s="628"/>
      <c r="I130" s="199"/>
      <c r="J130" s="199"/>
      <c r="K130" s="199"/>
      <c r="L130" s="631"/>
      <c r="M130" s="199" t="e">
        <f>RANK(K130, K$128:$K$142)</f>
        <v>#DIV/0!</v>
      </c>
      <c r="N130" s="108"/>
      <c r="O130" s="108"/>
      <c r="P130" s="108"/>
      <c r="Q130" s="108"/>
      <c r="R130" s="108"/>
      <c r="S130" s="108"/>
      <c r="T130" s="108"/>
      <c r="X130" s="108"/>
      <c r="AC130" s="108"/>
      <c r="AH130" s="108"/>
      <c r="AM130" s="108"/>
    </row>
    <row r="131" spans="2:39">
      <c r="B131" s="570"/>
      <c r="C131" s="315">
        <v>4</v>
      </c>
      <c r="D131" s="226"/>
      <c r="E131" s="182"/>
      <c r="F131" s="315"/>
      <c r="G131" s="318"/>
      <c r="H131" s="628"/>
      <c r="I131" s="199"/>
      <c r="J131" s="199"/>
      <c r="K131" s="199"/>
      <c r="L131" s="631"/>
      <c r="M131" s="199" t="e">
        <f>RANK(K131, K$128:$K$142)</f>
        <v>#DIV/0!</v>
      </c>
      <c r="N131" s="108"/>
      <c r="O131" s="108"/>
      <c r="P131" s="108"/>
      <c r="Q131" s="108"/>
      <c r="R131" s="108"/>
      <c r="S131" s="108"/>
      <c r="T131" s="108"/>
      <c r="X131" s="108"/>
      <c r="AC131" s="108"/>
      <c r="AH131" s="108"/>
      <c r="AM131" s="108"/>
    </row>
    <row r="132" spans="2:39">
      <c r="B132" s="570"/>
      <c r="C132" s="315">
        <v>5</v>
      </c>
      <c r="D132" s="226"/>
      <c r="E132" s="182"/>
      <c r="F132" s="315"/>
      <c r="G132" s="318"/>
      <c r="H132" s="628"/>
      <c r="I132" s="199"/>
      <c r="J132" s="199"/>
      <c r="K132" s="199"/>
      <c r="L132" s="631"/>
      <c r="M132" s="199" t="e">
        <f>RANK(K132, K$128:$K$142)</f>
        <v>#DIV/0!</v>
      </c>
      <c r="N132" s="108"/>
      <c r="O132" s="108"/>
      <c r="P132" s="108"/>
      <c r="Q132" s="108"/>
      <c r="R132" s="108"/>
      <c r="S132" s="108"/>
      <c r="T132" s="108"/>
      <c r="X132" s="108"/>
      <c r="AC132" s="108"/>
      <c r="AH132" s="108"/>
      <c r="AM132" s="108"/>
    </row>
    <row r="133" spans="2:39">
      <c r="B133" s="570"/>
      <c r="C133" s="315">
        <v>6</v>
      </c>
      <c r="D133" s="324"/>
      <c r="E133" s="182"/>
      <c r="F133" s="315"/>
      <c r="G133" s="318"/>
      <c r="H133" s="628"/>
      <c r="I133" s="199"/>
      <c r="J133" s="199"/>
      <c r="K133" s="199"/>
      <c r="L133" s="631"/>
      <c r="M133" s="199" t="e">
        <f>RANK(K133, K$128:$K$142)</f>
        <v>#DIV/0!</v>
      </c>
      <c r="N133" s="108"/>
      <c r="O133" s="108"/>
      <c r="P133" s="108"/>
      <c r="Q133" s="108"/>
      <c r="R133" s="108"/>
      <c r="S133" s="108"/>
      <c r="T133" s="108"/>
      <c r="X133" s="108"/>
      <c r="AC133" s="108"/>
      <c r="AH133" s="108"/>
      <c r="AM133" s="108"/>
    </row>
    <row r="134" spans="2:39">
      <c r="B134" s="570"/>
      <c r="C134" s="315">
        <v>7</v>
      </c>
      <c r="D134" s="226"/>
      <c r="E134" s="182"/>
      <c r="F134" s="315"/>
      <c r="G134" s="318"/>
      <c r="H134" s="628"/>
      <c r="I134" s="199"/>
      <c r="J134" s="199"/>
      <c r="K134" s="199"/>
      <c r="L134" s="631"/>
      <c r="M134" s="199" t="e">
        <f>RANK(K134, K$128:$K$142)</f>
        <v>#DIV/0!</v>
      </c>
      <c r="N134" s="108"/>
      <c r="O134" s="108"/>
      <c r="P134" s="108"/>
      <c r="Q134" s="108"/>
      <c r="R134" s="108"/>
      <c r="S134" s="108"/>
      <c r="T134" s="108"/>
      <c r="X134" s="108"/>
      <c r="AC134" s="108"/>
      <c r="AH134" s="108"/>
      <c r="AM134" s="108"/>
    </row>
    <row r="135" spans="2:39">
      <c r="B135" s="570"/>
      <c r="C135" s="315">
        <v>8</v>
      </c>
      <c r="D135" s="226"/>
      <c r="E135" s="182"/>
      <c r="F135" s="315"/>
      <c r="G135" s="318"/>
      <c r="H135" s="628"/>
      <c r="I135" s="199"/>
      <c r="J135" s="199"/>
      <c r="K135" s="199"/>
      <c r="L135" s="631"/>
      <c r="M135" s="199" t="e">
        <f>RANK(K135, K$128:$K$142)</f>
        <v>#DIV/0!</v>
      </c>
      <c r="N135" s="108"/>
      <c r="O135" s="108"/>
      <c r="P135" s="108"/>
      <c r="Q135" s="108"/>
      <c r="R135" s="108"/>
      <c r="S135" s="108"/>
      <c r="T135" s="108"/>
      <c r="X135" s="108"/>
      <c r="AC135" s="108"/>
      <c r="AH135" s="108"/>
      <c r="AM135" s="108"/>
    </row>
    <row r="136" spans="2:39">
      <c r="B136" s="570"/>
      <c r="C136" s="315">
        <v>9</v>
      </c>
      <c r="D136" s="226"/>
      <c r="E136" s="315"/>
      <c r="F136" s="315"/>
      <c r="G136" s="315"/>
      <c r="H136" s="628"/>
      <c r="I136" s="199"/>
      <c r="J136" s="199"/>
      <c r="K136" s="199"/>
      <c r="L136" s="631"/>
      <c r="M136" s="199" t="e">
        <f>RANK(K136, K$128:$K$142)</f>
        <v>#DIV/0!</v>
      </c>
      <c r="N136" s="108"/>
      <c r="O136" s="108"/>
      <c r="P136" s="108"/>
      <c r="Q136" s="108"/>
      <c r="R136" s="108"/>
      <c r="S136" s="108"/>
      <c r="T136" s="108"/>
      <c r="X136" s="108"/>
      <c r="AC136" s="108"/>
      <c r="AH136" s="108"/>
      <c r="AM136" s="108"/>
    </row>
    <row r="137" spans="2:39">
      <c r="B137" s="570"/>
      <c r="C137" s="315">
        <v>10</v>
      </c>
      <c r="D137" s="226"/>
      <c r="E137" s="315"/>
      <c r="F137" s="315"/>
      <c r="G137" s="315"/>
      <c r="H137" s="628"/>
      <c r="I137" s="199"/>
      <c r="J137" s="199"/>
      <c r="K137" s="199"/>
      <c r="L137" s="631"/>
      <c r="M137" s="199" t="e">
        <f>RANK(K137, K$128:$K$142)</f>
        <v>#DIV/0!</v>
      </c>
      <c r="N137" s="108"/>
      <c r="O137" s="108"/>
      <c r="P137" s="108"/>
      <c r="Q137" s="108"/>
      <c r="R137" s="108"/>
      <c r="S137" s="108"/>
      <c r="T137" s="108"/>
      <c r="X137" s="108"/>
      <c r="AC137" s="108"/>
      <c r="AH137" s="108"/>
      <c r="AM137" s="108"/>
    </row>
    <row r="138" spans="2:39">
      <c r="B138" s="570"/>
      <c r="C138" s="315">
        <v>11</v>
      </c>
      <c r="D138" s="226"/>
      <c r="E138" s="315"/>
      <c r="F138" s="315"/>
      <c r="G138" s="315"/>
      <c r="H138" s="628"/>
      <c r="I138" s="199"/>
      <c r="J138" s="199"/>
      <c r="K138" s="199"/>
      <c r="L138" s="631"/>
      <c r="M138" s="199" t="e">
        <f>RANK(K138, K$128:$K$142)</f>
        <v>#DIV/0!</v>
      </c>
      <c r="N138" s="108"/>
      <c r="O138" s="108"/>
      <c r="P138" s="108"/>
      <c r="Q138" s="108"/>
      <c r="R138" s="108"/>
      <c r="S138" s="108"/>
      <c r="T138" s="108"/>
      <c r="X138" s="108"/>
      <c r="AC138" s="108"/>
      <c r="AH138" s="108"/>
      <c r="AM138" s="108"/>
    </row>
    <row r="139" spans="2:39">
      <c r="B139" s="570"/>
      <c r="C139" s="315">
        <v>12</v>
      </c>
      <c r="D139" s="226"/>
      <c r="E139" s="315"/>
      <c r="F139" s="315"/>
      <c r="G139" s="315"/>
      <c r="H139" s="628"/>
      <c r="I139" s="199"/>
      <c r="J139" s="199"/>
      <c r="K139" s="199"/>
      <c r="L139" s="631"/>
      <c r="M139" s="199" t="e">
        <f>RANK(K139, K$128:$K$142)</f>
        <v>#DIV/0!</v>
      </c>
      <c r="N139" s="108"/>
      <c r="O139" s="108"/>
      <c r="P139" s="108"/>
      <c r="Q139" s="108"/>
      <c r="R139" s="108"/>
      <c r="S139" s="108"/>
      <c r="T139" s="108"/>
      <c r="X139" s="108"/>
      <c r="AC139" s="108"/>
      <c r="AH139" s="108"/>
      <c r="AM139" s="108"/>
    </row>
    <row r="140" spans="2:39">
      <c r="B140" s="570"/>
      <c r="C140" s="315">
        <v>13</v>
      </c>
      <c r="D140" s="226"/>
      <c r="E140" s="315"/>
      <c r="F140" s="315"/>
      <c r="G140" s="315"/>
      <c r="H140" s="628"/>
      <c r="I140" s="199"/>
      <c r="J140" s="199"/>
      <c r="K140" s="199"/>
      <c r="L140" s="631"/>
      <c r="M140" s="199" t="e">
        <f>RANK(K140, K$128:$K$142)</f>
        <v>#DIV/0!</v>
      </c>
      <c r="N140" s="108"/>
      <c r="O140" s="108"/>
      <c r="P140" s="108"/>
      <c r="Q140" s="108"/>
      <c r="R140" s="108"/>
      <c r="S140" s="108"/>
      <c r="T140" s="108"/>
      <c r="X140" s="108"/>
      <c r="AC140" s="108"/>
      <c r="AH140" s="108"/>
      <c r="AM140" s="108"/>
    </row>
    <row r="141" spans="2:39">
      <c r="B141" s="570"/>
      <c r="C141" s="315">
        <v>14</v>
      </c>
      <c r="D141" s="226"/>
      <c r="E141" s="315"/>
      <c r="F141" s="315"/>
      <c r="G141" s="315"/>
      <c r="H141" s="628"/>
      <c r="I141" s="199"/>
      <c r="J141" s="199"/>
      <c r="K141" s="199"/>
      <c r="L141" s="631"/>
      <c r="M141" s="199" t="e">
        <f>RANK(K141, K$128:$K$142)</f>
        <v>#DIV/0!</v>
      </c>
      <c r="N141" s="108"/>
      <c r="O141" s="108"/>
      <c r="P141" s="108"/>
      <c r="Q141" s="108"/>
      <c r="R141" s="108"/>
      <c r="S141" s="108"/>
      <c r="T141" s="108"/>
      <c r="X141" s="108"/>
      <c r="AC141" s="108"/>
      <c r="AH141" s="108"/>
      <c r="AM141" s="108"/>
    </row>
    <row r="142" spans="2:39">
      <c r="B142" s="570"/>
      <c r="C142" s="315">
        <v>15</v>
      </c>
      <c r="D142" s="226"/>
      <c r="E142" s="315"/>
      <c r="F142" s="315"/>
      <c r="G142" s="315"/>
      <c r="H142" s="629"/>
      <c r="I142" s="199"/>
      <c r="J142" s="199"/>
      <c r="K142" s="199"/>
      <c r="L142" s="632"/>
      <c r="M142" s="199" t="e">
        <f>RANK(K142, K$128:$K$142)</f>
        <v>#DIV/0!</v>
      </c>
      <c r="N142" s="108"/>
      <c r="O142" s="108"/>
      <c r="P142" s="108"/>
      <c r="Q142" s="108"/>
      <c r="R142" s="108"/>
      <c r="S142" s="108"/>
      <c r="T142" s="108"/>
      <c r="X142" s="108"/>
      <c r="AC142" s="108"/>
      <c r="AH142" s="108"/>
      <c r="AM142" s="108"/>
    </row>
  </sheetData>
  <mergeCells count="380">
    <mergeCell ref="BA87:BA101"/>
    <mergeCell ref="BA104:BA106"/>
    <mergeCell ref="BA107:BA121"/>
    <mergeCell ref="BA4:BA6"/>
    <mergeCell ref="BA7:BA21"/>
    <mergeCell ref="BA24:BA26"/>
    <mergeCell ref="BA27:BA41"/>
    <mergeCell ref="BA44:BA46"/>
    <mergeCell ref="BA47:BA61"/>
    <mergeCell ref="BA64:BA66"/>
    <mergeCell ref="BA67:BA81"/>
    <mergeCell ref="BA84:BA86"/>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T22:AX22"/>
    <mergeCell ref="P23:T23"/>
    <mergeCell ref="U23:Y23"/>
    <mergeCell ref="Z23:AD23"/>
    <mergeCell ref="AE23:AI23"/>
    <mergeCell ref="AJ23:AN23"/>
    <mergeCell ref="AO23:AS23"/>
    <mergeCell ref="AT23:AX23"/>
    <mergeCell ref="AX7:AX21"/>
    <mergeCell ref="AE7:AE21"/>
    <mergeCell ref="B22:H23"/>
    <mergeCell ref="N22:N23"/>
    <mergeCell ref="O22:O23"/>
    <mergeCell ref="P22:T22"/>
    <mergeCell ref="U22:Y22"/>
    <mergeCell ref="Z22:AD22"/>
    <mergeCell ref="AE22:AI22"/>
    <mergeCell ref="AJ22:AN22"/>
    <mergeCell ref="AO22:AS22"/>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102:H103"/>
    <mergeCell ref="N102:N103"/>
    <mergeCell ref="O102:O103"/>
    <mergeCell ref="P102:T102"/>
    <mergeCell ref="U102:Y102"/>
    <mergeCell ref="Z102:AD102"/>
    <mergeCell ref="AE102:AI102"/>
    <mergeCell ref="AJ102:AN102"/>
    <mergeCell ref="AO102:AS102"/>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s>
  <phoneticPr fontId="12" type="noConversion"/>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A247"/>
  <sheetViews>
    <sheetView topLeftCell="A58" zoomScale="40" zoomScaleNormal="40" workbookViewId="0">
      <pane xSplit="15" topLeftCell="P1" activePane="topRight" state="frozen"/>
      <selection activeCell="L87" sqref="L87:L101"/>
      <selection pane="topRight" activeCell="C106" sqref="C106"/>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51" width="8.85546875" style="108"/>
    <col min="52" max="52" width="5.42578125" style="108" customWidth="1"/>
    <col min="53" max="53" width="13.140625" style="108" customWidth="1"/>
    <col min="54" max="16384" width="8.85546875" style="108"/>
  </cols>
  <sheetData>
    <row r="1" spans="1:53" ht="24">
      <c r="A1" s="75"/>
      <c r="B1" s="221" t="s">
        <v>314</v>
      </c>
      <c r="C1" s="220">
        <f>AVERAGE(L7,L42,L77,L112,L147,L182)</f>
        <v>86.853457895117074</v>
      </c>
    </row>
    <row r="2" spans="1:53" ht="15.75">
      <c r="A2" s="81"/>
      <c r="B2" s="593" t="s">
        <v>163</v>
      </c>
      <c r="C2" s="593"/>
      <c r="D2" s="593"/>
      <c r="E2" s="593"/>
      <c r="F2" s="593"/>
      <c r="G2" s="593"/>
      <c r="H2" s="593"/>
      <c r="I2" s="293"/>
      <c r="J2" s="293"/>
      <c r="K2" s="293"/>
      <c r="L2" s="293"/>
      <c r="M2" s="197"/>
      <c r="N2" s="566" t="s">
        <v>156</v>
      </c>
      <c r="O2" s="566" t="s">
        <v>155</v>
      </c>
      <c r="P2" s="605">
        <v>46140</v>
      </c>
      <c r="Q2" s="606"/>
      <c r="R2" s="606"/>
      <c r="S2" s="606"/>
      <c r="T2" s="607"/>
      <c r="U2" s="592">
        <f>P2+1</f>
        <v>46141</v>
      </c>
      <c r="V2" s="570"/>
      <c r="W2" s="570"/>
      <c r="X2" s="570"/>
      <c r="Y2" s="570"/>
      <c r="Z2" s="592">
        <f>U2+1</f>
        <v>46142</v>
      </c>
      <c r="AA2" s="570"/>
      <c r="AB2" s="570"/>
      <c r="AC2" s="570"/>
      <c r="AD2" s="570"/>
      <c r="AE2" s="592">
        <f>Z2+1</f>
        <v>46143</v>
      </c>
      <c r="AF2" s="570"/>
      <c r="AG2" s="570"/>
      <c r="AH2" s="570"/>
      <c r="AI2" s="570"/>
      <c r="AJ2" s="592">
        <f>AE2+1</f>
        <v>46144</v>
      </c>
      <c r="AK2" s="570"/>
      <c r="AL2" s="570"/>
      <c r="AM2" s="570"/>
      <c r="AN2" s="570"/>
      <c r="AO2" s="592">
        <f>AJ2+1</f>
        <v>46145</v>
      </c>
      <c r="AP2" s="570"/>
      <c r="AQ2" s="570"/>
      <c r="AR2" s="570"/>
      <c r="AS2" s="570"/>
      <c r="AT2" s="589">
        <f>AO2+1</f>
        <v>46146</v>
      </c>
      <c r="AU2" s="590"/>
      <c r="AV2" s="590"/>
      <c r="AW2" s="590"/>
      <c r="AX2" s="591"/>
    </row>
    <row r="3" spans="1:53" ht="15.75">
      <c r="A3" s="81"/>
      <c r="B3" s="601"/>
      <c r="C3" s="601"/>
      <c r="D3" s="601"/>
      <c r="E3" s="601"/>
      <c r="F3" s="601"/>
      <c r="G3" s="601"/>
      <c r="H3" s="601"/>
      <c r="I3" s="294"/>
      <c r="J3" s="294"/>
      <c r="K3" s="294"/>
      <c r="L3" s="294"/>
      <c r="M3" s="198"/>
      <c r="N3" s="568"/>
      <c r="O3" s="568"/>
      <c r="P3" s="589" t="s">
        <v>158</v>
      </c>
      <c r="Q3" s="590"/>
      <c r="R3" s="590"/>
      <c r="S3" s="590"/>
      <c r="T3" s="591"/>
      <c r="U3" s="589" t="s">
        <v>114</v>
      </c>
      <c r="V3" s="590"/>
      <c r="W3" s="590"/>
      <c r="X3" s="590"/>
      <c r="Y3" s="591"/>
      <c r="Z3" s="589" t="s">
        <v>159</v>
      </c>
      <c r="AA3" s="590"/>
      <c r="AB3" s="590"/>
      <c r="AC3" s="590"/>
      <c r="AD3" s="591"/>
      <c r="AE3" s="589" t="s">
        <v>157</v>
      </c>
      <c r="AF3" s="590"/>
      <c r="AG3" s="590"/>
      <c r="AH3" s="590"/>
      <c r="AI3" s="591"/>
      <c r="AJ3" s="589" t="s">
        <v>160</v>
      </c>
      <c r="AK3" s="590"/>
      <c r="AL3" s="590"/>
      <c r="AM3" s="590"/>
      <c r="AN3" s="591"/>
      <c r="AO3" s="589" t="s">
        <v>161</v>
      </c>
      <c r="AP3" s="590"/>
      <c r="AQ3" s="590"/>
      <c r="AR3" s="590"/>
      <c r="AS3" s="591"/>
      <c r="AT3" s="589" t="s">
        <v>162</v>
      </c>
      <c r="AU3" s="590"/>
      <c r="AV3" s="590"/>
      <c r="AW3" s="590"/>
      <c r="AX3" s="591"/>
    </row>
    <row r="4" spans="1:53" ht="14.25">
      <c r="A4" s="81"/>
      <c r="B4" s="564" t="s">
        <v>154</v>
      </c>
      <c r="C4" s="564" t="s">
        <v>387</v>
      </c>
      <c r="D4" s="564"/>
      <c r="E4" s="564" t="s">
        <v>378</v>
      </c>
      <c r="F4" s="564"/>
      <c r="G4" s="564"/>
      <c r="H4" s="597" t="s">
        <v>374</v>
      </c>
      <c r="I4" s="616" t="s">
        <v>379</v>
      </c>
      <c r="J4" s="616"/>
      <c r="K4" s="616"/>
      <c r="L4" s="617" t="s">
        <v>374</v>
      </c>
      <c r="M4" s="602" t="s">
        <v>375</v>
      </c>
      <c r="N4" s="564"/>
      <c r="O4" s="564" t="s">
        <v>380</v>
      </c>
      <c r="P4" s="583" t="s">
        <v>376</v>
      </c>
      <c r="Q4" s="584"/>
      <c r="R4" s="584"/>
      <c r="S4" s="585"/>
      <c r="T4" s="564" t="s">
        <v>374</v>
      </c>
      <c r="U4" s="583" t="s">
        <v>376</v>
      </c>
      <c r="V4" s="584"/>
      <c r="W4" s="584"/>
      <c r="X4" s="585"/>
      <c r="Y4" s="564" t="s">
        <v>374</v>
      </c>
      <c r="Z4" s="583" t="s">
        <v>376</v>
      </c>
      <c r="AA4" s="584"/>
      <c r="AB4" s="584"/>
      <c r="AC4" s="585"/>
      <c r="AD4" s="564" t="s">
        <v>374</v>
      </c>
      <c r="AE4" s="583" t="s">
        <v>376</v>
      </c>
      <c r="AF4" s="584"/>
      <c r="AG4" s="584"/>
      <c r="AH4" s="585"/>
      <c r="AI4" s="564" t="s">
        <v>374</v>
      </c>
      <c r="AJ4" s="583" t="s">
        <v>376</v>
      </c>
      <c r="AK4" s="584"/>
      <c r="AL4" s="584"/>
      <c r="AM4" s="585"/>
      <c r="AN4" s="564" t="s">
        <v>374</v>
      </c>
      <c r="AO4" s="583" t="s">
        <v>376</v>
      </c>
      <c r="AP4" s="584"/>
      <c r="AQ4" s="584"/>
      <c r="AR4" s="585"/>
      <c r="AS4" s="564" t="s">
        <v>374</v>
      </c>
      <c r="AT4" s="583" t="s">
        <v>376</v>
      </c>
      <c r="AU4" s="584"/>
      <c r="AV4" s="584"/>
      <c r="AW4" s="585"/>
      <c r="AX4" s="564" t="s">
        <v>374</v>
      </c>
      <c r="BA4" s="564" t="s">
        <v>374</v>
      </c>
    </row>
    <row r="5" spans="1:53" ht="14.25">
      <c r="A5" s="81"/>
      <c r="B5" s="564"/>
      <c r="C5" s="564"/>
      <c r="D5" s="564"/>
      <c r="E5" s="564" t="s">
        <v>381</v>
      </c>
      <c r="F5" s="564"/>
      <c r="G5" s="564"/>
      <c r="H5" s="598"/>
      <c r="I5" s="616" t="s">
        <v>381</v>
      </c>
      <c r="J5" s="616"/>
      <c r="K5" s="616"/>
      <c r="L5" s="618"/>
      <c r="M5" s="603"/>
      <c r="N5" s="564"/>
      <c r="O5" s="564"/>
      <c r="P5" s="583" t="s">
        <v>382</v>
      </c>
      <c r="Q5" s="584"/>
      <c r="R5" s="584"/>
      <c r="S5" s="585"/>
      <c r="T5" s="564"/>
      <c r="U5" s="583" t="s">
        <v>382</v>
      </c>
      <c r="V5" s="584"/>
      <c r="W5" s="584"/>
      <c r="X5" s="585"/>
      <c r="Y5" s="564"/>
      <c r="Z5" s="583" t="s">
        <v>382</v>
      </c>
      <c r="AA5" s="584"/>
      <c r="AB5" s="584"/>
      <c r="AC5" s="585"/>
      <c r="AD5" s="564"/>
      <c r="AE5" s="583" t="s">
        <v>382</v>
      </c>
      <c r="AF5" s="584"/>
      <c r="AG5" s="584"/>
      <c r="AH5" s="585"/>
      <c r="AI5" s="564"/>
      <c r="AJ5" s="583" t="s">
        <v>382</v>
      </c>
      <c r="AK5" s="584"/>
      <c r="AL5" s="584"/>
      <c r="AM5" s="585"/>
      <c r="AN5" s="564"/>
      <c r="AO5" s="583" t="s">
        <v>382</v>
      </c>
      <c r="AP5" s="584"/>
      <c r="AQ5" s="584"/>
      <c r="AR5" s="585"/>
      <c r="AS5" s="564"/>
      <c r="AT5" s="583" t="s">
        <v>382</v>
      </c>
      <c r="AU5" s="584"/>
      <c r="AV5" s="584"/>
      <c r="AW5" s="585"/>
      <c r="AX5" s="564"/>
      <c r="BA5" s="564"/>
    </row>
    <row r="6" spans="1:53" ht="14.25">
      <c r="A6" s="79"/>
      <c r="B6" s="564"/>
      <c r="C6" s="564"/>
      <c r="D6" s="564"/>
      <c r="E6" s="417" t="s">
        <v>383</v>
      </c>
      <c r="F6" s="417" t="s">
        <v>384</v>
      </c>
      <c r="G6" s="417" t="s">
        <v>385</v>
      </c>
      <c r="H6" s="599"/>
      <c r="I6" s="416" t="s">
        <v>383</v>
      </c>
      <c r="J6" s="416" t="s">
        <v>384</v>
      </c>
      <c r="K6" s="416" t="s">
        <v>385</v>
      </c>
      <c r="L6" s="619"/>
      <c r="M6" s="604"/>
      <c r="N6" s="564"/>
      <c r="O6" s="564"/>
      <c r="P6" s="417" t="s">
        <v>383</v>
      </c>
      <c r="Q6" s="417" t="s">
        <v>384</v>
      </c>
      <c r="R6" s="417" t="s">
        <v>385</v>
      </c>
      <c r="S6" s="417" t="s">
        <v>375</v>
      </c>
      <c r="T6" s="564"/>
      <c r="U6" s="417" t="s">
        <v>383</v>
      </c>
      <c r="V6" s="417" t="s">
        <v>384</v>
      </c>
      <c r="W6" s="417" t="s">
        <v>385</v>
      </c>
      <c r="X6" s="417" t="s">
        <v>375</v>
      </c>
      <c r="Y6" s="564"/>
      <c r="Z6" s="417" t="s">
        <v>383</v>
      </c>
      <c r="AA6" s="417" t="s">
        <v>384</v>
      </c>
      <c r="AB6" s="417" t="s">
        <v>385</v>
      </c>
      <c r="AC6" s="417" t="s">
        <v>375</v>
      </c>
      <c r="AD6" s="564"/>
      <c r="AE6" s="417" t="s">
        <v>383</v>
      </c>
      <c r="AF6" s="417" t="s">
        <v>384</v>
      </c>
      <c r="AG6" s="417" t="s">
        <v>385</v>
      </c>
      <c r="AH6" s="417" t="s">
        <v>375</v>
      </c>
      <c r="AI6" s="564"/>
      <c r="AJ6" s="417" t="s">
        <v>383</v>
      </c>
      <c r="AK6" s="417" t="s">
        <v>384</v>
      </c>
      <c r="AL6" s="417" t="s">
        <v>385</v>
      </c>
      <c r="AM6" s="417" t="s">
        <v>375</v>
      </c>
      <c r="AN6" s="564"/>
      <c r="AO6" s="417" t="s">
        <v>383</v>
      </c>
      <c r="AP6" s="417" t="s">
        <v>384</v>
      </c>
      <c r="AQ6" s="417" t="s">
        <v>385</v>
      </c>
      <c r="AR6" s="417" t="s">
        <v>375</v>
      </c>
      <c r="AS6" s="564"/>
      <c r="AT6" s="417" t="s">
        <v>383</v>
      </c>
      <c r="AU6" s="417" t="s">
        <v>384</v>
      </c>
      <c r="AV6" s="417" t="s">
        <v>385</v>
      </c>
      <c r="AW6" s="417" t="s">
        <v>375</v>
      </c>
      <c r="AX6" s="564"/>
      <c r="AZ6" s="406" t="s">
        <v>375</v>
      </c>
      <c r="BA6" s="564"/>
    </row>
    <row r="7" spans="1:53" ht="14.25">
      <c r="A7" s="81"/>
      <c r="B7" s="564" t="s">
        <v>134</v>
      </c>
      <c r="C7" s="418">
        <v>1</v>
      </c>
      <c r="D7" s="226" t="s">
        <v>347</v>
      </c>
      <c r="E7" s="425">
        <v>6</v>
      </c>
      <c r="F7" s="418">
        <v>1500</v>
      </c>
      <c r="G7" s="419">
        <v>250</v>
      </c>
      <c r="H7" s="627">
        <f>AVERAGE(G7:G36)</f>
        <v>97.670370370370378</v>
      </c>
      <c r="I7" s="422">
        <f>IFERROR(AVERAGE(P7,U7,Z7,AE7,AJ7,AO7,AT7),"-")</f>
        <v>6</v>
      </c>
      <c r="J7" s="422">
        <f>IFERROR(AVERAGE(Q7,V7,AA7,AF7,AK7,AP7,AU7),"-")</f>
        <v>1476.7648215373902</v>
      </c>
      <c r="K7" s="200">
        <f>IFERROR(AVERAGE(R7,W7,AB7,AG7,AL7,AQ7,AV7),"-")</f>
        <v>246.12747025623165</v>
      </c>
      <c r="L7" s="580">
        <f>IFERROR(AVERAGE(K7:K36),"-")</f>
        <v>85.436032289039062</v>
      </c>
      <c r="M7" s="424">
        <f>RANK(K7, K$7:$K$36)</f>
        <v>1</v>
      </c>
      <c r="N7" s="564"/>
      <c r="O7" s="564"/>
      <c r="P7" s="418">
        <v>6</v>
      </c>
      <c r="Q7" s="425">
        <v>1460.7209302325575</v>
      </c>
      <c r="R7" s="425">
        <v>243.45348837209292</v>
      </c>
      <c r="S7" s="418">
        <f>RANK(R7, R$7:R$36)</f>
        <v>2</v>
      </c>
      <c r="T7" s="565">
        <f>AVERAGE(R7:R36)</f>
        <v>89.19047216546231</v>
      </c>
      <c r="U7" s="425">
        <v>6</v>
      </c>
      <c r="V7" s="425">
        <v>1493.5609756097565</v>
      </c>
      <c r="W7" s="425">
        <v>248.92682926829275</v>
      </c>
      <c r="X7" s="418">
        <f>RANK(W7, W$7:W$36)</f>
        <v>1</v>
      </c>
      <c r="Y7" s="565">
        <f>AVERAGE(W7:W36)</f>
        <v>88.200947801479344</v>
      </c>
      <c r="Z7" s="418">
        <v>6</v>
      </c>
      <c r="AA7" s="425">
        <v>1474.413559322034</v>
      </c>
      <c r="AB7" s="425">
        <v>245.73559322033898</v>
      </c>
      <c r="AC7" s="418">
        <f>RANK(AB7, AB$7:AB$36)</f>
        <v>2</v>
      </c>
      <c r="AD7" s="565">
        <f>AVERAGE(AB7:AB36)</f>
        <v>88.050704727688</v>
      </c>
      <c r="AE7" s="418">
        <v>6</v>
      </c>
      <c r="AF7" s="425">
        <v>1475.4375</v>
      </c>
      <c r="AG7" s="425">
        <v>245.90625</v>
      </c>
      <c r="AH7" s="418">
        <f>RANK(AG7, AG$7:AG$36)</f>
        <v>1</v>
      </c>
      <c r="AI7" s="565">
        <f>AVERAGE(AG7:AG36)</f>
        <v>88.109433644924195</v>
      </c>
      <c r="AJ7" s="418">
        <v>6</v>
      </c>
      <c r="AK7" s="425">
        <v>1471.7249999999999</v>
      </c>
      <c r="AL7" s="425">
        <v>245.28749999999999</v>
      </c>
      <c r="AM7" s="418">
        <f>RANK(AL7, AL$7:AL$36)</f>
        <v>1</v>
      </c>
      <c r="AN7" s="565">
        <f>AVERAGE(AL7:AL36)</f>
        <v>87.955702665574677</v>
      </c>
      <c r="AO7" s="418">
        <v>6</v>
      </c>
      <c r="AP7" s="425">
        <v>1491.5361702127661</v>
      </c>
      <c r="AQ7" s="425">
        <v>248.58936170212769</v>
      </c>
      <c r="AR7" s="418">
        <f>RANK(AQ7, AQ$7:AQ$36)</f>
        <v>1</v>
      </c>
      <c r="AS7" s="565">
        <f>AVERAGE(AQ7:AQ36)</f>
        <v>89.381477108928792</v>
      </c>
      <c r="AT7" s="418">
        <v>6</v>
      </c>
      <c r="AU7" s="425">
        <v>1469.9596153846162</v>
      </c>
      <c r="AV7" s="425">
        <v>244.99326923076936</v>
      </c>
      <c r="AW7" s="418">
        <f>RANK(AV7, AV$7:AV$36)</f>
        <v>2</v>
      </c>
      <c r="AX7" s="565">
        <f>AVERAGE(AV7:AV36)</f>
        <v>86.123799984718104</v>
      </c>
      <c r="AZ7" s="407" t="e">
        <f>RANK(AY7, AY$7:AY$36)</f>
        <v>#N/A</v>
      </c>
      <c r="BA7" s="565" t="e">
        <f>AVERAGE(AY7:AY36)</f>
        <v>#DIV/0!</v>
      </c>
    </row>
    <row r="8" spans="1:53" ht="15" customHeight="1">
      <c r="A8" s="81"/>
      <c r="B8" s="570"/>
      <c r="C8" s="418">
        <v>2</v>
      </c>
      <c r="D8" s="226" t="s">
        <v>640</v>
      </c>
      <c r="E8" s="425">
        <v>6</v>
      </c>
      <c r="F8" s="418">
        <v>1500</v>
      </c>
      <c r="G8" s="419">
        <v>250</v>
      </c>
      <c r="H8" s="628"/>
      <c r="I8" s="422">
        <f t="shared" ref="I8:I36" si="0">IFERROR(AVERAGE(P8,U8,Z8,AE8,AJ8,AO8,AT8),"-")</f>
        <v>6</v>
      </c>
      <c r="J8" s="422">
        <f t="shared" ref="J8:J36" si="1">IFERROR(AVERAGE(Q8,V8,AA8,AF8,AK8,AP8,AU8),"-")</f>
        <v>1468.7718884302587</v>
      </c>
      <c r="K8" s="200">
        <f t="shared" ref="K8:K36" si="2">IFERROR(AVERAGE(R8,W8,AB8,AG8,AL8,AQ8,AV8),"-")</f>
        <v>244.79531473837645</v>
      </c>
      <c r="L8" s="581"/>
      <c r="M8" s="424">
        <f>RANK(K8, K$7:$K$36)</f>
        <v>2</v>
      </c>
      <c r="N8" s="564"/>
      <c r="O8" s="564"/>
      <c r="P8" s="418">
        <v>6</v>
      </c>
      <c r="Q8" s="425">
        <v>1472.7835051546397</v>
      </c>
      <c r="R8" s="425">
        <v>245.46391752577327</v>
      </c>
      <c r="S8" s="418">
        <f t="shared" ref="S8:S36" si="3">RANK(R8, R$7:R$36)</f>
        <v>1</v>
      </c>
      <c r="T8" s="565"/>
      <c r="U8" s="425">
        <v>6</v>
      </c>
      <c r="V8" s="425">
        <v>1459.3548387096778</v>
      </c>
      <c r="W8" s="425">
        <v>243.22580645161295</v>
      </c>
      <c r="X8" s="418">
        <f t="shared" ref="X8:X36" si="4">RANK(W8, W$7:W$36)</f>
        <v>2</v>
      </c>
      <c r="Y8" s="565"/>
      <c r="Z8" s="418">
        <v>6</v>
      </c>
      <c r="AA8" s="425">
        <v>1486.9879518072282</v>
      </c>
      <c r="AB8" s="425">
        <v>247.83132530120471</v>
      </c>
      <c r="AC8" s="418">
        <f t="shared" ref="AC8:AC36" si="5">RANK(AB8, AB$7:AB$36)</f>
        <v>1</v>
      </c>
      <c r="AD8" s="565"/>
      <c r="AE8" s="418">
        <v>6</v>
      </c>
      <c r="AF8" s="425">
        <v>1459.7468354430373</v>
      </c>
      <c r="AG8" s="425">
        <v>243.29113924050623</v>
      </c>
      <c r="AH8" s="418">
        <f t="shared" ref="AH8:AH36" si="6">RANK(AG8, AG$7:AG$36)</f>
        <v>2</v>
      </c>
      <c r="AI8" s="565"/>
      <c r="AJ8" s="418">
        <v>6</v>
      </c>
      <c r="AK8" s="425">
        <v>1444.1379310344823</v>
      </c>
      <c r="AL8" s="425">
        <v>240.68965517241372</v>
      </c>
      <c r="AM8" s="418">
        <f t="shared" ref="AM8:AM36" si="7">RANK(AL8, AL$7:AL$36)</f>
        <v>2</v>
      </c>
      <c r="AN8" s="565"/>
      <c r="AO8" s="418">
        <v>6</v>
      </c>
      <c r="AP8" s="425">
        <v>1471.0588235294115</v>
      </c>
      <c r="AQ8" s="425">
        <v>245.17647058823525</v>
      </c>
      <c r="AR8" s="418">
        <f t="shared" ref="AR8:AR36" si="8">RANK(AQ8, AQ$7:AQ$36)</f>
        <v>2</v>
      </c>
      <c r="AS8" s="565"/>
      <c r="AT8" s="418">
        <v>6</v>
      </c>
      <c r="AU8" s="425">
        <v>1487.3333333333333</v>
      </c>
      <c r="AV8" s="425">
        <v>247.88888888888889</v>
      </c>
      <c r="AW8" s="418">
        <f t="shared" ref="AW8:AW36" si="9">RANK(AV8, AV$7:AV$36)</f>
        <v>1</v>
      </c>
      <c r="AX8" s="565"/>
      <c r="AZ8" s="407" t="e">
        <f t="shared" ref="AZ8:AZ36" si="10">RANK(AY8, AY$7:AY$36)</f>
        <v>#N/A</v>
      </c>
      <c r="BA8" s="565"/>
    </row>
    <row r="9" spans="1:53" ht="14.25">
      <c r="A9" s="81"/>
      <c r="B9" s="570"/>
      <c r="C9" s="418">
        <v>3</v>
      </c>
      <c r="D9" s="226" t="s">
        <v>624</v>
      </c>
      <c r="E9" s="425">
        <v>18</v>
      </c>
      <c r="F9" s="418">
        <v>1500</v>
      </c>
      <c r="G9" s="419">
        <v>83.3</v>
      </c>
      <c r="H9" s="628"/>
      <c r="I9" s="422">
        <f t="shared" si="0"/>
        <v>18</v>
      </c>
      <c r="J9" s="422">
        <f t="shared" si="1"/>
        <v>1252.0803431262611</v>
      </c>
      <c r="K9" s="200">
        <f t="shared" si="2"/>
        <v>69.560019062570078</v>
      </c>
      <c r="L9" s="581"/>
      <c r="M9" s="424">
        <f>RANK(K9, K$7:$K$36)</f>
        <v>22</v>
      </c>
      <c r="N9" s="564"/>
      <c r="O9" s="564"/>
      <c r="P9" s="418">
        <v>18</v>
      </c>
      <c r="Q9" s="425">
        <v>1223.2499999999984</v>
      </c>
      <c r="R9" s="425">
        <v>67.958333333333243</v>
      </c>
      <c r="S9" s="418">
        <f t="shared" si="3"/>
        <v>22</v>
      </c>
      <c r="T9" s="565"/>
      <c r="U9" s="425">
        <v>18</v>
      </c>
      <c r="V9" s="425">
        <v>1229.9999999999975</v>
      </c>
      <c r="W9" s="425">
        <v>68.333333333333201</v>
      </c>
      <c r="X9" s="418">
        <f t="shared" si="4"/>
        <v>22</v>
      </c>
      <c r="Y9" s="565"/>
      <c r="Z9" s="418">
        <v>18</v>
      </c>
      <c r="AA9" s="425">
        <v>1270.9090909090924</v>
      </c>
      <c r="AB9" s="425">
        <v>70.60606060606068</v>
      </c>
      <c r="AC9" s="418">
        <f t="shared" si="5"/>
        <v>21</v>
      </c>
      <c r="AD9" s="565"/>
      <c r="AE9" s="418">
        <v>18</v>
      </c>
      <c r="AF9" s="425">
        <v>1261.0909090909104</v>
      </c>
      <c r="AG9" s="425">
        <v>70.060606060606133</v>
      </c>
      <c r="AH9" s="418">
        <f t="shared" si="6"/>
        <v>21</v>
      </c>
      <c r="AI9" s="565"/>
      <c r="AJ9" s="418">
        <v>18</v>
      </c>
      <c r="AK9" s="425">
        <v>1251.2307692307686</v>
      </c>
      <c r="AL9" s="425">
        <v>69.512820512820483</v>
      </c>
      <c r="AM9" s="418">
        <f t="shared" si="7"/>
        <v>22</v>
      </c>
      <c r="AN9" s="565"/>
      <c r="AO9" s="418">
        <v>18</v>
      </c>
      <c r="AP9" s="425">
        <v>1273.5918367346942</v>
      </c>
      <c r="AQ9" s="425">
        <v>70.75510204081634</v>
      </c>
      <c r="AR9" s="418">
        <f t="shared" si="8"/>
        <v>22</v>
      </c>
      <c r="AS9" s="565"/>
      <c r="AT9" s="418">
        <v>18</v>
      </c>
      <c r="AU9" s="425">
        <v>1254.4897959183677</v>
      </c>
      <c r="AV9" s="425">
        <v>69.693877551020421</v>
      </c>
      <c r="AW9" s="418">
        <f t="shared" si="9"/>
        <v>22</v>
      </c>
      <c r="AX9" s="565"/>
      <c r="AZ9" s="407" t="e">
        <f t="shared" si="10"/>
        <v>#N/A</v>
      </c>
      <c r="BA9" s="565"/>
    </row>
    <row r="10" spans="1:53" ht="14.25">
      <c r="A10" s="81"/>
      <c r="B10" s="570"/>
      <c r="C10" s="418">
        <v>4</v>
      </c>
      <c r="D10" s="226" t="s">
        <v>582</v>
      </c>
      <c r="E10" s="425">
        <v>18</v>
      </c>
      <c r="F10" s="418">
        <v>1500</v>
      </c>
      <c r="G10" s="419">
        <v>83.3</v>
      </c>
      <c r="H10" s="628"/>
      <c r="I10" s="422">
        <f t="shared" si="0"/>
        <v>18</v>
      </c>
      <c r="J10" s="422">
        <f t="shared" si="1"/>
        <v>1322.4985113929208</v>
      </c>
      <c r="K10" s="200">
        <f t="shared" si="2"/>
        <v>73.472139521828922</v>
      </c>
      <c r="L10" s="581"/>
      <c r="M10" s="424">
        <f>RANK(K10, K$7:$K$36)</f>
        <v>18</v>
      </c>
      <c r="N10" s="564"/>
      <c r="O10" s="564"/>
      <c r="P10" s="418">
        <v>18</v>
      </c>
      <c r="Q10" s="425">
        <v>1335.6521739130435</v>
      </c>
      <c r="R10" s="425">
        <v>74.20289855072464</v>
      </c>
      <c r="S10" s="418">
        <f t="shared" si="3"/>
        <v>18</v>
      </c>
      <c r="T10" s="565"/>
      <c r="U10" s="425">
        <v>18</v>
      </c>
      <c r="V10" s="425">
        <v>1321.7142857142844</v>
      </c>
      <c r="W10" s="425">
        <v>73.42857142857136</v>
      </c>
      <c r="X10" s="418">
        <f t="shared" si="4"/>
        <v>18</v>
      </c>
      <c r="Y10" s="565"/>
      <c r="Z10" s="418">
        <v>18</v>
      </c>
      <c r="AA10" s="425">
        <v>1309.9999999999989</v>
      </c>
      <c r="AB10" s="425">
        <v>72.777777777777715</v>
      </c>
      <c r="AC10" s="418">
        <f t="shared" si="5"/>
        <v>19</v>
      </c>
      <c r="AD10" s="565"/>
      <c r="AE10" s="418">
        <v>18</v>
      </c>
      <c r="AF10" s="425">
        <v>1321.6216216216205</v>
      </c>
      <c r="AG10" s="425">
        <v>73.423423423423358</v>
      </c>
      <c r="AH10" s="418">
        <f t="shared" si="6"/>
        <v>19</v>
      </c>
      <c r="AI10" s="565"/>
      <c r="AJ10" s="418">
        <v>18</v>
      </c>
      <c r="AK10" s="425">
        <v>1315.3846153846148</v>
      </c>
      <c r="AL10" s="425">
        <v>73.076923076923038</v>
      </c>
      <c r="AM10" s="418">
        <f t="shared" si="7"/>
        <v>18</v>
      </c>
      <c r="AN10" s="565"/>
      <c r="AO10" s="418">
        <v>18</v>
      </c>
      <c r="AP10" s="425">
        <v>1308.5714285714282</v>
      </c>
      <c r="AQ10" s="425">
        <v>72.698412698412682</v>
      </c>
      <c r="AR10" s="418">
        <f t="shared" si="8"/>
        <v>19</v>
      </c>
      <c r="AS10" s="565"/>
      <c r="AT10" s="418">
        <v>18</v>
      </c>
      <c r="AU10" s="425">
        <v>1344.5454545454545</v>
      </c>
      <c r="AV10" s="425">
        <v>74.696969696969688</v>
      </c>
      <c r="AW10" s="418">
        <f t="shared" si="9"/>
        <v>18</v>
      </c>
      <c r="AX10" s="565"/>
      <c r="AZ10" s="407" t="e">
        <f t="shared" si="10"/>
        <v>#N/A</v>
      </c>
      <c r="BA10" s="565"/>
    </row>
    <row r="11" spans="1:53" ht="14.25">
      <c r="A11" s="81"/>
      <c r="B11" s="570"/>
      <c r="C11" s="418">
        <v>5</v>
      </c>
      <c r="D11" s="226" t="s">
        <v>335</v>
      </c>
      <c r="E11" s="425">
        <v>16</v>
      </c>
      <c r="F11" s="418">
        <v>1500</v>
      </c>
      <c r="G11" s="419">
        <v>93.8</v>
      </c>
      <c r="H11" s="628"/>
      <c r="I11" s="422">
        <f t="shared" si="0"/>
        <v>16</v>
      </c>
      <c r="J11" s="422">
        <f t="shared" si="1"/>
        <v>1323.5842680505932</v>
      </c>
      <c r="K11" s="200">
        <f t="shared" si="2"/>
        <v>82.724016753162076</v>
      </c>
      <c r="L11" s="581"/>
      <c r="M11" s="424">
        <f>RANK(K11, K$7:$K$36)</f>
        <v>8</v>
      </c>
      <c r="N11" s="564"/>
      <c r="O11" s="564"/>
      <c r="P11" s="418">
        <v>16</v>
      </c>
      <c r="Q11" s="425">
        <v>1329.7674418604647</v>
      </c>
      <c r="R11" s="425">
        <v>83.110465116279045</v>
      </c>
      <c r="S11" s="418">
        <f t="shared" si="3"/>
        <v>10</v>
      </c>
      <c r="T11" s="565"/>
      <c r="U11" s="425">
        <v>16</v>
      </c>
      <c r="V11" s="425">
        <v>1318.2352941176455</v>
      </c>
      <c r="W11" s="425">
        <v>82.389705882352843</v>
      </c>
      <c r="X11" s="418">
        <f t="shared" si="4"/>
        <v>8</v>
      </c>
      <c r="Y11" s="565"/>
      <c r="Z11" s="418">
        <v>16</v>
      </c>
      <c r="AA11" s="425">
        <v>1323.9999999999977</v>
      </c>
      <c r="AB11" s="425">
        <v>82.749999999999858</v>
      </c>
      <c r="AC11" s="418">
        <f t="shared" si="5"/>
        <v>6</v>
      </c>
      <c r="AD11" s="565"/>
      <c r="AE11" s="418">
        <v>16</v>
      </c>
      <c r="AF11" s="425">
        <v>1314.7058823529396</v>
      </c>
      <c r="AG11" s="425">
        <v>82.169117647058727</v>
      </c>
      <c r="AH11" s="418">
        <f t="shared" si="6"/>
        <v>7</v>
      </c>
      <c r="AI11" s="565"/>
      <c r="AJ11" s="418">
        <v>16</v>
      </c>
      <c r="AK11" s="425">
        <v>1334.2105263157885</v>
      </c>
      <c r="AL11" s="425">
        <v>83.388157894736779</v>
      </c>
      <c r="AM11" s="418">
        <f t="shared" si="7"/>
        <v>6</v>
      </c>
      <c r="AN11" s="565"/>
      <c r="AO11" s="418">
        <v>16</v>
      </c>
      <c r="AP11" s="425">
        <v>1310.9999999999995</v>
      </c>
      <c r="AQ11" s="425">
        <v>81.937499999999972</v>
      </c>
      <c r="AR11" s="418">
        <f t="shared" si="8"/>
        <v>10</v>
      </c>
      <c r="AS11" s="565"/>
      <c r="AT11" s="418">
        <v>16</v>
      </c>
      <c r="AU11" s="425">
        <v>1333.1707317073167</v>
      </c>
      <c r="AV11" s="425">
        <v>83.323170731707293</v>
      </c>
      <c r="AW11" s="418">
        <f t="shared" si="9"/>
        <v>9</v>
      </c>
      <c r="AX11" s="565"/>
      <c r="AZ11" s="407" t="e">
        <f t="shared" si="10"/>
        <v>#N/A</v>
      </c>
      <c r="BA11" s="565"/>
    </row>
    <row r="12" spans="1:53" ht="14.25">
      <c r="A12" s="81"/>
      <c r="B12" s="570"/>
      <c r="C12" s="418">
        <v>6</v>
      </c>
      <c r="D12" s="226" t="s">
        <v>349</v>
      </c>
      <c r="E12" s="425">
        <v>16</v>
      </c>
      <c r="F12" s="418">
        <v>1565</v>
      </c>
      <c r="G12" s="419">
        <v>97.8</v>
      </c>
      <c r="H12" s="628"/>
      <c r="I12" s="422">
        <f t="shared" si="0"/>
        <v>16</v>
      </c>
      <c r="J12" s="422">
        <f t="shared" si="1"/>
        <v>1390.7530412710578</v>
      </c>
      <c r="K12" s="200">
        <f t="shared" si="2"/>
        <v>86.922065079441111</v>
      </c>
      <c r="L12" s="581"/>
      <c r="M12" s="424">
        <f>RANK(K12, K$7:$K$36)</f>
        <v>4</v>
      </c>
      <c r="N12" s="564"/>
      <c r="O12" s="564"/>
      <c r="P12" s="418">
        <v>16</v>
      </c>
      <c r="Q12" s="425">
        <v>1397.8378378378368</v>
      </c>
      <c r="R12" s="425">
        <v>87.364864864864799</v>
      </c>
      <c r="S12" s="418">
        <f t="shared" si="3"/>
        <v>6</v>
      </c>
      <c r="T12" s="565"/>
      <c r="U12" s="425">
        <v>16</v>
      </c>
      <c r="V12" s="425">
        <v>1407.5409836065587</v>
      </c>
      <c r="W12" s="425">
        <v>87.971311475409919</v>
      </c>
      <c r="X12" s="418">
        <f t="shared" si="4"/>
        <v>5</v>
      </c>
      <c r="Y12" s="565"/>
      <c r="Z12" s="418">
        <v>16</v>
      </c>
      <c r="AA12" s="425">
        <v>1371.2903225806465</v>
      </c>
      <c r="AB12" s="425">
        <v>85.705645161290406</v>
      </c>
      <c r="AC12" s="418">
        <f t="shared" si="5"/>
        <v>5</v>
      </c>
      <c r="AD12" s="565"/>
      <c r="AE12" s="418">
        <v>16</v>
      </c>
      <c r="AF12" s="425">
        <v>1414.8387096774206</v>
      </c>
      <c r="AG12" s="425">
        <v>88.42741935483879</v>
      </c>
      <c r="AH12" s="418">
        <f t="shared" si="6"/>
        <v>3</v>
      </c>
      <c r="AI12" s="565"/>
      <c r="AJ12" s="418">
        <v>16</v>
      </c>
      <c r="AK12" s="425">
        <v>1378.1538461538476</v>
      </c>
      <c r="AL12" s="425">
        <v>86.134615384615472</v>
      </c>
      <c r="AM12" s="418">
        <f t="shared" si="7"/>
        <v>4</v>
      </c>
      <c r="AN12" s="565"/>
      <c r="AO12" s="418">
        <v>16</v>
      </c>
      <c r="AP12" s="425">
        <v>1381.4999999999995</v>
      </c>
      <c r="AQ12" s="425">
        <v>86.343749999999972</v>
      </c>
      <c r="AR12" s="418">
        <f t="shared" si="8"/>
        <v>6</v>
      </c>
      <c r="AS12" s="565"/>
      <c r="AT12" s="418">
        <v>16</v>
      </c>
      <c r="AU12" s="425">
        <v>1384.1095890410948</v>
      </c>
      <c r="AV12" s="425">
        <v>86.506849315068422</v>
      </c>
      <c r="AW12" s="418">
        <f t="shared" si="9"/>
        <v>6</v>
      </c>
      <c r="AX12" s="565"/>
      <c r="AZ12" s="407" t="e">
        <f t="shared" si="10"/>
        <v>#N/A</v>
      </c>
      <c r="BA12" s="565"/>
    </row>
    <row r="13" spans="1:53" ht="14.25">
      <c r="A13" s="81"/>
      <c r="B13" s="570"/>
      <c r="C13" s="418">
        <v>7</v>
      </c>
      <c r="D13" s="226" t="s">
        <v>327</v>
      </c>
      <c r="E13" s="425">
        <v>14</v>
      </c>
      <c r="F13" s="418">
        <v>1440</v>
      </c>
      <c r="G13" s="419">
        <v>102.9</v>
      </c>
      <c r="H13" s="628"/>
      <c r="I13" s="422">
        <f t="shared" si="0"/>
        <v>15</v>
      </c>
      <c r="J13" s="422">
        <f t="shared" si="1"/>
        <v>1220.0211709155271</v>
      </c>
      <c r="K13" s="200">
        <f t="shared" si="2"/>
        <v>81.334744727701818</v>
      </c>
      <c r="L13" s="581"/>
      <c r="M13" s="424">
        <f>RANK(K13, K$7:$K$36)</f>
        <v>10</v>
      </c>
      <c r="N13" s="564"/>
      <c r="O13" s="564"/>
      <c r="P13" s="418">
        <v>15</v>
      </c>
      <c r="Q13" s="425">
        <v>1348.9655172413768</v>
      </c>
      <c r="R13" s="425">
        <v>89.931034482758449</v>
      </c>
      <c r="S13" s="418">
        <f t="shared" si="3"/>
        <v>4</v>
      </c>
      <c r="T13" s="565"/>
      <c r="U13" s="425">
        <v>15</v>
      </c>
      <c r="V13" s="425">
        <v>1130.3225806451594</v>
      </c>
      <c r="W13" s="425">
        <v>75.354838709677296</v>
      </c>
      <c r="X13" s="418">
        <f t="shared" si="4"/>
        <v>17</v>
      </c>
      <c r="Y13" s="565"/>
      <c r="Z13" s="418">
        <v>15</v>
      </c>
      <c r="AA13" s="425">
        <v>1123.1999999999966</v>
      </c>
      <c r="AB13" s="425">
        <v>74.879999999999782</v>
      </c>
      <c r="AC13" s="418">
        <f t="shared" si="5"/>
        <v>17</v>
      </c>
      <c r="AD13" s="565"/>
      <c r="AE13" s="418">
        <v>15</v>
      </c>
      <c r="AF13" s="425">
        <v>1150.7142857142833</v>
      </c>
      <c r="AG13" s="425">
        <v>76.714285714285552</v>
      </c>
      <c r="AH13" s="418">
        <f t="shared" si="6"/>
        <v>17</v>
      </c>
      <c r="AI13" s="565"/>
      <c r="AJ13" s="418">
        <v>15</v>
      </c>
      <c r="AK13" s="425">
        <v>1115.1724137931012</v>
      </c>
      <c r="AL13" s="425">
        <v>74.344827586206748</v>
      </c>
      <c r="AM13" s="418">
        <f t="shared" si="7"/>
        <v>17</v>
      </c>
      <c r="AN13" s="565"/>
      <c r="AO13" s="418">
        <v>15</v>
      </c>
      <c r="AP13" s="425">
        <v>1341.4285714285684</v>
      </c>
      <c r="AQ13" s="425">
        <v>89.428571428571232</v>
      </c>
      <c r="AR13" s="418">
        <f t="shared" si="8"/>
        <v>5</v>
      </c>
      <c r="AS13" s="565"/>
      <c r="AT13" s="418">
        <v>15</v>
      </c>
      <c r="AU13" s="425">
        <v>1330.3448275862042</v>
      </c>
      <c r="AV13" s="425">
        <v>88.689655172413623</v>
      </c>
      <c r="AW13" s="418">
        <f t="shared" si="9"/>
        <v>4</v>
      </c>
      <c r="AX13" s="565"/>
      <c r="AZ13" s="407" t="e">
        <f t="shared" si="10"/>
        <v>#N/A</v>
      </c>
      <c r="BA13" s="565"/>
    </row>
    <row r="14" spans="1:53" ht="14.25">
      <c r="A14" s="81"/>
      <c r="B14" s="570"/>
      <c r="C14" s="418">
        <v>8</v>
      </c>
      <c r="D14" s="226" t="s">
        <v>611</v>
      </c>
      <c r="E14" s="425">
        <v>16</v>
      </c>
      <c r="F14" s="418">
        <v>1440</v>
      </c>
      <c r="G14" s="419">
        <v>90</v>
      </c>
      <c r="H14" s="628"/>
      <c r="I14" s="422">
        <f t="shared" si="0"/>
        <v>16</v>
      </c>
      <c r="J14" s="422">
        <f t="shared" si="1"/>
        <v>1327.9493881920002</v>
      </c>
      <c r="K14" s="200">
        <f t="shared" si="2"/>
        <v>82.996836762000015</v>
      </c>
      <c r="L14" s="581"/>
      <c r="M14" s="424">
        <f>RANK(K14, K$7:$K$36)</f>
        <v>7</v>
      </c>
      <c r="N14" s="564"/>
      <c r="O14" s="564"/>
      <c r="P14" s="418">
        <v>16</v>
      </c>
      <c r="Q14" s="425">
        <v>1332.8571428571424</v>
      </c>
      <c r="R14" s="425">
        <v>83.303571428571402</v>
      </c>
      <c r="S14" s="418">
        <f t="shared" si="3"/>
        <v>9</v>
      </c>
      <c r="T14" s="565"/>
      <c r="U14" s="425">
        <v>16</v>
      </c>
      <c r="V14" s="425">
        <v>1346.4705882352923</v>
      </c>
      <c r="W14" s="425">
        <v>84.15441176470577</v>
      </c>
      <c r="X14" s="418">
        <f t="shared" si="4"/>
        <v>7</v>
      </c>
      <c r="Y14" s="565"/>
      <c r="Z14" s="418">
        <v>16</v>
      </c>
      <c r="AA14" s="425">
        <v>1302.5806451612882</v>
      </c>
      <c r="AB14" s="425">
        <v>81.411290322580513</v>
      </c>
      <c r="AC14" s="418">
        <f t="shared" si="5"/>
        <v>8</v>
      </c>
      <c r="AD14" s="565"/>
      <c r="AE14" s="418">
        <v>16</v>
      </c>
      <c r="AF14" s="425">
        <v>1318.3333333333321</v>
      </c>
      <c r="AG14" s="425">
        <v>82.395833333333258</v>
      </c>
      <c r="AH14" s="418">
        <f t="shared" si="6"/>
        <v>6</v>
      </c>
      <c r="AI14" s="565"/>
      <c r="AJ14" s="418">
        <v>16</v>
      </c>
      <c r="AK14" s="425">
        <v>1325.2941176470572</v>
      </c>
      <c r="AL14" s="425">
        <v>82.830882352941074</v>
      </c>
      <c r="AM14" s="418">
        <f t="shared" si="7"/>
        <v>9</v>
      </c>
      <c r="AN14" s="565"/>
      <c r="AO14" s="418">
        <v>16</v>
      </c>
      <c r="AP14" s="425">
        <v>1308.5714285714282</v>
      </c>
      <c r="AQ14" s="425">
        <v>81.785714285714263</v>
      </c>
      <c r="AR14" s="418">
        <f t="shared" si="8"/>
        <v>11</v>
      </c>
      <c r="AS14" s="565"/>
      <c r="AT14" s="418">
        <v>16</v>
      </c>
      <c r="AU14" s="425">
        <v>1361.5384615384608</v>
      </c>
      <c r="AV14" s="425">
        <v>85.096153846153797</v>
      </c>
      <c r="AW14" s="418">
        <f t="shared" si="9"/>
        <v>7</v>
      </c>
      <c r="AX14" s="565"/>
      <c r="AZ14" s="407" t="e">
        <f t="shared" si="10"/>
        <v>#N/A</v>
      </c>
      <c r="BA14" s="565"/>
    </row>
    <row r="15" spans="1:53" ht="14.25">
      <c r="A15" s="81"/>
      <c r="B15" s="570"/>
      <c r="C15" s="418">
        <v>9</v>
      </c>
      <c r="D15" s="226" t="s">
        <v>664</v>
      </c>
      <c r="E15" s="425">
        <v>16</v>
      </c>
      <c r="F15" s="418">
        <v>1440</v>
      </c>
      <c r="G15" s="419">
        <v>90</v>
      </c>
      <c r="H15" s="628"/>
      <c r="I15" s="422">
        <f t="shared" si="0"/>
        <v>16</v>
      </c>
      <c r="J15" s="422">
        <f t="shared" si="1"/>
        <v>1372.9353300130456</v>
      </c>
      <c r="K15" s="200">
        <f t="shared" si="2"/>
        <v>85.808458125815349</v>
      </c>
      <c r="L15" s="581"/>
      <c r="M15" s="424">
        <f>RANK(K15, K$7:$K$36)</f>
        <v>5</v>
      </c>
      <c r="N15" s="564"/>
      <c r="O15" s="564"/>
      <c r="P15" s="418">
        <v>16</v>
      </c>
      <c r="Q15" s="425">
        <v>1357.4025974025967</v>
      </c>
      <c r="R15" s="425">
        <v>84.837662337662294</v>
      </c>
      <c r="S15" s="418">
        <f t="shared" si="3"/>
        <v>7</v>
      </c>
      <c r="T15" s="565"/>
      <c r="U15" s="425">
        <v>16</v>
      </c>
      <c r="V15" s="425">
        <v>1386.0869565217376</v>
      </c>
      <c r="W15" s="425">
        <v>86.630434782608603</v>
      </c>
      <c r="X15" s="418">
        <f t="shared" si="4"/>
        <v>6</v>
      </c>
      <c r="Y15" s="565"/>
      <c r="Z15" s="418">
        <v>16</v>
      </c>
      <c r="AA15" s="425">
        <v>1430.5882352941182</v>
      </c>
      <c r="AB15" s="425">
        <v>89.411764705882391</v>
      </c>
      <c r="AC15" s="418">
        <f t="shared" si="5"/>
        <v>4</v>
      </c>
      <c r="AD15" s="565"/>
      <c r="AE15" s="418">
        <v>16</v>
      </c>
      <c r="AF15" s="425">
        <v>1361.6129032258077</v>
      </c>
      <c r="AG15" s="425">
        <v>85.100806451612982</v>
      </c>
      <c r="AH15" s="418">
        <f t="shared" si="6"/>
        <v>5</v>
      </c>
      <c r="AI15" s="565"/>
      <c r="AJ15" s="418">
        <v>16</v>
      </c>
      <c r="AK15" s="425">
        <v>1355.2941176470592</v>
      </c>
      <c r="AL15" s="425">
        <v>84.705882352941202</v>
      </c>
      <c r="AM15" s="418">
        <f t="shared" si="7"/>
        <v>5</v>
      </c>
      <c r="AN15" s="565"/>
      <c r="AO15" s="418">
        <v>16</v>
      </c>
      <c r="AP15" s="425">
        <v>1377.9999999999975</v>
      </c>
      <c r="AQ15" s="425">
        <v>86.124999999999844</v>
      </c>
      <c r="AR15" s="418">
        <f t="shared" si="8"/>
        <v>7</v>
      </c>
      <c r="AS15" s="565"/>
      <c r="AT15" s="418">
        <v>16</v>
      </c>
      <c r="AU15" s="425">
        <v>1341.5625000000016</v>
      </c>
      <c r="AV15" s="425">
        <v>83.847656250000099</v>
      </c>
      <c r="AW15" s="418">
        <f t="shared" si="9"/>
        <v>8</v>
      </c>
      <c r="AX15" s="565"/>
      <c r="AZ15" s="407" t="e">
        <f t="shared" si="10"/>
        <v>#N/A</v>
      </c>
      <c r="BA15" s="565"/>
    </row>
    <row r="16" spans="1:53" ht="14.25">
      <c r="A16" s="81"/>
      <c r="B16" s="570"/>
      <c r="C16" s="418">
        <v>10</v>
      </c>
      <c r="D16" s="226" t="s">
        <v>612</v>
      </c>
      <c r="E16" s="425">
        <v>18</v>
      </c>
      <c r="F16" s="418">
        <v>1636</v>
      </c>
      <c r="G16" s="419">
        <v>90.9</v>
      </c>
      <c r="H16" s="628"/>
      <c r="I16" s="422">
        <f t="shared" si="0"/>
        <v>18</v>
      </c>
      <c r="J16" s="422">
        <f t="shared" si="1"/>
        <v>1445.7024278771371</v>
      </c>
      <c r="K16" s="200">
        <f t="shared" si="2"/>
        <v>80.316801548729813</v>
      </c>
      <c r="L16" s="581"/>
      <c r="M16" s="424">
        <f>RANK(K16, K$7:$K$36)</f>
        <v>12</v>
      </c>
      <c r="N16" s="564"/>
      <c r="O16" s="564"/>
      <c r="P16" s="418">
        <v>18</v>
      </c>
      <c r="Q16" s="425">
        <v>1471.5254237288148</v>
      </c>
      <c r="R16" s="425">
        <v>81.751412429378604</v>
      </c>
      <c r="S16" s="418">
        <f t="shared" si="3"/>
        <v>11</v>
      </c>
      <c r="T16" s="565"/>
      <c r="U16" s="425">
        <v>18</v>
      </c>
      <c r="V16" s="425">
        <v>1376.5384615384623</v>
      </c>
      <c r="W16" s="425">
        <v>76.474358974359021</v>
      </c>
      <c r="X16" s="418">
        <f t="shared" si="4"/>
        <v>16</v>
      </c>
      <c r="Y16" s="565"/>
      <c r="Z16" s="418">
        <v>18</v>
      </c>
      <c r="AA16" s="425">
        <v>1420</v>
      </c>
      <c r="AB16" s="425">
        <v>78.888888888888886</v>
      </c>
      <c r="AC16" s="418">
        <f t="shared" si="5"/>
        <v>12</v>
      </c>
      <c r="AD16" s="565"/>
      <c r="AE16" s="418">
        <v>18</v>
      </c>
      <c r="AF16" s="425">
        <v>1452.6923076923085</v>
      </c>
      <c r="AG16" s="425">
        <v>80.705128205128247</v>
      </c>
      <c r="AH16" s="418">
        <f t="shared" si="6"/>
        <v>10</v>
      </c>
      <c r="AI16" s="565"/>
      <c r="AJ16" s="418">
        <v>18</v>
      </c>
      <c r="AK16" s="425">
        <v>1483.8461538461547</v>
      </c>
      <c r="AL16" s="425">
        <v>82.435897435897488</v>
      </c>
      <c r="AM16" s="418">
        <f t="shared" si="7"/>
        <v>10</v>
      </c>
      <c r="AN16" s="565"/>
      <c r="AO16" s="418">
        <v>18</v>
      </c>
      <c r="AP16" s="425">
        <v>1445.8064516129045</v>
      </c>
      <c r="AQ16" s="425">
        <v>80.322580645161366</v>
      </c>
      <c r="AR16" s="418">
        <f t="shared" si="8"/>
        <v>13</v>
      </c>
      <c r="AS16" s="565"/>
      <c r="AT16" s="418">
        <v>18</v>
      </c>
      <c r="AU16" s="425">
        <v>1469.5081967213127</v>
      </c>
      <c r="AV16" s="425">
        <v>81.639344262295154</v>
      </c>
      <c r="AW16" s="418">
        <f t="shared" si="9"/>
        <v>12</v>
      </c>
      <c r="AX16" s="565"/>
      <c r="AZ16" s="407" t="e">
        <f t="shared" si="10"/>
        <v>#N/A</v>
      </c>
      <c r="BA16" s="565"/>
    </row>
    <row r="17" spans="2:53">
      <c r="B17" s="570"/>
      <c r="C17" s="418">
        <v>11</v>
      </c>
      <c r="D17" s="226" t="s">
        <v>613</v>
      </c>
      <c r="E17" s="425">
        <v>18</v>
      </c>
      <c r="F17" s="418">
        <v>1636</v>
      </c>
      <c r="G17" s="419">
        <v>90.9</v>
      </c>
      <c r="H17" s="628"/>
      <c r="I17" s="422">
        <f t="shared" si="0"/>
        <v>18</v>
      </c>
      <c r="J17" s="422">
        <f t="shared" si="1"/>
        <v>1439.6714373061134</v>
      </c>
      <c r="K17" s="200">
        <f t="shared" si="2"/>
        <v>79.9817465170063</v>
      </c>
      <c r="L17" s="581"/>
      <c r="M17" s="424">
        <f>RANK(K17, K$7:$K$36)</f>
        <v>13</v>
      </c>
      <c r="N17" s="564"/>
      <c r="O17" s="564"/>
      <c r="P17" s="418">
        <v>18</v>
      </c>
      <c r="Q17" s="425">
        <v>1464</v>
      </c>
      <c r="R17" s="425">
        <v>81.333333333333329</v>
      </c>
      <c r="S17" s="418">
        <f t="shared" si="3"/>
        <v>14</v>
      </c>
      <c r="T17" s="565"/>
      <c r="U17" s="425">
        <v>18</v>
      </c>
      <c r="V17" s="425">
        <v>1391.3513513513503</v>
      </c>
      <c r="W17" s="425">
        <v>77.297297297297234</v>
      </c>
      <c r="X17" s="418">
        <f t="shared" si="4"/>
        <v>14</v>
      </c>
      <c r="Y17" s="565"/>
      <c r="Z17" s="418">
        <v>18</v>
      </c>
      <c r="AA17" s="425">
        <v>1403.9999999999986</v>
      </c>
      <c r="AB17" s="425">
        <v>77.999999999999929</v>
      </c>
      <c r="AC17" s="418">
        <f t="shared" si="5"/>
        <v>13</v>
      </c>
      <c r="AD17" s="565"/>
      <c r="AE17" s="418">
        <v>18</v>
      </c>
      <c r="AF17" s="425">
        <v>1466.3414634146336</v>
      </c>
      <c r="AG17" s="425">
        <v>81.463414634146318</v>
      </c>
      <c r="AH17" s="418">
        <f t="shared" si="6"/>
        <v>8</v>
      </c>
      <c r="AI17" s="565"/>
      <c r="AJ17" s="418">
        <v>18</v>
      </c>
      <c r="AK17" s="425">
        <v>1432.4999999999995</v>
      </c>
      <c r="AL17" s="425">
        <v>79.583333333333314</v>
      </c>
      <c r="AM17" s="418">
        <f t="shared" si="7"/>
        <v>12</v>
      </c>
      <c r="AN17" s="565"/>
      <c r="AO17" s="418">
        <v>18</v>
      </c>
      <c r="AP17" s="425">
        <v>1457.3333333333333</v>
      </c>
      <c r="AQ17" s="425">
        <v>80.962962962962962</v>
      </c>
      <c r="AR17" s="418">
        <f t="shared" si="8"/>
        <v>12</v>
      </c>
      <c r="AS17" s="565"/>
      <c r="AT17" s="418">
        <v>18</v>
      </c>
      <c r="AU17" s="425">
        <v>1462.1739130434783</v>
      </c>
      <c r="AV17" s="425">
        <v>81.231884057971016</v>
      </c>
      <c r="AW17" s="418">
        <f t="shared" si="9"/>
        <v>13</v>
      </c>
      <c r="AX17" s="565"/>
      <c r="AZ17" s="407" t="e">
        <f t="shared" si="10"/>
        <v>#N/A</v>
      </c>
      <c r="BA17" s="565"/>
    </row>
    <row r="18" spans="2:53">
      <c r="B18" s="570"/>
      <c r="C18" s="418">
        <v>12</v>
      </c>
      <c r="D18" s="226" t="s">
        <v>337</v>
      </c>
      <c r="E18" s="425">
        <v>17</v>
      </c>
      <c r="F18" s="418">
        <v>1500</v>
      </c>
      <c r="G18" s="419">
        <v>88.2</v>
      </c>
      <c r="H18" s="628"/>
      <c r="I18" s="422">
        <f t="shared" si="0"/>
        <v>17</v>
      </c>
      <c r="J18" s="422">
        <f t="shared" si="1"/>
        <v>1402.9575636292025</v>
      </c>
      <c r="K18" s="200">
        <f t="shared" si="2"/>
        <v>82.526915507600137</v>
      </c>
      <c r="L18" s="581"/>
      <c r="M18" s="424">
        <f>RANK(K18, K$7:$K$36)</f>
        <v>9</v>
      </c>
      <c r="N18" s="564"/>
      <c r="O18" s="564"/>
      <c r="P18" s="418">
        <v>17</v>
      </c>
      <c r="Q18" s="425">
        <v>1422.4390243902435</v>
      </c>
      <c r="R18" s="425">
        <v>83.672883787661377</v>
      </c>
      <c r="S18" s="418">
        <f t="shared" si="3"/>
        <v>8</v>
      </c>
      <c r="T18" s="565"/>
      <c r="U18" s="425">
        <v>17</v>
      </c>
      <c r="V18" s="425">
        <v>1395.4285714285702</v>
      </c>
      <c r="W18" s="425">
        <v>82.0840336134453</v>
      </c>
      <c r="X18" s="418">
        <f t="shared" si="4"/>
        <v>9</v>
      </c>
      <c r="Y18" s="565"/>
      <c r="Z18" s="418">
        <v>17</v>
      </c>
      <c r="AA18" s="425">
        <v>1391.6129032258043</v>
      </c>
      <c r="AB18" s="425">
        <v>81.859582542694369</v>
      </c>
      <c r="AC18" s="418">
        <f t="shared" si="5"/>
        <v>7</v>
      </c>
      <c r="AD18" s="565"/>
      <c r="AE18" s="418">
        <v>17</v>
      </c>
      <c r="AF18" s="425">
        <v>1373.6842105263147</v>
      </c>
      <c r="AG18" s="425">
        <v>80.804953560371459</v>
      </c>
      <c r="AH18" s="418">
        <f t="shared" si="6"/>
        <v>9</v>
      </c>
      <c r="AI18" s="565"/>
      <c r="AJ18" s="418">
        <v>17</v>
      </c>
      <c r="AK18" s="425">
        <v>1409.1428571428557</v>
      </c>
      <c r="AL18" s="425">
        <v>82.890756302520927</v>
      </c>
      <c r="AM18" s="418">
        <f t="shared" si="7"/>
        <v>8</v>
      </c>
      <c r="AN18" s="565"/>
      <c r="AO18" s="418">
        <v>17</v>
      </c>
      <c r="AP18" s="425">
        <v>1414.736842105262</v>
      </c>
      <c r="AQ18" s="425">
        <v>83.219814241486006</v>
      </c>
      <c r="AR18" s="418">
        <f t="shared" si="8"/>
        <v>8</v>
      </c>
      <c r="AS18" s="565"/>
      <c r="AT18" s="418">
        <v>17</v>
      </c>
      <c r="AU18" s="425">
        <v>1413.6585365853653</v>
      </c>
      <c r="AV18" s="425">
        <v>83.156384505021492</v>
      </c>
      <c r="AW18" s="418">
        <f t="shared" si="9"/>
        <v>10</v>
      </c>
      <c r="AX18" s="565"/>
      <c r="AZ18" s="407" t="e">
        <f t="shared" si="10"/>
        <v>#N/A</v>
      </c>
      <c r="BA18" s="565"/>
    </row>
    <row r="19" spans="2:53">
      <c r="B19" s="570"/>
      <c r="C19" s="418">
        <v>13</v>
      </c>
      <c r="D19" s="226" t="s">
        <v>533</v>
      </c>
      <c r="E19" s="425">
        <v>20</v>
      </c>
      <c r="F19" s="418">
        <v>1440</v>
      </c>
      <c r="G19" s="419">
        <v>72</v>
      </c>
      <c r="H19" s="628"/>
      <c r="I19" s="422">
        <f t="shared" si="0"/>
        <v>20</v>
      </c>
      <c r="J19" s="422">
        <f t="shared" si="1"/>
        <v>1349.6070232523434</v>
      </c>
      <c r="K19" s="200">
        <f t="shared" si="2"/>
        <v>67.480351162617168</v>
      </c>
      <c r="L19" s="581"/>
      <c r="M19" s="424">
        <f>RANK(K19, K$7:$K$36)</f>
        <v>23</v>
      </c>
      <c r="N19" s="564"/>
      <c r="O19" s="564"/>
      <c r="P19" s="418">
        <v>20</v>
      </c>
      <c r="Q19" s="425">
        <v>1348.3783783783772</v>
      </c>
      <c r="R19" s="425">
        <v>67.418918918918862</v>
      </c>
      <c r="S19" s="418">
        <f t="shared" si="3"/>
        <v>23</v>
      </c>
      <c r="T19" s="565"/>
      <c r="U19" s="425">
        <v>20</v>
      </c>
      <c r="V19" s="425">
        <v>1324.761904761906</v>
      </c>
      <c r="W19" s="425">
        <v>66.238095238095298</v>
      </c>
      <c r="X19" s="418">
        <f t="shared" si="4"/>
        <v>24</v>
      </c>
      <c r="Y19" s="565"/>
      <c r="Z19" s="418">
        <v>20</v>
      </c>
      <c r="AA19" s="425">
        <v>1348.8461538461547</v>
      </c>
      <c r="AB19" s="425">
        <v>67.442307692307736</v>
      </c>
      <c r="AC19" s="418">
        <f t="shared" si="5"/>
        <v>23</v>
      </c>
      <c r="AD19" s="565"/>
      <c r="AE19" s="418">
        <v>20</v>
      </c>
      <c r="AF19" s="425">
        <v>1359.3103448275872</v>
      </c>
      <c r="AG19" s="425">
        <v>67.965517241379359</v>
      </c>
      <c r="AH19" s="418">
        <f t="shared" si="6"/>
        <v>23</v>
      </c>
      <c r="AI19" s="565"/>
      <c r="AJ19" s="418">
        <v>20</v>
      </c>
      <c r="AK19" s="425">
        <v>1354.0000000000014</v>
      </c>
      <c r="AL19" s="425">
        <v>67.700000000000074</v>
      </c>
      <c r="AM19" s="418">
        <f t="shared" si="7"/>
        <v>23</v>
      </c>
      <c r="AN19" s="565"/>
      <c r="AO19" s="418">
        <v>20</v>
      </c>
      <c r="AP19" s="425">
        <v>1360.2857142857129</v>
      </c>
      <c r="AQ19" s="425">
        <v>68.014285714285649</v>
      </c>
      <c r="AR19" s="418">
        <f t="shared" si="8"/>
        <v>23</v>
      </c>
      <c r="AS19" s="565"/>
      <c r="AT19" s="418">
        <v>20</v>
      </c>
      <c r="AU19" s="425">
        <v>1351.6666666666656</v>
      </c>
      <c r="AV19" s="425">
        <v>67.583333333333286</v>
      </c>
      <c r="AW19" s="418">
        <f t="shared" si="9"/>
        <v>23</v>
      </c>
      <c r="AX19" s="565"/>
      <c r="AZ19" s="407" t="e">
        <f t="shared" si="10"/>
        <v>#N/A</v>
      </c>
      <c r="BA19" s="565"/>
    </row>
    <row r="20" spans="2:53">
      <c r="B20" s="570"/>
      <c r="C20" s="418">
        <v>14</v>
      </c>
      <c r="D20" s="226" t="s">
        <v>350</v>
      </c>
      <c r="E20" s="425">
        <v>14</v>
      </c>
      <c r="F20" s="418">
        <v>1440</v>
      </c>
      <c r="G20" s="419">
        <v>102.9</v>
      </c>
      <c r="H20" s="628"/>
      <c r="I20" s="422">
        <f t="shared" si="0"/>
        <v>15</v>
      </c>
      <c r="J20" s="422">
        <f t="shared" si="1"/>
        <v>1344.0480279543515</v>
      </c>
      <c r="K20" s="200">
        <f t="shared" si="2"/>
        <v>89.603201863623426</v>
      </c>
      <c r="L20" s="581"/>
      <c r="M20" s="424">
        <f>RANK(K20, K$7:$K$36)</f>
        <v>3</v>
      </c>
      <c r="N20" s="564"/>
      <c r="O20" s="564"/>
      <c r="P20" s="418">
        <v>15</v>
      </c>
      <c r="Q20" s="425">
        <v>1352.9999999999977</v>
      </c>
      <c r="R20" s="425">
        <v>90.199999999999847</v>
      </c>
      <c r="S20" s="418">
        <f t="shared" si="3"/>
        <v>3</v>
      </c>
      <c r="T20" s="565"/>
      <c r="U20" s="425">
        <v>15</v>
      </c>
      <c r="V20" s="425">
        <v>1347.857142857144</v>
      </c>
      <c r="W20" s="425">
        <v>89.857142857142932</v>
      </c>
      <c r="X20" s="418">
        <f t="shared" si="4"/>
        <v>3</v>
      </c>
      <c r="Y20" s="565"/>
      <c r="Z20" s="418">
        <v>15</v>
      </c>
      <c r="AA20" s="425">
        <v>1357.3333333333335</v>
      </c>
      <c r="AB20" s="425">
        <v>90.488888888888894</v>
      </c>
      <c r="AC20" s="418">
        <f t="shared" si="5"/>
        <v>3</v>
      </c>
      <c r="AD20" s="565"/>
      <c r="AE20" s="418">
        <v>15</v>
      </c>
      <c r="AF20" s="425">
        <v>1326.0000000000002</v>
      </c>
      <c r="AG20" s="425">
        <v>88.40000000000002</v>
      </c>
      <c r="AH20" s="418">
        <f t="shared" si="6"/>
        <v>4</v>
      </c>
      <c r="AI20" s="565"/>
      <c r="AJ20" s="418">
        <v>15</v>
      </c>
      <c r="AK20" s="425">
        <v>1315.5555555555563</v>
      </c>
      <c r="AL20" s="425">
        <v>87.703703703703752</v>
      </c>
      <c r="AM20" s="418">
        <f t="shared" si="7"/>
        <v>3</v>
      </c>
      <c r="AN20" s="565"/>
      <c r="AO20" s="418">
        <v>15</v>
      </c>
      <c r="AP20" s="425">
        <v>1344.5901639344274</v>
      </c>
      <c r="AQ20" s="425">
        <v>89.639344262295168</v>
      </c>
      <c r="AR20" s="418">
        <f t="shared" si="8"/>
        <v>4</v>
      </c>
      <c r="AS20" s="565"/>
      <c r="AT20" s="418">
        <v>15</v>
      </c>
      <c r="AU20" s="425">
        <v>1364.0000000000014</v>
      </c>
      <c r="AV20" s="425">
        <v>90.933333333333422</v>
      </c>
      <c r="AW20" s="418">
        <f t="shared" si="9"/>
        <v>3</v>
      </c>
      <c r="AX20" s="565"/>
      <c r="AZ20" s="407" t="e">
        <f t="shared" si="10"/>
        <v>#N/A</v>
      </c>
      <c r="BA20" s="565"/>
    </row>
    <row r="21" spans="2:53">
      <c r="B21" s="570"/>
      <c r="C21" s="418">
        <v>15</v>
      </c>
      <c r="D21" s="226" t="s">
        <v>329</v>
      </c>
      <c r="E21" s="425">
        <v>19</v>
      </c>
      <c r="F21" s="418">
        <v>1440</v>
      </c>
      <c r="G21" s="419">
        <v>75.8</v>
      </c>
      <c r="H21" s="628"/>
      <c r="I21" s="422">
        <f t="shared" si="0"/>
        <v>19</v>
      </c>
      <c r="J21" s="422">
        <f t="shared" si="1"/>
        <v>1345.4829698914202</v>
      </c>
      <c r="K21" s="200">
        <f t="shared" si="2"/>
        <v>70.814893152180019</v>
      </c>
      <c r="L21" s="581"/>
      <c r="M21" s="424">
        <f>RANK(K21, K$7:$K$36)</f>
        <v>21</v>
      </c>
      <c r="N21" s="564"/>
      <c r="O21" s="564"/>
      <c r="P21" s="418">
        <v>19</v>
      </c>
      <c r="Q21" s="425">
        <v>1313.8636363636365</v>
      </c>
      <c r="R21" s="425">
        <v>69.150717703349287</v>
      </c>
      <c r="S21" s="418">
        <f t="shared" si="3"/>
        <v>21</v>
      </c>
      <c r="T21" s="565"/>
      <c r="U21" s="425">
        <v>19</v>
      </c>
      <c r="V21" s="425">
        <v>1352.4324324324314</v>
      </c>
      <c r="W21" s="425">
        <v>71.180654338549019</v>
      </c>
      <c r="X21" s="418">
        <f t="shared" si="4"/>
        <v>20</v>
      </c>
      <c r="Y21" s="565"/>
      <c r="Z21" s="418">
        <v>19</v>
      </c>
      <c r="AA21" s="425">
        <v>1329.5238095238108</v>
      </c>
      <c r="AB21" s="425">
        <v>69.974937343358462</v>
      </c>
      <c r="AC21" s="418">
        <f t="shared" si="5"/>
        <v>22</v>
      </c>
      <c r="AD21" s="565"/>
      <c r="AE21" s="418">
        <v>19</v>
      </c>
      <c r="AF21" s="425">
        <v>1340.2816901408437</v>
      </c>
      <c r="AG21" s="425">
        <v>70.541141586360197</v>
      </c>
      <c r="AH21" s="418">
        <f t="shared" si="6"/>
        <v>20</v>
      </c>
      <c r="AI21" s="565"/>
      <c r="AJ21" s="418">
        <v>19</v>
      </c>
      <c r="AK21" s="425">
        <v>1361.1428571428557</v>
      </c>
      <c r="AL21" s="425">
        <v>71.639097744360825</v>
      </c>
      <c r="AM21" s="418">
        <f t="shared" si="7"/>
        <v>21</v>
      </c>
      <c r="AN21" s="565"/>
      <c r="AO21" s="418">
        <v>19</v>
      </c>
      <c r="AP21" s="425">
        <v>1347.9545454545455</v>
      </c>
      <c r="AQ21" s="425">
        <v>70.944976076555022</v>
      </c>
      <c r="AR21" s="418">
        <f t="shared" si="8"/>
        <v>21</v>
      </c>
      <c r="AS21" s="565"/>
      <c r="AT21" s="418">
        <v>19</v>
      </c>
      <c r="AU21" s="425">
        <v>1373.1818181818182</v>
      </c>
      <c r="AV21" s="425">
        <v>72.27272727272728</v>
      </c>
      <c r="AW21" s="418">
        <f t="shared" si="9"/>
        <v>20</v>
      </c>
      <c r="AX21" s="565"/>
      <c r="AZ21" s="407" t="e">
        <f t="shared" si="10"/>
        <v>#N/A</v>
      </c>
      <c r="BA21" s="565"/>
    </row>
    <row r="22" spans="2:53">
      <c r="B22" s="570"/>
      <c r="C22" s="418">
        <v>16</v>
      </c>
      <c r="D22" s="226" t="s">
        <v>348</v>
      </c>
      <c r="E22" s="425">
        <v>19</v>
      </c>
      <c r="F22" s="418">
        <v>1440</v>
      </c>
      <c r="G22" s="419">
        <v>75.8</v>
      </c>
      <c r="H22" s="628"/>
      <c r="I22" s="422">
        <f t="shared" si="0"/>
        <v>19</v>
      </c>
      <c r="J22" s="422">
        <f t="shared" si="1"/>
        <v>1348.2404260636963</v>
      </c>
      <c r="K22" s="200">
        <f t="shared" si="2"/>
        <v>70.960022424405068</v>
      </c>
      <c r="L22" s="581"/>
      <c r="M22" s="424">
        <f>RANK(K22, K$7:$K$36)</f>
        <v>20</v>
      </c>
      <c r="N22" s="564"/>
      <c r="O22" s="564"/>
      <c r="P22" s="418">
        <v>19</v>
      </c>
      <c r="Q22" s="425">
        <v>1343.0769230769245</v>
      </c>
      <c r="R22" s="425">
        <v>70.688259109311815</v>
      </c>
      <c r="S22" s="418">
        <f t="shared" si="3"/>
        <v>20</v>
      </c>
      <c r="T22" s="565"/>
      <c r="U22" s="425">
        <v>19</v>
      </c>
      <c r="V22" s="425">
        <v>1331.3207547169818</v>
      </c>
      <c r="W22" s="425">
        <v>70.069513406156943</v>
      </c>
      <c r="X22" s="418">
        <f t="shared" si="4"/>
        <v>21</v>
      </c>
      <c r="Y22" s="565"/>
      <c r="Z22" s="418">
        <v>19</v>
      </c>
      <c r="AA22" s="425">
        <v>1351.836734693878</v>
      </c>
      <c r="AB22" s="425">
        <v>71.149301825993575</v>
      </c>
      <c r="AC22" s="418">
        <f t="shared" si="5"/>
        <v>20</v>
      </c>
      <c r="AD22" s="565"/>
      <c r="AE22" s="418">
        <v>19</v>
      </c>
      <c r="AF22" s="425">
        <v>1328.2758620689665</v>
      </c>
      <c r="AG22" s="425">
        <v>69.909255898366652</v>
      </c>
      <c r="AH22" s="418">
        <f t="shared" si="6"/>
        <v>22</v>
      </c>
      <c r="AI22" s="565"/>
      <c r="AJ22" s="418">
        <v>19</v>
      </c>
      <c r="AK22" s="425">
        <v>1380.0000000000011</v>
      </c>
      <c r="AL22" s="425">
        <v>72.631578947368482</v>
      </c>
      <c r="AM22" s="418">
        <f t="shared" si="7"/>
        <v>19</v>
      </c>
      <c r="AN22" s="565"/>
      <c r="AO22" s="418">
        <v>19</v>
      </c>
      <c r="AP22" s="425">
        <v>1354.0298507462669</v>
      </c>
      <c r="AQ22" s="425">
        <v>71.264728986645622</v>
      </c>
      <c r="AR22" s="418">
        <f t="shared" si="8"/>
        <v>20</v>
      </c>
      <c r="AS22" s="565"/>
      <c r="AT22" s="418">
        <v>19</v>
      </c>
      <c r="AU22" s="425">
        <v>1349.1428571428557</v>
      </c>
      <c r="AV22" s="425">
        <v>71.007518796992414</v>
      </c>
      <c r="AW22" s="418">
        <f t="shared" si="9"/>
        <v>21</v>
      </c>
      <c r="AX22" s="565"/>
      <c r="AZ22" s="407" t="e">
        <f t="shared" si="10"/>
        <v>#N/A</v>
      </c>
      <c r="BA22" s="565"/>
    </row>
    <row r="23" spans="2:53">
      <c r="B23" s="570"/>
      <c r="C23" s="418">
        <v>17</v>
      </c>
      <c r="D23" s="226" t="s">
        <v>614</v>
      </c>
      <c r="E23" s="425">
        <v>19</v>
      </c>
      <c r="F23" s="418">
        <v>1500</v>
      </c>
      <c r="G23" s="419">
        <v>78.900000000000006</v>
      </c>
      <c r="H23" s="628"/>
      <c r="I23" s="422">
        <f t="shared" si="0"/>
        <v>19</v>
      </c>
      <c r="J23" s="422">
        <f t="shared" si="1"/>
        <v>1389.5158018981533</v>
      </c>
      <c r="K23" s="200">
        <f t="shared" si="2"/>
        <v>73.132410626218615</v>
      </c>
      <c r="L23" s="581"/>
      <c r="M23" s="424">
        <f>RANK(K23, K$7:$K$36)</f>
        <v>19</v>
      </c>
      <c r="N23" s="564"/>
      <c r="O23" s="564"/>
      <c r="P23" s="418">
        <v>19</v>
      </c>
      <c r="Q23" s="425">
        <v>1390.4999999999993</v>
      </c>
      <c r="R23" s="425">
        <v>73.184210526315752</v>
      </c>
      <c r="S23" s="418">
        <f t="shared" si="3"/>
        <v>19</v>
      </c>
      <c r="T23" s="565"/>
      <c r="U23" s="425">
        <v>19</v>
      </c>
      <c r="V23" s="425">
        <v>1385.4545454545437</v>
      </c>
      <c r="W23" s="425">
        <v>72.918660287081252</v>
      </c>
      <c r="X23" s="418">
        <f t="shared" si="4"/>
        <v>19</v>
      </c>
      <c r="Y23" s="565"/>
      <c r="Z23" s="418">
        <v>19</v>
      </c>
      <c r="AA23" s="425">
        <v>1383.9999999999977</v>
      </c>
      <c r="AB23" s="425">
        <v>72.842105263157777</v>
      </c>
      <c r="AC23" s="418">
        <f t="shared" si="5"/>
        <v>18</v>
      </c>
      <c r="AD23" s="565"/>
      <c r="AE23" s="418">
        <v>19</v>
      </c>
      <c r="AF23" s="425">
        <v>1403.3333333333323</v>
      </c>
      <c r="AG23" s="425">
        <v>73.859649122806971</v>
      </c>
      <c r="AH23" s="418">
        <f t="shared" si="6"/>
        <v>18</v>
      </c>
      <c r="AI23" s="565"/>
      <c r="AJ23" s="418">
        <v>19</v>
      </c>
      <c r="AK23" s="425">
        <v>1367.6470588235277</v>
      </c>
      <c r="AL23" s="425">
        <v>71.98142414860672</v>
      </c>
      <c r="AM23" s="418">
        <f t="shared" si="7"/>
        <v>20</v>
      </c>
      <c r="AN23" s="565"/>
      <c r="AO23" s="418">
        <v>19</v>
      </c>
      <c r="AP23" s="425">
        <v>1402.7027027027016</v>
      </c>
      <c r="AQ23" s="425">
        <v>73.826458036984292</v>
      </c>
      <c r="AR23" s="418">
        <f t="shared" si="8"/>
        <v>18</v>
      </c>
      <c r="AS23" s="565"/>
      <c r="AT23" s="418">
        <v>19</v>
      </c>
      <c r="AU23" s="425">
        <v>1392.972972972972</v>
      </c>
      <c r="AV23" s="425">
        <v>73.314366998577469</v>
      </c>
      <c r="AW23" s="418">
        <f t="shared" si="9"/>
        <v>19</v>
      </c>
      <c r="AX23" s="565"/>
      <c r="AZ23" s="407" t="e">
        <f t="shared" si="10"/>
        <v>#N/A</v>
      </c>
      <c r="BA23" s="565"/>
    </row>
    <row r="24" spans="2:53">
      <c r="B24" s="570"/>
      <c r="C24" s="418">
        <v>18</v>
      </c>
      <c r="D24" s="226" t="s">
        <v>628</v>
      </c>
      <c r="E24" s="425">
        <v>18</v>
      </c>
      <c r="F24" s="418">
        <v>1500</v>
      </c>
      <c r="G24" s="419">
        <v>83.3</v>
      </c>
      <c r="H24" s="628"/>
      <c r="I24" s="422">
        <f t="shared" si="0"/>
        <v>18</v>
      </c>
      <c r="J24" s="422">
        <f t="shared" si="1"/>
        <v>1395.0186028065273</v>
      </c>
      <c r="K24" s="200">
        <f t="shared" si="2"/>
        <v>77.501033489251512</v>
      </c>
      <c r="L24" s="581"/>
      <c r="M24" s="424">
        <f>RANK(K24, K$7:$K$36)</f>
        <v>16</v>
      </c>
      <c r="N24" s="564"/>
      <c r="O24" s="564"/>
      <c r="P24" s="418">
        <v>18</v>
      </c>
      <c r="Q24" s="425">
        <v>1383.7499999999995</v>
      </c>
      <c r="R24" s="425">
        <v>76.874999999999972</v>
      </c>
      <c r="S24" s="418">
        <f t="shared" si="3"/>
        <v>17</v>
      </c>
      <c r="T24" s="565"/>
      <c r="U24" s="425">
        <v>18</v>
      </c>
      <c r="V24" s="425">
        <v>1388.5714285714273</v>
      </c>
      <c r="W24" s="425">
        <v>77.142857142857068</v>
      </c>
      <c r="X24" s="418">
        <f t="shared" si="4"/>
        <v>15</v>
      </c>
      <c r="Y24" s="565"/>
      <c r="Z24" s="418">
        <v>18</v>
      </c>
      <c r="AA24" s="425">
        <v>1425.8181818181829</v>
      </c>
      <c r="AB24" s="425">
        <v>79.212121212121275</v>
      </c>
      <c r="AC24" s="418">
        <f t="shared" si="5"/>
        <v>10</v>
      </c>
      <c r="AD24" s="565"/>
      <c r="AE24" s="418">
        <v>18</v>
      </c>
      <c r="AF24" s="425">
        <v>1403.7931034482767</v>
      </c>
      <c r="AG24" s="425">
        <v>77.988505747126482</v>
      </c>
      <c r="AH24" s="418">
        <f t="shared" si="6"/>
        <v>14</v>
      </c>
      <c r="AI24" s="565"/>
      <c r="AJ24" s="418">
        <v>18</v>
      </c>
      <c r="AK24" s="425">
        <v>1392.7868852459028</v>
      </c>
      <c r="AL24" s="425">
        <v>77.37704918032793</v>
      </c>
      <c r="AM24" s="418">
        <f t="shared" si="7"/>
        <v>14</v>
      </c>
      <c r="AN24" s="565"/>
      <c r="AO24" s="418">
        <v>18</v>
      </c>
      <c r="AP24" s="425">
        <v>1385.853658536585</v>
      </c>
      <c r="AQ24" s="425">
        <v>76.991869918699166</v>
      </c>
      <c r="AR24" s="418">
        <f t="shared" si="8"/>
        <v>16</v>
      </c>
      <c r="AS24" s="565"/>
      <c r="AT24" s="418">
        <v>18</v>
      </c>
      <c r="AU24" s="425">
        <v>1384.5569620253157</v>
      </c>
      <c r="AV24" s="425">
        <v>76.919831223628648</v>
      </c>
      <c r="AW24" s="418">
        <f t="shared" si="9"/>
        <v>16</v>
      </c>
      <c r="AX24" s="565"/>
      <c r="AZ24" s="407" t="e">
        <f t="shared" si="10"/>
        <v>#N/A</v>
      </c>
      <c r="BA24" s="565"/>
    </row>
    <row r="25" spans="2:53">
      <c r="B25" s="570"/>
      <c r="C25" s="418">
        <v>19</v>
      </c>
      <c r="D25" s="226" t="s">
        <v>530</v>
      </c>
      <c r="E25" s="425">
        <v>17</v>
      </c>
      <c r="F25" s="418">
        <v>1440</v>
      </c>
      <c r="G25" s="419">
        <v>84.7</v>
      </c>
      <c r="H25" s="628"/>
      <c r="I25" s="422">
        <f t="shared" si="0"/>
        <v>17</v>
      </c>
      <c r="J25" s="422">
        <f t="shared" si="1"/>
        <v>1348.2092259564467</v>
      </c>
      <c r="K25" s="200">
        <f t="shared" si="2"/>
        <v>79.30642505626156</v>
      </c>
      <c r="L25" s="581"/>
      <c r="M25" s="424">
        <f>RANK(K25, K$7:$K$36)</f>
        <v>15</v>
      </c>
      <c r="N25" s="564"/>
      <c r="O25" s="564"/>
      <c r="P25" s="418">
        <v>17</v>
      </c>
      <c r="Q25" s="425">
        <v>1370.8695652173915</v>
      </c>
      <c r="R25" s="425">
        <v>80.639386189258317</v>
      </c>
      <c r="S25" s="418">
        <f t="shared" si="3"/>
        <v>15</v>
      </c>
      <c r="T25" s="565"/>
      <c r="U25" s="425">
        <v>17</v>
      </c>
      <c r="V25" s="425">
        <v>1370.5263157894726</v>
      </c>
      <c r="W25" s="425">
        <v>80.619195046439572</v>
      </c>
      <c r="X25" s="418">
        <f t="shared" si="4"/>
        <v>10</v>
      </c>
      <c r="Y25" s="565"/>
      <c r="Z25" s="418">
        <v>17</v>
      </c>
      <c r="AA25" s="425">
        <v>1346.2499999999982</v>
      </c>
      <c r="AB25" s="425">
        <v>79.191176470588132</v>
      </c>
      <c r="AC25" s="418">
        <f t="shared" si="5"/>
        <v>11</v>
      </c>
      <c r="AD25" s="565"/>
      <c r="AE25" s="418">
        <v>17</v>
      </c>
      <c r="AF25" s="425">
        <v>1336.2162162162151</v>
      </c>
      <c r="AG25" s="425">
        <v>78.600953895071484</v>
      </c>
      <c r="AH25" s="418">
        <f t="shared" si="6"/>
        <v>13</v>
      </c>
      <c r="AI25" s="565"/>
      <c r="AJ25" s="418">
        <v>17</v>
      </c>
      <c r="AK25" s="425">
        <v>1321.4285714285709</v>
      </c>
      <c r="AL25" s="425">
        <v>77.731092436974762</v>
      </c>
      <c r="AM25" s="418">
        <f t="shared" si="7"/>
        <v>13</v>
      </c>
      <c r="AN25" s="565"/>
      <c r="AO25" s="418">
        <v>17</v>
      </c>
      <c r="AP25" s="425">
        <v>1350.0000000000005</v>
      </c>
      <c r="AQ25" s="425">
        <v>79.411764705882376</v>
      </c>
      <c r="AR25" s="418">
        <f t="shared" si="8"/>
        <v>14</v>
      </c>
      <c r="AS25" s="565"/>
      <c r="AT25" s="418">
        <v>17</v>
      </c>
      <c r="AU25" s="425">
        <v>1342.1739130434783</v>
      </c>
      <c r="AV25" s="425">
        <v>78.951406649616374</v>
      </c>
      <c r="AW25" s="418">
        <f t="shared" si="9"/>
        <v>15</v>
      </c>
      <c r="AX25" s="565"/>
      <c r="AZ25" s="407" t="e">
        <f t="shared" si="10"/>
        <v>#N/A</v>
      </c>
      <c r="BA25" s="565"/>
    </row>
    <row r="26" spans="2:53">
      <c r="B26" s="570"/>
      <c r="C26" s="418">
        <v>20</v>
      </c>
      <c r="D26" s="226" t="s">
        <v>534</v>
      </c>
      <c r="E26" s="425">
        <v>18</v>
      </c>
      <c r="F26" s="418">
        <v>1500</v>
      </c>
      <c r="G26" s="419">
        <v>83.3</v>
      </c>
      <c r="H26" s="628"/>
      <c r="I26" s="422">
        <f t="shared" si="0"/>
        <v>18</v>
      </c>
      <c r="J26" s="422">
        <f t="shared" si="1"/>
        <v>1394.4561253143438</v>
      </c>
      <c r="K26" s="200">
        <f t="shared" si="2"/>
        <v>77.469784739685764</v>
      </c>
      <c r="L26" s="581"/>
      <c r="M26" s="424">
        <f>RANK(K26, K$7:$K$36)</f>
        <v>17</v>
      </c>
      <c r="N26" s="564"/>
      <c r="O26" s="564"/>
      <c r="P26" s="418">
        <v>18</v>
      </c>
      <c r="Q26" s="425">
        <v>1420.677966101696</v>
      </c>
      <c r="R26" s="425">
        <v>78.926553672316444</v>
      </c>
      <c r="S26" s="418">
        <f t="shared" si="3"/>
        <v>16</v>
      </c>
      <c r="T26" s="565"/>
      <c r="U26" s="425">
        <v>18</v>
      </c>
      <c r="V26" s="425">
        <v>1405.3846153846162</v>
      </c>
      <c r="W26" s="425">
        <v>78.076923076923123</v>
      </c>
      <c r="X26" s="418">
        <f t="shared" si="4"/>
        <v>12</v>
      </c>
      <c r="Y26" s="565"/>
      <c r="Z26" s="418">
        <v>18</v>
      </c>
      <c r="AA26" s="425">
        <v>1399.4999999999995</v>
      </c>
      <c r="AB26" s="425">
        <v>77.749999999999972</v>
      </c>
      <c r="AC26" s="418">
        <f t="shared" si="5"/>
        <v>14</v>
      </c>
      <c r="AD26" s="565"/>
      <c r="AE26" s="418">
        <v>18</v>
      </c>
      <c r="AF26" s="425">
        <v>1399.5348837209301</v>
      </c>
      <c r="AG26" s="425">
        <v>77.751937984496124</v>
      </c>
      <c r="AH26" s="418">
        <f t="shared" si="6"/>
        <v>15</v>
      </c>
      <c r="AI26" s="565"/>
      <c r="AJ26" s="418">
        <v>18</v>
      </c>
      <c r="AK26" s="425">
        <v>1373.207547169812</v>
      </c>
      <c r="AL26" s="425">
        <v>76.289308176100661</v>
      </c>
      <c r="AM26" s="418">
        <f t="shared" si="7"/>
        <v>15</v>
      </c>
      <c r="AN26" s="565"/>
      <c r="AO26" s="418">
        <v>18</v>
      </c>
      <c r="AP26" s="425">
        <v>1381.9354838709689</v>
      </c>
      <c r="AQ26" s="425">
        <v>76.77419354838716</v>
      </c>
      <c r="AR26" s="418">
        <f t="shared" si="8"/>
        <v>17</v>
      </c>
      <c r="AS26" s="565"/>
      <c r="AT26" s="418">
        <v>18</v>
      </c>
      <c r="AU26" s="425">
        <v>1380.9523809523826</v>
      </c>
      <c r="AV26" s="425">
        <v>76.719576719576807</v>
      </c>
      <c r="AW26" s="418">
        <f t="shared" si="9"/>
        <v>17</v>
      </c>
      <c r="AX26" s="565"/>
      <c r="AZ26" s="407" t="e">
        <f t="shared" si="10"/>
        <v>#N/A</v>
      </c>
      <c r="BA26" s="565"/>
    </row>
    <row r="27" spans="2:53">
      <c r="B27" s="570"/>
      <c r="C27" s="418">
        <v>21</v>
      </c>
      <c r="D27" s="226" t="s">
        <v>618</v>
      </c>
      <c r="E27" s="425">
        <v>18</v>
      </c>
      <c r="F27" s="418">
        <v>1636</v>
      </c>
      <c r="G27" s="419">
        <v>90.9</v>
      </c>
      <c r="H27" s="628"/>
      <c r="I27" s="422">
        <f t="shared" si="0"/>
        <v>18</v>
      </c>
      <c r="J27" s="422">
        <f t="shared" si="1"/>
        <v>1437.6554321137487</v>
      </c>
      <c r="K27" s="200">
        <f t="shared" si="2"/>
        <v>79.869746228541615</v>
      </c>
      <c r="L27" s="581"/>
      <c r="M27" s="424">
        <f>RANK(K27, K$7:$K$36)</f>
        <v>14</v>
      </c>
      <c r="N27" s="564"/>
      <c r="O27" s="564"/>
      <c r="P27" s="418">
        <v>18</v>
      </c>
      <c r="Q27" s="425">
        <v>1465.3333333333333</v>
      </c>
      <c r="R27" s="425">
        <v>81.407407407407405</v>
      </c>
      <c r="S27" s="418">
        <f t="shared" si="3"/>
        <v>13</v>
      </c>
      <c r="T27" s="565"/>
      <c r="U27" s="425">
        <v>18</v>
      </c>
      <c r="V27" s="425">
        <v>1439.9999999999995</v>
      </c>
      <c r="W27" s="425">
        <v>79.999999999999972</v>
      </c>
      <c r="X27" s="418">
        <f t="shared" si="4"/>
        <v>11</v>
      </c>
      <c r="Y27" s="565"/>
      <c r="Z27" s="418">
        <v>18</v>
      </c>
      <c r="AA27" s="425">
        <v>1398.0000000000002</v>
      </c>
      <c r="AB27" s="425">
        <v>77.666666666666686</v>
      </c>
      <c r="AC27" s="418">
        <f t="shared" si="5"/>
        <v>15</v>
      </c>
      <c r="AD27" s="565"/>
      <c r="AE27" s="418">
        <v>18</v>
      </c>
      <c r="AF27" s="425">
        <v>1430.4761904761901</v>
      </c>
      <c r="AG27" s="425">
        <v>79.470899470899454</v>
      </c>
      <c r="AH27" s="418">
        <f t="shared" si="6"/>
        <v>12</v>
      </c>
      <c r="AI27" s="565"/>
      <c r="AJ27" s="418">
        <v>18</v>
      </c>
      <c r="AK27" s="425">
        <v>1456.7088607594928</v>
      </c>
      <c r="AL27" s="425">
        <v>80.928270042194043</v>
      </c>
      <c r="AM27" s="418">
        <f t="shared" si="7"/>
        <v>11</v>
      </c>
      <c r="AN27" s="565"/>
      <c r="AO27" s="418">
        <v>18</v>
      </c>
      <c r="AP27" s="425">
        <v>1420.8247422680417</v>
      </c>
      <c r="AQ27" s="425">
        <v>78.934707903780094</v>
      </c>
      <c r="AR27" s="418">
        <f t="shared" si="8"/>
        <v>15</v>
      </c>
      <c r="AS27" s="565"/>
      <c r="AT27" s="418">
        <v>18</v>
      </c>
      <c r="AU27" s="425">
        <v>1452.2448979591841</v>
      </c>
      <c r="AV27" s="425">
        <v>80.680272108843553</v>
      </c>
      <c r="AW27" s="418">
        <f t="shared" si="9"/>
        <v>14</v>
      </c>
      <c r="AX27" s="565"/>
      <c r="AZ27" s="407" t="e">
        <f t="shared" si="10"/>
        <v>#N/A</v>
      </c>
      <c r="BA27" s="565"/>
    </row>
    <row r="28" spans="2:53">
      <c r="B28" s="570"/>
      <c r="C28" s="418">
        <v>22</v>
      </c>
      <c r="D28" s="226" t="s">
        <v>536</v>
      </c>
      <c r="E28" s="425">
        <v>20</v>
      </c>
      <c r="F28" s="418">
        <v>1500</v>
      </c>
      <c r="G28" s="419">
        <v>75</v>
      </c>
      <c r="H28" s="628"/>
      <c r="I28" s="422">
        <f t="shared" si="0"/>
        <v>20</v>
      </c>
      <c r="J28" s="422">
        <f t="shared" si="1"/>
        <v>1242.3339655783122</v>
      </c>
      <c r="K28" s="200">
        <f t="shared" si="2"/>
        <v>62.116698278915599</v>
      </c>
      <c r="L28" s="581"/>
      <c r="M28" s="424">
        <f>RANK(K28, K$7:$K$36)</f>
        <v>25</v>
      </c>
      <c r="N28" s="564"/>
      <c r="O28" s="564"/>
      <c r="P28" s="418">
        <v>20</v>
      </c>
      <c r="Q28" s="425">
        <v>1269.6000000000004</v>
      </c>
      <c r="R28" s="425">
        <v>63.480000000000018</v>
      </c>
      <c r="S28" s="418">
        <f t="shared" si="3"/>
        <v>25</v>
      </c>
      <c r="T28" s="565"/>
      <c r="U28" s="425">
        <v>20</v>
      </c>
      <c r="V28" s="425">
        <v>1232.7272727272727</v>
      </c>
      <c r="W28" s="425">
        <v>61.63636363636364</v>
      </c>
      <c r="X28" s="418">
        <f t="shared" si="4"/>
        <v>25</v>
      </c>
      <c r="Y28" s="565"/>
      <c r="Z28" s="418">
        <v>20</v>
      </c>
      <c r="AA28" s="425">
        <v>1231.5789473684201</v>
      </c>
      <c r="AB28" s="425">
        <v>61.578947368421005</v>
      </c>
      <c r="AC28" s="418">
        <f t="shared" si="5"/>
        <v>26</v>
      </c>
      <c r="AD28" s="565"/>
      <c r="AE28" s="418">
        <v>20</v>
      </c>
      <c r="AF28" s="425">
        <v>1219.5348837209301</v>
      </c>
      <c r="AG28" s="425">
        <v>60.976744186046503</v>
      </c>
      <c r="AH28" s="418">
        <f t="shared" si="6"/>
        <v>26</v>
      </c>
      <c r="AI28" s="565"/>
      <c r="AJ28" s="418">
        <v>20</v>
      </c>
      <c r="AK28" s="425">
        <v>1261.3636363636365</v>
      </c>
      <c r="AL28" s="425">
        <v>63.068181818181827</v>
      </c>
      <c r="AM28" s="418">
        <f t="shared" si="7"/>
        <v>25</v>
      </c>
      <c r="AN28" s="565"/>
      <c r="AO28" s="418">
        <v>20</v>
      </c>
      <c r="AP28" s="425">
        <v>1245.2830188679252</v>
      </c>
      <c r="AQ28" s="425">
        <v>62.26415094339626</v>
      </c>
      <c r="AR28" s="418">
        <f t="shared" si="8"/>
        <v>26</v>
      </c>
      <c r="AS28" s="565"/>
      <c r="AT28" s="418">
        <v>20</v>
      </c>
      <c r="AU28" s="425">
        <v>1236.2500000000002</v>
      </c>
      <c r="AV28" s="425">
        <v>61.812500000000014</v>
      </c>
      <c r="AW28" s="418">
        <f t="shared" si="9"/>
        <v>25</v>
      </c>
      <c r="AX28" s="565"/>
      <c r="AZ28" s="407" t="e">
        <f t="shared" si="10"/>
        <v>#N/A</v>
      </c>
      <c r="BA28" s="565"/>
    </row>
    <row r="29" spans="2:53">
      <c r="B29" s="570"/>
      <c r="C29" s="418">
        <v>23</v>
      </c>
      <c r="D29" s="226" t="s">
        <v>615</v>
      </c>
      <c r="E29" s="425">
        <v>17</v>
      </c>
      <c r="F29" s="418">
        <v>1565</v>
      </c>
      <c r="G29" s="419">
        <v>92.1</v>
      </c>
      <c r="H29" s="628"/>
      <c r="I29" s="422">
        <f t="shared" si="0"/>
        <v>17</v>
      </c>
      <c r="J29" s="422">
        <f t="shared" si="1"/>
        <v>1380.5999362499192</v>
      </c>
      <c r="K29" s="200">
        <f t="shared" si="2"/>
        <v>81.211760955877594</v>
      </c>
      <c r="L29" s="581"/>
      <c r="M29" s="424">
        <f>RANK(K29, K$7:$K$36)</f>
        <v>11</v>
      </c>
      <c r="N29" s="564"/>
      <c r="O29" s="564"/>
      <c r="P29" s="418">
        <v>17</v>
      </c>
      <c r="Q29" s="425">
        <v>1385.7142857142853</v>
      </c>
      <c r="R29" s="425">
        <v>81.512605042016787</v>
      </c>
      <c r="S29" s="418">
        <f t="shared" si="3"/>
        <v>12</v>
      </c>
      <c r="T29" s="565"/>
      <c r="U29" s="425">
        <v>17</v>
      </c>
      <c r="V29" s="425">
        <v>1323.2432432432422</v>
      </c>
      <c r="W29" s="425">
        <v>77.837837837837782</v>
      </c>
      <c r="X29" s="418">
        <f t="shared" si="4"/>
        <v>13</v>
      </c>
      <c r="Y29" s="565"/>
      <c r="Z29" s="418">
        <v>17</v>
      </c>
      <c r="AA29" s="425">
        <v>1368.3870967741914</v>
      </c>
      <c r="AB29" s="425">
        <v>80.493358633775969</v>
      </c>
      <c r="AC29" s="418">
        <f t="shared" si="5"/>
        <v>9</v>
      </c>
      <c r="AD29" s="565"/>
      <c r="AE29" s="418">
        <v>17</v>
      </c>
      <c r="AF29" s="425">
        <v>1371.42857142857</v>
      </c>
      <c r="AG29" s="425">
        <v>80.672268907562938</v>
      </c>
      <c r="AH29" s="418">
        <f t="shared" si="6"/>
        <v>11</v>
      </c>
      <c r="AI29" s="565"/>
      <c r="AJ29" s="418">
        <v>17</v>
      </c>
      <c r="AK29" s="425">
        <v>1413.3333333333321</v>
      </c>
      <c r="AL29" s="425">
        <v>83.137254901960716</v>
      </c>
      <c r="AM29" s="418">
        <f t="shared" si="7"/>
        <v>7</v>
      </c>
      <c r="AN29" s="565"/>
      <c r="AO29" s="418">
        <v>17</v>
      </c>
      <c r="AP29" s="425">
        <v>1412.0930232558137</v>
      </c>
      <c r="AQ29" s="425">
        <v>83.064295485636094</v>
      </c>
      <c r="AR29" s="418">
        <f t="shared" si="8"/>
        <v>9</v>
      </c>
      <c r="AS29" s="565"/>
      <c r="AT29" s="418">
        <v>17</v>
      </c>
      <c r="AU29" s="425">
        <v>1389.9999999999995</v>
      </c>
      <c r="AV29" s="425">
        <v>81.764705882352914</v>
      </c>
      <c r="AW29" s="418">
        <f t="shared" si="9"/>
        <v>11</v>
      </c>
      <c r="AX29" s="565"/>
      <c r="AZ29" s="407" t="e">
        <f t="shared" si="10"/>
        <v>#N/A</v>
      </c>
      <c r="BA29" s="565"/>
    </row>
    <row r="30" spans="2:53">
      <c r="B30" s="570"/>
      <c r="C30" s="418">
        <v>24</v>
      </c>
      <c r="D30" s="226" t="s">
        <v>616</v>
      </c>
      <c r="E30" s="425">
        <v>15</v>
      </c>
      <c r="F30" s="418">
        <v>1440</v>
      </c>
      <c r="G30" s="419">
        <v>96</v>
      </c>
      <c r="H30" s="628"/>
      <c r="I30" s="422">
        <f t="shared" si="0"/>
        <v>15</v>
      </c>
      <c r="J30" s="422">
        <f t="shared" si="1"/>
        <v>1248.1921402969767</v>
      </c>
      <c r="K30" s="200">
        <f t="shared" si="2"/>
        <v>83.212809353131789</v>
      </c>
      <c r="L30" s="581"/>
      <c r="M30" s="424">
        <f>RANK(K30, K$7:$K$36)</f>
        <v>6</v>
      </c>
      <c r="N30" s="564"/>
      <c r="O30" s="564"/>
      <c r="P30" s="418">
        <v>15</v>
      </c>
      <c r="Q30" s="425">
        <v>1338.7499999999982</v>
      </c>
      <c r="R30" s="425">
        <v>89.249999999999872</v>
      </c>
      <c r="S30" s="418">
        <f t="shared" si="3"/>
        <v>5</v>
      </c>
      <c r="T30" s="565"/>
      <c r="U30" s="425">
        <v>15</v>
      </c>
      <c r="V30" s="425">
        <v>1319.9999999999975</v>
      </c>
      <c r="W30" s="425">
        <v>87.999999999999829</v>
      </c>
      <c r="X30" s="418">
        <f t="shared" si="4"/>
        <v>4</v>
      </c>
      <c r="Y30" s="565"/>
      <c r="Z30" s="418">
        <v>15</v>
      </c>
      <c r="AA30" s="425">
        <v>1131.1111111111086</v>
      </c>
      <c r="AB30" s="425">
        <v>75.407407407407234</v>
      </c>
      <c r="AC30" s="418">
        <f t="shared" si="5"/>
        <v>16</v>
      </c>
      <c r="AD30" s="565"/>
      <c r="AE30" s="418">
        <v>15</v>
      </c>
      <c r="AF30" s="425">
        <v>1151.999999999998</v>
      </c>
      <c r="AG30" s="425">
        <v>76.799999999999869</v>
      </c>
      <c r="AH30" s="418">
        <f t="shared" si="6"/>
        <v>16</v>
      </c>
      <c r="AI30" s="565"/>
      <c r="AJ30" s="418">
        <v>15</v>
      </c>
      <c r="AK30" s="425">
        <v>1139.999999999998</v>
      </c>
      <c r="AL30" s="425">
        <v>75.999999999999858</v>
      </c>
      <c r="AM30" s="418">
        <f t="shared" si="7"/>
        <v>16</v>
      </c>
      <c r="AN30" s="565"/>
      <c r="AO30" s="418">
        <v>15</v>
      </c>
      <c r="AP30" s="425">
        <v>1347.096774193546</v>
      </c>
      <c r="AQ30" s="425">
        <v>89.806451612903075</v>
      </c>
      <c r="AR30" s="418">
        <f t="shared" si="8"/>
        <v>3</v>
      </c>
      <c r="AS30" s="565"/>
      <c r="AT30" s="418">
        <v>15</v>
      </c>
      <c r="AU30" s="425">
        <v>1308.3870967741916</v>
      </c>
      <c r="AV30" s="425">
        <v>87.225806451612769</v>
      </c>
      <c r="AW30" s="418">
        <f t="shared" si="9"/>
        <v>5</v>
      </c>
      <c r="AX30" s="565"/>
      <c r="AZ30" s="407" t="e">
        <f t="shared" si="10"/>
        <v>#N/A</v>
      </c>
      <c r="BA30" s="565"/>
    </row>
    <row r="31" spans="2:53">
      <c r="B31" s="570"/>
      <c r="C31" s="418">
        <v>25</v>
      </c>
      <c r="D31" s="226" t="s">
        <v>583</v>
      </c>
      <c r="E31" s="425">
        <v>21</v>
      </c>
      <c r="F31" s="418">
        <v>1500</v>
      </c>
      <c r="G31" s="419">
        <v>71.400000000000006</v>
      </c>
      <c r="H31" s="628"/>
      <c r="I31" s="422">
        <f t="shared" si="0"/>
        <v>21</v>
      </c>
      <c r="J31" s="422">
        <f t="shared" si="1"/>
        <v>1299.0589993623416</v>
      </c>
      <c r="K31" s="200">
        <f t="shared" si="2"/>
        <v>61.859952350587704</v>
      </c>
      <c r="L31" s="581"/>
      <c r="M31" s="424">
        <f>RANK(K31, K$7:$K$36)</f>
        <v>26</v>
      </c>
      <c r="N31" s="564"/>
      <c r="O31" s="564"/>
      <c r="P31" s="418">
        <v>21</v>
      </c>
      <c r="Q31" s="425">
        <v>1257.391304347826</v>
      </c>
      <c r="R31" s="425">
        <v>59.875776397515523</v>
      </c>
      <c r="S31" s="418">
        <f t="shared" si="3"/>
        <v>26</v>
      </c>
      <c r="T31" s="565"/>
      <c r="U31" s="425">
        <v>21</v>
      </c>
      <c r="V31" s="425">
        <v>1267.8947368421043</v>
      </c>
      <c r="W31" s="425">
        <v>60.375939849624011</v>
      </c>
      <c r="X31" s="418">
        <f t="shared" si="4"/>
        <v>26</v>
      </c>
      <c r="Y31" s="565"/>
      <c r="Z31" s="418">
        <v>21</v>
      </c>
      <c r="AA31" s="425">
        <v>1319.9999999999982</v>
      </c>
      <c r="AB31" s="425">
        <v>62.857142857142769</v>
      </c>
      <c r="AC31" s="418">
        <f t="shared" si="5"/>
        <v>25</v>
      </c>
      <c r="AD31" s="565"/>
      <c r="AE31" s="418">
        <v>21</v>
      </c>
      <c r="AF31" s="425">
        <v>1338.3333333333323</v>
      </c>
      <c r="AG31" s="425">
        <v>63.730158730158685</v>
      </c>
      <c r="AH31" s="418">
        <f t="shared" si="6"/>
        <v>25</v>
      </c>
      <c r="AI31" s="565"/>
      <c r="AJ31" s="418">
        <v>21</v>
      </c>
      <c r="AK31" s="425">
        <v>1310.76923076923</v>
      </c>
      <c r="AL31" s="425">
        <v>62.417582417582381</v>
      </c>
      <c r="AM31" s="418">
        <f t="shared" si="7"/>
        <v>26</v>
      </c>
      <c r="AN31" s="565"/>
      <c r="AO31" s="418">
        <v>21</v>
      </c>
      <c r="AP31" s="425">
        <v>1339.024390243902</v>
      </c>
      <c r="AQ31" s="425">
        <v>63.76306620209057</v>
      </c>
      <c r="AR31" s="418">
        <f t="shared" si="8"/>
        <v>25</v>
      </c>
      <c r="AS31" s="565"/>
      <c r="AT31" s="418">
        <v>21</v>
      </c>
      <c r="AU31" s="425">
        <v>1260</v>
      </c>
      <c r="AV31" s="425">
        <v>60</v>
      </c>
      <c r="AW31" s="418">
        <f t="shared" si="9"/>
        <v>26</v>
      </c>
      <c r="AX31" s="565"/>
      <c r="AZ31" s="407" t="e">
        <f t="shared" si="10"/>
        <v>#N/A</v>
      </c>
      <c r="BA31" s="565"/>
    </row>
    <row r="32" spans="2:53">
      <c r="B32" s="570"/>
      <c r="C32" s="418">
        <v>26</v>
      </c>
      <c r="D32" s="226" t="s">
        <v>617</v>
      </c>
      <c r="E32" s="425">
        <v>19</v>
      </c>
      <c r="F32" s="418">
        <v>1500</v>
      </c>
      <c r="G32" s="419">
        <v>78.900000000000006</v>
      </c>
      <c r="H32" s="628"/>
      <c r="I32" s="422">
        <f t="shared" si="0"/>
        <v>19.142857142857142</v>
      </c>
      <c r="J32" s="422">
        <f t="shared" si="1"/>
        <v>1256.0145576566704</v>
      </c>
      <c r="K32" s="200">
        <f t="shared" si="2"/>
        <v>65.624611520061066</v>
      </c>
      <c r="L32" s="581"/>
      <c r="M32" s="424">
        <f>RANK(K32, K$7:$K$36)</f>
        <v>24</v>
      </c>
      <c r="N32" s="564"/>
      <c r="O32" s="564"/>
      <c r="P32" s="418">
        <v>20</v>
      </c>
      <c r="Q32" s="425">
        <v>1280.5714285714273</v>
      </c>
      <c r="R32" s="425">
        <v>64.028571428571368</v>
      </c>
      <c r="S32" s="418">
        <f t="shared" si="3"/>
        <v>24</v>
      </c>
      <c r="T32" s="565"/>
      <c r="U32" s="425">
        <v>19</v>
      </c>
      <c r="V32" s="425">
        <v>1264.0677966101705</v>
      </c>
      <c r="W32" s="425">
        <v>66.529884032114239</v>
      </c>
      <c r="X32" s="418">
        <f t="shared" si="4"/>
        <v>23</v>
      </c>
      <c r="Y32" s="565"/>
      <c r="Z32" s="418">
        <v>19</v>
      </c>
      <c r="AA32" s="425">
        <v>1262.264150943397</v>
      </c>
      <c r="AB32" s="425">
        <v>66.434955312810374</v>
      </c>
      <c r="AC32" s="418">
        <f t="shared" si="5"/>
        <v>24</v>
      </c>
      <c r="AD32" s="565"/>
      <c r="AE32" s="418">
        <v>19</v>
      </c>
      <c r="AF32" s="425">
        <v>1254.736842105264</v>
      </c>
      <c r="AG32" s="425">
        <v>66.038781163434948</v>
      </c>
      <c r="AH32" s="418">
        <f t="shared" si="6"/>
        <v>24</v>
      </c>
      <c r="AI32" s="565"/>
      <c r="AJ32" s="418">
        <v>19</v>
      </c>
      <c r="AK32" s="425">
        <v>1253.8983050847467</v>
      </c>
      <c r="AL32" s="425">
        <v>65.994647636039304</v>
      </c>
      <c r="AM32" s="418">
        <f t="shared" si="7"/>
        <v>24</v>
      </c>
      <c r="AN32" s="565"/>
      <c r="AO32" s="418">
        <v>19</v>
      </c>
      <c r="AP32" s="425">
        <v>1240.5633802816888</v>
      </c>
      <c r="AQ32" s="425">
        <v>65.292809488509931</v>
      </c>
      <c r="AR32" s="418">
        <f t="shared" si="8"/>
        <v>24</v>
      </c>
      <c r="AS32" s="565"/>
      <c r="AT32" s="418">
        <v>19</v>
      </c>
      <c r="AU32" s="425">
        <v>1235.9999999999989</v>
      </c>
      <c r="AV32" s="425">
        <v>65.052631578947313</v>
      </c>
      <c r="AW32" s="418">
        <f t="shared" si="9"/>
        <v>24</v>
      </c>
      <c r="AX32" s="565"/>
      <c r="AZ32" s="407" t="e">
        <f t="shared" si="10"/>
        <v>#N/A</v>
      </c>
      <c r="BA32" s="565"/>
    </row>
    <row r="33" spans="2:53">
      <c r="B33" s="570"/>
      <c r="C33" s="418">
        <v>27</v>
      </c>
      <c r="D33" s="226" t="s">
        <v>673</v>
      </c>
      <c r="E33" s="425">
        <v>20</v>
      </c>
      <c r="F33" s="418">
        <v>1300</v>
      </c>
      <c r="G33" s="419">
        <v>65</v>
      </c>
      <c r="H33" s="628"/>
      <c r="I33" s="422">
        <f t="shared" si="0"/>
        <v>20</v>
      </c>
      <c r="J33" s="422">
        <f t="shared" si="1"/>
        <v>1109.5734858254209</v>
      </c>
      <c r="K33" s="200">
        <f t="shared" si="2"/>
        <v>55.478674291271069</v>
      </c>
      <c r="L33" s="581"/>
      <c r="M33" s="424">
        <f>RANK(K33, K$7:$K$36)</f>
        <v>27</v>
      </c>
      <c r="N33" s="564"/>
      <c r="O33" s="564"/>
      <c r="P33" s="418">
        <v>20</v>
      </c>
      <c r="Q33" s="425">
        <v>1102.4295302013427</v>
      </c>
      <c r="R33" s="425">
        <v>55.121476510067133</v>
      </c>
      <c r="S33" s="418">
        <f t="shared" si="3"/>
        <v>27</v>
      </c>
      <c r="T33" s="565"/>
      <c r="U33" s="425">
        <v>20</v>
      </c>
      <c r="V33" s="425">
        <v>1093.431818181818</v>
      </c>
      <c r="W33" s="425">
        <v>54.671590909090902</v>
      </c>
      <c r="X33" s="418">
        <f t="shared" si="4"/>
        <v>27</v>
      </c>
      <c r="Y33" s="565"/>
      <c r="Z33" s="418">
        <v>20</v>
      </c>
      <c r="AA33" s="425">
        <v>1100.435643564357</v>
      </c>
      <c r="AB33" s="425">
        <v>55.021782178217848</v>
      </c>
      <c r="AC33" s="418">
        <f t="shared" si="5"/>
        <v>27</v>
      </c>
      <c r="AD33" s="565"/>
      <c r="AE33" s="418">
        <v>20</v>
      </c>
      <c r="AF33" s="425">
        <v>1115.7303370786517</v>
      </c>
      <c r="AG33" s="425">
        <v>55.786516853932582</v>
      </c>
      <c r="AH33" s="418">
        <f t="shared" si="6"/>
        <v>27</v>
      </c>
      <c r="AI33" s="565"/>
      <c r="AJ33" s="418">
        <v>20</v>
      </c>
      <c r="AK33" s="425">
        <v>1106.4705882352946</v>
      </c>
      <c r="AL33" s="425">
        <v>55.323529411764731</v>
      </c>
      <c r="AM33" s="418">
        <f t="shared" si="7"/>
        <v>27</v>
      </c>
      <c r="AN33" s="565"/>
      <c r="AO33" s="418">
        <v>20</v>
      </c>
      <c r="AP33" s="425">
        <v>1119.2307692307697</v>
      </c>
      <c r="AQ33" s="425">
        <v>55.961538461538488</v>
      </c>
      <c r="AR33" s="418">
        <f t="shared" si="8"/>
        <v>27</v>
      </c>
      <c r="AS33" s="565"/>
      <c r="AT33" s="418">
        <v>20</v>
      </c>
      <c r="AU33" s="425">
        <v>1129.285714285714</v>
      </c>
      <c r="AV33" s="425">
        <v>56.464285714285701</v>
      </c>
      <c r="AW33" s="418">
        <f t="shared" si="9"/>
        <v>27</v>
      </c>
      <c r="AX33" s="565"/>
      <c r="AZ33" s="407" t="e">
        <f t="shared" si="10"/>
        <v>#N/A</v>
      </c>
      <c r="BA33" s="565"/>
    </row>
    <row r="34" spans="2:53">
      <c r="B34" s="570"/>
      <c r="C34" s="418">
        <v>28</v>
      </c>
      <c r="D34" s="226"/>
      <c r="E34" s="425"/>
      <c r="F34" s="418"/>
      <c r="G34" s="419"/>
      <c r="H34" s="628"/>
      <c r="I34" s="422" t="str">
        <f t="shared" si="0"/>
        <v>-</v>
      </c>
      <c r="J34" s="422" t="str">
        <f t="shared" si="1"/>
        <v>-</v>
      </c>
      <c r="K34" s="200" t="str">
        <f t="shared" si="2"/>
        <v>-</v>
      </c>
      <c r="L34" s="581"/>
      <c r="M34" s="424" t="e">
        <f>RANK(K34, K$7:$K$36)</f>
        <v>#VALUE!</v>
      </c>
      <c r="N34" s="564"/>
      <c r="O34" s="564"/>
      <c r="P34" s="418" t="s">
        <v>639</v>
      </c>
      <c r="Q34" s="425" t="s">
        <v>639</v>
      </c>
      <c r="R34" s="425" t="s">
        <v>639</v>
      </c>
      <c r="S34" s="418" t="e">
        <f t="shared" si="3"/>
        <v>#VALUE!</v>
      </c>
      <c r="T34" s="565"/>
      <c r="U34" s="425" t="s">
        <v>639</v>
      </c>
      <c r="V34" s="425" t="s">
        <v>639</v>
      </c>
      <c r="W34" s="425" t="s">
        <v>639</v>
      </c>
      <c r="X34" s="418" t="e">
        <f t="shared" si="4"/>
        <v>#VALUE!</v>
      </c>
      <c r="Y34" s="565"/>
      <c r="Z34" s="418" t="s">
        <v>639</v>
      </c>
      <c r="AA34" s="425" t="s">
        <v>639</v>
      </c>
      <c r="AB34" s="425" t="s">
        <v>639</v>
      </c>
      <c r="AC34" s="418" t="e">
        <f t="shared" si="5"/>
        <v>#VALUE!</v>
      </c>
      <c r="AD34" s="565"/>
      <c r="AE34" s="418" t="s">
        <v>639</v>
      </c>
      <c r="AF34" s="425" t="s">
        <v>639</v>
      </c>
      <c r="AG34" s="425" t="s">
        <v>639</v>
      </c>
      <c r="AH34" s="418" t="e">
        <f t="shared" si="6"/>
        <v>#VALUE!</v>
      </c>
      <c r="AI34" s="565"/>
      <c r="AJ34" s="418" t="s">
        <v>639</v>
      </c>
      <c r="AK34" s="425" t="s">
        <v>639</v>
      </c>
      <c r="AL34" s="425" t="s">
        <v>639</v>
      </c>
      <c r="AM34" s="418" t="e">
        <f t="shared" si="7"/>
        <v>#VALUE!</v>
      </c>
      <c r="AN34" s="565"/>
      <c r="AO34" s="418" t="s">
        <v>639</v>
      </c>
      <c r="AP34" s="425" t="s">
        <v>639</v>
      </c>
      <c r="AQ34" s="425" t="s">
        <v>639</v>
      </c>
      <c r="AR34" s="418" t="e">
        <f t="shared" si="8"/>
        <v>#VALUE!</v>
      </c>
      <c r="AS34" s="565"/>
      <c r="AT34" s="418" t="s">
        <v>639</v>
      </c>
      <c r="AU34" s="425" t="s">
        <v>639</v>
      </c>
      <c r="AV34" s="425" t="s">
        <v>639</v>
      </c>
      <c r="AW34" s="418" t="e">
        <f t="shared" si="9"/>
        <v>#VALUE!</v>
      </c>
      <c r="AX34" s="565"/>
      <c r="AZ34" s="407" t="e">
        <f t="shared" si="10"/>
        <v>#N/A</v>
      </c>
      <c r="BA34" s="565"/>
    </row>
    <row r="35" spans="2:53">
      <c r="B35" s="570"/>
      <c r="C35" s="418">
        <v>29</v>
      </c>
      <c r="D35" s="226"/>
      <c r="E35" s="425"/>
      <c r="F35" s="418"/>
      <c r="G35" s="419"/>
      <c r="H35" s="628"/>
      <c r="I35" s="422" t="str">
        <f t="shared" si="0"/>
        <v>-</v>
      </c>
      <c r="J35" s="422" t="str">
        <f t="shared" si="1"/>
        <v>-</v>
      </c>
      <c r="K35" s="200" t="str">
        <f t="shared" si="2"/>
        <v>-</v>
      </c>
      <c r="L35" s="581"/>
      <c r="M35" s="424" t="e">
        <f>RANK(K35, K$7:$K$36)</f>
        <v>#VALUE!</v>
      </c>
      <c r="N35" s="564"/>
      <c r="O35" s="564"/>
      <c r="P35" s="418" t="s">
        <v>639</v>
      </c>
      <c r="Q35" s="425" t="s">
        <v>639</v>
      </c>
      <c r="R35" s="425" t="s">
        <v>639</v>
      </c>
      <c r="S35" s="418" t="e">
        <f t="shared" si="3"/>
        <v>#VALUE!</v>
      </c>
      <c r="T35" s="565"/>
      <c r="U35" s="425" t="s">
        <v>639</v>
      </c>
      <c r="V35" s="425" t="s">
        <v>639</v>
      </c>
      <c r="W35" s="425" t="s">
        <v>639</v>
      </c>
      <c r="X35" s="418" t="e">
        <f t="shared" si="4"/>
        <v>#VALUE!</v>
      </c>
      <c r="Y35" s="565"/>
      <c r="Z35" s="418" t="s">
        <v>639</v>
      </c>
      <c r="AA35" s="425" t="s">
        <v>639</v>
      </c>
      <c r="AB35" s="425" t="s">
        <v>639</v>
      </c>
      <c r="AC35" s="418" t="e">
        <f t="shared" si="5"/>
        <v>#VALUE!</v>
      </c>
      <c r="AD35" s="565"/>
      <c r="AE35" s="418" t="s">
        <v>639</v>
      </c>
      <c r="AF35" s="425" t="s">
        <v>639</v>
      </c>
      <c r="AG35" s="425" t="s">
        <v>639</v>
      </c>
      <c r="AH35" s="418" t="e">
        <f t="shared" si="6"/>
        <v>#VALUE!</v>
      </c>
      <c r="AI35" s="565"/>
      <c r="AJ35" s="418" t="s">
        <v>639</v>
      </c>
      <c r="AK35" s="425" t="s">
        <v>639</v>
      </c>
      <c r="AL35" s="425" t="s">
        <v>639</v>
      </c>
      <c r="AM35" s="418" t="e">
        <f t="shared" si="7"/>
        <v>#VALUE!</v>
      </c>
      <c r="AN35" s="565"/>
      <c r="AO35" s="418" t="s">
        <v>639</v>
      </c>
      <c r="AP35" s="425" t="s">
        <v>639</v>
      </c>
      <c r="AQ35" s="425" t="s">
        <v>639</v>
      </c>
      <c r="AR35" s="418" t="e">
        <f t="shared" si="8"/>
        <v>#VALUE!</v>
      </c>
      <c r="AS35" s="565"/>
      <c r="AT35" s="418" t="s">
        <v>639</v>
      </c>
      <c r="AU35" s="425" t="s">
        <v>639</v>
      </c>
      <c r="AV35" s="425" t="s">
        <v>639</v>
      </c>
      <c r="AW35" s="418" t="e">
        <f t="shared" si="9"/>
        <v>#VALUE!</v>
      </c>
      <c r="AX35" s="565"/>
      <c r="AZ35" s="407" t="e">
        <f t="shared" si="10"/>
        <v>#N/A</v>
      </c>
      <c r="BA35" s="565"/>
    </row>
    <row r="36" spans="2:53">
      <c r="B36" s="570"/>
      <c r="C36" s="418">
        <v>30</v>
      </c>
      <c r="D36" s="226"/>
      <c r="E36" s="425"/>
      <c r="F36" s="418"/>
      <c r="G36" s="419"/>
      <c r="H36" s="629"/>
      <c r="I36" s="422">
        <f t="shared" si="0"/>
        <v>0</v>
      </c>
      <c r="J36" s="422">
        <f t="shared" si="1"/>
        <v>0</v>
      </c>
      <c r="K36" s="200">
        <f t="shared" si="2"/>
        <v>0</v>
      </c>
      <c r="L36" s="582"/>
      <c r="M36" s="424">
        <f>RANK(K36, K$7:$K$36)</f>
        <v>28</v>
      </c>
      <c r="N36" s="564"/>
      <c r="O36" s="564"/>
      <c r="P36" s="418" t="s">
        <v>639</v>
      </c>
      <c r="Q36" s="425" t="s">
        <v>639</v>
      </c>
      <c r="R36" s="425" t="s">
        <v>639</v>
      </c>
      <c r="S36" s="418" t="e">
        <f t="shared" si="3"/>
        <v>#VALUE!</v>
      </c>
      <c r="T36" s="565"/>
      <c r="U36" s="425" t="s">
        <v>639</v>
      </c>
      <c r="V36" s="425" t="s">
        <v>639</v>
      </c>
      <c r="W36" s="425" t="s">
        <v>639</v>
      </c>
      <c r="X36" s="418" t="e">
        <f t="shared" si="4"/>
        <v>#VALUE!</v>
      </c>
      <c r="Y36" s="565"/>
      <c r="Z36" s="418" t="s">
        <v>639</v>
      </c>
      <c r="AA36" s="425" t="s">
        <v>639</v>
      </c>
      <c r="AB36" s="425" t="s">
        <v>639</v>
      </c>
      <c r="AC36" s="418" t="e">
        <f t="shared" si="5"/>
        <v>#VALUE!</v>
      </c>
      <c r="AD36" s="565"/>
      <c r="AE36" s="418" t="s">
        <v>639</v>
      </c>
      <c r="AF36" s="425" t="s">
        <v>639</v>
      </c>
      <c r="AG36" s="425" t="s">
        <v>639</v>
      </c>
      <c r="AH36" s="418" t="e">
        <f t="shared" si="6"/>
        <v>#VALUE!</v>
      </c>
      <c r="AI36" s="565"/>
      <c r="AJ36" s="418" t="s">
        <v>639</v>
      </c>
      <c r="AK36" s="425" t="s">
        <v>639</v>
      </c>
      <c r="AL36" s="425" t="s">
        <v>639</v>
      </c>
      <c r="AM36" s="418" t="e">
        <f t="shared" si="7"/>
        <v>#VALUE!</v>
      </c>
      <c r="AN36" s="565"/>
      <c r="AO36" s="418" t="s">
        <v>639</v>
      </c>
      <c r="AP36" s="425" t="s">
        <v>639</v>
      </c>
      <c r="AQ36" s="425" t="s">
        <v>639</v>
      </c>
      <c r="AR36" s="418" t="e">
        <f t="shared" si="8"/>
        <v>#VALUE!</v>
      </c>
      <c r="AS36" s="565"/>
      <c r="AT36" s="425">
        <v>0</v>
      </c>
      <c r="AU36" s="425">
        <v>0</v>
      </c>
      <c r="AV36" s="425">
        <v>0</v>
      </c>
      <c r="AW36" s="418">
        <f t="shared" si="9"/>
        <v>28</v>
      </c>
      <c r="AX36" s="565"/>
      <c r="AZ36" s="407" t="e">
        <f t="shared" si="10"/>
        <v>#N/A</v>
      </c>
      <c r="BA36" s="565"/>
    </row>
    <row r="37" spans="2:53" ht="15.75">
      <c r="B37" s="608" t="s">
        <v>163</v>
      </c>
      <c r="C37" s="609"/>
      <c r="D37" s="609"/>
      <c r="E37" s="609"/>
      <c r="F37" s="609"/>
      <c r="G37" s="609"/>
      <c r="H37" s="609"/>
      <c r="I37" s="203"/>
      <c r="J37" s="203"/>
      <c r="K37" s="203"/>
      <c r="L37" s="203"/>
      <c r="M37" s="204"/>
      <c r="N37" s="566" t="s">
        <v>156</v>
      </c>
      <c r="O37" s="566" t="s">
        <v>105</v>
      </c>
      <c r="P37" s="592">
        <f>AT2+1</f>
        <v>46147</v>
      </c>
      <c r="Q37" s="570"/>
      <c r="R37" s="570"/>
      <c r="S37" s="570"/>
      <c r="T37" s="570"/>
      <c r="U37" s="592">
        <f>P37+1</f>
        <v>46148</v>
      </c>
      <c r="V37" s="570"/>
      <c r="W37" s="570"/>
      <c r="X37" s="570"/>
      <c r="Y37" s="570"/>
      <c r="Z37" s="592">
        <f>U37+1</f>
        <v>46149</v>
      </c>
      <c r="AA37" s="570"/>
      <c r="AB37" s="570"/>
      <c r="AC37" s="570"/>
      <c r="AD37" s="570"/>
      <c r="AE37" s="592">
        <f>Z37+1</f>
        <v>46150</v>
      </c>
      <c r="AF37" s="570"/>
      <c r="AG37" s="570"/>
      <c r="AH37" s="570"/>
      <c r="AI37" s="570"/>
      <c r="AJ37" s="592">
        <f>AE37+1</f>
        <v>46151</v>
      </c>
      <c r="AK37" s="570"/>
      <c r="AL37" s="570"/>
      <c r="AM37" s="570"/>
      <c r="AN37" s="570"/>
      <c r="AO37" s="592">
        <f>AJ37+1</f>
        <v>46152</v>
      </c>
      <c r="AP37" s="570"/>
      <c r="AQ37" s="570"/>
      <c r="AR37" s="570"/>
      <c r="AS37" s="570"/>
      <c r="AT37" s="592">
        <f>AO37+1</f>
        <v>46153</v>
      </c>
      <c r="AU37" s="570"/>
      <c r="AV37" s="570"/>
      <c r="AW37" s="570"/>
      <c r="AX37" s="570"/>
    </row>
    <row r="38" spans="2:53" ht="15.75">
      <c r="B38" s="596"/>
      <c r="C38" s="596"/>
      <c r="D38" s="596"/>
      <c r="E38" s="596"/>
      <c r="F38" s="596"/>
      <c r="G38" s="596"/>
      <c r="H38" s="596"/>
      <c r="I38" s="205"/>
      <c r="J38" s="205"/>
      <c r="K38" s="205"/>
      <c r="L38" s="205"/>
      <c r="M38" s="206"/>
      <c r="N38" s="568"/>
      <c r="O38" s="568"/>
      <c r="P38" s="592" t="s">
        <v>318</v>
      </c>
      <c r="Q38" s="570"/>
      <c r="R38" s="570"/>
      <c r="S38" s="570"/>
      <c r="T38" s="570"/>
      <c r="U38" s="592" t="s">
        <v>319</v>
      </c>
      <c r="V38" s="570"/>
      <c r="W38" s="570"/>
      <c r="X38" s="570"/>
      <c r="Y38" s="570"/>
      <c r="Z38" s="592" t="s">
        <v>320</v>
      </c>
      <c r="AA38" s="570"/>
      <c r="AB38" s="570"/>
      <c r="AC38" s="570"/>
      <c r="AD38" s="570"/>
      <c r="AE38" s="592" t="s">
        <v>321</v>
      </c>
      <c r="AF38" s="570"/>
      <c r="AG38" s="570"/>
      <c r="AH38" s="570"/>
      <c r="AI38" s="570"/>
      <c r="AJ38" s="592" t="s">
        <v>322</v>
      </c>
      <c r="AK38" s="570"/>
      <c r="AL38" s="570"/>
      <c r="AM38" s="570"/>
      <c r="AN38" s="570"/>
      <c r="AO38" s="592" t="s">
        <v>323</v>
      </c>
      <c r="AP38" s="570"/>
      <c r="AQ38" s="570"/>
      <c r="AR38" s="570"/>
      <c r="AS38" s="570"/>
      <c r="AT38" s="592" t="s">
        <v>324</v>
      </c>
      <c r="AU38" s="570"/>
      <c r="AV38" s="570"/>
      <c r="AW38" s="570"/>
      <c r="AX38" s="570"/>
    </row>
    <row r="39" spans="2:53">
      <c r="B39" s="564" t="s">
        <v>420</v>
      </c>
      <c r="C39" s="564" t="s">
        <v>421</v>
      </c>
      <c r="D39" s="564"/>
      <c r="E39" s="564" t="s">
        <v>422</v>
      </c>
      <c r="F39" s="564"/>
      <c r="G39" s="564"/>
      <c r="H39" s="597" t="s">
        <v>423</v>
      </c>
      <c r="I39" s="616" t="s">
        <v>424</v>
      </c>
      <c r="J39" s="616"/>
      <c r="K39" s="616"/>
      <c r="L39" s="617" t="s">
        <v>423</v>
      </c>
      <c r="M39" s="602" t="s">
        <v>425</v>
      </c>
      <c r="N39" s="564"/>
      <c r="O39" s="564" t="s">
        <v>426</v>
      </c>
      <c r="P39" s="583" t="s">
        <v>427</v>
      </c>
      <c r="Q39" s="584"/>
      <c r="R39" s="584"/>
      <c r="S39" s="585"/>
      <c r="T39" s="564" t="s">
        <v>423</v>
      </c>
      <c r="U39" s="583" t="s">
        <v>427</v>
      </c>
      <c r="V39" s="584"/>
      <c r="W39" s="584"/>
      <c r="X39" s="585"/>
      <c r="Y39" s="564" t="s">
        <v>423</v>
      </c>
      <c r="Z39" s="583" t="s">
        <v>427</v>
      </c>
      <c r="AA39" s="584"/>
      <c r="AB39" s="584"/>
      <c r="AC39" s="585"/>
      <c r="AD39" s="564" t="s">
        <v>423</v>
      </c>
      <c r="AE39" s="583" t="s">
        <v>427</v>
      </c>
      <c r="AF39" s="584"/>
      <c r="AG39" s="584"/>
      <c r="AH39" s="585"/>
      <c r="AI39" s="564" t="s">
        <v>423</v>
      </c>
      <c r="AJ39" s="583" t="s">
        <v>427</v>
      </c>
      <c r="AK39" s="584"/>
      <c r="AL39" s="584"/>
      <c r="AM39" s="585"/>
      <c r="AN39" s="564" t="s">
        <v>423</v>
      </c>
      <c r="AO39" s="583" t="s">
        <v>427</v>
      </c>
      <c r="AP39" s="584"/>
      <c r="AQ39" s="584"/>
      <c r="AR39" s="585"/>
      <c r="AS39" s="564" t="s">
        <v>423</v>
      </c>
      <c r="AT39" s="583" t="s">
        <v>427</v>
      </c>
      <c r="AU39" s="584"/>
      <c r="AV39" s="584"/>
      <c r="AW39" s="585"/>
      <c r="AX39" s="564" t="s">
        <v>423</v>
      </c>
      <c r="BA39" s="564" t="s">
        <v>374</v>
      </c>
    </row>
    <row r="40" spans="2:53">
      <c r="B40" s="564"/>
      <c r="C40" s="564"/>
      <c r="D40" s="564"/>
      <c r="E40" s="564" t="s">
        <v>428</v>
      </c>
      <c r="F40" s="564"/>
      <c r="G40" s="564"/>
      <c r="H40" s="598"/>
      <c r="I40" s="616" t="s">
        <v>428</v>
      </c>
      <c r="J40" s="616"/>
      <c r="K40" s="616"/>
      <c r="L40" s="618"/>
      <c r="M40" s="603"/>
      <c r="N40" s="564"/>
      <c r="O40" s="564"/>
      <c r="P40" s="583" t="s">
        <v>429</v>
      </c>
      <c r="Q40" s="584"/>
      <c r="R40" s="584"/>
      <c r="S40" s="585"/>
      <c r="T40" s="564"/>
      <c r="U40" s="583" t="s">
        <v>429</v>
      </c>
      <c r="V40" s="584"/>
      <c r="W40" s="584"/>
      <c r="X40" s="585"/>
      <c r="Y40" s="564"/>
      <c r="Z40" s="583" t="s">
        <v>429</v>
      </c>
      <c r="AA40" s="584"/>
      <c r="AB40" s="584"/>
      <c r="AC40" s="585"/>
      <c r="AD40" s="564"/>
      <c r="AE40" s="583" t="s">
        <v>429</v>
      </c>
      <c r="AF40" s="584"/>
      <c r="AG40" s="584"/>
      <c r="AH40" s="585"/>
      <c r="AI40" s="564"/>
      <c r="AJ40" s="583" t="s">
        <v>429</v>
      </c>
      <c r="AK40" s="584"/>
      <c r="AL40" s="584"/>
      <c r="AM40" s="585"/>
      <c r="AN40" s="564"/>
      <c r="AO40" s="583" t="s">
        <v>429</v>
      </c>
      <c r="AP40" s="584"/>
      <c r="AQ40" s="584"/>
      <c r="AR40" s="585"/>
      <c r="AS40" s="564"/>
      <c r="AT40" s="583" t="s">
        <v>429</v>
      </c>
      <c r="AU40" s="584"/>
      <c r="AV40" s="584"/>
      <c r="AW40" s="585"/>
      <c r="AX40" s="564"/>
      <c r="BA40" s="564"/>
    </row>
    <row r="41" spans="2:53">
      <c r="B41" s="564"/>
      <c r="C41" s="564"/>
      <c r="D41" s="564"/>
      <c r="E41" s="291" t="s">
        <v>430</v>
      </c>
      <c r="F41" s="291" t="s">
        <v>431</v>
      </c>
      <c r="G41" s="291" t="s">
        <v>432</v>
      </c>
      <c r="H41" s="599"/>
      <c r="I41" s="290" t="s">
        <v>430</v>
      </c>
      <c r="J41" s="290" t="s">
        <v>431</v>
      </c>
      <c r="K41" s="290" t="s">
        <v>432</v>
      </c>
      <c r="L41" s="619"/>
      <c r="M41" s="604"/>
      <c r="N41" s="564"/>
      <c r="O41" s="564"/>
      <c r="P41" s="291" t="s">
        <v>430</v>
      </c>
      <c r="Q41" s="291" t="s">
        <v>431</v>
      </c>
      <c r="R41" s="291" t="s">
        <v>432</v>
      </c>
      <c r="S41" s="291" t="s">
        <v>425</v>
      </c>
      <c r="T41" s="564"/>
      <c r="U41" s="291" t="s">
        <v>430</v>
      </c>
      <c r="V41" s="291" t="s">
        <v>431</v>
      </c>
      <c r="W41" s="291" t="s">
        <v>432</v>
      </c>
      <c r="X41" s="291" t="s">
        <v>425</v>
      </c>
      <c r="Y41" s="564"/>
      <c r="Z41" s="291" t="s">
        <v>430</v>
      </c>
      <c r="AA41" s="291" t="s">
        <v>431</v>
      </c>
      <c r="AB41" s="291" t="s">
        <v>432</v>
      </c>
      <c r="AC41" s="291" t="s">
        <v>425</v>
      </c>
      <c r="AD41" s="564"/>
      <c r="AE41" s="291" t="s">
        <v>430</v>
      </c>
      <c r="AF41" s="291" t="s">
        <v>431</v>
      </c>
      <c r="AG41" s="291" t="s">
        <v>432</v>
      </c>
      <c r="AH41" s="291" t="s">
        <v>425</v>
      </c>
      <c r="AI41" s="564"/>
      <c r="AJ41" s="291" t="s">
        <v>430</v>
      </c>
      <c r="AK41" s="291" t="s">
        <v>431</v>
      </c>
      <c r="AL41" s="291" t="s">
        <v>432</v>
      </c>
      <c r="AM41" s="291" t="s">
        <v>425</v>
      </c>
      <c r="AN41" s="564"/>
      <c r="AO41" s="291" t="s">
        <v>430</v>
      </c>
      <c r="AP41" s="291" t="s">
        <v>431</v>
      </c>
      <c r="AQ41" s="291" t="s">
        <v>432</v>
      </c>
      <c r="AR41" s="291" t="s">
        <v>425</v>
      </c>
      <c r="AS41" s="564"/>
      <c r="AT41" s="291" t="s">
        <v>430</v>
      </c>
      <c r="AU41" s="291" t="s">
        <v>431</v>
      </c>
      <c r="AV41" s="291" t="s">
        <v>432</v>
      </c>
      <c r="AW41" s="291" t="s">
        <v>425</v>
      </c>
      <c r="AX41" s="564"/>
      <c r="AZ41" s="406" t="s">
        <v>375</v>
      </c>
      <c r="BA41" s="564"/>
    </row>
    <row r="42" spans="2:53">
      <c r="B42" s="564" t="s">
        <v>433</v>
      </c>
      <c r="C42" s="292">
        <v>1</v>
      </c>
      <c r="D42" s="226" t="s">
        <v>347</v>
      </c>
      <c r="E42" s="182">
        <v>6</v>
      </c>
      <c r="F42" s="392">
        <v>1500</v>
      </c>
      <c r="G42" s="393">
        <v>250</v>
      </c>
      <c r="H42" s="627">
        <f>AVERAGE(G42:G71)</f>
        <v>97.670370370370378</v>
      </c>
      <c r="I42" s="400">
        <f>IFERROR(AVERAGE(P42,U42,Z42,AE42,AJ42,AO42,AT42),"-")</f>
        <v>6</v>
      </c>
      <c r="J42" s="400">
        <f>IFERROR(AVERAGE(Q42,V42,AA42,AF42,AK42,AP42,AU42),"-")</f>
        <v>1466.6718151975267</v>
      </c>
      <c r="K42" s="200">
        <f>IFERROR(AVERAGE(R42,W42,AB42,AG42,AL42,AQ42,AV42),"-")</f>
        <v>244.44530253292109</v>
      </c>
      <c r="L42" s="580">
        <f>IFERROR(AVERAGE(K42:K71),"-")</f>
        <v>88.084954285471184</v>
      </c>
      <c r="M42" s="201">
        <f>RANK(K42, K$42:$K$71)</f>
        <v>2</v>
      </c>
      <c r="N42" s="564"/>
      <c r="O42" s="564"/>
      <c r="P42" s="425">
        <v>6</v>
      </c>
      <c r="Q42" s="425">
        <v>1482.2470588235287</v>
      </c>
      <c r="R42" s="425">
        <v>247.04117647058811</v>
      </c>
      <c r="S42" s="418">
        <f t="shared" ref="S42:S71" si="11">RANK(R42, R$42:R$71)</f>
        <v>1</v>
      </c>
      <c r="T42" s="565">
        <f>AVERAGE(R42:R71)</f>
        <v>88.833897151232776</v>
      </c>
      <c r="U42" s="425">
        <v>6</v>
      </c>
      <c r="V42" s="425">
        <v>1452.8999999999996</v>
      </c>
      <c r="W42" s="425">
        <v>242.14999999999995</v>
      </c>
      <c r="X42" s="418">
        <f t="shared" ref="X42:X71" si="12">RANK(W42, W$42:W$71)</f>
        <v>2</v>
      </c>
      <c r="Y42" s="565">
        <f>AVERAGE(W42:W71)</f>
        <v>87.876340497831293</v>
      </c>
      <c r="Z42" s="425">
        <v>6</v>
      </c>
      <c r="AA42" s="425">
        <v>1466.5573770491799</v>
      </c>
      <c r="AB42" s="425">
        <v>244.42622950819666</v>
      </c>
      <c r="AC42" s="418">
        <f t="shared" ref="AC42:AC71" si="13">RANK(AB42, AB$42:AB$71)</f>
        <v>2</v>
      </c>
      <c r="AD42" s="565">
        <f>AVERAGE(AB42:AB71)</f>
        <v>87.713574289913936</v>
      </c>
      <c r="AE42" s="425">
        <v>6</v>
      </c>
      <c r="AF42" s="425">
        <v>1480.8436363636363</v>
      </c>
      <c r="AG42" s="425">
        <v>246.8072727272727</v>
      </c>
      <c r="AH42" s="418">
        <f t="shared" ref="AH42:AH71" si="14">RANK(AG42, AG$42:AG$71)</f>
        <v>1</v>
      </c>
      <c r="AI42" s="565">
        <f>AVERAGE(AG42:AG71)</f>
        <v>87.929943797467502</v>
      </c>
      <c r="AJ42" s="425">
        <v>6</v>
      </c>
      <c r="AK42" s="425">
        <v>1462.214634146342</v>
      </c>
      <c r="AL42" s="425">
        <v>243.70243902439032</v>
      </c>
      <c r="AM42" s="418">
        <f t="shared" ref="AM42:AM71" si="15">RANK(AL42, AL$42:AL$71)</f>
        <v>2</v>
      </c>
      <c r="AN42" s="565">
        <f>AVERAGE(AL42:AL71)</f>
        <v>88.392007766825884</v>
      </c>
      <c r="AO42" s="425">
        <v>6</v>
      </c>
      <c r="AP42" s="425">
        <v>1459.44</v>
      </c>
      <c r="AQ42" s="425">
        <v>243.24</v>
      </c>
      <c r="AR42" s="418">
        <f t="shared" ref="AR42:AR71" si="16">RANK(AQ42, AQ$42:AQ$71)</f>
        <v>2</v>
      </c>
      <c r="AS42" s="565">
        <f>AVERAGE(AQ42:AQ71)</f>
        <v>88.892913322443022</v>
      </c>
      <c r="AT42" s="425">
        <v>6</v>
      </c>
      <c r="AU42" s="425">
        <v>1462.4999999999995</v>
      </c>
      <c r="AV42" s="425">
        <v>243.74999999999991</v>
      </c>
      <c r="AW42" s="418">
        <f t="shared" ref="AW42:AW71" si="17">RANK(AV42, AV$42:AV$71)</f>
        <v>2</v>
      </c>
      <c r="AX42" s="565">
        <f>AVERAGE(AV42:AV71)</f>
        <v>88.670571249051974</v>
      </c>
      <c r="AZ42" s="407" t="e">
        <f t="shared" ref="AZ42:AZ71" si="18">RANK(AY42, AY$42:AY$71)</f>
        <v>#N/A</v>
      </c>
      <c r="BA42" s="565" t="e">
        <f>AVERAGE(AY42:AY71)</f>
        <v>#DIV/0!</v>
      </c>
    </row>
    <row r="43" spans="2:53">
      <c r="B43" s="570"/>
      <c r="C43" s="292">
        <v>2</v>
      </c>
      <c r="D43" s="226" t="s">
        <v>640</v>
      </c>
      <c r="E43" s="182">
        <v>6</v>
      </c>
      <c r="F43" s="392">
        <v>1500</v>
      </c>
      <c r="G43" s="393">
        <v>250</v>
      </c>
      <c r="H43" s="628"/>
      <c r="I43" s="400">
        <f t="shared" ref="I43:I71" si="19">IFERROR(AVERAGE(P43,U43,Z43,AE43,AJ43,AO43,AT43),"-")</f>
        <v>6</v>
      </c>
      <c r="J43" s="400">
        <f t="shared" ref="J43:J71" si="20">IFERROR(AVERAGE(Q43,V43,AA43,AF43,AK43,AP43,AU43),"-")</f>
        <v>1467.7130098861205</v>
      </c>
      <c r="K43" s="200">
        <f t="shared" ref="K43:K71" si="21">IFERROR(AVERAGE(R43,W43,AB43,AG43,AL43,AQ43,AV43),"-")</f>
        <v>244.61883498102003</v>
      </c>
      <c r="L43" s="581"/>
      <c r="M43" s="201">
        <f>RANK(K43, K$42:$K$71)</f>
        <v>1</v>
      </c>
      <c r="N43" s="564"/>
      <c r="O43" s="564"/>
      <c r="P43" s="425">
        <v>6</v>
      </c>
      <c r="Q43" s="425">
        <v>1468.3870967741937</v>
      </c>
      <c r="R43" s="425">
        <v>244.73118279569894</v>
      </c>
      <c r="S43" s="418">
        <f t="shared" si="11"/>
        <v>2</v>
      </c>
      <c r="T43" s="565"/>
      <c r="U43" s="425">
        <v>6</v>
      </c>
      <c r="V43" s="425">
        <v>1473.1914893617022</v>
      </c>
      <c r="W43" s="425">
        <v>245.53191489361703</v>
      </c>
      <c r="X43" s="418">
        <f t="shared" si="12"/>
        <v>1</v>
      </c>
      <c r="Y43" s="565"/>
      <c r="Z43" s="425">
        <v>6</v>
      </c>
      <c r="AA43" s="425">
        <v>1480.879120879121</v>
      </c>
      <c r="AB43" s="425">
        <v>246.81318681318683</v>
      </c>
      <c r="AC43" s="418">
        <f t="shared" si="13"/>
        <v>1</v>
      </c>
      <c r="AD43" s="565"/>
      <c r="AE43" s="425">
        <v>6</v>
      </c>
      <c r="AF43" s="425">
        <v>1442.1951219512191</v>
      </c>
      <c r="AG43" s="425">
        <v>240.36585365853651</v>
      </c>
      <c r="AH43" s="418">
        <f t="shared" si="14"/>
        <v>2</v>
      </c>
      <c r="AI43" s="565"/>
      <c r="AJ43" s="425">
        <v>6</v>
      </c>
      <c r="AK43" s="425">
        <v>1469.21052631579</v>
      </c>
      <c r="AL43" s="425">
        <v>244.86842105263167</v>
      </c>
      <c r="AM43" s="418">
        <f t="shared" si="15"/>
        <v>1</v>
      </c>
      <c r="AN43" s="565"/>
      <c r="AO43" s="425">
        <v>6</v>
      </c>
      <c r="AP43" s="425">
        <v>1471.8518518518515</v>
      </c>
      <c r="AQ43" s="425">
        <v>245.30864197530857</v>
      </c>
      <c r="AR43" s="418">
        <f t="shared" si="16"/>
        <v>1</v>
      </c>
      <c r="AS43" s="565"/>
      <c r="AT43" s="425">
        <v>6</v>
      </c>
      <c r="AU43" s="425">
        <v>1468.2758620689651</v>
      </c>
      <c r="AV43" s="425">
        <v>244.71264367816084</v>
      </c>
      <c r="AW43" s="418">
        <f t="shared" si="17"/>
        <v>1</v>
      </c>
      <c r="AX43" s="565"/>
      <c r="AZ43" s="407" t="e">
        <f t="shared" si="18"/>
        <v>#N/A</v>
      </c>
      <c r="BA43" s="565"/>
    </row>
    <row r="44" spans="2:53">
      <c r="B44" s="570"/>
      <c r="C44" s="292">
        <v>3</v>
      </c>
      <c r="D44" s="226" t="s">
        <v>624</v>
      </c>
      <c r="E44" s="182">
        <v>18</v>
      </c>
      <c r="F44" s="392">
        <v>1500</v>
      </c>
      <c r="G44" s="393">
        <v>83.3</v>
      </c>
      <c r="H44" s="628"/>
      <c r="I44" s="400">
        <f t="shared" si="19"/>
        <v>17.714285714285715</v>
      </c>
      <c r="J44" s="400">
        <f t="shared" si="20"/>
        <v>1208.9281847551235</v>
      </c>
      <c r="K44" s="200">
        <f t="shared" si="21"/>
        <v>68.248204475191272</v>
      </c>
      <c r="L44" s="581"/>
      <c r="M44" s="201">
        <f>RANK(K44, K$42:$K$71)</f>
        <v>23</v>
      </c>
      <c r="N44" s="564"/>
      <c r="O44" s="564"/>
      <c r="P44" s="425">
        <v>17</v>
      </c>
      <c r="Q44" s="425">
        <v>1152.0000000000005</v>
      </c>
      <c r="R44" s="425">
        <v>67.76470588235297</v>
      </c>
      <c r="S44" s="418">
        <f t="shared" si="11"/>
        <v>22</v>
      </c>
      <c r="T44" s="565"/>
      <c r="U44" s="425">
        <v>17</v>
      </c>
      <c r="V44" s="425">
        <v>1173.2</v>
      </c>
      <c r="W44" s="425">
        <v>69.011764705882356</v>
      </c>
      <c r="X44" s="418">
        <f t="shared" si="12"/>
        <v>23</v>
      </c>
      <c r="Y44" s="565"/>
      <c r="Z44" s="425">
        <v>18</v>
      </c>
      <c r="AA44" s="425">
        <v>1231.3636363636365</v>
      </c>
      <c r="AB44" s="425">
        <v>68.409090909090921</v>
      </c>
      <c r="AC44" s="418">
        <f t="shared" si="13"/>
        <v>23</v>
      </c>
      <c r="AD44" s="565"/>
      <c r="AE44" s="425">
        <v>18</v>
      </c>
      <c r="AF44" s="425">
        <v>1226.4324324324316</v>
      </c>
      <c r="AG44" s="425">
        <v>68.135135135135087</v>
      </c>
      <c r="AH44" s="418">
        <f t="shared" si="14"/>
        <v>23</v>
      </c>
      <c r="AI44" s="565"/>
      <c r="AJ44" s="425">
        <v>18</v>
      </c>
      <c r="AK44" s="425">
        <v>1229.3999999999996</v>
      </c>
      <c r="AL44" s="425">
        <v>68.299999999999983</v>
      </c>
      <c r="AM44" s="418">
        <f t="shared" si="15"/>
        <v>22</v>
      </c>
      <c r="AN44" s="565"/>
      <c r="AO44" s="425">
        <v>18</v>
      </c>
      <c r="AP44" s="425">
        <v>1221.0612244897961</v>
      </c>
      <c r="AQ44" s="425">
        <v>67.83673469387756</v>
      </c>
      <c r="AR44" s="418">
        <f t="shared" si="16"/>
        <v>21</v>
      </c>
      <c r="AS44" s="565"/>
      <c r="AT44" s="425">
        <v>18</v>
      </c>
      <c r="AU44" s="425">
        <v>1229.0400000000004</v>
      </c>
      <c r="AV44" s="425">
        <v>68.28000000000003</v>
      </c>
      <c r="AW44" s="418">
        <f t="shared" si="17"/>
        <v>20</v>
      </c>
      <c r="AX44" s="565"/>
      <c r="AZ44" s="407" t="e">
        <f t="shared" si="18"/>
        <v>#N/A</v>
      </c>
      <c r="BA44" s="565"/>
    </row>
    <row r="45" spans="2:53">
      <c r="B45" s="570"/>
      <c r="C45" s="292">
        <v>4</v>
      </c>
      <c r="D45" s="226" t="s">
        <v>582</v>
      </c>
      <c r="E45" s="182">
        <v>18</v>
      </c>
      <c r="F45" s="392">
        <v>1500</v>
      </c>
      <c r="G45" s="393">
        <v>83.3</v>
      </c>
      <c r="H45" s="628"/>
      <c r="I45" s="400">
        <f t="shared" si="19"/>
        <v>18</v>
      </c>
      <c r="J45" s="400">
        <f t="shared" si="20"/>
        <v>1333.4450044728785</v>
      </c>
      <c r="K45" s="200">
        <f t="shared" si="21"/>
        <v>74.080278026271017</v>
      </c>
      <c r="L45" s="581"/>
      <c r="M45" s="201">
        <f>RANK(K45, K$42:$K$71)</f>
        <v>16</v>
      </c>
      <c r="N45" s="564"/>
      <c r="O45" s="564"/>
      <c r="P45" s="425">
        <v>18</v>
      </c>
      <c r="Q45" s="425">
        <v>1343.1818181818182</v>
      </c>
      <c r="R45" s="425">
        <v>74.621212121212125</v>
      </c>
      <c r="S45" s="418">
        <f t="shared" si="11"/>
        <v>19</v>
      </c>
      <c r="T45" s="565"/>
      <c r="U45" s="425">
        <v>18</v>
      </c>
      <c r="V45" s="425">
        <v>1315.3846153846148</v>
      </c>
      <c r="W45" s="425">
        <v>73.076923076923038</v>
      </c>
      <c r="X45" s="418">
        <f t="shared" si="12"/>
        <v>19</v>
      </c>
      <c r="Y45" s="565"/>
      <c r="Z45" s="425">
        <v>18</v>
      </c>
      <c r="AA45" s="425">
        <v>1341.5384615384608</v>
      </c>
      <c r="AB45" s="425">
        <v>74.529914529914493</v>
      </c>
      <c r="AC45" s="418">
        <f t="shared" si="13"/>
        <v>16</v>
      </c>
      <c r="AD45" s="565"/>
      <c r="AE45" s="425">
        <v>18</v>
      </c>
      <c r="AF45" s="425">
        <v>1330.9090909090892</v>
      </c>
      <c r="AG45" s="425">
        <v>73.939393939393838</v>
      </c>
      <c r="AH45" s="418">
        <f t="shared" si="14"/>
        <v>16</v>
      </c>
      <c r="AI45" s="565"/>
      <c r="AJ45" s="425">
        <v>18</v>
      </c>
      <c r="AK45" s="425">
        <v>1330.2439024390239</v>
      </c>
      <c r="AL45" s="425">
        <v>73.902439024390219</v>
      </c>
      <c r="AM45" s="418">
        <f t="shared" si="15"/>
        <v>16</v>
      </c>
      <c r="AN45" s="565"/>
      <c r="AO45" s="425">
        <v>18</v>
      </c>
      <c r="AP45" s="425">
        <v>1322.8571428571424</v>
      </c>
      <c r="AQ45" s="425">
        <v>73.492063492063465</v>
      </c>
      <c r="AR45" s="418">
        <f t="shared" si="16"/>
        <v>15</v>
      </c>
      <c r="AS45" s="565"/>
      <c r="AT45" s="425">
        <v>18</v>
      </c>
      <c r="AU45" s="425">
        <v>1350</v>
      </c>
      <c r="AV45" s="425">
        <v>75</v>
      </c>
      <c r="AW45" s="418">
        <f t="shared" si="17"/>
        <v>13</v>
      </c>
      <c r="AX45" s="565"/>
      <c r="AZ45" s="407" t="e">
        <f t="shared" si="18"/>
        <v>#N/A</v>
      </c>
      <c r="BA45" s="565"/>
    </row>
    <row r="46" spans="2:53">
      <c r="B46" s="570"/>
      <c r="C46" s="292">
        <v>5</v>
      </c>
      <c r="D46" s="226" t="s">
        <v>335</v>
      </c>
      <c r="E46" s="182">
        <v>16</v>
      </c>
      <c r="F46" s="392">
        <v>1500</v>
      </c>
      <c r="G46" s="393">
        <v>93.8</v>
      </c>
      <c r="H46" s="628"/>
      <c r="I46" s="400">
        <f t="shared" si="19"/>
        <v>16</v>
      </c>
      <c r="J46" s="400">
        <f t="shared" si="20"/>
        <v>1309.3780225303171</v>
      </c>
      <c r="K46" s="200">
        <f t="shared" si="21"/>
        <v>81.836126408144821</v>
      </c>
      <c r="L46" s="581"/>
      <c r="M46" s="201">
        <f>RANK(K46, K$42:$K$71)</f>
        <v>9</v>
      </c>
      <c r="N46" s="564"/>
      <c r="O46" s="564"/>
      <c r="P46" s="425">
        <v>16</v>
      </c>
      <c r="Q46" s="425">
        <v>1207.6595744680851</v>
      </c>
      <c r="R46" s="425">
        <v>75.478723404255319</v>
      </c>
      <c r="S46" s="418">
        <f t="shared" si="11"/>
        <v>16</v>
      </c>
      <c r="T46" s="565"/>
      <c r="U46" s="425">
        <v>16</v>
      </c>
      <c r="V46" s="425">
        <v>1334.5945945945937</v>
      </c>
      <c r="W46" s="425">
        <v>83.412162162162105</v>
      </c>
      <c r="X46" s="418">
        <f t="shared" si="12"/>
        <v>6</v>
      </c>
      <c r="Y46" s="565"/>
      <c r="Z46" s="425">
        <v>16</v>
      </c>
      <c r="AA46" s="425">
        <v>1321.6216216216205</v>
      </c>
      <c r="AB46" s="425">
        <v>82.601351351351283</v>
      </c>
      <c r="AC46" s="418">
        <f t="shared" si="13"/>
        <v>6</v>
      </c>
      <c r="AD46" s="565"/>
      <c r="AE46" s="425">
        <v>16</v>
      </c>
      <c r="AF46" s="425">
        <v>1338.1818181818164</v>
      </c>
      <c r="AG46" s="425">
        <v>83.636363636363527</v>
      </c>
      <c r="AH46" s="418">
        <f t="shared" si="14"/>
        <v>7</v>
      </c>
      <c r="AI46" s="565"/>
      <c r="AJ46" s="425">
        <v>16</v>
      </c>
      <c r="AK46" s="425">
        <v>1326.3157894736833</v>
      </c>
      <c r="AL46" s="425">
        <v>82.894736842105203</v>
      </c>
      <c r="AM46" s="418">
        <f t="shared" si="15"/>
        <v>8</v>
      </c>
      <c r="AN46" s="565"/>
      <c r="AO46" s="425">
        <v>16</v>
      </c>
      <c r="AP46" s="425">
        <v>1327.8947368421043</v>
      </c>
      <c r="AQ46" s="425">
        <v>82.993421052631518</v>
      </c>
      <c r="AR46" s="418">
        <f t="shared" si="16"/>
        <v>8</v>
      </c>
      <c r="AS46" s="565"/>
      <c r="AT46" s="425" t="s">
        <v>639</v>
      </c>
      <c r="AU46" s="425" t="s">
        <v>639</v>
      </c>
      <c r="AV46" s="425" t="s">
        <v>639</v>
      </c>
      <c r="AW46" s="418" t="e">
        <f t="shared" si="17"/>
        <v>#VALUE!</v>
      </c>
      <c r="AX46" s="565"/>
      <c r="AZ46" s="407" t="e">
        <f t="shared" si="18"/>
        <v>#N/A</v>
      </c>
      <c r="BA46" s="565"/>
    </row>
    <row r="47" spans="2:53">
      <c r="B47" s="570"/>
      <c r="C47" s="292">
        <v>6</v>
      </c>
      <c r="D47" s="226" t="s">
        <v>349</v>
      </c>
      <c r="E47" s="182">
        <v>16</v>
      </c>
      <c r="F47" s="392">
        <v>1565</v>
      </c>
      <c r="G47" s="393">
        <v>97.8</v>
      </c>
      <c r="H47" s="628"/>
      <c r="I47" s="400">
        <f t="shared" si="19"/>
        <v>16</v>
      </c>
      <c r="J47" s="400">
        <f t="shared" si="20"/>
        <v>1396.8986632576266</v>
      </c>
      <c r="K47" s="200">
        <f t="shared" si="21"/>
        <v>87.306166453601662</v>
      </c>
      <c r="L47" s="581"/>
      <c r="M47" s="201">
        <f>RANK(K47, K$42:$K$71)</f>
        <v>3</v>
      </c>
      <c r="N47" s="564"/>
      <c r="O47" s="564"/>
      <c r="P47" s="425">
        <v>16</v>
      </c>
      <c r="Q47" s="425">
        <v>1380.7499999999995</v>
      </c>
      <c r="R47" s="425">
        <v>86.296874999999972</v>
      </c>
      <c r="S47" s="418">
        <f t="shared" si="11"/>
        <v>6</v>
      </c>
      <c r="T47" s="565"/>
      <c r="U47" s="425">
        <v>16</v>
      </c>
      <c r="V47" s="425">
        <v>1400.9090909090924</v>
      </c>
      <c r="W47" s="425">
        <v>87.556818181818272</v>
      </c>
      <c r="X47" s="418">
        <f t="shared" si="12"/>
        <v>4</v>
      </c>
      <c r="Y47" s="565"/>
      <c r="Z47" s="425">
        <v>16</v>
      </c>
      <c r="AA47" s="425">
        <v>1396.8750000000016</v>
      </c>
      <c r="AB47" s="425">
        <v>87.304687500000099</v>
      </c>
      <c r="AC47" s="418">
        <f t="shared" si="13"/>
        <v>3</v>
      </c>
      <c r="AD47" s="565"/>
      <c r="AE47" s="425">
        <v>16</v>
      </c>
      <c r="AF47" s="425">
        <v>1404.5901639344274</v>
      </c>
      <c r="AG47" s="425">
        <v>87.786885245901715</v>
      </c>
      <c r="AH47" s="418">
        <f t="shared" si="14"/>
        <v>3</v>
      </c>
      <c r="AI47" s="565"/>
      <c r="AJ47" s="425">
        <v>16</v>
      </c>
      <c r="AK47" s="425">
        <v>1382.6086956521724</v>
      </c>
      <c r="AL47" s="425">
        <v>86.413043478260775</v>
      </c>
      <c r="AM47" s="418">
        <f t="shared" si="15"/>
        <v>5</v>
      </c>
      <c r="AN47" s="565"/>
      <c r="AO47" s="425">
        <v>16</v>
      </c>
      <c r="AP47" s="425">
        <v>1412.3076923076915</v>
      </c>
      <c r="AQ47" s="425">
        <v>88.269230769230717</v>
      </c>
      <c r="AR47" s="418">
        <f t="shared" si="16"/>
        <v>4</v>
      </c>
      <c r="AS47" s="565"/>
      <c r="AT47" s="425">
        <v>16</v>
      </c>
      <c r="AU47" s="425">
        <v>1400.2499999999995</v>
      </c>
      <c r="AV47" s="425">
        <v>87.515624999999972</v>
      </c>
      <c r="AW47" s="418">
        <f t="shared" si="17"/>
        <v>5</v>
      </c>
      <c r="AX47" s="565"/>
      <c r="AZ47" s="407" t="e">
        <f t="shared" si="18"/>
        <v>#N/A</v>
      </c>
      <c r="BA47" s="565"/>
    </row>
    <row r="48" spans="2:53">
      <c r="B48" s="570"/>
      <c r="C48" s="292">
        <v>7</v>
      </c>
      <c r="D48" s="226" t="s">
        <v>327</v>
      </c>
      <c r="E48" s="182">
        <v>14</v>
      </c>
      <c r="F48" s="392">
        <v>1440</v>
      </c>
      <c r="G48" s="393">
        <v>102.9</v>
      </c>
      <c r="H48" s="628"/>
      <c r="I48" s="400">
        <f t="shared" si="19"/>
        <v>15</v>
      </c>
      <c r="J48" s="400">
        <f t="shared" si="20"/>
        <v>1266.3754061744621</v>
      </c>
      <c r="K48" s="200">
        <f t="shared" si="21"/>
        <v>84.425027078297475</v>
      </c>
      <c r="L48" s="581"/>
      <c r="M48" s="201">
        <f>RANK(K48, K$42:$K$71)</f>
        <v>6</v>
      </c>
      <c r="N48" s="564"/>
      <c r="O48" s="564"/>
      <c r="P48" s="425">
        <v>15</v>
      </c>
      <c r="Q48" s="425">
        <v>1326.4285714285684</v>
      </c>
      <c r="R48" s="425">
        <v>88.428571428571232</v>
      </c>
      <c r="S48" s="418">
        <f t="shared" si="11"/>
        <v>5</v>
      </c>
      <c r="T48" s="565"/>
      <c r="U48" s="425">
        <v>15</v>
      </c>
      <c r="V48" s="425">
        <v>1129.655172413791</v>
      </c>
      <c r="W48" s="425">
        <v>75.310344827586064</v>
      </c>
      <c r="X48" s="418">
        <f t="shared" si="12"/>
        <v>16</v>
      </c>
      <c r="Y48" s="565"/>
      <c r="Z48" s="425">
        <v>15</v>
      </c>
      <c r="AA48" s="425">
        <v>1286.0869565217436</v>
      </c>
      <c r="AB48" s="425">
        <v>85.739130434782908</v>
      </c>
      <c r="AC48" s="418">
        <f t="shared" si="13"/>
        <v>4</v>
      </c>
      <c r="AD48" s="565"/>
      <c r="AE48" s="425">
        <v>15</v>
      </c>
      <c r="AF48" s="425">
        <v>1150.7142857142833</v>
      </c>
      <c r="AG48" s="425">
        <v>76.714285714285552</v>
      </c>
      <c r="AH48" s="418">
        <f t="shared" si="14"/>
        <v>15</v>
      </c>
      <c r="AI48" s="565"/>
      <c r="AJ48" s="425">
        <v>15</v>
      </c>
      <c r="AK48" s="425">
        <v>1329.5999999999963</v>
      </c>
      <c r="AL48" s="425">
        <v>88.639999999999745</v>
      </c>
      <c r="AM48" s="418">
        <f t="shared" si="15"/>
        <v>3</v>
      </c>
      <c r="AN48" s="565"/>
      <c r="AO48" s="425">
        <v>15</v>
      </c>
      <c r="AP48" s="425">
        <v>1328.5714285714257</v>
      </c>
      <c r="AQ48" s="425">
        <v>88.571428571428385</v>
      </c>
      <c r="AR48" s="418">
        <f t="shared" si="16"/>
        <v>3</v>
      </c>
      <c r="AS48" s="565"/>
      <c r="AT48" s="425">
        <v>15</v>
      </c>
      <c r="AU48" s="425">
        <v>1313.5714285714257</v>
      </c>
      <c r="AV48" s="425">
        <v>87.571428571428385</v>
      </c>
      <c r="AW48" s="418">
        <f t="shared" si="17"/>
        <v>4</v>
      </c>
      <c r="AX48" s="565"/>
      <c r="AZ48" s="407" t="e">
        <f t="shared" si="18"/>
        <v>#N/A</v>
      </c>
      <c r="BA48" s="565"/>
    </row>
    <row r="49" spans="2:53">
      <c r="B49" s="570"/>
      <c r="C49" s="292">
        <v>8</v>
      </c>
      <c r="D49" s="226" t="s">
        <v>611</v>
      </c>
      <c r="E49" s="182">
        <v>16</v>
      </c>
      <c r="F49" s="392">
        <v>1440</v>
      </c>
      <c r="G49" s="393">
        <v>90</v>
      </c>
      <c r="H49" s="628"/>
      <c r="I49" s="400">
        <f t="shared" si="19"/>
        <v>16</v>
      </c>
      <c r="J49" s="400">
        <f t="shared" si="20"/>
        <v>1331.8043062973368</v>
      </c>
      <c r="K49" s="200">
        <f t="shared" si="21"/>
        <v>83.237769143583549</v>
      </c>
      <c r="L49" s="581"/>
      <c r="M49" s="201">
        <f>RANK(K49, K$42:$K$71)</f>
        <v>7</v>
      </c>
      <c r="N49" s="564"/>
      <c r="O49" s="564"/>
      <c r="P49" s="425">
        <v>16</v>
      </c>
      <c r="Q49" s="425">
        <v>1365.4054054054045</v>
      </c>
      <c r="R49" s="425">
        <v>85.337837837837782</v>
      </c>
      <c r="S49" s="418">
        <f t="shared" si="11"/>
        <v>7</v>
      </c>
      <c r="T49" s="565"/>
      <c r="U49" s="425">
        <v>16</v>
      </c>
      <c r="V49" s="425">
        <v>1337.1428571428557</v>
      </c>
      <c r="W49" s="425">
        <v>83.571428571428484</v>
      </c>
      <c r="X49" s="418">
        <f t="shared" si="12"/>
        <v>5</v>
      </c>
      <c r="Y49" s="565"/>
      <c r="Z49" s="425">
        <v>16</v>
      </c>
      <c r="AA49" s="425">
        <v>1239.9999999999991</v>
      </c>
      <c r="AB49" s="425">
        <v>77.499999999999943</v>
      </c>
      <c r="AC49" s="418">
        <f t="shared" si="13"/>
        <v>14</v>
      </c>
      <c r="AD49" s="565"/>
      <c r="AE49" s="425">
        <v>16</v>
      </c>
      <c r="AF49" s="425">
        <v>1357.7142857142844</v>
      </c>
      <c r="AG49" s="425">
        <v>84.857142857142776</v>
      </c>
      <c r="AH49" s="418">
        <f t="shared" si="14"/>
        <v>6</v>
      </c>
      <c r="AI49" s="565"/>
      <c r="AJ49" s="425">
        <v>16</v>
      </c>
      <c r="AK49" s="425">
        <v>1371.42857142857</v>
      </c>
      <c r="AL49" s="425">
        <v>85.714285714285623</v>
      </c>
      <c r="AM49" s="418">
        <f t="shared" si="15"/>
        <v>7</v>
      </c>
      <c r="AN49" s="565"/>
      <c r="AO49" s="425">
        <v>16</v>
      </c>
      <c r="AP49" s="425">
        <v>1348.4999999999995</v>
      </c>
      <c r="AQ49" s="425">
        <v>84.281249999999972</v>
      </c>
      <c r="AR49" s="418">
        <f t="shared" si="16"/>
        <v>7</v>
      </c>
      <c r="AS49" s="565"/>
      <c r="AT49" s="425">
        <v>16</v>
      </c>
      <c r="AU49" s="425">
        <v>1302.4390243902435</v>
      </c>
      <c r="AV49" s="425">
        <v>81.402439024390219</v>
      </c>
      <c r="AW49" s="418">
        <f t="shared" si="17"/>
        <v>9</v>
      </c>
      <c r="AX49" s="565"/>
      <c r="AZ49" s="407" t="e">
        <f t="shared" si="18"/>
        <v>#N/A</v>
      </c>
      <c r="BA49" s="565"/>
    </row>
    <row r="50" spans="2:53">
      <c r="B50" s="570"/>
      <c r="C50" s="292">
        <v>9</v>
      </c>
      <c r="D50" s="226" t="s">
        <v>664</v>
      </c>
      <c r="E50" s="182">
        <v>16</v>
      </c>
      <c r="F50" s="392">
        <v>1440</v>
      </c>
      <c r="G50" s="393">
        <v>90</v>
      </c>
      <c r="H50" s="628"/>
      <c r="I50" s="400">
        <f t="shared" si="19"/>
        <v>16</v>
      </c>
      <c r="J50" s="400">
        <f t="shared" si="20"/>
        <v>1326.6792390405305</v>
      </c>
      <c r="K50" s="200">
        <f t="shared" si="21"/>
        <v>82.984227363402013</v>
      </c>
      <c r="L50" s="581"/>
      <c r="M50" s="201">
        <f>RANK(K50, K$42:$K$71)</f>
        <v>8</v>
      </c>
      <c r="N50" s="564"/>
      <c r="O50" s="564"/>
      <c r="P50" s="425">
        <v>16</v>
      </c>
      <c r="Q50" s="425">
        <v>1296.7741935483882</v>
      </c>
      <c r="R50" s="425">
        <v>81.048387096774263</v>
      </c>
      <c r="S50" s="418">
        <f t="shared" si="11"/>
        <v>9</v>
      </c>
      <c r="T50" s="565"/>
      <c r="U50" s="425">
        <v>17</v>
      </c>
      <c r="V50" s="425">
        <v>1379.0322580645175</v>
      </c>
      <c r="W50" s="425">
        <v>81.119544592030437</v>
      </c>
      <c r="X50" s="418">
        <f t="shared" si="12"/>
        <v>7</v>
      </c>
      <c r="Y50" s="565"/>
      <c r="Z50" s="425">
        <v>16</v>
      </c>
      <c r="AA50" s="425">
        <v>1286.6666666666647</v>
      </c>
      <c r="AB50" s="425">
        <v>80.416666666666544</v>
      </c>
      <c r="AC50" s="418">
        <f t="shared" si="13"/>
        <v>10</v>
      </c>
      <c r="AD50" s="565"/>
      <c r="AE50" s="425">
        <v>16</v>
      </c>
      <c r="AF50" s="425">
        <v>1374.0000000000005</v>
      </c>
      <c r="AG50" s="425">
        <v>85.875000000000028</v>
      </c>
      <c r="AH50" s="418">
        <f t="shared" si="14"/>
        <v>5</v>
      </c>
      <c r="AI50" s="565"/>
      <c r="AJ50" s="425">
        <v>15</v>
      </c>
      <c r="AK50" s="425">
        <v>1296.9230769230815</v>
      </c>
      <c r="AL50" s="425">
        <v>86.461538461538765</v>
      </c>
      <c r="AM50" s="418">
        <f t="shared" si="15"/>
        <v>4</v>
      </c>
      <c r="AN50" s="565"/>
      <c r="AO50" s="425" t="s">
        <v>639</v>
      </c>
      <c r="AP50" s="425" t="s">
        <v>639</v>
      </c>
      <c r="AQ50" s="425" t="s">
        <v>639</v>
      </c>
      <c r="AR50" s="418" t="e">
        <f t="shared" si="16"/>
        <v>#VALUE!</v>
      </c>
      <c r="AS50" s="565"/>
      <c r="AT50" s="425" t="s">
        <v>639</v>
      </c>
      <c r="AU50" s="425" t="s">
        <v>639</v>
      </c>
      <c r="AV50" s="425" t="s">
        <v>639</v>
      </c>
      <c r="AW50" s="418" t="e">
        <f t="shared" si="17"/>
        <v>#VALUE!</v>
      </c>
      <c r="AX50" s="565"/>
      <c r="AZ50" s="407" t="e">
        <f t="shared" si="18"/>
        <v>#N/A</v>
      </c>
      <c r="BA50" s="565"/>
    </row>
    <row r="51" spans="2:53">
      <c r="B51" s="570"/>
      <c r="C51" s="292">
        <v>10</v>
      </c>
      <c r="D51" s="226" t="s">
        <v>612</v>
      </c>
      <c r="E51" s="182">
        <v>18</v>
      </c>
      <c r="F51" s="392">
        <v>1636</v>
      </c>
      <c r="G51" s="393">
        <v>90.9</v>
      </c>
      <c r="H51" s="628"/>
      <c r="I51" s="400">
        <f t="shared" si="19"/>
        <v>18</v>
      </c>
      <c r="J51" s="400">
        <f t="shared" si="20"/>
        <v>1439.8741298701309</v>
      </c>
      <c r="K51" s="200">
        <f t="shared" si="21"/>
        <v>79.993007215007282</v>
      </c>
      <c r="L51" s="581"/>
      <c r="M51" s="201">
        <f>RANK(K51, K$42:$K$71)</f>
        <v>11</v>
      </c>
      <c r="N51" s="564"/>
      <c r="O51" s="564"/>
      <c r="P51" s="425">
        <v>18</v>
      </c>
      <c r="Q51" s="425">
        <v>1454.0000000000014</v>
      </c>
      <c r="R51" s="425">
        <v>80.777777777777857</v>
      </c>
      <c r="S51" s="418">
        <f t="shared" si="11"/>
        <v>10</v>
      </c>
      <c r="T51" s="565"/>
      <c r="U51" s="425">
        <v>18</v>
      </c>
      <c r="V51" s="425">
        <v>1452.6923076923085</v>
      </c>
      <c r="W51" s="425">
        <v>80.705128205128247</v>
      </c>
      <c r="X51" s="418">
        <f t="shared" si="12"/>
        <v>8</v>
      </c>
      <c r="Y51" s="565"/>
      <c r="Z51" s="425">
        <v>18</v>
      </c>
      <c r="AA51" s="425">
        <v>1421.5384615384623</v>
      </c>
      <c r="AB51" s="425">
        <v>78.974358974359021</v>
      </c>
      <c r="AC51" s="418">
        <f t="shared" si="13"/>
        <v>12</v>
      </c>
      <c r="AD51" s="565"/>
      <c r="AE51" s="425">
        <v>18</v>
      </c>
      <c r="AF51" s="425">
        <v>1445.7692307692316</v>
      </c>
      <c r="AG51" s="425">
        <v>80.320512820512874</v>
      </c>
      <c r="AH51" s="418">
        <f t="shared" si="14"/>
        <v>11</v>
      </c>
      <c r="AI51" s="565"/>
      <c r="AJ51" s="425">
        <v>18</v>
      </c>
      <c r="AK51" s="425">
        <v>1453.0909090909099</v>
      </c>
      <c r="AL51" s="425">
        <v>80.727272727272776</v>
      </c>
      <c r="AM51" s="418">
        <f t="shared" si="15"/>
        <v>11</v>
      </c>
      <c r="AN51" s="565"/>
      <c r="AO51" s="425">
        <v>18</v>
      </c>
      <c r="AP51" s="425">
        <v>1467.0000000000014</v>
      </c>
      <c r="AQ51" s="425">
        <v>81.500000000000071</v>
      </c>
      <c r="AR51" s="418">
        <f t="shared" si="16"/>
        <v>9</v>
      </c>
      <c r="AS51" s="565"/>
      <c r="AT51" s="425">
        <v>18</v>
      </c>
      <c r="AU51" s="425">
        <v>1385.0280000000005</v>
      </c>
      <c r="AV51" s="425">
        <v>76.946000000000026</v>
      </c>
      <c r="AW51" s="418">
        <f t="shared" si="17"/>
        <v>12</v>
      </c>
      <c r="AX51" s="565"/>
      <c r="AZ51" s="407" t="e">
        <f t="shared" si="18"/>
        <v>#N/A</v>
      </c>
      <c r="BA51" s="565"/>
    </row>
    <row r="52" spans="2:53">
      <c r="B52" s="570"/>
      <c r="C52" s="292">
        <v>11</v>
      </c>
      <c r="D52" s="226" t="s">
        <v>613</v>
      </c>
      <c r="E52" s="182">
        <v>18</v>
      </c>
      <c r="F52" s="392">
        <v>1636</v>
      </c>
      <c r="G52" s="393">
        <v>90.9</v>
      </c>
      <c r="H52" s="628"/>
      <c r="I52" s="400">
        <f t="shared" si="19"/>
        <v>18</v>
      </c>
      <c r="J52" s="400">
        <f t="shared" si="20"/>
        <v>1433.6575367739915</v>
      </c>
      <c r="K52" s="200">
        <f t="shared" si="21"/>
        <v>79.647640931888404</v>
      </c>
      <c r="L52" s="581"/>
      <c r="M52" s="201">
        <f>RANK(K52, K$42:$K$71)</f>
        <v>12</v>
      </c>
      <c r="N52" s="564"/>
      <c r="O52" s="564"/>
      <c r="P52" s="425">
        <v>18</v>
      </c>
      <c r="Q52" s="425">
        <v>1430.8695652173915</v>
      </c>
      <c r="R52" s="425">
        <v>79.49275362318842</v>
      </c>
      <c r="S52" s="418">
        <f t="shared" si="11"/>
        <v>13</v>
      </c>
      <c r="T52" s="565"/>
      <c r="U52" s="425">
        <v>18</v>
      </c>
      <c r="V52" s="425">
        <v>1451.7073170731703</v>
      </c>
      <c r="W52" s="425">
        <v>80.650406504065018</v>
      </c>
      <c r="X52" s="418">
        <f t="shared" si="12"/>
        <v>9</v>
      </c>
      <c r="Y52" s="565"/>
      <c r="Z52" s="425">
        <v>18</v>
      </c>
      <c r="AA52" s="425">
        <v>1452.6315789473672</v>
      </c>
      <c r="AB52" s="425">
        <v>80.701754385964847</v>
      </c>
      <c r="AC52" s="418">
        <f t="shared" si="13"/>
        <v>9</v>
      </c>
      <c r="AD52" s="565"/>
      <c r="AE52" s="425">
        <v>18</v>
      </c>
      <c r="AF52" s="425">
        <v>1414.4999999999995</v>
      </c>
      <c r="AG52" s="425">
        <v>78.583333333333314</v>
      </c>
      <c r="AH52" s="418">
        <f t="shared" si="14"/>
        <v>13</v>
      </c>
      <c r="AI52" s="565"/>
      <c r="AJ52" s="425">
        <v>18</v>
      </c>
      <c r="AK52" s="425">
        <v>1424.6153846153838</v>
      </c>
      <c r="AL52" s="425">
        <v>79.145299145299106</v>
      </c>
      <c r="AM52" s="418">
        <f t="shared" si="15"/>
        <v>12</v>
      </c>
      <c r="AN52" s="565"/>
      <c r="AO52" s="425">
        <v>18</v>
      </c>
      <c r="AP52" s="425">
        <v>1450.6666666666665</v>
      </c>
      <c r="AQ52" s="425">
        <v>80.592592592592581</v>
      </c>
      <c r="AR52" s="418">
        <f t="shared" si="16"/>
        <v>11</v>
      </c>
      <c r="AS52" s="565"/>
      <c r="AT52" s="425">
        <v>18</v>
      </c>
      <c r="AU52" s="425">
        <v>1410.6122448979597</v>
      </c>
      <c r="AV52" s="425">
        <v>78.36734693877554</v>
      </c>
      <c r="AW52" s="418">
        <f t="shared" si="17"/>
        <v>10</v>
      </c>
      <c r="AX52" s="565"/>
      <c r="AZ52" s="407" t="e">
        <f t="shared" si="18"/>
        <v>#N/A</v>
      </c>
      <c r="BA52" s="565"/>
    </row>
    <row r="53" spans="2:53">
      <c r="B53" s="570"/>
      <c r="C53" s="292">
        <v>12</v>
      </c>
      <c r="D53" s="226" t="s">
        <v>337</v>
      </c>
      <c r="E53" s="182">
        <v>17</v>
      </c>
      <c r="F53" s="392">
        <v>1500</v>
      </c>
      <c r="G53" s="393">
        <v>88.2</v>
      </c>
      <c r="H53" s="628"/>
      <c r="I53" s="400">
        <f t="shared" si="19"/>
        <v>17</v>
      </c>
      <c r="J53" s="400">
        <f t="shared" si="20"/>
        <v>1387.9704131116189</v>
      </c>
      <c r="K53" s="200">
        <f t="shared" si="21"/>
        <v>81.645318418330504</v>
      </c>
      <c r="L53" s="581"/>
      <c r="M53" s="201">
        <f>RANK(K53, K$42:$K$71)</f>
        <v>10</v>
      </c>
      <c r="N53" s="564"/>
      <c r="O53" s="564"/>
      <c r="P53" s="425">
        <v>17</v>
      </c>
      <c r="Q53" s="425">
        <v>1406.1538461538455</v>
      </c>
      <c r="R53" s="425">
        <v>82.714932126696795</v>
      </c>
      <c r="S53" s="418">
        <f t="shared" si="11"/>
        <v>8</v>
      </c>
      <c r="T53" s="565"/>
      <c r="U53" s="425">
        <v>17</v>
      </c>
      <c r="V53" s="425">
        <v>1368.6486486486476</v>
      </c>
      <c r="W53" s="425">
        <v>80.50874403815574</v>
      </c>
      <c r="X53" s="418">
        <f t="shared" si="12"/>
        <v>10</v>
      </c>
      <c r="Y53" s="565"/>
      <c r="Z53" s="425">
        <v>17</v>
      </c>
      <c r="AA53" s="425">
        <v>1398.1818181818164</v>
      </c>
      <c r="AB53" s="425">
        <v>82.245989304812724</v>
      </c>
      <c r="AC53" s="418">
        <f t="shared" si="13"/>
        <v>8</v>
      </c>
      <c r="AD53" s="565"/>
      <c r="AE53" s="425">
        <v>17</v>
      </c>
      <c r="AF53" s="425">
        <v>1408.3333333333321</v>
      </c>
      <c r="AG53" s="425">
        <v>82.84313725490189</v>
      </c>
      <c r="AH53" s="418">
        <f t="shared" si="14"/>
        <v>8</v>
      </c>
      <c r="AI53" s="565"/>
      <c r="AJ53" s="425">
        <v>17</v>
      </c>
      <c r="AK53" s="425">
        <v>1373.6842105263147</v>
      </c>
      <c r="AL53" s="425">
        <v>80.804953560371459</v>
      </c>
      <c r="AM53" s="418">
        <f t="shared" si="15"/>
        <v>10</v>
      </c>
      <c r="AN53" s="565"/>
      <c r="AO53" s="425">
        <v>17</v>
      </c>
      <c r="AP53" s="425">
        <v>1372.6829268292679</v>
      </c>
      <c r="AQ53" s="425">
        <v>80.746054519368698</v>
      </c>
      <c r="AR53" s="418">
        <f t="shared" si="16"/>
        <v>10</v>
      </c>
      <c r="AS53" s="565"/>
      <c r="AT53" s="425">
        <v>17</v>
      </c>
      <c r="AU53" s="425">
        <v>1388.1081081081072</v>
      </c>
      <c r="AV53" s="425">
        <v>81.653418124006308</v>
      </c>
      <c r="AW53" s="418">
        <f t="shared" si="17"/>
        <v>8</v>
      </c>
      <c r="AX53" s="565"/>
      <c r="AZ53" s="407" t="e">
        <f t="shared" si="18"/>
        <v>#N/A</v>
      </c>
      <c r="BA53" s="565"/>
    </row>
    <row r="54" spans="2:53">
      <c r="B54" s="570"/>
      <c r="C54" s="292">
        <v>13</v>
      </c>
      <c r="D54" s="226" t="s">
        <v>533</v>
      </c>
      <c r="E54" s="182">
        <v>20</v>
      </c>
      <c r="F54" s="392">
        <v>1440</v>
      </c>
      <c r="G54" s="393">
        <v>72</v>
      </c>
      <c r="H54" s="628"/>
      <c r="I54" s="400">
        <f t="shared" si="19"/>
        <v>19.142857142857142</v>
      </c>
      <c r="J54" s="400">
        <f t="shared" si="20"/>
        <v>1342.7234793141281</v>
      </c>
      <c r="K54" s="200">
        <f t="shared" si="21"/>
        <v>70.204843069788254</v>
      </c>
      <c r="L54" s="581"/>
      <c r="M54" s="201">
        <f>RANK(K54, K$42:$K$71)</f>
        <v>22</v>
      </c>
      <c r="N54" s="564"/>
      <c r="O54" s="564"/>
      <c r="P54" s="425">
        <v>20</v>
      </c>
      <c r="Q54" s="425">
        <v>1341.1267605633789</v>
      </c>
      <c r="R54" s="425">
        <v>67.056338028168938</v>
      </c>
      <c r="S54" s="418">
        <f t="shared" si="11"/>
        <v>23</v>
      </c>
      <c r="T54" s="565"/>
      <c r="U54" s="425">
        <v>19</v>
      </c>
      <c r="V54" s="425">
        <v>1319.9999999999982</v>
      </c>
      <c r="W54" s="425">
        <v>69.473684210526216</v>
      </c>
      <c r="X54" s="418">
        <f t="shared" si="12"/>
        <v>22</v>
      </c>
      <c r="Y54" s="565"/>
      <c r="Z54" s="425">
        <v>18</v>
      </c>
      <c r="AA54" s="425">
        <v>1331.0000000000014</v>
      </c>
      <c r="AB54" s="425">
        <v>73.944444444444514</v>
      </c>
      <c r="AC54" s="418">
        <f t="shared" si="13"/>
        <v>19</v>
      </c>
      <c r="AD54" s="565"/>
      <c r="AE54" s="425">
        <v>19</v>
      </c>
      <c r="AF54" s="425">
        <v>1340.0000000000011</v>
      </c>
      <c r="AG54" s="425">
        <v>70.526315789473742</v>
      </c>
      <c r="AH54" s="418">
        <f t="shared" si="14"/>
        <v>21</v>
      </c>
      <c r="AI54" s="565"/>
      <c r="AJ54" s="425">
        <v>19</v>
      </c>
      <c r="AK54" s="425">
        <v>1340.5970149253749</v>
      </c>
      <c r="AL54" s="425">
        <v>70.557737627651306</v>
      </c>
      <c r="AM54" s="418">
        <f t="shared" si="15"/>
        <v>20</v>
      </c>
      <c r="AN54" s="565"/>
      <c r="AO54" s="425">
        <v>19</v>
      </c>
      <c r="AP54" s="425">
        <v>1352.1739130434769</v>
      </c>
      <c r="AQ54" s="425">
        <v>71.167048054919832</v>
      </c>
      <c r="AR54" s="418">
        <f t="shared" si="16"/>
        <v>18</v>
      </c>
      <c r="AS54" s="565"/>
      <c r="AT54" s="425">
        <v>20</v>
      </c>
      <c r="AU54" s="425">
        <v>1374.1666666666656</v>
      </c>
      <c r="AV54" s="425">
        <v>68.708333333333286</v>
      </c>
      <c r="AW54" s="418">
        <f t="shared" si="17"/>
        <v>19</v>
      </c>
      <c r="AX54" s="565"/>
      <c r="AZ54" s="407" t="e">
        <f t="shared" si="18"/>
        <v>#N/A</v>
      </c>
      <c r="BA54" s="565"/>
    </row>
    <row r="55" spans="2:53">
      <c r="B55" s="570"/>
      <c r="C55" s="292">
        <v>14</v>
      </c>
      <c r="D55" s="226" t="s">
        <v>350</v>
      </c>
      <c r="E55" s="182">
        <v>14</v>
      </c>
      <c r="F55" s="392">
        <v>1440</v>
      </c>
      <c r="G55" s="393">
        <v>102.9</v>
      </c>
      <c r="H55" s="628"/>
      <c r="I55" s="400">
        <f t="shared" si="19"/>
        <v>15</v>
      </c>
      <c r="J55" s="400">
        <f t="shared" si="20"/>
        <v>1283.0199956817471</v>
      </c>
      <c r="K55" s="200">
        <f t="shared" si="21"/>
        <v>85.534666378783157</v>
      </c>
      <c r="L55" s="581"/>
      <c r="M55" s="201">
        <f>RANK(K55, K$42:$K$71)</f>
        <v>5</v>
      </c>
      <c r="N55" s="564"/>
      <c r="O55" s="564"/>
      <c r="P55" s="425">
        <v>15</v>
      </c>
      <c r="Q55" s="425">
        <v>1334.5161290322594</v>
      </c>
      <c r="R55" s="425">
        <v>88.967741935483957</v>
      </c>
      <c r="S55" s="418">
        <f t="shared" si="11"/>
        <v>4</v>
      </c>
      <c r="T55" s="565"/>
      <c r="U55" s="425">
        <v>15</v>
      </c>
      <c r="V55" s="425">
        <v>1340.0000000000009</v>
      </c>
      <c r="W55" s="425">
        <v>89.3333333333334</v>
      </c>
      <c r="X55" s="418">
        <f t="shared" si="12"/>
        <v>3</v>
      </c>
      <c r="Y55" s="565"/>
      <c r="Z55" s="425">
        <v>15</v>
      </c>
      <c r="AA55" s="425">
        <v>1234.8000000000004</v>
      </c>
      <c r="AB55" s="425">
        <v>82.320000000000022</v>
      </c>
      <c r="AC55" s="418">
        <f t="shared" si="13"/>
        <v>7</v>
      </c>
      <c r="AD55" s="565"/>
      <c r="AE55" s="425">
        <v>15</v>
      </c>
      <c r="AF55" s="425">
        <v>1222.2222222222229</v>
      </c>
      <c r="AG55" s="425">
        <v>81.481481481481524</v>
      </c>
      <c r="AH55" s="418">
        <f t="shared" si="14"/>
        <v>10</v>
      </c>
      <c r="AI55" s="565"/>
      <c r="AJ55" s="425">
        <v>15</v>
      </c>
      <c r="AK55" s="425">
        <v>1232.6315789473692</v>
      </c>
      <c r="AL55" s="425">
        <v>82.175438596491276</v>
      </c>
      <c r="AM55" s="418">
        <f t="shared" si="15"/>
        <v>9</v>
      </c>
      <c r="AN55" s="565"/>
      <c r="AO55" s="425">
        <v>15</v>
      </c>
      <c r="AP55" s="425">
        <v>1305.2459016393423</v>
      </c>
      <c r="AQ55" s="425">
        <v>87.016393442622814</v>
      </c>
      <c r="AR55" s="418">
        <f t="shared" si="16"/>
        <v>6</v>
      </c>
      <c r="AS55" s="565"/>
      <c r="AT55" s="425">
        <v>15</v>
      </c>
      <c r="AU55" s="425">
        <v>1311.7241379310353</v>
      </c>
      <c r="AV55" s="425">
        <v>87.448275862069025</v>
      </c>
      <c r="AW55" s="418">
        <f t="shared" si="17"/>
        <v>6</v>
      </c>
      <c r="AX55" s="565"/>
      <c r="AZ55" s="407" t="e">
        <f t="shared" si="18"/>
        <v>#N/A</v>
      </c>
      <c r="BA55" s="565"/>
    </row>
    <row r="56" spans="2:53">
      <c r="B56" s="570"/>
      <c r="C56" s="292">
        <v>15</v>
      </c>
      <c r="D56" s="226" t="s">
        <v>329</v>
      </c>
      <c r="E56" s="182">
        <v>19</v>
      </c>
      <c r="F56" s="392">
        <v>1440</v>
      </c>
      <c r="G56" s="393">
        <v>75.8</v>
      </c>
      <c r="H56" s="628"/>
      <c r="I56" s="400">
        <f t="shared" si="19"/>
        <v>18.142857142857142</v>
      </c>
      <c r="J56" s="400">
        <f t="shared" si="20"/>
        <v>1336.1056098330721</v>
      </c>
      <c r="K56" s="200">
        <f t="shared" si="21"/>
        <v>73.66685488812891</v>
      </c>
      <c r="L56" s="581"/>
      <c r="M56" s="199">
        <f>RANK(K56, K$42:$K$71)</f>
        <v>18</v>
      </c>
      <c r="N56" s="564"/>
      <c r="O56" s="564"/>
      <c r="P56" s="425">
        <v>18</v>
      </c>
      <c r="Q56" s="425">
        <v>1352.7272727272727</v>
      </c>
      <c r="R56" s="425">
        <v>75.151515151515156</v>
      </c>
      <c r="S56" s="418">
        <f t="shared" si="11"/>
        <v>17</v>
      </c>
      <c r="T56" s="565"/>
      <c r="U56" s="425">
        <v>18</v>
      </c>
      <c r="V56" s="425">
        <v>1343.3766233766228</v>
      </c>
      <c r="W56" s="425">
        <v>74.632034632034603</v>
      </c>
      <c r="X56" s="418">
        <f t="shared" si="12"/>
        <v>17</v>
      </c>
      <c r="Y56" s="565"/>
      <c r="Z56" s="425">
        <v>18</v>
      </c>
      <c r="AA56" s="425">
        <v>1339.7142857142842</v>
      </c>
      <c r="AB56" s="425">
        <v>74.428571428571345</v>
      </c>
      <c r="AC56" s="418">
        <f t="shared" si="13"/>
        <v>17</v>
      </c>
      <c r="AD56" s="565"/>
      <c r="AE56" s="425">
        <v>18</v>
      </c>
      <c r="AF56" s="425">
        <v>1317.42857142857</v>
      </c>
      <c r="AG56" s="425">
        <v>73.190476190476105</v>
      </c>
      <c r="AH56" s="418">
        <f t="shared" si="14"/>
        <v>17</v>
      </c>
      <c r="AI56" s="565"/>
      <c r="AJ56" s="425">
        <v>18</v>
      </c>
      <c r="AK56" s="425">
        <v>1313.5714285714282</v>
      </c>
      <c r="AL56" s="425">
        <v>72.976190476190453</v>
      </c>
      <c r="AM56" s="418">
        <f t="shared" si="15"/>
        <v>17</v>
      </c>
      <c r="AN56" s="565"/>
      <c r="AO56" s="425">
        <v>18</v>
      </c>
      <c r="AP56" s="425">
        <v>1342.3255813953488</v>
      </c>
      <c r="AQ56" s="425">
        <v>74.573643410852711</v>
      </c>
      <c r="AR56" s="418">
        <f t="shared" si="16"/>
        <v>14</v>
      </c>
      <c r="AS56" s="565"/>
      <c r="AT56" s="425">
        <v>19</v>
      </c>
      <c r="AU56" s="425">
        <v>1343.5955056179776</v>
      </c>
      <c r="AV56" s="425">
        <v>70.715552927261982</v>
      </c>
      <c r="AW56" s="418">
        <f t="shared" si="17"/>
        <v>16</v>
      </c>
      <c r="AX56" s="565"/>
      <c r="AZ56" s="407" t="e">
        <f t="shared" si="18"/>
        <v>#N/A</v>
      </c>
      <c r="BA56" s="565"/>
    </row>
    <row r="57" spans="2:53">
      <c r="B57" s="570"/>
      <c r="C57" s="292">
        <v>16</v>
      </c>
      <c r="D57" s="226" t="s">
        <v>348</v>
      </c>
      <c r="E57" s="182">
        <v>19</v>
      </c>
      <c r="F57" s="392">
        <v>1440</v>
      </c>
      <c r="G57" s="393">
        <v>75.8</v>
      </c>
      <c r="H57" s="628"/>
      <c r="I57" s="400">
        <f t="shared" si="19"/>
        <v>19</v>
      </c>
      <c r="J57" s="400">
        <f t="shared" si="20"/>
        <v>1339.5644936740578</v>
      </c>
      <c r="K57" s="200">
        <f t="shared" si="21"/>
        <v>70.503394403897786</v>
      </c>
      <c r="L57" s="581"/>
      <c r="M57" s="199">
        <f>RANK(K57, K$42:$K$71)</f>
        <v>21</v>
      </c>
      <c r="N57" s="564"/>
      <c r="O57" s="564"/>
      <c r="P57" s="425">
        <v>19</v>
      </c>
      <c r="Q57" s="425">
        <v>1330.0000000000014</v>
      </c>
      <c r="R57" s="425">
        <v>70.000000000000071</v>
      </c>
      <c r="S57" s="418">
        <f t="shared" si="11"/>
        <v>21</v>
      </c>
      <c r="T57" s="565"/>
      <c r="U57" s="425">
        <v>19</v>
      </c>
      <c r="V57" s="425">
        <v>1364.4827586206907</v>
      </c>
      <c r="W57" s="425">
        <v>71.814882032667924</v>
      </c>
      <c r="X57" s="418">
        <f t="shared" si="12"/>
        <v>21</v>
      </c>
      <c r="Y57" s="565"/>
      <c r="Z57" s="425">
        <v>19</v>
      </c>
      <c r="AA57" s="425">
        <v>1315.7894736842115</v>
      </c>
      <c r="AB57" s="425">
        <v>69.252077562326917</v>
      </c>
      <c r="AC57" s="418">
        <f t="shared" si="13"/>
        <v>22</v>
      </c>
      <c r="AD57" s="565"/>
      <c r="AE57" s="425">
        <v>19</v>
      </c>
      <c r="AF57" s="425">
        <v>1358.5714285714296</v>
      </c>
      <c r="AG57" s="425">
        <v>71.5037593984963</v>
      </c>
      <c r="AH57" s="418">
        <f t="shared" si="14"/>
        <v>20</v>
      </c>
      <c r="AI57" s="565"/>
      <c r="AJ57" s="425">
        <v>19</v>
      </c>
      <c r="AK57" s="425">
        <v>1358.2758620689665</v>
      </c>
      <c r="AL57" s="425">
        <v>71.488203266787707</v>
      </c>
      <c r="AM57" s="418">
        <f t="shared" si="15"/>
        <v>19</v>
      </c>
      <c r="AN57" s="565"/>
      <c r="AO57" s="425">
        <v>19</v>
      </c>
      <c r="AP57" s="425">
        <v>1334.1176470588218</v>
      </c>
      <c r="AQ57" s="425">
        <v>70.216718266253778</v>
      </c>
      <c r="AR57" s="418">
        <f t="shared" si="16"/>
        <v>19</v>
      </c>
      <c r="AS57" s="565"/>
      <c r="AT57" s="425">
        <v>19</v>
      </c>
      <c r="AU57" s="425">
        <v>1315.7142857142844</v>
      </c>
      <c r="AV57" s="425">
        <v>69.248120300751808</v>
      </c>
      <c r="AW57" s="418">
        <f t="shared" si="17"/>
        <v>18</v>
      </c>
      <c r="AX57" s="565"/>
      <c r="AZ57" s="407" t="e">
        <f t="shared" si="18"/>
        <v>#N/A</v>
      </c>
      <c r="BA57" s="565"/>
    </row>
    <row r="58" spans="2:53">
      <c r="B58" s="570"/>
      <c r="C58" s="292">
        <v>17</v>
      </c>
      <c r="D58" s="226" t="s">
        <v>614</v>
      </c>
      <c r="E58" s="182">
        <v>19</v>
      </c>
      <c r="F58" s="392">
        <v>1500</v>
      </c>
      <c r="G58" s="393">
        <v>78.900000000000006</v>
      </c>
      <c r="H58" s="628"/>
      <c r="I58" s="400">
        <f t="shared" si="19"/>
        <v>18.857142857142858</v>
      </c>
      <c r="J58" s="400">
        <f t="shared" si="20"/>
        <v>1395.0487163680427</v>
      </c>
      <c r="K58" s="200">
        <f t="shared" si="21"/>
        <v>74.007218512746945</v>
      </c>
      <c r="L58" s="581"/>
      <c r="M58" s="199">
        <f>RANK(K58, K$42:$K$71)</f>
        <v>17</v>
      </c>
      <c r="N58" s="564"/>
      <c r="O58" s="564"/>
      <c r="P58" s="425">
        <v>19</v>
      </c>
      <c r="Q58" s="425">
        <v>1421.6666666666656</v>
      </c>
      <c r="R58" s="425">
        <v>74.82456140350871</v>
      </c>
      <c r="S58" s="418">
        <f t="shared" si="11"/>
        <v>18</v>
      </c>
      <c r="T58" s="565"/>
      <c r="U58" s="425">
        <v>18</v>
      </c>
      <c r="V58" s="425">
        <v>1397.1428571428557</v>
      </c>
      <c r="W58" s="425">
        <v>77.619047619047535</v>
      </c>
      <c r="X58" s="418">
        <f t="shared" si="12"/>
        <v>14</v>
      </c>
      <c r="Y58" s="565"/>
      <c r="Z58" s="425">
        <v>19</v>
      </c>
      <c r="AA58" s="425">
        <v>1413.9999999999975</v>
      </c>
      <c r="AB58" s="425">
        <v>74.421052631578817</v>
      </c>
      <c r="AC58" s="418">
        <f t="shared" si="13"/>
        <v>18</v>
      </c>
      <c r="AD58" s="565"/>
      <c r="AE58" s="425">
        <v>19</v>
      </c>
      <c r="AF58" s="425">
        <v>1372.9411764705865</v>
      </c>
      <c r="AG58" s="425">
        <v>72.260061919504551</v>
      </c>
      <c r="AH58" s="418">
        <f t="shared" si="14"/>
        <v>18</v>
      </c>
      <c r="AI58" s="565"/>
      <c r="AJ58" s="425">
        <v>19</v>
      </c>
      <c r="AK58" s="425">
        <v>1420.588235294116</v>
      </c>
      <c r="AL58" s="425">
        <v>74.767801857585056</v>
      </c>
      <c r="AM58" s="418">
        <f t="shared" si="15"/>
        <v>15</v>
      </c>
      <c r="AN58" s="565"/>
      <c r="AO58" s="425">
        <v>19</v>
      </c>
      <c r="AP58" s="425">
        <v>1378.4615384615377</v>
      </c>
      <c r="AQ58" s="425">
        <v>72.550607287449353</v>
      </c>
      <c r="AR58" s="418">
        <f t="shared" si="16"/>
        <v>17</v>
      </c>
      <c r="AS58" s="565"/>
      <c r="AT58" s="425">
        <v>19</v>
      </c>
      <c r="AU58" s="425">
        <v>1360.5405405405395</v>
      </c>
      <c r="AV58" s="425">
        <v>71.607396870554709</v>
      </c>
      <c r="AW58" s="418">
        <f t="shared" si="17"/>
        <v>15</v>
      </c>
      <c r="AX58" s="565"/>
      <c r="AZ58" s="407" t="e">
        <f t="shared" si="18"/>
        <v>#N/A</v>
      </c>
      <c r="BA58" s="565"/>
    </row>
    <row r="59" spans="2:53">
      <c r="B59" s="570"/>
      <c r="C59" s="292">
        <v>18</v>
      </c>
      <c r="D59" s="226" t="s">
        <v>628</v>
      </c>
      <c r="E59" s="182">
        <v>18</v>
      </c>
      <c r="F59" s="392">
        <v>1500</v>
      </c>
      <c r="G59" s="393">
        <v>83.3</v>
      </c>
      <c r="H59" s="628"/>
      <c r="I59" s="400">
        <f t="shared" si="19"/>
        <v>18</v>
      </c>
      <c r="J59" s="400">
        <f t="shared" si="20"/>
        <v>1304.6110872429997</v>
      </c>
      <c r="K59" s="200">
        <f t="shared" si="21"/>
        <v>72.478393735722207</v>
      </c>
      <c r="L59" s="581"/>
      <c r="M59" s="199">
        <f>RANK(K59, K$42:$K$71)</f>
        <v>19</v>
      </c>
      <c r="N59" s="564"/>
      <c r="O59" s="564"/>
      <c r="P59" s="425">
        <v>18</v>
      </c>
      <c r="Q59" s="425">
        <v>1302.3529411764705</v>
      </c>
      <c r="R59" s="425">
        <v>72.35294117647058</v>
      </c>
      <c r="S59" s="418">
        <f t="shared" si="11"/>
        <v>20</v>
      </c>
      <c r="T59" s="565"/>
      <c r="U59" s="425">
        <v>18</v>
      </c>
      <c r="V59" s="425">
        <v>1307.6923076923069</v>
      </c>
      <c r="W59" s="425">
        <v>72.649572649572605</v>
      </c>
      <c r="X59" s="418">
        <f t="shared" si="12"/>
        <v>20</v>
      </c>
      <c r="Y59" s="565"/>
      <c r="Z59" s="425">
        <v>18</v>
      </c>
      <c r="AA59" s="425">
        <v>1309.1666666666656</v>
      </c>
      <c r="AB59" s="425">
        <v>72.731481481481424</v>
      </c>
      <c r="AC59" s="418">
        <f t="shared" si="13"/>
        <v>20</v>
      </c>
      <c r="AD59" s="565"/>
      <c r="AE59" s="425">
        <v>18</v>
      </c>
      <c r="AF59" s="425">
        <v>1298.823529411763</v>
      </c>
      <c r="AG59" s="425">
        <v>72.156862745097953</v>
      </c>
      <c r="AH59" s="418">
        <f t="shared" si="14"/>
        <v>19</v>
      </c>
      <c r="AI59" s="565"/>
      <c r="AJ59" s="425">
        <v>18</v>
      </c>
      <c r="AK59" s="425">
        <v>1288.3783783783774</v>
      </c>
      <c r="AL59" s="425">
        <v>71.576576576576528</v>
      </c>
      <c r="AM59" s="418">
        <f t="shared" si="15"/>
        <v>18</v>
      </c>
      <c r="AN59" s="565"/>
      <c r="AO59" s="425">
        <v>18</v>
      </c>
      <c r="AP59" s="425">
        <v>1313.7209302325577</v>
      </c>
      <c r="AQ59" s="425">
        <v>72.984496124030983</v>
      </c>
      <c r="AR59" s="418">
        <f t="shared" si="16"/>
        <v>16</v>
      </c>
      <c r="AS59" s="565"/>
      <c r="AT59" s="425">
        <v>18</v>
      </c>
      <c r="AU59" s="425">
        <v>1312.1428571428569</v>
      </c>
      <c r="AV59" s="425">
        <v>72.896825396825378</v>
      </c>
      <c r="AW59" s="418">
        <f t="shared" si="17"/>
        <v>14</v>
      </c>
      <c r="AX59" s="565"/>
      <c r="AZ59" s="407" t="e">
        <f t="shared" si="18"/>
        <v>#N/A</v>
      </c>
      <c r="BA59" s="565"/>
    </row>
    <row r="60" spans="2:53">
      <c r="B60" s="570"/>
      <c r="C60" s="292">
        <v>19</v>
      </c>
      <c r="D60" s="226" t="s">
        <v>530</v>
      </c>
      <c r="E60" s="182">
        <v>17</v>
      </c>
      <c r="F60" s="392">
        <v>1440</v>
      </c>
      <c r="G60" s="393">
        <v>84.7</v>
      </c>
      <c r="H60" s="628"/>
      <c r="I60" s="400">
        <f t="shared" si="19"/>
        <v>17</v>
      </c>
      <c r="J60" s="400">
        <f t="shared" si="20"/>
        <v>1337.7840309843359</v>
      </c>
      <c r="K60" s="200">
        <f t="shared" si="21"/>
        <v>78.693178293196212</v>
      </c>
      <c r="L60" s="581"/>
      <c r="M60" s="199">
        <f>RANK(K60, K$42:$K$71)</f>
        <v>14</v>
      </c>
      <c r="N60" s="564"/>
      <c r="O60" s="564"/>
      <c r="P60" s="425">
        <v>17</v>
      </c>
      <c r="Q60" s="425">
        <v>1355.744680851064</v>
      </c>
      <c r="R60" s="425">
        <v>79.749687108886121</v>
      </c>
      <c r="S60" s="418">
        <f t="shared" si="11"/>
        <v>12</v>
      </c>
      <c r="T60" s="565"/>
      <c r="U60" s="425">
        <v>17</v>
      </c>
      <c r="V60" s="425">
        <v>1335.6521739130435</v>
      </c>
      <c r="W60" s="425">
        <v>78.567774936061383</v>
      </c>
      <c r="X60" s="418">
        <f t="shared" si="12"/>
        <v>13</v>
      </c>
      <c r="Y60" s="565"/>
      <c r="Z60" s="425">
        <v>17</v>
      </c>
      <c r="AA60" s="425">
        <v>1347.42857142857</v>
      </c>
      <c r="AB60" s="425">
        <v>79.26050420168059</v>
      </c>
      <c r="AC60" s="418">
        <f t="shared" si="13"/>
        <v>11</v>
      </c>
      <c r="AD60" s="565"/>
      <c r="AE60" s="425">
        <v>17</v>
      </c>
      <c r="AF60" s="425">
        <v>1322.9999999999995</v>
      </c>
      <c r="AG60" s="425">
        <v>77.823529411764682</v>
      </c>
      <c r="AH60" s="418">
        <f t="shared" si="14"/>
        <v>14</v>
      </c>
      <c r="AI60" s="565"/>
      <c r="AJ60" s="425">
        <v>17</v>
      </c>
      <c r="AK60" s="425">
        <v>1321.4999999999995</v>
      </c>
      <c r="AL60" s="425">
        <v>77.73529411764703</v>
      </c>
      <c r="AM60" s="418">
        <f t="shared" si="15"/>
        <v>13</v>
      </c>
      <c r="AN60" s="565"/>
      <c r="AO60" s="425">
        <v>17</v>
      </c>
      <c r="AP60" s="425">
        <v>1350</v>
      </c>
      <c r="AQ60" s="425">
        <v>79.411764705882348</v>
      </c>
      <c r="AR60" s="418">
        <f t="shared" si="16"/>
        <v>12</v>
      </c>
      <c r="AS60" s="565"/>
      <c r="AT60" s="425">
        <v>17</v>
      </c>
      <c r="AU60" s="425">
        <v>1331.1627906976742</v>
      </c>
      <c r="AV60" s="425">
        <v>78.303693570451415</v>
      </c>
      <c r="AW60" s="418">
        <f t="shared" si="17"/>
        <v>11</v>
      </c>
      <c r="AX60" s="565"/>
      <c r="AZ60" s="407" t="e">
        <f t="shared" si="18"/>
        <v>#N/A</v>
      </c>
      <c r="BA60" s="565"/>
    </row>
    <row r="61" spans="2:53">
      <c r="B61" s="570"/>
      <c r="C61" s="292">
        <v>20</v>
      </c>
      <c r="D61" s="226" t="s">
        <v>534</v>
      </c>
      <c r="E61" s="182">
        <v>18</v>
      </c>
      <c r="F61" s="392">
        <v>1500</v>
      </c>
      <c r="G61" s="393">
        <v>83.3</v>
      </c>
      <c r="H61" s="628"/>
      <c r="I61" s="400">
        <f t="shared" si="19"/>
        <v>18</v>
      </c>
      <c r="J61" s="400">
        <f t="shared" si="20"/>
        <v>1289.1045983420702</v>
      </c>
      <c r="K61" s="200">
        <f t="shared" si="21"/>
        <v>71.616922130115</v>
      </c>
      <c r="L61" s="581"/>
      <c r="M61" s="199">
        <f>RANK(K61, K$42:$K$71)</f>
        <v>20</v>
      </c>
      <c r="N61" s="564"/>
      <c r="O61" s="564"/>
      <c r="P61" s="425">
        <v>18</v>
      </c>
      <c r="Q61" s="425">
        <v>1409.0000000000014</v>
      </c>
      <c r="R61" s="425">
        <v>78.277777777777857</v>
      </c>
      <c r="S61" s="418">
        <f t="shared" si="11"/>
        <v>15</v>
      </c>
      <c r="T61" s="565"/>
      <c r="U61" s="425">
        <v>18</v>
      </c>
      <c r="V61" s="425">
        <v>1342.0000000000014</v>
      </c>
      <c r="W61" s="425">
        <v>74.555555555555628</v>
      </c>
      <c r="X61" s="418">
        <f t="shared" si="12"/>
        <v>18</v>
      </c>
      <c r="Y61" s="565"/>
      <c r="Z61" s="425">
        <v>18</v>
      </c>
      <c r="AA61" s="425">
        <v>1263.6000000000004</v>
      </c>
      <c r="AB61" s="425">
        <v>70.200000000000017</v>
      </c>
      <c r="AC61" s="418">
        <f t="shared" si="13"/>
        <v>21</v>
      </c>
      <c r="AD61" s="565"/>
      <c r="AE61" s="425">
        <v>18</v>
      </c>
      <c r="AF61" s="425">
        <v>1264.4444444444453</v>
      </c>
      <c r="AG61" s="425">
        <v>70.246913580246954</v>
      </c>
      <c r="AH61" s="418">
        <f t="shared" si="14"/>
        <v>22</v>
      </c>
      <c r="AI61" s="565"/>
      <c r="AJ61" s="425">
        <v>18</v>
      </c>
      <c r="AK61" s="425">
        <v>1245.0000000000009</v>
      </c>
      <c r="AL61" s="425">
        <v>69.166666666666714</v>
      </c>
      <c r="AM61" s="418">
        <f t="shared" si="15"/>
        <v>21</v>
      </c>
      <c r="AN61" s="565"/>
      <c r="AO61" s="425">
        <v>18</v>
      </c>
      <c r="AP61" s="425">
        <v>1250.1639344262308</v>
      </c>
      <c r="AQ61" s="425">
        <v>69.453551912568372</v>
      </c>
      <c r="AR61" s="418">
        <f t="shared" si="16"/>
        <v>20</v>
      </c>
      <c r="AS61" s="565"/>
      <c r="AT61" s="425">
        <v>18</v>
      </c>
      <c r="AU61" s="425">
        <v>1249.5238095238108</v>
      </c>
      <c r="AV61" s="425">
        <v>69.417989417989489</v>
      </c>
      <c r="AW61" s="418">
        <f t="shared" si="17"/>
        <v>17</v>
      </c>
      <c r="AX61" s="565"/>
      <c r="AZ61" s="407" t="e">
        <f t="shared" si="18"/>
        <v>#N/A</v>
      </c>
      <c r="BA61" s="565"/>
    </row>
    <row r="62" spans="2:53">
      <c r="B62" s="570"/>
      <c r="C62" s="292">
        <v>21</v>
      </c>
      <c r="D62" s="226" t="s">
        <v>618</v>
      </c>
      <c r="E62" s="182">
        <v>18</v>
      </c>
      <c r="F62" s="392">
        <v>1636</v>
      </c>
      <c r="G62" s="393">
        <v>90.9</v>
      </c>
      <c r="H62" s="628"/>
      <c r="I62" s="400">
        <f t="shared" si="19"/>
        <v>18</v>
      </c>
      <c r="J62" s="400">
        <f t="shared" si="20"/>
        <v>1428.5497737556561</v>
      </c>
      <c r="K62" s="200">
        <f t="shared" si="21"/>
        <v>79.363876319758674</v>
      </c>
      <c r="L62" s="581"/>
      <c r="M62" s="199">
        <f>RANK(K62, K$42:$K$71)</f>
        <v>13</v>
      </c>
      <c r="N62" s="564"/>
      <c r="O62" s="564"/>
      <c r="P62" s="425">
        <v>18</v>
      </c>
      <c r="Q62" s="425">
        <v>1453.8461538461538</v>
      </c>
      <c r="R62" s="425">
        <v>80.769230769230774</v>
      </c>
      <c r="S62" s="418">
        <f t="shared" si="11"/>
        <v>11</v>
      </c>
      <c r="T62" s="565"/>
      <c r="U62" s="425">
        <v>18</v>
      </c>
      <c r="V62" s="425">
        <v>1429.4117647058822</v>
      </c>
      <c r="W62" s="425">
        <v>79.411764705882348</v>
      </c>
      <c r="X62" s="418">
        <f t="shared" si="12"/>
        <v>11</v>
      </c>
      <c r="Y62" s="565"/>
      <c r="Z62" s="425">
        <v>18</v>
      </c>
      <c r="AA62" s="425">
        <v>1410.3529411764703</v>
      </c>
      <c r="AB62" s="425">
        <v>78.352941176470566</v>
      </c>
      <c r="AC62" s="418">
        <f t="shared" si="13"/>
        <v>13</v>
      </c>
      <c r="AD62" s="565"/>
      <c r="AE62" s="425">
        <v>18</v>
      </c>
      <c r="AF62" s="425">
        <v>1420.5882352941176</v>
      </c>
      <c r="AG62" s="425">
        <v>78.921568627450981</v>
      </c>
      <c r="AH62" s="418">
        <f t="shared" si="14"/>
        <v>12</v>
      </c>
      <c r="AI62" s="565"/>
      <c r="AJ62" s="425" t="s">
        <v>639</v>
      </c>
      <c r="AK62" s="425" t="s">
        <v>639</v>
      </c>
      <c r="AL62" s="425" t="s">
        <v>639</v>
      </c>
      <c r="AM62" s="418" t="e">
        <f t="shared" si="15"/>
        <v>#VALUE!</v>
      </c>
      <c r="AN62" s="565"/>
      <c r="AO62" s="425" t="s">
        <v>639</v>
      </c>
      <c r="AP62" s="425" t="s">
        <v>639</v>
      </c>
      <c r="AQ62" s="425" t="s">
        <v>639</v>
      </c>
      <c r="AR62" s="418" t="e">
        <f t="shared" si="16"/>
        <v>#VALUE!</v>
      </c>
      <c r="AS62" s="565"/>
      <c r="AT62" s="425" t="s">
        <v>639</v>
      </c>
      <c r="AU62" s="425" t="s">
        <v>639</v>
      </c>
      <c r="AV62" s="425" t="s">
        <v>639</v>
      </c>
      <c r="AW62" s="418" t="e">
        <f t="shared" si="17"/>
        <v>#VALUE!</v>
      </c>
      <c r="AX62" s="565"/>
      <c r="AZ62" s="407" t="e">
        <f t="shared" si="18"/>
        <v>#N/A</v>
      </c>
      <c r="BA62" s="565"/>
    </row>
    <row r="63" spans="2:53">
      <c r="B63" s="570"/>
      <c r="C63" s="292">
        <v>22</v>
      </c>
      <c r="D63" s="226" t="s">
        <v>536</v>
      </c>
      <c r="E63" s="182">
        <v>20</v>
      </c>
      <c r="F63" s="392">
        <v>1500</v>
      </c>
      <c r="G63" s="393">
        <v>75</v>
      </c>
      <c r="H63" s="628"/>
      <c r="I63" s="400">
        <f t="shared" si="19"/>
        <v>20</v>
      </c>
      <c r="J63" s="400">
        <f t="shared" si="20"/>
        <v>1252.2930462802967</v>
      </c>
      <c r="K63" s="200">
        <f t="shared" si="21"/>
        <v>62.61465231401484</v>
      </c>
      <c r="L63" s="581"/>
      <c r="M63" s="199">
        <f>RANK(K63, K$42:$K$71)</f>
        <v>25</v>
      </c>
      <c r="N63" s="564"/>
      <c r="O63" s="564"/>
      <c r="P63" s="425">
        <v>20</v>
      </c>
      <c r="Q63" s="425">
        <v>1260.0000000000002</v>
      </c>
      <c r="R63" s="425">
        <v>63.000000000000014</v>
      </c>
      <c r="S63" s="418">
        <f t="shared" si="11"/>
        <v>25</v>
      </c>
      <c r="T63" s="565"/>
      <c r="U63" s="425">
        <v>20</v>
      </c>
      <c r="V63" s="425">
        <v>1251.4285714285711</v>
      </c>
      <c r="W63" s="425">
        <v>62.571428571428555</v>
      </c>
      <c r="X63" s="418">
        <f t="shared" si="12"/>
        <v>25</v>
      </c>
      <c r="Y63" s="565"/>
      <c r="Z63" s="425">
        <v>20</v>
      </c>
      <c r="AA63" s="425">
        <v>1239.4736842105253</v>
      </c>
      <c r="AB63" s="425">
        <v>61.973684210526265</v>
      </c>
      <c r="AC63" s="418">
        <f t="shared" si="13"/>
        <v>26</v>
      </c>
      <c r="AD63" s="565"/>
      <c r="AE63" s="425">
        <v>20</v>
      </c>
      <c r="AF63" s="425">
        <v>1268.9999999999995</v>
      </c>
      <c r="AG63" s="425">
        <v>63.449999999999974</v>
      </c>
      <c r="AH63" s="418">
        <f t="shared" si="14"/>
        <v>25</v>
      </c>
      <c r="AI63" s="565"/>
      <c r="AJ63" s="425">
        <v>20</v>
      </c>
      <c r="AK63" s="425">
        <v>1279.9999999999995</v>
      </c>
      <c r="AL63" s="425">
        <v>63.999999999999979</v>
      </c>
      <c r="AM63" s="418">
        <f t="shared" si="15"/>
        <v>24</v>
      </c>
      <c r="AN63" s="565"/>
      <c r="AO63" s="425">
        <v>20</v>
      </c>
      <c r="AP63" s="425">
        <v>1225.714285714286</v>
      </c>
      <c r="AQ63" s="425">
        <v>61.285714285714299</v>
      </c>
      <c r="AR63" s="418">
        <f t="shared" si="16"/>
        <v>23</v>
      </c>
      <c r="AS63" s="565"/>
      <c r="AT63" s="425">
        <v>20</v>
      </c>
      <c r="AU63" s="425">
        <v>1240.4347826086957</v>
      </c>
      <c r="AV63" s="425">
        <v>62.021739130434788</v>
      </c>
      <c r="AW63" s="418">
        <f t="shared" si="17"/>
        <v>22</v>
      </c>
      <c r="AX63" s="565"/>
      <c r="AZ63" s="407" t="e">
        <f t="shared" si="18"/>
        <v>#N/A</v>
      </c>
      <c r="BA63" s="565"/>
    </row>
    <row r="64" spans="2:53">
      <c r="B64" s="570"/>
      <c r="C64" s="292">
        <v>23</v>
      </c>
      <c r="D64" s="226" t="s">
        <v>615</v>
      </c>
      <c r="E64" s="182">
        <v>17</v>
      </c>
      <c r="F64" s="392">
        <v>1565</v>
      </c>
      <c r="G64" s="393">
        <v>92.1</v>
      </c>
      <c r="H64" s="628"/>
      <c r="I64" s="400">
        <f t="shared" si="19"/>
        <v>17.714285714285715</v>
      </c>
      <c r="J64" s="400">
        <f t="shared" si="20"/>
        <v>1390.9421284075652</v>
      </c>
      <c r="K64" s="200">
        <f t="shared" si="21"/>
        <v>78.574961636766943</v>
      </c>
      <c r="L64" s="581"/>
      <c r="M64" s="199">
        <f>RANK(K64, K$42:$K$71)</f>
        <v>15</v>
      </c>
      <c r="N64" s="564"/>
      <c r="O64" s="564"/>
      <c r="P64" s="425">
        <v>18</v>
      </c>
      <c r="Q64" s="425">
        <v>1426.1538461538453</v>
      </c>
      <c r="R64" s="425">
        <v>79.230769230769184</v>
      </c>
      <c r="S64" s="418">
        <f t="shared" si="11"/>
        <v>14</v>
      </c>
      <c r="T64" s="565"/>
      <c r="U64" s="425">
        <v>18</v>
      </c>
      <c r="V64" s="425">
        <v>1416.6666666666656</v>
      </c>
      <c r="W64" s="425">
        <v>78.703703703703638</v>
      </c>
      <c r="X64" s="418">
        <f t="shared" si="12"/>
        <v>12</v>
      </c>
      <c r="Y64" s="565"/>
      <c r="Z64" s="425">
        <v>18</v>
      </c>
      <c r="AA64" s="425">
        <v>1372.258064516127</v>
      </c>
      <c r="AB64" s="425">
        <v>76.236559139784831</v>
      </c>
      <c r="AC64" s="418">
        <f t="shared" si="13"/>
        <v>15</v>
      </c>
      <c r="AD64" s="565"/>
      <c r="AE64" s="425">
        <v>17</v>
      </c>
      <c r="AF64" s="425">
        <v>1385.4545454545437</v>
      </c>
      <c r="AG64" s="425">
        <v>81.497326203208445</v>
      </c>
      <c r="AH64" s="418">
        <f t="shared" si="14"/>
        <v>9</v>
      </c>
      <c r="AI64" s="565"/>
      <c r="AJ64" s="425">
        <v>18</v>
      </c>
      <c r="AK64" s="425">
        <v>1358.9189189189178</v>
      </c>
      <c r="AL64" s="425">
        <v>75.495495495495433</v>
      </c>
      <c r="AM64" s="418">
        <f t="shared" si="15"/>
        <v>14</v>
      </c>
      <c r="AN64" s="565"/>
      <c r="AO64" s="425">
        <v>18</v>
      </c>
      <c r="AP64" s="425">
        <v>1377.1428571428567</v>
      </c>
      <c r="AQ64" s="425">
        <v>76.507936507936478</v>
      </c>
      <c r="AR64" s="418">
        <f t="shared" si="16"/>
        <v>13</v>
      </c>
      <c r="AS64" s="565"/>
      <c r="AT64" s="425">
        <v>17</v>
      </c>
      <c r="AU64" s="425">
        <v>1399.9999999999995</v>
      </c>
      <c r="AV64" s="425">
        <v>82.352941176470566</v>
      </c>
      <c r="AW64" s="418">
        <f t="shared" si="17"/>
        <v>7</v>
      </c>
      <c r="AX64" s="565"/>
      <c r="AZ64" s="407" t="e">
        <f t="shared" si="18"/>
        <v>#N/A</v>
      </c>
      <c r="BA64" s="565"/>
    </row>
    <row r="65" spans="2:53">
      <c r="B65" s="570"/>
      <c r="C65" s="292">
        <v>24</v>
      </c>
      <c r="D65" s="226" t="s">
        <v>616</v>
      </c>
      <c r="E65" s="182">
        <v>15</v>
      </c>
      <c r="F65" s="392">
        <v>1440</v>
      </c>
      <c r="G65" s="393">
        <v>96</v>
      </c>
      <c r="H65" s="628"/>
      <c r="I65" s="400">
        <f t="shared" si="19"/>
        <v>15</v>
      </c>
      <c r="J65" s="400">
        <f t="shared" si="20"/>
        <v>1287.8877522886744</v>
      </c>
      <c r="K65" s="200">
        <f t="shared" si="21"/>
        <v>85.859183485911643</v>
      </c>
      <c r="L65" s="581"/>
      <c r="M65" s="199">
        <f>RANK(K65, K$42:$K$71)</f>
        <v>4</v>
      </c>
      <c r="N65" s="564"/>
      <c r="O65" s="564"/>
      <c r="P65" s="418">
        <v>15</v>
      </c>
      <c r="Q65" s="425">
        <v>1360.7142857142828</v>
      </c>
      <c r="R65" s="425">
        <v>90.714285714285523</v>
      </c>
      <c r="S65" s="418">
        <f t="shared" si="11"/>
        <v>3</v>
      </c>
      <c r="T65" s="565"/>
      <c r="U65" s="418">
        <v>15</v>
      </c>
      <c r="V65" s="425">
        <v>1143.8709677419338</v>
      </c>
      <c r="W65" s="425">
        <v>76.258064516128925</v>
      </c>
      <c r="X65" s="418">
        <f t="shared" si="12"/>
        <v>15</v>
      </c>
      <c r="Y65" s="565"/>
      <c r="Z65" s="418">
        <v>15</v>
      </c>
      <c r="AA65" s="425">
        <v>1248.4615384615429</v>
      </c>
      <c r="AB65" s="425">
        <v>83.230769230769525</v>
      </c>
      <c r="AC65" s="418">
        <f t="shared" si="13"/>
        <v>5</v>
      </c>
      <c r="AD65" s="565"/>
      <c r="AE65" s="418">
        <v>15</v>
      </c>
      <c r="AF65" s="425">
        <v>1311.1111111111234</v>
      </c>
      <c r="AG65" s="425">
        <v>87.407407407408229</v>
      </c>
      <c r="AH65" s="418">
        <f t="shared" si="14"/>
        <v>4</v>
      </c>
      <c r="AI65" s="565"/>
      <c r="AJ65" s="418">
        <v>15</v>
      </c>
      <c r="AK65" s="425">
        <v>1287.6923076923044</v>
      </c>
      <c r="AL65" s="425">
        <v>85.846153846153626</v>
      </c>
      <c r="AM65" s="418">
        <f t="shared" si="15"/>
        <v>6</v>
      </c>
      <c r="AN65" s="565"/>
      <c r="AO65" s="418">
        <v>15</v>
      </c>
      <c r="AP65" s="425">
        <v>1321.9354838709655</v>
      </c>
      <c r="AQ65" s="425">
        <v>88.12903225806437</v>
      </c>
      <c r="AR65" s="418">
        <f t="shared" si="16"/>
        <v>5</v>
      </c>
      <c r="AS65" s="565"/>
      <c r="AT65" s="418">
        <v>15</v>
      </c>
      <c r="AU65" s="425">
        <v>1341.4285714285684</v>
      </c>
      <c r="AV65" s="425">
        <v>89.428571428571232</v>
      </c>
      <c r="AW65" s="418">
        <f t="shared" si="17"/>
        <v>3</v>
      </c>
      <c r="AX65" s="565"/>
      <c r="AZ65" s="407" t="e">
        <f t="shared" si="18"/>
        <v>#N/A</v>
      </c>
      <c r="BA65" s="565"/>
    </row>
    <row r="66" spans="2:53">
      <c r="B66" s="570"/>
      <c r="C66" s="292">
        <v>25</v>
      </c>
      <c r="D66" s="226" t="s">
        <v>583</v>
      </c>
      <c r="E66" s="182">
        <v>21</v>
      </c>
      <c r="F66" s="392">
        <v>1500</v>
      </c>
      <c r="G66" s="393">
        <v>71.400000000000006</v>
      </c>
      <c r="H66" s="628"/>
      <c r="I66" s="400">
        <f t="shared" si="19"/>
        <v>21</v>
      </c>
      <c r="J66" s="400">
        <f t="shared" si="20"/>
        <v>1296.6660127098257</v>
      </c>
      <c r="K66" s="200">
        <f t="shared" si="21"/>
        <v>61.746000605229789</v>
      </c>
      <c r="L66" s="581"/>
      <c r="M66" s="199">
        <f>RANK(K66, K$42:$K$71)</f>
        <v>26</v>
      </c>
      <c r="N66" s="564"/>
      <c r="O66" s="564"/>
      <c r="P66" s="418">
        <v>21</v>
      </c>
      <c r="Q66" s="425">
        <v>1318.6363636363635</v>
      </c>
      <c r="R66" s="425">
        <v>62.792207792207783</v>
      </c>
      <c r="S66" s="418">
        <f t="shared" si="11"/>
        <v>26</v>
      </c>
      <c r="T66" s="565"/>
      <c r="U66" s="418">
        <v>21</v>
      </c>
      <c r="V66" s="425">
        <v>1300.9756097560971</v>
      </c>
      <c r="W66" s="425">
        <v>61.951219512195102</v>
      </c>
      <c r="X66" s="418">
        <f t="shared" si="12"/>
        <v>26</v>
      </c>
      <c r="Y66" s="565"/>
      <c r="Z66" s="418">
        <v>21</v>
      </c>
      <c r="AA66" s="425">
        <v>1310.2702702702693</v>
      </c>
      <c r="AB66" s="425">
        <v>62.393822393822347</v>
      </c>
      <c r="AC66" s="418">
        <f t="shared" si="13"/>
        <v>25</v>
      </c>
      <c r="AD66" s="565"/>
      <c r="AE66" s="418">
        <v>21</v>
      </c>
      <c r="AF66" s="425">
        <v>1293.3333333333323</v>
      </c>
      <c r="AG66" s="425">
        <v>61.587301587301539</v>
      </c>
      <c r="AH66" s="418">
        <f t="shared" si="14"/>
        <v>26</v>
      </c>
      <c r="AI66" s="565"/>
      <c r="AJ66" s="418">
        <v>21</v>
      </c>
      <c r="AK66" s="425">
        <v>1303.9024390243897</v>
      </c>
      <c r="AL66" s="425">
        <v>62.090592334494744</v>
      </c>
      <c r="AM66" s="418">
        <f t="shared" si="15"/>
        <v>25</v>
      </c>
      <c r="AN66" s="565"/>
      <c r="AO66" s="418">
        <v>21</v>
      </c>
      <c r="AP66" s="425">
        <v>1285.7142857142851</v>
      </c>
      <c r="AQ66" s="425">
        <v>61.224489795918338</v>
      </c>
      <c r="AR66" s="418">
        <f t="shared" si="16"/>
        <v>24</v>
      </c>
      <c r="AS66" s="565"/>
      <c r="AT66" s="418">
        <v>21</v>
      </c>
      <c r="AU66" s="425">
        <v>1263.8297872340427</v>
      </c>
      <c r="AV66" s="425">
        <v>60.182370820668702</v>
      </c>
      <c r="AW66" s="418">
        <f t="shared" si="17"/>
        <v>23</v>
      </c>
      <c r="AX66" s="565"/>
      <c r="AZ66" s="407" t="e">
        <f t="shared" si="18"/>
        <v>#N/A</v>
      </c>
      <c r="BA66" s="565"/>
    </row>
    <row r="67" spans="2:53">
      <c r="B67" s="570"/>
      <c r="C67" s="292">
        <v>26</v>
      </c>
      <c r="D67" s="226" t="s">
        <v>617</v>
      </c>
      <c r="E67" s="182">
        <v>19</v>
      </c>
      <c r="F67" s="392">
        <v>1500</v>
      </c>
      <c r="G67" s="393">
        <v>78.900000000000006</v>
      </c>
      <c r="H67" s="628"/>
      <c r="I67" s="400">
        <f t="shared" si="19"/>
        <v>19</v>
      </c>
      <c r="J67" s="400">
        <f t="shared" si="20"/>
        <v>1254.7247498784179</v>
      </c>
      <c r="K67" s="200">
        <f t="shared" si="21"/>
        <v>66.038144730443051</v>
      </c>
      <c r="L67" s="581"/>
      <c r="M67" s="199">
        <f>RANK(K67, K$42:$K$71)</f>
        <v>24</v>
      </c>
      <c r="N67" s="564"/>
      <c r="O67" s="564"/>
      <c r="P67" s="418">
        <v>19</v>
      </c>
      <c r="Q67" s="425">
        <v>1266.176470588237</v>
      </c>
      <c r="R67" s="425">
        <v>66.640866873065107</v>
      </c>
      <c r="S67" s="418">
        <f t="shared" si="11"/>
        <v>24</v>
      </c>
      <c r="T67" s="565"/>
      <c r="U67" s="418">
        <v>19</v>
      </c>
      <c r="V67" s="425">
        <v>1265.1724137931044</v>
      </c>
      <c r="W67" s="425">
        <v>66.588021778584448</v>
      </c>
      <c r="X67" s="418">
        <f t="shared" si="12"/>
        <v>24</v>
      </c>
      <c r="Y67" s="565"/>
      <c r="Z67" s="418">
        <v>19</v>
      </c>
      <c r="AA67" s="425">
        <v>1224.4444444444453</v>
      </c>
      <c r="AB67" s="425">
        <v>64.444444444444485</v>
      </c>
      <c r="AC67" s="418">
        <f t="shared" si="13"/>
        <v>24</v>
      </c>
      <c r="AD67" s="565"/>
      <c r="AE67" s="418">
        <v>19</v>
      </c>
      <c r="AF67" s="425">
        <v>1273.5849056603779</v>
      </c>
      <c r="AG67" s="425">
        <v>67.030784508440945</v>
      </c>
      <c r="AH67" s="418">
        <f t="shared" si="14"/>
        <v>24</v>
      </c>
      <c r="AI67" s="565"/>
      <c r="AJ67" s="418">
        <v>19</v>
      </c>
      <c r="AK67" s="425">
        <v>1230.9677419354848</v>
      </c>
      <c r="AL67" s="425">
        <v>64.787775891341312</v>
      </c>
      <c r="AM67" s="418">
        <f t="shared" si="15"/>
        <v>23</v>
      </c>
      <c r="AN67" s="565"/>
      <c r="AO67" s="418">
        <v>19</v>
      </c>
      <c r="AP67" s="425">
        <v>1260.9090909090921</v>
      </c>
      <c r="AQ67" s="425">
        <v>66.363636363636431</v>
      </c>
      <c r="AR67" s="418">
        <f t="shared" si="16"/>
        <v>22</v>
      </c>
      <c r="AS67" s="565"/>
      <c r="AT67" s="418">
        <v>19</v>
      </c>
      <c r="AU67" s="425">
        <v>1261.8181818181831</v>
      </c>
      <c r="AV67" s="425">
        <v>66.411483253588585</v>
      </c>
      <c r="AW67" s="418">
        <f t="shared" si="17"/>
        <v>21</v>
      </c>
      <c r="AX67" s="565"/>
      <c r="AZ67" s="407" t="e">
        <f t="shared" si="18"/>
        <v>#N/A</v>
      </c>
      <c r="BA67" s="565"/>
    </row>
    <row r="68" spans="2:53">
      <c r="B68" s="570"/>
      <c r="C68" s="292">
        <v>27</v>
      </c>
      <c r="D68" s="226" t="s">
        <v>673</v>
      </c>
      <c r="E68" s="182">
        <v>20</v>
      </c>
      <c r="F68" s="392">
        <v>1300</v>
      </c>
      <c r="G68" s="393">
        <v>65</v>
      </c>
      <c r="H68" s="628"/>
      <c r="I68" s="400">
        <f t="shared" si="19"/>
        <v>20</v>
      </c>
      <c r="J68" s="400">
        <f t="shared" si="20"/>
        <v>1098.4714435111759</v>
      </c>
      <c r="K68" s="200">
        <f t="shared" si="21"/>
        <v>54.923572175558796</v>
      </c>
      <c r="L68" s="581"/>
      <c r="M68" s="199">
        <f>RANK(K68, K$42:$K$71)</f>
        <v>27</v>
      </c>
      <c r="N68" s="564"/>
      <c r="O68" s="564"/>
      <c r="P68" s="418">
        <v>20</v>
      </c>
      <c r="Q68" s="425">
        <v>1105.0632911392399</v>
      </c>
      <c r="R68" s="425">
        <v>55.253164556961998</v>
      </c>
      <c r="S68" s="418">
        <f t="shared" si="11"/>
        <v>27</v>
      </c>
      <c r="T68" s="565"/>
      <c r="U68" s="418">
        <v>20</v>
      </c>
      <c r="V68" s="425">
        <v>1118.518518518518</v>
      </c>
      <c r="W68" s="425">
        <v>55.925925925925903</v>
      </c>
      <c r="X68" s="418">
        <f t="shared" si="12"/>
        <v>27</v>
      </c>
      <c r="Y68" s="565"/>
      <c r="Z68" s="418">
        <v>20</v>
      </c>
      <c r="AA68" s="425">
        <v>1108.2758620689654</v>
      </c>
      <c r="AB68" s="425">
        <v>55.41379310344827</v>
      </c>
      <c r="AC68" s="418">
        <f t="shared" si="13"/>
        <v>27</v>
      </c>
      <c r="AD68" s="565"/>
      <c r="AE68" s="418">
        <v>20</v>
      </c>
      <c r="AF68" s="425">
        <v>1103.207547169812</v>
      </c>
      <c r="AG68" s="425">
        <v>55.160377358490599</v>
      </c>
      <c r="AH68" s="418">
        <f t="shared" si="14"/>
        <v>27</v>
      </c>
      <c r="AI68" s="565"/>
      <c r="AJ68" s="418">
        <v>20</v>
      </c>
      <c r="AK68" s="425">
        <v>1079.0769230769245</v>
      </c>
      <c r="AL68" s="425">
        <v>53.953846153846222</v>
      </c>
      <c r="AM68" s="418">
        <f t="shared" si="15"/>
        <v>26</v>
      </c>
      <c r="AN68" s="565"/>
      <c r="AO68" s="418">
        <v>20</v>
      </c>
      <c r="AP68" s="425">
        <v>1092.1276595744685</v>
      </c>
      <c r="AQ68" s="425">
        <v>54.606382978723424</v>
      </c>
      <c r="AR68" s="418">
        <f t="shared" si="16"/>
        <v>25</v>
      </c>
      <c r="AS68" s="565"/>
      <c r="AT68" s="418">
        <v>20</v>
      </c>
      <c r="AU68" s="425">
        <v>1083.0303030303032</v>
      </c>
      <c r="AV68" s="425">
        <v>54.151515151515163</v>
      </c>
      <c r="AW68" s="418">
        <f t="shared" si="17"/>
        <v>24</v>
      </c>
      <c r="AX68" s="565"/>
      <c r="AZ68" s="407" t="e">
        <f t="shared" si="18"/>
        <v>#N/A</v>
      </c>
      <c r="BA68" s="565"/>
    </row>
    <row r="69" spans="2:53">
      <c r="B69" s="570"/>
      <c r="C69" s="292">
        <v>28</v>
      </c>
      <c r="D69" s="226"/>
      <c r="E69" s="182"/>
      <c r="F69" s="392"/>
      <c r="G69" s="393"/>
      <c r="H69" s="628"/>
      <c r="I69" s="400" t="str">
        <f t="shared" si="19"/>
        <v>-</v>
      </c>
      <c r="J69" s="400" t="str">
        <f t="shared" si="20"/>
        <v>-</v>
      </c>
      <c r="K69" s="200" t="str">
        <f t="shared" si="21"/>
        <v>-</v>
      </c>
      <c r="L69" s="581"/>
      <c r="M69" s="199" t="e">
        <f>RANK(K69, K$42:$K$71)</f>
        <v>#VALUE!</v>
      </c>
      <c r="N69" s="564"/>
      <c r="O69" s="564"/>
      <c r="P69" s="418"/>
      <c r="Q69" s="419"/>
      <c r="R69" s="419"/>
      <c r="S69" s="418" t="e">
        <f t="shared" si="11"/>
        <v>#N/A</v>
      </c>
      <c r="T69" s="565"/>
      <c r="U69" s="418"/>
      <c r="V69" s="419"/>
      <c r="W69" s="419"/>
      <c r="X69" s="418" t="e">
        <f t="shared" si="12"/>
        <v>#N/A</v>
      </c>
      <c r="Y69" s="565"/>
      <c r="Z69" s="418" t="s">
        <v>639</v>
      </c>
      <c r="AA69" s="419" t="s">
        <v>639</v>
      </c>
      <c r="AB69" s="419" t="s">
        <v>639</v>
      </c>
      <c r="AC69" s="418" t="e">
        <f t="shared" si="13"/>
        <v>#VALUE!</v>
      </c>
      <c r="AD69" s="565"/>
      <c r="AE69" s="418"/>
      <c r="AF69" s="419"/>
      <c r="AG69" s="419"/>
      <c r="AH69" s="418" t="e">
        <f t="shared" si="14"/>
        <v>#N/A</v>
      </c>
      <c r="AI69" s="565"/>
      <c r="AJ69" s="418"/>
      <c r="AK69" s="419"/>
      <c r="AL69" s="419"/>
      <c r="AM69" s="418" t="e">
        <f t="shared" si="15"/>
        <v>#N/A</v>
      </c>
      <c r="AN69" s="565"/>
      <c r="AO69" s="418"/>
      <c r="AP69" s="419"/>
      <c r="AQ69" s="419"/>
      <c r="AR69" s="418" t="e">
        <f t="shared" si="16"/>
        <v>#N/A</v>
      </c>
      <c r="AS69" s="565"/>
      <c r="AT69" s="418"/>
      <c r="AU69" s="419"/>
      <c r="AV69" s="419"/>
      <c r="AW69" s="418" t="e">
        <f t="shared" si="17"/>
        <v>#N/A</v>
      </c>
      <c r="AX69" s="565"/>
      <c r="AZ69" s="407" t="e">
        <f t="shared" si="18"/>
        <v>#N/A</v>
      </c>
      <c r="BA69" s="565"/>
    </row>
    <row r="70" spans="2:53">
      <c r="B70" s="570"/>
      <c r="C70" s="292">
        <v>29</v>
      </c>
      <c r="D70" s="226"/>
      <c r="E70" s="182"/>
      <c r="F70" s="392"/>
      <c r="G70" s="393"/>
      <c r="H70" s="628"/>
      <c r="I70" s="400" t="str">
        <f t="shared" si="19"/>
        <v>-</v>
      </c>
      <c r="J70" s="400" t="str">
        <f t="shared" si="20"/>
        <v>-</v>
      </c>
      <c r="K70" s="200" t="str">
        <f t="shared" si="21"/>
        <v>-</v>
      </c>
      <c r="L70" s="581"/>
      <c r="M70" s="199" t="e">
        <f>RANK(K70, K$42:$K$71)</f>
        <v>#VALUE!</v>
      </c>
      <c r="N70" s="564"/>
      <c r="O70" s="564"/>
      <c r="P70" s="418"/>
      <c r="Q70" s="418"/>
      <c r="R70" s="418"/>
      <c r="S70" s="418" t="e">
        <f t="shared" si="11"/>
        <v>#N/A</v>
      </c>
      <c r="T70" s="565"/>
      <c r="U70" s="418"/>
      <c r="V70" s="418"/>
      <c r="W70" s="418"/>
      <c r="X70" s="418" t="e">
        <f t="shared" si="12"/>
        <v>#N/A</v>
      </c>
      <c r="Y70" s="565"/>
      <c r="Z70" s="418"/>
      <c r="AA70" s="418"/>
      <c r="AB70" s="418"/>
      <c r="AC70" s="418" t="e">
        <f t="shared" si="13"/>
        <v>#N/A</v>
      </c>
      <c r="AD70" s="565"/>
      <c r="AE70" s="418"/>
      <c r="AF70" s="418"/>
      <c r="AG70" s="418"/>
      <c r="AH70" s="418" t="e">
        <f t="shared" si="14"/>
        <v>#N/A</v>
      </c>
      <c r="AI70" s="565"/>
      <c r="AJ70" s="418"/>
      <c r="AK70" s="418"/>
      <c r="AL70" s="418"/>
      <c r="AM70" s="418" t="e">
        <f t="shared" si="15"/>
        <v>#N/A</v>
      </c>
      <c r="AN70" s="565"/>
      <c r="AO70" s="418"/>
      <c r="AP70" s="418"/>
      <c r="AQ70" s="418"/>
      <c r="AR70" s="418" t="e">
        <f t="shared" si="16"/>
        <v>#N/A</v>
      </c>
      <c r="AS70" s="565"/>
      <c r="AT70" s="418"/>
      <c r="AU70" s="418"/>
      <c r="AV70" s="418"/>
      <c r="AW70" s="418" t="e">
        <f t="shared" si="17"/>
        <v>#N/A</v>
      </c>
      <c r="AX70" s="565"/>
      <c r="AZ70" s="407" t="e">
        <f t="shared" si="18"/>
        <v>#N/A</v>
      </c>
      <c r="BA70" s="565"/>
    </row>
    <row r="71" spans="2:53">
      <c r="B71" s="570"/>
      <c r="C71" s="292">
        <v>30</v>
      </c>
      <c r="D71" s="226"/>
      <c r="E71" s="182"/>
      <c r="F71" s="392"/>
      <c r="G71" s="393"/>
      <c r="H71" s="629"/>
      <c r="I71" s="400" t="str">
        <f t="shared" si="19"/>
        <v>-</v>
      </c>
      <c r="J71" s="400" t="str">
        <f t="shared" si="20"/>
        <v>-</v>
      </c>
      <c r="K71" s="200" t="str">
        <f t="shared" si="21"/>
        <v>-</v>
      </c>
      <c r="L71" s="582"/>
      <c r="M71" s="199" t="e">
        <f>RANK(K71, K$42:$K$71)</f>
        <v>#VALUE!</v>
      </c>
      <c r="N71" s="564"/>
      <c r="O71" s="564"/>
      <c r="P71" s="418"/>
      <c r="Q71" s="418"/>
      <c r="R71" s="418"/>
      <c r="S71" s="418" t="e">
        <f t="shared" si="11"/>
        <v>#N/A</v>
      </c>
      <c r="T71" s="565"/>
      <c r="U71" s="418"/>
      <c r="V71" s="418"/>
      <c r="W71" s="418"/>
      <c r="X71" s="418" t="e">
        <f t="shared" si="12"/>
        <v>#N/A</v>
      </c>
      <c r="Y71" s="565"/>
      <c r="Z71" s="418"/>
      <c r="AA71" s="418"/>
      <c r="AB71" s="418"/>
      <c r="AC71" s="418" t="e">
        <f t="shared" si="13"/>
        <v>#N/A</v>
      </c>
      <c r="AD71" s="565"/>
      <c r="AE71" s="418"/>
      <c r="AF71" s="418"/>
      <c r="AG71" s="418"/>
      <c r="AH71" s="418" t="e">
        <f t="shared" si="14"/>
        <v>#N/A</v>
      </c>
      <c r="AI71" s="565"/>
      <c r="AJ71" s="418"/>
      <c r="AK71" s="418"/>
      <c r="AL71" s="418"/>
      <c r="AM71" s="418" t="e">
        <f t="shared" si="15"/>
        <v>#N/A</v>
      </c>
      <c r="AN71" s="565"/>
      <c r="AO71" s="418"/>
      <c r="AP71" s="418"/>
      <c r="AQ71" s="418"/>
      <c r="AR71" s="418" t="e">
        <f t="shared" si="16"/>
        <v>#N/A</v>
      </c>
      <c r="AS71" s="565"/>
      <c r="AT71" s="418"/>
      <c r="AU71" s="418"/>
      <c r="AV71" s="418"/>
      <c r="AW71" s="418" t="e">
        <f t="shared" si="17"/>
        <v>#N/A</v>
      </c>
      <c r="AX71" s="565"/>
      <c r="AZ71" s="407" t="e">
        <f t="shared" si="18"/>
        <v>#N/A</v>
      </c>
      <c r="BA71" s="565"/>
    </row>
    <row r="72" spans="2:53" ht="15.75">
      <c r="B72" s="608" t="s">
        <v>163</v>
      </c>
      <c r="C72" s="609"/>
      <c r="D72" s="609"/>
      <c r="E72" s="609"/>
      <c r="F72" s="609"/>
      <c r="G72" s="609"/>
      <c r="H72" s="609"/>
      <c r="I72" s="208"/>
      <c r="J72" s="203"/>
      <c r="K72" s="208"/>
      <c r="L72" s="208"/>
      <c r="M72" s="204"/>
      <c r="N72" s="566" t="s">
        <v>156</v>
      </c>
      <c r="O72" s="566" t="s">
        <v>105</v>
      </c>
      <c r="P72" s="589">
        <f>P37+7</f>
        <v>46154</v>
      </c>
      <c r="Q72" s="590"/>
      <c r="R72" s="590"/>
      <c r="S72" s="590"/>
      <c r="T72" s="591"/>
      <c r="U72" s="589">
        <f>P72+1</f>
        <v>46155</v>
      </c>
      <c r="V72" s="590"/>
      <c r="W72" s="590"/>
      <c r="X72" s="590"/>
      <c r="Y72" s="591"/>
      <c r="Z72" s="589">
        <f>U72+1</f>
        <v>46156</v>
      </c>
      <c r="AA72" s="590"/>
      <c r="AB72" s="590"/>
      <c r="AC72" s="590"/>
      <c r="AD72" s="591"/>
      <c r="AE72" s="589">
        <f>Z72+1</f>
        <v>46157</v>
      </c>
      <c r="AF72" s="590"/>
      <c r="AG72" s="590"/>
      <c r="AH72" s="590"/>
      <c r="AI72" s="591"/>
      <c r="AJ72" s="589">
        <f>AE72+1</f>
        <v>46158</v>
      </c>
      <c r="AK72" s="590"/>
      <c r="AL72" s="590"/>
      <c r="AM72" s="590"/>
      <c r="AN72" s="591"/>
      <c r="AO72" s="589">
        <f>AJ72+1</f>
        <v>46159</v>
      </c>
      <c r="AP72" s="590"/>
      <c r="AQ72" s="590"/>
      <c r="AR72" s="590"/>
      <c r="AS72" s="591"/>
      <c r="AT72" s="589">
        <f>AO72+1</f>
        <v>46160</v>
      </c>
      <c r="AU72" s="590"/>
      <c r="AV72" s="590"/>
      <c r="AW72" s="590"/>
      <c r="AX72" s="591"/>
    </row>
    <row r="73" spans="2:53" ht="15.75">
      <c r="B73" s="596"/>
      <c r="C73" s="596"/>
      <c r="D73" s="596"/>
      <c r="E73" s="596"/>
      <c r="F73" s="596"/>
      <c r="G73" s="596"/>
      <c r="H73" s="596"/>
      <c r="I73" s="205"/>
      <c r="J73" s="205"/>
      <c r="K73" s="205"/>
      <c r="L73" s="205"/>
      <c r="M73" s="206"/>
      <c r="N73" s="568"/>
      <c r="O73" s="568"/>
      <c r="P73" s="589" t="s">
        <v>318</v>
      </c>
      <c r="Q73" s="590"/>
      <c r="R73" s="590"/>
      <c r="S73" s="590"/>
      <c r="T73" s="591"/>
      <c r="U73" s="589" t="s">
        <v>319</v>
      </c>
      <c r="V73" s="590"/>
      <c r="W73" s="590"/>
      <c r="X73" s="590"/>
      <c r="Y73" s="591"/>
      <c r="Z73" s="589" t="s">
        <v>320</v>
      </c>
      <c r="AA73" s="590"/>
      <c r="AB73" s="590"/>
      <c r="AC73" s="590"/>
      <c r="AD73" s="591"/>
      <c r="AE73" s="589" t="s">
        <v>321</v>
      </c>
      <c r="AF73" s="590"/>
      <c r="AG73" s="590"/>
      <c r="AH73" s="590"/>
      <c r="AI73" s="591"/>
      <c r="AJ73" s="589" t="s">
        <v>322</v>
      </c>
      <c r="AK73" s="590"/>
      <c r="AL73" s="590"/>
      <c r="AM73" s="590"/>
      <c r="AN73" s="591"/>
      <c r="AO73" s="589" t="s">
        <v>323</v>
      </c>
      <c r="AP73" s="590"/>
      <c r="AQ73" s="590"/>
      <c r="AR73" s="590"/>
      <c r="AS73" s="591"/>
      <c r="AT73" s="589" t="s">
        <v>324</v>
      </c>
      <c r="AU73" s="590"/>
      <c r="AV73" s="590"/>
      <c r="AW73" s="590"/>
      <c r="AX73" s="591"/>
    </row>
    <row r="74" spans="2:53">
      <c r="B74" s="564" t="s">
        <v>420</v>
      </c>
      <c r="C74" s="564" t="s">
        <v>421</v>
      </c>
      <c r="D74" s="564"/>
      <c r="E74" s="564" t="s">
        <v>422</v>
      </c>
      <c r="F74" s="564"/>
      <c r="G74" s="564"/>
      <c r="H74" s="597" t="s">
        <v>423</v>
      </c>
      <c r="I74" s="616" t="s">
        <v>424</v>
      </c>
      <c r="J74" s="616"/>
      <c r="K74" s="616"/>
      <c r="L74" s="617" t="s">
        <v>423</v>
      </c>
      <c r="M74" s="602" t="s">
        <v>425</v>
      </c>
      <c r="N74" s="564"/>
      <c r="O74" s="564" t="s">
        <v>426</v>
      </c>
      <c r="P74" s="583" t="s">
        <v>427</v>
      </c>
      <c r="Q74" s="584"/>
      <c r="R74" s="584"/>
      <c r="S74" s="585"/>
      <c r="T74" s="564" t="s">
        <v>423</v>
      </c>
      <c r="U74" s="583" t="s">
        <v>427</v>
      </c>
      <c r="V74" s="584"/>
      <c r="W74" s="584"/>
      <c r="X74" s="585"/>
      <c r="Y74" s="564" t="s">
        <v>423</v>
      </c>
      <c r="Z74" s="583" t="s">
        <v>427</v>
      </c>
      <c r="AA74" s="584"/>
      <c r="AB74" s="584"/>
      <c r="AC74" s="585"/>
      <c r="AD74" s="564" t="s">
        <v>423</v>
      </c>
      <c r="AE74" s="583" t="s">
        <v>427</v>
      </c>
      <c r="AF74" s="584"/>
      <c r="AG74" s="584"/>
      <c r="AH74" s="585"/>
      <c r="AI74" s="564" t="s">
        <v>423</v>
      </c>
      <c r="AJ74" s="583" t="s">
        <v>427</v>
      </c>
      <c r="AK74" s="584"/>
      <c r="AL74" s="584"/>
      <c r="AM74" s="585"/>
      <c r="AN74" s="564" t="s">
        <v>423</v>
      </c>
      <c r="AO74" s="583" t="s">
        <v>427</v>
      </c>
      <c r="AP74" s="584"/>
      <c r="AQ74" s="584"/>
      <c r="AR74" s="585"/>
      <c r="AS74" s="564" t="s">
        <v>423</v>
      </c>
      <c r="AT74" s="583" t="s">
        <v>427</v>
      </c>
      <c r="AU74" s="584"/>
      <c r="AV74" s="584"/>
      <c r="AW74" s="585"/>
      <c r="AX74" s="564" t="s">
        <v>423</v>
      </c>
      <c r="BA74" s="564" t="s">
        <v>374</v>
      </c>
    </row>
    <row r="75" spans="2:53">
      <c r="B75" s="564"/>
      <c r="C75" s="564"/>
      <c r="D75" s="564"/>
      <c r="E75" s="564" t="s">
        <v>428</v>
      </c>
      <c r="F75" s="564"/>
      <c r="G75" s="564"/>
      <c r="H75" s="598"/>
      <c r="I75" s="616" t="s">
        <v>428</v>
      </c>
      <c r="J75" s="616"/>
      <c r="K75" s="616"/>
      <c r="L75" s="618"/>
      <c r="M75" s="603"/>
      <c r="N75" s="564"/>
      <c r="O75" s="564"/>
      <c r="P75" s="583" t="s">
        <v>429</v>
      </c>
      <c r="Q75" s="584"/>
      <c r="R75" s="584"/>
      <c r="S75" s="585"/>
      <c r="T75" s="564"/>
      <c r="U75" s="583" t="s">
        <v>429</v>
      </c>
      <c r="V75" s="584"/>
      <c r="W75" s="584"/>
      <c r="X75" s="585"/>
      <c r="Y75" s="564"/>
      <c r="Z75" s="583" t="s">
        <v>429</v>
      </c>
      <c r="AA75" s="584"/>
      <c r="AB75" s="584"/>
      <c r="AC75" s="585"/>
      <c r="AD75" s="564"/>
      <c r="AE75" s="583" t="s">
        <v>429</v>
      </c>
      <c r="AF75" s="584"/>
      <c r="AG75" s="584"/>
      <c r="AH75" s="585"/>
      <c r="AI75" s="564"/>
      <c r="AJ75" s="583" t="s">
        <v>429</v>
      </c>
      <c r="AK75" s="584"/>
      <c r="AL75" s="584"/>
      <c r="AM75" s="585"/>
      <c r="AN75" s="564"/>
      <c r="AO75" s="583" t="s">
        <v>429</v>
      </c>
      <c r="AP75" s="584"/>
      <c r="AQ75" s="584"/>
      <c r="AR75" s="585"/>
      <c r="AS75" s="564"/>
      <c r="AT75" s="583" t="s">
        <v>429</v>
      </c>
      <c r="AU75" s="584"/>
      <c r="AV75" s="584"/>
      <c r="AW75" s="585"/>
      <c r="AX75" s="564"/>
      <c r="BA75" s="564"/>
    </row>
    <row r="76" spans="2:53">
      <c r="B76" s="564"/>
      <c r="C76" s="564"/>
      <c r="D76" s="564"/>
      <c r="E76" s="291" t="s">
        <v>430</v>
      </c>
      <c r="F76" s="291" t="s">
        <v>431</v>
      </c>
      <c r="G76" s="291" t="s">
        <v>432</v>
      </c>
      <c r="H76" s="599"/>
      <c r="I76" s="290" t="s">
        <v>430</v>
      </c>
      <c r="J76" s="290" t="s">
        <v>431</v>
      </c>
      <c r="K76" s="290" t="s">
        <v>432</v>
      </c>
      <c r="L76" s="619"/>
      <c r="M76" s="604"/>
      <c r="N76" s="564"/>
      <c r="O76" s="564"/>
      <c r="P76" s="291" t="s">
        <v>430</v>
      </c>
      <c r="Q76" s="291" t="s">
        <v>431</v>
      </c>
      <c r="R76" s="291" t="s">
        <v>432</v>
      </c>
      <c r="S76" s="291" t="s">
        <v>425</v>
      </c>
      <c r="T76" s="564"/>
      <c r="U76" s="291" t="s">
        <v>430</v>
      </c>
      <c r="V76" s="291" t="s">
        <v>431</v>
      </c>
      <c r="W76" s="291" t="s">
        <v>432</v>
      </c>
      <c r="X76" s="291" t="s">
        <v>425</v>
      </c>
      <c r="Y76" s="564"/>
      <c r="Z76" s="291" t="s">
        <v>430</v>
      </c>
      <c r="AA76" s="291" t="s">
        <v>431</v>
      </c>
      <c r="AB76" s="291" t="s">
        <v>432</v>
      </c>
      <c r="AC76" s="291" t="s">
        <v>425</v>
      </c>
      <c r="AD76" s="564"/>
      <c r="AE76" s="291" t="s">
        <v>430</v>
      </c>
      <c r="AF76" s="291" t="s">
        <v>431</v>
      </c>
      <c r="AG76" s="291" t="s">
        <v>432</v>
      </c>
      <c r="AH76" s="291" t="s">
        <v>425</v>
      </c>
      <c r="AI76" s="564"/>
      <c r="AJ76" s="291" t="s">
        <v>430</v>
      </c>
      <c r="AK76" s="291" t="s">
        <v>431</v>
      </c>
      <c r="AL76" s="291" t="s">
        <v>432</v>
      </c>
      <c r="AM76" s="291" t="s">
        <v>425</v>
      </c>
      <c r="AN76" s="564"/>
      <c r="AO76" s="291" t="s">
        <v>430</v>
      </c>
      <c r="AP76" s="291" t="s">
        <v>431</v>
      </c>
      <c r="AQ76" s="291" t="s">
        <v>432</v>
      </c>
      <c r="AR76" s="291" t="s">
        <v>425</v>
      </c>
      <c r="AS76" s="564"/>
      <c r="AT76" s="291" t="s">
        <v>430</v>
      </c>
      <c r="AU76" s="291" t="s">
        <v>431</v>
      </c>
      <c r="AV76" s="291" t="s">
        <v>432</v>
      </c>
      <c r="AW76" s="291" t="s">
        <v>425</v>
      </c>
      <c r="AX76" s="564"/>
      <c r="AZ76" s="406" t="s">
        <v>375</v>
      </c>
      <c r="BA76" s="564"/>
    </row>
    <row r="77" spans="2:53">
      <c r="B77" s="564" t="s">
        <v>433</v>
      </c>
      <c r="C77" s="292">
        <v>1</v>
      </c>
      <c r="D77" s="226" t="s">
        <v>347</v>
      </c>
      <c r="E77" s="425">
        <v>6</v>
      </c>
      <c r="F77" s="418">
        <v>1500</v>
      </c>
      <c r="G77" s="419">
        <v>250</v>
      </c>
      <c r="H77" s="627">
        <f>AVERAGE(G77:G106)</f>
        <v>97.930769230769243</v>
      </c>
      <c r="I77" s="400">
        <f>IFERROR(AVERAGE(P77,U77,Z77,AE77,AJ77,AO77,AT77),"-")</f>
        <v>6</v>
      </c>
      <c r="J77" s="400">
        <f>IFERROR(AVERAGE(Q77,V77,AA77,AF77,AK77,AP77,AU77),"-")</f>
        <v>1426.7146642836155</v>
      </c>
      <c r="K77" s="200">
        <f>IFERROR(AVERAGE(R77,W77,AB77,AG77,AL77,AQ77,AV77),"-")</f>
        <v>237.78577738060264</v>
      </c>
      <c r="L77" s="580">
        <f>IFERROR(AVERAGE(K77:K106),"-")</f>
        <v>87.039387110840991</v>
      </c>
      <c r="M77" s="201">
        <f>RANK(K77, K$77:$K$106)</f>
        <v>2</v>
      </c>
      <c r="N77" s="564"/>
      <c r="O77" s="564"/>
      <c r="P77" s="498">
        <v>6</v>
      </c>
      <c r="Q77" s="425">
        <v>1430.5061224489796</v>
      </c>
      <c r="R77" s="425">
        <v>238.41768707482993</v>
      </c>
      <c r="S77" s="498">
        <f>RANK(R77, R$77:R$106)</f>
        <v>2</v>
      </c>
      <c r="T77" s="565">
        <f>AVERAGE(R77:R106)</f>
        <v>87.32402758296206</v>
      </c>
      <c r="U77" s="498">
        <v>6</v>
      </c>
      <c r="V77" s="425">
        <v>1423.125</v>
      </c>
      <c r="W77" s="425">
        <v>237.1875</v>
      </c>
      <c r="X77" s="498">
        <f>RANK(W77, W$77:W$106)</f>
        <v>2</v>
      </c>
      <c r="Y77" s="565">
        <f>AVERAGE(W77:W106)</f>
        <v>88.839312415533072</v>
      </c>
      <c r="Z77" s="498">
        <v>6</v>
      </c>
      <c r="AA77" s="425">
        <v>1406.0766233766235</v>
      </c>
      <c r="AB77" s="425">
        <v>234.34610389610393</v>
      </c>
      <c r="AC77" s="498">
        <f>RANK(AB77, AB$77:AB$106)</f>
        <v>2</v>
      </c>
      <c r="AD77" s="565">
        <f>AVERAGE(AB77:AB106)</f>
        <v>89.212374446960993</v>
      </c>
      <c r="AE77" s="498">
        <v>6</v>
      </c>
      <c r="AF77" s="425">
        <v>1423.8045454545456</v>
      </c>
      <c r="AG77" s="425">
        <v>237.30075757575761</v>
      </c>
      <c r="AH77" s="498">
        <f>RANK(AG77, AG$77:AG$106)</f>
        <v>2</v>
      </c>
      <c r="AI77" s="565">
        <f>AVERAGE(AG77:AG106)</f>
        <v>88.94320798350239</v>
      </c>
      <c r="AJ77" s="498">
        <v>6</v>
      </c>
      <c r="AK77" s="425">
        <v>1449.7155555555557</v>
      </c>
      <c r="AL77" s="425">
        <v>241.61925925925928</v>
      </c>
      <c r="AM77" s="498">
        <f>RANK(AL77, AL$77:AL$106)</f>
        <v>1</v>
      </c>
      <c r="AN77" s="565">
        <f>AVERAGE(AL77:AL106)</f>
        <v>89.798643556943006</v>
      </c>
      <c r="AO77" s="498">
        <v>6</v>
      </c>
      <c r="AP77" s="425">
        <v>1423.4645669291335</v>
      </c>
      <c r="AQ77" s="425">
        <v>237.24409448818892</v>
      </c>
      <c r="AR77" s="498">
        <f>RANK(AQ77, AQ$77:AQ$106)</f>
        <v>2</v>
      </c>
      <c r="AS77" s="565">
        <f>AVERAGE(AQ77:AQ106)</f>
        <v>89.795603900882057</v>
      </c>
      <c r="AT77" s="498">
        <v>6</v>
      </c>
      <c r="AU77" s="425">
        <v>1430.3102362204722</v>
      </c>
      <c r="AV77" s="425">
        <v>238.38503937007872</v>
      </c>
      <c r="AW77" s="498">
        <f>RANK(AV77, AV$77:AV$106)</f>
        <v>2</v>
      </c>
      <c r="AX77" s="565">
        <f>AVERAGE(AV77:AV106)</f>
        <v>88.994164152721154</v>
      </c>
      <c r="AZ77" s="407" t="e">
        <f>RANK(AY77, AY$77:AY$106)</f>
        <v>#N/A</v>
      </c>
      <c r="BA77" s="565" t="e">
        <f>AVERAGE(AY77:AY106)</f>
        <v>#DIV/0!</v>
      </c>
    </row>
    <row r="78" spans="2:53">
      <c r="B78" s="570"/>
      <c r="C78" s="292">
        <v>2</v>
      </c>
      <c r="D78" s="226" t="s">
        <v>640</v>
      </c>
      <c r="E78" s="425">
        <v>6</v>
      </c>
      <c r="F78" s="418">
        <v>1500</v>
      </c>
      <c r="G78" s="419">
        <v>250</v>
      </c>
      <c r="H78" s="628"/>
      <c r="I78" s="400">
        <f t="shared" ref="I78:I106" si="22">IFERROR(AVERAGE(P78,U78,Z78,AE78,AJ78,AO78,AT78),"-")</f>
        <v>6</v>
      </c>
      <c r="J78" s="400">
        <f t="shared" ref="J78:J106" si="23">IFERROR(AVERAGE(Q78,V78,AA78,AF78,AK78,AP78,AU78),"-")</f>
        <v>1444.9084789496478</v>
      </c>
      <c r="K78" s="200">
        <f t="shared" ref="K78:K106" si="24">IFERROR(AVERAGE(R78,W78,AB78,AG78,AL78,AQ78,AV78),"-")</f>
        <v>240.81807982494132</v>
      </c>
      <c r="L78" s="581"/>
      <c r="M78" s="201">
        <f>RANK(K78, K$77:$K$106)</f>
        <v>1</v>
      </c>
      <c r="N78" s="564"/>
      <c r="O78" s="564"/>
      <c r="P78" s="498">
        <v>6</v>
      </c>
      <c r="Q78" s="425">
        <v>1440.6741573033707</v>
      </c>
      <c r="R78" s="425">
        <v>240.11235955056179</v>
      </c>
      <c r="S78" s="498">
        <f t="shared" ref="S78:S106" si="25">RANK(R78, R$77:R$106)</f>
        <v>1</v>
      </c>
      <c r="T78" s="565"/>
      <c r="U78" s="498">
        <v>6</v>
      </c>
      <c r="V78" s="425">
        <v>1460</v>
      </c>
      <c r="W78" s="425">
        <v>243.33333333333334</v>
      </c>
      <c r="X78" s="498">
        <f t="shared" ref="X78:X106" si="26">RANK(W78, W$77:W$106)</f>
        <v>1</v>
      </c>
      <c r="Y78" s="565"/>
      <c r="Z78" s="498">
        <v>6</v>
      </c>
      <c r="AA78" s="425">
        <v>1465.1162790697672</v>
      </c>
      <c r="AB78" s="425">
        <v>244.18604651162786</v>
      </c>
      <c r="AC78" s="498">
        <f t="shared" ref="AC78:AC106" si="27">RANK(AB78, AB$77:AB$106)</f>
        <v>1</v>
      </c>
      <c r="AD78" s="565"/>
      <c r="AE78" s="498">
        <v>6</v>
      </c>
      <c r="AF78" s="425">
        <v>1427.5000000000002</v>
      </c>
      <c r="AG78" s="425">
        <v>237.91666666666671</v>
      </c>
      <c r="AH78" s="498">
        <f t="shared" ref="AH78:AH106" si="28">RANK(AG78, AG$77:AG$106)</f>
        <v>1</v>
      </c>
      <c r="AI78" s="565"/>
      <c r="AJ78" s="498">
        <v>6</v>
      </c>
      <c r="AK78" s="425">
        <v>1427.6712328767126</v>
      </c>
      <c r="AL78" s="425">
        <v>237.94520547945208</v>
      </c>
      <c r="AM78" s="498">
        <f t="shared" ref="AM78:AM106" si="29">RANK(AL78, AL$77:AL$106)</f>
        <v>2</v>
      </c>
      <c r="AN78" s="565"/>
      <c r="AO78" s="498">
        <v>6</v>
      </c>
      <c r="AP78" s="425">
        <v>1450.5405405405411</v>
      </c>
      <c r="AQ78" s="425">
        <v>241.75675675675686</v>
      </c>
      <c r="AR78" s="498">
        <f t="shared" ref="AR78:AR106" si="30">RANK(AQ78, AQ$77:AQ$106)</f>
        <v>1</v>
      </c>
      <c r="AS78" s="565"/>
      <c r="AT78" s="498">
        <v>6</v>
      </c>
      <c r="AU78" s="425">
        <v>1442.8571428571424</v>
      </c>
      <c r="AV78" s="425">
        <v>240.4761904761904</v>
      </c>
      <c r="AW78" s="498">
        <f t="shared" ref="AW78:AW106" si="31">RANK(AV78, AV$77:AV$106)</f>
        <v>1</v>
      </c>
      <c r="AX78" s="565"/>
      <c r="AZ78" s="407" t="e">
        <f t="shared" ref="AZ78:AZ106" si="32">RANK(AY78, AY$77:AY$106)</f>
        <v>#N/A</v>
      </c>
      <c r="BA78" s="565"/>
    </row>
    <row r="79" spans="2:53">
      <c r="B79" s="570"/>
      <c r="C79" s="292">
        <v>3</v>
      </c>
      <c r="D79" s="226" t="s">
        <v>624</v>
      </c>
      <c r="E79" s="425">
        <v>18</v>
      </c>
      <c r="F79" s="418">
        <v>1500</v>
      </c>
      <c r="G79" s="419">
        <v>83.3</v>
      </c>
      <c r="H79" s="628"/>
      <c r="I79" s="400">
        <f t="shared" si="22"/>
        <v>18</v>
      </c>
      <c r="J79" s="400">
        <f t="shared" si="23"/>
        <v>1324.8230641389271</v>
      </c>
      <c r="K79" s="200">
        <f t="shared" si="24"/>
        <v>73.601281341051504</v>
      </c>
      <c r="L79" s="581"/>
      <c r="M79" s="201">
        <f>RANK(K79, K$77:$K$106)</f>
        <v>15</v>
      </c>
      <c r="N79" s="564"/>
      <c r="O79" s="564"/>
      <c r="P79" s="498">
        <v>18</v>
      </c>
      <c r="Q79" s="425">
        <v>1350.6666666666677</v>
      </c>
      <c r="R79" s="425">
        <v>75.037037037037095</v>
      </c>
      <c r="S79" s="498">
        <f t="shared" si="25"/>
        <v>16</v>
      </c>
      <c r="T79" s="565"/>
      <c r="U79" s="498">
        <v>18</v>
      </c>
      <c r="V79" s="425">
        <v>1308.8888888888896</v>
      </c>
      <c r="W79" s="425">
        <v>72.716049382716093</v>
      </c>
      <c r="X79" s="498">
        <f t="shared" si="26"/>
        <v>15</v>
      </c>
      <c r="Y79" s="565"/>
      <c r="Z79" s="498">
        <v>18</v>
      </c>
      <c r="AA79" s="425">
        <v>1309.4400000000005</v>
      </c>
      <c r="AB79" s="425">
        <v>72.746666666666698</v>
      </c>
      <c r="AC79" s="498">
        <f t="shared" si="27"/>
        <v>14</v>
      </c>
      <c r="AD79" s="565"/>
      <c r="AE79" s="498">
        <v>18</v>
      </c>
      <c r="AF79" s="425">
        <v>1340.7272727272727</v>
      </c>
      <c r="AG79" s="425">
        <v>74.484848484848484</v>
      </c>
      <c r="AH79" s="498">
        <f t="shared" si="28"/>
        <v>14</v>
      </c>
      <c r="AI79" s="565"/>
      <c r="AJ79" s="498">
        <v>18</v>
      </c>
      <c r="AK79" s="425">
        <v>1298.8800000000003</v>
      </c>
      <c r="AL79" s="425">
        <v>72.160000000000025</v>
      </c>
      <c r="AM79" s="498">
        <f t="shared" si="29"/>
        <v>15</v>
      </c>
      <c r="AN79" s="565"/>
      <c r="AO79" s="498">
        <v>18</v>
      </c>
      <c r="AP79" s="425">
        <v>1318.7586206896565</v>
      </c>
      <c r="AQ79" s="425">
        <v>73.264367816092033</v>
      </c>
      <c r="AR79" s="498">
        <f t="shared" si="30"/>
        <v>14</v>
      </c>
      <c r="AS79" s="565"/>
      <c r="AT79" s="498">
        <v>18</v>
      </c>
      <c r="AU79" s="425">
        <v>1346.4000000000015</v>
      </c>
      <c r="AV79" s="425">
        <v>74.800000000000082</v>
      </c>
      <c r="AW79" s="498">
        <f t="shared" si="31"/>
        <v>13</v>
      </c>
      <c r="AX79" s="565"/>
      <c r="AZ79" s="407" t="e">
        <f t="shared" si="32"/>
        <v>#N/A</v>
      </c>
      <c r="BA79" s="565"/>
    </row>
    <row r="80" spans="2:53">
      <c r="B80" s="570"/>
      <c r="C80" s="292">
        <v>4</v>
      </c>
      <c r="D80" s="226" t="s">
        <v>582</v>
      </c>
      <c r="E80" s="425">
        <v>18</v>
      </c>
      <c r="F80" s="418">
        <v>1500</v>
      </c>
      <c r="G80" s="419">
        <v>83.3</v>
      </c>
      <c r="H80" s="628"/>
      <c r="I80" s="400">
        <f t="shared" si="22"/>
        <v>18</v>
      </c>
      <c r="J80" s="400">
        <f t="shared" si="23"/>
        <v>1265.8380012987161</v>
      </c>
      <c r="K80" s="200">
        <f t="shared" si="24"/>
        <v>70.324333405484239</v>
      </c>
      <c r="L80" s="581"/>
      <c r="M80" s="201">
        <f>RANK(K80, K$77:$K$106)</f>
        <v>19</v>
      </c>
      <c r="N80" s="564"/>
      <c r="O80" s="564"/>
      <c r="P80" s="498">
        <v>18</v>
      </c>
      <c r="Q80" s="425">
        <v>1265.2173913043478</v>
      </c>
      <c r="R80" s="425">
        <v>70.289855072463766</v>
      </c>
      <c r="S80" s="498">
        <f t="shared" si="25"/>
        <v>20</v>
      </c>
      <c r="T80" s="565"/>
      <c r="U80" s="498">
        <v>18</v>
      </c>
      <c r="V80" s="425">
        <v>1279.4999999999995</v>
      </c>
      <c r="W80" s="425">
        <v>71.083333333333314</v>
      </c>
      <c r="X80" s="498">
        <f t="shared" si="26"/>
        <v>16</v>
      </c>
      <c r="Y80" s="565"/>
      <c r="Z80" s="498">
        <v>18</v>
      </c>
      <c r="AA80" s="425">
        <v>1271.9999999999995</v>
      </c>
      <c r="AB80" s="425">
        <v>70.666666666666643</v>
      </c>
      <c r="AC80" s="498">
        <f t="shared" si="27"/>
        <v>16</v>
      </c>
      <c r="AD80" s="565"/>
      <c r="AE80" s="498">
        <v>18</v>
      </c>
      <c r="AF80" s="425">
        <v>1253.6842105263147</v>
      </c>
      <c r="AG80" s="425">
        <v>69.649122807017477</v>
      </c>
      <c r="AH80" s="498">
        <f t="shared" si="28"/>
        <v>15</v>
      </c>
      <c r="AI80" s="565"/>
      <c r="AJ80" s="498">
        <v>18</v>
      </c>
      <c r="AK80" s="425">
        <v>1255.6097560975604</v>
      </c>
      <c r="AL80" s="425">
        <v>69.756097560975576</v>
      </c>
      <c r="AM80" s="498">
        <f t="shared" si="29"/>
        <v>17</v>
      </c>
      <c r="AN80" s="565"/>
      <c r="AO80" s="498">
        <v>18</v>
      </c>
      <c r="AP80" s="425">
        <v>1258.6046511627906</v>
      </c>
      <c r="AQ80" s="425">
        <v>69.922480620155028</v>
      </c>
      <c r="AR80" s="498">
        <f t="shared" si="30"/>
        <v>17</v>
      </c>
      <c r="AS80" s="565"/>
      <c r="AT80" s="498">
        <v>18</v>
      </c>
      <c r="AU80" s="425">
        <v>1276.2500000000005</v>
      </c>
      <c r="AV80" s="425">
        <v>70.9027777777778</v>
      </c>
      <c r="AW80" s="498">
        <f t="shared" si="31"/>
        <v>16</v>
      </c>
      <c r="AX80" s="565"/>
      <c r="AZ80" s="407" t="e">
        <f t="shared" si="32"/>
        <v>#N/A</v>
      </c>
      <c r="BA80" s="565"/>
    </row>
    <row r="81" spans="2:53">
      <c r="B81" s="570"/>
      <c r="C81" s="292">
        <v>5</v>
      </c>
      <c r="D81" s="226" t="s">
        <v>349</v>
      </c>
      <c r="E81" s="425">
        <v>16</v>
      </c>
      <c r="F81" s="418">
        <v>1565</v>
      </c>
      <c r="G81" s="419">
        <v>97.8</v>
      </c>
      <c r="H81" s="628"/>
      <c r="I81" s="400">
        <f t="shared" si="22"/>
        <v>16</v>
      </c>
      <c r="J81" s="400">
        <f t="shared" si="23"/>
        <v>1386.798410722937</v>
      </c>
      <c r="K81" s="200">
        <f t="shared" si="24"/>
        <v>86.674900670183561</v>
      </c>
      <c r="L81" s="581"/>
      <c r="M81" s="201">
        <f>RANK(K81, K$77:$K$106)</f>
        <v>5</v>
      </c>
      <c r="N81" s="564"/>
      <c r="O81" s="564"/>
      <c r="P81" s="498">
        <v>16</v>
      </c>
      <c r="Q81" s="425">
        <v>1393.1506849315058</v>
      </c>
      <c r="R81" s="425">
        <v>87.071917808219112</v>
      </c>
      <c r="S81" s="498">
        <f t="shared" si="25"/>
        <v>6</v>
      </c>
      <c r="T81" s="565"/>
      <c r="U81" s="498">
        <v>16</v>
      </c>
      <c r="V81" s="425">
        <v>1383.5294117647043</v>
      </c>
      <c r="W81" s="425">
        <v>86.470588235294016</v>
      </c>
      <c r="X81" s="498">
        <f t="shared" si="26"/>
        <v>6</v>
      </c>
      <c r="Y81" s="565"/>
      <c r="Z81" s="498">
        <v>16</v>
      </c>
      <c r="AA81" s="425">
        <v>1360.3125000000016</v>
      </c>
      <c r="AB81" s="425">
        <v>85.019531250000099</v>
      </c>
      <c r="AC81" s="498">
        <f t="shared" si="27"/>
        <v>6</v>
      </c>
      <c r="AD81" s="565"/>
      <c r="AE81" s="498">
        <v>16</v>
      </c>
      <c r="AF81" s="425">
        <v>1396.451612903227</v>
      </c>
      <c r="AG81" s="425">
        <v>87.278225806451687</v>
      </c>
      <c r="AH81" s="498">
        <f t="shared" si="28"/>
        <v>4</v>
      </c>
      <c r="AI81" s="565"/>
      <c r="AJ81" s="498">
        <v>16</v>
      </c>
      <c r="AK81" s="425">
        <v>1399.7142857142842</v>
      </c>
      <c r="AL81" s="425">
        <v>87.482142857142762</v>
      </c>
      <c r="AM81" s="498">
        <f t="shared" si="29"/>
        <v>4</v>
      </c>
      <c r="AN81" s="565"/>
      <c r="AO81" s="498">
        <v>16</v>
      </c>
      <c r="AP81" s="425">
        <v>1378.4810126582272</v>
      </c>
      <c r="AQ81" s="425">
        <v>86.1550632911392</v>
      </c>
      <c r="AR81" s="498">
        <f t="shared" si="30"/>
        <v>4</v>
      </c>
      <c r="AS81" s="565"/>
      <c r="AT81" s="498">
        <v>16</v>
      </c>
      <c r="AU81" s="425">
        <v>1395.949367088607</v>
      </c>
      <c r="AV81" s="425">
        <v>87.246835443037938</v>
      </c>
      <c r="AW81" s="498">
        <f t="shared" si="31"/>
        <v>5</v>
      </c>
      <c r="AX81" s="565"/>
      <c r="AZ81" s="407" t="e">
        <f t="shared" si="32"/>
        <v>#N/A</v>
      </c>
      <c r="BA81" s="565"/>
    </row>
    <row r="82" spans="2:53">
      <c r="B82" s="570"/>
      <c r="C82" s="292">
        <v>6</v>
      </c>
      <c r="D82" s="226" t="s">
        <v>327</v>
      </c>
      <c r="E82" s="425">
        <v>14</v>
      </c>
      <c r="F82" s="418">
        <v>1440</v>
      </c>
      <c r="G82" s="419">
        <v>102.9</v>
      </c>
      <c r="H82" s="628"/>
      <c r="I82" s="400">
        <f t="shared" si="22"/>
        <v>15</v>
      </c>
      <c r="J82" s="400">
        <f t="shared" si="23"/>
        <v>1380.0000000000016</v>
      </c>
      <c r="K82" s="200">
        <f t="shared" si="24"/>
        <v>92.000000000000099</v>
      </c>
      <c r="L82" s="581"/>
      <c r="M82" s="201">
        <f>RANK(K82, K$77:$K$106)</f>
        <v>3</v>
      </c>
      <c r="N82" s="564"/>
      <c r="O82" s="564"/>
      <c r="P82" s="498">
        <v>15</v>
      </c>
      <c r="Q82" s="425">
        <v>1319.9999999999982</v>
      </c>
      <c r="R82" s="425">
        <v>87.999999999999872</v>
      </c>
      <c r="S82" s="498">
        <f t="shared" si="25"/>
        <v>4</v>
      </c>
      <c r="T82" s="565"/>
      <c r="U82" s="498">
        <v>15</v>
      </c>
      <c r="V82" s="425">
        <v>1440.000000000005</v>
      </c>
      <c r="W82" s="425">
        <v>96.000000000000327</v>
      </c>
      <c r="X82" s="498">
        <f t="shared" si="26"/>
        <v>3</v>
      </c>
      <c r="Y82" s="565"/>
      <c r="Z82" s="498" t="s">
        <v>639</v>
      </c>
      <c r="AA82" s="425" t="s">
        <v>639</v>
      </c>
      <c r="AB82" s="425" t="s">
        <v>639</v>
      </c>
      <c r="AC82" s="498" t="e">
        <f t="shared" si="27"/>
        <v>#VALUE!</v>
      </c>
      <c r="AD82" s="565"/>
      <c r="AE82" s="498" t="s">
        <v>639</v>
      </c>
      <c r="AF82" s="425" t="s">
        <v>639</v>
      </c>
      <c r="AG82" s="425" t="s">
        <v>639</v>
      </c>
      <c r="AH82" s="498" t="e">
        <f t="shared" si="28"/>
        <v>#VALUE!</v>
      </c>
      <c r="AI82" s="565"/>
      <c r="AJ82" s="498" t="s">
        <v>639</v>
      </c>
      <c r="AK82" s="425" t="s">
        <v>639</v>
      </c>
      <c r="AL82" s="425" t="s">
        <v>639</v>
      </c>
      <c r="AM82" s="498" t="e">
        <f t="shared" si="29"/>
        <v>#VALUE!</v>
      </c>
      <c r="AN82" s="565"/>
      <c r="AO82" s="498" t="s">
        <v>639</v>
      </c>
      <c r="AP82" s="425" t="s">
        <v>639</v>
      </c>
      <c r="AQ82" s="425" t="s">
        <v>639</v>
      </c>
      <c r="AR82" s="498" t="e">
        <f t="shared" si="30"/>
        <v>#VALUE!</v>
      </c>
      <c r="AS82" s="565"/>
      <c r="AT82" s="498" t="s">
        <v>639</v>
      </c>
      <c r="AU82" s="425" t="s">
        <v>639</v>
      </c>
      <c r="AV82" s="425" t="s">
        <v>639</v>
      </c>
      <c r="AW82" s="498" t="e">
        <f t="shared" si="31"/>
        <v>#VALUE!</v>
      </c>
      <c r="AX82" s="565"/>
      <c r="AZ82" s="407" t="e">
        <f t="shared" si="32"/>
        <v>#N/A</v>
      </c>
      <c r="BA82" s="565"/>
    </row>
    <row r="83" spans="2:53">
      <c r="B83" s="570"/>
      <c r="C83" s="292">
        <v>7</v>
      </c>
      <c r="D83" s="226" t="s">
        <v>611</v>
      </c>
      <c r="E83" s="425">
        <v>16</v>
      </c>
      <c r="F83" s="418">
        <v>1440</v>
      </c>
      <c r="G83" s="419">
        <v>90</v>
      </c>
      <c r="H83" s="628"/>
      <c r="I83" s="400">
        <f t="shared" si="22"/>
        <v>16</v>
      </c>
      <c r="J83" s="400">
        <f t="shared" si="23"/>
        <v>1303.8776602917312</v>
      </c>
      <c r="K83" s="200">
        <f t="shared" si="24"/>
        <v>81.492353768233201</v>
      </c>
      <c r="L83" s="581"/>
      <c r="M83" s="201">
        <f>RANK(K83, K$77:$K$106)</f>
        <v>9</v>
      </c>
      <c r="N83" s="564"/>
      <c r="O83" s="564"/>
      <c r="P83" s="498">
        <v>16</v>
      </c>
      <c r="Q83" s="425">
        <v>1314.6666666666667</v>
      </c>
      <c r="R83" s="425">
        <v>82.166666666666671</v>
      </c>
      <c r="S83" s="498">
        <f t="shared" si="25"/>
        <v>8</v>
      </c>
      <c r="T83" s="565"/>
      <c r="U83" s="498">
        <v>16</v>
      </c>
      <c r="V83" s="425">
        <v>1309.9999999999945</v>
      </c>
      <c r="W83" s="425">
        <v>81.874999999999659</v>
      </c>
      <c r="X83" s="498">
        <f t="shared" si="26"/>
        <v>7</v>
      </c>
      <c r="Y83" s="565"/>
      <c r="Z83" s="498">
        <v>16</v>
      </c>
      <c r="AA83" s="425">
        <v>1376.3636363636413</v>
      </c>
      <c r="AB83" s="425">
        <v>86.022727272727579</v>
      </c>
      <c r="AC83" s="498">
        <f t="shared" si="27"/>
        <v>4</v>
      </c>
      <c r="AD83" s="565"/>
      <c r="AE83" s="498">
        <v>16</v>
      </c>
      <c r="AF83" s="425">
        <v>1277.3684210526305</v>
      </c>
      <c r="AG83" s="425">
        <v>79.835526315789409</v>
      </c>
      <c r="AH83" s="498">
        <f t="shared" si="28"/>
        <v>8</v>
      </c>
      <c r="AI83" s="565"/>
      <c r="AJ83" s="498">
        <v>16</v>
      </c>
      <c r="AK83" s="425">
        <v>1291.4999999999995</v>
      </c>
      <c r="AL83" s="425">
        <v>80.718749999999972</v>
      </c>
      <c r="AM83" s="498">
        <f t="shared" si="29"/>
        <v>8</v>
      </c>
      <c r="AN83" s="565"/>
      <c r="AO83" s="498">
        <v>16</v>
      </c>
      <c r="AP83" s="425">
        <v>1285.0000000000002</v>
      </c>
      <c r="AQ83" s="425">
        <v>80.312500000000014</v>
      </c>
      <c r="AR83" s="498">
        <f t="shared" si="30"/>
        <v>9</v>
      </c>
      <c r="AS83" s="565"/>
      <c r="AT83" s="498">
        <v>16</v>
      </c>
      <c r="AU83" s="425">
        <v>1272.2448979591841</v>
      </c>
      <c r="AV83" s="425">
        <v>79.515306122449005</v>
      </c>
      <c r="AW83" s="498">
        <f t="shared" si="31"/>
        <v>9</v>
      </c>
      <c r="AX83" s="565"/>
      <c r="AZ83" s="407" t="e">
        <f t="shared" si="32"/>
        <v>#N/A</v>
      </c>
      <c r="BA83" s="565"/>
    </row>
    <row r="84" spans="2:53">
      <c r="B84" s="570"/>
      <c r="C84" s="292">
        <v>8</v>
      </c>
      <c r="D84" s="226" t="s">
        <v>612</v>
      </c>
      <c r="E84" s="425">
        <v>18</v>
      </c>
      <c r="F84" s="418">
        <v>1636</v>
      </c>
      <c r="G84" s="419">
        <v>90.9</v>
      </c>
      <c r="H84" s="628"/>
      <c r="I84" s="400">
        <f t="shared" si="22"/>
        <v>17.714285714285715</v>
      </c>
      <c r="J84" s="400">
        <f t="shared" si="23"/>
        <v>1405.1845852307908</v>
      </c>
      <c r="K84" s="200">
        <f t="shared" si="24"/>
        <v>79.364538115062601</v>
      </c>
      <c r="L84" s="581"/>
      <c r="M84" s="201">
        <f>RANK(K84, K$77:$K$106)</f>
        <v>10</v>
      </c>
      <c r="N84" s="564"/>
      <c r="O84" s="564"/>
      <c r="P84" s="498">
        <v>18</v>
      </c>
      <c r="Q84" s="425">
        <v>1438.0645161290336</v>
      </c>
      <c r="R84" s="425">
        <v>79.892473118279639</v>
      </c>
      <c r="S84" s="498">
        <f t="shared" si="25"/>
        <v>9</v>
      </c>
      <c r="T84" s="565"/>
      <c r="U84" s="498">
        <v>18</v>
      </c>
      <c r="V84" s="425">
        <v>1387.1186440677977</v>
      </c>
      <c r="W84" s="425">
        <v>77.062146892655434</v>
      </c>
      <c r="X84" s="498">
        <f t="shared" si="26"/>
        <v>14</v>
      </c>
      <c r="Y84" s="565"/>
      <c r="Z84" s="498">
        <v>17</v>
      </c>
      <c r="AA84" s="425">
        <v>1388.7500000000005</v>
      </c>
      <c r="AB84" s="425">
        <v>81.69117647058826</v>
      </c>
      <c r="AC84" s="498">
        <f t="shared" si="27"/>
        <v>8</v>
      </c>
      <c r="AD84" s="565"/>
      <c r="AE84" s="498">
        <v>18</v>
      </c>
      <c r="AF84" s="425">
        <v>1416.9230769230776</v>
      </c>
      <c r="AG84" s="425">
        <v>78.717948717948758</v>
      </c>
      <c r="AH84" s="498">
        <f t="shared" si="28"/>
        <v>11</v>
      </c>
      <c r="AI84" s="565"/>
      <c r="AJ84" s="498">
        <v>18</v>
      </c>
      <c r="AK84" s="425">
        <v>1402.7586206896563</v>
      </c>
      <c r="AL84" s="425">
        <v>77.931034482758676</v>
      </c>
      <c r="AM84" s="498">
        <f t="shared" si="29"/>
        <v>12</v>
      </c>
      <c r="AN84" s="565"/>
      <c r="AO84" s="498">
        <v>17</v>
      </c>
      <c r="AP84" s="425">
        <v>1393.1250000000016</v>
      </c>
      <c r="AQ84" s="425">
        <v>81.948529411764795</v>
      </c>
      <c r="AR84" s="498">
        <f t="shared" si="30"/>
        <v>8</v>
      </c>
      <c r="AS84" s="565"/>
      <c r="AT84" s="498">
        <v>18</v>
      </c>
      <c r="AU84" s="425">
        <v>1409.5522388059683</v>
      </c>
      <c r="AV84" s="425">
        <v>78.308457711442685</v>
      </c>
      <c r="AW84" s="498">
        <f t="shared" si="31"/>
        <v>11</v>
      </c>
      <c r="AX84" s="565"/>
      <c r="AZ84" s="407" t="e">
        <f t="shared" si="32"/>
        <v>#N/A</v>
      </c>
      <c r="BA84" s="565"/>
    </row>
    <row r="85" spans="2:53">
      <c r="B85" s="570"/>
      <c r="C85" s="292">
        <v>9</v>
      </c>
      <c r="D85" s="226" t="s">
        <v>613</v>
      </c>
      <c r="E85" s="425">
        <v>18</v>
      </c>
      <c r="F85" s="418">
        <v>1636</v>
      </c>
      <c r="G85" s="419">
        <v>90.9</v>
      </c>
      <c r="H85" s="628"/>
      <c r="I85" s="400">
        <f t="shared" si="22"/>
        <v>18</v>
      </c>
      <c r="J85" s="400">
        <f t="shared" si="23"/>
        <v>1387.7896268051941</v>
      </c>
      <c r="K85" s="200">
        <f t="shared" si="24"/>
        <v>77.09942371139968</v>
      </c>
      <c r="L85" s="581"/>
      <c r="M85" s="201">
        <f>RANK(K85, K$77:$K$106)</f>
        <v>14</v>
      </c>
      <c r="N85" s="564"/>
      <c r="O85" s="564"/>
      <c r="P85" s="498">
        <v>18</v>
      </c>
      <c r="Q85" s="425">
        <v>1429.2000000000005</v>
      </c>
      <c r="R85" s="425">
        <v>79.400000000000034</v>
      </c>
      <c r="S85" s="498">
        <f t="shared" si="25"/>
        <v>11</v>
      </c>
      <c r="T85" s="565"/>
      <c r="U85" s="498">
        <v>18</v>
      </c>
      <c r="V85" s="425">
        <v>1411.3636363636365</v>
      </c>
      <c r="W85" s="425">
        <v>78.409090909090921</v>
      </c>
      <c r="X85" s="498">
        <f t="shared" si="26"/>
        <v>12</v>
      </c>
      <c r="Y85" s="565"/>
      <c r="Z85" s="498">
        <v>18</v>
      </c>
      <c r="AA85" s="425">
        <v>1393.8461538461531</v>
      </c>
      <c r="AB85" s="425">
        <v>77.435897435897402</v>
      </c>
      <c r="AC85" s="498">
        <f t="shared" si="27"/>
        <v>12</v>
      </c>
      <c r="AD85" s="565"/>
      <c r="AE85" s="498">
        <v>18</v>
      </c>
      <c r="AF85" s="425">
        <v>1367.4418604651162</v>
      </c>
      <c r="AG85" s="425">
        <v>75.968992248062008</v>
      </c>
      <c r="AH85" s="498">
        <f t="shared" si="28"/>
        <v>13</v>
      </c>
      <c r="AI85" s="565"/>
      <c r="AJ85" s="498">
        <v>18</v>
      </c>
      <c r="AK85" s="425">
        <v>1373.3333333333333</v>
      </c>
      <c r="AL85" s="425">
        <v>76.296296296296291</v>
      </c>
      <c r="AM85" s="498">
        <f t="shared" si="29"/>
        <v>13</v>
      </c>
      <c r="AN85" s="565"/>
      <c r="AO85" s="498">
        <v>18</v>
      </c>
      <c r="AP85" s="425">
        <v>1384.8979591836739</v>
      </c>
      <c r="AQ85" s="425">
        <v>76.93877551020411</v>
      </c>
      <c r="AR85" s="498">
        <f t="shared" si="30"/>
        <v>13</v>
      </c>
      <c r="AS85" s="565"/>
      <c r="AT85" s="498">
        <v>18</v>
      </c>
      <c r="AU85" s="425">
        <v>1354.4444444444453</v>
      </c>
      <c r="AV85" s="425">
        <v>75.246913580246954</v>
      </c>
      <c r="AW85" s="498">
        <f t="shared" si="31"/>
        <v>12</v>
      </c>
      <c r="AX85" s="565"/>
      <c r="AZ85" s="407" t="e">
        <f t="shared" si="32"/>
        <v>#N/A</v>
      </c>
      <c r="BA85" s="565"/>
    </row>
    <row r="86" spans="2:53">
      <c r="B86" s="570"/>
      <c r="C86" s="292">
        <v>10</v>
      </c>
      <c r="D86" s="226" t="s">
        <v>337</v>
      </c>
      <c r="E86" s="425">
        <v>17</v>
      </c>
      <c r="F86" s="418">
        <v>1500</v>
      </c>
      <c r="G86" s="419">
        <v>88.2</v>
      </c>
      <c r="H86" s="628"/>
      <c r="I86" s="400">
        <f t="shared" si="22"/>
        <v>16.857142857142858</v>
      </c>
      <c r="J86" s="400">
        <f t="shared" si="23"/>
        <v>1382.6366094477676</v>
      </c>
      <c r="K86" s="200">
        <f t="shared" si="24"/>
        <v>82.045042960405212</v>
      </c>
      <c r="L86" s="581"/>
      <c r="M86" s="201">
        <f>RANK(K86, K$77:$K$106)</f>
        <v>8</v>
      </c>
      <c r="N86" s="564"/>
      <c r="O86" s="564"/>
      <c r="P86" s="498">
        <v>17</v>
      </c>
      <c r="Q86" s="425">
        <v>1437.1428571428567</v>
      </c>
      <c r="R86" s="425">
        <v>84.53781512605039</v>
      </c>
      <c r="S86" s="498">
        <f t="shared" si="25"/>
        <v>7</v>
      </c>
      <c r="T86" s="565"/>
      <c r="U86" s="498">
        <v>17</v>
      </c>
      <c r="V86" s="425">
        <v>1388.7804878048776</v>
      </c>
      <c r="W86" s="425">
        <v>81.692969870875146</v>
      </c>
      <c r="X86" s="498">
        <f t="shared" si="26"/>
        <v>8</v>
      </c>
      <c r="Y86" s="565"/>
      <c r="Z86" s="498">
        <v>17</v>
      </c>
      <c r="AA86" s="425">
        <v>1346.2499999999982</v>
      </c>
      <c r="AB86" s="425">
        <v>79.191176470588132</v>
      </c>
      <c r="AC86" s="498">
        <f t="shared" si="27"/>
        <v>9</v>
      </c>
      <c r="AD86" s="565"/>
      <c r="AE86" s="498">
        <v>17</v>
      </c>
      <c r="AF86" s="425">
        <v>1367.3684210526305</v>
      </c>
      <c r="AG86" s="425">
        <v>80.433436532507685</v>
      </c>
      <c r="AH86" s="498">
        <f t="shared" si="28"/>
        <v>7</v>
      </c>
      <c r="AI86" s="565"/>
      <c r="AJ86" s="498">
        <v>16</v>
      </c>
      <c r="AK86" s="425">
        <v>1358.4615384615377</v>
      </c>
      <c r="AL86" s="425">
        <v>84.903846153846104</v>
      </c>
      <c r="AM86" s="498">
        <f t="shared" si="29"/>
        <v>7</v>
      </c>
      <c r="AN86" s="565"/>
      <c r="AO86" s="498">
        <v>17</v>
      </c>
      <c r="AP86" s="425">
        <v>1399.024390243902</v>
      </c>
      <c r="AQ86" s="425">
        <v>82.295552367288352</v>
      </c>
      <c r="AR86" s="498">
        <f t="shared" si="30"/>
        <v>7</v>
      </c>
      <c r="AS86" s="565"/>
      <c r="AT86" s="498">
        <v>17</v>
      </c>
      <c r="AU86" s="425">
        <v>1381.4285714285709</v>
      </c>
      <c r="AV86" s="425">
        <v>81.260504201680646</v>
      </c>
      <c r="AW86" s="498">
        <f t="shared" si="31"/>
        <v>7</v>
      </c>
      <c r="AX86" s="565"/>
      <c r="AZ86" s="407" t="e">
        <f t="shared" si="32"/>
        <v>#N/A</v>
      </c>
      <c r="BA86" s="565"/>
    </row>
    <row r="87" spans="2:53">
      <c r="B87" s="570"/>
      <c r="C87" s="292">
        <v>11</v>
      </c>
      <c r="D87" s="226" t="s">
        <v>533</v>
      </c>
      <c r="E87" s="425">
        <v>20</v>
      </c>
      <c r="F87" s="418">
        <v>1440</v>
      </c>
      <c r="G87" s="419">
        <v>72</v>
      </c>
      <c r="H87" s="628"/>
      <c r="I87" s="400">
        <f t="shared" si="22"/>
        <v>19.857142857142858</v>
      </c>
      <c r="J87" s="400">
        <f t="shared" si="23"/>
        <v>1333.58469071016</v>
      </c>
      <c r="K87" s="200">
        <f t="shared" si="24"/>
        <v>67.174186200384483</v>
      </c>
      <c r="L87" s="581"/>
      <c r="M87" s="201">
        <f>RANK(K87, K$77:$K$106)</f>
        <v>21</v>
      </c>
      <c r="N87" s="564"/>
      <c r="O87" s="564"/>
      <c r="P87" s="498">
        <v>20</v>
      </c>
      <c r="Q87" s="425">
        <v>1339.4594594594585</v>
      </c>
      <c r="R87" s="425">
        <v>66.972972972972926</v>
      </c>
      <c r="S87" s="498">
        <f t="shared" si="25"/>
        <v>21</v>
      </c>
      <c r="T87" s="565"/>
      <c r="U87" s="498">
        <v>20</v>
      </c>
      <c r="V87" s="425">
        <v>1328.823529411763</v>
      </c>
      <c r="W87" s="425">
        <v>66.441176470588147</v>
      </c>
      <c r="X87" s="498">
        <f t="shared" si="26"/>
        <v>20</v>
      </c>
      <c r="Y87" s="565"/>
      <c r="Z87" s="498">
        <v>20</v>
      </c>
      <c r="AA87" s="425">
        <v>1333.3333333333342</v>
      </c>
      <c r="AB87" s="425">
        <v>66.666666666666714</v>
      </c>
      <c r="AC87" s="498">
        <f t="shared" si="27"/>
        <v>18</v>
      </c>
      <c r="AD87" s="565"/>
      <c r="AE87" s="498">
        <v>20</v>
      </c>
      <c r="AF87" s="425">
        <v>1309.0909090909104</v>
      </c>
      <c r="AG87" s="425">
        <v>65.454545454545524</v>
      </c>
      <c r="AH87" s="498">
        <f t="shared" si="28"/>
        <v>18</v>
      </c>
      <c r="AI87" s="565"/>
      <c r="AJ87" s="498">
        <v>19</v>
      </c>
      <c r="AK87" s="425">
        <v>1316.5714285714273</v>
      </c>
      <c r="AL87" s="425">
        <v>69.293233082706706</v>
      </c>
      <c r="AM87" s="498">
        <f t="shared" si="29"/>
        <v>18</v>
      </c>
      <c r="AN87" s="565"/>
      <c r="AO87" s="498">
        <v>20</v>
      </c>
      <c r="AP87" s="425">
        <v>1342.6086956521726</v>
      </c>
      <c r="AQ87" s="425">
        <v>67.130434782608631</v>
      </c>
      <c r="AR87" s="498">
        <f t="shared" si="30"/>
        <v>18</v>
      </c>
      <c r="AS87" s="565"/>
      <c r="AT87" s="498">
        <v>20</v>
      </c>
      <c r="AU87" s="425">
        <v>1365.2054794520536</v>
      </c>
      <c r="AV87" s="425">
        <v>68.260273972602675</v>
      </c>
      <c r="AW87" s="498">
        <f t="shared" si="31"/>
        <v>17</v>
      </c>
      <c r="AX87" s="565"/>
      <c r="AZ87" s="407" t="e">
        <f t="shared" si="32"/>
        <v>#N/A</v>
      </c>
      <c r="BA87" s="565"/>
    </row>
    <row r="88" spans="2:53">
      <c r="B88" s="570"/>
      <c r="C88" s="292">
        <v>12</v>
      </c>
      <c r="D88" s="226" t="s">
        <v>350</v>
      </c>
      <c r="E88" s="425">
        <v>14</v>
      </c>
      <c r="F88" s="418">
        <v>1440</v>
      </c>
      <c r="G88" s="419">
        <v>102.9</v>
      </c>
      <c r="H88" s="628"/>
      <c r="I88" s="400">
        <f t="shared" si="22"/>
        <v>15</v>
      </c>
      <c r="J88" s="400">
        <f t="shared" si="23"/>
        <v>1333.3147821725684</v>
      </c>
      <c r="K88" s="200">
        <f t="shared" si="24"/>
        <v>88.887652144837872</v>
      </c>
      <c r="L88" s="581"/>
      <c r="M88" s="201">
        <f>RANK(K88, K$77:$K$106)</f>
        <v>4</v>
      </c>
      <c r="N88" s="564"/>
      <c r="O88" s="564"/>
      <c r="P88" s="498">
        <v>15</v>
      </c>
      <c r="Q88" s="425">
        <v>1312.6315789473695</v>
      </c>
      <c r="R88" s="425">
        <v>87.508771929824633</v>
      </c>
      <c r="S88" s="498">
        <f t="shared" si="25"/>
        <v>5</v>
      </c>
      <c r="T88" s="565"/>
      <c r="U88" s="498">
        <v>15</v>
      </c>
      <c r="V88" s="425">
        <v>1325.0847457627131</v>
      </c>
      <c r="W88" s="425">
        <v>88.338983050847531</v>
      </c>
      <c r="X88" s="498">
        <f t="shared" si="26"/>
        <v>5</v>
      </c>
      <c r="Y88" s="565"/>
      <c r="Z88" s="498">
        <v>15</v>
      </c>
      <c r="AA88" s="425">
        <v>1308</v>
      </c>
      <c r="AB88" s="425">
        <v>87.2</v>
      </c>
      <c r="AC88" s="498">
        <f t="shared" si="27"/>
        <v>3</v>
      </c>
      <c r="AD88" s="565"/>
      <c r="AE88" s="498">
        <v>15</v>
      </c>
      <c r="AF88" s="425">
        <v>1340.7692307692314</v>
      </c>
      <c r="AG88" s="425">
        <v>89.384615384615429</v>
      </c>
      <c r="AH88" s="498">
        <f t="shared" si="28"/>
        <v>3</v>
      </c>
      <c r="AI88" s="565"/>
      <c r="AJ88" s="498">
        <v>15</v>
      </c>
      <c r="AK88" s="425">
        <v>1347.9310344827597</v>
      </c>
      <c r="AL88" s="425">
        <v>89.862068965517309</v>
      </c>
      <c r="AM88" s="498">
        <f t="shared" si="29"/>
        <v>3</v>
      </c>
      <c r="AN88" s="565"/>
      <c r="AO88" s="498">
        <v>15</v>
      </c>
      <c r="AP88" s="425">
        <v>1366.0000000000011</v>
      </c>
      <c r="AQ88" s="425">
        <v>91.066666666666748</v>
      </c>
      <c r="AR88" s="498">
        <f t="shared" si="30"/>
        <v>3</v>
      </c>
      <c r="AS88" s="565"/>
      <c r="AT88" s="498">
        <v>15</v>
      </c>
      <c r="AU88" s="425">
        <v>1332.7868852459028</v>
      </c>
      <c r="AV88" s="425">
        <v>88.852459016393524</v>
      </c>
      <c r="AW88" s="498">
        <f t="shared" si="31"/>
        <v>3</v>
      </c>
      <c r="AX88" s="565"/>
      <c r="AZ88" s="407" t="e">
        <f t="shared" si="32"/>
        <v>#N/A</v>
      </c>
      <c r="BA88" s="565"/>
    </row>
    <row r="89" spans="2:53">
      <c r="B89" s="570"/>
      <c r="C89" s="292">
        <v>13</v>
      </c>
      <c r="D89" s="226" t="s">
        <v>329</v>
      </c>
      <c r="E89" s="425">
        <v>19</v>
      </c>
      <c r="F89" s="418">
        <v>1440</v>
      </c>
      <c r="G89" s="419">
        <v>75.8</v>
      </c>
      <c r="H89" s="628"/>
      <c r="I89" s="400">
        <f t="shared" si="22"/>
        <v>19</v>
      </c>
      <c r="J89" s="400">
        <f t="shared" si="23"/>
        <v>1345.983557791569</v>
      </c>
      <c r="K89" s="200">
        <f t="shared" si="24"/>
        <v>70.841239883766789</v>
      </c>
      <c r="L89" s="581"/>
      <c r="M89" s="201">
        <f>RANK(K89, K$77:$K$106)</f>
        <v>18</v>
      </c>
      <c r="N89" s="564"/>
      <c r="O89" s="564"/>
      <c r="P89" s="498">
        <v>19</v>
      </c>
      <c r="Q89" s="425">
        <v>1346.206896551724</v>
      </c>
      <c r="R89" s="425">
        <v>70.852994555353888</v>
      </c>
      <c r="S89" s="498">
        <f t="shared" si="25"/>
        <v>19</v>
      </c>
      <c r="T89" s="565"/>
      <c r="U89" s="498">
        <v>19</v>
      </c>
      <c r="V89" s="425">
        <v>1345.0632911392397</v>
      </c>
      <c r="W89" s="425">
        <v>70.792804796802088</v>
      </c>
      <c r="X89" s="498">
        <f t="shared" si="26"/>
        <v>17</v>
      </c>
      <c r="Y89" s="565"/>
      <c r="Z89" s="498">
        <v>19</v>
      </c>
      <c r="AA89" s="425">
        <v>1324.8387096774204</v>
      </c>
      <c r="AB89" s="425">
        <v>69.728353140916866</v>
      </c>
      <c r="AC89" s="498">
        <f t="shared" si="27"/>
        <v>17</v>
      </c>
      <c r="AD89" s="565"/>
      <c r="AE89" s="498">
        <v>19</v>
      </c>
      <c r="AF89" s="425">
        <v>1319.1891891891883</v>
      </c>
      <c r="AG89" s="425">
        <v>69.431009957325699</v>
      </c>
      <c r="AH89" s="498">
        <f t="shared" si="28"/>
        <v>16</v>
      </c>
      <c r="AI89" s="565"/>
      <c r="AJ89" s="498">
        <v>19</v>
      </c>
      <c r="AK89" s="425">
        <v>1374.399999999999</v>
      </c>
      <c r="AL89" s="425">
        <v>72.336842105263102</v>
      </c>
      <c r="AM89" s="498">
        <f t="shared" si="29"/>
        <v>14</v>
      </c>
      <c r="AN89" s="565"/>
      <c r="AO89" s="498">
        <v>19</v>
      </c>
      <c r="AP89" s="425">
        <v>1362.5316455696195</v>
      </c>
      <c r="AQ89" s="425">
        <v>71.712191872085242</v>
      </c>
      <c r="AR89" s="498">
        <f t="shared" si="30"/>
        <v>16</v>
      </c>
      <c r="AS89" s="565"/>
      <c r="AT89" s="498">
        <v>19</v>
      </c>
      <c r="AU89" s="425">
        <v>1349.655172413793</v>
      </c>
      <c r="AV89" s="425">
        <v>71.034482758620683</v>
      </c>
      <c r="AW89" s="498">
        <f t="shared" si="31"/>
        <v>15</v>
      </c>
      <c r="AX89" s="565"/>
      <c r="AZ89" s="407" t="e">
        <f t="shared" si="32"/>
        <v>#N/A</v>
      </c>
      <c r="BA89" s="565"/>
    </row>
    <row r="90" spans="2:53">
      <c r="B90" s="570"/>
      <c r="C90" s="292">
        <v>14</v>
      </c>
      <c r="D90" s="226" t="s">
        <v>348</v>
      </c>
      <c r="E90" s="425">
        <v>19</v>
      </c>
      <c r="F90" s="418">
        <v>1440</v>
      </c>
      <c r="G90" s="419">
        <v>75.8</v>
      </c>
      <c r="H90" s="628"/>
      <c r="I90" s="400">
        <f t="shared" si="22"/>
        <v>18.571428571428573</v>
      </c>
      <c r="J90" s="400">
        <f t="shared" si="23"/>
        <v>1299.662690108639</v>
      </c>
      <c r="K90" s="200">
        <f t="shared" si="24"/>
        <v>70.022095715845367</v>
      </c>
      <c r="L90" s="581"/>
      <c r="M90" s="201">
        <f>RANK(K90, K$77:$K$106)</f>
        <v>20</v>
      </c>
      <c r="N90" s="564"/>
      <c r="O90" s="564"/>
      <c r="P90" s="498">
        <v>19</v>
      </c>
      <c r="Q90" s="425">
        <v>1361.538461538463</v>
      </c>
      <c r="R90" s="425">
        <v>71.659919028340155</v>
      </c>
      <c r="S90" s="498">
        <f t="shared" si="25"/>
        <v>17</v>
      </c>
      <c r="T90" s="565"/>
      <c r="U90" s="498">
        <v>19</v>
      </c>
      <c r="V90" s="425">
        <v>1303.8095238095252</v>
      </c>
      <c r="W90" s="425">
        <v>68.621553884711858</v>
      </c>
      <c r="X90" s="498">
        <f t="shared" si="26"/>
        <v>19</v>
      </c>
      <c r="Y90" s="565"/>
      <c r="Z90" s="498">
        <v>18</v>
      </c>
      <c r="AA90" s="425">
        <v>1282.3529411764712</v>
      </c>
      <c r="AB90" s="425">
        <v>71.241830065359508</v>
      </c>
      <c r="AC90" s="498">
        <f t="shared" si="27"/>
        <v>15</v>
      </c>
      <c r="AD90" s="565"/>
      <c r="AE90" s="498">
        <v>19</v>
      </c>
      <c r="AF90" s="425">
        <v>1293.5593220338994</v>
      </c>
      <c r="AG90" s="425">
        <v>68.082069580731556</v>
      </c>
      <c r="AH90" s="498">
        <f t="shared" si="28"/>
        <v>17</v>
      </c>
      <c r="AI90" s="565"/>
      <c r="AJ90" s="498">
        <v>18</v>
      </c>
      <c r="AK90" s="425">
        <v>1275.6923076923092</v>
      </c>
      <c r="AL90" s="425">
        <v>70.871794871794961</v>
      </c>
      <c r="AM90" s="498">
        <f t="shared" si="29"/>
        <v>16</v>
      </c>
      <c r="AN90" s="565"/>
      <c r="AO90" s="498">
        <v>18</v>
      </c>
      <c r="AP90" s="425">
        <v>1317.3529411764721</v>
      </c>
      <c r="AQ90" s="425">
        <v>73.186274509804008</v>
      </c>
      <c r="AR90" s="498">
        <f t="shared" si="30"/>
        <v>15</v>
      </c>
      <c r="AS90" s="565"/>
      <c r="AT90" s="498">
        <v>19</v>
      </c>
      <c r="AU90" s="425">
        <v>1263.3333333333323</v>
      </c>
      <c r="AV90" s="425">
        <v>66.491228070175382</v>
      </c>
      <c r="AW90" s="498">
        <f t="shared" si="31"/>
        <v>18</v>
      </c>
      <c r="AX90" s="565"/>
      <c r="AZ90" s="407" t="e">
        <f t="shared" si="32"/>
        <v>#N/A</v>
      </c>
      <c r="BA90" s="565"/>
    </row>
    <row r="91" spans="2:53">
      <c r="B91" s="570"/>
      <c r="C91" s="292">
        <v>15</v>
      </c>
      <c r="D91" s="226" t="s">
        <v>614</v>
      </c>
      <c r="E91" s="425">
        <v>19</v>
      </c>
      <c r="F91" s="418">
        <v>1500</v>
      </c>
      <c r="G91" s="419">
        <v>78.900000000000006</v>
      </c>
      <c r="H91" s="628"/>
      <c r="I91" s="400">
        <f t="shared" si="22"/>
        <v>19</v>
      </c>
      <c r="J91" s="400">
        <f t="shared" si="23"/>
        <v>1151.2500000000041</v>
      </c>
      <c r="K91" s="200">
        <f t="shared" si="24"/>
        <v>60.592105263158111</v>
      </c>
      <c r="L91" s="581"/>
      <c r="M91" s="201">
        <f>RANK(K91, K$77:$K$106)</f>
        <v>23</v>
      </c>
      <c r="N91" s="564"/>
      <c r="O91" s="564"/>
      <c r="P91" s="498">
        <v>19</v>
      </c>
      <c r="Q91" s="425">
        <v>1151.2500000000041</v>
      </c>
      <c r="R91" s="425">
        <v>60.592105263158111</v>
      </c>
      <c r="S91" s="498">
        <f t="shared" si="25"/>
        <v>24</v>
      </c>
      <c r="T91" s="565"/>
      <c r="U91" s="498" t="s">
        <v>639</v>
      </c>
      <c r="V91" s="425" t="s">
        <v>639</v>
      </c>
      <c r="W91" s="425" t="s">
        <v>639</v>
      </c>
      <c r="X91" s="498" t="e">
        <f t="shared" si="26"/>
        <v>#VALUE!</v>
      </c>
      <c r="Y91" s="565"/>
      <c r="Z91" s="498" t="s">
        <v>639</v>
      </c>
      <c r="AA91" s="425" t="s">
        <v>639</v>
      </c>
      <c r="AB91" s="425" t="s">
        <v>639</v>
      </c>
      <c r="AC91" s="498" t="e">
        <f t="shared" si="27"/>
        <v>#VALUE!</v>
      </c>
      <c r="AD91" s="565"/>
      <c r="AE91" s="498" t="s">
        <v>639</v>
      </c>
      <c r="AF91" s="425" t="s">
        <v>639</v>
      </c>
      <c r="AG91" s="425" t="s">
        <v>639</v>
      </c>
      <c r="AH91" s="498" t="e">
        <f t="shared" si="28"/>
        <v>#VALUE!</v>
      </c>
      <c r="AI91" s="565"/>
      <c r="AJ91" s="498" t="s">
        <v>639</v>
      </c>
      <c r="AK91" s="425" t="s">
        <v>639</v>
      </c>
      <c r="AL91" s="425" t="s">
        <v>639</v>
      </c>
      <c r="AM91" s="498" t="e">
        <f t="shared" si="29"/>
        <v>#VALUE!</v>
      </c>
      <c r="AN91" s="565"/>
      <c r="AO91" s="498" t="s">
        <v>639</v>
      </c>
      <c r="AP91" s="425" t="s">
        <v>639</v>
      </c>
      <c r="AQ91" s="425" t="s">
        <v>639</v>
      </c>
      <c r="AR91" s="498" t="e">
        <f t="shared" si="30"/>
        <v>#VALUE!</v>
      </c>
      <c r="AS91" s="565"/>
      <c r="AT91" s="498" t="s">
        <v>639</v>
      </c>
      <c r="AU91" s="425" t="s">
        <v>639</v>
      </c>
      <c r="AV91" s="425" t="s">
        <v>639</v>
      </c>
      <c r="AW91" s="498" t="e">
        <f t="shared" si="31"/>
        <v>#VALUE!</v>
      </c>
      <c r="AX91" s="565"/>
      <c r="AZ91" s="407" t="e">
        <f t="shared" si="32"/>
        <v>#N/A</v>
      </c>
      <c r="BA91" s="565"/>
    </row>
    <row r="92" spans="2:53">
      <c r="B92" s="570"/>
      <c r="C92" s="292">
        <v>16</v>
      </c>
      <c r="D92" s="226" t="s">
        <v>628</v>
      </c>
      <c r="E92" s="425">
        <v>18</v>
      </c>
      <c r="F92" s="418">
        <v>1500</v>
      </c>
      <c r="G92" s="419">
        <v>83.3</v>
      </c>
      <c r="H92" s="628"/>
      <c r="I92" s="400">
        <f t="shared" si="22"/>
        <v>18</v>
      </c>
      <c r="J92" s="400">
        <f t="shared" si="23"/>
        <v>1399.1956804460915</v>
      </c>
      <c r="K92" s="200">
        <f t="shared" si="24"/>
        <v>77.733093358116193</v>
      </c>
      <c r="L92" s="581"/>
      <c r="M92" s="201">
        <f>RANK(K92, K$77:$K$106)</f>
        <v>13</v>
      </c>
      <c r="N92" s="564"/>
      <c r="O92" s="564"/>
      <c r="P92" s="498">
        <v>18</v>
      </c>
      <c r="Q92" s="425">
        <v>1378.2608695652159</v>
      </c>
      <c r="R92" s="425">
        <v>76.570048309178659</v>
      </c>
      <c r="S92" s="498">
        <f t="shared" si="25"/>
        <v>13</v>
      </c>
      <c r="T92" s="565"/>
      <c r="U92" s="498">
        <v>18</v>
      </c>
      <c r="V92" s="425">
        <v>1422.3529411764687</v>
      </c>
      <c r="W92" s="425">
        <v>79.019607843137152</v>
      </c>
      <c r="X92" s="498">
        <f t="shared" si="26"/>
        <v>11</v>
      </c>
      <c r="Y92" s="565"/>
      <c r="Z92" s="498">
        <v>18</v>
      </c>
      <c r="AA92" s="425">
        <v>1385.6250000000016</v>
      </c>
      <c r="AB92" s="425">
        <v>76.979166666666757</v>
      </c>
      <c r="AC92" s="498">
        <f t="shared" si="27"/>
        <v>13</v>
      </c>
      <c r="AD92" s="565"/>
      <c r="AE92" s="498">
        <v>18</v>
      </c>
      <c r="AF92" s="425">
        <v>1434.0000000000014</v>
      </c>
      <c r="AG92" s="425">
        <v>79.666666666666742</v>
      </c>
      <c r="AH92" s="498">
        <f t="shared" si="28"/>
        <v>9</v>
      </c>
      <c r="AI92" s="565"/>
      <c r="AJ92" s="498">
        <v>18</v>
      </c>
      <c r="AK92" s="425">
        <v>1412.3809523809537</v>
      </c>
      <c r="AL92" s="425">
        <v>78.46560846560854</v>
      </c>
      <c r="AM92" s="498">
        <f t="shared" si="29"/>
        <v>10</v>
      </c>
      <c r="AN92" s="565"/>
      <c r="AO92" s="498">
        <v>18</v>
      </c>
      <c r="AP92" s="425">
        <v>1434.9999999999989</v>
      </c>
      <c r="AQ92" s="425">
        <v>79.722222222222157</v>
      </c>
      <c r="AR92" s="498">
        <f t="shared" si="30"/>
        <v>10</v>
      </c>
      <c r="AS92" s="565"/>
      <c r="AT92" s="498">
        <v>18</v>
      </c>
      <c r="AU92" s="425">
        <v>1326.7499999999995</v>
      </c>
      <c r="AV92" s="425">
        <v>73.708333333333314</v>
      </c>
      <c r="AW92" s="498">
        <f t="shared" si="31"/>
        <v>14</v>
      </c>
      <c r="AX92" s="565"/>
      <c r="AZ92" s="407" t="e">
        <f t="shared" si="32"/>
        <v>#N/A</v>
      </c>
      <c r="BA92" s="565"/>
    </row>
    <row r="93" spans="2:53">
      <c r="B93" s="570"/>
      <c r="C93" s="292">
        <v>17</v>
      </c>
      <c r="D93" s="226" t="s">
        <v>530</v>
      </c>
      <c r="E93" s="425">
        <v>17</v>
      </c>
      <c r="F93" s="418">
        <v>1440</v>
      </c>
      <c r="G93" s="419">
        <v>84.7</v>
      </c>
      <c r="H93" s="628"/>
      <c r="I93" s="400">
        <f t="shared" si="22"/>
        <v>17</v>
      </c>
      <c r="J93" s="400">
        <f t="shared" si="23"/>
        <v>1331.350479987618</v>
      </c>
      <c r="K93" s="200">
        <f t="shared" si="24"/>
        <v>78.3147341169187</v>
      </c>
      <c r="L93" s="581"/>
      <c r="M93" s="201">
        <f>RANK(K93, K$77:$K$106)</f>
        <v>12</v>
      </c>
      <c r="N93" s="564"/>
      <c r="O93" s="564"/>
      <c r="P93" s="498">
        <v>17</v>
      </c>
      <c r="Q93" s="425">
        <v>1337.3333333333333</v>
      </c>
      <c r="R93" s="425">
        <v>78.666666666666657</v>
      </c>
      <c r="S93" s="498">
        <f t="shared" si="25"/>
        <v>12</v>
      </c>
      <c r="T93" s="565"/>
      <c r="U93" s="498">
        <v>17</v>
      </c>
      <c r="V93" s="425">
        <v>1318.695652173913</v>
      </c>
      <c r="W93" s="425">
        <v>77.570332480818408</v>
      </c>
      <c r="X93" s="498">
        <f t="shared" si="26"/>
        <v>13</v>
      </c>
      <c r="Y93" s="565"/>
      <c r="Z93" s="498">
        <v>17</v>
      </c>
      <c r="AA93" s="425">
        <v>1321.7142857142844</v>
      </c>
      <c r="AB93" s="425">
        <v>77.747899159663788</v>
      </c>
      <c r="AC93" s="498">
        <f t="shared" si="27"/>
        <v>11</v>
      </c>
      <c r="AD93" s="565"/>
      <c r="AE93" s="498">
        <v>17</v>
      </c>
      <c r="AF93" s="425">
        <v>1343.4146341463411</v>
      </c>
      <c r="AG93" s="425">
        <v>79.024390243902417</v>
      </c>
      <c r="AH93" s="498">
        <f t="shared" si="28"/>
        <v>10</v>
      </c>
      <c r="AI93" s="565"/>
      <c r="AJ93" s="498">
        <v>17</v>
      </c>
      <c r="AK93" s="425">
        <v>1329.5454545454545</v>
      </c>
      <c r="AL93" s="425">
        <v>78.208556149732615</v>
      </c>
      <c r="AM93" s="498">
        <f t="shared" si="29"/>
        <v>11</v>
      </c>
      <c r="AN93" s="565"/>
      <c r="AO93" s="498">
        <v>17</v>
      </c>
      <c r="AP93" s="425">
        <v>1335.0000000000005</v>
      </c>
      <c r="AQ93" s="425">
        <v>78.529411764705912</v>
      </c>
      <c r="AR93" s="498">
        <f t="shared" si="30"/>
        <v>12</v>
      </c>
      <c r="AS93" s="565"/>
      <c r="AT93" s="498">
        <v>17</v>
      </c>
      <c r="AU93" s="425">
        <v>1333.7500000000005</v>
      </c>
      <c r="AV93" s="425">
        <v>78.455882352941202</v>
      </c>
      <c r="AW93" s="498">
        <f t="shared" si="31"/>
        <v>10</v>
      </c>
      <c r="AX93" s="565"/>
      <c r="AZ93" s="407" t="e">
        <f t="shared" si="32"/>
        <v>#N/A</v>
      </c>
      <c r="BA93" s="565"/>
    </row>
    <row r="94" spans="2:53">
      <c r="B94" s="570"/>
      <c r="C94" s="292">
        <v>18</v>
      </c>
      <c r="D94" s="226" t="s">
        <v>534</v>
      </c>
      <c r="E94" s="425">
        <v>18</v>
      </c>
      <c r="F94" s="418">
        <v>1500</v>
      </c>
      <c r="G94" s="419">
        <v>83.3</v>
      </c>
      <c r="H94" s="628"/>
      <c r="I94" s="400">
        <f t="shared" si="22"/>
        <v>18</v>
      </c>
      <c r="J94" s="400">
        <f t="shared" si="23"/>
        <v>1297.1764705882381</v>
      </c>
      <c r="K94" s="200">
        <f t="shared" si="24"/>
        <v>72.065359477124332</v>
      </c>
      <c r="L94" s="581"/>
      <c r="M94" s="201">
        <f>RANK(K94, K$77:$K$106)</f>
        <v>16</v>
      </c>
      <c r="N94" s="564"/>
      <c r="O94" s="564"/>
      <c r="P94" s="498">
        <v>18</v>
      </c>
      <c r="Q94" s="425">
        <v>1352.0000000000014</v>
      </c>
      <c r="R94" s="425">
        <v>75.111111111111185</v>
      </c>
      <c r="S94" s="498">
        <f t="shared" si="25"/>
        <v>14</v>
      </c>
      <c r="T94" s="565"/>
      <c r="U94" s="498">
        <v>18</v>
      </c>
      <c r="V94" s="425">
        <v>1242.3529411764748</v>
      </c>
      <c r="W94" s="425">
        <v>69.019607843137493</v>
      </c>
      <c r="X94" s="498">
        <f t="shared" si="26"/>
        <v>18</v>
      </c>
      <c r="Y94" s="565"/>
      <c r="Z94" s="498" t="s">
        <v>639</v>
      </c>
      <c r="AA94" s="425" t="s">
        <v>639</v>
      </c>
      <c r="AB94" s="425" t="s">
        <v>639</v>
      </c>
      <c r="AC94" s="498" t="e">
        <f t="shared" si="27"/>
        <v>#VALUE!</v>
      </c>
      <c r="AD94" s="565"/>
      <c r="AE94" s="498" t="s">
        <v>639</v>
      </c>
      <c r="AF94" s="425" t="s">
        <v>639</v>
      </c>
      <c r="AG94" s="425" t="s">
        <v>639</v>
      </c>
      <c r="AH94" s="498" t="e">
        <f t="shared" si="28"/>
        <v>#VALUE!</v>
      </c>
      <c r="AI94" s="565"/>
      <c r="AJ94" s="498" t="s">
        <v>639</v>
      </c>
      <c r="AK94" s="425" t="s">
        <v>639</v>
      </c>
      <c r="AL94" s="425" t="s">
        <v>639</v>
      </c>
      <c r="AM94" s="498" t="e">
        <f t="shared" si="29"/>
        <v>#VALUE!</v>
      </c>
      <c r="AN94" s="565"/>
      <c r="AO94" s="498" t="s">
        <v>639</v>
      </c>
      <c r="AP94" s="425" t="s">
        <v>639</v>
      </c>
      <c r="AQ94" s="425" t="s">
        <v>639</v>
      </c>
      <c r="AR94" s="498" t="e">
        <f t="shared" si="30"/>
        <v>#VALUE!</v>
      </c>
      <c r="AS94" s="565"/>
      <c r="AT94" s="498" t="s">
        <v>639</v>
      </c>
      <c r="AU94" s="425" t="s">
        <v>639</v>
      </c>
      <c r="AV94" s="425" t="s">
        <v>639</v>
      </c>
      <c r="AW94" s="498" t="e">
        <f t="shared" si="31"/>
        <v>#VALUE!</v>
      </c>
      <c r="AX94" s="565"/>
      <c r="AZ94" s="407" t="e">
        <f t="shared" si="32"/>
        <v>#N/A</v>
      </c>
      <c r="BA94" s="565"/>
    </row>
    <row r="95" spans="2:53">
      <c r="B95" s="570"/>
      <c r="C95" s="292">
        <v>19</v>
      </c>
      <c r="D95" s="226" t="s">
        <v>536</v>
      </c>
      <c r="E95" s="425">
        <v>20</v>
      </c>
      <c r="F95" s="418">
        <v>1500</v>
      </c>
      <c r="G95" s="419">
        <v>75</v>
      </c>
      <c r="H95" s="628"/>
      <c r="I95" s="400">
        <f t="shared" si="22"/>
        <v>19.857142857142858</v>
      </c>
      <c r="J95" s="400">
        <f t="shared" si="23"/>
        <v>1192.0643983448922</v>
      </c>
      <c r="K95" s="200">
        <f t="shared" si="24"/>
        <v>60.043821421004004</v>
      </c>
      <c r="L95" s="581"/>
      <c r="M95" s="201">
        <f>RANK(K95, K$77:$K$106)</f>
        <v>24</v>
      </c>
      <c r="N95" s="564"/>
      <c r="O95" s="564"/>
      <c r="P95" s="498">
        <v>20</v>
      </c>
      <c r="Q95" s="425">
        <v>1236.0000000000002</v>
      </c>
      <c r="R95" s="425">
        <v>61.800000000000011</v>
      </c>
      <c r="S95" s="498">
        <f t="shared" si="25"/>
        <v>23</v>
      </c>
      <c r="T95" s="565"/>
      <c r="U95" s="498">
        <v>20</v>
      </c>
      <c r="V95" s="425">
        <v>1181.6326530612248</v>
      </c>
      <c r="W95" s="425">
        <v>59.081632653061241</v>
      </c>
      <c r="X95" s="498">
        <f t="shared" si="26"/>
        <v>22</v>
      </c>
      <c r="Y95" s="565"/>
      <c r="Z95" s="498">
        <v>20</v>
      </c>
      <c r="AA95" s="425">
        <v>1188.5714285714282</v>
      </c>
      <c r="AB95" s="425">
        <v>59.428571428571409</v>
      </c>
      <c r="AC95" s="498">
        <f t="shared" si="27"/>
        <v>20</v>
      </c>
      <c r="AD95" s="565"/>
      <c r="AE95" s="498">
        <v>19</v>
      </c>
      <c r="AF95" s="425">
        <v>1172</v>
      </c>
      <c r="AG95" s="425">
        <v>61.684210526315788</v>
      </c>
      <c r="AH95" s="498">
        <f t="shared" si="28"/>
        <v>20</v>
      </c>
      <c r="AI95" s="565"/>
      <c r="AJ95" s="498">
        <v>20</v>
      </c>
      <c r="AK95" s="425">
        <v>1211.1627906976742</v>
      </c>
      <c r="AL95" s="425">
        <v>60.558139534883708</v>
      </c>
      <c r="AM95" s="498">
        <f t="shared" si="29"/>
        <v>20</v>
      </c>
      <c r="AN95" s="565"/>
      <c r="AO95" s="498">
        <v>20</v>
      </c>
      <c r="AP95" s="425">
        <v>1196.5384615384623</v>
      </c>
      <c r="AQ95" s="425">
        <v>59.826923076923116</v>
      </c>
      <c r="AR95" s="498">
        <f t="shared" si="30"/>
        <v>21</v>
      </c>
      <c r="AS95" s="565"/>
      <c r="AT95" s="498">
        <v>20</v>
      </c>
      <c r="AU95" s="425">
        <v>1158.5454545454554</v>
      </c>
      <c r="AV95" s="425">
        <v>57.927272727272772</v>
      </c>
      <c r="AW95" s="498">
        <f t="shared" si="31"/>
        <v>21</v>
      </c>
      <c r="AX95" s="565"/>
      <c r="AZ95" s="407" t="e">
        <f t="shared" si="32"/>
        <v>#N/A</v>
      </c>
      <c r="BA95" s="565"/>
    </row>
    <row r="96" spans="2:53">
      <c r="B96" s="570"/>
      <c r="C96" s="292">
        <v>20</v>
      </c>
      <c r="D96" s="226" t="s">
        <v>615</v>
      </c>
      <c r="E96" s="425">
        <v>17</v>
      </c>
      <c r="F96" s="418">
        <v>1565</v>
      </c>
      <c r="G96" s="419">
        <v>92.1</v>
      </c>
      <c r="H96" s="628"/>
      <c r="I96" s="400">
        <f t="shared" si="22"/>
        <v>17</v>
      </c>
      <c r="J96" s="400">
        <f t="shared" si="23"/>
        <v>1208.0000000000043</v>
      </c>
      <c r="K96" s="200">
        <f t="shared" si="24"/>
        <v>71.058823529412024</v>
      </c>
      <c r="L96" s="581"/>
      <c r="M96" s="201">
        <f>RANK(K96, K$77:$K$106)</f>
        <v>17</v>
      </c>
      <c r="N96" s="564"/>
      <c r="O96" s="564"/>
      <c r="P96" s="498">
        <v>17</v>
      </c>
      <c r="Q96" s="425">
        <v>1208.0000000000043</v>
      </c>
      <c r="R96" s="425">
        <v>71.058823529412024</v>
      </c>
      <c r="S96" s="498">
        <f t="shared" si="25"/>
        <v>18</v>
      </c>
      <c r="T96" s="565"/>
      <c r="U96" s="498" t="s">
        <v>639</v>
      </c>
      <c r="V96" s="425" t="s">
        <v>639</v>
      </c>
      <c r="W96" s="425" t="s">
        <v>639</v>
      </c>
      <c r="X96" s="498" t="e">
        <f t="shared" si="26"/>
        <v>#VALUE!</v>
      </c>
      <c r="Y96" s="565"/>
      <c r="Z96" s="498" t="s">
        <v>639</v>
      </c>
      <c r="AA96" s="425" t="s">
        <v>639</v>
      </c>
      <c r="AB96" s="425" t="s">
        <v>639</v>
      </c>
      <c r="AC96" s="498" t="e">
        <f t="shared" si="27"/>
        <v>#VALUE!</v>
      </c>
      <c r="AD96" s="565"/>
      <c r="AE96" s="498" t="s">
        <v>639</v>
      </c>
      <c r="AF96" s="425" t="s">
        <v>639</v>
      </c>
      <c r="AG96" s="425" t="s">
        <v>639</v>
      </c>
      <c r="AH96" s="498" t="e">
        <f t="shared" si="28"/>
        <v>#VALUE!</v>
      </c>
      <c r="AI96" s="565"/>
      <c r="AJ96" s="498" t="s">
        <v>639</v>
      </c>
      <c r="AK96" s="425" t="s">
        <v>639</v>
      </c>
      <c r="AL96" s="425" t="s">
        <v>639</v>
      </c>
      <c r="AM96" s="498" t="e">
        <f t="shared" si="29"/>
        <v>#VALUE!</v>
      </c>
      <c r="AN96" s="565"/>
      <c r="AO96" s="498" t="s">
        <v>639</v>
      </c>
      <c r="AP96" s="425" t="s">
        <v>639</v>
      </c>
      <c r="AQ96" s="425" t="s">
        <v>639</v>
      </c>
      <c r="AR96" s="498" t="e">
        <f t="shared" si="30"/>
        <v>#VALUE!</v>
      </c>
      <c r="AS96" s="565"/>
      <c r="AT96" s="498" t="s">
        <v>639</v>
      </c>
      <c r="AU96" s="425" t="s">
        <v>639</v>
      </c>
      <c r="AV96" s="425" t="s">
        <v>639</v>
      </c>
      <c r="AW96" s="498" t="e">
        <f t="shared" si="31"/>
        <v>#VALUE!</v>
      </c>
      <c r="AX96" s="565"/>
      <c r="AZ96" s="407" t="e">
        <f t="shared" si="32"/>
        <v>#N/A</v>
      </c>
      <c r="BA96" s="565"/>
    </row>
    <row r="97" spans="2:53">
      <c r="B97" s="570"/>
      <c r="C97" s="292">
        <v>21</v>
      </c>
      <c r="D97" s="226" t="s">
        <v>616</v>
      </c>
      <c r="E97" s="425">
        <v>15</v>
      </c>
      <c r="F97" s="418">
        <v>1440</v>
      </c>
      <c r="G97" s="419">
        <v>96</v>
      </c>
      <c r="H97" s="628"/>
      <c r="I97" s="400">
        <f t="shared" si="22"/>
        <v>15.142857142857142</v>
      </c>
      <c r="J97" s="400">
        <f t="shared" si="23"/>
        <v>1309.0711613677718</v>
      </c>
      <c r="K97" s="200">
        <f t="shared" si="24"/>
        <v>86.455696472137177</v>
      </c>
      <c r="L97" s="581"/>
      <c r="M97" s="201">
        <f>RANK(K97, K$77:$K$106)</f>
        <v>6</v>
      </c>
      <c r="N97" s="564"/>
      <c r="O97" s="564"/>
      <c r="P97" s="498">
        <v>15</v>
      </c>
      <c r="Q97" s="425">
        <v>1356.774193548385</v>
      </c>
      <c r="R97" s="425">
        <v>90.451612903225666</v>
      </c>
      <c r="S97" s="498">
        <f t="shared" si="25"/>
        <v>3</v>
      </c>
      <c r="T97" s="565"/>
      <c r="U97" s="498">
        <v>15</v>
      </c>
      <c r="V97" s="425">
        <v>1349.9999999999982</v>
      </c>
      <c r="W97" s="425">
        <v>89.999999999999872</v>
      </c>
      <c r="X97" s="498">
        <f t="shared" si="26"/>
        <v>4</v>
      </c>
      <c r="Y97" s="565"/>
      <c r="Z97" s="498">
        <v>16</v>
      </c>
      <c r="AA97" s="425">
        <v>1370.3999999999962</v>
      </c>
      <c r="AB97" s="425">
        <v>85.649999999999764</v>
      </c>
      <c r="AC97" s="498">
        <f t="shared" si="27"/>
        <v>5</v>
      </c>
      <c r="AD97" s="565"/>
      <c r="AE97" s="498">
        <v>15</v>
      </c>
      <c r="AF97" s="425">
        <v>1279.2857142857188</v>
      </c>
      <c r="AG97" s="425">
        <v>85.28571428571459</v>
      </c>
      <c r="AH97" s="498">
        <f t="shared" si="28"/>
        <v>5</v>
      </c>
      <c r="AI97" s="565"/>
      <c r="AJ97" s="498">
        <v>15</v>
      </c>
      <c r="AK97" s="425">
        <v>1281.2903225806431</v>
      </c>
      <c r="AL97" s="425">
        <v>85.419354838709538</v>
      </c>
      <c r="AM97" s="498">
        <f t="shared" si="29"/>
        <v>6</v>
      </c>
      <c r="AN97" s="565"/>
      <c r="AO97" s="498">
        <v>15</v>
      </c>
      <c r="AP97" s="425">
        <v>1281.1764705882338</v>
      </c>
      <c r="AQ97" s="425">
        <v>85.411764705882248</v>
      </c>
      <c r="AR97" s="498">
        <f t="shared" si="30"/>
        <v>5</v>
      </c>
      <c r="AS97" s="565"/>
      <c r="AT97" s="498">
        <v>15</v>
      </c>
      <c r="AU97" s="425">
        <v>1244.5714285714273</v>
      </c>
      <c r="AV97" s="425">
        <v>82.97142857142849</v>
      </c>
      <c r="AW97" s="498">
        <f t="shared" si="31"/>
        <v>6</v>
      </c>
      <c r="AX97" s="565"/>
      <c r="AZ97" s="407" t="e">
        <f t="shared" si="32"/>
        <v>#N/A</v>
      </c>
      <c r="BA97" s="565"/>
    </row>
    <row r="98" spans="2:53">
      <c r="B98" s="570"/>
      <c r="C98" s="292">
        <v>22</v>
      </c>
      <c r="D98" s="226" t="s">
        <v>583</v>
      </c>
      <c r="E98" s="425">
        <v>21</v>
      </c>
      <c r="F98" s="418">
        <v>1500</v>
      </c>
      <c r="G98" s="419">
        <v>71.400000000000006</v>
      </c>
      <c r="H98" s="628"/>
      <c r="I98" s="400">
        <f t="shared" si="22"/>
        <v>21</v>
      </c>
      <c r="J98" s="400">
        <f t="shared" si="23"/>
        <v>1247.9708969343114</v>
      </c>
      <c r="K98" s="200">
        <f t="shared" si="24"/>
        <v>59.427185568300537</v>
      </c>
      <c r="L98" s="581"/>
      <c r="M98" s="201">
        <f>RANK(K98, K$77:$K$106)</f>
        <v>25</v>
      </c>
      <c r="N98" s="564"/>
      <c r="O98" s="564"/>
      <c r="P98" s="498">
        <v>21</v>
      </c>
      <c r="Q98" s="425">
        <v>1254.5454545454545</v>
      </c>
      <c r="R98" s="425">
        <v>59.740259740259738</v>
      </c>
      <c r="S98" s="498">
        <f t="shared" si="25"/>
        <v>25</v>
      </c>
      <c r="T98" s="565"/>
      <c r="U98" s="498">
        <v>21</v>
      </c>
      <c r="V98" s="425">
        <v>1237.4999999999995</v>
      </c>
      <c r="W98" s="425">
        <v>58.928571428571409</v>
      </c>
      <c r="X98" s="498">
        <f t="shared" si="26"/>
        <v>23</v>
      </c>
      <c r="Y98" s="565"/>
      <c r="Z98" s="498">
        <v>21</v>
      </c>
      <c r="AA98" s="425">
        <v>1232.1951219512191</v>
      </c>
      <c r="AB98" s="425">
        <v>58.675958188153288</v>
      </c>
      <c r="AC98" s="498">
        <f t="shared" si="27"/>
        <v>21</v>
      </c>
      <c r="AD98" s="565"/>
      <c r="AE98" s="498">
        <v>21</v>
      </c>
      <c r="AF98" s="425">
        <v>1225.9459459459451</v>
      </c>
      <c r="AG98" s="425">
        <v>58.378378378378343</v>
      </c>
      <c r="AH98" s="498">
        <f t="shared" si="28"/>
        <v>21</v>
      </c>
      <c r="AI98" s="565"/>
      <c r="AJ98" s="498">
        <v>21</v>
      </c>
      <c r="AK98" s="425">
        <v>1255.6097560975604</v>
      </c>
      <c r="AL98" s="425">
        <v>59.790940766550499</v>
      </c>
      <c r="AM98" s="498">
        <f t="shared" si="29"/>
        <v>21</v>
      </c>
      <c r="AN98" s="565"/>
      <c r="AO98" s="498">
        <v>21</v>
      </c>
      <c r="AP98" s="425">
        <v>1259.9999999999998</v>
      </c>
      <c r="AQ98" s="425">
        <v>59.999999999999986</v>
      </c>
      <c r="AR98" s="498">
        <f t="shared" si="30"/>
        <v>20</v>
      </c>
      <c r="AS98" s="565"/>
      <c r="AT98" s="498">
        <v>21</v>
      </c>
      <c r="AU98" s="425">
        <v>1270.0000000000002</v>
      </c>
      <c r="AV98" s="425">
        <v>60.476190476190489</v>
      </c>
      <c r="AW98" s="498">
        <f t="shared" si="31"/>
        <v>20</v>
      </c>
      <c r="AX98" s="565"/>
      <c r="AZ98" s="407" t="e">
        <f t="shared" si="32"/>
        <v>#N/A</v>
      </c>
      <c r="BA98" s="565"/>
    </row>
    <row r="99" spans="2:53">
      <c r="B99" s="570"/>
      <c r="C99" s="292">
        <v>23</v>
      </c>
      <c r="D99" s="226" t="s">
        <v>617</v>
      </c>
      <c r="E99" s="425">
        <v>19</v>
      </c>
      <c r="F99" s="418">
        <v>1500</v>
      </c>
      <c r="G99" s="419">
        <v>78.900000000000006</v>
      </c>
      <c r="H99" s="628"/>
      <c r="I99" s="400">
        <f t="shared" si="22"/>
        <v>19</v>
      </c>
      <c r="J99" s="400">
        <f t="shared" si="23"/>
        <v>1199.1158258758057</v>
      </c>
      <c r="K99" s="200">
        <f t="shared" si="24"/>
        <v>63.111359256621348</v>
      </c>
      <c r="L99" s="581"/>
      <c r="M99" s="201">
        <f>RANK(K99, K$77:$K$106)</f>
        <v>22</v>
      </c>
      <c r="N99" s="564"/>
      <c r="O99" s="564"/>
      <c r="P99" s="498">
        <v>19</v>
      </c>
      <c r="Q99" s="425">
        <v>1269.3750000000016</v>
      </c>
      <c r="R99" s="425">
        <v>66.80921052631588</v>
      </c>
      <c r="S99" s="498">
        <f t="shared" si="25"/>
        <v>22</v>
      </c>
      <c r="T99" s="565"/>
      <c r="U99" s="498">
        <v>19</v>
      </c>
      <c r="V99" s="425">
        <v>1213.1250000000014</v>
      </c>
      <c r="W99" s="425">
        <v>63.848684210526386</v>
      </c>
      <c r="X99" s="498">
        <f t="shared" si="26"/>
        <v>21</v>
      </c>
      <c r="Y99" s="565"/>
      <c r="Z99" s="498">
        <v>19</v>
      </c>
      <c r="AA99" s="425">
        <v>1168.2352941176475</v>
      </c>
      <c r="AB99" s="425">
        <v>61.486068111455133</v>
      </c>
      <c r="AC99" s="498">
        <f t="shared" si="27"/>
        <v>19</v>
      </c>
      <c r="AD99" s="565"/>
      <c r="AE99" s="498">
        <v>19</v>
      </c>
      <c r="AF99" s="425">
        <v>1201.0714285714294</v>
      </c>
      <c r="AG99" s="425">
        <v>63.214285714285758</v>
      </c>
      <c r="AH99" s="498">
        <f t="shared" si="28"/>
        <v>19</v>
      </c>
      <c r="AI99" s="565"/>
      <c r="AJ99" s="498">
        <v>19</v>
      </c>
      <c r="AK99" s="425">
        <v>1191.5625000000014</v>
      </c>
      <c r="AL99" s="425">
        <v>62.713815789473756</v>
      </c>
      <c r="AM99" s="498">
        <f t="shared" si="29"/>
        <v>19</v>
      </c>
      <c r="AN99" s="565"/>
      <c r="AO99" s="498">
        <v>19</v>
      </c>
      <c r="AP99" s="425">
        <v>1172.7272727272741</v>
      </c>
      <c r="AQ99" s="425">
        <v>61.722488038277582</v>
      </c>
      <c r="AR99" s="498">
        <f t="shared" si="30"/>
        <v>19</v>
      </c>
      <c r="AS99" s="565"/>
      <c r="AT99" s="498">
        <v>19</v>
      </c>
      <c r="AU99" s="425">
        <v>1177.7142857142844</v>
      </c>
      <c r="AV99" s="425">
        <v>61.984962406014972</v>
      </c>
      <c r="AW99" s="498">
        <f t="shared" si="31"/>
        <v>19</v>
      </c>
      <c r="AX99" s="565"/>
      <c r="AZ99" s="407" t="e">
        <f t="shared" si="32"/>
        <v>#N/A</v>
      </c>
      <c r="BA99" s="565"/>
    </row>
    <row r="100" spans="2:53">
      <c r="B100" s="570"/>
      <c r="C100" s="292">
        <v>24</v>
      </c>
      <c r="D100" s="226" t="s">
        <v>673</v>
      </c>
      <c r="E100" s="425">
        <v>20</v>
      </c>
      <c r="F100" s="418">
        <v>1300</v>
      </c>
      <c r="G100" s="419">
        <v>65</v>
      </c>
      <c r="H100" s="628"/>
      <c r="I100" s="400">
        <f t="shared" si="22"/>
        <v>20</v>
      </c>
      <c r="J100" s="400">
        <f t="shared" si="23"/>
        <v>1078.5537108288604</v>
      </c>
      <c r="K100" s="200">
        <f t="shared" si="24"/>
        <v>53.927685541443019</v>
      </c>
      <c r="L100" s="581"/>
      <c r="M100" s="201">
        <f>RANK(K100, K$77:$K$106)</f>
        <v>26</v>
      </c>
      <c r="N100" s="564"/>
      <c r="O100" s="564"/>
      <c r="P100" s="498">
        <v>20</v>
      </c>
      <c r="Q100" s="425">
        <v>1063.7037037037032</v>
      </c>
      <c r="R100" s="425">
        <v>53.185185185185162</v>
      </c>
      <c r="S100" s="498">
        <f t="shared" si="25"/>
        <v>26</v>
      </c>
      <c r="T100" s="565"/>
      <c r="U100" s="498">
        <v>20</v>
      </c>
      <c r="V100" s="425">
        <v>1075.3846153846155</v>
      </c>
      <c r="W100" s="425">
        <v>53.769230769230774</v>
      </c>
      <c r="X100" s="498">
        <f t="shared" si="26"/>
        <v>24</v>
      </c>
      <c r="Y100" s="565"/>
      <c r="Z100" s="498">
        <v>20</v>
      </c>
      <c r="AA100" s="425">
        <v>1094.0259740259735</v>
      </c>
      <c r="AB100" s="425">
        <v>54.701298701298676</v>
      </c>
      <c r="AC100" s="498">
        <f t="shared" si="27"/>
        <v>22</v>
      </c>
      <c r="AD100" s="565"/>
      <c r="AE100" s="498">
        <v>20</v>
      </c>
      <c r="AF100" s="425">
        <v>1087.1052631578953</v>
      </c>
      <c r="AG100" s="425">
        <v>54.355263157894761</v>
      </c>
      <c r="AH100" s="498">
        <f t="shared" si="28"/>
        <v>22</v>
      </c>
      <c r="AI100" s="565"/>
      <c r="AJ100" s="498">
        <v>20</v>
      </c>
      <c r="AK100" s="425">
        <v>1067.142857142856</v>
      </c>
      <c r="AL100" s="425">
        <v>53.357142857142797</v>
      </c>
      <c r="AM100" s="498">
        <f t="shared" si="29"/>
        <v>22</v>
      </c>
      <c r="AN100" s="565"/>
      <c r="AO100" s="498">
        <v>20</v>
      </c>
      <c r="AP100" s="425">
        <v>1098.2278481012652</v>
      </c>
      <c r="AQ100" s="425">
        <v>54.91139240506326</v>
      </c>
      <c r="AR100" s="498">
        <f t="shared" si="30"/>
        <v>22</v>
      </c>
      <c r="AS100" s="565"/>
      <c r="AT100" s="498">
        <v>20</v>
      </c>
      <c r="AU100" s="425">
        <v>1064.285714285714</v>
      </c>
      <c r="AV100" s="425">
        <v>53.214285714285701</v>
      </c>
      <c r="AW100" s="498">
        <f t="shared" si="31"/>
        <v>22</v>
      </c>
      <c r="AX100" s="565"/>
      <c r="AZ100" s="407" t="e">
        <f t="shared" si="32"/>
        <v>#N/A</v>
      </c>
      <c r="BA100" s="565"/>
    </row>
    <row r="101" spans="2:53">
      <c r="B101" s="570"/>
      <c r="C101" s="292">
        <v>25</v>
      </c>
      <c r="D101" s="226" t="s">
        <v>807</v>
      </c>
      <c r="E101" s="425">
        <v>16</v>
      </c>
      <c r="F101" s="418">
        <v>1500</v>
      </c>
      <c r="G101" s="419">
        <v>93.8</v>
      </c>
      <c r="H101" s="628"/>
      <c r="I101" s="400">
        <f t="shared" si="22"/>
        <v>16</v>
      </c>
      <c r="J101" s="400">
        <f t="shared" si="23"/>
        <v>1267.6328339906545</v>
      </c>
      <c r="K101" s="200">
        <f t="shared" si="24"/>
        <v>79.227052124415906</v>
      </c>
      <c r="L101" s="581"/>
      <c r="M101" s="201">
        <f>RANK(K101, K$77:$K$106)</f>
        <v>11</v>
      </c>
      <c r="N101" s="564"/>
      <c r="O101" s="564"/>
      <c r="P101" s="498">
        <v>16</v>
      </c>
      <c r="Q101" s="425">
        <v>1271.6560000000004</v>
      </c>
      <c r="R101" s="425">
        <v>79.478500000000025</v>
      </c>
      <c r="S101" s="498">
        <f t="shared" si="25"/>
        <v>10</v>
      </c>
      <c r="T101" s="565"/>
      <c r="U101" s="498">
        <v>16</v>
      </c>
      <c r="V101" s="425">
        <v>1273.1866666666667</v>
      </c>
      <c r="W101" s="425">
        <v>79.57416666666667</v>
      </c>
      <c r="X101" s="498">
        <f t="shared" si="26"/>
        <v>10</v>
      </c>
      <c r="Y101" s="565"/>
      <c r="Z101" s="498">
        <v>16</v>
      </c>
      <c r="AA101" s="425">
        <v>1260.2313253012044</v>
      </c>
      <c r="AB101" s="425">
        <v>78.764457831325274</v>
      </c>
      <c r="AC101" s="498">
        <f t="shared" si="27"/>
        <v>10</v>
      </c>
      <c r="AD101" s="565"/>
      <c r="AE101" s="498">
        <v>16</v>
      </c>
      <c r="AF101" s="425">
        <v>1247.5232876712332</v>
      </c>
      <c r="AG101" s="425">
        <v>77.970205479452076</v>
      </c>
      <c r="AH101" s="498">
        <f t="shared" si="28"/>
        <v>12</v>
      </c>
      <c r="AI101" s="565"/>
      <c r="AJ101" s="498">
        <v>16</v>
      </c>
      <c r="AK101" s="425">
        <v>1272.4137931034481</v>
      </c>
      <c r="AL101" s="425">
        <v>79.525862068965509</v>
      </c>
      <c r="AM101" s="498">
        <f t="shared" si="29"/>
        <v>9</v>
      </c>
      <c r="AN101" s="565"/>
      <c r="AO101" s="498">
        <v>16</v>
      </c>
      <c r="AP101" s="425">
        <v>1261.9834710743796</v>
      </c>
      <c r="AQ101" s="425">
        <v>78.873966942148726</v>
      </c>
      <c r="AR101" s="498">
        <f t="shared" si="30"/>
        <v>11</v>
      </c>
      <c r="AS101" s="565"/>
      <c r="AT101" s="498">
        <v>16</v>
      </c>
      <c r="AU101" s="425">
        <v>1286.4352941176485</v>
      </c>
      <c r="AV101" s="425">
        <v>80.40220588235303</v>
      </c>
      <c r="AW101" s="498">
        <f t="shared" si="31"/>
        <v>8</v>
      </c>
      <c r="AX101" s="565"/>
      <c r="AZ101" s="407" t="e">
        <f t="shared" si="32"/>
        <v>#N/A</v>
      </c>
      <c r="BA101" s="565"/>
    </row>
    <row r="102" spans="2:53">
      <c r="B102" s="570"/>
      <c r="C102" s="292">
        <v>26</v>
      </c>
      <c r="D102" s="226" t="s">
        <v>811</v>
      </c>
      <c r="E102" s="425">
        <v>16</v>
      </c>
      <c r="F102" s="418">
        <v>1440</v>
      </c>
      <c r="G102" s="419">
        <v>90</v>
      </c>
      <c r="H102" s="628"/>
      <c r="I102" s="400">
        <f t="shared" si="22"/>
        <v>16.571428571428573</v>
      </c>
      <c r="J102" s="400">
        <f t="shared" si="23"/>
        <v>1373.124935482391</v>
      </c>
      <c r="K102" s="200">
        <f t="shared" si="24"/>
        <v>82.936243631016197</v>
      </c>
      <c r="L102" s="581"/>
      <c r="M102" s="201">
        <f>RANK(K102, K$77:$K$106)</f>
        <v>7</v>
      </c>
      <c r="N102" s="564"/>
      <c r="O102" s="564"/>
      <c r="P102" s="498">
        <v>17</v>
      </c>
      <c r="Q102" s="425">
        <v>1275.6923076923092</v>
      </c>
      <c r="R102" s="425">
        <v>75.040723981900541</v>
      </c>
      <c r="S102" s="498">
        <f t="shared" si="25"/>
        <v>15</v>
      </c>
      <c r="T102" s="565"/>
      <c r="U102" s="498">
        <v>17</v>
      </c>
      <c r="V102" s="425">
        <v>1382.2212765957449</v>
      </c>
      <c r="W102" s="425">
        <v>81.307133917396754</v>
      </c>
      <c r="X102" s="498">
        <f t="shared" si="26"/>
        <v>9</v>
      </c>
      <c r="Y102" s="565"/>
      <c r="Z102" s="498">
        <v>17</v>
      </c>
      <c r="AA102" s="425">
        <v>1412.6315789473695</v>
      </c>
      <c r="AB102" s="425">
        <v>83.095975232198199</v>
      </c>
      <c r="AC102" s="498">
        <f t="shared" si="27"/>
        <v>7</v>
      </c>
      <c r="AD102" s="565"/>
      <c r="AE102" s="498">
        <v>16</v>
      </c>
      <c r="AF102" s="425">
        <v>1331.7391304347825</v>
      </c>
      <c r="AG102" s="425">
        <v>83.233695652173907</v>
      </c>
      <c r="AH102" s="498">
        <f t="shared" si="28"/>
        <v>6</v>
      </c>
      <c r="AI102" s="565"/>
      <c r="AJ102" s="498">
        <v>16</v>
      </c>
      <c r="AK102" s="425">
        <v>1381.6666666666656</v>
      </c>
      <c r="AL102" s="425">
        <v>86.3541666666666</v>
      </c>
      <c r="AM102" s="498">
        <f t="shared" si="29"/>
        <v>5</v>
      </c>
      <c r="AN102" s="565"/>
      <c r="AO102" s="498">
        <v>17</v>
      </c>
      <c r="AP102" s="425">
        <v>1420.7142857142851</v>
      </c>
      <c r="AQ102" s="425">
        <v>83.571428571428541</v>
      </c>
      <c r="AR102" s="498">
        <f t="shared" si="30"/>
        <v>6</v>
      </c>
      <c r="AS102" s="565"/>
      <c r="AT102" s="498">
        <v>16</v>
      </c>
      <c r="AU102" s="425">
        <v>1407.2093023255811</v>
      </c>
      <c r="AV102" s="425">
        <v>87.95058139534882</v>
      </c>
      <c r="AW102" s="498">
        <f t="shared" si="31"/>
        <v>4</v>
      </c>
      <c r="AX102" s="565"/>
      <c r="AZ102" s="407" t="e">
        <f t="shared" si="32"/>
        <v>#N/A</v>
      </c>
      <c r="BA102" s="565"/>
    </row>
    <row r="103" spans="2:53">
      <c r="B103" s="570"/>
      <c r="C103" s="292">
        <v>27</v>
      </c>
      <c r="D103" s="226"/>
      <c r="E103" s="425"/>
      <c r="F103" s="418"/>
      <c r="G103" s="419"/>
      <c r="H103" s="628"/>
      <c r="I103" s="400" t="str">
        <f t="shared" si="22"/>
        <v>-</v>
      </c>
      <c r="J103" s="400" t="str">
        <f t="shared" si="23"/>
        <v>-</v>
      </c>
      <c r="K103" s="200" t="str">
        <f t="shared" si="24"/>
        <v>-</v>
      </c>
      <c r="L103" s="581"/>
      <c r="M103" s="201" t="e">
        <f>RANK(K103, K$77:$K$106)</f>
        <v>#VALUE!</v>
      </c>
      <c r="N103" s="564"/>
      <c r="O103" s="564"/>
      <c r="P103" s="498" t="s">
        <v>639</v>
      </c>
      <c r="Q103" s="425" t="s">
        <v>639</v>
      </c>
      <c r="R103" s="425" t="s">
        <v>639</v>
      </c>
      <c r="S103" s="498" t="e">
        <f t="shared" si="25"/>
        <v>#VALUE!</v>
      </c>
      <c r="T103" s="565"/>
      <c r="U103" s="498" t="s">
        <v>639</v>
      </c>
      <c r="V103" s="425" t="s">
        <v>639</v>
      </c>
      <c r="W103" s="425" t="s">
        <v>639</v>
      </c>
      <c r="X103" s="498" t="e">
        <f t="shared" si="26"/>
        <v>#VALUE!</v>
      </c>
      <c r="Y103" s="565"/>
      <c r="Z103" s="498" t="s">
        <v>639</v>
      </c>
      <c r="AA103" s="425" t="s">
        <v>639</v>
      </c>
      <c r="AB103" s="425" t="s">
        <v>639</v>
      </c>
      <c r="AC103" s="498" t="e">
        <f t="shared" si="27"/>
        <v>#VALUE!</v>
      </c>
      <c r="AD103" s="565"/>
      <c r="AE103" s="498" t="s">
        <v>639</v>
      </c>
      <c r="AF103" s="425" t="s">
        <v>639</v>
      </c>
      <c r="AG103" s="425" t="s">
        <v>639</v>
      </c>
      <c r="AH103" s="498" t="e">
        <f t="shared" si="28"/>
        <v>#VALUE!</v>
      </c>
      <c r="AI103" s="565"/>
      <c r="AJ103" s="498" t="s">
        <v>639</v>
      </c>
      <c r="AK103" s="425" t="s">
        <v>639</v>
      </c>
      <c r="AL103" s="425" t="s">
        <v>639</v>
      </c>
      <c r="AM103" s="498" t="e">
        <f t="shared" si="29"/>
        <v>#VALUE!</v>
      </c>
      <c r="AN103" s="565"/>
      <c r="AO103" s="498" t="s">
        <v>639</v>
      </c>
      <c r="AP103" s="425" t="s">
        <v>639</v>
      </c>
      <c r="AQ103" s="425" t="s">
        <v>639</v>
      </c>
      <c r="AR103" s="498" t="e">
        <f t="shared" si="30"/>
        <v>#VALUE!</v>
      </c>
      <c r="AS103" s="565"/>
      <c r="AT103" s="498" t="s">
        <v>639</v>
      </c>
      <c r="AU103" s="425" t="s">
        <v>639</v>
      </c>
      <c r="AV103" s="425" t="s">
        <v>639</v>
      </c>
      <c r="AW103" s="498" t="e">
        <f t="shared" si="31"/>
        <v>#VALUE!</v>
      </c>
      <c r="AX103" s="565"/>
      <c r="AZ103" s="407" t="e">
        <f t="shared" si="32"/>
        <v>#N/A</v>
      </c>
      <c r="BA103" s="565"/>
    </row>
    <row r="104" spans="2:53">
      <c r="B104" s="570"/>
      <c r="C104" s="292">
        <v>28</v>
      </c>
      <c r="D104" s="226"/>
      <c r="E104" s="425"/>
      <c r="F104" s="418"/>
      <c r="G104" s="419"/>
      <c r="H104" s="628"/>
      <c r="I104" s="400" t="str">
        <f t="shared" si="22"/>
        <v>-</v>
      </c>
      <c r="J104" s="400" t="str">
        <f t="shared" si="23"/>
        <v>-</v>
      </c>
      <c r="K104" s="200" t="str">
        <f t="shared" si="24"/>
        <v>-</v>
      </c>
      <c r="L104" s="581"/>
      <c r="M104" s="201" t="e">
        <f>RANK(K104, K$77:$K$106)</f>
        <v>#VALUE!</v>
      </c>
      <c r="N104" s="564"/>
      <c r="O104" s="564"/>
      <c r="P104" s="498" t="s">
        <v>639</v>
      </c>
      <c r="Q104" s="425" t="s">
        <v>639</v>
      </c>
      <c r="R104" s="425" t="s">
        <v>639</v>
      </c>
      <c r="S104" s="498" t="e">
        <f t="shared" si="25"/>
        <v>#VALUE!</v>
      </c>
      <c r="T104" s="565"/>
      <c r="U104" s="498" t="s">
        <v>639</v>
      </c>
      <c r="V104" s="425" t="s">
        <v>639</v>
      </c>
      <c r="W104" s="425" t="s">
        <v>639</v>
      </c>
      <c r="X104" s="498" t="e">
        <f t="shared" si="26"/>
        <v>#VALUE!</v>
      </c>
      <c r="Y104" s="565"/>
      <c r="Z104" s="498" t="s">
        <v>639</v>
      </c>
      <c r="AA104" s="425" t="s">
        <v>639</v>
      </c>
      <c r="AB104" s="425" t="s">
        <v>639</v>
      </c>
      <c r="AC104" s="498" t="e">
        <f t="shared" si="27"/>
        <v>#VALUE!</v>
      </c>
      <c r="AD104" s="565"/>
      <c r="AE104" s="498" t="s">
        <v>639</v>
      </c>
      <c r="AF104" s="425" t="s">
        <v>639</v>
      </c>
      <c r="AG104" s="425" t="s">
        <v>639</v>
      </c>
      <c r="AH104" s="498" t="e">
        <f t="shared" si="28"/>
        <v>#VALUE!</v>
      </c>
      <c r="AI104" s="565"/>
      <c r="AJ104" s="498" t="s">
        <v>639</v>
      </c>
      <c r="AK104" s="425" t="s">
        <v>639</v>
      </c>
      <c r="AL104" s="425" t="s">
        <v>639</v>
      </c>
      <c r="AM104" s="498" t="e">
        <f t="shared" si="29"/>
        <v>#VALUE!</v>
      </c>
      <c r="AN104" s="565"/>
      <c r="AO104" s="498" t="s">
        <v>639</v>
      </c>
      <c r="AP104" s="425" t="s">
        <v>639</v>
      </c>
      <c r="AQ104" s="425" t="s">
        <v>639</v>
      </c>
      <c r="AR104" s="498" t="e">
        <f t="shared" si="30"/>
        <v>#VALUE!</v>
      </c>
      <c r="AS104" s="565"/>
      <c r="AT104" s="498" t="s">
        <v>639</v>
      </c>
      <c r="AU104" s="425" t="s">
        <v>639</v>
      </c>
      <c r="AV104" s="425" t="s">
        <v>639</v>
      </c>
      <c r="AW104" s="498" t="e">
        <f t="shared" si="31"/>
        <v>#VALUE!</v>
      </c>
      <c r="AX104" s="565"/>
      <c r="AZ104" s="407" t="e">
        <f t="shared" si="32"/>
        <v>#N/A</v>
      </c>
      <c r="BA104" s="565"/>
    </row>
    <row r="105" spans="2:53">
      <c r="B105" s="570"/>
      <c r="C105" s="292">
        <v>29</v>
      </c>
      <c r="D105" s="226"/>
      <c r="E105" s="425"/>
      <c r="F105" s="418"/>
      <c r="G105" s="419"/>
      <c r="H105" s="628"/>
      <c r="I105" s="400" t="str">
        <f t="shared" si="22"/>
        <v>-</v>
      </c>
      <c r="J105" s="400" t="str">
        <f t="shared" si="23"/>
        <v>-</v>
      </c>
      <c r="K105" s="200" t="str">
        <f t="shared" si="24"/>
        <v>-</v>
      </c>
      <c r="L105" s="581"/>
      <c r="M105" s="201" t="e">
        <f>RANK(K105, K$77:$K$106)</f>
        <v>#VALUE!</v>
      </c>
      <c r="N105" s="564"/>
      <c r="O105" s="564"/>
      <c r="P105" s="498" t="s">
        <v>639</v>
      </c>
      <c r="Q105" s="425" t="s">
        <v>639</v>
      </c>
      <c r="R105" s="425" t="s">
        <v>639</v>
      </c>
      <c r="S105" s="498" t="e">
        <f t="shared" si="25"/>
        <v>#VALUE!</v>
      </c>
      <c r="T105" s="565"/>
      <c r="U105" s="498" t="s">
        <v>639</v>
      </c>
      <c r="V105" s="425" t="s">
        <v>639</v>
      </c>
      <c r="W105" s="425" t="s">
        <v>639</v>
      </c>
      <c r="X105" s="498" t="e">
        <f t="shared" si="26"/>
        <v>#VALUE!</v>
      </c>
      <c r="Y105" s="565"/>
      <c r="Z105" s="498" t="s">
        <v>639</v>
      </c>
      <c r="AA105" s="425" t="s">
        <v>639</v>
      </c>
      <c r="AB105" s="425" t="s">
        <v>639</v>
      </c>
      <c r="AC105" s="498" t="e">
        <f t="shared" si="27"/>
        <v>#VALUE!</v>
      </c>
      <c r="AD105" s="565"/>
      <c r="AE105" s="498" t="s">
        <v>639</v>
      </c>
      <c r="AF105" s="425" t="s">
        <v>639</v>
      </c>
      <c r="AG105" s="425" t="s">
        <v>639</v>
      </c>
      <c r="AH105" s="498" t="e">
        <f t="shared" si="28"/>
        <v>#VALUE!</v>
      </c>
      <c r="AI105" s="565"/>
      <c r="AJ105" s="498" t="s">
        <v>639</v>
      </c>
      <c r="AK105" s="425" t="s">
        <v>639</v>
      </c>
      <c r="AL105" s="425" t="s">
        <v>639</v>
      </c>
      <c r="AM105" s="498" t="e">
        <f t="shared" si="29"/>
        <v>#VALUE!</v>
      </c>
      <c r="AN105" s="565"/>
      <c r="AO105" s="498" t="s">
        <v>639</v>
      </c>
      <c r="AP105" s="425" t="s">
        <v>639</v>
      </c>
      <c r="AQ105" s="425" t="s">
        <v>639</v>
      </c>
      <c r="AR105" s="498" t="e">
        <f t="shared" si="30"/>
        <v>#VALUE!</v>
      </c>
      <c r="AS105" s="565"/>
      <c r="AT105" s="498" t="s">
        <v>639</v>
      </c>
      <c r="AU105" s="425" t="s">
        <v>639</v>
      </c>
      <c r="AV105" s="425" t="s">
        <v>639</v>
      </c>
      <c r="AW105" s="498" t="e">
        <f t="shared" si="31"/>
        <v>#VALUE!</v>
      </c>
      <c r="AX105" s="565"/>
      <c r="AZ105" s="407" t="e">
        <f t="shared" si="32"/>
        <v>#N/A</v>
      </c>
      <c r="BA105" s="565"/>
    </row>
    <row r="106" spans="2:53">
      <c r="B106" s="570"/>
      <c r="C106" s="292">
        <v>30</v>
      </c>
      <c r="D106" s="226"/>
      <c r="E106" s="425"/>
      <c r="F106" s="418"/>
      <c r="G106" s="419"/>
      <c r="H106" s="629"/>
      <c r="I106" s="400" t="str">
        <f t="shared" si="22"/>
        <v>-</v>
      </c>
      <c r="J106" s="400" t="str">
        <f t="shared" si="23"/>
        <v>-</v>
      </c>
      <c r="K106" s="200" t="str">
        <f t="shared" si="24"/>
        <v>-</v>
      </c>
      <c r="L106" s="582"/>
      <c r="M106" s="201" t="e">
        <f>RANK(K106, K$77:$K$106)</f>
        <v>#VALUE!</v>
      </c>
      <c r="N106" s="564"/>
      <c r="O106" s="564"/>
      <c r="P106" s="498" t="s">
        <v>639</v>
      </c>
      <c r="Q106" s="425" t="s">
        <v>639</v>
      </c>
      <c r="R106" s="425" t="s">
        <v>639</v>
      </c>
      <c r="S106" s="498" t="e">
        <f t="shared" si="25"/>
        <v>#VALUE!</v>
      </c>
      <c r="T106" s="565"/>
      <c r="U106" s="498" t="s">
        <v>639</v>
      </c>
      <c r="V106" s="425" t="s">
        <v>639</v>
      </c>
      <c r="W106" s="425" t="s">
        <v>639</v>
      </c>
      <c r="X106" s="498" t="e">
        <f t="shared" si="26"/>
        <v>#VALUE!</v>
      </c>
      <c r="Y106" s="565"/>
      <c r="Z106" s="498" t="s">
        <v>639</v>
      </c>
      <c r="AA106" s="425" t="s">
        <v>639</v>
      </c>
      <c r="AB106" s="425" t="s">
        <v>639</v>
      </c>
      <c r="AC106" s="498" t="e">
        <f t="shared" si="27"/>
        <v>#VALUE!</v>
      </c>
      <c r="AD106" s="565"/>
      <c r="AE106" s="498" t="s">
        <v>639</v>
      </c>
      <c r="AF106" s="425" t="s">
        <v>639</v>
      </c>
      <c r="AG106" s="425" t="s">
        <v>639</v>
      </c>
      <c r="AH106" s="498" t="e">
        <f t="shared" si="28"/>
        <v>#VALUE!</v>
      </c>
      <c r="AI106" s="565"/>
      <c r="AJ106" s="498" t="s">
        <v>639</v>
      </c>
      <c r="AK106" s="425" t="s">
        <v>639</v>
      </c>
      <c r="AL106" s="425" t="s">
        <v>639</v>
      </c>
      <c r="AM106" s="498" t="e">
        <f t="shared" si="29"/>
        <v>#VALUE!</v>
      </c>
      <c r="AN106" s="565"/>
      <c r="AO106" s="498" t="s">
        <v>639</v>
      </c>
      <c r="AP106" s="425" t="s">
        <v>639</v>
      </c>
      <c r="AQ106" s="425" t="s">
        <v>639</v>
      </c>
      <c r="AR106" s="498" t="e">
        <f t="shared" si="30"/>
        <v>#VALUE!</v>
      </c>
      <c r="AS106" s="565"/>
      <c r="AT106" s="498" t="s">
        <v>639</v>
      </c>
      <c r="AU106" s="425" t="s">
        <v>639</v>
      </c>
      <c r="AV106" s="425" t="s">
        <v>639</v>
      </c>
      <c r="AW106" s="498" t="e">
        <f t="shared" si="31"/>
        <v>#VALUE!</v>
      </c>
      <c r="AX106" s="565"/>
      <c r="AZ106" s="407" t="e">
        <f t="shared" si="32"/>
        <v>#N/A</v>
      </c>
      <c r="BA106" s="565"/>
    </row>
    <row r="107" spans="2:53" ht="15.75">
      <c r="B107" s="593" t="s">
        <v>163</v>
      </c>
      <c r="C107" s="594"/>
      <c r="D107" s="594"/>
      <c r="E107" s="594"/>
      <c r="F107" s="594"/>
      <c r="G107" s="594"/>
      <c r="H107" s="595"/>
      <c r="I107" s="208"/>
      <c r="J107" s="208"/>
      <c r="K107" s="208"/>
      <c r="L107" s="208"/>
      <c r="M107" s="207"/>
      <c r="N107" s="566" t="s">
        <v>156</v>
      </c>
      <c r="O107" s="566" t="s">
        <v>105</v>
      </c>
      <c r="P107" s="589">
        <f>P72+7</f>
        <v>46161</v>
      </c>
      <c r="Q107" s="590"/>
      <c r="R107" s="590"/>
      <c r="S107" s="590"/>
      <c r="T107" s="591"/>
      <c r="U107" s="589">
        <f>P107+1</f>
        <v>46162</v>
      </c>
      <c r="V107" s="590"/>
      <c r="W107" s="590"/>
      <c r="X107" s="590"/>
      <c r="Y107" s="591"/>
      <c r="Z107" s="589">
        <f>U107+1</f>
        <v>46163</v>
      </c>
      <c r="AA107" s="590"/>
      <c r="AB107" s="590"/>
      <c r="AC107" s="590"/>
      <c r="AD107" s="591"/>
      <c r="AE107" s="589">
        <f>Z107+1</f>
        <v>46164</v>
      </c>
      <c r="AF107" s="590"/>
      <c r="AG107" s="590"/>
      <c r="AH107" s="590"/>
      <c r="AI107" s="591"/>
      <c r="AJ107" s="589">
        <f>AE107+1</f>
        <v>46165</v>
      </c>
      <c r="AK107" s="590"/>
      <c r="AL107" s="590"/>
      <c r="AM107" s="590"/>
      <c r="AN107" s="591"/>
      <c r="AO107" s="589">
        <f>AJ107+1</f>
        <v>46166</v>
      </c>
      <c r="AP107" s="590"/>
      <c r="AQ107" s="590"/>
      <c r="AR107" s="590"/>
      <c r="AS107" s="591"/>
      <c r="AT107" s="589">
        <f>AO107+1</f>
        <v>46167</v>
      </c>
      <c r="AU107" s="590"/>
      <c r="AV107" s="590"/>
      <c r="AW107" s="590"/>
      <c r="AX107" s="591"/>
    </row>
    <row r="108" spans="2:53" ht="15.75">
      <c r="B108" s="596"/>
      <c r="C108" s="596"/>
      <c r="D108" s="596"/>
      <c r="E108" s="596"/>
      <c r="F108" s="596"/>
      <c r="G108" s="596"/>
      <c r="H108" s="596"/>
      <c r="I108" s="205"/>
      <c r="J108" s="205"/>
      <c r="K108" s="205"/>
      <c r="L108" s="205"/>
      <c r="M108" s="206"/>
      <c r="N108" s="568"/>
      <c r="O108" s="568"/>
      <c r="P108" s="589" t="s">
        <v>318</v>
      </c>
      <c r="Q108" s="590"/>
      <c r="R108" s="590"/>
      <c r="S108" s="590"/>
      <c r="T108" s="591"/>
      <c r="U108" s="589" t="s">
        <v>319</v>
      </c>
      <c r="V108" s="590"/>
      <c r="W108" s="590"/>
      <c r="X108" s="590"/>
      <c r="Y108" s="591"/>
      <c r="Z108" s="589" t="s">
        <v>320</v>
      </c>
      <c r="AA108" s="590"/>
      <c r="AB108" s="590"/>
      <c r="AC108" s="590"/>
      <c r="AD108" s="591"/>
      <c r="AE108" s="589" t="s">
        <v>321</v>
      </c>
      <c r="AF108" s="590"/>
      <c r="AG108" s="590"/>
      <c r="AH108" s="590"/>
      <c r="AI108" s="591"/>
      <c r="AJ108" s="589" t="s">
        <v>322</v>
      </c>
      <c r="AK108" s="590"/>
      <c r="AL108" s="590"/>
      <c r="AM108" s="590"/>
      <c r="AN108" s="591"/>
      <c r="AO108" s="589" t="s">
        <v>323</v>
      </c>
      <c r="AP108" s="590"/>
      <c r="AQ108" s="590"/>
      <c r="AR108" s="590"/>
      <c r="AS108" s="591"/>
      <c r="AT108" s="589" t="s">
        <v>324</v>
      </c>
      <c r="AU108" s="590"/>
      <c r="AV108" s="590"/>
      <c r="AW108" s="590"/>
      <c r="AX108" s="591"/>
    </row>
    <row r="109" spans="2:53">
      <c r="B109" s="564" t="s">
        <v>420</v>
      </c>
      <c r="C109" s="564" t="s">
        <v>421</v>
      </c>
      <c r="D109" s="564"/>
      <c r="E109" s="564" t="s">
        <v>422</v>
      </c>
      <c r="F109" s="564"/>
      <c r="G109" s="564"/>
      <c r="H109" s="597" t="s">
        <v>423</v>
      </c>
      <c r="I109" s="616" t="s">
        <v>424</v>
      </c>
      <c r="J109" s="616"/>
      <c r="K109" s="616"/>
      <c r="L109" s="617" t="s">
        <v>423</v>
      </c>
      <c r="M109" s="602" t="s">
        <v>425</v>
      </c>
      <c r="N109" s="564"/>
      <c r="O109" s="564" t="s">
        <v>426</v>
      </c>
      <c r="P109" s="583" t="s">
        <v>427</v>
      </c>
      <c r="Q109" s="584"/>
      <c r="R109" s="584"/>
      <c r="S109" s="585"/>
      <c r="T109" s="564" t="s">
        <v>423</v>
      </c>
      <c r="U109" s="583" t="s">
        <v>427</v>
      </c>
      <c r="V109" s="584"/>
      <c r="W109" s="584"/>
      <c r="X109" s="585"/>
      <c r="Y109" s="564" t="s">
        <v>423</v>
      </c>
      <c r="Z109" s="583" t="s">
        <v>427</v>
      </c>
      <c r="AA109" s="584"/>
      <c r="AB109" s="584"/>
      <c r="AC109" s="585"/>
      <c r="AD109" s="564" t="s">
        <v>423</v>
      </c>
      <c r="AE109" s="583" t="s">
        <v>427</v>
      </c>
      <c r="AF109" s="584"/>
      <c r="AG109" s="584"/>
      <c r="AH109" s="585"/>
      <c r="AI109" s="564" t="s">
        <v>423</v>
      </c>
      <c r="AJ109" s="583" t="s">
        <v>427</v>
      </c>
      <c r="AK109" s="584"/>
      <c r="AL109" s="584"/>
      <c r="AM109" s="585"/>
      <c r="AN109" s="564" t="s">
        <v>423</v>
      </c>
      <c r="AO109" s="583" t="s">
        <v>427</v>
      </c>
      <c r="AP109" s="584"/>
      <c r="AQ109" s="584"/>
      <c r="AR109" s="585"/>
      <c r="AS109" s="564" t="s">
        <v>423</v>
      </c>
      <c r="AT109" s="583" t="s">
        <v>427</v>
      </c>
      <c r="AU109" s="584"/>
      <c r="AV109" s="584"/>
      <c r="AW109" s="585"/>
      <c r="AX109" s="564" t="s">
        <v>423</v>
      </c>
      <c r="BA109" s="564" t="s">
        <v>374</v>
      </c>
    </row>
    <row r="110" spans="2:53">
      <c r="B110" s="564"/>
      <c r="C110" s="564"/>
      <c r="D110" s="564"/>
      <c r="E110" s="564" t="s">
        <v>428</v>
      </c>
      <c r="F110" s="564"/>
      <c r="G110" s="564"/>
      <c r="H110" s="598"/>
      <c r="I110" s="616" t="s">
        <v>428</v>
      </c>
      <c r="J110" s="616"/>
      <c r="K110" s="616"/>
      <c r="L110" s="618"/>
      <c r="M110" s="603"/>
      <c r="N110" s="564"/>
      <c r="O110" s="564"/>
      <c r="P110" s="583" t="s">
        <v>429</v>
      </c>
      <c r="Q110" s="584"/>
      <c r="R110" s="584"/>
      <c r="S110" s="585"/>
      <c r="T110" s="564"/>
      <c r="U110" s="583" t="s">
        <v>429</v>
      </c>
      <c r="V110" s="584"/>
      <c r="W110" s="584"/>
      <c r="X110" s="585"/>
      <c r="Y110" s="564"/>
      <c r="Z110" s="583" t="s">
        <v>429</v>
      </c>
      <c r="AA110" s="584"/>
      <c r="AB110" s="584"/>
      <c r="AC110" s="585"/>
      <c r="AD110" s="564"/>
      <c r="AE110" s="583" t="s">
        <v>429</v>
      </c>
      <c r="AF110" s="584"/>
      <c r="AG110" s="584"/>
      <c r="AH110" s="585"/>
      <c r="AI110" s="564"/>
      <c r="AJ110" s="583" t="s">
        <v>429</v>
      </c>
      <c r="AK110" s="584"/>
      <c r="AL110" s="584"/>
      <c r="AM110" s="585"/>
      <c r="AN110" s="564"/>
      <c r="AO110" s="583" t="s">
        <v>429</v>
      </c>
      <c r="AP110" s="584"/>
      <c r="AQ110" s="584"/>
      <c r="AR110" s="585"/>
      <c r="AS110" s="564"/>
      <c r="AT110" s="583" t="s">
        <v>429</v>
      </c>
      <c r="AU110" s="584"/>
      <c r="AV110" s="584"/>
      <c r="AW110" s="585"/>
      <c r="AX110" s="564"/>
      <c r="BA110" s="564"/>
    </row>
    <row r="111" spans="2:53">
      <c r="B111" s="564"/>
      <c r="C111" s="564"/>
      <c r="D111" s="564"/>
      <c r="E111" s="291" t="s">
        <v>430</v>
      </c>
      <c r="F111" s="291" t="s">
        <v>431</v>
      </c>
      <c r="G111" s="291" t="s">
        <v>432</v>
      </c>
      <c r="H111" s="599"/>
      <c r="I111" s="290" t="s">
        <v>430</v>
      </c>
      <c r="J111" s="290" t="s">
        <v>431</v>
      </c>
      <c r="K111" s="290" t="s">
        <v>432</v>
      </c>
      <c r="L111" s="619"/>
      <c r="M111" s="604"/>
      <c r="N111" s="564"/>
      <c r="O111" s="564"/>
      <c r="P111" s="291" t="s">
        <v>430</v>
      </c>
      <c r="Q111" s="291" t="s">
        <v>431</v>
      </c>
      <c r="R111" s="291" t="s">
        <v>432</v>
      </c>
      <c r="S111" s="291" t="s">
        <v>425</v>
      </c>
      <c r="T111" s="564"/>
      <c r="U111" s="291" t="s">
        <v>430</v>
      </c>
      <c r="V111" s="291" t="s">
        <v>431</v>
      </c>
      <c r="W111" s="291" t="s">
        <v>432</v>
      </c>
      <c r="X111" s="291" t="s">
        <v>425</v>
      </c>
      <c r="Y111" s="564"/>
      <c r="Z111" s="291" t="s">
        <v>430</v>
      </c>
      <c r="AA111" s="291" t="s">
        <v>431</v>
      </c>
      <c r="AB111" s="291" t="s">
        <v>432</v>
      </c>
      <c r="AC111" s="291" t="s">
        <v>425</v>
      </c>
      <c r="AD111" s="564"/>
      <c r="AE111" s="291" t="s">
        <v>430</v>
      </c>
      <c r="AF111" s="291" t="s">
        <v>431</v>
      </c>
      <c r="AG111" s="291" t="s">
        <v>432</v>
      </c>
      <c r="AH111" s="291" t="s">
        <v>425</v>
      </c>
      <c r="AI111" s="564"/>
      <c r="AJ111" s="291" t="s">
        <v>430</v>
      </c>
      <c r="AK111" s="291" t="s">
        <v>431</v>
      </c>
      <c r="AL111" s="291" t="s">
        <v>432</v>
      </c>
      <c r="AM111" s="291" t="s">
        <v>425</v>
      </c>
      <c r="AN111" s="564"/>
      <c r="AO111" s="291" t="s">
        <v>430</v>
      </c>
      <c r="AP111" s="291" t="s">
        <v>431</v>
      </c>
      <c r="AQ111" s="291" t="s">
        <v>432</v>
      </c>
      <c r="AR111" s="291" t="s">
        <v>425</v>
      </c>
      <c r="AS111" s="564"/>
      <c r="AT111" s="291" t="s">
        <v>430</v>
      </c>
      <c r="AU111" s="291" t="s">
        <v>431</v>
      </c>
      <c r="AV111" s="291" t="s">
        <v>432</v>
      </c>
      <c r="AW111" s="291" t="s">
        <v>425</v>
      </c>
      <c r="AX111" s="564"/>
      <c r="AZ111" s="406" t="s">
        <v>375</v>
      </c>
      <c r="BA111" s="564"/>
    </row>
    <row r="112" spans="2:53">
      <c r="B112" s="564" t="s">
        <v>433</v>
      </c>
      <c r="C112" s="292">
        <v>1</v>
      </c>
      <c r="D112" s="226"/>
      <c r="E112" s="425"/>
      <c r="F112" s="418"/>
      <c r="G112" s="419"/>
      <c r="H112" s="627" t="e">
        <f>AVERAGE(G112:G141)</f>
        <v>#DIV/0!</v>
      </c>
      <c r="I112" s="400" t="str">
        <f>IFERROR(AVERAGE(P112,U112,Z112,AE112,AJ112,AO112,AT112),"-")</f>
        <v>-</v>
      </c>
      <c r="J112" s="400" t="str">
        <f>IFERROR(AVERAGE(Q112,V112,AA112,AF112,AK112,AP112,AU112),"-")</f>
        <v>-</v>
      </c>
      <c r="K112" s="200" t="str">
        <f>IFERROR(AVERAGE(R112,W112,AB112,AG112,AL112,AQ112,AV112),"-")</f>
        <v>-</v>
      </c>
      <c r="L112" s="580" t="str">
        <f>IFERROR(AVERAGE(K112:K141),"-")</f>
        <v>-</v>
      </c>
      <c r="M112" s="201" t="e">
        <f>RANK(K112, K$112:$K$141)</f>
        <v>#VALUE!</v>
      </c>
      <c r="N112" s="564"/>
      <c r="O112" s="564"/>
      <c r="P112" s="425"/>
      <c r="Q112" s="425"/>
      <c r="R112" s="425"/>
      <c r="S112" s="418" t="e">
        <f>RANK(R112, R$112:R$141)</f>
        <v>#N/A</v>
      </c>
      <c r="T112" s="565" t="e">
        <f>AVERAGE(R112:R141)</f>
        <v>#DIV/0!</v>
      </c>
      <c r="U112" s="425"/>
      <c r="V112" s="425"/>
      <c r="W112" s="425"/>
      <c r="X112" s="418" t="e">
        <f>RANK(W112, W$112:W$141)</f>
        <v>#N/A</v>
      </c>
      <c r="Y112" s="565" t="e">
        <f>AVERAGE(W112:W141)</f>
        <v>#DIV/0!</v>
      </c>
      <c r="Z112" s="425"/>
      <c r="AA112" s="425"/>
      <c r="AB112" s="425"/>
      <c r="AC112" s="418" t="e">
        <f>RANK(AB112, AB$112:AB$141)</f>
        <v>#N/A</v>
      </c>
      <c r="AD112" s="565" t="e">
        <f>AVERAGE(AB112:AB141)</f>
        <v>#DIV/0!</v>
      </c>
      <c r="AE112" s="425"/>
      <c r="AF112" s="425"/>
      <c r="AG112" s="425"/>
      <c r="AH112" s="418" t="e">
        <f>RANK(AG112, AG$112:AG$141)</f>
        <v>#N/A</v>
      </c>
      <c r="AI112" s="565" t="e">
        <f>AVERAGE(AG112:AG141)</f>
        <v>#DIV/0!</v>
      </c>
      <c r="AJ112" s="425"/>
      <c r="AK112" s="425"/>
      <c r="AL112" s="425"/>
      <c r="AM112" s="418" t="e">
        <f>RANK(AL112, AL$112:AL$141)</f>
        <v>#N/A</v>
      </c>
      <c r="AN112" s="565" t="e">
        <f>AVERAGE(AL112:AL141)</f>
        <v>#DIV/0!</v>
      </c>
      <c r="AO112" s="425"/>
      <c r="AP112" s="425"/>
      <c r="AQ112" s="425"/>
      <c r="AR112" s="418" t="e">
        <f>RANK(AQ112, AQ$112:AQ$141)</f>
        <v>#N/A</v>
      </c>
      <c r="AS112" s="565" t="e">
        <f>AVERAGE(AQ112:AQ141)</f>
        <v>#DIV/0!</v>
      </c>
      <c r="AT112" s="425"/>
      <c r="AU112" s="425"/>
      <c r="AV112" s="425"/>
      <c r="AW112" s="418" t="e">
        <f>RANK(AV112, AV$112:AV$141)</f>
        <v>#N/A</v>
      </c>
      <c r="AX112" s="565" t="e">
        <f>AVERAGE(AV112:AV141)</f>
        <v>#DIV/0!</v>
      </c>
      <c r="AZ112" s="407" t="e">
        <f>RANK(AY112, AY$112:AY$141)</f>
        <v>#N/A</v>
      </c>
      <c r="BA112" s="565" t="e">
        <f>AVERAGE(AY112:AY141)</f>
        <v>#DIV/0!</v>
      </c>
    </row>
    <row r="113" spans="2:53">
      <c r="B113" s="570"/>
      <c r="C113" s="292">
        <v>2</v>
      </c>
      <c r="D113" s="226"/>
      <c r="E113" s="425"/>
      <c r="F113" s="418"/>
      <c r="G113" s="419"/>
      <c r="H113" s="628"/>
      <c r="I113" s="400" t="str">
        <f t="shared" ref="I113:I141" si="33">IFERROR(AVERAGE(P113,U113,Z113,AE113,AJ113,AO113,AT113),"-")</f>
        <v>-</v>
      </c>
      <c r="J113" s="400" t="str">
        <f t="shared" ref="J113:J141" si="34">IFERROR(AVERAGE(Q113,V113,AA113,AF113,AK113,AP113,AU113),"-")</f>
        <v>-</v>
      </c>
      <c r="K113" s="200" t="str">
        <f t="shared" ref="K113:K141" si="35">IFERROR(AVERAGE(R113,W113,AB113,AG113,AL113,AQ113,AV113),"-")</f>
        <v>-</v>
      </c>
      <c r="L113" s="581"/>
      <c r="M113" s="201" t="e">
        <f>RANK(K113, K$112:$K$141)</f>
        <v>#VALUE!</v>
      </c>
      <c r="N113" s="564"/>
      <c r="O113" s="564"/>
      <c r="P113" s="425"/>
      <c r="Q113" s="425"/>
      <c r="R113" s="425"/>
      <c r="S113" s="418" t="e">
        <f t="shared" ref="S113:S141" si="36">RANK(R113, R$112:R$141)</f>
        <v>#N/A</v>
      </c>
      <c r="T113" s="565"/>
      <c r="U113" s="425"/>
      <c r="V113" s="425"/>
      <c r="W113" s="425"/>
      <c r="X113" s="418" t="e">
        <f t="shared" ref="X113:X141" si="37">RANK(W113, W$112:W$141)</f>
        <v>#N/A</v>
      </c>
      <c r="Y113" s="565"/>
      <c r="Z113" s="425"/>
      <c r="AA113" s="425"/>
      <c r="AB113" s="425"/>
      <c r="AC113" s="418" t="e">
        <f t="shared" ref="AC113:AC141" si="38">RANK(AB113, AB$112:AB$141)</f>
        <v>#N/A</v>
      </c>
      <c r="AD113" s="565"/>
      <c r="AE113" s="425"/>
      <c r="AF113" s="425"/>
      <c r="AG113" s="425"/>
      <c r="AH113" s="418" t="e">
        <f t="shared" ref="AH113:AH141" si="39">RANK(AG113, AG$112:AG$141)</f>
        <v>#N/A</v>
      </c>
      <c r="AI113" s="565"/>
      <c r="AJ113" s="425"/>
      <c r="AK113" s="425"/>
      <c r="AL113" s="425"/>
      <c r="AM113" s="418" t="e">
        <f t="shared" ref="AM113:AM141" si="40">RANK(AL113, AL$112:AL$141)</f>
        <v>#N/A</v>
      </c>
      <c r="AN113" s="565"/>
      <c r="AO113" s="425"/>
      <c r="AP113" s="425"/>
      <c r="AQ113" s="425"/>
      <c r="AR113" s="418" t="e">
        <f t="shared" ref="AR113:AR141" si="41">RANK(AQ113, AQ$112:AQ$141)</f>
        <v>#N/A</v>
      </c>
      <c r="AS113" s="565"/>
      <c r="AT113" s="425"/>
      <c r="AU113" s="425"/>
      <c r="AV113" s="425"/>
      <c r="AW113" s="418" t="e">
        <f t="shared" ref="AW113:AW141" si="42">RANK(AV113, AV$112:AV$141)</f>
        <v>#N/A</v>
      </c>
      <c r="AX113" s="565"/>
      <c r="AZ113" s="407" t="e">
        <f t="shared" ref="AZ113:AZ141" si="43">RANK(AY113, AY$112:AY$141)</f>
        <v>#N/A</v>
      </c>
      <c r="BA113" s="565"/>
    </row>
    <row r="114" spans="2:53">
      <c r="B114" s="570"/>
      <c r="C114" s="292">
        <v>3</v>
      </c>
      <c r="D114" s="226"/>
      <c r="E114" s="425"/>
      <c r="F114" s="418"/>
      <c r="G114" s="419"/>
      <c r="H114" s="628"/>
      <c r="I114" s="400" t="str">
        <f t="shared" si="33"/>
        <v>-</v>
      </c>
      <c r="J114" s="400" t="str">
        <f t="shared" si="34"/>
        <v>-</v>
      </c>
      <c r="K114" s="200" t="str">
        <f t="shared" si="35"/>
        <v>-</v>
      </c>
      <c r="L114" s="581"/>
      <c r="M114" s="201" t="e">
        <f>RANK(K114, K$112:$K$141)</f>
        <v>#VALUE!</v>
      </c>
      <c r="N114" s="564"/>
      <c r="O114" s="564"/>
      <c r="P114" s="425"/>
      <c r="Q114" s="425"/>
      <c r="R114" s="425"/>
      <c r="S114" s="418" t="e">
        <f t="shared" si="36"/>
        <v>#N/A</v>
      </c>
      <c r="T114" s="565"/>
      <c r="U114" s="425"/>
      <c r="V114" s="425"/>
      <c r="W114" s="425"/>
      <c r="X114" s="418" t="e">
        <f t="shared" si="37"/>
        <v>#N/A</v>
      </c>
      <c r="Y114" s="565"/>
      <c r="Z114" s="425"/>
      <c r="AA114" s="425"/>
      <c r="AB114" s="425"/>
      <c r="AC114" s="418" t="e">
        <f t="shared" si="38"/>
        <v>#N/A</v>
      </c>
      <c r="AD114" s="565"/>
      <c r="AE114" s="425"/>
      <c r="AF114" s="425"/>
      <c r="AG114" s="425"/>
      <c r="AH114" s="418" t="e">
        <f t="shared" si="39"/>
        <v>#N/A</v>
      </c>
      <c r="AI114" s="565"/>
      <c r="AJ114" s="425"/>
      <c r="AK114" s="425"/>
      <c r="AL114" s="425"/>
      <c r="AM114" s="418" t="e">
        <f t="shared" si="40"/>
        <v>#N/A</v>
      </c>
      <c r="AN114" s="565"/>
      <c r="AO114" s="425"/>
      <c r="AP114" s="425"/>
      <c r="AQ114" s="425"/>
      <c r="AR114" s="418" t="e">
        <f t="shared" si="41"/>
        <v>#N/A</v>
      </c>
      <c r="AS114" s="565"/>
      <c r="AT114" s="425"/>
      <c r="AU114" s="425"/>
      <c r="AV114" s="425"/>
      <c r="AW114" s="418" t="e">
        <f t="shared" si="42"/>
        <v>#N/A</v>
      </c>
      <c r="AX114" s="565"/>
      <c r="AZ114" s="407" t="e">
        <f t="shared" si="43"/>
        <v>#N/A</v>
      </c>
      <c r="BA114" s="565"/>
    </row>
    <row r="115" spans="2:53">
      <c r="B115" s="570"/>
      <c r="C115" s="292">
        <v>4</v>
      </c>
      <c r="D115" s="226"/>
      <c r="E115" s="425"/>
      <c r="F115" s="418"/>
      <c r="G115" s="419"/>
      <c r="H115" s="628"/>
      <c r="I115" s="400" t="str">
        <f t="shared" si="33"/>
        <v>-</v>
      </c>
      <c r="J115" s="400" t="str">
        <f t="shared" si="34"/>
        <v>-</v>
      </c>
      <c r="K115" s="200" t="str">
        <f t="shared" si="35"/>
        <v>-</v>
      </c>
      <c r="L115" s="581"/>
      <c r="M115" s="201" t="e">
        <f>RANK(K115, K$112:$K$141)</f>
        <v>#VALUE!</v>
      </c>
      <c r="N115" s="564"/>
      <c r="O115" s="564"/>
      <c r="P115" s="425"/>
      <c r="Q115" s="425"/>
      <c r="R115" s="425"/>
      <c r="S115" s="418" t="e">
        <f t="shared" si="36"/>
        <v>#N/A</v>
      </c>
      <c r="T115" s="565"/>
      <c r="U115" s="425"/>
      <c r="V115" s="425"/>
      <c r="W115" s="425"/>
      <c r="X115" s="418" t="e">
        <f t="shared" si="37"/>
        <v>#N/A</v>
      </c>
      <c r="Y115" s="565"/>
      <c r="Z115" s="425"/>
      <c r="AA115" s="425"/>
      <c r="AB115" s="425"/>
      <c r="AC115" s="418" t="e">
        <f t="shared" si="38"/>
        <v>#N/A</v>
      </c>
      <c r="AD115" s="565"/>
      <c r="AE115" s="425"/>
      <c r="AF115" s="425"/>
      <c r="AG115" s="425"/>
      <c r="AH115" s="418" t="e">
        <f t="shared" si="39"/>
        <v>#N/A</v>
      </c>
      <c r="AI115" s="565"/>
      <c r="AJ115" s="425"/>
      <c r="AK115" s="425"/>
      <c r="AL115" s="425"/>
      <c r="AM115" s="418" t="e">
        <f t="shared" si="40"/>
        <v>#N/A</v>
      </c>
      <c r="AN115" s="565"/>
      <c r="AO115" s="425"/>
      <c r="AP115" s="425"/>
      <c r="AQ115" s="425"/>
      <c r="AR115" s="418" t="e">
        <f t="shared" si="41"/>
        <v>#N/A</v>
      </c>
      <c r="AS115" s="565"/>
      <c r="AT115" s="425"/>
      <c r="AU115" s="425"/>
      <c r="AV115" s="425"/>
      <c r="AW115" s="418" t="e">
        <f t="shared" si="42"/>
        <v>#N/A</v>
      </c>
      <c r="AX115" s="565"/>
      <c r="AZ115" s="407" t="e">
        <f t="shared" si="43"/>
        <v>#N/A</v>
      </c>
      <c r="BA115" s="565"/>
    </row>
    <row r="116" spans="2:53">
      <c r="B116" s="570"/>
      <c r="C116" s="292">
        <v>5</v>
      </c>
      <c r="D116" s="226"/>
      <c r="E116" s="425"/>
      <c r="F116" s="418"/>
      <c r="G116" s="419"/>
      <c r="H116" s="628"/>
      <c r="I116" s="400" t="str">
        <f t="shared" si="33"/>
        <v>-</v>
      </c>
      <c r="J116" s="400" t="str">
        <f t="shared" si="34"/>
        <v>-</v>
      </c>
      <c r="K116" s="200" t="str">
        <f t="shared" si="35"/>
        <v>-</v>
      </c>
      <c r="L116" s="581"/>
      <c r="M116" s="201" t="e">
        <f>RANK(K116, K$112:$K$141)</f>
        <v>#VALUE!</v>
      </c>
      <c r="N116" s="564"/>
      <c r="O116" s="564"/>
      <c r="P116" s="425"/>
      <c r="Q116" s="425"/>
      <c r="R116" s="425"/>
      <c r="S116" s="418" t="e">
        <f t="shared" si="36"/>
        <v>#N/A</v>
      </c>
      <c r="T116" s="565"/>
      <c r="U116" s="425"/>
      <c r="V116" s="425"/>
      <c r="W116" s="425"/>
      <c r="X116" s="418" t="e">
        <f t="shared" si="37"/>
        <v>#N/A</v>
      </c>
      <c r="Y116" s="565"/>
      <c r="Z116" s="425"/>
      <c r="AA116" s="425"/>
      <c r="AB116" s="425"/>
      <c r="AC116" s="418" t="e">
        <f t="shared" si="38"/>
        <v>#N/A</v>
      </c>
      <c r="AD116" s="565"/>
      <c r="AE116" s="425"/>
      <c r="AF116" s="425"/>
      <c r="AG116" s="425"/>
      <c r="AH116" s="418" t="e">
        <f t="shared" si="39"/>
        <v>#N/A</v>
      </c>
      <c r="AI116" s="565"/>
      <c r="AJ116" s="425"/>
      <c r="AK116" s="425"/>
      <c r="AL116" s="425"/>
      <c r="AM116" s="418" t="e">
        <f t="shared" si="40"/>
        <v>#N/A</v>
      </c>
      <c r="AN116" s="565"/>
      <c r="AO116" s="425"/>
      <c r="AP116" s="425"/>
      <c r="AQ116" s="425"/>
      <c r="AR116" s="418" t="e">
        <f t="shared" si="41"/>
        <v>#N/A</v>
      </c>
      <c r="AS116" s="565"/>
      <c r="AT116" s="425"/>
      <c r="AU116" s="425"/>
      <c r="AV116" s="425"/>
      <c r="AW116" s="418" t="e">
        <f t="shared" si="42"/>
        <v>#N/A</v>
      </c>
      <c r="AX116" s="565"/>
      <c r="AZ116" s="407" t="e">
        <f t="shared" si="43"/>
        <v>#N/A</v>
      </c>
      <c r="BA116" s="565"/>
    </row>
    <row r="117" spans="2:53">
      <c r="B117" s="570"/>
      <c r="C117" s="292">
        <v>6</v>
      </c>
      <c r="D117" s="226"/>
      <c r="E117" s="425"/>
      <c r="F117" s="418"/>
      <c r="G117" s="419"/>
      <c r="H117" s="628"/>
      <c r="I117" s="400" t="str">
        <f t="shared" si="33"/>
        <v>-</v>
      </c>
      <c r="J117" s="400" t="str">
        <f t="shared" si="34"/>
        <v>-</v>
      </c>
      <c r="K117" s="200" t="str">
        <f t="shared" si="35"/>
        <v>-</v>
      </c>
      <c r="L117" s="581"/>
      <c r="M117" s="201" t="e">
        <f>RANK(K117, K$112:$K$141)</f>
        <v>#VALUE!</v>
      </c>
      <c r="N117" s="564"/>
      <c r="O117" s="564"/>
      <c r="P117" s="425"/>
      <c r="Q117" s="425"/>
      <c r="R117" s="425"/>
      <c r="S117" s="418" t="e">
        <f t="shared" si="36"/>
        <v>#N/A</v>
      </c>
      <c r="T117" s="565"/>
      <c r="U117" s="425"/>
      <c r="V117" s="425"/>
      <c r="W117" s="425"/>
      <c r="X117" s="418" t="e">
        <f t="shared" si="37"/>
        <v>#N/A</v>
      </c>
      <c r="Y117" s="565"/>
      <c r="Z117" s="425"/>
      <c r="AA117" s="425"/>
      <c r="AB117" s="425"/>
      <c r="AC117" s="418" t="e">
        <f t="shared" si="38"/>
        <v>#N/A</v>
      </c>
      <c r="AD117" s="565"/>
      <c r="AE117" s="425"/>
      <c r="AF117" s="425"/>
      <c r="AG117" s="425"/>
      <c r="AH117" s="418" t="e">
        <f t="shared" si="39"/>
        <v>#N/A</v>
      </c>
      <c r="AI117" s="565"/>
      <c r="AJ117" s="425"/>
      <c r="AK117" s="425"/>
      <c r="AL117" s="425"/>
      <c r="AM117" s="418" t="e">
        <f t="shared" si="40"/>
        <v>#N/A</v>
      </c>
      <c r="AN117" s="565"/>
      <c r="AO117" s="425"/>
      <c r="AP117" s="425"/>
      <c r="AQ117" s="425"/>
      <c r="AR117" s="418" t="e">
        <f t="shared" si="41"/>
        <v>#N/A</v>
      </c>
      <c r="AS117" s="565"/>
      <c r="AT117" s="425"/>
      <c r="AU117" s="425"/>
      <c r="AV117" s="425"/>
      <c r="AW117" s="418" t="e">
        <f t="shared" si="42"/>
        <v>#N/A</v>
      </c>
      <c r="AX117" s="565"/>
      <c r="AZ117" s="407" t="e">
        <f t="shared" si="43"/>
        <v>#N/A</v>
      </c>
      <c r="BA117" s="565"/>
    </row>
    <row r="118" spans="2:53">
      <c r="B118" s="570"/>
      <c r="C118" s="292">
        <v>7</v>
      </c>
      <c r="D118" s="226"/>
      <c r="E118" s="425"/>
      <c r="F118" s="418"/>
      <c r="G118" s="419"/>
      <c r="H118" s="628"/>
      <c r="I118" s="400" t="str">
        <f t="shared" si="33"/>
        <v>-</v>
      </c>
      <c r="J118" s="400" t="str">
        <f t="shared" si="34"/>
        <v>-</v>
      </c>
      <c r="K118" s="200" t="str">
        <f t="shared" si="35"/>
        <v>-</v>
      </c>
      <c r="L118" s="581"/>
      <c r="M118" s="201" t="e">
        <f>RANK(K118, K$112:$K$141)</f>
        <v>#VALUE!</v>
      </c>
      <c r="N118" s="564"/>
      <c r="O118" s="564"/>
      <c r="P118" s="425"/>
      <c r="Q118" s="425"/>
      <c r="R118" s="425"/>
      <c r="S118" s="418" t="e">
        <f t="shared" si="36"/>
        <v>#N/A</v>
      </c>
      <c r="T118" s="565"/>
      <c r="U118" s="425"/>
      <c r="V118" s="425"/>
      <c r="W118" s="425"/>
      <c r="X118" s="418" t="e">
        <f t="shared" si="37"/>
        <v>#N/A</v>
      </c>
      <c r="Y118" s="565"/>
      <c r="Z118" s="425"/>
      <c r="AA118" s="425"/>
      <c r="AB118" s="425"/>
      <c r="AC118" s="418" t="e">
        <f t="shared" si="38"/>
        <v>#N/A</v>
      </c>
      <c r="AD118" s="565"/>
      <c r="AE118" s="425"/>
      <c r="AF118" s="425"/>
      <c r="AG118" s="425"/>
      <c r="AH118" s="418" t="e">
        <f t="shared" si="39"/>
        <v>#N/A</v>
      </c>
      <c r="AI118" s="565"/>
      <c r="AJ118" s="425"/>
      <c r="AK118" s="425"/>
      <c r="AL118" s="425"/>
      <c r="AM118" s="418" t="e">
        <f t="shared" si="40"/>
        <v>#N/A</v>
      </c>
      <c r="AN118" s="565"/>
      <c r="AO118" s="425"/>
      <c r="AP118" s="425"/>
      <c r="AQ118" s="425"/>
      <c r="AR118" s="418" t="e">
        <f t="shared" si="41"/>
        <v>#N/A</v>
      </c>
      <c r="AS118" s="565"/>
      <c r="AT118" s="425"/>
      <c r="AU118" s="425"/>
      <c r="AV118" s="425"/>
      <c r="AW118" s="418" t="e">
        <f t="shared" si="42"/>
        <v>#N/A</v>
      </c>
      <c r="AX118" s="565"/>
      <c r="AZ118" s="407" t="e">
        <f t="shared" si="43"/>
        <v>#N/A</v>
      </c>
      <c r="BA118" s="565"/>
    </row>
    <row r="119" spans="2:53">
      <c r="B119" s="570"/>
      <c r="C119" s="292">
        <v>8</v>
      </c>
      <c r="D119" s="226"/>
      <c r="E119" s="425"/>
      <c r="F119" s="418"/>
      <c r="G119" s="419"/>
      <c r="H119" s="628"/>
      <c r="I119" s="400" t="str">
        <f t="shared" si="33"/>
        <v>-</v>
      </c>
      <c r="J119" s="400" t="str">
        <f t="shared" si="34"/>
        <v>-</v>
      </c>
      <c r="K119" s="200" t="str">
        <f t="shared" si="35"/>
        <v>-</v>
      </c>
      <c r="L119" s="581"/>
      <c r="M119" s="201" t="e">
        <f>RANK(K119, K$112:$K$141)</f>
        <v>#VALUE!</v>
      </c>
      <c r="N119" s="564"/>
      <c r="O119" s="564"/>
      <c r="P119" s="425"/>
      <c r="Q119" s="425"/>
      <c r="R119" s="425"/>
      <c r="S119" s="418" t="e">
        <f t="shared" si="36"/>
        <v>#N/A</v>
      </c>
      <c r="T119" s="565"/>
      <c r="U119" s="425"/>
      <c r="V119" s="425"/>
      <c r="W119" s="425"/>
      <c r="X119" s="418" t="e">
        <f t="shared" si="37"/>
        <v>#N/A</v>
      </c>
      <c r="Y119" s="565"/>
      <c r="Z119" s="425"/>
      <c r="AA119" s="425"/>
      <c r="AB119" s="425"/>
      <c r="AC119" s="418" t="e">
        <f t="shared" si="38"/>
        <v>#N/A</v>
      </c>
      <c r="AD119" s="565"/>
      <c r="AE119" s="425"/>
      <c r="AF119" s="425"/>
      <c r="AG119" s="425"/>
      <c r="AH119" s="418" t="e">
        <f t="shared" si="39"/>
        <v>#N/A</v>
      </c>
      <c r="AI119" s="565"/>
      <c r="AJ119" s="425"/>
      <c r="AK119" s="425"/>
      <c r="AL119" s="425"/>
      <c r="AM119" s="418" t="e">
        <f t="shared" si="40"/>
        <v>#N/A</v>
      </c>
      <c r="AN119" s="565"/>
      <c r="AO119" s="425"/>
      <c r="AP119" s="425"/>
      <c r="AQ119" s="425"/>
      <c r="AR119" s="418" t="e">
        <f t="shared" si="41"/>
        <v>#N/A</v>
      </c>
      <c r="AS119" s="565"/>
      <c r="AT119" s="425"/>
      <c r="AU119" s="425"/>
      <c r="AV119" s="425"/>
      <c r="AW119" s="418" t="e">
        <f t="shared" si="42"/>
        <v>#N/A</v>
      </c>
      <c r="AX119" s="565"/>
      <c r="AZ119" s="407" t="e">
        <f t="shared" si="43"/>
        <v>#N/A</v>
      </c>
      <c r="BA119" s="565"/>
    </row>
    <row r="120" spans="2:53">
      <c r="B120" s="570"/>
      <c r="C120" s="292">
        <v>9</v>
      </c>
      <c r="D120" s="226"/>
      <c r="E120" s="425"/>
      <c r="F120" s="418"/>
      <c r="G120" s="419"/>
      <c r="H120" s="628"/>
      <c r="I120" s="400" t="str">
        <f t="shared" si="33"/>
        <v>-</v>
      </c>
      <c r="J120" s="400" t="str">
        <f t="shared" si="34"/>
        <v>-</v>
      </c>
      <c r="K120" s="200" t="str">
        <f t="shared" si="35"/>
        <v>-</v>
      </c>
      <c r="L120" s="581"/>
      <c r="M120" s="201" t="e">
        <f>RANK(K120, K$112:$K$141)</f>
        <v>#VALUE!</v>
      </c>
      <c r="N120" s="564"/>
      <c r="O120" s="564"/>
      <c r="P120" s="425"/>
      <c r="Q120" s="425"/>
      <c r="R120" s="425"/>
      <c r="S120" s="418" t="e">
        <f t="shared" si="36"/>
        <v>#N/A</v>
      </c>
      <c r="T120" s="565"/>
      <c r="U120" s="425"/>
      <c r="V120" s="425"/>
      <c r="W120" s="425"/>
      <c r="X120" s="418" t="e">
        <f t="shared" si="37"/>
        <v>#N/A</v>
      </c>
      <c r="Y120" s="565"/>
      <c r="Z120" s="425"/>
      <c r="AA120" s="425"/>
      <c r="AB120" s="425"/>
      <c r="AC120" s="418" t="e">
        <f t="shared" si="38"/>
        <v>#N/A</v>
      </c>
      <c r="AD120" s="565"/>
      <c r="AE120" s="425"/>
      <c r="AF120" s="425"/>
      <c r="AG120" s="425"/>
      <c r="AH120" s="418" t="e">
        <f t="shared" si="39"/>
        <v>#N/A</v>
      </c>
      <c r="AI120" s="565"/>
      <c r="AJ120" s="425"/>
      <c r="AK120" s="425"/>
      <c r="AL120" s="425"/>
      <c r="AM120" s="418" t="e">
        <f t="shared" si="40"/>
        <v>#N/A</v>
      </c>
      <c r="AN120" s="565"/>
      <c r="AO120" s="425"/>
      <c r="AP120" s="425"/>
      <c r="AQ120" s="425"/>
      <c r="AR120" s="418" t="e">
        <f t="shared" si="41"/>
        <v>#N/A</v>
      </c>
      <c r="AS120" s="565"/>
      <c r="AT120" s="425"/>
      <c r="AU120" s="425"/>
      <c r="AV120" s="425"/>
      <c r="AW120" s="418" t="e">
        <f t="shared" si="42"/>
        <v>#N/A</v>
      </c>
      <c r="AX120" s="565"/>
      <c r="AZ120" s="407" t="e">
        <f t="shared" si="43"/>
        <v>#N/A</v>
      </c>
      <c r="BA120" s="565"/>
    </row>
    <row r="121" spans="2:53">
      <c r="B121" s="570"/>
      <c r="C121" s="292">
        <v>10</v>
      </c>
      <c r="D121" s="226"/>
      <c r="E121" s="425"/>
      <c r="F121" s="418"/>
      <c r="G121" s="419"/>
      <c r="H121" s="628"/>
      <c r="I121" s="400" t="str">
        <f t="shared" si="33"/>
        <v>-</v>
      </c>
      <c r="J121" s="400" t="str">
        <f t="shared" si="34"/>
        <v>-</v>
      </c>
      <c r="K121" s="200" t="str">
        <f t="shared" si="35"/>
        <v>-</v>
      </c>
      <c r="L121" s="581"/>
      <c r="M121" s="201" t="e">
        <f>RANK(K121, K$112:$K$141)</f>
        <v>#VALUE!</v>
      </c>
      <c r="N121" s="564"/>
      <c r="O121" s="564"/>
      <c r="P121" s="425"/>
      <c r="Q121" s="425"/>
      <c r="R121" s="425"/>
      <c r="S121" s="418" t="e">
        <f t="shared" si="36"/>
        <v>#N/A</v>
      </c>
      <c r="T121" s="565"/>
      <c r="U121" s="425"/>
      <c r="V121" s="425"/>
      <c r="W121" s="425"/>
      <c r="X121" s="418" t="e">
        <f t="shared" si="37"/>
        <v>#N/A</v>
      </c>
      <c r="Y121" s="565"/>
      <c r="Z121" s="425"/>
      <c r="AA121" s="425"/>
      <c r="AB121" s="425"/>
      <c r="AC121" s="418" t="e">
        <f t="shared" si="38"/>
        <v>#N/A</v>
      </c>
      <c r="AD121" s="565"/>
      <c r="AE121" s="425"/>
      <c r="AF121" s="425"/>
      <c r="AG121" s="425"/>
      <c r="AH121" s="418" t="e">
        <f t="shared" si="39"/>
        <v>#N/A</v>
      </c>
      <c r="AI121" s="565"/>
      <c r="AJ121" s="425"/>
      <c r="AK121" s="425"/>
      <c r="AL121" s="425"/>
      <c r="AM121" s="418" t="e">
        <f t="shared" si="40"/>
        <v>#N/A</v>
      </c>
      <c r="AN121" s="565"/>
      <c r="AO121" s="425"/>
      <c r="AP121" s="425"/>
      <c r="AQ121" s="425"/>
      <c r="AR121" s="418" t="e">
        <f t="shared" si="41"/>
        <v>#N/A</v>
      </c>
      <c r="AS121" s="565"/>
      <c r="AT121" s="425"/>
      <c r="AU121" s="425"/>
      <c r="AV121" s="425"/>
      <c r="AW121" s="418" t="e">
        <f t="shared" si="42"/>
        <v>#N/A</v>
      </c>
      <c r="AX121" s="565"/>
      <c r="AZ121" s="407" t="e">
        <f t="shared" si="43"/>
        <v>#N/A</v>
      </c>
      <c r="BA121" s="565"/>
    </row>
    <row r="122" spans="2:53">
      <c r="B122" s="570"/>
      <c r="C122" s="292">
        <v>11</v>
      </c>
      <c r="D122" s="226"/>
      <c r="E122" s="425"/>
      <c r="F122" s="418"/>
      <c r="G122" s="419"/>
      <c r="H122" s="628"/>
      <c r="I122" s="400" t="str">
        <f t="shared" si="33"/>
        <v>-</v>
      </c>
      <c r="J122" s="400" t="str">
        <f t="shared" si="34"/>
        <v>-</v>
      </c>
      <c r="K122" s="200" t="str">
        <f t="shared" si="35"/>
        <v>-</v>
      </c>
      <c r="L122" s="581"/>
      <c r="M122" s="201" t="e">
        <f>RANK(K122, K$112:$K$141)</f>
        <v>#VALUE!</v>
      </c>
      <c r="N122" s="564"/>
      <c r="O122" s="564"/>
      <c r="P122" s="425"/>
      <c r="Q122" s="425"/>
      <c r="R122" s="425"/>
      <c r="S122" s="418" t="e">
        <f t="shared" si="36"/>
        <v>#N/A</v>
      </c>
      <c r="T122" s="565"/>
      <c r="U122" s="425"/>
      <c r="V122" s="425"/>
      <c r="W122" s="425"/>
      <c r="X122" s="418" t="e">
        <f t="shared" si="37"/>
        <v>#N/A</v>
      </c>
      <c r="Y122" s="565"/>
      <c r="Z122" s="425"/>
      <c r="AA122" s="425"/>
      <c r="AB122" s="425"/>
      <c r="AC122" s="418" t="e">
        <f t="shared" si="38"/>
        <v>#N/A</v>
      </c>
      <c r="AD122" s="565"/>
      <c r="AE122" s="425"/>
      <c r="AF122" s="425"/>
      <c r="AG122" s="425"/>
      <c r="AH122" s="418" t="e">
        <f t="shared" si="39"/>
        <v>#N/A</v>
      </c>
      <c r="AI122" s="565"/>
      <c r="AJ122" s="425"/>
      <c r="AK122" s="425"/>
      <c r="AL122" s="425"/>
      <c r="AM122" s="418" t="e">
        <f t="shared" si="40"/>
        <v>#N/A</v>
      </c>
      <c r="AN122" s="565"/>
      <c r="AO122" s="425"/>
      <c r="AP122" s="425"/>
      <c r="AQ122" s="425"/>
      <c r="AR122" s="418" t="e">
        <f t="shared" si="41"/>
        <v>#N/A</v>
      </c>
      <c r="AS122" s="565"/>
      <c r="AT122" s="425"/>
      <c r="AU122" s="425"/>
      <c r="AV122" s="425"/>
      <c r="AW122" s="418" t="e">
        <f t="shared" si="42"/>
        <v>#N/A</v>
      </c>
      <c r="AX122" s="565"/>
      <c r="AZ122" s="407" t="e">
        <f t="shared" si="43"/>
        <v>#N/A</v>
      </c>
      <c r="BA122" s="565"/>
    </row>
    <row r="123" spans="2:53">
      <c r="B123" s="570"/>
      <c r="C123" s="292">
        <v>12</v>
      </c>
      <c r="D123" s="226"/>
      <c r="E123" s="425"/>
      <c r="F123" s="418"/>
      <c r="G123" s="419"/>
      <c r="H123" s="628"/>
      <c r="I123" s="400" t="str">
        <f t="shared" si="33"/>
        <v>-</v>
      </c>
      <c r="J123" s="400" t="str">
        <f t="shared" si="34"/>
        <v>-</v>
      </c>
      <c r="K123" s="200" t="str">
        <f t="shared" si="35"/>
        <v>-</v>
      </c>
      <c r="L123" s="581"/>
      <c r="M123" s="201" t="e">
        <f>RANK(K123, K$112:$K$141)</f>
        <v>#VALUE!</v>
      </c>
      <c r="N123" s="564"/>
      <c r="O123" s="564"/>
      <c r="P123" s="425"/>
      <c r="Q123" s="425"/>
      <c r="R123" s="425"/>
      <c r="S123" s="418" t="e">
        <f t="shared" si="36"/>
        <v>#N/A</v>
      </c>
      <c r="T123" s="565"/>
      <c r="U123" s="425"/>
      <c r="V123" s="425"/>
      <c r="W123" s="425"/>
      <c r="X123" s="418" t="e">
        <f t="shared" si="37"/>
        <v>#N/A</v>
      </c>
      <c r="Y123" s="565"/>
      <c r="Z123" s="425"/>
      <c r="AA123" s="425"/>
      <c r="AB123" s="425"/>
      <c r="AC123" s="418" t="e">
        <f t="shared" si="38"/>
        <v>#N/A</v>
      </c>
      <c r="AD123" s="565"/>
      <c r="AE123" s="425"/>
      <c r="AF123" s="425"/>
      <c r="AG123" s="425"/>
      <c r="AH123" s="418" t="e">
        <f t="shared" si="39"/>
        <v>#N/A</v>
      </c>
      <c r="AI123" s="565"/>
      <c r="AJ123" s="425"/>
      <c r="AK123" s="425"/>
      <c r="AL123" s="425"/>
      <c r="AM123" s="418" t="e">
        <f t="shared" si="40"/>
        <v>#N/A</v>
      </c>
      <c r="AN123" s="565"/>
      <c r="AO123" s="425"/>
      <c r="AP123" s="425"/>
      <c r="AQ123" s="425"/>
      <c r="AR123" s="418" t="e">
        <f t="shared" si="41"/>
        <v>#N/A</v>
      </c>
      <c r="AS123" s="565"/>
      <c r="AT123" s="425"/>
      <c r="AU123" s="425"/>
      <c r="AV123" s="425"/>
      <c r="AW123" s="418" t="e">
        <f t="shared" si="42"/>
        <v>#N/A</v>
      </c>
      <c r="AX123" s="565"/>
      <c r="AZ123" s="407" t="e">
        <f t="shared" si="43"/>
        <v>#N/A</v>
      </c>
      <c r="BA123" s="565"/>
    </row>
    <row r="124" spans="2:53">
      <c r="B124" s="570"/>
      <c r="C124" s="292">
        <v>13</v>
      </c>
      <c r="D124" s="226"/>
      <c r="E124" s="425"/>
      <c r="F124" s="418"/>
      <c r="G124" s="419"/>
      <c r="H124" s="628"/>
      <c r="I124" s="400" t="str">
        <f t="shared" si="33"/>
        <v>-</v>
      </c>
      <c r="J124" s="400" t="str">
        <f t="shared" si="34"/>
        <v>-</v>
      </c>
      <c r="K124" s="200" t="str">
        <f t="shared" si="35"/>
        <v>-</v>
      </c>
      <c r="L124" s="581"/>
      <c r="M124" s="201" t="e">
        <f>RANK(K124, K$112:$K$141)</f>
        <v>#VALUE!</v>
      </c>
      <c r="N124" s="564"/>
      <c r="O124" s="564"/>
      <c r="P124" s="425"/>
      <c r="Q124" s="425"/>
      <c r="R124" s="425"/>
      <c r="S124" s="418" t="e">
        <f t="shared" si="36"/>
        <v>#N/A</v>
      </c>
      <c r="T124" s="565"/>
      <c r="U124" s="425"/>
      <c r="V124" s="425"/>
      <c r="W124" s="425"/>
      <c r="X124" s="418" t="e">
        <f t="shared" si="37"/>
        <v>#N/A</v>
      </c>
      <c r="Y124" s="565"/>
      <c r="Z124" s="425"/>
      <c r="AA124" s="425"/>
      <c r="AB124" s="425"/>
      <c r="AC124" s="418" t="e">
        <f t="shared" si="38"/>
        <v>#N/A</v>
      </c>
      <c r="AD124" s="565"/>
      <c r="AE124" s="425"/>
      <c r="AF124" s="425"/>
      <c r="AG124" s="425"/>
      <c r="AH124" s="418" t="e">
        <f t="shared" si="39"/>
        <v>#N/A</v>
      </c>
      <c r="AI124" s="565"/>
      <c r="AJ124" s="425"/>
      <c r="AK124" s="425"/>
      <c r="AL124" s="425"/>
      <c r="AM124" s="418" t="e">
        <f t="shared" si="40"/>
        <v>#N/A</v>
      </c>
      <c r="AN124" s="565"/>
      <c r="AO124" s="425"/>
      <c r="AP124" s="425"/>
      <c r="AQ124" s="425"/>
      <c r="AR124" s="418" t="e">
        <f t="shared" si="41"/>
        <v>#N/A</v>
      </c>
      <c r="AS124" s="565"/>
      <c r="AT124" s="425"/>
      <c r="AU124" s="425"/>
      <c r="AV124" s="425"/>
      <c r="AW124" s="418" t="e">
        <f t="shared" si="42"/>
        <v>#N/A</v>
      </c>
      <c r="AX124" s="565"/>
      <c r="AZ124" s="407" t="e">
        <f t="shared" si="43"/>
        <v>#N/A</v>
      </c>
      <c r="BA124" s="565"/>
    </row>
    <row r="125" spans="2:53">
      <c r="B125" s="570"/>
      <c r="C125" s="292">
        <v>14</v>
      </c>
      <c r="D125" s="226"/>
      <c r="E125" s="425"/>
      <c r="F125" s="418"/>
      <c r="G125" s="419"/>
      <c r="H125" s="628"/>
      <c r="I125" s="400" t="str">
        <f t="shared" si="33"/>
        <v>-</v>
      </c>
      <c r="J125" s="400" t="str">
        <f t="shared" si="34"/>
        <v>-</v>
      </c>
      <c r="K125" s="200" t="str">
        <f t="shared" si="35"/>
        <v>-</v>
      </c>
      <c r="L125" s="581"/>
      <c r="M125" s="201" t="e">
        <f>RANK(K125, K$112:$K$141)</f>
        <v>#VALUE!</v>
      </c>
      <c r="N125" s="564"/>
      <c r="O125" s="564"/>
      <c r="P125" s="425"/>
      <c r="Q125" s="425"/>
      <c r="R125" s="425"/>
      <c r="S125" s="418" t="e">
        <f t="shared" si="36"/>
        <v>#N/A</v>
      </c>
      <c r="T125" s="565"/>
      <c r="U125" s="425"/>
      <c r="V125" s="425"/>
      <c r="W125" s="425"/>
      <c r="X125" s="418" t="e">
        <f t="shared" si="37"/>
        <v>#N/A</v>
      </c>
      <c r="Y125" s="565"/>
      <c r="Z125" s="425"/>
      <c r="AA125" s="425"/>
      <c r="AB125" s="425"/>
      <c r="AC125" s="418" t="e">
        <f t="shared" si="38"/>
        <v>#N/A</v>
      </c>
      <c r="AD125" s="565"/>
      <c r="AE125" s="425"/>
      <c r="AF125" s="425"/>
      <c r="AG125" s="425"/>
      <c r="AH125" s="418" t="e">
        <f t="shared" si="39"/>
        <v>#N/A</v>
      </c>
      <c r="AI125" s="565"/>
      <c r="AJ125" s="425"/>
      <c r="AK125" s="425"/>
      <c r="AL125" s="425"/>
      <c r="AM125" s="418" t="e">
        <f t="shared" si="40"/>
        <v>#N/A</v>
      </c>
      <c r="AN125" s="565"/>
      <c r="AO125" s="425"/>
      <c r="AP125" s="425"/>
      <c r="AQ125" s="425"/>
      <c r="AR125" s="418" t="e">
        <f t="shared" si="41"/>
        <v>#N/A</v>
      </c>
      <c r="AS125" s="565"/>
      <c r="AT125" s="425"/>
      <c r="AU125" s="425"/>
      <c r="AV125" s="425"/>
      <c r="AW125" s="418" t="e">
        <f t="shared" si="42"/>
        <v>#N/A</v>
      </c>
      <c r="AX125" s="565"/>
      <c r="AZ125" s="407" t="e">
        <f t="shared" si="43"/>
        <v>#N/A</v>
      </c>
      <c r="BA125" s="565"/>
    </row>
    <row r="126" spans="2:53">
      <c r="B126" s="570"/>
      <c r="C126" s="292">
        <v>15</v>
      </c>
      <c r="D126" s="226"/>
      <c r="E126" s="425"/>
      <c r="F126" s="418"/>
      <c r="G126" s="419"/>
      <c r="H126" s="628"/>
      <c r="I126" s="400" t="str">
        <f t="shared" si="33"/>
        <v>-</v>
      </c>
      <c r="J126" s="400" t="str">
        <f t="shared" si="34"/>
        <v>-</v>
      </c>
      <c r="K126" s="200" t="str">
        <f t="shared" si="35"/>
        <v>-</v>
      </c>
      <c r="L126" s="581"/>
      <c r="M126" s="201" t="e">
        <f>RANK(K126, K$112:$K$141)</f>
        <v>#VALUE!</v>
      </c>
      <c r="N126" s="564"/>
      <c r="O126" s="564"/>
      <c r="P126" s="425"/>
      <c r="Q126" s="425"/>
      <c r="R126" s="425"/>
      <c r="S126" s="418" t="e">
        <f t="shared" si="36"/>
        <v>#N/A</v>
      </c>
      <c r="T126" s="565"/>
      <c r="U126" s="425"/>
      <c r="V126" s="425"/>
      <c r="W126" s="425"/>
      <c r="X126" s="418" t="e">
        <f t="shared" si="37"/>
        <v>#N/A</v>
      </c>
      <c r="Y126" s="565"/>
      <c r="Z126" s="425"/>
      <c r="AA126" s="425"/>
      <c r="AB126" s="425"/>
      <c r="AC126" s="418" t="e">
        <f t="shared" si="38"/>
        <v>#N/A</v>
      </c>
      <c r="AD126" s="565"/>
      <c r="AE126" s="425"/>
      <c r="AF126" s="425"/>
      <c r="AG126" s="425"/>
      <c r="AH126" s="418" t="e">
        <f t="shared" si="39"/>
        <v>#N/A</v>
      </c>
      <c r="AI126" s="565"/>
      <c r="AJ126" s="425"/>
      <c r="AK126" s="425"/>
      <c r="AL126" s="425"/>
      <c r="AM126" s="418" t="e">
        <f t="shared" si="40"/>
        <v>#N/A</v>
      </c>
      <c r="AN126" s="565"/>
      <c r="AO126" s="425"/>
      <c r="AP126" s="425"/>
      <c r="AQ126" s="425"/>
      <c r="AR126" s="418" t="e">
        <f t="shared" si="41"/>
        <v>#N/A</v>
      </c>
      <c r="AS126" s="565"/>
      <c r="AT126" s="425"/>
      <c r="AU126" s="425"/>
      <c r="AV126" s="425"/>
      <c r="AW126" s="418" t="e">
        <f t="shared" si="42"/>
        <v>#N/A</v>
      </c>
      <c r="AX126" s="565"/>
      <c r="AZ126" s="407" t="e">
        <f t="shared" si="43"/>
        <v>#N/A</v>
      </c>
      <c r="BA126" s="565"/>
    </row>
    <row r="127" spans="2:53">
      <c r="B127" s="570"/>
      <c r="C127" s="292">
        <v>16</v>
      </c>
      <c r="D127" s="226"/>
      <c r="E127" s="425"/>
      <c r="F127" s="418"/>
      <c r="G127" s="419"/>
      <c r="H127" s="628"/>
      <c r="I127" s="400" t="str">
        <f t="shared" si="33"/>
        <v>-</v>
      </c>
      <c r="J127" s="400" t="str">
        <f t="shared" si="34"/>
        <v>-</v>
      </c>
      <c r="K127" s="200" t="str">
        <f t="shared" si="35"/>
        <v>-</v>
      </c>
      <c r="L127" s="581"/>
      <c r="M127" s="201" t="e">
        <f>RANK(K127, K$112:$K$141)</f>
        <v>#VALUE!</v>
      </c>
      <c r="N127" s="564"/>
      <c r="O127" s="564"/>
      <c r="P127" s="425"/>
      <c r="Q127" s="425"/>
      <c r="R127" s="425"/>
      <c r="S127" s="418" t="e">
        <f t="shared" si="36"/>
        <v>#N/A</v>
      </c>
      <c r="T127" s="565"/>
      <c r="U127" s="425"/>
      <c r="V127" s="425"/>
      <c r="W127" s="425"/>
      <c r="X127" s="418" t="e">
        <f t="shared" si="37"/>
        <v>#N/A</v>
      </c>
      <c r="Y127" s="565"/>
      <c r="Z127" s="425"/>
      <c r="AA127" s="425"/>
      <c r="AB127" s="425"/>
      <c r="AC127" s="418" t="e">
        <f t="shared" si="38"/>
        <v>#N/A</v>
      </c>
      <c r="AD127" s="565"/>
      <c r="AE127" s="425"/>
      <c r="AF127" s="425"/>
      <c r="AG127" s="425"/>
      <c r="AH127" s="418" t="e">
        <f t="shared" si="39"/>
        <v>#N/A</v>
      </c>
      <c r="AI127" s="565"/>
      <c r="AJ127" s="425"/>
      <c r="AK127" s="425"/>
      <c r="AL127" s="425"/>
      <c r="AM127" s="418" t="e">
        <f t="shared" si="40"/>
        <v>#N/A</v>
      </c>
      <c r="AN127" s="565"/>
      <c r="AO127" s="425"/>
      <c r="AP127" s="425"/>
      <c r="AQ127" s="425"/>
      <c r="AR127" s="418" t="e">
        <f t="shared" si="41"/>
        <v>#N/A</v>
      </c>
      <c r="AS127" s="565"/>
      <c r="AT127" s="425"/>
      <c r="AU127" s="425"/>
      <c r="AV127" s="425"/>
      <c r="AW127" s="418" t="e">
        <f t="shared" si="42"/>
        <v>#N/A</v>
      </c>
      <c r="AX127" s="565"/>
      <c r="AZ127" s="407" t="e">
        <f t="shared" si="43"/>
        <v>#N/A</v>
      </c>
      <c r="BA127" s="565"/>
    </row>
    <row r="128" spans="2:53">
      <c r="B128" s="570"/>
      <c r="C128" s="292">
        <v>17</v>
      </c>
      <c r="D128" s="226"/>
      <c r="E128" s="425"/>
      <c r="F128" s="418"/>
      <c r="G128" s="419"/>
      <c r="H128" s="628"/>
      <c r="I128" s="400" t="str">
        <f t="shared" si="33"/>
        <v>-</v>
      </c>
      <c r="J128" s="400" t="str">
        <f t="shared" si="34"/>
        <v>-</v>
      </c>
      <c r="K128" s="200" t="str">
        <f t="shared" si="35"/>
        <v>-</v>
      </c>
      <c r="L128" s="581"/>
      <c r="M128" s="201" t="e">
        <f>RANK(K128, K$112:$K$141)</f>
        <v>#VALUE!</v>
      </c>
      <c r="N128" s="564"/>
      <c r="O128" s="564"/>
      <c r="P128" s="425"/>
      <c r="Q128" s="425"/>
      <c r="R128" s="425"/>
      <c r="S128" s="418" t="e">
        <f t="shared" si="36"/>
        <v>#N/A</v>
      </c>
      <c r="T128" s="565"/>
      <c r="U128" s="425"/>
      <c r="V128" s="425"/>
      <c r="W128" s="425"/>
      <c r="X128" s="418" t="e">
        <f t="shared" si="37"/>
        <v>#N/A</v>
      </c>
      <c r="Y128" s="565"/>
      <c r="Z128" s="425"/>
      <c r="AA128" s="425"/>
      <c r="AB128" s="425"/>
      <c r="AC128" s="418" t="e">
        <f t="shared" si="38"/>
        <v>#N/A</v>
      </c>
      <c r="AD128" s="565"/>
      <c r="AE128" s="425"/>
      <c r="AF128" s="425"/>
      <c r="AG128" s="425"/>
      <c r="AH128" s="418" t="e">
        <f t="shared" si="39"/>
        <v>#N/A</v>
      </c>
      <c r="AI128" s="565"/>
      <c r="AJ128" s="425"/>
      <c r="AK128" s="425"/>
      <c r="AL128" s="425"/>
      <c r="AM128" s="418" t="e">
        <f t="shared" si="40"/>
        <v>#N/A</v>
      </c>
      <c r="AN128" s="565"/>
      <c r="AO128" s="425"/>
      <c r="AP128" s="425"/>
      <c r="AQ128" s="425"/>
      <c r="AR128" s="418" t="e">
        <f t="shared" si="41"/>
        <v>#N/A</v>
      </c>
      <c r="AS128" s="565"/>
      <c r="AT128" s="425"/>
      <c r="AU128" s="425"/>
      <c r="AV128" s="425"/>
      <c r="AW128" s="418" t="e">
        <f t="shared" si="42"/>
        <v>#N/A</v>
      </c>
      <c r="AX128" s="565"/>
      <c r="AZ128" s="407" t="e">
        <f t="shared" si="43"/>
        <v>#N/A</v>
      </c>
      <c r="BA128" s="565"/>
    </row>
    <row r="129" spans="2:53">
      <c r="B129" s="570"/>
      <c r="C129" s="292">
        <v>18</v>
      </c>
      <c r="D129" s="226"/>
      <c r="E129" s="425"/>
      <c r="F129" s="418"/>
      <c r="G129" s="419"/>
      <c r="H129" s="628"/>
      <c r="I129" s="400" t="str">
        <f t="shared" si="33"/>
        <v>-</v>
      </c>
      <c r="J129" s="400" t="str">
        <f t="shared" si="34"/>
        <v>-</v>
      </c>
      <c r="K129" s="200" t="str">
        <f t="shared" si="35"/>
        <v>-</v>
      </c>
      <c r="L129" s="581"/>
      <c r="M129" s="201" t="e">
        <f>RANK(K129, K$112:$K$141)</f>
        <v>#VALUE!</v>
      </c>
      <c r="N129" s="564"/>
      <c r="O129" s="564"/>
      <c r="P129" s="425"/>
      <c r="Q129" s="425"/>
      <c r="R129" s="425"/>
      <c r="S129" s="418" t="e">
        <f t="shared" si="36"/>
        <v>#N/A</v>
      </c>
      <c r="T129" s="565"/>
      <c r="U129" s="425"/>
      <c r="V129" s="425"/>
      <c r="W129" s="425"/>
      <c r="X129" s="418" t="e">
        <f t="shared" si="37"/>
        <v>#N/A</v>
      </c>
      <c r="Y129" s="565"/>
      <c r="Z129" s="425"/>
      <c r="AA129" s="425"/>
      <c r="AB129" s="425"/>
      <c r="AC129" s="418" t="e">
        <f t="shared" si="38"/>
        <v>#N/A</v>
      </c>
      <c r="AD129" s="565"/>
      <c r="AE129" s="425"/>
      <c r="AF129" s="425"/>
      <c r="AG129" s="425"/>
      <c r="AH129" s="418" t="e">
        <f t="shared" si="39"/>
        <v>#N/A</v>
      </c>
      <c r="AI129" s="565"/>
      <c r="AJ129" s="425"/>
      <c r="AK129" s="425"/>
      <c r="AL129" s="425"/>
      <c r="AM129" s="418" t="e">
        <f t="shared" si="40"/>
        <v>#N/A</v>
      </c>
      <c r="AN129" s="565"/>
      <c r="AO129" s="425"/>
      <c r="AP129" s="425"/>
      <c r="AQ129" s="425"/>
      <c r="AR129" s="418" t="e">
        <f t="shared" si="41"/>
        <v>#N/A</v>
      </c>
      <c r="AS129" s="565"/>
      <c r="AT129" s="425"/>
      <c r="AU129" s="425"/>
      <c r="AV129" s="425"/>
      <c r="AW129" s="418" t="e">
        <f t="shared" si="42"/>
        <v>#N/A</v>
      </c>
      <c r="AX129" s="565"/>
      <c r="AZ129" s="407" t="e">
        <f t="shared" si="43"/>
        <v>#N/A</v>
      </c>
      <c r="BA129" s="565"/>
    </row>
    <row r="130" spans="2:53">
      <c r="B130" s="570"/>
      <c r="C130" s="292">
        <v>19</v>
      </c>
      <c r="D130" s="226"/>
      <c r="E130" s="425"/>
      <c r="F130" s="418"/>
      <c r="G130" s="419"/>
      <c r="H130" s="628"/>
      <c r="I130" s="400" t="str">
        <f t="shared" si="33"/>
        <v>-</v>
      </c>
      <c r="J130" s="400" t="str">
        <f t="shared" si="34"/>
        <v>-</v>
      </c>
      <c r="K130" s="200" t="str">
        <f t="shared" si="35"/>
        <v>-</v>
      </c>
      <c r="L130" s="581"/>
      <c r="M130" s="201" t="e">
        <f>RANK(K130, K$112:$K$141)</f>
        <v>#VALUE!</v>
      </c>
      <c r="N130" s="564"/>
      <c r="O130" s="564"/>
      <c r="P130" s="425"/>
      <c r="Q130" s="425"/>
      <c r="R130" s="425"/>
      <c r="S130" s="418" t="e">
        <f t="shared" si="36"/>
        <v>#N/A</v>
      </c>
      <c r="T130" s="565"/>
      <c r="U130" s="425"/>
      <c r="V130" s="425"/>
      <c r="W130" s="425"/>
      <c r="X130" s="418" t="e">
        <f t="shared" si="37"/>
        <v>#N/A</v>
      </c>
      <c r="Y130" s="565"/>
      <c r="Z130" s="425"/>
      <c r="AA130" s="425"/>
      <c r="AB130" s="425"/>
      <c r="AC130" s="418" t="e">
        <f t="shared" si="38"/>
        <v>#N/A</v>
      </c>
      <c r="AD130" s="565"/>
      <c r="AE130" s="425"/>
      <c r="AF130" s="425"/>
      <c r="AG130" s="425"/>
      <c r="AH130" s="418" t="e">
        <f t="shared" si="39"/>
        <v>#N/A</v>
      </c>
      <c r="AI130" s="565"/>
      <c r="AJ130" s="425"/>
      <c r="AK130" s="425"/>
      <c r="AL130" s="425"/>
      <c r="AM130" s="418" t="e">
        <f t="shared" si="40"/>
        <v>#N/A</v>
      </c>
      <c r="AN130" s="565"/>
      <c r="AO130" s="425"/>
      <c r="AP130" s="425"/>
      <c r="AQ130" s="425"/>
      <c r="AR130" s="418" t="e">
        <f t="shared" si="41"/>
        <v>#N/A</v>
      </c>
      <c r="AS130" s="565"/>
      <c r="AT130" s="425"/>
      <c r="AU130" s="425"/>
      <c r="AV130" s="425"/>
      <c r="AW130" s="418" t="e">
        <f t="shared" si="42"/>
        <v>#N/A</v>
      </c>
      <c r="AX130" s="565"/>
      <c r="AZ130" s="407" t="e">
        <f t="shared" si="43"/>
        <v>#N/A</v>
      </c>
      <c r="BA130" s="565"/>
    </row>
    <row r="131" spans="2:53">
      <c r="B131" s="570"/>
      <c r="C131" s="292">
        <v>20</v>
      </c>
      <c r="D131" s="226"/>
      <c r="E131" s="425"/>
      <c r="F131" s="418"/>
      <c r="G131" s="419"/>
      <c r="H131" s="628"/>
      <c r="I131" s="400" t="str">
        <f t="shared" si="33"/>
        <v>-</v>
      </c>
      <c r="J131" s="400" t="str">
        <f t="shared" si="34"/>
        <v>-</v>
      </c>
      <c r="K131" s="200" t="str">
        <f t="shared" si="35"/>
        <v>-</v>
      </c>
      <c r="L131" s="581"/>
      <c r="M131" s="201" t="e">
        <f>RANK(K131, K$112:$K$141)</f>
        <v>#VALUE!</v>
      </c>
      <c r="N131" s="564"/>
      <c r="O131" s="564"/>
      <c r="P131" s="425"/>
      <c r="Q131" s="425"/>
      <c r="R131" s="425"/>
      <c r="S131" s="418" t="e">
        <f t="shared" si="36"/>
        <v>#N/A</v>
      </c>
      <c r="T131" s="565"/>
      <c r="U131" s="425"/>
      <c r="V131" s="425"/>
      <c r="W131" s="425"/>
      <c r="X131" s="418" t="e">
        <f t="shared" si="37"/>
        <v>#N/A</v>
      </c>
      <c r="Y131" s="565"/>
      <c r="Z131" s="425"/>
      <c r="AA131" s="425"/>
      <c r="AB131" s="425"/>
      <c r="AC131" s="418" t="e">
        <f t="shared" si="38"/>
        <v>#N/A</v>
      </c>
      <c r="AD131" s="565"/>
      <c r="AE131" s="425"/>
      <c r="AF131" s="425"/>
      <c r="AG131" s="425"/>
      <c r="AH131" s="418" t="e">
        <f t="shared" si="39"/>
        <v>#N/A</v>
      </c>
      <c r="AI131" s="565"/>
      <c r="AJ131" s="425"/>
      <c r="AK131" s="425"/>
      <c r="AL131" s="425"/>
      <c r="AM131" s="418" t="e">
        <f t="shared" si="40"/>
        <v>#N/A</v>
      </c>
      <c r="AN131" s="565"/>
      <c r="AO131" s="425"/>
      <c r="AP131" s="425"/>
      <c r="AQ131" s="425"/>
      <c r="AR131" s="418" t="e">
        <f t="shared" si="41"/>
        <v>#N/A</v>
      </c>
      <c r="AS131" s="565"/>
      <c r="AT131" s="425"/>
      <c r="AU131" s="425"/>
      <c r="AV131" s="425"/>
      <c r="AW131" s="418" t="e">
        <f t="shared" si="42"/>
        <v>#N/A</v>
      </c>
      <c r="AX131" s="565"/>
      <c r="AZ131" s="407" t="e">
        <f t="shared" si="43"/>
        <v>#N/A</v>
      </c>
      <c r="BA131" s="565"/>
    </row>
    <row r="132" spans="2:53">
      <c r="B132" s="570"/>
      <c r="C132" s="292">
        <v>21</v>
      </c>
      <c r="D132" s="226"/>
      <c r="E132" s="425"/>
      <c r="F132" s="418"/>
      <c r="G132" s="419"/>
      <c r="H132" s="628"/>
      <c r="I132" s="400" t="str">
        <f t="shared" si="33"/>
        <v>-</v>
      </c>
      <c r="J132" s="400" t="str">
        <f t="shared" si="34"/>
        <v>-</v>
      </c>
      <c r="K132" s="200" t="str">
        <f t="shared" si="35"/>
        <v>-</v>
      </c>
      <c r="L132" s="581"/>
      <c r="M132" s="201" t="e">
        <f>RANK(K132, K$112:$K$141)</f>
        <v>#VALUE!</v>
      </c>
      <c r="N132" s="564"/>
      <c r="O132" s="564"/>
      <c r="P132" s="425"/>
      <c r="Q132" s="425"/>
      <c r="R132" s="425"/>
      <c r="S132" s="418" t="e">
        <f t="shared" si="36"/>
        <v>#N/A</v>
      </c>
      <c r="T132" s="565"/>
      <c r="U132" s="425"/>
      <c r="V132" s="425"/>
      <c r="W132" s="425"/>
      <c r="X132" s="418" t="e">
        <f t="shared" si="37"/>
        <v>#N/A</v>
      </c>
      <c r="Y132" s="565"/>
      <c r="Z132" s="425"/>
      <c r="AA132" s="425"/>
      <c r="AB132" s="425"/>
      <c r="AC132" s="418" t="e">
        <f t="shared" si="38"/>
        <v>#N/A</v>
      </c>
      <c r="AD132" s="565"/>
      <c r="AE132" s="425"/>
      <c r="AF132" s="425"/>
      <c r="AG132" s="425"/>
      <c r="AH132" s="418" t="e">
        <f t="shared" si="39"/>
        <v>#N/A</v>
      </c>
      <c r="AI132" s="565"/>
      <c r="AJ132" s="425"/>
      <c r="AK132" s="425"/>
      <c r="AL132" s="425"/>
      <c r="AM132" s="418" t="e">
        <f t="shared" si="40"/>
        <v>#N/A</v>
      </c>
      <c r="AN132" s="565"/>
      <c r="AO132" s="425"/>
      <c r="AP132" s="425"/>
      <c r="AQ132" s="425"/>
      <c r="AR132" s="418" t="e">
        <f t="shared" si="41"/>
        <v>#N/A</v>
      </c>
      <c r="AS132" s="565"/>
      <c r="AT132" s="425"/>
      <c r="AU132" s="425"/>
      <c r="AV132" s="425"/>
      <c r="AW132" s="418" t="e">
        <f t="shared" si="42"/>
        <v>#N/A</v>
      </c>
      <c r="AX132" s="565"/>
      <c r="AZ132" s="407" t="e">
        <f t="shared" si="43"/>
        <v>#N/A</v>
      </c>
      <c r="BA132" s="565"/>
    </row>
    <row r="133" spans="2:53">
      <c r="B133" s="570"/>
      <c r="C133" s="292">
        <v>22</v>
      </c>
      <c r="D133" s="226"/>
      <c r="E133" s="425"/>
      <c r="F133" s="418"/>
      <c r="G133" s="419"/>
      <c r="H133" s="628"/>
      <c r="I133" s="400" t="str">
        <f t="shared" si="33"/>
        <v>-</v>
      </c>
      <c r="J133" s="400" t="str">
        <f t="shared" si="34"/>
        <v>-</v>
      </c>
      <c r="K133" s="200" t="str">
        <f t="shared" si="35"/>
        <v>-</v>
      </c>
      <c r="L133" s="581"/>
      <c r="M133" s="201" t="e">
        <f>RANK(K133, K$112:$K$141)</f>
        <v>#VALUE!</v>
      </c>
      <c r="N133" s="564"/>
      <c r="O133" s="564"/>
      <c r="P133" s="425"/>
      <c r="Q133" s="425"/>
      <c r="R133" s="425"/>
      <c r="S133" s="418" t="e">
        <f t="shared" si="36"/>
        <v>#N/A</v>
      </c>
      <c r="T133" s="565"/>
      <c r="U133" s="425"/>
      <c r="V133" s="425"/>
      <c r="W133" s="425"/>
      <c r="X133" s="418" t="e">
        <f t="shared" si="37"/>
        <v>#N/A</v>
      </c>
      <c r="Y133" s="565"/>
      <c r="Z133" s="425"/>
      <c r="AA133" s="425"/>
      <c r="AB133" s="425"/>
      <c r="AC133" s="418" t="e">
        <f t="shared" si="38"/>
        <v>#N/A</v>
      </c>
      <c r="AD133" s="565"/>
      <c r="AE133" s="425"/>
      <c r="AF133" s="425"/>
      <c r="AG133" s="425"/>
      <c r="AH133" s="418" t="e">
        <f t="shared" si="39"/>
        <v>#N/A</v>
      </c>
      <c r="AI133" s="565"/>
      <c r="AJ133" s="425"/>
      <c r="AK133" s="425"/>
      <c r="AL133" s="425"/>
      <c r="AM133" s="418" t="e">
        <f t="shared" si="40"/>
        <v>#N/A</v>
      </c>
      <c r="AN133" s="565"/>
      <c r="AO133" s="425"/>
      <c r="AP133" s="425"/>
      <c r="AQ133" s="425"/>
      <c r="AR133" s="418" t="e">
        <f t="shared" si="41"/>
        <v>#N/A</v>
      </c>
      <c r="AS133" s="565"/>
      <c r="AT133" s="425"/>
      <c r="AU133" s="425"/>
      <c r="AV133" s="425"/>
      <c r="AW133" s="418" t="e">
        <f t="shared" si="42"/>
        <v>#N/A</v>
      </c>
      <c r="AX133" s="565"/>
      <c r="AZ133" s="407" t="e">
        <f t="shared" si="43"/>
        <v>#N/A</v>
      </c>
      <c r="BA133" s="565"/>
    </row>
    <row r="134" spans="2:53">
      <c r="B134" s="570"/>
      <c r="C134" s="292">
        <v>23</v>
      </c>
      <c r="D134" s="226"/>
      <c r="E134" s="425"/>
      <c r="F134" s="418"/>
      <c r="G134" s="419"/>
      <c r="H134" s="628"/>
      <c r="I134" s="400" t="str">
        <f t="shared" si="33"/>
        <v>-</v>
      </c>
      <c r="J134" s="400" t="str">
        <f t="shared" si="34"/>
        <v>-</v>
      </c>
      <c r="K134" s="200" t="str">
        <f t="shared" si="35"/>
        <v>-</v>
      </c>
      <c r="L134" s="581"/>
      <c r="M134" s="201" t="e">
        <f>RANK(K134, K$112:$K$141)</f>
        <v>#VALUE!</v>
      </c>
      <c r="N134" s="564"/>
      <c r="O134" s="564"/>
      <c r="P134" s="425"/>
      <c r="Q134" s="425"/>
      <c r="R134" s="425"/>
      <c r="S134" s="418" t="e">
        <f t="shared" si="36"/>
        <v>#N/A</v>
      </c>
      <c r="T134" s="565"/>
      <c r="U134" s="425"/>
      <c r="V134" s="425"/>
      <c r="W134" s="425"/>
      <c r="X134" s="418" t="e">
        <f t="shared" si="37"/>
        <v>#N/A</v>
      </c>
      <c r="Y134" s="565"/>
      <c r="Z134" s="425"/>
      <c r="AA134" s="425"/>
      <c r="AB134" s="425"/>
      <c r="AC134" s="418" t="e">
        <f t="shared" si="38"/>
        <v>#N/A</v>
      </c>
      <c r="AD134" s="565"/>
      <c r="AE134" s="425"/>
      <c r="AF134" s="425"/>
      <c r="AG134" s="425"/>
      <c r="AH134" s="418" t="e">
        <f t="shared" si="39"/>
        <v>#N/A</v>
      </c>
      <c r="AI134" s="565"/>
      <c r="AJ134" s="425"/>
      <c r="AK134" s="425"/>
      <c r="AL134" s="425"/>
      <c r="AM134" s="418" t="e">
        <f t="shared" si="40"/>
        <v>#N/A</v>
      </c>
      <c r="AN134" s="565"/>
      <c r="AO134" s="425"/>
      <c r="AP134" s="425"/>
      <c r="AQ134" s="425"/>
      <c r="AR134" s="418" t="e">
        <f t="shared" si="41"/>
        <v>#N/A</v>
      </c>
      <c r="AS134" s="565"/>
      <c r="AT134" s="425"/>
      <c r="AU134" s="425"/>
      <c r="AV134" s="425"/>
      <c r="AW134" s="418" t="e">
        <f t="shared" si="42"/>
        <v>#N/A</v>
      </c>
      <c r="AX134" s="565"/>
      <c r="AZ134" s="407" t="e">
        <f t="shared" si="43"/>
        <v>#N/A</v>
      </c>
      <c r="BA134" s="565"/>
    </row>
    <row r="135" spans="2:53">
      <c r="B135" s="570"/>
      <c r="C135" s="292">
        <v>24</v>
      </c>
      <c r="D135" s="226"/>
      <c r="E135" s="425"/>
      <c r="F135" s="418"/>
      <c r="G135" s="419"/>
      <c r="H135" s="628"/>
      <c r="I135" s="400" t="str">
        <f t="shared" si="33"/>
        <v>-</v>
      </c>
      <c r="J135" s="400" t="str">
        <f t="shared" si="34"/>
        <v>-</v>
      </c>
      <c r="K135" s="200" t="str">
        <f t="shared" si="35"/>
        <v>-</v>
      </c>
      <c r="L135" s="581"/>
      <c r="M135" s="201" t="e">
        <f>RANK(K135, K$112:$K$141)</f>
        <v>#VALUE!</v>
      </c>
      <c r="N135" s="564"/>
      <c r="O135" s="564"/>
      <c r="P135" s="418"/>
      <c r="Q135" s="419"/>
      <c r="R135" s="419"/>
      <c r="S135" s="418" t="e">
        <f t="shared" si="36"/>
        <v>#N/A</v>
      </c>
      <c r="T135" s="565"/>
      <c r="U135" s="418"/>
      <c r="V135" s="419"/>
      <c r="W135" s="419"/>
      <c r="X135" s="418" t="e">
        <f t="shared" si="37"/>
        <v>#N/A</v>
      </c>
      <c r="Y135" s="565"/>
      <c r="Z135" s="418"/>
      <c r="AA135" s="419"/>
      <c r="AB135" s="419"/>
      <c r="AC135" s="418" t="e">
        <f t="shared" si="38"/>
        <v>#N/A</v>
      </c>
      <c r="AD135" s="565"/>
      <c r="AE135" s="418"/>
      <c r="AF135" s="419"/>
      <c r="AG135" s="419"/>
      <c r="AH135" s="418" t="e">
        <f t="shared" si="39"/>
        <v>#N/A</v>
      </c>
      <c r="AI135" s="565"/>
      <c r="AJ135" s="418"/>
      <c r="AK135" s="419"/>
      <c r="AL135" s="419"/>
      <c r="AM135" s="418" t="e">
        <f t="shared" si="40"/>
        <v>#N/A</v>
      </c>
      <c r="AN135" s="565"/>
      <c r="AO135" s="418"/>
      <c r="AP135" s="419"/>
      <c r="AQ135" s="419"/>
      <c r="AR135" s="418" t="e">
        <f t="shared" si="41"/>
        <v>#N/A</v>
      </c>
      <c r="AS135" s="565"/>
      <c r="AT135" s="418"/>
      <c r="AU135" s="419"/>
      <c r="AV135" s="419"/>
      <c r="AW135" s="418" t="e">
        <f t="shared" si="42"/>
        <v>#N/A</v>
      </c>
      <c r="AX135" s="565"/>
      <c r="AZ135" s="407" t="e">
        <f t="shared" si="43"/>
        <v>#N/A</v>
      </c>
      <c r="BA135" s="565"/>
    </row>
    <row r="136" spans="2:53">
      <c r="B136" s="570"/>
      <c r="C136" s="292">
        <v>25</v>
      </c>
      <c r="D136" s="226"/>
      <c r="E136" s="425"/>
      <c r="F136" s="418"/>
      <c r="G136" s="419"/>
      <c r="H136" s="628"/>
      <c r="I136" s="400" t="str">
        <f t="shared" si="33"/>
        <v>-</v>
      </c>
      <c r="J136" s="400" t="str">
        <f t="shared" si="34"/>
        <v>-</v>
      </c>
      <c r="K136" s="200" t="str">
        <f t="shared" si="35"/>
        <v>-</v>
      </c>
      <c r="L136" s="581"/>
      <c r="M136" s="201" t="e">
        <f>RANK(K136, K$112:$K$141)</f>
        <v>#VALUE!</v>
      </c>
      <c r="N136" s="564"/>
      <c r="O136" s="564"/>
      <c r="P136" s="418"/>
      <c r="Q136" s="419"/>
      <c r="R136" s="419"/>
      <c r="S136" s="418" t="e">
        <f t="shared" si="36"/>
        <v>#N/A</v>
      </c>
      <c r="T136" s="565"/>
      <c r="U136" s="418"/>
      <c r="V136" s="419"/>
      <c r="W136" s="419"/>
      <c r="X136" s="418" t="e">
        <f t="shared" si="37"/>
        <v>#N/A</v>
      </c>
      <c r="Y136" s="565"/>
      <c r="Z136" s="418"/>
      <c r="AA136" s="419"/>
      <c r="AB136" s="419"/>
      <c r="AC136" s="418" t="e">
        <f t="shared" si="38"/>
        <v>#N/A</v>
      </c>
      <c r="AD136" s="565"/>
      <c r="AE136" s="418"/>
      <c r="AF136" s="419"/>
      <c r="AG136" s="419"/>
      <c r="AH136" s="418" t="e">
        <f t="shared" si="39"/>
        <v>#N/A</v>
      </c>
      <c r="AI136" s="565"/>
      <c r="AJ136" s="418"/>
      <c r="AK136" s="419"/>
      <c r="AL136" s="419"/>
      <c r="AM136" s="418" t="e">
        <f t="shared" si="40"/>
        <v>#N/A</v>
      </c>
      <c r="AN136" s="565"/>
      <c r="AO136" s="418"/>
      <c r="AP136" s="419"/>
      <c r="AQ136" s="419"/>
      <c r="AR136" s="418" t="e">
        <f t="shared" si="41"/>
        <v>#N/A</v>
      </c>
      <c r="AS136" s="565"/>
      <c r="AT136" s="418"/>
      <c r="AU136" s="419"/>
      <c r="AV136" s="419"/>
      <c r="AW136" s="418" t="e">
        <f t="shared" si="42"/>
        <v>#N/A</v>
      </c>
      <c r="AX136" s="565"/>
      <c r="AZ136" s="407" t="e">
        <f t="shared" si="43"/>
        <v>#N/A</v>
      </c>
      <c r="BA136" s="565"/>
    </row>
    <row r="137" spans="2:53">
      <c r="B137" s="570"/>
      <c r="C137" s="292">
        <v>26</v>
      </c>
      <c r="D137" s="226"/>
      <c r="E137" s="425"/>
      <c r="F137" s="418"/>
      <c r="G137" s="419"/>
      <c r="H137" s="628"/>
      <c r="I137" s="400" t="str">
        <f t="shared" si="33"/>
        <v>-</v>
      </c>
      <c r="J137" s="400" t="str">
        <f t="shared" si="34"/>
        <v>-</v>
      </c>
      <c r="K137" s="200" t="str">
        <f t="shared" si="35"/>
        <v>-</v>
      </c>
      <c r="L137" s="581"/>
      <c r="M137" s="201" t="e">
        <f>RANK(K137, K$112:$K$141)</f>
        <v>#VALUE!</v>
      </c>
      <c r="N137" s="564"/>
      <c r="O137" s="564"/>
      <c r="P137" s="418"/>
      <c r="Q137" s="419"/>
      <c r="R137" s="419"/>
      <c r="S137" s="418" t="e">
        <f t="shared" si="36"/>
        <v>#N/A</v>
      </c>
      <c r="T137" s="565"/>
      <c r="U137" s="418"/>
      <c r="V137" s="419"/>
      <c r="W137" s="419"/>
      <c r="X137" s="418" t="e">
        <f t="shared" si="37"/>
        <v>#N/A</v>
      </c>
      <c r="Y137" s="565"/>
      <c r="Z137" s="418"/>
      <c r="AA137" s="419"/>
      <c r="AB137" s="419"/>
      <c r="AC137" s="418" t="e">
        <f t="shared" si="38"/>
        <v>#N/A</v>
      </c>
      <c r="AD137" s="565"/>
      <c r="AE137" s="418"/>
      <c r="AF137" s="419"/>
      <c r="AG137" s="419"/>
      <c r="AH137" s="418" t="e">
        <f t="shared" si="39"/>
        <v>#N/A</v>
      </c>
      <c r="AI137" s="565"/>
      <c r="AJ137" s="418"/>
      <c r="AK137" s="419"/>
      <c r="AL137" s="419"/>
      <c r="AM137" s="418" t="e">
        <f t="shared" si="40"/>
        <v>#N/A</v>
      </c>
      <c r="AN137" s="565"/>
      <c r="AO137" s="418"/>
      <c r="AP137" s="419"/>
      <c r="AQ137" s="419"/>
      <c r="AR137" s="418" t="e">
        <f t="shared" si="41"/>
        <v>#N/A</v>
      </c>
      <c r="AS137" s="565"/>
      <c r="AT137" s="418"/>
      <c r="AU137" s="419"/>
      <c r="AV137" s="419"/>
      <c r="AW137" s="418" t="e">
        <f t="shared" si="42"/>
        <v>#N/A</v>
      </c>
      <c r="AX137" s="565"/>
      <c r="AZ137" s="407" t="e">
        <f t="shared" si="43"/>
        <v>#N/A</v>
      </c>
      <c r="BA137" s="565"/>
    </row>
    <row r="138" spans="2:53">
      <c r="B138" s="570"/>
      <c r="C138" s="292">
        <v>27</v>
      </c>
      <c r="D138" s="226"/>
      <c r="E138" s="425"/>
      <c r="F138" s="418"/>
      <c r="G138" s="419"/>
      <c r="H138" s="628"/>
      <c r="I138" s="400" t="str">
        <f t="shared" si="33"/>
        <v>-</v>
      </c>
      <c r="J138" s="400" t="str">
        <f t="shared" si="34"/>
        <v>-</v>
      </c>
      <c r="K138" s="200" t="str">
        <f t="shared" si="35"/>
        <v>-</v>
      </c>
      <c r="L138" s="581"/>
      <c r="M138" s="201" t="e">
        <f>RANK(K138, K$112:$K$141)</f>
        <v>#VALUE!</v>
      </c>
      <c r="N138" s="564"/>
      <c r="O138" s="564"/>
      <c r="P138" s="418"/>
      <c r="Q138" s="419"/>
      <c r="R138" s="419"/>
      <c r="S138" s="418" t="e">
        <f t="shared" si="36"/>
        <v>#N/A</v>
      </c>
      <c r="T138" s="565"/>
      <c r="U138" s="418"/>
      <c r="V138" s="419"/>
      <c r="W138" s="419"/>
      <c r="X138" s="418" t="e">
        <f t="shared" si="37"/>
        <v>#N/A</v>
      </c>
      <c r="Y138" s="565"/>
      <c r="Z138" s="418"/>
      <c r="AA138" s="419"/>
      <c r="AB138" s="419"/>
      <c r="AC138" s="418" t="e">
        <f t="shared" si="38"/>
        <v>#N/A</v>
      </c>
      <c r="AD138" s="565"/>
      <c r="AE138" s="418"/>
      <c r="AF138" s="419"/>
      <c r="AG138" s="419"/>
      <c r="AH138" s="418" t="e">
        <f t="shared" si="39"/>
        <v>#N/A</v>
      </c>
      <c r="AI138" s="565"/>
      <c r="AJ138" s="418"/>
      <c r="AK138" s="419"/>
      <c r="AL138" s="419"/>
      <c r="AM138" s="418" t="e">
        <f t="shared" si="40"/>
        <v>#N/A</v>
      </c>
      <c r="AN138" s="565"/>
      <c r="AO138" s="418"/>
      <c r="AP138" s="419"/>
      <c r="AQ138" s="419"/>
      <c r="AR138" s="418" t="e">
        <f t="shared" si="41"/>
        <v>#N/A</v>
      </c>
      <c r="AS138" s="565"/>
      <c r="AT138" s="418"/>
      <c r="AU138" s="419"/>
      <c r="AV138" s="419"/>
      <c r="AW138" s="418" t="e">
        <f t="shared" si="42"/>
        <v>#N/A</v>
      </c>
      <c r="AX138" s="565"/>
      <c r="AZ138" s="407" t="e">
        <f t="shared" si="43"/>
        <v>#N/A</v>
      </c>
      <c r="BA138" s="565"/>
    </row>
    <row r="139" spans="2:53">
      <c r="B139" s="570"/>
      <c r="C139" s="292">
        <v>28</v>
      </c>
      <c r="D139" s="226"/>
      <c r="E139" s="425"/>
      <c r="F139" s="418"/>
      <c r="G139" s="419"/>
      <c r="H139" s="628"/>
      <c r="I139" s="400" t="str">
        <f t="shared" si="33"/>
        <v>-</v>
      </c>
      <c r="J139" s="400" t="str">
        <f t="shared" si="34"/>
        <v>-</v>
      </c>
      <c r="K139" s="200" t="str">
        <f t="shared" si="35"/>
        <v>-</v>
      </c>
      <c r="L139" s="581"/>
      <c r="M139" s="201" t="e">
        <f>RANK(K139, K$112:$K$141)</f>
        <v>#VALUE!</v>
      </c>
      <c r="N139" s="564"/>
      <c r="O139" s="564"/>
      <c r="P139" s="418"/>
      <c r="Q139" s="419"/>
      <c r="R139" s="419"/>
      <c r="S139" s="418" t="e">
        <f t="shared" si="36"/>
        <v>#N/A</v>
      </c>
      <c r="T139" s="565"/>
      <c r="U139" s="418"/>
      <c r="V139" s="419"/>
      <c r="W139" s="419"/>
      <c r="X139" s="418" t="e">
        <f t="shared" si="37"/>
        <v>#N/A</v>
      </c>
      <c r="Y139" s="565"/>
      <c r="Z139" s="418"/>
      <c r="AA139" s="419"/>
      <c r="AB139" s="419"/>
      <c r="AC139" s="418" t="e">
        <f t="shared" si="38"/>
        <v>#N/A</v>
      </c>
      <c r="AD139" s="565"/>
      <c r="AE139" s="418"/>
      <c r="AF139" s="419"/>
      <c r="AG139" s="419"/>
      <c r="AH139" s="418" t="e">
        <f t="shared" si="39"/>
        <v>#N/A</v>
      </c>
      <c r="AI139" s="565"/>
      <c r="AJ139" s="418"/>
      <c r="AK139" s="419"/>
      <c r="AL139" s="419"/>
      <c r="AM139" s="418" t="e">
        <f t="shared" si="40"/>
        <v>#N/A</v>
      </c>
      <c r="AN139" s="565"/>
      <c r="AO139" s="418"/>
      <c r="AP139" s="419"/>
      <c r="AQ139" s="419"/>
      <c r="AR139" s="418" t="e">
        <f t="shared" si="41"/>
        <v>#N/A</v>
      </c>
      <c r="AS139" s="565"/>
      <c r="AT139" s="418"/>
      <c r="AU139" s="419"/>
      <c r="AV139" s="419"/>
      <c r="AW139" s="418" t="e">
        <f t="shared" si="42"/>
        <v>#N/A</v>
      </c>
      <c r="AX139" s="565"/>
      <c r="AZ139" s="407" t="e">
        <f t="shared" si="43"/>
        <v>#N/A</v>
      </c>
      <c r="BA139" s="565"/>
    </row>
    <row r="140" spans="2:53">
      <c r="B140" s="570"/>
      <c r="C140" s="292">
        <v>29</v>
      </c>
      <c r="D140" s="226"/>
      <c r="E140" s="425"/>
      <c r="F140" s="418"/>
      <c r="G140" s="419"/>
      <c r="H140" s="628"/>
      <c r="I140" s="400" t="str">
        <f t="shared" si="33"/>
        <v>-</v>
      </c>
      <c r="J140" s="400" t="str">
        <f t="shared" si="34"/>
        <v>-</v>
      </c>
      <c r="K140" s="200" t="str">
        <f t="shared" si="35"/>
        <v>-</v>
      </c>
      <c r="L140" s="581"/>
      <c r="M140" s="201" t="e">
        <f>RANK(K140, K$112:$K$141)</f>
        <v>#VALUE!</v>
      </c>
      <c r="N140" s="564"/>
      <c r="O140" s="564"/>
      <c r="P140" s="418"/>
      <c r="Q140" s="418"/>
      <c r="R140" s="418"/>
      <c r="S140" s="418" t="e">
        <f t="shared" si="36"/>
        <v>#N/A</v>
      </c>
      <c r="T140" s="565"/>
      <c r="U140" s="418"/>
      <c r="V140" s="418"/>
      <c r="W140" s="418"/>
      <c r="X140" s="418" t="e">
        <f t="shared" si="37"/>
        <v>#N/A</v>
      </c>
      <c r="Y140" s="565"/>
      <c r="Z140" s="418"/>
      <c r="AA140" s="418"/>
      <c r="AB140" s="418"/>
      <c r="AC140" s="418" t="e">
        <f t="shared" si="38"/>
        <v>#N/A</v>
      </c>
      <c r="AD140" s="565"/>
      <c r="AE140" s="418"/>
      <c r="AF140" s="418"/>
      <c r="AG140" s="418"/>
      <c r="AH140" s="418" t="e">
        <f t="shared" si="39"/>
        <v>#N/A</v>
      </c>
      <c r="AI140" s="565"/>
      <c r="AJ140" s="418"/>
      <c r="AK140" s="418"/>
      <c r="AL140" s="418"/>
      <c r="AM140" s="418" t="e">
        <f t="shared" si="40"/>
        <v>#N/A</v>
      </c>
      <c r="AN140" s="565"/>
      <c r="AO140" s="418"/>
      <c r="AP140" s="418"/>
      <c r="AQ140" s="418"/>
      <c r="AR140" s="418" t="e">
        <f t="shared" si="41"/>
        <v>#N/A</v>
      </c>
      <c r="AS140" s="565"/>
      <c r="AT140" s="418"/>
      <c r="AU140" s="418"/>
      <c r="AV140" s="418"/>
      <c r="AW140" s="418" t="e">
        <f t="shared" si="42"/>
        <v>#N/A</v>
      </c>
      <c r="AX140" s="565"/>
      <c r="AZ140" s="407" t="e">
        <f t="shared" si="43"/>
        <v>#N/A</v>
      </c>
      <c r="BA140" s="565"/>
    </row>
    <row r="141" spans="2:53">
      <c r="B141" s="570"/>
      <c r="C141" s="292">
        <v>30</v>
      </c>
      <c r="D141" s="226"/>
      <c r="E141" s="425"/>
      <c r="F141" s="418"/>
      <c r="G141" s="419"/>
      <c r="H141" s="629"/>
      <c r="I141" s="400" t="str">
        <f t="shared" si="33"/>
        <v>-</v>
      </c>
      <c r="J141" s="400" t="str">
        <f t="shared" si="34"/>
        <v>-</v>
      </c>
      <c r="K141" s="200" t="str">
        <f t="shared" si="35"/>
        <v>-</v>
      </c>
      <c r="L141" s="582"/>
      <c r="M141" s="201" t="e">
        <f>RANK(K141, K$112:$K$141)</f>
        <v>#VALUE!</v>
      </c>
      <c r="N141" s="564"/>
      <c r="O141" s="564"/>
      <c r="P141" s="418"/>
      <c r="Q141" s="418"/>
      <c r="R141" s="418"/>
      <c r="S141" s="418" t="e">
        <f t="shared" si="36"/>
        <v>#N/A</v>
      </c>
      <c r="T141" s="565"/>
      <c r="U141" s="418"/>
      <c r="V141" s="418"/>
      <c r="W141" s="418"/>
      <c r="X141" s="418" t="e">
        <f t="shared" si="37"/>
        <v>#N/A</v>
      </c>
      <c r="Y141" s="565"/>
      <c r="Z141" s="418"/>
      <c r="AA141" s="418"/>
      <c r="AB141" s="418"/>
      <c r="AC141" s="418" t="e">
        <f t="shared" si="38"/>
        <v>#N/A</v>
      </c>
      <c r="AD141" s="565"/>
      <c r="AE141" s="418"/>
      <c r="AF141" s="418"/>
      <c r="AG141" s="418"/>
      <c r="AH141" s="418" t="e">
        <f t="shared" si="39"/>
        <v>#N/A</v>
      </c>
      <c r="AI141" s="565"/>
      <c r="AJ141" s="418"/>
      <c r="AK141" s="418"/>
      <c r="AL141" s="418"/>
      <c r="AM141" s="418" t="e">
        <f t="shared" si="40"/>
        <v>#N/A</v>
      </c>
      <c r="AN141" s="565"/>
      <c r="AO141" s="418"/>
      <c r="AP141" s="418"/>
      <c r="AQ141" s="418"/>
      <c r="AR141" s="418" t="e">
        <f t="shared" si="41"/>
        <v>#N/A</v>
      </c>
      <c r="AS141" s="565"/>
      <c r="AT141" s="418"/>
      <c r="AU141" s="418"/>
      <c r="AV141" s="418"/>
      <c r="AW141" s="418" t="e">
        <f t="shared" si="42"/>
        <v>#N/A</v>
      </c>
      <c r="AX141" s="565"/>
      <c r="AZ141" s="407" t="e">
        <f t="shared" si="43"/>
        <v>#N/A</v>
      </c>
      <c r="BA141" s="565"/>
    </row>
    <row r="142" spans="2:53" ht="15.75">
      <c r="B142" s="593" t="s">
        <v>163</v>
      </c>
      <c r="C142" s="594"/>
      <c r="D142" s="594"/>
      <c r="E142" s="594"/>
      <c r="F142" s="594"/>
      <c r="G142" s="594"/>
      <c r="H142" s="595"/>
      <c r="I142" s="208"/>
      <c r="J142" s="208"/>
      <c r="K142" s="208"/>
      <c r="L142" s="208"/>
      <c r="M142" s="207"/>
      <c r="N142" s="566" t="s">
        <v>156</v>
      </c>
      <c r="O142" s="566" t="s">
        <v>105</v>
      </c>
      <c r="P142" s="592">
        <f>P107+7</f>
        <v>46168</v>
      </c>
      <c r="Q142" s="570"/>
      <c r="R142" s="570"/>
      <c r="S142" s="570"/>
      <c r="T142" s="570"/>
      <c r="U142" s="589">
        <f>P142+1</f>
        <v>46169</v>
      </c>
      <c r="V142" s="590"/>
      <c r="W142" s="590"/>
      <c r="X142" s="590"/>
      <c r="Y142" s="591"/>
      <c r="Z142" s="589">
        <f>U142+1</f>
        <v>46170</v>
      </c>
      <c r="AA142" s="590"/>
      <c r="AB142" s="590"/>
      <c r="AC142" s="590"/>
      <c r="AD142" s="591"/>
      <c r="AE142" s="589">
        <f>Z142+1</f>
        <v>46171</v>
      </c>
      <c r="AF142" s="590"/>
      <c r="AG142" s="590"/>
      <c r="AH142" s="590"/>
      <c r="AI142" s="591"/>
      <c r="AJ142" s="589">
        <f>AE142+1</f>
        <v>46172</v>
      </c>
      <c r="AK142" s="590"/>
      <c r="AL142" s="590"/>
      <c r="AM142" s="590"/>
      <c r="AN142" s="591"/>
      <c r="AO142" s="589">
        <f>AJ142+1</f>
        <v>46173</v>
      </c>
      <c r="AP142" s="590"/>
      <c r="AQ142" s="590"/>
      <c r="AR142" s="590"/>
      <c r="AS142" s="591"/>
      <c r="AT142" s="589">
        <f>AO142+1</f>
        <v>46174</v>
      </c>
      <c r="AU142" s="590"/>
      <c r="AV142" s="590"/>
      <c r="AW142" s="590"/>
      <c r="AX142" s="591"/>
    </row>
    <row r="143" spans="2:53" ht="15.75">
      <c r="B143" s="596"/>
      <c r="C143" s="596"/>
      <c r="D143" s="596"/>
      <c r="E143" s="596"/>
      <c r="F143" s="596"/>
      <c r="G143" s="596"/>
      <c r="H143" s="596"/>
      <c r="I143" s="205"/>
      <c r="J143" s="205"/>
      <c r="K143" s="205"/>
      <c r="L143" s="205"/>
      <c r="M143" s="206"/>
      <c r="N143" s="568"/>
      <c r="O143" s="568"/>
      <c r="P143" s="592" t="s">
        <v>318</v>
      </c>
      <c r="Q143" s="570"/>
      <c r="R143" s="570"/>
      <c r="S143" s="570"/>
      <c r="T143" s="570"/>
      <c r="U143" s="592" t="s">
        <v>319</v>
      </c>
      <c r="V143" s="570"/>
      <c r="W143" s="570"/>
      <c r="X143" s="570"/>
      <c r="Y143" s="570"/>
      <c r="Z143" s="592" t="s">
        <v>320</v>
      </c>
      <c r="AA143" s="570"/>
      <c r="AB143" s="570"/>
      <c r="AC143" s="570"/>
      <c r="AD143" s="570"/>
      <c r="AE143" s="592" t="s">
        <v>321</v>
      </c>
      <c r="AF143" s="570"/>
      <c r="AG143" s="570"/>
      <c r="AH143" s="570"/>
      <c r="AI143" s="570"/>
      <c r="AJ143" s="592" t="s">
        <v>322</v>
      </c>
      <c r="AK143" s="570"/>
      <c r="AL143" s="570"/>
      <c r="AM143" s="570"/>
      <c r="AN143" s="570"/>
      <c r="AO143" s="592" t="s">
        <v>323</v>
      </c>
      <c r="AP143" s="570"/>
      <c r="AQ143" s="570"/>
      <c r="AR143" s="570"/>
      <c r="AS143" s="570"/>
      <c r="AT143" s="592" t="s">
        <v>324</v>
      </c>
      <c r="AU143" s="570"/>
      <c r="AV143" s="570"/>
      <c r="AW143" s="570"/>
      <c r="AX143" s="570"/>
    </row>
    <row r="144" spans="2:53">
      <c r="B144" s="564" t="s">
        <v>420</v>
      </c>
      <c r="C144" s="564" t="s">
        <v>421</v>
      </c>
      <c r="D144" s="564"/>
      <c r="E144" s="564" t="s">
        <v>422</v>
      </c>
      <c r="F144" s="564"/>
      <c r="G144" s="564"/>
      <c r="H144" s="597" t="s">
        <v>423</v>
      </c>
      <c r="I144" s="616" t="s">
        <v>424</v>
      </c>
      <c r="J144" s="616"/>
      <c r="K144" s="616"/>
      <c r="L144" s="617" t="s">
        <v>423</v>
      </c>
      <c r="M144" s="602" t="s">
        <v>425</v>
      </c>
      <c r="N144" s="564"/>
      <c r="O144" s="564" t="s">
        <v>426</v>
      </c>
      <c r="P144" s="583" t="s">
        <v>427</v>
      </c>
      <c r="Q144" s="584"/>
      <c r="R144" s="584"/>
      <c r="S144" s="585"/>
      <c r="T144" s="564" t="s">
        <v>423</v>
      </c>
      <c r="U144" s="583" t="s">
        <v>427</v>
      </c>
      <c r="V144" s="584"/>
      <c r="W144" s="584"/>
      <c r="X144" s="585"/>
      <c r="Y144" s="564" t="s">
        <v>423</v>
      </c>
      <c r="Z144" s="583" t="s">
        <v>427</v>
      </c>
      <c r="AA144" s="584"/>
      <c r="AB144" s="584"/>
      <c r="AC144" s="585"/>
      <c r="AD144" s="564" t="s">
        <v>423</v>
      </c>
      <c r="AE144" s="583" t="s">
        <v>427</v>
      </c>
      <c r="AF144" s="584"/>
      <c r="AG144" s="584"/>
      <c r="AH144" s="585"/>
      <c r="AI144" s="564" t="s">
        <v>423</v>
      </c>
      <c r="AJ144" s="583" t="s">
        <v>427</v>
      </c>
      <c r="AK144" s="584"/>
      <c r="AL144" s="584"/>
      <c r="AM144" s="585"/>
      <c r="AN144" s="564" t="s">
        <v>423</v>
      </c>
      <c r="AO144" s="583" t="s">
        <v>427</v>
      </c>
      <c r="AP144" s="584"/>
      <c r="AQ144" s="584"/>
      <c r="AR144" s="585"/>
      <c r="AS144" s="564" t="s">
        <v>423</v>
      </c>
      <c r="AT144" s="583" t="s">
        <v>427</v>
      </c>
      <c r="AU144" s="584"/>
      <c r="AV144" s="584"/>
      <c r="AW144" s="585"/>
      <c r="AX144" s="564" t="s">
        <v>423</v>
      </c>
      <c r="BA144" s="564" t="s">
        <v>374</v>
      </c>
    </row>
    <row r="145" spans="2:53">
      <c r="B145" s="564"/>
      <c r="C145" s="564"/>
      <c r="D145" s="564"/>
      <c r="E145" s="564" t="s">
        <v>428</v>
      </c>
      <c r="F145" s="564"/>
      <c r="G145" s="564"/>
      <c r="H145" s="598"/>
      <c r="I145" s="616" t="s">
        <v>428</v>
      </c>
      <c r="J145" s="616"/>
      <c r="K145" s="616"/>
      <c r="L145" s="618"/>
      <c r="M145" s="603"/>
      <c r="N145" s="564"/>
      <c r="O145" s="564"/>
      <c r="P145" s="583" t="s">
        <v>429</v>
      </c>
      <c r="Q145" s="584"/>
      <c r="R145" s="584"/>
      <c r="S145" s="585"/>
      <c r="T145" s="564"/>
      <c r="U145" s="583" t="s">
        <v>429</v>
      </c>
      <c r="V145" s="584"/>
      <c r="W145" s="584"/>
      <c r="X145" s="585"/>
      <c r="Y145" s="564"/>
      <c r="Z145" s="583" t="s">
        <v>429</v>
      </c>
      <c r="AA145" s="584"/>
      <c r="AB145" s="584"/>
      <c r="AC145" s="585"/>
      <c r="AD145" s="564"/>
      <c r="AE145" s="583" t="s">
        <v>429</v>
      </c>
      <c r="AF145" s="584"/>
      <c r="AG145" s="584"/>
      <c r="AH145" s="585"/>
      <c r="AI145" s="564"/>
      <c r="AJ145" s="583" t="s">
        <v>429</v>
      </c>
      <c r="AK145" s="584"/>
      <c r="AL145" s="584"/>
      <c r="AM145" s="585"/>
      <c r="AN145" s="564"/>
      <c r="AO145" s="583" t="s">
        <v>429</v>
      </c>
      <c r="AP145" s="584"/>
      <c r="AQ145" s="584"/>
      <c r="AR145" s="585"/>
      <c r="AS145" s="564"/>
      <c r="AT145" s="583" t="s">
        <v>429</v>
      </c>
      <c r="AU145" s="584"/>
      <c r="AV145" s="584"/>
      <c r="AW145" s="585"/>
      <c r="AX145" s="564"/>
      <c r="BA145" s="564"/>
    </row>
    <row r="146" spans="2:53">
      <c r="B146" s="564"/>
      <c r="C146" s="564"/>
      <c r="D146" s="564"/>
      <c r="E146" s="288" t="s">
        <v>430</v>
      </c>
      <c r="F146" s="288" t="s">
        <v>431</v>
      </c>
      <c r="G146" s="288" t="s">
        <v>432</v>
      </c>
      <c r="H146" s="599"/>
      <c r="I146" s="289" t="s">
        <v>430</v>
      </c>
      <c r="J146" s="289" t="s">
        <v>431</v>
      </c>
      <c r="K146" s="289" t="s">
        <v>432</v>
      </c>
      <c r="L146" s="619"/>
      <c r="M146" s="604"/>
      <c r="N146" s="564"/>
      <c r="O146" s="564"/>
      <c r="P146" s="288" t="s">
        <v>430</v>
      </c>
      <c r="Q146" s="288" t="s">
        <v>431</v>
      </c>
      <c r="R146" s="288" t="s">
        <v>432</v>
      </c>
      <c r="S146" s="288" t="s">
        <v>425</v>
      </c>
      <c r="T146" s="564"/>
      <c r="U146" s="288" t="s">
        <v>430</v>
      </c>
      <c r="V146" s="288" t="s">
        <v>431</v>
      </c>
      <c r="W146" s="288" t="s">
        <v>432</v>
      </c>
      <c r="X146" s="288" t="s">
        <v>425</v>
      </c>
      <c r="Y146" s="564"/>
      <c r="Z146" s="288" t="s">
        <v>430</v>
      </c>
      <c r="AA146" s="288" t="s">
        <v>431</v>
      </c>
      <c r="AB146" s="288" t="s">
        <v>432</v>
      </c>
      <c r="AC146" s="288" t="s">
        <v>425</v>
      </c>
      <c r="AD146" s="564"/>
      <c r="AE146" s="288" t="s">
        <v>430</v>
      </c>
      <c r="AF146" s="288" t="s">
        <v>431</v>
      </c>
      <c r="AG146" s="288" t="s">
        <v>432</v>
      </c>
      <c r="AH146" s="288" t="s">
        <v>425</v>
      </c>
      <c r="AI146" s="564"/>
      <c r="AJ146" s="288" t="s">
        <v>430</v>
      </c>
      <c r="AK146" s="288" t="s">
        <v>431</v>
      </c>
      <c r="AL146" s="288" t="s">
        <v>432</v>
      </c>
      <c r="AM146" s="288" t="s">
        <v>425</v>
      </c>
      <c r="AN146" s="564"/>
      <c r="AO146" s="288" t="s">
        <v>430</v>
      </c>
      <c r="AP146" s="288" t="s">
        <v>431</v>
      </c>
      <c r="AQ146" s="288" t="s">
        <v>432</v>
      </c>
      <c r="AR146" s="288" t="s">
        <v>425</v>
      </c>
      <c r="AS146" s="564"/>
      <c r="AT146" s="288" t="s">
        <v>430</v>
      </c>
      <c r="AU146" s="288" t="s">
        <v>431</v>
      </c>
      <c r="AV146" s="288" t="s">
        <v>432</v>
      </c>
      <c r="AW146" s="288" t="s">
        <v>425</v>
      </c>
      <c r="AX146" s="564"/>
      <c r="AZ146" s="406" t="s">
        <v>375</v>
      </c>
      <c r="BA146" s="564"/>
    </row>
    <row r="147" spans="2:53">
      <c r="B147" s="564" t="s">
        <v>433</v>
      </c>
      <c r="C147" s="287">
        <v>1</v>
      </c>
      <c r="D147" s="226"/>
      <c r="E147" s="425"/>
      <c r="F147" s="418"/>
      <c r="G147" s="419"/>
      <c r="H147" s="627" t="e">
        <f>AVERAGE(G147:G176)</f>
        <v>#DIV/0!</v>
      </c>
      <c r="I147" s="400" t="str">
        <f>IFERROR(AVERAGE(P147,U147,Z147,AE147,AJ147,AO147,AT147),"-")</f>
        <v>-</v>
      </c>
      <c r="J147" s="400" t="str">
        <f>IFERROR(AVERAGE(Q147,V147,AA147,AF147,AK147,AP147,AU147),"-")</f>
        <v>-</v>
      </c>
      <c r="K147" s="200" t="str">
        <f>IFERROR(AVERAGE(R147,W147,AB147,AG147,AL147,AQ147,AV147),"-")</f>
        <v>-</v>
      </c>
      <c r="L147" s="580" t="str">
        <f>IFERROR(AVERAGE(K147:K176),"-")</f>
        <v>-</v>
      </c>
      <c r="M147" s="201" t="e">
        <f>RANK(K147, K$147:$K$176)</f>
        <v>#VALUE!</v>
      </c>
      <c r="N147" s="564"/>
      <c r="O147" s="564"/>
      <c r="P147" s="425"/>
      <c r="Q147" s="425"/>
      <c r="R147" s="425"/>
      <c r="S147" s="418" t="e">
        <f>RANK(R147, R$147:R$176)</f>
        <v>#N/A</v>
      </c>
      <c r="T147" s="565" t="e">
        <f>AVERAGE(R147:R176)</f>
        <v>#DIV/0!</v>
      </c>
      <c r="U147" s="425"/>
      <c r="V147" s="425"/>
      <c r="W147" s="425"/>
      <c r="X147" s="418" t="e">
        <f>RANK(W147, W$147:W$176)</f>
        <v>#N/A</v>
      </c>
      <c r="Y147" s="565" t="e">
        <f>AVERAGE(W147:W176)</f>
        <v>#DIV/0!</v>
      </c>
      <c r="Z147" s="425"/>
      <c r="AA147" s="425"/>
      <c r="AB147" s="425"/>
      <c r="AC147" s="418" t="e">
        <f>RANK(AB147, AB$147:AB$176)</f>
        <v>#N/A</v>
      </c>
      <c r="AD147" s="565" t="e">
        <f>AVERAGE(AB147:AB176)</f>
        <v>#DIV/0!</v>
      </c>
      <c r="AE147" s="425"/>
      <c r="AF147" s="425"/>
      <c r="AG147" s="425"/>
      <c r="AH147" s="418" t="e">
        <f>RANK(AG147, AG$147:AG$176)</f>
        <v>#N/A</v>
      </c>
      <c r="AI147" s="565" t="e">
        <f>AVERAGE(AG147:AG176)</f>
        <v>#DIV/0!</v>
      </c>
      <c r="AJ147" s="425"/>
      <c r="AK147" s="425"/>
      <c r="AL147" s="425"/>
      <c r="AM147" s="418" t="e">
        <f>RANK(AL147, AL$147:AL$176)</f>
        <v>#N/A</v>
      </c>
      <c r="AN147" s="565" t="e">
        <f>AVERAGE(AL147:AL176)</f>
        <v>#DIV/0!</v>
      </c>
      <c r="AO147" s="425"/>
      <c r="AP147" s="425"/>
      <c r="AQ147" s="425"/>
      <c r="AR147" s="418" t="e">
        <f>RANK(AQ147, AQ$147:AQ$176)</f>
        <v>#N/A</v>
      </c>
      <c r="AS147" s="565" t="e">
        <f>AVERAGE(AQ147:AQ176)</f>
        <v>#DIV/0!</v>
      </c>
      <c r="AT147" s="425"/>
      <c r="AU147" s="425"/>
      <c r="AV147" s="425"/>
      <c r="AW147" s="418" t="e">
        <f>RANK(AV147, AV$147:AV$176)</f>
        <v>#N/A</v>
      </c>
      <c r="AX147" s="565" t="e">
        <f>AVERAGE(AV147:AV176)</f>
        <v>#DIV/0!</v>
      </c>
      <c r="AZ147" s="407" t="e">
        <f>RANK(AY147, AY$147:AY$176)</f>
        <v>#N/A</v>
      </c>
      <c r="BA147" s="565" t="e">
        <f>AVERAGE(AY147:AY176)</f>
        <v>#DIV/0!</v>
      </c>
    </row>
    <row r="148" spans="2:53">
      <c r="B148" s="570"/>
      <c r="C148" s="287">
        <v>2</v>
      </c>
      <c r="D148" s="226"/>
      <c r="E148" s="425"/>
      <c r="F148" s="418"/>
      <c r="G148" s="419"/>
      <c r="H148" s="628"/>
      <c r="I148" s="400" t="str">
        <f t="shared" ref="I148:I176" si="44">IFERROR(AVERAGE(P148,U148,Z148,AE148,AJ148,AO148,AT148),"-")</f>
        <v>-</v>
      </c>
      <c r="J148" s="400" t="str">
        <f t="shared" ref="J148:J176" si="45">IFERROR(AVERAGE(Q148,V148,AA148,AF148,AK148,AP148,AU148),"-")</f>
        <v>-</v>
      </c>
      <c r="K148" s="200" t="str">
        <f t="shared" ref="K148:K176" si="46">IFERROR(AVERAGE(R148,W148,AB148,AG148,AL148,AQ148,AV148),"-")</f>
        <v>-</v>
      </c>
      <c r="L148" s="581"/>
      <c r="M148" s="201" t="e">
        <f>RANK(K148, K$147:$K$176)</f>
        <v>#VALUE!</v>
      </c>
      <c r="N148" s="564"/>
      <c r="O148" s="564"/>
      <c r="P148" s="425"/>
      <c r="Q148" s="425"/>
      <c r="R148" s="425"/>
      <c r="S148" s="418" t="e">
        <f t="shared" ref="S148:S176" si="47">RANK(R148, R$147:R$176)</f>
        <v>#N/A</v>
      </c>
      <c r="T148" s="565"/>
      <c r="U148" s="425"/>
      <c r="V148" s="425"/>
      <c r="W148" s="425"/>
      <c r="X148" s="418" t="e">
        <f t="shared" ref="X148:X176" si="48">RANK(W148, W$147:W$176)</f>
        <v>#N/A</v>
      </c>
      <c r="Y148" s="565"/>
      <c r="Z148" s="425"/>
      <c r="AA148" s="425"/>
      <c r="AB148" s="425"/>
      <c r="AC148" s="418" t="e">
        <f t="shared" ref="AC148:AC176" si="49">RANK(AB148, AB$147:AB$176)</f>
        <v>#N/A</v>
      </c>
      <c r="AD148" s="565"/>
      <c r="AE148" s="425"/>
      <c r="AF148" s="425"/>
      <c r="AG148" s="425"/>
      <c r="AH148" s="418" t="e">
        <f t="shared" ref="AH148:AH176" si="50">RANK(AG148, AG$147:AG$176)</f>
        <v>#N/A</v>
      </c>
      <c r="AI148" s="565"/>
      <c r="AJ148" s="425"/>
      <c r="AK148" s="425"/>
      <c r="AL148" s="425"/>
      <c r="AM148" s="418" t="e">
        <f t="shared" ref="AM148:AM176" si="51">RANK(AL148, AL$147:AL$176)</f>
        <v>#N/A</v>
      </c>
      <c r="AN148" s="565"/>
      <c r="AO148" s="425"/>
      <c r="AP148" s="425"/>
      <c r="AQ148" s="425"/>
      <c r="AR148" s="418" t="e">
        <f t="shared" ref="AR148:AR176" si="52">RANK(AQ148, AQ$147:AQ$176)</f>
        <v>#N/A</v>
      </c>
      <c r="AS148" s="565"/>
      <c r="AT148" s="425"/>
      <c r="AU148" s="425"/>
      <c r="AV148" s="425"/>
      <c r="AW148" s="418" t="e">
        <f t="shared" ref="AW148:AW176" si="53">RANK(AV148, AV$147:AV$176)</f>
        <v>#N/A</v>
      </c>
      <c r="AX148" s="565"/>
      <c r="AZ148" s="407" t="e">
        <f t="shared" ref="AZ148:AZ176" si="54">RANK(AY148, AY$147:AY$176)</f>
        <v>#N/A</v>
      </c>
      <c r="BA148" s="565"/>
    </row>
    <row r="149" spans="2:53">
      <c r="B149" s="570"/>
      <c r="C149" s="287">
        <v>3</v>
      </c>
      <c r="D149" s="226"/>
      <c r="E149" s="425"/>
      <c r="F149" s="418"/>
      <c r="G149" s="419"/>
      <c r="H149" s="628"/>
      <c r="I149" s="400" t="str">
        <f t="shared" si="44"/>
        <v>-</v>
      </c>
      <c r="J149" s="400" t="str">
        <f t="shared" si="45"/>
        <v>-</v>
      </c>
      <c r="K149" s="200" t="str">
        <f t="shared" si="46"/>
        <v>-</v>
      </c>
      <c r="L149" s="581"/>
      <c r="M149" s="201" t="e">
        <f>RANK(K149, K$147:$K$176)</f>
        <v>#VALUE!</v>
      </c>
      <c r="N149" s="564"/>
      <c r="O149" s="564"/>
      <c r="P149" s="425"/>
      <c r="Q149" s="425"/>
      <c r="R149" s="425"/>
      <c r="S149" s="418" t="e">
        <f t="shared" si="47"/>
        <v>#N/A</v>
      </c>
      <c r="T149" s="565"/>
      <c r="U149" s="425"/>
      <c r="V149" s="425"/>
      <c r="W149" s="425"/>
      <c r="X149" s="418" t="e">
        <f t="shared" si="48"/>
        <v>#N/A</v>
      </c>
      <c r="Y149" s="565"/>
      <c r="Z149" s="425"/>
      <c r="AA149" s="425"/>
      <c r="AB149" s="425"/>
      <c r="AC149" s="418" t="e">
        <f t="shared" si="49"/>
        <v>#N/A</v>
      </c>
      <c r="AD149" s="565"/>
      <c r="AE149" s="425"/>
      <c r="AF149" s="425"/>
      <c r="AG149" s="425"/>
      <c r="AH149" s="418" t="e">
        <f t="shared" si="50"/>
        <v>#N/A</v>
      </c>
      <c r="AI149" s="565"/>
      <c r="AJ149" s="425"/>
      <c r="AK149" s="425"/>
      <c r="AL149" s="425"/>
      <c r="AM149" s="418" t="e">
        <f t="shared" si="51"/>
        <v>#N/A</v>
      </c>
      <c r="AN149" s="565"/>
      <c r="AO149" s="425"/>
      <c r="AP149" s="425"/>
      <c r="AQ149" s="425"/>
      <c r="AR149" s="418" t="e">
        <f t="shared" si="52"/>
        <v>#N/A</v>
      </c>
      <c r="AS149" s="565"/>
      <c r="AT149" s="425"/>
      <c r="AU149" s="425"/>
      <c r="AV149" s="425"/>
      <c r="AW149" s="418" t="e">
        <f t="shared" si="53"/>
        <v>#N/A</v>
      </c>
      <c r="AX149" s="565"/>
      <c r="AZ149" s="407" t="e">
        <f t="shared" si="54"/>
        <v>#N/A</v>
      </c>
      <c r="BA149" s="565"/>
    </row>
    <row r="150" spans="2:53">
      <c r="B150" s="570"/>
      <c r="C150" s="287">
        <v>4</v>
      </c>
      <c r="D150" s="226"/>
      <c r="E150" s="425"/>
      <c r="F150" s="418"/>
      <c r="G150" s="419"/>
      <c r="H150" s="628"/>
      <c r="I150" s="400" t="str">
        <f t="shared" si="44"/>
        <v>-</v>
      </c>
      <c r="J150" s="400" t="str">
        <f t="shared" si="45"/>
        <v>-</v>
      </c>
      <c r="K150" s="200" t="str">
        <f t="shared" si="46"/>
        <v>-</v>
      </c>
      <c r="L150" s="581"/>
      <c r="M150" s="201" t="e">
        <f>RANK(K150, K$147:$K$176)</f>
        <v>#VALUE!</v>
      </c>
      <c r="N150" s="564"/>
      <c r="O150" s="564"/>
      <c r="P150" s="425"/>
      <c r="Q150" s="425"/>
      <c r="R150" s="425"/>
      <c r="S150" s="418" t="e">
        <f t="shared" si="47"/>
        <v>#N/A</v>
      </c>
      <c r="T150" s="565"/>
      <c r="U150" s="425"/>
      <c r="V150" s="425"/>
      <c r="W150" s="425"/>
      <c r="X150" s="418" t="e">
        <f t="shared" si="48"/>
        <v>#N/A</v>
      </c>
      <c r="Y150" s="565"/>
      <c r="Z150" s="425"/>
      <c r="AA150" s="425"/>
      <c r="AB150" s="425"/>
      <c r="AC150" s="418" t="e">
        <f t="shared" si="49"/>
        <v>#N/A</v>
      </c>
      <c r="AD150" s="565"/>
      <c r="AE150" s="425"/>
      <c r="AF150" s="425"/>
      <c r="AG150" s="425"/>
      <c r="AH150" s="418" t="e">
        <f t="shared" si="50"/>
        <v>#N/A</v>
      </c>
      <c r="AI150" s="565"/>
      <c r="AJ150" s="425"/>
      <c r="AK150" s="425"/>
      <c r="AL150" s="425"/>
      <c r="AM150" s="418" t="e">
        <f t="shared" si="51"/>
        <v>#N/A</v>
      </c>
      <c r="AN150" s="565"/>
      <c r="AO150" s="425"/>
      <c r="AP150" s="425"/>
      <c r="AQ150" s="425"/>
      <c r="AR150" s="418" t="e">
        <f t="shared" si="52"/>
        <v>#N/A</v>
      </c>
      <c r="AS150" s="565"/>
      <c r="AT150" s="425"/>
      <c r="AU150" s="425"/>
      <c r="AV150" s="425"/>
      <c r="AW150" s="418" t="e">
        <f t="shared" si="53"/>
        <v>#N/A</v>
      </c>
      <c r="AX150" s="565"/>
      <c r="AZ150" s="407" t="e">
        <f t="shared" si="54"/>
        <v>#N/A</v>
      </c>
      <c r="BA150" s="565"/>
    </row>
    <row r="151" spans="2:53">
      <c r="B151" s="570"/>
      <c r="C151" s="287">
        <v>5</v>
      </c>
      <c r="D151" s="226"/>
      <c r="E151" s="425"/>
      <c r="F151" s="418"/>
      <c r="G151" s="419"/>
      <c r="H151" s="628"/>
      <c r="I151" s="400" t="str">
        <f t="shared" si="44"/>
        <v>-</v>
      </c>
      <c r="J151" s="400" t="str">
        <f t="shared" si="45"/>
        <v>-</v>
      </c>
      <c r="K151" s="200" t="str">
        <f t="shared" si="46"/>
        <v>-</v>
      </c>
      <c r="L151" s="581"/>
      <c r="M151" s="201" t="e">
        <f>RANK(K151, K$147:$K$176)</f>
        <v>#VALUE!</v>
      </c>
      <c r="N151" s="564"/>
      <c r="O151" s="564"/>
      <c r="P151" s="425"/>
      <c r="Q151" s="425"/>
      <c r="R151" s="425"/>
      <c r="S151" s="418" t="e">
        <f t="shared" si="47"/>
        <v>#N/A</v>
      </c>
      <c r="T151" s="565"/>
      <c r="U151" s="425"/>
      <c r="V151" s="425"/>
      <c r="W151" s="425"/>
      <c r="X151" s="418" t="e">
        <f t="shared" si="48"/>
        <v>#N/A</v>
      </c>
      <c r="Y151" s="565"/>
      <c r="Z151" s="425"/>
      <c r="AA151" s="425"/>
      <c r="AB151" s="425"/>
      <c r="AC151" s="418" t="e">
        <f t="shared" si="49"/>
        <v>#N/A</v>
      </c>
      <c r="AD151" s="565"/>
      <c r="AE151" s="425"/>
      <c r="AF151" s="425"/>
      <c r="AG151" s="425"/>
      <c r="AH151" s="418" t="e">
        <f t="shared" si="50"/>
        <v>#N/A</v>
      </c>
      <c r="AI151" s="565"/>
      <c r="AJ151" s="425"/>
      <c r="AK151" s="425"/>
      <c r="AL151" s="425"/>
      <c r="AM151" s="418" t="e">
        <f t="shared" si="51"/>
        <v>#N/A</v>
      </c>
      <c r="AN151" s="565"/>
      <c r="AO151" s="425"/>
      <c r="AP151" s="425"/>
      <c r="AQ151" s="425"/>
      <c r="AR151" s="418" t="e">
        <f t="shared" si="52"/>
        <v>#N/A</v>
      </c>
      <c r="AS151" s="565"/>
      <c r="AT151" s="425"/>
      <c r="AU151" s="425"/>
      <c r="AV151" s="425"/>
      <c r="AW151" s="418" t="e">
        <f t="shared" si="53"/>
        <v>#N/A</v>
      </c>
      <c r="AX151" s="565"/>
      <c r="AZ151" s="407" t="e">
        <f t="shared" si="54"/>
        <v>#N/A</v>
      </c>
      <c r="BA151" s="565"/>
    </row>
    <row r="152" spans="2:53">
      <c r="B152" s="570"/>
      <c r="C152" s="287">
        <v>6</v>
      </c>
      <c r="D152" s="226"/>
      <c r="E152" s="425"/>
      <c r="F152" s="418"/>
      <c r="G152" s="419"/>
      <c r="H152" s="628"/>
      <c r="I152" s="400" t="str">
        <f t="shared" si="44"/>
        <v>-</v>
      </c>
      <c r="J152" s="400" t="str">
        <f t="shared" si="45"/>
        <v>-</v>
      </c>
      <c r="K152" s="200" t="str">
        <f t="shared" si="46"/>
        <v>-</v>
      </c>
      <c r="L152" s="581"/>
      <c r="M152" s="201" t="e">
        <f>RANK(K152, K$147:$K$176)</f>
        <v>#VALUE!</v>
      </c>
      <c r="N152" s="564"/>
      <c r="O152" s="564"/>
      <c r="P152" s="425"/>
      <c r="Q152" s="425"/>
      <c r="R152" s="425"/>
      <c r="S152" s="418" t="e">
        <f t="shared" si="47"/>
        <v>#N/A</v>
      </c>
      <c r="T152" s="565"/>
      <c r="U152" s="425"/>
      <c r="V152" s="425"/>
      <c r="W152" s="425"/>
      <c r="X152" s="418" t="e">
        <f t="shared" si="48"/>
        <v>#N/A</v>
      </c>
      <c r="Y152" s="565"/>
      <c r="Z152" s="425"/>
      <c r="AA152" s="425"/>
      <c r="AB152" s="425"/>
      <c r="AC152" s="418" t="e">
        <f t="shared" si="49"/>
        <v>#N/A</v>
      </c>
      <c r="AD152" s="565"/>
      <c r="AE152" s="425"/>
      <c r="AF152" s="425"/>
      <c r="AG152" s="425"/>
      <c r="AH152" s="418" t="e">
        <f t="shared" si="50"/>
        <v>#N/A</v>
      </c>
      <c r="AI152" s="565"/>
      <c r="AJ152" s="425"/>
      <c r="AK152" s="425"/>
      <c r="AL152" s="425"/>
      <c r="AM152" s="418" t="e">
        <f t="shared" si="51"/>
        <v>#N/A</v>
      </c>
      <c r="AN152" s="565"/>
      <c r="AO152" s="425"/>
      <c r="AP152" s="425"/>
      <c r="AQ152" s="425"/>
      <c r="AR152" s="418" t="e">
        <f t="shared" si="52"/>
        <v>#N/A</v>
      </c>
      <c r="AS152" s="565"/>
      <c r="AT152" s="425"/>
      <c r="AU152" s="425"/>
      <c r="AV152" s="425"/>
      <c r="AW152" s="418" t="e">
        <f t="shared" si="53"/>
        <v>#N/A</v>
      </c>
      <c r="AX152" s="565"/>
      <c r="AZ152" s="407" t="e">
        <f t="shared" si="54"/>
        <v>#N/A</v>
      </c>
      <c r="BA152" s="565"/>
    </row>
    <row r="153" spans="2:53">
      <c r="B153" s="570"/>
      <c r="C153" s="287">
        <v>7</v>
      </c>
      <c r="D153" s="226"/>
      <c r="E153" s="425"/>
      <c r="F153" s="418"/>
      <c r="G153" s="419"/>
      <c r="H153" s="628"/>
      <c r="I153" s="400" t="str">
        <f t="shared" si="44"/>
        <v>-</v>
      </c>
      <c r="J153" s="400" t="str">
        <f t="shared" si="45"/>
        <v>-</v>
      </c>
      <c r="K153" s="200" t="str">
        <f t="shared" si="46"/>
        <v>-</v>
      </c>
      <c r="L153" s="581"/>
      <c r="M153" s="201" t="e">
        <f>RANK(K153, K$147:$K$176)</f>
        <v>#VALUE!</v>
      </c>
      <c r="N153" s="564"/>
      <c r="O153" s="564"/>
      <c r="P153" s="425"/>
      <c r="Q153" s="425"/>
      <c r="R153" s="425"/>
      <c r="S153" s="418" t="e">
        <f t="shared" si="47"/>
        <v>#N/A</v>
      </c>
      <c r="T153" s="565"/>
      <c r="U153" s="425"/>
      <c r="V153" s="425"/>
      <c r="W153" s="425"/>
      <c r="X153" s="418" t="e">
        <f t="shared" si="48"/>
        <v>#N/A</v>
      </c>
      <c r="Y153" s="565"/>
      <c r="Z153" s="425"/>
      <c r="AA153" s="425"/>
      <c r="AB153" s="425"/>
      <c r="AC153" s="418" t="e">
        <f t="shared" si="49"/>
        <v>#N/A</v>
      </c>
      <c r="AD153" s="565"/>
      <c r="AE153" s="425"/>
      <c r="AF153" s="425"/>
      <c r="AG153" s="425"/>
      <c r="AH153" s="418" t="e">
        <f t="shared" si="50"/>
        <v>#N/A</v>
      </c>
      <c r="AI153" s="565"/>
      <c r="AJ153" s="425"/>
      <c r="AK153" s="425"/>
      <c r="AL153" s="425"/>
      <c r="AM153" s="418" t="e">
        <f t="shared" si="51"/>
        <v>#N/A</v>
      </c>
      <c r="AN153" s="565"/>
      <c r="AO153" s="425"/>
      <c r="AP153" s="425"/>
      <c r="AQ153" s="425"/>
      <c r="AR153" s="418" t="e">
        <f t="shared" si="52"/>
        <v>#N/A</v>
      </c>
      <c r="AS153" s="565"/>
      <c r="AT153" s="425"/>
      <c r="AU153" s="425"/>
      <c r="AV153" s="425"/>
      <c r="AW153" s="418" t="e">
        <f t="shared" si="53"/>
        <v>#N/A</v>
      </c>
      <c r="AX153" s="565"/>
      <c r="AZ153" s="407" t="e">
        <f t="shared" si="54"/>
        <v>#N/A</v>
      </c>
      <c r="BA153" s="565"/>
    </row>
    <row r="154" spans="2:53">
      <c r="B154" s="570"/>
      <c r="C154" s="287">
        <v>8</v>
      </c>
      <c r="D154" s="226"/>
      <c r="E154" s="425"/>
      <c r="F154" s="418"/>
      <c r="G154" s="419"/>
      <c r="H154" s="628"/>
      <c r="I154" s="400" t="str">
        <f t="shared" si="44"/>
        <v>-</v>
      </c>
      <c r="J154" s="400" t="str">
        <f t="shared" si="45"/>
        <v>-</v>
      </c>
      <c r="K154" s="200" t="str">
        <f t="shared" si="46"/>
        <v>-</v>
      </c>
      <c r="L154" s="581"/>
      <c r="M154" s="201" t="e">
        <f>RANK(K154, K$147:$K$176)</f>
        <v>#VALUE!</v>
      </c>
      <c r="N154" s="564"/>
      <c r="O154" s="564"/>
      <c r="P154" s="425"/>
      <c r="Q154" s="425"/>
      <c r="R154" s="425"/>
      <c r="S154" s="418" t="e">
        <f t="shared" si="47"/>
        <v>#N/A</v>
      </c>
      <c r="T154" s="565"/>
      <c r="U154" s="425"/>
      <c r="V154" s="425"/>
      <c r="W154" s="425"/>
      <c r="X154" s="418" t="e">
        <f t="shared" si="48"/>
        <v>#N/A</v>
      </c>
      <c r="Y154" s="565"/>
      <c r="Z154" s="425"/>
      <c r="AA154" s="425"/>
      <c r="AB154" s="425"/>
      <c r="AC154" s="418" t="e">
        <f t="shared" si="49"/>
        <v>#N/A</v>
      </c>
      <c r="AD154" s="565"/>
      <c r="AE154" s="425"/>
      <c r="AF154" s="425"/>
      <c r="AG154" s="425"/>
      <c r="AH154" s="418" t="e">
        <f t="shared" si="50"/>
        <v>#N/A</v>
      </c>
      <c r="AI154" s="565"/>
      <c r="AJ154" s="425"/>
      <c r="AK154" s="425"/>
      <c r="AL154" s="425"/>
      <c r="AM154" s="418" t="e">
        <f t="shared" si="51"/>
        <v>#N/A</v>
      </c>
      <c r="AN154" s="565"/>
      <c r="AO154" s="425"/>
      <c r="AP154" s="425"/>
      <c r="AQ154" s="425"/>
      <c r="AR154" s="418" t="e">
        <f t="shared" si="52"/>
        <v>#N/A</v>
      </c>
      <c r="AS154" s="565"/>
      <c r="AT154" s="425"/>
      <c r="AU154" s="425"/>
      <c r="AV154" s="425"/>
      <c r="AW154" s="418" t="e">
        <f t="shared" si="53"/>
        <v>#N/A</v>
      </c>
      <c r="AX154" s="565"/>
      <c r="AZ154" s="407" t="e">
        <f t="shared" si="54"/>
        <v>#N/A</v>
      </c>
      <c r="BA154" s="565"/>
    </row>
    <row r="155" spans="2:53">
      <c r="B155" s="570"/>
      <c r="C155" s="287">
        <v>9</v>
      </c>
      <c r="D155" s="226"/>
      <c r="E155" s="425"/>
      <c r="F155" s="418"/>
      <c r="G155" s="419"/>
      <c r="H155" s="628"/>
      <c r="I155" s="400" t="str">
        <f t="shared" si="44"/>
        <v>-</v>
      </c>
      <c r="J155" s="400" t="str">
        <f t="shared" si="45"/>
        <v>-</v>
      </c>
      <c r="K155" s="200" t="str">
        <f t="shared" si="46"/>
        <v>-</v>
      </c>
      <c r="L155" s="581"/>
      <c r="M155" s="201" t="e">
        <f>RANK(K155, K$147:$K$176)</f>
        <v>#VALUE!</v>
      </c>
      <c r="N155" s="564"/>
      <c r="O155" s="564"/>
      <c r="P155" s="425"/>
      <c r="Q155" s="425"/>
      <c r="R155" s="425"/>
      <c r="S155" s="418" t="e">
        <f t="shared" si="47"/>
        <v>#N/A</v>
      </c>
      <c r="T155" s="565"/>
      <c r="U155" s="425"/>
      <c r="V155" s="425"/>
      <c r="W155" s="425"/>
      <c r="X155" s="418" t="e">
        <f t="shared" si="48"/>
        <v>#N/A</v>
      </c>
      <c r="Y155" s="565"/>
      <c r="Z155" s="425"/>
      <c r="AA155" s="425"/>
      <c r="AB155" s="425"/>
      <c r="AC155" s="418" t="e">
        <f t="shared" si="49"/>
        <v>#N/A</v>
      </c>
      <c r="AD155" s="565"/>
      <c r="AE155" s="425"/>
      <c r="AF155" s="425"/>
      <c r="AG155" s="425"/>
      <c r="AH155" s="418" t="e">
        <f t="shared" si="50"/>
        <v>#N/A</v>
      </c>
      <c r="AI155" s="565"/>
      <c r="AJ155" s="425"/>
      <c r="AK155" s="425"/>
      <c r="AL155" s="425"/>
      <c r="AM155" s="418" t="e">
        <f t="shared" si="51"/>
        <v>#N/A</v>
      </c>
      <c r="AN155" s="565"/>
      <c r="AO155" s="425"/>
      <c r="AP155" s="425"/>
      <c r="AQ155" s="425"/>
      <c r="AR155" s="418" t="e">
        <f t="shared" si="52"/>
        <v>#N/A</v>
      </c>
      <c r="AS155" s="565"/>
      <c r="AT155" s="425"/>
      <c r="AU155" s="425"/>
      <c r="AV155" s="425"/>
      <c r="AW155" s="418" t="e">
        <f t="shared" si="53"/>
        <v>#N/A</v>
      </c>
      <c r="AX155" s="565"/>
      <c r="AZ155" s="407" t="e">
        <f t="shared" si="54"/>
        <v>#N/A</v>
      </c>
      <c r="BA155" s="565"/>
    </row>
    <row r="156" spans="2:53">
      <c r="B156" s="570"/>
      <c r="C156" s="287">
        <v>10</v>
      </c>
      <c r="D156" s="226"/>
      <c r="E156" s="425"/>
      <c r="F156" s="418"/>
      <c r="G156" s="419"/>
      <c r="H156" s="628"/>
      <c r="I156" s="400" t="str">
        <f t="shared" si="44"/>
        <v>-</v>
      </c>
      <c r="J156" s="400" t="str">
        <f t="shared" si="45"/>
        <v>-</v>
      </c>
      <c r="K156" s="200" t="str">
        <f t="shared" si="46"/>
        <v>-</v>
      </c>
      <c r="L156" s="581"/>
      <c r="M156" s="201" t="e">
        <f>RANK(K156, K$147:$K$176)</f>
        <v>#VALUE!</v>
      </c>
      <c r="N156" s="564"/>
      <c r="O156" s="564"/>
      <c r="P156" s="425"/>
      <c r="Q156" s="425"/>
      <c r="R156" s="425"/>
      <c r="S156" s="418" t="e">
        <f t="shared" si="47"/>
        <v>#N/A</v>
      </c>
      <c r="T156" s="565"/>
      <c r="U156" s="425"/>
      <c r="V156" s="425"/>
      <c r="W156" s="425"/>
      <c r="X156" s="418" t="e">
        <f t="shared" si="48"/>
        <v>#N/A</v>
      </c>
      <c r="Y156" s="565"/>
      <c r="Z156" s="425"/>
      <c r="AA156" s="425"/>
      <c r="AB156" s="425"/>
      <c r="AC156" s="418" t="e">
        <f t="shared" si="49"/>
        <v>#N/A</v>
      </c>
      <c r="AD156" s="565"/>
      <c r="AE156" s="425"/>
      <c r="AF156" s="425"/>
      <c r="AG156" s="425"/>
      <c r="AH156" s="418" t="e">
        <f t="shared" si="50"/>
        <v>#N/A</v>
      </c>
      <c r="AI156" s="565"/>
      <c r="AJ156" s="425"/>
      <c r="AK156" s="425"/>
      <c r="AL156" s="425"/>
      <c r="AM156" s="418" t="e">
        <f t="shared" si="51"/>
        <v>#N/A</v>
      </c>
      <c r="AN156" s="565"/>
      <c r="AO156" s="425"/>
      <c r="AP156" s="425"/>
      <c r="AQ156" s="425"/>
      <c r="AR156" s="418" t="e">
        <f t="shared" si="52"/>
        <v>#N/A</v>
      </c>
      <c r="AS156" s="565"/>
      <c r="AT156" s="425"/>
      <c r="AU156" s="425"/>
      <c r="AV156" s="425"/>
      <c r="AW156" s="418" t="e">
        <f t="shared" si="53"/>
        <v>#N/A</v>
      </c>
      <c r="AX156" s="565"/>
      <c r="AZ156" s="407" t="e">
        <f t="shared" si="54"/>
        <v>#N/A</v>
      </c>
      <c r="BA156" s="565"/>
    </row>
    <row r="157" spans="2:53">
      <c r="B157" s="570"/>
      <c r="C157" s="287">
        <v>11</v>
      </c>
      <c r="D157" s="226"/>
      <c r="E157" s="425"/>
      <c r="F157" s="418"/>
      <c r="G157" s="419"/>
      <c r="H157" s="628"/>
      <c r="I157" s="400" t="str">
        <f t="shared" si="44"/>
        <v>-</v>
      </c>
      <c r="J157" s="400" t="str">
        <f t="shared" si="45"/>
        <v>-</v>
      </c>
      <c r="K157" s="200" t="str">
        <f t="shared" si="46"/>
        <v>-</v>
      </c>
      <c r="L157" s="581"/>
      <c r="M157" s="201" t="e">
        <f>RANK(K157, K$147:$K$176)</f>
        <v>#VALUE!</v>
      </c>
      <c r="N157" s="564"/>
      <c r="O157" s="564"/>
      <c r="P157" s="425"/>
      <c r="Q157" s="425"/>
      <c r="R157" s="425"/>
      <c r="S157" s="418" t="e">
        <f t="shared" si="47"/>
        <v>#N/A</v>
      </c>
      <c r="T157" s="565"/>
      <c r="U157" s="425"/>
      <c r="V157" s="425"/>
      <c r="W157" s="425"/>
      <c r="X157" s="418" t="e">
        <f t="shared" si="48"/>
        <v>#N/A</v>
      </c>
      <c r="Y157" s="565"/>
      <c r="Z157" s="425"/>
      <c r="AA157" s="425"/>
      <c r="AB157" s="425"/>
      <c r="AC157" s="418" t="e">
        <f t="shared" si="49"/>
        <v>#N/A</v>
      </c>
      <c r="AD157" s="565"/>
      <c r="AE157" s="425"/>
      <c r="AF157" s="425"/>
      <c r="AG157" s="425"/>
      <c r="AH157" s="418" t="e">
        <f t="shared" si="50"/>
        <v>#N/A</v>
      </c>
      <c r="AI157" s="565"/>
      <c r="AJ157" s="425"/>
      <c r="AK157" s="425"/>
      <c r="AL157" s="425"/>
      <c r="AM157" s="418" t="e">
        <f t="shared" si="51"/>
        <v>#N/A</v>
      </c>
      <c r="AN157" s="565"/>
      <c r="AO157" s="425"/>
      <c r="AP157" s="425"/>
      <c r="AQ157" s="425"/>
      <c r="AR157" s="418" t="e">
        <f t="shared" si="52"/>
        <v>#N/A</v>
      </c>
      <c r="AS157" s="565"/>
      <c r="AT157" s="425"/>
      <c r="AU157" s="425"/>
      <c r="AV157" s="425"/>
      <c r="AW157" s="418" t="e">
        <f t="shared" si="53"/>
        <v>#N/A</v>
      </c>
      <c r="AX157" s="565"/>
      <c r="AZ157" s="407" t="e">
        <f t="shared" si="54"/>
        <v>#N/A</v>
      </c>
      <c r="BA157" s="565"/>
    </row>
    <row r="158" spans="2:53">
      <c r="B158" s="570"/>
      <c r="C158" s="287">
        <v>12</v>
      </c>
      <c r="D158" s="226"/>
      <c r="E158" s="425"/>
      <c r="F158" s="418"/>
      <c r="G158" s="419"/>
      <c r="H158" s="628"/>
      <c r="I158" s="400" t="str">
        <f t="shared" si="44"/>
        <v>-</v>
      </c>
      <c r="J158" s="400" t="str">
        <f t="shared" si="45"/>
        <v>-</v>
      </c>
      <c r="K158" s="200" t="str">
        <f t="shared" si="46"/>
        <v>-</v>
      </c>
      <c r="L158" s="581"/>
      <c r="M158" s="201" t="e">
        <f>RANK(K158, K$147:$K$176)</f>
        <v>#VALUE!</v>
      </c>
      <c r="N158" s="564"/>
      <c r="O158" s="564"/>
      <c r="P158" s="425"/>
      <c r="Q158" s="425"/>
      <c r="R158" s="425"/>
      <c r="S158" s="418" t="e">
        <f t="shared" si="47"/>
        <v>#N/A</v>
      </c>
      <c r="T158" s="565"/>
      <c r="U158" s="425"/>
      <c r="V158" s="425"/>
      <c r="W158" s="425"/>
      <c r="X158" s="418" t="e">
        <f t="shared" si="48"/>
        <v>#N/A</v>
      </c>
      <c r="Y158" s="565"/>
      <c r="Z158" s="425"/>
      <c r="AA158" s="425"/>
      <c r="AB158" s="425"/>
      <c r="AC158" s="418" t="e">
        <f t="shared" si="49"/>
        <v>#N/A</v>
      </c>
      <c r="AD158" s="565"/>
      <c r="AE158" s="425"/>
      <c r="AF158" s="425"/>
      <c r="AG158" s="425"/>
      <c r="AH158" s="418" t="e">
        <f t="shared" si="50"/>
        <v>#N/A</v>
      </c>
      <c r="AI158" s="565"/>
      <c r="AJ158" s="425"/>
      <c r="AK158" s="425"/>
      <c r="AL158" s="425"/>
      <c r="AM158" s="418" t="e">
        <f t="shared" si="51"/>
        <v>#N/A</v>
      </c>
      <c r="AN158" s="565"/>
      <c r="AO158" s="425"/>
      <c r="AP158" s="425"/>
      <c r="AQ158" s="425"/>
      <c r="AR158" s="418" t="e">
        <f t="shared" si="52"/>
        <v>#N/A</v>
      </c>
      <c r="AS158" s="565"/>
      <c r="AT158" s="425"/>
      <c r="AU158" s="425"/>
      <c r="AV158" s="425"/>
      <c r="AW158" s="418" t="e">
        <f t="shared" si="53"/>
        <v>#N/A</v>
      </c>
      <c r="AX158" s="565"/>
      <c r="AZ158" s="407" t="e">
        <f t="shared" si="54"/>
        <v>#N/A</v>
      </c>
      <c r="BA158" s="565"/>
    </row>
    <row r="159" spans="2:53">
      <c r="B159" s="570"/>
      <c r="C159" s="287">
        <v>13</v>
      </c>
      <c r="D159" s="226"/>
      <c r="E159" s="425"/>
      <c r="F159" s="418"/>
      <c r="G159" s="419"/>
      <c r="H159" s="628"/>
      <c r="I159" s="400" t="str">
        <f t="shared" si="44"/>
        <v>-</v>
      </c>
      <c r="J159" s="400" t="str">
        <f t="shared" si="45"/>
        <v>-</v>
      </c>
      <c r="K159" s="200" t="str">
        <f t="shared" si="46"/>
        <v>-</v>
      </c>
      <c r="L159" s="581"/>
      <c r="M159" s="201" t="e">
        <f>RANK(K159, K$147:$K$176)</f>
        <v>#VALUE!</v>
      </c>
      <c r="N159" s="564"/>
      <c r="O159" s="564"/>
      <c r="P159" s="425"/>
      <c r="Q159" s="425"/>
      <c r="R159" s="425"/>
      <c r="S159" s="418" t="e">
        <f t="shared" si="47"/>
        <v>#N/A</v>
      </c>
      <c r="T159" s="565"/>
      <c r="U159" s="425"/>
      <c r="V159" s="425"/>
      <c r="W159" s="425"/>
      <c r="X159" s="418" t="e">
        <f t="shared" si="48"/>
        <v>#N/A</v>
      </c>
      <c r="Y159" s="565"/>
      <c r="Z159" s="425"/>
      <c r="AA159" s="425"/>
      <c r="AB159" s="425"/>
      <c r="AC159" s="418" t="e">
        <f t="shared" si="49"/>
        <v>#N/A</v>
      </c>
      <c r="AD159" s="565"/>
      <c r="AE159" s="425"/>
      <c r="AF159" s="425"/>
      <c r="AG159" s="425"/>
      <c r="AH159" s="418" t="e">
        <f t="shared" si="50"/>
        <v>#N/A</v>
      </c>
      <c r="AI159" s="565"/>
      <c r="AJ159" s="425"/>
      <c r="AK159" s="425"/>
      <c r="AL159" s="425"/>
      <c r="AM159" s="418" t="e">
        <f t="shared" si="51"/>
        <v>#N/A</v>
      </c>
      <c r="AN159" s="565"/>
      <c r="AO159" s="425"/>
      <c r="AP159" s="425"/>
      <c r="AQ159" s="425"/>
      <c r="AR159" s="418" t="e">
        <f t="shared" si="52"/>
        <v>#N/A</v>
      </c>
      <c r="AS159" s="565"/>
      <c r="AT159" s="425"/>
      <c r="AU159" s="425"/>
      <c r="AV159" s="425"/>
      <c r="AW159" s="418" t="e">
        <f t="shared" si="53"/>
        <v>#N/A</v>
      </c>
      <c r="AX159" s="565"/>
      <c r="AZ159" s="407" t="e">
        <f t="shared" si="54"/>
        <v>#N/A</v>
      </c>
      <c r="BA159" s="565"/>
    </row>
    <row r="160" spans="2:53">
      <c r="B160" s="570"/>
      <c r="C160" s="287">
        <v>14</v>
      </c>
      <c r="D160" s="226"/>
      <c r="E160" s="425"/>
      <c r="F160" s="418"/>
      <c r="G160" s="419"/>
      <c r="H160" s="628"/>
      <c r="I160" s="400" t="str">
        <f t="shared" si="44"/>
        <v>-</v>
      </c>
      <c r="J160" s="400" t="str">
        <f t="shared" si="45"/>
        <v>-</v>
      </c>
      <c r="K160" s="200" t="str">
        <f t="shared" si="46"/>
        <v>-</v>
      </c>
      <c r="L160" s="581"/>
      <c r="M160" s="201" t="e">
        <f>RANK(K160, K$147:$K$176)</f>
        <v>#VALUE!</v>
      </c>
      <c r="N160" s="564"/>
      <c r="O160" s="564"/>
      <c r="P160" s="425"/>
      <c r="Q160" s="425"/>
      <c r="R160" s="425"/>
      <c r="S160" s="418" t="e">
        <f t="shared" si="47"/>
        <v>#N/A</v>
      </c>
      <c r="T160" s="565"/>
      <c r="U160" s="425"/>
      <c r="V160" s="425"/>
      <c r="W160" s="425"/>
      <c r="X160" s="418" t="e">
        <f t="shared" si="48"/>
        <v>#N/A</v>
      </c>
      <c r="Y160" s="565"/>
      <c r="Z160" s="425"/>
      <c r="AA160" s="425"/>
      <c r="AB160" s="425"/>
      <c r="AC160" s="418" t="e">
        <f t="shared" si="49"/>
        <v>#N/A</v>
      </c>
      <c r="AD160" s="565"/>
      <c r="AE160" s="425"/>
      <c r="AF160" s="425"/>
      <c r="AG160" s="425"/>
      <c r="AH160" s="418" t="e">
        <f t="shared" si="50"/>
        <v>#N/A</v>
      </c>
      <c r="AI160" s="565"/>
      <c r="AJ160" s="425"/>
      <c r="AK160" s="425"/>
      <c r="AL160" s="425"/>
      <c r="AM160" s="418" t="e">
        <f t="shared" si="51"/>
        <v>#N/A</v>
      </c>
      <c r="AN160" s="565"/>
      <c r="AO160" s="425"/>
      <c r="AP160" s="425"/>
      <c r="AQ160" s="425"/>
      <c r="AR160" s="418" t="e">
        <f t="shared" si="52"/>
        <v>#N/A</v>
      </c>
      <c r="AS160" s="565"/>
      <c r="AT160" s="425"/>
      <c r="AU160" s="425"/>
      <c r="AV160" s="425"/>
      <c r="AW160" s="418" t="e">
        <f t="shared" si="53"/>
        <v>#N/A</v>
      </c>
      <c r="AX160" s="565"/>
      <c r="AZ160" s="407" t="e">
        <f t="shared" si="54"/>
        <v>#N/A</v>
      </c>
      <c r="BA160" s="565"/>
    </row>
    <row r="161" spans="2:53">
      <c r="B161" s="570"/>
      <c r="C161" s="287">
        <v>15</v>
      </c>
      <c r="D161" s="226"/>
      <c r="E161" s="425"/>
      <c r="F161" s="418"/>
      <c r="G161" s="419"/>
      <c r="H161" s="628"/>
      <c r="I161" s="400" t="str">
        <f t="shared" si="44"/>
        <v>-</v>
      </c>
      <c r="J161" s="400" t="str">
        <f t="shared" si="45"/>
        <v>-</v>
      </c>
      <c r="K161" s="200" t="str">
        <f t="shared" si="46"/>
        <v>-</v>
      </c>
      <c r="L161" s="581"/>
      <c r="M161" s="199" t="e">
        <f>RANK(K161, K$147:$K$176)</f>
        <v>#VALUE!</v>
      </c>
      <c r="N161" s="564"/>
      <c r="O161" s="564"/>
      <c r="P161" s="425"/>
      <c r="Q161" s="425"/>
      <c r="R161" s="425"/>
      <c r="S161" s="418" t="e">
        <f t="shared" si="47"/>
        <v>#N/A</v>
      </c>
      <c r="T161" s="565"/>
      <c r="U161" s="425"/>
      <c r="V161" s="425"/>
      <c r="W161" s="425"/>
      <c r="X161" s="418" t="e">
        <f t="shared" si="48"/>
        <v>#N/A</v>
      </c>
      <c r="Y161" s="565"/>
      <c r="Z161" s="425"/>
      <c r="AA161" s="425"/>
      <c r="AB161" s="425"/>
      <c r="AC161" s="418" t="e">
        <f t="shared" si="49"/>
        <v>#N/A</v>
      </c>
      <c r="AD161" s="565"/>
      <c r="AE161" s="425"/>
      <c r="AF161" s="425"/>
      <c r="AG161" s="425"/>
      <c r="AH161" s="418" t="e">
        <f t="shared" si="50"/>
        <v>#N/A</v>
      </c>
      <c r="AI161" s="565"/>
      <c r="AJ161" s="425"/>
      <c r="AK161" s="425"/>
      <c r="AL161" s="425"/>
      <c r="AM161" s="418" t="e">
        <f t="shared" si="51"/>
        <v>#N/A</v>
      </c>
      <c r="AN161" s="565"/>
      <c r="AO161" s="425"/>
      <c r="AP161" s="425"/>
      <c r="AQ161" s="425"/>
      <c r="AR161" s="418" t="e">
        <f t="shared" si="52"/>
        <v>#N/A</v>
      </c>
      <c r="AS161" s="565"/>
      <c r="AT161" s="425"/>
      <c r="AU161" s="425"/>
      <c r="AV161" s="425"/>
      <c r="AW161" s="418" t="e">
        <f t="shared" si="53"/>
        <v>#N/A</v>
      </c>
      <c r="AX161" s="565"/>
      <c r="AZ161" s="407" t="e">
        <f t="shared" si="54"/>
        <v>#N/A</v>
      </c>
      <c r="BA161" s="565"/>
    </row>
    <row r="162" spans="2:53">
      <c r="B162" s="570"/>
      <c r="C162" s="287">
        <v>16</v>
      </c>
      <c r="D162" s="226"/>
      <c r="E162" s="425"/>
      <c r="F162" s="418"/>
      <c r="G162" s="419"/>
      <c r="H162" s="628"/>
      <c r="I162" s="400" t="str">
        <f t="shared" si="44"/>
        <v>-</v>
      </c>
      <c r="J162" s="400" t="str">
        <f t="shared" si="45"/>
        <v>-</v>
      </c>
      <c r="K162" s="200" t="str">
        <f t="shared" si="46"/>
        <v>-</v>
      </c>
      <c r="L162" s="581"/>
      <c r="M162" s="199" t="e">
        <f>RANK(K162, K$147:$K$176)</f>
        <v>#VALUE!</v>
      </c>
      <c r="N162" s="564"/>
      <c r="O162" s="564"/>
      <c r="P162" s="425"/>
      <c r="Q162" s="425"/>
      <c r="R162" s="425"/>
      <c r="S162" s="418" t="e">
        <f t="shared" si="47"/>
        <v>#N/A</v>
      </c>
      <c r="T162" s="565"/>
      <c r="U162" s="425"/>
      <c r="V162" s="425"/>
      <c r="W162" s="425"/>
      <c r="X162" s="418" t="e">
        <f t="shared" si="48"/>
        <v>#N/A</v>
      </c>
      <c r="Y162" s="565"/>
      <c r="Z162" s="425"/>
      <c r="AA162" s="425"/>
      <c r="AB162" s="425"/>
      <c r="AC162" s="418" t="e">
        <f t="shared" si="49"/>
        <v>#N/A</v>
      </c>
      <c r="AD162" s="565"/>
      <c r="AE162" s="425"/>
      <c r="AF162" s="425"/>
      <c r="AG162" s="425"/>
      <c r="AH162" s="418" t="e">
        <f t="shared" si="50"/>
        <v>#N/A</v>
      </c>
      <c r="AI162" s="565"/>
      <c r="AJ162" s="425"/>
      <c r="AK162" s="425"/>
      <c r="AL162" s="425"/>
      <c r="AM162" s="418" t="e">
        <f t="shared" si="51"/>
        <v>#N/A</v>
      </c>
      <c r="AN162" s="565"/>
      <c r="AO162" s="425"/>
      <c r="AP162" s="425"/>
      <c r="AQ162" s="425"/>
      <c r="AR162" s="418" t="e">
        <f t="shared" si="52"/>
        <v>#N/A</v>
      </c>
      <c r="AS162" s="565"/>
      <c r="AT162" s="425"/>
      <c r="AU162" s="425"/>
      <c r="AV162" s="425"/>
      <c r="AW162" s="418" t="e">
        <f t="shared" si="53"/>
        <v>#N/A</v>
      </c>
      <c r="AX162" s="565"/>
      <c r="AZ162" s="407" t="e">
        <f t="shared" si="54"/>
        <v>#N/A</v>
      </c>
      <c r="BA162" s="565"/>
    </row>
    <row r="163" spans="2:53">
      <c r="B163" s="570"/>
      <c r="C163" s="287">
        <v>17</v>
      </c>
      <c r="D163" s="226"/>
      <c r="E163" s="425"/>
      <c r="F163" s="418"/>
      <c r="G163" s="419"/>
      <c r="H163" s="628"/>
      <c r="I163" s="400" t="str">
        <f t="shared" si="44"/>
        <v>-</v>
      </c>
      <c r="J163" s="400" t="str">
        <f t="shared" si="45"/>
        <v>-</v>
      </c>
      <c r="K163" s="200" t="str">
        <f t="shared" si="46"/>
        <v>-</v>
      </c>
      <c r="L163" s="581"/>
      <c r="M163" s="199" t="e">
        <f>RANK(K163, K$147:$K$176)</f>
        <v>#VALUE!</v>
      </c>
      <c r="N163" s="564"/>
      <c r="O163" s="564"/>
      <c r="P163" s="425"/>
      <c r="Q163" s="425"/>
      <c r="R163" s="425"/>
      <c r="S163" s="418" t="e">
        <f t="shared" si="47"/>
        <v>#N/A</v>
      </c>
      <c r="T163" s="565"/>
      <c r="U163" s="425"/>
      <c r="V163" s="425"/>
      <c r="W163" s="425"/>
      <c r="X163" s="418" t="e">
        <f t="shared" si="48"/>
        <v>#N/A</v>
      </c>
      <c r="Y163" s="565"/>
      <c r="Z163" s="425"/>
      <c r="AA163" s="425"/>
      <c r="AB163" s="425"/>
      <c r="AC163" s="418" t="e">
        <f t="shared" si="49"/>
        <v>#N/A</v>
      </c>
      <c r="AD163" s="565"/>
      <c r="AE163" s="425"/>
      <c r="AF163" s="425"/>
      <c r="AG163" s="425"/>
      <c r="AH163" s="418" t="e">
        <f t="shared" si="50"/>
        <v>#N/A</v>
      </c>
      <c r="AI163" s="565"/>
      <c r="AJ163" s="425"/>
      <c r="AK163" s="425"/>
      <c r="AL163" s="425"/>
      <c r="AM163" s="418" t="e">
        <f t="shared" si="51"/>
        <v>#N/A</v>
      </c>
      <c r="AN163" s="565"/>
      <c r="AO163" s="425"/>
      <c r="AP163" s="425"/>
      <c r="AQ163" s="425"/>
      <c r="AR163" s="418" t="e">
        <f t="shared" si="52"/>
        <v>#N/A</v>
      </c>
      <c r="AS163" s="565"/>
      <c r="AT163" s="425"/>
      <c r="AU163" s="425"/>
      <c r="AV163" s="425"/>
      <c r="AW163" s="418" t="e">
        <f t="shared" si="53"/>
        <v>#N/A</v>
      </c>
      <c r="AX163" s="565"/>
      <c r="AZ163" s="407" t="e">
        <f t="shared" si="54"/>
        <v>#N/A</v>
      </c>
      <c r="BA163" s="565"/>
    </row>
    <row r="164" spans="2:53">
      <c r="B164" s="570"/>
      <c r="C164" s="287">
        <v>18</v>
      </c>
      <c r="D164" s="226"/>
      <c r="E164" s="425"/>
      <c r="F164" s="418"/>
      <c r="G164" s="419"/>
      <c r="H164" s="628"/>
      <c r="I164" s="400" t="str">
        <f t="shared" si="44"/>
        <v>-</v>
      </c>
      <c r="J164" s="400" t="str">
        <f t="shared" si="45"/>
        <v>-</v>
      </c>
      <c r="K164" s="200" t="str">
        <f t="shared" si="46"/>
        <v>-</v>
      </c>
      <c r="L164" s="581"/>
      <c r="M164" s="199" t="e">
        <f>RANK(K164, K$147:$K$176)</f>
        <v>#VALUE!</v>
      </c>
      <c r="N164" s="564"/>
      <c r="O164" s="564"/>
      <c r="P164" s="425"/>
      <c r="Q164" s="425"/>
      <c r="R164" s="425"/>
      <c r="S164" s="418" t="e">
        <f t="shared" si="47"/>
        <v>#N/A</v>
      </c>
      <c r="T164" s="565"/>
      <c r="U164" s="425"/>
      <c r="V164" s="425"/>
      <c r="W164" s="425"/>
      <c r="X164" s="418" t="e">
        <f t="shared" si="48"/>
        <v>#N/A</v>
      </c>
      <c r="Y164" s="565"/>
      <c r="Z164" s="425"/>
      <c r="AA164" s="425"/>
      <c r="AB164" s="425"/>
      <c r="AC164" s="418" t="e">
        <f t="shared" si="49"/>
        <v>#N/A</v>
      </c>
      <c r="AD164" s="565"/>
      <c r="AE164" s="425"/>
      <c r="AF164" s="425"/>
      <c r="AG164" s="425"/>
      <c r="AH164" s="418" t="e">
        <f t="shared" si="50"/>
        <v>#N/A</v>
      </c>
      <c r="AI164" s="565"/>
      <c r="AJ164" s="425"/>
      <c r="AK164" s="425"/>
      <c r="AL164" s="425"/>
      <c r="AM164" s="418" t="e">
        <f t="shared" si="51"/>
        <v>#N/A</v>
      </c>
      <c r="AN164" s="565"/>
      <c r="AO164" s="425"/>
      <c r="AP164" s="425"/>
      <c r="AQ164" s="425"/>
      <c r="AR164" s="418" t="e">
        <f t="shared" si="52"/>
        <v>#N/A</v>
      </c>
      <c r="AS164" s="565"/>
      <c r="AT164" s="425"/>
      <c r="AU164" s="425"/>
      <c r="AV164" s="425"/>
      <c r="AW164" s="418" t="e">
        <f t="shared" si="53"/>
        <v>#N/A</v>
      </c>
      <c r="AX164" s="565"/>
      <c r="AZ164" s="407" t="e">
        <f t="shared" si="54"/>
        <v>#N/A</v>
      </c>
      <c r="BA164" s="565"/>
    </row>
    <row r="165" spans="2:53">
      <c r="B165" s="570"/>
      <c r="C165" s="287">
        <v>19</v>
      </c>
      <c r="D165" s="226"/>
      <c r="E165" s="425"/>
      <c r="F165" s="418"/>
      <c r="G165" s="419"/>
      <c r="H165" s="628"/>
      <c r="I165" s="400" t="str">
        <f t="shared" si="44"/>
        <v>-</v>
      </c>
      <c r="J165" s="400" t="str">
        <f t="shared" si="45"/>
        <v>-</v>
      </c>
      <c r="K165" s="200" t="str">
        <f t="shared" si="46"/>
        <v>-</v>
      </c>
      <c r="L165" s="581"/>
      <c r="M165" s="199" t="e">
        <f>RANK(K165, K$147:$K$176)</f>
        <v>#VALUE!</v>
      </c>
      <c r="N165" s="564"/>
      <c r="O165" s="564"/>
      <c r="P165" s="425"/>
      <c r="Q165" s="425"/>
      <c r="R165" s="425"/>
      <c r="S165" s="418" t="e">
        <f t="shared" si="47"/>
        <v>#N/A</v>
      </c>
      <c r="T165" s="565"/>
      <c r="U165" s="425"/>
      <c r="V165" s="425"/>
      <c r="W165" s="425"/>
      <c r="X165" s="418" t="e">
        <f t="shared" si="48"/>
        <v>#N/A</v>
      </c>
      <c r="Y165" s="565"/>
      <c r="Z165" s="425"/>
      <c r="AA165" s="425"/>
      <c r="AB165" s="425"/>
      <c r="AC165" s="418" t="e">
        <f t="shared" si="49"/>
        <v>#N/A</v>
      </c>
      <c r="AD165" s="565"/>
      <c r="AE165" s="425"/>
      <c r="AF165" s="425"/>
      <c r="AG165" s="425"/>
      <c r="AH165" s="418" t="e">
        <f t="shared" si="50"/>
        <v>#N/A</v>
      </c>
      <c r="AI165" s="565"/>
      <c r="AJ165" s="425"/>
      <c r="AK165" s="425"/>
      <c r="AL165" s="425"/>
      <c r="AM165" s="418" t="e">
        <f t="shared" si="51"/>
        <v>#N/A</v>
      </c>
      <c r="AN165" s="565"/>
      <c r="AO165" s="425"/>
      <c r="AP165" s="425"/>
      <c r="AQ165" s="425"/>
      <c r="AR165" s="418" t="e">
        <f t="shared" si="52"/>
        <v>#N/A</v>
      </c>
      <c r="AS165" s="565"/>
      <c r="AT165" s="425"/>
      <c r="AU165" s="425"/>
      <c r="AV165" s="425"/>
      <c r="AW165" s="418" t="e">
        <f t="shared" si="53"/>
        <v>#N/A</v>
      </c>
      <c r="AX165" s="565"/>
      <c r="AZ165" s="407" t="e">
        <f t="shared" si="54"/>
        <v>#N/A</v>
      </c>
      <c r="BA165" s="565"/>
    </row>
    <row r="166" spans="2:53">
      <c r="B166" s="570"/>
      <c r="C166" s="287">
        <v>20</v>
      </c>
      <c r="D166" s="226"/>
      <c r="E166" s="425"/>
      <c r="F166" s="418"/>
      <c r="G166" s="419"/>
      <c r="H166" s="628"/>
      <c r="I166" s="400" t="str">
        <f t="shared" si="44"/>
        <v>-</v>
      </c>
      <c r="J166" s="400" t="str">
        <f t="shared" si="45"/>
        <v>-</v>
      </c>
      <c r="K166" s="200" t="str">
        <f t="shared" si="46"/>
        <v>-</v>
      </c>
      <c r="L166" s="581"/>
      <c r="M166" s="199" t="e">
        <f>RANK(K166, K$147:$K$176)</f>
        <v>#VALUE!</v>
      </c>
      <c r="N166" s="564"/>
      <c r="O166" s="564"/>
      <c r="P166" s="425"/>
      <c r="Q166" s="425"/>
      <c r="R166" s="425"/>
      <c r="S166" s="418" t="e">
        <f t="shared" si="47"/>
        <v>#N/A</v>
      </c>
      <c r="T166" s="565"/>
      <c r="U166" s="425"/>
      <c r="V166" s="425"/>
      <c r="W166" s="425"/>
      <c r="X166" s="418" t="e">
        <f t="shared" si="48"/>
        <v>#N/A</v>
      </c>
      <c r="Y166" s="565"/>
      <c r="Z166" s="425"/>
      <c r="AA166" s="425"/>
      <c r="AB166" s="425"/>
      <c r="AC166" s="418" t="e">
        <f t="shared" si="49"/>
        <v>#N/A</v>
      </c>
      <c r="AD166" s="565"/>
      <c r="AE166" s="425"/>
      <c r="AF166" s="425"/>
      <c r="AG166" s="425"/>
      <c r="AH166" s="418" t="e">
        <f t="shared" si="50"/>
        <v>#N/A</v>
      </c>
      <c r="AI166" s="565"/>
      <c r="AJ166" s="425"/>
      <c r="AK166" s="425"/>
      <c r="AL166" s="425"/>
      <c r="AM166" s="418" t="e">
        <f t="shared" si="51"/>
        <v>#N/A</v>
      </c>
      <c r="AN166" s="565"/>
      <c r="AO166" s="425"/>
      <c r="AP166" s="425"/>
      <c r="AQ166" s="425"/>
      <c r="AR166" s="418" t="e">
        <f t="shared" si="52"/>
        <v>#N/A</v>
      </c>
      <c r="AS166" s="565"/>
      <c r="AT166" s="425"/>
      <c r="AU166" s="425"/>
      <c r="AV166" s="425"/>
      <c r="AW166" s="418" t="e">
        <f t="shared" si="53"/>
        <v>#N/A</v>
      </c>
      <c r="AX166" s="565"/>
      <c r="AZ166" s="407" t="e">
        <f t="shared" si="54"/>
        <v>#N/A</v>
      </c>
      <c r="BA166" s="565"/>
    </row>
    <row r="167" spans="2:53">
      <c r="B167" s="570"/>
      <c r="C167" s="287">
        <v>21</v>
      </c>
      <c r="D167" s="226"/>
      <c r="E167" s="425"/>
      <c r="F167" s="418"/>
      <c r="G167" s="419"/>
      <c r="H167" s="628"/>
      <c r="I167" s="400" t="str">
        <f t="shared" si="44"/>
        <v>-</v>
      </c>
      <c r="J167" s="400" t="str">
        <f t="shared" si="45"/>
        <v>-</v>
      </c>
      <c r="K167" s="200" t="str">
        <f t="shared" si="46"/>
        <v>-</v>
      </c>
      <c r="L167" s="581"/>
      <c r="M167" s="199" t="e">
        <f>RANK(K167, K$147:$K$176)</f>
        <v>#VALUE!</v>
      </c>
      <c r="N167" s="564"/>
      <c r="O167" s="564"/>
      <c r="P167" s="425"/>
      <c r="Q167" s="425"/>
      <c r="R167" s="425"/>
      <c r="S167" s="418" t="e">
        <f t="shared" si="47"/>
        <v>#N/A</v>
      </c>
      <c r="T167" s="565"/>
      <c r="U167" s="425"/>
      <c r="V167" s="425"/>
      <c r="W167" s="425"/>
      <c r="X167" s="418" t="e">
        <f t="shared" si="48"/>
        <v>#N/A</v>
      </c>
      <c r="Y167" s="565"/>
      <c r="Z167" s="425"/>
      <c r="AA167" s="425"/>
      <c r="AB167" s="425"/>
      <c r="AC167" s="418" t="e">
        <f t="shared" si="49"/>
        <v>#N/A</v>
      </c>
      <c r="AD167" s="565"/>
      <c r="AE167" s="425"/>
      <c r="AF167" s="425"/>
      <c r="AG167" s="425"/>
      <c r="AH167" s="418" t="e">
        <f t="shared" si="50"/>
        <v>#N/A</v>
      </c>
      <c r="AI167" s="565"/>
      <c r="AJ167" s="425"/>
      <c r="AK167" s="425"/>
      <c r="AL167" s="425"/>
      <c r="AM167" s="418" t="e">
        <f t="shared" si="51"/>
        <v>#N/A</v>
      </c>
      <c r="AN167" s="565"/>
      <c r="AO167" s="425"/>
      <c r="AP167" s="425"/>
      <c r="AQ167" s="425"/>
      <c r="AR167" s="418" t="e">
        <f t="shared" si="52"/>
        <v>#N/A</v>
      </c>
      <c r="AS167" s="565"/>
      <c r="AT167" s="425"/>
      <c r="AU167" s="425"/>
      <c r="AV167" s="425"/>
      <c r="AW167" s="418" t="e">
        <f t="shared" si="53"/>
        <v>#N/A</v>
      </c>
      <c r="AX167" s="565"/>
      <c r="AZ167" s="407" t="e">
        <f t="shared" si="54"/>
        <v>#N/A</v>
      </c>
      <c r="BA167" s="565"/>
    </row>
    <row r="168" spans="2:53">
      <c r="B168" s="570"/>
      <c r="C168" s="287">
        <v>22</v>
      </c>
      <c r="D168" s="226"/>
      <c r="E168" s="425"/>
      <c r="F168" s="418"/>
      <c r="G168" s="419"/>
      <c r="H168" s="628"/>
      <c r="I168" s="400" t="str">
        <f t="shared" si="44"/>
        <v>-</v>
      </c>
      <c r="J168" s="400" t="str">
        <f t="shared" si="45"/>
        <v>-</v>
      </c>
      <c r="K168" s="200" t="str">
        <f t="shared" si="46"/>
        <v>-</v>
      </c>
      <c r="L168" s="581"/>
      <c r="M168" s="199" t="e">
        <f>RANK(K168, K$147:$K$176)</f>
        <v>#VALUE!</v>
      </c>
      <c r="N168" s="564"/>
      <c r="O168" s="564"/>
      <c r="P168" s="425"/>
      <c r="Q168" s="425"/>
      <c r="R168" s="425"/>
      <c r="S168" s="418" t="e">
        <f t="shared" si="47"/>
        <v>#N/A</v>
      </c>
      <c r="T168" s="565"/>
      <c r="U168" s="425"/>
      <c r="V168" s="425"/>
      <c r="W168" s="425"/>
      <c r="X168" s="418" t="e">
        <f t="shared" si="48"/>
        <v>#N/A</v>
      </c>
      <c r="Y168" s="565"/>
      <c r="Z168" s="425"/>
      <c r="AA168" s="425"/>
      <c r="AB168" s="425"/>
      <c r="AC168" s="418" t="e">
        <f t="shared" si="49"/>
        <v>#N/A</v>
      </c>
      <c r="AD168" s="565"/>
      <c r="AE168" s="425"/>
      <c r="AF168" s="425"/>
      <c r="AG168" s="425"/>
      <c r="AH168" s="418" t="e">
        <f t="shared" si="50"/>
        <v>#N/A</v>
      </c>
      <c r="AI168" s="565"/>
      <c r="AJ168" s="425"/>
      <c r="AK168" s="425"/>
      <c r="AL168" s="425"/>
      <c r="AM168" s="418" t="e">
        <f t="shared" si="51"/>
        <v>#N/A</v>
      </c>
      <c r="AN168" s="565"/>
      <c r="AO168" s="425"/>
      <c r="AP168" s="425"/>
      <c r="AQ168" s="425"/>
      <c r="AR168" s="418" t="e">
        <f t="shared" si="52"/>
        <v>#N/A</v>
      </c>
      <c r="AS168" s="565"/>
      <c r="AT168" s="425"/>
      <c r="AU168" s="425"/>
      <c r="AV168" s="425"/>
      <c r="AW168" s="418" t="e">
        <f t="shared" si="53"/>
        <v>#N/A</v>
      </c>
      <c r="AX168" s="565"/>
      <c r="AZ168" s="407" t="e">
        <f t="shared" si="54"/>
        <v>#N/A</v>
      </c>
      <c r="BA168" s="565"/>
    </row>
    <row r="169" spans="2:53">
      <c r="B169" s="570"/>
      <c r="C169" s="287">
        <v>23</v>
      </c>
      <c r="D169" s="226"/>
      <c r="E169" s="425"/>
      <c r="F169" s="418"/>
      <c r="G169" s="419"/>
      <c r="H169" s="628"/>
      <c r="I169" s="400" t="str">
        <f t="shared" si="44"/>
        <v>-</v>
      </c>
      <c r="J169" s="400" t="str">
        <f t="shared" si="45"/>
        <v>-</v>
      </c>
      <c r="K169" s="200" t="str">
        <f t="shared" si="46"/>
        <v>-</v>
      </c>
      <c r="L169" s="581"/>
      <c r="M169" s="199" t="e">
        <f>RANK(K169, K$147:$K$176)</f>
        <v>#VALUE!</v>
      </c>
      <c r="N169" s="564"/>
      <c r="O169" s="564"/>
      <c r="P169" s="425"/>
      <c r="Q169" s="425"/>
      <c r="R169" s="425"/>
      <c r="S169" s="418" t="e">
        <f t="shared" si="47"/>
        <v>#N/A</v>
      </c>
      <c r="T169" s="565"/>
      <c r="U169" s="425"/>
      <c r="V169" s="425"/>
      <c r="W169" s="425"/>
      <c r="X169" s="418" t="e">
        <f t="shared" si="48"/>
        <v>#N/A</v>
      </c>
      <c r="Y169" s="565"/>
      <c r="Z169" s="425"/>
      <c r="AA169" s="425"/>
      <c r="AB169" s="425"/>
      <c r="AC169" s="418" t="e">
        <f t="shared" si="49"/>
        <v>#N/A</v>
      </c>
      <c r="AD169" s="565"/>
      <c r="AE169" s="425"/>
      <c r="AF169" s="425"/>
      <c r="AG169" s="425"/>
      <c r="AH169" s="418" t="e">
        <f t="shared" si="50"/>
        <v>#N/A</v>
      </c>
      <c r="AI169" s="565"/>
      <c r="AJ169" s="425"/>
      <c r="AK169" s="425"/>
      <c r="AL169" s="425"/>
      <c r="AM169" s="418" t="e">
        <f t="shared" si="51"/>
        <v>#N/A</v>
      </c>
      <c r="AN169" s="565"/>
      <c r="AO169" s="425"/>
      <c r="AP169" s="425"/>
      <c r="AQ169" s="425"/>
      <c r="AR169" s="418" t="e">
        <f t="shared" si="52"/>
        <v>#N/A</v>
      </c>
      <c r="AS169" s="565"/>
      <c r="AT169" s="425"/>
      <c r="AU169" s="425"/>
      <c r="AV169" s="425"/>
      <c r="AW169" s="418" t="e">
        <f t="shared" si="53"/>
        <v>#N/A</v>
      </c>
      <c r="AX169" s="565"/>
      <c r="AZ169" s="407" t="e">
        <f t="shared" si="54"/>
        <v>#N/A</v>
      </c>
      <c r="BA169" s="565"/>
    </row>
    <row r="170" spans="2:53">
      <c r="B170" s="570"/>
      <c r="C170" s="287">
        <v>24</v>
      </c>
      <c r="D170" s="226"/>
      <c r="E170" s="425"/>
      <c r="F170" s="418"/>
      <c r="G170" s="419"/>
      <c r="H170" s="628"/>
      <c r="I170" s="400" t="str">
        <f t="shared" si="44"/>
        <v>-</v>
      </c>
      <c r="J170" s="400" t="str">
        <f t="shared" si="45"/>
        <v>-</v>
      </c>
      <c r="K170" s="200" t="str">
        <f t="shared" si="46"/>
        <v>-</v>
      </c>
      <c r="L170" s="581"/>
      <c r="M170" s="199" t="e">
        <f>RANK(K170, K$147:$K$176)</f>
        <v>#VALUE!</v>
      </c>
      <c r="N170" s="564"/>
      <c r="O170" s="564"/>
      <c r="P170" s="418"/>
      <c r="Q170" s="419"/>
      <c r="R170" s="419"/>
      <c r="S170" s="418" t="e">
        <f t="shared" si="47"/>
        <v>#N/A</v>
      </c>
      <c r="T170" s="565"/>
      <c r="U170" s="418"/>
      <c r="V170" s="419"/>
      <c r="W170" s="419"/>
      <c r="X170" s="418" t="e">
        <f t="shared" si="48"/>
        <v>#N/A</v>
      </c>
      <c r="Y170" s="565"/>
      <c r="Z170" s="418"/>
      <c r="AA170" s="419"/>
      <c r="AB170" s="419"/>
      <c r="AC170" s="418" t="e">
        <f t="shared" si="49"/>
        <v>#N/A</v>
      </c>
      <c r="AD170" s="565"/>
      <c r="AE170" s="418"/>
      <c r="AF170" s="419"/>
      <c r="AG170" s="419"/>
      <c r="AH170" s="418" t="e">
        <f t="shared" si="50"/>
        <v>#N/A</v>
      </c>
      <c r="AI170" s="565"/>
      <c r="AJ170" s="418"/>
      <c r="AK170" s="419"/>
      <c r="AL170" s="419"/>
      <c r="AM170" s="418" t="e">
        <f t="shared" si="51"/>
        <v>#N/A</v>
      </c>
      <c r="AN170" s="565"/>
      <c r="AO170" s="418"/>
      <c r="AP170" s="419"/>
      <c r="AQ170" s="419"/>
      <c r="AR170" s="418" t="e">
        <f t="shared" si="52"/>
        <v>#N/A</v>
      </c>
      <c r="AS170" s="565"/>
      <c r="AT170" s="418"/>
      <c r="AU170" s="419"/>
      <c r="AV170" s="419"/>
      <c r="AW170" s="418" t="e">
        <f t="shared" si="53"/>
        <v>#N/A</v>
      </c>
      <c r="AX170" s="565"/>
      <c r="AZ170" s="407" t="e">
        <f t="shared" si="54"/>
        <v>#N/A</v>
      </c>
      <c r="BA170" s="565"/>
    </row>
    <row r="171" spans="2:53">
      <c r="B171" s="570"/>
      <c r="C171" s="287">
        <v>25</v>
      </c>
      <c r="D171" s="226"/>
      <c r="E171" s="425"/>
      <c r="F171" s="418"/>
      <c r="G171" s="419"/>
      <c r="H171" s="628"/>
      <c r="I171" s="400" t="str">
        <f t="shared" si="44"/>
        <v>-</v>
      </c>
      <c r="J171" s="400" t="str">
        <f t="shared" si="45"/>
        <v>-</v>
      </c>
      <c r="K171" s="200" t="str">
        <f t="shared" si="46"/>
        <v>-</v>
      </c>
      <c r="L171" s="581"/>
      <c r="M171" s="199" t="e">
        <f>RANK(K171, K$147:$K$176)</f>
        <v>#VALUE!</v>
      </c>
      <c r="N171" s="564"/>
      <c r="O171" s="564"/>
      <c r="P171" s="418"/>
      <c r="Q171" s="419"/>
      <c r="R171" s="419"/>
      <c r="S171" s="418" t="e">
        <f t="shared" si="47"/>
        <v>#N/A</v>
      </c>
      <c r="T171" s="565"/>
      <c r="U171" s="418"/>
      <c r="V171" s="419"/>
      <c r="W171" s="419"/>
      <c r="X171" s="418" t="e">
        <f t="shared" si="48"/>
        <v>#N/A</v>
      </c>
      <c r="Y171" s="565"/>
      <c r="Z171" s="418"/>
      <c r="AA171" s="419"/>
      <c r="AB171" s="419"/>
      <c r="AC171" s="418" t="e">
        <f t="shared" si="49"/>
        <v>#N/A</v>
      </c>
      <c r="AD171" s="565"/>
      <c r="AE171" s="418"/>
      <c r="AF171" s="419"/>
      <c r="AG171" s="419"/>
      <c r="AH171" s="418" t="e">
        <f t="shared" si="50"/>
        <v>#N/A</v>
      </c>
      <c r="AI171" s="565"/>
      <c r="AJ171" s="418"/>
      <c r="AK171" s="419"/>
      <c r="AL171" s="419"/>
      <c r="AM171" s="418" t="e">
        <f t="shared" si="51"/>
        <v>#N/A</v>
      </c>
      <c r="AN171" s="565"/>
      <c r="AO171" s="418"/>
      <c r="AP171" s="419"/>
      <c r="AQ171" s="419"/>
      <c r="AR171" s="418" t="e">
        <f t="shared" si="52"/>
        <v>#N/A</v>
      </c>
      <c r="AS171" s="565"/>
      <c r="AT171" s="418"/>
      <c r="AU171" s="419"/>
      <c r="AV171" s="419"/>
      <c r="AW171" s="418" t="e">
        <f t="shared" si="53"/>
        <v>#N/A</v>
      </c>
      <c r="AX171" s="565"/>
      <c r="AZ171" s="407" t="e">
        <f t="shared" si="54"/>
        <v>#N/A</v>
      </c>
      <c r="BA171" s="565"/>
    </row>
    <row r="172" spans="2:53">
      <c r="B172" s="570"/>
      <c r="C172" s="287">
        <v>26</v>
      </c>
      <c r="D172" s="226"/>
      <c r="E172" s="425"/>
      <c r="F172" s="418"/>
      <c r="G172" s="419"/>
      <c r="H172" s="628"/>
      <c r="I172" s="400" t="str">
        <f t="shared" si="44"/>
        <v>-</v>
      </c>
      <c r="J172" s="400" t="str">
        <f t="shared" si="45"/>
        <v>-</v>
      </c>
      <c r="K172" s="200" t="str">
        <f t="shared" si="46"/>
        <v>-</v>
      </c>
      <c r="L172" s="581"/>
      <c r="M172" s="199" t="e">
        <f>RANK(K172, K$147:$K$176)</f>
        <v>#VALUE!</v>
      </c>
      <c r="N172" s="564"/>
      <c r="O172" s="564"/>
      <c r="P172" s="418"/>
      <c r="Q172" s="419"/>
      <c r="R172" s="419"/>
      <c r="S172" s="418" t="e">
        <f t="shared" si="47"/>
        <v>#N/A</v>
      </c>
      <c r="T172" s="565"/>
      <c r="U172" s="418"/>
      <c r="V172" s="419"/>
      <c r="W172" s="419"/>
      <c r="X172" s="418" t="e">
        <f t="shared" si="48"/>
        <v>#N/A</v>
      </c>
      <c r="Y172" s="565"/>
      <c r="Z172" s="418"/>
      <c r="AA172" s="419"/>
      <c r="AB172" s="419"/>
      <c r="AC172" s="418" t="e">
        <f t="shared" si="49"/>
        <v>#N/A</v>
      </c>
      <c r="AD172" s="565"/>
      <c r="AE172" s="418"/>
      <c r="AF172" s="419"/>
      <c r="AG172" s="419"/>
      <c r="AH172" s="418" t="e">
        <f t="shared" si="50"/>
        <v>#N/A</v>
      </c>
      <c r="AI172" s="565"/>
      <c r="AJ172" s="418"/>
      <c r="AK172" s="419"/>
      <c r="AL172" s="419"/>
      <c r="AM172" s="418" t="e">
        <f t="shared" si="51"/>
        <v>#N/A</v>
      </c>
      <c r="AN172" s="565"/>
      <c r="AO172" s="418"/>
      <c r="AP172" s="419"/>
      <c r="AQ172" s="419"/>
      <c r="AR172" s="418" t="e">
        <f t="shared" si="52"/>
        <v>#N/A</v>
      </c>
      <c r="AS172" s="565"/>
      <c r="AT172" s="418"/>
      <c r="AU172" s="419"/>
      <c r="AV172" s="419"/>
      <c r="AW172" s="418" t="e">
        <f t="shared" si="53"/>
        <v>#N/A</v>
      </c>
      <c r="AX172" s="565"/>
      <c r="AZ172" s="407" t="e">
        <f t="shared" si="54"/>
        <v>#N/A</v>
      </c>
      <c r="BA172" s="565"/>
    </row>
    <row r="173" spans="2:53">
      <c r="B173" s="570"/>
      <c r="C173" s="287">
        <v>27</v>
      </c>
      <c r="D173" s="226"/>
      <c r="E173" s="425"/>
      <c r="F173" s="418"/>
      <c r="G173" s="419"/>
      <c r="H173" s="628"/>
      <c r="I173" s="400" t="str">
        <f t="shared" si="44"/>
        <v>-</v>
      </c>
      <c r="J173" s="400" t="str">
        <f t="shared" si="45"/>
        <v>-</v>
      </c>
      <c r="K173" s="200" t="str">
        <f t="shared" si="46"/>
        <v>-</v>
      </c>
      <c r="L173" s="581"/>
      <c r="M173" s="199" t="e">
        <f>RANK(K173, K$147:$K$176)</f>
        <v>#VALUE!</v>
      </c>
      <c r="N173" s="564"/>
      <c r="O173" s="564"/>
      <c r="P173" s="418"/>
      <c r="Q173" s="419"/>
      <c r="R173" s="419"/>
      <c r="S173" s="418" t="e">
        <f t="shared" si="47"/>
        <v>#N/A</v>
      </c>
      <c r="T173" s="565"/>
      <c r="U173" s="418"/>
      <c r="V173" s="419"/>
      <c r="W173" s="419"/>
      <c r="X173" s="418" t="e">
        <f t="shared" si="48"/>
        <v>#N/A</v>
      </c>
      <c r="Y173" s="565"/>
      <c r="Z173" s="418"/>
      <c r="AA173" s="419"/>
      <c r="AB173" s="419"/>
      <c r="AC173" s="418" t="e">
        <f t="shared" si="49"/>
        <v>#N/A</v>
      </c>
      <c r="AD173" s="565"/>
      <c r="AE173" s="418"/>
      <c r="AF173" s="419"/>
      <c r="AG173" s="419"/>
      <c r="AH173" s="418" t="e">
        <f t="shared" si="50"/>
        <v>#N/A</v>
      </c>
      <c r="AI173" s="565"/>
      <c r="AJ173" s="418"/>
      <c r="AK173" s="419"/>
      <c r="AL173" s="419"/>
      <c r="AM173" s="418" t="e">
        <f t="shared" si="51"/>
        <v>#N/A</v>
      </c>
      <c r="AN173" s="565"/>
      <c r="AO173" s="418"/>
      <c r="AP173" s="419"/>
      <c r="AQ173" s="419"/>
      <c r="AR173" s="418" t="e">
        <f t="shared" si="52"/>
        <v>#N/A</v>
      </c>
      <c r="AS173" s="565"/>
      <c r="AT173" s="418"/>
      <c r="AU173" s="419"/>
      <c r="AV173" s="419"/>
      <c r="AW173" s="418" t="e">
        <f t="shared" si="53"/>
        <v>#N/A</v>
      </c>
      <c r="AX173" s="565"/>
      <c r="AZ173" s="407" t="e">
        <f t="shared" si="54"/>
        <v>#N/A</v>
      </c>
      <c r="BA173" s="565"/>
    </row>
    <row r="174" spans="2:53">
      <c r="B174" s="570"/>
      <c r="C174" s="287">
        <v>28</v>
      </c>
      <c r="D174" s="226"/>
      <c r="E174" s="425"/>
      <c r="F174" s="418"/>
      <c r="G174" s="419"/>
      <c r="H174" s="628"/>
      <c r="I174" s="400" t="str">
        <f t="shared" si="44"/>
        <v>-</v>
      </c>
      <c r="J174" s="400" t="str">
        <f t="shared" si="45"/>
        <v>-</v>
      </c>
      <c r="K174" s="200" t="str">
        <f t="shared" si="46"/>
        <v>-</v>
      </c>
      <c r="L174" s="581"/>
      <c r="M174" s="199" t="e">
        <f>RANK(K174, K$147:$K$176)</f>
        <v>#VALUE!</v>
      </c>
      <c r="N174" s="564"/>
      <c r="O174" s="564"/>
      <c r="P174" s="418"/>
      <c r="Q174" s="419"/>
      <c r="R174" s="419"/>
      <c r="S174" s="418" t="e">
        <f t="shared" si="47"/>
        <v>#N/A</v>
      </c>
      <c r="T174" s="565"/>
      <c r="U174" s="418"/>
      <c r="V174" s="419"/>
      <c r="W174" s="419"/>
      <c r="X174" s="418" t="e">
        <f t="shared" si="48"/>
        <v>#N/A</v>
      </c>
      <c r="Y174" s="565"/>
      <c r="Z174" s="418"/>
      <c r="AA174" s="419"/>
      <c r="AB174" s="419"/>
      <c r="AC174" s="418" t="e">
        <f t="shared" si="49"/>
        <v>#N/A</v>
      </c>
      <c r="AD174" s="565"/>
      <c r="AE174" s="418"/>
      <c r="AF174" s="419"/>
      <c r="AG174" s="419"/>
      <c r="AH174" s="418" t="e">
        <f t="shared" si="50"/>
        <v>#N/A</v>
      </c>
      <c r="AI174" s="565"/>
      <c r="AJ174" s="418"/>
      <c r="AK174" s="419"/>
      <c r="AL174" s="419"/>
      <c r="AM174" s="418" t="e">
        <f t="shared" si="51"/>
        <v>#N/A</v>
      </c>
      <c r="AN174" s="565"/>
      <c r="AO174" s="418"/>
      <c r="AP174" s="419"/>
      <c r="AQ174" s="419"/>
      <c r="AR174" s="418" t="e">
        <f t="shared" si="52"/>
        <v>#N/A</v>
      </c>
      <c r="AS174" s="565"/>
      <c r="AT174" s="418"/>
      <c r="AU174" s="419"/>
      <c r="AV174" s="419"/>
      <c r="AW174" s="418" t="e">
        <f t="shared" si="53"/>
        <v>#N/A</v>
      </c>
      <c r="AX174" s="565"/>
      <c r="AZ174" s="407" t="e">
        <f t="shared" si="54"/>
        <v>#N/A</v>
      </c>
      <c r="BA174" s="565"/>
    </row>
    <row r="175" spans="2:53">
      <c r="B175" s="570"/>
      <c r="C175" s="287">
        <v>29</v>
      </c>
      <c r="D175" s="226"/>
      <c r="E175" s="425"/>
      <c r="F175" s="418"/>
      <c r="G175" s="419"/>
      <c r="H175" s="628"/>
      <c r="I175" s="400" t="str">
        <f t="shared" si="44"/>
        <v>-</v>
      </c>
      <c r="J175" s="400" t="str">
        <f t="shared" si="45"/>
        <v>-</v>
      </c>
      <c r="K175" s="200" t="str">
        <f t="shared" si="46"/>
        <v>-</v>
      </c>
      <c r="L175" s="581"/>
      <c r="M175" s="199" t="e">
        <f>RANK(K175, K$147:$K$176)</f>
        <v>#VALUE!</v>
      </c>
      <c r="N175" s="564"/>
      <c r="O175" s="564"/>
      <c r="P175" s="418"/>
      <c r="Q175" s="418"/>
      <c r="R175" s="418"/>
      <c r="S175" s="418" t="e">
        <f t="shared" si="47"/>
        <v>#N/A</v>
      </c>
      <c r="T175" s="565"/>
      <c r="U175" s="418"/>
      <c r="V175" s="418"/>
      <c r="W175" s="418"/>
      <c r="X175" s="418" t="e">
        <f t="shared" si="48"/>
        <v>#N/A</v>
      </c>
      <c r="Y175" s="565"/>
      <c r="Z175" s="418"/>
      <c r="AA175" s="418"/>
      <c r="AB175" s="418"/>
      <c r="AC175" s="418" t="e">
        <f t="shared" si="49"/>
        <v>#N/A</v>
      </c>
      <c r="AD175" s="565"/>
      <c r="AE175" s="418"/>
      <c r="AF175" s="418"/>
      <c r="AG175" s="418"/>
      <c r="AH175" s="418" t="e">
        <f t="shared" si="50"/>
        <v>#N/A</v>
      </c>
      <c r="AI175" s="565"/>
      <c r="AJ175" s="418"/>
      <c r="AK175" s="418"/>
      <c r="AL175" s="418"/>
      <c r="AM175" s="418" t="e">
        <f t="shared" si="51"/>
        <v>#N/A</v>
      </c>
      <c r="AN175" s="565"/>
      <c r="AO175" s="418"/>
      <c r="AP175" s="418"/>
      <c r="AQ175" s="418"/>
      <c r="AR175" s="418" t="e">
        <f t="shared" si="52"/>
        <v>#N/A</v>
      </c>
      <c r="AS175" s="565"/>
      <c r="AT175" s="418"/>
      <c r="AU175" s="418"/>
      <c r="AV175" s="418"/>
      <c r="AW175" s="418" t="e">
        <f t="shared" si="53"/>
        <v>#N/A</v>
      </c>
      <c r="AX175" s="565"/>
      <c r="AZ175" s="407" t="e">
        <f t="shared" si="54"/>
        <v>#N/A</v>
      </c>
      <c r="BA175" s="565"/>
    </row>
    <row r="176" spans="2:53">
      <c r="B176" s="570"/>
      <c r="C176" s="287">
        <v>30</v>
      </c>
      <c r="D176" s="226"/>
      <c r="E176" s="425"/>
      <c r="F176" s="418"/>
      <c r="G176" s="419"/>
      <c r="H176" s="629"/>
      <c r="I176" s="400" t="str">
        <f t="shared" si="44"/>
        <v>-</v>
      </c>
      <c r="J176" s="400" t="str">
        <f t="shared" si="45"/>
        <v>-</v>
      </c>
      <c r="K176" s="200" t="str">
        <f t="shared" si="46"/>
        <v>-</v>
      </c>
      <c r="L176" s="582"/>
      <c r="M176" s="199" t="e">
        <f>RANK(K176, K$147:$K$176)</f>
        <v>#VALUE!</v>
      </c>
      <c r="N176" s="564"/>
      <c r="O176" s="564"/>
      <c r="P176" s="418"/>
      <c r="Q176" s="418"/>
      <c r="R176" s="418"/>
      <c r="S176" s="418" t="e">
        <f t="shared" si="47"/>
        <v>#N/A</v>
      </c>
      <c r="T176" s="565"/>
      <c r="U176" s="418"/>
      <c r="V176" s="418"/>
      <c r="W176" s="418"/>
      <c r="X176" s="418" t="e">
        <f t="shared" si="48"/>
        <v>#N/A</v>
      </c>
      <c r="Y176" s="565"/>
      <c r="Z176" s="418"/>
      <c r="AA176" s="418"/>
      <c r="AB176" s="418"/>
      <c r="AC176" s="418" t="e">
        <f t="shared" si="49"/>
        <v>#N/A</v>
      </c>
      <c r="AD176" s="565"/>
      <c r="AE176" s="418"/>
      <c r="AF176" s="418"/>
      <c r="AG176" s="418"/>
      <c r="AH176" s="418" t="e">
        <f t="shared" si="50"/>
        <v>#N/A</v>
      </c>
      <c r="AI176" s="565"/>
      <c r="AJ176" s="418"/>
      <c r="AK176" s="418"/>
      <c r="AL176" s="418"/>
      <c r="AM176" s="418" t="e">
        <f t="shared" si="51"/>
        <v>#N/A</v>
      </c>
      <c r="AN176" s="565"/>
      <c r="AO176" s="418"/>
      <c r="AP176" s="418"/>
      <c r="AQ176" s="418"/>
      <c r="AR176" s="418" t="e">
        <f t="shared" si="52"/>
        <v>#N/A</v>
      </c>
      <c r="AS176" s="565"/>
      <c r="AT176" s="418"/>
      <c r="AU176" s="418"/>
      <c r="AV176" s="418"/>
      <c r="AW176" s="418" t="e">
        <f t="shared" si="53"/>
        <v>#N/A</v>
      </c>
      <c r="AX176" s="565"/>
      <c r="AZ176" s="407" t="e">
        <f t="shared" si="54"/>
        <v>#N/A</v>
      </c>
      <c r="BA176" s="565"/>
    </row>
    <row r="177" spans="2:53" ht="15.75">
      <c r="B177" s="593" t="s">
        <v>163</v>
      </c>
      <c r="C177" s="594"/>
      <c r="D177" s="594"/>
      <c r="E177" s="594"/>
      <c r="F177" s="594"/>
      <c r="G177" s="594"/>
      <c r="H177" s="595"/>
      <c r="I177" s="208"/>
      <c r="J177" s="208"/>
      <c r="K177" s="208"/>
      <c r="L177" s="208"/>
      <c r="M177" s="207"/>
      <c r="N177" s="566" t="s">
        <v>156</v>
      </c>
      <c r="O177" s="566" t="s">
        <v>105</v>
      </c>
      <c r="P177" s="592">
        <f>P142+7</f>
        <v>46175</v>
      </c>
      <c r="Q177" s="570"/>
      <c r="R177" s="570"/>
      <c r="S177" s="570"/>
      <c r="T177" s="570"/>
      <c r="U177" s="589">
        <f>P177+1</f>
        <v>46176</v>
      </c>
      <c r="V177" s="590"/>
      <c r="W177" s="590"/>
      <c r="X177" s="590"/>
      <c r="Y177" s="591"/>
      <c r="Z177" s="589">
        <f>U177+1</f>
        <v>46177</v>
      </c>
      <c r="AA177" s="590"/>
      <c r="AB177" s="590"/>
      <c r="AC177" s="590"/>
      <c r="AD177" s="591"/>
      <c r="AE177" s="589">
        <f>Z177+1</f>
        <v>46178</v>
      </c>
      <c r="AF177" s="590"/>
      <c r="AG177" s="590"/>
      <c r="AH177" s="590"/>
      <c r="AI177" s="591"/>
      <c r="AJ177" s="589">
        <f>AE177+1</f>
        <v>46179</v>
      </c>
      <c r="AK177" s="590"/>
      <c r="AL177" s="590"/>
      <c r="AM177" s="590"/>
      <c r="AN177" s="591"/>
      <c r="AO177" s="589">
        <f>AJ177+1</f>
        <v>46180</v>
      </c>
      <c r="AP177" s="590"/>
      <c r="AQ177" s="590"/>
      <c r="AR177" s="590"/>
      <c r="AS177" s="591"/>
      <c r="AT177" s="589">
        <f>AO177+1</f>
        <v>46181</v>
      </c>
      <c r="AU177" s="590"/>
      <c r="AV177" s="590"/>
      <c r="AW177" s="590"/>
      <c r="AX177" s="591"/>
    </row>
    <row r="178" spans="2:53" ht="15.75">
      <c r="B178" s="596"/>
      <c r="C178" s="596"/>
      <c r="D178" s="596"/>
      <c r="E178" s="596"/>
      <c r="F178" s="596"/>
      <c r="G178" s="596"/>
      <c r="H178" s="596"/>
      <c r="I178" s="205"/>
      <c r="J178" s="205"/>
      <c r="K178" s="205"/>
      <c r="L178" s="205"/>
      <c r="M178" s="206"/>
      <c r="N178" s="568"/>
      <c r="O178" s="568"/>
      <c r="P178" s="592" t="s">
        <v>158</v>
      </c>
      <c r="Q178" s="570"/>
      <c r="R178" s="570"/>
      <c r="S178" s="570"/>
      <c r="T178" s="570"/>
      <c r="U178" s="592" t="s">
        <v>114</v>
      </c>
      <c r="V178" s="570"/>
      <c r="W178" s="570"/>
      <c r="X178" s="570"/>
      <c r="Y178" s="570"/>
      <c r="Z178" s="592" t="s">
        <v>159</v>
      </c>
      <c r="AA178" s="570"/>
      <c r="AB178" s="570"/>
      <c r="AC178" s="570"/>
      <c r="AD178" s="570"/>
      <c r="AE178" s="592" t="s">
        <v>157</v>
      </c>
      <c r="AF178" s="570"/>
      <c r="AG178" s="570"/>
      <c r="AH178" s="570"/>
      <c r="AI178" s="570"/>
      <c r="AJ178" s="592" t="s">
        <v>160</v>
      </c>
      <c r="AK178" s="570"/>
      <c r="AL178" s="570"/>
      <c r="AM178" s="570"/>
      <c r="AN178" s="570"/>
      <c r="AO178" s="592" t="s">
        <v>115</v>
      </c>
      <c r="AP178" s="570"/>
      <c r="AQ178" s="570"/>
      <c r="AR178" s="570"/>
      <c r="AS178" s="570"/>
      <c r="AT178" s="592" t="s">
        <v>162</v>
      </c>
      <c r="AU178" s="570"/>
      <c r="AV178" s="570"/>
      <c r="AW178" s="570"/>
      <c r="AX178" s="570"/>
    </row>
    <row r="179" spans="2:53">
      <c r="B179" s="564" t="s">
        <v>154</v>
      </c>
      <c r="C179" s="564" t="s">
        <v>387</v>
      </c>
      <c r="D179" s="564"/>
      <c r="E179" s="564" t="s">
        <v>378</v>
      </c>
      <c r="F179" s="564"/>
      <c r="G179" s="564"/>
      <c r="H179" s="597" t="s">
        <v>374</v>
      </c>
      <c r="I179" s="616" t="s">
        <v>379</v>
      </c>
      <c r="J179" s="616"/>
      <c r="K179" s="616"/>
      <c r="L179" s="617" t="s">
        <v>374</v>
      </c>
      <c r="M179" s="602" t="s">
        <v>375</v>
      </c>
      <c r="N179" s="564"/>
      <c r="O179" s="564" t="s">
        <v>380</v>
      </c>
      <c r="P179" s="583" t="s">
        <v>376</v>
      </c>
      <c r="Q179" s="584"/>
      <c r="R179" s="584"/>
      <c r="S179" s="585"/>
      <c r="T179" s="564" t="s">
        <v>374</v>
      </c>
      <c r="U179" s="583" t="s">
        <v>376</v>
      </c>
      <c r="V179" s="584"/>
      <c r="W179" s="584"/>
      <c r="X179" s="585"/>
      <c r="Y179" s="564" t="s">
        <v>374</v>
      </c>
      <c r="Z179" s="583" t="s">
        <v>376</v>
      </c>
      <c r="AA179" s="584"/>
      <c r="AB179" s="584"/>
      <c r="AC179" s="585"/>
      <c r="AD179" s="564" t="s">
        <v>374</v>
      </c>
      <c r="AE179" s="583" t="s">
        <v>376</v>
      </c>
      <c r="AF179" s="584"/>
      <c r="AG179" s="584"/>
      <c r="AH179" s="585"/>
      <c r="AI179" s="564" t="s">
        <v>374</v>
      </c>
      <c r="AJ179" s="583" t="s">
        <v>376</v>
      </c>
      <c r="AK179" s="584"/>
      <c r="AL179" s="584"/>
      <c r="AM179" s="585"/>
      <c r="AN179" s="564" t="s">
        <v>374</v>
      </c>
      <c r="AO179" s="583" t="s">
        <v>376</v>
      </c>
      <c r="AP179" s="584"/>
      <c r="AQ179" s="584"/>
      <c r="AR179" s="585"/>
      <c r="AS179" s="564" t="s">
        <v>374</v>
      </c>
      <c r="AT179" s="583" t="s">
        <v>376</v>
      </c>
      <c r="AU179" s="584"/>
      <c r="AV179" s="584"/>
      <c r="AW179" s="585"/>
      <c r="AX179" s="564" t="s">
        <v>374</v>
      </c>
      <c r="BA179" s="564" t="s">
        <v>374</v>
      </c>
    </row>
    <row r="180" spans="2:53">
      <c r="B180" s="564"/>
      <c r="C180" s="564"/>
      <c r="D180" s="564"/>
      <c r="E180" s="564" t="s">
        <v>381</v>
      </c>
      <c r="F180" s="564"/>
      <c r="G180" s="564"/>
      <c r="H180" s="598"/>
      <c r="I180" s="616" t="s">
        <v>381</v>
      </c>
      <c r="J180" s="616"/>
      <c r="K180" s="616"/>
      <c r="L180" s="618"/>
      <c r="M180" s="603"/>
      <c r="N180" s="564"/>
      <c r="O180" s="564"/>
      <c r="P180" s="583" t="s">
        <v>382</v>
      </c>
      <c r="Q180" s="584"/>
      <c r="R180" s="584"/>
      <c r="S180" s="585"/>
      <c r="T180" s="564"/>
      <c r="U180" s="583" t="s">
        <v>382</v>
      </c>
      <c r="V180" s="584"/>
      <c r="W180" s="584"/>
      <c r="X180" s="585"/>
      <c r="Y180" s="564"/>
      <c r="Z180" s="583" t="s">
        <v>382</v>
      </c>
      <c r="AA180" s="584"/>
      <c r="AB180" s="584"/>
      <c r="AC180" s="585"/>
      <c r="AD180" s="564"/>
      <c r="AE180" s="583" t="s">
        <v>382</v>
      </c>
      <c r="AF180" s="584"/>
      <c r="AG180" s="584"/>
      <c r="AH180" s="585"/>
      <c r="AI180" s="564"/>
      <c r="AJ180" s="583" t="s">
        <v>382</v>
      </c>
      <c r="AK180" s="584"/>
      <c r="AL180" s="584"/>
      <c r="AM180" s="585"/>
      <c r="AN180" s="564"/>
      <c r="AO180" s="583" t="s">
        <v>382</v>
      </c>
      <c r="AP180" s="584"/>
      <c r="AQ180" s="584"/>
      <c r="AR180" s="585"/>
      <c r="AS180" s="564"/>
      <c r="AT180" s="583" t="s">
        <v>382</v>
      </c>
      <c r="AU180" s="584"/>
      <c r="AV180" s="584"/>
      <c r="AW180" s="585"/>
      <c r="AX180" s="564"/>
      <c r="BA180" s="564"/>
    </row>
    <row r="181" spans="2:53">
      <c r="B181" s="564"/>
      <c r="C181" s="564"/>
      <c r="D181" s="564"/>
      <c r="E181" s="316" t="s">
        <v>383</v>
      </c>
      <c r="F181" s="316" t="s">
        <v>384</v>
      </c>
      <c r="G181" s="316" t="s">
        <v>385</v>
      </c>
      <c r="H181" s="599"/>
      <c r="I181" s="317" t="s">
        <v>383</v>
      </c>
      <c r="J181" s="317" t="s">
        <v>384</v>
      </c>
      <c r="K181" s="317" t="s">
        <v>385</v>
      </c>
      <c r="L181" s="619"/>
      <c r="M181" s="604"/>
      <c r="N181" s="564"/>
      <c r="O181" s="564"/>
      <c r="P181" s="316" t="s">
        <v>383</v>
      </c>
      <c r="Q181" s="316" t="s">
        <v>384</v>
      </c>
      <c r="R181" s="316" t="s">
        <v>385</v>
      </c>
      <c r="S181" s="316" t="s">
        <v>375</v>
      </c>
      <c r="T181" s="564"/>
      <c r="U181" s="316" t="s">
        <v>383</v>
      </c>
      <c r="V181" s="316" t="s">
        <v>384</v>
      </c>
      <c r="W181" s="316" t="s">
        <v>385</v>
      </c>
      <c r="X181" s="316" t="s">
        <v>375</v>
      </c>
      <c r="Y181" s="564"/>
      <c r="Z181" s="316" t="s">
        <v>383</v>
      </c>
      <c r="AA181" s="316" t="s">
        <v>384</v>
      </c>
      <c r="AB181" s="316" t="s">
        <v>385</v>
      </c>
      <c r="AC181" s="316" t="s">
        <v>375</v>
      </c>
      <c r="AD181" s="564"/>
      <c r="AE181" s="316" t="s">
        <v>383</v>
      </c>
      <c r="AF181" s="316" t="s">
        <v>384</v>
      </c>
      <c r="AG181" s="316" t="s">
        <v>385</v>
      </c>
      <c r="AH181" s="316" t="s">
        <v>375</v>
      </c>
      <c r="AI181" s="564"/>
      <c r="AJ181" s="316" t="s">
        <v>383</v>
      </c>
      <c r="AK181" s="316" t="s">
        <v>384</v>
      </c>
      <c r="AL181" s="316" t="s">
        <v>385</v>
      </c>
      <c r="AM181" s="316" t="s">
        <v>375</v>
      </c>
      <c r="AN181" s="564"/>
      <c r="AO181" s="316" t="s">
        <v>383</v>
      </c>
      <c r="AP181" s="316" t="s">
        <v>384</v>
      </c>
      <c r="AQ181" s="316" t="s">
        <v>385</v>
      </c>
      <c r="AR181" s="316" t="s">
        <v>375</v>
      </c>
      <c r="AS181" s="564"/>
      <c r="AT181" s="316" t="s">
        <v>383</v>
      </c>
      <c r="AU181" s="316" t="s">
        <v>384</v>
      </c>
      <c r="AV181" s="316" t="s">
        <v>385</v>
      </c>
      <c r="AW181" s="316" t="s">
        <v>375</v>
      </c>
      <c r="AX181" s="564"/>
      <c r="AZ181" s="406" t="s">
        <v>375</v>
      </c>
      <c r="BA181" s="564"/>
    </row>
    <row r="182" spans="2:53">
      <c r="B182" s="564" t="s">
        <v>134</v>
      </c>
      <c r="C182" s="315">
        <v>1</v>
      </c>
      <c r="D182" s="226"/>
      <c r="E182" s="182"/>
      <c r="F182" s="398"/>
      <c r="G182" s="399"/>
      <c r="H182" s="627" t="e">
        <f>AVERAGE(G182:G211)</f>
        <v>#DIV/0!</v>
      </c>
      <c r="I182" s="400" t="str">
        <f>IFERROR(AVERAGE(P182,U182,Z182,AE182,AJ182,AO182,AT182),"-")</f>
        <v>-</v>
      </c>
      <c r="J182" s="400" t="str">
        <f>IFERROR(AVERAGE(Q182,V182,AA182,AF182,AK182,AP182,AU182),"-")</f>
        <v>-</v>
      </c>
      <c r="K182" s="200" t="str">
        <f>IFERROR(AVERAGE(R182,W182,AB182,AG182,AL182,AQ182,AV182),"-")</f>
        <v>-</v>
      </c>
      <c r="L182" s="580" t="str">
        <f>IFERROR(AVERAGE(K182:K211),"-")</f>
        <v>-</v>
      </c>
      <c r="M182" s="201" t="e">
        <f>RANK(K182, K$147:$K$176)</f>
        <v>#VALUE!</v>
      </c>
      <c r="N182" s="564"/>
      <c r="O182" s="564"/>
      <c r="P182" s="182"/>
      <c r="Q182" s="182"/>
      <c r="R182" s="182"/>
      <c r="S182" s="315" t="e">
        <f>RANK(R182, R$182:R$211)</f>
        <v>#N/A</v>
      </c>
      <c r="T182" s="565" t="e">
        <f>AVERAGE(R182:R211)</f>
        <v>#DIV/0!</v>
      </c>
      <c r="U182" s="182"/>
      <c r="V182" s="182"/>
      <c r="W182" s="182"/>
      <c r="X182" s="376" t="e">
        <f>RANK(W182, W$182:W$211)</f>
        <v>#N/A</v>
      </c>
      <c r="Y182" s="565" t="e">
        <f>AVERAGE(W182:W211)</f>
        <v>#DIV/0!</v>
      </c>
      <c r="Z182" s="182"/>
      <c r="AA182" s="182"/>
      <c r="AB182" s="182"/>
      <c r="AC182" s="376" t="e">
        <f>RANK(AB182, AB$182:AB$211)</f>
        <v>#N/A</v>
      </c>
      <c r="AD182" s="565" t="e">
        <f>AVERAGE(AB182:AB211)</f>
        <v>#DIV/0!</v>
      </c>
      <c r="AE182" s="182"/>
      <c r="AF182" s="182"/>
      <c r="AG182" s="182"/>
      <c r="AH182" s="376" t="e">
        <f>RANK(AG182, AG$182:AG$211)</f>
        <v>#N/A</v>
      </c>
      <c r="AI182" s="565" t="e">
        <f>AVERAGE(AG182:AG211)</f>
        <v>#DIV/0!</v>
      </c>
      <c r="AJ182" s="182"/>
      <c r="AK182" s="182"/>
      <c r="AL182" s="182"/>
      <c r="AM182" s="376" t="e">
        <f>RANK(AL182, AL$182:AL$211)</f>
        <v>#N/A</v>
      </c>
      <c r="AN182" s="565" t="e">
        <f>AVERAGE(AL182:AL211)</f>
        <v>#DIV/0!</v>
      </c>
      <c r="AO182" s="182"/>
      <c r="AP182" s="182"/>
      <c r="AQ182" s="182"/>
      <c r="AR182" s="376" t="e">
        <f>RANK(AQ182, AQ$182:AQ$211)</f>
        <v>#N/A</v>
      </c>
      <c r="AS182" s="565" t="e">
        <f>AVERAGE(AQ182:AQ211)</f>
        <v>#DIV/0!</v>
      </c>
      <c r="AT182" s="182"/>
      <c r="AU182" s="182"/>
      <c r="AV182" s="182"/>
      <c r="AW182" s="376" t="e">
        <f>RANK(AV182, AV$182:AV$211)</f>
        <v>#N/A</v>
      </c>
      <c r="AX182" s="565" t="e">
        <f>AVERAGE(AV182:AV211)</f>
        <v>#DIV/0!</v>
      </c>
      <c r="AZ182" s="407" t="e">
        <f>RANK(AY182, AY$182:AY$211)</f>
        <v>#N/A</v>
      </c>
      <c r="BA182" s="565" t="e">
        <f>AVERAGE(AY182:AY211)</f>
        <v>#DIV/0!</v>
      </c>
    </row>
    <row r="183" spans="2:53">
      <c r="B183" s="570"/>
      <c r="C183" s="315">
        <v>2</v>
      </c>
      <c r="D183" s="226"/>
      <c r="E183" s="182"/>
      <c r="F183" s="398"/>
      <c r="G183" s="399"/>
      <c r="H183" s="628"/>
      <c r="I183" s="400" t="str">
        <f t="shared" ref="I183:I211" si="55">IFERROR(AVERAGE(P183,U183,Z183,AE183,AJ183,AO183,AT183),"-")</f>
        <v>-</v>
      </c>
      <c r="J183" s="400" t="str">
        <f t="shared" ref="J183:J211" si="56">IFERROR(AVERAGE(Q183,V183,AA183,AF183,AK183,AP183,AU183),"-")</f>
        <v>-</v>
      </c>
      <c r="K183" s="200" t="str">
        <f t="shared" ref="K183:K211" si="57">IFERROR(AVERAGE(R183,W183,AB183,AG183,AL183,AQ183,AV183),"-")</f>
        <v>-</v>
      </c>
      <c r="L183" s="581"/>
      <c r="M183" s="201" t="e">
        <f>RANK(K183, K$147:$K$176)</f>
        <v>#VALUE!</v>
      </c>
      <c r="N183" s="564"/>
      <c r="O183" s="564"/>
      <c r="P183" s="182"/>
      <c r="Q183" s="182"/>
      <c r="R183" s="182"/>
      <c r="S183" s="376" t="e">
        <f t="shared" ref="S183:S211" si="58">RANK(R183, R$182:R$211)</f>
        <v>#N/A</v>
      </c>
      <c r="T183" s="565"/>
      <c r="U183" s="182"/>
      <c r="V183" s="182"/>
      <c r="W183" s="182"/>
      <c r="X183" s="376" t="e">
        <f t="shared" ref="X183:X211" si="59">RANK(W183, W$182:W$211)</f>
        <v>#N/A</v>
      </c>
      <c r="Y183" s="565"/>
      <c r="Z183" s="182"/>
      <c r="AA183" s="182"/>
      <c r="AB183" s="182"/>
      <c r="AC183" s="376" t="e">
        <f t="shared" ref="AC183:AC211" si="60">RANK(AB183, AB$182:AB$211)</f>
        <v>#N/A</v>
      </c>
      <c r="AD183" s="565"/>
      <c r="AE183" s="182"/>
      <c r="AF183" s="182"/>
      <c r="AG183" s="182"/>
      <c r="AH183" s="376" t="e">
        <f t="shared" ref="AH183:AH211" si="61">RANK(AG183, AG$182:AG$211)</f>
        <v>#N/A</v>
      </c>
      <c r="AI183" s="565"/>
      <c r="AJ183" s="182"/>
      <c r="AK183" s="182"/>
      <c r="AL183" s="182"/>
      <c r="AM183" s="376" t="e">
        <f t="shared" ref="AM183:AM211" si="62">RANK(AL183, AL$182:AL$211)</f>
        <v>#N/A</v>
      </c>
      <c r="AN183" s="565"/>
      <c r="AO183" s="182"/>
      <c r="AP183" s="182"/>
      <c r="AQ183" s="182"/>
      <c r="AR183" s="376" t="e">
        <f t="shared" ref="AR183:AR211" si="63">RANK(AQ183, AQ$182:AQ$211)</f>
        <v>#N/A</v>
      </c>
      <c r="AS183" s="565"/>
      <c r="AT183" s="182"/>
      <c r="AU183" s="182"/>
      <c r="AV183" s="182"/>
      <c r="AW183" s="376" t="e">
        <f t="shared" ref="AW183:AW211" si="64">RANK(AV183, AV$182:AV$211)</f>
        <v>#N/A</v>
      </c>
      <c r="AX183" s="565"/>
      <c r="AZ183" s="407" t="e">
        <f t="shared" ref="AZ183:AZ211" si="65">RANK(AY183, AY$182:AY$211)</f>
        <v>#N/A</v>
      </c>
      <c r="BA183" s="565"/>
    </row>
    <row r="184" spans="2:53">
      <c r="B184" s="570"/>
      <c r="C184" s="315">
        <v>3</v>
      </c>
      <c r="D184" s="226"/>
      <c r="E184" s="182"/>
      <c r="F184" s="398"/>
      <c r="G184" s="399"/>
      <c r="H184" s="628"/>
      <c r="I184" s="400" t="str">
        <f t="shared" si="55"/>
        <v>-</v>
      </c>
      <c r="J184" s="400" t="str">
        <f t="shared" si="56"/>
        <v>-</v>
      </c>
      <c r="K184" s="200" t="str">
        <f t="shared" si="57"/>
        <v>-</v>
      </c>
      <c r="L184" s="581"/>
      <c r="M184" s="201" t="e">
        <f>RANK(K184, K$147:$K$176)</f>
        <v>#VALUE!</v>
      </c>
      <c r="N184" s="564"/>
      <c r="O184" s="564"/>
      <c r="P184" s="182"/>
      <c r="Q184" s="182"/>
      <c r="R184" s="182"/>
      <c r="S184" s="376" t="e">
        <f t="shared" si="58"/>
        <v>#N/A</v>
      </c>
      <c r="T184" s="565"/>
      <c r="U184" s="182"/>
      <c r="V184" s="182"/>
      <c r="W184" s="182"/>
      <c r="X184" s="376" t="e">
        <f t="shared" si="59"/>
        <v>#N/A</v>
      </c>
      <c r="Y184" s="565"/>
      <c r="Z184" s="182"/>
      <c r="AA184" s="182"/>
      <c r="AB184" s="182"/>
      <c r="AC184" s="376" t="e">
        <f t="shared" si="60"/>
        <v>#N/A</v>
      </c>
      <c r="AD184" s="565"/>
      <c r="AE184" s="182"/>
      <c r="AF184" s="182"/>
      <c r="AG184" s="182"/>
      <c r="AH184" s="376" t="e">
        <f t="shared" si="61"/>
        <v>#N/A</v>
      </c>
      <c r="AI184" s="565"/>
      <c r="AJ184" s="182"/>
      <c r="AK184" s="182"/>
      <c r="AL184" s="182"/>
      <c r="AM184" s="376" t="e">
        <f t="shared" si="62"/>
        <v>#N/A</v>
      </c>
      <c r="AN184" s="565"/>
      <c r="AO184" s="182"/>
      <c r="AP184" s="182"/>
      <c r="AQ184" s="182"/>
      <c r="AR184" s="376" t="e">
        <f t="shared" si="63"/>
        <v>#N/A</v>
      </c>
      <c r="AS184" s="565"/>
      <c r="AT184" s="182"/>
      <c r="AU184" s="182"/>
      <c r="AV184" s="182"/>
      <c r="AW184" s="376" t="e">
        <f t="shared" si="64"/>
        <v>#N/A</v>
      </c>
      <c r="AX184" s="565"/>
      <c r="AZ184" s="407" t="e">
        <f t="shared" si="65"/>
        <v>#N/A</v>
      </c>
      <c r="BA184" s="565"/>
    </row>
    <row r="185" spans="2:53">
      <c r="B185" s="570"/>
      <c r="C185" s="315">
        <v>4</v>
      </c>
      <c r="D185" s="226"/>
      <c r="E185" s="182"/>
      <c r="F185" s="398"/>
      <c r="G185" s="399"/>
      <c r="H185" s="628"/>
      <c r="I185" s="400" t="str">
        <f t="shared" si="55"/>
        <v>-</v>
      </c>
      <c r="J185" s="400" t="str">
        <f t="shared" si="56"/>
        <v>-</v>
      </c>
      <c r="K185" s="200" t="str">
        <f t="shared" si="57"/>
        <v>-</v>
      </c>
      <c r="L185" s="581"/>
      <c r="M185" s="201" t="e">
        <f>RANK(K185, K$147:$K$176)</f>
        <v>#VALUE!</v>
      </c>
      <c r="N185" s="564"/>
      <c r="O185" s="564"/>
      <c r="P185" s="182"/>
      <c r="Q185" s="182"/>
      <c r="R185" s="182"/>
      <c r="S185" s="376" t="e">
        <f t="shared" si="58"/>
        <v>#N/A</v>
      </c>
      <c r="T185" s="565"/>
      <c r="U185" s="182"/>
      <c r="V185" s="182"/>
      <c r="W185" s="182"/>
      <c r="X185" s="376" t="e">
        <f t="shared" si="59"/>
        <v>#N/A</v>
      </c>
      <c r="Y185" s="565"/>
      <c r="Z185" s="182"/>
      <c r="AA185" s="182"/>
      <c r="AB185" s="182"/>
      <c r="AC185" s="376" t="e">
        <f t="shared" si="60"/>
        <v>#N/A</v>
      </c>
      <c r="AD185" s="565"/>
      <c r="AE185" s="182"/>
      <c r="AF185" s="182"/>
      <c r="AG185" s="182"/>
      <c r="AH185" s="376" t="e">
        <f t="shared" si="61"/>
        <v>#N/A</v>
      </c>
      <c r="AI185" s="565"/>
      <c r="AJ185" s="182"/>
      <c r="AK185" s="182"/>
      <c r="AL185" s="182"/>
      <c r="AM185" s="376" t="e">
        <f t="shared" si="62"/>
        <v>#N/A</v>
      </c>
      <c r="AN185" s="565"/>
      <c r="AO185" s="182"/>
      <c r="AP185" s="182"/>
      <c r="AQ185" s="182"/>
      <c r="AR185" s="376" t="e">
        <f t="shared" si="63"/>
        <v>#N/A</v>
      </c>
      <c r="AS185" s="565"/>
      <c r="AT185" s="182"/>
      <c r="AU185" s="182"/>
      <c r="AV185" s="182"/>
      <c r="AW185" s="376" t="e">
        <f t="shared" si="64"/>
        <v>#N/A</v>
      </c>
      <c r="AX185" s="565"/>
      <c r="AZ185" s="407" t="e">
        <f t="shared" si="65"/>
        <v>#N/A</v>
      </c>
      <c r="BA185" s="565"/>
    </row>
    <row r="186" spans="2:53">
      <c r="B186" s="570"/>
      <c r="C186" s="315">
        <v>5</v>
      </c>
      <c r="D186" s="226"/>
      <c r="E186" s="182"/>
      <c r="F186" s="398"/>
      <c r="G186" s="399"/>
      <c r="H186" s="628"/>
      <c r="I186" s="400" t="str">
        <f t="shared" si="55"/>
        <v>-</v>
      </c>
      <c r="J186" s="400" t="str">
        <f t="shared" si="56"/>
        <v>-</v>
      </c>
      <c r="K186" s="200" t="str">
        <f t="shared" si="57"/>
        <v>-</v>
      </c>
      <c r="L186" s="581"/>
      <c r="M186" s="201" t="e">
        <f>RANK(K186, K$147:$K$176)</f>
        <v>#VALUE!</v>
      </c>
      <c r="N186" s="564"/>
      <c r="O186" s="564"/>
      <c r="P186" s="182"/>
      <c r="Q186" s="182"/>
      <c r="R186" s="182"/>
      <c r="S186" s="376" t="e">
        <f t="shared" si="58"/>
        <v>#N/A</v>
      </c>
      <c r="T186" s="565"/>
      <c r="U186" s="182"/>
      <c r="V186" s="182"/>
      <c r="W186" s="182"/>
      <c r="X186" s="376" t="e">
        <f t="shared" si="59"/>
        <v>#N/A</v>
      </c>
      <c r="Y186" s="565"/>
      <c r="Z186" s="182"/>
      <c r="AA186" s="182"/>
      <c r="AB186" s="182"/>
      <c r="AC186" s="376" t="e">
        <f t="shared" si="60"/>
        <v>#N/A</v>
      </c>
      <c r="AD186" s="565"/>
      <c r="AE186" s="182"/>
      <c r="AF186" s="182"/>
      <c r="AG186" s="182"/>
      <c r="AH186" s="376" t="e">
        <f t="shared" si="61"/>
        <v>#N/A</v>
      </c>
      <c r="AI186" s="565"/>
      <c r="AJ186" s="182"/>
      <c r="AK186" s="182"/>
      <c r="AL186" s="182"/>
      <c r="AM186" s="376" t="e">
        <f t="shared" si="62"/>
        <v>#N/A</v>
      </c>
      <c r="AN186" s="565"/>
      <c r="AO186" s="182"/>
      <c r="AP186" s="182"/>
      <c r="AQ186" s="182"/>
      <c r="AR186" s="376" t="e">
        <f t="shared" si="63"/>
        <v>#N/A</v>
      </c>
      <c r="AS186" s="565"/>
      <c r="AT186" s="182"/>
      <c r="AU186" s="182"/>
      <c r="AV186" s="182"/>
      <c r="AW186" s="376" t="e">
        <f t="shared" si="64"/>
        <v>#N/A</v>
      </c>
      <c r="AX186" s="565"/>
      <c r="AZ186" s="407" t="e">
        <f t="shared" si="65"/>
        <v>#N/A</v>
      </c>
      <c r="BA186" s="565"/>
    </row>
    <row r="187" spans="2:53">
      <c r="B187" s="570"/>
      <c r="C187" s="315">
        <v>6</v>
      </c>
      <c r="D187" s="226"/>
      <c r="E187" s="182"/>
      <c r="F187" s="398"/>
      <c r="G187" s="399"/>
      <c r="H187" s="628"/>
      <c r="I187" s="400" t="str">
        <f t="shared" si="55"/>
        <v>-</v>
      </c>
      <c r="J187" s="400" t="str">
        <f t="shared" si="56"/>
        <v>-</v>
      </c>
      <c r="K187" s="200" t="str">
        <f t="shared" si="57"/>
        <v>-</v>
      </c>
      <c r="L187" s="581"/>
      <c r="M187" s="201" t="e">
        <f>RANK(K187, K$147:$K$176)</f>
        <v>#VALUE!</v>
      </c>
      <c r="N187" s="564"/>
      <c r="O187" s="564"/>
      <c r="P187" s="182"/>
      <c r="Q187" s="182"/>
      <c r="R187" s="182"/>
      <c r="S187" s="376" t="e">
        <f t="shared" si="58"/>
        <v>#N/A</v>
      </c>
      <c r="T187" s="565"/>
      <c r="U187" s="182"/>
      <c r="V187" s="182"/>
      <c r="W187" s="182"/>
      <c r="X187" s="376" t="e">
        <f t="shared" si="59"/>
        <v>#N/A</v>
      </c>
      <c r="Y187" s="565"/>
      <c r="Z187" s="182"/>
      <c r="AA187" s="182"/>
      <c r="AB187" s="182"/>
      <c r="AC187" s="376" t="e">
        <f t="shared" si="60"/>
        <v>#N/A</v>
      </c>
      <c r="AD187" s="565"/>
      <c r="AE187" s="182"/>
      <c r="AF187" s="182"/>
      <c r="AG187" s="182"/>
      <c r="AH187" s="376" t="e">
        <f t="shared" si="61"/>
        <v>#N/A</v>
      </c>
      <c r="AI187" s="565"/>
      <c r="AJ187" s="182"/>
      <c r="AK187" s="182"/>
      <c r="AL187" s="182"/>
      <c r="AM187" s="376" t="e">
        <f t="shared" si="62"/>
        <v>#N/A</v>
      </c>
      <c r="AN187" s="565"/>
      <c r="AO187" s="182"/>
      <c r="AP187" s="182"/>
      <c r="AQ187" s="182"/>
      <c r="AR187" s="376" t="e">
        <f t="shared" si="63"/>
        <v>#N/A</v>
      </c>
      <c r="AS187" s="565"/>
      <c r="AT187" s="182"/>
      <c r="AU187" s="182"/>
      <c r="AV187" s="182"/>
      <c r="AW187" s="376" t="e">
        <f t="shared" si="64"/>
        <v>#N/A</v>
      </c>
      <c r="AX187" s="565"/>
      <c r="AZ187" s="407" t="e">
        <f t="shared" si="65"/>
        <v>#N/A</v>
      </c>
      <c r="BA187" s="565"/>
    </row>
    <row r="188" spans="2:53">
      <c r="B188" s="570"/>
      <c r="C188" s="315">
        <v>7</v>
      </c>
      <c r="D188" s="226"/>
      <c r="E188" s="182"/>
      <c r="F188" s="398"/>
      <c r="G188" s="399"/>
      <c r="H188" s="628"/>
      <c r="I188" s="400" t="str">
        <f t="shared" si="55"/>
        <v>-</v>
      </c>
      <c r="J188" s="400" t="str">
        <f t="shared" si="56"/>
        <v>-</v>
      </c>
      <c r="K188" s="200" t="str">
        <f t="shared" si="57"/>
        <v>-</v>
      </c>
      <c r="L188" s="581"/>
      <c r="M188" s="201" t="e">
        <f>RANK(K188, K$147:$K$176)</f>
        <v>#VALUE!</v>
      </c>
      <c r="N188" s="564"/>
      <c r="O188" s="564"/>
      <c r="P188" s="182"/>
      <c r="Q188" s="182"/>
      <c r="R188" s="182"/>
      <c r="S188" s="376" t="e">
        <f t="shared" si="58"/>
        <v>#N/A</v>
      </c>
      <c r="T188" s="565"/>
      <c r="U188" s="182"/>
      <c r="V188" s="182"/>
      <c r="W188" s="182"/>
      <c r="X188" s="376" t="e">
        <f t="shared" si="59"/>
        <v>#N/A</v>
      </c>
      <c r="Y188" s="565"/>
      <c r="Z188" s="182"/>
      <c r="AA188" s="182"/>
      <c r="AB188" s="182"/>
      <c r="AC188" s="376" t="e">
        <f t="shared" si="60"/>
        <v>#N/A</v>
      </c>
      <c r="AD188" s="565"/>
      <c r="AE188" s="182"/>
      <c r="AF188" s="182"/>
      <c r="AG188" s="182"/>
      <c r="AH188" s="376" t="e">
        <f t="shared" si="61"/>
        <v>#N/A</v>
      </c>
      <c r="AI188" s="565"/>
      <c r="AJ188" s="182"/>
      <c r="AK188" s="182"/>
      <c r="AL188" s="182"/>
      <c r="AM188" s="376" t="e">
        <f t="shared" si="62"/>
        <v>#N/A</v>
      </c>
      <c r="AN188" s="565"/>
      <c r="AO188" s="182"/>
      <c r="AP188" s="182"/>
      <c r="AQ188" s="182"/>
      <c r="AR188" s="376" t="e">
        <f t="shared" si="63"/>
        <v>#N/A</v>
      </c>
      <c r="AS188" s="565"/>
      <c r="AT188" s="182"/>
      <c r="AU188" s="182"/>
      <c r="AV188" s="182"/>
      <c r="AW188" s="376" t="e">
        <f t="shared" si="64"/>
        <v>#N/A</v>
      </c>
      <c r="AX188" s="565"/>
      <c r="AZ188" s="407" t="e">
        <f t="shared" si="65"/>
        <v>#N/A</v>
      </c>
      <c r="BA188" s="565"/>
    </row>
    <row r="189" spans="2:53">
      <c r="B189" s="570"/>
      <c r="C189" s="315">
        <v>8</v>
      </c>
      <c r="D189" s="226"/>
      <c r="E189" s="182"/>
      <c r="F189" s="398"/>
      <c r="G189" s="399"/>
      <c r="H189" s="628"/>
      <c r="I189" s="400" t="str">
        <f t="shared" si="55"/>
        <v>-</v>
      </c>
      <c r="J189" s="400" t="str">
        <f t="shared" si="56"/>
        <v>-</v>
      </c>
      <c r="K189" s="200" t="str">
        <f t="shared" si="57"/>
        <v>-</v>
      </c>
      <c r="L189" s="581"/>
      <c r="M189" s="201" t="e">
        <f>RANK(K189, K$147:$K$176)</f>
        <v>#VALUE!</v>
      </c>
      <c r="N189" s="564"/>
      <c r="O189" s="564"/>
      <c r="P189" s="182"/>
      <c r="Q189" s="182"/>
      <c r="R189" s="182"/>
      <c r="S189" s="376" t="e">
        <f t="shared" si="58"/>
        <v>#N/A</v>
      </c>
      <c r="T189" s="565"/>
      <c r="U189" s="182"/>
      <c r="V189" s="182"/>
      <c r="W189" s="182"/>
      <c r="X189" s="376" t="e">
        <f t="shared" si="59"/>
        <v>#N/A</v>
      </c>
      <c r="Y189" s="565"/>
      <c r="Z189" s="182"/>
      <c r="AA189" s="182"/>
      <c r="AB189" s="182"/>
      <c r="AC189" s="376" t="e">
        <f t="shared" si="60"/>
        <v>#N/A</v>
      </c>
      <c r="AD189" s="565"/>
      <c r="AE189" s="182"/>
      <c r="AF189" s="182"/>
      <c r="AG189" s="182"/>
      <c r="AH189" s="376" t="e">
        <f t="shared" si="61"/>
        <v>#N/A</v>
      </c>
      <c r="AI189" s="565"/>
      <c r="AJ189" s="182"/>
      <c r="AK189" s="182"/>
      <c r="AL189" s="182"/>
      <c r="AM189" s="376" t="e">
        <f t="shared" si="62"/>
        <v>#N/A</v>
      </c>
      <c r="AN189" s="565"/>
      <c r="AO189" s="182"/>
      <c r="AP189" s="182"/>
      <c r="AQ189" s="182"/>
      <c r="AR189" s="376" t="e">
        <f t="shared" si="63"/>
        <v>#N/A</v>
      </c>
      <c r="AS189" s="565"/>
      <c r="AT189" s="182"/>
      <c r="AU189" s="182"/>
      <c r="AV189" s="182"/>
      <c r="AW189" s="376" t="e">
        <f t="shared" si="64"/>
        <v>#N/A</v>
      </c>
      <c r="AX189" s="565"/>
      <c r="AZ189" s="407" t="e">
        <f t="shared" si="65"/>
        <v>#N/A</v>
      </c>
      <c r="BA189" s="565"/>
    </row>
    <row r="190" spans="2:53">
      <c r="B190" s="570"/>
      <c r="C190" s="315">
        <v>9</v>
      </c>
      <c r="D190" s="226"/>
      <c r="E190" s="182"/>
      <c r="F190" s="398"/>
      <c r="G190" s="399"/>
      <c r="H190" s="628"/>
      <c r="I190" s="400" t="str">
        <f t="shared" si="55"/>
        <v>-</v>
      </c>
      <c r="J190" s="400" t="str">
        <f t="shared" si="56"/>
        <v>-</v>
      </c>
      <c r="K190" s="200" t="str">
        <f t="shared" si="57"/>
        <v>-</v>
      </c>
      <c r="L190" s="581"/>
      <c r="M190" s="201" t="e">
        <f>RANK(K190, K$147:$K$176)</f>
        <v>#VALUE!</v>
      </c>
      <c r="N190" s="564"/>
      <c r="O190" s="564"/>
      <c r="P190" s="182"/>
      <c r="Q190" s="182"/>
      <c r="R190" s="182"/>
      <c r="S190" s="376" t="e">
        <f t="shared" si="58"/>
        <v>#N/A</v>
      </c>
      <c r="T190" s="565"/>
      <c r="U190" s="182"/>
      <c r="V190" s="182"/>
      <c r="W190" s="182"/>
      <c r="X190" s="376" t="e">
        <f t="shared" si="59"/>
        <v>#N/A</v>
      </c>
      <c r="Y190" s="565"/>
      <c r="Z190" s="182"/>
      <c r="AA190" s="182"/>
      <c r="AB190" s="182"/>
      <c r="AC190" s="376" t="e">
        <f t="shared" si="60"/>
        <v>#N/A</v>
      </c>
      <c r="AD190" s="565"/>
      <c r="AE190" s="182"/>
      <c r="AF190" s="182"/>
      <c r="AG190" s="182"/>
      <c r="AH190" s="376" t="e">
        <f t="shared" si="61"/>
        <v>#N/A</v>
      </c>
      <c r="AI190" s="565"/>
      <c r="AJ190" s="182"/>
      <c r="AK190" s="182"/>
      <c r="AL190" s="182"/>
      <c r="AM190" s="376" t="e">
        <f t="shared" si="62"/>
        <v>#N/A</v>
      </c>
      <c r="AN190" s="565"/>
      <c r="AO190" s="182"/>
      <c r="AP190" s="182"/>
      <c r="AQ190" s="182"/>
      <c r="AR190" s="376" t="e">
        <f t="shared" si="63"/>
        <v>#N/A</v>
      </c>
      <c r="AS190" s="565"/>
      <c r="AT190" s="182"/>
      <c r="AU190" s="182"/>
      <c r="AV190" s="182"/>
      <c r="AW190" s="376" t="e">
        <f t="shared" si="64"/>
        <v>#N/A</v>
      </c>
      <c r="AX190" s="565"/>
      <c r="AZ190" s="407" t="e">
        <f t="shared" si="65"/>
        <v>#N/A</v>
      </c>
      <c r="BA190" s="565"/>
    </row>
    <row r="191" spans="2:53">
      <c r="B191" s="570"/>
      <c r="C191" s="315">
        <v>10</v>
      </c>
      <c r="D191" s="226"/>
      <c r="E191" s="182"/>
      <c r="F191" s="398"/>
      <c r="G191" s="399"/>
      <c r="H191" s="628"/>
      <c r="I191" s="400" t="str">
        <f t="shared" si="55"/>
        <v>-</v>
      </c>
      <c r="J191" s="400" t="str">
        <f t="shared" si="56"/>
        <v>-</v>
      </c>
      <c r="K191" s="200" t="str">
        <f t="shared" si="57"/>
        <v>-</v>
      </c>
      <c r="L191" s="581"/>
      <c r="M191" s="201" t="e">
        <f>RANK(K191, K$147:$K$176)</f>
        <v>#VALUE!</v>
      </c>
      <c r="N191" s="564"/>
      <c r="O191" s="564"/>
      <c r="P191" s="182"/>
      <c r="Q191" s="182"/>
      <c r="R191" s="182"/>
      <c r="S191" s="376" t="e">
        <f t="shared" si="58"/>
        <v>#N/A</v>
      </c>
      <c r="T191" s="565"/>
      <c r="U191" s="182"/>
      <c r="V191" s="182"/>
      <c r="W191" s="182"/>
      <c r="X191" s="376" t="e">
        <f t="shared" si="59"/>
        <v>#N/A</v>
      </c>
      <c r="Y191" s="565"/>
      <c r="Z191" s="182"/>
      <c r="AA191" s="182"/>
      <c r="AB191" s="182"/>
      <c r="AC191" s="376" t="e">
        <f t="shared" si="60"/>
        <v>#N/A</v>
      </c>
      <c r="AD191" s="565"/>
      <c r="AE191" s="182"/>
      <c r="AF191" s="182"/>
      <c r="AG191" s="182"/>
      <c r="AH191" s="376" t="e">
        <f t="shared" si="61"/>
        <v>#N/A</v>
      </c>
      <c r="AI191" s="565"/>
      <c r="AJ191" s="182"/>
      <c r="AK191" s="182"/>
      <c r="AL191" s="182"/>
      <c r="AM191" s="376" t="e">
        <f t="shared" si="62"/>
        <v>#N/A</v>
      </c>
      <c r="AN191" s="565"/>
      <c r="AO191" s="182"/>
      <c r="AP191" s="182"/>
      <c r="AQ191" s="182"/>
      <c r="AR191" s="376" t="e">
        <f t="shared" si="63"/>
        <v>#N/A</v>
      </c>
      <c r="AS191" s="565"/>
      <c r="AT191" s="182"/>
      <c r="AU191" s="182"/>
      <c r="AV191" s="182"/>
      <c r="AW191" s="376" t="e">
        <f t="shared" si="64"/>
        <v>#N/A</v>
      </c>
      <c r="AX191" s="565"/>
      <c r="AZ191" s="407" t="e">
        <f t="shared" si="65"/>
        <v>#N/A</v>
      </c>
      <c r="BA191" s="565"/>
    </row>
    <row r="192" spans="2:53">
      <c r="B192" s="570"/>
      <c r="C192" s="315">
        <v>11</v>
      </c>
      <c r="D192" s="226"/>
      <c r="E192" s="182"/>
      <c r="F192" s="398"/>
      <c r="G192" s="399"/>
      <c r="H192" s="628"/>
      <c r="I192" s="400" t="str">
        <f t="shared" si="55"/>
        <v>-</v>
      </c>
      <c r="J192" s="400" t="str">
        <f t="shared" si="56"/>
        <v>-</v>
      </c>
      <c r="K192" s="200" t="str">
        <f t="shared" si="57"/>
        <v>-</v>
      </c>
      <c r="L192" s="581"/>
      <c r="M192" s="201" t="e">
        <f>RANK(K192, K$147:$K$176)</f>
        <v>#VALUE!</v>
      </c>
      <c r="N192" s="564"/>
      <c r="O192" s="564"/>
      <c r="P192" s="182"/>
      <c r="Q192" s="182"/>
      <c r="R192" s="182"/>
      <c r="S192" s="376" t="e">
        <f t="shared" si="58"/>
        <v>#N/A</v>
      </c>
      <c r="T192" s="565"/>
      <c r="U192" s="182"/>
      <c r="V192" s="182"/>
      <c r="W192" s="182"/>
      <c r="X192" s="376" t="e">
        <f t="shared" si="59"/>
        <v>#N/A</v>
      </c>
      <c r="Y192" s="565"/>
      <c r="Z192" s="182"/>
      <c r="AA192" s="182"/>
      <c r="AB192" s="182"/>
      <c r="AC192" s="376" t="e">
        <f t="shared" si="60"/>
        <v>#N/A</v>
      </c>
      <c r="AD192" s="565"/>
      <c r="AE192" s="182"/>
      <c r="AF192" s="182"/>
      <c r="AG192" s="182"/>
      <c r="AH192" s="376" t="e">
        <f t="shared" si="61"/>
        <v>#N/A</v>
      </c>
      <c r="AI192" s="565"/>
      <c r="AJ192" s="182"/>
      <c r="AK192" s="182"/>
      <c r="AL192" s="182"/>
      <c r="AM192" s="376" t="e">
        <f t="shared" si="62"/>
        <v>#N/A</v>
      </c>
      <c r="AN192" s="565"/>
      <c r="AO192" s="182"/>
      <c r="AP192" s="182"/>
      <c r="AQ192" s="182"/>
      <c r="AR192" s="376" t="e">
        <f t="shared" si="63"/>
        <v>#N/A</v>
      </c>
      <c r="AS192" s="565"/>
      <c r="AT192" s="182"/>
      <c r="AU192" s="182"/>
      <c r="AV192" s="182"/>
      <c r="AW192" s="376" t="e">
        <f t="shared" si="64"/>
        <v>#N/A</v>
      </c>
      <c r="AX192" s="565"/>
      <c r="AZ192" s="407" t="e">
        <f t="shared" si="65"/>
        <v>#N/A</v>
      </c>
      <c r="BA192" s="565"/>
    </row>
    <row r="193" spans="2:53">
      <c r="B193" s="570"/>
      <c r="C193" s="315">
        <v>12</v>
      </c>
      <c r="D193" s="226"/>
      <c r="E193" s="182"/>
      <c r="F193" s="398"/>
      <c r="G193" s="399"/>
      <c r="H193" s="628"/>
      <c r="I193" s="400" t="str">
        <f t="shared" si="55"/>
        <v>-</v>
      </c>
      <c r="J193" s="400" t="str">
        <f t="shared" si="56"/>
        <v>-</v>
      </c>
      <c r="K193" s="200" t="str">
        <f t="shared" si="57"/>
        <v>-</v>
      </c>
      <c r="L193" s="581"/>
      <c r="M193" s="201" t="e">
        <f>RANK(K193, K$147:$K$176)</f>
        <v>#VALUE!</v>
      </c>
      <c r="N193" s="564"/>
      <c r="O193" s="564"/>
      <c r="P193" s="182"/>
      <c r="Q193" s="182"/>
      <c r="R193" s="182"/>
      <c r="S193" s="376" t="e">
        <f t="shared" si="58"/>
        <v>#N/A</v>
      </c>
      <c r="T193" s="565"/>
      <c r="U193" s="182"/>
      <c r="V193" s="182"/>
      <c r="W193" s="182"/>
      <c r="X193" s="376" t="e">
        <f t="shared" si="59"/>
        <v>#N/A</v>
      </c>
      <c r="Y193" s="565"/>
      <c r="Z193" s="182"/>
      <c r="AA193" s="182"/>
      <c r="AB193" s="182"/>
      <c r="AC193" s="376" t="e">
        <f t="shared" si="60"/>
        <v>#N/A</v>
      </c>
      <c r="AD193" s="565"/>
      <c r="AE193" s="182"/>
      <c r="AF193" s="182"/>
      <c r="AG193" s="182"/>
      <c r="AH193" s="376" t="e">
        <f t="shared" si="61"/>
        <v>#N/A</v>
      </c>
      <c r="AI193" s="565"/>
      <c r="AJ193" s="182"/>
      <c r="AK193" s="182"/>
      <c r="AL193" s="182"/>
      <c r="AM193" s="376" t="e">
        <f t="shared" si="62"/>
        <v>#N/A</v>
      </c>
      <c r="AN193" s="565"/>
      <c r="AO193" s="182"/>
      <c r="AP193" s="182"/>
      <c r="AQ193" s="182"/>
      <c r="AR193" s="376" t="e">
        <f t="shared" si="63"/>
        <v>#N/A</v>
      </c>
      <c r="AS193" s="565"/>
      <c r="AT193" s="182"/>
      <c r="AU193" s="182"/>
      <c r="AV193" s="182"/>
      <c r="AW193" s="376" t="e">
        <f t="shared" si="64"/>
        <v>#N/A</v>
      </c>
      <c r="AX193" s="565"/>
      <c r="AZ193" s="407" t="e">
        <f t="shared" si="65"/>
        <v>#N/A</v>
      </c>
      <c r="BA193" s="565"/>
    </row>
    <row r="194" spans="2:53">
      <c r="B194" s="570"/>
      <c r="C194" s="315">
        <v>13</v>
      </c>
      <c r="D194" s="226"/>
      <c r="E194" s="182"/>
      <c r="F194" s="398"/>
      <c r="G194" s="399"/>
      <c r="H194" s="628"/>
      <c r="I194" s="400" t="str">
        <f t="shared" si="55"/>
        <v>-</v>
      </c>
      <c r="J194" s="400" t="str">
        <f t="shared" si="56"/>
        <v>-</v>
      </c>
      <c r="K194" s="200" t="str">
        <f t="shared" si="57"/>
        <v>-</v>
      </c>
      <c r="L194" s="581"/>
      <c r="M194" s="201" t="e">
        <f>RANK(K194, K$147:$K$176)</f>
        <v>#VALUE!</v>
      </c>
      <c r="N194" s="564"/>
      <c r="O194" s="564"/>
      <c r="P194" s="182"/>
      <c r="Q194" s="182"/>
      <c r="R194" s="182"/>
      <c r="S194" s="376" t="e">
        <f t="shared" si="58"/>
        <v>#N/A</v>
      </c>
      <c r="T194" s="565"/>
      <c r="U194" s="182"/>
      <c r="V194" s="182"/>
      <c r="W194" s="182"/>
      <c r="X194" s="376" t="e">
        <f t="shared" si="59"/>
        <v>#N/A</v>
      </c>
      <c r="Y194" s="565"/>
      <c r="Z194" s="182"/>
      <c r="AA194" s="182"/>
      <c r="AB194" s="182"/>
      <c r="AC194" s="376" t="e">
        <f t="shared" si="60"/>
        <v>#N/A</v>
      </c>
      <c r="AD194" s="565"/>
      <c r="AE194" s="182"/>
      <c r="AF194" s="182"/>
      <c r="AG194" s="182"/>
      <c r="AH194" s="376" t="e">
        <f t="shared" si="61"/>
        <v>#N/A</v>
      </c>
      <c r="AI194" s="565"/>
      <c r="AJ194" s="182"/>
      <c r="AK194" s="182"/>
      <c r="AL194" s="182"/>
      <c r="AM194" s="376" t="e">
        <f t="shared" si="62"/>
        <v>#N/A</v>
      </c>
      <c r="AN194" s="565"/>
      <c r="AO194" s="182"/>
      <c r="AP194" s="182"/>
      <c r="AQ194" s="182"/>
      <c r="AR194" s="376" t="e">
        <f t="shared" si="63"/>
        <v>#N/A</v>
      </c>
      <c r="AS194" s="565"/>
      <c r="AT194" s="182"/>
      <c r="AU194" s="182"/>
      <c r="AV194" s="182"/>
      <c r="AW194" s="376" t="e">
        <f t="shared" si="64"/>
        <v>#N/A</v>
      </c>
      <c r="AX194" s="565"/>
      <c r="AZ194" s="407" t="e">
        <f t="shared" si="65"/>
        <v>#N/A</v>
      </c>
      <c r="BA194" s="565"/>
    </row>
    <row r="195" spans="2:53">
      <c r="B195" s="570"/>
      <c r="C195" s="315">
        <v>14</v>
      </c>
      <c r="D195" s="226"/>
      <c r="E195" s="182"/>
      <c r="F195" s="398"/>
      <c r="G195" s="399"/>
      <c r="H195" s="628"/>
      <c r="I195" s="400" t="str">
        <f t="shared" si="55"/>
        <v>-</v>
      </c>
      <c r="J195" s="400" t="str">
        <f t="shared" si="56"/>
        <v>-</v>
      </c>
      <c r="K195" s="200" t="str">
        <f t="shared" si="57"/>
        <v>-</v>
      </c>
      <c r="L195" s="581"/>
      <c r="M195" s="201" t="e">
        <f>RANK(K195, K$147:$K$176)</f>
        <v>#VALUE!</v>
      </c>
      <c r="N195" s="564"/>
      <c r="O195" s="564"/>
      <c r="P195" s="182"/>
      <c r="Q195" s="182"/>
      <c r="R195" s="182"/>
      <c r="S195" s="376" t="e">
        <f t="shared" si="58"/>
        <v>#N/A</v>
      </c>
      <c r="T195" s="565"/>
      <c r="U195" s="182"/>
      <c r="V195" s="182"/>
      <c r="W195" s="182"/>
      <c r="X195" s="376" t="e">
        <f t="shared" si="59"/>
        <v>#N/A</v>
      </c>
      <c r="Y195" s="565"/>
      <c r="Z195" s="182"/>
      <c r="AA195" s="182"/>
      <c r="AB195" s="182"/>
      <c r="AC195" s="376" t="e">
        <f t="shared" si="60"/>
        <v>#N/A</v>
      </c>
      <c r="AD195" s="565"/>
      <c r="AE195" s="182"/>
      <c r="AF195" s="182"/>
      <c r="AG195" s="182"/>
      <c r="AH195" s="376" t="e">
        <f t="shared" si="61"/>
        <v>#N/A</v>
      </c>
      <c r="AI195" s="565"/>
      <c r="AJ195" s="182"/>
      <c r="AK195" s="182"/>
      <c r="AL195" s="182"/>
      <c r="AM195" s="376" t="e">
        <f t="shared" si="62"/>
        <v>#N/A</v>
      </c>
      <c r="AN195" s="565"/>
      <c r="AO195" s="182"/>
      <c r="AP195" s="182"/>
      <c r="AQ195" s="182"/>
      <c r="AR195" s="376" t="e">
        <f t="shared" si="63"/>
        <v>#N/A</v>
      </c>
      <c r="AS195" s="565"/>
      <c r="AT195" s="182"/>
      <c r="AU195" s="182"/>
      <c r="AV195" s="182"/>
      <c r="AW195" s="376" t="e">
        <f t="shared" si="64"/>
        <v>#N/A</v>
      </c>
      <c r="AX195" s="565"/>
      <c r="AZ195" s="407" t="e">
        <f t="shared" si="65"/>
        <v>#N/A</v>
      </c>
      <c r="BA195" s="565"/>
    </row>
    <row r="196" spans="2:53">
      <c r="B196" s="570"/>
      <c r="C196" s="315">
        <v>15</v>
      </c>
      <c r="D196" s="226"/>
      <c r="E196" s="182"/>
      <c r="F196" s="398"/>
      <c r="G196" s="399"/>
      <c r="H196" s="628"/>
      <c r="I196" s="400" t="str">
        <f t="shared" si="55"/>
        <v>-</v>
      </c>
      <c r="J196" s="400" t="str">
        <f t="shared" si="56"/>
        <v>-</v>
      </c>
      <c r="K196" s="200" t="str">
        <f t="shared" si="57"/>
        <v>-</v>
      </c>
      <c r="L196" s="581"/>
      <c r="M196" s="199" t="e">
        <f>RANK(K196, K$147:$K$176)</f>
        <v>#VALUE!</v>
      </c>
      <c r="N196" s="564"/>
      <c r="O196" s="564"/>
      <c r="P196" s="182"/>
      <c r="Q196" s="182"/>
      <c r="R196" s="182"/>
      <c r="S196" s="376" t="e">
        <f t="shared" si="58"/>
        <v>#N/A</v>
      </c>
      <c r="T196" s="565"/>
      <c r="U196" s="182"/>
      <c r="V196" s="182"/>
      <c r="W196" s="182"/>
      <c r="X196" s="376" t="e">
        <f t="shared" si="59"/>
        <v>#N/A</v>
      </c>
      <c r="Y196" s="565"/>
      <c r="Z196" s="182"/>
      <c r="AA196" s="182"/>
      <c r="AB196" s="182"/>
      <c r="AC196" s="376" t="e">
        <f t="shared" si="60"/>
        <v>#N/A</v>
      </c>
      <c r="AD196" s="565"/>
      <c r="AE196" s="182"/>
      <c r="AF196" s="182"/>
      <c r="AG196" s="182"/>
      <c r="AH196" s="376" t="e">
        <f t="shared" si="61"/>
        <v>#N/A</v>
      </c>
      <c r="AI196" s="565"/>
      <c r="AJ196" s="182"/>
      <c r="AK196" s="182"/>
      <c r="AL196" s="182"/>
      <c r="AM196" s="376" t="e">
        <f t="shared" si="62"/>
        <v>#N/A</v>
      </c>
      <c r="AN196" s="565"/>
      <c r="AO196" s="182"/>
      <c r="AP196" s="182"/>
      <c r="AQ196" s="182"/>
      <c r="AR196" s="376" t="e">
        <f t="shared" si="63"/>
        <v>#N/A</v>
      </c>
      <c r="AS196" s="565"/>
      <c r="AT196" s="182"/>
      <c r="AU196" s="182"/>
      <c r="AV196" s="182"/>
      <c r="AW196" s="376" t="e">
        <f t="shared" si="64"/>
        <v>#N/A</v>
      </c>
      <c r="AX196" s="565"/>
      <c r="AZ196" s="407" t="e">
        <f t="shared" si="65"/>
        <v>#N/A</v>
      </c>
      <c r="BA196" s="565"/>
    </row>
    <row r="197" spans="2:53">
      <c r="B197" s="570"/>
      <c r="C197" s="315">
        <v>16</v>
      </c>
      <c r="D197" s="226"/>
      <c r="E197" s="182"/>
      <c r="F197" s="398"/>
      <c r="G197" s="399"/>
      <c r="H197" s="628"/>
      <c r="I197" s="400" t="str">
        <f t="shared" si="55"/>
        <v>-</v>
      </c>
      <c r="J197" s="400" t="str">
        <f t="shared" si="56"/>
        <v>-</v>
      </c>
      <c r="K197" s="200" t="str">
        <f t="shared" si="57"/>
        <v>-</v>
      </c>
      <c r="L197" s="581"/>
      <c r="M197" s="199" t="e">
        <f>RANK(K197, K$147:$K$176)</f>
        <v>#VALUE!</v>
      </c>
      <c r="N197" s="564"/>
      <c r="O197" s="564"/>
      <c r="P197" s="182"/>
      <c r="Q197" s="182"/>
      <c r="R197" s="182"/>
      <c r="S197" s="376" t="e">
        <f t="shared" si="58"/>
        <v>#N/A</v>
      </c>
      <c r="T197" s="565"/>
      <c r="U197" s="182"/>
      <c r="V197" s="182"/>
      <c r="W197" s="182"/>
      <c r="X197" s="376" t="e">
        <f t="shared" si="59"/>
        <v>#N/A</v>
      </c>
      <c r="Y197" s="565"/>
      <c r="Z197" s="182"/>
      <c r="AA197" s="182"/>
      <c r="AB197" s="182"/>
      <c r="AC197" s="376" t="e">
        <f t="shared" si="60"/>
        <v>#N/A</v>
      </c>
      <c r="AD197" s="565"/>
      <c r="AE197" s="182"/>
      <c r="AF197" s="182"/>
      <c r="AG197" s="182"/>
      <c r="AH197" s="376" t="e">
        <f t="shared" si="61"/>
        <v>#N/A</v>
      </c>
      <c r="AI197" s="565"/>
      <c r="AJ197" s="182"/>
      <c r="AK197" s="182"/>
      <c r="AL197" s="182"/>
      <c r="AM197" s="376" t="e">
        <f t="shared" si="62"/>
        <v>#N/A</v>
      </c>
      <c r="AN197" s="565"/>
      <c r="AO197" s="182"/>
      <c r="AP197" s="182"/>
      <c r="AQ197" s="182"/>
      <c r="AR197" s="376" t="e">
        <f t="shared" si="63"/>
        <v>#N/A</v>
      </c>
      <c r="AS197" s="565"/>
      <c r="AT197" s="182"/>
      <c r="AU197" s="182"/>
      <c r="AV197" s="182"/>
      <c r="AW197" s="376" t="e">
        <f t="shared" si="64"/>
        <v>#N/A</v>
      </c>
      <c r="AX197" s="565"/>
      <c r="AZ197" s="407" t="e">
        <f t="shared" si="65"/>
        <v>#N/A</v>
      </c>
      <c r="BA197" s="565"/>
    </row>
    <row r="198" spans="2:53">
      <c r="B198" s="570"/>
      <c r="C198" s="315">
        <v>17</v>
      </c>
      <c r="D198" s="226"/>
      <c r="E198" s="182"/>
      <c r="F198" s="398"/>
      <c r="G198" s="399"/>
      <c r="H198" s="628"/>
      <c r="I198" s="400" t="str">
        <f t="shared" si="55"/>
        <v>-</v>
      </c>
      <c r="J198" s="400" t="str">
        <f t="shared" si="56"/>
        <v>-</v>
      </c>
      <c r="K198" s="200" t="str">
        <f t="shared" si="57"/>
        <v>-</v>
      </c>
      <c r="L198" s="581"/>
      <c r="M198" s="199" t="e">
        <f>RANK(K198, K$147:$K$176)</f>
        <v>#VALUE!</v>
      </c>
      <c r="N198" s="564"/>
      <c r="O198" s="564"/>
      <c r="P198" s="182"/>
      <c r="Q198" s="182"/>
      <c r="R198" s="182"/>
      <c r="S198" s="376" t="e">
        <f t="shared" si="58"/>
        <v>#N/A</v>
      </c>
      <c r="T198" s="565"/>
      <c r="U198" s="182"/>
      <c r="V198" s="182"/>
      <c r="W198" s="182"/>
      <c r="X198" s="376" t="e">
        <f t="shared" si="59"/>
        <v>#N/A</v>
      </c>
      <c r="Y198" s="565"/>
      <c r="Z198" s="182"/>
      <c r="AA198" s="182"/>
      <c r="AB198" s="182"/>
      <c r="AC198" s="376" t="e">
        <f t="shared" si="60"/>
        <v>#N/A</v>
      </c>
      <c r="AD198" s="565"/>
      <c r="AE198" s="182"/>
      <c r="AF198" s="182"/>
      <c r="AG198" s="182"/>
      <c r="AH198" s="376" t="e">
        <f t="shared" si="61"/>
        <v>#N/A</v>
      </c>
      <c r="AI198" s="565"/>
      <c r="AJ198" s="182"/>
      <c r="AK198" s="182"/>
      <c r="AL198" s="182"/>
      <c r="AM198" s="376" t="e">
        <f t="shared" si="62"/>
        <v>#N/A</v>
      </c>
      <c r="AN198" s="565"/>
      <c r="AO198" s="182"/>
      <c r="AP198" s="182"/>
      <c r="AQ198" s="182"/>
      <c r="AR198" s="376" t="e">
        <f t="shared" si="63"/>
        <v>#N/A</v>
      </c>
      <c r="AS198" s="565"/>
      <c r="AT198" s="182"/>
      <c r="AU198" s="182"/>
      <c r="AV198" s="182"/>
      <c r="AW198" s="376" t="e">
        <f t="shared" si="64"/>
        <v>#N/A</v>
      </c>
      <c r="AX198" s="565"/>
      <c r="AZ198" s="407" t="e">
        <f t="shared" si="65"/>
        <v>#N/A</v>
      </c>
      <c r="BA198" s="565"/>
    </row>
    <row r="199" spans="2:53">
      <c r="B199" s="570"/>
      <c r="C199" s="315">
        <v>18</v>
      </c>
      <c r="D199" s="226"/>
      <c r="E199" s="182"/>
      <c r="F199" s="398"/>
      <c r="G199" s="399"/>
      <c r="H199" s="628"/>
      <c r="I199" s="400" t="str">
        <f t="shared" si="55"/>
        <v>-</v>
      </c>
      <c r="J199" s="400" t="str">
        <f t="shared" si="56"/>
        <v>-</v>
      </c>
      <c r="K199" s="200" t="str">
        <f t="shared" si="57"/>
        <v>-</v>
      </c>
      <c r="L199" s="581"/>
      <c r="M199" s="199" t="e">
        <f>RANK(K199, K$147:$K$176)</f>
        <v>#VALUE!</v>
      </c>
      <c r="N199" s="564"/>
      <c r="O199" s="564"/>
      <c r="P199" s="182"/>
      <c r="Q199" s="182"/>
      <c r="R199" s="182"/>
      <c r="S199" s="376" t="e">
        <f t="shared" si="58"/>
        <v>#N/A</v>
      </c>
      <c r="T199" s="565"/>
      <c r="U199" s="182"/>
      <c r="V199" s="182"/>
      <c r="W199" s="182"/>
      <c r="X199" s="376" t="e">
        <f t="shared" si="59"/>
        <v>#N/A</v>
      </c>
      <c r="Y199" s="565"/>
      <c r="Z199" s="182"/>
      <c r="AA199" s="182"/>
      <c r="AB199" s="182"/>
      <c r="AC199" s="376" t="e">
        <f t="shared" si="60"/>
        <v>#N/A</v>
      </c>
      <c r="AD199" s="565"/>
      <c r="AE199" s="182"/>
      <c r="AF199" s="182"/>
      <c r="AG199" s="182"/>
      <c r="AH199" s="376" t="e">
        <f t="shared" si="61"/>
        <v>#N/A</v>
      </c>
      <c r="AI199" s="565"/>
      <c r="AJ199" s="182"/>
      <c r="AK199" s="182"/>
      <c r="AL199" s="182"/>
      <c r="AM199" s="376" t="e">
        <f t="shared" si="62"/>
        <v>#N/A</v>
      </c>
      <c r="AN199" s="565"/>
      <c r="AO199" s="182"/>
      <c r="AP199" s="182"/>
      <c r="AQ199" s="182"/>
      <c r="AR199" s="376" t="e">
        <f t="shared" si="63"/>
        <v>#N/A</v>
      </c>
      <c r="AS199" s="565"/>
      <c r="AT199" s="182"/>
      <c r="AU199" s="182"/>
      <c r="AV199" s="182"/>
      <c r="AW199" s="376" t="e">
        <f t="shared" si="64"/>
        <v>#N/A</v>
      </c>
      <c r="AX199" s="565"/>
      <c r="AZ199" s="407" t="e">
        <f t="shared" si="65"/>
        <v>#N/A</v>
      </c>
      <c r="BA199" s="565"/>
    </row>
    <row r="200" spans="2:53">
      <c r="B200" s="570"/>
      <c r="C200" s="315">
        <v>19</v>
      </c>
      <c r="D200" s="226"/>
      <c r="E200" s="182"/>
      <c r="F200" s="398"/>
      <c r="G200" s="399"/>
      <c r="H200" s="628"/>
      <c r="I200" s="400" t="str">
        <f t="shared" si="55"/>
        <v>-</v>
      </c>
      <c r="J200" s="400" t="str">
        <f t="shared" si="56"/>
        <v>-</v>
      </c>
      <c r="K200" s="200" t="str">
        <f t="shared" si="57"/>
        <v>-</v>
      </c>
      <c r="L200" s="581"/>
      <c r="M200" s="199" t="e">
        <f>RANK(K200, K$147:$K$176)</f>
        <v>#VALUE!</v>
      </c>
      <c r="N200" s="564"/>
      <c r="O200" s="564"/>
      <c r="P200" s="182"/>
      <c r="Q200" s="182"/>
      <c r="R200" s="182"/>
      <c r="S200" s="376" t="e">
        <f t="shared" si="58"/>
        <v>#N/A</v>
      </c>
      <c r="T200" s="565"/>
      <c r="U200" s="182"/>
      <c r="V200" s="182"/>
      <c r="W200" s="182"/>
      <c r="X200" s="376" t="e">
        <f t="shared" si="59"/>
        <v>#N/A</v>
      </c>
      <c r="Y200" s="565"/>
      <c r="Z200" s="182"/>
      <c r="AA200" s="182"/>
      <c r="AB200" s="182"/>
      <c r="AC200" s="376" t="e">
        <f t="shared" si="60"/>
        <v>#N/A</v>
      </c>
      <c r="AD200" s="565"/>
      <c r="AE200" s="182"/>
      <c r="AF200" s="182"/>
      <c r="AG200" s="182"/>
      <c r="AH200" s="376" t="e">
        <f t="shared" si="61"/>
        <v>#N/A</v>
      </c>
      <c r="AI200" s="565"/>
      <c r="AJ200" s="182"/>
      <c r="AK200" s="182"/>
      <c r="AL200" s="182"/>
      <c r="AM200" s="376" t="e">
        <f t="shared" si="62"/>
        <v>#N/A</v>
      </c>
      <c r="AN200" s="565"/>
      <c r="AO200" s="182"/>
      <c r="AP200" s="182"/>
      <c r="AQ200" s="182"/>
      <c r="AR200" s="376" t="e">
        <f t="shared" si="63"/>
        <v>#N/A</v>
      </c>
      <c r="AS200" s="565"/>
      <c r="AT200" s="182"/>
      <c r="AU200" s="182"/>
      <c r="AV200" s="182"/>
      <c r="AW200" s="376" t="e">
        <f t="shared" si="64"/>
        <v>#N/A</v>
      </c>
      <c r="AX200" s="565"/>
      <c r="AZ200" s="407" t="e">
        <f t="shared" si="65"/>
        <v>#N/A</v>
      </c>
      <c r="BA200" s="565"/>
    </row>
    <row r="201" spans="2:53">
      <c r="B201" s="570"/>
      <c r="C201" s="315">
        <v>20</v>
      </c>
      <c r="D201" s="226"/>
      <c r="E201" s="182"/>
      <c r="F201" s="398"/>
      <c r="G201" s="399"/>
      <c r="H201" s="628"/>
      <c r="I201" s="400" t="str">
        <f t="shared" si="55"/>
        <v>-</v>
      </c>
      <c r="J201" s="400" t="str">
        <f t="shared" si="56"/>
        <v>-</v>
      </c>
      <c r="K201" s="200" t="str">
        <f t="shared" si="57"/>
        <v>-</v>
      </c>
      <c r="L201" s="581"/>
      <c r="M201" s="199" t="e">
        <f>RANK(K201, K$147:$K$176)</f>
        <v>#VALUE!</v>
      </c>
      <c r="N201" s="564"/>
      <c r="O201" s="564"/>
      <c r="P201" s="182"/>
      <c r="Q201" s="182"/>
      <c r="R201" s="182"/>
      <c r="S201" s="376" t="e">
        <f t="shared" si="58"/>
        <v>#N/A</v>
      </c>
      <c r="T201" s="565"/>
      <c r="U201" s="182"/>
      <c r="V201" s="182"/>
      <c r="W201" s="182"/>
      <c r="X201" s="376" t="e">
        <f t="shared" si="59"/>
        <v>#N/A</v>
      </c>
      <c r="Y201" s="565"/>
      <c r="Z201" s="182"/>
      <c r="AA201" s="182"/>
      <c r="AB201" s="182"/>
      <c r="AC201" s="376" t="e">
        <f t="shared" si="60"/>
        <v>#N/A</v>
      </c>
      <c r="AD201" s="565"/>
      <c r="AE201" s="182"/>
      <c r="AF201" s="182"/>
      <c r="AG201" s="182"/>
      <c r="AH201" s="376" t="e">
        <f t="shared" si="61"/>
        <v>#N/A</v>
      </c>
      <c r="AI201" s="565"/>
      <c r="AJ201" s="182"/>
      <c r="AK201" s="182"/>
      <c r="AL201" s="182"/>
      <c r="AM201" s="376" t="e">
        <f t="shared" si="62"/>
        <v>#N/A</v>
      </c>
      <c r="AN201" s="565"/>
      <c r="AO201" s="182"/>
      <c r="AP201" s="182"/>
      <c r="AQ201" s="182"/>
      <c r="AR201" s="376" t="e">
        <f t="shared" si="63"/>
        <v>#N/A</v>
      </c>
      <c r="AS201" s="565"/>
      <c r="AT201" s="182"/>
      <c r="AU201" s="182"/>
      <c r="AV201" s="182"/>
      <c r="AW201" s="376" t="e">
        <f t="shared" si="64"/>
        <v>#N/A</v>
      </c>
      <c r="AX201" s="565"/>
      <c r="AZ201" s="407" t="e">
        <f t="shared" si="65"/>
        <v>#N/A</v>
      </c>
      <c r="BA201" s="565"/>
    </row>
    <row r="202" spans="2:53">
      <c r="B202" s="570"/>
      <c r="C202" s="315">
        <v>21</v>
      </c>
      <c r="D202" s="226"/>
      <c r="E202" s="182"/>
      <c r="F202" s="398"/>
      <c r="G202" s="399"/>
      <c r="H202" s="628"/>
      <c r="I202" s="400" t="str">
        <f t="shared" si="55"/>
        <v>-</v>
      </c>
      <c r="J202" s="400" t="str">
        <f t="shared" si="56"/>
        <v>-</v>
      </c>
      <c r="K202" s="200" t="str">
        <f t="shared" si="57"/>
        <v>-</v>
      </c>
      <c r="L202" s="581"/>
      <c r="M202" s="199" t="e">
        <f>RANK(K202, K$147:$K$176)</f>
        <v>#VALUE!</v>
      </c>
      <c r="N202" s="564"/>
      <c r="O202" s="564"/>
      <c r="P202" s="182"/>
      <c r="Q202" s="182"/>
      <c r="R202" s="182"/>
      <c r="S202" s="376" t="e">
        <f t="shared" si="58"/>
        <v>#N/A</v>
      </c>
      <c r="T202" s="565"/>
      <c r="U202" s="182"/>
      <c r="V202" s="182"/>
      <c r="W202" s="182"/>
      <c r="X202" s="376" t="e">
        <f t="shared" si="59"/>
        <v>#N/A</v>
      </c>
      <c r="Y202" s="565"/>
      <c r="Z202" s="182"/>
      <c r="AA202" s="182"/>
      <c r="AB202" s="182"/>
      <c r="AC202" s="376" t="e">
        <f t="shared" si="60"/>
        <v>#N/A</v>
      </c>
      <c r="AD202" s="565"/>
      <c r="AE202" s="182"/>
      <c r="AF202" s="182"/>
      <c r="AG202" s="182"/>
      <c r="AH202" s="376" t="e">
        <f t="shared" si="61"/>
        <v>#N/A</v>
      </c>
      <c r="AI202" s="565"/>
      <c r="AJ202" s="182"/>
      <c r="AK202" s="182"/>
      <c r="AL202" s="182"/>
      <c r="AM202" s="376" t="e">
        <f t="shared" si="62"/>
        <v>#N/A</v>
      </c>
      <c r="AN202" s="565"/>
      <c r="AO202" s="182"/>
      <c r="AP202" s="182"/>
      <c r="AQ202" s="182"/>
      <c r="AR202" s="376" t="e">
        <f t="shared" si="63"/>
        <v>#N/A</v>
      </c>
      <c r="AS202" s="565"/>
      <c r="AT202" s="182"/>
      <c r="AU202" s="182"/>
      <c r="AV202" s="182"/>
      <c r="AW202" s="376" t="e">
        <f t="shared" si="64"/>
        <v>#N/A</v>
      </c>
      <c r="AX202" s="565"/>
      <c r="AZ202" s="407" t="e">
        <f t="shared" si="65"/>
        <v>#N/A</v>
      </c>
      <c r="BA202" s="565"/>
    </row>
    <row r="203" spans="2:53">
      <c r="B203" s="570"/>
      <c r="C203" s="315">
        <v>22</v>
      </c>
      <c r="D203" s="226"/>
      <c r="E203" s="182"/>
      <c r="F203" s="398"/>
      <c r="G203" s="399"/>
      <c r="H203" s="628"/>
      <c r="I203" s="400" t="str">
        <f t="shared" si="55"/>
        <v>-</v>
      </c>
      <c r="J203" s="400" t="str">
        <f t="shared" si="56"/>
        <v>-</v>
      </c>
      <c r="K203" s="200" t="str">
        <f t="shared" si="57"/>
        <v>-</v>
      </c>
      <c r="L203" s="581"/>
      <c r="M203" s="199" t="e">
        <f>RANK(K203, K$147:$K$176)</f>
        <v>#VALUE!</v>
      </c>
      <c r="N203" s="564"/>
      <c r="O203" s="564"/>
      <c r="P203" s="182"/>
      <c r="Q203" s="182"/>
      <c r="R203" s="182"/>
      <c r="S203" s="376" t="e">
        <f t="shared" si="58"/>
        <v>#N/A</v>
      </c>
      <c r="T203" s="565"/>
      <c r="U203" s="182"/>
      <c r="V203" s="182"/>
      <c r="W203" s="182"/>
      <c r="X203" s="376" t="e">
        <f t="shared" si="59"/>
        <v>#N/A</v>
      </c>
      <c r="Y203" s="565"/>
      <c r="Z203" s="182"/>
      <c r="AA203" s="182"/>
      <c r="AB203" s="182"/>
      <c r="AC203" s="376" t="e">
        <f t="shared" si="60"/>
        <v>#N/A</v>
      </c>
      <c r="AD203" s="565"/>
      <c r="AE203" s="182"/>
      <c r="AF203" s="182"/>
      <c r="AG203" s="182"/>
      <c r="AH203" s="376" t="e">
        <f t="shared" si="61"/>
        <v>#N/A</v>
      </c>
      <c r="AI203" s="565"/>
      <c r="AJ203" s="182"/>
      <c r="AK203" s="182"/>
      <c r="AL203" s="182"/>
      <c r="AM203" s="376" t="e">
        <f t="shared" si="62"/>
        <v>#N/A</v>
      </c>
      <c r="AN203" s="565"/>
      <c r="AO203" s="182"/>
      <c r="AP203" s="182"/>
      <c r="AQ203" s="182"/>
      <c r="AR203" s="376" t="e">
        <f t="shared" si="63"/>
        <v>#N/A</v>
      </c>
      <c r="AS203" s="565"/>
      <c r="AT203" s="182"/>
      <c r="AU203" s="182"/>
      <c r="AV203" s="182"/>
      <c r="AW203" s="376" t="e">
        <f t="shared" si="64"/>
        <v>#N/A</v>
      </c>
      <c r="AX203" s="565"/>
      <c r="AZ203" s="407" t="e">
        <f t="shared" si="65"/>
        <v>#N/A</v>
      </c>
      <c r="BA203" s="565"/>
    </row>
    <row r="204" spans="2:53">
      <c r="B204" s="570"/>
      <c r="C204" s="315">
        <v>23</v>
      </c>
      <c r="D204" s="226"/>
      <c r="E204" s="182"/>
      <c r="F204" s="398"/>
      <c r="G204" s="399"/>
      <c r="H204" s="628"/>
      <c r="I204" s="400" t="str">
        <f t="shared" si="55"/>
        <v>-</v>
      </c>
      <c r="J204" s="400" t="str">
        <f t="shared" si="56"/>
        <v>-</v>
      </c>
      <c r="K204" s="200" t="str">
        <f t="shared" si="57"/>
        <v>-</v>
      </c>
      <c r="L204" s="581"/>
      <c r="M204" s="199" t="e">
        <f>RANK(K204, K$147:$K$176)</f>
        <v>#VALUE!</v>
      </c>
      <c r="N204" s="564"/>
      <c r="O204" s="564"/>
      <c r="P204" s="182"/>
      <c r="Q204" s="182"/>
      <c r="R204" s="182"/>
      <c r="S204" s="376" t="e">
        <f t="shared" si="58"/>
        <v>#N/A</v>
      </c>
      <c r="T204" s="565"/>
      <c r="U204" s="182"/>
      <c r="V204" s="182"/>
      <c r="W204" s="182"/>
      <c r="X204" s="376" t="e">
        <f t="shared" si="59"/>
        <v>#N/A</v>
      </c>
      <c r="Y204" s="565"/>
      <c r="Z204" s="182"/>
      <c r="AA204" s="182"/>
      <c r="AB204" s="182"/>
      <c r="AC204" s="376" t="e">
        <f t="shared" si="60"/>
        <v>#N/A</v>
      </c>
      <c r="AD204" s="565"/>
      <c r="AE204" s="182"/>
      <c r="AF204" s="182"/>
      <c r="AG204" s="182"/>
      <c r="AH204" s="376" t="e">
        <f t="shared" si="61"/>
        <v>#N/A</v>
      </c>
      <c r="AI204" s="565"/>
      <c r="AJ204" s="182"/>
      <c r="AK204" s="182"/>
      <c r="AL204" s="182"/>
      <c r="AM204" s="376" t="e">
        <f t="shared" si="62"/>
        <v>#N/A</v>
      </c>
      <c r="AN204" s="565"/>
      <c r="AO204" s="182"/>
      <c r="AP204" s="182"/>
      <c r="AQ204" s="182"/>
      <c r="AR204" s="376" t="e">
        <f t="shared" si="63"/>
        <v>#N/A</v>
      </c>
      <c r="AS204" s="565"/>
      <c r="AT204" s="182"/>
      <c r="AU204" s="182"/>
      <c r="AV204" s="182"/>
      <c r="AW204" s="376" t="e">
        <f t="shared" si="64"/>
        <v>#N/A</v>
      </c>
      <c r="AX204" s="565"/>
      <c r="AZ204" s="407" t="e">
        <f t="shared" si="65"/>
        <v>#N/A</v>
      </c>
      <c r="BA204" s="565"/>
    </row>
    <row r="205" spans="2:53">
      <c r="B205" s="570"/>
      <c r="C205" s="315">
        <v>24</v>
      </c>
      <c r="D205" s="226"/>
      <c r="E205" s="182"/>
      <c r="F205" s="398"/>
      <c r="G205" s="399"/>
      <c r="H205" s="628"/>
      <c r="I205" s="400" t="str">
        <f t="shared" si="55"/>
        <v>-</v>
      </c>
      <c r="J205" s="400" t="str">
        <f t="shared" si="56"/>
        <v>-</v>
      </c>
      <c r="K205" s="200" t="str">
        <f t="shared" si="57"/>
        <v>-</v>
      </c>
      <c r="L205" s="581"/>
      <c r="M205" s="199" t="e">
        <f>RANK(K205, K$147:$K$176)</f>
        <v>#VALUE!</v>
      </c>
      <c r="N205" s="564"/>
      <c r="O205" s="564"/>
      <c r="P205" s="315"/>
      <c r="Q205" s="318"/>
      <c r="R205" s="318"/>
      <c r="S205" s="376" t="e">
        <f t="shared" si="58"/>
        <v>#N/A</v>
      </c>
      <c r="T205" s="565"/>
      <c r="U205" s="328"/>
      <c r="V205" s="329"/>
      <c r="W205" s="329"/>
      <c r="X205" s="376" t="e">
        <f t="shared" si="59"/>
        <v>#N/A</v>
      </c>
      <c r="Y205" s="565"/>
      <c r="Z205" s="379"/>
      <c r="AA205" s="380"/>
      <c r="AB205" s="380"/>
      <c r="AC205" s="376" t="e">
        <f t="shared" si="60"/>
        <v>#N/A</v>
      </c>
      <c r="AD205" s="565"/>
      <c r="AE205" s="379"/>
      <c r="AF205" s="380"/>
      <c r="AG205" s="380"/>
      <c r="AH205" s="376" t="e">
        <f t="shared" si="61"/>
        <v>#N/A</v>
      </c>
      <c r="AI205" s="565"/>
      <c r="AJ205" s="379"/>
      <c r="AK205" s="380"/>
      <c r="AL205" s="380"/>
      <c r="AM205" s="376" t="e">
        <f t="shared" si="62"/>
        <v>#N/A</v>
      </c>
      <c r="AN205" s="565"/>
      <c r="AO205" s="379"/>
      <c r="AP205" s="380"/>
      <c r="AQ205" s="380"/>
      <c r="AR205" s="376" t="e">
        <f t="shared" si="63"/>
        <v>#N/A</v>
      </c>
      <c r="AS205" s="565"/>
      <c r="AT205" s="328"/>
      <c r="AU205" s="329"/>
      <c r="AV205" s="329"/>
      <c r="AW205" s="376" t="e">
        <f t="shared" si="64"/>
        <v>#N/A</v>
      </c>
      <c r="AX205" s="565"/>
      <c r="AZ205" s="407" t="e">
        <f t="shared" si="65"/>
        <v>#N/A</v>
      </c>
      <c r="BA205" s="565"/>
    </row>
    <row r="206" spans="2:53">
      <c r="B206" s="570"/>
      <c r="C206" s="315">
        <v>25</v>
      </c>
      <c r="D206" s="226"/>
      <c r="E206" s="182"/>
      <c r="F206" s="398"/>
      <c r="G206" s="399"/>
      <c r="H206" s="628"/>
      <c r="I206" s="400" t="str">
        <f t="shared" si="55"/>
        <v>-</v>
      </c>
      <c r="J206" s="400" t="str">
        <f t="shared" si="56"/>
        <v>-</v>
      </c>
      <c r="K206" s="200" t="str">
        <f t="shared" si="57"/>
        <v>-</v>
      </c>
      <c r="L206" s="581"/>
      <c r="M206" s="199" t="e">
        <f>RANK(K206, K$147:$K$176)</f>
        <v>#VALUE!</v>
      </c>
      <c r="N206" s="564"/>
      <c r="O206" s="564"/>
      <c r="P206" s="315"/>
      <c r="Q206" s="318"/>
      <c r="R206" s="318"/>
      <c r="S206" s="376" t="e">
        <f t="shared" si="58"/>
        <v>#N/A</v>
      </c>
      <c r="T206" s="565"/>
      <c r="U206" s="328"/>
      <c r="V206" s="329"/>
      <c r="W206" s="329"/>
      <c r="X206" s="376" t="e">
        <f t="shared" si="59"/>
        <v>#N/A</v>
      </c>
      <c r="Y206" s="565"/>
      <c r="Z206" s="379"/>
      <c r="AA206" s="380"/>
      <c r="AB206" s="380"/>
      <c r="AC206" s="376" t="e">
        <f t="shared" si="60"/>
        <v>#N/A</v>
      </c>
      <c r="AD206" s="565"/>
      <c r="AE206" s="379"/>
      <c r="AF206" s="380"/>
      <c r="AG206" s="380"/>
      <c r="AH206" s="376" t="e">
        <f t="shared" si="61"/>
        <v>#N/A</v>
      </c>
      <c r="AI206" s="565"/>
      <c r="AJ206" s="379"/>
      <c r="AK206" s="380"/>
      <c r="AL206" s="380"/>
      <c r="AM206" s="376" t="e">
        <f t="shared" si="62"/>
        <v>#N/A</v>
      </c>
      <c r="AN206" s="565"/>
      <c r="AO206" s="379"/>
      <c r="AP206" s="380"/>
      <c r="AQ206" s="380"/>
      <c r="AR206" s="376" t="e">
        <f t="shared" si="63"/>
        <v>#N/A</v>
      </c>
      <c r="AS206" s="565"/>
      <c r="AT206" s="328"/>
      <c r="AU206" s="329"/>
      <c r="AV206" s="329"/>
      <c r="AW206" s="376" t="e">
        <f t="shared" si="64"/>
        <v>#N/A</v>
      </c>
      <c r="AX206" s="565"/>
      <c r="AZ206" s="407" t="e">
        <f t="shared" si="65"/>
        <v>#N/A</v>
      </c>
      <c r="BA206" s="565"/>
    </row>
    <row r="207" spans="2:53">
      <c r="B207" s="570"/>
      <c r="C207" s="315">
        <v>26</v>
      </c>
      <c r="D207" s="226"/>
      <c r="E207" s="182"/>
      <c r="F207" s="398"/>
      <c r="G207" s="399"/>
      <c r="H207" s="628"/>
      <c r="I207" s="400" t="str">
        <f t="shared" si="55"/>
        <v>-</v>
      </c>
      <c r="J207" s="400" t="str">
        <f t="shared" si="56"/>
        <v>-</v>
      </c>
      <c r="K207" s="200" t="str">
        <f t="shared" si="57"/>
        <v>-</v>
      </c>
      <c r="L207" s="581"/>
      <c r="M207" s="199" t="e">
        <f>RANK(K207, K$147:$K$176)</f>
        <v>#VALUE!</v>
      </c>
      <c r="N207" s="564"/>
      <c r="O207" s="564"/>
      <c r="P207" s="315"/>
      <c r="Q207" s="318"/>
      <c r="R207" s="318"/>
      <c r="S207" s="376" t="e">
        <f t="shared" si="58"/>
        <v>#N/A</v>
      </c>
      <c r="T207" s="565"/>
      <c r="U207" s="328"/>
      <c r="V207" s="329"/>
      <c r="W207" s="329"/>
      <c r="X207" s="376" t="e">
        <f t="shared" si="59"/>
        <v>#N/A</v>
      </c>
      <c r="Y207" s="565"/>
      <c r="Z207" s="379"/>
      <c r="AA207" s="380"/>
      <c r="AB207" s="380"/>
      <c r="AC207" s="376" t="e">
        <f t="shared" si="60"/>
        <v>#N/A</v>
      </c>
      <c r="AD207" s="565"/>
      <c r="AE207" s="379"/>
      <c r="AF207" s="380"/>
      <c r="AG207" s="380"/>
      <c r="AH207" s="376" t="e">
        <f t="shared" si="61"/>
        <v>#N/A</v>
      </c>
      <c r="AI207" s="565"/>
      <c r="AJ207" s="379"/>
      <c r="AK207" s="380"/>
      <c r="AL207" s="380"/>
      <c r="AM207" s="376" t="e">
        <f t="shared" si="62"/>
        <v>#N/A</v>
      </c>
      <c r="AN207" s="565"/>
      <c r="AO207" s="379"/>
      <c r="AP207" s="380"/>
      <c r="AQ207" s="380"/>
      <c r="AR207" s="376" t="e">
        <f t="shared" si="63"/>
        <v>#N/A</v>
      </c>
      <c r="AS207" s="565"/>
      <c r="AT207" s="328"/>
      <c r="AU207" s="329"/>
      <c r="AV207" s="329"/>
      <c r="AW207" s="376" t="e">
        <f t="shared" si="64"/>
        <v>#N/A</v>
      </c>
      <c r="AX207" s="565"/>
      <c r="AZ207" s="407" t="e">
        <f t="shared" si="65"/>
        <v>#N/A</v>
      </c>
      <c r="BA207" s="565"/>
    </row>
    <row r="208" spans="2:53">
      <c r="B208" s="570"/>
      <c r="C208" s="315">
        <v>27</v>
      </c>
      <c r="D208" s="226"/>
      <c r="E208" s="182"/>
      <c r="F208" s="398"/>
      <c r="G208" s="399"/>
      <c r="H208" s="628"/>
      <c r="I208" s="400" t="str">
        <f t="shared" si="55"/>
        <v>-</v>
      </c>
      <c r="J208" s="400" t="str">
        <f t="shared" si="56"/>
        <v>-</v>
      </c>
      <c r="K208" s="200" t="str">
        <f t="shared" si="57"/>
        <v>-</v>
      </c>
      <c r="L208" s="581"/>
      <c r="M208" s="199" t="e">
        <f>RANK(K208, K$147:$K$176)</f>
        <v>#VALUE!</v>
      </c>
      <c r="N208" s="564"/>
      <c r="O208" s="564"/>
      <c r="P208" s="315"/>
      <c r="Q208" s="318"/>
      <c r="R208" s="318"/>
      <c r="S208" s="376" t="e">
        <f t="shared" si="58"/>
        <v>#N/A</v>
      </c>
      <c r="T208" s="565"/>
      <c r="U208" s="328"/>
      <c r="V208" s="329"/>
      <c r="W208" s="329"/>
      <c r="X208" s="376" t="e">
        <f t="shared" si="59"/>
        <v>#N/A</v>
      </c>
      <c r="Y208" s="565"/>
      <c r="Z208" s="379"/>
      <c r="AA208" s="380"/>
      <c r="AB208" s="380"/>
      <c r="AC208" s="376" t="e">
        <f t="shared" si="60"/>
        <v>#N/A</v>
      </c>
      <c r="AD208" s="565"/>
      <c r="AE208" s="379"/>
      <c r="AF208" s="380"/>
      <c r="AG208" s="380"/>
      <c r="AH208" s="376" t="e">
        <f t="shared" si="61"/>
        <v>#N/A</v>
      </c>
      <c r="AI208" s="565"/>
      <c r="AJ208" s="379"/>
      <c r="AK208" s="380"/>
      <c r="AL208" s="380"/>
      <c r="AM208" s="376" t="e">
        <f t="shared" si="62"/>
        <v>#N/A</v>
      </c>
      <c r="AN208" s="565"/>
      <c r="AO208" s="379"/>
      <c r="AP208" s="380"/>
      <c r="AQ208" s="380"/>
      <c r="AR208" s="376" t="e">
        <f t="shared" si="63"/>
        <v>#N/A</v>
      </c>
      <c r="AS208" s="565"/>
      <c r="AT208" s="328"/>
      <c r="AU208" s="329"/>
      <c r="AV208" s="329"/>
      <c r="AW208" s="376" t="e">
        <f t="shared" si="64"/>
        <v>#N/A</v>
      </c>
      <c r="AX208" s="565"/>
      <c r="AZ208" s="407" t="e">
        <f t="shared" si="65"/>
        <v>#N/A</v>
      </c>
      <c r="BA208" s="565"/>
    </row>
    <row r="209" spans="2:53">
      <c r="B209" s="570"/>
      <c r="C209" s="315">
        <v>28</v>
      </c>
      <c r="D209" s="226"/>
      <c r="E209" s="182"/>
      <c r="F209" s="398"/>
      <c r="G209" s="399"/>
      <c r="H209" s="628"/>
      <c r="I209" s="400" t="str">
        <f t="shared" si="55"/>
        <v>-</v>
      </c>
      <c r="J209" s="400" t="str">
        <f t="shared" si="56"/>
        <v>-</v>
      </c>
      <c r="K209" s="200" t="str">
        <f t="shared" si="57"/>
        <v>-</v>
      </c>
      <c r="L209" s="581"/>
      <c r="M209" s="199" t="e">
        <f>RANK(K209, K$147:$K$176)</f>
        <v>#VALUE!</v>
      </c>
      <c r="N209" s="564"/>
      <c r="O209" s="564"/>
      <c r="P209" s="315"/>
      <c r="Q209" s="318"/>
      <c r="R209" s="318"/>
      <c r="S209" s="376" t="e">
        <f t="shared" si="58"/>
        <v>#N/A</v>
      </c>
      <c r="T209" s="565"/>
      <c r="U209" s="315"/>
      <c r="V209" s="318"/>
      <c r="W209" s="318"/>
      <c r="X209" s="376" t="e">
        <f t="shared" si="59"/>
        <v>#N/A</v>
      </c>
      <c r="Y209" s="565"/>
      <c r="Z209" s="379"/>
      <c r="AA209" s="380"/>
      <c r="AB209" s="380"/>
      <c r="AC209" s="376" t="e">
        <f t="shared" si="60"/>
        <v>#N/A</v>
      </c>
      <c r="AD209" s="565"/>
      <c r="AE209" s="379"/>
      <c r="AF209" s="380"/>
      <c r="AG209" s="380"/>
      <c r="AH209" s="376" t="e">
        <f t="shared" si="61"/>
        <v>#N/A</v>
      </c>
      <c r="AI209" s="565"/>
      <c r="AJ209" s="379"/>
      <c r="AK209" s="380"/>
      <c r="AL209" s="380"/>
      <c r="AM209" s="376" t="e">
        <f t="shared" si="62"/>
        <v>#N/A</v>
      </c>
      <c r="AN209" s="565"/>
      <c r="AO209" s="379"/>
      <c r="AP209" s="380"/>
      <c r="AQ209" s="380"/>
      <c r="AR209" s="376" t="e">
        <f t="shared" si="63"/>
        <v>#N/A</v>
      </c>
      <c r="AS209" s="565"/>
      <c r="AT209" s="315"/>
      <c r="AU209" s="318"/>
      <c r="AV209" s="318"/>
      <c r="AW209" s="376" t="e">
        <f t="shared" si="64"/>
        <v>#N/A</v>
      </c>
      <c r="AX209" s="565"/>
      <c r="AZ209" s="407" t="e">
        <f t="shared" si="65"/>
        <v>#N/A</v>
      </c>
      <c r="BA209" s="565"/>
    </row>
    <row r="210" spans="2:53">
      <c r="B210" s="570"/>
      <c r="C210" s="315">
        <v>29</v>
      </c>
      <c r="D210" s="226"/>
      <c r="E210" s="182"/>
      <c r="F210" s="398"/>
      <c r="G210" s="399"/>
      <c r="H210" s="628"/>
      <c r="I210" s="400" t="str">
        <f t="shared" si="55"/>
        <v>-</v>
      </c>
      <c r="J210" s="400" t="str">
        <f t="shared" si="56"/>
        <v>-</v>
      </c>
      <c r="K210" s="200" t="str">
        <f t="shared" si="57"/>
        <v>-</v>
      </c>
      <c r="L210" s="581"/>
      <c r="M210" s="199" t="e">
        <f>RANK(K210, K$147:$K$176)</f>
        <v>#VALUE!</v>
      </c>
      <c r="N210" s="564"/>
      <c r="O210" s="564"/>
      <c r="P210" s="315"/>
      <c r="Q210" s="315"/>
      <c r="R210" s="315"/>
      <c r="S210" s="376" t="e">
        <f t="shared" si="58"/>
        <v>#N/A</v>
      </c>
      <c r="T210" s="565"/>
      <c r="U210" s="315"/>
      <c r="V210" s="315"/>
      <c r="W210" s="315"/>
      <c r="X210" s="376" t="e">
        <f t="shared" si="59"/>
        <v>#N/A</v>
      </c>
      <c r="Y210" s="565"/>
      <c r="Z210" s="379"/>
      <c r="AA210" s="379"/>
      <c r="AB210" s="379"/>
      <c r="AC210" s="376" t="e">
        <f t="shared" si="60"/>
        <v>#N/A</v>
      </c>
      <c r="AD210" s="565"/>
      <c r="AE210" s="379"/>
      <c r="AF210" s="379"/>
      <c r="AG210" s="379"/>
      <c r="AH210" s="376" t="e">
        <f t="shared" si="61"/>
        <v>#N/A</v>
      </c>
      <c r="AI210" s="565"/>
      <c r="AJ210" s="379"/>
      <c r="AK210" s="379"/>
      <c r="AL210" s="379"/>
      <c r="AM210" s="376" t="e">
        <f t="shared" si="62"/>
        <v>#N/A</v>
      </c>
      <c r="AN210" s="565"/>
      <c r="AO210" s="379"/>
      <c r="AP210" s="379"/>
      <c r="AQ210" s="379"/>
      <c r="AR210" s="376" t="e">
        <f t="shared" si="63"/>
        <v>#N/A</v>
      </c>
      <c r="AS210" s="565"/>
      <c r="AT210" s="315"/>
      <c r="AU210" s="315"/>
      <c r="AV210" s="315"/>
      <c r="AW210" s="376" t="e">
        <f t="shared" si="64"/>
        <v>#N/A</v>
      </c>
      <c r="AX210" s="565"/>
      <c r="AZ210" s="407" t="e">
        <f t="shared" si="65"/>
        <v>#N/A</v>
      </c>
      <c r="BA210" s="565"/>
    </row>
    <row r="211" spans="2:53">
      <c r="B211" s="570"/>
      <c r="C211" s="315">
        <v>30</v>
      </c>
      <c r="D211" s="226"/>
      <c r="E211" s="182"/>
      <c r="F211" s="398"/>
      <c r="G211" s="399"/>
      <c r="H211" s="629"/>
      <c r="I211" s="400" t="str">
        <f t="shared" si="55"/>
        <v>-</v>
      </c>
      <c r="J211" s="400" t="str">
        <f t="shared" si="56"/>
        <v>-</v>
      </c>
      <c r="K211" s="200" t="str">
        <f t="shared" si="57"/>
        <v>-</v>
      </c>
      <c r="L211" s="582"/>
      <c r="M211" s="199" t="e">
        <f>RANK(K211, K$147:$K$176)</f>
        <v>#VALUE!</v>
      </c>
      <c r="N211" s="564"/>
      <c r="O211" s="564"/>
      <c r="P211" s="315"/>
      <c r="Q211" s="315"/>
      <c r="R211" s="315"/>
      <c r="S211" s="376" t="e">
        <f t="shared" si="58"/>
        <v>#N/A</v>
      </c>
      <c r="T211" s="565"/>
      <c r="U211" s="315"/>
      <c r="V211" s="315"/>
      <c r="W211" s="315"/>
      <c r="X211" s="376" t="e">
        <f t="shared" si="59"/>
        <v>#N/A</v>
      </c>
      <c r="Y211" s="565"/>
      <c r="Z211" s="379"/>
      <c r="AA211" s="379"/>
      <c r="AB211" s="379"/>
      <c r="AC211" s="376" t="e">
        <f t="shared" si="60"/>
        <v>#N/A</v>
      </c>
      <c r="AD211" s="565"/>
      <c r="AE211" s="379"/>
      <c r="AF211" s="379"/>
      <c r="AG211" s="379"/>
      <c r="AH211" s="376" t="e">
        <f t="shared" si="61"/>
        <v>#N/A</v>
      </c>
      <c r="AI211" s="565"/>
      <c r="AJ211" s="379"/>
      <c r="AK211" s="379"/>
      <c r="AL211" s="379"/>
      <c r="AM211" s="376" t="e">
        <f t="shared" si="62"/>
        <v>#N/A</v>
      </c>
      <c r="AN211" s="565"/>
      <c r="AO211" s="379"/>
      <c r="AP211" s="379"/>
      <c r="AQ211" s="379"/>
      <c r="AR211" s="376" t="e">
        <f t="shared" si="63"/>
        <v>#N/A</v>
      </c>
      <c r="AS211" s="565"/>
      <c r="AT211" s="315"/>
      <c r="AU211" s="315"/>
      <c r="AV211" s="315"/>
      <c r="AW211" s="376" t="e">
        <f t="shared" si="64"/>
        <v>#N/A</v>
      </c>
      <c r="AX211" s="565"/>
      <c r="AZ211" s="407" t="e">
        <f t="shared" si="65"/>
        <v>#N/A</v>
      </c>
      <c r="BA211" s="565"/>
    </row>
    <row r="213" spans="2:53" ht="15.75">
      <c r="B213" s="573" t="s">
        <v>487</v>
      </c>
      <c r="C213" s="574"/>
      <c r="D213" s="574"/>
      <c r="E213" s="574"/>
      <c r="F213" s="574"/>
      <c r="G213" s="574"/>
      <c r="H213" s="575"/>
      <c r="I213" s="319"/>
      <c r="J213" s="319"/>
      <c r="K213" s="319"/>
      <c r="L213" s="319"/>
      <c r="M213" s="320"/>
    </row>
    <row r="214" spans="2:53" ht="15.75">
      <c r="B214" s="576"/>
      <c r="C214" s="576"/>
      <c r="D214" s="576"/>
      <c r="E214" s="576"/>
      <c r="F214" s="576"/>
      <c r="G214" s="576"/>
      <c r="H214" s="576"/>
      <c r="I214" s="321"/>
      <c r="J214" s="321"/>
      <c r="K214" s="321"/>
      <c r="L214" s="321"/>
      <c r="M214" s="322"/>
    </row>
    <row r="215" spans="2:53">
      <c r="B215" s="564" t="s">
        <v>488</v>
      </c>
      <c r="C215" s="564" t="s">
        <v>489</v>
      </c>
      <c r="D215" s="564"/>
      <c r="E215" s="564" t="s">
        <v>490</v>
      </c>
      <c r="F215" s="564"/>
      <c r="G215" s="564"/>
      <c r="H215" s="564" t="s">
        <v>491</v>
      </c>
      <c r="I215" s="577" t="s">
        <v>492</v>
      </c>
      <c r="J215" s="577"/>
      <c r="K215" s="577"/>
      <c r="L215" s="577" t="s">
        <v>491</v>
      </c>
      <c r="M215" s="577" t="s">
        <v>493</v>
      </c>
    </row>
    <row r="216" spans="2:53">
      <c r="B216" s="564"/>
      <c r="C216" s="564"/>
      <c r="D216" s="564"/>
      <c r="E216" s="564" t="s">
        <v>494</v>
      </c>
      <c r="F216" s="564"/>
      <c r="G216" s="564"/>
      <c r="H216" s="564"/>
      <c r="I216" s="577" t="s">
        <v>494</v>
      </c>
      <c r="J216" s="577"/>
      <c r="K216" s="577"/>
      <c r="L216" s="577"/>
      <c r="M216" s="577"/>
    </row>
    <row r="217" spans="2:53">
      <c r="B217" s="564"/>
      <c r="C217" s="564"/>
      <c r="D217" s="564"/>
      <c r="E217" s="316" t="s">
        <v>495</v>
      </c>
      <c r="F217" s="316" t="s">
        <v>496</v>
      </c>
      <c r="G217" s="316" t="s">
        <v>497</v>
      </c>
      <c r="H217" s="564"/>
      <c r="I217" s="323" t="s">
        <v>495</v>
      </c>
      <c r="J217" s="323" t="s">
        <v>496</v>
      </c>
      <c r="K217" s="323" t="s">
        <v>497</v>
      </c>
      <c r="L217" s="577"/>
      <c r="M217" s="577"/>
    </row>
    <row r="218" spans="2:53">
      <c r="B218" s="564" t="s">
        <v>502</v>
      </c>
      <c r="C218" s="315">
        <v>1</v>
      </c>
      <c r="D218" s="315"/>
      <c r="E218" s="182"/>
      <c r="F218" s="315"/>
      <c r="G218" s="318"/>
      <c r="H218" s="565" t="e">
        <f>AVERAGE(G218:G247)</f>
        <v>#DIV/0!</v>
      </c>
      <c r="I218" s="199" t="e">
        <f t="shared" ref="I218:J241" si="66">AVERAGEIF($D$7:$D$211,$D218,I$7:I$211)</f>
        <v>#DIV/0!</v>
      </c>
      <c r="J218" s="199" t="e">
        <f t="shared" si="66"/>
        <v>#DIV/0!</v>
      </c>
      <c r="K218" s="199" t="e">
        <f t="shared" ref="K218:K241" si="67">AVERAGEIF($D$7:$D$211,$D218,K$7:K$211)</f>
        <v>#DIV/0!</v>
      </c>
      <c r="L218" s="571" t="e">
        <f>AVERAGE(K218:K247)</f>
        <v>#DIV/0!</v>
      </c>
      <c r="M218" s="199" t="e">
        <f>RANK(K218, K$218:$K$247)</f>
        <v>#DIV/0!</v>
      </c>
    </row>
    <row r="219" spans="2:53">
      <c r="B219" s="570"/>
      <c r="C219" s="315">
        <v>2</v>
      </c>
      <c r="D219" s="315"/>
      <c r="E219" s="182"/>
      <c r="F219" s="315"/>
      <c r="G219" s="318"/>
      <c r="H219" s="565"/>
      <c r="I219" s="199" t="e">
        <f t="shared" si="66"/>
        <v>#DIV/0!</v>
      </c>
      <c r="J219" s="199" t="e">
        <f t="shared" si="66"/>
        <v>#DIV/0!</v>
      </c>
      <c r="K219" s="199" t="e">
        <f t="shared" si="67"/>
        <v>#DIV/0!</v>
      </c>
      <c r="L219" s="571"/>
      <c r="M219" s="199" t="e">
        <f>RANK(K219, K$218:$K$247)</f>
        <v>#DIV/0!</v>
      </c>
    </row>
    <row r="220" spans="2:53">
      <c r="B220" s="570"/>
      <c r="C220" s="315">
        <v>3</v>
      </c>
      <c r="D220" s="315"/>
      <c r="E220" s="182"/>
      <c r="F220" s="315"/>
      <c r="G220" s="318"/>
      <c r="H220" s="565"/>
      <c r="I220" s="199" t="e">
        <f t="shared" si="66"/>
        <v>#DIV/0!</v>
      </c>
      <c r="J220" s="199" t="e">
        <f t="shared" si="66"/>
        <v>#DIV/0!</v>
      </c>
      <c r="K220" s="199" t="e">
        <f t="shared" si="67"/>
        <v>#DIV/0!</v>
      </c>
      <c r="L220" s="571"/>
      <c r="M220" s="199" t="e">
        <f>RANK(K220, K$218:$K$247)</f>
        <v>#DIV/0!</v>
      </c>
    </row>
    <row r="221" spans="2:53">
      <c r="B221" s="570"/>
      <c r="C221" s="315">
        <v>4</v>
      </c>
      <c r="D221" s="315"/>
      <c r="E221" s="182"/>
      <c r="F221" s="315"/>
      <c r="G221" s="318"/>
      <c r="H221" s="565"/>
      <c r="I221" s="199" t="e">
        <f t="shared" si="66"/>
        <v>#DIV/0!</v>
      </c>
      <c r="J221" s="199" t="e">
        <f t="shared" si="66"/>
        <v>#DIV/0!</v>
      </c>
      <c r="K221" s="199" t="e">
        <f t="shared" si="67"/>
        <v>#DIV/0!</v>
      </c>
      <c r="L221" s="571"/>
      <c r="M221" s="199" t="e">
        <f>RANK(K221, K$218:$K$247)</f>
        <v>#DIV/0!</v>
      </c>
    </row>
    <row r="222" spans="2:53">
      <c r="B222" s="570"/>
      <c r="C222" s="315">
        <v>5</v>
      </c>
      <c r="D222" s="315"/>
      <c r="E222" s="182"/>
      <c r="F222" s="315"/>
      <c r="G222" s="318"/>
      <c r="H222" s="565"/>
      <c r="I222" s="199" t="e">
        <f t="shared" si="66"/>
        <v>#DIV/0!</v>
      </c>
      <c r="J222" s="199" t="e">
        <f t="shared" si="66"/>
        <v>#DIV/0!</v>
      </c>
      <c r="K222" s="199" t="e">
        <f t="shared" si="67"/>
        <v>#DIV/0!</v>
      </c>
      <c r="L222" s="571"/>
      <c r="M222" s="199" t="e">
        <f>RANK(K222, K$218:$K$247)</f>
        <v>#DIV/0!</v>
      </c>
    </row>
    <row r="223" spans="2:53">
      <c r="B223" s="570"/>
      <c r="C223" s="315">
        <v>6</v>
      </c>
      <c r="D223" s="315"/>
      <c r="E223" s="182"/>
      <c r="F223" s="315"/>
      <c r="G223" s="318"/>
      <c r="H223" s="565"/>
      <c r="I223" s="199" t="e">
        <f t="shared" si="66"/>
        <v>#DIV/0!</v>
      </c>
      <c r="J223" s="199" t="e">
        <f t="shared" si="66"/>
        <v>#DIV/0!</v>
      </c>
      <c r="K223" s="199" t="e">
        <f t="shared" si="67"/>
        <v>#DIV/0!</v>
      </c>
      <c r="L223" s="571"/>
      <c r="M223" s="199" t="e">
        <f>RANK(K223, K$218:$K$247)</f>
        <v>#DIV/0!</v>
      </c>
    </row>
    <row r="224" spans="2:53">
      <c r="B224" s="570"/>
      <c r="C224" s="315">
        <v>7</v>
      </c>
      <c r="D224" s="315"/>
      <c r="E224" s="182"/>
      <c r="F224" s="315"/>
      <c r="G224" s="318"/>
      <c r="H224" s="565"/>
      <c r="I224" s="199" t="e">
        <f t="shared" si="66"/>
        <v>#DIV/0!</v>
      </c>
      <c r="J224" s="199" t="e">
        <f t="shared" si="66"/>
        <v>#DIV/0!</v>
      </c>
      <c r="K224" s="199" t="e">
        <f t="shared" si="67"/>
        <v>#DIV/0!</v>
      </c>
      <c r="L224" s="571"/>
      <c r="M224" s="199" t="e">
        <f>RANK(K224, K$218:$K$247)</f>
        <v>#DIV/0!</v>
      </c>
    </row>
    <row r="225" spans="2:39">
      <c r="B225" s="570"/>
      <c r="C225" s="315">
        <v>8</v>
      </c>
      <c r="D225" s="315"/>
      <c r="E225" s="182"/>
      <c r="F225" s="315"/>
      <c r="G225" s="318"/>
      <c r="H225" s="565"/>
      <c r="I225" s="199" t="e">
        <f t="shared" si="66"/>
        <v>#DIV/0!</v>
      </c>
      <c r="J225" s="199" t="e">
        <f t="shared" si="66"/>
        <v>#DIV/0!</v>
      </c>
      <c r="K225" s="199" t="e">
        <f t="shared" si="67"/>
        <v>#DIV/0!</v>
      </c>
      <c r="L225" s="571"/>
      <c r="M225" s="199" t="e">
        <f>RANK(K225, K$218:$K$247)</f>
        <v>#DIV/0!</v>
      </c>
      <c r="N225" s="108"/>
      <c r="O225" s="108"/>
      <c r="P225" s="108"/>
      <c r="Q225" s="108"/>
      <c r="R225" s="108"/>
      <c r="S225" s="108"/>
      <c r="T225" s="108"/>
      <c r="X225" s="108"/>
      <c r="AC225" s="108"/>
      <c r="AH225" s="108"/>
      <c r="AM225" s="108"/>
    </row>
    <row r="226" spans="2:39">
      <c r="B226" s="570"/>
      <c r="C226" s="315">
        <v>9</v>
      </c>
      <c r="D226" s="315"/>
      <c r="E226" s="182"/>
      <c r="F226" s="315"/>
      <c r="G226" s="318"/>
      <c r="H226" s="565"/>
      <c r="I226" s="199" t="e">
        <f t="shared" si="66"/>
        <v>#DIV/0!</v>
      </c>
      <c r="J226" s="199" t="e">
        <f t="shared" si="66"/>
        <v>#DIV/0!</v>
      </c>
      <c r="K226" s="199" t="e">
        <f t="shared" si="67"/>
        <v>#DIV/0!</v>
      </c>
      <c r="L226" s="571"/>
      <c r="M226" s="199" t="e">
        <f>RANK(K226, K$218:$K$247)</f>
        <v>#DIV/0!</v>
      </c>
      <c r="N226" s="108"/>
      <c r="O226" s="108"/>
      <c r="P226" s="108"/>
      <c r="Q226" s="108"/>
      <c r="R226" s="108"/>
      <c r="S226" s="108"/>
      <c r="T226" s="108"/>
      <c r="X226" s="108"/>
      <c r="AC226" s="108"/>
      <c r="AH226" s="108"/>
      <c r="AM226" s="108"/>
    </row>
    <row r="227" spans="2:39">
      <c r="B227" s="570"/>
      <c r="C227" s="315">
        <v>10</v>
      </c>
      <c r="D227" s="315"/>
      <c r="E227" s="182"/>
      <c r="F227" s="315"/>
      <c r="G227" s="318"/>
      <c r="H227" s="565"/>
      <c r="I227" s="199" t="e">
        <f t="shared" si="66"/>
        <v>#DIV/0!</v>
      </c>
      <c r="J227" s="199" t="e">
        <f t="shared" si="66"/>
        <v>#DIV/0!</v>
      </c>
      <c r="K227" s="199" t="e">
        <f t="shared" si="67"/>
        <v>#DIV/0!</v>
      </c>
      <c r="L227" s="571"/>
      <c r="M227" s="199" t="e">
        <f>RANK(K227, K$218:$K$247)</f>
        <v>#DIV/0!</v>
      </c>
      <c r="N227" s="108"/>
      <c r="O227" s="108"/>
      <c r="P227" s="108"/>
      <c r="Q227" s="108"/>
      <c r="R227" s="108"/>
      <c r="S227" s="108"/>
      <c r="T227" s="108"/>
      <c r="X227" s="108"/>
      <c r="AC227" s="108"/>
      <c r="AH227" s="108"/>
      <c r="AM227" s="108"/>
    </row>
    <row r="228" spans="2:39">
      <c r="B228" s="570"/>
      <c r="C228" s="315">
        <v>11</v>
      </c>
      <c r="D228" s="315"/>
      <c r="E228" s="182"/>
      <c r="F228" s="315"/>
      <c r="G228" s="318"/>
      <c r="H228" s="565"/>
      <c r="I228" s="199" t="e">
        <f t="shared" si="66"/>
        <v>#DIV/0!</v>
      </c>
      <c r="J228" s="199" t="e">
        <f t="shared" si="66"/>
        <v>#DIV/0!</v>
      </c>
      <c r="K228" s="199" t="e">
        <f t="shared" si="67"/>
        <v>#DIV/0!</v>
      </c>
      <c r="L228" s="571"/>
      <c r="M228" s="199" t="e">
        <f>RANK(K228, K$218:$K$247)</f>
        <v>#DIV/0!</v>
      </c>
      <c r="N228" s="108"/>
      <c r="O228" s="108"/>
      <c r="P228" s="108"/>
      <c r="Q228" s="108"/>
      <c r="R228" s="108"/>
      <c r="S228" s="108"/>
      <c r="T228" s="108"/>
      <c r="X228" s="108"/>
      <c r="AC228" s="108"/>
      <c r="AH228" s="108"/>
      <c r="AM228" s="108"/>
    </row>
    <row r="229" spans="2:39">
      <c r="B229" s="570"/>
      <c r="C229" s="315">
        <v>12</v>
      </c>
      <c r="D229" s="315"/>
      <c r="E229" s="182"/>
      <c r="F229" s="315"/>
      <c r="G229" s="318"/>
      <c r="H229" s="565"/>
      <c r="I229" s="199" t="e">
        <f t="shared" si="66"/>
        <v>#DIV/0!</v>
      </c>
      <c r="J229" s="199" t="e">
        <f t="shared" si="66"/>
        <v>#DIV/0!</v>
      </c>
      <c r="K229" s="199" t="e">
        <f t="shared" si="67"/>
        <v>#DIV/0!</v>
      </c>
      <c r="L229" s="571"/>
      <c r="M229" s="199" t="e">
        <f>RANK(K229, K$218:$K$247)</f>
        <v>#DIV/0!</v>
      </c>
      <c r="N229" s="108"/>
      <c r="O229" s="108"/>
      <c r="P229" s="108"/>
      <c r="Q229" s="108"/>
      <c r="R229" s="108"/>
      <c r="S229" s="108"/>
      <c r="T229" s="108"/>
      <c r="X229" s="108"/>
      <c r="AC229" s="108"/>
      <c r="AH229" s="108"/>
      <c r="AM229" s="108"/>
    </row>
    <row r="230" spans="2:39">
      <c r="B230" s="570"/>
      <c r="C230" s="315">
        <v>13</v>
      </c>
      <c r="D230" s="315"/>
      <c r="E230" s="182"/>
      <c r="F230" s="315"/>
      <c r="G230" s="318"/>
      <c r="H230" s="565"/>
      <c r="I230" s="199" t="e">
        <f t="shared" si="66"/>
        <v>#DIV/0!</v>
      </c>
      <c r="J230" s="199" t="e">
        <f t="shared" si="66"/>
        <v>#DIV/0!</v>
      </c>
      <c r="K230" s="199" t="e">
        <f t="shared" si="67"/>
        <v>#DIV/0!</v>
      </c>
      <c r="L230" s="571"/>
      <c r="M230" s="199" t="e">
        <f>RANK(K230, K$218:$K$247)</f>
        <v>#DIV/0!</v>
      </c>
      <c r="N230" s="108"/>
      <c r="O230" s="108"/>
      <c r="P230" s="108"/>
      <c r="Q230" s="108"/>
      <c r="R230" s="108"/>
      <c r="S230" s="108"/>
      <c r="T230" s="108"/>
      <c r="X230" s="108"/>
      <c r="AC230" s="108"/>
      <c r="AH230" s="108"/>
      <c r="AM230" s="108"/>
    </row>
    <row r="231" spans="2:39">
      <c r="B231" s="570"/>
      <c r="C231" s="315">
        <v>14</v>
      </c>
      <c r="D231" s="315"/>
      <c r="E231" s="182"/>
      <c r="F231" s="315"/>
      <c r="G231" s="318"/>
      <c r="H231" s="565"/>
      <c r="I231" s="199" t="e">
        <f t="shared" si="66"/>
        <v>#DIV/0!</v>
      </c>
      <c r="J231" s="199" t="e">
        <f t="shared" si="66"/>
        <v>#DIV/0!</v>
      </c>
      <c r="K231" s="199" t="e">
        <f t="shared" si="67"/>
        <v>#DIV/0!</v>
      </c>
      <c r="L231" s="571"/>
      <c r="M231" s="199" t="e">
        <f>RANK(K231, K$218:$K$247)</f>
        <v>#DIV/0!</v>
      </c>
      <c r="N231" s="108"/>
      <c r="O231" s="108"/>
      <c r="P231" s="108"/>
      <c r="Q231" s="108"/>
      <c r="R231" s="108"/>
      <c r="S231" s="108"/>
      <c r="T231" s="108"/>
      <c r="X231" s="108"/>
      <c r="AC231" s="108"/>
      <c r="AH231" s="108"/>
      <c r="AM231" s="108"/>
    </row>
    <row r="232" spans="2:39">
      <c r="B232" s="570"/>
      <c r="C232" s="315">
        <v>15</v>
      </c>
      <c r="D232" s="315"/>
      <c r="E232" s="182"/>
      <c r="F232" s="315"/>
      <c r="G232" s="318"/>
      <c r="H232" s="565"/>
      <c r="I232" s="199" t="e">
        <f t="shared" si="66"/>
        <v>#DIV/0!</v>
      </c>
      <c r="J232" s="199" t="e">
        <f t="shared" si="66"/>
        <v>#DIV/0!</v>
      </c>
      <c r="K232" s="199" t="e">
        <f t="shared" si="67"/>
        <v>#DIV/0!</v>
      </c>
      <c r="L232" s="571"/>
      <c r="M232" s="199" t="e">
        <f>RANK(K232, K$218:$K$247)</f>
        <v>#DIV/0!</v>
      </c>
      <c r="N232" s="108"/>
      <c r="O232" s="108"/>
      <c r="P232" s="108"/>
      <c r="Q232" s="108"/>
      <c r="R232" s="108"/>
      <c r="S232" s="108"/>
      <c r="T232" s="108"/>
      <c r="X232" s="108"/>
      <c r="AC232" s="108"/>
      <c r="AH232" s="108"/>
      <c r="AM232" s="108"/>
    </row>
    <row r="233" spans="2:39">
      <c r="B233" s="570"/>
      <c r="C233" s="315">
        <v>16</v>
      </c>
      <c r="D233" s="315"/>
      <c r="E233" s="182"/>
      <c r="F233" s="315"/>
      <c r="G233" s="318"/>
      <c r="H233" s="565"/>
      <c r="I233" s="199" t="e">
        <f t="shared" si="66"/>
        <v>#DIV/0!</v>
      </c>
      <c r="J233" s="199" t="e">
        <f t="shared" si="66"/>
        <v>#DIV/0!</v>
      </c>
      <c r="K233" s="199" t="e">
        <f t="shared" si="67"/>
        <v>#DIV/0!</v>
      </c>
      <c r="L233" s="571"/>
      <c r="M233" s="199" t="e">
        <f>RANK(K233, K$218:$K$247)</f>
        <v>#DIV/0!</v>
      </c>
      <c r="N233" s="108"/>
      <c r="O233" s="108"/>
      <c r="P233" s="108"/>
      <c r="Q233" s="108"/>
      <c r="R233" s="108"/>
      <c r="S233" s="108"/>
      <c r="T233" s="108"/>
      <c r="X233" s="108"/>
      <c r="AC233" s="108"/>
      <c r="AH233" s="108"/>
      <c r="AM233" s="108"/>
    </row>
    <row r="234" spans="2:39">
      <c r="B234" s="570"/>
      <c r="C234" s="315">
        <v>17</v>
      </c>
      <c r="D234" s="315"/>
      <c r="E234" s="182"/>
      <c r="F234" s="315"/>
      <c r="G234" s="318"/>
      <c r="H234" s="565"/>
      <c r="I234" s="199" t="e">
        <f t="shared" si="66"/>
        <v>#DIV/0!</v>
      </c>
      <c r="J234" s="199" t="e">
        <f t="shared" si="66"/>
        <v>#DIV/0!</v>
      </c>
      <c r="K234" s="199" t="e">
        <f t="shared" si="67"/>
        <v>#DIV/0!</v>
      </c>
      <c r="L234" s="571"/>
      <c r="M234" s="199" t="e">
        <f>RANK(K234, K$218:$K$247)</f>
        <v>#DIV/0!</v>
      </c>
      <c r="N234" s="108"/>
      <c r="O234" s="108"/>
      <c r="P234" s="108"/>
      <c r="Q234" s="108"/>
      <c r="R234" s="108"/>
      <c r="S234" s="108"/>
      <c r="T234" s="108"/>
      <c r="X234" s="108"/>
      <c r="AC234" s="108"/>
      <c r="AH234" s="108"/>
      <c r="AM234" s="108"/>
    </row>
    <row r="235" spans="2:39">
      <c r="B235" s="570"/>
      <c r="C235" s="315">
        <v>18</v>
      </c>
      <c r="D235" s="315"/>
      <c r="E235" s="182"/>
      <c r="F235" s="315"/>
      <c r="G235" s="318"/>
      <c r="H235" s="565"/>
      <c r="I235" s="199" t="e">
        <f t="shared" si="66"/>
        <v>#DIV/0!</v>
      </c>
      <c r="J235" s="199" t="e">
        <f t="shared" si="66"/>
        <v>#DIV/0!</v>
      </c>
      <c r="K235" s="199" t="e">
        <f t="shared" si="67"/>
        <v>#DIV/0!</v>
      </c>
      <c r="L235" s="571"/>
      <c r="M235" s="199" t="e">
        <f>RANK(K235, K$218:$K$247)</f>
        <v>#DIV/0!</v>
      </c>
      <c r="N235" s="108"/>
      <c r="O235" s="108"/>
      <c r="P235" s="108"/>
      <c r="Q235" s="108"/>
      <c r="R235" s="108"/>
      <c r="S235" s="108"/>
      <c r="T235" s="108"/>
      <c r="X235" s="108"/>
      <c r="AC235" s="108"/>
      <c r="AH235" s="108"/>
      <c r="AM235" s="108"/>
    </row>
    <row r="236" spans="2:39">
      <c r="B236" s="570"/>
      <c r="C236" s="315">
        <v>19</v>
      </c>
      <c r="D236" s="315"/>
      <c r="E236" s="182"/>
      <c r="F236" s="315"/>
      <c r="G236" s="318"/>
      <c r="H236" s="565"/>
      <c r="I236" s="199" t="e">
        <f t="shared" si="66"/>
        <v>#DIV/0!</v>
      </c>
      <c r="J236" s="199" t="e">
        <f t="shared" si="66"/>
        <v>#DIV/0!</v>
      </c>
      <c r="K236" s="199" t="e">
        <f t="shared" si="67"/>
        <v>#DIV/0!</v>
      </c>
      <c r="L236" s="571"/>
      <c r="M236" s="199" t="e">
        <f>RANK(K236, K$218:$K$247)</f>
        <v>#DIV/0!</v>
      </c>
      <c r="N236" s="108"/>
      <c r="O236" s="108"/>
      <c r="P236" s="108"/>
      <c r="Q236" s="108"/>
      <c r="R236" s="108"/>
      <c r="S236" s="108"/>
      <c r="T236" s="108"/>
      <c r="X236" s="108"/>
      <c r="AC236" s="108"/>
      <c r="AH236" s="108"/>
      <c r="AM236" s="108"/>
    </row>
    <row r="237" spans="2:39">
      <c r="B237" s="570"/>
      <c r="C237" s="315">
        <v>20</v>
      </c>
      <c r="D237" s="315"/>
      <c r="E237" s="182"/>
      <c r="F237" s="315"/>
      <c r="G237" s="318"/>
      <c r="H237" s="565"/>
      <c r="I237" s="199" t="e">
        <f t="shared" si="66"/>
        <v>#DIV/0!</v>
      </c>
      <c r="J237" s="199" t="e">
        <f t="shared" si="66"/>
        <v>#DIV/0!</v>
      </c>
      <c r="K237" s="199" t="e">
        <f t="shared" si="67"/>
        <v>#DIV/0!</v>
      </c>
      <c r="L237" s="571"/>
      <c r="M237" s="199" t="e">
        <f>RANK(K237, K$218:$K$247)</f>
        <v>#DIV/0!</v>
      </c>
      <c r="N237" s="108"/>
      <c r="O237" s="108"/>
      <c r="P237" s="108"/>
      <c r="Q237" s="108"/>
      <c r="R237" s="108"/>
      <c r="S237" s="108"/>
      <c r="T237" s="108"/>
      <c r="X237" s="108"/>
      <c r="AC237" s="108"/>
      <c r="AH237" s="108"/>
      <c r="AM237" s="108"/>
    </row>
    <row r="238" spans="2:39">
      <c r="B238" s="570"/>
      <c r="C238" s="315">
        <v>21</v>
      </c>
      <c r="D238" s="315"/>
      <c r="E238" s="182"/>
      <c r="F238" s="315"/>
      <c r="G238" s="318"/>
      <c r="H238" s="565"/>
      <c r="I238" s="199" t="e">
        <f t="shared" si="66"/>
        <v>#DIV/0!</v>
      </c>
      <c r="J238" s="199" t="e">
        <f t="shared" si="66"/>
        <v>#DIV/0!</v>
      </c>
      <c r="K238" s="199" t="e">
        <f t="shared" si="67"/>
        <v>#DIV/0!</v>
      </c>
      <c r="L238" s="571"/>
      <c r="M238" s="199" t="e">
        <f>RANK(K238, K$218:$K$247)</f>
        <v>#DIV/0!</v>
      </c>
      <c r="N238" s="108"/>
      <c r="O238" s="108"/>
      <c r="P238" s="108"/>
      <c r="Q238" s="108"/>
      <c r="R238" s="108"/>
      <c r="S238" s="108"/>
      <c r="T238" s="108"/>
      <c r="X238" s="108"/>
      <c r="AC238" s="108"/>
      <c r="AH238" s="108"/>
      <c r="AM238" s="108"/>
    </row>
    <row r="239" spans="2:39">
      <c r="B239" s="570"/>
      <c r="C239" s="315">
        <v>22</v>
      </c>
      <c r="D239" s="315"/>
      <c r="E239" s="182"/>
      <c r="F239" s="315"/>
      <c r="G239" s="318"/>
      <c r="H239" s="565"/>
      <c r="I239" s="199" t="e">
        <f t="shared" si="66"/>
        <v>#DIV/0!</v>
      </c>
      <c r="J239" s="199" t="e">
        <f t="shared" si="66"/>
        <v>#DIV/0!</v>
      </c>
      <c r="K239" s="199" t="e">
        <f t="shared" si="67"/>
        <v>#DIV/0!</v>
      </c>
      <c r="L239" s="571"/>
      <c r="M239" s="199" t="e">
        <f>RANK(K239, K$218:$K$247)</f>
        <v>#DIV/0!</v>
      </c>
      <c r="N239" s="108"/>
      <c r="O239" s="108"/>
      <c r="P239" s="108"/>
      <c r="Q239" s="108"/>
      <c r="R239" s="108"/>
      <c r="S239" s="108"/>
      <c r="T239" s="108"/>
      <c r="X239" s="108"/>
      <c r="AC239" s="108"/>
      <c r="AH239" s="108"/>
      <c r="AM239" s="108"/>
    </row>
    <row r="240" spans="2:39">
      <c r="B240" s="570"/>
      <c r="C240" s="315">
        <v>23</v>
      </c>
      <c r="D240" s="315"/>
      <c r="E240" s="182"/>
      <c r="F240" s="315"/>
      <c r="G240" s="318"/>
      <c r="H240" s="565"/>
      <c r="I240" s="199" t="e">
        <f t="shared" si="66"/>
        <v>#DIV/0!</v>
      </c>
      <c r="J240" s="199" t="e">
        <f t="shared" si="66"/>
        <v>#DIV/0!</v>
      </c>
      <c r="K240" s="199" t="e">
        <f t="shared" si="67"/>
        <v>#DIV/0!</v>
      </c>
      <c r="L240" s="571"/>
      <c r="M240" s="199" t="e">
        <f>RANK(K240, K$218:$K$247)</f>
        <v>#DIV/0!</v>
      </c>
      <c r="N240" s="108"/>
      <c r="O240" s="108"/>
      <c r="P240" s="108"/>
      <c r="Q240" s="108"/>
      <c r="R240" s="108"/>
      <c r="S240" s="108"/>
      <c r="T240" s="108"/>
      <c r="X240" s="108"/>
      <c r="AC240" s="108"/>
      <c r="AH240" s="108"/>
      <c r="AM240" s="108"/>
    </row>
    <row r="241" spans="2:39">
      <c r="B241" s="570"/>
      <c r="C241" s="315">
        <v>24</v>
      </c>
      <c r="D241" s="315"/>
      <c r="E241" s="182"/>
      <c r="F241" s="315"/>
      <c r="G241" s="318"/>
      <c r="H241" s="565"/>
      <c r="I241" s="199" t="e">
        <f t="shared" si="66"/>
        <v>#DIV/0!</v>
      </c>
      <c r="J241" s="199" t="e">
        <f t="shared" si="66"/>
        <v>#DIV/0!</v>
      </c>
      <c r="K241" s="199" t="e">
        <f t="shared" si="67"/>
        <v>#DIV/0!</v>
      </c>
      <c r="L241" s="571"/>
      <c r="M241" s="199" t="e">
        <f>RANK(K241, K$218:$K$247)</f>
        <v>#DIV/0!</v>
      </c>
      <c r="N241" s="108"/>
      <c r="O241" s="108"/>
      <c r="P241" s="108"/>
      <c r="Q241" s="108"/>
      <c r="R241" s="108"/>
      <c r="S241" s="108"/>
      <c r="T241" s="108"/>
      <c r="X241" s="108"/>
      <c r="AC241" s="108"/>
      <c r="AH241" s="108"/>
      <c r="AM241" s="108"/>
    </row>
    <row r="242" spans="2:39">
      <c r="B242" s="570"/>
      <c r="C242" s="315">
        <v>25</v>
      </c>
      <c r="D242" s="315"/>
      <c r="E242" s="182"/>
      <c r="F242" s="315"/>
      <c r="G242" s="318"/>
      <c r="H242" s="565"/>
      <c r="I242" s="199"/>
      <c r="J242" s="199"/>
      <c r="K242" s="199"/>
      <c r="L242" s="571"/>
      <c r="M242" s="199" t="e">
        <f>RANK(K242, K$218:$K$247)</f>
        <v>#DIV/0!</v>
      </c>
      <c r="N242" s="108"/>
      <c r="O242" s="108"/>
      <c r="P242" s="108"/>
      <c r="Q242" s="108"/>
      <c r="R242" s="108"/>
      <c r="S242" s="108"/>
      <c r="T242" s="108"/>
      <c r="X242" s="108"/>
      <c r="AC242" s="108"/>
      <c r="AH242" s="108"/>
      <c r="AM242" s="108"/>
    </row>
    <row r="243" spans="2:39">
      <c r="B243" s="570"/>
      <c r="C243" s="315">
        <v>26</v>
      </c>
      <c r="D243" s="315"/>
      <c r="E243" s="182"/>
      <c r="F243" s="315"/>
      <c r="G243" s="318"/>
      <c r="H243" s="565"/>
      <c r="I243" s="199"/>
      <c r="J243" s="199"/>
      <c r="K243" s="199"/>
      <c r="L243" s="571"/>
      <c r="M243" s="199" t="e">
        <f>RANK(K243, K$218:$K$247)</f>
        <v>#DIV/0!</v>
      </c>
      <c r="N243" s="108"/>
      <c r="O243" s="108"/>
      <c r="P243" s="108"/>
      <c r="Q243" s="108"/>
      <c r="R243" s="108"/>
      <c r="S243" s="108"/>
      <c r="T243" s="108"/>
      <c r="X243" s="108"/>
      <c r="AC243" s="108"/>
      <c r="AH243" s="108"/>
      <c r="AM243" s="108"/>
    </row>
    <row r="244" spans="2:39">
      <c r="B244" s="570"/>
      <c r="C244" s="315">
        <v>27</v>
      </c>
      <c r="D244" s="315"/>
      <c r="E244" s="182"/>
      <c r="F244" s="315"/>
      <c r="G244" s="318"/>
      <c r="H244" s="565"/>
      <c r="I244" s="199"/>
      <c r="J244" s="199"/>
      <c r="K244" s="199"/>
      <c r="L244" s="571"/>
      <c r="M244" s="199" t="e">
        <f>RANK(K244, K$218:$K$247)</f>
        <v>#DIV/0!</v>
      </c>
      <c r="N244" s="108"/>
      <c r="O244" s="108"/>
      <c r="P244" s="108"/>
      <c r="Q244" s="108"/>
      <c r="R244" s="108"/>
      <c r="S244" s="108"/>
      <c r="T244" s="108"/>
      <c r="X244" s="108"/>
      <c r="AC244" s="108"/>
      <c r="AH244" s="108"/>
      <c r="AM244" s="108"/>
    </row>
    <row r="245" spans="2:39">
      <c r="B245" s="570"/>
      <c r="C245" s="315">
        <v>28</v>
      </c>
      <c r="D245" s="315"/>
      <c r="E245" s="182"/>
      <c r="F245" s="315"/>
      <c r="G245" s="318"/>
      <c r="H245" s="565"/>
      <c r="I245" s="199"/>
      <c r="J245" s="199"/>
      <c r="K245" s="199"/>
      <c r="L245" s="571"/>
      <c r="M245" s="199" t="e">
        <f>RANK(K245, K$218:$K$247)</f>
        <v>#DIV/0!</v>
      </c>
      <c r="N245" s="108"/>
      <c r="O245" s="108"/>
      <c r="P245" s="108"/>
      <c r="Q245" s="108"/>
      <c r="R245" s="108"/>
      <c r="S245" s="108"/>
      <c r="T245" s="108"/>
      <c r="X245" s="108"/>
      <c r="AC245" s="108"/>
      <c r="AH245" s="108"/>
      <c r="AM245" s="108"/>
    </row>
    <row r="246" spans="2:39">
      <c r="B246" s="570"/>
      <c r="C246" s="315">
        <v>29</v>
      </c>
      <c r="D246" s="315"/>
      <c r="E246" s="182"/>
      <c r="F246" s="315"/>
      <c r="G246" s="318"/>
      <c r="H246" s="565"/>
      <c r="I246" s="199"/>
      <c r="J246" s="199"/>
      <c r="K246" s="199"/>
      <c r="L246" s="571"/>
      <c r="M246" s="199" t="e">
        <f>RANK(K246, K$218:$K$247)</f>
        <v>#DIV/0!</v>
      </c>
      <c r="N246" s="108"/>
      <c r="O246" s="108"/>
      <c r="P246" s="108"/>
      <c r="Q246" s="108"/>
      <c r="R246" s="108"/>
      <c r="S246" s="108"/>
      <c r="T246" s="108"/>
      <c r="X246" s="108"/>
      <c r="AC246" s="108"/>
      <c r="AH246" s="108"/>
      <c r="AM246" s="108"/>
    </row>
    <row r="247" spans="2:39">
      <c r="B247" s="570"/>
      <c r="C247" s="315">
        <v>30</v>
      </c>
      <c r="D247" s="315"/>
      <c r="E247" s="182"/>
      <c r="F247" s="315"/>
      <c r="G247" s="318"/>
      <c r="H247" s="565"/>
      <c r="I247" s="199"/>
      <c r="J247" s="199"/>
      <c r="K247" s="199"/>
      <c r="L247" s="571"/>
      <c r="M247" s="199" t="e">
        <f>RANK(K247, K$218:$K$247)</f>
        <v>#DIV/0!</v>
      </c>
      <c r="N247" s="108"/>
      <c r="O247" s="108"/>
      <c r="P247" s="108"/>
      <c r="Q247" s="108"/>
      <c r="R247" s="108"/>
      <c r="S247" s="108"/>
      <c r="T247" s="108"/>
      <c r="X247" s="108"/>
      <c r="AC247" s="108"/>
      <c r="AH247" s="108"/>
      <c r="AM247" s="108"/>
    </row>
  </sheetData>
  <mergeCells count="379">
    <mergeCell ref="BA147:BA176"/>
    <mergeCell ref="BA179:BA181"/>
    <mergeCell ref="BA182:BA211"/>
    <mergeCell ref="BA4:BA6"/>
    <mergeCell ref="BA7:BA36"/>
    <mergeCell ref="BA39:BA41"/>
    <mergeCell ref="BA42:BA71"/>
    <mergeCell ref="BA74:BA76"/>
    <mergeCell ref="BA77:BA106"/>
    <mergeCell ref="BA109:BA111"/>
    <mergeCell ref="BA112:BA141"/>
    <mergeCell ref="BA144:BA146"/>
    <mergeCell ref="B147:B176"/>
    <mergeCell ref="AS147:AS176"/>
    <mergeCell ref="AX147:AX176"/>
    <mergeCell ref="AO145:AR145"/>
    <mergeCell ref="AT145:AW145"/>
    <mergeCell ref="AO144:AR144"/>
    <mergeCell ref="AS144:AS146"/>
    <mergeCell ref="AT144:AW144"/>
    <mergeCell ref="AX144:AX146"/>
    <mergeCell ref="AJ145:AM145"/>
    <mergeCell ref="AN147:AN176"/>
    <mergeCell ref="AN144:AN146"/>
    <mergeCell ref="AJ144:AM144"/>
    <mergeCell ref="C144:D146"/>
    <mergeCell ref="E144:G144"/>
    <mergeCell ref="H144:H146"/>
    <mergeCell ref="I144:K144"/>
    <mergeCell ref="L144:L146"/>
    <mergeCell ref="AD144:AD146"/>
    <mergeCell ref="AE144:AH144"/>
    <mergeCell ref="AI144:AI146"/>
    <mergeCell ref="AE145:AH145"/>
    <mergeCell ref="Z145:AC145"/>
    <mergeCell ref="Y144:Y146"/>
    <mergeCell ref="Z144:AC144"/>
    <mergeCell ref="P144:S144"/>
    <mergeCell ref="T144:T146"/>
    <mergeCell ref="U144:X144"/>
    <mergeCell ref="E145:G145"/>
    <mergeCell ref="I145:K145"/>
    <mergeCell ref="P145:S145"/>
    <mergeCell ref="U145:X145"/>
    <mergeCell ref="M144:M146"/>
    <mergeCell ref="N144:N176"/>
    <mergeCell ref="O144:O176"/>
    <mergeCell ref="H147:H176"/>
    <mergeCell ref="L147:L176"/>
    <mergeCell ref="T147:T176"/>
    <mergeCell ref="Y147:Y176"/>
    <mergeCell ref="AX112:AX141"/>
    <mergeCell ref="B142:H143"/>
    <mergeCell ref="N142:N143"/>
    <mergeCell ref="O142:O143"/>
    <mergeCell ref="P142:T142"/>
    <mergeCell ref="U142:Y142"/>
    <mergeCell ref="Z142:AD142"/>
    <mergeCell ref="AE142:AI142"/>
    <mergeCell ref="AJ142:AN142"/>
    <mergeCell ref="AO142:AS142"/>
    <mergeCell ref="AT142:AX142"/>
    <mergeCell ref="P143:T143"/>
    <mergeCell ref="U143:Y143"/>
    <mergeCell ref="Z143:AD143"/>
    <mergeCell ref="AE143:AI143"/>
    <mergeCell ref="AJ143:AN143"/>
    <mergeCell ref="AO143:AS143"/>
    <mergeCell ref="AT143:AX143"/>
    <mergeCell ref="AO110:AR110"/>
    <mergeCell ref="AT110:AW110"/>
    <mergeCell ref="B112:B141"/>
    <mergeCell ref="H112:H141"/>
    <mergeCell ref="L112:L141"/>
    <mergeCell ref="T112:T141"/>
    <mergeCell ref="Y112:Y141"/>
    <mergeCell ref="AD112:AD141"/>
    <mergeCell ref="AI112:AI141"/>
    <mergeCell ref="AN112:AN141"/>
    <mergeCell ref="AN109:AN111"/>
    <mergeCell ref="AO109:AR109"/>
    <mergeCell ref="AS109:AS111"/>
    <mergeCell ref="AT109:AW109"/>
    <mergeCell ref="B109:B111"/>
    <mergeCell ref="C109:D111"/>
    <mergeCell ref="AS112:AS141"/>
    <mergeCell ref="H109:H111"/>
    <mergeCell ref="I109:K109"/>
    <mergeCell ref="L109:L111"/>
    <mergeCell ref="AD147:AD176"/>
    <mergeCell ref="AI147:AI176"/>
    <mergeCell ref="B144:B146"/>
    <mergeCell ref="AX109:AX111"/>
    <mergeCell ref="E110:G110"/>
    <mergeCell ref="I110:K110"/>
    <mergeCell ref="P110:S110"/>
    <mergeCell ref="U110:X110"/>
    <mergeCell ref="Z110:AC110"/>
    <mergeCell ref="Y109:Y111"/>
    <mergeCell ref="Z109:AC109"/>
    <mergeCell ref="AD109:AD111"/>
    <mergeCell ref="AE109:AH109"/>
    <mergeCell ref="AI109:AI111"/>
    <mergeCell ref="AJ109:AM109"/>
    <mergeCell ref="AE110:AH110"/>
    <mergeCell ref="AJ110:AM110"/>
    <mergeCell ref="M109:M111"/>
    <mergeCell ref="N109:N141"/>
    <mergeCell ref="O109:O141"/>
    <mergeCell ref="P109:S109"/>
    <mergeCell ref="T109:T111"/>
    <mergeCell ref="U109:X109"/>
    <mergeCell ref="E109:G109"/>
    <mergeCell ref="AX77:AX106"/>
    <mergeCell ref="B107:H108"/>
    <mergeCell ref="N107:N108"/>
    <mergeCell ref="O107:O108"/>
    <mergeCell ref="P107:T107"/>
    <mergeCell ref="U107:Y107"/>
    <mergeCell ref="Z107:AD107"/>
    <mergeCell ref="AE107:AI107"/>
    <mergeCell ref="AJ107:AN107"/>
    <mergeCell ref="AO107:AS107"/>
    <mergeCell ref="AT107:AX107"/>
    <mergeCell ref="P108:T108"/>
    <mergeCell ref="U108:Y108"/>
    <mergeCell ref="Z108:AD108"/>
    <mergeCell ref="AE108:AI108"/>
    <mergeCell ref="AJ108:AN108"/>
    <mergeCell ref="AO108:AS108"/>
    <mergeCell ref="AT108:AX108"/>
    <mergeCell ref="AO75:AR75"/>
    <mergeCell ref="AT75:AW75"/>
    <mergeCell ref="B77:B106"/>
    <mergeCell ref="H77:H106"/>
    <mergeCell ref="L77:L106"/>
    <mergeCell ref="T77:T106"/>
    <mergeCell ref="Y77:Y106"/>
    <mergeCell ref="AD77:AD106"/>
    <mergeCell ref="AI77:AI106"/>
    <mergeCell ref="AN77:AN106"/>
    <mergeCell ref="AN74:AN76"/>
    <mergeCell ref="AO74:AR74"/>
    <mergeCell ref="AS74:AS76"/>
    <mergeCell ref="AT74:AW74"/>
    <mergeCell ref="B74:B76"/>
    <mergeCell ref="C74:D76"/>
    <mergeCell ref="AS77:AS106"/>
    <mergeCell ref="AX74:AX76"/>
    <mergeCell ref="E75:G75"/>
    <mergeCell ref="I75:K75"/>
    <mergeCell ref="P75:S75"/>
    <mergeCell ref="U75:X75"/>
    <mergeCell ref="Z75:AC75"/>
    <mergeCell ref="Y74:Y76"/>
    <mergeCell ref="Z74:AC74"/>
    <mergeCell ref="AD74:AD76"/>
    <mergeCell ref="AE74:AH74"/>
    <mergeCell ref="AI74:AI76"/>
    <mergeCell ref="AJ74:AM74"/>
    <mergeCell ref="AE75:AH75"/>
    <mergeCell ref="AJ75:AM75"/>
    <mergeCell ref="M74:M76"/>
    <mergeCell ref="N74:N106"/>
    <mergeCell ref="O74:O106"/>
    <mergeCell ref="P74:S74"/>
    <mergeCell ref="T74:T76"/>
    <mergeCell ref="U74:X74"/>
    <mergeCell ref="E74:G74"/>
    <mergeCell ref="H74:H76"/>
    <mergeCell ref="I74:K74"/>
    <mergeCell ref="L74:L76"/>
    <mergeCell ref="AX42:AX71"/>
    <mergeCell ref="B72:H73"/>
    <mergeCell ref="N72:N73"/>
    <mergeCell ref="O72:O73"/>
    <mergeCell ref="P72:T72"/>
    <mergeCell ref="U72:Y72"/>
    <mergeCell ref="Z72:AD72"/>
    <mergeCell ref="AE72:AI72"/>
    <mergeCell ref="AJ72:AN72"/>
    <mergeCell ref="AO72:AS72"/>
    <mergeCell ref="AT72:AX72"/>
    <mergeCell ref="P73:T73"/>
    <mergeCell ref="U73:Y73"/>
    <mergeCell ref="Z73:AD73"/>
    <mergeCell ref="AE73:AI73"/>
    <mergeCell ref="AJ73:AN73"/>
    <mergeCell ref="AO73:AS73"/>
    <mergeCell ref="AT73:AX73"/>
    <mergeCell ref="AO40:AR40"/>
    <mergeCell ref="AT40:AW40"/>
    <mergeCell ref="B42:B71"/>
    <mergeCell ref="H42:H71"/>
    <mergeCell ref="L42:L71"/>
    <mergeCell ref="T42:T71"/>
    <mergeCell ref="Y42:Y71"/>
    <mergeCell ref="AD42:AD71"/>
    <mergeCell ref="AI42:AI71"/>
    <mergeCell ref="AN42:AN71"/>
    <mergeCell ref="AN39:AN41"/>
    <mergeCell ref="AO39:AR39"/>
    <mergeCell ref="AS39:AS41"/>
    <mergeCell ref="AT39:AW39"/>
    <mergeCell ref="B39:B41"/>
    <mergeCell ref="C39:D41"/>
    <mergeCell ref="AS42:AS71"/>
    <mergeCell ref="AX39:AX41"/>
    <mergeCell ref="E40:G40"/>
    <mergeCell ref="I40:K40"/>
    <mergeCell ref="P40:S40"/>
    <mergeCell ref="U40:X40"/>
    <mergeCell ref="Z40:AC40"/>
    <mergeCell ref="Y39:Y41"/>
    <mergeCell ref="Z39:AC39"/>
    <mergeCell ref="AD39:AD41"/>
    <mergeCell ref="AE39:AH39"/>
    <mergeCell ref="AI39:AI41"/>
    <mergeCell ref="AJ39:AM39"/>
    <mergeCell ref="AE40:AH40"/>
    <mergeCell ref="AJ40:AM40"/>
    <mergeCell ref="M39:M41"/>
    <mergeCell ref="N39:N71"/>
    <mergeCell ref="O39:O71"/>
    <mergeCell ref="P39:S39"/>
    <mergeCell ref="T39:T41"/>
    <mergeCell ref="U39:X39"/>
    <mergeCell ref="E39:G39"/>
    <mergeCell ref="H39:H41"/>
    <mergeCell ref="I39:K39"/>
    <mergeCell ref="L39:L41"/>
    <mergeCell ref="AT37:AX37"/>
    <mergeCell ref="P38:T38"/>
    <mergeCell ref="U38:Y38"/>
    <mergeCell ref="Z38:AD38"/>
    <mergeCell ref="AE38:AI38"/>
    <mergeCell ref="AJ38:AN38"/>
    <mergeCell ref="AO38:AS38"/>
    <mergeCell ref="AT38:AX38"/>
    <mergeCell ref="AX7:AX36"/>
    <mergeCell ref="B37:H38"/>
    <mergeCell ref="N37:N38"/>
    <mergeCell ref="O37:O38"/>
    <mergeCell ref="P37:T37"/>
    <mergeCell ref="U37:Y37"/>
    <mergeCell ref="Z37:AD37"/>
    <mergeCell ref="AE37:AI37"/>
    <mergeCell ref="AJ37:AN37"/>
    <mergeCell ref="AO37:AS37"/>
    <mergeCell ref="AD4:AD6"/>
    <mergeCell ref="AT5:AW5"/>
    <mergeCell ref="B7:B36"/>
    <mergeCell ref="H7:H36"/>
    <mergeCell ref="L7:L36"/>
    <mergeCell ref="T7:T36"/>
    <mergeCell ref="Y7:Y36"/>
    <mergeCell ref="AD7:AD36"/>
    <mergeCell ref="AI7:AI36"/>
    <mergeCell ref="AN7:AN36"/>
    <mergeCell ref="AS7:AS36"/>
    <mergeCell ref="B4:B6"/>
    <mergeCell ref="C4:D6"/>
    <mergeCell ref="E4:G4"/>
    <mergeCell ref="H4:H6"/>
    <mergeCell ref="I4:K4"/>
    <mergeCell ref="L4:L6"/>
    <mergeCell ref="M4:M6"/>
    <mergeCell ref="N4:N36"/>
    <mergeCell ref="O4:O36"/>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AT178:AX178"/>
    <mergeCell ref="E180:G180"/>
    <mergeCell ref="I180:K180"/>
    <mergeCell ref="P180:S180"/>
    <mergeCell ref="U180:X180"/>
    <mergeCell ref="Z180:AC180"/>
    <mergeCell ref="AE180:AH180"/>
    <mergeCell ref="P178:T178"/>
    <mergeCell ref="U178:Y178"/>
    <mergeCell ref="Z178:AD178"/>
    <mergeCell ref="AE178:AI178"/>
    <mergeCell ref="AJ178:AN178"/>
    <mergeCell ref="AO178:AS178"/>
    <mergeCell ref="Z179:AC179"/>
    <mergeCell ref="B177:H178"/>
    <mergeCell ref="N177:N178"/>
    <mergeCell ref="O177:O178"/>
    <mergeCell ref="P177:T177"/>
    <mergeCell ref="U177:Y177"/>
    <mergeCell ref="Z177:AD177"/>
    <mergeCell ref="AE177:AI177"/>
    <mergeCell ref="AJ177:AN177"/>
    <mergeCell ref="AO177:AS177"/>
    <mergeCell ref="AT177:AX177"/>
    <mergeCell ref="AI179:AI181"/>
    <mergeCell ref="AJ179:AM179"/>
    <mergeCell ref="AN179:AN181"/>
    <mergeCell ref="AO179:AR179"/>
    <mergeCell ref="AS179:AS181"/>
    <mergeCell ref="B179:B181"/>
    <mergeCell ref="C179:D181"/>
    <mergeCell ref="E179:G179"/>
    <mergeCell ref="H179:H181"/>
    <mergeCell ref="I179:K179"/>
    <mergeCell ref="L179:L181"/>
    <mergeCell ref="M179:M181"/>
    <mergeCell ref="N179:N211"/>
    <mergeCell ref="O179:O211"/>
    <mergeCell ref="M215:M217"/>
    <mergeCell ref="E216:G216"/>
    <mergeCell ref="I216:K216"/>
    <mergeCell ref="AX179:AX181"/>
    <mergeCell ref="B182:B211"/>
    <mergeCell ref="H182:H211"/>
    <mergeCell ref="L182:L211"/>
    <mergeCell ref="T182:T211"/>
    <mergeCell ref="Y182:Y211"/>
    <mergeCell ref="AD182:AD211"/>
    <mergeCell ref="AI182:AI211"/>
    <mergeCell ref="AN182:AN211"/>
    <mergeCell ref="AS182:AS211"/>
    <mergeCell ref="AX182:AX211"/>
    <mergeCell ref="AT179:AW179"/>
    <mergeCell ref="P179:S179"/>
    <mergeCell ref="T179:T181"/>
    <mergeCell ref="U179:X179"/>
    <mergeCell ref="Y179:Y181"/>
    <mergeCell ref="AJ180:AM180"/>
    <mergeCell ref="AO180:AR180"/>
    <mergeCell ref="AT180:AW180"/>
    <mergeCell ref="AD179:AD181"/>
    <mergeCell ref="AE179:AH179"/>
    <mergeCell ref="B218:B247"/>
    <mergeCell ref="H218:H247"/>
    <mergeCell ref="L218:L247"/>
    <mergeCell ref="B213:H214"/>
    <mergeCell ref="B215:B217"/>
    <mergeCell ref="C215:D217"/>
    <mergeCell ref="E215:G215"/>
    <mergeCell ref="H215:H217"/>
    <mergeCell ref="I215:K215"/>
    <mergeCell ref="L215:L217"/>
  </mergeCells>
  <phoneticPr fontId="12" type="noConversion"/>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A142"/>
  <sheetViews>
    <sheetView topLeftCell="A24" zoomScale="55" zoomScaleNormal="55" workbookViewId="0">
      <pane xSplit="15" topLeftCell="P1" activePane="topRight" state="frozen"/>
      <selection activeCell="I107" activeCellId="2" sqref="I67:K81 I87:K101 I107:K121"/>
      <selection pane="topRight" activeCell="M47" sqref="M47:M61"/>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51" width="8.85546875" style="108"/>
    <col min="52" max="52" width="5.42578125" style="108" customWidth="1"/>
    <col min="53" max="53" width="13.140625" style="108" customWidth="1"/>
    <col min="54" max="16384" width="8.85546875" style="108"/>
  </cols>
  <sheetData>
    <row r="1" spans="1:53" ht="24">
      <c r="A1" s="75"/>
      <c r="B1" s="221" t="s">
        <v>314</v>
      </c>
      <c r="C1" s="220">
        <f>AVERAGE(L7,L27,L47,L67,L87,L107)</f>
        <v>73.055573334108601</v>
      </c>
    </row>
    <row r="2" spans="1:53" ht="15.75">
      <c r="A2" s="81"/>
      <c r="B2" s="593" t="s">
        <v>163</v>
      </c>
      <c r="C2" s="593"/>
      <c r="D2" s="593"/>
      <c r="E2" s="593"/>
      <c r="F2" s="593"/>
      <c r="G2" s="593"/>
      <c r="H2" s="593"/>
      <c r="I2" s="293"/>
      <c r="J2" s="293"/>
      <c r="K2" s="293"/>
      <c r="L2" s="293"/>
      <c r="M2" s="197"/>
      <c r="N2" s="566" t="s">
        <v>156</v>
      </c>
      <c r="O2" s="566" t="s">
        <v>155</v>
      </c>
      <c r="P2" s="605">
        <v>46140</v>
      </c>
      <c r="Q2" s="606"/>
      <c r="R2" s="606"/>
      <c r="S2" s="606"/>
      <c r="T2" s="607"/>
      <c r="U2" s="592">
        <f>P2+1</f>
        <v>46141</v>
      </c>
      <c r="V2" s="570"/>
      <c r="W2" s="570"/>
      <c r="X2" s="570"/>
      <c r="Y2" s="570"/>
      <c r="Z2" s="592">
        <f>U2+1</f>
        <v>46142</v>
      </c>
      <c r="AA2" s="570"/>
      <c r="AB2" s="570"/>
      <c r="AC2" s="570"/>
      <c r="AD2" s="570"/>
      <c r="AE2" s="592">
        <f>Z2+1</f>
        <v>46143</v>
      </c>
      <c r="AF2" s="570"/>
      <c r="AG2" s="570"/>
      <c r="AH2" s="570"/>
      <c r="AI2" s="570"/>
      <c r="AJ2" s="592">
        <f>AE2+1</f>
        <v>46144</v>
      </c>
      <c r="AK2" s="570"/>
      <c r="AL2" s="570"/>
      <c r="AM2" s="570"/>
      <c r="AN2" s="570"/>
      <c r="AO2" s="592">
        <f>AJ2+1</f>
        <v>46145</v>
      </c>
      <c r="AP2" s="570"/>
      <c r="AQ2" s="570"/>
      <c r="AR2" s="570"/>
      <c r="AS2" s="570"/>
      <c r="AT2" s="589">
        <f>AO2+1</f>
        <v>46146</v>
      </c>
      <c r="AU2" s="590"/>
      <c r="AV2" s="590"/>
      <c r="AW2" s="590"/>
      <c r="AX2" s="591"/>
    </row>
    <row r="3" spans="1:53" ht="15.75">
      <c r="A3" s="81"/>
      <c r="B3" s="601"/>
      <c r="C3" s="601"/>
      <c r="D3" s="601"/>
      <c r="E3" s="601"/>
      <c r="F3" s="601"/>
      <c r="G3" s="601"/>
      <c r="H3" s="601"/>
      <c r="I3" s="294"/>
      <c r="J3" s="294"/>
      <c r="K3" s="294"/>
      <c r="L3" s="294"/>
      <c r="M3" s="198"/>
      <c r="N3" s="568"/>
      <c r="O3" s="568"/>
      <c r="P3" s="589" t="s">
        <v>158</v>
      </c>
      <c r="Q3" s="590"/>
      <c r="R3" s="590"/>
      <c r="S3" s="590"/>
      <c r="T3" s="591"/>
      <c r="U3" s="589" t="s">
        <v>114</v>
      </c>
      <c r="V3" s="590"/>
      <c r="W3" s="590"/>
      <c r="X3" s="590"/>
      <c r="Y3" s="591"/>
      <c r="Z3" s="589" t="s">
        <v>159</v>
      </c>
      <c r="AA3" s="590"/>
      <c r="AB3" s="590"/>
      <c r="AC3" s="590"/>
      <c r="AD3" s="591"/>
      <c r="AE3" s="589" t="s">
        <v>157</v>
      </c>
      <c r="AF3" s="590"/>
      <c r="AG3" s="590"/>
      <c r="AH3" s="590"/>
      <c r="AI3" s="591"/>
      <c r="AJ3" s="589" t="s">
        <v>160</v>
      </c>
      <c r="AK3" s="590"/>
      <c r="AL3" s="590"/>
      <c r="AM3" s="590"/>
      <c r="AN3" s="591"/>
      <c r="AO3" s="589" t="s">
        <v>161</v>
      </c>
      <c r="AP3" s="590"/>
      <c r="AQ3" s="590"/>
      <c r="AR3" s="590"/>
      <c r="AS3" s="591"/>
      <c r="AT3" s="589" t="s">
        <v>162</v>
      </c>
      <c r="AU3" s="590"/>
      <c r="AV3" s="590"/>
      <c r="AW3" s="590"/>
      <c r="AX3" s="591"/>
    </row>
    <row r="4" spans="1:53" ht="14.25">
      <c r="A4" s="81"/>
      <c r="B4" s="564" t="s">
        <v>154</v>
      </c>
      <c r="C4" s="564" t="s">
        <v>387</v>
      </c>
      <c r="D4" s="564"/>
      <c r="E4" s="564" t="s">
        <v>378</v>
      </c>
      <c r="F4" s="564"/>
      <c r="G4" s="564"/>
      <c r="H4" s="597" t="s">
        <v>374</v>
      </c>
      <c r="I4" s="616" t="s">
        <v>379</v>
      </c>
      <c r="J4" s="616"/>
      <c r="K4" s="616"/>
      <c r="L4" s="617" t="s">
        <v>374</v>
      </c>
      <c r="M4" s="602" t="s">
        <v>375</v>
      </c>
      <c r="N4" s="564"/>
      <c r="O4" s="564" t="s">
        <v>380</v>
      </c>
      <c r="P4" s="583" t="s">
        <v>376</v>
      </c>
      <c r="Q4" s="584"/>
      <c r="R4" s="584"/>
      <c r="S4" s="585"/>
      <c r="T4" s="564" t="s">
        <v>374</v>
      </c>
      <c r="U4" s="583" t="s">
        <v>376</v>
      </c>
      <c r="V4" s="584"/>
      <c r="W4" s="584"/>
      <c r="X4" s="585"/>
      <c r="Y4" s="564" t="s">
        <v>374</v>
      </c>
      <c r="Z4" s="583" t="s">
        <v>376</v>
      </c>
      <c r="AA4" s="584"/>
      <c r="AB4" s="584"/>
      <c r="AC4" s="585"/>
      <c r="AD4" s="564" t="s">
        <v>374</v>
      </c>
      <c r="AE4" s="583" t="s">
        <v>376</v>
      </c>
      <c r="AF4" s="584"/>
      <c r="AG4" s="584"/>
      <c r="AH4" s="585"/>
      <c r="AI4" s="564" t="s">
        <v>374</v>
      </c>
      <c r="AJ4" s="583" t="s">
        <v>376</v>
      </c>
      <c r="AK4" s="584"/>
      <c r="AL4" s="584"/>
      <c r="AM4" s="585"/>
      <c r="AN4" s="564" t="s">
        <v>374</v>
      </c>
      <c r="AO4" s="583" t="s">
        <v>376</v>
      </c>
      <c r="AP4" s="584"/>
      <c r="AQ4" s="584"/>
      <c r="AR4" s="585"/>
      <c r="AS4" s="564" t="s">
        <v>374</v>
      </c>
      <c r="AT4" s="583" t="s">
        <v>376</v>
      </c>
      <c r="AU4" s="584"/>
      <c r="AV4" s="584"/>
      <c r="AW4" s="585"/>
      <c r="AX4" s="564" t="s">
        <v>374</v>
      </c>
      <c r="BA4" s="564" t="s">
        <v>374</v>
      </c>
    </row>
    <row r="5" spans="1:53" ht="14.25">
      <c r="A5" s="81"/>
      <c r="B5" s="564"/>
      <c r="C5" s="564"/>
      <c r="D5" s="564"/>
      <c r="E5" s="564" t="s">
        <v>381</v>
      </c>
      <c r="F5" s="564"/>
      <c r="G5" s="564"/>
      <c r="H5" s="598"/>
      <c r="I5" s="616" t="s">
        <v>381</v>
      </c>
      <c r="J5" s="616"/>
      <c r="K5" s="616"/>
      <c r="L5" s="618"/>
      <c r="M5" s="603"/>
      <c r="N5" s="564"/>
      <c r="O5" s="564"/>
      <c r="P5" s="583" t="s">
        <v>382</v>
      </c>
      <c r="Q5" s="584"/>
      <c r="R5" s="584"/>
      <c r="S5" s="585"/>
      <c r="T5" s="564"/>
      <c r="U5" s="583" t="s">
        <v>382</v>
      </c>
      <c r="V5" s="584"/>
      <c r="W5" s="584"/>
      <c r="X5" s="585"/>
      <c r="Y5" s="564"/>
      <c r="Z5" s="583" t="s">
        <v>382</v>
      </c>
      <c r="AA5" s="584"/>
      <c r="AB5" s="584"/>
      <c r="AC5" s="585"/>
      <c r="AD5" s="564"/>
      <c r="AE5" s="583" t="s">
        <v>382</v>
      </c>
      <c r="AF5" s="584"/>
      <c r="AG5" s="584"/>
      <c r="AH5" s="585"/>
      <c r="AI5" s="564"/>
      <c r="AJ5" s="583" t="s">
        <v>382</v>
      </c>
      <c r="AK5" s="584"/>
      <c r="AL5" s="584"/>
      <c r="AM5" s="585"/>
      <c r="AN5" s="564"/>
      <c r="AO5" s="583" t="s">
        <v>382</v>
      </c>
      <c r="AP5" s="584"/>
      <c r="AQ5" s="584"/>
      <c r="AR5" s="585"/>
      <c r="AS5" s="564"/>
      <c r="AT5" s="583" t="s">
        <v>382</v>
      </c>
      <c r="AU5" s="584"/>
      <c r="AV5" s="584"/>
      <c r="AW5" s="585"/>
      <c r="AX5" s="564"/>
      <c r="BA5" s="564"/>
    </row>
    <row r="6" spans="1:53" ht="14.25">
      <c r="A6" s="79"/>
      <c r="B6" s="564"/>
      <c r="C6" s="564"/>
      <c r="D6" s="564"/>
      <c r="E6" s="417" t="s">
        <v>383</v>
      </c>
      <c r="F6" s="417" t="s">
        <v>384</v>
      </c>
      <c r="G6" s="417" t="s">
        <v>385</v>
      </c>
      <c r="H6" s="599"/>
      <c r="I6" s="416" t="s">
        <v>383</v>
      </c>
      <c r="J6" s="416" t="s">
        <v>384</v>
      </c>
      <c r="K6" s="416" t="s">
        <v>385</v>
      </c>
      <c r="L6" s="619"/>
      <c r="M6" s="604"/>
      <c r="N6" s="564"/>
      <c r="O6" s="564"/>
      <c r="P6" s="417" t="s">
        <v>383</v>
      </c>
      <c r="Q6" s="417" t="s">
        <v>384</v>
      </c>
      <c r="R6" s="417" t="s">
        <v>385</v>
      </c>
      <c r="S6" s="417" t="s">
        <v>375</v>
      </c>
      <c r="T6" s="564"/>
      <c r="U6" s="417" t="s">
        <v>383</v>
      </c>
      <c r="V6" s="417" t="s">
        <v>384</v>
      </c>
      <c r="W6" s="417" t="s">
        <v>385</v>
      </c>
      <c r="X6" s="417" t="s">
        <v>375</v>
      </c>
      <c r="Y6" s="564"/>
      <c r="Z6" s="417" t="s">
        <v>383</v>
      </c>
      <c r="AA6" s="417" t="s">
        <v>384</v>
      </c>
      <c r="AB6" s="417" t="s">
        <v>385</v>
      </c>
      <c r="AC6" s="417" t="s">
        <v>375</v>
      </c>
      <c r="AD6" s="564"/>
      <c r="AE6" s="417" t="s">
        <v>383</v>
      </c>
      <c r="AF6" s="417" t="s">
        <v>384</v>
      </c>
      <c r="AG6" s="417" t="s">
        <v>385</v>
      </c>
      <c r="AH6" s="417" t="s">
        <v>375</v>
      </c>
      <c r="AI6" s="564"/>
      <c r="AJ6" s="417" t="s">
        <v>383</v>
      </c>
      <c r="AK6" s="417" t="s">
        <v>384</v>
      </c>
      <c r="AL6" s="417" t="s">
        <v>385</v>
      </c>
      <c r="AM6" s="417" t="s">
        <v>375</v>
      </c>
      <c r="AN6" s="564"/>
      <c r="AO6" s="417" t="s">
        <v>383</v>
      </c>
      <c r="AP6" s="417" t="s">
        <v>384</v>
      </c>
      <c r="AQ6" s="417" t="s">
        <v>385</v>
      </c>
      <c r="AR6" s="417" t="s">
        <v>375</v>
      </c>
      <c r="AS6" s="564"/>
      <c r="AT6" s="417" t="s">
        <v>383</v>
      </c>
      <c r="AU6" s="417" t="s">
        <v>384</v>
      </c>
      <c r="AV6" s="417" t="s">
        <v>385</v>
      </c>
      <c r="AW6" s="417" t="s">
        <v>375</v>
      </c>
      <c r="AX6" s="564"/>
      <c r="AZ6" s="406" t="s">
        <v>375</v>
      </c>
      <c r="BA6" s="564"/>
    </row>
    <row r="7" spans="1:53" ht="14.25">
      <c r="A7" s="81"/>
      <c r="B7" s="564" t="s">
        <v>132</v>
      </c>
      <c r="C7" s="418">
        <v>1</v>
      </c>
      <c r="D7" s="226" t="s">
        <v>351</v>
      </c>
      <c r="E7" s="425">
        <v>18</v>
      </c>
      <c r="F7" s="418">
        <v>1440</v>
      </c>
      <c r="G7" s="419">
        <v>80</v>
      </c>
      <c r="H7" s="627">
        <f>AVERAGE(G7:G21)</f>
        <v>80.208333333333329</v>
      </c>
      <c r="I7" s="422">
        <f t="shared" ref="I7:I20" si="0">IFERROR(AVERAGE(P7,U7,Z7,AE7,AJ7,AO7,AT7),"-")</f>
        <v>18</v>
      </c>
      <c r="J7" s="422">
        <f t="shared" ref="J7:J20" si="1">IFERROR(AVERAGE(Q7,V7,AA7,AF7,AK7,AP7,AU7),"-")</f>
        <v>1334.4739616436698</v>
      </c>
      <c r="K7" s="200">
        <f t="shared" ref="K7:K20" si="2">IFERROR(AVERAGE(R7,W7,AB7,AG7,AL7,AQ7,AV7),"-")</f>
        <v>74.137442313537221</v>
      </c>
      <c r="L7" s="580">
        <f>IFERROR(AVERAGE(K7:K21),"-")</f>
        <v>73.404729698098677</v>
      </c>
      <c r="M7" s="424">
        <f>RANK(K7, K$7:$K$21)</f>
        <v>5</v>
      </c>
      <c r="N7" s="564"/>
      <c r="O7" s="564"/>
      <c r="P7" s="418">
        <v>18</v>
      </c>
      <c r="Q7" s="425">
        <v>1343.6307692307689</v>
      </c>
      <c r="R7" s="425">
        <v>74.646153846153823</v>
      </c>
      <c r="S7" s="418">
        <f t="shared" ref="S7:S21" si="3">RANK(R7, R$7:R$21)</f>
        <v>4</v>
      </c>
      <c r="T7" s="565">
        <f t="shared" ref="T7" si="4">AVERAGE(R7:R21)</f>
        <v>73.635611224418639</v>
      </c>
      <c r="U7" s="418">
        <v>18</v>
      </c>
      <c r="V7" s="425">
        <v>1331.3333333333339</v>
      </c>
      <c r="W7" s="425">
        <v>73.96296296296299</v>
      </c>
      <c r="X7" s="418">
        <f t="shared" ref="X7:X21" si="5">RANK(W7, W$7:W$21)</f>
        <v>4</v>
      </c>
      <c r="Y7" s="565">
        <f t="shared" ref="Y7" si="6">AVERAGE(W7:W21)</f>
        <v>72.783904717189714</v>
      </c>
      <c r="Z7" s="418">
        <v>18</v>
      </c>
      <c r="AA7" s="425">
        <v>1296.1643835616442</v>
      </c>
      <c r="AB7" s="425">
        <v>72.009132420091348</v>
      </c>
      <c r="AC7" s="418">
        <f t="shared" ref="AC7:AC21" si="7">RANK(AB7, AB$7:AB$21)</f>
        <v>5</v>
      </c>
      <c r="AD7" s="565">
        <f t="shared" ref="AD7" si="8">AVERAGE(AB7:AB21)</f>
        <v>72.482568976463043</v>
      </c>
      <c r="AE7" s="418">
        <v>18</v>
      </c>
      <c r="AF7" s="425">
        <v>1348.7323943661975</v>
      </c>
      <c r="AG7" s="425">
        <v>74.92957746478875</v>
      </c>
      <c r="AH7" s="418">
        <f t="shared" ref="AH7:AH21" si="9">RANK(AG7, AG$7:AG$21)</f>
        <v>5</v>
      </c>
      <c r="AI7" s="565">
        <f t="shared" ref="AI7" si="10">AVERAGE(AG7:AG21)</f>
        <v>73.384109416998868</v>
      </c>
      <c r="AJ7" s="418">
        <v>18</v>
      </c>
      <c r="AK7" s="425">
        <v>1335.1724137931033</v>
      </c>
      <c r="AL7" s="425">
        <v>74.176245210727956</v>
      </c>
      <c r="AM7" s="418">
        <f t="shared" ref="AM7:AM21" si="11">RANK(AL7, AL$7:AL$21)</f>
        <v>4</v>
      </c>
      <c r="AN7" s="565">
        <f t="shared" ref="AN7" si="12">AVERAGE(AL7:AL21)</f>
        <v>74.223105914127729</v>
      </c>
      <c r="AO7" s="418">
        <v>18</v>
      </c>
      <c r="AP7" s="425">
        <v>1314.6956521739132</v>
      </c>
      <c r="AQ7" s="425">
        <v>73.038647342995176</v>
      </c>
      <c r="AR7" s="418">
        <f t="shared" ref="AR7:AR21" si="13">RANK(AQ7, AQ$7:AQ$21)</f>
        <v>5</v>
      </c>
      <c r="AS7" s="565">
        <f t="shared" ref="AS7" si="14">AVERAGE(AQ7:AQ21)</f>
        <v>74.176462862110341</v>
      </c>
      <c r="AT7" s="418">
        <v>18</v>
      </c>
      <c r="AU7" s="425">
        <v>1371.5887850467288</v>
      </c>
      <c r="AV7" s="425">
        <v>76.199376947040491</v>
      </c>
      <c r="AW7" s="418">
        <f t="shared" ref="AW7:AW21" si="15">RANK(AV7, AV$7:AV$21)</f>
        <v>4</v>
      </c>
      <c r="AX7" s="565">
        <f t="shared" ref="AX7" si="16">AVERAGE(AV7:AV21)</f>
        <v>73.147344775382393</v>
      </c>
      <c r="AZ7" s="407" t="e">
        <f t="shared" ref="AZ7:AZ21" si="17">RANK(AY7, AY$7:AY$21)</f>
        <v>#N/A</v>
      </c>
      <c r="BA7" s="565" t="e">
        <f t="shared" ref="BA7" si="18">AVERAGE(AY7:AY21)</f>
        <v>#DIV/0!</v>
      </c>
    </row>
    <row r="8" spans="1:53" ht="15" customHeight="1">
      <c r="A8" s="81"/>
      <c r="B8" s="570"/>
      <c r="C8" s="418">
        <v>2</v>
      </c>
      <c r="D8" s="226" t="s">
        <v>352</v>
      </c>
      <c r="E8" s="425">
        <v>18</v>
      </c>
      <c r="F8" s="418">
        <v>1440</v>
      </c>
      <c r="G8" s="419">
        <v>80</v>
      </c>
      <c r="H8" s="628"/>
      <c r="I8" s="422">
        <f t="shared" si="0"/>
        <v>18</v>
      </c>
      <c r="J8" s="422">
        <f t="shared" si="1"/>
        <v>1254.7335044849667</v>
      </c>
      <c r="K8" s="200">
        <f t="shared" si="2"/>
        <v>69.707416915831487</v>
      </c>
      <c r="L8" s="581"/>
      <c r="M8" s="424">
        <f>RANK(K8, K$7:$K$21)</f>
        <v>8</v>
      </c>
      <c r="N8" s="564"/>
      <c r="O8" s="564"/>
      <c r="P8" s="418">
        <v>18</v>
      </c>
      <c r="Q8" s="425">
        <v>1257.1428571428585</v>
      </c>
      <c r="R8" s="425">
        <v>69.84126984126992</v>
      </c>
      <c r="S8" s="418">
        <f t="shared" si="3"/>
        <v>8</v>
      </c>
      <c r="T8" s="565"/>
      <c r="U8" s="418">
        <v>18</v>
      </c>
      <c r="V8" s="425">
        <v>1225.5319148936173</v>
      </c>
      <c r="W8" s="425">
        <v>68.085106382978736</v>
      </c>
      <c r="X8" s="418">
        <f t="shared" si="5"/>
        <v>9</v>
      </c>
      <c r="Y8" s="565"/>
      <c r="Z8" s="418">
        <v>18</v>
      </c>
      <c r="AA8" s="425">
        <v>1252.8000000000045</v>
      </c>
      <c r="AB8" s="425">
        <v>69.60000000000025</v>
      </c>
      <c r="AC8" s="418">
        <f t="shared" si="7"/>
        <v>8</v>
      </c>
      <c r="AD8" s="565"/>
      <c r="AE8" s="418">
        <v>18</v>
      </c>
      <c r="AF8" s="425">
        <v>1243.1249999999982</v>
      </c>
      <c r="AG8" s="425">
        <v>69.062499999999901</v>
      </c>
      <c r="AH8" s="418">
        <f t="shared" si="9"/>
        <v>9</v>
      </c>
      <c r="AI8" s="565"/>
      <c r="AJ8" s="418">
        <v>18</v>
      </c>
      <c r="AK8" s="425">
        <v>1267.0588235294103</v>
      </c>
      <c r="AL8" s="425">
        <v>70.392156862745026</v>
      </c>
      <c r="AM8" s="418">
        <f t="shared" si="11"/>
        <v>8</v>
      </c>
      <c r="AN8" s="565"/>
      <c r="AO8" s="418">
        <v>18</v>
      </c>
      <c r="AP8" s="425">
        <v>1275.2941176470595</v>
      </c>
      <c r="AQ8" s="425">
        <v>70.849673202614412</v>
      </c>
      <c r="AR8" s="418">
        <f t="shared" si="13"/>
        <v>8</v>
      </c>
      <c r="AS8" s="565"/>
      <c r="AT8" s="418">
        <v>18</v>
      </c>
      <c r="AU8" s="425">
        <v>1262.1818181818189</v>
      </c>
      <c r="AV8" s="425">
        <v>70.121212121212167</v>
      </c>
      <c r="AW8" s="418">
        <f t="shared" si="15"/>
        <v>7</v>
      </c>
      <c r="AX8" s="565"/>
      <c r="AZ8" s="407" t="e">
        <f t="shared" si="17"/>
        <v>#N/A</v>
      </c>
      <c r="BA8" s="565"/>
    </row>
    <row r="9" spans="1:53" ht="14.25">
      <c r="A9" s="81"/>
      <c r="B9" s="570"/>
      <c r="C9" s="418">
        <v>3</v>
      </c>
      <c r="D9" s="226" t="s">
        <v>353</v>
      </c>
      <c r="E9" s="425">
        <v>17</v>
      </c>
      <c r="F9" s="418">
        <v>1440</v>
      </c>
      <c r="G9" s="419">
        <v>84.7</v>
      </c>
      <c r="H9" s="628"/>
      <c r="I9" s="422">
        <f t="shared" si="0"/>
        <v>17</v>
      </c>
      <c r="J9" s="422">
        <f t="shared" si="1"/>
        <v>1346.8972995546394</v>
      </c>
      <c r="K9" s="200">
        <f t="shared" si="2"/>
        <v>79.229252914978787</v>
      </c>
      <c r="L9" s="581"/>
      <c r="M9" s="424">
        <f>RANK(K9, K$7:$K$21)</f>
        <v>3</v>
      </c>
      <c r="N9" s="564"/>
      <c r="O9" s="564"/>
      <c r="P9" s="418">
        <v>17</v>
      </c>
      <c r="Q9" s="425">
        <v>1368.4999999999993</v>
      </c>
      <c r="R9" s="425">
        <v>80.499999999999957</v>
      </c>
      <c r="S9" s="418">
        <f t="shared" si="3"/>
        <v>3</v>
      </c>
      <c r="T9" s="565"/>
      <c r="U9" s="418">
        <v>17</v>
      </c>
      <c r="V9" s="425">
        <v>1373.6538461538469</v>
      </c>
      <c r="W9" s="425">
        <v>80.803167420814518</v>
      </c>
      <c r="X9" s="418">
        <f t="shared" si="5"/>
        <v>3</v>
      </c>
      <c r="Y9" s="565"/>
      <c r="Z9" s="418">
        <v>17</v>
      </c>
      <c r="AA9" s="425">
        <v>1305.1764705882351</v>
      </c>
      <c r="AB9" s="425">
        <v>76.775086505190302</v>
      </c>
      <c r="AC9" s="418">
        <f t="shared" si="7"/>
        <v>3</v>
      </c>
      <c r="AD9" s="565"/>
      <c r="AE9" s="418">
        <v>17</v>
      </c>
      <c r="AF9" s="425">
        <v>1351.4285714285709</v>
      </c>
      <c r="AG9" s="425">
        <v>79.495798319327704</v>
      </c>
      <c r="AH9" s="418">
        <f t="shared" si="9"/>
        <v>3</v>
      </c>
      <c r="AI9" s="565"/>
      <c r="AJ9" s="418">
        <v>17</v>
      </c>
      <c r="AK9" s="425">
        <v>1349.677419354839</v>
      </c>
      <c r="AL9" s="425">
        <v>79.392789373814054</v>
      </c>
      <c r="AM9" s="418">
        <f t="shared" si="11"/>
        <v>3</v>
      </c>
      <c r="AN9" s="565"/>
      <c r="AO9" s="418">
        <v>17</v>
      </c>
      <c r="AP9" s="425">
        <v>1335.4545454545455</v>
      </c>
      <c r="AQ9" s="425">
        <v>78.556149732620327</v>
      </c>
      <c r="AR9" s="418">
        <f t="shared" si="13"/>
        <v>3</v>
      </c>
      <c r="AS9" s="565"/>
      <c r="AT9" s="418">
        <v>17</v>
      </c>
      <c r="AU9" s="425">
        <v>1344.3902439024387</v>
      </c>
      <c r="AV9" s="425">
        <v>79.081779053084631</v>
      </c>
      <c r="AW9" s="418">
        <f t="shared" si="15"/>
        <v>3</v>
      </c>
      <c r="AX9" s="565"/>
      <c r="AZ9" s="407" t="e">
        <f t="shared" si="17"/>
        <v>#N/A</v>
      </c>
      <c r="BA9" s="565"/>
    </row>
    <row r="10" spans="1:53" ht="14.25">
      <c r="A10" s="81"/>
      <c r="B10" s="570"/>
      <c r="C10" s="418">
        <v>4</v>
      </c>
      <c r="D10" s="226" t="s">
        <v>354</v>
      </c>
      <c r="E10" s="425">
        <v>17</v>
      </c>
      <c r="F10" s="418">
        <v>1440</v>
      </c>
      <c r="G10" s="419">
        <v>84.7</v>
      </c>
      <c r="H10" s="628"/>
      <c r="I10" s="422">
        <f t="shared" si="0"/>
        <v>17</v>
      </c>
      <c r="J10" s="422">
        <f t="shared" si="1"/>
        <v>1266.6582261638644</v>
      </c>
      <c r="K10" s="200">
        <f t="shared" si="2"/>
        <v>74.50930742140379</v>
      </c>
      <c r="L10" s="581"/>
      <c r="M10" s="424">
        <f>RANK(K10, K$7:$K$21)</f>
        <v>4</v>
      </c>
      <c r="N10" s="564"/>
      <c r="O10" s="564"/>
      <c r="P10" s="418">
        <v>17</v>
      </c>
      <c r="Q10" s="425">
        <v>1250.6666666666667</v>
      </c>
      <c r="R10" s="425">
        <v>73.568627450980401</v>
      </c>
      <c r="S10" s="418">
        <f t="shared" si="3"/>
        <v>5</v>
      </c>
      <c r="T10" s="565"/>
      <c r="U10" s="418">
        <v>17</v>
      </c>
      <c r="V10" s="425">
        <v>1238.9999999999995</v>
      </c>
      <c r="W10" s="425">
        <v>72.88235294117645</v>
      </c>
      <c r="X10" s="418">
        <f t="shared" si="5"/>
        <v>5</v>
      </c>
      <c r="Y10" s="565"/>
      <c r="Z10" s="418">
        <v>17</v>
      </c>
      <c r="AA10" s="425">
        <v>1286.2499999999982</v>
      </c>
      <c r="AB10" s="425">
        <v>75.661764705882248</v>
      </c>
      <c r="AC10" s="418">
        <f t="shared" si="7"/>
        <v>4</v>
      </c>
      <c r="AD10" s="565"/>
      <c r="AE10" s="418">
        <v>17</v>
      </c>
      <c r="AF10" s="425">
        <v>1298.5714285714257</v>
      </c>
      <c r="AG10" s="425">
        <v>76.386554621848575</v>
      </c>
      <c r="AH10" s="418">
        <f t="shared" si="9"/>
        <v>4</v>
      </c>
      <c r="AI10" s="565"/>
      <c r="AJ10" s="418">
        <v>17</v>
      </c>
      <c r="AK10" s="425">
        <v>1240.5405405405395</v>
      </c>
      <c r="AL10" s="425">
        <v>72.972972972972912</v>
      </c>
      <c r="AM10" s="418">
        <f t="shared" si="11"/>
        <v>5</v>
      </c>
      <c r="AN10" s="565"/>
      <c r="AO10" s="418">
        <v>17</v>
      </c>
      <c r="AP10" s="425">
        <v>1291.5789473684201</v>
      </c>
      <c r="AQ10" s="425">
        <v>75.975232198142365</v>
      </c>
      <c r="AR10" s="418">
        <f t="shared" si="13"/>
        <v>4</v>
      </c>
      <c r="AS10" s="565"/>
      <c r="AT10" s="418">
        <v>17</v>
      </c>
      <c r="AU10" s="425">
        <v>1260</v>
      </c>
      <c r="AV10" s="425">
        <v>74.117647058823536</v>
      </c>
      <c r="AW10" s="418">
        <f t="shared" si="15"/>
        <v>5</v>
      </c>
      <c r="AX10" s="565"/>
      <c r="AZ10" s="407" t="e">
        <f t="shared" si="17"/>
        <v>#N/A</v>
      </c>
      <c r="BA10" s="565"/>
    </row>
    <row r="11" spans="1:53" ht="14.25">
      <c r="A11" s="81"/>
      <c r="B11" s="570"/>
      <c r="C11" s="418">
        <v>5</v>
      </c>
      <c r="D11" s="226" t="s">
        <v>355</v>
      </c>
      <c r="E11" s="425">
        <v>21</v>
      </c>
      <c r="F11" s="418">
        <v>1385</v>
      </c>
      <c r="G11" s="419">
        <v>65.900000000000006</v>
      </c>
      <c r="H11" s="628"/>
      <c r="I11" s="422">
        <f t="shared" si="0"/>
        <v>21</v>
      </c>
      <c r="J11" s="422">
        <f t="shared" si="1"/>
        <v>1302.139277288826</v>
      </c>
      <c r="K11" s="200">
        <f t="shared" si="2"/>
        <v>62.006632251848828</v>
      </c>
      <c r="L11" s="581"/>
      <c r="M11" s="424">
        <f>RANK(K11, K$7:$K$21)</f>
        <v>12</v>
      </c>
      <c r="N11" s="564"/>
      <c r="O11" s="564"/>
      <c r="P11" s="418">
        <v>21</v>
      </c>
      <c r="Q11" s="425">
        <v>1303.2203389830502</v>
      </c>
      <c r="R11" s="425">
        <v>62.058111380145249</v>
      </c>
      <c r="S11" s="418">
        <f t="shared" si="3"/>
        <v>12</v>
      </c>
      <c r="T11" s="565"/>
      <c r="U11" s="418">
        <v>21</v>
      </c>
      <c r="V11" s="425">
        <v>1284.3243243243251</v>
      </c>
      <c r="W11" s="425">
        <v>61.158301158301192</v>
      </c>
      <c r="X11" s="418">
        <f t="shared" si="5"/>
        <v>12</v>
      </c>
      <c r="Y11" s="565"/>
      <c r="Z11" s="418">
        <v>21</v>
      </c>
      <c r="AA11" s="425">
        <v>1315.862068965517</v>
      </c>
      <c r="AB11" s="425">
        <v>62.660098522167473</v>
      </c>
      <c r="AC11" s="418">
        <f t="shared" si="7"/>
        <v>11</v>
      </c>
      <c r="AD11" s="565"/>
      <c r="AE11" s="418">
        <v>21</v>
      </c>
      <c r="AF11" s="425">
        <v>1297.1052631578939</v>
      </c>
      <c r="AG11" s="425">
        <v>61.766917293233043</v>
      </c>
      <c r="AH11" s="418">
        <f t="shared" si="9"/>
        <v>12</v>
      </c>
      <c r="AI11" s="565"/>
      <c r="AJ11" s="418">
        <v>21</v>
      </c>
      <c r="AK11" s="425">
        <v>1293.7499999999995</v>
      </c>
      <c r="AL11" s="425">
        <v>61.607142857142833</v>
      </c>
      <c r="AM11" s="418">
        <f t="shared" si="11"/>
        <v>12</v>
      </c>
      <c r="AN11" s="565"/>
      <c r="AO11" s="418">
        <v>21</v>
      </c>
      <c r="AP11" s="425">
        <v>1316.0975609756092</v>
      </c>
      <c r="AQ11" s="425">
        <v>62.671312427409966</v>
      </c>
      <c r="AR11" s="418">
        <f t="shared" si="13"/>
        <v>12</v>
      </c>
      <c r="AS11" s="565"/>
      <c r="AT11" s="418">
        <v>21</v>
      </c>
      <c r="AU11" s="425">
        <v>1304.6153846153841</v>
      </c>
      <c r="AV11" s="425">
        <v>62.124542124542096</v>
      </c>
      <c r="AW11" s="418">
        <f t="shared" si="15"/>
        <v>12</v>
      </c>
      <c r="AX11" s="565"/>
      <c r="AZ11" s="407" t="e">
        <f t="shared" si="17"/>
        <v>#N/A</v>
      </c>
      <c r="BA11" s="565"/>
    </row>
    <row r="12" spans="1:53" ht="14.25">
      <c r="A12" s="81"/>
      <c r="B12" s="570"/>
      <c r="C12" s="418">
        <v>6</v>
      </c>
      <c r="D12" s="226" t="s">
        <v>356</v>
      </c>
      <c r="E12" s="425">
        <v>19</v>
      </c>
      <c r="F12" s="418">
        <v>1440</v>
      </c>
      <c r="G12" s="419">
        <v>75.8</v>
      </c>
      <c r="H12" s="628"/>
      <c r="I12" s="422">
        <f t="shared" si="0"/>
        <v>19</v>
      </c>
      <c r="J12" s="422">
        <f t="shared" si="1"/>
        <v>1348.9671568674091</v>
      </c>
      <c r="K12" s="200">
        <f t="shared" si="2"/>
        <v>70.998271414074154</v>
      </c>
      <c r="L12" s="581"/>
      <c r="M12" s="424">
        <f>RANK(K12, K$7:$K$21)</f>
        <v>6</v>
      </c>
      <c r="N12" s="564"/>
      <c r="O12" s="564"/>
      <c r="P12" s="418">
        <v>19</v>
      </c>
      <c r="Q12" s="425">
        <v>1344.9438202247193</v>
      </c>
      <c r="R12" s="425">
        <v>70.786516853932596</v>
      </c>
      <c r="S12" s="418">
        <f t="shared" si="3"/>
        <v>6</v>
      </c>
      <c r="T12" s="565"/>
      <c r="U12" s="418">
        <v>19</v>
      </c>
      <c r="V12" s="425">
        <v>1360.4819277108429</v>
      </c>
      <c r="W12" s="425">
        <v>71.604311984781205</v>
      </c>
      <c r="X12" s="418">
        <f t="shared" si="5"/>
        <v>6</v>
      </c>
      <c r="Y12" s="565"/>
      <c r="Z12" s="418">
        <v>19</v>
      </c>
      <c r="AA12" s="425">
        <v>1365.4545454545469</v>
      </c>
      <c r="AB12" s="425">
        <v>71.866028708134039</v>
      </c>
      <c r="AC12" s="418">
        <f t="shared" si="7"/>
        <v>6</v>
      </c>
      <c r="AD12" s="565"/>
      <c r="AE12" s="418">
        <v>19</v>
      </c>
      <c r="AF12" s="425">
        <v>1347.4576271186452</v>
      </c>
      <c r="AG12" s="425">
        <v>70.918822479928693</v>
      </c>
      <c r="AH12" s="418">
        <f t="shared" si="9"/>
        <v>7</v>
      </c>
      <c r="AI12" s="565"/>
      <c r="AJ12" s="418">
        <v>19</v>
      </c>
      <c r="AK12" s="425">
        <v>1335.4838709677433</v>
      </c>
      <c r="AL12" s="425">
        <v>70.288624787775959</v>
      </c>
      <c r="AM12" s="418">
        <f t="shared" si="11"/>
        <v>9</v>
      </c>
      <c r="AN12" s="565"/>
      <c r="AO12" s="418">
        <v>19</v>
      </c>
      <c r="AP12" s="425">
        <v>1344.2424242424247</v>
      </c>
      <c r="AQ12" s="425">
        <v>70.749601275917087</v>
      </c>
      <c r="AR12" s="418">
        <f t="shared" si="13"/>
        <v>9</v>
      </c>
      <c r="AS12" s="565"/>
      <c r="AT12" s="418">
        <v>19</v>
      </c>
      <c r="AU12" s="425">
        <v>1344.705882352941</v>
      </c>
      <c r="AV12" s="425">
        <v>70.773993808049525</v>
      </c>
      <c r="AW12" s="418">
        <f t="shared" si="15"/>
        <v>6</v>
      </c>
      <c r="AX12" s="565"/>
      <c r="AZ12" s="407" t="e">
        <f t="shared" si="17"/>
        <v>#N/A</v>
      </c>
      <c r="BA12" s="565"/>
    </row>
    <row r="13" spans="1:53" ht="14.25">
      <c r="A13" s="81"/>
      <c r="B13" s="570"/>
      <c r="C13" s="418">
        <v>7</v>
      </c>
      <c r="D13" s="226" t="s">
        <v>506</v>
      </c>
      <c r="E13" s="425">
        <v>18</v>
      </c>
      <c r="F13" s="418">
        <v>1385</v>
      </c>
      <c r="G13" s="419">
        <v>76.900000000000006</v>
      </c>
      <c r="H13" s="628"/>
      <c r="I13" s="422">
        <f t="shared" si="0"/>
        <v>18</v>
      </c>
      <c r="J13" s="422">
        <f t="shared" si="1"/>
        <v>1266.2144432387017</v>
      </c>
      <c r="K13" s="200">
        <f t="shared" si="2"/>
        <v>70.345246846594549</v>
      </c>
      <c r="L13" s="581"/>
      <c r="M13" s="424">
        <f>RANK(K13, K$7:$K$21)</f>
        <v>7</v>
      </c>
      <c r="N13" s="564"/>
      <c r="O13" s="564"/>
      <c r="P13" s="418">
        <v>18</v>
      </c>
      <c r="Q13" s="425">
        <v>1229.9999999999995</v>
      </c>
      <c r="R13" s="425">
        <v>68.333333333333314</v>
      </c>
      <c r="S13" s="418">
        <f t="shared" si="3"/>
        <v>10</v>
      </c>
      <c r="T13" s="565"/>
      <c r="U13" s="418">
        <v>18</v>
      </c>
      <c r="V13" s="425">
        <v>1233.4285714285702</v>
      </c>
      <c r="W13" s="425">
        <v>68.523809523809462</v>
      </c>
      <c r="X13" s="418">
        <f t="shared" si="5"/>
        <v>8</v>
      </c>
      <c r="Y13" s="565"/>
      <c r="Z13" s="418">
        <v>18</v>
      </c>
      <c r="AA13" s="425">
        <v>1292.7272727272737</v>
      </c>
      <c r="AB13" s="425">
        <v>71.81818181818187</v>
      </c>
      <c r="AC13" s="418">
        <f t="shared" si="7"/>
        <v>7</v>
      </c>
      <c r="AD13" s="565"/>
      <c r="AE13" s="418">
        <v>18</v>
      </c>
      <c r="AF13" s="425">
        <v>1290.5660377358497</v>
      </c>
      <c r="AG13" s="425">
        <v>71.698113207547209</v>
      </c>
      <c r="AH13" s="418">
        <f t="shared" si="9"/>
        <v>6</v>
      </c>
      <c r="AI13" s="565"/>
      <c r="AJ13" s="418">
        <v>18</v>
      </c>
      <c r="AK13" s="425">
        <v>1312.3636363636372</v>
      </c>
      <c r="AL13" s="425">
        <v>72.909090909090949</v>
      </c>
      <c r="AM13" s="418">
        <f t="shared" si="11"/>
        <v>6</v>
      </c>
      <c r="AN13" s="565"/>
      <c r="AO13" s="418">
        <v>18</v>
      </c>
      <c r="AP13" s="425">
        <v>1300.5194805194799</v>
      </c>
      <c r="AQ13" s="425">
        <v>72.251082251082209</v>
      </c>
      <c r="AR13" s="418">
        <f t="shared" si="13"/>
        <v>6</v>
      </c>
      <c r="AS13" s="565"/>
      <c r="AT13" s="418">
        <v>18</v>
      </c>
      <c r="AU13" s="425">
        <v>1203.8961038961031</v>
      </c>
      <c r="AV13" s="425">
        <v>66.883116883116841</v>
      </c>
      <c r="AW13" s="418">
        <f t="shared" si="15"/>
        <v>10</v>
      </c>
      <c r="AX13" s="565"/>
      <c r="AZ13" s="407" t="e">
        <f t="shared" si="17"/>
        <v>#N/A</v>
      </c>
      <c r="BA13" s="565"/>
    </row>
    <row r="14" spans="1:53" ht="14.25">
      <c r="A14" s="81"/>
      <c r="B14" s="570"/>
      <c r="C14" s="418">
        <v>8</v>
      </c>
      <c r="D14" s="226" t="s">
        <v>509</v>
      </c>
      <c r="E14" s="425">
        <v>18</v>
      </c>
      <c r="F14" s="418">
        <v>1385</v>
      </c>
      <c r="G14" s="419">
        <v>76.900000000000006</v>
      </c>
      <c r="H14" s="628"/>
      <c r="I14" s="422">
        <f t="shared" si="0"/>
        <v>18</v>
      </c>
      <c r="J14" s="422">
        <f t="shared" si="1"/>
        <v>1218.611889576126</v>
      </c>
      <c r="K14" s="200">
        <f t="shared" si="2"/>
        <v>67.700660532007007</v>
      </c>
      <c r="L14" s="581"/>
      <c r="M14" s="424">
        <f>RANK(K14, K$7:$K$21)</f>
        <v>11</v>
      </c>
      <c r="N14" s="564"/>
      <c r="O14" s="564"/>
      <c r="P14" s="418">
        <v>18</v>
      </c>
      <c r="Q14" s="425">
        <v>1187.0588235294122</v>
      </c>
      <c r="R14" s="425">
        <v>65.947712418300682</v>
      </c>
      <c r="S14" s="418">
        <f t="shared" si="3"/>
        <v>11</v>
      </c>
      <c r="T14" s="565"/>
      <c r="U14" s="418">
        <v>18</v>
      </c>
      <c r="V14" s="425">
        <v>1169.3023255813951</v>
      </c>
      <c r="W14" s="425">
        <v>64.9612403100775</v>
      </c>
      <c r="X14" s="418">
        <f t="shared" si="5"/>
        <v>11</v>
      </c>
      <c r="Y14" s="565"/>
      <c r="Z14" s="418">
        <v>18</v>
      </c>
      <c r="AA14" s="425">
        <v>1243.6363636363621</v>
      </c>
      <c r="AB14" s="425">
        <v>69.090909090909008</v>
      </c>
      <c r="AC14" s="418">
        <f t="shared" si="7"/>
        <v>9</v>
      </c>
      <c r="AD14" s="565"/>
      <c r="AE14" s="418">
        <v>18</v>
      </c>
      <c r="AF14" s="425">
        <v>1234.2857142857131</v>
      </c>
      <c r="AG14" s="425">
        <v>68.571428571428498</v>
      </c>
      <c r="AH14" s="418">
        <f t="shared" si="9"/>
        <v>10</v>
      </c>
      <c r="AI14" s="565"/>
      <c r="AJ14" s="418">
        <v>18</v>
      </c>
      <c r="AK14" s="425">
        <v>1228.4999999999995</v>
      </c>
      <c r="AL14" s="425">
        <v>68.249999999999972</v>
      </c>
      <c r="AM14" s="418">
        <f t="shared" si="11"/>
        <v>11</v>
      </c>
      <c r="AN14" s="565"/>
      <c r="AO14" s="418">
        <v>18</v>
      </c>
      <c r="AP14" s="425">
        <v>1226.2500000000005</v>
      </c>
      <c r="AQ14" s="425">
        <v>68.125000000000028</v>
      </c>
      <c r="AR14" s="418">
        <f t="shared" si="13"/>
        <v>11</v>
      </c>
      <c r="AS14" s="565"/>
      <c r="AT14" s="418">
        <v>18</v>
      </c>
      <c r="AU14" s="425">
        <v>1241.2500000000005</v>
      </c>
      <c r="AV14" s="425">
        <v>68.958333333333357</v>
      </c>
      <c r="AW14" s="418">
        <f t="shared" si="15"/>
        <v>9</v>
      </c>
      <c r="AX14" s="565"/>
      <c r="AZ14" s="407" t="e">
        <f t="shared" si="17"/>
        <v>#N/A</v>
      </c>
      <c r="BA14" s="565"/>
    </row>
    <row r="15" spans="1:53" ht="14.25">
      <c r="A15" s="81"/>
      <c r="B15" s="570"/>
      <c r="C15" s="418">
        <v>9</v>
      </c>
      <c r="D15" s="226" t="s">
        <v>531</v>
      </c>
      <c r="E15" s="425">
        <v>16</v>
      </c>
      <c r="F15" s="418">
        <v>1440</v>
      </c>
      <c r="G15" s="419">
        <v>90</v>
      </c>
      <c r="H15" s="628"/>
      <c r="I15" s="422">
        <f t="shared" si="0"/>
        <v>16</v>
      </c>
      <c r="J15" s="422">
        <f t="shared" si="1"/>
        <v>1343.9603738566877</v>
      </c>
      <c r="K15" s="200">
        <f t="shared" si="2"/>
        <v>83.997523366042984</v>
      </c>
      <c r="L15" s="581"/>
      <c r="M15" s="424">
        <f>RANK(K15, K$7:$K$21)</f>
        <v>2</v>
      </c>
      <c r="N15" s="564"/>
      <c r="O15" s="564"/>
      <c r="P15" s="418">
        <v>16</v>
      </c>
      <c r="Q15" s="425">
        <v>1344.4067796610163</v>
      </c>
      <c r="R15" s="425">
        <v>84.025423728813522</v>
      </c>
      <c r="S15" s="418">
        <f t="shared" si="3"/>
        <v>2</v>
      </c>
      <c r="T15" s="565"/>
      <c r="U15" s="418">
        <v>16</v>
      </c>
      <c r="V15" s="425">
        <v>1367.2566371681426</v>
      </c>
      <c r="W15" s="425">
        <v>85.45353982300891</v>
      </c>
      <c r="X15" s="418">
        <f t="shared" si="5"/>
        <v>2</v>
      </c>
      <c r="Y15" s="565"/>
      <c r="Z15" s="418">
        <v>16</v>
      </c>
      <c r="AA15" s="425">
        <v>1325.0322580645159</v>
      </c>
      <c r="AB15" s="425">
        <v>82.814516129032242</v>
      </c>
      <c r="AC15" s="418">
        <f t="shared" si="7"/>
        <v>2</v>
      </c>
      <c r="AD15" s="565"/>
      <c r="AE15" s="418">
        <v>16</v>
      </c>
      <c r="AF15" s="425">
        <v>1348.4210526315799</v>
      </c>
      <c r="AG15" s="425">
        <v>84.276315789473742</v>
      </c>
      <c r="AH15" s="418">
        <f t="shared" si="9"/>
        <v>2</v>
      </c>
      <c r="AI15" s="565"/>
      <c r="AJ15" s="418">
        <v>16</v>
      </c>
      <c r="AK15" s="425">
        <v>1353.9999999999986</v>
      </c>
      <c r="AL15" s="425">
        <v>84.624999999999915</v>
      </c>
      <c r="AM15" s="418">
        <f t="shared" si="11"/>
        <v>2</v>
      </c>
      <c r="AN15" s="565"/>
      <c r="AO15" s="418">
        <v>16</v>
      </c>
      <c r="AP15" s="425">
        <v>1336.1194029850747</v>
      </c>
      <c r="AQ15" s="425">
        <v>83.507462686567166</v>
      </c>
      <c r="AR15" s="418">
        <f t="shared" si="13"/>
        <v>2</v>
      </c>
      <c r="AS15" s="565"/>
      <c r="AT15" s="418">
        <v>16</v>
      </c>
      <c r="AU15" s="425">
        <v>1332.4864864864853</v>
      </c>
      <c r="AV15" s="425">
        <v>83.280405405405332</v>
      </c>
      <c r="AW15" s="418">
        <f t="shared" si="15"/>
        <v>2</v>
      </c>
      <c r="AX15" s="565"/>
      <c r="AZ15" s="407" t="e">
        <f t="shared" si="17"/>
        <v>#N/A</v>
      </c>
      <c r="BA15" s="565"/>
    </row>
    <row r="16" spans="1:53" ht="14.25">
      <c r="A16" s="81"/>
      <c r="B16" s="570"/>
      <c r="C16" s="418">
        <v>10</v>
      </c>
      <c r="D16" s="226" t="s">
        <v>598</v>
      </c>
      <c r="E16" s="425">
        <v>19</v>
      </c>
      <c r="F16" s="418">
        <v>1440</v>
      </c>
      <c r="G16" s="419">
        <v>75.8</v>
      </c>
      <c r="H16" s="628"/>
      <c r="I16" s="422">
        <f t="shared" si="0"/>
        <v>19</v>
      </c>
      <c r="J16" s="422">
        <f t="shared" si="1"/>
        <v>1312.3944681127737</v>
      </c>
      <c r="K16" s="200">
        <f t="shared" si="2"/>
        <v>69.073393058567049</v>
      </c>
      <c r="L16" s="581"/>
      <c r="M16" s="424">
        <f>RANK(K16, K$7:$K$21)</f>
        <v>9</v>
      </c>
      <c r="N16" s="564"/>
      <c r="O16" s="564"/>
      <c r="P16" s="418">
        <v>19</v>
      </c>
      <c r="Q16" s="425">
        <v>1301.4545454545457</v>
      </c>
      <c r="R16" s="425">
        <v>68.497607655502406</v>
      </c>
      <c r="S16" s="418">
        <f t="shared" si="3"/>
        <v>9</v>
      </c>
      <c r="T16" s="565"/>
      <c r="U16" s="418">
        <v>19</v>
      </c>
      <c r="V16" s="425">
        <v>1323.0215827338129</v>
      </c>
      <c r="W16" s="425">
        <v>69.632714880726994</v>
      </c>
      <c r="X16" s="418">
        <f t="shared" si="5"/>
        <v>7</v>
      </c>
      <c r="Y16" s="565"/>
      <c r="Z16" s="418">
        <v>19</v>
      </c>
      <c r="AA16" s="425">
        <v>1299.2810126582278</v>
      </c>
      <c r="AB16" s="425">
        <v>68.383211192538312</v>
      </c>
      <c r="AC16" s="418">
        <f t="shared" si="7"/>
        <v>10</v>
      </c>
      <c r="AD16" s="565"/>
      <c r="AE16" s="418">
        <v>19</v>
      </c>
      <c r="AF16" s="425">
        <v>1321.9249999999995</v>
      </c>
      <c r="AG16" s="425">
        <v>69.574999999999974</v>
      </c>
      <c r="AH16" s="418">
        <f t="shared" si="9"/>
        <v>8</v>
      </c>
      <c r="AI16" s="565"/>
      <c r="AJ16" s="418">
        <v>19</v>
      </c>
      <c r="AK16" s="425">
        <v>1326.1787234042556</v>
      </c>
      <c r="AL16" s="425">
        <v>69.798880179171348</v>
      </c>
      <c r="AM16" s="418">
        <f t="shared" si="11"/>
        <v>10</v>
      </c>
      <c r="AN16" s="565"/>
      <c r="AO16" s="418">
        <v>19</v>
      </c>
      <c r="AP16" s="425">
        <v>1300.396595744681</v>
      </c>
      <c r="AQ16" s="425">
        <v>68.441926091825323</v>
      </c>
      <c r="AR16" s="418">
        <f t="shared" si="13"/>
        <v>10</v>
      </c>
      <c r="AS16" s="565"/>
      <c r="AT16" s="418">
        <v>19</v>
      </c>
      <c r="AU16" s="425">
        <v>1314.5038167938931</v>
      </c>
      <c r="AV16" s="425">
        <v>69.184411410204902</v>
      </c>
      <c r="AW16" s="418">
        <f t="shared" si="15"/>
        <v>8</v>
      </c>
      <c r="AX16" s="565"/>
      <c r="AZ16" s="407" t="e">
        <f t="shared" si="17"/>
        <v>#N/A</v>
      </c>
      <c r="BA16" s="565"/>
    </row>
    <row r="17" spans="2:53">
      <c r="B17" s="570"/>
      <c r="C17" s="418">
        <v>11</v>
      </c>
      <c r="D17" s="226" t="s">
        <v>636</v>
      </c>
      <c r="E17" s="425">
        <v>19</v>
      </c>
      <c r="F17" s="418">
        <v>1440</v>
      </c>
      <c r="G17" s="419">
        <v>75.8</v>
      </c>
      <c r="H17" s="628"/>
      <c r="I17" s="422">
        <f t="shared" si="0"/>
        <v>18.142857142857142</v>
      </c>
      <c r="J17" s="422">
        <f t="shared" si="1"/>
        <v>1228.2492840777236</v>
      </c>
      <c r="K17" s="200">
        <f t="shared" si="2"/>
        <v>67.706807000337449</v>
      </c>
      <c r="L17" s="581"/>
      <c r="M17" s="424">
        <f>RANK(K17, K$7:$K$21)</f>
        <v>10</v>
      </c>
      <c r="N17" s="564"/>
      <c r="O17" s="564"/>
      <c r="P17" s="418">
        <v>18</v>
      </c>
      <c r="Q17" s="425">
        <v>1264.7368421052622</v>
      </c>
      <c r="R17" s="425">
        <v>70.263157894736793</v>
      </c>
      <c r="S17" s="418">
        <f t="shared" si="3"/>
        <v>7</v>
      </c>
      <c r="T17" s="565"/>
      <c r="U17" s="418">
        <v>18</v>
      </c>
      <c r="V17" s="425">
        <v>1217.3684210526305</v>
      </c>
      <c r="W17" s="425">
        <v>67.631578947368368</v>
      </c>
      <c r="X17" s="418">
        <f t="shared" si="5"/>
        <v>10</v>
      </c>
      <c r="Y17" s="565"/>
      <c r="Z17" s="418">
        <v>18</v>
      </c>
      <c r="AA17" s="425">
        <v>1104.3749999999984</v>
      </c>
      <c r="AB17" s="425">
        <v>61.354166666666579</v>
      </c>
      <c r="AC17" s="418">
        <f t="shared" si="7"/>
        <v>12</v>
      </c>
      <c r="AD17" s="565"/>
      <c r="AE17" s="418">
        <v>18</v>
      </c>
      <c r="AF17" s="425">
        <v>1174.6153846153888</v>
      </c>
      <c r="AG17" s="425">
        <v>65.25641025641049</v>
      </c>
      <c r="AH17" s="418">
        <f t="shared" si="9"/>
        <v>11</v>
      </c>
      <c r="AI17" s="565"/>
      <c r="AJ17" s="418">
        <v>18</v>
      </c>
      <c r="AK17" s="425">
        <v>1288.9655172413768</v>
      </c>
      <c r="AL17" s="425">
        <v>71.60919540229871</v>
      </c>
      <c r="AM17" s="418">
        <f t="shared" si="11"/>
        <v>7</v>
      </c>
      <c r="AN17" s="565"/>
      <c r="AO17" s="418">
        <v>18</v>
      </c>
      <c r="AP17" s="425">
        <v>1280.6249999999982</v>
      </c>
      <c r="AQ17" s="425">
        <v>71.145833333333229</v>
      </c>
      <c r="AR17" s="418">
        <f t="shared" si="13"/>
        <v>7</v>
      </c>
      <c r="AS17" s="565"/>
      <c r="AT17" s="418">
        <v>19</v>
      </c>
      <c r="AU17" s="425">
        <v>1267.0588235294103</v>
      </c>
      <c r="AV17" s="425">
        <v>66.687306501547909</v>
      </c>
      <c r="AW17" s="418">
        <f t="shared" si="15"/>
        <v>11</v>
      </c>
      <c r="AX17" s="565"/>
      <c r="AZ17" s="407" t="e">
        <f t="shared" si="17"/>
        <v>#N/A</v>
      </c>
      <c r="BA17" s="565"/>
    </row>
    <row r="18" spans="2:53">
      <c r="B18" s="570"/>
      <c r="C18" s="418">
        <v>12</v>
      </c>
      <c r="D18" s="226" t="s">
        <v>643</v>
      </c>
      <c r="E18" s="425">
        <v>15</v>
      </c>
      <c r="F18" s="418">
        <v>1440</v>
      </c>
      <c r="G18" s="419">
        <v>96</v>
      </c>
      <c r="H18" s="628"/>
      <c r="I18" s="422">
        <f t="shared" si="0"/>
        <v>15.571428571428571</v>
      </c>
      <c r="J18" s="422">
        <f t="shared" si="1"/>
        <v>1422.4568051133078</v>
      </c>
      <c r="K18" s="200">
        <f t="shared" si="2"/>
        <v>91.44480234196088</v>
      </c>
      <c r="L18" s="581"/>
      <c r="M18" s="424">
        <f>RANK(K18, K$7:$K$21)</f>
        <v>1</v>
      </c>
      <c r="N18" s="564"/>
      <c r="O18" s="564"/>
      <c r="P18" s="418">
        <v>15</v>
      </c>
      <c r="Q18" s="425">
        <v>1427.3913043478262</v>
      </c>
      <c r="R18" s="425">
        <v>95.159420289855078</v>
      </c>
      <c r="S18" s="418">
        <f t="shared" si="3"/>
        <v>1</v>
      </c>
      <c r="T18" s="565"/>
      <c r="U18" s="418">
        <v>16</v>
      </c>
      <c r="V18" s="425">
        <v>1419.3243243243248</v>
      </c>
      <c r="W18" s="425">
        <v>88.707770270270302</v>
      </c>
      <c r="X18" s="418">
        <f t="shared" si="5"/>
        <v>1</v>
      </c>
      <c r="Y18" s="565"/>
      <c r="Z18" s="418">
        <v>16</v>
      </c>
      <c r="AA18" s="425">
        <v>1404.1237113402065</v>
      </c>
      <c r="AB18" s="425">
        <v>87.757731958762903</v>
      </c>
      <c r="AC18" s="418">
        <f t="shared" si="7"/>
        <v>1</v>
      </c>
      <c r="AD18" s="565"/>
      <c r="AE18" s="418">
        <v>16</v>
      </c>
      <c r="AF18" s="425">
        <v>1418.7500000000005</v>
      </c>
      <c r="AG18" s="425">
        <v>88.671875000000028</v>
      </c>
      <c r="AH18" s="418">
        <f t="shared" si="9"/>
        <v>1</v>
      </c>
      <c r="AI18" s="565"/>
      <c r="AJ18" s="418">
        <v>15</v>
      </c>
      <c r="AK18" s="425">
        <v>1419.8275862068967</v>
      </c>
      <c r="AL18" s="425">
        <v>94.65517241379311</v>
      </c>
      <c r="AM18" s="418">
        <f t="shared" si="11"/>
        <v>1</v>
      </c>
      <c r="AN18" s="565"/>
      <c r="AO18" s="418">
        <v>15</v>
      </c>
      <c r="AP18" s="425">
        <v>1422.0845070422531</v>
      </c>
      <c r="AQ18" s="425">
        <v>94.805633802816871</v>
      </c>
      <c r="AR18" s="418">
        <f t="shared" si="13"/>
        <v>1</v>
      </c>
      <c r="AS18" s="565"/>
      <c r="AT18" s="418">
        <v>16</v>
      </c>
      <c r="AU18" s="425">
        <v>1445.6962025316457</v>
      </c>
      <c r="AV18" s="425">
        <v>90.356012658227854</v>
      </c>
      <c r="AW18" s="418">
        <f t="shared" si="15"/>
        <v>1</v>
      </c>
      <c r="AX18" s="565"/>
      <c r="AZ18" s="407" t="e">
        <f t="shared" si="17"/>
        <v>#N/A</v>
      </c>
      <c r="BA18" s="565"/>
    </row>
    <row r="19" spans="2:53">
      <c r="B19" s="570"/>
      <c r="C19" s="418">
        <v>13</v>
      </c>
      <c r="D19" s="226"/>
      <c r="E19" s="425"/>
      <c r="F19" s="418"/>
      <c r="G19" s="419"/>
      <c r="H19" s="628"/>
      <c r="I19" s="422" t="str">
        <f t="shared" si="0"/>
        <v>-</v>
      </c>
      <c r="J19" s="422" t="str">
        <f t="shared" si="1"/>
        <v>-</v>
      </c>
      <c r="K19" s="200" t="str">
        <f t="shared" si="2"/>
        <v>-</v>
      </c>
      <c r="L19" s="581"/>
      <c r="M19" s="424" t="e">
        <f>RANK(K19, K$7:$K$21)</f>
        <v>#VALUE!</v>
      </c>
      <c r="N19" s="564"/>
      <c r="O19" s="564"/>
      <c r="P19" s="418" t="s">
        <v>639</v>
      </c>
      <c r="Q19" s="425" t="s">
        <v>639</v>
      </c>
      <c r="R19" s="425" t="s">
        <v>639</v>
      </c>
      <c r="S19" s="418" t="e">
        <f t="shared" si="3"/>
        <v>#VALUE!</v>
      </c>
      <c r="T19" s="565"/>
      <c r="U19" s="418" t="s">
        <v>639</v>
      </c>
      <c r="V19" s="425" t="s">
        <v>639</v>
      </c>
      <c r="W19" s="425" t="s">
        <v>639</v>
      </c>
      <c r="X19" s="418" t="e">
        <f t="shared" si="5"/>
        <v>#VALUE!</v>
      </c>
      <c r="Y19" s="565"/>
      <c r="Z19" s="418" t="s">
        <v>639</v>
      </c>
      <c r="AA19" s="425" t="s">
        <v>639</v>
      </c>
      <c r="AB19" s="425" t="s">
        <v>639</v>
      </c>
      <c r="AC19" s="418" t="e">
        <f t="shared" si="7"/>
        <v>#VALUE!</v>
      </c>
      <c r="AD19" s="565"/>
      <c r="AE19" s="418" t="s">
        <v>639</v>
      </c>
      <c r="AF19" s="425" t="s">
        <v>639</v>
      </c>
      <c r="AG19" s="425" t="s">
        <v>639</v>
      </c>
      <c r="AH19" s="418" t="e">
        <f t="shared" si="9"/>
        <v>#VALUE!</v>
      </c>
      <c r="AI19" s="565"/>
      <c r="AJ19" s="418" t="s">
        <v>639</v>
      </c>
      <c r="AK19" s="425" t="s">
        <v>639</v>
      </c>
      <c r="AL19" s="425" t="s">
        <v>639</v>
      </c>
      <c r="AM19" s="418" t="e">
        <f t="shared" si="11"/>
        <v>#VALUE!</v>
      </c>
      <c r="AN19" s="565"/>
      <c r="AO19" s="418" t="s">
        <v>639</v>
      </c>
      <c r="AP19" s="425" t="s">
        <v>639</v>
      </c>
      <c r="AQ19" s="425" t="s">
        <v>639</v>
      </c>
      <c r="AR19" s="418" t="e">
        <f t="shared" si="13"/>
        <v>#VALUE!</v>
      </c>
      <c r="AS19" s="565"/>
      <c r="AT19" s="418" t="s">
        <v>639</v>
      </c>
      <c r="AU19" s="425" t="s">
        <v>639</v>
      </c>
      <c r="AV19" s="425" t="s">
        <v>639</v>
      </c>
      <c r="AW19" s="418" t="e">
        <f t="shared" si="15"/>
        <v>#VALUE!</v>
      </c>
      <c r="AX19" s="565"/>
      <c r="AZ19" s="407" t="e">
        <f t="shared" si="17"/>
        <v>#N/A</v>
      </c>
      <c r="BA19" s="565"/>
    </row>
    <row r="20" spans="2:53">
      <c r="B20" s="570"/>
      <c r="C20" s="418">
        <v>14</v>
      </c>
      <c r="D20" s="226"/>
      <c r="E20" s="425"/>
      <c r="F20" s="418"/>
      <c r="G20" s="419"/>
      <c r="H20" s="628"/>
      <c r="I20" s="422" t="str">
        <f t="shared" si="0"/>
        <v>-</v>
      </c>
      <c r="J20" s="422" t="str">
        <f t="shared" si="1"/>
        <v>-</v>
      </c>
      <c r="K20" s="200" t="str">
        <f t="shared" si="2"/>
        <v>-</v>
      </c>
      <c r="L20" s="581"/>
      <c r="M20" s="424" t="e">
        <f>RANK(K20, K$7:$K$21)</f>
        <v>#VALUE!</v>
      </c>
      <c r="N20" s="564"/>
      <c r="O20" s="564"/>
      <c r="P20" s="418" t="s">
        <v>639</v>
      </c>
      <c r="Q20" s="425" t="s">
        <v>639</v>
      </c>
      <c r="R20" s="425" t="s">
        <v>639</v>
      </c>
      <c r="S20" s="418" t="e">
        <f t="shared" si="3"/>
        <v>#VALUE!</v>
      </c>
      <c r="T20" s="565"/>
      <c r="U20" s="418" t="s">
        <v>639</v>
      </c>
      <c r="V20" s="425" t="s">
        <v>639</v>
      </c>
      <c r="W20" s="425" t="s">
        <v>639</v>
      </c>
      <c r="X20" s="418" t="e">
        <f t="shared" si="5"/>
        <v>#VALUE!</v>
      </c>
      <c r="Y20" s="565"/>
      <c r="Z20" s="418" t="s">
        <v>639</v>
      </c>
      <c r="AA20" s="425" t="s">
        <v>639</v>
      </c>
      <c r="AB20" s="425" t="s">
        <v>639</v>
      </c>
      <c r="AC20" s="418" t="e">
        <f t="shared" si="7"/>
        <v>#VALUE!</v>
      </c>
      <c r="AD20" s="565"/>
      <c r="AE20" s="418" t="s">
        <v>639</v>
      </c>
      <c r="AF20" s="425" t="s">
        <v>639</v>
      </c>
      <c r="AG20" s="425" t="s">
        <v>639</v>
      </c>
      <c r="AH20" s="418" t="e">
        <f t="shared" si="9"/>
        <v>#VALUE!</v>
      </c>
      <c r="AI20" s="565"/>
      <c r="AJ20" s="418" t="s">
        <v>639</v>
      </c>
      <c r="AK20" s="425" t="s">
        <v>639</v>
      </c>
      <c r="AL20" s="425" t="s">
        <v>639</v>
      </c>
      <c r="AM20" s="418" t="e">
        <f t="shared" si="11"/>
        <v>#VALUE!</v>
      </c>
      <c r="AN20" s="565"/>
      <c r="AO20" s="418" t="s">
        <v>639</v>
      </c>
      <c r="AP20" s="425" t="s">
        <v>639</v>
      </c>
      <c r="AQ20" s="425" t="s">
        <v>639</v>
      </c>
      <c r="AR20" s="418" t="e">
        <f t="shared" si="13"/>
        <v>#VALUE!</v>
      </c>
      <c r="AS20" s="565"/>
      <c r="AT20" s="418" t="s">
        <v>639</v>
      </c>
      <c r="AU20" s="425" t="s">
        <v>639</v>
      </c>
      <c r="AV20" s="425" t="s">
        <v>639</v>
      </c>
      <c r="AW20" s="418" t="e">
        <f t="shared" si="15"/>
        <v>#VALUE!</v>
      </c>
      <c r="AX20" s="565"/>
      <c r="AZ20" s="407" t="e">
        <f t="shared" si="17"/>
        <v>#N/A</v>
      </c>
      <c r="BA20" s="565"/>
    </row>
    <row r="21" spans="2:53">
      <c r="B21" s="570"/>
      <c r="C21" s="418">
        <v>15</v>
      </c>
      <c r="D21" s="226"/>
      <c r="E21" s="425"/>
      <c r="F21" s="418"/>
      <c r="G21" s="419"/>
      <c r="H21" s="629"/>
      <c r="I21" s="202"/>
      <c r="J21" s="202"/>
      <c r="K21" s="202"/>
      <c r="L21" s="582"/>
      <c r="M21" s="429" t="e">
        <f>RANK(K21, K$7:$K$21)</f>
        <v>#N/A</v>
      </c>
      <c r="N21" s="564"/>
      <c r="O21" s="564"/>
      <c r="P21" s="418" t="s">
        <v>639</v>
      </c>
      <c r="Q21" s="425" t="s">
        <v>639</v>
      </c>
      <c r="R21" s="425" t="s">
        <v>639</v>
      </c>
      <c r="S21" s="418" t="e">
        <f t="shared" si="3"/>
        <v>#VALUE!</v>
      </c>
      <c r="T21" s="565"/>
      <c r="U21" s="418" t="s">
        <v>639</v>
      </c>
      <c r="V21" s="425" t="s">
        <v>639</v>
      </c>
      <c r="W21" s="425" t="s">
        <v>639</v>
      </c>
      <c r="X21" s="418" t="e">
        <f t="shared" si="5"/>
        <v>#VALUE!</v>
      </c>
      <c r="Y21" s="565"/>
      <c r="Z21" s="418" t="s">
        <v>639</v>
      </c>
      <c r="AA21" s="425" t="s">
        <v>639</v>
      </c>
      <c r="AB21" s="425" t="s">
        <v>639</v>
      </c>
      <c r="AC21" s="418" t="e">
        <f t="shared" si="7"/>
        <v>#VALUE!</v>
      </c>
      <c r="AD21" s="565"/>
      <c r="AE21" s="418" t="s">
        <v>639</v>
      </c>
      <c r="AF21" s="425" t="s">
        <v>639</v>
      </c>
      <c r="AG21" s="425" t="s">
        <v>639</v>
      </c>
      <c r="AH21" s="418" t="e">
        <f t="shared" si="9"/>
        <v>#VALUE!</v>
      </c>
      <c r="AI21" s="565"/>
      <c r="AJ21" s="418" t="s">
        <v>639</v>
      </c>
      <c r="AK21" s="425" t="s">
        <v>639</v>
      </c>
      <c r="AL21" s="425" t="s">
        <v>639</v>
      </c>
      <c r="AM21" s="418" t="e">
        <f t="shared" si="11"/>
        <v>#VALUE!</v>
      </c>
      <c r="AN21" s="565"/>
      <c r="AO21" s="418" t="s">
        <v>639</v>
      </c>
      <c r="AP21" s="425" t="s">
        <v>639</v>
      </c>
      <c r="AQ21" s="425" t="s">
        <v>639</v>
      </c>
      <c r="AR21" s="418" t="e">
        <f t="shared" si="13"/>
        <v>#VALUE!</v>
      </c>
      <c r="AS21" s="565"/>
      <c r="AT21" s="418" t="s">
        <v>639</v>
      </c>
      <c r="AU21" s="425" t="s">
        <v>639</v>
      </c>
      <c r="AV21" s="425" t="s">
        <v>639</v>
      </c>
      <c r="AW21" s="418" t="e">
        <f t="shared" si="15"/>
        <v>#VALUE!</v>
      </c>
      <c r="AX21" s="565"/>
      <c r="AZ21" s="407" t="e">
        <f t="shared" si="17"/>
        <v>#N/A</v>
      </c>
      <c r="BA21" s="565"/>
    </row>
    <row r="22" spans="2:53" ht="15.75">
      <c r="B22" s="608" t="s">
        <v>163</v>
      </c>
      <c r="C22" s="609"/>
      <c r="D22" s="609"/>
      <c r="E22" s="609"/>
      <c r="F22" s="609"/>
      <c r="G22" s="609"/>
      <c r="H22" s="609"/>
      <c r="I22" s="203"/>
      <c r="J22" s="203"/>
      <c r="K22" s="203"/>
      <c r="L22" s="203"/>
      <c r="M22" s="204"/>
      <c r="N22" s="566" t="s">
        <v>156</v>
      </c>
      <c r="O22" s="566" t="s">
        <v>105</v>
      </c>
      <c r="P22" s="592">
        <f>P2+7</f>
        <v>46147</v>
      </c>
      <c r="Q22" s="570"/>
      <c r="R22" s="570"/>
      <c r="S22" s="570"/>
      <c r="T22" s="570"/>
      <c r="U22" s="589">
        <f>P22+1</f>
        <v>46148</v>
      </c>
      <c r="V22" s="590"/>
      <c r="W22" s="590"/>
      <c r="X22" s="590"/>
      <c r="Y22" s="591"/>
      <c r="Z22" s="589">
        <f>U22+1</f>
        <v>46149</v>
      </c>
      <c r="AA22" s="590"/>
      <c r="AB22" s="590"/>
      <c r="AC22" s="590"/>
      <c r="AD22" s="591"/>
      <c r="AE22" s="589">
        <f>Z22+1</f>
        <v>46150</v>
      </c>
      <c r="AF22" s="590"/>
      <c r="AG22" s="590"/>
      <c r="AH22" s="590"/>
      <c r="AI22" s="591"/>
      <c r="AJ22" s="589">
        <f>AE22+1</f>
        <v>46151</v>
      </c>
      <c r="AK22" s="590"/>
      <c r="AL22" s="590"/>
      <c r="AM22" s="590"/>
      <c r="AN22" s="591"/>
      <c r="AO22" s="589">
        <f>AJ22+1</f>
        <v>46152</v>
      </c>
      <c r="AP22" s="590"/>
      <c r="AQ22" s="590"/>
      <c r="AR22" s="590"/>
      <c r="AS22" s="591"/>
      <c r="AT22" s="589">
        <f>AO22+1</f>
        <v>46153</v>
      </c>
      <c r="AU22" s="590"/>
      <c r="AV22" s="590"/>
      <c r="AW22" s="590"/>
      <c r="AX22" s="591"/>
    </row>
    <row r="23" spans="2:53" ht="15.75">
      <c r="B23" s="596"/>
      <c r="C23" s="596"/>
      <c r="D23" s="596"/>
      <c r="E23" s="596"/>
      <c r="F23" s="596"/>
      <c r="G23" s="596"/>
      <c r="H23" s="596"/>
      <c r="I23" s="205"/>
      <c r="J23" s="205"/>
      <c r="K23" s="205"/>
      <c r="L23" s="205"/>
      <c r="M23" s="206"/>
      <c r="N23" s="568"/>
      <c r="O23" s="568"/>
      <c r="P23" s="592" t="s">
        <v>318</v>
      </c>
      <c r="Q23" s="570"/>
      <c r="R23" s="570"/>
      <c r="S23" s="570"/>
      <c r="T23" s="570"/>
      <c r="U23" s="592" t="s">
        <v>319</v>
      </c>
      <c r="V23" s="570"/>
      <c r="W23" s="570"/>
      <c r="X23" s="570"/>
      <c r="Y23" s="570"/>
      <c r="Z23" s="592" t="s">
        <v>320</v>
      </c>
      <c r="AA23" s="570"/>
      <c r="AB23" s="570"/>
      <c r="AC23" s="570"/>
      <c r="AD23" s="570"/>
      <c r="AE23" s="592" t="s">
        <v>321</v>
      </c>
      <c r="AF23" s="570"/>
      <c r="AG23" s="570"/>
      <c r="AH23" s="570"/>
      <c r="AI23" s="570"/>
      <c r="AJ23" s="592" t="s">
        <v>322</v>
      </c>
      <c r="AK23" s="570"/>
      <c r="AL23" s="570"/>
      <c r="AM23" s="570"/>
      <c r="AN23" s="570"/>
      <c r="AO23" s="592" t="s">
        <v>323</v>
      </c>
      <c r="AP23" s="570"/>
      <c r="AQ23" s="570"/>
      <c r="AR23" s="570"/>
      <c r="AS23" s="570"/>
      <c r="AT23" s="592" t="s">
        <v>324</v>
      </c>
      <c r="AU23" s="570"/>
      <c r="AV23" s="570"/>
      <c r="AW23" s="570"/>
      <c r="AX23" s="570"/>
    </row>
    <row r="24" spans="2:53">
      <c r="B24" s="564" t="s">
        <v>154</v>
      </c>
      <c r="C24" s="564" t="s">
        <v>387</v>
      </c>
      <c r="D24" s="564"/>
      <c r="E24" s="564" t="s">
        <v>378</v>
      </c>
      <c r="F24" s="564"/>
      <c r="G24" s="564"/>
      <c r="H24" s="597" t="s">
        <v>374</v>
      </c>
      <c r="I24" s="616" t="s">
        <v>379</v>
      </c>
      <c r="J24" s="616"/>
      <c r="K24" s="616"/>
      <c r="L24" s="617" t="s">
        <v>374</v>
      </c>
      <c r="M24" s="602" t="s">
        <v>375</v>
      </c>
      <c r="N24" s="564"/>
      <c r="O24" s="564" t="s">
        <v>380</v>
      </c>
      <c r="P24" s="583" t="s">
        <v>376</v>
      </c>
      <c r="Q24" s="584"/>
      <c r="R24" s="584"/>
      <c r="S24" s="585"/>
      <c r="T24" s="564" t="s">
        <v>374</v>
      </c>
      <c r="U24" s="583" t="s">
        <v>376</v>
      </c>
      <c r="V24" s="584"/>
      <c r="W24" s="584"/>
      <c r="X24" s="585"/>
      <c r="Y24" s="564" t="s">
        <v>374</v>
      </c>
      <c r="Z24" s="583" t="s">
        <v>376</v>
      </c>
      <c r="AA24" s="584"/>
      <c r="AB24" s="584"/>
      <c r="AC24" s="585"/>
      <c r="AD24" s="564" t="s">
        <v>374</v>
      </c>
      <c r="AE24" s="583" t="s">
        <v>376</v>
      </c>
      <c r="AF24" s="584"/>
      <c r="AG24" s="584"/>
      <c r="AH24" s="585"/>
      <c r="AI24" s="564" t="s">
        <v>374</v>
      </c>
      <c r="AJ24" s="583" t="s">
        <v>376</v>
      </c>
      <c r="AK24" s="584"/>
      <c r="AL24" s="584"/>
      <c r="AM24" s="585"/>
      <c r="AN24" s="564" t="s">
        <v>374</v>
      </c>
      <c r="AO24" s="583" t="s">
        <v>376</v>
      </c>
      <c r="AP24" s="584"/>
      <c r="AQ24" s="584"/>
      <c r="AR24" s="585"/>
      <c r="AS24" s="564" t="s">
        <v>374</v>
      </c>
      <c r="AT24" s="583" t="s">
        <v>376</v>
      </c>
      <c r="AU24" s="584"/>
      <c r="AV24" s="584"/>
      <c r="AW24" s="585"/>
      <c r="AX24" s="564" t="s">
        <v>374</v>
      </c>
      <c r="BA24" s="564" t="s">
        <v>374</v>
      </c>
    </row>
    <row r="25" spans="2:53">
      <c r="B25" s="564"/>
      <c r="C25" s="564"/>
      <c r="D25" s="564"/>
      <c r="E25" s="564" t="s">
        <v>381</v>
      </c>
      <c r="F25" s="564"/>
      <c r="G25" s="564"/>
      <c r="H25" s="598"/>
      <c r="I25" s="616" t="s">
        <v>381</v>
      </c>
      <c r="J25" s="616"/>
      <c r="K25" s="616"/>
      <c r="L25" s="618"/>
      <c r="M25" s="603"/>
      <c r="N25" s="564"/>
      <c r="O25" s="564"/>
      <c r="P25" s="583" t="s">
        <v>382</v>
      </c>
      <c r="Q25" s="584"/>
      <c r="R25" s="584"/>
      <c r="S25" s="585"/>
      <c r="T25" s="564"/>
      <c r="U25" s="583" t="s">
        <v>382</v>
      </c>
      <c r="V25" s="584"/>
      <c r="W25" s="584"/>
      <c r="X25" s="585"/>
      <c r="Y25" s="564"/>
      <c r="Z25" s="583" t="s">
        <v>382</v>
      </c>
      <c r="AA25" s="584"/>
      <c r="AB25" s="584"/>
      <c r="AC25" s="585"/>
      <c r="AD25" s="564"/>
      <c r="AE25" s="583" t="s">
        <v>382</v>
      </c>
      <c r="AF25" s="584"/>
      <c r="AG25" s="584"/>
      <c r="AH25" s="585"/>
      <c r="AI25" s="564"/>
      <c r="AJ25" s="583" t="s">
        <v>382</v>
      </c>
      <c r="AK25" s="584"/>
      <c r="AL25" s="584"/>
      <c r="AM25" s="585"/>
      <c r="AN25" s="564"/>
      <c r="AO25" s="583" t="s">
        <v>382</v>
      </c>
      <c r="AP25" s="584"/>
      <c r="AQ25" s="584"/>
      <c r="AR25" s="585"/>
      <c r="AS25" s="564"/>
      <c r="AT25" s="583" t="s">
        <v>382</v>
      </c>
      <c r="AU25" s="584"/>
      <c r="AV25" s="584"/>
      <c r="AW25" s="585"/>
      <c r="AX25" s="564"/>
      <c r="BA25" s="564"/>
    </row>
    <row r="26" spans="2:53">
      <c r="B26" s="564"/>
      <c r="C26" s="564"/>
      <c r="D26" s="564"/>
      <c r="E26" s="417" t="s">
        <v>383</v>
      </c>
      <c r="F26" s="417" t="s">
        <v>384</v>
      </c>
      <c r="G26" s="417" t="s">
        <v>385</v>
      </c>
      <c r="H26" s="599"/>
      <c r="I26" s="416" t="s">
        <v>383</v>
      </c>
      <c r="J26" s="416" t="s">
        <v>384</v>
      </c>
      <c r="K26" s="416" t="s">
        <v>385</v>
      </c>
      <c r="L26" s="619"/>
      <c r="M26" s="604"/>
      <c r="N26" s="564"/>
      <c r="O26" s="564"/>
      <c r="P26" s="417" t="s">
        <v>383</v>
      </c>
      <c r="Q26" s="417" t="s">
        <v>384</v>
      </c>
      <c r="R26" s="417" t="s">
        <v>385</v>
      </c>
      <c r="S26" s="417" t="s">
        <v>375</v>
      </c>
      <c r="T26" s="564"/>
      <c r="U26" s="417" t="s">
        <v>383</v>
      </c>
      <c r="V26" s="417" t="s">
        <v>384</v>
      </c>
      <c r="W26" s="417" t="s">
        <v>385</v>
      </c>
      <c r="X26" s="417" t="s">
        <v>375</v>
      </c>
      <c r="Y26" s="564"/>
      <c r="Z26" s="417" t="s">
        <v>383</v>
      </c>
      <c r="AA26" s="417" t="s">
        <v>384</v>
      </c>
      <c r="AB26" s="417" t="s">
        <v>385</v>
      </c>
      <c r="AC26" s="417" t="s">
        <v>375</v>
      </c>
      <c r="AD26" s="564"/>
      <c r="AE26" s="417" t="s">
        <v>383</v>
      </c>
      <c r="AF26" s="417" t="s">
        <v>384</v>
      </c>
      <c r="AG26" s="417" t="s">
        <v>385</v>
      </c>
      <c r="AH26" s="417" t="s">
        <v>375</v>
      </c>
      <c r="AI26" s="564"/>
      <c r="AJ26" s="417" t="s">
        <v>383</v>
      </c>
      <c r="AK26" s="417" t="s">
        <v>384</v>
      </c>
      <c r="AL26" s="417" t="s">
        <v>385</v>
      </c>
      <c r="AM26" s="417" t="s">
        <v>375</v>
      </c>
      <c r="AN26" s="564"/>
      <c r="AO26" s="417" t="s">
        <v>383</v>
      </c>
      <c r="AP26" s="417" t="s">
        <v>384</v>
      </c>
      <c r="AQ26" s="417" t="s">
        <v>385</v>
      </c>
      <c r="AR26" s="417" t="s">
        <v>375</v>
      </c>
      <c r="AS26" s="564"/>
      <c r="AT26" s="417" t="s">
        <v>383</v>
      </c>
      <c r="AU26" s="417" t="s">
        <v>384</v>
      </c>
      <c r="AV26" s="417" t="s">
        <v>385</v>
      </c>
      <c r="AW26" s="417" t="s">
        <v>375</v>
      </c>
      <c r="AX26" s="564"/>
      <c r="AZ26" s="406" t="s">
        <v>375</v>
      </c>
      <c r="BA26" s="564"/>
    </row>
    <row r="27" spans="2:53">
      <c r="B27" s="564" t="s">
        <v>132</v>
      </c>
      <c r="C27" s="418">
        <v>1</v>
      </c>
      <c r="D27" s="226" t="s">
        <v>351</v>
      </c>
      <c r="E27" s="425">
        <v>18</v>
      </c>
      <c r="F27" s="418">
        <v>1440</v>
      </c>
      <c r="G27" s="419">
        <v>80</v>
      </c>
      <c r="H27" s="627">
        <f>AVERAGE(G27:G41)</f>
        <v>80.208333333333329</v>
      </c>
      <c r="I27" s="422">
        <f t="shared" ref="I27:I40" si="19">IFERROR(AVERAGE(P27,U27,Z27,AE27,AJ27,AO27,AT27),"-")</f>
        <v>18</v>
      </c>
      <c r="J27" s="422">
        <f t="shared" ref="J27:J40" si="20">IFERROR(AVERAGE(Q27,V27,AA27,AF27,AK27,AP27,AU27),"-")</f>
        <v>1341.1480143933316</v>
      </c>
      <c r="K27" s="200">
        <f t="shared" ref="K27:K40" si="21">IFERROR(AVERAGE(R27,W27,AB27,AG27,AL27,AQ27,AV27),"-")</f>
        <v>74.508223021851748</v>
      </c>
      <c r="L27" s="580">
        <f>IFERROR(AVERAGE(K27:K41),"-")</f>
        <v>73.74303227310692</v>
      </c>
      <c r="M27" s="424">
        <f>RANK(K27, K$24:$K$41)</f>
        <v>5</v>
      </c>
      <c r="N27" s="564"/>
      <c r="O27" s="564"/>
      <c r="P27" s="425">
        <v>18</v>
      </c>
      <c r="Q27" s="419">
        <v>1345.2089552238808</v>
      </c>
      <c r="R27" s="419">
        <v>74.733830845771152</v>
      </c>
      <c r="S27" s="418">
        <f>RANK(R27, R$24:R$41)</f>
        <v>4</v>
      </c>
      <c r="T27" s="627">
        <f>AVERAGE(R27:R41)</f>
        <v>73.774728653684463</v>
      </c>
      <c r="U27" s="425">
        <v>18</v>
      </c>
      <c r="V27" s="419">
        <v>1343.9523809523807</v>
      </c>
      <c r="W27" s="419">
        <v>74.66402116402115</v>
      </c>
      <c r="X27" s="428">
        <f>RANK(W27, W$24:W$41)</f>
        <v>4</v>
      </c>
      <c r="Y27" s="627">
        <f>AVERAGE(W27:W41)</f>
        <v>74.054812386821681</v>
      </c>
      <c r="Z27" s="425">
        <v>18</v>
      </c>
      <c r="AA27" s="419">
        <v>1333.93220338983</v>
      </c>
      <c r="AB27" s="419">
        <v>74.107344632768331</v>
      </c>
      <c r="AC27" s="428">
        <f>RANK(AB27, AB$24:AB$41)</f>
        <v>5</v>
      </c>
      <c r="AD27" s="627">
        <f>AVERAGE(AB27:AB41)</f>
        <v>74.270697841708582</v>
      </c>
      <c r="AE27" s="425">
        <v>18</v>
      </c>
      <c r="AF27" s="419">
        <v>1349.0816326530617</v>
      </c>
      <c r="AG27" s="419">
        <v>74.948979591836761</v>
      </c>
      <c r="AH27" s="428">
        <f>RANK(AG27, AG$24:AG$41)</f>
        <v>4</v>
      </c>
      <c r="AI27" s="627">
        <f>AVERAGE(AG27:AG41)</f>
        <v>72.992919587944243</v>
      </c>
      <c r="AJ27" s="425">
        <v>18</v>
      </c>
      <c r="AK27" s="419">
        <v>1335.3333333333335</v>
      </c>
      <c r="AL27" s="419">
        <v>74.18518518518519</v>
      </c>
      <c r="AM27" s="428">
        <f>RANK(AL27, AL$24:AL$41)</f>
        <v>4</v>
      </c>
      <c r="AN27" s="627">
        <f>AVERAGE(AL27:AL41)</f>
        <v>72.89207255179717</v>
      </c>
      <c r="AO27" s="425">
        <v>18</v>
      </c>
      <c r="AP27" s="419">
        <v>1338.0740740740737</v>
      </c>
      <c r="AQ27" s="419">
        <v>74.337448559670761</v>
      </c>
      <c r="AR27" s="428">
        <f>RANK(AQ27, AQ$24:AQ$41)</f>
        <v>5</v>
      </c>
      <c r="AS27" s="627">
        <f>AVERAGE(AQ27:AQ41)</f>
        <v>74.420847477611858</v>
      </c>
      <c r="AT27" s="425">
        <v>18</v>
      </c>
      <c r="AU27" s="419">
        <v>1342.453521126761</v>
      </c>
      <c r="AV27" s="419">
        <v>74.580751173708947</v>
      </c>
      <c r="AW27" s="428">
        <f>RANK(AV27, AV$24:AV$41)</f>
        <v>5</v>
      </c>
      <c r="AX27" s="565">
        <f>AVERAGE(AV27:AV41)</f>
        <v>73.795147412180327</v>
      </c>
      <c r="AZ27" s="407" t="e">
        <f t="shared" ref="AZ27:AZ41" si="22">RANK(AY27, AY$27:AY$41)</f>
        <v>#N/A</v>
      </c>
      <c r="BA27" s="559" t="e">
        <f t="shared" ref="BA27" si="23">AVERAGE(AY27:AY41)</f>
        <v>#DIV/0!</v>
      </c>
    </row>
    <row r="28" spans="2:53">
      <c r="B28" s="570"/>
      <c r="C28" s="418">
        <v>2</v>
      </c>
      <c r="D28" s="226" t="s">
        <v>352</v>
      </c>
      <c r="E28" s="425">
        <v>18</v>
      </c>
      <c r="F28" s="418">
        <v>1440</v>
      </c>
      <c r="G28" s="419">
        <v>80</v>
      </c>
      <c r="H28" s="628"/>
      <c r="I28" s="422">
        <f t="shared" si="19"/>
        <v>18</v>
      </c>
      <c r="J28" s="422">
        <f t="shared" si="20"/>
        <v>1295.7626140791369</v>
      </c>
      <c r="K28" s="200">
        <f t="shared" si="21"/>
        <v>71.986811893285392</v>
      </c>
      <c r="L28" s="581"/>
      <c r="M28" s="431">
        <f>RANK(K28, K$24:$K$41)</f>
        <v>6</v>
      </c>
      <c r="N28" s="564"/>
      <c r="O28" s="564"/>
      <c r="P28" s="418">
        <v>18</v>
      </c>
      <c r="Q28" s="419">
        <v>1304.5454545454561</v>
      </c>
      <c r="R28" s="419">
        <v>72.474747474747559</v>
      </c>
      <c r="S28" s="428">
        <f t="shared" ref="S28:S41" si="24">RANK(R28, R$24:R$41)</f>
        <v>5</v>
      </c>
      <c r="T28" s="628"/>
      <c r="U28" s="418">
        <v>18</v>
      </c>
      <c r="V28" s="419">
        <v>1307.0270270270262</v>
      </c>
      <c r="W28" s="419">
        <v>72.612612612612565</v>
      </c>
      <c r="X28" s="428">
        <f t="shared" ref="X28:X41" si="25">RANK(W28, W$24:W$41)</f>
        <v>5</v>
      </c>
      <c r="Y28" s="628"/>
      <c r="Z28" s="418">
        <v>18</v>
      </c>
      <c r="AA28" s="419">
        <v>1296.585365853658</v>
      </c>
      <c r="AB28" s="419">
        <v>72.032520325203222</v>
      </c>
      <c r="AC28" s="428">
        <f t="shared" ref="AC28:AC41" si="26">RANK(AB28, AB$24:AB$41)</f>
        <v>7</v>
      </c>
      <c r="AD28" s="628"/>
      <c r="AE28" s="418">
        <v>18</v>
      </c>
      <c r="AF28" s="419">
        <v>1297.8947368421043</v>
      </c>
      <c r="AG28" s="419">
        <v>72.105263157894683</v>
      </c>
      <c r="AH28" s="428">
        <f t="shared" ref="AH28:AH41" si="27">RANK(AG28, AG$24:AG$41)</f>
        <v>6</v>
      </c>
      <c r="AI28" s="628"/>
      <c r="AJ28" s="418">
        <v>18</v>
      </c>
      <c r="AK28" s="419">
        <v>1301.4285714285709</v>
      </c>
      <c r="AL28" s="419">
        <v>72.301587301587276</v>
      </c>
      <c r="AM28" s="428">
        <f t="shared" ref="AM28:AM41" si="28">RANK(AL28, AL$24:AL$41)</f>
        <v>7</v>
      </c>
      <c r="AN28" s="628"/>
      <c r="AO28" s="418">
        <v>18</v>
      </c>
      <c r="AP28" s="419">
        <v>1294.2857142857147</v>
      </c>
      <c r="AQ28" s="419">
        <v>71.904761904761926</v>
      </c>
      <c r="AR28" s="428">
        <f t="shared" ref="AR28:AR41" si="29">RANK(AQ28, AQ$24:AQ$41)</f>
        <v>7</v>
      </c>
      <c r="AS28" s="628"/>
      <c r="AT28" s="418">
        <v>18</v>
      </c>
      <c r="AU28" s="419">
        <v>1268.5714285714289</v>
      </c>
      <c r="AV28" s="419">
        <v>70.476190476190496</v>
      </c>
      <c r="AW28" s="428">
        <f t="shared" ref="AW28:AW41" si="30">RANK(AV28, AV$24:AV$41)</f>
        <v>9</v>
      </c>
      <c r="AX28" s="565"/>
      <c r="AZ28" s="407" t="e">
        <f t="shared" si="22"/>
        <v>#N/A</v>
      </c>
      <c r="BA28" s="560"/>
    </row>
    <row r="29" spans="2:53">
      <c r="B29" s="570"/>
      <c r="C29" s="418">
        <v>3</v>
      </c>
      <c r="D29" s="226" t="s">
        <v>353</v>
      </c>
      <c r="E29" s="425">
        <v>17</v>
      </c>
      <c r="F29" s="418">
        <v>1440</v>
      </c>
      <c r="G29" s="419">
        <v>84.7</v>
      </c>
      <c r="H29" s="628"/>
      <c r="I29" s="422">
        <f t="shared" si="19"/>
        <v>17</v>
      </c>
      <c r="J29" s="422">
        <f t="shared" si="20"/>
        <v>1344.4815778118577</v>
      </c>
      <c r="K29" s="200">
        <f t="shared" si="21"/>
        <v>79.08715163599166</v>
      </c>
      <c r="L29" s="581"/>
      <c r="M29" s="431">
        <f>RANK(K29, K$24:$K$41)</f>
        <v>3</v>
      </c>
      <c r="N29" s="564"/>
      <c r="O29" s="564"/>
      <c r="P29" s="418">
        <v>17</v>
      </c>
      <c r="Q29" s="419">
        <v>1378.5245901639339</v>
      </c>
      <c r="R29" s="419">
        <v>81.08968177434906</v>
      </c>
      <c r="S29" s="428">
        <f t="shared" si="24"/>
        <v>3</v>
      </c>
      <c r="T29" s="628"/>
      <c r="U29" s="418">
        <v>17</v>
      </c>
      <c r="V29" s="419">
        <v>1356.2264150943402</v>
      </c>
      <c r="W29" s="419">
        <v>79.778024417314128</v>
      </c>
      <c r="X29" s="428">
        <f t="shared" si="25"/>
        <v>3</v>
      </c>
      <c r="Y29" s="628"/>
      <c r="Z29" s="418">
        <v>17</v>
      </c>
      <c r="AA29" s="419">
        <v>1322.9702970297035</v>
      </c>
      <c r="AB29" s="419">
        <v>77.821782178217859</v>
      </c>
      <c r="AC29" s="428">
        <f t="shared" si="26"/>
        <v>4</v>
      </c>
      <c r="AD29" s="628"/>
      <c r="AE29" s="418">
        <v>17</v>
      </c>
      <c r="AF29" s="419">
        <v>1320.6185567010314</v>
      </c>
      <c r="AG29" s="419">
        <v>77.683444511825371</v>
      </c>
      <c r="AH29" s="428">
        <f t="shared" si="27"/>
        <v>3</v>
      </c>
      <c r="AI29" s="628"/>
      <c r="AJ29" s="418">
        <v>17</v>
      </c>
      <c r="AK29" s="419">
        <v>1331.8867924528308</v>
      </c>
      <c r="AL29" s="419">
        <v>78.346281908990051</v>
      </c>
      <c r="AM29" s="428">
        <f t="shared" si="28"/>
        <v>3</v>
      </c>
      <c r="AN29" s="628"/>
      <c r="AO29" s="418">
        <v>17</v>
      </c>
      <c r="AP29" s="419">
        <v>1362.0967741935478</v>
      </c>
      <c r="AQ29" s="419">
        <v>80.123339658443996</v>
      </c>
      <c r="AR29" s="428">
        <f t="shared" si="29"/>
        <v>3</v>
      </c>
      <c r="AS29" s="628"/>
      <c r="AT29" s="418">
        <v>17</v>
      </c>
      <c r="AU29" s="419">
        <v>1339.0476190476188</v>
      </c>
      <c r="AV29" s="419">
        <v>78.767507002801111</v>
      </c>
      <c r="AW29" s="428">
        <f t="shared" si="30"/>
        <v>3</v>
      </c>
      <c r="AX29" s="565"/>
      <c r="AZ29" s="407" t="e">
        <f t="shared" si="22"/>
        <v>#N/A</v>
      </c>
      <c r="BA29" s="560"/>
    </row>
    <row r="30" spans="2:53">
      <c r="B30" s="570"/>
      <c r="C30" s="418">
        <v>4</v>
      </c>
      <c r="D30" s="226" t="s">
        <v>354</v>
      </c>
      <c r="E30" s="425">
        <v>17</v>
      </c>
      <c r="F30" s="418">
        <v>1440</v>
      </c>
      <c r="G30" s="419">
        <v>84.7</v>
      </c>
      <c r="H30" s="628"/>
      <c r="I30" s="422">
        <f t="shared" si="19"/>
        <v>17.285714285714285</v>
      </c>
      <c r="J30" s="422">
        <f t="shared" si="20"/>
        <v>1290.1024861806072</v>
      </c>
      <c r="K30" s="200">
        <f t="shared" si="21"/>
        <v>74.678072855158263</v>
      </c>
      <c r="L30" s="581"/>
      <c r="M30" s="431">
        <f>RANK(K30, K$24:$K$41)</f>
        <v>4</v>
      </c>
      <c r="N30" s="564"/>
      <c r="O30" s="564"/>
      <c r="P30" s="418">
        <v>18</v>
      </c>
      <c r="Q30" s="419">
        <v>1291.4285714285709</v>
      </c>
      <c r="R30" s="419">
        <v>71.746031746031719</v>
      </c>
      <c r="S30" s="428">
        <f t="shared" si="24"/>
        <v>7</v>
      </c>
      <c r="T30" s="628"/>
      <c r="U30" s="418">
        <v>18</v>
      </c>
      <c r="V30" s="419">
        <v>1301.0526315789464</v>
      </c>
      <c r="W30" s="419">
        <v>72.280701754385916</v>
      </c>
      <c r="X30" s="428">
        <f t="shared" si="25"/>
        <v>7</v>
      </c>
      <c r="Y30" s="628"/>
      <c r="Z30" s="418">
        <v>17</v>
      </c>
      <c r="AA30" s="419">
        <v>1323.1578947368412</v>
      </c>
      <c r="AB30" s="419">
        <v>77.83281733746125</v>
      </c>
      <c r="AC30" s="428">
        <f t="shared" si="26"/>
        <v>3</v>
      </c>
      <c r="AD30" s="628"/>
      <c r="AE30" s="418">
        <v>17</v>
      </c>
      <c r="AF30" s="419">
        <v>1273.9999999999977</v>
      </c>
      <c r="AG30" s="419">
        <v>74.941176470588104</v>
      </c>
      <c r="AH30" s="428">
        <f t="shared" si="27"/>
        <v>5</v>
      </c>
      <c r="AI30" s="628"/>
      <c r="AJ30" s="418">
        <v>17</v>
      </c>
      <c r="AK30" s="419">
        <v>1256.842105263157</v>
      </c>
      <c r="AL30" s="419">
        <v>73.931888544891592</v>
      </c>
      <c r="AM30" s="428">
        <f t="shared" si="28"/>
        <v>5</v>
      </c>
      <c r="AN30" s="628"/>
      <c r="AO30" s="418">
        <v>17</v>
      </c>
      <c r="AP30" s="419">
        <v>1297.8947368421043</v>
      </c>
      <c r="AQ30" s="419">
        <v>76.346749226006139</v>
      </c>
      <c r="AR30" s="428">
        <f t="shared" si="29"/>
        <v>4</v>
      </c>
      <c r="AS30" s="628"/>
      <c r="AT30" s="418">
        <v>17</v>
      </c>
      <c r="AU30" s="419">
        <v>1286.3414634146336</v>
      </c>
      <c r="AV30" s="419">
        <v>75.667144906743147</v>
      </c>
      <c r="AW30" s="428">
        <f t="shared" si="30"/>
        <v>4</v>
      </c>
      <c r="AX30" s="565"/>
      <c r="AZ30" s="407" t="e">
        <f t="shared" si="22"/>
        <v>#N/A</v>
      </c>
      <c r="BA30" s="560"/>
    </row>
    <row r="31" spans="2:53">
      <c r="B31" s="570"/>
      <c r="C31" s="418">
        <v>5</v>
      </c>
      <c r="D31" s="226" t="s">
        <v>355</v>
      </c>
      <c r="E31" s="425">
        <v>21</v>
      </c>
      <c r="F31" s="418">
        <v>1385</v>
      </c>
      <c r="G31" s="419">
        <v>65.900000000000006</v>
      </c>
      <c r="H31" s="628"/>
      <c r="I31" s="422">
        <f t="shared" si="19"/>
        <v>21</v>
      </c>
      <c r="J31" s="422">
        <f t="shared" si="20"/>
        <v>1283.090940774468</v>
      </c>
      <c r="K31" s="200">
        <f t="shared" si="21"/>
        <v>61.099568608308005</v>
      </c>
      <c r="L31" s="581"/>
      <c r="M31" s="431">
        <f>RANK(K31, K$24:$K$41)</f>
        <v>12</v>
      </c>
      <c r="N31" s="564"/>
      <c r="O31" s="564"/>
      <c r="P31" s="418">
        <v>21</v>
      </c>
      <c r="Q31" s="419">
        <v>1182.2800000000041</v>
      </c>
      <c r="R31" s="419">
        <v>56.299047619047812</v>
      </c>
      <c r="S31" s="428">
        <f t="shared" si="24"/>
        <v>12</v>
      </c>
      <c r="T31" s="628"/>
      <c r="U31" s="418">
        <v>21</v>
      </c>
      <c r="V31" s="419">
        <v>1281.5094339622649</v>
      </c>
      <c r="W31" s="419">
        <v>61.024258760107855</v>
      </c>
      <c r="X31" s="428">
        <f t="shared" si="25"/>
        <v>12</v>
      </c>
      <c r="Y31" s="628"/>
      <c r="Z31" s="418">
        <v>21</v>
      </c>
      <c r="AA31" s="419">
        <v>1287.1428571428567</v>
      </c>
      <c r="AB31" s="419">
        <v>61.292517006802697</v>
      </c>
      <c r="AC31" s="428">
        <f t="shared" si="26"/>
        <v>12</v>
      </c>
      <c r="AD31" s="628"/>
      <c r="AE31" s="418">
        <v>21</v>
      </c>
      <c r="AF31" s="419">
        <v>1304.4705882352939</v>
      </c>
      <c r="AG31" s="419">
        <v>62.117647058823522</v>
      </c>
      <c r="AH31" s="428">
        <f t="shared" si="27"/>
        <v>11</v>
      </c>
      <c r="AI31" s="628"/>
      <c r="AJ31" s="418">
        <v>21</v>
      </c>
      <c r="AK31" s="419">
        <v>1315.882352941177</v>
      </c>
      <c r="AL31" s="419">
        <v>62.661064425770334</v>
      </c>
      <c r="AM31" s="428">
        <f t="shared" si="28"/>
        <v>11</v>
      </c>
      <c r="AN31" s="628"/>
      <c r="AO31" s="418">
        <v>21</v>
      </c>
      <c r="AP31" s="419">
        <v>1311.0236220472439</v>
      </c>
      <c r="AQ31" s="419">
        <v>62.429696287963992</v>
      </c>
      <c r="AR31" s="428">
        <f t="shared" si="29"/>
        <v>12</v>
      </c>
      <c r="AS31" s="628"/>
      <c r="AT31" s="418">
        <v>21</v>
      </c>
      <c r="AU31" s="419">
        <v>1299.3277310924364</v>
      </c>
      <c r="AV31" s="419">
        <v>61.872749099639826</v>
      </c>
      <c r="AW31" s="428">
        <f t="shared" si="30"/>
        <v>12</v>
      </c>
      <c r="AX31" s="565"/>
      <c r="AZ31" s="407" t="e">
        <f t="shared" si="22"/>
        <v>#N/A</v>
      </c>
      <c r="BA31" s="560"/>
    </row>
    <row r="32" spans="2:53">
      <c r="B32" s="570"/>
      <c r="C32" s="418">
        <v>6</v>
      </c>
      <c r="D32" s="226" t="s">
        <v>356</v>
      </c>
      <c r="E32" s="425">
        <v>19</v>
      </c>
      <c r="F32" s="418">
        <v>1440</v>
      </c>
      <c r="G32" s="419">
        <v>75.8</v>
      </c>
      <c r="H32" s="628"/>
      <c r="I32" s="422">
        <f t="shared" si="19"/>
        <v>19</v>
      </c>
      <c r="J32" s="422">
        <f t="shared" si="20"/>
        <v>1358.2887102663028</v>
      </c>
      <c r="K32" s="200">
        <f t="shared" si="21"/>
        <v>71.488879487700146</v>
      </c>
      <c r="L32" s="581"/>
      <c r="M32" s="431">
        <f>RANK(K32, K$24:$K$41)</f>
        <v>8</v>
      </c>
      <c r="N32" s="564"/>
      <c r="O32" s="564"/>
      <c r="P32" s="418">
        <v>19</v>
      </c>
      <c r="Q32" s="419">
        <v>1361.842105263157</v>
      </c>
      <c r="R32" s="419">
        <v>71.675900277008267</v>
      </c>
      <c r="S32" s="428">
        <f t="shared" si="24"/>
        <v>8</v>
      </c>
      <c r="T32" s="628"/>
      <c r="U32" s="418">
        <v>19</v>
      </c>
      <c r="V32" s="419">
        <v>1358.4615384615377</v>
      </c>
      <c r="W32" s="419">
        <v>71.497975708501983</v>
      </c>
      <c r="X32" s="428">
        <f t="shared" si="25"/>
        <v>8</v>
      </c>
      <c r="Y32" s="628"/>
      <c r="Z32" s="418">
        <v>19</v>
      </c>
      <c r="AA32" s="419">
        <v>1336.6666666666656</v>
      </c>
      <c r="AB32" s="419">
        <v>70.350877192982395</v>
      </c>
      <c r="AC32" s="428">
        <f t="shared" si="26"/>
        <v>9</v>
      </c>
      <c r="AD32" s="628"/>
      <c r="AE32" s="418">
        <v>19</v>
      </c>
      <c r="AF32" s="419">
        <v>1363.1250000000016</v>
      </c>
      <c r="AG32" s="419">
        <v>71.74342105263166</v>
      </c>
      <c r="AH32" s="428">
        <f t="shared" si="27"/>
        <v>8</v>
      </c>
      <c r="AI32" s="628"/>
      <c r="AJ32" s="418">
        <v>19</v>
      </c>
      <c r="AK32" s="419">
        <v>1369.411764705884</v>
      </c>
      <c r="AL32" s="419">
        <v>72.074303405572849</v>
      </c>
      <c r="AM32" s="428">
        <f t="shared" si="28"/>
        <v>8</v>
      </c>
      <c r="AN32" s="628"/>
      <c r="AO32" s="418">
        <v>19</v>
      </c>
      <c r="AP32" s="419">
        <v>1360.4651162790694</v>
      </c>
      <c r="AQ32" s="419">
        <v>71.603427172582599</v>
      </c>
      <c r="AR32" s="428">
        <f t="shared" si="29"/>
        <v>8</v>
      </c>
      <c r="AS32" s="628"/>
      <c r="AT32" s="418">
        <v>19</v>
      </c>
      <c r="AU32" s="419">
        <v>1358.0487804878044</v>
      </c>
      <c r="AV32" s="419">
        <v>71.476251604621282</v>
      </c>
      <c r="AW32" s="428">
        <f t="shared" si="30"/>
        <v>8</v>
      </c>
      <c r="AX32" s="565"/>
      <c r="AZ32" s="407" t="e">
        <f t="shared" si="22"/>
        <v>#N/A</v>
      </c>
      <c r="BA32" s="560"/>
    </row>
    <row r="33" spans="2:53">
      <c r="B33" s="570"/>
      <c r="C33" s="418">
        <v>7</v>
      </c>
      <c r="D33" s="226" t="s">
        <v>506</v>
      </c>
      <c r="E33" s="425">
        <v>18</v>
      </c>
      <c r="F33" s="418">
        <v>1385</v>
      </c>
      <c r="G33" s="419">
        <v>76.900000000000006</v>
      </c>
      <c r="H33" s="628"/>
      <c r="I33" s="422">
        <f t="shared" si="19"/>
        <v>18</v>
      </c>
      <c r="J33" s="422">
        <f t="shared" si="20"/>
        <v>1291.9152538937608</v>
      </c>
      <c r="K33" s="200">
        <f t="shared" si="21"/>
        <v>71.773069660764477</v>
      </c>
      <c r="L33" s="581"/>
      <c r="M33" s="431">
        <f>RANK(K33, K$24:$K$41)</f>
        <v>7</v>
      </c>
      <c r="N33" s="564"/>
      <c r="O33" s="564"/>
      <c r="P33" s="418">
        <v>18</v>
      </c>
      <c r="Q33" s="419">
        <v>1238.2499999999995</v>
      </c>
      <c r="R33" s="419">
        <v>68.791666666666643</v>
      </c>
      <c r="S33" s="428">
        <f t="shared" si="24"/>
        <v>11</v>
      </c>
      <c r="T33" s="628"/>
      <c r="U33" s="418">
        <v>18</v>
      </c>
      <c r="V33" s="419">
        <v>1304.9999999999982</v>
      </c>
      <c r="W33" s="419">
        <v>72.499999999999901</v>
      </c>
      <c r="X33" s="428">
        <f t="shared" si="25"/>
        <v>6</v>
      </c>
      <c r="Y33" s="628"/>
      <c r="Z33" s="418">
        <v>18</v>
      </c>
      <c r="AA33" s="419">
        <v>1312.3809523809537</v>
      </c>
      <c r="AB33" s="419">
        <v>72.910052910052983</v>
      </c>
      <c r="AC33" s="428">
        <f t="shared" si="26"/>
        <v>6</v>
      </c>
      <c r="AD33" s="628"/>
      <c r="AE33" s="418">
        <v>18</v>
      </c>
      <c r="AF33" s="419">
        <v>1292.5423728813571</v>
      </c>
      <c r="AG33" s="419">
        <v>71.807909604519836</v>
      </c>
      <c r="AH33" s="428">
        <f t="shared" si="27"/>
        <v>7</v>
      </c>
      <c r="AI33" s="628"/>
      <c r="AJ33" s="418">
        <v>18</v>
      </c>
      <c r="AK33" s="419">
        <v>1309.5238095238108</v>
      </c>
      <c r="AL33" s="419">
        <v>72.751322751322817</v>
      </c>
      <c r="AM33" s="428">
        <f t="shared" si="28"/>
        <v>6</v>
      </c>
      <c r="AN33" s="628"/>
      <c r="AO33" s="418">
        <v>18</v>
      </c>
      <c r="AP33" s="419">
        <v>1279.2307692307686</v>
      </c>
      <c r="AQ33" s="419">
        <v>71.06837606837604</v>
      </c>
      <c r="AR33" s="428">
        <f t="shared" si="29"/>
        <v>9</v>
      </c>
      <c r="AS33" s="628"/>
      <c r="AT33" s="418">
        <v>18</v>
      </c>
      <c r="AU33" s="419">
        <v>1306.4788732394354</v>
      </c>
      <c r="AV33" s="419">
        <v>72.58215962441308</v>
      </c>
      <c r="AW33" s="428">
        <f t="shared" si="30"/>
        <v>6</v>
      </c>
      <c r="AX33" s="565"/>
      <c r="AZ33" s="407" t="e">
        <f t="shared" si="22"/>
        <v>#N/A</v>
      </c>
      <c r="BA33" s="560"/>
    </row>
    <row r="34" spans="2:53">
      <c r="B34" s="570"/>
      <c r="C34" s="418">
        <v>8</v>
      </c>
      <c r="D34" s="226" t="s">
        <v>509</v>
      </c>
      <c r="E34" s="425">
        <v>18</v>
      </c>
      <c r="F34" s="418">
        <v>1385</v>
      </c>
      <c r="G34" s="419">
        <v>76.900000000000006</v>
      </c>
      <c r="H34" s="628"/>
      <c r="I34" s="422">
        <f t="shared" si="19"/>
        <v>18</v>
      </c>
      <c r="J34" s="422">
        <f t="shared" si="20"/>
        <v>1238.2471620333511</v>
      </c>
      <c r="K34" s="200">
        <f t="shared" si="21"/>
        <v>68.791509001852845</v>
      </c>
      <c r="L34" s="581"/>
      <c r="M34" s="431">
        <f>RANK(K34, K$24:$K$41)</f>
        <v>10</v>
      </c>
      <c r="N34" s="564"/>
      <c r="O34" s="564"/>
      <c r="P34" s="418">
        <v>18</v>
      </c>
      <c r="Q34" s="419">
        <v>1256.0869565217392</v>
      </c>
      <c r="R34" s="419">
        <v>69.782608695652186</v>
      </c>
      <c r="S34" s="428">
        <f t="shared" si="24"/>
        <v>10</v>
      </c>
      <c r="T34" s="628"/>
      <c r="U34" s="418">
        <v>18</v>
      </c>
      <c r="V34" s="419">
        <v>1232.8571428571424</v>
      </c>
      <c r="W34" s="419">
        <v>68.492063492063465</v>
      </c>
      <c r="X34" s="428">
        <f t="shared" si="25"/>
        <v>11</v>
      </c>
      <c r="Y34" s="628"/>
      <c r="Z34" s="418">
        <v>18</v>
      </c>
      <c r="AA34" s="419">
        <v>1248.5714285714282</v>
      </c>
      <c r="AB34" s="419">
        <v>69.365079365079339</v>
      </c>
      <c r="AC34" s="428">
        <f t="shared" si="26"/>
        <v>11</v>
      </c>
      <c r="AD34" s="628"/>
      <c r="AE34" s="418">
        <v>18</v>
      </c>
      <c r="AF34" s="419">
        <v>1231.5789473684201</v>
      </c>
      <c r="AG34" s="419">
        <v>68.421052631578902</v>
      </c>
      <c r="AH34" s="428">
        <f t="shared" si="27"/>
        <v>10</v>
      </c>
      <c r="AI34" s="628"/>
      <c r="AJ34" s="418">
        <v>18</v>
      </c>
      <c r="AK34" s="419">
        <v>1229.3023255813951</v>
      </c>
      <c r="AL34" s="419">
        <v>68.294573643410843</v>
      </c>
      <c r="AM34" s="428">
        <f t="shared" si="28"/>
        <v>10</v>
      </c>
      <c r="AN34" s="628"/>
      <c r="AO34" s="418">
        <v>18</v>
      </c>
      <c r="AP34" s="419">
        <v>1240</v>
      </c>
      <c r="AQ34" s="419">
        <v>68.888888888888886</v>
      </c>
      <c r="AR34" s="428">
        <f t="shared" si="29"/>
        <v>11</v>
      </c>
      <c r="AS34" s="628"/>
      <c r="AT34" s="418">
        <v>18</v>
      </c>
      <c r="AU34" s="419">
        <v>1229.3333333333333</v>
      </c>
      <c r="AV34" s="419">
        <v>68.296296296296291</v>
      </c>
      <c r="AW34" s="428">
        <f t="shared" si="30"/>
        <v>11</v>
      </c>
      <c r="AX34" s="565"/>
      <c r="AZ34" s="407" t="e">
        <f t="shared" si="22"/>
        <v>#N/A</v>
      </c>
      <c r="BA34" s="560"/>
    </row>
    <row r="35" spans="2:53">
      <c r="B35" s="570"/>
      <c r="C35" s="418">
        <v>9</v>
      </c>
      <c r="D35" s="226" t="s">
        <v>531</v>
      </c>
      <c r="E35" s="425">
        <v>16</v>
      </c>
      <c r="F35" s="418">
        <v>1440</v>
      </c>
      <c r="G35" s="419">
        <v>90</v>
      </c>
      <c r="H35" s="628"/>
      <c r="I35" s="422">
        <f t="shared" si="19"/>
        <v>16</v>
      </c>
      <c r="J35" s="422">
        <f t="shared" si="20"/>
        <v>1340.274685964617</v>
      </c>
      <c r="K35" s="200">
        <f t="shared" si="21"/>
        <v>83.767167872788562</v>
      </c>
      <c r="L35" s="581"/>
      <c r="M35" s="431">
        <f>RANK(K35, K$24:$K$41)</f>
        <v>2</v>
      </c>
      <c r="N35" s="564"/>
      <c r="O35" s="564"/>
      <c r="P35" s="418">
        <v>16</v>
      </c>
      <c r="Q35" s="419">
        <v>1368.4799999999998</v>
      </c>
      <c r="R35" s="419">
        <v>85.529999999999987</v>
      </c>
      <c r="S35" s="428">
        <f t="shared" si="24"/>
        <v>2</v>
      </c>
      <c r="T35" s="628"/>
      <c r="U35" s="418">
        <v>16</v>
      </c>
      <c r="V35" s="419">
        <v>1353.6842105263167</v>
      </c>
      <c r="W35" s="419">
        <v>84.605263157894797</v>
      </c>
      <c r="X35" s="428">
        <f t="shared" si="25"/>
        <v>2</v>
      </c>
      <c r="Y35" s="628"/>
      <c r="Z35" s="418">
        <v>16</v>
      </c>
      <c r="AA35" s="419">
        <v>1330.8510638297876</v>
      </c>
      <c r="AB35" s="419">
        <v>83.178191489361723</v>
      </c>
      <c r="AC35" s="428">
        <f t="shared" si="26"/>
        <v>2</v>
      </c>
      <c r="AD35" s="628"/>
      <c r="AE35" s="418">
        <v>16</v>
      </c>
      <c r="AF35" s="419">
        <v>1326.1855670103096</v>
      </c>
      <c r="AG35" s="419">
        <v>82.886597938144348</v>
      </c>
      <c r="AH35" s="428">
        <f t="shared" si="27"/>
        <v>2</v>
      </c>
      <c r="AI35" s="628"/>
      <c r="AJ35" s="418">
        <v>16</v>
      </c>
      <c r="AK35" s="419">
        <v>1319.4174757281558</v>
      </c>
      <c r="AL35" s="419">
        <v>82.463592233009734</v>
      </c>
      <c r="AM35" s="428">
        <f t="shared" si="28"/>
        <v>2</v>
      </c>
      <c r="AN35" s="628"/>
      <c r="AO35" s="418">
        <v>16</v>
      </c>
      <c r="AP35" s="419">
        <v>1349.7560975609751</v>
      </c>
      <c r="AQ35" s="419">
        <v>84.359756097560947</v>
      </c>
      <c r="AR35" s="428">
        <f t="shared" si="29"/>
        <v>2</v>
      </c>
      <c r="AS35" s="628"/>
      <c r="AT35" s="418">
        <v>16</v>
      </c>
      <c r="AU35" s="419">
        <v>1333.5483870967737</v>
      </c>
      <c r="AV35" s="419">
        <v>83.346774193548356</v>
      </c>
      <c r="AW35" s="428">
        <f t="shared" si="30"/>
        <v>2</v>
      </c>
      <c r="AX35" s="565"/>
      <c r="AZ35" s="407" t="e">
        <f t="shared" si="22"/>
        <v>#N/A</v>
      </c>
      <c r="BA35" s="560"/>
    </row>
    <row r="36" spans="2:53">
      <c r="B36" s="570"/>
      <c r="C36" s="418">
        <v>10</v>
      </c>
      <c r="D36" s="226" t="s">
        <v>598</v>
      </c>
      <c r="E36" s="425">
        <v>19</v>
      </c>
      <c r="F36" s="418">
        <v>1440</v>
      </c>
      <c r="G36" s="419">
        <v>75.8</v>
      </c>
      <c r="H36" s="628"/>
      <c r="I36" s="422">
        <f t="shared" si="19"/>
        <v>19</v>
      </c>
      <c r="J36" s="422">
        <f t="shared" si="20"/>
        <v>1324.7081938717179</v>
      </c>
      <c r="K36" s="200">
        <f t="shared" si="21"/>
        <v>69.721483887985158</v>
      </c>
      <c r="L36" s="581"/>
      <c r="M36" s="431">
        <f>RANK(K36, K$24:$K$41)</f>
        <v>9</v>
      </c>
      <c r="N36" s="564"/>
      <c r="O36" s="564"/>
      <c r="P36" s="418">
        <v>19</v>
      </c>
      <c r="Q36" s="419">
        <v>1334.9538461538459</v>
      </c>
      <c r="R36" s="419">
        <v>70.260728744939257</v>
      </c>
      <c r="S36" s="428">
        <f t="shared" si="24"/>
        <v>9</v>
      </c>
      <c r="T36" s="628"/>
      <c r="U36" s="418">
        <v>19</v>
      </c>
      <c r="V36" s="419">
        <v>1319.3818181818185</v>
      </c>
      <c r="W36" s="419">
        <v>69.441148325358867</v>
      </c>
      <c r="X36" s="428">
        <f t="shared" si="25"/>
        <v>10</v>
      </c>
      <c r="Y36" s="628"/>
      <c r="Z36" s="418">
        <v>19</v>
      </c>
      <c r="AA36" s="419">
        <v>1324.7658227848101</v>
      </c>
      <c r="AB36" s="419">
        <v>69.72451698867421</v>
      </c>
      <c r="AC36" s="428">
        <f t="shared" si="26"/>
        <v>10</v>
      </c>
      <c r="AD36" s="628"/>
      <c r="AE36" s="418">
        <v>19</v>
      </c>
      <c r="AF36" s="419">
        <v>1317.2448979591834</v>
      </c>
      <c r="AG36" s="419">
        <v>69.328678839957021</v>
      </c>
      <c r="AH36" s="428">
        <f t="shared" si="27"/>
        <v>9</v>
      </c>
      <c r="AI36" s="628"/>
      <c r="AJ36" s="418">
        <v>19</v>
      </c>
      <c r="AK36" s="419">
        <v>1333.5974025974026</v>
      </c>
      <c r="AL36" s="419">
        <v>70.189336978810658</v>
      </c>
      <c r="AM36" s="428">
        <f t="shared" si="28"/>
        <v>9</v>
      </c>
      <c r="AN36" s="628"/>
      <c r="AO36" s="418">
        <v>19</v>
      </c>
      <c r="AP36" s="419">
        <v>1318.4516129032256</v>
      </c>
      <c r="AQ36" s="419">
        <v>69.392190152801348</v>
      </c>
      <c r="AR36" s="428">
        <f t="shared" si="29"/>
        <v>10</v>
      </c>
      <c r="AS36" s="628"/>
      <c r="AT36" s="418">
        <v>19</v>
      </c>
      <c r="AU36" s="419">
        <v>1324.5619565217391</v>
      </c>
      <c r="AV36" s="419">
        <v>69.71378718535469</v>
      </c>
      <c r="AW36" s="428">
        <f t="shared" si="30"/>
        <v>10</v>
      </c>
      <c r="AX36" s="565"/>
      <c r="AZ36" s="407" t="e">
        <f t="shared" si="22"/>
        <v>#N/A</v>
      </c>
      <c r="BA36" s="560"/>
    </row>
    <row r="37" spans="2:53">
      <c r="B37" s="570"/>
      <c r="C37" s="418">
        <v>11</v>
      </c>
      <c r="D37" s="226" t="s">
        <v>636</v>
      </c>
      <c r="E37" s="425">
        <v>19</v>
      </c>
      <c r="F37" s="418">
        <v>1440</v>
      </c>
      <c r="G37" s="419">
        <v>75.8</v>
      </c>
      <c r="H37" s="628"/>
      <c r="I37" s="422">
        <f t="shared" si="19"/>
        <v>18.142857142857142</v>
      </c>
      <c r="J37" s="422">
        <f t="shared" si="20"/>
        <v>1237.7642644006041</v>
      </c>
      <c r="K37" s="200">
        <f t="shared" si="21"/>
        <v>68.308071079899904</v>
      </c>
      <c r="L37" s="581"/>
      <c r="M37" s="431">
        <f>RANK(K37, K$24:$K$41)</f>
        <v>11</v>
      </c>
      <c r="N37" s="564"/>
      <c r="O37" s="564"/>
      <c r="P37" s="418">
        <v>18</v>
      </c>
      <c r="Q37" s="419">
        <v>1299.3749999999982</v>
      </c>
      <c r="R37" s="419">
        <v>72.187499999999901</v>
      </c>
      <c r="S37" s="428">
        <f t="shared" si="24"/>
        <v>6</v>
      </c>
      <c r="T37" s="628"/>
      <c r="U37" s="418">
        <v>18</v>
      </c>
      <c r="V37" s="419">
        <v>1285.1612903225787</v>
      </c>
      <c r="W37" s="419">
        <v>71.397849462365485</v>
      </c>
      <c r="X37" s="428">
        <f t="shared" si="25"/>
        <v>9</v>
      </c>
      <c r="Y37" s="628"/>
      <c r="Z37" s="418">
        <v>18</v>
      </c>
      <c r="AA37" s="419">
        <v>1295.172413793101</v>
      </c>
      <c r="AB37" s="419">
        <v>71.954022988505614</v>
      </c>
      <c r="AC37" s="428">
        <f t="shared" si="26"/>
        <v>8</v>
      </c>
      <c r="AD37" s="628"/>
      <c r="AE37" s="418">
        <v>18</v>
      </c>
      <c r="AF37" s="419">
        <v>1095.5555555555529</v>
      </c>
      <c r="AG37" s="419">
        <v>60.864197530864054</v>
      </c>
      <c r="AH37" s="428">
        <f t="shared" si="27"/>
        <v>12</v>
      </c>
      <c r="AI37" s="628"/>
      <c r="AJ37" s="418">
        <v>19</v>
      </c>
      <c r="AK37" s="419">
        <v>1093.1249999999984</v>
      </c>
      <c r="AL37" s="419">
        <v>57.532894736842024</v>
      </c>
      <c r="AM37" s="428">
        <f t="shared" si="28"/>
        <v>12</v>
      </c>
      <c r="AN37" s="628"/>
      <c r="AO37" s="418">
        <v>18</v>
      </c>
      <c r="AP37" s="419">
        <v>1302.8571428571402</v>
      </c>
      <c r="AQ37" s="419">
        <v>72.380952380952237</v>
      </c>
      <c r="AR37" s="428">
        <f t="shared" si="29"/>
        <v>6</v>
      </c>
      <c r="AS37" s="628"/>
      <c r="AT37" s="418">
        <v>18</v>
      </c>
      <c r="AU37" s="419">
        <v>1293.1034482758596</v>
      </c>
      <c r="AV37" s="419">
        <v>71.839080459769974</v>
      </c>
      <c r="AW37" s="428">
        <f t="shared" si="30"/>
        <v>7</v>
      </c>
      <c r="AX37" s="565"/>
      <c r="AZ37" s="407" t="e">
        <f t="shared" si="22"/>
        <v>#N/A</v>
      </c>
      <c r="BA37" s="560"/>
    </row>
    <row r="38" spans="2:53">
      <c r="B38" s="570"/>
      <c r="C38" s="418">
        <v>12</v>
      </c>
      <c r="D38" s="226" t="s">
        <v>643</v>
      </c>
      <c r="E38" s="425">
        <v>15</v>
      </c>
      <c r="F38" s="418">
        <v>1440</v>
      </c>
      <c r="G38" s="419">
        <v>96</v>
      </c>
      <c r="H38" s="628"/>
      <c r="I38" s="422">
        <f t="shared" si="19"/>
        <v>15</v>
      </c>
      <c r="J38" s="422">
        <f t="shared" si="20"/>
        <v>1345.5956740754511</v>
      </c>
      <c r="K38" s="200">
        <f t="shared" si="21"/>
        <v>89.706378271696735</v>
      </c>
      <c r="L38" s="581"/>
      <c r="M38" s="431">
        <f>RANK(K38, K$24:$K$41)</f>
        <v>1</v>
      </c>
      <c r="N38" s="564"/>
      <c r="O38" s="564"/>
      <c r="P38" s="418">
        <v>15</v>
      </c>
      <c r="Q38" s="419">
        <v>1360.8750000000007</v>
      </c>
      <c r="R38" s="419">
        <v>90.725000000000051</v>
      </c>
      <c r="S38" s="428">
        <f t="shared" si="24"/>
        <v>1</v>
      </c>
      <c r="T38" s="628"/>
      <c r="U38" s="418">
        <v>15</v>
      </c>
      <c r="V38" s="419">
        <v>1355.4574468085111</v>
      </c>
      <c r="W38" s="419">
        <v>90.363829787234081</v>
      </c>
      <c r="X38" s="428">
        <f t="shared" si="25"/>
        <v>1</v>
      </c>
      <c r="Y38" s="628"/>
      <c r="Z38" s="418">
        <v>15</v>
      </c>
      <c r="AA38" s="419">
        <v>1360.1797752808989</v>
      </c>
      <c r="AB38" s="419">
        <v>90.678651685393262</v>
      </c>
      <c r="AC38" s="428">
        <f t="shared" si="26"/>
        <v>1</v>
      </c>
      <c r="AD38" s="628"/>
      <c r="AE38" s="418">
        <v>15</v>
      </c>
      <c r="AF38" s="419">
        <v>1335.9999999999993</v>
      </c>
      <c r="AG38" s="419">
        <v>89.06666666666662</v>
      </c>
      <c r="AH38" s="428">
        <f t="shared" si="27"/>
        <v>1</v>
      </c>
      <c r="AI38" s="628"/>
      <c r="AJ38" s="418">
        <v>15</v>
      </c>
      <c r="AK38" s="419">
        <v>1349.5925925925922</v>
      </c>
      <c r="AL38" s="419">
        <v>89.972839506172804</v>
      </c>
      <c r="AM38" s="428">
        <f t="shared" si="28"/>
        <v>1</v>
      </c>
      <c r="AN38" s="628"/>
      <c r="AO38" s="418">
        <v>15</v>
      </c>
      <c r="AP38" s="419">
        <v>1353.2187500000005</v>
      </c>
      <c r="AQ38" s="419">
        <v>90.214583333333366</v>
      </c>
      <c r="AR38" s="428">
        <f t="shared" si="29"/>
        <v>1</v>
      </c>
      <c r="AS38" s="628"/>
      <c r="AT38" s="418">
        <v>15</v>
      </c>
      <c r="AU38" s="419">
        <v>1303.8461538461538</v>
      </c>
      <c r="AV38" s="419">
        <v>86.92307692307692</v>
      </c>
      <c r="AW38" s="428">
        <f t="shared" si="30"/>
        <v>1</v>
      </c>
      <c r="AX38" s="565"/>
      <c r="AZ38" s="407" t="e">
        <f t="shared" si="22"/>
        <v>#N/A</v>
      </c>
      <c r="BA38" s="560"/>
    </row>
    <row r="39" spans="2:53">
      <c r="B39" s="570"/>
      <c r="C39" s="418">
        <v>13</v>
      </c>
      <c r="D39" s="226"/>
      <c r="E39" s="425"/>
      <c r="F39" s="418"/>
      <c r="G39" s="419"/>
      <c r="H39" s="628"/>
      <c r="I39" s="422" t="str">
        <f t="shared" si="19"/>
        <v>-</v>
      </c>
      <c r="J39" s="422" t="str">
        <f t="shared" si="20"/>
        <v>-</v>
      </c>
      <c r="K39" s="200" t="str">
        <f t="shared" si="21"/>
        <v>-</v>
      </c>
      <c r="L39" s="581"/>
      <c r="M39" s="431" t="e">
        <f>RANK(K39, K$24:$K$41)</f>
        <v>#VALUE!</v>
      </c>
      <c r="N39" s="564"/>
      <c r="O39" s="564"/>
      <c r="P39" s="418"/>
      <c r="Q39" s="419"/>
      <c r="R39" s="419"/>
      <c r="S39" s="428" t="e">
        <f t="shared" si="24"/>
        <v>#N/A</v>
      </c>
      <c r="T39" s="628"/>
      <c r="U39" s="418"/>
      <c r="V39" s="419"/>
      <c r="W39" s="419"/>
      <c r="X39" s="428" t="e">
        <f t="shared" si="25"/>
        <v>#N/A</v>
      </c>
      <c r="Y39" s="628"/>
      <c r="Z39" s="418"/>
      <c r="AA39" s="419"/>
      <c r="AB39" s="419"/>
      <c r="AC39" s="428" t="e">
        <f t="shared" si="26"/>
        <v>#N/A</v>
      </c>
      <c r="AD39" s="628"/>
      <c r="AE39" s="418"/>
      <c r="AF39" s="419"/>
      <c r="AG39" s="419"/>
      <c r="AH39" s="428" t="e">
        <f t="shared" si="27"/>
        <v>#N/A</v>
      </c>
      <c r="AI39" s="628"/>
      <c r="AJ39" s="418"/>
      <c r="AK39" s="419"/>
      <c r="AL39" s="419"/>
      <c r="AM39" s="428" t="e">
        <f t="shared" si="28"/>
        <v>#N/A</v>
      </c>
      <c r="AN39" s="628"/>
      <c r="AO39" s="418"/>
      <c r="AP39" s="419"/>
      <c r="AQ39" s="419"/>
      <c r="AR39" s="428" t="e">
        <f t="shared" si="29"/>
        <v>#N/A</v>
      </c>
      <c r="AS39" s="628"/>
      <c r="AT39" s="418"/>
      <c r="AU39" s="419"/>
      <c r="AV39" s="419"/>
      <c r="AW39" s="428" t="e">
        <f t="shared" si="30"/>
        <v>#N/A</v>
      </c>
      <c r="AX39" s="565"/>
      <c r="AZ39" s="407" t="e">
        <f t="shared" si="22"/>
        <v>#N/A</v>
      </c>
      <c r="BA39" s="560"/>
    </row>
    <row r="40" spans="2:53">
      <c r="B40" s="570"/>
      <c r="C40" s="418">
        <v>14</v>
      </c>
      <c r="D40" s="226"/>
      <c r="E40" s="425"/>
      <c r="F40" s="418"/>
      <c r="G40" s="419"/>
      <c r="H40" s="628"/>
      <c r="I40" s="422" t="str">
        <f t="shared" si="19"/>
        <v>-</v>
      </c>
      <c r="J40" s="422" t="str">
        <f t="shared" si="20"/>
        <v>-</v>
      </c>
      <c r="K40" s="200" t="str">
        <f t="shared" si="21"/>
        <v>-</v>
      </c>
      <c r="L40" s="581"/>
      <c r="M40" s="431" t="e">
        <f>RANK(K40, K$24:$K$41)</f>
        <v>#VALUE!</v>
      </c>
      <c r="N40" s="564"/>
      <c r="O40" s="564"/>
      <c r="P40" s="418"/>
      <c r="Q40" s="419"/>
      <c r="R40" s="419"/>
      <c r="S40" s="428" t="e">
        <f t="shared" si="24"/>
        <v>#N/A</v>
      </c>
      <c r="T40" s="628"/>
      <c r="U40" s="418"/>
      <c r="V40" s="419"/>
      <c r="W40" s="419"/>
      <c r="X40" s="428" t="e">
        <f t="shared" si="25"/>
        <v>#N/A</v>
      </c>
      <c r="Y40" s="628"/>
      <c r="Z40" s="418"/>
      <c r="AA40" s="419"/>
      <c r="AB40" s="419"/>
      <c r="AC40" s="428" t="e">
        <f t="shared" si="26"/>
        <v>#N/A</v>
      </c>
      <c r="AD40" s="628"/>
      <c r="AE40" s="418"/>
      <c r="AF40" s="419"/>
      <c r="AG40" s="419"/>
      <c r="AH40" s="428" t="e">
        <f t="shared" si="27"/>
        <v>#N/A</v>
      </c>
      <c r="AI40" s="628"/>
      <c r="AJ40" s="418"/>
      <c r="AK40" s="419"/>
      <c r="AL40" s="419"/>
      <c r="AM40" s="428" t="e">
        <f t="shared" si="28"/>
        <v>#N/A</v>
      </c>
      <c r="AN40" s="628"/>
      <c r="AO40" s="418"/>
      <c r="AP40" s="419"/>
      <c r="AQ40" s="419"/>
      <c r="AR40" s="428" t="e">
        <f t="shared" si="29"/>
        <v>#N/A</v>
      </c>
      <c r="AS40" s="628"/>
      <c r="AT40" s="418"/>
      <c r="AU40" s="419"/>
      <c r="AV40" s="419"/>
      <c r="AW40" s="428" t="e">
        <f t="shared" si="30"/>
        <v>#N/A</v>
      </c>
      <c r="AX40" s="565"/>
      <c r="AZ40" s="407" t="e">
        <f t="shared" si="22"/>
        <v>#N/A</v>
      </c>
      <c r="BA40" s="560"/>
    </row>
    <row r="41" spans="2:53">
      <c r="B41" s="570"/>
      <c r="C41" s="418">
        <v>15</v>
      </c>
      <c r="D41" s="226"/>
      <c r="E41" s="425"/>
      <c r="F41" s="418"/>
      <c r="G41" s="419"/>
      <c r="H41" s="629"/>
      <c r="I41" s="202"/>
      <c r="J41" s="202"/>
      <c r="K41" s="202"/>
      <c r="L41" s="582"/>
      <c r="M41" s="429" t="e">
        <f>RANK(K41, K$24:$K$41)</f>
        <v>#N/A</v>
      </c>
      <c r="N41" s="564"/>
      <c r="O41" s="564"/>
      <c r="P41" s="418"/>
      <c r="Q41" s="419"/>
      <c r="R41" s="419"/>
      <c r="S41" s="428" t="e">
        <f t="shared" si="24"/>
        <v>#N/A</v>
      </c>
      <c r="T41" s="629"/>
      <c r="U41" s="418"/>
      <c r="V41" s="419"/>
      <c r="W41" s="419"/>
      <c r="X41" s="428" t="e">
        <f t="shared" si="25"/>
        <v>#N/A</v>
      </c>
      <c r="Y41" s="629"/>
      <c r="Z41" s="418"/>
      <c r="AA41" s="419"/>
      <c r="AB41" s="419"/>
      <c r="AC41" s="428" t="e">
        <f t="shared" si="26"/>
        <v>#N/A</v>
      </c>
      <c r="AD41" s="629"/>
      <c r="AE41" s="418"/>
      <c r="AF41" s="419"/>
      <c r="AG41" s="419"/>
      <c r="AH41" s="428" t="e">
        <f t="shared" si="27"/>
        <v>#N/A</v>
      </c>
      <c r="AI41" s="629"/>
      <c r="AJ41" s="418"/>
      <c r="AK41" s="419"/>
      <c r="AL41" s="419"/>
      <c r="AM41" s="428" t="e">
        <f t="shared" si="28"/>
        <v>#N/A</v>
      </c>
      <c r="AN41" s="629"/>
      <c r="AO41" s="418"/>
      <c r="AP41" s="419"/>
      <c r="AQ41" s="419"/>
      <c r="AR41" s="428" t="e">
        <f t="shared" si="29"/>
        <v>#N/A</v>
      </c>
      <c r="AS41" s="629"/>
      <c r="AT41" s="418"/>
      <c r="AU41" s="419"/>
      <c r="AV41" s="419"/>
      <c r="AW41" s="428" t="e">
        <f t="shared" si="30"/>
        <v>#N/A</v>
      </c>
      <c r="AX41" s="565"/>
      <c r="AZ41" s="407" t="e">
        <f t="shared" si="22"/>
        <v>#N/A</v>
      </c>
      <c r="BA41" s="561"/>
    </row>
    <row r="42" spans="2:53" ht="15.75">
      <c r="B42" s="608" t="s">
        <v>163</v>
      </c>
      <c r="C42" s="609"/>
      <c r="D42" s="609"/>
      <c r="E42" s="609"/>
      <c r="F42" s="609"/>
      <c r="G42" s="609"/>
      <c r="H42" s="609"/>
      <c r="I42" s="208"/>
      <c r="J42" s="203"/>
      <c r="K42" s="208"/>
      <c r="L42" s="208"/>
      <c r="M42" s="204"/>
      <c r="N42" s="566" t="s">
        <v>156</v>
      </c>
      <c r="O42" s="566" t="s">
        <v>105</v>
      </c>
      <c r="P42" s="592">
        <f>P22+7</f>
        <v>46154</v>
      </c>
      <c r="Q42" s="570"/>
      <c r="R42" s="570"/>
      <c r="S42" s="570"/>
      <c r="T42" s="570"/>
      <c r="U42" s="589">
        <f>P42+1</f>
        <v>46155</v>
      </c>
      <c r="V42" s="590"/>
      <c r="W42" s="590"/>
      <c r="X42" s="590"/>
      <c r="Y42" s="591"/>
      <c r="Z42" s="589">
        <f>U42+1</f>
        <v>46156</v>
      </c>
      <c r="AA42" s="590"/>
      <c r="AB42" s="590"/>
      <c r="AC42" s="590"/>
      <c r="AD42" s="591"/>
      <c r="AE42" s="589">
        <f>Z42+1</f>
        <v>46157</v>
      </c>
      <c r="AF42" s="590"/>
      <c r="AG42" s="590"/>
      <c r="AH42" s="590"/>
      <c r="AI42" s="591"/>
      <c r="AJ42" s="589">
        <f>AE42+1</f>
        <v>46158</v>
      </c>
      <c r="AK42" s="590"/>
      <c r="AL42" s="590"/>
      <c r="AM42" s="590"/>
      <c r="AN42" s="591"/>
      <c r="AO42" s="589">
        <f>AJ42+1</f>
        <v>46159</v>
      </c>
      <c r="AP42" s="590"/>
      <c r="AQ42" s="590"/>
      <c r="AR42" s="590"/>
      <c r="AS42" s="591"/>
      <c r="AT42" s="589">
        <f>AO42+1</f>
        <v>46160</v>
      </c>
      <c r="AU42" s="590"/>
      <c r="AV42" s="590"/>
      <c r="AW42" s="590"/>
      <c r="AX42" s="591"/>
    </row>
    <row r="43" spans="2:53" ht="15.75">
      <c r="B43" s="596"/>
      <c r="C43" s="596"/>
      <c r="D43" s="596"/>
      <c r="E43" s="596"/>
      <c r="F43" s="596"/>
      <c r="G43" s="596"/>
      <c r="H43" s="596"/>
      <c r="I43" s="205"/>
      <c r="J43" s="205"/>
      <c r="K43" s="205"/>
      <c r="L43" s="205"/>
      <c r="M43" s="206"/>
      <c r="N43" s="568"/>
      <c r="O43" s="568"/>
      <c r="P43" s="592" t="s">
        <v>318</v>
      </c>
      <c r="Q43" s="570"/>
      <c r="R43" s="570"/>
      <c r="S43" s="570"/>
      <c r="T43" s="570"/>
      <c r="U43" s="592" t="s">
        <v>319</v>
      </c>
      <c r="V43" s="570"/>
      <c r="W43" s="570"/>
      <c r="X43" s="570"/>
      <c r="Y43" s="570"/>
      <c r="Z43" s="592" t="s">
        <v>320</v>
      </c>
      <c r="AA43" s="570"/>
      <c r="AB43" s="570"/>
      <c r="AC43" s="570"/>
      <c r="AD43" s="570"/>
      <c r="AE43" s="592" t="s">
        <v>321</v>
      </c>
      <c r="AF43" s="570"/>
      <c r="AG43" s="570"/>
      <c r="AH43" s="570"/>
      <c r="AI43" s="570"/>
      <c r="AJ43" s="592" t="s">
        <v>322</v>
      </c>
      <c r="AK43" s="570"/>
      <c r="AL43" s="570"/>
      <c r="AM43" s="570"/>
      <c r="AN43" s="570"/>
      <c r="AO43" s="592" t="s">
        <v>323</v>
      </c>
      <c r="AP43" s="570"/>
      <c r="AQ43" s="570"/>
      <c r="AR43" s="570"/>
      <c r="AS43" s="570"/>
      <c r="AT43" s="592" t="s">
        <v>324</v>
      </c>
      <c r="AU43" s="570"/>
      <c r="AV43" s="570"/>
      <c r="AW43" s="570"/>
      <c r="AX43" s="570"/>
    </row>
    <row r="44" spans="2:53">
      <c r="B44" s="564" t="s">
        <v>468</v>
      </c>
      <c r="C44" s="564" t="s">
        <v>387</v>
      </c>
      <c r="D44" s="564"/>
      <c r="E44" s="564" t="s">
        <v>378</v>
      </c>
      <c r="F44" s="564"/>
      <c r="G44" s="564"/>
      <c r="H44" s="597" t="s">
        <v>374</v>
      </c>
      <c r="I44" s="616" t="s">
        <v>379</v>
      </c>
      <c r="J44" s="616"/>
      <c r="K44" s="616"/>
      <c r="L44" s="617" t="s">
        <v>374</v>
      </c>
      <c r="M44" s="602" t="s">
        <v>375</v>
      </c>
      <c r="N44" s="564"/>
      <c r="O44" s="564" t="s">
        <v>380</v>
      </c>
      <c r="P44" s="583" t="s">
        <v>376</v>
      </c>
      <c r="Q44" s="584"/>
      <c r="R44" s="584"/>
      <c r="S44" s="585"/>
      <c r="T44" s="564" t="s">
        <v>374</v>
      </c>
      <c r="U44" s="583" t="s">
        <v>376</v>
      </c>
      <c r="V44" s="584"/>
      <c r="W44" s="584"/>
      <c r="X44" s="585"/>
      <c r="Y44" s="564" t="s">
        <v>374</v>
      </c>
      <c r="Z44" s="583" t="s">
        <v>376</v>
      </c>
      <c r="AA44" s="584"/>
      <c r="AB44" s="584"/>
      <c r="AC44" s="585"/>
      <c r="AD44" s="564" t="s">
        <v>374</v>
      </c>
      <c r="AE44" s="583" t="s">
        <v>376</v>
      </c>
      <c r="AF44" s="584"/>
      <c r="AG44" s="584"/>
      <c r="AH44" s="585"/>
      <c r="AI44" s="564" t="s">
        <v>374</v>
      </c>
      <c r="AJ44" s="583" t="s">
        <v>376</v>
      </c>
      <c r="AK44" s="584"/>
      <c r="AL44" s="584"/>
      <c r="AM44" s="585"/>
      <c r="AN44" s="564" t="s">
        <v>374</v>
      </c>
      <c r="AO44" s="583" t="s">
        <v>376</v>
      </c>
      <c r="AP44" s="584"/>
      <c r="AQ44" s="584"/>
      <c r="AR44" s="585"/>
      <c r="AS44" s="564" t="s">
        <v>374</v>
      </c>
      <c r="AT44" s="583" t="s">
        <v>376</v>
      </c>
      <c r="AU44" s="584"/>
      <c r="AV44" s="584"/>
      <c r="AW44" s="585"/>
      <c r="AX44" s="564" t="s">
        <v>374</v>
      </c>
      <c r="BA44" s="564" t="s">
        <v>374</v>
      </c>
    </row>
    <row r="45" spans="2:53">
      <c r="B45" s="564"/>
      <c r="C45" s="564"/>
      <c r="D45" s="564"/>
      <c r="E45" s="564" t="s">
        <v>381</v>
      </c>
      <c r="F45" s="564"/>
      <c r="G45" s="564"/>
      <c r="H45" s="598"/>
      <c r="I45" s="616" t="s">
        <v>381</v>
      </c>
      <c r="J45" s="616"/>
      <c r="K45" s="616"/>
      <c r="L45" s="618"/>
      <c r="M45" s="603"/>
      <c r="N45" s="564"/>
      <c r="O45" s="564"/>
      <c r="P45" s="583" t="s">
        <v>382</v>
      </c>
      <c r="Q45" s="584"/>
      <c r="R45" s="584"/>
      <c r="S45" s="585"/>
      <c r="T45" s="564"/>
      <c r="U45" s="583" t="s">
        <v>382</v>
      </c>
      <c r="V45" s="584"/>
      <c r="W45" s="584"/>
      <c r="X45" s="585"/>
      <c r="Y45" s="564"/>
      <c r="Z45" s="583" t="s">
        <v>382</v>
      </c>
      <c r="AA45" s="584"/>
      <c r="AB45" s="584"/>
      <c r="AC45" s="585"/>
      <c r="AD45" s="564"/>
      <c r="AE45" s="583" t="s">
        <v>382</v>
      </c>
      <c r="AF45" s="584"/>
      <c r="AG45" s="584"/>
      <c r="AH45" s="585"/>
      <c r="AI45" s="564"/>
      <c r="AJ45" s="583" t="s">
        <v>382</v>
      </c>
      <c r="AK45" s="584"/>
      <c r="AL45" s="584"/>
      <c r="AM45" s="585"/>
      <c r="AN45" s="564"/>
      <c r="AO45" s="583" t="s">
        <v>382</v>
      </c>
      <c r="AP45" s="584"/>
      <c r="AQ45" s="584"/>
      <c r="AR45" s="585"/>
      <c r="AS45" s="564"/>
      <c r="AT45" s="583" t="s">
        <v>382</v>
      </c>
      <c r="AU45" s="584"/>
      <c r="AV45" s="584"/>
      <c r="AW45" s="585"/>
      <c r="AX45" s="564"/>
      <c r="BA45" s="564"/>
    </row>
    <row r="46" spans="2:53">
      <c r="B46" s="564"/>
      <c r="C46" s="564"/>
      <c r="D46" s="564"/>
      <c r="E46" s="417" t="s">
        <v>383</v>
      </c>
      <c r="F46" s="417" t="s">
        <v>384</v>
      </c>
      <c r="G46" s="417" t="s">
        <v>385</v>
      </c>
      <c r="H46" s="599"/>
      <c r="I46" s="416" t="s">
        <v>383</v>
      </c>
      <c r="J46" s="416" t="s">
        <v>384</v>
      </c>
      <c r="K46" s="416" t="s">
        <v>385</v>
      </c>
      <c r="L46" s="619"/>
      <c r="M46" s="604"/>
      <c r="N46" s="564"/>
      <c r="O46" s="564"/>
      <c r="P46" s="417" t="s">
        <v>383</v>
      </c>
      <c r="Q46" s="417" t="s">
        <v>384</v>
      </c>
      <c r="R46" s="417" t="s">
        <v>385</v>
      </c>
      <c r="S46" s="417" t="s">
        <v>375</v>
      </c>
      <c r="T46" s="564"/>
      <c r="U46" s="417" t="s">
        <v>383</v>
      </c>
      <c r="V46" s="417" t="s">
        <v>384</v>
      </c>
      <c r="W46" s="417" t="s">
        <v>385</v>
      </c>
      <c r="X46" s="417" t="s">
        <v>375</v>
      </c>
      <c r="Y46" s="564"/>
      <c r="Z46" s="417" t="s">
        <v>383</v>
      </c>
      <c r="AA46" s="417" t="s">
        <v>384</v>
      </c>
      <c r="AB46" s="417" t="s">
        <v>385</v>
      </c>
      <c r="AC46" s="417" t="s">
        <v>375</v>
      </c>
      <c r="AD46" s="564"/>
      <c r="AE46" s="417" t="s">
        <v>383</v>
      </c>
      <c r="AF46" s="417" t="s">
        <v>384</v>
      </c>
      <c r="AG46" s="417" t="s">
        <v>385</v>
      </c>
      <c r="AH46" s="417" t="s">
        <v>375</v>
      </c>
      <c r="AI46" s="564"/>
      <c r="AJ46" s="417" t="s">
        <v>383</v>
      </c>
      <c r="AK46" s="417" t="s">
        <v>384</v>
      </c>
      <c r="AL46" s="417" t="s">
        <v>385</v>
      </c>
      <c r="AM46" s="417" t="s">
        <v>375</v>
      </c>
      <c r="AN46" s="564"/>
      <c r="AO46" s="417" t="s">
        <v>383</v>
      </c>
      <c r="AP46" s="417" t="s">
        <v>384</v>
      </c>
      <c r="AQ46" s="417" t="s">
        <v>385</v>
      </c>
      <c r="AR46" s="417" t="s">
        <v>375</v>
      </c>
      <c r="AS46" s="564"/>
      <c r="AT46" s="417" t="s">
        <v>383</v>
      </c>
      <c r="AU46" s="417" t="s">
        <v>384</v>
      </c>
      <c r="AV46" s="417" t="s">
        <v>385</v>
      </c>
      <c r="AW46" s="417" t="s">
        <v>375</v>
      </c>
      <c r="AX46" s="564"/>
      <c r="AZ46" s="406" t="s">
        <v>595</v>
      </c>
      <c r="BA46" s="564"/>
    </row>
    <row r="47" spans="2:53">
      <c r="B47" s="564" t="s">
        <v>482</v>
      </c>
      <c r="C47" s="418">
        <v>1</v>
      </c>
      <c r="D47" s="226" t="s">
        <v>812</v>
      </c>
      <c r="E47" s="425">
        <v>17</v>
      </c>
      <c r="F47" s="418">
        <v>1440</v>
      </c>
      <c r="G47" s="419">
        <v>96</v>
      </c>
      <c r="H47" s="627">
        <f>AVERAGE(G47:G61)</f>
        <v>81.423076923076906</v>
      </c>
      <c r="I47" s="422">
        <f t="shared" ref="I47:I60" si="31">IFERROR(AVERAGE(P47,U47,Z47,AE47,AJ47,AO47,AT47),"-")</f>
        <v>17</v>
      </c>
      <c r="J47" s="422">
        <f t="shared" ref="J47:J60" si="32">IFERROR(AVERAGE(Q47,V47,AA47,AF47,AK47,AP47,AU47),"-")</f>
        <v>1289.9784833886392</v>
      </c>
      <c r="K47" s="200">
        <f t="shared" ref="K47:K60" si="33">IFERROR(AVERAGE(R47,W47,AB47,AG47,AL47,AQ47,AV47),"-")</f>
        <v>75.881087258155247</v>
      </c>
      <c r="L47" s="580">
        <f>IFERROR(AVERAGE(K47:K61),"-")</f>
        <v>72.018958031120206</v>
      </c>
      <c r="M47" s="424">
        <f>RANK(K47, K$47:$K$61)</f>
        <v>4</v>
      </c>
      <c r="N47" s="564"/>
      <c r="O47" s="564"/>
      <c r="P47" s="498">
        <v>17</v>
      </c>
      <c r="Q47" s="425">
        <v>1292.6652631578947</v>
      </c>
      <c r="R47" s="425">
        <v>76.039133126934985</v>
      </c>
      <c r="S47" s="498">
        <f t="shared" ref="S47:S61" si="34">RANK(R47, R$47:R$61)</f>
        <v>4</v>
      </c>
      <c r="T47" s="559">
        <f t="shared" ref="T47" si="35">AVERAGE(R47:R61)</f>
        <v>72.216362399116008</v>
      </c>
      <c r="U47" s="498">
        <v>17</v>
      </c>
      <c r="V47" s="425">
        <v>1278.0865979381447</v>
      </c>
      <c r="W47" s="425">
        <v>75.181564584596742</v>
      </c>
      <c r="X47" s="498">
        <f t="shared" ref="X47:X61" si="36">RANK(W47, W$47:W$61)</f>
        <v>5</v>
      </c>
      <c r="Y47" s="559">
        <f t="shared" ref="Y47" si="37">AVERAGE(W47:W61)</f>
        <v>72.531197906457635</v>
      </c>
      <c r="Z47" s="498">
        <v>17</v>
      </c>
      <c r="AA47" s="425">
        <v>1306.2000000000005</v>
      </c>
      <c r="AB47" s="425">
        <v>76.835294117647095</v>
      </c>
      <c r="AC47" s="498">
        <f t="shared" ref="AC47:AC61" si="38">RANK(AB47, AB$47:AB$61)</f>
        <v>4</v>
      </c>
      <c r="AD47" s="559">
        <f t="shared" ref="AD47" si="39">AVERAGE(AB47:AB61)</f>
        <v>72.048532639893565</v>
      </c>
      <c r="AE47" s="498">
        <v>17</v>
      </c>
      <c r="AF47" s="425">
        <v>1302.8399999999997</v>
      </c>
      <c r="AG47" s="425">
        <v>76.637647058823518</v>
      </c>
      <c r="AH47" s="498">
        <f t="shared" ref="AH47:AH61" si="40">RANK(AG47, AG$47:AG$61)</f>
        <v>4</v>
      </c>
      <c r="AI47" s="559">
        <f t="shared" ref="AI47" si="41">AVERAGE(AG47:AG61)</f>
        <v>70.822723926414852</v>
      </c>
      <c r="AJ47" s="498">
        <v>17</v>
      </c>
      <c r="AK47" s="425">
        <v>1291.1538461538469</v>
      </c>
      <c r="AL47" s="425">
        <v>75.950226244343938</v>
      </c>
      <c r="AM47" s="498">
        <f t="shared" ref="AM47:AM61" si="42">RANK(AL47, AL$47:AL$61)</f>
        <v>5</v>
      </c>
      <c r="AN47" s="559">
        <f t="shared" ref="AN47" si="43">AVERAGE(AL47:AL61)</f>
        <v>72.325799639715427</v>
      </c>
      <c r="AO47" s="498">
        <v>17</v>
      </c>
      <c r="AP47" s="425">
        <v>1265.9624999999996</v>
      </c>
      <c r="AQ47" s="425">
        <v>74.468382352941148</v>
      </c>
      <c r="AR47" s="498">
        <f t="shared" ref="AR47:AR61" si="44">RANK(AQ47, AQ$47:AQ$61)</f>
        <v>5</v>
      </c>
      <c r="AS47" s="559">
        <f t="shared" ref="AS47" si="45">AVERAGE(AQ47:AQ61)</f>
        <v>72.136463730541962</v>
      </c>
      <c r="AT47" s="498">
        <v>17</v>
      </c>
      <c r="AU47" s="425">
        <v>1292.9411764705887</v>
      </c>
      <c r="AV47" s="425">
        <v>76.055363321799334</v>
      </c>
      <c r="AW47" s="498">
        <f t="shared" ref="AW47:AW61" si="46">RANK(AV47, AV$47:AV$61)</f>
        <v>5</v>
      </c>
      <c r="AX47" s="559">
        <f t="shared" ref="AX47" si="47">AVERAGE(AV47:AV61)</f>
        <v>72.051625975702038</v>
      </c>
      <c r="AZ47" s="407" t="e">
        <f t="shared" ref="AZ47:AZ61" si="48">RANK(AY47, AY$47:AY$61)</f>
        <v>#N/A</v>
      </c>
      <c r="BA47" s="559" t="e">
        <f t="shared" ref="BA47" si="49">AVERAGE(AY47:AY61)</f>
        <v>#DIV/0!</v>
      </c>
    </row>
    <row r="48" spans="2:53">
      <c r="B48" s="570"/>
      <c r="C48" s="418">
        <v>2</v>
      </c>
      <c r="D48" s="226" t="s">
        <v>351</v>
      </c>
      <c r="E48" s="425">
        <v>18</v>
      </c>
      <c r="F48" s="418">
        <v>1440</v>
      </c>
      <c r="G48" s="419">
        <v>80</v>
      </c>
      <c r="H48" s="628"/>
      <c r="I48" s="422">
        <f t="shared" si="31"/>
        <v>18</v>
      </c>
      <c r="J48" s="422">
        <f t="shared" si="32"/>
        <v>1319.8933658930584</v>
      </c>
      <c r="K48" s="200">
        <f t="shared" si="33"/>
        <v>73.327409216281026</v>
      </c>
      <c r="L48" s="581"/>
      <c r="M48" s="500">
        <f>RANK(K48, K$47:$K$61)</f>
        <v>6</v>
      </c>
      <c r="N48" s="564"/>
      <c r="O48" s="564"/>
      <c r="P48" s="498">
        <v>18</v>
      </c>
      <c r="Q48" s="425">
        <v>1304.150943396226</v>
      </c>
      <c r="R48" s="425">
        <v>72.452830188679229</v>
      </c>
      <c r="S48" s="498">
        <f t="shared" si="34"/>
        <v>7</v>
      </c>
      <c r="T48" s="560"/>
      <c r="U48" s="498">
        <v>18</v>
      </c>
      <c r="V48" s="425">
        <v>1335.3333333333335</v>
      </c>
      <c r="W48" s="425">
        <v>74.18518518518519</v>
      </c>
      <c r="X48" s="498">
        <f t="shared" si="36"/>
        <v>6</v>
      </c>
      <c r="Y48" s="560"/>
      <c r="Z48" s="498">
        <v>18</v>
      </c>
      <c r="AA48" s="425">
        <v>1338.6206896551721</v>
      </c>
      <c r="AB48" s="425">
        <v>74.367816091954012</v>
      </c>
      <c r="AC48" s="498">
        <f t="shared" si="38"/>
        <v>6</v>
      </c>
      <c r="AD48" s="560"/>
      <c r="AE48" s="498">
        <v>18</v>
      </c>
      <c r="AF48" s="425">
        <v>1301.8421052631584</v>
      </c>
      <c r="AG48" s="425">
        <v>72.324561403508795</v>
      </c>
      <c r="AH48" s="498">
        <f t="shared" si="40"/>
        <v>6</v>
      </c>
      <c r="AI48" s="560"/>
      <c r="AJ48" s="498">
        <v>18</v>
      </c>
      <c r="AK48" s="425">
        <v>1314.7252747252746</v>
      </c>
      <c r="AL48" s="425">
        <v>73.040293040293037</v>
      </c>
      <c r="AM48" s="498">
        <f t="shared" si="42"/>
        <v>7</v>
      </c>
      <c r="AN48" s="560"/>
      <c r="AO48" s="498">
        <v>18</v>
      </c>
      <c r="AP48" s="425">
        <v>1334.8514851485154</v>
      </c>
      <c r="AQ48" s="425">
        <v>74.158415841584187</v>
      </c>
      <c r="AR48" s="498">
        <f t="shared" si="44"/>
        <v>6</v>
      </c>
      <c r="AS48" s="560"/>
      <c r="AT48" s="498">
        <v>18</v>
      </c>
      <c r="AU48" s="425">
        <v>1309.7297297297298</v>
      </c>
      <c r="AV48" s="425">
        <v>72.762762762762762</v>
      </c>
      <c r="AW48" s="498">
        <f t="shared" si="46"/>
        <v>7</v>
      </c>
      <c r="AX48" s="560"/>
      <c r="AZ48" s="407" t="e">
        <f t="shared" si="48"/>
        <v>#N/A</v>
      </c>
      <c r="BA48" s="560"/>
    </row>
    <row r="49" spans="2:53">
      <c r="B49" s="570"/>
      <c r="C49" s="418">
        <v>3</v>
      </c>
      <c r="D49" s="226" t="s">
        <v>352</v>
      </c>
      <c r="E49" s="425">
        <v>18</v>
      </c>
      <c r="F49" s="418">
        <v>1440</v>
      </c>
      <c r="G49" s="419">
        <v>80</v>
      </c>
      <c r="H49" s="628"/>
      <c r="I49" s="422">
        <f t="shared" si="31"/>
        <v>18</v>
      </c>
      <c r="J49" s="422">
        <f t="shared" si="32"/>
        <v>1316.0228724680344</v>
      </c>
      <c r="K49" s="200">
        <f t="shared" si="33"/>
        <v>73.112381803779684</v>
      </c>
      <c r="L49" s="581"/>
      <c r="M49" s="500">
        <f>RANK(K49, K$47:$K$61)</f>
        <v>7</v>
      </c>
      <c r="N49" s="564"/>
      <c r="O49" s="564"/>
      <c r="P49" s="498">
        <v>18</v>
      </c>
      <c r="Q49" s="425">
        <v>1304.5161290322594</v>
      </c>
      <c r="R49" s="425">
        <v>72.473118279569974</v>
      </c>
      <c r="S49" s="498">
        <f t="shared" si="34"/>
        <v>6</v>
      </c>
      <c r="T49" s="560"/>
      <c r="U49" s="498">
        <v>18</v>
      </c>
      <c r="V49" s="425">
        <v>1304.4000000000003</v>
      </c>
      <c r="W49" s="425">
        <v>72.466666666666683</v>
      </c>
      <c r="X49" s="498">
        <f t="shared" si="36"/>
        <v>7</v>
      </c>
      <c r="Y49" s="560"/>
      <c r="Z49" s="498">
        <v>18</v>
      </c>
      <c r="AA49" s="425">
        <v>1320.0000000000011</v>
      </c>
      <c r="AB49" s="425">
        <v>73.3333333333334</v>
      </c>
      <c r="AC49" s="498">
        <f t="shared" si="38"/>
        <v>7</v>
      </c>
      <c r="AD49" s="560"/>
      <c r="AE49" s="498">
        <v>18</v>
      </c>
      <c r="AF49" s="425">
        <v>1321.6666666666656</v>
      </c>
      <c r="AG49" s="425">
        <v>73.425925925925867</v>
      </c>
      <c r="AH49" s="498">
        <f t="shared" si="40"/>
        <v>5</v>
      </c>
      <c r="AI49" s="560"/>
      <c r="AJ49" s="498">
        <v>18</v>
      </c>
      <c r="AK49" s="425">
        <v>1330.76923076923</v>
      </c>
      <c r="AL49" s="425">
        <v>73.931623931623889</v>
      </c>
      <c r="AM49" s="498">
        <f t="shared" si="42"/>
        <v>6</v>
      </c>
      <c r="AN49" s="560"/>
      <c r="AO49" s="498">
        <v>18</v>
      </c>
      <c r="AP49" s="425">
        <v>1306.3636363636376</v>
      </c>
      <c r="AQ49" s="425">
        <v>72.575757575757649</v>
      </c>
      <c r="AR49" s="498">
        <f t="shared" si="44"/>
        <v>7</v>
      </c>
      <c r="AS49" s="560"/>
      <c r="AT49" s="498">
        <v>18</v>
      </c>
      <c r="AU49" s="425">
        <v>1324.4444444444453</v>
      </c>
      <c r="AV49" s="425">
        <v>73.580246913580297</v>
      </c>
      <c r="AW49" s="498">
        <f t="shared" si="46"/>
        <v>6</v>
      </c>
      <c r="AX49" s="560"/>
      <c r="AZ49" s="407" t="e">
        <f t="shared" si="48"/>
        <v>#N/A</v>
      </c>
      <c r="BA49" s="560"/>
    </row>
    <row r="50" spans="2:53">
      <c r="B50" s="570"/>
      <c r="C50" s="418">
        <v>4</v>
      </c>
      <c r="D50" s="226" t="s">
        <v>353</v>
      </c>
      <c r="E50" s="425">
        <v>17</v>
      </c>
      <c r="F50" s="418">
        <v>1440</v>
      </c>
      <c r="G50" s="419">
        <v>84.7</v>
      </c>
      <c r="H50" s="628"/>
      <c r="I50" s="422">
        <f t="shared" si="31"/>
        <v>17</v>
      </c>
      <c r="J50" s="422">
        <f t="shared" si="32"/>
        <v>1326.7180518116766</v>
      </c>
      <c r="K50" s="200">
        <f t="shared" si="33"/>
        <v>78.042238341863339</v>
      </c>
      <c r="L50" s="581"/>
      <c r="M50" s="500">
        <f>RANK(K50, K$47:$K$61)</f>
        <v>3</v>
      </c>
      <c r="N50" s="564"/>
      <c r="O50" s="564"/>
      <c r="P50" s="498">
        <v>17</v>
      </c>
      <c r="Q50" s="425">
        <v>1347.5744680851067</v>
      </c>
      <c r="R50" s="425">
        <v>79.269086357947458</v>
      </c>
      <c r="S50" s="498">
        <f t="shared" si="34"/>
        <v>3</v>
      </c>
      <c r="T50" s="560"/>
      <c r="U50" s="498">
        <v>17</v>
      </c>
      <c r="V50" s="425">
        <v>1337.4545454545455</v>
      </c>
      <c r="W50" s="425">
        <v>78.673796791443849</v>
      </c>
      <c r="X50" s="498">
        <f t="shared" si="36"/>
        <v>3</v>
      </c>
      <c r="Y50" s="560"/>
      <c r="Z50" s="498">
        <v>17</v>
      </c>
      <c r="AA50" s="425">
        <v>1315.0769230769224</v>
      </c>
      <c r="AB50" s="425">
        <v>77.357466063348383</v>
      </c>
      <c r="AC50" s="498">
        <f t="shared" si="38"/>
        <v>3</v>
      </c>
      <c r="AD50" s="560"/>
      <c r="AE50" s="498">
        <v>17</v>
      </c>
      <c r="AF50" s="425">
        <v>1311.7894736842095</v>
      </c>
      <c r="AG50" s="425">
        <v>77.164086687306437</v>
      </c>
      <c r="AH50" s="498">
        <f t="shared" si="40"/>
        <v>3</v>
      </c>
      <c r="AI50" s="560"/>
      <c r="AJ50" s="498">
        <v>17</v>
      </c>
      <c r="AK50" s="425">
        <v>1320.6666666666667</v>
      </c>
      <c r="AL50" s="425">
        <v>77.686274509803923</v>
      </c>
      <c r="AM50" s="498">
        <f t="shared" si="42"/>
        <v>3</v>
      </c>
      <c r="AN50" s="560"/>
      <c r="AO50" s="498">
        <v>17</v>
      </c>
      <c r="AP50" s="425">
        <v>1323.7500000000011</v>
      </c>
      <c r="AQ50" s="425">
        <v>77.867647058823593</v>
      </c>
      <c r="AR50" s="498">
        <f t="shared" si="44"/>
        <v>4</v>
      </c>
      <c r="AS50" s="560"/>
      <c r="AT50" s="498">
        <v>17</v>
      </c>
      <c r="AU50" s="425">
        <v>1330.7142857142849</v>
      </c>
      <c r="AV50" s="425">
        <v>78.277310924369701</v>
      </c>
      <c r="AW50" s="498">
        <f t="shared" si="46"/>
        <v>3</v>
      </c>
      <c r="AX50" s="560"/>
      <c r="AZ50" s="407" t="e">
        <f t="shared" si="48"/>
        <v>#N/A</v>
      </c>
      <c r="BA50" s="560"/>
    </row>
    <row r="51" spans="2:53">
      <c r="B51" s="570"/>
      <c r="C51" s="418">
        <v>5</v>
      </c>
      <c r="D51" s="226" t="s">
        <v>354</v>
      </c>
      <c r="E51" s="425">
        <v>17</v>
      </c>
      <c r="F51" s="418">
        <v>1440</v>
      </c>
      <c r="G51" s="419">
        <v>84.7</v>
      </c>
      <c r="H51" s="628"/>
      <c r="I51" s="422">
        <f t="shared" si="31"/>
        <v>17</v>
      </c>
      <c r="J51" s="422">
        <f t="shared" si="32"/>
        <v>1275.2226273155054</v>
      </c>
      <c r="K51" s="200">
        <f t="shared" si="33"/>
        <v>75.013095724441499</v>
      </c>
      <c r="L51" s="581"/>
      <c r="M51" s="500">
        <f>RANK(K51, K$47:$K$61)</f>
        <v>5</v>
      </c>
      <c r="N51" s="564"/>
      <c r="O51" s="564"/>
      <c r="P51" s="498">
        <v>17</v>
      </c>
      <c r="Q51" s="425">
        <v>1271.6666666666656</v>
      </c>
      <c r="R51" s="425">
        <v>74.803921568627388</v>
      </c>
      <c r="S51" s="498">
        <f t="shared" si="34"/>
        <v>5</v>
      </c>
      <c r="T51" s="560"/>
      <c r="U51" s="498">
        <v>17</v>
      </c>
      <c r="V51" s="425">
        <v>1308.9473684210516</v>
      </c>
      <c r="W51" s="425">
        <v>76.996904024767744</v>
      </c>
      <c r="X51" s="498">
        <f t="shared" si="36"/>
        <v>4</v>
      </c>
      <c r="Y51" s="560"/>
      <c r="Z51" s="498">
        <v>17</v>
      </c>
      <c r="AA51" s="425">
        <v>1297.2972972972962</v>
      </c>
      <c r="AB51" s="425">
        <v>76.311605723370363</v>
      </c>
      <c r="AC51" s="498">
        <f t="shared" si="38"/>
        <v>5</v>
      </c>
      <c r="AD51" s="560"/>
      <c r="AE51" s="498">
        <v>17</v>
      </c>
      <c r="AF51" s="425">
        <v>1115.999999999998</v>
      </c>
      <c r="AG51" s="425">
        <v>65.647058823529292</v>
      </c>
      <c r="AH51" s="498">
        <f t="shared" si="40"/>
        <v>11</v>
      </c>
      <c r="AI51" s="560"/>
      <c r="AJ51" s="498">
        <v>17</v>
      </c>
      <c r="AK51" s="425">
        <v>1294.9999999999991</v>
      </c>
      <c r="AL51" s="425">
        <v>76.176470588235247</v>
      </c>
      <c r="AM51" s="498">
        <f t="shared" si="42"/>
        <v>4</v>
      </c>
      <c r="AN51" s="560"/>
      <c r="AO51" s="498">
        <v>17</v>
      </c>
      <c r="AP51" s="425">
        <v>1337.6470588235277</v>
      </c>
      <c r="AQ51" s="425">
        <v>78.68512110726634</v>
      </c>
      <c r="AR51" s="498">
        <f t="shared" si="44"/>
        <v>2</v>
      </c>
      <c r="AS51" s="560"/>
      <c r="AT51" s="498">
        <v>17</v>
      </c>
      <c r="AU51" s="425">
        <v>1299.9999999999993</v>
      </c>
      <c r="AV51" s="425">
        <v>76.470588235294073</v>
      </c>
      <c r="AW51" s="498">
        <f t="shared" si="46"/>
        <v>4</v>
      </c>
      <c r="AX51" s="560"/>
      <c r="AZ51" s="407" t="e">
        <f t="shared" si="48"/>
        <v>#N/A</v>
      </c>
      <c r="BA51" s="560"/>
    </row>
    <row r="52" spans="2:53">
      <c r="B52" s="570"/>
      <c r="C52" s="418">
        <v>6</v>
      </c>
      <c r="D52" s="226" t="s">
        <v>355</v>
      </c>
      <c r="E52" s="425">
        <v>21</v>
      </c>
      <c r="F52" s="418">
        <v>1385</v>
      </c>
      <c r="G52" s="419">
        <v>65.900000000000006</v>
      </c>
      <c r="H52" s="628"/>
      <c r="I52" s="422">
        <f t="shared" si="31"/>
        <v>21</v>
      </c>
      <c r="J52" s="422">
        <f t="shared" si="32"/>
        <v>1258.2547021914295</v>
      </c>
      <c r="K52" s="200">
        <f t="shared" si="33"/>
        <v>59.916890580544255</v>
      </c>
      <c r="L52" s="581"/>
      <c r="M52" s="500">
        <f>RANK(K52, K$47:$K$61)</f>
        <v>13</v>
      </c>
      <c r="N52" s="564"/>
      <c r="O52" s="564"/>
      <c r="P52" s="498">
        <v>21</v>
      </c>
      <c r="Q52" s="425">
        <v>1291.401869158879</v>
      </c>
      <c r="R52" s="425">
        <v>61.495327102803763</v>
      </c>
      <c r="S52" s="498">
        <f t="shared" si="34"/>
        <v>12</v>
      </c>
      <c r="T52" s="560"/>
      <c r="U52" s="498">
        <v>21</v>
      </c>
      <c r="V52" s="425">
        <v>1236.3025210084029</v>
      </c>
      <c r="W52" s="425">
        <v>58.871548619447758</v>
      </c>
      <c r="X52" s="498">
        <f t="shared" si="36"/>
        <v>13</v>
      </c>
      <c r="Y52" s="560"/>
      <c r="Z52" s="498">
        <v>21</v>
      </c>
      <c r="AA52" s="425">
        <v>1264.3636363636372</v>
      </c>
      <c r="AB52" s="425">
        <v>60.207792207792245</v>
      </c>
      <c r="AC52" s="498">
        <f t="shared" si="38"/>
        <v>13</v>
      </c>
      <c r="AD52" s="560"/>
      <c r="AE52" s="498">
        <v>21</v>
      </c>
      <c r="AF52" s="425">
        <v>1242.0689655172414</v>
      </c>
      <c r="AG52" s="425">
        <v>59.146141215106731</v>
      </c>
      <c r="AH52" s="498">
        <f t="shared" si="40"/>
        <v>13</v>
      </c>
      <c r="AI52" s="560"/>
      <c r="AJ52" s="498">
        <v>21</v>
      </c>
      <c r="AK52" s="425">
        <v>1269.6774193548388</v>
      </c>
      <c r="AL52" s="425">
        <v>60.460829493087559</v>
      </c>
      <c r="AM52" s="498">
        <f t="shared" si="42"/>
        <v>13</v>
      </c>
      <c r="AN52" s="560"/>
      <c r="AO52" s="498">
        <v>21</v>
      </c>
      <c r="AP52" s="425">
        <v>1251.9685039370077</v>
      </c>
      <c r="AQ52" s="425">
        <v>59.617547806524172</v>
      </c>
      <c r="AR52" s="498">
        <f t="shared" si="44"/>
        <v>13</v>
      </c>
      <c r="AS52" s="560"/>
      <c r="AT52" s="498">
        <v>21</v>
      </c>
      <c r="AU52" s="425">
        <v>1251.9999999999993</v>
      </c>
      <c r="AV52" s="425">
        <v>59.619047619047585</v>
      </c>
      <c r="AW52" s="498">
        <f t="shared" si="46"/>
        <v>13</v>
      </c>
      <c r="AX52" s="560"/>
      <c r="AZ52" s="407" t="e">
        <f t="shared" si="48"/>
        <v>#N/A</v>
      </c>
      <c r="BA52" s="560"/>
    </row>
    <row r="53" spans="2:53">
      <c r="B53" s="570"/>
      <c r="C53" s="418">
        <v>7</v>
      </c>
      <c r="D53" s="226" t="s">
        <v>356</v>
      </c>
      <c r="E53" s="425">
        <v>19</v>
      </c>
      <c r="F53" s="418">
        <v>1440</v>
      </c>
      <c r="G53" s="419">
        <v>75.8</v>
      </c>
      <c r="H53" s="628"/>
      <c r="I53" s="422">
        <f t="shared" si="31"/>
        <v>19</v>
      </c>
      <c r="J53" s="422">
        <f t="shared" si="32"/>
        <v>1298.9645161787262</v>
      </c>
      <c r="K53" s="200">
        <f t="shared" si="33"/>
        <v>68.36655348309084</v>
      </c>
      <c r="L53" s="581"/>
      <c r="M53" s="500">
        <f>RANK(K53, K$47:$K$61)</f>
        <v>11</v>
      </c>
      <c r="N53" s="564"/>
      <c r="O53" s="564"/>
      <c r="P53" s="498">
        <v>19</v>
      </c>
      <c r="Q53" s="425">
        <v>1366.753246753246</v>
      </c>
      <c r="R53" s="425">
        <v>71.934381408065576</v>
      </c>
      <c r="S53" s="498">
        <f t="shared" si="34"/>
        <v>8</v>
      </c>
      <c r="T53" s="560"/>
      <c r="U53" s="498">
        <v>19</v>
      </c>
      <c r="V53" s="425">
        <v>1289.6842105263158</v>
      </c>
      <c r="W53" s="425">
        <v>67.878116343490305</v>
      </c>
      <c r="X53" s="498">
        <f t="shared" si="36"/>
        <v>12</v>
      </c>
      <c r="Y53" s="560"/>
      <c r="Z53" s="498">
        <v>19</v>
      </c>
      <c r="AA53" s="425">
        <v>1284.9999999999995</v>
      </c>
      <c r="AB53" s="425">
        <v>67.631578947368396</v>
      </c>
      <c r="AC53" s="498">
        <f t="shared" si="38"/>
        <v>10</v>
      </c>
      <c r="AD53" s="560"/>
      <c r="AE53" s="498">
        <v>19</v>
      </c>
      <c r="AF53" s="425">
        <v>1286.2500000000016</v>
      </c>
      <c r="AG53" s="425">
        <v>67.697368421052715</v>
      </c>
      <c r="AH53" s="498">
        <f t="shared" si="40"/>
        <v>10</v>
      </c>
      <c r="AI53" s="560"/>
      <c r="AJ53" s="498">
        <v>19</v>
      </c>
      <c r="AK53" s="425">
        <v>1282.1917808219168</v>
      </c>
      <c r="AL53" s="425">
        <v>67.483777937995626</v>
      </c>
      <c r="AM53" s="498">
        <f t="shared" si="42"/>
        <v>11</v>
      </c>
      <c r="AN53" s="560"/>
      <c r="AO53" s="498">
        <v>19</v>
      </c>
      <c r="AP53" s="425">
        <v>1293.8613861386145</v>
      </c>
      <c r="AQ53" s="425">
        <v>68.097967691506028</v>
      </c>
      <c r="AR53" s="498">
        <f t="shared" si="44"/>
        <v>11</v>
      </c>
      <c r="AS53" s="560"/>
      <c r="AT53" s="498">
        <v>19</v>
      </c>
      <c r="AU53" s="425">
        <v>1289.0109890109889</v>
      </c>
      <c r="AV53" s="425">
        <v>67.842683632157303</v>
      </c>
      <c r="AW53" s="498">
        <f t="shared" si="46"/>
        <v>10</v>
      </c>
      <c r="AX53" s="560"/>
      <c r="AZ53" s="407" t="e">
        <f t="shared" si="48"/>
        <v>#N/A</v>
      </c>
      <c r="BA53" s="560"/>
    </row>
    <row r="54" spans="2:53">
      <c r="B54" s="570"/>
      <c r="C54" s="418">
        <v>8</v>
      </c>
      <c r="D54" s="226" t="s">
        <v>506</v>
      </c>
      <c r="E54" s="425">
        <v>18</v>
      </c>
      <c r="F54" s="418">
        <v>1385</v>
      </c>
      <c r="G54" s="419">
        <v>76.900000000000006</v>
      </c>
      <c r="H54" s="628"/>
      <c r="I54" s="422">
        <f t="shared" si="31"/>
        <v>18</v>
      </c>
      <c r="J54" s="422">
        <f t="shared" si="32"/>
        <v>1234.4835019782254</v>
      </c>
      <c r="K54" s="200">
        <f t="shared" si="33"/>
        <v>68.582416776568067</v>
      </c>
      <c r="L54" s="581"/>
      <c r="M54" s="500">
        <f>RANK(K54, K$47:$K$61)</f>
        <v>10</v>
      </c>
      <c r="N54" s="564"/>
      <c r="O54" s="564"/>
      <c r="P54" s="498">
        <v>18</v>
      </c>
      <c r="Q54" s="425">
        <v>1236.1445783132526</v>
      </c>
      <c r="R54" s="425">
        <v>68.674698795180703</v>
      </c>
      <c r="S54" s="498">
        <f t="shared" si="34"/>
        <v>10</v>
      </c>
      <c r="T54" s="560"/>
      <c r="U54" s="498">
        <v>18</v>
      </c>
      <c r="V54" s="425">
        <v>1247.4999999999991</v>
      </c>
      <c r="W54" s="425">
        <v>69.3055555555555</v>
      </c>
      <c r="X54" s="498">
        <f t="shared" si="36"/>
        <v>9</v>
      </c>
      <c r="Y54" s="560"/>
      <c r="Z54" s="498">
        <v>18</v>
      </c>
      <c r="AA54" s="425">
        <v>1225.3846153846148</v>
      </c>
      <c r="AB54" s="425">
        <v>68.076923076923038</v>
      </c>
      <c r="AC54" s="498">
        <f t="shared" si="38"/>
        <v>9</v>
      </c>
      <c r="AD54" s="560"/>
      <c r="AE54" s="498">
        <v>18</v>
      </c>
      <c r="AF54" s="425">
        <v>1226.3157894736851</v>
      </c>
      <c r="AG54" s="425">
        <v>68.12865497076028</v>
      </c>
      <c r="AH54" s="498">
        <f t="shared" si="40"/>
        <v>9</v>
      </c>
      <c r="AI54" s="560"/>
      <c r="AJ54" s="498">
        <v>18</v>
      </c>
      <c r="AK54" s="425">
        <v>1248.1967213114767</v>
      </c>
      <c r="AL54" s="425">
        <v>69.344262295082046</v>
      </c>
      <c r="AM54" s="498">
        <f t="shared" si="42"/>
        <v>10</v>
      </c>
      <c r="AN54" s="560"/>
      <c r="AO54" s="498">
        <v>18</v>
      </c>
      <c r="AP54" s="425">
        <v>1246.304347826087</v>
      </c>
      <c r="AQ54" s="425">
        <v>69.239130434782609</v>
      </c>
      <c r="AR54" s="498">
        <f t="shared" si="44"/>
        <v>9</v>
      </c>
      <c r="AS54" s="560"/>
      <c r="AT54" s="498">
        <v>18</v>
      </c>
      <c r="AU54" s="425">
        <v>1211.538461538461</v>
      </c>
      <c r="AV54" s="425">
        <v>67.307692307692278</v>
      </c>
      <c r="AW54" s="498">
        <f t="shared" si="46"/>
        <v>11</v>
      </c>
      <c r="AX54" s="560"/>
      <c r="AZ54" s="407" t="e">
        <f t="shared" si="48"/>
        <v>#N/A</v>
      </c>
      <c r="BA54" s="560"/>
    </row>
    <row r="55" spans="2:53">
      <c r="B55" s="570"/>
      <c r="C55" s="418">
        <v>9</v>
      </c>
      <c r="D55" s="226" t="s">
        <v>509</v>
      </c>
      <c r="E55" s="425">
        <v>18</v>
      </c>
      <c r="F55" s="418">
        <v>1385</v>
      </c>
      <c r="G55" s="419">
        <v>76.900000000000006</v>
      </c>
      <c r="H55" s="628"/>
      <c r="I55" s="422">
        <f t="shared" si="31"/>
        <v>18</v>
      </c>
      <c r="J55" s="422">
        <f t="shared" si="32"/>
        <v>1248.4000000000044</v>
      </c>
      <c r="K55" s="200">
        <f t="shared" si="33"/>
        <v>69.35555555555581</v>
      </c>
      <c r="L55" s="581"/>
      <c r="M55" s="500">
        <f>RANK(K55, K$47:$K$61)</f>
        <v>9</v>
      </c>
      <c r="N55" s="564"/>
      <c r="O55" s="564"/>
      <c r="P55" s="498">
        <v>18</v>
      </c>
      <c r="Q55" s="425">
        <v>1206.1875000000041</v>
      </c>
      <c r="R55" s="425">
        <v>67.010416666666899</v>
      </c>
      <c r="S55" s="498">
        <f t="shared" si="34"/>
        <v>11</v>
      </c>
      <c r="T55" s="560"/>
      <c r="U55" s="498">
        <v>18</v>
      </c>
      <c r="V55" s="425">
        <v>1270.5000000000045</v>
      </c>
      <c r="W55" s="425">
        <v>70.583333333333584</v>
      </c>
      <c r="X55" s="498">
        <f t="shared" si="36"/>
        <v>8</v>
      </c>
      <c r="Y55" s="560"/>
      <c r="Z55" s="498">
        <v>18</v>
      </c>
      <c r="AA55" s="425">
        <v>1213.8000000000043</v>
      </c>
      <c r="AB55" s="425">
        <v>67.433333333333564</v>
      </c>
      <c r="AC55" s="498">
        <f t="shared" si="38"/>
        <v>11</v>
      </c>
      <c r="AD55" s="560"/>
      <c r="AE55" s="498">
        <v>18</v>
      </c>
      <c r="AF55" s="425">
        <v>1256.5000000000045</v>
      </c>
      <c r="AG55" s="425">
        <v>69.805555555555813</v>
      </c>
      <c r="AH55" s="498">
        <f t="shared" si="40"/>
        <v>8</v>
      </c>
      <c r="AI55" s="560"/>
      <c r="AJ55" s="498">
        <v>18</v>
      </c>
      <c r="AK55" s="425">
        <v>1270.5000000000045</v>
      </c>
      <c r="AL55" s="425">
        <v>70.583333333333584</v>
      </c>
      <c r="AM55" s="498">
        <f t="shared" si="42"/>
        <v>8</v>
      </c>
      <c r="AN55" s="560"/>
      <c r="AO55" s="498">
        <v>18</v>
      </c>
      <c r="AP55" s="425">
        <v>1242.9375000000045</v>
      </c>
      <c r="AQ55" s="425">
        <v>69.052083333333584</v>
      </c>
      <c r="AR55" s="498">
        <f t="shared" si="44"/>
        <v>10</v>
      </c>
      <c r="AS55" s="560"/>
      <c r="AT55" s="498">
        <v>18</v>
      </c>
      <c r="AU55" s="425">
        <v>1278.3750000000043</v>
      </c>
      <c r="AV55" s="425">
        <v>71.02083333333357</v>
      </c>
      <c r="AW55" s="498">
        <f t="shared" si="46"/>
        <v>8</v>
      </c>
      <c r="AX55" s="560"/>
      <c r="AZ55" s="407" t="e">
        <f t="shared" si="48"/>
        <v>#N/A</v>
      </c>
      <c r="BA55" s="560"/>
    </row>
    <row r="56" spans="2:53">
      <c r="B56" s="570"/>
      <c r="C56" s="418">
        <v>10</v>
      </c>
      <c r="D56" s="226" t="s">
        <v>531</v>
      </c>
      <c r="E56" s="425">
        <v>16</v>
      </c>
      <c r="F56" s="418">
        <v>1440</v>
      </c>
      <c r="G56" s="419">
        <v>90</v>
      </c>
      <c r="H56" s="628"/>
      <c r="I56" s="422">
        <f t="shared" si="31"/>
        <v>16.142857142857142</v>
      </c>
      <c r="J56" s="422">
        <f t="shared" si="32"/>
        <v>1323.6188096357741</v>
      </c>
      <c r="K56" s="200">
        <f t="shared" si="33"/>
        <v>82.025782541785901</v>
      </c>
      <c r="L56" s="581"/>
      <c r="M56" s="500">
        <f>RANK(K56, K$47:$K$61)</f>
        <v>1</v>
      </c>
      <c r="N56" s="564"/>
      <c r="O56" s="564"/>
      <c r="P56" s="498">
        <v>16</v>
      </c>
      <c r="Q56" s="425">
        <v>1312.7586206896544</v>
      </c>
      <c r="R56" s="425">
        <v>82.047413793103402</v>
      </c>
      <c r="S56" s="498">
        <f t="shared" si="34"/>
        <v>1</v>
      </c>
      <c r="T56" s="560"/>
      <c r="U56" s="498">
        <v>16</v>
      </c>
      <c r="V56" s="425">
        <v>1322.830188679246</v>
      </c>
      <c r="W56" s="425">
        <v>82.676886792452876</v>
      </c>
      <c r="X56" s="498">
        <f t="shared" si="36"/>
        <v>1</v>
      </c>
      <c r="Y56" s="560"/>
      <c r="Z56" s="498">
        <v>16</v>
      </c>
      <c r="AA56" s="425">
        <v>1321.304347826087</v>
      </c>
      <c r="AB56" s="425">
        <v>82.581521739130437</v>
      </c>
      <c r="AC56" s="498">
        <f t="shared" si="38"/>
        <v>1</v>
      </c>
      <c r="AD56" s="560"/>
      <c r="AE56" s="498">
        <v>17</v>
      </c>
      <c r="AF56" s="425">
        <v>1333.5483870967744</v>
      </c>
      <c r="AG56" s="425">
        <v>78.44402277039849</v>
      </c>
      <c r="AH56" s="498">
        <f t="shared" si="40"/>
        <v>2</v>
      </c>
      <c r="AI56" s="560"/>
      <c r="AJ56" s="498">
        <v>16</v>
      </c>
      <c r="AK56" s="425">
        <v>1324.1584158415847</v>
      </c>
      <c r="AL56" s="425">
        <v>82.759900990099041</v>
      </c>
      <c r="AM56" s="498">
        <f t="shared" si="42"/>
        <v>1</v>
      </c>
      <c r="AN56" s="560"/>
      <c r="AO56" s="498">
        <v>16</v>
      </c>
      <c r="AP56" s="425">
        <v>1320.0000000000005</v>
      </c>
      <c r="AQ56" s="425">
        <v>82.500000000000028</v>
      </c>
      <c r="AR56" s="498">
        <f t="shared" si="44"/>
        <v>1</v>
      </c>
      <c r="AS56" s="560"/>
      <c r="AT56" s="498">
        <v>16</v>
      </c>
      <c r="AU56" s="425">
        <v>1330.7317073170727</v>
      </c>
      <c r="AV56" s="425">
        <v>83.170731707317046</v>
      </c>
      <c r="AW56" s="498">
        <f t="shared" si="46"/>
        <v>1</v>
      </c>
      <c r="AX56" s="560"/>
      <c r="AZ56" s="407" t="e">
        <f t="shared" si="48"/>
        <v>#N/A</v>
      </c>
      <c r="BA56" s="560"/>
    </row>
    <row r="57" spans="2:53">
      <c r="B57" s="570"/>
      <c r="C57" s="418">
        <v>11</v>
      </c>
      <c r="D57" s="226" t="s">
        <v>598</v>
      </c>
      <c r="E57" s="425">
        <v>19</v>
      </c>
      <c r="F57" s="418">
        <v>1440</v>
      </c>
      <c r="G57" s="419">
        <v>75.8</v>
      </c>
      <c r="H57" s="628"/>
      <c r="I57" s="422">
        <f t="shared" si="31"/>
        <v>19</v>
      </c>
      <c r="J57" s="422">
        <f t="shared" si="32"/>
        <v>1328.9739749737794</v>
      </c>
      <c r="K57" s="200">
        <f t="shared" si="33"/>
        <v>69.945998682830492</v>
      </c>
      <c r="L57" s="581"/>
      <c r="M57" s="500">
        <f>RANK(K57, K$47:$K$61)</f>
        <v>8</v>
      </c>
      <c r="N57" s="564"/>
      <c r="O57" s="564"/>
      <c r="P57" s="498">
        <v>19</v>
      </c>
      <c r="Q57" s="425">
        <v>1342.5741176470594</v>
      </c>
      <c r="R57" s="425">
        <v>70.661795665634713</v>
      </c>
      <c r="S57" s="498">
        <f t="shared" si="34"/>
        <v>9</v>
      </c>
      <c r="T57" s="560"/>
      <c r="U57" s="498">
        <v>19</v>
      </c>
      <c r="V57" s="425">
        <v>1311.7815384615387</v>
      </c>
      <c r="W57" s="425">
        <v>69.041133603238876</v>
      </c>
      <c r="X57" s="498">
        <f t="shared" si="36"/>
        <v>10</v>
      </c>
      <c r="Y57" s="560"/>
      <c r="Z57" s="498">
        <v>19</v>
      </c>
      <c r="AA57" s="425">
        <v>1328.6023255813957</v>
      </c>
      <c r="AB57" s="425">
        <v>69.926438188494515</v>
      </c>
      <c r="AC57" s="498">
        <f t="shared" si="38"/>
        <v>8</v>
      </c>
      <c r="AD57" s="560"/>
      <c r="AE57" s="498">
        <v>19</v>
      </c>
      <c r="AF57" s="425">
        <v>1336.4399999999994</v>
      </c>
      <c r="AG57" s="425">
        <v>70.338947368421017</v>
      </c>
      <c r="AH57" s="498">
        <f t="shared" si="40"/>
        <v>7</v>
      </c>
      <c r="AI57" s="560"/>
      <c r="AJ57" s="498">
        <v>19</v>
      </c>
      <c r="AK57" s="425">
        <v>1340.0930232558137</v>
      </c>
      <c r="AL57" s="425">
        <v>70.531211750305985</v>
      </c>
      <c r="AM57" s="498">
        <f t="shared" si="42"/>
        <v>9</v>
      </c>
      <c r="AN57" s="560"/>
      <c r="AO57" s="498">
        <v>19</v>
      </c>
      <c r="AP57" s="425">
        <v>1332.0710059171602</v>
      </c>
      <c r="AQ57" s="425">
        <v>70.109000311429483</v>
      </c>
      <c r="AR57" s="498">
        <f t="shared" si="44"/>
        <v>8</v>
      </c>
      <c r="AS57" s="560"/>
      <c r="AT57" s="498">
        <v>19</v>
      </c>
      <c r="AU57" s="425">
        <v>1311.2558139534883</v>
      </c>
      <c r="AV57" s="425">
        <v>69.013463892288854</v>
      </c>
      <c r="AW57" s="498">
        <f t="shared" si="46"/>
        <v>9</v>
      </c>
      <c r="AX57" s="560"/>
      <c r="AZ57" s="407" t="e">
        <f t="shared" si="48"/>
        <v>#N/A</v>
      </c>
      <c r="BA57" s="560"/>
    </row>
    <row r="58" spans="2:53">
      <c r="B58" s="570"/>
      <c r="C58" s="418">
        <v>12</v>
      </c>
      <c r="D58" s="226" t="s">
        <v>636</v>
      </c>
      <c r="E58" s="425">
        <v>19</v>
      </c>
      <c r="F58" s="418">
        <v>1440</v>
      </c>
      <c r="G58" s="419">
        <v>75.8</v>
      </c>
      <c r="H58" s="628"/>
      <c r="I58" s="422">
        <f t="shared" si="31"/>
        <v>18.285714285714285</v>
      </c>
      <c r="J58" s="422">
        <f t="shared" si="32"/>
        <v>1144.3530697810045</v>
      </c>
      <c r="K58" s="200">
        <f t="shared" si="33"/>
        <v>62.552424579480466</v>
      </c>
      <c r="L58" s="581"/>
      <c r="M58" s="500">
        <f>RANK(K58, K$47:$K$61)</f>
        <v>12</v>
      </c>
      <c r="N58" s="564"/>
      <c r="O58" s="564"/>
      <c r="P58" s="498">
        <v>18</v>
      </c>
      <c r="Q58" s="425">
        <v>1097.9999999999982</v>
      </c>
      <c r="R58" s="425">
        <v>60.999999999999901</v>
      </c>
      <c r="S58" s="498">
        <f t="shared" si="34"/>
        <v>13</v>
      </c>
      <c r="T58" s="560"/>
      <c r="U58" s="498">
        <v>19</v>
      </c>
      <c r="V58" s="425">
        <v>1291.0344827586182</v>
      </c>
      <c r="W58" s="425">
        <v>67.949183303085164</v>
      </c>
      <c r="X58" s="498">
        <f t="shared" si="36"/>
        <v>11</v>
      </c>
      <c r="Y58" s="560"/>
      <c r="Z58" s="498">
        <v>19</v>
      </c>
      <c r="AA58" s="425">
        <v>1157.4193548387079</v>
      </c>
      <c r="AB58" s="425">
        <v>60.916808149405682</v>
      </c>
      <c r="AC58" s="498">
        <f t="shared" si="38"/>
        <v>12</v>
      </c>
      <c r="AD58" s="560"/>
      <c r="AE58" s="498">
        <v>18</v>
      </c>
      <c r="AF58" s="425">
        <v>1108.5714285714325</v>
      </c>
      <c r="AG58" s="425">
        <v>61.587301587301809</v>
      </c>
      <c r="AH58" s="498">
        <f t="shared" si="40"/>
        <v>12</v>
      </c>
      <c r="AI58" s="560"/>
      <c r="AJ58" s="498">
        <v>18</v>
      </c>
      <c r="AK58" s="425">
        <v>1103.0769230769201</v>
      </c>
      <c r="AL58" s="425">
        <v>61.282051282051121</v>
      </c>
      <c r="AM58" s="498">
        <f t="shared" si="42"/>
        <v>12</v>
      </c>
      <c r="AN58" s="560"/>
      <c r="AO58" s="498">
        <v>18</v>
      </c>
      <c r="AP58" s="425">
        <v>1131.7241379310321</v>
      </c>
      <c r="AQ58" s="425">
        <v>62.873563218390672</v>
      </c>
      <c r="AR58" s="498">
        <f t="shared" si="44"/>
        <v>12</v>
      </c>
      <c r="AS58" s="560"/>
      <c r="AT58" s="498">
        <v>18</v>
      </c>
      <c r="AU58" s="425">
        <v>1120.6451612903209</v>
      </c>
      <c r="AV58" s="425">
        <v>62.25806451612894</v>
      </c>
      <c r="AW58" s="498">
        <f t="shared" si="46"/>
        <v>12</v>
      </c>
      <c r="AX58" s="560"/>
      <c r="AZ58" s="407" t="e">
        <f t="shared" si="48"/>
        <v>#N/A</v>
      </c>
      <c r="BA58" s="560"/>
    </row>
    <row r="59" spans="2:53">
      <c r="B59" s="570"/>
      <c r="C59" s="418">
        <v>13</v>
      </c>
      <c r="D59" s="226" t="s">
        <v>643</v>
      </c>
      <c r="E59" s="425">
        <v>17</v>
      </c>
      <c r="F59" s="418">
        <v>1440</v>
      </c>
      <c r="G59" s="419">
        <v>96</v>
      </c>
      <c r="H59" s="628"/>
      <c r="I59" s="422">
        <f t="shared" si="31"/>
        <v>17</v>
      </c>
      <c r="J59" s="422">
        <f t="shared" si="32"/>
        <v>1362.1185376231638</v>
      </c>
      <c r="K59" s="200">
        <f t="shared" si="33"/>
        <v>80.124619860186087</v>
      </c>
      <c r="L59" s="581"/>
      <c r="M59" s="500">
        <f>RANK(K59, K$47:$K$61)</f>
        <v>2</v>
      </c>
      <c r="N59" s="564"/>
      <c r="O59" s="564"/>
      <c r="P59" s="498">
        <v>17</v>
      </c>
      <c r="Q59" s="425">
        <v>1376.1599999999999</v>
      </c>
      <c r="R59" s="425">
        <v>80.950588235294106</v>
      </c>
      <c r="S59" s="498">
        <f t="shared" si="34"/>
        <v>2</v>
      </c>
      <c r="T59" s="560"/>
      <c r="U59" s="498">
        <v>17</v>
      </c>
      <c r="V59" s="425">
        <v>1344.6268656716418</v>
      </c>
      <c r="W59" s="425">
        <v>79.095697980684804</v>
      </c>
      <c r="X59" s="498">
        <f t="shared" si="36"/>
        <v>2</v>
      </c>
      <c r="Y59" s="560"/>
      <c r="Z59" s="498">
        <v>17</v>
      </c>
      <c r="AA59" s="425">
        <v>1388.0672268907567</v>
      </c>
      <c r="AB59" s="425">
        <v>81.6510133465151</v>
      </c>
      <c r="AC59" s="498">
        <f t="shared" si="38"/>
        <v>2</v>
      </c>
      <c r="AD59" s="560"/>
      <c r="AE59" s="498">
        <v>17</v>
      </c>
      <c r="AF59" s="425">
        <v>1365.9183673469392</v>
      </c>
      <c r="AG59" s="425">
        <v>80.348139255702307</v>
      </c>
      <c r="AH59" s="498">
        <f t="shared" si="40"/>
        <v>1</v>
      </c>
      <c r="AI59" s="560"/>
      <c r="AJ59" s="498">
        <v>17</v>
      </c>
      <c r="AK59" s="425">
        <v>1377.0873786407765</v>
      </c>
      <c r="AL59" s="425">
        <v>81.005139920045679</v>
      </c>
      <c r="AM59" s="498">
        <f t="shared" si="42"/>
        <v>2</v>
      </c>
      <c r="AN59" s="560"/>
      <c r="AO59" s="498">
        <v>17</v>
      </c>
      <c r="AP59" s="425">
        <v>1335.0000000000007</v>
      </c>
      <c r="AQ59" s="425">
        <v>78.529411764705927</v>
      </c>
      <c r="AR59" s="498">
        <f t="shared" si="44"/>
        <v>3</v>
      </c>
      <c r="AS59" s="560"/>
      <c r="AT59" s="498">
        <v>17</v>
      </c>
      <c r="AU59" s="425">
        <v>1347.9699248120301</v>
      </c>
      <c r="AV59" s="425">
        <v>79.292348518354714</v>
      </c>
      <c r="AW59" s="498">
        <f t="shared" si="46"/>
        <v>2</v>
      </c>
      <c r="AX59" s="560"/>
      <c r="AZ59" s="407" t="e">
        <f t="shared" si="48"/>
        <v>#N/A</v>
      </c>
      <c r="BA59" s="560"/>
    </row>
    <row r="60" spans="2:53">
      <c r="B60" s="570"/>
      <c r="C60" s="418">
        <v>14</v>
      </c>
      <c r="D60" s="226"/>
      <c r="E60" s="425"/>
      <c r="F60" s="418"/>
      <c r="G60" s="419"/>
      <c r="H60" s="628"/>
      <c r="I60" s="422" t="str">
        <f t="shared" si="31"/>
        <v>-</v>
      </c>
      <c r="J60" s="422" t="str">
        <f t="shared" si="32"/>
        <v>-</v>
      </c>
      <c r="K60" s="200" t="str">
        <f t="shared" si="33"/>
        <v>-</v>
      </c>
      <c r="L60" s="581"/>
      <c r="M60" s="500" t="e">
        <f>RANK(K60, K$47:$K$61)</f>
        <v>#VALUE!</v>
      </c>
      <c r="N60" s="564"/>
      <c r="O60" s="564"/>
      <c r="P60" s="498" t="s">
        <v>639</v>
      </c>
      <c r="Q60" s="425" t="s">
        <v>639</v>
      </c>
      <c r="R60" s="425" t="s">
        <v>639</v>
      </c>
      <c r="S60" s="498" t="e">
        <f t="shared" si="34"/>
        <v>#VALUE!</v>
      </c>
      <c r="T60" s="560"/>
      <c r="U60" s="498" t="s">
        <v>639</v>
      </c>
      <c r="V60" s="425" t="s">
        <v>639</v>
      </c>
      <c r="W60" s="425" t="s">
        <v>639</v>
      </c>
      <c r="X60" s="498" t="e">
        <f t="shared" si="36"/>
        <v>#VALUE!</v>
      </c>
      <c r="Y60" s="560"/>
      <c r="Z60" s="498" t="s">
        <v>639</v>
      </c>
      <c r="AA60" s="425" t="s">
        <v>639</v>
      </c>
      <c r="AB60" s="425" t="s">
        <v>639</v>
      </c>
      <c r="AC60" s="498" t="e">
        <f t="shared" si="38"/>
        <v>#VALUE!</v>
      </c>
      <c r="AD60" s="560"/>
      <c r="AE60" s="498" t="s">
        <v>639</v>
      </c>
      <c r="AF60" s="425" t="s">
        <v>639</v>
      </c>
      <c r="AG60" s="425" t="s">
        <v>639</v>
      </c>
      <c r="AH60" s="498" t="e">
        <f t="shared" si="40"/>
        <v>#VALUE!</v>
      </c>
      <c r="AI60" s="560"/>
      <c r="AJ60" s="498" t="s">
        <v>639</v>
      </c>
      <c r="AK60" s="425" t="s">
        <v>639</v>
      </c>
      <c r="AL60" s="425" t="s">
        <v>639</v>
      </c>
      <c r="AM60" s="498" t="e">
        <f t="shared" si="42"/>
        <v>#VALUE!</v>
      </c>
      <c r="AN60" s="560"/>
      <c r="AO60" s="498" t="s">
        <v>639</v>
      </c>
      <c r="AP60" s="425" t="s">
        <v>639</v>
      </c>
      <c r="AQ60" s="425" t="s">
        <v>639</v>
      </c>
      <c r="AR60" s="498" t="e">
        <f t="shared" si="44"/>
        <v>#VALUE!</v>
      </c>
      <c r="AS60" s="560"/>
      <c r="AT60" s="498" t="s">
        <v>639</v>
      </c>
      <c r="AU60" s="425" t="s">
        <v>639</v>
      </c>
      <c r="AV60" s="425" t="s">
        <v>639</v>
      </c>
      <c r="AW60" s="498" t="e">
        <f t="shared" si="46"/>
        <v>#VALUE!</v>
      </c>
      <c r="AX60" s="560"/>
      <c r="AZ60" s="407" t="e">
        <f t="shared" si="48"/>
        <v>#N/A</v>
      </c>
      <c r="BA60" s="560"/>
    </row>
    <row r="61" spans="2:53">
      <c r="B61" s="570"/>
      <c r="C61" s="418">
        <v>15</v>
      </c>
      <c r="D61" s="226"/>
      <c r="E61" s="425"/>
      <c r="F61" s="418"/>
      <c r="G61" s="419"/>
      <c r="H61" s="629"/>
      <c r="I61" s="202"/>
      <c r="J61" s="202"/>
      <c r="K61" s="202"/>
      <c r="L61" s="582"/>
      <c r="M61" s="500" t="e">
        <f>RANK(K61, K$47:$K$61)</f>
        <v>#N/A</v>
      </c>
      <c r="N61" s="564"/>
      <c r="O61" s="564"/>
      <c r="P61" s="498" t="s">
        <v>639</v>
      </c>
      <c r="Q61" s="425" t="s">
        <v>639</v>
      </c>
      <c r="R61" s="425" t="s">
        <v>639</v>
      </c>
      <c r="S61" s="498" t="e">
        <f t="shared" si="34"/>
        <v>#VALUE!</v>
      </c>
      <c r="T61" s="561"/>
      <c r="U61" s="498" t="s">
        <v>639</v>
      </c>
      <c r="V61" s="425" t="s">
        <v>639</v>
      </c>
      <c r="W61" s="425" t="s">
        <v>639</v>
      </c>
      <c r="X61" s="498" t="e">
        <f t="shared" si="36"/>
        <v>#VALUE!</v>
      </c>
      <c r="Y61" s="561"/>
      <c r="Z61" s="498" t="s">
        <v>639</v>
      </c>
      <c r="AA61" s="425" t="s">
        <v>639</v>
      </c>
      <c r="AB61" s="425" t="s">
        <v>639</v>
      </c>
      <c r="AC61" s="498" t="e">
        <f t="shared" si="38"/>
        <v>#VALUE!</v>
      </c>
      <c r="AD61" s="561"/>
      <c r="AE61" s="498" t="s">
        <v>639</v>
      </c>
      <c r="AF61" s="425" t="s">
        <v>639</v>
      </c>
      <c r="AG61" s="425" t="s">
        <v>639</v>
      </c>
      <c r="AH61" s="498" t="e">
        <f t="shared" si="40"/>
        <v>#VALUE!</v>
      </c>
      <c r="AI61" s="561"/>
      <c r="AJ61" s="498" t="s">
        <v>639</v>
      </c>
      <c r="AK61" s="425" t="s">
        <v>639</v>
      </c>
      <c r="AL61" s="425" t="s">
        <v>639</v>
      </c>
      <c r="AM61" s="498" t="e">
        <f t="shared" si="42"/>
        <v>#VALUE!</v>
      </c>
      <c r="AN61" s="561"/>
      <c r="AO61" s="498" t="s">
        <v>639</v>
      </c>
      <c r="AP61" s="425" t="s">
        <v>639</v>
      </c>
      <c r="AQ61" s="425" t="s">
        <v>639</v>
      </c>
      <c r="AR61" s="498" t="e">
        <f t="shared" si="44"/>
        <v>#VALUE!</v>
      </c>
      <c r="AS61" s="561"/>
      <c r="AT61" s="498" t="s">
        <v>639</v>
      </c>
      <c r="AU61" s="425" t="s">
        <v>639</v>
      </c>
      <c r="AV61" s="425" t="s">
        <v>639</v>
      </c>
      <c r="AW61" s="498" t="e">
        <f t="shared" si="46"/>
        <v>#VALUE!</v>
      </c>
      <c r="AX61" s="561"/>
      <c r="AZ61" s="407" t="e">
        <f t="shared" si="48"/>
        <v>#N/A</v>
      </c>
      <c r="BA61" s="561"/>
    </row>
    <row r="62" spans="2:53" ht="15.75">
      <c r="B62" s="593" t="s">
        <v>163</v>
      </c>
      <c r="C62" s="594"/>
      <c r="D62" s="594"/>
      <c r="E62" s="594"/>
      <c r="F62" s="594"/>
      <c r="G62" s="594"/>
      <c r="H62" s="595"/>
      <c r="I62" s="208"/>
      <c r="J62" s="208"/>
      <c r="K62" s="208"/>
      <c r="L62" s="208"/>
      <c r="M62" s="207"/>
      <c r="N62" s="566" t="s">
        <v>156</v>
      </c>
      <c r="O62" s="566" t="s">
        <v>105</v>
      </c>
      <c r="P62" s="592">
        <f>P42+7</f>
        <v>46161</v>
      </c>
      <c r="Q62" s="570"/>
      <c r="R62" s="570"/>
      <c r="S62" s="570"/>
      <c r="T62" s="570"/>
      <c r="U62" s="589">
        <f>P62+1</f>
        <v>46162</v>
      </c>
      <c r="V62" s="590"/>
      <c r="W62" s="590"/>
      <c r="X62" s="590"/>
      <c r="Y62" s="591"/>
      <c r="Z62" s="589">
        <f>U62+1</f>
        <v>46163</v>
      </c>
      <c r="AA62" s="590"/>
      <c r="AB62" s="590"/>
      <c r="AC62" s="590"/>
      <c r="AD62" s="591"/>
      <c r="AE62" s="589">
        <f>Z62+1</f>
        <v>46164</v>
      </c>
      <c r="AF62" s="590"/>
      <c r="AG62" s="590"/>
      <c r="AH62" s="590"/>
      <c r="AI62" s="591"/>
      <c r="AJ62" s="589">
        <f>AE62+1</f>
        <v>46165</v>
      </c>
      <c r="AK62" s="590"/>
      <c r="AL62" s="590"/>
      <c r="AM62" s="590"/>
      <c r="AN62" s="591"/>
      <c r="AO62" s="589">
        <f>AJ62+1</f>
        <v>46166</v>
      </c>
      <c r="AP62" s="590"/>
      <c r="AQ62" s="590"/>
      <c r="AR62" s="590"/>
      <c r="AS62" s="591"/>
      <c r="AT62" s="589">
        <f>AO62+1</f>
        <v>46167</v>
      </c>
      <c r="AU62" s="590"/>
      <c r="AV62" s="590"/>
      <c r="AW62" s="590"/>
      <c r="AX62" s="591"/>
    </row>
    <row r="63" spans="2:53" ht="15.75">
      <c r="B63" s="596"/>
      <c r="C63" s="596"/>
      <c r="D63" s="596"/>
      <c r="E63" s="596"/>
      <c r="F63" s="596"/>
      <c r="G63" s="596"/>
      <c r="H63" s="596"/>
      <c r="I63" s="205"/>
      <c r="J63" s="205"/>
      <c r="K63" s="205"/>
      <c r="L63" s="205"/>
      <c r="M63" s="206"/>
      <c r="N63" s="568"/>
      <c r="O63" s="568"/>
      <c r="P63" s="592" t="s">
        <v>318</v>
      </c>
      <c r="Q63" s="570"/>
      <c r="R63" s="570"/>
      <c r="S63" s="570"/>
      <c r="T63" s="570"/>
      <c r="U63" s="592" t="s">
        <v>319</v>
      </c>
      <c r="V63" s="570"/>
      <c r="W63" s="570"/>
      <c r="X63" s="570"/>
      <c r="Y63" s="570"/>
      <c r="Z63" s="592" t="s">
        <v>320</v>
      </c>
      <c r="AA63" s="570"/>
      <c r="AB63" s="570"/>
      <c r="AC63" s="570"/>
      <c r="AD63" s="570"/>
      <c r="AE63" s="592" t="s">
        <v>321</v>
      </c>
      <c r="AF63" s="570"/>
      <c r="AG63" s="570"/>
      <c r="AH63" s="570"/>
      <c r="AI63" s="570"/>
      <c r="AJ63" s="592" t="s">
        <v>322</v>
      </c>
      <c r="AK63" s="570"/>
      <c r="AL63" s="570"/>
      <c r="AM63" s="570"/>
      <c r="AN63" s="570"/>
      <c r="AO63" s="592" t="s">
        <v>323</v>
      </c>
      <c r="AP63" s="570"/>
      <c r="AQ63" s="570"/>
      <c r="AR63" s="570"/>
      <c r="AS63" s="570"/>
      <c r="AT63" s="592" t="s">
        <v>324</v>
      </c>
      <c r="AU63" s="570"/>
      <c r="AV63" s="570"/>
      <c r="AW63" s="570"/>
      <c r="AX63" s="570"/>
    </row>
    <row r="64" spans="2:53">
      <c r="B64" s="564" t="s">
        <v>377</v>
      </c>
      <c r="C64" s="564" t="s">
        <v>387</v>
      </c>
      <c r="D64" s="564"/>
      <c r="E64" s="564" t="s">
        <v>378</v>
      </c>
      <c r="F64" s="564"/>
      <c r="G64" s="564"/>
      <c r="H64" s="597" t="s">
        <v>374</v>
      </c>
      <c r="I64" s="616" t="s">
        <v>379</v>
      </c>
      <c r="J64" s="616"/>
      <c r="K64" s="616"/>
      <c r="L64" s="617" t="s">
        <v>374</v>
      </c>
      <c r="M64" s="602" t="s">
        <v>375</v>
      </c>
      <c r="N64" s="564"/>
      <c r="O64" s="564" t="s">
        <v>380</v>
      </c>
      <c r="P64" s="583" t="s">
        <v>376</v>
      </c>
      <c r="Q64" s="584"/>
      <c r="R64" s="584"/>
      <c r="S64" s="585"/>
      <c r="T64" s="564" t="s">
        <v>374</v>
      </c>
      <c r="U64" s="583" t="s">
        <v>376</v>
      </c>
      <c r="V64" s="584"/>
      <c r="W64" s="584"/>
      <c r="X64" s="585"/>
      <c r="Y64" s="564" t="s">
        <v>374</v>
      </c>
      <c r="Z64" s="583" t="s">
        <v>376</v>
      </c>
      <c r="AA64" s="584"/>
      <c r="AB64" s="584"/>
      <c r="AC64" s="585"/>
      <c r="AD64" s="564" t="s">
        <v>374</v>
      </c>
      <c r="AE64" s="583" t="s">
        <v>376</v>
      </c>
      <c r="AF64" s="584"/>
      <c r="AG64" s="584"/>
      <c r="AH64" s="585"/>
      <c r="AI64" s="564" t="s">
        <v>374</v>
      </c>
      <c r="AJ64" s="583" t="s">
        <v>376</v>
      </c>
      <c r="AK64" s="584"/>
      <c r="AL64" s="584"/>
      <c r="AM64" s="585"/>
      <c r="AN64" s="564" t="s">
        <v>374</v>
      </c>
      <c r="AO64" s="583" t="s">
        <v>376</v>
      </c>
      <c r="AP64" s="584"/>
      <c r="AQ64" s="584"/>
      <c r="AR64" s="585"/>
      <c r="AS64" s="564" t="s">
        <v>374</v>
      </c>
      <c r="AT64" s="583" t="s">
        <v>376</v>
      </c>
      <c r="AU64" s="584"/>
      <c r="AV64" s="584"/>
      <c r="AW64" s="585"/>
      <c r="AX64" s="564" t="s">
        <v>374</v>
      </c>
      <c r="BA64" s="564" t="s">
        <v>374</v>
      </c>
    </row>
    <row r="65" spans="2:53">
      <c r="B65" s="564"/>
      <c r="C65" s="564"/>
      <c r="D65" s="564"/>
      <c r="E65" s="564" t="s">
        <v>381</v>
      </c>
      <c r="F65" s="564"/>
      <c r="G65" s="564"/>
      <c r="H65" s="598"/>
      <c r="I65" s="616" t="s">
        <v>381</v>
      </c>
      <c r="J65" s="616"/>
      <c r="K65" s="616"/>
      <c r="L65" s="618"/>
      <c r="M65" s="603"/>
      <c r="N65" s="564"/>
      <c r="O65" s="564"/>
      <c r="P65" s="583" t="s">
        <v>382</v>
      </c>
      <c r="Q65" s="584"/>
      <c r="R65" s="584"/>
      <c r="S65" s="585"/>
      <c r="T65" s="564"/>
      <c r="U65" s="583" t="s">
        <v>382</v>
      </c>
      <c r="V65" s="584"/>
      <c r="W65" s="584"/>
      <c r="X65" s="585"/>
      <c r="Y65" s="564"/>
      <c r="Z65" s="583" t="s">
        <v>382</v>
      </c>
      <c r="AA65" s="584"/>
      <c r="AB65" s="584"/>
      <c r="AC65" s="585"/>
      <c r="AD65" s="564"/>
      <c r="AE65" s="583" t="s">
        <v>382</v>
      </c>
      <c r="AF65" s="584"/>
      <c r="AG65" s="584"/>
      <c r="AH65" s="585"/>
      <c r="AI65" s="564"/>
      <c r="AJ65" s="583" t="s">
        <v>382</v>
      </c>
      <c r="AK65" s="584"/>
      <c r="AL65" s="584"/>
      <c r="AM65" s="585"/>
      <c r="AN65" s="564"/>
      <c r="AO65" s="583" t="s">
        <v>382</v>
      </c>
      <c r="AP65" s="584"/>
      <c r="AQ65" s="584"/>
      <c r="AR65" s="585"/>
      <c r="AS65" s="564"/>
      <c r="AT65" s="583" t="s">
        <v>382</v>
      </c>
      <c r="AU65" s="584"/>
      <c r="AV65" s="584"/>
      <c r="AW65" s="585"/>
      <c r="AX65" s="564"/>
      <c r="BA65" s="564"/>
    </row>
    <row r="66" spans="2:53">
      <c r="B66" s="564"/>
      <c r="C66" s="564"/>
      <c r="D66" s="564"/>
      <c r="E66" s="417" t="s">
        <v>383</v>
      </c>
      <c r="F66" s="417" t="s">
        <v>384</v>
      </c>
      <c r="G66" s="417" t="s">
        <v>385</v>
      </c>
      <c r="H66" s="599"/>
      <c r="I66" s="416" t="s">
        <v>383</v>
      </c>
      <c r="J66" s="416" t="s">
        <v>384</v>
      </c>
      <c r="K66" s="416" t="s">
        <v>385</v>
      </c>
      <c r="L66" s="619"/>
      <c r="M66" s="604"/>
      <c r="N66" s="564"/>
      <c r="O66" s="564"/>
      <c r="P66" s="417" t="s">
        <v>383</v>
      </c>
      <c r="Q66" s="417" t="s">
        <v>384</v>
      </c>
      <c r="R66" s="417" t="s">
        <v>385</v>
      </c>
      <c r="S66" s="417" t="s">
        <v>375</v>
      </c>
      <c r="T66" s="564"/>
      <c r="U66" s="417" t="s">
        <v>383</v>
      </c>
      <c r="V66" s="417" t="s">
        <v>384</v>
      </c>
      <c r="W66" s="417" t="s">
        <v>385</v>
      </c>
      <c r="X66" s="417" t="s">
        <v>375</v>
      </c>
      <c r="Y66" s="564"/>
      <c r="Z66" s="417" t="s">
        <v>383</v>
      </c>
      <c r="AA66" s="417" t="s">
        <v>384</v>
      </c>
      <c r="AB66" s="417" t="s">
        <v>385</v>
      </c>
      <c r="AC66" s="417" t="s">
        <v>375</v>
      </c>
      <c r="AD66" s="564"/>
      <c r="AE66" s="417" t="s">
        <v>383</v>
      </c>
      <c r="AF66" s="417" t="s">
        <v>384</v>
      </c>
      <c r="AG66" s="417" t="s">
        <v>385</v>
      </c>
      <c r="AH66" s="417" t="s">
        <v>375</v>
      </c>
      <c r="AI66" s="564"/>
      <c r="AJ66" s="417" t="s">
        <v>383</v>
      </c>
      <c r="AK66" s="417" t="s">
        <v>384</v>
      </c>
      <c r="AL66" s="417" t="s">
        <v>385</v>
      </c>
      <c r="AM66" s="417" t="s">
        <v>375</v>
      </c>
      <c r="AN66" s="564"/>
      <c r="AO66" s="417" t="s">
        <v>383</v>
      </c>
      <c r="AP66" s="417" t="s">
        <v>384</v>
      </c>
      <c r="AQ66" s="417" t="s">
        <v>385</v>
      </c>
      <c r="AR66" s="417" t="s">
        <v>375</v>
      </c>
      <c r="AS66" s="564"/>
      <c r="AT66" s="417" t="s">
        <v>383</v>
      </c>
      <c r="AU66" s="417" t="s">
        <v>384</v>
      </c>
      <c r="AV66" s="417" t="s">
        <v>385</v>
      </c>
      <c r="AW66" s="417" t="s">
        <v>375</v>
      </c>
      <c r="AX66" s="564"/>
      <c r="AZ66" s="406" t="s">
        <v>375</v>
      </c>
      <c r="BA66" s="564"/>
    </row>
    <row r="67" spans="2:53">
      <c r="B67" s="564" t="s">
        <v>400</v>
      </c>
      <c r="C67" s="418">
        <v>1</v>
      </c>
      <c r="D67" s="226"/>
      <c r="E67" s="425"/>
      <c r="F67" s="418"/>
      <c r="G67" s="419"/>
      <c r="H67" s="627" t="e">
        <f>AVERAGE(G67:G81)</f>
        <v>#DIV/0!</v>
      </c>
      <c r="I67" s="422" t="str">
        <f t="shared" ref="I67:I80" si="50">IFERROR(AVERAGE(P67,U67,Z67,AE67,AJ67,AO67,AT67),"-")</f>
        <v>-</v>
      </c>
      <c r="J67" s="422" t="str">
        <f t="shared" ref="J67:J80" si="51">IFERROR(AVERAGE(Q67,V67,AA67,AF67,AK67,AP67,AU67),"-")</f>
        <v>-</v>
      </c>
      <c r="K67" s="200" t="str">
        <f t="shared" ref="K67:K80" si="52">IFERROR(AVERAGE(R67,W67,AB67,AG67,AL67,AQ67,AV67),"-")</f>
        <v>-</v>
      </c>
      <c r="L67" s="580" t="str">
        <f>IFERROR(AVERAGE(K67:K81),"-")</f>
        <v>-</v>
      </c>
      <c r="M67" s="424" t="e">
        <f>RANK(K67, K$107:$K$121)</f>
        <v>#VALUE!</v>
      </c>
      <c r="N67" s="564"/>
      <c r="O67" s="564"/>
      <c r="P67" s="425"/>
      <c r="Q67" s="419"/>
      <c r="R67" s="419"/>
      <c r="S67" s="418" t="e">
        <f>RANK(R67, R$107:R$121)</f>
        <v>#N/A</v>
      </c>
      <c r="T67" s="627" t="e">
        <f>AVERAGE(R67:R81)</f>
        <v>#DIV/0!</v>
      </c>
      <c r="U67" s="425"/>
      <c r="V67" s="419"/>
      <c r="W67" s="419"/>
      <c r="X67" s="418" t="e">
        <f>RANK(W67, W$107:W$121)</f>
        <v>#N/A</v>
      </c>
      <c r="Y67" s="627" t="e">
        <f>AVERAGE(W67:W81)</f>
        <v>#DIV/0!</v>
      </c>
      <c r="Z67" s="425"/>
      <c r="AA67" s="419"/>
      <c r="AB67" s="419"/>
      <c r="AC67" s="418" t="e">
        <f>RANK(AB67, AB$107:AB$121)</f>
        <v>#N/A</v>
      </c>
      <c r="AD67" s="627" t="e">
        <f>AVERAGE(AB67:AB81)</f>
        <v>#DIV/0!</v>
      </c>
      <c r="AE67" s="425"/>
      <c r="AF67" s="419"/>
      <c r="AG67" s="419"/>
      <c r="AH67" s="418" t="e">
        <f>RANK(AG67, AG$107:AG$121)</f>
        <v>#N/A</v>
      </c>
      <c r="AI67" s="627" t="e">
        <f>AVERAGE(AG67:AG81)</f>
        <v>#DIV/0!</v>
      </c>
      <c r="AJ67" s="425"/>
      <c r="AK67" s="419"/>
      <c r="AL67" s="419"/>
      <c r="AM67" s="418" t="e">
        <f>RANK(AL67, AL$107:AL$121)</f>
        <v>#N/A</v>
      </c>
      <c r="AN67" s="627" t="e">
        <f>AVERAGE(AL67:AL81)</f>
        <v>#DIV/0!</v>
      </c>
      <c r="AO67" s="425"/>
      <c r="AP67" s="419"/>
      <c r="AQ67" s="419"/>
      <c r="AR67" s="418" t="e">
        <f>RANK(AQ67, AQ$107:AQ$121)</f>
        <v>#N/A</v>
      </c>
      <c r="AS67" s="627" t="e">
        <f>AVERAGE(AQ67:AQ81)</f>
        <v>#DIV/0!</v>
      </c>
      <c r="AT67" s="425"/>
      <c r="AU67" s="419"/>
      <c r="AV67" s="419"/>
      <c r="AW67" s="418" t="e">
        <f>RANK(AV67, AV$107:AV$121)</f>
        <v>#N/A</v>
      </c>
      <c r="AX67" s="565" t="e">
        <f>AVERAGE(AV67:AV81)</f>
        <v>#DIV/0!</v>
      </c>
      <c r="AZ67" s="407" t="e">
        <f t="shared" ref="AZ67:AZ81" si="53">RANK(AY67, AY$67:AY$81)</f>
        <v>#N/A</v>
      </c>
      <c r="BA67" s="559" t="e">
        <f t="shared" ref="BA67" si="54">AVERAGE(AY67:AY81)</f>
        <v>#DIV/0!</v>
      </c>
    </row>
    <row r="68" spans="2:53">
      <c r="B68" s="570"/>
      <c r="C68" s="418">
        <v>2</v>
      </c>
      <c r="D68" s="226"/>
      <c r="E68" s="425"/>
      <c r="F68" s="418"/>
      <c r="G68" s="419"/>
      <c r="H68" s="628"/>
      <c r="I68" s="422" t="str">
        <f t="shared" si="50"/>
        <v>-</v>
      </c>
      <c r="J68" s="422" t="str">
        <f t="shared" si="51"/>
        <v>-</v>
      </c>
      <c r="K68" s="200" t="str">
        <f t="shared" si="52"/>
        <v>-</v>
      </c>
      <c r="L68" s="581"/>
      <c r="M68" s="424" t="e">
        <f>RANK(K68, K$107:$K$121)</f>
        <v>#VALUE!</v>
      </c>
      <c r="N68" s="564"/>
      <c r="O68" s="564"/>
      <c r="P68" s="418"/>
      <c r="Q68" s="419"/>
      <c r="R68" s="419"/>
      <c r="S68" s="418" t="e">
        <f t="shared" ref="S68:S81" si="55">RANK(R68, R$107:R$121)</f>
        <v>#N/A</v>
      </c>
      <c r="T68" s="628"/>
      <c r="U68" s="418"/>
      <c r="V68" s="419"/>
      <c r="W68" s="419"/>
      <c r="X68" s="418" t="e">
        <f t="shared" ref="X68:X81" si="56">RANK(W68, W$107:W$121)</f>
        <v>#N/A</v>
      </c>
      <c r="Y68" s="628"/>
      <c r="Z68" s="418"/>
      <c r="AA68" s="419"/>
      <c r="AB68" s="419"/>
      <c r="AC68" s="418" t="e">
        <f t="shared" ref="AC68:AC81" si="57">RANK(AB68, AB$107:AB$121)</f>
        <v>#N/A</v>
      </c>
      <c r="AD68" s="628"/>
      <c r="AE68" s="418"/>
      <c r="AF68" s="419"/>
      <c r="AG68" s="419"/>
      <c r="AH68" s="418" t="e">
        <f t="shared" ref="AH68:AH81" si="58">RANK(AG68, AG$107:AG$121)</f>
        <v>#N/A</v>
      </c>
      <c r="AI68" s="628"/>
      <c r="AJ68" s="418"/>
      <c r="AK68" s="419"/>
      <c r="AL68" s="419"/>
      <c r="AM68" s="418" t="e">
        <f t="shared" ref="AM68:AM81" si="59">RANK(AL68, AL$107:AL$121)</f>
        <v>#N/A</v>
      </c>
      <c r="AN68" s="628"/>
      <c r="AO68" s="418"/>
      <c r="AP68" s="419"/>
      <c r="AQ68" s="419"/>
      <c r="AR68" s="418" t="e">
        <f t="shared" ref="AR68:AR81" si="60">RANK(AQ68, AQ$107:AQ$121)</f>
        <v>#N/A</v>
      </c>
      <c r="AS68" s="628"/>
      <c r="AT68" s="418"/>
      <c r="AU68" s="419"/>
      <c r="AV68" s="419"/>
      <c r="AW68" s="418" t="e">
        <f t="shared" ref="AW68:AW81" si="61">RANK(AV68, AV$107:AV$121)</f>
        <v>#N/A</v>
      </c>
      <c r="AX68" s="565"/>
      <c r="AZ68" s="407" t="e">
        <f t="shared" si="53"/>
        <v>#N/A</v>
      </c>
      <c r="BA68" s="560"/>
    </row>
    <row r="69" spans="2:53">
      <c r="B69" s="570"/>
      <c r="C69" s="418">
        <v>3</v>
      </c>
      <c r="D69" s="226"/>
      <c r="E69" s="425"/>
      <c r="F69" s="418"/>
      <c r="G69" s="419"/>
      <c r="H69" s="628"/>
      <c r="I69" s="422" t="str">
        <f t="shared" si="50"/>
        <v>-</v>
      </c>
      <c r="J69" s="422" t="str">
        <f t="shared" si="51"/>
        <v>-</v>
      </c>
      <c r="K69" s="200" t="str">
        <f t="shared" si="52"/>
        <v>-</v>
      </c>
      <c r="L69" s="581"/>
      <c r="M69" s="424" t="e">
        <f>RANK(K69, K$107:$K$121)</f>
        <v>#VALUE!</v>
      </c>
      <c r="N69" s="564"/>
      <c r="O69" s="564"/>
      <c r="P69" s="418"/>
      <c r="Q69" s="419"/>
      <c r="R69" s="419"/>
      <c r="S69" s="418" t="e">
        <f t="shared" si="55"/>
        <v>#N/A</v>
      </c>
      <c r="T69" s="628"/>
      <c r="U69" s="418"/>
      <c r="V69" s="419"/>
      <c r="W69" s="419"/>
      <c r="X69" s="418" t="e">
        <f t="shared" si="56"/>
        <v>#N/A</v>
      </c>
      <c r="Y69" s="628"/>
      <c r="Z69" s="418"/>
      <c r="AA69" s="419"/>
      <c r="AB69" s="419"/>
      <c r="AC69" s="418" t="e">
        <f t="shared" si="57"/>
        <v>#N/A</v>
      </c>
      <c r="AD69" s="628"/>
      <c r="AE69" s="418"/>
      <c r="AF69" s="419"/>
      <c r="AG69" s="419"/>
      <c r="AH69" s="418" t="e">
        <f t="shared" si="58"/>
        <v>#N/A</v>
      </c>
      <c r="AI69" s="628"/>
      <c r="AJ69" s="418"/>
      <c r="AK69" s="419"/>
      <c r="AL69" s="419"/>
      <c r="AM69" s="418" t="e">
        <f t="shared" si="59"/>
        <v>#N/A</v>
      </c>
      <c r="AN69" s="628"/>
      <c r="AO69" s="418"/>
      <c r="AP69" s="419"/>
      <c r="AQ69" s="419"/>
      <c r="AR69" s="418" t="e">
        <f t="shared" si="60"/>
        <v>#N/A</v>
      </c>
      <c r="AS69" s="628"/>
      <c r="AT69" s="418"/>
      <c r="AU69" s="419"/>
      <c r="AV69" s="419"/>
      <c r="AW69" s="418" t="e">
        <f t="shared" si="61"/>
        <v>#N/A</v>
      </c>
      <c r="AX69" s="565"/>
      <c r="AZ69" s="407" t="e">
        <f t="shared" si="53"/>
        <v>#N/A</v>
      </c>
      <c r="BA69" s="560"/>
    </row>
    <row r="70" spans="2:53">
      <c r="B70" s="570"/>
      <c r="C70" s="418">
        <v>4</v>
      </c>
      <c r="D70" s="226"/>
      <c r="E70" s="425"/>
      <c r="F70" s="418"/>
      <c r="G70" s="419"/>
      <c r="H70" s="628"/>
      <c r="I70" s="422" t="str">
        <f t="shared" si="50"/>
        <v>-</v>
      </c>
      <c r="J70" s="422" t="str">
        <f t="shared" si="51"/>
        <v>-</v>
      </c>
      <c r="K70" s="200" t="str">
        <f t="shared" si="52"/>
        <v>-</v>
      </c>
      <c r="L70" s="581"/>
      <c r="M70" s="424" t="e">
        <f>RANK(K70, K$107:$K$121)</f>
        <v>#VALUE!</v>
      </c>
      <c r="N70" s="564"/>
      <c r="O70" s="564"/>
      <c r="P70" s="418"/>
      <c r="Q70" s="419"/>
      <c r="R70" s="419"/>
      <c r="S70" s="418" t="e">
        <f t="shared" si="55"/>
        <v>#N/A</v>
      </c>
      <c r="T70" s="628"/>
      <c r="U70" s="418"/>
      <c r="V70" s="419"/>
      <c r="W70" s="419"/>
      <c r="X70" s="418" t="e">
        <f t="shared" si="56"/>
        <v>#N/A</v>
      </c>
      <c r="Y70" s="628"/>
      <c r="Z70" s="418"/>
      <c r="AA70" s="419"/>
      <c r="AB70" s="419"/>
      <c r="AC70" s="418" t="e">
        <f t="shared" si="57"/>
        <v>#N/A</v>
      </c>
      <c r="AD70" s="628"/>
      <c r="AE70" s="418"/>
      <c r="AF70" s="419"/>
      <c r="AG70" s="419"/>
      <c r="AH70" s="418" t="e">
        <f t="shared" si="58"/>
        <v>#N/A</v>
      </c>
      <c r="AI70" s="628"/>
      <c r="AJ70" s="418"/>
      <c r="AK70" s="419"/>
      <c r="AL70" s="419"/>
      <c r="AM70" s="418" t="e">
        <f t="shared" si="59"/>
        <v>#N/A</v>
      </c>
      <c r="AN70" s="628"/>
      <c r="AO70" s="418"/>
      <c r="AP70" s="419"/>
      <c r="AQ70" s="419"/>
      <c r="AR70" s="418" t="e">
        <f t="shared" si="60"/>
        <v>#N/A</v>
      </c>
      <c r="AS70" s="628"/>
      <c r="AT70" s="418"/>
      <c r="AU70" s="419"/>
      <c r="AV70" s="419"/>
      <c r="AW70" s="418" t="e">
        <f t="shared" si="61"/>
        <v>#N/A</v>
      </c>
      <c r="AX70" s="565"/>
      <c r="AZ70" s="407" t="e">
        <f t="shared" si="53"/>
        <v>#N/A</v>
      </c>
      <c r="BA70" s="560"/>
    </row>
    <row r="71" spans="2:53">
      <c r="B71" s="570"/>
      <c r="C71" s="418">
        <v>5</v>
      </c>
      <c r="D71" s="226"/>
      <c r="E71" s="425"/>
      <c r="F71" s="418"/>
      <c r="G71" s="419"/>
      <c r="H71" s="628"/>
      <c r="I71" s="422" t="str">
        <f t="shared" si="50"/>
        <v>-</v>
      </c>
      <c r="J71" s="422" t="str">
        <f t="shared" si="51"/>
        <v>-</v>
      </c>
      <c r="K71" s="200" t="str">
        <f t="shared" si="52"/>
        <v>-</v>
      </c>
      <c r="L71" s="581"/>
      <c r="M71" s="424" t="e">
        <f>RANK(K71, K$107:$K$121)</f>
        <v>#VALUE!</v>
      </c>
      <c r="N71" s="564"/>
      <c r="O71" s="564"/>
      <c r="P71" s="418"/>
      <c r="Q71" s="419"/>
      <c r="R71" s="419"/>
      <c r="S71" s="418" t="e">
        <f t="shared" si="55"/>
        <v>#N/A</v>
      </c>
      <c r="T71" s="628"/>
      <c r="U71" s="418"/>
      <c r="V71" s="419"/>
      <c r="W71" s="419"/>
      <c r="X71" s="418" t="e">
        <f t="shared" si="56"/>
        <v>#N/A</v>
      </c>
      <c r="Y71" s="628"/>
      <c r="Z71" s="418"/>
      <c r="AA71" s="419"/>
      <c r="AB71" s="419"/>
      <c r="AC71" s="418" t="e">
        <f t="shared" si="57"/>
        <v>#N/A</v>
      </c>
      <c r="AD71" s="628"/>
      <c r="AE71" s="418"/>
      <c r="AF71" s="419"/>
      <c r="AG71" s="419"/>
      <c r="AH71" s="418" t="e">
        <f t="shared" si="58"/>
        <v>#N/A</v>
      </c>
      <c r="AI71" s="628"/>
      <c r="AJ71" s="418"/>
      <c r="AK71" s="419"/>
      <c r="AL71" s="419"/>
      <c r="AM71" s="418" t="e">
        <f t="shared" si="59"/>
        <v>#N/A</v>
      </c>
      <c r="AN71" s="628"/>
      <c r="AO71" s="418"/>
      <c r="AP71" s="419"/>
      <c r="AQ71" s="419"/>
      <c r="AR71" s="418" t="e">
        <f t="shared" si="60"/>
        <v>#N/A</v>
      </c>
      <c r="AS71" s="628"/>
      <c r="AT71" s="418"/>
      <c r="AU71" s="419"/>
      <c r="AV71" s="419"/>
      <c r="AW71" s="418" t="e">
        <f t="shared" si="61"/>
        <v>#N/A</v>
      </c>
      <c r="AX71" s="565"/>
      <c r="AZ71" s="407" t="e">
        <f t="shared" si="53"/>
        <v>#N/A</v>
      </c>
      <c r="BA71" s="560"/>
    </row>
    <row r="72" spans="2:53">
      <c r="B72" s="570"/>
      <c r="C72" s="418">
        <v>6</v>
      </c>
      <c r="D72" s="226"/>
      <c r="E72" s="425"/>
      <c r="F72" s="418"/>
      <c r="G72" s="419"/>
      <c r="H72" s="628"/>
      <c r="I72" s="422" t="str">
        <f t="shared" si="50"/>
        <v>-</v>
      </c>
      <c r="J72" s="422" t="str">
        <f t="shared" si="51"/>
        <v>-</v>
      </c>
      <c r="K72" s="200" t="str">
        <f t="shared" si="52"/>
        <v>-</v>
      </c>
      <c r="L72" s="581"/>
      <c r="M72" s="424" t="e">
        <f>RANK(K72, K$107:$K$121)</f>
        <v>#VALUE!</v>
      </c>
      <c r="N72" s="564"/>
      <c r="O72" s="564"/>
      <c r="P72" s="418"/>
      <c r="Q72" s="419"/>
      <c r="R72" s="419"/>
      <c r="S72" s="418" t="e">
        <f t="shared" si="55"/>
        <v>#N/A</v>
      </c>
      <c r="T72" s="628"/>
      <c r="U72" s="418"/>
      <c r="V72" s="419"/>
      <c r="W72" s="419"/>
      <c r="X72" s="418" t="e">
        <f t="shared" si="56"/>
        <v>#N/A</v>
      </c>
      <c r="Y72" s="628"/>
      <c r="Z72" s="418"/>
      <c r="AA72" s="419"/>
      <c r="AB72" s="419"/>
      <c r="AC72" s="418" t="e">
        <f t="shared" si="57"/>
        <v>#N/A</v>
      </c>
      <c r="AD72" s="628"/>
      <c r="AE72" s="418"/>
      <c r="AF72" s="419"/>
      <c r="AG72" s="419"/>
      <c r="AH72" s="418" t="e">
        <f t="shared" si="58"/>
        <v>#N/A</v>
      </c>
      <c r="AI72" s="628"/>
      <c r="AJ72" s="418"/>
      <c r="AK72" s="419"/>
      <c r="AL72" s="419"/>
      <c r="AM72" s="418" t="e">
        <f t="shared" si="59"/>
        <v>#N/A</v>
      </c>
      <c r="AN72" s="628"/>
      <c r="AO72" s="418"/>
      <c r="AP72" s="419"/>
      <c r="AQ72" s="419"/>
      <c r="AR72" s="418" t="e">
        <f t="shared" si="60"/>
        <v>#N/A</v>
      </c>
      <c r="AS72" s="628"/>
      <c r="AT72" s="418"/>
      <c r="AU72" s="419"/>
      <c r="AV72" s="419"/>
      <c r="AW72" s="418" t="e">
        <f t="shared" si="61"/>
        <v>#N/A</v>
      </c>
      <c r="AX72" s="565"/>
      <c r="AZ72" s="407" t="e">
        <f t="shared" si="53"/>
        <v>#N/A</v>
      </c>
      <c r="BA72" s="560"/>
    </row>
    <row r="73" spans="2:53">
      <c r="B73" s="570"/>
      <c r="C73" s="418">
        <v>7</v>
      </c>
      <c r="D73" s="226"/>
      <c r="E73" s="425"/>
      <c r="F73" s="418"/>
      <c r="G73" s="419"/>
      <c r="H73" s="628"/>
      <c r="I73" s="422" t="str">
        <f t="shared" si="50"/>
        <v>-</v>
      </c>
      <c r="J73" s="422" t="str">
        <f t="shared" si="51"/>
        <v>-</v>
      </c>
      <c r="K73" s="200" t="str">
        <f t="shared" si="52"/>
        <v>-</v>
      </c>
      <c r="L73" s="581"/>
      <c r="M73" s="424" t="e">
        <f>RANK(K73, K$107:$K$121)</f>
        <v>#VALUE!</v>
      </c>
      <c r="N73" s="564"/>
      <c r="O73" s="564"/>
      <c r="P73" s="418"/>
      <c r="Q73" s="419"/>
      <c r="R73" s="419"/>
      <c r="S73" s="418" t="e">
        <f t="shared" si="55"/>
        <v>#N/A</v>
      </c>
      <c r="T73" s="628"/>
      <c r="U73" s="418"/>
      <c r="V73" s="419"/>
      <c r="W73" s="419"/>
      <c r="X73" s="418" t="e">
        <f t="shared" si="56"/>
        <v>#N/A</v>
      </c>
      <c r="Y73" s="628"/>
      <c r="Z73" s="418"/>
      <c r="AA73" s="419"/>
      <c r="AB73" s="419"/>
      <c r="AC73" s="418" t="e">
        <f t="shared" si="57"/>
        <v>#N/A</v>
      </c>
      <c r="AD73" s="628"/>
      <c r="AE73" s="418"/>
      <c r="AF73" s="419"/>
      <c r="AG73" s="419"/>
      <c r="AH73" s="418" t="e">
        <f t="shared" si="58"/>
        <v>#N/A</v>
      </c>
      <c r="AI73" s="628"/>
      <c r="AJ73" s="418"/>
      <c r="AK73" s="419"/>
      <c r="AL73" s="419"/>
      <c r="AM73" s="418" t="e">
        <f t="shared" si="59"/>
        <v>#N/A</v>
      </c>
      <c r="AN73" s="628"/>
      <c r="AO73" s="418"/>
      <c r="AP73" s="419"/>
      <c r="AQ73" s="419"/>
      <c r="AR73" s="418" t="e">
        <f t="shared" si="60"/>
        <v>#N/A</v>
      </c>
      <c r="AS73" s="628"/>
      <c r="AT73" s="418"/>
      <c r="AU73" s="419"/>
      <c r="AV73" s="419"/>
      <c r="AW73" s="418" t="e">
        <f t="shared" si="61"/>
        <v>#N/A</v>
      </c>
      <c r="AX73" s="565"/>
      <c r="AZ73" s="407" t="e">
        <f t="shared" si="53"/>
        <v>#N/A</v>
      </c>
      <c r="BA73" s="560"/>
    </row>
    <row r="74" spans="2:53">
      <c r="B74" s="570"/>
      <c r="C74" s="418">
        <v>8</v>
      </c>
      <c r="D74" s="226"/>
      <c r="E74" s="425"/>
      <c r="F74" s="418"/>
      <c r="G74" s="419"/>
      <c r="H74" s="628"/>
      <c r="I74" s="422" t="str">
        <f t="shared" si="50"/>
        <v>-</v>
      </c>
      <c r="J74" s="422" t="str">
        <f t="shared" si="51"/>
        <v>-</v>
      </c>
      <c r="K74" s="200" t="str">
        <f t="shared" si="52"/>
        <v>-</v>
      </c>
      <c r="L74" s="581"/>
      <c r="M74" s="424" t="e">
        <f>RANK(K74, K$107:$K$121)</f>
        <v>#VALUE!</v>
      </c>
      <c r="N74" s="564"/>
      <c r="O74" s="564"/>
      <c r="P74" s="418"/>
      <c r="Q74" s="419"/>
      <c r="R74" s="419"/>
      <c r="S74" s="418" t="e">
        <f t="shared" si="55"/>
        <v>#N/A</v>
      </c>
      <c r="T74" s="628"/>
      <c r="U74" s="418"/>
      <c r="V74" s="419"/>
      <c r="W74" s="419"/>
      <c r="X74" s="418" t="e">
        <f t="shared" si="56"/>
        <v>#N/A</v>
      </c>
      <c r="Y74" s="628"/>
      <c r="Z74" s="418"/>
      <c r="AA74" s="419"/>
      <c r="AB74" s="419"/>
      <c r="AC74" s="418" t="e">
        <f t="shared" si="57"/>
        <v>#N/A</v>
      </c>
      <c r="AD74" s="628"/>
      <c r="AE74" s="418"/>
      <c r="AF74" s="419"/>
      <c r="AG74" s="419"/>
      <c r="AH74" s="418" t="e">
        <f t="shared" si="58"/>
        <v>#N/A</v>
      </c>
      <c r="AI74" s="628"/>
      <c r="AJ74" s="418"/>
      <c r="AK74" s="419"/>
      <c r="AL74" s="419"/>
      <c r="AM74" s="418" t="e">
        <f t="shared" si="59"/>
        <v>#N/A</v>
      </c>
      <c r="AN74" s="628"/>
      <c r="AO74" s="418"/>
      <c r="AP74" s="419"/>
      <c r="AQ74" s="419"/>
      <c r="AR74" s="418" t="e">
        <f t="shared" si="60"/>
        <v>#N/A</v>
      </c>
      <c r="AS74" s="628"/>
      <c r="AT74" s="418"/>
      <c r="AU74" s="419"/>
      <c r="AV74" s="419"/>
      <c r="AW74" s="418" t="e">
        <f t="shared" si="61"/>
        <v>#N/A</v>
      </c>
      <c r="AX74" s="565"/>
      <c r="AZ74" s="407" t="e">
        <f t="shared" si="53"/>
        <v>#N/A</v>
      </c>
      <c r="BA74" s="560"/>
    </row>
    <row r="75" spans="2:53">
      <c r="B75" s="570"/>
      <c r="C75" s="418">
        <v>9</v>
      </c>
      <c r="D75" s="226"/>
      <c r="E75" s="425"/>
      <c r="F75" s="418"/>
      <c r="G75" s="419"/>
      <c r="H75" s="628"/>
      <c r="I75" s="422" t="str">
        <f t="shared" si="50"/>
        <v>-</v>
      </c>
      <c r="J75" s="422" t="str">
        <f t="shared" si="51"/>
        <v>-</v>
      </c>
      <c r="K75" s="200" t="str">
        <f t="shared" si="52"/>
        <v>-</v>
      </c>
      <c r="L75" s="581"/>
      <c r="M75" s="424" t="e">
        <f>RANK(K75, K$107:$K$121)</f>
        <v>#VALUE!</v>
      </c>
      <c r="N75" s="564"/>
      <c r="O75" s="564"/>
      <c r="P75" s="418"/>
      <c r="Q75" s="419"/>
      <c r="R75" s="419"/>
      <c r="S75" s="418" t="e">
        <f t="shared" si="55"/>
        <v>#N/A</v>
      </c>
      <c r="T75" s="628"/>
      <c r="U75" s="418"/>
      <c r="V75" s="419"/>
      <c r="W75" s="419"/>
      <c r="X75" s="418" t="e">
        <f t="shared" si="56"/>
        <v>#N/A</v>
      </c>
      <c r="Y75" s="628"/>
      <c r="Z75" s="418"/>
      <c r="AA75" s="419"/>
      <c r="AB75" s="419"/>
      <c r="AC75" s="418" t="e">
        <f t="shared" si="57"/>
        <v>#N/A</v>
      </c>
      <c r="AD75" s="628"/>
      <c r="AE75" s="418"/>
      <c r="AF75" s="419"/>
      <c r="AG75" s="419"/>
      <c r="AH75" s="418" t="e">
        <f t="shared" si="58"/>
        <v>#N/A</v>
      </c>
      <c r="AI75" s="628"/>
      <c r="AJ75" s="418"/>
      <c r="AK75" s="419"/>
      <c r="AL75" s="419"/>
      <c r="AM75" s="418" t="e">
        <f t="shared" si="59"/>
        <v>#N/A</v>
      </c>
      <c r="AN75" s="628"/>
      <c r="AO75" s="418"/>
      <c r="AP75" s="419"/>
      <c r="AQ75" s="419"/>
      <c r="AR75" s="418" t="e">
        <f t="shared" si="60"/>
        <v>#N/A</v>
      </c>
      <c r="AS75" s="628"/>
      <c r="AT75" s="418"/>
      <c r="AU75" s="419"/>
      <c r="AV75" s="419"/>
      <c r="AW75" s="418" t="e">
        <f t="shared" si="61"/>
        <v>#N/A</v>
      </c>
      <c r="AX75" s="565"/>
      <c r="AZ75" s="407" t="e">
        <f t="shared" si="53"/>
        <v>#N/A</v>
      </c>
      <c r="BA75" s="560"/>
    </row>
    <row r="76" spans="2:53">
      <c r="B76" s="570"/>
      <c r="C76" s="418">
        <v>10</v>
      </c>
      <c r="D76" s="226"/>
      <c r="E76" s="425"/>
      <c r="F76" s="418"/>
      <c r="G76" s="419"/>
      <c r="H76" s="628"/>
      <c r="I76" s="422" t="str">
        <f t="shared" si="50"/>
        <v>-</v>
      </c>
      <c r="J76" s="422" t="str">
        <f t="shared" si="51"/>
        <v>-</v>
      </c>
      <c r="K76" s="200" t="str">
        <f t="shared" si="52"/>
        <v>-</v>
      </c>
      <c r="L76" s="581"/>
      <c r="M76" s="424" t="e">
        <f>RANK(K76, K$107:$K$121)</f>
        <v>#VALUE!</v>
      </c>
      <c r="N76" s="564"/>
      <c r="O76" s="564"/>
      <c r="P76" s="418"/>
      <c r="Q76" s="419"/>
      <c r="R76" s="419"/>
      <c r="S76" s="418" t="e">
        <f t="shared" si="55"/>
        <v>#N/A</v>
      </c>
      <c r="T76" s="628"/>
      <c r="U76" s="418"/>
      <c r="V76" s="419"/>
      <c r="W76" s="419"/>
      <c r="X76" s="418" t="e">
        <f t="shared" si="56"/>
        <v>#N/A</v>
      </c>
      <c r="Y76" s="628"/>
      <c r="Z76" s="418"/>
      <c r="AA76" s="419"/>
      <c r="AB76" s="419"/>
      <c r="AC76" s="418" t="e">
        <f t="shared" si="57"/>
        <v>#N/A</v>
      </c>
      <c r="AD76" s="628"/>
      <c r="AE76" s="418"/>
      <c r="AF76" s="419"/>
      <c r="AG76" s="419"/>
      <c r="AH76" s="418" t="e">
        <f t="shared" si="58"/>
        <v>#N/A</v>
      </c>
      <c r="AI76" s="628"/>
      <c r="AJ76" s="418"/>
      <c r="AK76" s="419"/>
      <c r="AL76" s="419"/>
      <c r="AM76" s="418" t="e">
        <f t="shared" si="59"/>
        <v>#N/A</v>
      </c>
      <c r="AN76" s="628"/>
      <c r="AO76" s="418"/>
      <c r="AP76" s="419"/>
      <c r="AQ76" s="419"/>
      <c r="AR76" s="418" t="e">
        <f t="shared" si="60"/>
        <v>#N/A</v>
      </c>
      <c r="AS76" s="628"/>
      <c r="AT76" s="418"/>
      <c r="AU76" s="419"/>
      <c r="AV76" s="419"/>
      <c r="AW76" s="418" t="e">
        <f t="shared" si="61"/>
        <v>#N/A</v>
      </c>
      <c r="AX76" s="565"/>
      <c r="AZ76" s="407" t="e">
        <f t="shared" si="53"/>
        <v>#N/A</v>
      </c>
      <c r="BA76" s="560"/>
    </row>
    <row r="77" spans="2:53">
      <c r="B77" s="570"/>
      <c r="C77" s="418">
        <v>11</v>
      </c>
      <c r="D77" s="226"/>
      <c r="E77" s="425"/>
      <c r="F77" s="418"/>
      <c r="G77" s="419"/>
      <c r="H77" s="628"/>
      <c r="I77" s="422" t="str">
        <f t="shared" si="50"/>
        <v>-</v>
      </c>
      <c r="J77" s="422" t="str">
        <f t="shared" si="51"/>
        <v>-</v>
      </c>
      <c r="K77" s="200" t="str">
        <f t="shared" si="52"/>
        <v>-</v>
      </c>
      <c r="L77" s="581"/>
      <c r="M77" s="424" t="e">
        <f>RANK(K77, K$107:$K$121)</f>
        <v>#VALUE!</v>
      </c>
      <c r="N77" s="564"/>
      <c r="O77" s="564"/>
      <c r="P77" s="418"/>
      <c r="Q77" s="419"/>
      <c r="R77" s="419"/>
      <c r="S77" s="418" t="e">
        <f t="shared" si="55"/>
        <v>#N/A</v>
      </c>
      <c r="T77" s="628"/>
      <c r="U77" s="418"/>
      <c r="V77" s="419"/>
      <c r="W77" s="419"/>
      <c r="X77" s="418" t="e">
        <f t="shared" si="56"/>
        <v>#N/A</v>
      </c>
      <c r="Y77" s="628"/>
      <c r="Z77" s="418"/>
      <c r="AA77" s="419"/>
      <c r="AB77" s="419"/>
      <c r="AC77" s="418" t="e">
        <f t="shared" si="57"/>
        <v>#N/A</v>
      </c>
      <c r="AD77" s="628"/>
      <c r="AE77" s="418"/>
      <c r="AF77" s="419"/>
      <c r="AG77" s="419"/>
      <c r="AH77" s="418" t="e">
        <f t="shared" si="58"/>
        <v>#N/A</v>
      </c>
      <c r="AI77" s="628"/>
      <c r="AJ77" s="418"/>
      <c r="AK77" s="419"/>
      <c r="AL77" s="419"/>
      <c r="AM77" s="418" t="e">
        <f t="shared" si="59"/>
        <v>#N/A</v>
      </c>
      <c r="AN77" s="628"/>
      <c r="AO77" s="418"/>
      <c r="AP77" s="419"/>
      <c r="AQ77" s="419"/>
      <c r="AR77" s="418" t="e">
        <f t="shared" si="60"/>
        <v>#N/A</v>
      </c>
      <c r="AS77" s="628"/>
      <c r="AT77" s="418"/>
      <c r="AU77" s="419"/>
      <c r="AV77" s="419"/>
      <c r="AW77" s="418" t="e">
        <f t="shared" si="61"/>
        <v>#N/A</v>
      </c>
      <c r="AX77" s="565"/>
      <c r="AZ77" s="407" t="e">
        <f t="shared" si="53"/>
        <v>#N/A</v>
      </c>
      <c r="BA77" s="560"/>
    </row>
    <row r="78" spans="2:53">
      <c r="B78" s="570"/>
      <c r="C78" s="418">
        <v>12</v>
      </c>
      <c r="D78" s="226"/>
      <c r="E78" s="425"/>
      <c r="F78" s="418"/>
      <c r="G78" s="419"/>
      <c r="H78" s="628"/>
      <c r="I78" s="422" t="str">
        <f t="shared" si="50"/>
        <v>-</v>
      </c>
      <c r="J78" s="422" t="str">
        <f t="shared" si="51"/>
        <v>-</v>
      </c>
      <c r="K78" s="200" t="str">
        <f t="shared" si="52"/>
        <v>-</v>
      </c>
      <c r="L78" s="581"/>
      <c r="M78" s="424" t="e">
        <f>RANK(K78, K$107:$K$121)</f>
        <v>#VALUE!</v>
      </c>
      <c r="N78" s="564"/>
      <c r="O78" s="564"/>
      <c r="P78" s="418"/>
      <c r="Q78" s="419"/>
      <c r="R78" s="419"/>
      <c r="S78" s="418" t="e">
        <f t="shared" si="55"/>
        <v>#N/A</v>
      </c>
      <c r="T78" s="628"/>
      <c r="U78" s="418"/>
      <c r="V78" s="419"/>
      <c r="W78" s="419"/>
      <c r="X78" s="418" t="e">
        <f t="shared" si="56"/>
        <v>#N/A</v>
      </c>
      <c r="Y78" s="628"/>
      <c r="Z78" s="418"/>
      <c r="AA78" s="419"/>
      <c r="AB78" s="419"/>
      <c r="AC78" s="418" t="e">
        <f t="shared" si="57"/>
        <v>#N/A</v>
      </c>
      <c r="AD78" s="628"/>
      <c r="AE78" s="418"/>
      <c r="AF78" s="419"/>
      <c r="AG78" s="419"/>
      <c r="AH78" s="418" t="e">
        <f t="shared" si="58"/>
        <v>#N/A</v>
      </c>
      <c r="AI78" s="628"/>
      <c r="AJ78" s="418"/>
      <c r="AK78" s="419"/>
      <c r="AL78" s="419"/>
      <c r="AM78" s="418" t="e">
        <f t="shared" si="59"/>
        <v>#N/A</v>
      </c>
      <c r="AN78" s="628"/>
      <c r="AO78" s="418"/>
      <c r="AP78" s="419"/>
      <c r="AQ78" s="419"/>
      <c r="AR78" s="418" t="e">
        <f t="shared" si="60"/>
        <v>#N/A</v>
      </c>
      <c r="AS78" s="628"/>
      <c r="AT78" s="418"/>
      <c r="AU78" s="419"/>
      <c r="AV78" s="419"/>
      <c r="AW78" s="418" t="e">
        <f t="shared" si="61"/>
        <v>#N/A</v>
      </c>
      <c r="AX78" s="565"/>
      <c r="AZ78" s="407" t="e">
        <f t="shared" si="53"/>
        <v>#N/A</v>
      </c>
      <c r="BA78" s="560"/>
    </row>
    <row r="79" spans="2:53">
      <c r="B79" s="570"/>
      <c r="C79" s="418">
        <v>13</v>
      </c>
      <c r="D79" s="226"/>
      <c r="E79" s="425"/>
      <c r="F79" s="418"/>
      <c r="G79" s="419"/>
      <c r="H79" s="628"/>
      <c r="I79" s="422" t="str">
        <f t="shared" si="50"/>
        <v>-</v>
      </c>
      <c r="J79" s="422" t="str">
        <f t="shared" si="51"/>
        <v>-</v>
      </c>
      <c r="K79" s="200" t="str">
        <f t="shared" si="52"/>
        <v>-</v>
      </c>
      <c r="L79" s="581"/>
      <c r="M79" s="424" t="e">
        <f>RANK(K79, K$107:$K$121)</f>
        <v>#VALUE!</v>
      </c>
      <c r="N79" s="564"/>
      <c r="O79" s="564"/>
      <c r="P79" s="418"/>
      <c r="Q79" s="419"/>
      <c r="R79" s="419"/>
      <c r="S79" s="418" t="e">
        <f t="shared" si="55"/>
        <v>#N/A</v>
      </c>
      <c r="T79" s="628"/>
      <c r="U79" s="418"/>
      <c r="V79" s="419"/>
      <c r="W79" s="419"/>
      <c r="X79" s="418" t="e">
        <f t="shared" si="56"/>
        <v>#N/A</v>
      </c>
      <c r="Y79" s="628"/>
      <c r="Z79" s="418"/>
      <c r="AA79" s="419"/>
      <c r="AB79" s="419"/>
      <c r="AC79" s="418" t="e">
        <f t="shared" si="57"/>
        <v>#N/A</v>
      </c>
      <c r="AD79" s="628"/>
      <c r="AE79" s="418"/>
      <c r="AF79" s="419"/>
      <c r="AG79" s="419"/>
      <c r="AH79" s="418" t="e">
        <f t="shared" si="58"/>
        <v>#N/A</v>
      </c>
      <c r="AI79" s="628"/>
      <c r="AJ79" s="418"/>
      <c r="AK79" s="419"/>
      <c r="AL79" s="419"/>
      <c r="AM79" s="418" t="e">
        <f t="shared" si="59"/>
        <v>#N/A</v>
      </c>
      <c r="AN79" s="628"/>
      <c r="AO79" s="418"/>
      <c r="AP79" s="419"/>
      <c r="AQ79" s="419"/>
      <c r="AR79" s="418" t="e">
        <f t="shared" si="60"/>
        <v>#N/A</v>
      </c>
      <c r="AS79" s="628"/>
      <c r="AT79" s="418"/>
      <c r="AU79" s="419"/>
      <c r="AV79" s="419"/>
      <c r="AW79" s="418" t="e">
        <f t="shared" si="61"/>
        <v>#N/A</v>
      </c>
      <c r="AX79" s="565"/>
      <c r="AZ79" s="407" t="e">
        <f t="shared" si="53"/>
        <v>#N/A</v>
      </c>
      <c r="BA79" s="560"/>
    </row>
    <row r="80" spans="2:53">
      <c r="B80" s="570"/>
      <c r="C80" s="418">
        <v>14</v>
      </c>
      <c r="D80" s="226"/>
      <c r="E80" s="425"/>
      <c r="F80" s="418"/>
      <c r="G80" s="419"/>
      <c r="H80" s="628"/>
      <c r="I80" s="422" t="str">
        <f t="shared" si="50"/>
        <v>-</v>
      </c>
      <c r="J80" s="422" t="str">
        <f t="shared" si="51"/>
        <v>-</v>
      </c>
      <c r="K80" s="200" t="str">
        <f t="shared" si="52"/>
        <v>-</v>
      </c>
      <c r="L80" s="581"/>
      <c r="M80" s="424" t="e">
        <f>RANK(K80, K$107:$K$121)</f>
        <v>#VALUE!</v>
      </c>
      <c r="N80" s="564"/>
      <c r="O80" s="564"/>
      <c r="P80" s="418"/>
      <c r="Q80" s="419"/>
      <c r="R80" s="419"/>
      <c r="S80" s="418" t="e">
        <f t="shared" si="55"/>
        <v>#N/A</v>
      </c>
      <c r="T80" s="628"/>
      <c r="U80" s="418"/>
      <c r="V80" s="419"/>
      <c r="W80" s="419"/>
      <c r="X80" s="418" t="e">
        <f t="shared" si="56"/>
        <v>#N/A</v>
      </c>
      <c r="Y80" s="628"/>
      <c r="Z80" s="418"/>
      <c r="AA80" s="419"/>
      <c r="AB80" s="419"/>
      <c r="AC80" s="418" t="e">
        <f t="shared" si="57"/>
        <v>#N/A</v>
      </c>
      <c r="AD80" s="628"/>
      <c r="AE80" s="418"/>
      <c r="AF80" s="419"/>
      <c r="AG80" s="419"/>
      <c r="AH80" s="418" t="e">
        <f t="shared" si="58"/>
        <v>#N/A</v>
      </c>
      <c r="AI80" s="628"/>
      <c r="AJ80" s="418"/>
      <c r="AK80" s="419"/>
      <c r="AL80" s="419"/>
      <c r="AM80" s="418" t="e">
        <f t="shared" si="59"/>
        <v>#N/A</v>
      </c>
      <c r="AN80" s="628"/>
      <c r="AO80" s="418"/>
      <c r="AP80" s="419"/>
      <c r="AQ80" s="419"/>
      <c r="AR80" s="418" t="e">
        <f t="shared" si="60"/>
        <v>#N/A</v>
      </c>
      <c r="AS80" s="628"/>
      <c r="AT80" s="418"/>
      <c r="AU80" s="419"/>
      <c r="AV80" s="419"/>
      <c r="AW80" s="418" t="e">
        <f t="shared" si="61"/>
        <v>#N/A</v>
      </c>
      <c r="AX80" s="565"/>
      <c r="AZ80" s="407" t="e">
        <f t="shared" si="53"/>
        <v>#N/A</v>
      </c>
      <c r="BA80" s="560"/>
    </row>
    <row r="81" spans="2:53">
      <c r="B81" s="570"/>
      <c r="C81" s="418">
        <v>15</v>
      </c>
      <c r="D81" s="226"/>
      <c r="E81" s="425"/>
      <c r="F81" s="418"/>
      <c r="G81" s="419"/>
      <c r="H81" s="629"/>
      <c r="I81" s="202"/>
      <c r="J81" s="202"/>
      <c r="K81" s="202"/>
      <c r="L81" s="582"/>
      <c r="M81" s="424" t="e">
        <f>RANK(K81, K$107:$K$121)</f>
        <v>#N/A</v>
      </c>
      <c r="N81" s="564"/>
      <c r="O81" s="564"/>
      <c r="P81" s="418"/>
      <c r="Q81" s="419"/>
      <c r="R81" s="419"/>
      <c r="S81" s="418" t="e">
        <f t="shared" si="55"/>
        <v>#N/A</v>
      </c>
      <c r="T81" s="629"/>
      <c r="U81" s="418"/>
      <c r="V81" s="419"/>
      <c r="W81" s="419"/>
      <c r="X81" s="418" t="e">
        <f t="shared" si="56"/>
        <v>#N/A</v>
      </c>
      <c r="Y81" s="629"/>
      <c r="Z81" s="418"/>
      <c r="AA81" s="419"/>
      <c r="AB81" s="419"/>
      <c r="AC81" s="418" t="e">
        <f t="shared" si="57"/>
        <v>#N/A</v>
      </c>
      <c r="AD81" s="629"/>
      <c r="AE81" s="418"/>
      <c r="AF81" s="419"/>
      <c r="AG81" s="419"/>
      <c r="AH81" s="418" t="e">
        <f t="shared" si="58"/>
        <v>#N/A</v>
      </c>
      <c r="AI81" s="629"/>
      <c r="AJ81" s="418"/>
      <c r="AK81" s="419"/>
      <c r="AL81" s="419"/>
      <c r="AM81" s="418" t="e">
        <f t="shared" si="59"/>
        <v>#N/A</v>
      </c>
      <c r="AN81" s="629"/>
      <c r="AO81" s="418"/>
      <c r="AP81" s="419"/>
      <c r="AQ81" s="419"/>
      <c r="AR81" s="418" t="e">
        <f t="shared" si="60"/>
        <v>#N/A</v>
      </c>
      <c r="AS81" s="629"/>
      <c r="AT81" s="418"/>
      <c r="AU81" s="419"/>
      <c r="AV81" s="419"/>
      <c r="AW81" s="418" t="e">
        <f t="shared" si="61"/>
        <v>#N/A</v>
      </c>
      <c r="AX81" s="565"/>
      <c r="AZ81" s="407" t="e">
        <f t="shared" si="53"/>
        <v>#N/A</v>
      </c>
      <c r="BA81" s="561"/>
    </row>
    <row r="82" spans="2:53" ht="15.75">
      <c r="B82" s="593" t="s">
        <v>163</v>
      </c>
      <c r="C82" s="594"/>
      <c r="D82" s="594"/>
      <c r="E82" s="594"/>
      <c r="F82" s="594"/>
      <c r="G82" s="594"/>
      <c r="H82" s="595"/>
      <c r="I82" s="208"/>
      <c r="J82" s="208"/>
      <c r="K82" s="208"/>
      <c r="L82" s="208"/>
      <c r="M82" s="207"/>
      <c r="N82" s="566" t="s">
        <v>156</v>
      </c>
      <c r="O82" s="566" t="s">
        <v>105</v>
      </c>
      <c r="P82" s="592">
        <f>P62+7</f>
        <v>46168</v>
      </c>
      <c r="Q82" s="570"/>
      <c r="R82" s="570"/>
      <c r="S82" s="570"/>
      <c r="T82" s="570"/>
      <c r="U82" s="589">
        <f>P82+1</f>
        <v>46169</v>
      </c>
      <c r="V82" s="590"/>
      <c r="W82" s="590"/>
      <c r="X82" s="590"/>
      <c r="Y82" s="591"/>
      <c r="Z82" s="589">
        <f>U82+1</f>
        <v>46170</v>
      </c>
      <c r="AA82" s="590"/>
      <c r="AB82" s="590"/>
      <c r="AC82" s="590"/>
      <c r="AD82" s="591"/>
      <c r="AE82" s="589">
        <f>Z82+1</f>
        <v>46171</v>
      </c>
      <c r="AF82" s="590"/>
      <c r="AG82" s="590"/>
      <c r="AH82" s="590"/>
      <c r="AI82" s="591"/>
      <c r="AJ82" s="589">
        <f>AE82+1</f>
        <v>46172</v>
      </c>
      <c r="AK82" s="590"/>
      <c r="AL82" s="590"/>
      <c r="AM82" s="590"/>
      <c r="AN82" s="591"/>
      <c r="AO82" s="589">
        <f>AJ82+1</f>
        <v>46173</v>
      </c>
      <c r="AP82" s="590"/>
      <c r="AQ82" s="590"/>
      <c r="AR82" s="590"/>
      <c r="AS82" s="591"/>
      <c r="AT82" s="589">
        <f>AO82+1</f>
        <v>46174</v>
      </c>
      <c r="AU82" s="590"/>
      <c r="AV82" s="590"/>
      <c r="AW82" s="590"/>
      <c r="AX82" s="591"/>
    </row>
    <row r="83" spans="2:53" ht="15.75">
      <c r="B83" s="596"/>
      <c r="C83" s="596"/>
      <c r="D83" s="596"/>
      <c r="E83" s="596"/>
      <c r="F83" s="596"/>
      <c r="G83" s="596"/>
      <c r="H83" s="596"/>
      <c r="I83" s="205"/>
      <c r="J83" s="205"/>
      <c r="K83" s="205"/>
      <c r="L83" s="205"/>
      <c r="M83" s="206"/>
      <c r="N83" s="568"/>
      <c r="O83" s="568"/>
      <c r="P83" s="592" t="s">
        <v>318</v>
      </c>
      <c r="Q83" s="570"/>
      <c r="R83" s="570"/>
      <c r="S83" s="570"/>
      <c r="T83" s="570"/>
      <c r="U83" s="592" t="s">
        <v>319</v>
      </c>
      <c r="V83" s="570"/>
      <c r="W83" s="570"/>
      <c r="X83" s="570"/>
      <c r="Y83" s="570"/>
      <c r="Z83" s="592" t="s">
        <v>320</v>
      </c>
      <c r="AA83" s="570"/>
      <c r="AB83" s="570"/>
      <c r="AC83" s="570"/>
      <c r="AD83" s="570"/>
      <c r="AE83" s="592" t="s">
        <v>321</v>
      </c>
      <c r="AF83" s="570"/>
      <c r="AG83" s="570"/>
      <c r="AH83" s="570"/>
      <c r="AI83" s="570"/>
      <c r="AJ83" s="592" t="s">
        <v>322</v>
      </c>
      <c r="AK83" s="570"/>
      <c r="AL83" s="570"/>
      <c r="AM83" s="570"/>
      <c r="AN83" s="570"/>
      <c r="AO83" s="592" t="s">
        <v>323</v>
      </c>
      <c r="AP83" s="570"/>
      <c r="AQ83" s="570"/>
      <c r="AR83" s="570"/>
      <c r="AS83" s="570"/>
      <c r="AT83" s="592" t="s">
        <v>324</v>
      </c>
      <c r="AU83" s="570"/>
      <c r="AV83" s="570"/>
      <c r="AW83" s="570"/>
      <c r="AX83" s="570"/>
    </row>
    <row r="84" spans="2:53">
      <c r="B84" s="564" t="s">
        <v>402</v>
      </c>
      <c r="C84" s="564" t="s">
        <v>387</v>
      </c>
      <c r="D84" s="564"/>
      <c r="E84" s="564" t="s">
        <v>378</v>
      </c>
      <c r="F84" s="564"/>
      <c r="G84" s="564"/>
      <c r="H84" s="597" t="s">
        <v>374</v>
      </c>
      <c r="I84" s="616" t="s">
        <v>379</v>
      </c>
      <c r="J84" s="616"/>
      <c r="K84" s="616"/>
      <c r="L84" s="617" t="s">
        <v>374</v>
      </c>
      <c r="M84" s="602" t="s">
        <v>375</v>
      </c>
      <c r="N84" s="564"/>
      <c r="O84" s="564" t="s">
        <v>380</v>
      </c>
      <c r="P84" s="583" t="s">
        <v>376</v>
      </c>
      <c r="Q84" s="584"/>
      <c r="R84" s="584"/>
      <c r="S84" s="585"/>
      <c r="T84" s="564" t="s">
        <v>374</v>
      </c>
      <c r="U84" s="583" t="s">
        <v>376</v>
      </c>
      <c r="V84" s="584"/>
      <c r="W84" s="584"/>
      <c r="X84" s="585"/>
      <c r="Y84" s="564" t="s">
        <v>374</v>
      </c>
      <c r="Z84" s="583" t="s">
        <v>376</v>
      </c>
      <c r="AA84" s="584"/>
      <c r="AB84" s="584"/>
      <c r="AC84" s="585"/>
      <c r="AD84" s="564" t="s">
        <v>374</v>
      </c>
      <c r="AE84" s="583" t="s">
        <v>376</v>
      </c>
      <c r="AF84" s="584"/>
      <c r="AG84" s="584"/>
      <c r="AH84" s="585"/>
      <c r="AI84" s="564" t="s">
        <v>374</v>
      </c>
      <c r="AJ84" s="583" t="s">
        <v>376</v>
      </c>
      <c r="AK84" s="584"/>
      <c r="AL84" s="584"/>
      <c r="AM84" s="585"/>
      <c r="AN84" s="564" t="s">
        <v>374</v>
      </c>
      <c r="AO84" s="583" t="s">
        <v>376</v>
      </c>
      <c r="AP84" s="584"/>
      <c r="AQ84" s="584"/>
      <c r="AR84" s="585"/>
      <c r="AS84" s="564" t="s">
        <v>374</v>
      </c>
      <c r="AT84" s="583" t="s">
        <v>376</v>
      </c>
      <c r="AU84" s="584"/>
      <c r="AV84" s="584"/>
      <c r="AW84" s="585"/>
      <c r="AX84" s="564" t="s">
        <v>374</v>
      </c>
      <c r="BA84" s="564" t="s">
        <v>374</v>
      </c>
    </row>
    <row r="85" spans="2:53">
      <c r="B85" s="564"/>
      <c r="C85" s="564"/>
      <c r="D85" s="564"/>
      <c r="E85" s="564" t="s">
        <v>381</v>
      </c>
      <c r="F85" s="564"/>
      <c r="G85" s="564"/>
      <c r="H85" s="598"/>
      <c r="I85" s="616" t="s">
        <v>381</v>
      </c>
      <c r="J85" s="616"/>
      <c r="K85" s="616"/>
      <c r="L85" s="618"/>
      <c r="M85" s="603"/>
      <c r="N85" s="564"/>
      <c r="O85" s="564"/>
      <c r="P85" s="583" t="s">
        <v>382</v>
      </c>
      <c r="Q85" s="584"/>
      <c r="R85" s="584"/>
      <c r="S85" s="585"/>
      <c r="T85" s="564"/>
      <c r="U85" s="583" t="s">
        <v>382</v>
      </c>
      <c r="V85" s="584"/>
      <c r="W85" s="584"/>
      <c r="X85" s="585"/>
      <c r="Y85" s="564"/>
      <c r="Z85" s="583" t="s">
        <v>382</v>
      </c>
      <c r="AA85" s="584"/>
      <c r="AB85" s="584"/>
      <c r="AC85" s="585"/>
      <c r="AD85" s="564"/>
      <c r="AE85" s="583" t="s">
        <v>382</v>
      </c>
      <c r="AF85" s="584"/>
      <c r="AG85" s="584"/>
      <c r="AH85" s="585"/>
      <c r="AI85" s="564"/>
      <c r="AJ85" s="583" t="s">
        <v>382</v>
      </c>
      <c r="AK85" s="584"/>
      <c r="AL85" s="584"/>
      <c r="AM85" s="585"/>
      <c r="AN85" s="564"/>
      <c r="AO85" s="583" t="s">
        <v>382</v>
      </c>
      <c r="AP85" s="584"/>
      <c r="AQ85" s="584"/>
      <c r="AR85" s="585"/>
      <c r="AS85" s="564"/>
      <c r="AT85" s="583" t="s">
        <v>382</v>
      </c>
      <c r="AU85" s="584"/>
      <c r="AV85" s="584"/>
      <c r="AW85" s="585"/>
      <c r="AX85" s="564"/>
      <c r="BA85" s="564"/>
    </row>
    <row r="86" spans="2:53">
      <c r="B86" s="564"/>
      <c r="C86" s="564"/>
      <c r="D86" s="564"/>
      <c r="E86" s="417" t="s">
        <v>383</v>
      </c>
      <c r="F86" s="417" t="s">
        <v>384</v>
      </c>
      <c r="G86" s="417" t="s">
        <v>385</v>
      </c>
      <c r="H86" s="599"/>
      <c r="I86" s="416" t="s">
        <v>383</v>
      </c>
      <c r="J86" s="416" t="s">
        <v>384</v>
      </c>
      <c r="K86" s="416" t="s">
        <v>385</v>
      </c>
      <c r="L86" s="619"/>
      <c r="M86" s="604"/>
      <c r="N86" s="564"/>
      <c r="O86" s="564"/>
      <c r="P86" s="417" t="s">
        <v>383</v>
      </c>
      <c r="Q86" s="417" t="s">
        <v>384</v>
      </c>
      <c r="R86" s="417" t="s">
        <v>385</v>
      </c>
      <c r="S86" s="417" t="s">
        <v>375</v>
      </c>
      <c r="T86" s="564"/>
      <c r="U86" s="417" t="s">
        <v>383</v>
      </c>
      <c r="V86" s="417" t="s">
        <v>384</v>
      </c>
      <c r="W86" s="417" t="s">
        <v>385</v>
      </c>
      <c r="X86" s="417" t="s">
        <v>375</v>
      </c>
      <c r="Y86" s="564"/>
      <c r="Z86" s="417" t="s">
        <v>383</v>
      </c>
      <c r="AA86" s="417" t="s">
        <v>384</v>
      </c>
      <c r="AB86" s="417" t="s">
        <v>385</v>
      </c>
      <c r="AC86" s="417" t="s">
        <v>375</v>
      </c>
      <c r="AD86" s="564"/>
      <c r="AE86" s="417" t="s">
        <v>383</v>
      </c>
      <c r="AF86" s="417" t="s">
        <v>384</v>
      </c>
      <c r="AG86" s="417" t="s">
        <v>385</v>
      </c>
      <c r="AH86" s="417" t="s">
        <v>375</v>
      </c>
      <c r="AI86" s="564"/>
      <c r="AJ86" s="417" t="s">
        <v>383</v>
      </c>
      <c r="AK86" s="417" t="s">
        <v>384</v>
      </c>
      <c r="AL86" s="417" t="s">
        <v>385</v>
      </c>
      <c r="AM86" s="417" t="s">
        <v>375</v>
      </c>
      <c r="AN86" s="564"/>
      <c r="AO86" s="417" t="s">
        <v>383</v>
      </c>
      <c r="AP86" s="417" t="s">
        <v>384</v>
      </c>
      <c r="AQ86" s="417" t="s">
        <v>385</v>
      </c>
      <c r="AR86" s="417" t="s">
        <v>375</v>
      </c>
      <c r="AS86" s="564"/>
      <c r="AT86" s="417" t="s">
        <v>383</v>
      </c>
      <c r="AU86" s="417" t="s">
        <v>384</v>
      </c>
      <c r="AV86" s="417" t="s">
        <v>385</v>
      </c>
      <c r="AW86" s="417" t="s">
        <v>375</v>
      </c>
      <c r="AX86" s="564"/>
      <c r="AZ86" s="406" t="s">
        <v>375</v>
      </c>
      <c r="BA86" s="564"/>
    </row>
    <row r="87" spans="2:53">
      <c r="B87" s="564" t="s">
        <v>418</v>
      </c>
      <c r="C87" s="418">
        <v>1</v>
      </c>
      <c r="D87" s="226"/>
      <c r="E87" s="425"/>
      <c r="F87" s="418"/>
      <c r="G87" s="419"/>
      <c r="H87" s="627" t="e">
        <f>AVERAGE(G87:G101)</f>
        <v>#DIV/0!</v>
      </c>
      <c r="I87" s="422" t="str">
        <f t="shared" ref="I87:I100" si="62">IFERROR(AVERAGE(P87,U87,Z87,AE87,AJ87,AO87,AT87),"-")</f>
        <v>-</v>
      </c>
      <c r="J87" s="422" t="str">
        <f t="shared" ref="J87:J100" si="63">IFERROR(AVERAGE(Q87,V87,AA87,AF87,AK87,AP87,AU87),"-")</f>
        <v>-</v>
      </c>
      <c r="K87" s="200" t="str">
        <f t="shared" ref="K87:K100" si="64">IFERROR(AVERAGE(R87,W87,AB87,AG87,AL87,AQ87,AV87),"-")</f>
        <v>-</v>
      </c>
      <c r="L87" s="580" t="str">
        <f>IFERROR(AVERAGE(K87:K101),"-")</f>
        <v>-</v>
      </c>
      <c r="M87" s="424" t="e">
        <f>RANK(K87, K$107:$K$121)</f>
        <v>#VALUE!</v>
      </c>
      <c r="N87" s="564"/>
      <c r="O87" s="564"/>
      <c r="P87" s="425"/>
      <c r="Q87" s="419"/>
      <c r="R87" s="419"/>
      <c r="S87" s="418" t="e">
        <f>RANK(R87, R$107:R$121)</f>
        <v>#N/A</v>
      </c>
      <c r="T87" s="627" t="e">
        <f>AVERAGE(R87:R101)</f>
        <v>#DIV/0!</v>
      </c>
      <c r="U87" s="425"/>
      <c r="V87" s="419"/>
      <c r="W87" s="419"/>
      <c r="X87" s="418" t="e">
        <f>RANK(W87, W$107:W$121)</f>
        <v>#N/A</v>
      </c>
      <c r="Y87" s="627" t="e">
        <f>AVERAGE(W87:W101)</f>
        <v>#DIV/0!</v>
      </c>
      <c r="Z87" s="425"/>
      <c r="AA87" s="419"/>
      <c r="AB87" s="419"/>
      <c r="AC87" s="418" t="e">
        <f>RANK(AB87, AB$107:AB$121)</f>
        <v>#N/A</v>
      </c>
      <c r="AD87" s="627" t="e">
        <f>AVERAGE(AB87:AB101)</f>
        <v>#DIV/0!</v>
      </c>
      <c r="AE87" s="425"/>
      <c r="AF87" s="419"/>
      <c r="AG87" s="419"/>
      <c r="AH87" s="418" t="e">
        <f>RANK(AG87, AG$107:AG$121)</f>
        <v>#N/A</v>
      </c>
      <c r="AI87" s="627" t="e">
        <f>AVERAGE(AG87:AG101)</f>
        <v>#DIV/0!</v>
      </c>
      <c r="AJ87" s="425"/>
      <c r="AK87" s="419"/>
      <c r="AL87" s="419"/>
      <c r="AM87" s="418" t="e">
        <f>RANK(AL87, AL$107:AL$121)</f>
        <v>#N/A</v>
      </c>
      <c r="AN87" s="627" t="e">
        <f>AVERAGE(AL87:AL101)</f>
        <v>#DIV/0!</v>
      </c>
      <c r="AO87" s="425"/>
      <c r="AP87" s="419"/>
      <c r="AQ87" s="419"/>
      <c r="AR87" s="418" t="e">
        <f>RANK(AQ87, AQ$107:AQ$121)</f>
        <v>#N/A</v>
      </c>
      <c r="AS87" s="627" t="e">
        <f>AVERAGE(AQ87:AQ101)</f>
        <v>#DIV/0!</v>
      </c>
      <c r="AT87" s="425"/>
      <c r="AU87" s="419"/>
      <c r="AV87" s="419"/>
      <c r="AW87" s="418" t="e">
        <f>RANK(AV87, AV$107:AV$121)</f>
        <v>#N/A</v>
      </c>
      <c r="AX87" s="565" t="e">
        <f>AVERAGE(AV87:AV101)</f>
        <v>#DIV/0!</v>
      </c>
      <c r="AZ87" s="407" t="e">
        <f t="shared" ref="AZ87:AZ101" si="65">RANK(AY87, AY$87:AY$101)</f>
        <v>#N/A</v>
      </c>
      <c r="BA87" s="565" t="e">
        <f t="shared" ref="BA87" si="66">AVERAGE(AY87:AY101)</f>
        <v>#DIV/0!</v>
      </c>
    </row>
    <row r="88" spans="2:53">
      <c r="B88" s="570"/>
      <c r="C88" s="418">
        <v>2</v>
      </c>
      <c r="D88" s="226"/>
      <c r="E88" s="425"/>
      <c r="F88" s="418"/>
      <c r="G88" s="419"/>
      <c r="H88" s="628"/>
      <c r="I88" s="422" t="str">
        <f t="shared" si="62"/>
        <v>-</v>
      </c>
      <c r="J88" s="422" t="str">
        <f t="shared" si="63"/>
        <v>-</v>
      </c>
      <c r="K88" s="200" t="str">
        <f t="shared" si="64"/>
        <v>-</v>
      </c>
      <c r="L88" s="581"/>
      <c r="M88" s="424" t="e">
        <f>RANK(K88, K$107:$K$121)</f>
        <v>#VALUE!</v>
      </c>
      <c r="N88" s="564"/>
      <c r="O88" s="564"/>
      <c r="P88" s="418"/>
      <c r="Q88" s="419"/>
      <c r="R88" s="419"/>
      <c r="S88" s="418" t="e">
        <f t="shared" ref="S88:S101" si="67">RANK(R88, R$107:R$121)</f>
        <v>#N/A</v>
      </c>
      <c r="T88" s="628"/>
      <c r="U88" s="418"/>
      <c r="V88" s="419"/>
      <c r="W88" s="419"/>
      <c r="X88" s="418" t="e">
        <f t="shared" ref="X88:X101" si="68">RANK(W88, W$107:W$121)</f>
        <v>#N/A</v>
      </c>
      <c r="Y88" s="628"/>
      <c r="Z88" s="418"/>
      <c r="AA88" s="419"/>
      <c r="AB88" s="419"/>
      <c r="AC88" s="418" t="e">
        <f t="shared" ref="AC88:AC101" si="69">RANK(AB88, AB$107:AB$121)</f>
        <v>#N/A</v>
      </c>
      <c r="AD88" s="628"/>
      <c r="AE88" s="418"/>
      <c r="AF88" s="419"/>
      <c r="AG88" s="419"/>
      <c r="AH88" s="418" t="e">
        <f t="shared" ref="AH88:AH101" si="70">RANK(AG88, AG$107:AG$121)</f>
        <v>#N/A</v>
      </c>
      <c r="AI88" s="628"/>
      <c r="AJ88" s="418"/>
      <c r="AK88" s="419"/>
      <c r="AL88" s="419"/>
      <c r="AM88" s="418" t="e">
        <f t="shared" ref="AM88:AM101" si="71">RANK(AL88, AL$107:AL$121)</f>
        <v>#N/A</v>
      </c>
      <c r="AN88" s="628"/>
      <c r="AO88" s="418"/>
      <c r="AP88" s="419"/>
      <c r="AQ88" s="419"/>
      <c r="AR88" s="418" t="e">
        <f t="shared" ref="AR88:AR101" si="72">RANK(AQ88, AQ$107:AQ$121)</f>
        <v>#N/A</v>
      </c>
      <c r="AS88" s="628"/>
      <c r="AT88" s="418"/>
      <c r="AU88" s="419"/>
      <c r="AV88" s="419"/>
      <c r="AW88" s="418" t="e">
        <f t="shared" ref="AW88:AW101" si="73">RANK(AV88, AV$107:AV$121)</f>
        <v>#N/A</v>
      </c>
      <c r="AX88" s="565"/>
      <c r="AZ88" s="407" t="e">
        <f t="shared" si="65"/>
        <v>#N/A</v>
      </c>
      <c r="BA88" s="565"/>
    </row>
    <row r="89" spans="2:53">
      <c r="B89" s="570"/>
      <c r="C89" s="418">
        <v>3</v>
      </c>
      <c r="D89" s="226"/>
      <c r="E89" s="425"/>
      <c r="F89" s="418"/>
      <c r="G89" s="419"/>
      <c r="H89" s="628"/>
      <c r="I89" s="422" t="str">
        <f t="shared" si="62"/>
        <v>-</v>
      </c>
      <c r="J89" s="422" t="str">
        <f t="shared" si="63"/>
        <v>-</v>
      </c>
      <c r="K89" s="200" t="str">
        <f t="shared" si="64"/>
        <v>-</v>
      </c>
      <c r="L89" s="581"/>
      <c r="M89" s="424" t="e">
        <f>RANK(K89, K$107:$K$121)</f>
        <v>#VALUE!</v>
      </c>
      <c r="N89" s="564"/>
      <c r="O89" s="564"/>
      <c r="P89" s="418"/>
      <c r="Q89" s="419"/>
      <c r="R89" s="419"/>
      <c r="S89" s="418" t="e">
        <f t="shared" si="67"/>
        <v>#N/A</v>
      </c>
      <c r="T89" s="628"/>
      <c r="U89" s="418"/>
      <c r="V89" s="419"/>
      <c r="W89" s="419"/>
      <c r="X89" s="418" t="e">
        <f t="shared" si="68"/>
        <v>#N/A</v>
      </c>
      <c r="Y89" s="628"/>
      <c r="Z89" s="418"/>
      <c r="AA89" s="419"/>
      <c r="AB89" s="419"/>
      <c r="AC89" s="418" t="e">
        <f t="shared" si="69"/>
        <v>#N/A</v>
      </c>
      <c r="AD89" s="628"/>
      <c r="AE89" s="418"/>
      <c r="AF89" s="419"/>
      <c r="AG89" s="419"/>
      <c r="AH89" s="418" t="e">
        <f t="shared" si="70"/>
        <v>#N/A</v>
      </c>
      <c r="AI89" s="628"/>
      <c r="AJ89" s="418"/>
      <c r="AK89" s="419"/>
      <c r="AL89" s="419"/>
      <c r="AM89" s="418" t="e">
        <f t="shared" si="71"/>
        <v>#N/A</v>
      </c>
      <c r="AN89" s="628"/>
      <c r="AO89" s="418"/>
      <c r="AP89" s="419"/>
      <c r="AQ89" s="419"/>
      <c r="AR89" s="418" t="e">
        <f t="shared" si="72"/>
        <v>#N/A</v>
      </c>
      <c r="AS89" s="628"/>
      <c r="AT89" s="418"/>
      <c r="AU89" s="419"/>
      <c r="AV89" s="419"/>
      <c r="AW89" s="418" t="e">
        <f t="shared" si="73"/>
        <v>#N/A</v>
      </c>
      <c r="AX89" s="565"/>
      <c r="AZ89" s="407" t="e">
        <f t="shared" si="65"/>
        <v>#N/A</v>
      </c>
      <c r="BA89" s="565"/>
    </row>
    <row r="90" spans="2:53">
      <c r="B90" s="570"/>
      <c r="C90" s="418">
        <v>4</v>
      </c>
      <c r="D90" s="226"/>
      <c r="E90" s="425"/>
      <c r="F90" s="418"/>
      <c r="G90" s="419"/>
      <c r="H90" s="628"/>
      <c r="I90" s="422" t="str">
        <f t="shared" si="62"/>
        <v>-</v>
      </c>
      <c r="J90" s="422" t="str">
        <f t="shared" si="63"/>
        <v>-</v>
      </c>
      <c r="K90" s="200" t="str">
        <f t="shared" si="64"/>
        <v>-</v>
      </c>
      <c r="L90" s="581"/>
      <c r="M90" s="424" t="e">
        <f>RANK(K90, K$107:$K$121)</f>
        <v>#VALUE!</v>
      </c>
      <c r="N90" s="564"/>
      <c r="O90" s="564"/>
      <c r="P90" s="418"/>
      <c r="Q90" s="419"/>
      <c r="R90" s="419"/>
      <c r="S90" s="418" t="e">
        <f t="shared" si="67"/>
        <v>#N/A</v>
      </c>
      <c r="T90" s="628"/>
      <c r="U90" s="418"/>
      <c r="V90" s="419"/>
      <c r="W90" s="419"/>
      <c r="X90" s="418" t="e">
        <f t="shared" si="68"/>
        <v>#N/A</v>
      </c>
      <c r="Y90" s="628"/>
      <c r="Z90" s="418"/>
      <c r="AA90" s="419"/>
      <c r="AB90" s="419"/>
      <c r="AC90" s="418" t="e">
        <f t="shared" si="69"/>
        <v>#N/A</v>
      </c>
      <c r="AD90" s="628"/>
      <c r="AE90" s="418"/>
      <c r="AF90" s="419"/>
      <c r="AG90" s="419"/>
      <c r="AH90" s="418" t="e">
        <f t="shared" si="70"/>
        <v>#N/A</v>
      </c>
      <c r="AI90" s="628"/>
      <c r="AJ90" s="418"/>
      <c r="AK90" s="419"/>
      <c r="AL90" s="419"/>
      <c r="AM90" s="418" t="e">
        <f t="shared" si="71"/>
        <v>#N/A</v>
      </c>
      <c r="AN90" s="628"/>
      <c r="AO90" s="418"/>
      <c r="AP90" s="419"/>
      <c r="AQ90" s="419"/>
      <c r="AR90" s="418" t="e">
        <f t="shared" si="72"/>
        <v>#N/A</v>
      </c>
      <c r="AS90" s="628"/>
      <c r="AT90" s="418"/>
      <c r="AU90" s="419"/>
      <c r="AV90" s="419"/>
      <c r="AW90" s="418" t="e">
        <f t="shared" si="73"/>
        <v>#N/A</v>
      </c>
      <c r="AX90" s="565"/>
      <c r="AZ90" s="407" t="e">
        <f t="shared" si="65"/>
        <v>#N/A</v>
      </c>
      <c r="BA90" s="565"/>
    </row>
    <row r="91" spans="2:53">
      <c r="B91" s="570"/>
      <c r="C91" s="418">
        <v>5</v>
      </c>
      <c r="D91" s="226"/>
      <c r="E91" s="425"/>
      <c r="F91" s="418"/>
      <c r="G91" s="419"/>
      <c r="H91" s="628"/>
      <c r="I91" s="422" t="str">
        <f t="shared" si="62"/>
        <v>-</v>
      </c>
      <c r="J91" s="422" t="str">
        <f t="shared" si="63"/>
        <v>-</v>
      </c>
      <c r="K91" s="200" t="str">
        <f t="shared" si="64"/>
        <v>-</v>
      </c>
      <c r="L91" s="581"/>
      <c r="M91" s="424" t="e">
        <f>RANK(K91, K$107:$K$121)</f>
        <v>#VALUE!</v>
      </c>
      <c r="N91" s="564"/>
      <c r="O91" s="564"/>
      <c r="P91" s="418"/>
      <c r="Q91" s="419"/>
      <c r="R91" s="419"/>
      <c r="S91" s="418" t="e">
        <f t="shared" si="67"/>
        <v>#N/A</v>
      </c>
      <c r="T91" s="628"/>
      <c r="U91" s="418"/>
      <c r="V91" s="419"/>
      <c r="W91" s="419"/>
      <c r="X91" s="418" t="e">
        <f t="shared" si="68"/>
        <v>#N/A</v>
      </c>
      <c r="Y91" s="628"/>
      <c r="Z91" s="418"/>
      <c r="AA91" s="419"/>
      <c r="AB91" s="419"/>
      <c r="AC91" s="418" t="e">
        <f t="shared" si="69"/>
        <v>#N/A</v>
      </c>
      <c r="AD91" s="628"/>
      <c r="AE91" s="418"/>
      <c r="AF91" s="419"/>
      <c r="AG91" s="419"/>
      <c r="AH91" s="418" t="e">
        <f t="shared" si="70"/>
        <v>#N/A</v>
      </c>
      <c r="AI91" s="628"/>
      <c r="AJ91" s="418"/>
      <c r="AK91" s="419"/>
      <c r="AL91" s="419"/>
      <c r="AM91" s="418" t="e">
        <f t="shared" si="71"/>
        <v>#N/A</v>
      </c>
      <c r="AN91" s="628"/>
      <c r="AO91" s="418"/>
      <c r="AP91" s="419"/>
      <c r="AQ91" s="419"/>
      <c r="AR91" s="418" t="e">
        <f t="shared" si="72"/>
        <v>#N/A</v>
      </c>
      <c r="AS91" s="628"/>
      <c r="AT91" s="418"/>
      <c r="AU91" s="419"/>
      <c r="AV91" s="419"/>
      <c r="AW91" s="418" t="e">
        <f t="shared" si="73"/>
        <v>#N/A</v>
      </c>
      <c r="AX91" s="565"/>
      <c r="AZ91" s="407" t="e">
        <f t="shared" si="65"/>
        <v>#N/A</v>
      </c>
      <c r="BA91" s="565"/>
    </row>
    <row r="92" spans="2:53">
      <c r="B92" s="570"/>
      <c r="C92" s="418">
        <v>6</v>
      </c>
      <c r="D92" s="226"/>
      <c r="E92" s="425"/>
      <c r="F92" s="418"/>
      <c r="G92" s="419"/>
      <c r="H92" s="628"/>
      <c r="I92" s="422" t="str">
        <f t="shared" si="62"/>
        <v>-</v>
      </c>
      <c r="J92" s="422" t="str">
        <f t="shared" si="63"/>
        <v>-</v>
      </c>
      <c r="K92" s="200" t="str">
        <f t="shared" si="64"/>
        <v>-</v>
      </c>
      <c r="L92" s="581"/>
      <c r="M92" s="424" t="e">
        <f>RANK(K92, K$107:$K$121)</f>
        <v>#VALUE!</v>
      </c>
      <c r="N92" s="564"/>
      <c r="O92" s="564"/>
      <c r="P92" s="418"/>
      <c r="Q92" s="419"/>
      <c r="R92" s="419"/>
      <c r="S92" s="418" t="e">
        <f t="shared" si="67"/>
        <v>#N/A</v>
      </c>
      <c r="T92" s="628"/>
      <c r="U92" s="418"/>
      <c r="V92" s="419"/>
      <c r="W92" s="419"/>
      <c r="X92" s="418" t="e">
        <f t="shared" si="68"/>
        <v>#N/A</v>
      </c>
      <c r="Y92" s="628"/>
      <c r="Z92" s="418"/>
      <c r="AA92" s="419"/>
      <c r="AB92" s="419"/>
      <c r="AC92" s="418" t="e">
        <f t="shared" si="69"/>
        <v>#N/A</v>
      </c>
      <c r="AD92" s="628"/>
      <c r="AE92" s="418"/>
      <c r="AF92" s="419"/>
      <c r="AG92" s="419"/>
      <c r="AH92" s="418" t="e">
        <f t="shared" si="70"/>
        <v>#N/A</v>
      </c>
      <c r="AI92" s="628"/>
      <c r="AJ92" s="418"/>
      <c r="AK92" s="419"/>
      <c r="AL92" s="419"/>
      <c r="AM92" s="418" t="e">
        <f t="shared" si="71"/>
        <v>#N/A</v>
      </c>
      <c r="AN92" s="628"/>
      <c r="AO92" s="418"/>
      <c r="AP92" s="419"/>
      <c r="AQ92" s="419"/>
      <c r="AR92" s="418" t="e">
        <f t="shared" si="72"/>
        <v>#N/A</v>
      </c>
      <c r="AS92" s="628"/>
      <c r="AT92" s="418"/>
      <c r="AU92" s="419"/>
      <c r="AV92" s="419"/>
      <c r="AW92" s="418" t="e">
        <f t="shared" si="73"/>
        <v>#N/A</v>
      </c>
      <c r="AX92" s="565"/>
      <c r="AZ92" s="407" t="e">
        <f t="shared" si="65"/>
        <v>#N/A</v>
      </c>
      <c r="BA92" s="565"/>
    </row>
    <row r="93" spans="2:53">
      <c r="B93" s="570"/>
      <c r="C93" s="418">
        <v>7</v>
      </c>
      <c r="D93" s="226"/>
      <c r="E93" s="425"/>
      <c r="F93" s="418"/>
      <c r="G93" s="419"/>
      <c r="H93" s="628"/>
      <c r="I93" s="422" t="str">
        <f t="shared" si="62"/>
        <v>-</v>
      </c>
      <c r="J93" s="422" t="str">
        <f t="shared" si="63"/>
        <v>-</v>
      </c>
      <c r="K93" s="200" t="str">
        <f t="shared" si="64"/>
        <v>-</v>
      </c>
      <c r="L93" s="581"/>
      <c r="M93" s="424" t="e">
        <f>RANK(K93, K$107:$K$121)</f>
        <v>#VALUE!</v>
      </c>
      <c r="N93" s="564"/>
      <c r="O93" s="564"/>
      <c r="P93" s="418"/>
      <c r="Q93" s="419"/>
      <c r="R93" s="419"/>
      <c r="S93" s="418" t="e">
        <f t="shared" si="67"/>
        <v>#N/A</v>
      </c>
      <c r="T93" s="628"/>
      <c r="U93" s="418"/>
      <c r="V93" s="419"/>
      <c r="W93" s="419"/>
      <c r="X93" s="418" t="e">
        <f t="shared" si="68"/>
        <v>#N/A</v>
      </c>
      <c r="Y93" s="628"/>
      <c r="Z93" s="418"/>
      <c r="AA93" s="419"/>
      <c r="AB93" s="419"/>
      <c r="AC93" s="418" t="e">
        <f t="shared" si="69"/>
        <v>#N/A</v>
      </c>
      <c r="AD93" s="628"/>
      <c r="AE93" s="418"/>
      <c r="AF93" s="419"/>
      <c r="AG93" s="419"/>
      <c r="AH93" s="418" t="e">
        <f t="shared" si="70"/>
        <v>#N/A</v>
      </c>
      <c r="AI93" s="628"/>
      <c r="AJ93" s="418"/>
      <c r="AK93" s="419"/>
      <c r="AL93" s="419"/>
      <c r="AM93" s="418" t="e">
        <f t="shared" si="71"/>
        <v>#N/A</v>
      </c>
      <c r="AN93" s="628"/>
      <c r="AO93" s="418"/>
      <c r="AP93" s="419"/>
      <c r="AQ93" s="419"/>
      <c r="AR93" s="418" t="e">
        <f t="shared" si="72"/>
        <v>#N/A</v>
      </c>
      <c r="AS93" s="628"/>
      <c r="AT93" s="418"/>
      <c r="AU93" s="419"/>
      <c r="AV93" s="419"/>
      <c r="AW93" s="418" t="e">
        <f t="shared" si="73"/>
        <v>#N/A</v>
      </c>
      <c r="AX93" s="565"/>
      <c r="AZ93" s="407" t="e">
        <f t="shared" si="65"/>
        <v>#N/A</v>
      </c>
      <c r="BA93" s="565"/>
    </row>
    <row r="94" spans="2:53">
      <c r="B94" s="570"/>
      <c r="C94" s="418">
        <v>8</v>
      </c>
      <c r="D94" s="226"/>
      <c r="E94" s="425"/>
      <c r="F94" s="418"/>
      <c r="G94" s="419"/>
      <c r="H94" s="628"/>
      <c r="I94" s="422" t="str">
        <f t="shared" si="62"/>
        <v>-</v>
      </c>
      <c r="J94" s="422" t="str">
        <f t="shared" si="63"/>
        <v>-</v>
      </c>
      <c r="K94" s="200" t="str">
        <f t="shared" si="64"/>
        <v>-</v>
      </c>
      <c r="L94" s="581"/>
      <c r="M94" s="424" t="e">
        <f>RANK(K94, K$107:$K$121)</f>
        <v>#VALUE!</v>
      </c>
      <c r="N94" s="564"/>
      <c r="O94" s="564"/>
      <c r="P94" s="418"/>
      <c r="Q94" s="419"/>
      <c r="R94" s="419"/>
      <c r="S94" s="418" t="e">
        <f t="shared" si="67"/>
        <v>#N/A</v>
      </c>
      <c r="T94" s="628"/>
      <c r="U94" s="418"/>
      <c r="V94" s="419"/>
      <c r="W94" s="419"/>
      <c r="X94" s="418" t="e">
        <f t="shared" si="68"/>
        <v>#N/A</v>
      </c>
      <c r="Y94" s="628"/>
      <c r="Z94" s="418"/>
      <c r="AA94" s="419"/>
      <c r="AB94" s="419"/>
      <c r="AC94" s="418" t="e">
        <f t="shared" si="69"/>
        <v>#N/A</v>
      </c>
      <c r="AD94" s="628"/>
      <c r="AE94" s="418"/>
      <c r="AF94" s="419"/>
      <c r="AG94" s="419"/>
      <c r="AH94" s="418" t="e">
        <f t="shared" si="70"/>
        <v>#N/A</v>
      </c>
      <c r="AI94" s="628"/>
      <c r="AJ94" s="418"/>
      <c r="AK94" s="419"/>
      <c r="AL94" s="419"/>
      <c r="AM94" s="418" t="e">
        <f t="shared" si="71"/>
        <v>#N/A</v>
      </c>
      <c r="AN94" s="628"/>
      <c r="AO94" s="418"/>
      <c r="AP94" s="419"/>
      <c r="AQ94" s="419"/>
      <c r="AR94" s="418" t="e">
        <f t="shared" si="72"/>
        <v>#N/A</v>
      </c>
      <c r="AS94" s="628"/>
      <c r="AT94" s="418"/>
      <c r="AU94" s="419"/>
      <c r="AV94" s="419"/>
      <c r="AW94" s="418" t="e">
        <f t="shared" si="73"/>
        <v>#N/A</v>
      </c>
      <c r="AX94" s="565"/>
      <c r="AZ94" s="407" t="e">
        <f t="shared" si="65"/>
        <v>#N/A</v>
      </c>
      <c r="BA94" s="565"/>
    </row>
    <row r="95" spans="2:53">
      <c r="B95" s="570"/>
      <c r="C95" s="418">
        <v>9</v>
      </c>
      <c r="D95" s="226"/>
      <c r="E95" s="425"/>
      <c r="F95" s="418"/>
      <c r="G95" s="419"/>
      <c r="H95" s="628"/>
      <c r="I95" s="422" t="str">
        <f t="shared" si="62"/>
        <v>-</v>
      </c>
      <c r="J95" s="422" t="str">
        <f t="shared" si="63"/>
        <v>-</v>
      </c>
      <c r="K95" s="200" t="str">
        <f t="shared" si="64"/>
        <v>-</v>
      </c>
      <c r="L95" s="581"/>
      <c r="M95" s="424" t="e">
        <f>RANK(K95, K$107:$K$121)</f>
        <v>#VALUE!</v>
      </c>
      <c r="N95" s="564"/>
      <c r="O95" s="564"/>
      <c r="P95" s="418"/>
      <c r="Q95" s="419"/>
      <c r="R95" s="419"/>
      <c r="S95" s="418" t="e">
        <f t="shared" si="67"/>
        <v>#N/A</v>
      </c>
      <c r="T95" s="628"/>
      <c r="U95" s="418"/>
      <c r="V95" s="419"/>
      <c r="W95" s="419"/>
      <c r="X95" s="418" t="e">
        <f t="shared" si="68"/>
        <v>#N/A</v>
      </c>
      <c r="Y95" s="628"/>
      <c r="Z95" s="418"/>
      <c r="AA95" s="419"/>
      <c r="AB95" s="419"/>
      <c r="AC95" s="418" t="e">
        <f t="shared" si="69"/>
        <v>#N/A</v>
      </c>
      <c r="AD95" s="628"/>
      <c r="AE95" s="418"/>
      <c r="AF95" s="419"/>
      <c r="AG95" s="419"/>
      <c r="AH95" s="418" t="e">
        <f t="shared" si="70"/>
        <v>#N/A</v>
      </c>
      <c r="AI95" s="628"/>
      <c r="AJ95" s="418"/>
      <c r="AK95" s="419"/>
      <c r="AL95" s="419"/>
      <c r="AM95" s="418" t="e">
        <f t="shared" si="71"/>
        <v>#N/A</v>
      </c>
      <c r="AN95" s="628"/>
      <c r="AO95" s="418"/>
      <c r="AP95" s="419"/>
      <c r="AQ95" s="419"/>
      <c r="AR95" s="418" t="e">
        <f t="shared" si="72"/>
        <v>#N/A</v>
      </c>
      <c r="AS95" s="628"/>
      <c r="AT95" s="418"/>
      <c r="AU95" s="419"/>
      <c r="AV95" s="419"/>
      <c r="AW95" s="418" t="e">
        <f t="shared" si="73"/>
        <v>#N/A</v>
      </c>
      <c r="AX95" s="565"/>
      <c r="AZ95" s="407" t="e">
        <f t="shared" si="65"/>
        <v>#N/A</v>
      </c>
      <c r="BA95" s="565"/>
    </row>
    <row r="96" spans="2:53">
      <c r="B96" s="570"/>
      <c r="C96" s="418">
        <v>10</v>
      </c>
      <c r="D96" s="226"/>
      <c r="E96" s="425"/>
      <c r="F96" s="418"/>
      <c r="G96" s="419"/>
      <c r="H96" s="628"/>
      <c r="I96" s="422" t="str">
        <f t="shared" si="62"/>
        <v>-</v>
      </c>
      <c r="J96" s="422" t="str">
        <f t="shared" si="63"/>
        <v>-</v>
      </c>
      <c r="K96" s="200" t="str">
        <f t="shared" si="64"/>
        <v>-</v>
      </c>
      <c r="L96" s="581"/>
      <c r="M96" s="424" t="e">
        <f>RANK(K96, K$107:$K$121)</f>
        <v>#VALUE!</v>
      </c>
      <c r="N96" s="564"/>
      <c r="O96" s="564"/>
      <c r="P96" s="418"/>
      <c r="Q96" s="419"/>
      <c r="R96" s="419"/>
      <c r="S96" s="418" t="e">
        <f t="shared" si="67"/>
        <v>#N/A</v>
      </c>
      <c r="T96" s="628"/>
      <c r="U96" s="418"/>
      <c r="V96" s="419"/>
      <c r="W96" s="419"/>
      <c r="X96" s="418" t="e">
        <f t="shared" si="68"/>
        <v>#N/A</v>
      </c>
      <c r="Y96" s="628"/>
      <c r="Z96" s="418"/>
      <c r="AA96" s="419"/>
      <c r="AB96" s="419"/>
      <c r="AC96" s="418" t="e">
        <f t="shared" si="69"/>
        <v>#N/A</v>
      </c>
      <c r="AD96" s="628"/>
      <c r="AE96" s="418"/>
      <c r="AF96" s="419"/>
      <c r="AG96" s="419"/>
      <c r="AH96" s="418" t="e">
        <f t="shared" si="70"/>
        <v>#N/A</v>
      </c>
      <c r="AI96" s="628"/>
      <c r="AJ96" s="418"/>
      <c r="AK96" s="419"/>
      <c r="AL96" s="419"/>
      <c r="AM96" s="418" t="e">
        <f t="shared" si="71"/>
        <v>#N/A</v>
      </c>
      <c r="AN96" s="628"/>
      <c r="AO96" s="418"/>
      <c r="AP96" s="419"/>
      <c r="AQ96" s="419"/>
      <c r="AR96" s="418" t="e">
        <f t="shared" si="72"/>
        <v>#N/A</v>
      </c>
      <c r="AS96" s="628"/>
      <c r="AT96" s="418"/>
      <c r="AU96" s="419"/>
      <c r="AV96" s="419"/>
      <c r="AW96" s="418" t="e">
        <f t="shared" si="73"/>
        <v>#N/A</v>
      </c>
      <c r="AX96" s="565"/>
      <c r="AZ96" s="407" t="e">
        <f t="shared" si="65"/>
        <v>#N/A</v>
      </c>
      <c r="BA96" s="565"/>
    </row>
    <row r="97" spans="2:53">
      <c r="B97" s="570"/>
      <c r="C97" s="418">
        <v>11</v>
      </c>
      <c r="D97" s="226"/>
      <c r="E97" s="425"/>
      <c r="F97" s="418"/>
      <c r="G97" s="419"/>
      <c r="H97" s="628"/>
      <c r="I97" s="422" t="str">
        <f t="shared" si="62"/>
        <v>-</v>
      </c>
      <c r="J97" s="422" t="str">
        <f t="shared" si="63"/>
        <v>-</v>
      </c>
      <c r="K97" s="200" t="str">
        <f t="shared" si="64"/>
        <v>-</v>
      </c>
      <c r="L97" s="581"/>
      <c r="M97" s="424" t="e">
        <f>RANK(K97, K$107:$K$121)</f>
        <v>#VALUE!</v>
      </c>
      <c r="N97" s="564"/>
      <c r="O97" s="564"/>
      <c r="P97" s="418"/>
      <c r="Q97" s="419"/>
      <c r="R97" s="419"/>
      <c r="S97" s="418" t="e">
        <f t="shared" si="67"/>
        <v>#N/A</v>
      </c>
      <c r="T97" s="628"/>
      <c r="U97" s="418"/>
      <c r="V97" s="419"/>
      <c r="W97" s="419"/>
      <c r="X97" s="418" t="e">
        <f t="shared" si="68"/>
        <v>#N/A</v>
      </c>
      <c r="Y97" s="628"/>
      <c r="Z97" s="418"/>
      <c r="AA97" s="419"/>
      <c r="AB97" s="419"/>
      <c r="AC97" s="418" t="e">
        <f t="shared" si="69"/>
        <v>#N/A</v>
      </c>
      <c r="AD97" s="628"/>
      <c r="AE97" s="418"/>
      <c r="AF97" s="419"/>
      <c r="AG97" s="419"/>
      <c r="AH97" s="418" t="e">
        <f t="shared" si="70"/>
        <v>#N/A</v>
      </c>
      <c r="AI97" s="628"/>
      <c r="AJ97" s="418"/>
      <c r="AK97" s="419"/>
      <c r="AL97" s="419"/>
      <c r="AM97" s="418" t="e">
        <f t="shared" si="71"/>
        <v>#N/A</v>
      </c>
      <c r="AN97" s="628"/>
      <c r="AO97" s="418"/>
      <c r="AP97" s="419"/>
      <c r="AQ97" s="419"/>
      <c r="AR97" s="418" t="e">
        <f t="shared" si="72"/>
        <v>#N/A</v>
      </c>
      <c r="AS97" s="628"/>
      <c r="AT97" s="418"/>
      <c r="AU97" s="419"/>
      <c r="AV97" s="419"/>
      <c r="AW97" s="418" t="e">
        <f t="shared" si="73"/>
        <v>#N/A</v>
      </c>
      <c r="AX97" s="565"/>
      <c r="AZ97" s="407" t="e">
        <f t="shared" si="65"/>
        <v>#N/A</v>
      </c>
      <c r="BA97" s="565"/>
    </row>
    <row r="98" spans="2:53">
      <c r="B98" s="570"/>
      <c r="C98" s="418">
        <v>12</v>
      </c>
      <c r="D98" s="226"/>
      <c r="E98" s="425"/>
      <c r="F98" s="418"/>
      <c r="G98" s="419"/>
      <c r="H98" s="628"/>
      <c r="I98" s="422" t="str">
        <f t="shared" si="62"/>
        <v>-</v>
      </c>
      <c r="J98" s="422" t="str">
        <f t="shared" si="63"/>
        <v>-</v>
      </c>
      <c r="K98" s="200" t="str">
        <f t="shared" si="64"/>
        <v>-</v>
      </c>
      <c r="L98" s="581"/>
      <c r="M98" s="424" t="e">
        <f>RANK(K98, K$107:$K$121)</f>
        <v>#VALUE!</v>
      </c>
      <c r="N98" s="564"/>
      <c r="O98" s="564"/>
      <c r="P98" s="418"/>
      <c r="Q98" s="419"/>
      <c r="R98" s="419"/>
      <c r="S98" s="418" t="e">
        <f t="shared" si="67"/>
        <v>#N/A</v>
      </c>
      <c r="T98" s="628"/>
      <c r="U98" s="418"/>
      <c r="V98" s="419"/>
      <c r="W98" s="419"/>
      <c r="X98" s="418" t="e">
        <f t="shared" si="68"/>
        <v>#N/A</v>
      </c>
      <c r="Y98" s="628"/>
      <c r="Z98" s="418"/>
      <c r="AA98" s="419"/>
      <c r="AB98" s="419"/>
      <c r="AC98" s="418" t="e">
        <f t="shared" si="69"/>
        <v>#N/A</v>
      </c>
      <c r="AD98" s="628"/>
      <c r="AE98" s="418"/>
      <c r="AF98" s="419"/>
      <c r="AG98" s="419"/>
      <c r="AH98" s="418" t="e">
        <f t="shared" si="70"/>
        <v>#N/A</v>
      </c>
      <c r="AI98" s="628"/>
      <c r="AJ98" s="418"/>
      <c r="AK98" s="419"/>
      <c r="AL98" s="419"/>
      <c r="AM98" s="418" t="e">
        <f t="shared" si="71"/>
        <v>#N/A</v>
      </c>
      <c r="AN98" s="628"/>
      <c r="AO98" s="418"/>
      <c r="AP98" s="419"/>
      <c r="AQ98" s="419"/>
      <c r="AR98" s="418" t="e">
        <f t="shared" si="72"/>
        <v>#N/A</v>
      </c>
      <c r="AS98" s="628"/>
      <c r="AT98" s="418"/>
      <c r="AU98" s="419"/>
      <c r="AV98" s="419"/>
      <c r="AW98" s="418" t="e">
        <f t="shared" si="73"/>
        <v>#N/A</v>
      </c>
      <c r="AX98" s="565"/>
      <c r="AZ98" s="407" t="e">
        <f t="shared" si="65"/>
        <v>#N/A</v>
      </c>
      <c r="BA98" s="565"/>
    </row>
    <row r="99" spans="2:53">
      <c r="B99" s="570"/>
      <c r="C99" s="418">
        <v>13</v>
      </c>
      <c r="D99" s="226"/>
      <c r="E99" s="425"/>
      <c r="F99" s="418"/>
      <c r="G99" s="419"/>
      <c r="H99" s="628"/>
      <c r="I99" s="422" t="str">
        <f t="shared" si="62"/>
        <v>-</v>
      </c>
      <c r="J99" s="422" t="str">
        <f t="shared" si="63"/>
        <v>-</v>
      </c>
      <c r="K99" s="200" t="str">
        <f t="shared" si="64"/>
        <v>-</v>
      </c>
      <c r="L99" s="581"/>
      <c r="M99" s="424" t="e">
        <f>RANK(K99, K$107:$K$121)</f>
        <v>#VALUE!</v>
      </c>
      <c r="N99" s="564"/>
      <c r="O99" s="564"/>
      <c r="P99" s="418"/>
      <c r="Q99" s="419"/>
      <c r="R99" s="419"/>
      <c r="S99" s="418" t="e">
        <f t="shared" si="67"/>
        <v>#N/A</v>
      </c>
      <c r="T99" s="628"/>
      <c r="U99" s="418"/>
      <c r="V99" s="419"/>
      <c r="W99" s="419"/>
      <c r="X99" s="418" t="e">
        <f t="shared" si="68"/>
        <v>#N/A</v>
      </c>
      <c r="Y99" s="628"/>
      <c r="Z99" s="418"/>
      <c r="AA99" s="419"/>
      <c r="AB99" s="419"/>
      <c r="AC99" s="418" t="e">
        <f t="shared" si="69"/>
        <v>#N/A</v>
      </c>
      <c r="AD99" s="628"/>
      <c r="AE99" s="418"/>
      <c r="AF99" s="419"/>
      <c r="AG99" s="419"/>
      <c r="AH99" s="418" t="e">
        <f t="shared" si="70"/>
        <v>#N/A</v>
      </c>
      <c r="AI99" s="628"/>
      <c r="AJ99" s="418"/>
      <c r="AK99" s="419"/>
      <c r="AL99" s="419"/>
      <c r="AM99" s="418" t="e">
        <f t="shared" si="71"/>
        <v>#N/A</v>
      </c>
      <c r="AN99" s="628"/>
      <c r="AO99" s="418"/>
      <c r="AP99" s="419"/>
      <c r="AQ99" s="419"/>
      <c r="AR99" s="418" t="e">
        <f t="shared" si="72"/>
        <v>#N/A</v>
      </c>
      <c r="AS99" s="628"/>
      <c r="AT99" s="418"/>
      <c r="AU99" s="419"/>
      <c r="AV99" s="419"/>
      <c r="AW99" s="418" t="e">
        <f t="shared" si="73"/>
        <v>#N/A</v>
      </c>
      <c r="AX99" s="565"/>
      <c r="AZ99" s="407" t="e">
        <f t="shared" si="65"/>
        <v>#N/A</v>
      </c>
      <c r="BA99" s="565"/>
    </row>
    <row r="100" spans="2:53">
      <c r="B100" s="570"/>
      <c r="C100" s="418">
        <v>14</v>
      </c>
      <c r="D100" s="226"/>
      <c r="E100" s="425"/>
      <c r="F100" s="418"/>
      <c r="G100" s="419"/>
      <c r="H100" s="628"/>
      <c r="I100" s="422" t="str">
        <f t="shared" si="62"/>
        <v>-</v>
      </c>
      <c r="J100" s="422" t="str">
        <f t="shared" si="63"/>
        <v>-</v>
      </c>
      <c r="K100" s="200" t="str">
        <f t="shared" si="64"/>
        <v>-</v>
      </c>
      <c r="L100" s="581"/>
      <c r="M100" s="424" t="e">
        <f>RANK(K100, K$107:$K$121)</f>
        <v>#VALUE!</v>
      </c>
      <c r="N100" s="564"/>
      <c r="O100" s="564"/>
      <c r="P100" s="418"/>
      <c r="Q100" s="419"/>
      <c r="R100" s="419"/>
      <c r="S100" s="418" t="e">
        <f t="shared" si="67"/>
        <v>#N/A</v>
      </c>
      <c r="T100" s="628"/>
      <c r="U100" s="418"/>
      <c r="V100" s="419"/>
      <c r="W100" s="419"/>
      <c r="X100" s="418" t="e">
        <f t="shared" si="68"/>
        <v>#N/A</v>
      </c>
      <c r="Y100" s="628"/>
      <c r="Z100" s="418"/>
      <c r="AA100" s="419"/>
      <c r="AB100" s="419"/>
      <c r="AC100" s="418" t="e">
        <f t="shared" si="69"/>
        <v>#N/A</v>
      </c>
      <c r="AD100" s="628"/>
      <c r="AE100" s="418"/>
      <c r="AF100" s="419"/>
      <c r="AG100" s="419"/>
      <c r="AH100" s="418" t="e">
        <f t="shared" si="70"/>
        <v>#N/A</v>
      </c>
      <c r="AI100" s="628"/>
      <c r="AJ100" s="418"/>
      <c r="AK100" s="419"/>
      <c r="AL100" s="419"/>
      <c r="AM100" s="418" t="e">
        <f t="shared" si="71"/>
        <v>#N/A</v>
      </c>
      <c r="AN100" s="628"/>
      <c r="AO100" s="418"/>
      <c r="AP100" s="419"/>
      <c r="AQ100" s="419"/>
      <c r="AR100" s="418" t="e">
        <f t="shared" si="72"/>
        <v>#N/A</v>
      </c>
      <c r="AS100" s="628"/>
      <c r="AT100" s="418"/>
      <c r="AU100" s="419"/>
      <c r="AV100" s="419"/>
      <c r="AW100" s="418" t="e">
        <f t="shared" si="73"/>
        <v>#N/A</v>
      </c>
      <c r="AX100" s="565"/>
      <c r="AZ100" s="407" t="e">
        <f t="shared" si="65"/>
        <v>#N/A</v>
      </c>
      <c r="BA100" s="565"/>
    </row>
    <row r="101" spans="2:53">
      <c r="B101" s="570"/>
      <c r="C101" s="418">
        <v>15</v>
      </c>
      <c r="D101" s="226"/>
      <c r="E101" s="425"/>
      <c r="F101" s="418"/>
      <c r="G101" s="419"/>
      <c r="H101" s="629"/>
      <c r="I101" s="202"/>
      <c r="J101" s="202"/>
      <c r="K101" s="202"/>
      <c r="L101" s="582"/>
      <c r="M101" s="424" t="e">
        <f>RANK(K101, K$107:$K$121)</f>
        <v>#N/A</v>
      </c>
      <c r="N101" s="564"/>
      <c r="O101" s="564"/>
      <c r="P101" s="418"/>
      <c r="Q101" s="419"/>
      <c r="R101" s="419"/>
      <c r="S101" s="418" t="e">
        <f t="shared" si="67"/>
        <v>#N/A</v>
      </c>
      <c r="T101" s="629"/>
      <c r="U101" s="418"/>
      <c r="V101" s="419"/>
      <c r="W101" s="419"/>
      <c r="X101" s="418" t="e">
        <f t="shared" si="68"/>
        <v>#N/A</v>
      </c>
      <c r="Y101" s="629"/>
      <c r="Z101" s="418"/>
      <c r="AA101" s="419"/>
      <c r="AB101" s="419"/>
      <c r="AC101" s="418" t="e">
        <f t="shared" si="69"/>
        <v>#N/A</v>
      </c>
      <c r="AD101" s="629"/>
      <c r="AE101" s="418"/>
      <c r="AF101" s="419"/>
      <c r="AG101" s="419"/>
      <c r="AH101" s="418" t="e">
        <f t="shared" si="70"/>
        <v>#N/A</v>
      </c>
      <c r="AI101" s="629"/>
      <c r="AJ101" s="418"/>
      <c r="AK101" s="419"/>
      <c r="AL101" s="419"/>
      <c r="AM101" s="418" t="e">
        <f t="shared" si="71"/>
        <v>#N/A</v>
      </c>
      <c r="AN101" s="629"/>
      <c r="AO101" s="418"/>
      <c r="AP101" s="419"/>
      <c r="AQ101" s="419"/>
      <c r="AR101" s="418" t="e">
        <f t="shared" si="72"/>
        <v>#N/A</v>
      </c>
      <c r="AS101" s="629"/>
      <c r="AT101" s="418"/>
      <c r="AU101" s="419"/>
      <c r="AV101" s="419"/>
      <c r="AW101" s="418" t="e">
        <f t="shared" si="73"/>
        <v>#N/A</v>
      </c>
      <c r="AX101" s="565"/>
      <c r="AZ101" s="407" t="e">
        <f t="shared" si="65"/>
        <v>#N/A</v>
      </c>
      <c r="BA101" s="565"/>
    </row>
    <row r="102" spans="2:53" ht="15.75">
      <c r="B102" s="593" t="s">
        <v>163</v>
      </c>
      <c r="C102" s="594"/>
      <c r="D102" s="594"/>
      <c r="E102" s="594"/>
      <c r="F102" s="594"/>
      <c r="G102" s="594"/>
      <c r="H102" s="595"/>
      <c r="I102" s="208"/>
      <c r="J102" s="208"/>
      <c r="K102" s="208"/>
      <c r="L102" s="208"/>
      <c r="M102" s="207"/>
      <c r="N102" s="566" t="s">
        <v>156</v>
      </c>
      <c r="O102" s="566" t="s">
        <v>105</v>
      </c>
      <c r="P102" s="592">
        <f>P82+7</f>
        <v>46175</v>
      </c>
      <c r="Q102" s="570"/>
      <c r="R102" s="570"/>
      <c r="S102" s="570"/>
      <c r="T102" s="570"/>
      <c r="U102" s="589">
        <f>P102+1</f>
        <v>46176</v>
      </c>
      <c r="V102" s="590"/>
      <c r="W102" s="590"/>
      <c r="X102" s="590"/>
      <c r="Y102" s="591"/>
      <c r="Z102" s="589">
        <f>U102+1</f>
        <v>46177</v>
      </c>
      <c r="AA102" s="590"/>
      <c r="AB102" s="590"/>
      <c r="AC102" s="590"/>
      <c r="AD102" s="591"/>
      <c r="AE102" s="589">
        <f>Z102+1</f>
        <v>46178</v>
      </c>
      <c r="AF102" s="590"/>
      <c r="AG102" s="590"/>
      <c r="AH102" s="590"/>
      <c r="AI102" s="591"/>
      <c r="AJ102" s="589">
        <f>AE102+1</f>
        <v>46179</v>
      </c>
      <c r="AK102" s="590"/>
      <c r="AL102" s="590"/>
      <c r="AM102" s="590"/>
      <c r="AN102" s="591"/>
      <c r="AO102" s="589">
        <f>AJ102+1</f>
        <v>46180</v>
      </c>
      <c r="AP102" s="590"/>
      <c r="AQ102" s="590"/>
      <c r="AR102" s="590"/>
      <c r="AS102" s="591"/>
      <c r="AT102" s="589">
        <f>AO102+1</f>
        <v>46181</v>
      </c>
      <c r="AU102" s="590"/>
      <c r="AV102" s="590"/>
      <c r="AW102" s="590"/>
      <c r="AX102" s="591"/>
    </row>
    <row r="103" spans="2:53" ht="15.75">
      <c r="B103" s="596"/>
      <c r="C103" s="596"/>
      <c r="D103" s="596"/>
      <c r="E103" s="596"/>
      <c r="F103" s="596"/>
      <c r="G103" s="596"/>
      <c r="H103" s="596"/>
      <c r="I103" s="205"/>
      <c r="J103" s="205"/>
      <c r="K103" s="205"/>
      <c r="L103" s="205"/>
      <c r="M103" s="206"/>
      <c r="N103" s="568"/>
      <c r="O103" s="568"/>
      <c r="P103" s="592" t="s">
        <v>158</v>
      </c>
      <c r="Q103" s="570"/>
      <c r="R103" s="570"/>
      <c r="S103" s="570"/>
      <c r="T103" s="570"/>
      <c r="U103" s="592" t="s">
        <v>114</v>
      </c>
      <c r="V103" s="570"/>
      <c r="W103" s="570"/>
      <c r="X103" s="570"/>
      <c r="Y103" s="570"/>
      <c r="Z103" s="592" t="s">
        <v>159</v>
      </c>
      <c r="AA103" s="570"/>
      <c r="AB103" s="570"/>
      <c r="AC103" s="570"/>
      <c r="AD103" s="570"/>
      <c r="AE103" s="592" t="s">
        <v>157</v>
      </c>
      <c r="AF103" s="570"/>
      <c r="AG103" s="570"/>
      <c r="AH103" s="570"/>
      <c r="AI103" s="570"/>
      <c r="AJ103" s="592" t="s">
        <v>160</v>
      </c>
      <c r="AK103" s="570"/>
      <c r="AL103" s="570"/>
      <c r="AM103" s="570"/>
      <c r="AN103" s="570"/>
      <c r="AO103" s="592" t="s">
        <v>115</v>
      </c>
      <c r="AP103" s="570"/>
      <c r="AQ103" s="570"/>
      <c r="AR103" s="570"/>
      <c r="AS103" s="570"/>
      <c r="AT103" s="592" t="s">
        <v>162</v>
      </c>
      <c r="AU103" s="570"/>
      <c r="AV103" s="570"/>
      <c r="AW103" s="570"/>
      <c r="AX103" s="570"/>
    </row>
    <row r="104" spans="2:53">
      <c r="B104" s="564" t="s">
        <v>154</v>
      </c>
      <c r="C104" s="564" t="s">
        <v>387</v>
      </c>
      <c r="D104" s="564"/>
      <c r="E104" s="564" t="s">
        <v>378</v>
      </c>
      <c r="F104" s="564"/>
      <c r="G104" s="564"/>
      <c r="H104" s="597" t="s">
        <v>374</v>
      </c>
      <c r="I104" s="616" t="s">
        <v>379</v>
      </c>
      <c r="J104" s="616"/>
      <c r="K104" s="616"/>
      <c r="L104" s="617" t="s">
        <v>374</v>
      </c>
      <c r="M104" s="602" t="s">
        <v>375</v>
      </c>
      <c r="N104" s="564"/>
      <c r="O104" s="564" t="s">
        <v>380</v>
      </c>
      <c r="P104" s="583" t="s">
        <v>376</v>
      </c>
      <c r="Q104" s="584"/>
      <c r="R104" s="584"/>
      <c r="S104" s="585"/>
      <c r="T104" s="564" t="s">
        <v>374</v>
      </c>
      <c r="U104" s="583" t="s">
        <v>376</v>
      </c>
      <c r="V104" s="584"/>
      <c r="W104" s="584"/>
      <c r="X104" s="585"/>
      <c r="Y104" s="564" t="s">
        <v>374</v>
      </c>
      <c r="Z104" s="583" t="s">
        <v>376</v>
      </c>
      <c r="AA104" s="584"/>
      <c r="AB104" s="584"/>
      <c r="AC104" s="585"/>
      <c r="AD104" s="564" t="s">
        <v>374</v>
      </c>
      <c r="AE104" s="583" t="s">
        <v>376</v>
      </c>
      <c r="AF104" s="584"/>
      <c r="AG104" s="584"/>
      <c r="AH104" s="585"/>
      <c r="AI104" s="564" t="s">
        <v>374</v>
      </c>
      <c r="AJ104" s="583" t="s">
        <v>376</v>
      </c>
      <c r="AK104" s="584"/>
      <c r="AL104" s="584"/>
      <c r="AM104" s="585"/>
      <c r="AN104" s="564" t="s">
        <v>374</v>
      </c>
      <c r="AO104" s="583" t="s">
        <v>376</v>
      </c>
      <c r="AP104" s="584"/>
      <c r="AQ104" s="584"/>
      <c r="AR104" s="585"/>
      <c r="AS104" s="564" t="s">
        <v>374</v>
      </c>
      <c r="AT104" s="583" t="s">
        <v>376</v>
      </c>
      <c r="AU104" s="584"/>
      <c r="AV104" s="584"/>
      <c r="AW104" s="585"/>
      <c r="AX104" s="564" t="s">
        <v>374</v>
      </c>
      <c r="BA104" s="564" t="s">
        <v>374</v>
      </c>
    </row>
    <row r="105" spans="2:53">
      <c r="B105" s="564"/>
      <c r="C105" s="564"/>
      <c r="D105" s="564"/>
      <c r="E105" s="564" t="s">
        <v>381</v>
      </c>
      <c r="F105" s="564"/>
      <c r="G105" s="564"/>
      <c r="H105" s="598"/>
      <c r="I105" s="616" t="s">
        <v>381</v>
      </c>
      <c r="J105" s="616"/>
      <c r="K105" s="616"/>
      <c r="L105" s="618"/>
      <c r="M105" s="603"/>
      <c r="N105" s="564"/>
      <c r="O105" s="564"/>
      <c r="P105" s="583" t="s">
        <v>382</v>
      </c>
      <c r="Q105" s="584"/>
      <c r="R105" s="584"/>
      <c r="S105" s="585"/>
      <c r="T105" s="564"/>
      <c r="U105" s="583" t="s">
        <v>382</v>
      </c>
      <c r="V105" s="584"/>
      <c r="W105" s="584"/>
      <c r="X105" s="585"/>
      <c r="Y105" s="564"/>
      <c r="Z105" s="583" t="s">
        <v>382</v>
      </c>
      <c r="AA105" s="584"/>
      <c r="AB105" s="584"/>
      <c r="AC105" s="585"/>
      <c r="AD105" s="564"/>
      <c r="AE105" s="583" t="s">
        <v>382</v>
      </c>
      <c r="AF105" s="584"/>
      <c r="AG105" s="584"/>
      <c r="AH105" s="585"/>
      <c r="AI105" s="564"/>
      <c r="AJ105" s="583" t="s">
        <v>382</v>
      </c>
      <c r="AK105" s="584"/>
      <c r="AL105" s="584"/>
      <c r="AM105" s="585"/>
      <c r="AN105" s="564"/>
      <c r="AO105" s="583" t="s">
        <v>382</v>
      </c>
      <c r="AP105" s="584"/>
      <c r="AQ105" s="584"/>
      <c r="AR105" s="585"/>
      <c r="AS105" s="564"/>
      <c r="AT105" s="583" t="s">
        <v>382</v>
      </c>
      <c r="AU105" s="584"/>
      <c r="AV105" s="584"/>
      <c r="AW105" s="585"/>
      <c r="AX105" s="564"/>
      <c r="BA105" s="564"/>
    </row>
    <row r="106" spans="2:53">
      <c r="B106" s="564"/>
      <c r="C106" s="564"/>
      <c r="D106" s="564"/>
      <c r="E106" s="316" t="s">
        <v>383</v>
      </c>
      <c r="F106" s="316" t="s">
        <v>384</v>
      </c>
      <c r="G106" s="316" t="s">
        <v>385</v>
      </c>
      <c r="H106" s="599"/>
      <c r="I106" s="317" t="s">
        <v>383</v>
      </c>
      <c r="J106" s="317" t="s">
        <v>384</v>
      </c>
      <c r="K106" s="317" t="s">
        <v>385</v>
      </c>
      <c r="L106" s="619"/>
      <c r="M106" s="604"/>
      <c r="N106" s="564"/>
      <c r="O106" s="564"/>
      <c r="P106" s="316" t="s">
        <v>383</v>
      </c>
      <c r="Q106" s="316" t="s">
        <v>384</v>
      </c>
      <c r="R106" s="316" t="s">
        <v>385</v>
      </c>
      <c r="S106" s="316" t="s">
        <v>375</v>
      </c>
      <c r="T106" s="564"/>
      <c r="U106" s="316" t="s">
        <v>383</v>
      </c>
      <c r="V106" s="316" t="s">
        <v>384</v>
      </c>
      <c r="W106" s="316" t="s">
        <v>385</v>
      </c>
      <c r="X106" s="316" t="s">
        <v>375</v>
      </c>
      <c r="Y106" s="564"/>
      <c r="Z106" s="316" t="s">
        <v>383</v>
      </c>
      <c r="AA106" s="316" t="s">
        <v>384</v>
      </c>
      <c r="AB106" s="316" t="s">
        <v>385</v>
      </c>
      <c r="AC106" s="316" t="s">
        <v>375</v>
      </c>
      <c r="AD106" s="564"/>
      <c r="AE106" s="316" t="s">
        <v>383</v>
      </c>
      <c r="AF106" s="316" t="s">
        <v>384</v>
      </c>
      <c r="AG106" s="316" t="s">
        <v>385</v>
      </c>
      <c r="AH106" s="316" t="s">
        <v>375</v>
      </c>
      <c r="AI106" s="564"/>
      <c r="AJ106" s="316" t="s">
        <v>383</v>
      </c>
      <c r="AK106" s="316" t="s">
        <v>384</v>
      </c>
      <c r="AL106" s="316" t="s">
        <v>385</v>
      </c>
      <c r="AM106" s="316" t="s">
        <v>375</v>
      </c>
      <c r="AN106" s="564"/>
      <c r="AO106" s="316" t="s">
        <v>383</v>
      </c>
      <c r="AP106" s="316" t="s">
        <v>384</v>
      </c>
      <c r="AQ106" s="316" t="s">
        <v>385</v>
      </c>
      <c r="AR106" s="316" t="s">
        <v>375</v>
      </c>
      <c r="AS106" s="564"/>
      <c r="AT106" s="316" t="s">
        <v>383</v>
      </c>
      <c r="AU106" s="316" t="s">
        <v>384</v>
      </c>
      <c r="AV106" s="316" t="s">
        <v>385</v>
      </c>
      <c r="AW106" s="316" t="s">
        <v>375</v>
      </c>
      <c r="AX106" s="564"/>
      <c r="AZ106" s="406" t="s">
        <v>375</v>
      </c>
      <c r="BA106" s="564"/>
    </row>
    <row r="107" spans="2:53">
      <c r="B107" s="564" t="s">
        <v>132</v>
      </c>
      <c r="C107" s="315">
        <v>1</v>
      </c>
      <c r="D107" s="226"/>
      <c r="E107" s="182"/>
      <c r="F107" s="379"/>
      <c r="G107" s="380"/>
      <c r="H107" s="627" t="e">
        <f>AVERAGE(G107:G121)</f>
        <v>#DIV/0!</v>
      </c>
      <c r="I107" s="400" t="str">
        <f t="shared" ref="I107:I120" si="74">IFERROR(AVERAGE(P107,U107,Z107,AE107,AJ107,AO107,AT107),"-")</f>
        <v>-</v>
      </c>
      <c r="J107" s="400" t="str">
        <f t="shared" ref="J107:J120" si="75">IFERROR(AVERAGE(Q107,V107,AA107,AF107,AK107,AP107,AU107),"-")</f>
        <v>-</v>
      </c>
      <c r="K107" s="200" t="str">
        <f t="shared" ref="K107:K120" si="76">IFERROR(AVERAGE(R107,W107,AB107,AG107,AL107,AQ107,AV107),"-")</f>
        <v>-</v>
      </c>
      <c r="L107" s="580" t="str">
        <f>IFERROR(AVERAGE(K107:K121),"-")</f>
        <v>-</v>
      </c>
      <c r="M107" s="201" t="e">
        <f>RANK(K107, K$107:$K$121)</f>
        <v>#VALUE!</v>
      </c>
      <c r="N107" s="564"/>
      <c r="O107" s="564"/>
      <c r="P107" s="182"/>
      <c r="Q107" s="318"/>
      <c r="R107" s="318"/>
      <c r="S107" s="315" t="e">
        <f>RANK(R107, R$107:R$121)</f>
        <v>#N/A</v>
      </c>
      <c r="T107" s="627" t="e">
        <f>AVERAGE(R107:R121)</f>
        <v>#DIV/0!</v>
      </c>
      <c r="U107" s="182"/>
      <c r="V107" s="380"/>
      <c r="W107" s="380"/>
      <c r="X107" s="315" t="e">
        <f>RANK(W107, W$107:W$121)</f>
        <v>#N/A</v>
      </c>
      <c r="Y107" s="627" t="e">
        <f>AVERAGE(W107:W121)</f>
        <v>#DIV/0!</v>
      </c>
      <c r="Z107" s="182"/>
      <c r="AA107" s="380"/>
      <c r="AB107" s="380"/>
      <c r="AC107" s="315" t="e">
        <f>RANK(AB107, AB$107:AB$121)</f>
        <v>#N/A</v>
      </c>
      <c r="AD107" s="627" t="e">
        <f>AVERAGE(AB107:AB121)</f>
        <v>#DIV/0!</v>
      </c>
      <c r="AE107" s="182"/>
      <c r="AF107" s="380"/>
      <c r="AG107" s="380"/>
      <c r="AH107" s="315" t="e">
        <f>RANK(AG107, AG$107:AG$121)</f>
        <v>#N/A</v>
      </c>
      <c r="AI107" s="627" t="e">
        <f>AVERAGE(AG107:AG121)</f>
        <v>#DIV/0!</v>
      </c>
      <c r="AJ107" s="182"/>
      <c r="AK107" s="380"/>
      <c r="AL107" s="380"/>
      <c r="AM107" s="315" t="e">
        <f>RANK(AL107, AL$107:AL$121)</f>
        <v>#N/A</v>
      </c>
      <c r="AN107" s="627" t="e">
        <f>AVERAGE(AL107:AL121)</f>
        <v>#DIV/0!</v>
      </c>
      <c r="AO107" s="182"/>
      <c r="AP107" s="380"/>
      <c r="AQ107" s="380"/>
      <c r="AR107" s="315" t="e">
        <f>RANK(AQ107, AQ$107:AQ$121)</f>
        <v>#N/A</v>
      </c>
      <c r="AS107" s="627" t="e">
        <f>AVERAGE(AQ107:AQ121)</f>
        <v>#DIV/0!</v>
      </c>
      <c r="AT107" s="182"/>
      <c r="AU107" s="380"/>
      <c r="AV107" s="380"/>
      <c r="AW107" s="315" t="e">
        <f>RANK(AV107, AV$107:AV$121)</f>
        <v>#N/A</v>
      </c>
      <c r="AX107" s="565" t="e">
        <f>AVERAGE(AV107:AV121)</f>
        <v>#DIV/0!</v>
      </c>
      <c r="AZ107" s="407" t="e">
        <f>RANK(AY107, AY$107:AY$121)</f>
        <v>#N/A</v>
      </c>
      <c r="BA107" s="565" t="e">
        <f>AVERAGE(AY107:AY121)</f>
        <v>#DIV/0!</v>
      </c>
    </row>
    <row r="108" spans="2:53">
      <c r="B108" s="570"/>
      <c r="C108" s="315">
        <v>2</v>
      </c>
      <c r="D108" s="226"/>
      <c r="E108" s="182"/>
      <c r="F108" s="379"/>
      <c r="G108" s="380"/>
      <c r="H108" s="628"/>
      <c r="I108" s="400" t="str">
        <f t="shared" si="74"/>
        <v>-</v>
      </c>
      <c r="J108" s="400" t="str">
        <f t="shared" si="75"/>
        <v>-</v>
      </c>
      <c r="K108" s="200" t="str">
        <f t="shared" si="76"/>
        <v>-</v>
      </c>
      <c r="L108" s="581"/>
      <c r="M108" s="327" t="e">
        <f>RANK(K108, K$107:$K$121)</f>
        <v>#VALUE!</v>
      </c>
      <c r="N108" s="564"/>
      <c r="O108" s="564"/>
      <c r="P108" s="315"/>
      <c r="Q108" s="318"/>
      <c r="R108" s="318"/>
      <c r="S108" s="325" t="e">
        <f t="shared" ref="S108:S121" si="77">RANK(R108, R$107:R$121)</f>
        <v>#N/A</v>
      </c>
      <c r="T108" s="628"/>
      <c r="U108" s="379"/>
      <c r="V108" s="380"/>
      <c r="W108" s="380"/>
      <c r="X108" s="315" t="e">
        <f t="shared" ref="X108:X121" si="78">RANK(W108, W$107:W$121)</f>
        <v>#N/A</v>
      </c>
      <c r="Y108" s="628"/>
      <c r="Z108" s="379"/>
      <c r="AA108" s="380"/>
      <c r="AB108" s="380"/>
      <c r="AC108" s="315" t="e">
        <f t="shared" ref="AC108:AC121" si="79">RANK(AB108, AB$107:AB$121)</f>
        <v>#N/A</v>
      </c>
      <c r="AD108" s="628"/>
      <c r="AE108" s="379"/>
      <c r="AF108" s="380"/>
      <c r="AG108" s="380"/>
      <c r="AH108" s="315" t="e">
        <f t="shared" ref="AH108:AH121" si="80">RANK(AG108, AG$107:AG$121)</f>
        <v>#N/A</v>
      </c>
      <c r="AI108" s="628"/>
      <c r="AJ108" s="379"/>
      <c r="AK108" s="380"/>
      <c r="AL108" s="380"/>
      <c r="AM108" s="315" t="e">
        <f t="shared" ref="AM108:AM121" si="81">RANK(AL108, AL$107:AL$121)</f>
        <v>#N/A</v>
      </c>
      <c r="AN108" s="628"/>
      <c r="AO108" s="379"/>
      <c r="AP108" s="380"/>
      <c r="AQ108" s="380"/>
      <c r="AR108" s="315" t="e">
        <f t="shared" ref="AR108:AR121" si="82">RANK(AQ108, AQ$107:AQ$121)</f>
        <v>#N/A</v>
      </c>
      <c r="AS108" s="628"/>
      <c r="AT108" s="379"/>
      <c r="AU108" s="380"/>
      <c r="AV108" s="380"/>
      <c r="AW108" s="315" t="e">
        <f t="shared" ref="AW108:AW121" si="83">RANK(AV108, AV$107:AV$121)</f>
        <v>#N/A</v>
      </c>
      <c r="AX108" s="565"/>
      <c r="AZ108" s="407" t="e">
        <f t="shared" ref="AZ108:AZ121" si="84">RANK(AY108, AY$107:AY$121)</f>
        <v>#N/A</v>
      </c>
      <c r="BA108" s="565"/>
    </row>
    <row r="109" spans="2:53">
      <c r="B109" s="570"/>
      <c r="C109" s="315">
        <v>3</v>
      </c>
      <c r="D109" s="226"/>
      <c r="E109" s="182"/>
      <c r="F109" s="379"/>
      <c r="G109" s="380"/>
      <c r="H109" s="628"/>
      <c r="I109" s="400" t="str">
        <f t="shared" si="74"/>
        <v>-</v>
      </c>
      <c r="J109" s="400" t="str">
        <f t="shared" si="75"/>
        <v>-</v>
      </c>
      <c r="K109" s="200" t="str">
        <f t="shared" si="76"/>
        <v>-</v>
      </c>
      <c r="L109" s="581"/>
      <c r="M109" s="327" t="e">
        <f>RANK(K109, K$107:$K$121)</f>
        <v>#VALUE!</v>
      </c>
      <c r="N109" s="564"/>
      <c r="O109" s="564"/>
      <c r="P109" s="315"/>
      <c r="Q109" s="318"/>
      <c r="R109" s="318"/>
      <c r="S109" s="325" t="e">
        <f t="shared" si="77"/>
        <v>#N/A</v>
      </c>
      <c r="T109" s="628"/>
      <c r="U109" s="379"/>
      <c r="V109" s="380"/>
      <c r="W109" s="380"/>
      <c r="X109" s="315" t="e">
        <f t="shared" si="78"/>
        <v>#N/A</v>
      </c>
      <c r="Y109" s="628"/>
      <c r="Z109" s="379"/>
      <c r="AA109" s="380"/>
      <c r="AB109" s="380"/>
      <c r="AC109" s="315" t="e">
        <f t="shared" si="79"/>
        <v>#N/A</v>
      </c>
      <c r="AD109" s="628"/>
      <c r="AE109" s="379"/>
      <c r="AF109" s="380"/>
      <c r="AG109" s="380"/>
      <c r="AH109" s="315" t="e">
        <f t="shared" si="80"/>
        <v>#N/A</v>
      </c>
      <c r="AI109" s="628"/>
      <c r="AJ109" s="379"/>
      <c r="AK109" s="380"/>
      <c r="AL109" s="380"/>
      <c r="AM109" s="315" t="e">
        <f t="shared" si="81"/>
        <v>#N/A</v>
      </c>
      <c r="AN109" s="628"/>
      <c r="AO109" s="379"/>
      <c r="AP109" s="380"/>
      <c r="AQ109" s="380"/>
      <c r="AR109" s="315" t="e">
        <f t="shared" si="82"/>
        <v>#N/A</v>
      </c>
      <c r="AS109" s="628"/>
      <c r="AT109" s="379"/>
      <c r="AU109" s="380"/>
      <c r="AV109" s="380"/>
      <c r="AW109" s="315" t="e">
        <f t="shared" si="83"/>
        <v>#N/A</v>
      </c>
      <c r="AX109" s="565"/>
      <c r="AZ109" s="407" t="e">
        <f t="shared" si="84"/>
        <v>#N/A</v>
      </c>
      <c r="BA109" s="565"/>
    </row>
    <row r="110" spans="2:53">
      <c r="B110" s="570"/>
      <c r="C110" s="315">
        <v>4</v>
      </c>
      <c r="D110" s="226"/>
      <c r="E110" s="182"/>
      <c r="F110" s="379"/>
      <c r="G110" s="380"/>
      <c r="H110" s="628"/>
      <c r="I110" s="400" t="str">
        <f t="shared" si="74"/>
        <v>-</v>
      </c>
      <c r="J110" s="400" t="str">
        <f t="shared" si="75"/>
        <v>-</v>
      </c>
      <c r="K110" s="200" t="str">
        <f t="shared" si="76"/>
        <v>-</v>
      </c>
      <c r="L110" s="581"/>
      <c r="M110" s="327" t="e">
        <f>RANK(K110, K$107:$K$121)</f>
        <v>#VALUE!</v>
      </c>
      <c r="N110" s="564"/>
      <c r="O110" s="564"/>
      <c r="P110" s="315"/>
      <c r="Q110" s="318"/>
      <c r="R110" s="318"/>
      <c r="S110" s="325" t="e">
        <f t="shared" si="77"/>
        <v>#N/A</v>
      </c>
      <c r="T110" s="628"/>
      <c r="U110" s="379"/>
      <c r="V110" s="380"/>
      <c r="W110" s="380"/>
      <c r="X110" s="315" t="e">
        <f t="shared" si="78"/>
        <v>#N/A</v>
      </c>
      <c r="Y110" s="628"/>
      <c r="Z110" s="379"/>
      <c r="AA110" s="380"/>
      <c r="AB110" s="380"/>
      <c r="AC110" s="315" t="e">
        <f t="shared" si="79"/>
        <v>#N/A</v>
      </c>
      <c r="AD110" s="628"/>
      <c r="AE110" s="379"/>
      <c r="AF110" s="380"/>
      <c r="AG110" s="380"/>
      <c r="AH110" s="315" t="e">
        <f t="shared" si="80"/>
        <v>#N/A</v>
      </c>
      <c r="AI110" s="628"/>
      <c r="AJ110" s="379"/>
      <c r="AK110" s="380"/>
      <c r="AL110" s="380"/>
      <c r="AM110" s="315" t="e">
        <f t="shared" si="81"/>
        <v>#N/A</v>
      </c>
      <c r="AN110" s="628"/>
      <c r="AO110" s="379"/>
      <c r="AP110" s="380"/>
      <c r="AQ110" s="380"/>
      <c r="AR110" s="315" t="e">
        <f t="shared" si="82"/>
        <v>#N/A</v>
      </c>
      <c r="AS110" s="628"/>
      <c r="AT110" s="379"/>
      <c r="AU110" s="380"/>
      <c r="AV110" s="380"/>
      <c r="AW110" s="315" t="e">
        <f t="shared" si="83"/>
        <v>#N/A</v>
      </c>
      <c r="AX110" s="565"/>
      <c r="AZ110" s="407" t="e">
        <f t="shared" si="84"/>
        <v>#N/A</v>
      </c>
      <c r="BA110" s="565"/>
    </row>
    <row r="111" spans="2:53">
      <c r="B111" s="570"/>
      <c r="C111" s="315">
        <v>5</v>
      </c>
      <c r="D111" s="226"/>
      <c r="E111" s="182"/>
      <c r="F111" s="379"/>
      <c r="G111" s="380"/>
      <c r="H111" s="628"/>
      <c r="I111" s="400" t="str">
        <f t="shared" si="74"/>
        <v>-</v>
      </c>
      <c r="J111" s="400" t="str">
        <f t="shared" si="75"/>
        <v>-</v>
      </c>
      <c r="K111" s="200" t="str">
        <f t="shared" si="76"/>
        <v>-</v>
      </c>
      <c r="L111" s="581"/>
      <c r="M111" s="327" t="e">
        <f>RANK(K111, K$107:$K$121)</f>
        <v>#VALUE!</v>
      </c>
      <c r="N111" s="564"/>
      <c r="O111" s="564"/>
      <c r="P111" s="315"/>
      <c r="Q111" s="318"/>
      <c r="R111" s="318"/>
      <c r="S111" s="325" t="e">
        <f t="shared" si="77"/>
        <v>#N/A</v>
      </c>
      <c r="T111" s="628"/>
      <c r="U111" s="379"/>
      <c r="V111" s="380"/>
      <c r="W111" s="380"/>
      <c r="X111" s="315" t="e">
        <f t="shared" si="78"/>
        <v>#N/A</v>
      </c>
      <c r="Y111" s="628"/>
      <c r="Z111" s="379"/>
      <c r="AA111" s="380"/>
      <c r="AB111" s="380"/>
      <c r="AC111" s="315" t="e">
        <f t="shared" si="79"/>
        <v>#N/A</v>
      </c>
      <c r="AD111" s="628"/>
      <c r="AE111" s="379"/>
      <c r="AF111" s="380"/>
      <c r="AG111" s="380"/>
      <c r="AH111" s="315" t="e">
        <f t="shared" si="80"/>
        <v>#N/A</v>
      </c>
      <c r="AI111" s="628"/>
      <c r="AJ111" s="379"/>
      <c r="AK111" s="380"/>
      <c r="AL111" s="380"/>
      <c r="AM111" s="315" t="e">
        <f t="shared" si="81"/>
        <v>#N/A</v>
      </c>
      <c r="AN111" s="628"/>
      <c r="AO111" s="379"/>
      <c r="AP111" s="380"/>
      <c r="AQ111" s="380"/>
      <c r="AR111" s="315" t="e">
        <f t="shared" si="82"/>
        <v>#N/A</v>
      </c>
      <c r="AS111" s="628"/>
      <c r="AT111" s="379"/>
      <c r="AU111" s="380"/>
      <c r="AV111" s="380"/>
      <c r="AW111" s="315" t="e">
        <f t="shared" si="83"/>
        <v>#N/A</v>
      </c>
      <c r="AX111" s="565"/>
      <c r="AZ111" s="407" t="e">
        <f t="shared" si="84"/>
        <v>#N/A</v>
      </c>
      <c r="BA111" s="565"/>
    </row>
    <row r="112" spans="2:53">
      <c r="B112" s="570"/>
      <c r="C112" s="315">
        <v>6</v>
      </c>
      <c r="D112" s="226"/>
      <c r="E112" s="182"/>
      <c r="F112" s="379"/>
      <c r="G112" s="380"/>
      <c r="H112" s="628"/>
      <c r="I112" s="400" t="str">
        <f t="shared" si="74"/>
        <v>-</v>
      </c>
      <c r="J112" s="400" t="str">
        <f t="shared" si="75"/>
        <v>-</v>
      </c>
      <c r="K112" s="200" t="str">
        <f t="shared" si="76"/>
        <v>-</v>
      </c>
      <c r="L112" s="581"/>
      <c r="M112" s="327" t="e">
        <f>RANK(K112, K$107:$K$121)</f>
        <v>#VALUE!</v>
      </c>
      <c r="N112" s="564"/>
      <c r="O112" s="564"/>
      <c r="P112" s="315"/>
      <c r="Q112" s="318"/>
      <c r="R112" s="318"/>
      <c r="S112" s="325" t="e">
        <f t="shared" si="77"/>
        <v>#N/A</v>
      </c>
      <c r="T112" s="628"/>
      <c r="U112" s="379"/>
      <c r="V112" s="380"/>
      <c r="W112" s="380"/>
      <c r="X112" s="315" t="e">
        <f t="shared" si="78"/>
        <v>#N/A</v>
      </c>
      <c r="Y112" s="628"/>
      <c r="Z112" s="379"/>
      <c r="AA112" s="380"/>
      <c r="AB112" s="380"/>
      <c r="AC112" s="315" t="e">
        <f t="shared" si="79"/>
        <v>#N/A</v>
      </c>
      <c r="AD112" s="628"/>
      <c r="AE112" s="379"/>
      <c r="AF112" s="380"/>
      <c r="AG112" s="380"/>
      <c r="AH112" s="315" t="e">
        <f t="shared" si="80"/>
        <v>#N/A</v>
      </c>
      <c r="AI112" s="628"/>
      <c r="AJ112" s="379"/>
      <c r="AK112" s="380"/>
      <c r="AL112" s="380"/>
      <c r="AM112" s="315" t="e">
        <f t="shared" si="81"/>
        <v>#N/A</v>
      </c>
      <c r="AN112" s="628"/>
      <c r="AO112" s="379"/>
      <c r="AP112" s="380"/>
      <c r="AQ112" s="380"/>
      <c r="AR112" s="315" t="e">
        <f t="shared" si="82"/>
        <v>#N/A</v>
      </c>
      <c r="AS112" s="628"/>
      <c r="AT112" s="379"/>
      <c r="AU112" s="380"/>
      <c r="AV112" s="380"/>
      <c r="AW112" s="315" t="e">
        <f t="shared" si="83"/>
        <v>#N/A</v>
      </c>
      <c r="AX112" s="565"/>
      <c r="AZ112" s="407" t="e">
        <f t="shared" si="84"/>
        <v>#N/A</v>
      </c>
      <c r="BA112" s="565"/>
    </row>
    <row r="113" spans="2:53">
      <c r="B113" s="570"/>
      <c r="C113" s="315">
        <v>7</v>
      </c>
      <c r="D113" s="226"/>
      <c r="E113" s="182"/>
      <c r="F113" s="379"/>
      <c r="G113" s="380"/>
      <c r="H113" s="628"/>
      <c r="I113" s="400" t="str">
        <f t="shared" si="74"/>
        <v>-</v>
      </c>
      <c r="J113" s="400" t="str">
        <f t="shared" si="75"/>
        <v>-</v>
      </c>
      <c r="K113" s="200" t="str">
        <f t="shared" si="76"/>
        <v>-</v>
      </c>
      <c r="L113" s="581"/>
      <c r="M113" s="327" t="e">
        <f>RANK(K113, K$107:$K$121)</f>
        <v>#VALUE!</v>
      </c>
      <c r="N113" s="564"/>
      <c r="O113" s="564"/>
      <c r="P113" s="315"/>
      <c r="Q113" s="318"/>
      <c r="R113" s="318"/>
      <c r="S113" s="325" t="e">
        <f t="shared" si="77"/>
        <v>#N/A</v>
      </c>
      <c r="T113" s="628"/>
      <c r="U113" s="379"/>
      <c r="V113" s="380"/>
      <c r="W113" s="380"/>
      <c r="X113" s="315" t="e">
        <f t="shared" si="78"/>
        <v>#N/A</v>
      </c>
      <c r="Y113" s="628"/>
      <c r="Z113" s="379"/>
      <c r="AA113" s="380"/>
      <c r="AB113" s="380"/>
      <c r="AC113" s="315" t="e">
        <f t="shared" si="79"/>
        <v>#N/A</v>
      </c>
      <c r="AD113" s="628"/>
      <c r="AE113" s="379"/>
      <c r="AF113" s="380"/>
      <c r="AG113" s="380"/>
      <c r="AH113" s="315" t="e">
        <f t="shared" si="80"/>
        <v>#N/A</v>
      </c>
      <c r="AI113" s="628"/>
      <c r="AJ113" s="379"/>
      <c r="AK113" s="380"/>
      <c r="AL113" s="380"/>
      <c r="AM113" s="315" t="e">
        <f t="shared" si="81"/>
        <v>#N/A</v>
      </c>
      <c r="AN113" s="628"/>
      <c r="AO113" s="379"/>
      <c r="AP113" s="380"/>
      <c r="AQ113" s="380"/>
      <c r="AR113" s="315" t="e">
        <f t="shared" si="82"/>
        <v>#N/A</v>
      </c>
      <c r="AS113" s="628"/>
      <c r="AT113" s="379"/>
      <c r="AU113" s="380"/>
      <c r="AV113" s="380"/>
      <c r="AW113" s="315" t="e">
        <f t="shared" si="83"/>
        <v>#N/A</v>
      </c>
      <c r="AX113" s="565"/>
      <c r="AZ113" s="407" t="e">
        <f t="shared" si="84"/>
        <v>#N/A</v>
      </c>
      <c r="BA113" s="565"/>
    </row>
    <row r="114" spans="2:53">
      <c r="B114" s="570"/>
      <c r="C114" s="315">
        <v>8</v>
      </c>
      <c r="D114" s="226"/>
      <c r="E114" s="182"/>
      <c r="F114" s="379"/>
      <c r="G114" s="380"/>
      <c r="H114" s="628"/>
      <c r="I114" s="400" t="str">
        <f t="shared" si="74"/>
        <v>-</v>
      </c>
      <c r="J114" s="400" t="str">
        <f t="shared" si="75"/>
        <v>-</v>
      </c>
      <c r="K114" s="200" t="str">
        <f t="shared" si="76"/>
        <v>-</v>
      </c>
      <c r="L114" s="581"/>
      <c r="M114" s="327" t="e">
        <f>RANK(K114, K$107:$K$121)</f>
        <v>#VALUE!</v>
      </c>
      <c r="N114" s="564"/>
      <c r="O114" s="564"/>
      <c r="P114" s="315"/>
      <c r="Q114" s="318"/>
      <c r="R114" s="318"/>
      <c r="S114" s="325" t="e">
        <f t="shared" si="77"/>
        <v>#N/A</v>
      </c>
      <c r="T114" s="628"/>
      <c r="U114" s="379"/>
      <c r="V114" s="380"/>
      <c r="W114" s="380"/>
      <c r="X114" s="315" t="e">
        <f t="shared" si="78"/>
        <v>#N/A</v>
      </c>
      <c r="Y114" s="628"/>
      <c r="Z114" s="379"/>
      <c r="AA114" s="380"/>
      <c r="AB114" s="380"/>
      <c r="AC114" s="315" t="e">
        <f t="shared" si="79"/>
        <v>#N/A</v>
      </c>
      <c r="AD114" s="628"/>
      <c r="AE114" s="379"/>
      <c r="AF114" s="380"/>
      <c r="AG114" s="380"/>
      <c r="AH114" s="315" t="e">
        <f t="shared" si="80"/>
        <v>#N/A</v>
      </c>
      <c r="AI114" s="628"/>
      <c r="AJ114" s="379"/>
      <c r="AK114" s="380"/>
      <c r="AL114" s="380"/>
      <c r="AM114" s="315" t="e">
        <f t="shared" si="81"/>
        <v>#N/A</v>
      </c>
      <c r="AN114" s="628"/>
      <c r="AO114" s="379"/>
      <c r="AP114" s="380"/>
      <c r="AQ114" s="380"/>
      <c r="AR114" s="315" t="e">
        <f t="shared" si="82"/>
        <v>#N/A</v>
      </c>
      <c r="AS114" s="628"/>
      <c r="AT114" s="379"/>
      <c r="AU114" s="380"/>
      <c r="AV114" s="380"/>
      <c r="AW114" s="315" t="e">
        <f t="shared" si="83"/>
        <v>#N/A</v>
      </c>
      <c r="AX114" s="565"/>
      <c r="AZ114" s="407" t="e">
        <f t="shared" si="84"/>
        <v>#N/A</v>
      </c>
      <c r="BA114" s="565"/>
    </row>
    <row r="115" spans="2:53">
      <c r="B115" s="570"/>
      <c r="C115" s="315">
        <v>9</v>
      </c>
      <c r="D115" s="226"/>
      <c r="E115" s="182"/>
      <c r="F115" s="379"/>
      <c r="G115" s="380"/>
      <c r="H115" s="628"/>
      <c r="I115" s="400" t="str">
        <f t="shared" si="74"/>
        <v>-</v>
      </c>
      <c r="J115" s="400" t="str">
        <f t="shared" si="75"/>
        <v>-</v>
      </c>
      <c r="K115" s="200" t="str">
        <f t="shared" si="76"/>
        <v>-</v>
      </c>
      <c r="L115" s="581"/>
      <c r="M115" s="327" t="e">
        <f>RANK(K115, K$107:$K$121)</f>
        <v>#VALUE!</v>
      </c>
      <c r="N115" s="564"/>
      <c r="O115" s="564"/>
      <c r="P115" s="315"/>
      <c r="Q115" s="318"/>
      <c r="R115" s="318"/>
      <c r="S115" s="325" t="e">
        <f t="shared" si="77"/>
        <v>#N/A</v>
      </c>
      <c r="T115" s="628"/>
      <c r="U115" s="379"/>
      <c r="V115" s="380"/>
      <c r="W115" s="380"/>
      <c r="X115" s="315" t="e">
        <f t="shared" si="78"/>
        <v>#N/A</v>
      </c>
      <c r="Y115" s="628"/>
      <c r="Z115" s="379"/>
      <c r="AA115" s="380"/>
      <c r="AB115" s="380"/>
      <c r="AC115" s="315" t="e">
        <f t="shared" si="79"/>
        <v>#N/A</v>
      </c>
      <c r="AD115" s="628"/>
      <c r="AE115" s="379"/>
      <c r="AF115" s="380"/>
      <c r="AG115" s="380"/>
      <c r="AH115" s="315" t="e">
        <f t="shared" si="80"/>
        <v>#N/A</v>
      </c>
      <c r="AI115" s="628"/>
      <c r="AJ115" s="379"/>
      <c r="AK115" s="380"/>
      <c r="AL115" s="380"/>
      <c r="AM115" s="315" t="e">
        <f t="shared" si="81"/>
        <v>#N/A</v>
      </c>
      <c r="AN115" s="628"/>
      <c r="AO115" s="379"/>
      <c r="AP115" s="380"/>
      <c r="AQ115" s="380"/>
      <c r="AR115" s="315" t="e">
        <f t="shared" si="82"/>
        <v>#N/A</v>
      </c>
      <c r="AS115" s="628"/>
      <c r="AT115" s="379"/>
      <c r="AU115" s="380"/>
      <c r="AV115" s="380"/>
      <c r="AW115" s="315" t="e">
        <f t="shared" si="83"/>
        <v>#N/A</v>
      </c>
      <c r="AX115" s="565"/>
      <c r="AZ115" s="407" t="e">
        <f t="shared" si="84"/>
        <v>#N/A</v>
      </c>
      <c r="BA115" s="565"/>
    </row>
    <row r="116" spans="2:53">
      <c r="B116" s="570"/>
      <c r="C116" s="315">
        <v>10</v>
      </c>
      <c r="D116" s="226"/>
      <c r="E116" s="182"/>
      <c r="F116" s="379"/>
      <c r="G116" s="380"/>
      <c r="H116" s="628"/>
      <c r="I116" s="400" t="str">
        <f t="shared" si="74"/>
        <v>-</v>
      </c>
      <c r="J116" s="400" t="str">
        <f t="shared" si="75"/>
        <v>-</v>
      </c>
      <c r="K116" s="200" t="str">
        <f t="shared" si="76"/>
        <v>-</v>
      </c>
      <c r="L116" s="581"/>
      <c r="M116" s="327" t="e">
        <f>RANK(K116, K$107:$K$121)</f>
        <v>#VALUE!</v>
      </c>
      <c r="N116" s="564"/>
      <c r="O116" s="564"/>
      <c r="P116" s="315"/>
      <c r="Q116" s="318"/>
      <c r="R116" s="318"/>
      <c r="S116" s="325" t="e">
        <f t="shared" si="77"/>
        <v>#N/A</v>
      </c>
      <c r="T116" s="628"/>
      <c r="U116" s="379"/>
      <c r="V116" s="380"/>
      <c r="W116" s="380"/>
      <c r="X116" s="315" t="e">
        <f t="shared" si="78"/>
        <v>#N/A</v>
      </c>
      <c r="Y116" s="628"/>
      <c r="Z116" s="379"/>
      <c r="AA116" s="380"/>
      <c r="AB116" s="380"/>
      <c r="AC116" s="315" t="e">
        <f t="shared" si="79"/>
        <v>#N/A</v>
      </c>
      <c r="AD116" s="628"/>
      <c r="AE116" s="379"/>
      <c r="AF116" s="380"/>
      <c r="AG116" s="380"/>
      <c r="AH116" s="315" t="e">
        <f t="shared" si="80"/>
        <v>#N/A</v>
      </c>
      <c r="AI116" s="628"/>
      <c r="AJ116" s="379"/>
      <c r="AK116" s="380"/>
      <c r="AL116" s="380"/>
      <c r="AM116" s="315" t="e">
        <f t="shared" si="81"/>
        <v>#N/A</v>
      </c>
      <c r="AN116" s="628"/>
      <c r="AO116" s="379"/>
      <c r="AP116" s="380"/>
      <c r="AQ116" s="380"/>
      <c r="AR116" s="315" t="e">
        <f t="shared" si="82"/>
        <v>#N/A</v>
      </c>
      <c r="AS116" s="628"/>
      <c r="AT116" s="379"/>
      <c r="AU116" s="380"/>
      <c r="AV116" s="380"/>
      <c r="AW116" s="315" t="e">
        <f t="shared" si="83"/>
        <v>#N/A</v>
      </c>
      <c r="AX116" s="565"/>
      <c r="AZ116" s="407" t="e">
        <f t="shared" si="84"/>
        <v>#N/A</v>
      </c>
      <c r="BA116" s="565"/>
    </row>
    <row r="117" spans="2:53">
      <c r="B117" s="570"/>
      <c r="C117" s="315">
        <v>11</v>
      </c>
      <c r="D117" s="226"/>
      <c r="E117" s="182"/>
      <c r="F117" s="379"/>
      <c r="G117" s="380"/>
      <c r="H117" s="628"/>
      <c r="I117" s="400" t="str">
        <f t="shared" si="74"/>
        <v>-</v>
      </c>
      <c r="J117" s="400" t="str">
        <f t="shared" si="75"/>
        <v>-</v>
      </c>
      <c r="K117" s="200" t="str">
        <f t="shared" si="76"/>
        <v>-</v>
      </c>
      <c r="L117" s="581"/>
      <c r="M117" s="327" t="e">
        <f>RANK(K117, K$107:$K$121)</f>
        <v>#VALUE!</v>
      </c>
      <c r="N117" s="564"/>
      <c r="O117" s="564"/>
      <c r="P117" s="315"/>
      <c r="Q117" s="318"/>
      <c r="R117" s="318"/>
      <c r="S117" s="325" t="e">
        <f t="shared" si="77"/>
        <v>#N/A</v>
      </c>
      <c r="T117" s="628"/>
      <c r="U117" s="379"/>
      <c r="V117" s="380"/>
      <c r="W117" s="380"/>
      <c r="X117" s="315" t="e">
        <f t="shared" si="78"/>
        <v>#N/A</v>
      </c>
      <c r="Y117" s="628"/>
      <c r="Z117" s="379"/>
      <c r="AA117" s="380"/>
      <c r="AB117" s="380"/>
      <c r="AC117" s="315" t="e">
        <f t="shared" si="79"/>
        <v>#N/A</v>
      </c>
      <c r="AD117" s="628"/>
      <c r="AE117" s="379"/>
      <c r="AF117" s="380"/>
      <c r="AG117" s="380"/>
      <c r="AH117" s="315" t="e">
        <f t="shared" si="80"/>
        <v>#N/A</v>
      </c>
      <c r="AI117" s="628"/>
      <c r="AJ117" s="379"/>
      <c r="AK117" s="380"/>
      <c r="AL117" s="380"/>
      <c r="AM117" s="315" t="e">
        <f t="shared" si="81"/>
        <v>#N/A</v>
      </c>
      <c r="AN117" s="628"/>
      <c r="AO117" s="379"/>
      <c r="AP117" s="380"/>
      <c r="AQ117" s="380"/>
      <c r="AR117" s="315" t="e">
        <f t="shared" si="82"/>
        <v>#N/A</v>
      </c>
      <c r="AS117" s="628"/>
      <c r="AT117" s="379"/>
      <c r="AU117" s="380"/>
      <c r="AV117" s="380"/>
      <c r="AW117" s="315" t="e">
        <f t="shared" si="83"/>
        <v>#N/A</v>
      </c>
      <c r="AX117" s="565"/>
      <c r="AZ117" s="407" t="e">
        <f t="shared" si="84"/>
        <v>#N/A</v>
      </c>
      <c r="BA117" s="565"/>
    </row>
    <row r="118" spans="2:53">
      <c r="B118" s="570"/>
      <c r="C118" s="315">
        <v>12</v>
      </c>
      <c r="D118" s="226"/>
      <c r="E118" s="182"/>
      <c r="F118" s="379"/>
      <c r="G118" s="380"/>
      <c r="H118" s="628"/>
      <c r="I118" s="400" t="str">
        <f t="shared" si="74"/>
        <v>-</v>
      </c>
      <c r="J118" s="400" t="str">
        <f t="shared" si="75"/>
        <v>-</v>
      </c>
      <c r="K118" s="200" t="str">
        <f t="shared" si="76"/>
        <v>-</v>
      </c>
      <c r="L118" s="581"/>
      <c r="M118" s="327" t="e">
        <f>RANK(K118, K$107:$K$121)</f>
        <v>#VALUE!</v>
      </c>
      <c r="N118" s="564"/>
      <c r="O118" s="564"/>
      <c r="P118" s="315"/>
      <c r="Q118" s="318"/>
      <c r="R118" s="318"/>
      <c r="S118" s="325" t="e">
        <f t="shared" si="77"/>
        <v>#N/A</v>
      </c>
      <c r="T118" s="628"/>
      <c r="U118" s="379"/>
      <c r="V118" s="380"/>
      <c r="W118" s="380"/>
      <c r="X118" s="315" t="e">
        <f t="shared" si="78"/>
        <v>#N/A</v>
      </c>
      <c r="Y118" s="628"/>
      <c r="Z118" s="379"/>
      <c r="AA118" s="380"/>
      <c r="AB118" s="380"/>
      <c r="AC118" s="315" t="e">
        <f t="shared" si="79"/>
        <v>#N/A</v>
      </c>
      <c r="AD118" s="628"/>
      <c r="AE118" s="379"/>
      <c r="AF118" s="380"/>
      <c r="AG118" s="380"/>
      <c r="AH118" s="315" t="e">
        <f t="shared" si="80"/>
        <v>#N/A</v>
      </c>
      <c r="AI118" s="628"/>
      <c r="AJ118" s="379"/>
      <c r="AK118" s="380"/>
      <c r="AL118" s="380"/>
      <c r="AM118" s="315" t="e">
        <f t="shared" si="81"/>
        <v>#N/A</v>
      </c>
      <c r="AN118" s="628"/>
      <c r="AO118" s="379"/>
      <c r="AP118" s="380"/>
      <c r="AQ118" s="380"/>
      <c r="AR118" s="315" t="e">
        <f t="shared" si="82"/>
        <v>#N/A</v>
      </c>
      <c r="AS118" s="628"/>
      <c r="AT118" s="379"/>
      <c r="AU118" s="380"/>
      <c r="AV118" s="380"/>
      <c r="AW118" s="315" t="e">
        <f t="shared" si="83"/>
        <v>#N/A</v>
      </c>
      <c r="AX118" s="565"/>
      <c r="AZ118" s="407" t="e">
        <f t="shared" si="84"/>
        <v>#N/A</v>
      </c>
      <c r="BA118" s="565"/>
    </row>
    <row r="119" spans="2:53">
      <c r="B119" s="570"/>
      <c r="C119" s="315">
        <v>13</v>
      </c>
      <c r="D119" s="226"/>
      <c r="E119" s="182"/>
      <c r="F119" s="379"/>
      <c r="G119" s="380"/>
      <c r="H119" s="628"/>
      <c r="I119" s="400" t="str">
        <f t="shared" si="74"/>
        <v>-</v>
      </c>
      <c r="J119" s="400" t="str">
        <f t="shared" si="75"/>
        <v>-</v>
      </c>
      <c r="K119" s="200" t="str">
        <f t="shared" si="76"/>
        <v>-</v>
      </c>
      <c r="L119" s="581"/>
      <c r="M119" s="327" t="e">
        <f>RANK(K119, K$107:$K$121)</f>
        <v>#VALUE!</v>
      </c>
      <c r="N119" s="564"/>
      <c r="O119" s="564"/>
      <c r="P119" s="315"/>
      <c r="Q119" s="318"/>
      <c r="R119" s="318"/>
      <c r="S119" s="325" t="e">
        <f t="shared" si="77"/>
        <v>#N/A</v>
      </c>
      <c r="T119" s="628"/>
      <c r="U119" s="379"/>
      <c r="V119" s="380"/>
      <c r="W119" s="380"/>
      <c r="X119" s="315" t="e">
        <f t="shared" si="78"/>
        <v>#N/A</v>
      </c>
      <c r="Y119" s="628"/>
      <c r="Z119" s="379"/>
      <c r="AA119" s="380"/>
      <c r="AB119" s="380"/>
      <c r="AC119" s="315" t="e">
        <f t="shared" si="79"/>
        <v>#N/A</v>
      </c>
      <c r="AD119" s="628"/>
      <c r="AE119" s="379"/>
      <c r="AF119" s="380"/>
      <c r="AG119" s="380"/>
      <c r="AH119" s="315" t="e">
        <f t="shared" si="80"/>
        <v>#N/A</v>
      </c>
      <c r="AI119" s="628"/>
      <c r="AJ119" s="379"/>
      <c r="AK119" s="380"/>
      <c r="AL119" s="380"/>
      <c r="AM119" s="315" t="e">
        <f t="shared" si="81"/>
        <v>#N/A</v>
      </c>
      <c r="AN119" s="628"/>
      <c r="AO119" s="379"/>
      <c r="AP119" s="380"/>
      <c r="AQ119" s="380"/>
      <c r="AR119" s="315" t="e">
        <f t="shared" si="82"/>
        <v>#N/A</v>
      </c>
      <c r="AS119" s="628"/>
      <c r="AT119" s="379"/>
      <c r="AU119" s="380"/>
      <c r="AV119" s="380"/>
      <c r="AW119" s="315" t="e">
        <f t="shared" si="83"/>
        <v>#N/A</v>
      </c>
      <c r="AX119" s="565"/>
      <c r="AZ119" s="407" t="e">
        <f t="shared" si="84"/>
        <v>#N/A</v>
      </c>
      <c r="BA119" s="565"/>
    </row>
    <row r="120" spans="2:53">
      <c r="B120" s="570"/>
      <c r="C120" s="315">
        <v>14</v>
      </c>
      <c r="D120" s="226"/>
      <c r="E120" s="182"/>
      <c r="F120" s="379"/>
      <c r="G120" s="380"/>
      <c r="H120" s="628"/>
      <c r="I120" s="400" t="str">
        <f t="shared" si="74"/>
        <v>-</v>
      </c>
      <c r="J120" s="400" t="str">
        <f t="shared" si="75"/>
        <v>-</v>
      </c>
      <c r="K120" s="200" t="str">
        <f t="shared" si="76"/>
        <v>-</v>
      </c>
      <c r="L120" s="581"/>
      <c r="M120" s="327" t="e">
        <f>RANK(K120, K$107:$K$121)</f>
        <v>#VALUE!</v>
      </c>
      <c r="N120" s="564"/>
      <c r="O120" s="564"/>
      <c r="P120" s="315"/>
      <c r="Q120" s="318"/>
      <c r="R120" s="318"/>
      <c r="S120" s="325" t="e">
        <f t="shared" si="77"/>
        <v>#N/A</v>
      </c>
      <c r="T120" s="628"/>
      <c r="U120" s="379"/>
      <c r="V120" s="380"/>
      <c r="W120" s="380"/>
      <c r="X120" s="315" t="e">
        <f t="shared" si="78"/>
        <v>#N/A</v>
      </c>
      <c r="Y120" s="628"/>
      <c r="Z120" s="379"/>
      <c r="AA120" s="380"/>
      <c r="AB120" s="380"/>
      <c r="AC120" s="315" t="e">
        <f t="shared" si="79"/>
        <v>#N/A</v>
      </c>
      <c r="AD120" s="628"/>
      <c r="AE120" s="379"/>
      <c r="AF120" s="380"/>
      <c r="AG120" s="380"/>
      <c r="AH120" s="315" t="e">
        <f t="shared" si="80"/>
        <v>#N/A</v>
      </c>
      <c r="AI120" s="628"/>
      <c r="AJ120" s="379"/>
      <c r="AK120" s="380"/>
      <c r="AL120" s="380"/>
      <c r="AM120" s="315" t="e">
        <f t="shared" si="81"/>
        <v>#N/A</v>
      </c>
      <c r="AN120" s="628"/>
      <c r="AO120" s="379"/>
      <c r="AP120" s="380"/>
      <c r="AQ120" s="380"/>
      <c r="AR120" s="315" t="e">
        <f t="shared" si="82"/>
        <v>#N/A</v>
      </c>
      <c r="AS120" s="628"/>
      <c r="AT120" s="379"/>
      <c r="AU120" s="380"/>
      <c r="AV120" s="380"/>
      <c r="AW120" s="315" t="e">
        <f t="shared" si="83"/>
        <v>#N/A</v>
      </c>
      <c r="AX120" s="565"/>
      <c r="AZ120" s="407" t="e">
        <f t="shared" si="84"/>
        <v>#N/A</v>
      </c>
      <c r="BA120" s="565"/>
    </row>
    <row r="121" spans="2:53">
      <c r="B121" s="570"/>
      <c r="C121" s="315">
        <v>15</v>
      </c>
      <c r="D121" s="226"/>
      <c r="E121" s="182"/>
      <c r="F121" s="379"/>
      <c r="G121" s="380"/>
      <c r="H121" s="629"/>
      <c r="I121" s="202"/>
      <c r="J121" s="202"/>
      <c r="K121" s="202"/>
      <c r="L121" s="582"/>
      <c r="M121" s="327" t="e">
        <f>RANK(K121, K$107:$K$121)</f>
        <v>#N/A</v>
      </c>
      <c r="N121" s="564"/>
      <c r="O121" s="564"/>
      <c r="P121" s="315"/>
      <c r="Q121" s="318"/>
      <c r="R121" s="318"/>
      <c r="S121" s="325" t="e">
        <f t="shared" si="77"/>
        <v>#N/A</v>
      </c>
      <c r="T121" s="629"/>
      <c r="U121" s="379"/>
      <c r="V121" s="380"/>
      <c r="W121" s="380"/>
      <c r="X121" s="315" t="e">
        <f t="shared" si="78"/>
        <v>#N/A</v>
      </c>
      <c r="Y121" s="629"/>
      <c r="Z121" s="379"/>
      <c r="AA121" s="380"/>
      <c r="AB121" s="380"/>
      <c r="AC121" s="315" t="e">
        <f t="shared" si="79"/>
        <v>#N/A</v>
      </c>
      <c r="AD121" s="629"/>
      <c r="AE121" s="379"/>
      <c r="AF121" s="380"/>
      <c r="AG121" s="380"/>
      <c r="AH121" s="315" t="e">
        <f t="shared" si="80"/>
        <v>#N/A</v>
      </c>
      <c r="AI121" s="629"/>
      <c r="AJ121" s="379"/>
      <c r="AK121" s="380"/>
      <c r="AL121" s="380"/>
      <c r="AM121" s="315" t="e">
        <f t="shared" si="81"/>
        <v>#N/A</v>
      </c>
      <c r="AN121" s="629"/>
      <c r="AO121" s="379"/>
      <c r="AP121" s="380"/>
      <c r="AQ121" s="380"/>
      <c r="AR121" s="315" t="e">
        <f t="shared" si="82"/>
        <v>#N/A</v>
      </c>
      <c r="AS121" s="629"/>
      <c r="AT121" s="379"/>
      <c r="AU121" s="380"/>
      <c r="AV121" s="380"/>
      <c r="AW121" s="315" t="e">
        <f t="shared" si="83"/>
        <v>#N/A</v>
      </c>
      <c r="AX121" s="565"/>
      <c r="AZ121" s="407" t="e">
        <f t="shared" si="84"/>
        <v>#N/A</v>
      </c>
      <c r="BA121" s="565"/>
    </row>
    <row r="123" spans="2:53" ht="15.75">
      <c r="B123" s="573" t="s">
        <v>487</v>
      </c>
      <c r="C123" s="574"/>
      <c r="D123" s="574"/>
      <c r="E123" s="574"/>
      <c r="F123" s="574"/>
      <c r="G123" s="574"/>
      <c r="H123" s="575"/>
      <c r="I123" s="319"/>
      <c r="J123" s="319"/>
      <c r="K123" s="319"/>
      <c r="L123" s="319"/>
      <c r="M123" s="320"/>
    </row>
    <row r="124" spans="2:53" ht="15.75">
      <c r="B124" s="576"/>
      <c r="C124" s="576"/>
      <c r="D124" s="576"/>
      <c r="E124" s="576"/>
      <c r="F124" s="576"/>
      <c r="G124" s="576"/>
      <c r="H124" s="576"/>
      <c r="I124" s="321"/>
      <c r="J124" s="321"/>
      <c r="K124" s="321"/>
      <c r="L124" s="321"/>
      <c r="M124" s="322"/>
    </row>
    <row r="125" spans="2:53">
      <c r="B125" s="564" t="s">
        <v>488</v>
      </c>
      <c r="C125" s="564" t="s">
        <v>489</v>
      </c>
      <c r="D125" s="564"/>
      <c r="E125" s="564" t="s">
        <v>490</v>
      </c>
      <c r="F125" s="564"/>
      <c r="G125" s="564"/>
      <c r="H125" s="597" t="s">
        <v>491</v>
      </c>
      <c r="I125" s="577" t="s">
        <v>492</v>
      </c>
      <c r="J125" s="577"/>
      <c r="K125" s="577"/>
      <c r="L125" s="633" t="s">
        <v>491</v>
      </c>
      <c r="M125" s="636" t="s">
        <v>493</v>
      </c>
    </row>
    <row r="126" spans="2:53">
      <c r="B126" s="564"/>
      <c r="C126" s="564"/>
      <c r="D126" s="564"/>
      <c r="E126" s="564" t="s">
        <v>494</v>
      </c>
      <c r="F126" s="564"/>
      <c r="G126" s="564"/>
      <c r="H126" s="598"/>
      <c r="I126" s="577" t="s">
        <v>494</v>
      </c>
      <c r="J126" s="577"/>
      <c r="K126" s="577"/>
      <c r="L126" s="634"/>
      <c r="M126" s="637"/>
    </row>
    <row r="127" spans="2:53">
      <c r="B127" s="564"/>
      <c r="C127" s="564"/>
      <c r="D127" s="564"/>
      <c r="E127" s="316" t="s">
        <v>495</v>
      </c>
      <c r="F127" s="316" t="s">
        <v>496</v>
      </c>
      <c r="G127" s="316" t="s">
        <v>497</v>
      </c>
      <c r="H127" s="599"/>
      <c r="I127" s="323" t="s">
        <v>495</v>
      </c>
      <c r="J127" s="323" t="s">
        <v>496</v>
      </c>
      <c r="K127" s="323" t="s">
        <v>497</v>
      </c>
      <c r="L127" s="635"/>
      <c r="M127" s="638"/>
    </row>
    <row r="128" spans="2:53">
      <c r="B128" s="564" t="s">
        <v>503</v>
      </c>
      <c r="C128" s="315">
        <v>1</v>
      </c>
      <c r="D128" s="226"/>
      <c r="E128" s="182"/>
      <c r="F128" s="315"/>
      <c r="G128" s="318"/>
      <c r="H128" s="627" t="e">
        <f>AVERAGE(G128:G142)</f>
        <v>#DIV/0!</v>
      </c>
      <c r="I128" s="199" t="e">
        <f t="shared" ref="I128:J135" si="85">AVERAGEIF($D$7:$D$121,$D128,I$7:I$121)</f>
        <v>#DIV/0!</v>
      </c>
      <c r="J128" s="199" t="e">
        <f t="shared" si="85"/>
        <v>#DIV/0!</v>
      </c>
      <c r="K128" s="199" t="e">
        <f t="shared" ref="K128:K135" si="86">AVERAGEIF($D$7:$D$121,$D128,K$7:K$121)</f>
        <v>#DIV/0!</v>
      </c>
      <c r="L128" s="630" t="e">
        <f>AVERAGE(K128:K142)</f>
        <v>#DIV/0!</v>
      </c>
      <c r="M128" s="199" t="e">
        <f>RANK(K128, K$128:$K$142)</f>
        <v>#DIV/0!</v>
      </c>
    </row>
    <row r="129" spans="2:39">
      <c r="B129" s="570"/>
      <c r="C129" s="315">
        <v>2</v>
      </c>
      <c r="D129" s="226"/>
      <c r="E129" s="182"/>
      <c r="F129" s="315"/>
      <c r="G129" s="318"/>
      <c r="H129" s="628"/>
      <c r="I129" s="199" t="e">
        <f t="shared" si="85"/>
        <v>#DIV/0!</v>
      </c>
      <c r="J129" s="199" t="e">
        <f t="shared" si="85"/>
        <v>#DIV/0!</v>
      </c>
      <c r="K129" s="199" t="e">
        <f t="shared" si="86"/>
        <v>#DIV/0!</v>
      </c>
      <c r="L129" s="631"/>
      <c r="M129" s="199" t="e">
        <f>RANK(K129, K$128:$K$142)</f>
        <v>#DIV/0!</v>
      </c>
      <c r="N129" s="108"/>
      <c r="O129" s="108"/>
      <c r="P129" s="108"/>
      <c r="Q129" s="108"/>
      <c r="R129" s="108"/>
      <c r="S129" s="108"/>
      <c r="T129" s="108"/>
      <c r="X129" s="108"/>
      <c r="AC129" s="108"/>
      <c r="AH129" s="108"/>
      <c r="AM129" s="108"/>
    </row>
    <row r="130" spans="2:39">
      <c r="B130" s="570"/>
      <c r="C130" s="315">
        <v>3</v>
      </c>
      <c r="D130" s="226"/>
      <c r="E130" s="182"/>
      <c r="F130" s="315"/>
      <c r="G130" s="318"/>
      <c r="H130" s="628"/>
      <c r="I130" s="199" t="e">
        <f t="shared" si="85"/>
        <v>#DIV/0!</v>
      </c>
      <c r="J130" s="199" t="e">
        <f t="shared" si="85"/>
        <v>#DIV/0!</v>
      </c>
      <c r="K130" s="199" t="e">
        <f t="shared" si="86"/>
        <v>#DIV/0!</v>
      </c>
      <c r="L130" s="631"/>
      <c r="M130" s="199" t="e">
        <f>RANK(K130, K$128:$K$142)</f>
        <v>#DIV/0!</v>
      </c>
      <c r="N130" s="108"/>
      <c r="O130" s="108"/>
      <c r="P130" s="108"/>
      <c r="Q130" s="108"/>
      <c r="R130" s="108"/>
      <c r="S130" s="108"/>
      <c r="T130" s="108"/>
      <c r="X130" s="108"/>
      <c r="AC130" s="108"/>
      <c r="AH130" s="108"/>
      <c r="AM130" s="108"/>
    </row>
    <row r="131" spans="2:39">
      <c r="B131" s="570"/>
      <c r="C131" s="315">
        <v>4</v>
      </c>
      <c r="D131" s="226"/>
      <c r="E131" s="182"/>
      <c r="F131" s="315"/>
      <c r="G131" s="318"/>
      <c r="H131" s="628"/>
      <c r="I131" s="199" t="e">
        <f t="shared" si="85"/>
        <v>#DIV/0!</v>
      </c>
      <c r="J131" s="199" t="e">
        <f t="shared" si="85"/>
        <v>#DIV/0!</v>
      </c>
      <c r="K131" s="199" t="e">
        <f t="shared" si="86"/>
        <v>#DIV/0!</v>
      </c>
      <c r="L131" s="631"/>
      <c r="M131" s="199" t="e">
        <f>RANK(K131, K$128:$K$142)</f>
        <v>#DIV/0!</v>
      </c>
      <c r="N131" s="108"/>
      <c r="O131" s="108"/>
      <c r="P131" s="108"/>
      <c r="Q131" s="108"/>
      <c r="R131" s="108"/>
      <c r="S131" s="108"/>
      <c r="T131" s="108"/>
      <c r="X131" s="108"/>
      <c r="AC131" s="108"/>
      <c r="AH131" s="108"/>
      <c r="AM131" s="108"/>
    </row>
    <row r="132" spans="2:39">
      <c r="B132" s="570"/>
      <c r="C132" s="315">
        <v>5</v>
      </c>
      <c r="D132" s="226"/>
      <c r="E132" s="182"/>
      <c r="F132" s="315"/>
      <c r="G132" s="318"/>
      <c r="H132" s="628"/>
      <c r="I132" s="199" t="e">
        <f t="shared" si="85"/>
        <v>#DIV/0!</v>
      </c>
      <c r="J132" s="199" t="e">
        <f t="shared" si="85"/>
        <v>#DIV/0!</v>
      </c>
      <c r="K132" s="199" t="e">
        <f t="shared" si="86"/>
        <v>#DIV/0!</v>
      </c>
      <c r="L132" s="631"/>
      <c r="M132" s="199" t="e">
        <f>RANK(K132, K$128:$K$142)</f>
        <v>#DIV/0!</v>
      </c>
      <c r="N132" s="108"/>
      <c r="O132" s="108"/>
      <c r="P132" s="108"/>
      <c r="Q132" s="108"/>
      <c r="R132" s="108"/>
      <c r="S132" s="108"/>
      <c r="T132" s="108"/>
      <c r="X132" s="108"/>
      <c r="AC132" s="108"/>
      <c r="AH132" s="108"/>
      <c r="AM132" s="108"/>
    </row>
    <row r="133" spans="2:39">
      <c r="B133" s="570"/>
      <c r="C133" s="315">
        <v>6</v>
      </c>
      <c r="D133" s="324"/>
      <c r="E133" s="182"/>
      <c r="F133" s="315"/>
      <c r="G133" s="318"/>
      <c r="H133" s="628"/>
      <c r="I133" s="199" t="e">
        <f t="shared" si="85"/>
        <v>#DIV/0!</v>
      </c>
      <c r="J133" s="199" t="e">
        <f t="shared" si="85"/>
        <v>#DIV/0!</v>
      </c>
      <c r="K133" s="199" t="e">
        <f t="shared" si="86"/>
        <v>#DIV/0!</v>
      </c>
      <c r="L133" s="631"/>
      <c r="M133" s="199" t="e">
        <f>RANK(K133, K$128:$K$142)</f>
        <v>#DIV/0!</v>
      </c>
      <c r="N133" s="108"/>
      <c r="O133" s="108"/>
      <c r="P133" s="108"/>
      <c r="Q133" s="108"/>
      <c r="R133" s="108"/>
      <c r="S133" s="108"/>
      <c r="T133" s="108"/>
      <c r="X133" s="108"/>
      <c r="AC133" s="108"/>
      <c r="AH133" s="108"/>
      <c r="AM133" s="108"/>
    </row>
    <row r="134" spans="2:39">
      <c r="B134" s="570"/>
      <c r="C134" s="315">
        <v>7</v>
      </c>
      <c r="D134" s="226"/>
      <c r="E134" s="182"/>
      <c r="F134" s="315"/>
      <c r="G134" s="318"/>
      <c r="H134" s="628"/>
      <c r="I134" s="199" t="e">
        <f t="shared" si="85"/>
        <v>#DIV/0!</v>
      </c>
      <c r="J134" s="199" t="e">
        <f t="shared" si="85"/>
        <v>#DIV/0!</v>
      </c>
      <c r="K134" s="199" t="e">
        <f t="shared" si="86"/>
        <v>#DIV/0!</v>
      </c>
      <c r="L134" s="631"/>
      <c r="M134" s="199" t="e">
        <f>RANK(K134, K$128:$K$142)</f>
        <v>#DIV/0!</v>
      </c>
      <c r="N134" s="108"/>
      <c r="O134" s="108"/>
      <c r="P134" s="108"/>
      <c r="Q134" s="108"/>
      <c r="R134" s="108"/>
      <c r="S134" s="108"/>
      <c r="T134" s="108"/>
      <c r="X134" s="108"/>
      <c r="AC134" s="108"/>
      <c r="AH134" s="108"/>
      <c r="AM134" s="108"/>
    </row>
    <row r="135" spans="2:39">
      <c r="B135" s="570"/>
      <c r="C135" s="315">
        <v>8</v>
      </c>
      <c r="D135" s="226"/>
      <c r="E135" s="182"/>
      <c r="F135" s="315"/>
      <c r="G135" s="318"/>
      <c r="H135" s="628"/>
      <c r="I135" s="199" t="e">
        <f t="shared" si="85"/>
        <v>#DIV/0!</v>
      </c>
      <c r="J135" s="199" t="e">
        <f t="shared" si="85"/>
        <v>#DIV/0!</v>
      </c>
      <c r="K135" s="199" t="e">
        <f t="shared" si="86"/>
        <v>#DIV/0!</v>
      </c>
      <c r="L135" s="631"/>
      <c r="M135" s="199" t="e">
        <f>RANK(K135, K$128:$K$142)</f>
        <v>#DIV/0!</v>
      </c>
      <c r="N135" s="108"/>
      <c r="O135" s="108"/>
      <c r="P135" s="108"/>
      <c r="Q135" s="108"/>
      <c r="R135" s="108"/>
      <c r="S135" s="108"/>
      <c r="T135" s="108"/>
      <c r="X135" s="108"/>
      <c r="AC135" s="108"/>
      <c r="AH135" s="108"/>
      <c r="AM135" s="108"/>
    </row>
    <row r="136" spans="2:39">
      <c r="B136" s="570"/>
      <c r="C136" s="315">
        <v>9</v>
      </c>
      <c r="D136" s="226"/>
      <c r="E136" s="315"/>
      <c r="F136" s="315"/>
      <c r="G136" s="315"/>
      <c r="H136" s="628"/>
      <c r="I136" s="199"/>
      <c r="J136" s="199"/>
      <c r="K136" s="199"/>
      <c r="L136" s="631"/>
      <c r="M136" s="199" t="e">
        <f>RANK(K136, K$128:$K$142)</f>
        <v>#DIV/0!</v>
      </c>
      <c r="N136" s="108"/>
      <c r="O136" s="108"/>
      <c r="P136" s="108"/>
      <c r="Q136" s="108"/>
      <c r="R136" s="108"/>
      <c r="S136" s="108"/>
      <c r="T136" s="108"/>
      <c r="X136" s="108"/>
      <c r="AC136" s="108"/>
      <c r="AH136" s="108"/>
      <c r="AM136" s="108"/>
    </row>
    <row r="137" spans="2:39">
      <c r="B137" s="570"/>
      <c r="C137" s="315">
        <v>10</v>
      </c>
      <c r="D137" s="226"/>
      <c r="E137" s="315"/>
      <c r="F137" s="315"/>
      <c r="G137" s="315"/>
      <c r="H137" s="628"/>
      <c r="I137" s="199"/>
      <c r="J137" s="199"/>
      <c r="K137" s="199"/>
      <c r="L137" s="631"/>
      <c r="M137" s="199" t="e">
        <f>RANK(K137, K$128:$K$142)</f>
        <v>#DIV/0!</v>
      </c>
      <c r="N137" s="108"/>
      <c r="O137" s="108"/>
      <c r="P137" s="108"/>
      <c r="Q137" s="108"/>
      <c r="R137" s="108"/>
      <c r="S137" s="108"/>
      <c r="T137" s="108"/>
      <c r="X137" s="108"/>
      <c r="AC137" s="108"/>
      <c r="AH137" s="108"/>
      <c r="AM137" s="108"/>
    </row>
    <row r="138" spans="2:39">
      <c r="B138" s="570"/>
      <c r="C138" s="315">
        <v>11</v>
      </c>
      <c r="D138" s="226"/>
      <c r="E138" s="315"/>
      <c r="F138" s="315"/>
      <c r="G138" s="315"/>
      <c r="H138" s="628"/>
      <c r="I138" s="199"/>
      <c r="J138" s="199"/>
      <c r="K138" s="199"/>
      <c r="L138" s="631"/>
      <c r="M138" s="199" t="e">
        <f>RANK(K138, K$128:$K$142)</f>
        <v>#DIV/0!</v>
      </c>
      <c r="N138" s="108"/>
      <c r="O138" s="108"/>
      <c r="P138" s="108"/>
      <c r="Q138" s="108"/>
      <c r="R138" s="108"/>
      <c r="S138" s="108"/>
      <c r="T138" s="108"/>
      <c r="X138" s="108"/>
      <c r="AC138" s="108"/>
      <c r="AH138" s="108"/>
      <c r="AM138" s="108"/>
    </row>
    <row r="139" spans="2:39">
      <c r="B139" s="570"/>
      <c r="C139" s="315">
        <v>12</v>
      </c>
      <c r="D139" s="226"/>
      <c r="E139" s="315"/>
      <c r="F139" s="315"/>
      <c r="G139" s="315"/>
      <c r="H139" s="628"/>
      <c r="I139" s="199"/>
      <c r="J139" s="199"/>
      <c r="K139" s="199"/>
      <c r="L139" s="631"/>
      <c r="M139" s="199" t="e">
        <f>RANK(K139, K$128:$K$142)</f>
        <v>#DIV/0!</v>
      </c>
      <c r="N139" s="108"/>
      <c r="O139" s="108"/>
      <c r="P139" s="108"/>
      <c r="Q139" s="108"/>
      <c r="R139" s="108"/>
      <c r="S139" s="108"/>
      <c r="T139" s="108"/>
      <c r="X139" s="108"/>
      <c r="AC139" s="108"/>
      <c r="AH139" s="108"/>
      <c r="AM139" s="108"/>
    </row>
    <row r="140" spans="2:39">
      <c r="B140" s="570"/>
      <c r="C140" s="315">
        <v>13</v>
      </c>
      <c r="D140" s="226"/>
      <c r="E140" s="315"/>
      <c r="F140" s="315"/>
      <c r="G140" s="315"/>
      <c r="H140" s="628"/>
      <c r="I140" s="199"/>
      <c r="J140" s="199"/>
      <c r="K140" s="199"/>
      <c r="L140" s="631"/>
      <c r="M140" s="199" t="e">
        <f>RANK(K140, K$128:$K$142)</f>
        <v>#DIV/0!</v>
      </c>
      <c r="N140" s="108"/>
      <c r="O140" s="108"/>
      <c r="P140" s="108"/>
      <c r="Q140" s="108"/>
      <c r="R140" s="108"/>
      <c r="S140" s="108"/>
      <c r="T140" s="108"/>
      <c r="X140" s="108"/>
      <c r="AC140" s="108"/>
      <c r="AH140" s="108"/>
      <c r="AM140" s="108"/>
    </row>
    <row r="141" spans="2:39">
      <c r="B141" s="570"/>
      <c r="C141" s="315">
        <v>14</v>
      </c>
      <c r="D141" s="226"/>
      <c r="E141" s="315"/>
      <c r="F141" s="315"/>
      <c r="G141" s="315"/>
      <c r="H141" s="628"/>
      <c r="I141" s="199"/>
      <c r="J141" s="199"/>
      <c r="K141" s="199"/>
      <c r="L141" s="631"/>
      <c r="M141" s="199" t="e">
        <f>RANK(K141, K$128:$K$142)</f>
        <v>#DIV/0!</v>
      </c>
      <c r="N141" s="108"/>
      <c r="O141" s="108"/>
      <c r="P141" s="108"/>
      <c r="Q141" s="108"/>
      <c r="R141" s="108"/>
      <c r="S141" s="108"/>
      <c r="T141" s="108"/>
      <c r="X141" s="108"/>
      <c r="AC141" s="108"/>
      <c r="AH141" s="108"/>
      <c r="AM141" s="108"/>
    </row>
    <row r="142" spans="2:39">
      <c r="B142" s="570"/>
      <c r="C142" s="315">
        <v>15</v>
      </c>
      <c r="D142" s="226"/>
      <c r="E142" s="315"/>
      <c r="F142" s="315"/>
      <c r="G142" s="315"/>
      <c r="H142" s="629"/>
      <c r="I142" s="199"/>
      <c r="J142" s="199"/>
      <c r="K142" s="199"/>
      <c r="L142" s="632"/>
      <c r="M142" s="199" t="e">
        <f>RANK(K142, K$128:$K$142)</f>
        <v>#DIV/0!</v>
      </c>
      <c r="N142" s="108"/>
      <c r="O142" s="108"/>
      <c r="P142" s="108"/>
      <c r="Q142" s="108"/>
      <c r="R142" s="108"/>
      <c r="S142" s="108"/>
      <c r="T142" s="108"/>
      <c r="X142" s="108"/>
      <c r="AC142" s="108"/>
      <c r="AH142" s="108"/>
      <c r="AM142" s="108"/>
    </row>
  </sheetData>
  <mergeCells count="379">
    <mergeCell ref="BA87:BA101"/>
    <mergeCell ref="BA104:BA106"/>
    <mergeCell ref="BA107:BA121"/>
    <mergeCell ref="BA4:BA6"/>
    <mergeCell ref="BA7:BA21"/>
    <mergeCell ref="BA24:BA26"/>
    <mergeCell ref="BA27:BA41"/>
    <mergeCell ref="BA44:BA46"/>
    <mergeCell ref="BA47:BA61"/>
    <mergeCell ref="BA64:BA66"/>
    <mergeCell ref="BA67:BA81"/>
    <mergeCell ref="BA84:BA86"/>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T22:AX22"/>
    <mergeCell ref="P23:T23"/>
    <mergeCell ref="U23:Y23"/>
    <mergeCell ref="Z23:AD23"/>
    <mergeCell ref="AE23:AI23"/>
    <mergeCell ref="AJ23:AN23"/>
    <mergeCell ref="AO23:AS23"/>
    <mergeCell ref="AT23:AX23"/>
    <mergeCell ref="AX7:AX21"/>
    <mergeCell ref="B22:H23"/>
    <mergeCell ref="N22:N23"/>
    <mergeCell ref="O22:O23"/>
    <mergeCell ref="P22:T22"/>
    <mergeCell ref="U22:Y22"/>
    <mergeCell ref="Z22:AD22"/>
    <mergeCell ref="AE22:AI22"/>
    <mergeCell ref="AJ22:AN22"/>
    <mergeCell ref="AO22:AS22"/>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102:H103"/>
    <mergeCell ref="N102:N103"/>
    <mergeCell ref="O102:O103"/>
    <mergeCell ref="P102:T102"/>
    <mergeCell ref="U102:Y102"/>
    <mergeCell ref="Z102:AD102"/>
    <mergeCell ref="AE102:AI102"/>
    <mergeCell ref="AJ102:AN102"/>
    <mergeCell ref="AO102:AS102"/>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s>
  <phoneticPr fontId="12" type="noConversion"/>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A142"/>
  <sheetViews>
    <sheetView topLeftCell="A13" zoomScale="55" zoomScaleNormal="55" workbookViewId="0">
      <pane xSplit="15" topLeftCell="P1" activePane="topRight" state="frozen"/>
      <selection activeCell="M7" sqref="M7:M21"/>
      <selection pane="topRight" activeCell="M47" sqref="M47:M61"/>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51" width="8.85546875" style="108"/>
    <col min="52" max="52" width="5.42578125" style="108" customWidth="1"/>
    <col min="53" max="53" width="13.140625" style="108" customWidth="1"/>
    <col min="54" max="16384" width="8.85546875" style="108"/>
  </cols>
  <sheetData>
    <row r="1" spans="1:53" ht="24">
      <c r="A1" s="75"/>
      <c r="B1" s="221" t="s">
        <v>314</v>
      </c>
      <c r="C1" s="220">
        <f>AVERAGE(L7,L27,L47,L67,L87,L107)</f>
        <v>85.457943200974114</v>
      </c>
    </row>
    <row r="2" spans="1:53" ht="15.75">
      <c r="A2" s="81"/>
      <c r="B2" s="593" t="s">
        <v>163</v>
      </c>
      <c r="C2" s="593"/>
      <c r="D2" s="593"/>
      <c r="E2" s="593"/>
      <c r="F2" s="593"/>
      <c r="G2" s="593"/>
      <c r="H2" s="593"/>
      <c r="I2" s="293"/>
      <c r="J2" s="293"/>
      <c r="K2" s="293"/>
      <c r="L2" s="293"/>
      <c r="M2" s="197"/>
      <c r="N2" s="566" t="s">
        <v>156</v>
      </c>
      <c r="O2" s="566" t="s">
        <v>155</v>
      </c>
      <c r="P2" s="605">
        <v>46140</v>
      </c>
      <c r="Q2" s="606"/>
      <c r="R2" s="606"/>
      <c r="S2" s="606"/>
      <c r="T2" s="607"/>
      <c r="U2" s="592">
        <f>P2+1</f>
        <v>46141</v>
      </c>
      <c r="V2" s="570"/>
      <c r="W2" s="570"/>
      <c r="X2" s="570"/>
      <c r="Y2" s="570"/>
      <c r="Z2" s="592">
        <f>U2+1</f>
        <v>46142</v>
      </c>
      <c r="AA2" s="570"/>
      <c r="AB2" s="570"/>
      <c r="AC2" s="570"/>
      <c r="AD2" s="570"/>
      <c r="AE2" s="592">
        <f>Z2+1</f>
        <v>46143</v>
      </c>
      <c r="AF2" s="570"/>
      <c r="AG2" s="570"/>
      <c r="AH2" s="570"/>
      <c r="AI2" s="570"/>
      <c r="AJ2" s="592">
        <f>AE2+1</f>
        <v>46144</v>
      </c>
      <c r="AK2" s="570"/>
      <c r="AL2" s="570"/>
      <c r="AM2" s="570"/>
      <c r="AN2" s="570"/>
      <c r="AO2" s="592">
        <f>AJ2+1</f>
        <v>46145</v>
      </c>
      <c r="AP2" s="570"/>
      <c r="AQ2" s="570"/>
      <c r="AR2" s="570"/>
      <c r="AS2" s="570"/>
      <c r="AT2" s="589">
        <f>AO2+1</f>
        <v>46146</v>
      </c>
      <c r="AU2" s="590"/>
      <c r="AV2" s="590"/>
      <c r="AW2" s="590"/>
      <c r="AX2" s="591"/>
    </row>
    <row r="3" spans="1:53" ht="15.75">
      <c r="A3" s="81"/>
      <c r="B3" s="601"/>
      <c r="C3" s="601"/>
      <c r="D3" s="601"/>
      <c r="E3" s="601"/>
      <c r="F3" s="601"/>
      <c r="G3" s="601"/>
      <c r="H3" s="601"/>
      <c r="I3" s="294"/>
      <c r="J3" s="294"/>
      <c r="K3" s="294"/>
      <c r="L3" s="294"/>
      <c r="M3" s="198"/>
      <c r="N3" s="568"/>
      <c r="O3" s="568"/>
      <c r="P3" s="589" t="s">
        <v>158</v>
      </c>
      <c r="Q3" s="590"/>
      <c r="R3" s="590"/>
      <c r="S3" s="590"/>
      <c r="T3" s="591"/>
      <c r="U3" s="589" t="s">
        <v>114</v>
      </c>
      <c r="V3" s="590"/>
      <c r="W3" s="590"/>
      <c r="X3" s="590"/>
      <c r="Y3" s="591"/>
      <c r="Z3" s="589" t="s">
        <v>159</v>
      </c>
      <c r="AA3" s="590"/>
      <c r="AB3" s="590"/>
      <c r="AC3" s="590"/>
      <c r="AD3" s="591"/>
      <c r="AE3" s="589" t="s">
        <v>157</v>
      </c>
      <c r="AF3" s="590"/>
      <c r="AG3" s="590"/>
      <c r="AH3" s="590"/>
      <c r="AI3" s="591"/>
      <c r="AJ3" s="589" t="s">
        <v>160</v>
      </c>
      <c r="AK3" s="590"/>
      <c r="AL3" s="590"/>
      <c r="AM3" s="590"/>
      <c r="AN3" s="591"/>
      <c r="AO3" s="589" t="s">
        <v>161</v>
      </c>
      <c r="AP3" s="590"/>
      <c r="AQ3" s="590"/>
      <c r="AR3" s="590"/>
      <c r="AS3" s="591"/>
      <c r="AT3" s="589" t="s">
        <v>162</v>
      </c>
      <c r="AU3" s="590"/>
      <c r="AV3" s="590"/>
      <c r="AW3" s="590"/>
      <c r="AX3" s="591"/>
    </row>
    <row r="4" spans="1:53" ht="14.25">
      <c r="A4" s="81"/>
      <c r="B4" s="564" t="s">
        <v>559</v>
      </c>
      <c r="C4" s="564" t="s">
        <v>387</v>
      </c>
      <c r="D4" s="564"/>
      <c r="E4" s="564" t="s">
        <v>378</v>
      </c>
      <c r="F4" s="564"/>
      <c r="G4" s="564"/>
      <c r="H4" s="597" t="s">
        <v>374</v>
      </c>
      <c r="I4" s="616" t="s">
        <v>379</v>
      </c>
      <c r="J4" s="616"/>
      <c r="K4" s="616"/>
      <c r="L4" s="617" t="s">
        <v>374</v>
      </c>
      <c r="M4" s="602" t="s">
        <v>375</v>
      </c>
      <c r="N4" s="564"/>
      <c r="O4" s="564" t="s">
        <v>380</v>
      </c>
      <c r="P4" s="583" t="s">
        <v>376</v>
      </c>
      <c r="Q4" s="584"/>
      <c r="R4" s="584"/>
      <c r="S4" s="585"/>
      <c r="T4" s="564" t="s">
        <v>374</v>
      </c>
      <c r="U4" s="583" t="s">
        <v>376</v>
      </c>
      <c r="V4" s="584"/>
      <c r="W4" s="584"/>
      <c r="X4" s="585"/>
      <c r="Y4" s="564" t="s">
        <v>374</v>
      </c>
      <c r="Z4" s="583" t="s">
        <v>376</v>
      </c>
      <c r="AA4" s="584"/>
      <c r="AB4" s="584"/>
      <c r="AC4" s="585"/>
      <c r="AD4" s="564" t="s">
        <v>374</v>
      </c>
      <c r="AE4" s="583" t="s">
        <v>376</v>
      </c>
      <c r="AF4" s="584"/>
      <c r="AG4" s="584"/>
      <c r="AH4" s="585"/>
      <c r="AI4" s="564" t="s">
        <v>374</v>
      </c>
      <c r="AJ4" s="583" t="s">
        <v>376</v>
      </c>
      <c r="AK4" s="584"/>
      <c r="AL4" s="584"/>
      <c r="AM4" s="585"/>
      <c r="AN4" s="564" t="s">
        <v>374</v>
      </c>
      <c r="AO4" s="583" t="s">
        <v>376</v>
      </c>
      <c r="AP4" s="584"/>
      <c r="AQ4" s="584"/>
      <c r="AR4" s="585"/>
      <c r="AS4" s="564" t="s">
        <v>374</v>
      </c>
      <c r="AT4" s="583" t="s">
        <v>376</v>
      </c>
      <c r="AU4" s="584"/>
      <c r="AV4" s="584"/>
      <c r="AW4" s="585"/>
      <c r="AX4" s="564" t="s">
        <v>374</v>
      </c>
      <c r="BA4" s="564" t="s">
        <v>374</v>
      </c>
    </row>
    <row r="5" spans="1:53" ht="14.25">
      <c r="A5" s="81"/>
      <c r="B5" s="564"/>
      <c r="C5" s="564"/>
      <c r="D5" s="564"/>
      <c r="E5" s="564" t="s">
        <v>381</v>
      </c>
      <c r="F5" s="564"/>
      <c r="G5" s="564"/>
      <c r="H5" s="598"/>
      <c r="I5" s="616" t="s">
        <v>381</v>
      </c>
      <c r="J5" s="616"/>
      <c r="K5" s="616"/>
      <c r="L5" s="618"/>
      <c r="M5" s="603"/>
      <c r="N5" s="564"/>
      <c r="O5" s="564"/>
      <c r="P5" s="583" t="s">
        <v>382</v>
      </c>
      <c r="Q5" s="584"/>
      <c r="R5" s="584"/>
      <c r="S5" s="585"/>
      <c r="T5" s="564"/>
      <c r="U5" s="583" t="s">
        <v>382</v>
      </c>
      <c r="V5" s="584"/>
      <c r="W5" s="584"/>
      <c r="X5" s="585"/>
      <c r="Y5" s="564"/>
      <c r="Z5" s="583" t="s">
        <v>382</v>
      </c>
      <c r="AA5" s="584"/>
      <c r="AB5" s="584"/>
      <c r="AC5" s="585"/>
      <c r="AD5" s="564"/>
      <c r="AE5" s="583" t="s">
        <v>382</v>
      </c>
      <c r="AF5" s="584"/>
      <c r="AG5" s="584"/>
      <c r="AH5" s="585"/>
      <c r="AI5" s="564"/>
      <c r="AJ5" s="583" t="s">
        <v>382</v>
      </c>
      <c r="AK5" s="584"/>
      <c r="AL5" s="584"/>
      <c r="AM5" s="585"/>
      <c r="AN5" s="564"/>
      <c r="AO5" s="583" t="s">
        <v>382</v>
      </c>
      <c r="AP5" s="584"/>
      <c r="AQ5" s="584"/>
      <c r="AR5" s="585"/>
      <c r="AS5" s="564"/>
      <c r="AT5" s="583" t="s">
        <v>382</v>
      </c>
      <c r="AU5" s="584"/>
      <c r="AV5" s="584"/>
      <c r="AW5" s="585"/>
      <c r="AX5" s="564"/>
      <c r="BA5" s="564"/>
    </row>
    <row r="6" spans="1:53" ht="14.25">
      <c r="A6" s="79"/>
      <c r="B6" s="564"/>
      <c r="C6" s="564"/>
      <c r="D6" s="564"/>
      <c r="E6" s="417" t="s">
        <v>383</v>
      </c>
      <c r="F6" s="417" t="s">
        <v>384</v>
      </c>
      <c r="G6" s="417" t="s">
        <v>385</v>
      </c>
      <c r="H6" s="599"/>
      <c r="I6" s="416" t="s">
        <v>383</v>
      </c>
      <c r="J6" s="416" t="s">
        <v>384</v>
      </c>
      <c r="K6" s="416" t="s">
        <v>385</v>
      </c>
      <c r="L6" s="619"/>
      <c r="M6" s="604"/>
      <c r="N6" s="564"/>
      <c r="O6" s="564"/>
      <c r="P6" s="417" t="s">
        <v>383</v>
      </c>
      <c r="Q6" s="417" t="s">
        <v>384</v>
      </c>
      <c r="R6" s="417" t="s">
        <v>385</v>
      </c>
      <c r="S6" s="417" t="s">
        <v>375</v>
      </c>
      <c r="T6" s="564"/>
      <c r="U6" s="417" t="s">
        <v>383</v>
      </c>
      <c r="V6" s="417" t="s">
        <v>384</v>
      </c>
      <c r="W6" s="417" t="s">
        <v>385</v>
      </c>
      <c r="X6" s="417" t="s">
        <v>375</v>
      </c>
      <c r="Y6" s="564"/>
      <c r="Z6" s="417" t="s">
        <v>383</v>
      </c>
      <c r="AA6" s="417" t="s">
        <v>384</v>
      </c>
      <c r="AB6" s="417" t="s">
        <v>385</v>
      </c>
      <c r="AC6" s="417" t="s">
        <v>375</v>
      </c>
      <c r="AD6" s="564"/>
      <c r="AE6" s="417" t="s">
        <v>383</v>
      </c>
      <c r="AF6" s="417" t="s">
        <v>384</v>
      </c>
      <c r="AG6" s="417" t="s">
        <v>385</v>
      </c>
      <c r="AH6" s="417" t="s">
        <v>375</v>
      </c>
      <c r="AI6" s="564"/>
      <c r="AJ6" s="417" t="s">
        <v>383</v>
      </c>
      <c r="AK6" s="417" t="s">
        <v>384</v>
      </c>
      <c r="AL6" s="417" t="s">
        <v>385</v>
      </c>
      <c r="AM6" s="417" t="s">
        <v>375</v>
      </c>
      <c r="AN6" s="564"/>
      <c r="AO6" s="417" t="s">
        <v>383</v>
      </c>
      <c r="AP6" s="417" t="s">
        <v>384</v>
      </c>
      <c r="AQ6" s="417" t="s">
        <v>385</v>
      </c>
      <c r="AR6" s="417" t="s">
        <v>375</v>
      </c>
      <c r="AS6" s="564"/>
      <c r="AT6" s="417" t="s">
        <v>383</v>
      </c>
      <c r="AU6" s="417" t="s">
        <v>384</v>
      </c>
      <c r="AV6" s="417" t="s">
        <v>385</v>
      </c>
      <c r="AW6" s="417" t="s">
        <v>375</v>
      </c>
      <c r="AX6" s="564"/>
      <c r="AZ6" s="406" t="s">
        <v>375</v>
      </c>
      <c r="BA6" s="564"/>
    </row>
    <row r="7" spans="1:53" ht="14.25">
      <c r="A7" s="81"/>
      <c r="B7" s="564" t="s">
        <v>135</v>
      </c>
      <c r="C7" s="418">
        <v>1</v>
      </c>
      <c r="D7" s="226" t="s">
        <v>528</v>
      </c>
      <c r="E7" s="425">
        <v>14</v>
      </c>
      <c r="F7" s="418">
        <v>1500</v>
      </c>
      <c r="G7" s="419">
        <v>107.1</v>
      </c>
      <c r="H7" s="627">
        <f>AVERAGE(G7:G21)</f>
        <v>100.13333333333333</v>
      </c>
      <c r="I7" s="422">
        <f t="shared" ref="I7:I20" si="0">IFERROR(AVERAGE(P7,U7,Z7,AE7,AJ7,AO7,AT7),"-")</f>
        <v>13.857142857142858</v>
      </c>
      <c r="J7" s="422">
        <f t="shared" ref="J7:J20" si="1">IFERROR(AVERAGE(Q7,V7,AA7,AF7,AK7,AP7,AU7),"-")</f>
        <v>1232.6819727891145</v>
      </c>
      <c r="K7" s="200">
        <f t="shared" ref="K7:K20" si="2">IFERROR(AVERAGE(R7,W7,AB7,AG7,AL7,AQ7,AV7),"-")</f>
        <v>89.042432907228729</v>
      </c>
      <c r="L7" s="580">
        <f>IFERROR(AVERAGE(K7:K21),"-")</f>
        <v>84.627176513924994</v>
      </c>
      <c r="M7" s="424">
        <f>RANK(K7, K$7:$K$21)</f>
        <v>1</v>
      </c>
      <c r="N7" s="564"/>
      <c r="O7" s="564"/>
      <c r="P7" s="418">
        <v>13</v>
      </c>
      <c r="Q7" s="425">
        <v>1265.9999999999995</v>
      </c>
      <c r="R7" s="425">
        <v>97.384615384615344</v>
      </c>
      <c r="S7" s="426">
        <f t="shared" ref="S7:S21" si="3">RANK(R7, R$7:R$21)</f>
        <v>1</v>
      </c>
      <c r="T7" s="645">
        <f t="shared" ref="T7" si="4">AVERAGE(R7:R21)</f>
        <v>86.786715097954016</v>
      </c>
      <c r="U7" s="418">
        <v>14</v>
      </c>
      <c r="V7" s="425">
        <v>1241.2499999999982</v>
      </c>
      <c r="W7" s="425">
        <v>88.66071428571415</v>
      </c>
      <c r="X7" s="426">
        <f t="shared" ref="X7:X21" si="5">RANK(W7, W$7:W$21)</f>
        <v>1</v>
      </c>
      <c r="Y7" s="645">
        <f t="shared" ref="Y7" si="6">AVERAGE(W7:W21)</f>
        <v>83.815259731692137</v>
      </c>
      <c r="Z7" s="418">
        <v>14</v>
      </c>
      <c r="AA7" s="425">
        <v>1259.9999999999973</v>
      </c>
      <c r="AB7" s="425">
        <v>89.999999999999801</v>
      </c>
      <c r="AC7" s="426">
        <f t="shared" ref="AC7:AC21" si="7">RANK(AB7, AB$7:AB$21)</f>
        <v>1</v>
      </c>
      <c r="AD7" s="645">
        <f t="shared" ref="AD7" si="8">AVERAGE(AB7:AB21)</f>
        <v>84.969573759153946</v>
      </c>
      <c r="AE7" s="418">
        <v>14</v>
      </c>
      <c r="AF7" s="425">
        <v>1207.9999999999977</v>
      </c>
      <c r="AG7" s="425">
        <v>86.285714285714121</v>
      </c>
      <c r="AH7" s="426">
        <f t="shared" ref="AH7:AH21" si="9">RANK(AG7, AG$7:AG$21)</f>
        <v>2</v>
      </c>
      <c r="AI7" s="645">
        <f t="shared" ref="AI7" si="10">AVERAGE(AG7:AG21)</f>
        <v>84.295569771320942</v>
      </c>
      <c r="AJ7" s="418">
        <v>14</v>
      </c>
      <c r="AK7" s="425">
        <v>1223.9999999999995</v>
      </c>
      <c r="AL7" s="425">
        <v>87.428571428571402</v>
      </c>
      <c r="AM7" s="426">
        <f t="shared" ref="AM7:AM21" si="11">RANK(AL7, AL$7:AL$21)</f>
        <v>2</v>
      </c>
      <c r="AN7" s="645">
        <f t="shared" ref="AN7" si="12">AVERAGE(AL7:AL21)</f>
        <v>85.093295509826802</v>
      </c>
      <c r="AO7" s="418">
        <v>14</v>
      </c>
      <c r="AP7" s="425">
        <v>1206.6666666666658</v>
      </c>
      <c r="AQ7" s="425">
        <v>86.190476190476133</v>
      </c>
      <c r="AR7" s="426">
        <f t="shared" ref="AR7:AR21" si="13">RANK(AQ7, AQ$7:AQ$21)</f>
        <v>3</v>
      </c>
      <c r="AS7" s="645">
        <f t="shared" ref="AS7" si="14">AVERAGE(AQ7:AQ21)</f>
        <v>83.926991371307267</v>
      </c>
      <c r="AT7" s="418">
        <v>14</v>
      </c>
      <c r="AU7" s="425">
        <v>1222.8571428571424</v>
      </c>
      <c r="AV7" s="425">
        <v>87.346938775510168</v>
      </c>
      <c r="AW7" s="426">
        <f t="shared" ref="AW7:AW21" si="15">RANK(AV7, AV$7:AV$21)</f>
        <v>1</v>
      </c>
      <c r="AX7" s="645">
        <f t="shared" ref="AX7" si="16">AVERAGE(AV7:AV21)</f>
        <v>83.502830356219761</v>
      </c>
      <c r="AZ7" s="409" t="e">
        <f t="shared" ref="AZ7:AZ21" si="17">RANK(AY7, AY$7:AY$21)</f>
        <v>#N/A</v>
      </c>
      <c r="BA7" s="645" t="e">
        <f t="shared" ref="BA7" si="18">AVERAGE(AY7:AY21)</f>
        <v>#DIV/0!</v>
      </c>
    </row>
    <row r="8" spans="1:53" ht="15" customHeight="1">
      <c r="A8" s="81"/>
      <c r="B8" s="600"/>
      <c r="C8" s="418">
        <v>2</v>
      </c>
      <c r="D8" s="226" t="s">
        <v>543</v>
      </c>
      <c r="E8" s="425">
        <v>16</v>
      </c>
      <c r="F8" s="418">
        <v>1636</v>
      </c>
      <c r="G8" s="419">
        <v>102.3</v>
      </c>
      <c r="H8" s="628"/>
      <c r="I8" s="422">
        <f t="shared" si="0"/>
        <v>17</v>
      </c>
      <c r="J8" s="422">
        <f t="shared" si="1"/>
        <v>1461.8758567461314</v>
      </c>
      <c r="K8" s="200">
        <f t="shared" si="2"/>
        <v>85.992697455654792</v>
      </c>
      <c r="L8" s="581"/>
      <c r="M8" s="424">
        <f>RANK(K8, K$7:$K$21)</f>
        <v>3</v>
      </c>
      <c r="N8" s="564"/>
      <c r="O8" s="564"/>
      <c r="P8" s="418">
        <v>17</v>
      </c>
      <c r="Q8" s="425">
        <v>1475.6065573770486</v>
      </c>
      <c r="R8" s="425">
        <v>86.800385728061684</v>
      </c>
      <c r="S8" s="426">
        <f t="shared" si="3"/>
        <v>5</v>
      </c>
      <c r="T8" s="646"/>
      <c r="U8" s="418">
        <v>17</v>
      </c>
      <c r="V8" s="425">
        <v>1433.8461538461547</v>
      </c>
      <c r="W8" s="425">
        <v>84.343891402714988</v>
      </c>
      <c r="X8" s="426">
        <f t="shared" si="5"/>
        <v>4</v>
      </c>
      <c r="Y8" s="646"/>
      <c r="Z8" s="418">
        <v>17</v>
      </c>
      <c r="AA8" s="425">
        <v>1478.1818181818189</v>
      </c>
      <c r="AB8" s="425">
        <v>86.951871657754054</v>
      </c>
      <c r="AC8" s="426">
        <f t="shared" si="7"/>
        <v>2</v>
      </c>
      <c r="AD8" s="646"/>
      <c r="AE8" s="418">
        <v>17</v>
      </c>
      <c r="AF8" s="425">
        <v>1466.2499999999995</v>
      </c>
      <c r="AG8" s="425">
        <v>86.249999999999972</v>
      </c>
      <c r="AH8" s="426">
        <f t="shared" si="9"/>
        <v>3</v>
      </c>
      <c r="AI8" s="646"/>
      <c r="AJ8" s="418">
        <v>17</v>
      </c>
      <c r="AK8" s="425">
        <v>1448.5714285714289</v>
      </c>
      <c r="AL8" s="425">
        <v>85.21008403361347</v>
      </c>
      <c r="AM8" s="426">
        <f t="shared" si="11"/>
        <v>5</v>
      </c>
      <c r="AN8" s="646"/>
      <c r="AO8" s="418">
        <v>17</v>
      </c>
      <c r="AP8" s="425">
        <v>1480.8791208791201</v>
      </c>
      <c r="AQ8" s="425">
        <v>87.110536522301189</v>
      </c>
      <c r="AR8" s="426">
        <f t="shared" si="13"/>
        <v>2</v>
      </c>
      <c r="AS8" s="646"/>
      <c r="AT8" s="418">
        <v>17</v>
      </c>
      <c r="AU8" s="425">
        <v>1449.7959183673472</v>
      </c>
      <c r="AV8" s="425">
        <v>85.282112845138073</v>
      </c>
      <c r="AW8" s="426">
        <f t="shared" si="15"/>
        <v>3</v>
      </c>
      <c r="AX8" s="646"/>
      <c r="AZ8" s="409" t="e">
        <f t="shared" si="17"/>
        <v>#N/A</v>
      </c>
      <c r="BA8" s="646"/>
    </row>
    <row r="9" spans="1:53" ht="14.25">
      <c r="A9" s="81"/>
      <c r="B9" s="600"/>
      <c r="C9" s="418">
        <v>3</v>
      </c>
      <c r="D9" s="226" t="s">
        <v>645</v>
      </c>
      <c r="E9" s="425">
        <v>17</v>
      </c>
      <c r="F9" s="418">
        <v>1500</v>
      </c>
      <c r="G9" s="419">
        <v>88.2</v>
      </c>
      <c r="H9" s="628"/>
      <c r="I9" s="422">
        <f t="shared" si="0"/>
        <v>17</v>
      </c>
      <c r="J9" s="422">
        <f t="shared" si="1"/>
        <v>1461.8580718043102</v>
      </c>
      <c r="K9" s="200">
        <f t="shared" si="2"/>
        <v>85.991651282606469</v>
      </c>
      <c r="L9" s="581"/>
      <c r="M9" s="424">
        <f>RANK(K9, K$7:$K$21)</f>
        <v>4</v>
      </c>
      <c r="N9" s="564"/>
      <c r="O9" s="564"/>
      <c r="P9" s="418">
        <v>17</v>
      </c>
      <c r="Q9" s="425">
        <v>1475.8095238095236</v>
      </c>
      <c r="R9" s="425">
        <v>86.812324929971979</v>
      </c>
      <c r="S9" s="426">
        <f t="shared" si="3"/>
        <v>4</v>
      </c>
      <c r="T9" s="646"/>
      <c r="U9" s="418">
        <v>17</v>
      </c>
      <c r="V9" s="425">
        <v>1471.2000000000005</v>
      </c>
      <c r="W9" s="425">
        <v>86.541176470588269</v>
      </c>
      <c r="X9" s="426">
        <f t="shared" si="5"/>
        <v>3</v>
      </c>
      <c r="Y9" s="646"/>
      <c r="Z9" s="418">
        <v>17</v>
      </c>
      <c r="AA9" s="425">
        <v>1449.6610169491528</v>
      </c>
      <c r="AB9" s="425">
        <v>85.274177467597227</v>
      </c>
      <c r="AC9" s="426">
        <f t="shared" si="7"/>
        <v>4</v>
      </c>
      <c r="AD9" s="646"/>
      <c r="AE9" s="418">
        <v>17</v>
      </c>
      <c r="AF9" s="425">
        <v>1445.238095238095</v>
      </c>
      <c r="AG9" s="425">
        <v>85.014005602240886</v>
      </c>
      <c r="AH9" s="426">
        <f t="shared" si="9"/>
        <v>5</v>
      </c>
      <c r="AI9" s="646"/>
      <c r="AJ9" s="418">
        <v>17</v>
      </c>
      <c r="AK9" s="425">
        <v>1471.3235294117649</v>
      </c>
      <c r="AL9" s="425">
        <v>86.548442906574408</v>
      </c>
      <c r="AM9" s="426">
        <f t="shared" si="11"/>
        <v>3</v>
      </c>
      <c r="AN9" s="646"/>
      <c r="AO9" s="418">
        <v>17</v>
      </c>
      <c r="AP9" s="425">
        <v>1462.2439024390244</v>
      </c>
      <c r="AQ9" s="425">
        <v>86.014347202295554</v>
      </c>
      <c r="AR9" s="426">
        <f t="shared" si="13"/>
        <v>4</v>
      </c>
      <c r="AS9" s="646"/>
      <c r="AT9" s="418">
        <v>17</v>
      </c>
      <c r="AU9" s="425">
        <v>1457.5304347826088</v>
      </c>
      <c r="AV9" s="425">
        <v>85.73708439897699</v>
      </c>
      <c r="AW9" s="426">
        <f t="shared" si="15"/>
        <v>2</v>
      </c>
      <c r="AX9" s="646"/>
      <c r="AZ9" s="409" t="e">
        <f t="shared" si="17"/>
        <v>#N/A</v>
      </c>
      <c r="BA9" s="646"/>
    </row>
    <row r="10" spans="1:53" ht="14.25">
      <c r="A10" s="81"/>
      <c r="B10" s="600"/>
      <c r="C10" s="418">
        <v>4</v>
      </c>
      <c r="D10" s="226" t="s">
        <v>656</v>
      </c>
      <c r="E10" s="425">
        <v>16</v>
      </c>
      <c r="F10" s="418">
        <v>1500</v>
      </c>
      <c r="G10" s="419">
        <v>93.8</v>
      </c>
      <c r="H10" s="628"/>
      <c r="I10" s="422">
        <f t="shared" si="0"/>
        <v>16.857142857142858</v>
      </c>
      <c r="J10" s="422">
        <f t="shared" si="1"/>
        <v>1285.9147019094016</v>
      </c>
      <c r="K10" s="200">
        <f t="shared" si="2"/>
        <v>76.312242440115</v>
      </c>
      <c r="L10" s="581"/>
      <c r="M10" s="424">
        <f>RANK(K10, K$7:$K$21)</f>
        <v>6</v>
      </c>
      <c r="N10" s="564"/>
      <c r="O10" s="564"/>
      <c r="P10" s="418">
        <v>17</v>
      </c>
      <c r="Q10" s="425">
        <v>1274.3823529411761</v>
      </c>
      <c r="R10" s="425">
        <v>74.96366782006919</v>
      </c>
      <c r="S10" s="426">
        <f t="shared" si="3"/>
        <v>6</v>
      </c>
      <c r="T10" s="646"/>
      <c r="U10" s="418">
        <v>17</v>
      </c>
      <c r="V10" s="425">
        <v>1280.7954545454545</v>
      </c>
      <c r="W10" s="425">
        <v>75.340909090909093</v>
      </c>
      <c r="X10" s="426">
        <f t="shared" si="5"/>
        <v>6</v>
      </c>
      <c r="Y10" s="646"/>
      <c r="Z10" s="418">
        <v>16</v>
      </c>
      <c r="AA10" s="425">
        <v>1276.062992125984</v>
      </c>
      <c r="AB10" s="425">
        <v>79.753937007874001</v>
      </c>
      <c r="AC10" s="426">
        <f t="shared" si="7"/>
        <v>6</v>
      </c>
      <c r="AD10" s="646"/>
      <c r="AE10" s="418">
        <v>17</v>
      </c>
      <c r="AF10" s="425">
        <v>1279.0322580645156</v>
      </c>
      <c r="AG10" s="425">
        <v>75.237191650853859</v>
      </c>
      <c r="AH10" s="426">
        <f t="shared" si="9"/>
        <v>6</v>
      </c>
      <c r="AI10" s="646"/>
      <c r="AJ10" s="418">
        <v>17</v>
      </c>
      <c r="AK10" s="425">
        <v>1295.8064516129036</v>
      </c>
      <c r="AL10" s="425">
        <v>76.223908918406096</v>
      </c>
      <c r="AM10" s="426">
        <f t="shared" si="11"/>
        <v>6</v>
      </c>
      <c r="AN10" s="646"/>
      <c r="AO10" s="418">
        <v>17</v>
      </c>
      <c r="AP10" s="425">
        <v>1303.3526011560698</v>
      </c>
      <c r="AQ10" s="425">
        <v>76.667800068004112</v>
      </c>
      <c r="AR10" s="426">
        <f t="shared" si="13"/>
        <v>6</v>
      </c>
      <c r="AS10" s="646"/>
      <c r="AT10" s="418">
        <v>17</v>
      </c>
      <c r="AU10" s="425">
        <v>1291.9708029197072</v>
      </c>
      <c r="AV10" s="425">
        <v>75.998282524688662</v>
      </c>
      <c r="AW10" s="426">
        <f t="shared" si="15"/>
        <v>6</v>
      </c>
      <c r="AX10" s="646"/>
      <c r="AZ10" s="409" t="e">
        <f t="shared" si="17"/>
        <v>#N/A</v>
      </c>
      <c r="BA10" s="646"/>
    </row>
    <row r="11" spans="1:53" ht="14.25">
      <c r="A11" s="81"/>
      <c r="B11" s="600"/>
      <c r="C11" s="418">
        <v>5</v>
      </c>
      <c r="D11" s="226" t="s">
        <v>642</v>
      </c>
      <c r="E11" s="425">
        <v>15</v>
      </c>
      <c r="F11" s="418">
        <v>1500</v>
      </c>
      <c r="G11" s="419">
        <v>107.1</v>
      </c>
      <c r="H11" s="628"/>
      <c r="I11" s="422">
        <f t="shared" si="0"/>
        <v>15.285714285714286</v>
      </c>
      <c r="J11" s="422">
        <f t="shared" si="1"/>
        <v>1323.8298448738115</v>
      </c>
      <c r="K11" s="200">
        <f t="shared" si="2"/>
        <v>86.647799182063622</v>
      </c>
      <c r="L11" s="581"/>
      <c r="M11" s="424">
        <f>RANK(K11, K$7:$K$21)</f>
        <v>2</v>
      </c>
      <c r="N11" s="564"/>
      <c r="O11" s="564"/>
      <c r="P11" s="418">
        <v>15</v>
      </c>
      <c r="Q11" s="425">
        <v>1317.7445255474454</v>
      </c>
      <c r="R11" s="425">
        <v>87.849635036496366</v>
      </c>
      <c r="S11" s="426">
        <f t="shared" si="3"/>
        <v>2</v>
      </c>
      <c r="T11" s="646"/>
      <c r="U11" s="418">
        <v>15</v>
      </c>
      <c r="V11" s="425">
        <v>1309.2857142857147</v>
      </c>
      <c r="W11" s="425">
        <v>87.285714285714306</v>
      </c>
      <c r="X11" s="426">
        <f t="shared" si="5"/>
        <v>2</v>
      </c>
      <c r="Y11" s="646"/>
      <c r="Z11" s="418">
        <v>15</v>
      </c>
      <c r="AA11" s="425">
        <v>1298.9702970297035</v>
      </c>
      <c r="AB11" s="425">
        <v>86.598019801980229</v>
      </c>
      <c r="AC11" s="426">
        <f t="shared" si="7"/>
        <v>3</v>
      </c>
      <c r="AD11" s="646"/>
      <c r="AE11" s="418">
        <v>15</v>
      </c>
      <c r="AF11" s="425">
        <v>1309.3398058252435</v>
      </c>
      <c r="AG11" s="425">
        <v>87.289320388349566</v>
      </c>
      <c r="AH11" s="426">
        <f t="shared" si="9"/>
        <v>1</v>
      </c>
      <c r="AI11" s="646"/>
      <c r="AJ11" s="418">
        <v>15</v>
      </c>
      <c r="AK11" s="425">
        <v>1330.8285714285712</v>
      </c>
      <c r="AL11" s="425">
        <v>88.721904761904753</v>
      </c>
      <c r="AM11" s="426">
        <f t="shared" si="11"/>
        <v>1</v>
      </c>
      <c r="AN11" s="646"/>
      <c r="AO11" s="418">
        <v>16</v>
      </c>
      <c r="AP11" s="425">
        <v>1398.040000000002</v>
      </c>
      <c r="AQ11" s="425">
        <v>87.377500000000126</v>
      </c>
      <c r="AR11" s="426">
        <f t="shared" si="13"/>
        <v>1</v>
      </c>
      <c r="AS11" s="646"/>
      <c r="AT11" s="418">
        <v>16</v>
      </c>
      <c r="AU11" s="425">
        <v>1302.5999999999997</v>
      </c>
      <c r="AV11" s="425">
        <v>81.41249999999998</v>
      </c>
      <c r="AW11" s="426">
        <f t="shared" si="15"/>
        <v>5</v>
      </c>
      <c r="AX11" s="646"/>
      <c r="AZ11" s="409" t="e">
        <f t="shared" si="17"/>
        <v>#N/A</v>
      </c>
      <c r="BA11" s="646"/>
    </row>
    <row r="12" spans="1:53" ht="14.25">
      <c r="A12" s="81"/>
      <c r="B12" s="600"/>
      <c r="C12" s="418">
        <v>6</v>
      </c>
      <c r="D12" s="226" t="s">
        <v>666</v>
      </c>
      <c r="E12" s="425">
        <v>17</v>
      </c>
      <c r="F12" s="418">
        <v>1636</v>
      </c>
      <c r="G12" s="419">
        <v>102.3</v>
      </c>
      <c r="H12" s="628"/>
      <c r="I12" s="422">
        <f t="shared" si="0"/>
        <v>17.428571428571427</v>
      </c>
      <c r="J12" s="422">
        <f t="shared" si="1"/>
        <v>1458.7902771155532</v>
      </c>
      <c r="K12" s="200">
        <f t="shared" si="2"/>
        <v>83.776235815881293</v>
      </c>
      <c r="L12" s="581"/>
      <c r="M12" s="424">
        <f>RANK(K12, K$7:$K$21)</f>
        <v>5</v>
      </c>
      <c r="N12" s="564"/>
      <c r="O12" s="564"/>
      <c r="P12" s="418">
        <v>17</v>
      </c>
      <c r="Q12" s="425">
        <v>1477.4642487046631</v>
      </c>
      <c r="R12" s="425">
        <v>86.909661688509587</v>
      </c>
      <c r="S12" s="426">
        <f t="shared" si="3"/>
        <v>3</v>
      </c>
      <c r="T12" s="646"/>
      <c r="U12" s="418">
        <v>18</v>
      </c>
      <c r="V12" s="425">
        <v>1452.9447513812156</v>
      </c>
      <c r="W12" s="425">
        <v>80.719152854511975</v>
      </c>
      <c r="X12" s="426">
        <f t="shared" si="5"/>
        <v>5</v>
      </c>
      <c r="Y12" s="646"/>
      <c r="Z12" s="418">
        <v>18</v>
      </c>
      <c r="AA12" s="425">
        <v>1462.3098591549297</v>
      </c>
      <c r="AB12" s="425">
        <v>81.239436619718319</v>
      </c>
      <c r="AC12" s="426">
        <f t="shared" si="7"/>
        <v>5</v>
      </c>
      <c r="AD12" s="646"/>
      <c r="AE12" s="418">
        <v>17</v>
      </c>
      <c r="AF12" s="425">
        <v>1456.8521739130433</v>
      </c>
      <c r="AG12" s="425">
        <v>85.697186700767247</v>
      </c>
      <c r="AH12" s="426">
        <f t="shared" si="9"/>
        <v>4</v>
      </c>
      <c r="AI12" s="646"/>
      <c r="AJ12" s="418">
        <v>17</v>
      </c>
      <c r="AK12" s="425">
        <v>1469.2566371681417</v>
      </c>
      <c r="AL12" s="425">
        <v>86.426861009890686</v>
      </c>
      <c r="AM12" s="426">
        <f t="shared" si="11"/>
        <v>4</v>
      </c>
      <c r="AN12" s="646"/>
      <c r="AO12" s="418">
        <v>18</v>
      </c>
      <c r="AP12" s="425">
        <v>1443.6231884057972</v>
      </c>
      <c r="AQ12" s="425">
        <v>80.201288244766516</v>
      </c>
      <c r="AR12" s="426">
        <f t="shared" si="13"/>
        <v>5</v>
      </c>
      <c r="AS12" s="646"/>
      <c r="AT12" s="418">
        <v>17</v>
      </c>
      <c r="AU12" s="425">
        <v>1449.0810810810808</v>
      </c>
      <c r="AV12" s="425">
        <v>85.240063593004749</v>
      </c>
      <c r="AW12" s="426">
        <f t="shared" si="15"/>
        <v>4</v>
      </c>
      <c r="AX12" s="646"/>
      <c r="AZ12" s="409" t="e">
        <f t="shared" si="17"/>
        <v>#N/A</v>
      </c>
      <c r="BA12" s="646"/>
    </row>
    <row r="13" spans="1:53" ht="14.25">
      <c r="A13" s="81"/>
      <c r="B13" s="600"/>
      <c r="C13" s="418">
        <v>7</v>
      </c>
      <c r="D13" s="226"/>
      <c r="E13" s="425"/>
      <c r="F13" s="418"/>
      <c r="G13" s="419"/>
      <c r="H13" s="628"/>
      <c r="I13" s="422" t="str">
        <f t="shared" si="0"/>
        <v>-</v>
      </c>
      <c r="J13" s="422" t="str">
        <f t="shared" si="1"/>
        <v>-</v>
      </c>
      <c r="K13" s="200" t="str">
        <f t="shared" si="2"/>
        <v>-</v>
      </c>
      <c r="L13" s="581"/>
      <c r="M13" s="424" t="e">
        <f>RANK(K13, K$7:$K$21)</f>
        <v>#VALUE!</v>
      </c>
      <c r="N13" s="564"/>
      <c r="O13" s="564"/>
      <c r="P13" s="418" t="s">
        <v>639</v>
      </c>
      <c r="Q13" s="425" t="s">
        <v>639</v>
      </c>
      <c r="R13" s="425" t="s">
        <v>639</v>
      </c>
      <c r="S13" s="426" t="e">
        <f t="shared" si="3"/>
        <v>#VALUE!</v>
      </c>
      <c r="T13" s="646"/>
      <c r="U13" s="418" t="s">
        <v>639</v>
      </c>
      <c r="V13" s="425" t="s">
        <v>639</v>
      </c>
      <c r="W13" s="425" t="s">
        <v>639</v>
      </c>
      <c r="X13" s="426" t="e">
        <f t="shared" si="5"/>
        <v>#VALUE!</v>
      </c>
      <c r="Y13" s="646"/>
      <c r="Z13" s="418" t="s">
        <v>639</v>
      </c>
      <c r="AA13" s="425" t="s">
        <v>639</v>
      </c>
      <c r="AB13" s="425" t="s">
        <v>639</v>
      </c>
      <c r="AC13" s="426" t="e">
        <f t="shared" si="7"/>
        <v>#VALUE!</v>
      </c>
      <c r="AD13" s="646"/>
      <c r="AE13" s="418" t="s">
        <v>639</v>
      </c>
      <c r="AF13" s="425" t="s">
        <v>639</v>
      </c>
      <c r="AG13" s="425" t="s">
        <v>639</v>
      </c>
      <c r="AH13" s="426" t="e">
        <f t="shared" si="9"/>
        <v>#VALUE!</v>
      </c>
      <c r="AI13" s="646"/>
      <c r="AJ13" s="418" t="s">
        <v>639</v>
      </c>
      <c r="AK13" s="425" t="s">
        <v>639</v>
      </c>
      <c r="AL13" s="425" t="s">
        <v>639</v>
      </c>
      <c r="AM13" s="426" t="e">
        <f t="shared" si="11"/>
        <v>#VALUE!</v>
      </c>
      <c r="AN13" s="646"/>
      <c r="AO13" s="418" t="s">
        <v>639</v>
      </c>
      <c r="AP13" s="425" t="s">
        <v>639</v>
      </c>
      <c r="AQ13" s="425" t="s">
        <v>639</v>
      </c>
      <c r="AR13" s="426" t="e">
        <f t="shared" si="13"/>
        <v>#VALUE!</v>
      </c>
      <c r="AS13" s="646"/>
      <c r="AT13" s="418" t="s">
        <v>639</v>
      </c>
      <c r="AU13" s="425" t="s">
        <v>639</v>
      </c>
      <c r="AV13" s="425" t="s">
        <v>639</v>
      </c>
      <c r="AW13" s="426" t="e">
        <f t="shared" si="15"/>
        <v>#VALUE!</v>
      </c>
      <c r="AX13" s="646"/>
      <c r="AZ13" s="409" t="e">
        <f t="shared" si="17"/>
        <v>#N/A</v>
      </c>
      <c r="BA13" s="646"/>
    </row>
    <row r="14" spans="1:53" ht="14.25">
      <c r="A14" s="81"/>
      <c r="B14" s="600"/>
      <c r="C14" s="418">
        <v>8</v>
      </c>
      <c r="D14" s="226"/>
      <c r="E14" s="425"/>
      <c r="F14" s="418"/>
      <c r="G14" s="419"/>
      <c r="H14" s="628"/>
      <c r="I14" s="422" t="str">
        <f t="shared" si="0"/>
        <v>-</v>
      </c>
      <c r="J14" s="422" t="str">
        <f t="shared" si="1"/>
        <v>-</v>
      </c>
      <c r="K14" s="200" t="str">
        <f t="shared" si="2"/>
        <v>-</v>
      </c>
      <c r="L14" s="581"/>
      <c r="M14" s="424" t="e">
        <f>RANK(K14, K$7:$K$21)</f>
        <v>#VALUE!</v>
      </c>
      <c r="N14" s="564"/>
      <c r="O14" s="564"/>
      <c r="P14" s="418" t="s">
        <v>639</v>
      </c>
      <c r="Q14" s="425" t="s">
        <v>639</v>
      </c>
      <c r="R14" s="425" t="s">
        <v>639</v>
      </c>
      <c r="S14" s="426" t="e">
        <f t="shared" si="3"/>
        <v>#VALUE!</v>
      </c>
      <c r="T14" s="646"/>
      <c r="U14" s="418" t="s">
        <v>639</v>
      </c>
      <c r="V14" s="425" t="s">
        <v>639</v>
      </c>
      <c r="W14" s="425" t="s">
        <v>639</v>
      </c>
      <c r="X14" s="426" t="e">
        <f t="shared" si="5"/>
        <v>#VALUE!</v>
      </c>
      <c r="Y14" s="646"/>
      <c r="Z14" s="418" t="s">
        <v>639</v>
      </c>
      <c r="AA14" s="425" t="s">
        <v>639</v>
      </c>
      <c r="AB14" s="425" t="s">
        <v>639</v>
      </c>
      <c r="AC14" s="426" t="e">
        <f t="shared" si="7"/>
        <v>#VALUE!</v>
      </c>
      <c r="AD14" s="646"/>
      <c r="AE14" s="418" t="s">
        <v>639</v>
      </c>
      <c r="AF14" s="425" t="s">
        <v>639</v>
      </c>
      <c r="AG14" s="425" t="s">
        <v>639</v>
      </c>
      <c r="AH14" s="426" t="e">
        <f t="shared" si="9"/>
        <v>#VALUE!</v>
      </c>
      <c r="AI14" s="646"/>
      <c r="AJ14" s="418" t="s">
        <v>639</v>
      </c>
      <c r="AK14" s="425" t="s">
        <v>639</v>
      </c>
      <c r="AL14" s="425" t="s">
        <v>639</v>
      </c>
      <c r="AM14" s="426" t="e">
        <f t="shared" si="11"/>
        <v>#VALUE!</v>
      </c>
      <c r="AN14" s="646"/>
      <c r="AO14" s="418" t="s">
        <v>639</v>
      </c>
      <c r="AP14" s="425" t="s">
        <v>639</v>
      </c>
      <c r="AQ14" s="425" t="s">
        <v>639</v>
      </c>
      <c r="AR14" s="426" t="e">
        <f t="shared" si="13"/>
        <v>#VALUE!</v>
      </c>
      <c r="AS14" s="646"/>
      <c r="AT14" s="418" t="s">
        <v>639</v>
      </c>
      <c r="AU14" s="425" t="s">
        <v>639</v>
      </c>
      <c r="AV14" s="425" t="s">
        <v>639</v>
      </c>
      <c r="AW14" s="426" t="e">
        <f t="shared" si="15"/>
        <v>#VALUE!</v>
      </c>
      <c r="AX14" s="646"/>
      <c r="AZ14" s="409" t="e">
        <f t="shared" si="17"/>
        <v>#N/A</v>
      </c>
      <c r="BA14" s="646"/>
    </row>
    <row r="15" spans="1:53" ht="14.25">
      <c r="A15" s="81"/>
      <c r="B15" s="600"/>
      <c r="C15" s="418">
        <v>9</v>
      </c>
      <c r="D15" s="226"/>
      <c r="E15" s="425"/>
      <c r="F15" s="418"/>
      <c r="G15" s="419"/>
      <c r="H15" s="628"/>
      <c r="I15" s="422" t="str">
        <f t="shared" si="0"/>
        <v>-</v>
      </c>
      <c r="J15" s="422" t="str">
        <f t="shared" si="1"/>
        <v>-</v>
      </c>
      <c r="K15" s="200" t="str">
        <f t="shared" si="2"/>
        <v>-</v>
      </c>
      <c r="L15" s="581"/>
      <c r="M15" s="424" t="e">
        <f>RANK(K15, K$7:$K$21)</f>
        <v>#VALUE!</v>
      </c>
      <c r="N15" s="564"/>
      <c r="O15" s="564"/>
      <c r="P15" s="418" t="s">
        <v>639</v>
      </c>
      <c r="Q15" s="425" t="s">
        <v>639</v>
      </c>
      <c r="R15" s="425" t="s">
        <v>639</v>
      </c>
      <c r="S15" s="426" t="e">
        <f t="shared" si="3"/>
        <v>#VALUE!</v>
      </c>
      <c r="T15" s="646"/>
      <c r="U15" s="418" t="s">
        <v>639</v>
      </c>
      <c r="V15" s="425" t="s">
        <v>639</v>
      </c>
      <c r="W15" s="425" t="s">
        <v>639</v>
      </c>
      <c r="X15" s="426" t="e">
        <f t="shared" si="5"/>
        <v>#VALUE!</v>
      </c>
      <c r="Y15" s="646"/>
      <c r="Z15" s="418" t="s">
        <v>639</v>
      </c>
      <c r="AA15" s="425" t="s">
        <v>639</v>
      </c>
      <c r="AB15" s="425" t="s">
        <v>639</v>
      </c>
      <c r="AC15" s="426" t="e">
        <f t="shared" si="7"/>
        <v>#VALUE!</v>
      </c>
      <c r="AD15" s="646"/>
      <c r="AE15" s="418" t="s">
        <v>639</v>
      </c>
      <c r="AF15" s="425" t="s">
        <v>639</v>
      </c>
      <c r="AG15" s="425" t="s">
        <v>639</v>
      </c>
      <c r="AH15" s="426" t="e">
        <f t="shared" si="9"/>
        <v>#VALUE!</v>
      </c>
      <c r="AI15" s="646"/>
      <c r="AJ15" s="418" t="s">
        <v>639</v>
      </c>
      <c r="AK15" s="425" t="s">
        <v>639</v>
      </c>
      <c r="AL15" s="425" t="s">
        <v>639</v>
      </c>
      <c r="AM15" s="426" t="e">
        <f t="shared" si="11"/>
        <v>#VALUE!</v>
      </c>
      <c r="AN15" s="646"/>
      <c r="AO15" s="418" t="s">
        <v>639</v>
      </c>
      <c r="AP15" s="425" t="s">
        <v>639</v>
      </c>
      <c r="AQ15" s="425" t="s">
        <v>639</v>
      </c>
      <c r="AR15" s="426" t="e">
        <f t="shared" si="13"/>
        <v>#VALUE!</v>
      </c>
      <c r="AS15" s="646"/>
      <c r="AT15" s="418" t="s">
        <v>639</v>
      </c>
      <c r="AU15" s="425" t="s">
        <v>639</v>
      </c>
      <c r="AV15" s="425" t="s">
        <v>639</v>
      </c>
      <c r="AW15" s="426" t="e">
        <f t="shared" si="15"/>
        <v>#VALUE!</v>
      </c>
      <c r="AX15" s="646"/>
      <c r="AZ15" s="409" t="e">
        <f t="shared" si="17"/>
        <v>#N/A</v>
      </c>
      <c r="BA15" s="646"/>
    </row>
    <row r="16" spans="1:53" ht="14.25">
      <c r="A16" s="81"/>
      <c r="B16" s="600"/>
      <c r="C16" s="418">
        <v>10</v>
      </c>
      <c r="D16" s="226"/>
      <c r="E16" s="425"/>
      <c r="F16" s="418"/>
      <c r="G16" s="419"/>
      <c r="H16" s="628"/>
      <c r="I16" s="422" t="str">
        <f t="shared" si="0"/>
        <v>-</v>
      </c>
      <c r="J16" s="422" t="str">
        <f t="shared" si="1"/>
        <v>-</v>
      </c>
      <c r="K16" s="200" t="str">
        <f t="shared" si="2"/>
        <v>-</v>
      </c>
      <c r="L16" s="581"/>
      <c r="M16" s="424" t="e">
        <f>RANK(K16, K$7:$K$21)</f>
        <v>#VALUE!</v>
      </c>
      <c r="N16" s="564"/>
      <c r="O16" s="564"/>
      <c r="P16" s="418" t="s">
        <v>639</v>
      </c>
      <c r="Q16" s="425" t="s">
        <v>639</v>
      </c>
      <c r="R16" s="425" t="s">
        <v>639</v>
      </c>
      <c r="S16" s="426" t="e">
        <f t="shared" si="3"/>
        <v>#VALUE!</v>
      </c>
      <c r="T16" s="646"/>
      <c r="U16" s="418" t="s">
        <v>639</v>
      </c>
      <c r="V16" s="425" t="s">
        <v>639</v>
      </c>
      <c r="W16" s="425" t="s">
        <v>639</v>
      </c>
      <c r="X16" s="426" t="e">
        <f t="shared" si="5"/>
        <v>#VALUE!</v>
      </c>
      <c r="Y16" s="646"/>
      <c r="Z16" s="418" t="s">
        <v>639</v>
      </c>
      <c r="AA16" s="425" t="s">
        <v>639</v>
      </c>
      <c r="AB16" s="425" t="s">
        <v>639</v>
      </c>
      <c r="AC16" s="426" t="e">
        <f t="shared" si="7"/>
        <v>#VALUE!</v>
      </c>
      <c r="AD16" s="646"/>
      <c r="AE16" s="418" t="s">
        <v>639</v>
      </c>
      <c r="AF16" s="425" t="s">
        <v>639</v>
      </c>
      <c r="AG16" s="425" t="s">
        <v>639</v>
      </c>
      <c r="AH16" s="426" t="e">
        <f t="shared" si="9"/>
        <v>#VALUE!</v>
      </c>
      <c r="AI16" s="646"/>
      <c r="AJ16" s="418" t="s">
        <v>639</v>
      </c>
      <c r="AK16" s="425" t="s">
        <v>639</v>
      </c>
      <c r="AL16" s="425" t="s">
        <v>639</v>
      </c>
      <c r="AM16" s="426" t="e">
        <f t="shared" si="11"/>
        <v>#VALUE!</v>
      </c>
      <c r="AN16" s="646"/>
      <c r="AO16" s="418" t="s">
        <v>639</v>
      </c>
      <c r="AP16" s="425" t="s">
        <v>639</v>
      </c>
      <c r="AQ16" s="425" t="s">
        <v>639</v>
      </c>
      <c r="AR16" s="426" t="e">
        <f t="shared" si="13"/>
        <v>#VALUE!</v>
      </c>
      <c r="AS16" s="646"/>
      <c r="AT16" s="418" t="s">
        <v>639</v>
      </c>
      <c r="AU16" s="425" t="s">
        <v>639</v>
      </c>
      <c r="AV16" s="425" t="s">
        <v>639</v>
      </c>
      <c r="AW16" s="426" t="e">
        <f t="shared" si="15"/>
        <v>#VALUE!</v>
      </c>
      <c r="AX16" s="646"/>
      <c r="AZ16" s="409" t="e">
        <f t="shared" si="17"/>
        <v>#N/A</v>
      </c>
      <c r="BA16" s="646"/>
    </row>
    <row r="17" spans="2:53">
      <c r="B17" s="600"/>
      <c r="C17" s="418">
        <v>11</v>
      </c>
      <c r="D17" s="226"/>
      <c r="E17" s="425"/>
      <c r="F17" s="418"/>
      <c r="G17" s="419"/>
      <c r="H17" s="628"/>
      <c r="I17" s="422" t="str">
        <f t="shared" si="0"/>
        <v>-</v>
      </c>
      <c r="J17" s="422" t="str">
        <f t="shared" si="1"/>
        <v>-</v>
      </c>
      <c r="K17" s="200" t="str">
        <f t="shared" si="2"/>
        <v>-</v>
      </c>
      <c r="L17" s="581"/>
      <c r="M17" s="424" t="e">
        <f>RANK(K17, K$7:$K$21)</f>
        <v>#VALUE!</v>
      </c>
      <c r="N17" s="564"/>
      <c r="O17" s="564"/>
      <c r="P17" s="418" t="s">
        <v>639</v>
      </c>
      <c r="Q17" s="425" t="s">
        <v>639</v>
      </c>
      <c r="R17" s="425" t="s">
        <v>639</v>
      </c>
      <c r="S17" s="426" t="e">
        <f t="shared" si="3"/>
        <v>#VALUE!</v>
      </c>
      <c r="T17" s="646"/>
      <c r="U17" s="418" t="s">
        <v>639</v>
      </c>
      <c r="V17" s="425" t="s">
        <v>639</v>
      </c>
      <c r="W17" s="425" t="s">
        <v>639</v>
      </c>
      <c r="X17" s="426" t="e">
        <f t="shared" si="5"/>
        <v>#VALUE!</v>
      </c>
      <c r="Y17" s="646"/>
      <c r="Z17" s="418" t="s">
        <v>639</v>
      </c>
      <c r="AA17" s="425" t="s">
        <v>639</v>
      </c>
      <c r="AB17" s="425" t="s">
        <v>639</v>
      </c>
      <c r="AC17" s="426" t="e">
        <f t="shared" si="7"/>
        <v>#VALUE!</v>
      </c>
      <c r="AD17" s="646"/>
      <c r="AE17" s="418" t="s">
        <v>639</v>
      </c>
      <c r="AF17" s="425" t="s">
        <v>639</v>
      </c>
      <c r="AG17" s="425" t="s">
        <v>639</v>
      </c>
      <c r="AH17" s="426" t="e">
        <f t="shared" si="9"/>
        <v>#VALUE!</v>
      </c>
      <c r="AI17" s="646"/>
      <c r="AJ17" s="418" t="s">
        <v>639</v>
      </c>
      <c r="AK17" s="425" t="s">
        <v>639</v>
      </c>
      <c r="AL17" s="425" t="s">
        <v>639</v>
      </c>
      <c r="AM17" s="426" t="e">
        <f t="shared" si="11"/>
        <v>#VALUE!</v>
      </c>
      <c r="AN17" s="646"/>
      <c r="AO17" s="418" t="s">
        <v>639</v>
      </c>
      <c r="AP17" s="425" t="s">
        <v>639</v>
      </c>
      <c r="AQ17" s="425" t="s">
        <v>639</v>
      </c>
      <c r="AR17" s="426" t="e">
        <f t="shared" si="13"/>
        <v>#VALUE!</v>
      </c>
      <c r="AS17" s="646"/>
      <c r="AT17" s="418" t="s">
        <v>639</v>
      </c>
      <c r="AU17" s="425" t="s">
        <v>639</v>
      </c>
      <c r="AV17" s="425" t="s">
        <v>639</v>
      </c>
      <c r="AW17" s="426" t="e">
        <f t="shared" si="15"/>
        <v>#VALUE!</v>
      </c>
      <c r="AX17" s="646"/>
      <c r="AZ17" s="409" t="e">
        <f t="shared" si="17"/>
        <v>#N/A</v>
      </c>
      <c r="BA17" s="646"/>
    </row>
    <row r="18" spans="2:53">
      <c r="B18" s="600"/>
      <c r="C18" s="418">
        <v>12</v>
      </c>
      <c r="D18" s="226"/>
      <c r="E18" s="425"/>
      <c r="F18" s="418"/>
      <c r="G18" s="419"/>
      <c r="H18" s="628"/>
      <c r="I18" s="422" t="str">
        <f t="shared" si="0"/>
        <v>-</v>
      </c>
      <c r="J18" s="422" t="str">
        <f t="shared" si="1"/>
        <v>-</v>
      </c>
      <c r="K18" s="200" t="str">
        <f t="shared" si="2"/>
        <v>-</v>
      </c>
      <c r="L18" s="581"/>
      <c r="M18" s="424" t="e">
        <f>RANK(K18, K$7:$K$21)</f>
        <v>#VALUE!</v>
      </c>
      <c r="N18" s="564"/>
      <c r="O18" s="564"/>
      <c r="P18" s="418" t="s">
        <v>639</v>
      </c>
      <c r="Q18" s="425" t="s">
        <v>639</v>
      </c>
      <c r="R18" s="425" t="s">
        <v>639</v>
      </c>
      <c r="S18" s="426" t="e">
        <f t="shared" si="3"/>
        <v>#VALUE!</v>
      </c>
      <c r="T18" s="646"/>
      <c r="U18" s="418" t="s">
        <v>639</v>
      </c>
      <c r="V18" s="425" t="s">
        <v>639</v>
      </c>
      <c r="W18" s="425" t="s">
        <v>639</v>
      </c>
      <c r="X18" s="426" t="e">
        <f t="shared" si="5"/>
        <v>#VALUE!</v>
      </c>
      <c r="Y18" s="646"/>
      <c r="Z18" s="418" t="s">
        <v>639</v>
      </c>
      <c r="AA18" s="425" t="s">
        <v>639</v>
      </c>
      <c r="AB18" s="425" t="s">
        <v>639</v>
      </c>
      <c r="AC18" s="426" t="e">
        <f t="shared" si="7"/>
        <v>#VALUE!</v>
      </c>
      <c r="AD18" s="646"/>
      <c r="AE18" s="418" t="s">
        <v>639</v>
      </c>
      <c r="AF18" s="425" t="s">
        <v>639</v>
      </c>
      <c r="AG18" s="425" t="s">
        <v>639</v>
      </c>
      <c r="AH18" s="426" t="e">
        <f t="shared" si="9"/>
        <v>#VALUE!</v>
      </c>
      <c r="AI18" s="646"/>
      <c r="AJ18" s="418" t="s">
        <v>639</v>
      </c>
      <c r="AK18" s="425" t="s">
        <v>639</v>
      </c>
      <c r="AL18" s="425" t="s">
        <v>639</v>
      </c>
      <c r="AM18" s="426" t="e">
        <f t="shared" si="11"/>
        <v>#VALUE!</v>
      </c>
      <c r="AN18" s="646"/>
      <c r="AO18" s="418" t="s">
        <v>639</v>
      </c>
      <c r="AP18" s="425" t="s">
        <v>639</v>
      </c>
      <c r="AQ18" s="425" t="s">
        <v>639</v>
      </c>
      <c r="AR18" s="426" t="e">
        <f t="shared" si="13"/>
        <v>#VALUE!</v>
      </c>
      <c r="AS18" s="646"/>
      <c r="AT18" s="418"/>
      <c r="AU18" s="425"/>
      <c r="AV18" s="425"/>
      <c r="AW18" s="426" t="e">
        <f t="shared" si="15"/>
        <v>#N/A</v>
      </c>
      <c r="AX18" s="646"/>
      <c r="AZ18" s="409" t="e">
        <f t="shared" si="17"/>
        <v>#N/A</v>
      </c>
      <c r="BA18" s="646"/>
    </row>
    <row r="19" spans="2:53">
      <c r="B19" s="600"/>
      <c r="C19" s="418">
        <v>13</v>
      </c>
      <c r="D19" s="226"/>
      <c r="E19" s="425"/>
      <c r="F19" s="418"/>
      <c r="G19" s="419"/>
      <c r="H19" s="628"/>
      <c r="I19" s="422" t="str">
        <f t="shared" si="0"/>
        <v>-</v>
      </c>
      <c r="J19" s="422" t="str">
        <f t="shared" si="1"/>
        <v>-</v>
      </c>
      <c r="K19" s="200" t="str">
        <f t="shared" si="2"/>
        <v>-</v>
      </c>
      <c r="L19" s="581"/>
      <c r="M19" s="424" t="e">
        <f>RANK(K19, K$7:$K$21)</f>
        <v>#VALUE!</v>
      </c>
      <c r="N19" s="564"/>
      <c r="O19" s="564"/>
      <c r="P19" s="418" t="s">
        <v>639</v>
      </c>
      <c r="Q19" s="425" t="s">
        <v>639</v>
      </c>
      <c r="R19" s="425" t="s">
        <v>639</v>
      </c>
      <c r="S19" s="426" t="e">
        <f t="shared" si="3"/>
        <v>#VALUE!</v>
      </c>
      <c r="T19" s="646"/>
      <c r="U19" s="418" t="s">
        <v>639</v>
      </c>
      <c r="V19" s="425" t="s">
        <v>639</v>
      </c>
      <c r="W19" s="425" t="s">
        <v>639</v>
      </c>
      <c r="X19" s="426" t="e">
        <f t="shared" si="5"/>
        <v>#VALUE!</v>
      </c>
      <c r="Y19" s="646"/>
      <c r="Z19" s="418" t="s">
        <v>639</v>
      </c>
      <c r="AA19" s="425" t="s">
        <v>639</v>
      </c>
      <c r="AB19" s="425" t="s">
        <v>639</v>
      </c>
      <c r="AC19" s="426" t="e">
        <f t="shared" si="7"/>
        <v>#VALUE!</v>
      </c>
      <c r="AD19" s="646"/>
      <c r="AE19" s="418" t="s">
        <v>639</v>
      </c>
      <c r="AF19" s="425" t="s">
        <v>639</v>
      </c>
      <c r="AG19" s="425" t="s">
        <v>639</v>
      </c>
      <c r="AH19" s="426" t="e">
        <f t="shared" si="9"/>
        <v>#VALUE!</v>
      </c>
      <c r="AI19" s="646"/>
      <c r="AJ19" s="418" t="s">
        <v>639</v>
      </c>
      <c r="AK19" s="425" t="s">
        <v>639</v>
      </c>
      <c r="AL19" s="425" t="s">
        <v>639</v>
      </c>
      <c r="AM19" s="426" t="e">
        <f t="shared" si="11"/>
        <v>#VALUE!</v>
      </c>
      <c r="AN19" s="646"/>
      <c r="AO19" s="418" t="s">
        <v>639</v>
      </c>
      <c r="AP19" s="425" t="s">
        <v>639</v>
      </c>
      <c r="AQ19" s="425" t="s">
        <v>639</v>
      </c>
      <c r="AR19" s="426" t="e">
        <f t="shared" si="13"/>
        <v>#VALUE!</v>
      </c>
      <c r="AS19" s="646"/>
      <c r="AT19" s="425"/>
      <c r="AU19" s="425"/>
      <c r="AV19" s="425"/>
      <c r="AW19" s="426" t="e">
        <f t="shared" si="15"/>
        <v>#N/A</v>
      </c>
      <c r="AX19" s="646"/>
      <c r="AZ19" s="409" t="e">
        <f t="shared" si="17"/>
        <v>#N/A</v>
      </c>
      <c r="BA19" s="646"/>
    </row>
    <row r="20" spans="2:53">
      <c r="B20" s="600"/>
      <c r="C20" s="418">
        <v>14</v>
      </c>
      <c r="D20" s="226"/>
      <c r="E20" s="425"/>
      <c r="F20" s="418"/>
      <c r="G20" s="419"/>
      <c r="H20" s="628"/>
      <c r="I20" s="422" t="str">
        <f t="shared" si="0"/>
        <v>-</v>
      </c>
      <c r="J20" s="422" t="str">
        <f t="shared" si="1"/>
        <v>-</v>
      </c>
      <c r="K20" s="200" t="str">
        <f t="shared" si="2"/>
        <v>-</v>
      </c>
      <c r="L20" s="581"/>
      <c r="M20" s="424" t="e">
        <f>RANK(K20, K$7:$K$21)</f>
        <v>#VALUE!</v>
      </c>
      <c r="N20" s="564"/>
      <c r="O20" s="564"/>
      <c r="P20" s="418" t="s">
        <v>639</v>
      </c>
      <c r="Q20" s="425" t="s">
        <v>639</v>
      </c>
      <c r="R20" s="425" t="s">
        <v>639</v>
      </c>
      <c r="S20" s="426" t="e">
        <f t="shared" si="3"/>
        <v>#VALUE!</v>
      </c>
      <c r="T20" s="646"/>
      <c r="U20" s="418" t="s">
        <v>639</v>
      </c>
      <c r="V20" s="425" t="s">
        <v>639</v>
      </c>
      <c r="W20" s="425" t="s">
        <v>639</v>
      </c>
      <c r="X20" s="426" t="e">
        <f t="shared" si="5"/>
        <v>#VALUE!</v>
      </c>
      <c r="Y20" s="646"/>
      <c r="Z20" s="418" t="s">
        <v>639</v>
      </c>
      <c r="AA20" s="425" t="s">
        <v>639</v>
      </c>
      <c r="AB20" s="425" t="s">
        <v>639</v>
      </c>
      <c r="AC20" s="426" t="e">
        <f t="shared" si="7"/>
        <v>#VALUE!</v>
      </c>
      <c r="AD20" s="646"/>
      <c r="AE20" s="418" t="s">
        <v>639</v>
      </c>
      <c r="AF20" s="425" t="s">
        <v>639</v>
      </c>
      <c r="AG20" s="425" t="s">
        <v>639</v>
      </c>
      <c r="AH20" s="426" t="e">
        <f t="shared" si="9"/>
        <v>#VALUE!</v>
      </c>
      <c r="AI20" s="646"/>
      <c r="AJ20" s="418" t="s">
        <v>639</v>
      </c>
      <c r="AK20" s="425" t="s">
        <v>639</v>
      </c>
      <c r="AL20" s="425" t="s">
        <v>639</v>
      </c>
      <c r="AM20" s="426" t="e">
        <f t="shared" si="11"/>
        <v>#VALUE!</v>
      </c>
      <c r="AN20" s="646"/>
      <c r="AO20" s="418" t="s">
        <v>639</v>
      </c>
      <c r="AP20" s="425" t="s">
        <v>639</v>
      </c>
      <c r="AQ20" s="425" t="s">
        <v>639</v>
      </c>
      <c r="AR20" s="426" t="e">
        <f t="shared" si="13"/>
        <v>#VALUE!</v>
      </c>
      <c r="AS20" s="646"/>
      <c r="AT20" s="425"/>
      <c r="AU20" s="425"/>
      <c r="AV20" s="425"/>
      <c r="AW20" s="426" t="e">
        <f t="shared" si="15"/>
        <v>#N/A</v>
      </c>
      <c r="AX20" s="646"/>
      <c r="AZ20" s="409" t="e">
        <f t="shared" si="17"/>
        <v>#N/A</v>
      </c>
      <c r="BA20" s="646"/>
    </row>
    <row r="21" spans="2:53">
      <c r="B21" s="600"/>
      <c r="C21" s="418">
        <v>15</v>
      </c>
      <c r="D21" s="226"/>
      <c r="E21" s="425"/>
      <c r="F21" s="418"/>
      <c r="G21" s="419"/>
      <c r="H21" s="629"/>
      <c r="I21" s="420"/>
      <c r="J21" s="420"/>
      <c r="K21" s="420"/>
      <c r="L21" s="582"/>
      <c r="M21" s="424" t="e">
        <f>RANK(K21, K$7:$K$21)</f>
        <v>#N/A</v>
      </c>
      <c r="N21" s="564"/>
      <c r="O21" s="564"/>
      <c r="P21" s="418" t="s">
        <v>639</v>
      </c>
      <c r="Q21" s="425" t="s">
        <v>639</v>
      </c>
      <c r="R21" s="425" t="s">
        <v>639</v>
      </c>
      <c r="S21" s="426" t="e">
        <f t="shared" si="3"/>
        <v>#VALUE!</v>
      </c>
      <c r="T21" s="647"/>
      <c r="U21" s="418" t="s">
        <v>639</v>
      </c>
      <c r="V21" s="425" t="s">
        <v>639</v>
      </c>
      <c r="W21" s="425" t="s">
        <v>639</v>
      </c>
      <c r="X21" s="426" t="e">
        <f t="shared" si="5"/>
        <v>#VALUE!</v>
      </c>
      <c r="Y21" s="647"/>
      <c r="Z21" s="418" t="s">
        <v>639</v>
      </c>
      <c r="AA21" s="425" t="s">
        <v>639</v>
      </c>
      <c r="AB21" s="425" t="s">
        <v>639</v>
      </c>
      <c r="AC21" s="426" t="e">
        <f t="shared" si="7"/>
        <v>#VALUE!</v>
      </c>
      <c r="AD21" s="647"/>
      <c r="AE21" s="418" t="s">
        <v>639</v>
      </c>
      <c r="AF21" s="425" t="s">
        <v>639</v>
      </c>
      <c r="AG21" s="425" t="s">
        <v>639</v>
      </c>
      <c r="AH21" s="426" t="e">
        <f t="shared" si="9"/>
        <v>#VALUE!</v>
      </c>
      <c r="AI21" s="647"/>
      <c r="AJ21" s="418" t="s">
        <v>639</v>
      </c>
      <c r="AK21" s="425" t="s">
        <v>639</v>
      </c>
      <c r="AL21" s="425" t="s">
        <v>639</v>
      </c>
      <c r="AM21" s="426" t="e">
        <f t="shared" si="11"/>
        <v>#VALUE!</v>
      </c>
      <c r="AN21" s="647"/>
      <c r="AO21" s="418" t="s">
        <v>639</v>
      </c>
      <c r="AP21" s="425" t="s">
        <v>639</v>
      </c>
      <c r="AQ21" s="425" t="s">
        <v>639</v>
      </c>
      <c r="AR21" s="426" t="e">
        <f t="shared" si="13"/>
        <v>#VALUE!</v>
      </c>
      <c r="AS21" s="647"/>
      <c r="AT21" s="425"/>
      <c r="AU21" s="425"/>
      <c r="AV21" s="425"/>
      <c r="AW21" s="426" t="e">
        <f t="shared" si="15"/>
        <v>#N/A</v>
      </c>
      <c r="AX21" s="647"/>
      <c r="AZ21" s="409" t="e">
        <f t="shared" si="17"/>
        <v>#N/A</v>
      </c>
      <c r="BA21" s="647"/>
    </row>
    <row r="22" spans="2:53" ht="15.75">
      <c r="B22" s="608" t="s">
        <v>163</v>
      </c>
      <c r="C22" s="609"/>
      <c r="D22" s="609"/>
      <c r="E22" s="609"/>
      <c r="F22" s="609"/>
      <c r="G22" s="609"/>
      <c r="H22" s="609"/>
      <c r="I22" s="203"/>
      <c r="J22" s="203"/>
      <c r="K22" s="203"/>
      <c r="L22" s="203"/>
      <c r="M22" s="204"/>
      <c r="N22" s="566" t="s">
        <v>156</v>
      </c>
      <c r="O22" s="566" t="s">
        <v>105</v>
      </c>
      <c r="P22" s="592">
        <f>P2+7</f>
        <v>46147</v>
      </c>
      <c r="Q22" s="570"/>
      <c r="R22" s="570"/>
      <c r="S22" s="570"/>
      <c r="T22" s="570"/>
      <c r="U22" s="589">
        <f>P22+1</f>
        <v>46148</v>
      </c>
      <c r="V22" s="590"/>
      <c r="W22" s="590"/>
      <c r="X22" s="590"/>
      <c r="Y22" s="591"/>
      <c r="Z22" s="589">
        <f>U22+1</f>
        <v>46149</v>
      </c>
      <c r="AA22" s="590"/>
      <c r="AB22" s="590"/>
      <c r="AC22" s="590"/>
      <c r="AD22" s="591"/>
      <c r="AE22" s="589">
        <f>Z22+1</f>
        <v>46150</v>
      </c>
      <c r="AF22" s="590"/>
      <c r="AG22" s="590"/>
      <c r="AH22" s="590"/>
      <c r="AI22" s="591"/>
      <c r="AJ22" s="589">
        <f>AE22+1</f>
        <v>46151</v>
      </c>
      <c r="AK22" s="590"/>
      <c r="AL22" s="590"/>
      <c r="AM22" s="590"/>
      <c r="AN22" s="591"/>
      <c r="AO22" s="589">
        <f>AJ22+1</f>
        <v>46152</v>
      </c>
      <c r="AP22" s="590"/>
      <c r="AQ22" s="590"/>
      <c r="AR22" s="590"/>
      <c r="AS22" s="591"/>
      <c r="AT22" s="589">
        <f>AO22+1</f>
        <v>46153</v>
      </c>
      <c r="AU22" s="590"/>
      <c r="AV22" s="590"/>
      <c r="AW22" s="590"/>
      <c r="AX22" s="591"/>
    </row>
    <row r="23" spans="2:53" ht="15.75">
      <c r="B23" s="596"/>
      <c r="C23" s="596"/>
      <c r="D23" s="596"/>
      <c r="E23" s="596"/>
      <c r="F23" s="596"/>
      <c r="G23" s="596"/>
      <c r="H23" s="596"/>
      <c r="I23" s="205"/>
      <c r="J23" s="205"/>
      <c r="K23" s="205"/>
      <c r="L23" s="205"/>
      <c r="M23" s="206"/>
      <c r="N23" s="568"/>
      <c r="O23" s="568"/>
      <c r="P23" s="592" t="s">
        <v>318</v>
      </c>
      <c r="Q23" s="570"/>
      <c r="R23" s="570"/>
      <c r="S23" s="570"/>
      <c r="T23" s="570"/>
      <c r="U23" s="592" t="s">
        <v>319</v>
      </c>
      <c r="V23" s="570"/>
      <c r="W23" s="570"/>
      <c r="X23" s="570"/>
      <c r="Y23" s="570"/>
      <c r="Z23" s="592" t="s">
        <v>320</v>
      </c>
      <c r="AA23" s="570"/>
      <c r="AB23" s="570"/>
      <c r="AC23" s="570"/>
      <c r="AD23" s="570"/>
      <c r="AE23" s="592" t="s">
        <v>321</v>
      </c>
      <c r="AF23" s="570"/>
      <c r="AG23" s="570"/>
      <c r="AH23" s="570"/>
      <c r="AI23" s="570"/>
      <c r="AJ23" s="592" t="s">
        <v>322</v>
      </c>
      <c r="AK23" s="570"/>
      <c r="AL23" s="570"/>
      <c r="AM23" s="570"/>
      <c r="AN23" s="570"/>
      <c r="AO23" s="592" t="s">
        <v>323</v>
      </c>
      <c r="AP23" s="570"/>
      <c r="AQ23" s="570"/>
      <c r="AR23" s="570"/>
      <c r="AS23" s="570"/>
      <c r="AT23" s="592" t="s">
        <v>324</v>
      </c>
      <c r="AU23" s="570"/>
      <c r="AV23" s="570"/>
      <c r="AW23" s="570"/>
      <c r="AX23" s="570"/>
    </row>
    <row r="24" spans="2:53">
      <c r="B24" s="564" t="s">
        <v>377</v>
      </c>
      <c r="C24" s="564" t="s">
        <v>560</v>
      </c>
      <c r="D24" s="564"/>
      <c r="E24" s="564" t="s">
        <v>561</v>
      </c>
      <c r="F24" s="564"/>
      <c r="G24" s="564"/>
      <c r="H24" s="597" t="s">
        <v>562</v>
      </c>
      <c r="I24" s="564" t="s">
        <v>563</v>
      </c>
      <c r="J24" s="564"/>
      <c r="K24" s="564"/>
      <c r="L24" s="597" t="s">
        <v>374</v>
      </c>
      <c r="M24" s="566" t="s">
        <v>564</v>
      </c>
      <c r="N24" s="564"/>
      <c r="O24" s="564" t="s">
        <v>565</v>
      </c>
      <c r="P24" s="583" t="s">
        <v>376</v>
      </c>
      <c r="Q24" s="584"/>
      <c r="R24" s="584"/>
      <c r="S24" s="585"/>
      <c r="T24" s="564" t="s">
        <v>374</v>
      </c>
      <c r="U24" s="583" t="s">
        <v>376</v>
      </c>
      <c r="V24" s="584"/>
      <c r="W24" s="584"/>
      <c r="X24" s="585"/>
      <c r="Y24" s="564" t="s">
        <v>374</v>
      </c>
      <c r="Z24" s="583" t="s">
        <v>376</v>
      </c>
      <c r="AA24" s="584"/>
      <c r="AB24" s="584"/>
      <c r="AC24" s="585"/>
      <c r="AD24" s="564" t="s">
        <v>374</v>
      </c>
      <c r="AE24" s="583" t="s">
        <v>376</v>
      </c>
      <c r="AF24" s="584"/>
      <c r="AG24" s="584"/>
      <c r="AH24" s="585"/>
      <c r="AI24" s="564" t="s">
        <v>374</v>
      </c>
      <c r="AJ24" s="583" t="s">
        <v>376</v>
      </c>
      <c r="AK24" s="584"/>
      <c r="AL24" s="584"/>
      <c r="AM24" s="585"/>
      <c r="AN24" s="564" t="s">
        <v>374</v>
      </c>
      <c r="AO24" s="583" t="s">
        <v>376</v>
      </c>
      <c r="AP24" s="584"/>
      <c r="AQ24" s="584"/>
      <c r="AR24" s="585"/>
      <c r="AS24" s="564" t="s">
        <v>374</v>
      </c>
      <c r="AT24" s="583" t="s">
        <v>376</v>
      </c>
      <c r="AU24" s="584"/>
      <c r="AV24" s="584"/>
      <c r="AW24" s="585"/>
      <c r="AX24" s="564" t="s">
        <v>374</v>
      </c>
      <c r="BA24" s="564" t="s">
        <v>374</v>
      </c>
    </row>
    <row r="25" spans="2:53">
      <c r="B25" s="564"/>
      <c r="C25" s="564"/>
      <c r="D25" s="564"/>
      <c r="E25" s="564" t="s">
        <v>566</v>
      </c>
      <c r="F25" s="564"/>
      <c r="G25" s="564"/>
      <c r="H25" s="598"/>
      <c r="I25" s="564" t="s">
        <v>566</v>
      </c>
      <c r="J25" s="564"/>
      <c r="K25" s="564"/>
      <c r="L25" s="598"/>
      <c r="M25" s="567"/>
      <c r="N25" s="564"/>
      <c r="O25" s="564"/>
      <c r="P25" s="583" t="s">
        <v>382</v>
      </c>
      <c r="Q25" s="584"/>
      <c r="R25" s="584"/>
      <c r="S25" s="585"/>
      <c r="T25" s="564"/>
      <c r="U25" s="583" t="s">
        <v>382</v>
      </c>
      <c r="V25" s="584"/>
      <c r="W25" s="584"/>
      <c r="X25" s="585"/>
      <c r="Y25" s="564"/>
      <c r="Z25" s="583" t="s">
        <v>382</v>
      </c>
      <c r="AA25" s="584"/>
      <c r="AB25" s="584"/>
      <c r="AC25" s="585"/>
      <c r="AD25" s="564"/>
      <c r="AE25" s="583" t="s">
        <v>382</v>
      </c>
      <c r="AF25" s="584"/>
      <c r="AG25" s="584"/>
      <c r="AH25" s="585"/>
      <c r="AI25" s="564"/>
      <c r="AJ25" s="583" t="s">
        <v>382</v>
      </c>
      <c r="AK25" s="584"/>
      <c r="AL25" s="584"/>
      <c r="AM25" s="585"/>
      <c r="AN25" s="564"/>
      <c r="AO25" s="583" t="s">
        <v>382</v>
      </c>
      <c r="AP25" s="584"/>
      <c r="AQ25" s="584"/>
      <c r="AR25" s="585"/>
      <c r="AS25" s="564"/>
      <c r="AT25" s="583" t="s">
        <v>382</v>
      </c>
      <c r="AU25" s="584"/>
      <c r="AV25" s="584"/>
      <c r="AW25" s="585"/>
      <c r="AX25" s="564"/>
      <c r="BA25" s="564"/>
    </row>
    <row r="26" spans="2:53">
      <c r="B26" s="564"/>
      <c r="C26" s="564"/>
      <c r="D26" s="564"/>
      <c r="E26" s="417" t="s">
        <v>567</v>
      </c>
      <c r="F26" s="417" t="s">
        <v>568</v>
      </c>
      <c r="G26" s="417" t="s">
        <v>569</v>
      </c>
      <c r="H26" s="599"/>
      <c r="I26" s="417" t="s">
        <v>567</v>
      </c>
      <c r="J26" s="417" t="s">
        <v>568</v>
      </c>
      <c r="K26" s="417" t="s">
        <v>569</v>
      </c>
      <c r="L26" s="599"/>
      <c r="M26" s="568"/>
      <c r="N26" s="564"/>
      <c r="O26" s="564"/>
      <c r="P26" s="417" t="s">
        <v>383</v>
      </c>
      <c r="Q26" s="417" t="s">
        <v>384</v>
      </c>
      <c r="R26" s="417" t="s">
        <v>385</v>
      </c>
      <c r="S26" s="417" t="s">
        <v>375</v>
      </c>
      <c r="T26" s="564"/>
      <c r="U26" s="417" t="s">
        <v>383</v>
      </c>
      <c r="V26" s="417" t="s">
        <v>384</v>
      </c>
      <c r="W26" s="417" t="s">
        <v>385</v>
      </c>
      <c r="X26" s="417" t="s">
        <v>375</v>
      </c>
      <c r="Y26" s="564"/>
      <c r="Z26" s="417" t="s">
        <v>383</v>
      </c>
      <c r="AA26" s="417" t="s">
        <v>384</v>
      </c>
      <c r="AB26" s="417" t="s">
        <v>385</v>
      </c>
      <c r="AC26" s="417" t="s">
        <v>375</v>
      </c>
      <c r="AD26" s="564"/>
      <c r="AE26" s="417" t="s">
        <v>383</v>
      </c>
      <c r="AF26" s="417" t="s">
        <v>384</v>
      </c>
      <c r="AG26" s="417" t="s">
        <v>385</v>
      </c>
      <c r="AH26" s="417" t="s">
        <v>375</v>
      </c>
      <c r="AI26" s="564"/>
      <c r="AJ26" s="417" t="s">
        <v>383</v>
      </c>
      <c r="AK26" s="417" t="s">
        <v>384</v>
      </c>
      <c r="AL26" s="417" t="s">
        <v>385</v>
      </c>
      <c r="AM26" s="417" t="s">
        <v>375</v>
      </c>
      <c r="AN26" s="564"/>
      <c r="AO26" s="417" t="s">
        <v>383</v>
      </c>
      <c r="AP26" s="417" t="s">
        <v>384</v>
      </c>
      <c r="AQ26" s="417" t="s">
        <v>385</v>
      </c>
      <c r="AR26" s="417" t="s">
        <v>375</v>
      </c>
      <c r="AS26" s="564"/>
      <c r="AT26" s="417" t="s">
        <v>383</v>
      </c>
      <c r="AU26" s="417" t="s">
        <v>384</v>
      </c>
      <c r="AV26" s="417" t="s">
        <v>385</v>
      </c>
      <c r="AW26" s="417" t="s">
        <v>375</v>
      </c>
      <c r="AX26" s="564"/>
      <c r="AZ26" s="406" t="s">
        <v>375</v>
      </c>
      <c r="BA26" s="564"/>
    </row>
    <row r="27" spans="2:53">
      <c r="B27" s="564" t="s">
        <v>389</v>
      </c>
      <c r="C27" s="420">
        <v>1</v>
      </c>
      <c r="D27" s="226" t="s">
        <v>678</v>
      </c>
      <c r="E27" s="425">
        <v>14</v>
      </c>
      <c r="F27" s="418">
        <v>1500</v>
      </c>
      <c r="G27" s="419">
        <v>107.1</v>
      </c>
      <c r="H27" s="578">
        <f>AVERAGE(G27:G41)</f>
        <v>100.13333333333333</v>
      </c>
      <c r="I27" s="422">
        <f t="shared" ref="I27:I40" si="19">IFERROR(AVERAGE(P27,U27,Z27,AE27,AJ27,AO27,AT27),"-")</f>
        <v>14</v>
      </c>
      <c r="J27" s="422">
        <f t="shared" ref="J27:J40" si="20">IFERROR(AVERAGE(Q27,V27,AA27,AF27,AK27,AP27,AU27),"-")</f>
        <v>1462.624393843842</v>
      </c>
      <c r="K27" s="200">
        <f t="shared" ref="K27:K40" si="21">IFERROR(AVERAGE(R27,W27,AB27,AG27,AL27,AQ27,AV27),"-")</f>
        <v>104.47317098884587</v>
      </c>
      <c r="L27" s="580">
        <f>IFERROR(AVERAGE(K27:K41),"-")</f>
        <v>83.940279299304976</v>
      </c>
      <c r="M27" s="426">
        <f>RANK(K27, K$24:$K$41)</f>
        <v>1</v>
      </c>
      <c r="N27" s="564"/>
      <c r="O27" s="564"/>
      <c r="P27" s="420">
        <v>14</v>
      </c>
      <c r="Q27" s="426">
        <v>1442.2622950819684</v>
      </c>
      <c r="R27" s="426">
        <v>103.01873536299775</v>
      </c>
      <c r="S27" s="426">
        <f>RANK(R27, R$24:R$41)</f>
        <v>1</v>
      </c>
      <c r="T27" s="644">
        <f>AVERAGE(R27:R41)</f>
        <v>82.26544312889591</v>
      </c>
      <c r="U27" s="420">
        <v>14</v>
      </c>
      <c r="V27" s="426">
        <v>1456.588235294116</v>
      </c>
      <c r="W27" s="426">
        <v>104.04201680672257</v>
      </c>
      <c r="X27" s="432">
        <f>RANK(W27, W$24:W$41)</f>
        <v>1</v>
      </c>
      <c r="Y27" s="572">
        <f>AVERAGE(W27:W41)</f>
        <v>83.035996535306523</v>
      </c>
      <c r="Z27" s="420">
        <v>14</v>
      </c>
      <c r="AA27" s="426">
        <v>1485.8425531914897</v>
      </c>
      <c r="AB27" s="426">
        <v>106.13161094224927</v>
      </c>
      <c r="AC27" s="432">
        <f>RANK(AB27, AB$24:AB$41)</f>
        <v>1</v>
      </c>
      <c r="AD27" s="572">
        <f>AVERAGE(AB27:AB41)</f>
        <v>85.518792442215272</v>
      </c>
      <c r="AE27" s="420">
        <v>14</v>
      </c>
      <c r="AF27" s="426">
        <v>1484.6264150943405</v>
      </c>
      <c r="AG27" s="426">
        <v>106.04474393531004</v>
      </c>
      <c r="AH27" s="432">
        <f>RANK(AG27, AG$24:AG$41)</f>
        <v>1</v>
      </c>
      <c r="AI27" s="572">
        <f>AVERAGE(AG27:AG41)</f>
        <v>84.087044599806518</v>
      </c>
      <c r="AJ27" s="420">
        <v>14</v>
      </c>
      <c r="AK27" s="426">
        <v>1470.4411764705883</v>
      </c>
      <c r="AL27" s="426">
        <v>105.03151260504202</v>
      </c>
      <c r="AM27" s="432">
        <f>RANK(AL27, AL$24:AL$41)</f>
        <v>1</v>
      </c>
      <c r="AN27" s="572">
        <f>AVERAGE(AL27:AL41)</f>
        <v>84.618654903380246</v>
      </c>
      <c r="AO27" s="420">
        <v>14</v>
      </c>
      <c r="AP27" s="426">
        <v>1453.6353982300886</v>
      </c>
      <c r="AQ27" s="426">
        <v>103.83109987357776</v>
      </c>
      <c r="AR27" s="432">
        <f>RANK(AQ27, AQ$24:AQ$41)</f>
        <v>1</v>
      </c>
      <c r="AS27" s="644">
        <f>AVERAGE(AQ27:AQ41)</f>
        <v>83.279844653203213</v>
      </c>
      <c r="AT27" s="425">
        <v>14</v>
      </c>
      <c r="AU27" s="425">
        <v>1444.9746835443029</v>
      </c>
      <c r="AV27" s="425">
        <v>103.21247739602164</v>
      </c>
      <c r="AW27" s="432">
        <f>RANK(AV27, AV$24:AV$41)</f>
        <v>1</v>
      </c>
      <c r="AX27" s="643">
        <f>AVERAGE(AV27:AV41)</f>
        <v>84.776178832327119</v>
      </c>
      <c r="AZ27" s="407" t="e">
        <f t="shared" ref="AZ27:AZ41" si="22">RANK(AY27, AY$27:AY$41)</f>
        <v>#N/A</v>
      </c>
      <c r="BA27" s="559" t="e">
        <f t="shared" ref="BA27" si="23">AVERAGE(AY27:AY41)</f>
        <v>#DIV/0!</v>
      </c>
    </row>
    <row r="28" spans="2:53">
      <c r="B28" s="570"/>
      <c r="C28" s="420">
        <v>2</v>
      </c>
      <c r="D28" s="226" t="s">
        <v>543</v>
      </c>
      <c r="E28" s="425">
        <v>16</v>
      </c>
      <c r="F28" s="418">
        <v>1636</v>
      </c>
      <c r="G28" s="419">
        <v>102.3</v>
      </c>
      <c r="H28" s="579"/>
      <c r="I28" s="422">
        <f t="shared" si="19"/>
        <v>17</v>
      </c>
      <c r="J28" s="422">
        <f t="shared" si="20"/>
        <v>1410.7793061876432</v>
      </c>
      <c r="K28" s="200">
        <f t="shared" si="21"/>
        <v>82.987018011037847</v>
      </c>
      <c r="L28" s="581"/>
      <c r="M28" s="432">
        <f>RANK(K28, K$24:$K$41)</f>
        <v>2</v>
      </c>
      <c r="N28" s="564"/>
      <c r="O28" s="564"/>
      <c r="P28" s="420">
        <v>17</v>
      </c>
      <c r="Q28" s="426">
        <v>1424</v>
      </c>
      <c r="R28" s="426">
        <v>83.764705882352942</v>
      </c>
      <c r="S28" s="432">
        <f t="shared" ref="S28:S41" si="24">RANK(R28, R$24:R$41)</f>
        <v>2</v>
      </c>
      <c r="T28" s="644"/>
      <c r="U28" s="420">
        <v>17</v>
      </c>
      <c r="V28" s="426">
        <v>1385.3932584269662</v>
      </c>
      <c r="W28" s="426">
        <v>81.493721083939192</v>
      </c>
      <c r="X28" s="432">
        <f t="shared" ref="X28:X41" si="25">RANK(W28, W$24:W$41)</f>
        <v>2</v>
      </c>
      <c r="Y28" s="572"/>
      <c r="Z28" s="420">
        <v>17</v>
      </c>
      <c r="AA28" s="426">
        <v>1424.4444444444446</v>
      </c>
      <c r="AB28" s="426">
        <v>83.790849673202615</v>
      </c>
      <c r="AC28" s="432">
        <f t="shared" ref="AC28:AC41" si="26">RANK(AB28, AB$24:AB$41)</f>
        <v>3</v>
      </c>
      <c r="AD28" s="572"/>
      <c r="AE28" s="420">
        <v>17</v>
      </c>
      <c r="AF28" s="426">
        <v>1405.3125000000007</v>
      </c>
      <c r="AG28" s="426">
        <v>82.665441176470623</v>
      </c>
      <c r="AH28" s="432">
        <f t="shared" ref="AH28:AH41" si="27">RANK(AG28, AG$24:AG$41)</f>
        <v>2</v>
      </c>
      <c r="AI28" s="572"/>
      <c r="AJ28" s="420">
        <v>17</v>
      </c>
      <c r="AK28" s="426">
        <v>1390.1408450704228</v>
      </c>
      <c r="AL28" s="426">
        <v>81.77299088649545</v>
      </c>
      <c r="AM28" s="432">
        <f t="shared" ref="AM28:AM41" si="28">RANK(AL28, AL$24:AL$41)</f>
        <v>4</v>
      </c>
      <c r="AN28" s="572"/>
      <c r="AO28" s="420">
        <v>17</v>
      </c>
      <c r="AP28" s="426">
        <v>1413.2608695652175</v>
      </c>
      <c r="AQ28" s="426">
        <v>83.132992327365741</v>
      </c>
      <c r="AR28" s="432">
        <f t="shared" ref="AR28:AR41" si="29">RANK(AQ28, AQ$24:AQ$41)</f>
        <v>2</v>
      </c>
      <c r="AS28" s="644"/>
      <c r="AT28" s="425">
        <v>17</v>
      </c>
      <c r="AU28" s="425">
        <v>1432.9032258064512</v>
      </c>
      <c r="AV28" s="425">
        <v>84.288425047438309</v>
      </c>
      <c r="AW28" s="432">
        <f t="shared" ref="AW28:AW41" si="30">RANK(AV28, AV$24:AV$41)</f>
        <v>2</v>
      </c>
      <c r="AX28" s="643"/>
      <c r="AZ28" s="407" t="e">
        <f t="shared" si="22"/>
        <v>#N/A</v>
      </c>
      <c r="BA28" s="560"/>
    </row>
    <row r="29" spans="2:53">
      <c r="B29" s="570"/>
      <c r="C29" s="420">
        <v>3</v>
      </c>
      <c r="D29" s="226" t="s">
        <v>645</v>
      </c>
      <c r="E29" s="425">
        <v>17</v>
      </c>
      <c r="F29" s="418">
        <v>1500</v>
      </c>
      <c r="G29" s="419">
        <v>88.2</v>
      </c>
      <c r="H29" s="579"/>
      <c r="I29" s="422">
        <f t="shared" si="19"/>
        <v>17</v>
      </c>
      <c r="J29" s="422">
        <f t="shared" si="20"/>
        <v>1359.5060356530632</v>
      </c>
      <c r="K29" s="200">
        <f t="shared" si="21"/>
        <v>79.970943273709594</v>
      </c>
      <c r="L29" s="581"/>
      <c r="M29" s="432">
        <f>RANK(K29, K$24:$K$41)</f>
        <v>4</v>
      </c>
      <c r="N29" s="564"/>
      <c r="O29" s="564"/>
      <c r="P29" s="420">
        <v>17</v>
      </c>
      <c r="Q29" s="426">
        <v>1342.9302325581393</v>
      </c>
      <c r="R29" s="426">
        <v>78.995896032831723</v>
      </c>
      <c r="S29" s="432">
        <f t="shared" si="24"/>
        <v>3</v>
      </c>
      <c r="T29" s="644"/>
      <c r="U29" s="420">
        <v>17</v>
      </c>
      <c r="V29" s="426">
        <v>1375.7339449541282</v>
      </c>
      <c r="W29" s="426">
        <v>80.925526173772255</v>
      </c>
      <c r="X29" s="432">
        <f t="shared" si="25"/>
        <v>4</v>
      </c>
      <c r="Y29" s="572"/>
      <c r="Z29" s="420">
        <v>17</v>
      </c>
      <c r="AA29" s="426">
        <v>1372.9514563106793</v>
      </c>
      <c r="AB29" s="426">
        <v>80.761850371216426</v>
      </c>
      <c r="AC29" s="432">
        <f t="shared" si="26"/>
        <v>4</v>
      </c>
      <c r="AD29" s="572"/>
      <c r="AE29" s="420">
        <v>17</v>
      </c>
      <c r="AF29" s="426">
        <v>1354.3636363636369</v>
      </c>
      <c r="AG29" s="426">
        <v>79.668449197860994</v>
      </c>
      <c r="AH29" s="432">
        <f t="shared" si="27"/>
        <v>4</v>
      </c>
      <c r="AI29" s="572"/>
      <c r="AJ29" s="420">
        <v>17</v>
      </c>
      <c r="AK29" s="426">
        <v>1357.04854368932</v>
      </c>
      <c r="AL29" s="426">
        <v>79.826384922901184</v>
      </c>
      <c r="AM29" s="432">
        <f t="shared" si="28"/>
        <v>5</v>
      </c>
      <c r="AN29" s="572"/>
      <c r="AO29" s="420">
        <v>17</v>
      </c>
      <c r="AP29" s="426">
        <v>1351.1811023622045</v>
      </c>
      <c r="AQ29" s="426">
        <v>79.481241315423787</v>
      </c>
      <c r="AR29" s="432">
        <f t="shared" si="29"/>
        <v>4</v>
      </c>
      <c r="AS29" s="644"/>
      <c r="AT29" s="425">
        <v>17</v>
      </c>
      <c r="AU29" s="425">
        <v>1362.3333333333335</v>
      </c>
      <c r="AV29" s="425">
        <v>80.137254901960787</v>
      </c>
      <c r="AW29" s="432">
        <f t="shared" si="30"/>
        <v>4</v>
      </c>
      <c r="AX29" s="643"/>
      <c r="AZ29" s="407" t="e">
        <f t="shared" si="22"/>
        <v>#N/A</v>
      </c>
      <c r="BA29" s="560"/>
    </row>
    <row r="30" spans="2:53">
      <c r="B30" s="570"/>
      <c r="C30" s="420">
        <v>4</v>
      </c>
      <c r="D30" s="226" t="s">
        <v>656</v>
      </c>
      <c r="E30" s="425">
        <v>16</v>
      </c>
      <c r="F30" s="418">
        <v>1500</v>
      </c>
      <c r="G30" s="419">
        <v>93.8</v>
      </c>
      <c r="H30" s="579"/>
      <c r="I30" s="422">
        <f t="shared" si="19"/>
        <v>16.571428571428573</v>
      </c>
      <c r="J30" s="422">
        <f t="shared" si="20"/>
        <v>1268.154650762536</v>
      </c>
      <c r="K30" s="200">
        <f t="shared" si="21"/>
        <v>76.488519541456199</v>
      </c>
      <c r="L30" s="581"/>
      <c r="M30" s="432">
        <f>RANK(K30, K$24:$K$41)</f>
        <v>6</v>
      </c>
      <c r="N30" s="564"/>
      <c r="O30" s="564"/>
      <c r="P30" s="420">
        <v>16</v>
      </c>
      <c r="Q30" s="426">
        <v>1173.7425742574251</v>
      </c>
      <c r="R30" s="426">
        <v>73.358910891089067</v>
      </c>
      <c r="S30" s="432">
        <f t="shared" si="24"/>
        <v>6</v>
      </c>
      <c r="T30" s="644"/>
      <c r="U30" s="420">
        <v>16</v>
      </c>
      <c r="V30" s="426">
        <v>1166.2018348623851</v>
      </c>
      <c r="W30" s="426">
        <v>72.88761467889907</v>
      </c>
      <c r="X30" s="432">
        <f t="shared" si="25"/>
        <v>6</v>
      </c>
      <c r="Y30" s="572"/>
      <c r="Z30" s="420">
        <v>17</v>
      </c>
      <c r="AA30" s="426">
        <v>1298.6746987951801</v>
      </c>
      <c r="AB30" s="426">
        <v>76.392629340892952</v>
      </c>
      <c r="AC30" s="432">
        <f t="shared" si="26"/>
        <v>6</v>
      </c>
      <c r="AD30" s="572"/>
      <c r="AE30" s="420">
        <v>17</v>
      </c>
      <c r="AF30" s="426">
        <v>1307.6470588235286</v>
      </c>
      <c r="AG30" s="426">
        <v>76.920415224913441</v>
      </c>
      <c r="AH30" s="432">
        <f t="shared" si="27"/>
        <v>6</v>
      </c>
      <c r="AI30" s="572"/>
      <c r="AJ30" s="420">
        <v>17</v>
      </c>
      <c r="AK30" s="426">
        <v>1419.1071428571418</v>
      </c>
      <c r="AL30" s="426">
        <v>83.476890756302453</v>
      </c>
      <c r="AM30" s="432">
        <f t="shared" si="28"/>
        <v>2</v>
      </c>
      <c r="AN30" s="572"/>
      <c r="AO30" s="420">
        <v>17</v>
      </c>
      <c r="AP30" s="426">
        <v>1250.8333333333328</v>
      </c>
      <c r="AQ30" s="426">
        <v>73.578431372548991</v>
      </c>
      <c r="AR30" s="432">
        <f t="shared" si="29"/>
        <v>6</v>
      </c>
      <c r="AS30" s="644"/>
      <c r="AT30" s="425">
        <v>16</v>
      </c>
      <c r="AU30" s="425">
        <v>1260.8759124087583</v>
      </c>
      <c r="AV30" s="425">
        <v>78.804744525547392</v>
      </c>
      <c r="AW30" s="432">
        <f t="shared" si="30"/>
        <v>6</v>
      </c>
      <c r="AX30" s="643"/>
      <c r="AZ30" s="407" t="e">
        <f t="shared" si="22"/>
        <v>#N/A</v>
      </c>
      <c r="BA30" s="560"/>
    </row>
    <row r="31" spans="2:53">
      <c r="B31" s="570"/>
      <c r="C31" s="420">
        <v>5</v>
      </c>
      <c r="D31" s="226" t="s">
        <v>642</v>
      </c>
      <c r="E31" s="425">
        <v>15</v>
      </c>
      <c r="F31" s="418">
        <v>1500</v>
      </c>
      <c r="G31" s="419">
        <v>107.1</v>
      </c>
      <c r="H31" s="579"/>
      <c r="I31" s="422">
        <f t="shared" si="19"/>
        <v>15.857142857142858</v>
      </c>
      <c r="J31" s="422">
        <f t="shared" si="20"/>
        <v>1300.0735190050029</v>
      </c>
      <c r="K31" s="200">
        <f t="shared" si="21"/>
        <v>82.037302663760201</v>
      </c>
      <c r="L31" s="581"/>
      <c r="M31" s="432">
        <f>RANK(K31, K$24:$K$41)</f>
        <v>3</v>
      </c>
      <c r="N31" s="564"/>
      <c r="O31" s="564"/>
      <c r="P31" s="420">
        <v>16</v>
      </c>
      <c r="Q31" s="426">
        <v>1258.8415841584165</v>
      </c>
      <c r="R31" s="426">
        <v>78.67759900990103</v>
      </c>
      <c r="S31" s="432">
        <f t="shared" si="24"/>
        <v>4</v>
      </c>
      <c r="T31" s="644"/>
      <c r="U31" s="420">
        <v>16</v>
      </c>
      <c r="V31" s="426">
        <v>1243.1999999999998</v>
      </c>
      <c r="W31" s="426">
        <v>77.699999999999989</v>
      </c>
      <c r="X31" s="432">
        <f t="shared" si="25"/>
        <v>5</v>
      </c>
      <c r="Y31" s="572"/>
      <c r="Z31" s="420">
        <v>15</v>
      </c>
      <c r="AA31" s="426">
        <v>1314.9489795918371</v>
      </c>
      <c r="AB31" s="426">
        <v>87.663265306122469</v>
      </c>
      <c r="AC31" s="432">
        <f t="shared" si="26"/>
        <v>2</v>
      </c>
      <c r="AD31" s="572"/>
      <c r="AE31" s="420">
        <v>16</v>
      </c>
      <c r="AF31" s="426">
        <v>1315.1797752808989</v>
      </c>
      <c r="AG31" s="426">
        <v>82.198735955056179</v>
      </c>
      <c r="AH31" s="432">
        <f t="shared" si="27"/>
        <v>3</v>
      </c>
      <c r="AI31" s="572"/>
      <c r="AJ31" s="420">
        <v>16</v>
      </c>
      <c r="AK31" s="426">
        <v>1325.617021276596</v>
      </c>
      <c r="AL31" s="426">
        <v>82.85106382978725</v>
      </c>
      <c r="AM31" s="432">
        <f t="shared" si="28"/>
        <v>3</v>
      </c>
      <c r="AN31" s="572"/>
      <c r="AO31" s="420">
        <v>16</v>
      </c>
      <c r="AP31" s="426">
        <v>1323.8181818181813</v>
      </c>
      <c r="AQ31" s="426">
        <v>82.738636363636331</v>
      </c>
      <c r="AR31" s="432">
        <f t="shared" si="29"/>
        <v>3</v>
      </c>
      <c r="AS31" s="644"/>
      <c r="AT31" s="425">
        <v>16</v>
      </c>
      <c r="AU31" s="425">
        <v>1318.9090909090903</v>
      </c>
      <c r="AV31" s="425">
        <v>82.431818181818144</v>
      </c>
      <c r="AW31" s="432">
        <f t="shared" si="30"/>
        <v>3</v>
      </c>
      <c r="AX31" s="643"/>
      <c r="AZ31" s="407" t="e">
        <f t="shared" si="22"/>
        <v>#N/A</v>
      </c>
      <c r="BA31" s="560"/>
    </row>
    <row r="32" spans="2:53">
      <c r="B32" s="570"/>
      <c r="C32" s="420">
        <v>6</v>
      </c>
      <c r="D32" s="226" t="s">
        <v>666</v>
      </c>
      <c r="E32" s="425">
        <v>17</v>
      </c>
      <c r="F32" s="418">
        <v>1636</v>
      </c>
      <c r="G32" s="419">
        <v>102.3</v>
      </c>
      <c r="H32" s="579"/>
      <c r="I32" s="422">
        <f t="shared" si="19"/>
        <v>17.714285714285715</v>
      </c>
      <c r="J32" s="422">
        <f t="shared" si="20"/>
        <v>1375.3322046478363</v>
      </c>
      <c r="K32" s="200">
        <f t="shared" si="21"/>
        <v>77.68472131702012</v>
      </c>
      <c r="L32" s="581"/>
      <c r="M32" s="432">
        <f>RANK(K32, K$24:$K$41)</f>
        <v>5</v>
      </c>
      <c r="N32" s="564"/>
      <c r="O32" s="564"/>
      <c r="P32" s="420">
        <v>18</v>
      </c>
      <c r="Q32" s="426">
        <v>1363.9826086956525</v>
      </c>
      <c r="R32" s="426">
        <v>75.776811594202911</v>
      </c>
      <c r="S32" s="432">
        <f t="shared" si="24"/>
        <v>5</v>
      </c>
      <c r="T32" s="644"/>
      <c r="U32" s="420">
        <v>17</v>
      </c>
      <c r="V32" s="426">
        <v>1379.840707964602</v>
      </c>
      <c r="W32" s="426">
        <v>81.167100468505993</v>
      </c>
      <c r="X32" s="432">
        <f t="shared" si="25"/>
        <v>3</v>
      </c>
      <c r="Y32" s="572"/>
      <c r="Z32" s="420">
        <v>18</v>
      </c>
      <c r="AA32" s="426">
        <v>1410.7058823529417</v>
      </c>
      <c r="AB32" s="426">
        <v>78.372549019607874</v>
      </c>
      <c r="AC32" s="432">
        <f t="shared" si="26"/>
        <v>5</v>
      </c>
      <c r="AD32" s="572"/>
      <c r="AE32" s="420">
        <v>18</v>
      </c>
      <c r="AF32" s="426">
        <v>1386.4406779661017</v>
      </c>
      <c r="AG32" s="426">
        <v>77.024482109227876</v>
      </c>
      <c r="AH32" s="432">
        <f t="shared" si="27"/>
        <v>5</v>
      </c>
      <c r="AI32" s="572"/>
      <c r="AJ32" s="420">
        <v>18</v>
      </c>
      <c r="AK32" s="426">
        <v>1345.5555555555554</v>
      </c>
      <c r="AL32" s="426">
        <v>74.753086419753075</v>
      </c>
      <c r="AM32" s="432">
        <f t="shared" si="28"/>
        <v>6</v>
      </c>
      <c r="AN32" s="572"/>
      <c r="AO32" s="420">
        <v>18</v>
      </c>
      <c r="AP32" s="426">
        <v>1384.4999999999998</v>
      </c>
      <c r="AQ32" s="426">
        <v>76.916666666666657</v>
      </c>
      <c r="AR32" s="432">
        <f t="shared" si="29"/>
        <v>5</v>
      </c>
      <c r="AS32" s="644"/>
      <c r="AT32" s="425">
        <v>17</v>
      </c>
      <c r="AU32" s="425">
        <v>1356.3000000000002</v>
      </c>
      <c r="AV32" s="425">
        <v>79.782352941176484</v>
      </c>
      <c r="AW32" s="432">
        <f t="shared" si="30"/>
        <v>5</v>
      </c>
      <c r="AX32" s="643"/>
      <c r="AZ32" s="407" t="e">
        <f t="shared" si="22"/>
        <v>#N/A</v>
      </c>
      <c r="BA32" s="560"/>
    </row>
    <row r="33" spans="2:53">
      <c r="B33" s="570"/>
      <c r="C33" s="420">
        <v>7</v>
      </c>
      <c r="D33" s="226"/>
      <c r="E33" s="425"/>
      <c r="F33" s="418"/>
      <c r="G33" s="419"/>
      <c r="H33" s="579"/>
      <c r="I33" s="422" t="str">
        <f t="shared" si="19"/>
        <v>-</v>
      </c>
      <c r="J33" s="422" t="str">
        <f t="shared" si="20"/>
        <v>-</v>
      </c>
      <c r="K33" s="200" t="str">
        <f t="shared" si="21"/>
        <v>-</v>
      </c>
      <c r="L33" s="581"/>
      <c r="M33" s="432" t="e">
        <f>RANK(K33, K$24:$K$41)</f>
        <v>#VALUE!</v>
      </c>
      <c r="N33" s="564"/>
      <c r="O33" s="564"/>
      <c r="P33" s="420"/>
      <c r="Q33" s="426"/>
      <c r="R33" s="426"/>
      <c r="S33" s="432" t="e">
        <f t="shared" si="24"/>
        <v>#N/A</v>
      </c>
      <c r="T33" s="644"/>
      <c r="U33" s="420"/>
      <c r="V33" s="426"/>
      <c r="W33" s="426"/>
      <c r="X33" s="432" t="e">
        <f t="shared" si="25"/>
        <v>#N/A</v>
      </c>
      <c r="Y33" s="572"/>
      <c r="Z33" s="420"/>
      <c r="AA33" s="426"/>
      <c r="AB33" s="426"/>
      <c r="AC33" s="432" t="e">
        <f t="shared" si="26"/>
        <v>#N/A</v>
      </c>
      <c r="AD33" s="572"/>
      <c r="AE33" s="420"/>
      <c r="AF33" s="426"/>
      <c r="AG33" s="426"/>
      <c r="AH33" s="432" t="e">
        <f t="shared" si="27"/>
        <v>#N/A</v>
      </c>
      <c r="AI33" s="572"/>
      <c r="AJ33" s="420"/>
      <c r="AK33" s="426"/>
      <c r="AL33" s="426"/>
      <c r="AM33" s="432" t="e">
        <f t="shared" si="28"/>
        <v>#N/A</v>
      </c>
      <c r="AN33" s="572"/>
      <c r="AO33" s="420"/>
      <c r="AP33" s="426"/>
      <c r="AQ33" s="426"/>
      <c r="AR33" s="432" t="e">
        <f t="shared" si="29"/>
        <v>#N/A</v>
      </c>
      <c r="AS33" s="644"/>
      <c r="AT33" s="425"/>
      <c r="AU33" s="425"/>
      <c r="AV33" s="425"/>
      <c r="AW33" s="432" t="e">
        <f t="shared" si="30"/>
        <v>#N/A</v>
      </c>
      <c r="AX33" s="643"/>
      <c r="AZ33" s="407" t="e">
        <f t="shared" si="22"/>
        <v>#N/A</v>
      </c>
      <c r="BA33" s="560"/>
    </row>
    <row r="34" spans="2:53">
      <c r="B34" s="570"/>
      <c r="C34" s="420">
        <v>8</v>
      </c>
      <c r="D34" s="226"/>
      <c r="E34" s="425"/>
      <c r="F34" s="418"/>
      <c r="G34" s="419"/>
      <c r="H34" s="579"/>
      <c r="I34" s="422" t="str">
        <f t="shared" si="19"/>
        <v>-</v>
      </c>
      <c r="J34" s="422" t="str">
        <f t="shared" si="20"/>
        <v>-</v>
      </c>
      <c r="K34" s="200" t="str">
        <f t="shared" si="21"/>
        <v>-</v>
      </c>
      <c r="L34" s="581"/>
      <c r="M34" s="432" t="e">
        <f>RANK(K34, K$24:$K$41)</f>
        <v>#VALUE!</v>
      </c>
      <c r="N34" s="564"/>
      <c r="O34" s="564"/>
      <c r="P34" s="420"/>
      <c r="Q34" s="426"/>
      <c r="R34" s="426"/>
      <c r="S34" s="432" t="e">
        <f t="shared" si="24"/>
        <v>#N/A</v>
      </c>
      <c r="T34" s="644"/>
      <c r="U34" s="420"/>
      <c r="V34" s="426"/>
      <c r="W34" s="426"/>
      <c r="X34" s="432" t="e">
        <f t="shared" si="25"/>
        <v>#N/A</v>
      </c>
      <c r="Y34" s="572"/>
      <c r="Z34" s="420"/>
      <c r="AA34" s="426"/>
      <c r="AB34" s="426"/>
      <c r="AC34" s="432" t="e">
        <f t="shared" si="26"/>
        <v>#N/A</v>
      </c>
      <c r="AD34" s="572"/>
      <c r="AE34" s="420"/>
      <c r="AF34" s="426"/>
      <c r="AG34" s="426"/>
      <c r="AH34" s="432" t="e">
        <f t="shared" si="27"/>
        <v>#N/A</v>
      </c>
      <c r="AI34" s="572"/>
      <c r="AJ34" s="420"/>
      <c r="AK34" s="426"/>
      <c r="AL34" s="426"/>
      <c r="AM34" s="432" t="e">
        <f t="shared" si="28"/>
        <v>#N/A</v>
      </c>
      <c r="AN34" s="572"/>
      <c r="AO34" s="420"/>
      <c r="AP34" s="426"/>
      <c r="AQ34" s="426"/>
      <c r="AR34" s="432" t="e">
        <f t="shared" si="29"/>
        <v>#N/A</v>
      </c>
      <c r="AS34" s="644"/>
      <c r="AT34" s="425"/>
      <c r="AU34" s="425"/>
      <c r="AV34" s="425"/>
      <c r="AW34" s="432" t="e">
        <f t="shared" si="30"/>
        <v>#N/A</v>
      </c>
      <c r="AX34" s="643"/>
      <c r="AZ34" s="407" t="e">
        <f t="shared" si="22"/>
        <v>#N/A</v>
      </c>
      <c r="BA34" s="560"/>
    </row>
    <row r="35" spans="2:53">
      <c r="B35" s="570"/>
      <c r="C35" s="420">
        <v>9</v>
      </c>
      <c r="D35" s="226"/>
      <c r="E35" s="425"/>
      <c r="F35" s="418"/>
      <c r="G35" s="419"/>
      <c r="H35" s="579"/>
      <c r="I35" s="422" t="str">
        <f t="shared" si="19"/>
        <v>-</v>
      </c>
      <c r="J35" s="422" t="str">
        <f t="shared" si="20"/>
        <v>-</v>
      </c>
      <c r="K35" s="200" t="str">
        <f t="shared" si="21"/>
        <v>-</v>
      </c>
      <c r="L35" s="581"/>
      <c r="M35" s="432" t="e">
        <f>RANK(K35, K$24:$K$41)</f>
        <v>#VALUE!</v>
      </c>
      <c r="N35" s="564"/>
      <c r="O35" s="564"/>
      <c r="P35" s="420"/>
      <c r="Q35" s="426"/>
      <c r="R35" s="426"/>
      <c r="S35" s="432" t="e">
        <f t="shared" si="24"/>
        <v>#N/A</v>
      </c>
      <c r="T35" s="644"/>
      <c r="U35" s="420"/>
      <c r="V35" s="426"/>
      <c r="W35" s="426"/>
      <c r="X35" s="432" t="e">
        <f t="shared" si="25"/>
        <v>#N/A</v>
      </c>
      <c r="Y35" s="572"/>
      <c r="Z35" s="420"/>
      <c r="AA35" s="426"/>
      <c r="AB35" s="426"/>
      <c r="AC35" s="432" t="e">
        <f t="shared" si="26"/>
        <v>#N/A</v>
      </c>
      <c r="AD35" s="572"/>
      <c r="AE35" s="420"/>
      <c r="AF35" s="426"/>
      <c r="AG35" s="426"/>
      <c r="AH35" s="432" t="e">
        <f t="shared" si="27"/>
        <v>#N/A</v>
      </c>
      <c r="AI35" s="572"/>
      <c r="AJ35" s="420"/>
      <c r="AK35" s="426"/>
      <c r="AL35" s="426"/>
      <c r="AM35" s="432" t="e">
        <f t="shared" si="28"/>
        <v>#N/A</v>
      </c>
      <c r="AN35" s="572"/>
      <c r="AO35" s="420"/>
      <c r="AP35" s="426"/>
      <c r="AQ35" s="426"/>
      <c r="AR35" s="432" t="e">
        <f t="shared" si="29"/>
        <v>#N/A</v>
      </c>
      <c r="AS35" s="644"/>
      <c r="AT35" s="425"/>
      <c r="AU35" s="425"/>
      <c r="AV35" s="425"/>
      <c r="AW35" s="432" t="e">
        <f t="shared" si="30"/>
        <v>#N/A</v>
      </c>
      <c r="AX35" s="643"/>
      <c r="AZ35" s="407" t="e">
        <f t="shared" si="22"/>
        <v>#N/A</v>
      </c>
      <c r="BA35" s="560"/>
    </row>
    <row r="36" spans="2:53">
      <c r="B36" s="570"/>
      <c r="C36" s="420">
        <v>10</v>
      </c>
      <c r="D36" s="226"/>
      <c r="E36" s="425"/>
      <c r="F36" s="418"/>
      <c r="G36" s="419"/>
      <c r="H36" s="579"/>
      <c r="I36" s="422" t="str">
        <f t="shared" si="19"/>
        <v>-</v>
      </c>
      <c r="J36" s="422" t="str">
        <f t="shared" si="20"/>
        <v>-</v>
      </c>
      <c r="K36" s="200" t="str">
        <f t="shared" si="21"/>
        <v>-</v>
      </c>
      <c r="L36" s="581"/>
      <c r="M36" s="432" t="e">
        <f>RANK(K36, K$24:$K$41)</f>
        <v>#VALUE!</v>
      </c>
      <c r="N36" s="564"/>
      <c r="O36" s="564"/>
      <c r="P36" s="420"/>
      <c r="Q36" s="426"/>
      <c r="R36" s="426"/>
      <c r="S36" s="432" t="e">
        <f t="shared" si="24"/>
        <v>#N/A</v>
      </c>
      <c r="T36" s="644"/>
      <c r="U36" s="420"/>
      <c r="V36" s="426"/>
      <c r="W36" s="426"/>
      <c r="X36" s="432" t="e">
        <f t="shared" si="25"/>
        <v>#N/A</v>
      </c>
      <c r="Y36" s="572"/>
      <c r="Z36" s="420"/>
      <c r="AA36" s="426"/>
      <c r="AB36" s="426"/>
      <c r="AC36" s="432" t="e">
        <f t="shared" si="26"/>
        <v>#N/A</v>
      </c>
      <c r="AD36" s="572"/>
      <c r="AE36" s="420"/>
      <c r="AF36" s="426"/>
      <c r="AG36" s="426"/>
      <c r="AH36" s="432" t="e">
        <f t="shared" si="27"/>
        <v>#N/A</v>
      </c>
      <c r="AI36" s="572"/>
      <c r="AJ36" s="420"/>
      <c r="AK36" s="426"/>
      <c r="AL36" s="426"/>
      <c r="AM36" s="432" t="e">
        <f t="shared" si="28"/>
        <v>#N/A</v>
      </c>
      <c r="AN36" s="572"/>
      <c r="AO36" s="420"/>
      <c r="AP36" s="426"/>
      <c r="AQ36" s="426"/>
      <c r="AR36" s="432" t="e">
        <f t="shared" si="29"/>
        <v>#N/A</v>
      </c>
      <c r="AS36" s="644"/>
      <c r="AT36" s="425"/>
      <c r="AU36" s="425"/>
      <c r="AV36" s="425"/>
      <c r="AW36" s="432" t="e">
        <f t="shared" si="30"/>
        <v>#N/A</v>
      </c>
      <c r="AX36" s="643"/>
      <c r="AZ36" s="407" t="e">
        <f t="shared" si="22"/>
        <v>#N/A</v>
      </c>
      <c r="BA36" s="560"/>
    </row>
    <row r="37" spans="2:53">
      <c r="B37" s="570"/>
      <c r="C37" s="420">
        <v>11</v>
      </c>
      <c r="D37" s="226"/>
      <c r="E37" s="425"/>
      <c r="F37" s="418"/>
      <c r="G37" s="419"/>
      <c r="H37" s="579"/>
      <c r="I37" s="422" t="str">
        <f t="shared" si="19"/>
        <v>-</v>
      </c>
      <c r="J37" s="422" t="str">
        <f t="shared" si="20"/>
        <v>-</v>
      </c>
      <c r="K37" s="200" t="str">
        <f t="shared" si="21"/>
        <v>-</v>
      </c>
      <c r="L37" s="581"/>
      <c r="M37" s="432" t="e">
        <f>RANK(K37, K$24:$K$41)</f>
        <v>#VALUE!</v>
      </c>
      <c r="N37" s="564"/>
      <c r="O37" s="564"/>
      <c r="P37" s="420"/>
      <c r="Q37" s="426"/>
      <c r="R37" s="426"/>
      <c r="S37" s="432" t="e">
        <f t="shared" si="24"/>
        <v>#N/A</v>
      </c>
      <c r="T37" s="644"/>
      <c r="U37" s="420"/>
      <c r="V37" s="426"/>
      <c r="W37" s="426"/>
      <c r="X37" s="432" t="e">
        <f t="shared" si="25"/>
        <v>#N/A</v>
      </c>
      <c r="Y37" s="572"/>
      <c r="Z37" s="420"/>
      <c r="AA37" s="426"/>
      <c r="AB37" s="426"/>
      <c r="AC37" s="432" t="e">
        <f t="shared" si="26"/>
        <v>#N/A</v>
      </c>
      <c r="AD37" s="572"/>
      <c r="AE37" s="420"/>
      <c r="AF37" s="426"/>
      <c r="AG37" s="426"/>
      <c r="AH37" s="432" t="e">
        <f t="shared" si="27"/>
        <v>#N/A</v>
      </c>
      <c r="AI37" s="572"/>
      <c r="AJ37" s="420"/>
      <c r="AK37" s="426"/>
      <c r="AL37" s="426"/>
      <c r="AM37" s="432" t="e">
        <f t="shared" si="28"/>
        <v>#N/A</v>
      </c>
      <c r="AN37" s="572"/>
      <c r="AO37" s="420"/>
      <c r="AP37" s="426"/>
      <c r="AQ37" s="426"/>
      <c r="AR37" s="432" t="e">
        <f t="shared" si="29"/>
        <v>#N/A</v>
      </c>
      <c r="AS37" s="644"/>
      <c r="AT37" s="425"/>
      <c r="AU37" s="425"/>
      <c r="AV37" s="425"/>
      <c r="AW37" s="432" t="e">
        <f t="shared" si="30"/>
        <v>#N/A</v>
      </c>
      <c r="AX37" s="643"/>
      <c r="AZ37" s="407" t="e">
        <f t="shared" si="22"/>
        <v>#N/A</v>
      </c>
      <c r="BA37" s="560"/>
    </row>
    <row r="38" spans="2:53">
      <c r="B38" s="570"/>
      <c r="C38" s="420">
        <v>12</v>
      </c>
      <c r="D38" s="226"/>
      <c r="E38" s="425"/>
      <c r="F38" s="418"/>
      <c r="G38" s="419"/>
      <c r="H38" s="579"/>
      <c r="I38" s="422" t="str">
        <f t="shared" si="19"/>
        <v>-</v>
      </c>
      <c r="J38" s="422" t="str">
        <f t="shared" si="20"/>
        <v>-</v>
      </c>
      <c r="K38" s="200" t="str">
        <f t="shared" si="21"/>
        <v>-</v>
      </c>
      <c r="L38" s="581"/>
      <c r="M38" s="432" t="e">
        <f>RANK(K38, K$24:$K$41)</f>
        <v>#VALUE!</v>
      </c>
      <c r="N38" s="564"/>
      <c r="O38" s="564"/>
      <c r="P38" s="420"/>
      <c r="Q38" s="426"/>
      <c r="R38" s="426"/>
      <c r="S38" s="432" t="e">
        <f t="shared" si="24"/>
        <v>#N/A</v>
      </c>
      <c r="T38" s="644"/>
      <c r="U38" s="420"/>
      <c r="V38" s="426"/>
      <c r="W38" s="426"/>
      <c r="X38" s="432" t="e">
        <f t="shared" si="25"/>
        <v>#N/A</v>
      </c>
      <c r="Y38" s="572"/>
      <c r="Z38" s="420"/>
      <c r="AA38" s="426"/>
      <c r="AB38" s="426"/>
      <c r="AC38" s="432" t="e">
        <f t="shared" si="26"/>
        <v>#N/A</v>
      </c>
      <c r="AD38" s="572"/>
      <c r="AE38" s="420"/>
      <c r="AF38" s="426"/>
      <c r="AG38" s="426"/>
      <c r="AH38" s="432" t="e">
        <f t="shared" si="27"/>
        <v>#N/A</v>
      </c>
      <c r="AI38" s="572"/>
      <c r="AJ38" s="420"/>
      <c r="AK38" s="426"/>
      <c r="AL38" s="426"/>
      <c r="AM38" s="432" t="e">
        <f t="shared" si="28"/>
        <v>#N/A</v>
      </c>
      <c r="AN38" s="572"/>
      <c r="AO38" s="420"/>
      <c r="AP38" s="426"/>
      <c r="AQ38" s="426"/>
      <c r="AR38" s="432" t="e">
        <f t="shared" si="29"/>
        <v>#N/A</v>
      </c>
      <c r="AS38" s="644"/>
      <c r="AT38" s="425"/>
      <c r="AU38" s="425"/>
      <c r="AV38" s="425"/>
      <c r="AW38" s="432" t="e">
        <f t="shared" si="30"/>
        <v>#N/A</v>
      </c>
      <c r="AX38" s="643"/>
      <c r="AZ38" s="407" t="e">
        <f t="shared" si="22"/>
        <v>#N/A</v>
      </c>
      <c r="BA38" s="560"/>
    </row>
    <row r="39" spans="2:53">
      <c r="B39" s="570"/>
      <c r="C39" s="420">
        <v>13</v>
      </c>
      <c r="D39" s="226"/>
      <c r="E39" s="425"/>
      <c r="F39" s="418"/>
      <c r="G39" s="419"/>
      <c r="H39" s="579"/>
      <c r="I39" s="422" t="str">
        <f t="shared" si="19"/>
        <v>-</v>
      </c>
      <c r="J39" s="422" t="str">
        <f t="shared" si="20"/>
        <v>-</v>
      </c>
      <c r="K39" s="200" t="str">
        <f t="shared" si="21"/>
        <v>-</v>
      </c>
      <c r="L39" s="581"/>
      <c r="M39" s="432" t="e">
        <f>RANK(K39, K$24:$K$41)</f>
        <v>#VALUE!</v>
      </c>
      <c r="N39" s="564"/>
      <c r="O39" s="564"/>
      <c r="P39" s="420"/>
      <c r="Q39" s="426"/>
      <c r="R39" s="426"/>
      <c r="S39" s="432" t="e">
        <f t="shared" si="24"/>
        <v>#N/A</v>
      </c>
      <c r="T39" s="644"/>
      <c r="U39" s="420"/>
      <c r="V39" s="426"/>
      <c r="W39" s="426"/>
      <c r="X39" s="432" t="e">
        <f t="shared" si="25"/>
        <v>#N/A</v>
      </c>
      <c r="Y39" s="572"/>
      <c r="Z39" s="420"/>
      <c r="AA39" s="426"/>
      <c r="AB39" s="426"/>
      <c r="AC39" s="432" t="e">
        <f t="shared" si="26"/>
        <v>#N/A</v>
      </c>
      <c r="AD39" s="572"/>
      <c r="AE39" s="420"/>
      <c r="AF39" s="426"/>
      <c r="AG39" s="426"/>
      <c r="AH39" s="432" t="e">
        <f t="shared" si="27"/>
        <v>#N/A</v>
      </c>
      <c r="AI39" s="572"/>
      <c r="AJ39" s="420"/>
      <c r="AK39" s="426"/>
      <c r="AL39" s="426"/>
      <c r="AM39" s="432" t="e">
        <f t="shared" si="28"/>
        <v>#N/A</v>
      </c>
      <c r="AN39" s="572"/>
      <c r="AO39" s="420"/>
      <c r="AP39" s="426"/>
      <c r="AQ39" s="426"/>
      <c r="AR39" s="432" t="e">
        <f t="shared" si="29"/>
        <v>#N/A</v>
      </c>
      <c r="AS39" s="644"/>
      <c r="AT39" s="425"/>
      <c r="AU39" s="425"/>
      <c r="AV39" s="425"/>
      <c r="AW39" s="432" t="e">
        <f t="shared" si="30"/>
        <v>#N/A</v>
      </c>
      <c r="AX39" s="643"/>
      <c r="AZ39" s="407" t="e">
        <f t="shared" si="22"/>
        <v>#N/A</v>
      </c>
      <c r="BA39" s="560"/>
    </row>
    <row r="40" spans="2:53">
      <c r="B40" s="570"/>
      <c r="C40" s="420">
        <v>14</v>
      </c>
      <c r="D40" s="226"/>
      <c r="E40" s="425"/>
      <c r="F40" s="418"/>
      <c r="G40" s="419"/>
      <c r="H40" s="579"/>
      <c r="I40" s="422" t="str">
        <f t="shared" si="19"/>
        <v>-</v>
      </c>
      <c r="J40" s="422" t="str">
        <f t="shared" si="20"/>
        <v>-</v>
      </c>
      <c r="K40" s="200" t="str">
        <f t="shared" si="21"/>
        <v>-</v>
      </c>
      <c r="L40" s="581"/>
      <c r="M40" s="432" t="e">
        <f>RANK(K40, K$24:$K$41)</f>
        <v>#VALUE!</v>
      </c>
      <c r="N40" s="564"/>
      <c r="O40" s="564"/>
      <c r="P40" s="420"/>
      <c r="Q40" s="426"/>
      <c r="R40" s="426"/>
      <c r="S40" s="432" t="e">
        <f t="shared" si="24"/>
        <v>#N/A</v>
      </c>
      <c r="T40" s="644"/>
      <c r="U40" s="420"/>
      <c r="V40" s="426"/>
      <c r="W40" s="426"/>
      <c r="X40" s="432" t="e">
        <f t="shared" si="25"/>
        <v>#N/A</v>
      </c>
      <c r="Y40" s="572"/>
      <c r="Z40" s="420"/>
      <c r="AA40" s="426"/>
      <c r="AB40" s="426"/>
      <c r="AC40" s="432" t="e">
        <f t="shared" si="26"/>
        <v>#N/A</v>
      </c>
      <c r="AD40" s="572"/>
      <c r="AE40" s="420"/>
      <c r="AF40" s="426"/>
      <c r="AG40" s="426"/>
      <c r="AH40" s="432" t="e">
        <f t="shared" si="27"/>
        <v>#N/A</v>
      </c>
      <c r="AI40" s="572"/>
      <c r="AJ40" s="420"/>
      <c r="AK40" s="426"/>
      <c r="AL40" s="426"/>
      <c r="AM40" s="432" t="e">
        <f t="shared" si="28"/>
        <v>#N/A</v>
      </c>
      <c r="AN40" s="572"/>
      <c r="AO40" s="420"/>
      <c r="AP40" s="426"/>
      <c r="AQ40" s="426"/>
      <c r="AR40" s="432" t="e">
        <f t="shared" si="29"/>
        <v>#N/A</v>
      </c>
      <c r="AS40" s="644"/>
      <c r="AT40" s="425"/>
      <c r="AU40" s="425"/>
      <c r="AV40" s="425"/>
      <c r="AW40" s="432" t="e">
        <f t="shared" si="30"/>
        <v>#N/A</v>
      </c>
      <c r="AX40" s="643"/>
      <c r="AZ40" s="407" t="e">
        <f t="shared" si="22"/>
        <v>#N/A</v>
      </c>
      <c r="BA40" s="560"/>
    </row>
    <row r="41" spans="2:53">
      <c r="B41" s="570"/>
      <c r="C41" s="420">
        <v>15</v>
      </c>
      <c r="D41" s="226"/>
      <c r="E41" s="425"/>
      <c r="F41" s="418"/>
      <c r="G41" s="419"/>
      <c r="H41" s="639"/>
      <c r="I41" s="420"/>
      <c r="J41" s="420"/>
      <c r="K41" s="420"/>
      <c r="L41" s="582"/>
      <c r="M41" s="432" t="e">
        <f>RANK(K41, K$24:$K$41)</f>
        <v>#N/A</v>
      </c>
      <c r="N41" s="564"/>
      <c r="O41" s="564"/>
      <c r="P41" s="420"/>
      <c r="Q41" s="426"/>
      <c r="R41" s="426"/>
      <c r="S41" s="432" t="e">
        <f t="shared" si="24"/>
        <v>#N/A</v>
      </c>
      <c r="T41" s="644"/>
      <c r="U41" s="420"/>
      <c r="V41" s="426"/>
      <c r="W41" s="426"/>
      <c r="X41" s="432" t="e">
        <f t="shared" si="25"/>
        <v>#N/A</v>
      </c>
      <c r="Y41" s="572"/>
      <c r="Z41" s="420"/>
      <c r="AA41" s="426"/>
      <c r="AB41" s="426"/>
      <c r="AC41" s="432" t="e">
        <f t="shared" si="26"/>
        <v>#N/A</v>
      </c>
      <c r="AD41" s="572"/>
      <c r="AE41" s="420"/>
      <c r="AF41" s="426"/>
      <c r="AG41" s="426"/>
      <c r="AH41" s="432" t="e">
        <f t="shared" si="27"/>
        <v>#N/A</v>
      </c>
      <c r="AI41" s="572"/>
      <c r="AJ41" s="420"/>
      <c r="AK41" s="426"/>
      <c r="AL41" s="426"/>
      <c r="AM41" s="432" t="e">
        <f t="shared" si="28"/>
        <v>#N/A</v>
      </c>
      <c r="AN41" s="572"/>
      <c r="AO41" s="420"/>
      <c r="AP41" s="426"/>
      <c r="AQ41" s="426"/>
      <c r="AR41" s="432" t="e">
        <f t="shared" si="29"/>
        <v>#N/A</v>
      </c>
      <c r="AS41" s="644"/>
      <c r="AT41" s="425"/>
      <c r="AU41" s="425"/>
      <c r="AV41" s="425"/>
      <c r="AW41" s="432" t="e">
        <f t="shared" si="30"/>
        <v>#N/A</v>
      </c>
      <c r="AX41" s="643"/>
      <c r="AZ41" s="407" t="e">
        <f t="shared" si="22"/>
        <v>#N/A</v>
      </c>
      <c r="BA41" s="561"/>
    </row>
    <row r="42" spans="2:53" ht="15.75">
      <c r="B42" s="608" t="s">
        <v>163</v>
      </c>
      <c r="C42" s="609"/>
      <c r="D42" s="609"/>
      <c r="E42" s="609"/>
      <c r="F42" s="609"/>
      <c r="G42" s="609"/>
      <c r="H42" s="609"/>
      <c r="I42" s="208"/>
      <c r="J42" s="203"/>
      <c r="K42" s="208"/>
      <c r="L42" s="208"/>
      <c r="M42" s="204"/>
      <c r="N42" s="566" t="s">
        <v>156</v>
      </c>
      <c r="O42" s="566" t="s">
        <v>105</v>
      </c>
      <c r="P42" s="592">
        <f>P22+7</f>
        <v>46154</v>
      </c>
      <c r="Q42" s="570"/>
      <c r="R42" s="570"/>
      <c r="S42" s="570"/>
      <c r="T42" s="570"/>
      <c r="U42" s="589">
        <f>P42+1</f>
        <v>46155</v>
      </c>
      <c r="V42" s="590"/>
      <c r="W42" s="590"/>
      <c r="X42" s="590"/>
      <c r="Y42" s="591"/>
      <c r="Z42" s="589">
        <f>U42+1</f>
        <v>46156</v>
      </c>
      <c r="AA42" s="590"/>
      <c r="AB42" s="590"/>
      <c r="AC42" s="590"/>
      <c r="AD42" s="591"/>
      <c r="AE42" s="589">
        <f>Z42+1</f>
        <v>46157</v>
      </c>
      <c r="AF42" s="590"/>
      <c r="AG42" s="590"/>
      <c r="AH42" s="590"/>
      <c r="AI42" s="591"/>
      <c r="AJ42" s="589">
        <f>AE42+1</f>
        <v>46158</v>
      </c>
      <c r="AK42" s="590"/>
      <c r="AL42" s="590"/>
      <c r="AM42" s="590"/>
      <c r="AN42" s="591"/>
      <c r="AO42" s="589">
        <f>AJ42+1</f>
        <v>46159</v>
      </c>
      <c r="AP42" s="590"/>
      <c r="AQ42" s="590"/>
      <c r="AR42" s="590"/>
      <c r="AS42" s="591"/>
      <c r="AT42" s="589">
        <f>AO42+1</f>
        <v>46160</v>
      </c>
      <c r="AU42" s="590"/>
      <c r="AV42" s="590"/>
      <c r="AW42" s="590"/>
      <c r="AX42" s="591"/>
    </row>
    <row r="43" spans="2:53" ht="15.75">
      <c r="B43" s="596"/>
      <c r="C43" s="596"/>
      <c r="D43" s="596"/>
      <c r="E43" s="596"/>
      <c r="F43" s="596"/>
      <c r="G43" s="596"/>
      <c r="H43" s="596"/>
      <c r="I43" s="205"/>
      <c r="J43" s="205"/>
      <c r="K43" s="205"/>
      <c r="L43" s="205"/>
      <c r="M43" s="206"/>
      <c r="N43" s="568"/>
      <c r="O43" s="568"/>
      <c r="P43" s="592" t="s">
        <v>318</v>
      </c>
      <c r="Q43" s="570"/>
      <c r="R43" s="570"/>
      <c r="S43" s="570"/>
      <c r="T43" s="570"/>
      <c r="U43" s="592" t="s">
        <v>319</v>
      </c>
      <c r="V43" s="570"/>
      <c r="W43" s="570"/>
      <c r="X43" s="570"/>
      <c r="Y43" s="570"/>
      <c r="Z43" s="592" t="s">
        <v>320</v>
      </c>
      <c r="AA43" s="570"/>
      <c r="AB43" s="570"/>
      <c r="AC43" s="570"/>
      <c r="AD43" s="570"/>
      <c r="AE43" s="592" t="s">
        <v>321</v>
      </c>
      <c r="AF43" s="570"/>
      <c r="AG43" s="570"/>
      <c r="AH43" s="570"/>
      <c r="AI43" s="570"/>
      <c r="AJ43" s="592" t="s">
        <v>322</v>
      </c>
      <c r="AK43" s="570"/>
      <c r="AL43" s="570"/>
      <c r="AM43" s="570"/>
      <c r="AN43" s="570"/>
      <c r="AO43" s="592" t="s">
        <v>323</v>
      </c>
      <c r="AP43" s="570"/>
      <c r="AQ43" s="570"/>
      <c r="AR43" s="570"/>
      <c r="AS43" s="570"/>
      <c r="AT43" s="592" t="s">
        <v>324</v>
      </c>
      <c r="AU43" s="570"/>
      <c r="AV43" s="570"/>
      <c r="AW43" s="570"/>
      <c r="AX43" s="570"/>
    </row>
    <row r="44" spans="2:53">
      <c r="B44" s="564" t="s">
        <v>377</v>
      </c>
      <c r="C44" s="564" t="s">
        <v>560</v>
      </c>
      <c r="D44" s="564"/>
      <c r="E44" s="564" t="s">
        <v>561</v>
      </c>
      <c r="F44" s="564"/>
      <c r="G44" s="564"/>
      <c r="H44" s="597" t="s">
        <v>562</v>
      </c>
      <c r="I44" s="564" t="s">
        <v>563</v>
      </c>
      <c r="J44" s="564"/>
      <c r="K44" s="564"/>
      <c r="L44" s="597" t="s">
        <v>374</v>
      </c>
      <c r="M44" s="566" t="s">
        <v>564</v>
      </c>
      <c r="N44" s="564"/>
      <c r="O44" s="564" t="s">
        <v>565</v>
      </c>
      <c r="P44" s="583" t="s">
        <v>376</v>
      </c>
      <c r="Q44" s="584"/>
      <c r="R44" s="584"/>
      <c r="S44" s="585"/>
      <c r="T44" s="564" t="s">
        <v>374</v>
      </c>
      <c r="U44" s="583" t="s">
        <v>376</v>
      </c>
      <c r="V44" s="584"/>
      <c r="W44" s="584"/>
      <c r="X44" s="585"/>
      <c r="Y44" s="564" t="s">
        <v>374</v>
      </c>
      <c r="Z44" s="583" t="s">
        <v>376</v>
      </c>
      <c r="AA44" s="584"/>
      <c r="AB44" s="584"/>
      <c r="AC44" s="585"/>
      <c r="AD44" s="564" t="s">
        <v>374</v>
      </c>
      <c r="AE44" s="583" t="s">
        <v>376</v>
      </c>
      <c r="AF44" s="584"/>
      <c r="AG44" s="584"/>
      <c r="AH44" s="585"/>
      <c r="AI44" s="564" t="s">
        <v>374</v>
      </c>
      <c r="AJ44" s="583" t="s">
        <v>376</v>
      </c>
      <c r="AK44" s="584"/>
      <c r="AL44" s="584"/>
      <c r="AM44" s="585"/>
      <c r="AN44" s="564" t="s">
        <v>374</v>
      </c>
      <c r="AO44" s="583" t="s">
        <v>376</v>
      </c>
      <c r="AP44" s="584"/>
      <c r="AQ44" s="584"/>
      <c r="AR44" s="585"/>
      <c r="AS44" s="564" t="s">
        <v>374</v>
      </c>
      <c r="AT44" s="583" t="s">
        <v>376</v>
      </c>
      <c r="AU44" s="584"/>
      <c r="AV44" s="584"/>
      <c r="AW44" s="585"/>
      <c r="AX44" s="564" t="s">
        <v>374</v>
      </c>
      <c r="BA44" s="564" t="s">
        <v>374</v>
      </c>
    </row>
    <row r="45" spans="2:53">
      <c r="B45" s="564"/>
      <c r="C45" s="564"/>
      <c r="D45" s="564"/>
      <c r="E45" s="564" t="s">
        <v>566</v>
      </c>
      <c r="F45" s="564"/>
      <c r="G45" s="564"/>
      <c r="H45" s="598"/>
      <c r="I45" s="564" t="s">
        <v>566</v>
      </c>
      <c r="J45" s="564"/>
      <c r="K45" s="564"/>
      <c r="L45" s="598"/>
      <c r="M45" s="567"/>
      <c r="N45" s="564"/>
      <c r="O45" s="564"/>
      <c r="P45" s="583" t="s">
        <v>382</v>
      </c>
      <c r="Q45" s="584"/>
      <c r="R45" s="584"/>
      <c r="S45" s="585"/>
      <c r="T45" s="564"/>
      <c r="U45" s="583" t="s">
        <v>382</v>
      </c>
      <c r="V45" s="584"/>
      <c r="W45" s="584"/>
      <c r="X45" s="585"/>
      <c r="Y45" s="564"/>
      <c r="Z45" s="583" t="s">
        <v>382</v>
      </c>
      <c r="AA45" s="584"/>
      <c r="AB45" s="584"/>
      <c r="AC45" s="585"/>
      <c r="AD45" s="564"/>
      <c r="AE45" s="583" t="s">
        <v>382</v>
      </c>
      <c r="AF45" s="584"/>
      <c r="AG45" s="584"/>
      <c r="AH45" s="585"/>
      <c r="AI45" s="564"/>
      <c r="AJ45" s="583" t="s">
        <v>382</v>
      </c>
      <c r="AK45" s="584"/>
      <c r="AL45" s="584"/>
      <c r="AM45" s="585"/>
      <c r="AN45" s="564"/>
      <c r="AO45" s="583" t="s">
        <v>382</v>
      </c>
      <c r="AP45" s="584"/>
      <c r="AQ45" s="584"/>
      <c r="AR45" s="585"/>
      <c r="AS45" s="564"/>
      <c r="AT45" s="583" t="s">
        <v>382</v>
      </c>
      <c r="AU45" s="584"/>
      <c r="AV45" s="584"/>
      <c r="AW45" s="585"/>
      <c r="AX45" s="564"/>
      <c r="BA45" s="564"/>
    </row>
    <row r="46" spans="2:53">
      <c r="B46" s="564"/>
      <c r="C46" s="564"/>
      <c r="D46" s="564"/>
      <c r="E46" s="417" t="s">
        <v>567</v>
      </c>
      <c r="F46" s="417" t="s">
        <v>568</v>
      </c>
      <c r="G46" s="417" t="s">
        <v>569</v>
      </c>
      <c r="H46" s="599"/>
      <c r="I46" s="417" t="s">
        <v>567</v>
      </c>
      <c r="J46" s="417" t="s">
        <v>568</v>
      </c>
      <c r="K46" s="417" t="s">
        <v>569</v>
      </c>
      <c r="L46" s="599"/>
      <c r="M46" s="568"/>
      <c r="N46" s="564"/>
      <c r="O46" s="564"/>
      <c r="P46" s="417" t="s">
        <v>383</v>
      </c>
      <c r="Q46" s="417" t="s">
        <v>384</v>
      </c>
      <c r="R46" s="417" t="s">
        <v>385</v>
      </c>
      <c r="S46" s="417" t="s">
        <v>375</v>
      </c>
      <c r="T46" s="564"/>
      <c r="U46" s="417" t="s">
        <v>383</v>
      </c>
      <c r="V46" s="417" t="s">
        <v>384</v>
      </c>
      <c r="W46" s="417" t="s">
        <v>385</v>
      </c>
      <c r="X46" s="417" t="s">
        <v>375</v>
      </c>
      <c r="Y46" s="564"/>
      <c r="Z46" s="417" t="s">
        <v>383</v>
      </c>
      <c r="AA46" s="417" t="s">
        <v>384</v>
      </c>
      <c r="AB46" s="417" t="s">
        <v>385</v>
      </c>
      <c r="AC46" s="417" t="s">
        <v>375</v>
      </c>
      <c r="AD46" s="564"/>
      <c r="AE46" s="417" t="s">
        <v>383</v>
      </c>
      <c r="AF46" s="417" t="s">
        <v>384</v>
      </c>
      <c r="AG46" s="417" t="s">
        <v>385</v>
      </c>
      <c r="AH46" s="417" t="s">
        <v>375</v>
      </c>
      <c r="AI46" s="564"/>
      <c r="AJ46" s="417" t="s">
        <v>383</v>
      </c>
      <c r="AK46" s="417" t="s">
        <v>384</v>
      </c>
      <c r="AL46" s="417" t="s">
        <v>385</v>
      </c>
      <c r="AM46" s="417" t="s">
        <v>375</v>
      </c>
      <c r="AN46" s="564"/>
      <c r="AO46" s="417" t="s">
        <v>383</v>
      </c>
      <c r="AP46" s="417" t="s">
        <v>384</v>
      </c>
      <c r="AQ46" s="417" t="s">
        <v>385</v>
      </c>
      <c r="AR46" s="417" t="s">
        <v>375</v>
      </c>
      <c r="AS46" s="564"/>
      <c r="AT46" s="417" t="s">
        <v>383</v>
      </c>
      <c r="AU46" s="417" t="s">
        <v>384</v>
      </c>
      <c r="AV46" s="417" t="s">
        <v>385</v>
      </c>
      <c r="AW46" s="417" t="s">
        <v>375</v>
      </c>
      <c r="AX46" s="564"/>
      <c r="AZ46" s="406" t="s">
        <v>595</v>
      </c>
      <c r="BA46" s="564"/>
    </row>
    <row r="47" spans="2:53">
      <c r="B47" s="564" t="s">
        <v>389</v>
      </c>
      <c r="C47" s="420">
        <v>1</v>
      </c>
      <c r="D47" s="226" t="s">
        <v>678</v>
      </c>
      <c r="E47" s="425">
        <v>14</v>
      </c>
      <c r="F47" s="418">
        <v>1500</v>
      </c>
      <c r="G47" s="419">
        <v>107.1</v>
      </c>
      <c r="H47" s="578">
        <f>AVERAGE(G47:G61)</f>
        <v>100.13333333333333</v>
      </c>
      <c r="I47" s="422">
        <f t="shared" ref="I47:I60" si="31">IFERROR(AVERAGE(P47,U47,Z47,AE47,AJ47,AO47,AT47),"-")</f>
        <v>14</v>
      </c>
      <c r="J47" s="422">
        <f t="shared" ref="J47:J60" si="32">IFERROR(AVERAGE(Q47,V47,AA47,AF47,AK47,AP47,AU47),"-")</f>
        <v>1460.1255633363107</v>
      </c>
      <c r="K47" s="200">
        <f t="shared" ref="K47:K60" si="33">IFERROR(AVERAGE(R47,W47,AB47,AG47,AL47,AQ47,AV47),"-")</f>
        <v>104.29468309545078</v>
      </c>
      <c r="L47" s="580">
        <f>IFERROR(AVERAGE(K47:K61),"-")</f>
        <v>87.806373789692387</v>
      </c>
      <c r="M47" s="501">
        <f>RANK(K47, K$47:$K$61)</f>
        <v>1</v>
      </c>
      <c r="N47" s="564"/>
      <c r="O47" s="564"/>
      <c r="P47" s="498">
        <v>14</v>
      </c>
      <c r="Q47" s="425">
        <v>1441.1803278688519</v>
      </c>
      <c r="R47" s="425">
        <v>102.94145199063227</v>
      </c>
      <c r="S47" s="498">
        <f t="shared" ref="S47:S61" si="34">RANK(R47, R$47:R$61)</f>
        <v>1</v>
      </c>
      <c r="T47" s="610">
        <f t="shared" ref="T47" si="35">AVERAGE(R47:R61)</f>
        <v>87.371408483463611</v>
      </c>
      <c r="U47" s="498">
        <v>14</v>
      </c>
      <c r="V47" s="425">
        <v>1464.3380281690143</v>
      </c>
      <c r="W47" s="425">
        <v>104.59557344064388</v>
      </c>
      <c r="X47" s="498">
        <f t="shared" ref="X47:X61" si="36">RANK(W47, W$47:W$61)</f>
        <v>1</v>
      </c>
      <c r="Y47" s="610">
        <f t="shared" ref="Y47" si="37">AVERAGE(W47:W61)</f>
        <v>87.094653460343352</v>
      </c>
      <c r="Z47" s="498">
        <v>14</v>
      </c>
      <c r="AA47" s="425">
        <v>1452.2637362637363</v>
      </c>
      <c r="AB47" s="425">
        <v>103.73312401883831</v>
      </c>
      <c r="AC47" s="498">
        <f t="shared" ref="AC47:AC61" si="38">RANK(AB47, AB$47:AB$61)</f>
        <v>1</v>
      </c>
      <c r="AD47" s="610">
        <f t="shared" ref="AD47" si="39">AVERAGE(AB47:AB61)</f>
        <v>88.490048941615839</v>
      </c>
      <c r="AE47" s="498">
        <v>14</v>
      </c>
      <c r="AF47" s="425">
        <v>1471.7288135593212</v>
      </c>
      <c r="AG47" s="425">
        <v>105.12348668280866</v>
      </c>
      <c r="AH47" s="498">
        <f t="shared" ref="AH47:AH61" si="40">RANK(AG47, AG$47:AG$61)</f>
        <v>1</v>
      </c>
      <c r="AI47" s="610">
        <f t="shared" ref="AI47" si="41">AVERAGE(AG47:AG61)</f>
        <v>87.695168731480635</v>
      </c>
      <c r="AJ47" s="498">
        <v>14</v>
      </c>
      <c r="AK47" s="425">
        <v>1443.0422535211271</v>
      </c>
      <c r="AL47" s="425">
        <v>103.07444668008051</v>
      </c>
      <c r="AM47" s="498">
        <f t="shared" ref="AM47:AM61" si="42">RANK(AL47, AL$47:AL$61)</f>
        <v>1</v>
      </c>
      <c r="AN47" s="610">
        <f t="shared" ref="AN47" si="43">AVERAGE(AL47:AL61)</f>
        <v>88.065618363799786</v>
      </c>
      <c r="AO47" s="498">
        <v>14</v>
      </c>
      <c r="AP47" s="425">
        <v>1474.6829268292677</v>
      </c>
      <c r="AQ47" s="425">
        <v>105.33449477351913</v>
      </c>
      <c r="AR47" s="498">
        <f t="shared" ref="AR47:AR61" si="44">RANK(AQ47, AQ$47:AQ$61)</f>
        <v>1</v>
      </c>
      <c r="AS47" s="610">
        <f t="shared" ref="AS47" si="45">AVERAGE(AQ47:AQ61)</f>
        <v>88.644607606516672</v>
      </c>
      <c r="AT47" s="498">
        <v>14</v>
      </c>
      <c r="AU47" s="425">
        <v>1473.6428571428567</v>
      </c>
      <c r="AV47" s="425">
        <v>105.26020408163262</v>
      </c>
      <c r="AW47" s="498">
        <f t="shared" ref="AW47:AW61" si="46">RANK(AV47, AV$47:AV$61)</f>
        <v>1</v>
      </c>
      <c r="AX47" s="610">
        <f t="shared" ref="AX47" si="47">AVERAGE(AV47:AV61)</f>
        <v>87.28311094062677</v>
      </c>
      <c r="AZ47" s="407" t="e">
        <f t="shared" ref="AZ47:AZ61" si="48">RANK(AY47, AY$47:AY$61)</f>
        <v>#N/A</v>
      </c>
      <c r="BA47" s="610" t="e">
        <f t="shared" ref="BA47" si="49">AVERAGE(AY47:AY61)</f>
        <v>#DIV/0!</v>
      </c>
    </row>
    <row r="48" spans="2:53">
      <c r="B48" s="570"/>
      <c r="C48" s="420">
        <v>2</v>
      </c>
      <c r="D48" s="226" t="s">
        <v>543</v>
      </c>
      <c r="E48" s="425">
        <v>16</v>
      </c>
      <c r="F48" s="418">
        <v>1636</v>
      </c>
      <c r="G48" s="419">
        <v>102.3</v>
      </c>
      <c r="H48" s="579"/>
      <c r="I48" s="422">
        <f t="shared" si="31"/>
        <v>16.857142857142858</v>
      </c>
      <c r="J48" s="422">
        <f t="shared" si="32"/>
        <v>1425.8077671486994</v>
      </c>
      <c r="K48" s="200">
        <f t="shared" si="33"/>
        <v>84.625596947122375</v>
      </c>
      <c r="L48" s="581"/>
      <c r="M48" s="501">
        <f>RANK(K48, K$47:$K$61)</f>
        <v>3</v>
      </c>
      <c r="N48" s="564"/>
      <c r="O48" s="564"/>
      <c r="P48" s="498">
        <v>17</v>
      </c>
      <c r="Q48" s="425">
        <v>1428.8372093023254</v>
      </c>
      <c r="R48" s="425">
        <v>84.049247606019136</v>
      </c>
      <c r="S48" s="498">
        <f t="shared" si="34"/>
        <v>4</v>
      </c>
      <c r="T48" s="611"/>
      <c r="U48" s="498">
        <v>17</v>
      </c>
      <c r="V48" s="425">
        <v>1419.3333333333333</v>
      </c>
      <c r="W48" s="425">
        <v>83.490196078431367</v>
      </c>
      <c r="X48" s="498">
        <f t="shared" si="36"/>
        <v>4</v>
      </c>
      <c r="Y48" s="611"/>
      <c r="Z48" s="498">
        <v>17</v>
      </c>
      <c r="AA48" s="425">
        <v>1439.2500000000007</v>
      </c>
      <c r="AB48" s="425">
        <v>84.661764705882391</v>
      </c>
      <c r="AC48" s="498">
        <f t="shared" si="38"/>
        <v>4</v>
      </c>
      <c r="AD48" s="611"/>
      <c r="AE48" s="498">
        <v>17</v>
      </c>
      <c r="AF48" s="425">
        <v>1393.8461538461536</v>
      </c>
      <c r="AG48" s="425">
        <v>81.990950226244323</v>
      </c>
      <c r="AH48" s="498">
        <f t="shared" si="40"/>
        <v>4</v>
      </c>
      <c r="AI48" s="611"/>
      <c r="AJ48" s="498">
        <v>17</v>
      </c>
      <c r="AK48" s="425">
        <v>1416.3380281690136</v>
      </c>
      <c r="AL48" s="425">
        <v>83.314001657000802</v>
      </c>
      <c r="AM48" s="498">
        <f t="shared" si="42"/>
        <v>4</v>
      </c>
      <c r="AN48" s="611"/>
      <c r="AO48" s="498">
        <v>16</v>
      </c>
      <c r="AP48" s="425">
        <v>1436.6666666666658</v>
      </c>
      <c r="AQ48" s="425">
        <v>89.791666666666615</v>
      </c>
      <c r="AR48" s="498">
        <f t="shared" si="44"/>
        <v>3</v>
      </c>
      <c r="AS48" s="611"/>
      <c r="AT48" s="498">
        <v>17</v>
      </c>
      <c r="AU48" s="425">
        <v>1446.3829787234038</v>
      </c>
      <c r="AV48" s="425">
        <v>85.081351689611992</v>
      </c>
      <c r="AW48" s="498">
        <f t="shared" si="46"/>
        <v>3</v>
      </c>
      <c r="AX48" s="611"/>
      <c r="AZ48" s="407" t="e">
        <f t="shared" si="48"/>
        <v>#N/A</v>
      </c>
      <c r="BA48" s="611"/>
    </row>
    <row r="49" spans="2:53">
      <c r="B49" s="570"/>
      <c r="C49" s="420">
        <v>3</v>
      </c>
      <c r="D49" s="226" t="s">
        <v>645</v>
      </c>
      <c r="E49" s="425">
        <v>17</v>
      </c>
      <c r="F49" s="418">
        <v>1500</v>
      </c>
      <c r="G49" s="419">
        <v>88.2</v>
      </c>
      <c r="H49" s="579"/>
      <c r="I49" s="422">
        <f t="shared" si="31"/>
        <v>17</v>
      </c>
      <c r="J49" s="422">
        <f t="shared" si="32"/>
        <v>1429.5296351868105</v>
      </c>
      <c r="K49" s="200">
        <f t="shared" si="33"/>
        <v>84.089978540400594</v>
      </c>
      <c r="L49" s="581"/>
      <c r="M49" s="501">
        <f>RANK(K49, K$47:$K$61)</f>
        <v>4</v>
      </c>
      <c r="N49" s="564"/>
      <c r="O49" s="564"/>
      <c r="P49" s="498">
        <v>17</v>
      </c>
      <c r="Q49" s="425">
        <v>1432.0194174757289</v>
      </c>
      <c r="R49" s="425">
        <v>84.236436322101696</v>
      </c>
      <c r="S49" s="498">
        <f t="shared" si="34"/>
        <v>3</v>
      </c>
      <c r="T49" s="611"/>
      <c r="U49" s="498">
        <v>17</v>
      </c>
      <c r="V49" s="425">
        <v>1433.545454545455</v>
      </c>
      <c r="W49" s="425">
        <v>84.32620320855618</v>
      </c>
      <c r="X49" s="498">
        <f t="shared" si="36"/>
        <v>3</v>
      </c>
      <c r="Y49" s="611"/>
      <c r="Z49" s="498">
        <v>17</v>
      </c>
      <c r="AA49" s="425">
        <v>1446.1855670103096</v>
      </c>
      <c r="AB49" s="425">
        <v>85.069739235900556</v>
      </c>
      <c r="AC49" s="498">
        <f t="shared" si="38"/>
        <v>3</v>
      </c>
      <c r="AD49" s="611"/>
      <c r="AE49" s="498">
        <v>17</v>
      </c>
      <c r="AF49" s="425">
        <v>1415.655172413793</v>
      </c>
      <c r="AG49" s="425">
        <v>83.273833671399586</v>
      </c>
      <c r="AH49" s="498">
        <f t="shared" si="40"/>
        <v>3</v>
      </c>
      <c r="AI49" s="611"/>
      <c r="AJ49" s="498">
        <v>17</v>
      </c>
      <c r="AK49" s="425">
        <v>1439.1</v>
      </c>
      <c r="AL49" s="425">
        <v>84.652941176470577</v>
      </c>
      <c r="AM49" s="498">
        <f t="shared" si="42"/>
        <v>3</v>
      </c>
      <c r="AN49" s="611"/>
      <c r="AO49" s="498">
        <v>17</v>
      </c>
      <c r="AP49" s="425">
        <v>1417.954128440367</v>
      </c>
      <c r="AQ49" s="425">
        <v>83.409066378845111</v>
      </c>
      <c r="AR49" s="498">
        <f t="shared" si="44"/>
        <v>4</v>
      </c>
      <c r="AS49" s="611"/>
      <c r="AT49" s="498">
        <v>17</v>
      </c>
      <c r="AU49" s="425">
        <v>1422.2477064220182</v>
      </c>
      <c r="AV49" s="425">
        <v>83.66162978953048</v>
      </c>
      <c r="AW49" s="498">
        <f t="shared" si="46"/>
        <v>4</v>
      </c>
      <c r="AX49" s="611"/>
      <c r="AZ49" s="407" t="e">
        <f t="shared" si="48"/>
        <v>#N/A</v>
      </c>
      <c r="BA49" s="611"/>
    </row>
    <row r="50" spans="2:53">
      <c r="B50" s="570"/>
      <c r="C50" s="420">
        <v>4</v>
      </c>
      <c r="D50" s="226" t="s">
        <v>656</v>
      </c>
      <c r="E50" s="425">
        <v>16</v>
      </c>
      <c r="F50" s="418">
        <v>1500</v>
      </c>
      <c r="G50" s="419">
        <v>93.8</v>
      </c>
      <c r="H50" s="579"/>
      <c r="I50" s="422">
        <f t="shared" si="31"/>
        <v>17</v>
      </c>
      <c r="J50" s="422">
        <f t="shared" si="32"/>
        <v>1358.5460182889751</v>
      </c>
      <c r="K50" s="200">
        <f t="shared" si="33"/>
        <v>79.914471664057373</v>
      </c>
      <c r="L50" s="581"/>
      <c r="M50" s="501">
        <f>RANK(K50, K$47:$K$61)</f>
        <v>6</v>
      </c>
      <c r="N50" s="564"/>
      <c r="O50" s="564"/>
      <c r="P50" s="498">
        <v>17</v>
      </c>
      <c r="Q50" s="425">
        <v>1362.2950819672133</v>
      </c>
      <c r="R50" s="425">
        <v>80.135004821600774</v>
      </c>
      <c r="S50" s="498">
        <f t="shared" si="34"/>
        <v>5</v>
      </c>
      <c r="T50" s="611"/>
      <c r="U50" s="498">
        <v>17</v>
      </c>
      <c r="V50" s="425">
        <v>1349.7637795275587</v>
      </c>
      <c r="W50" s="425">
        <v>79.39786938397404</v>
      </c>
      <c r="X50" s="498">
        <f t="shared" si="36"/>
        <v>6</v>
      </c>
      <c r="Y50" s="611"/>
      <c r="Z50" s="498">
        <v>17</v>
      </c>
      <c r="AA50" s="425">
        <v>1374.8275862068967</v>
      </c>
      <c r="AB50" s="425">
        <v>80.872210953346865</v>
      </c>
      <c r="AC50" s="498">
        <f t="shared" si="38"/>
        <v>6</v>
      </c>
      <c r="AD50" s="611"/>
      <c r="AE50" s="498">
        <v>17</v>
      </c>
      <c r="AF50" s="425">
        <v>1339.0099009900985</v>
      </c>
      <c r="AG50" s="425">
        <v>78.765288293535207</v>
      </c>
      <c r="AH50" s="498">
        <f t="shared" si="40"/>
        <v>6</v>
      </c>
      <c r="AI50" s="611"/>
      <c r="AJ50" s="498">
        <v>17</v>
      </c>
      <c r="AK50" s="425">
        <v>1369.69696969697</v>
      </c>
      <c r="AL50" s="425">
        <v>80.570409982174709</v>
      </c>
      <c r="AM50" s="498">
        <f t="shared" si="42"/>
        <v>6</v>
      </c>
      <c r="AN50" s="611"/>
      <c r="AO50" s="498">
        <v>17</v>
      </c>
      <c r="AP50" s="425">
        <v>1365.8823529411768</v>
      </c>
      <c r="AQ50" s="425">
        <v>80.346020761245697</v>
      </c>
      <c r="AR50" s="498">
        <f t="shared" si="44"/>
        <v>6</v>
      </c>
      <c r="AS50" s="611"/>
      <c r="AT50" s="498">
        <v>17</v>
      </c>
      <c r="AU50" s="425">
        <v>1348.3464566929131</v>
      </c>
      <c r="AV50" s="425">
        <v>79.314497452524293</v>
      </c>
      <c r="AW50" s="498">
        <f t="shared" si="46"/>
        <v>6</v>
      </c>
      <c r="AX50" s="611"/>
      <c r="AZ50" s="407" t="e">
        <f t="shared" si="48"/>
        <v>#N/A</v>
      </c>
      <c r="BA50" s="611"/>
    </row>
    <row r="51" spans="2:53">
      <c r="B51" s="570"/>
      <c r="C51" s="420">
        <v>5</v>
      </c>
      <c r="D51" s="226" t="s">
        <v>642</v>
      </c>
      <c r="E51" s="425">
        <v>15</v>
      </c>
      <c r="F51" s="418">
        <v>1500</v>
      </c>
      <c r="G51" s="419">
        <v>107.1</v>
      </c>
      <c r="H51" s="579"/>
      <c r="I51" s="422">
        <f t="shared" si="31"/>
        <v>15.428571428571429</v>
      </c>
      <c r="J51" s="422">
        <f t="shared" si="32"/>
        <v>1428.910735023909</v>
      </c>
      <c r="K51" s="200">
        <f t="shared" si="33"/>
        <v>92.707667826830047</v>
      </c>
      <c r="L51" s="581"/>
      <c r="M51" s="501">
        <f>RANK(K51, K$47:$K$61)</f>
        <v>2</v>
      </c>
      <c r="N51" s="564"/>
      <c r="O51" s="564"/>
      <c r="P51" s="498">
        <v>15</v>
      </c>
      <c r="Q51" s="425">
        <v>1426.5240641711225</v>
      </c>
      <c r="R51" s="425">
        <v>95.101604278074831</v>
      </c>
      <c r="S51" s="498">
        <f t="shared" si="34"/>
        <v>2</v>
      </c>
      <c r="T51" s="611"/>
      <c r="U51" s="498">
        <v>16</v>
      </c>
      <c r="V51" s="425">
        <v>1413.8547486033526</v>
      </c>
      <c r="W51" s="425">
        <v>88.365921787709539</v>
      </c>
      <c r="X51" s="498">
        <f t="shared" si="36"/>
        <v>2</v>
      </c>
      <c r="Y51" s="611"/>
      <c r="Z51" s="498">
        <v>15</v>
      </c>
      <c r="AA51" s="425">
        <v>1427.3885350318471</v>
      </c>
      <c r="AB51" s="425">
        <v>95.159235668789805</v>
      </c>
      <c r="AC51" s="498">
        <f t="shared" si="38"/>
        <v>2</v>
      </c>
      <c r="AD51" s="611"/>
      <c r="AE51" s="498">
        <v>15</v>
      </c>
      <c r="AF51" s="425">
        <v>1435.9459459459465</v>
      </c>
      <c r="AG51" s="425">
        <v>95.729729729729769</v>
      </c>
      <c r="AH51" s="498">
        <f t="shared" si="40"/>
        <v>2</v>
      </c>
      <c r="AI51" s="611"/>
      <c r="AJ51" s="498">
        <v>15</v>
      </c>
      <c r="AK51" s="425">
        <v>1423.3962264150944</v>
      </c>
      <c r="AL51" s="425">
        <v>94.893081761006286</v>
      </c>
      <c r="AM51" s="498">
        <f t="shared" si="42"/>
        <v>2</v>
      </c>
      <c r="AN51" s="611"/>
      <c r="AO51" s="498">
        <v>16</v>
      </c>
      <c r="AP51" s="425">
        <v>1447.5</v>
      </c>
      <c r="AQ51" s="425">
        <v>90.46875</v>
      </c>
      <c r="AR51" s="498">
        <f t="shared" si="44"/>
        <v>2</v>
      </c>
      <c r="AS51" s="611"/>
      <c r="AT51" s="498">
        <v>16</v>
      </c>
      <c r="AU51" s="425">
        <v>1427.7656250000007</v>
      </c>
      <c r="AV51" s="425">
        <v>89.235351562500043</v>
      </c>
      <c r="AW51" s="498">
        <f t="shared" si="46"/>
        <v>2</v>
      </c>
      <c r="AX51" s="611"/>
      <c r="AZ51" s="407" t="e">
        <f t="shared" si="48"/>
        <v>#N/A</v>
      </c>
      <c r="BA51" s="611"/>
    </row>
    <row r="52" spans="2:53">
      <c r="B52" s="570"/>
      <c r="C52" s="420">
        <v>6</v>
      </c>
      <c r="D52" s="226" t="s">
        <v>666</v>
      </c>
      <c r="E52" s="425">
        <v>17</v>
      </c>
      <c r="F52" s="418">
        <v>1636</v>
      </c>
      <c r="G52" s="419">
        <v>102.3</v>
      </c>
      <c r="H52" s="579"/>
      <c r="I52" s="422">
        <f t="shared" si="31"/>
        <v>17.142857142857142</v>
      </c>
      <c r="J52" s="422">
        <f t="shared" si="32"/>
        <v>1391.6086029904623</v>
      </c>
      <c r="K52" s="200">
        <f t="shared" si="33"/>
        <v>81.205844664293139</v>
      </c>
      <c r="L52" s="581"/>
      <c r="M52" s="501">
        <f>RANK(K52, K$47:$K$61)</f>
        <v>5</v>
      </c>
      <c r="N52" s="564"/>
      <c r="O52" s="564"/>
      <c r="P52" s="498">
        <v>18</v>
      </c>
      <c r="Q52" s="425">
        <v>1399.7647058823532</v>
      </c>
      <c r="R52" s="425">
        <v>77.764705882352956</v>
      </c>
      <c r="S52" s="498">
        <f t="shared" si="34"/>
        <v>6</v>
      </c>
      <c r="T52" s="611"/>
      <c r="U52" s="498">
        <v>17</v>
      </c>
      <c r="V52" s="425">
        <v>1400.6666666666663</v>
      </c>
      <c r="W52" s="425">
        <v>82.392156862745082</v>
      </c>
      <c r="X52" s="498">
        <f t="shared" si="36"/>
        <v>5</v>
      </c>
      <c r="Y52" s="611"/>
      <c r="Z52" s="498">
        <v>17</v>
      </c>
      <c r="AA52" s="425">
        <v>1384.5517241379312</v>
      </c>
      <c r="AB52" s="425">
        <v>81.444219066937123</v>
      </c>
      <c r="AC52" s="498">
        <f t="shared" si="38"/>
        <v>5</v>
      </c>
      <c r="AD52" s="611"/>
      <c r="AE52" s="498">
        <v>17</v>
      </c>
      <c r="AF52" s="425">
        <v>1381.8913043478262</v>
      </c>
      <c r="AG52" s="425">
        <v>81.28772378516625</v>
      </c>
      <c r="AH52" s="498">
        <f t="shared" si="40"/>
        <v>5</v>
      </c>
      <c r="AI52" s="611"/>
      <c r="AJ52" s="498">
        <v>17</v>
      </c>
      <c r="AK52" s="425">
        <v>1392.110091743119</v>
      </c>
      <c r="AL52" s="425">
        <v>81.888828926065827</v>
      </c>
      <c r="AM52" s="498">
        <f t="shared" si="42"/>
        <v>5</v>
      </c>
      <c r="AN52" s="611"/>
      <c r="AO52" s="498">
        <v>17</v>
      </c>
      <c r="AP52" s="425">
        <v>1402.7999999999993</v>
      </c>
      <c r="AQ52" s="425">
        <v>82.517647058823485</v>
      </c>
      <c r="AR52" s="498">
        <f t="shared" si="44"/>
        <v>5</v>
      </c>
      <c r="AS52" s="611"/>
      <c r="AT52" s="498">
        <v>17</v>
      </c>
      <c r="AU52" s="425">
        <v>1379.4757281553402</v>
      </c>
      <c r="AV52" s="425">
        <v>81.14563106796119</v>
      </c>
      <c r="AW52" s="498">
        <f t="shared" si="46"/>
        <v>5</v>
      </c>
      <c r="AX52" s="611"/>
      <c r="AZ52" s="407" t="e">
        <f t="shared" si="48"/>
        <v>#N/A</v>
      </c>
      <c r="BA52" s="611"/>
    </row>
    <row r="53" spans="2:53">
      <c r="B53" s="570"/>
      <c r="C53" s="420">
        <v>7</v>
      </c>
      <c r="D53" s="226"/>
      <c r="E53" s="425"/>
      <c r="F53" s="418"/>
      <c r="G53" s="419"/>
      <c r="H53" s="579"/>
      <c r="I53" s="422" t="str">
        <f t="shared" si="31"/>
        <v>-</v>
      </c>
      <c r="J53" s="422" t="str">
        <f t="shared" si="32"/>
        <v>-</v>
      </c>
      <c r="K53" s="200" t="str">
        <f t="shared" si="33"/>
        <v>-</v>
      </c>
      <c r="L53" s="581"/>
      <c r="M53" s="501" t="e">
        <f>RANK(K53, K$47:$K$61)</f>
        <v>#VALUE!</v>
      </c>
      <c r="N53" s="564"/>
      <c r="O53" s="564"/>
      <c r="P53" s="498" t="s">
        <v>639</v>
      </c>
      <c r="Q53" s="425" t="s">
        <v>639</v>
      </c>
      <c r="R53" s="425" t="s">
        <v>639</v>
      </c>
      <c r="S53" s="498" t="e">
        <f t="shared" si="34"/>
        <v>#VALUE!</v>
      </c>
      <c r="T53" s="611"/>
      <c r="U53" s="498" t="s">
        <v>639</v>
      </c>
      <c r="V53" s="425" t="s">
        <v>639</v>
      </c>
      <c r="W53" s="425" t="s">
        <v>639</v>
      </c>
      <c r="X53" s="498" t="e">
        <f t="shared" si="36"/>
        <v>#VALUE!</v>
      </c>
      <c r="Y53" s="611"/>
      <c r="Z53" s="498" t="s">
        <v>639</v>
      </c>
      <c r="AA53" s="425" t="s">
        <v>639</v>
      </c>
      <c r="AB53" s="425" t="s">
        <v>639</v>
      </c>
      <c r="AC53" s="498" t="e">
        <f t="shared" si="38"/>
        <v>#VALUE!</v>
      </c>
      <c r="AD53" s="611"/>
      <c r="AE53" s="498" t="s">
        <v>639</v>
      </c>
      <c r="AF53" s="425" t="s">
        <v>639</v>
      </c>
      <c r="AG53" s="425" t="s">
        <v>639</v>
      </c>
      <c r="AH53" s="498" t="e">
        <f t="shared" si="40"/>
        <v>#VALUE!</v>
      </c>
      <c r="AI53" s="611"/>
      <c r="AJ53" s="498" t="s">
        <v>639</v>
      </c>
      <c r="AK53" s="425" t="s">
        <v>639</v>
      </c>
      <c r="AL53" s="425" t="s">
        <v>639</v>
      </c>
      <c r="AM53" s="498" t="e">
        <f t="shared" si="42"/>
        <v>#VALUE!</v>
      </c>
      <c r="AN53" s="611"/>
      <c r="AO53" s="498" t="s">
        <v>639</v>
      </c>
      <c r="AP53" s="425" t="s">
        <v>639</v>
      </c>
      <c r="AQ53" s="425" t="s">
        <v>639</v>
      </c>
      <c r="AR53" s="498" t="e">
        <f t="shared" si="44"/>
        <v>#VALUE!</v>
      </c>
      <c r="AS53" s="611"/>
      <c r="AT53" s="498" t="s">
        <v>639</v>
      </c>
      <c r="AU53" s="425" t="s">
        <v>639</v>
      </c>
      <c r="AV53" s="425" t="s">
        <v>639</v>
      </c>
      <c r="AW53" s="498" t="e">
        <f t="shared" si="46"/>
        <v>#VALUE!</v>
      </c>
      <c r="AX53" s="611"/>
      <c r="AZ53" s="407" t="e">
        <f t="shared" si="48"/>
        <v>#N/A</v>
      </c>
      <c r="BA53" s="611"/>
    </row>
    <row r="54" spans="2:53">
      <c r="B54" s="570"/>
      <c r="C54" s="420">
        <v>8</v>
      </c>
      <c r="D54" s="226"/>
      <c r="E54" s="425"/>
      <c r="F54" s="418"/>
      <c r="G54" s="419"/>
      <c r="H54" s="579"/>
      <c r="I54" s="422" t="str">
        <f t="shared" si="31"/>
        <v>-</v>
      </c>
      <c r="J54" s="422" t="str">
        <f t="shared" si="32"/>
        <v>-</v>
      </c>
      <c r="K54" s="200" t="str">
        <f t="shared" si="33"/>
        <v>-</v>
      </c>
      <c r="L54" s="581"/>
      <c r="M54" s="501" t="e">
        <f>RANK(K54, K$47:$K$61)</f>
        <v>#VALUE!</v>
      </c>
      <c r="N54" s="564"/>
      <c r="O54" s="564"/>
      <c r="P54" s="498" t="s">
        <v>639</v>
      </c>
      <c r="Q54" s="425" t="s">
        <v>639</v>
      </c>
      <c r="R54" s="425" t="s">
        <v>639</v>
      </c>
      <c r="S54" s="498" t="e">
        <f t="shared" si="34"/>
        <v>#VALUE!</v>
      </c>
      <c r="T54" s="611"/>
      <c r="U54" s="498" t="s">
        <v>639</v>
      </c>
      <c r="V54" s="425" t="s">
        <v>639</v>
      </c>
      <c r="W54" s="425" t="s">
        <v>639</v>
      </c>
      <c r="X54" s="498" t="e">
        <f t="shared" si="36"/>
        <v>#VALUE!</v>
      </c>
      <c r="Y54" s="611"/>
      <c r="Z54" s="498" t="s">
        <v>639</v>
      </c>
      <c r="AA54" s="425" t="s">
        <v>639</v>
      </c>
      <c r="AB54" s="425" t="s">
        <v>639</v>
      </c>
      <c r="AC54" s="498" t="e">
        <f t="shared" si="38"/>
        <v>#VALUE!</v>
      </c>
      <c r="AD54" s="611"/>
      <c r="AE54" s="498" t="s">
        <v>639</v>
      </c>
      <c r="AF54" s="425" t="s">
        <v>639</v>
      </c>
      <c r="AG54" s="425" t="s">
        <v>639</v>
      </c>
      <c r="AH54" s="498" t="e">
        <f t="shared" si="40"/>
        <v>#VALUE!</v>
      </c>
      <c r="AI54" s="611"/>
      <c r="AJ54" s="498" t="s">
        <v>639</v>
      </c>
      <c r="AK54" s="425" t="s">
        <v>639</v>
      </c>
      <c r="AL54" s="425" t="s">
        <v>639</v>
      </c>
      <c r="AM54" s="498" t="e">
        <f t="shared" si="42"/>
        <v>#VALUE!</v>
      </c>
      <c r="AN54" s="611"/>
      <c r="AO54" s="498" t="s">
        <v>639</v>
      </c>
      <c r="AP54" s="425" t="s">
        <v>639</v>
      </c>
      <c r="AQ54" s="425" t="s">
        <v>639</v>
      </c>
      <c r="AR54" s="498" t="e">
        <f t="shared" si="44"/>
        <v>#VALUE!</v>
      </c>
      <c r="AS54" s="611"/>
      <c r="AT54" s="498" t="s">
        <v>639</v>
      </c>
      <c r="AU54" s="425" t="s">
        <v>639</v>
      </c>
      <c r="AV54" s="425" t="s">
        <v>639</v>
      </c>
      <c r="AW54" s="498" t="e">
        <f t="shared" si="46"/>
        <v>#VALUE!</v>
      </c>
      <c r="AX54" s="611"/>
      <c r="AZ54" s="407" t="e">
        <f t="shared" si="48"/>
        <v>#N/A</v>
      </c>
      <c r="BA54" s="611"/>
    </row>
    <row r="55" spans="2:53">
      <c r="B55" s="570"/>
      <c r="C55" s="420">
        <v>9</v>
      </c>
      <c r="D55" s="226"/>
      <c r="E55" s="425"/>
      <c r="F55" s="418"/>
      <c r="G55" s="419"/>
      <c r="H55" s="579"/>
      <c r="I55" s="422" t="str">
        <f t="shared" si="31"/>
        <v>-</v>
      </c>
      <c r="J55" s="422" t="str">
        <f t="shared" si="32"/>
        <v>-</v>
      </c>
      <c r="K55" s="200" t="str">
        <f t="shared" si="33"/>
        <v>-</v>
      </c>
      <c r="L55" s="581"/>
      <c r="M55" s="501" t="e">
        <f>RANK(K55, K$47:$K$61)</f>
        <v>#VALUE!</v>
      </c>
      <c r="N55" s="564"/>
      <c r="O55" s="564"/>
      <c r="P55" s="498" t="s">
        <v>639</v>
      </c>
      <c r="Q55" s="425" t="s">
        <v>639</v>
      </c>
      <c r="R55" s="425" t="s">
        <v>639</v>
      </c>
      <c r="S55" s="498" t="e">
        <f t="shared" si="34"/>
        <v>#VALUE!</v>
      </c>
      <c r="T55" s="611"/>
      <c r="U55" s="498" t="s">
        <v>639</v>
      </c>
      <c r="V55" s="425" t="s">
        <v>639</v>
      </c>
      <c r="W55" s="425" t="s">
        <v>639</v>
      </c>
      <c r="X55" s="498" t="e">
        <f t="shared" si="36"/>
        <v>#VALUE!</v>
      </c>
      <c r="Y55" s="611"/>
      <c r="Z55" s="498" t="s">
        <v>639</v>
      </c>
      <c r="AA55" s="425" t="s">
        <v>639</v>
      </c>
      <c r="AB55" s="425" t="s">
        <v>639</v>
      </c>
      <c r="AC55" s="498" t="e">
        <f t="shared" si="38"/>
        <v>#VALUE!</v>
      </c>
      <c r="AD55" s="611"/>
      <c r="AE55" s="498" t="s">
        <v>639</v>
      </c>
      <c r="AF55" s="425" t="s">
        <v>639</v>
      </c>
      <c r="AG55" s="425" t="s">
        <v>639</v>
      </c>
      <c r="AH55" s="498" t="e">
        <f t="shared" si="40"/>
        <v>#VALUE!</v>
      </c>
      <c r="AI55" s="611"/>
      <c r="AJ55" s="498" t="s">
        <v>639</v>
      </c>
      <c r="AK55" s="425" t="s">
        <v>639</v>
      </c>
      <c r="AL55" s="425" t="s">
        <v>639</v>
      </c>
      <c r="AM55" s="498" t="e">
        <f t="shared" si="42"/>
        <v>#VALUE!</v>
      </c>
      <c r="AN55" s="611"/>
      <c r="AO55" s="498" t="s">
        <v>639</v>
      </c>
      <c r="AP55" s="425" t="s">
        <v>639</v>
      </c>
      <c r="AQ55" s="425" t="s">
        <v>639</v>
      </c>
      <c r="AR55" s="498" t="e">
        <f t="shared" si="44"/>
        <v>#VALUE!</v>
      </c>
      <c r="AS55" s="611"/>
      <c r="AT55" s="498" t="s">
        <v>639</v>
      </c>
      <c r="AU55" s="425" t="s">
        <v>639</v>
      </c>
      <c r="AV55" s="425" t="s">
        <v>639</v>
      </c>
      <c r="AW55" s="498" t="e">
        <f t="shared" si="46"/>
        <v>#VALUE!</v>
      </c>
      <c r="AX55" s="611"/>
      <c r="AZ55" s="407" t="e">
        <f t="shared" si="48"/>
        <v>#N/A</v>
      </c>
      <c r="BA55" s="611"/>
    </row>
    <row r="56" spans="2:53">
      <c r="B56" s="570"/>
      <c r="C56" s="420">
        <v>10</v>
      </c>
      <c r="D56" s="226"/>
      <c r="E56" s="425"/>
      <c r="F56" s="418"/>
      <c r="G56" s="419"/>
      <c r="H56" s="579"/>
      <c r="I56" s="422" t="str">
        <f t="shared" si="31"/>
        <v>-</v>
      </c>
      <c r="J56" s="422" t="str">
        <f t="shared" si="32"/>
        <v>-</v>
      </c>
      <c r="K56" s="200" t="str">
        <f t="shared" si="33"/>
        <v>-</v>
      </c>
      <c r="L56" s="581"/>
      <c r="M56" s="501" t="e">
        <f>RANK(K56, K$47:$K$61)</f>
        <v>#VALUE!</v>
      </c>
      <c r="N56" s="564"/>
      <c r="O56" s="564"/>
      <c r="P56" s="498" t="s">
        <v>639</v>
      </c>
      <c r="Q56" s="425" t="s">
        <v>639</v>
      </c>
      <c r="R56" s="425" t="s">
        <v>639</v>
      </c>
      <c r="S56" s="498" t="e">
        <f t="shared" si="34"/>
        <v>#VALUE!</v>
      </c>
      <c r="T56" s="611"/>
      <c r="U56" s="498" t="s">
        <v>639</v>
      </c>
      <c r="V56" s="425" t="s">
        <v>639</v>
      </c>
      <c r="W56" s="425" t="s">
        <v>639</v>
      </c>
      <c r="X56" s="498" t="e">
        <f t="shared" si="36"/>
        <v>#VALUE!</v>
      </c>
      <c r="Y56" s="611"/>
      <c r="Z56" s="498" t="s">
        <v>639</v>
      </c>
      <c r="AA56" s="425" t="s">
        <v>639</v>
      </c>
      <c r="AB56" s="425" t="s">
        <v>639</v>
      </c>
      <c r="AC56" s="498" t="e">
        <f t="shared" si="38"/>
        <v>#VALUE!</v>
      </c>
      <c r="AD56" s="611"/>
      <c r="AE56" s="498" t="s">
        <v>639</v>
      </c>
      <c r="AF56" s="425" t="s">
        <v>639</v>
      </c>
      <c r="AG56" s="425" t="s">
        <v>639</v>
      </c>
      <c r="AH56" s="498" t="e">
        <f t="shared" si="40"/>
        <v>#VALUE!</v>
      </c>
      <c r="AI56" s="611"/>
      <c r="AJ56" s="498" t="s">
        <v>639</v>
      </c>
      <c r="AK56" s="425" t="s">
        <v>639</v>
      </c>
      <c r="AL56" s="425" t="s">
        <v>639</v>
      </c>
      <c r="AM56" s="498" t="e">
        <f t="shared" si="42"/>
        <v>#VALUE!</v>
      </c>
      <c r="AN56" s="611"/>
      <c r="AO56" s="498" t="s">
        <v>639</v>
      </c>
      <c r="AP56" s="425" t="s">
        <v>639</v>
      </c>
      <c r="AQ56" s="425" t="s">
        <v>639</v>
      </c>
      <c r="AR56" s="498" t="e">
        <f t="shared" si="44"/>
        <v>#VALUE!</v>
      </c>
      <c r="AS56" s="611"/>
      <c r="AT56" s="498" t="s">
        <v>639</v>
      </c>
      <c r="AU56" s="425" t="s">
        <v>639</v>
      </c>
      <c r="AV56" s="425" t="s">
        <v>639</v>
      </c>
      <c r="AW56" s="498" t="e">
        <f t="shared" si="46"/>
        <v>#VALUE!</v>
      </c>
      <c r="AX56" s="611"/>
      <c r="AZ56" s="407" t="e">
        <f t="shared" si="48"/>
        <v>#N/A</v>
      </c>
      <c r="BA56" s="611"/>
    </row>
    <row r="57" spans="2:53">
      <c r="B57" s="570"/>
      <c r="C57" s="420">
        <v>11</v>
      </c>
      <c r="D57" s="226"/>
      <c r="E57" s="425"/>
      <c r="F57" s="418"/>
      <c r="G57" s="419"/>
      <c r="H57" s="579"/>
      <c r="I57" s="422" t="str">
        <f t="shared" si="31"/>
        <v>-</v>
      </c>
      <c r="J57" s="422" t="str">
        <f t="shared" si="32"/>
        <v>-</v>
      </c>
      <c r="K57" s="200" t="str">
        <f t="shared" si="33"/>
        <v>-</v>
      </c>
      <c r="L57" s="581"/>
      <c r="M57" s="501" t="e">
        <f>RANK(K57, K$47:$K$61)</f>
        <v>#VALUE!</v>
      </c>
      <c r="N57" s="564"/>
      <c r="O57" s="564"/>
      <c r="P57" s="498" t="s">
        <v>639</v>
      </c>
      <c r="Q57" s="425" t="s">
        <v>639</v>
      </c>
      <c r="R57" s="425" t="s">
        <v>639</v>
      </c>
      <c r="S57" s="498" t="e">
        <f t="shared" si="34"/>
        <v>#VALUE!</v>
      </c>
      <c r="T57" s="611"/>
      <c r="U57" s="498" t="s">
        <v>639</v>
      </c>
      <c r="V57" s="425" t="s">
        <v>639</v>
      </c>
      <c r="W57" s="425" t="s">
        <v>639</v>
      </c>
      <c r="X57" s="498" t="e">
        <f t="shared" si="36"/>
        <v>#VALUE!</v>
      </c>
      <c r="Y57" s="611"/>
      <c r="Z57" s="498" t="s">
        <v>639</v>
      </c>
      <c r="AA57" s="425" t="s">
        <v>639</v>
      </c>
      <c r="AB57" s="425" t="s">
        <v>639</v>
      </c>
      <c r="AC57" s="498" t="e">
        <f t="shared" si="38"/>
        <v>#VALUE!</v>
      </c>
      <c r="AD57" s="611"/>
      <c r="AE57" s="498" t="s">
        <v>639</v>
      </c>
      <c r="AF57" s="425" t="s">
        <v>639</v>
      </c>
      <c r="AG57" s="425" t="s">
        <v>639</v>
      </c>
      <c r="AH57" s="498" t="e">
        <f t="shared" si="40"/>
        <v>#VALUE!</v>
      </c>
      <c r="AI57" s="611"/>
      <c r="AJ57" s="498" t="s">
        <v>639</v>
      </c>
      <c r="AK57" s="425" t="s">
        <v>639</v>
      </c>
      <c r="AL57" s="425" t="s">
        <v>639</v>
      </c>
      <c r="AM57" s="498" t="e">
        <f t="shared" si="42"/>
        <v>#VALUE!</v>
      </c>
      <c r="AN57" s="611"/>
      <c r="AO57" s="498" t="s">
        <v>639</v>
      </c>
      <c r="AP57" s="425" t="s">
        <v>639</v>
      </c>
      <c r="AQ57" s="425" t="s">
        <v>639</v>
      </c>
      <c r="AR57" s="498" t="e">
        <f t="shared" si="44"/>
        <v>#VALUE!</v>
      </c>
      <c r="AS57" s="611"/>
      <c r="AT57" s="498" t="s">
        <v>639</v>
      </c>
      <c r="AU57" s="425" t="s">
        <v>639</v>
      </c>
      <c r="AV57" s="425" t="s">
        <v>639</v>
      </c>
      <c r="AW57" s="498" t="e">
        <f t="shared" si="46"/>
        <v>#VALUE!</v>
      </c>
      <c r="AX57" s="611"/>
      <c r="AZ57" s="407" t="e">
        <f t="shared" si="48"/>
        <v>#N/A</v>
      </c>
      <c r="BA57" s="611"/>
    </row>
    <row r="58" spans="2:53">
      <c r="B58" s="570"/>
      <c r="C58" s="420">
        <v>12</v>
      </c>
      <c r="D58" s="226"/>
      <c r="E58" s="425"/>
      <c r="F58" s="418"/>
      <c r="G58" s="419"/>
      <c r="H58" s="579"/>
      <c r="I58" s="422" t="str">
        <f t="shared" si="31"/>
        <v>-</v>
      </c>
      <c r="J58" s="422" t="str">
        <f t="shared" si="32"/>
        <v>-</v>
      </c>
      <c r="K58" s="200" t="str">
        <f t="shared" si="33"/>
        <v>-</v>
      </c>
      <c r="L58" s="581"/>
      <c r="M58" s="501" t="e">
        <f>RANK(K58, K$47:$K$61)</f>
        <v>#VALUE!</v>
      </c>
      <c r="N58" s="564"/>
      <c r="O58" s="564"/>
      <c r="P58" s="498" t="s">
        <v>639</v>
      </c>
      <c r="Q58" s="425" t="s">
        <v>639</v>
      </c>
      <c r="R58" s="425" t="s">
        <v>639</v>
      </c>
      <c r="S58" s="498" t="e">
        <f t="shared" si="34"/>
        <v>#VALUE!</v>
      </c>
      <c r="T58" s="611"/>
      <c r="U58" s="498" t="s">
        <v>639</v>
      </c>
      <c r="V58" s="425" t="s">
        <v>639</v>
      </c>
      <c r="W58" s="425" t="s">
        <v>639</v>
      </c>
      <c r="X58" s="498" t="e">
        <f t="shared" si="36"/>
        <v>#VALUE!</v>
      </c>
      <c r="Y58" s="611"/>
      <c r="Z58" s="498" t="s">
        <v>639</v>
      </c>
      <c r="AA58" s="425" t="s">
        <v>639</v>
      </c>
      <c r="AB58" s="425" t="s">
        <v>639</v>
      </c>
      <c r="AC58" s="498" t="e">
        <f t="shared" si="38"/>
        <v>#VALUE!</v>
      </c>
      <c r="AD58" s="611"/>
      <c r="AE58" s="498" t="s">
        <v>639</v>
      </c>
      <c r="AF58" s="425" t="s">
        <v>639</v>
      </c>
      <c r="AG58" s="425" t="s">
        <v>639</v>
      </c>
      <c r="AH58" s="498" t="e">
        <f t="shared" si="40"/>
        <v>#VALUE!</v>
      </c>
      <c r="AI58" s="611"/>
      <c r="AJ58" s="498" t="s">
        <v>639</v>
      </c>
      <c r="AK58" s="425" t="s">
        <v>639</v>
      </c>
      <c r="AL58" s="425" t="s">
        <v>639</v>
      </c>
      <c r="AM58" s="498" t="e">
        <f t="shared" si="42"/>
        <v>#VALUE!</v>
      </c>
      <c r="AN58" s="611"/>
      <c r="AO58" s="498" t="s">
        <v>639</v>
      </c>
      <c r="AP58" s="425" t="s">
        <v>639</v>
      </c>
      <c r="AQ58" s="425" t="s">
        <v>639</v>
      </c>
      <c r="AR58" s="498" t="e">
        <f t="shared" si="44"/>
        <v>#VALUE!</v>
      </c>
      <c r="AS58" s="611"/>
      <c r="AT58" s="498" t="s">
        <v>639</v>
      </c>
      <c r="AU58" s="425" t="s">
        <v>639</v>
      </c>
      <c r="AV58" s="425" t="s">
        <v>639</v>
      </c>
      <c r="AW58" s="498" t="e">
        <f t="shared" si="46"/>
        <v>#VALUE!</v>
      </c>
      <c r="AX58" s="611"/>
      <c r="AZ58" s="407" t="e">
        <f t="shared" si="48"/>
        <v>#N/A</v>
      </c>
      <c r="BA58" s="611"/>
    </row>
    <row r="59" spans="2:53">
      <c r="B59" s="570"/>
      <c r="C59" s="420">
        <v>13</v>
      </c>
      <c r="D59" s="226"/>
      <c r="E59" s="425"/>
      <c r="F59" s="418"/>
      <c r="G59" s="419"/>
      <c r="H59" s="579"/>
      <c r="I59" s="422" t="str">
        <f t="shared" si="31"/>
        <v>-</v>
      </c>
      <c r="J59" s="422" t="str">
        <f t="shared" si="32"/>
        <v>-</v>
      </c>
      <c r="K59" s="200" t="str">
        <f t="shared" si="33"/>
        <v>-</v>
      </c>
      <c r="L59" s="581"/>
      <c r="M59" s="501" t="e">
        <f>RANK(K59, K$47:$K$61)</f>
        <v>#VALUE!</v>
      </c>
      <c r="N59" s="564"/>
      <c r="O59" s="564"/>
      <c r="P59" s="498" t="s">
        <v>639</v>
      </c>
      <c r="Q59" s="425" t="s">
        <v>639</v>
      </c>
      <c r="R59" s="425" t="s">
        <v>639</v>
      </c>
      <c r="S59" s="498" t="e">
        <f t="shared" si="34"/>
        <v>#VALUE!</v>
      </c>
      <c r="T59" s="611"/>
      <c r="U59" s="498" t="s">
        <v>639</v>
      </c>
      <c r="V59" s="425" t="s">
        <v>639</v>
      </c>
      <c r="W59" s="425" t="s">
        <v>639</v>
      </c>
      <c r="X59" s="498" t="e">
        <f t="shared" si="36"/>
        <v>#VALUE!</v>
      </c>
      <c r="Y59" s="611"/>
      <c r="Z59" s="498" t="s">
        <v>639</v>
      </c>
      <c r="AA59" s="425" t="s">
        <v>639</v>
      </c>
      <c r="AB59" s="425" t="s">
        <v>639</v>
      </c>
      <c r="AC59" s="498" t="e">
        <f t="shared" si="38"/>
        <v>#VALUE!</v>
      </c>
      <c r="AD59" s="611"/>
      <c r="AE59" s="498" t="s">
        <v>639</v>
      </c>
      <c r="AF59" s="425" t="s">
        <v>639</v>
      </c>
      <c r="AG59" s="425" t="s">
        <v>639</v>
      </c>
      <c r="AH59" s="498" t="e">
        <f t="shared" si="40"/>
        <v>#VALUE!</v>
      </c>
      <c r="AI59" s="611"/>
      <c r="AJ59" s="498" t="s">
        <v>639</v>
      </c>
      <c r="AK59" s="425" t="s">
        <v>639</v>
      </c>
      <c r="AL59" s="425" t="s">
        <v>639</v>
      </c>
      <c r="AM59" s="498" t="e">
        <f t="shared" si="42"/>
        <v>#VALUE!</v>
      </c>
      <c r="AN59" s="611"/>
      <c r="AO59" s="498" t="s">
        <v>639</v>
      </c>
      <c r="AP59" s="425" t="s">
        <v>639</v>
      </c>
      <c r="AQ59" s="425" t="s">
        <v>639</v>
      </c>
      <c r="AR59" s="498" t="e">
        <f t="shared" si="44"/>
        <v>#VALUE!</v>
      </c>
      <c r="AS59" s="611"/>
      <c r="AT59" s="498" t="s">
        <v>639</v>
      </c>
      <c r="AU59" s="425" t="s">
        <v>639</v>
      </c>
      <c r="AV59" s="425" t="s">
        <v>639</v>
      </c>
      <c r="AW59" s="498" t="e">
        <f t="shared" si="46"/>
        <v>#VALUE!</v>
      </c>
      <c r="AX59" s="611"/>
      <c r="AZ59" s="407" t="e">
        <f t="shared" si="48"/>
        <v>#N/A</v>
      </c>
      <c r="BA59" s="611"/>
    </row>
    <row r="60" spans="2:53">
      <c r="B60" s="570"/>
      <c r="C60" s="420">
        <v>14</v>
      </c>
      <c r="D60" s="226"/>
      <c r="E60" s="425"/>
      <c r="F60" s="418"/>
      <c r="G60" s="419"/>
      <c r="H60" s="579"/>
      <c r="I60" s="422" t="str">
        <f t="shared" si="31"/>
        <v>-</v>
      </c>
      <c r="J60" s="422" t="str">
        <f t="shared" si="32"/>
        <v>-</v>
      </c>
      <c r="K60" s="200" t="str">
        <f t="shared" si="33"/>
        <v>-</v>
      </c>
      <c r="L60" s="581"/>
      <c r="M60" s="501" t="e">
        <f>RANK(K60, K$47:$K$61)</f>
        <v>#VALUE!</v>
      </c>
      <c r="N60" s="564"/>
      <c r="O60" s="564"/>
      <c r="P60" s="498" t="s">
        <v>639</v>
      </c>
      <c r="Q60" s="425" t="s">
        <v>639</v>
      </c>
      <c r="R60" s="425" t="s">
        <v>639</v>
      </c>
      <c r="S60" s="498" t="e">
        <f t="shared" si="34"/>
        <v>#VALUE!</v>
      </c>
      <c r="T60" s="611"/>
      <c r="U60" s="498" t="s">
        <v>639</v>
      </c>
      <c r="V60" s="425" t="s">
        <v>639</v>
      </c>
      <c r="W60" s="425" t="s">
        <v>639</v>
      </c>
      <c r="X60" s="498" t="e">
        <f t="shared" si="36"/>
        <v>#VALUE!</v>
      </c>
      <c r="Y60" s="611"/>
      <c r="Z60" s="498" t="s">
        <v>639</v>
      </c>
      <c r="AA60" s="425" t="s">
        <v>639</v>
      </c>
      <c r="AB60" s="425" t="s">
        <v>639</v>
      </c>
      <c r="AC60" s="498" t="e">
        <f t="shared" si="38"/>
        <v>#VALUE!</v>
      </c>
      <c r="AD60" s="611"/>
      <c r="AE60" s="498" t="s">
        <v>639</v>
      </c>
      <c r="AF60" s="425" t="s">
        <v>639</v>
      </c>
      <c r="AG60" s="425" t="s">
        <v>639</v>
      </c>
      <c r="AH60" s="498" t="e">
        <f t="shared" si="40"/>
        <v>#VALUE!</v>
      </c>
      <c r="AI60" s="611"/>
      <c r="AJ60" s="498" t="s">
        <v>639</v>
      </c>
      <c r="AK60" s="425" t="s">
        <v>639</v>
      </c>
      <c r="AL60" s="425" t="s">
        <v>639</v>
      </c>
      <c r="AM60" s="498" t="e">
        <f t="shared" si="42"/>
        <v>#VALUE!</v>
      </c>
      <c r="AN60" s="611"/>
      <c r="AO60" s="498" t="s">
        <v>639</v>
      </c>
      <c r="AP60" s="425" t="s">
        <v>639</v>
      </c>
      <c r="AQ60" s="425" t="s">
        <v>639</v>
      </c>
      <c r="AR60" s="498" t="e">
        <f t="shared" si="44"/>
        <v>#VALUE!</v>
      </c>
      <c r="AS60" s="611"/>
      <c r="AT60" s="498" t="s">
        <v>639</v>
      </c>
      <c r="AU60" s="425" t="s">
        <v>639</v>
      </c>
      <c r="AV60" s="425" t="s">
        <v>639</v>
      </c>
      <c r="AW60" s="498" t="e">
        <f t="shared" si="46"/>
        <v>#VALUE!</v>
      </c>
      <c r="AX60" s="611"/>
      <c r="AZ60" s="407" t="e">
        <f t="shared" si="48"/>
        <v>#N/A</v>
      </c>
      <c r="BA60" s="611"/>
    </row>
    <row r="61" spans="2:53">
      <c r="B61" s="570"/>
      <c r="C61" s="420">
        <v>15</v>
      </c>
      <c r="D61" s="226"/>
      <c r="E61" s="425"/>
      <c r="F61" s="418"/>
      <c r="G61" s="419"/>
      <c r="H61" s="639"/>
      <c r="I61" s="420"/>
      <c r="J61" s="420"/>
      <c r="K61" s="420"/>
      <c r="L61" s="582"/>
      <c r="M61" s="501" t="e">
        <f>RANK(K61, K$47:$K$61)</f>
        <v>#N/A</v>
      </c>
      <c r="N61" s="564"/>
      <c r="O61" s="564"/>
      <c r="P61" s="498" t="s">
        <v>639</v>
      </c>
      <c r="Q61" s="425" t="s">
        <v>639</v>
      </c>
      <c r="R61" s="425" t="s">
        <v>639</v>
      </c>
      <c r="S61" s="498" t="e">
        <f t="shared" si="34"/>
        <v>#VALUE!</v>
      </c>
      <c r="T61" s="612"/>
      <c r="U61" s="498" t="s">
        <v>639</v>
      </c>
      <c r="V61" s="425" t="s">
        <v>639</v>
      </c>
      <c r="W61" s="425" t="s">
        <v>639</v>
      </c>
      <c r="X61" s="498" t="e">
        <f t="shared" si="36"/>
        <v>#VALUE!</v>
      </c>
      <c r="Y61" s="612"/>
      <c r="Z61" s="498" t="s">
        <v>639</v>
      </c>
      <c r="AA61" s="425" t="s">
        <v>639</v>
      </c>
      <c r="AB61" s="425" t="s">
        <v>639</v>
      </c>
      <c r="AC61" s="498" t="e">
        <f t="shared" si="38"/>
        <v>#VALUE!</v>
      </c>
      <c r="AD61" s="612"/>
      <c r="AE61" s="498" t="s">
        <v>639</v>
      </c>
      <c r="AF61" s="425" t="s">
        <v>639</v>
      </c>
      <c r="AG61" s="425" t="s">
        <v>639</v>
      </c>
      <c r="AH61" s="498" t="e">
        <f t="shared" si="40"/>
        <v>#VALUE!</v>
      </c>
      <c r="AI61" s="612"/>
      <c r="AJ61" s="498" t="s">
        <v>639</v>
      </c>
      <c r="AK61" s="425" t="s">
        <v>639</v>
      </c>
      <c r="AL61" s="425" t="s">
        <v>639</v>
      </c>
      <c r="AM61" s="498" t="e">
        <f t="shared" si="42"/>
        <v>#VALUE!</v>
      </c>
      <c r="AN61" s="612"/>
      <c r="AO61" s="498" t="s">
        <v>639</v>
      </c>
      <c r="AP61" s="425" t="s">
        <v>639</v>
      </c>
      <c r="AQ61" s="425" t="s">
        <v>639</v>
      </c>
      <c r="AR61" s="498" t="e">
        <f t="shared" si="44"/>
        <v>#VALUE!</v>
      </c>
      <c r="AS61" s="612"/>
      <c r="AT61" s="498" t="s">
        <v>639</v>
      </c>
      <c r="AU61" s="425" t="s">
        <v>639</v>
      </c>
      <c r="AV61" s="425" t="s">
        <v>639</v>
      </c>
      <c r="AW61" s="498" t="e">
        <f t="shared" si="46"/>
        <v>#VALUE!</v>
      </c>
      <c r="AX61" s="612"/>
      <c r="AZ61" s="407" t="e">
        <f t="shared" si="48"/>
        <v>#N/A</v>
      </c>
      <c r="BA61" s="612"/>
    </row>
    <row r="62" spans="2:53" ht="15.75">
      <c r="B62" s="593" t="s">
        <v>163</v>
      </c>
      <c r="C62" s="594"/>
      <c r="D62" s="594"/>
      <c r="E62" s="594"/>
      <c r="F62" s="594"/>
      <c r="G62" s="594"/>
      <c r="H62" s="595"/>
      <c r="I62" s="208"/>
      <c r="J62" s="208"/>
      <c r="K62" s="208"/>
      <c r="L62" s="208"/>
      <c r="M62" s="207"/>
      <c r="N62" s="566" t="s">
        <v>156</v>
      </c>
      <c r="O62" s="566" t="s">
        <v>105</v>
      </c>
      <c r="P62" s="592">
        <f>P42+7</f>
        <v>46161</v>
      </c>
      <c r="Q62" s="570"/>
      <c r="R62" s="570"/>
      <c r="S62" s="570"/>
      <c r="T62" s="570"/>
      <c r="U62" s="589">
        <f>P62+1</f>
        <v>46162</v>
      </c>
      <c r="V62" s="590"/>
      <c r="W62" s="590"/>
      <c r="X62" s="590"/>
      <c r="Y62" s="591"/>
      <c r="Z62" s="589">
        <f>U62+1</f>
        <v>46163</v>
      </c>
      <c r="AA62" s="590"/>
      <c r="AB62" s="590"/>
      <c r="AC62" s="590"/>
      <c r="AD62" s="591"/>
      <c r="AE62" s="589">
        <f>Z62+1</f>
        <v>46164</v>
      </c>
      <c r="AF62" s="590"/>
      <c r="AG62" s="590"/>
      <c r="AH62" s="590"/>
      <c r="AI62" s="591"/>
      <c r="AJ62" s="589">
        <f>AE62+1</f>
        <v>46165</v>
      </c>
      <c r="AK62" s="590"/>
      <c r="AL62" s="590"/>
      <c r="AM62" s="590"/>
      <c r="AN62" s="591"/>
      <c r="AO62" s="589">
        <f>AJ62+1</f>
        <v>46166</v>
      </c>
      <c r="AP62" s="590"/>
      <c r="AQ62" s="590"/>
      <c r="AR62" s="590"/>
      <c r="AS62" s="591"/>
      <c r="AT62" s="589">
        <f>AO62+1</f>
        <v>46167</v>
      </c>
      <c r="AU62" s="590"/>
      <c r="AV62" s="590"/>
      <c r="AW62" s="590"/>
      <c r="AX62" s="591"/>
    </row>
    <row r="63" spans="2:53" ht="15.75">
      <c r="B63" s="596"/>
      <c r="C63" s="596"/>
      <c r="D63" s="596"/>
      <c r="E63" s="596"/>
      <c r="F63" s="596"/>
      <c r="G63" s="596"/>
      <c r="H63" s="596"/>
      <c r="I63" s="205"/>
      <c r="J63" s="205"/>
      <c r="K63" s="205"/>
      <c r="L63" s="205"/>
      <c r="M63" s="206"/>
      <c r="N63" s="568"/>
      <c r="O63" s="568"/>
      <c r="P63" s="592" t="s">
        <v>318</v>
      </c>
      <c r="Q63" s="570"/>
      <c r="R63" s="570"/>
      <c r="S63" s="570"/>
      <c r="T63" s="570"/>
      <c r="U63" s="592" t="s">
        <v>319</v>
      </c>
      <c r="V63" s="570"/>
      <c r="W63" s="570"/>
      <c r="X63" s="570"/>
      <c r="Y63" s="570"/>
      <c r="Z63" s="592" t="s">
        <v>320</v>
      </c>
      <c r="AA63" s="570"/>
      <c r="AB63" s="570"/>
      <c r="AC63" s="570"/>
      <c r="AD63" s="570"/>
      <c r="AE63" s="592" t="s">
        <v>321</v>
      </c>
      <c r="AF63" s="570"/>
      <c r="AG63" s="570"/>
      <c r="AH63" s="570"/>
      <c r="AI63" s="570"/>
      <c r="AJ63" s="592" t="s">
        <v>322</v>
      </c>
      <c r="AK63" s="570"/>
      <c r="AL63" s="570"/>
      <c r="AM63" s="570"/>
      <c r="AN63" s="570"/>
      <c r="AO63" s="592" t="s">
        <v>323</v>
      </c>
      <c r="AP63" s="570"/>
      <c r="AQ63" s="570"/>
      <c r="AR63" s="570"/>
      <c r="AS63" s="570"/>
      <c r="AT63" s="592" t="s">
        <v>324</v>
      </c>
      <c r="AU63" s="570"/>
      <c r="AV63" s="570"/>
      <c r="AW63" s="570"/>
      <c r="AX63" s="570"/>
    </row>
    <row r="64" spans="2:53">
      <c r="B64" s="564" t="s">
        <v>377</v>
      </c>
      <c r="C64" s="564" t="s">
        <v>560</v>
      </c>
      <c r="D64" s="564"/>
      <c r="E64" s="564" t="s">
        <v>561</v>
      </c>
      <c r="F64" s="564"/>
      <c r="G64" s="564"/>
      <c r="H64" s="597" t="s">
        <v>562</v>
      </c>
      <c r="I64" s="564" t="s">
        <v>563</v>
      </c>
      <c r="J64" s="564"/>
      <c r="K64" s="564"/>
      <c r="L64" s="597" t="s">
        <v>374</v>
      </c>
      <c r="M64" s="566" t="s">
        <v>564</v>
      </c>
      <c r="N64" s="564"/>
      <c r="O64" s="564" t="s">
        <v>565</v>
      </c>
      <c r="P64" s="583" t="s">
        <v>376</v>
      </c>
      <c r="Q64" s="584"/>
      <c r="R64" s="584"/>
      <c r="S64" s="585"/>
      <c r="T64" s="564" t="s">
        <v>374</v>
      </c>
      <c r="U64" s="583" t="s">
        <v>376</v>
      </c>
      <c r="V64" s="584"/>
      <c r="W64" s="584"/>
      <c r="X64" s="585"/>
      <c r="Y64" s="564" t="s">
        <v>374</v>
      </c>
      <c r="Z64" s="583" t="s">
        <v>376</v>
      </c>
      <c r="AA64" s="584"/>
      <c r="AB64" s="584"/>
      <c r="AC64" s="585"/>
      <c r="AD64" s="564" t="s">
        <v>374</v>
      </c>
      <c r="AE64" s="583" t="s">
        <v>376</v>
      </c>
      <c r="AF64" s="584"/>
      <c r="AG64" s="584"/>
      <c r="AH64" s="585"/>
      <c r="AI64" s="564" t="s">
        <v>374</v>
      </c>
      <c r="AJ64" s="583" t="s">
        <v>376</v>
      </c>
      <c r="AK64" s="584"/>
      <c r="AL64" s="584"/>
      <c r="AM64" s="585"/>
      <c r="AN64" s="564" t="s">
        <v>374</v>
      </c>
      <c r="AO64" s="583" t="s">
        <v>376</v>
      </c>
      <c r="AP64" s="584"/>
      <c r="AQ64" s="584"/>
      <c r="AR64" s="585"/>
      <c r="AS64" s="564" t="s">
        <v>374</v>
      </c>
      <c r="AT64" s="583" t="s">
        <v>376</v>
      </c>
      <c r="AU64" s="584"/>
      <c r="AV64" s="584"/>
      <c r="AW64" s="585"/>
      <c r="AX64" s="564" t="s">
        <v>374</v>
      </c>
      <c r="BA64" s="564" t="s">
        <v>374</v>
      </c>
    </row>
    <row r="65" spans="2:53">
      <c r="B65" s="564"/>
      <c r="C65" s="564"/>
      <c r="D65" s="564"/>
      <c r="E65" s="564" t="s">
        <v>566</v>
      </c>
      <c r="F65" s="564"/>
      <c r="G65" s="564"/>
      <c r="H65" s="598"/>
      <c r="I65" s="564" t="s">
        <v>566</v>
      </c>
      <c r="J65" s="564"/>
      <c r="K65" s="564"/>
      <c r="L65" s="598"/>
      <c r="M65" s="567"/>
      <c r="N65" s="564"/>
      <c r="O65" s="564"/>
      <c r="P65" s="583" t="s">
        <v>382</v>
      </c>
      <c r="Q65" s="584"/>
      <c r="R65" s="584"/>
      <c r="S65" s="585"/>
      <c r="T65" s="564"/>
      <c r="U65" s="583" t="s">
        <v>382</v>
      </c>
      <c r="V65" s="584"/>
      <c r="W65" s="584"/>
      <c r="X65" s="585"/>
      <c r="Y65" s="564"/>
      <c r="Z65" s="583" t="s">
        <v>382</v>
      </c>
      <c r="AA65" s="584"/>
      <c r="AB65" s="584"/>
      <c r="AC65" s="585"/>
      <c r="AD65" s="564"/>
      <c r="AE65" s="583" t="s">
        <v>382</v>
      </c>
      <c r="AF65" s="584"/>
      <c r="AG65" s="584"/>
      <c r="AH65" s="585"/>
      <c r="AI65" s="564"/>
      <c r="AJ65" s="583" t="s">
        <v>382</v>
      </c>
      <c r="AK65" s="584"/>
      <c r="AL65" s="584"/>
      <c r="AM65" s="585"/>
      <c r="AN65" s="564"/>
      <c r="AO65" s="583" t="s">
        <v>382</v>
      </c>
      <c r="AP65" s="584"/>
      <c r="AQ65" s="584"/>
      <c r="AR65" s="585"/>
      <c r="AS65" s="564"/>
      <c r="AT65" s="583" t="s">
        <v>382</v>
      </c>
      <c r="AU65" s="584"/>
      <c r="AV65" s="584"/>
      <c r="AW65" s="585"/>
      <c r="AX65" s="564"/>
      <c r="BA65" s="564"/>
    </row>
    <row r="66" spans="2:53">
      <c r="B66" s="564"/>
      <c r="C66" s="564"/>
      <c r="D66" s="564"/>
      <c r="E66" s="417" t="s">
        <v>567</v>
      </c>
      <c r="F66" s="417" t="s">
        <v>568</v>
      </c>
      <c r="G66" s="417" t="s">
        <v>569</v>
      </c>
      <c r="H66" s="599"/>
      <c r="I66" s="417" t="s">
        <v>567</v>
      </c>
      <c r="J66" s="417" t="s">
        <v>568</v>
      </c>
      <c r="K66" s="417" t="s">
        <v>569</v>
      </c>
      <c r="L66" s="599"/>
      <c r="M66" s="568"/>
      <c r="N66" s="564"/>
      <c r="O66" s="564"/>
      <c r="P66" s="417" t="s">
        <v>383</v>
      </c>
      <c r="Q66" s="417" t="s">
        <v>384</v>
      </c>
      <c r="R66" s="417" t="s">
        <v>385</v>
      </c>
      <c r="S66" s="417" t="s">
        <v>375</v>
      </c>
      <c r="T66" s="564"/>
      <c r="U66" s="417" t="s">
        <v>383</v>
      </c>
      <c r="V66" s="417" t="s">
        <v>384</v>
      </c>
      <c r="W66" s="417" t="s">
        <v>385</v>
      </c>
      <c r="X66" s="417" t="s">
        <v>375</v>
      </c>
      <c r="Y66" s="564"/>
      <c r="Z66" s="417" t="s">
        <v>383</v>
      </c>
      <c r="AA66" s="417" t="s">
        <v>384</v>
      </c>
      <c r="AB66" s="417" t="s">
        <v>385</v>
      </c>
      <c r="AC66" s="417" t="s">
        <v>375</v>
      </c>
      <c r="AD66" s="564"/>
      <c r="AE66" s="417" t="s">
        <v>383</v>
      </c>
      <c r="AF66" s="417" t="s">
        <v>384</v>
      </c>
      <c r="AG66" s="417" t="s">
        <v>385</v>
      </c>
      <c r="AH66" s="417" t="s">
        <v>375</v>
      </c>
      <c r="AI66" s="564"/>
      <c r="AJ66" s="417" t="s">
        <v>383</v>
      </c>
      <c r="AK66" s="417" t="s">
        <v>384</v>
      </c>
      <c r="AL66" s="417" t="s">
        <v>385</v>
      </c>
      <c r="AM66" s="417" t="s">
        <v>375</v>
      </c>
      <c r="AN66" s="564"/>
      <c r="AO66" s="417" t="s">
        <v>383</v>
      </c>
      <c r="AP66" s="417" t="s">
        <v>384</v>
      </c>
      <c r="AQ66" s="417" t="s">
        <v>385</v>
      </c>
      <c r="AR66" s="417" t="s">
        <v>375</v>
      </c>
      <c r="AS66" s="564"/>
      <c r="AT66" s="417" t="s">
        <v>383</v>
      </c>
      <c r="AU66" s="417" t="s">
        <v>384</v>
      </c>
      <c r="AV66" s="417" t="s">
        <v>385</v>
      </c>
      <c r="AW66" s="417" t="s">
        <v>375</v>
      </c>
      <c r="AX66" s="564"/>
      <c r="AZ66" s="406" t="s">
        <v>375</v>
      </c>
      <c r="BA66" s="564"/>
    </row>
    <row r="67" spans="2:53">
      <c r="B67" s="564" t="s">
        <v>389</v>
      </c>
      <c r="C67" s="420">
        <v>1</v>
      </c>
      <c r="D67" s="226"/>
      <c r="E67" s="425"/>
      <c r="F67" s="418"/>
      <c r="G67" s="419"/>
      <c r="H67" s="578" t="e">
        <f>AVERAGE(G67:G81)</f>
        <v>#DIV/0!</v>
      </c>
      <c r="I67" s="422" t="str">
        <f t="shared" ref="I67:I80" si="50">IFERROR(AVERAGE(P67,U67,Z67,AE67,AJ67,AO67,AT67),"-")</f>
        <v>-</v>
      </c>
      <c r="J67" s="422" t="str">
        <f t="shared" ref="J67:J80" si="51">IFERROR(AVERAGE(Q67,V67,AA67,AF67,AK67,AP67,AU67),"-")</f>
        <v>-</v>
      </c>
      <c r="K67" s="200" t="str">
        <f t="shared" ref="K67:K80" si="52">IFERROR(AVERAGE(R67,W67,AB67,AG67,AL67,AQ67,AV67),"-")</f>
        <v>-</v>
      </c>
      <c r="L67" s="580" t="str">
        <f>IFERROR(AVERAGE(K67:K81),"-")</f>
        <v>-</v>
      </c>
      <c r="M67" s="426" t="e">
        <f>RANK(K67, K$67:$K$81)</f>
        <v>#VALUE!</v>
      </c>
      <c r="N67" s="564"/>
      <c r="O67" s="564"/>
      <c r="P67" s="420"/>
      <c r="Q67" s="426"/>
      <c r="R67" s="426"/>
      <c r="S67" s="426" t="e">
        <f>RANK(R67, R$67:R$81)</f>
        <v>#N/A</v>
      </c>
      <c r="T67" s="644" t="e">
        <f>AVERAGE(R67:R81)</f>
        <v>#DIV/0!</v>
      </c>
      <c r="U67" s="420"/>
      <c r="V67" s="426"/>
      <c r="W67" s="426"/>
      <c r="X67" s="426" t="e">
        <f>RANK(W67, W$67:W$81)</f>
        <v>#N/A</v>
      </c>
      <c r="Y67" s="572" t="e">
        <f>AVERAGE(W67:W81)</f>
        <v>#DIV/0!</v>
      </c>
      <c r="Z67" s="420"/>
      <c r="AA67" s="426"/>
      <c r="AB67" s="426"/>
      <c r="AC67" s="426" t="e">
        <f>RANK(AB67, AB$67:AB$81)</f>
        <v>#N/A</v>
      </c>
      <c r="AD67" s="572" t="e">
        <f>AVERAGE(AB67:AB81)</f>
        <v>#DIV/0!</v>
      </c>
      <c r="AE67" s="420"/>
      <c r="AF67" s="426"/>
      <c r="AG67" s="426"/>
      <c r="AH67" s="426" t="e">
        <f>RANK(AG67, AG$67:AG$81)</f>
        <v>#N/A</v>
      </c>
      <c r="AI67" s="572" t="e">
        <f>AVERAGE(AG67:AG81)</f>
        <v>#DIV/0!</v>
      </c>
      <c r="AJ67" s="420"/>
      <c r="AK67" s="426"/>
      <c r="AL67" s="426"/>
      <c r="AM67" s="426" t="e">
        <f>RANK(AL67, AL$67:AL$81)</f>
        <v>#N/A</v>
      </c>
      <c r="AN67" s="572" t="e">
        <f>AVERAGE(AL67:AL81)</f>
        <v>#DIV/0!</v>
      </c>
      <c r="AO67" s="420"/>
      <c r="AP67" s="426"/>
      <c r="AQ67" s="426"/>
      <c r="AR67" s="426" t="e">
        <f>RANK(AQ67, AQ$67:AQ$81)</f>
        <v>#N/A</v>
      </c>
      <c r="AS67" s="644" t="e">
        <f>AVERAGE(AQ67:AQ81)</f>
        <v>#DIV/0!</v>
      </c>
      <c r="AT67" s="425"/>
      <c r="AU67" s="425"/>
      <c r="AV67" s="425"/>
      <c r="AW67" s="420" t="e">
        <f>RANK(AV67, AV$67:AV$81)</f>
        <v>#N/A</v>
      </c>
      <c r="AX67" s="643" t="e">
        <f>AVERAGE(AV67:AV81)</f>
        <v>#DIV/0!</v>
      </c>
      <c r="AZ67" s="407" t="e">
        <f t="shared" ref="AZ67:AZ81" si="53">RANK(AY67, AY$67:AY$81)</f>
        <v>#N/A</v>
      </c>
      <c r="BA67" s="610" t="e">
        <f t="shared" ref="BA67" si="54">AVERAGE(AY67:AY81)</f>
        <v>#DIV/0!</v>
      </c>
    </row>
    <row r="68" spans="2:53">
      <c r="B68" s="570"/>
      <c r="C68" s="420">
        <v>2</v>
      </c>
      <c r="D68" s="226"/>
      <c r="E68" s="425"/>
      <c r="F68" s="418"/>
      <c r="G68" s="419"/>
      <c r="H68" s="579"/>
      <c r="I68" s="422" t="str">
        <f t="shared" si="50"/>
        <v>-</v>
      </c>
      <c r="J68" s="422" t="str">
        <f t="shared" si="51"/>
        <v>-</v>
      </c>
      <c r="K68" s="200" t="str">
        <f t="shared" si="52"/>
        <v>-</v>
      </c>
      <c r="L68" s="581"/>
      <c r="M68" s="426" t="e">
        <f>RANK(K68, K$67:$K$81)</f>
        <v>#VALUE!</v>
      </c>
      <c r="N68" s="564"/>
      <c r="O68" s="564"/>
      <c r="P68" s="420"/>
      <c r="Q68" s="426"/>
      <c r="R68" s="426"/>
      <c r="S68" s="426" t="e">
        <f t="shared" ref="S68:S81" si="55">RANK(R68, R$67:R$81)</f>
        <v>#N/A</v>
      </c>
      <c r="T68" s="644"/>
      <c r="U68" s="420"/>
      <c r="V68" s="426"/>
      <c r="W68" s="426"/>
      <c r="X68" s="426" t="e">
        <f t="shared" ref="X68:X81" si="56">RANK(W68, W$67:W$81)</f>
        <v>#N/A</v>
      </c>
      <c r="Y68" s="572"/>
      <c r="Z68" s="420"/>
      <c r="AA68" s="426"/>
      <c r="AB68" s="426"/>
      <c r="AC68" s="426" t="e">
        <f t="shared" ref="AC68:AC81" si="57">RANK(AB68, AB$67:AB$81)</f>
        <v>#N/A</v>
      </c>
      <c r="AD68" s="572"/>
      <c r="AE68" s="420"/>
      <c r="AF68" s="426"/>
      <c r="AG68" s="426"/>
      <c r="AH68" s="426" t="e">
        <f t="shared" ref="AH68:AH81" si="58">RANK(AG68, AG$67:AG$81)</f>
        <v>#N/A</v>
      </c>
      <c r="AI68" s="572"/>
      <c r="AJ68" s="420"/>
      <c r="AK68" s="426"/>
      <c r="AL68" s="426"/>
      <c r="AM68" s="426" t="e">
        <f t="shared" ref="AM68:AM81" si="59">RANK(AL68, AL$67:AL$81)</f>
        <v>#N/A</v>
      </c>
      <c r="AN68" s="572"/>
      <c r="AO68" s="420"/>
      <c r="AP68" s="426"/>
      <c r="AQ68" s="426"/>
      <c r="AR68" s="426" t="e">
        <f t="shared" ref="AR68:AR81" si="60">RANK(AQ68, AQ$67:AQ$81)</f>
        <v>#N/A</v>
      </c>
      <c r="AS68" s="644"/>
      <c r="AT68" s="425"/>
      <c r="AU68" s="425"/>
      <c r="AV68" s="425"/>
      <c r="AW68" s="420" t="e">
        <f t="shared" ref="AW68:AW81" si="61">RANK(AV68, AV$67:AV$81)</f>
        <v>#N/A</v>
      </c>
      <c r="AX68" s="643"/>
      <c r="AZ68" s="407" t="e">
        <f t="shared" si="53"/>
        <v>#N/A</v>
      </c>
      <c r="BA68" s="611"/>
    </row>
    <row r="69" spans="2:53">
      <c r="B69" s="570"/>
      <c r="C69" s="420">
        <v>3</v>
      </c>
      <c r="D69" s="226"/>
      <c r="E69" s="425"/>
      <c r="F69" s="418"/>
      <c r="G69" s="419"/>
      <c r="H69" s="579"/>
      <c r="I69" s="422" t="str">
        <f t="shared" si="50"/>
        <v>-</v>
      </c>
      <c r="J69" s="422" t="str">
        <f t="shared" si="51"/>
        <v>-</v>
      </c>
      <c r="K69" s="200" t="str">
        <f t="shared" si="52"/>
        <v>-</v>
      </c>
      <c r="L69" s="581"/>
      <c r="M69" s="426" t="e">
        <f>RANK(K69, K$67:$K$81)</f>
        <v>#VALUE!</v>
      </c>
      <c r="N69" s="564"/>
      <c r="O69" s="564"/>
      <c r="P69" s="420"/>
      <c r="Q69" s="426"/>
      <c r="R69" s="426"/>
      <c r="S69" s="426" t="e">
        <f t="shared" si="55"/>
        <v>#N/A</v>
      </c>
      <c r="T69" s="644"/>
      <c r="U69" s="420"/>
      <c r="V69" s="426"/>
      <c r="W69" s="426"/>
      <c r="X69" s="426" t="e">
        <f t="shared" si="56"/>
        <v>#N/A</v>
      </c>
      <c r="Y69" s="572"/>
      <c r="Z69" s="420"/>
      <c r="AA69" s="426"/>
      <c r="AB69" s="426"/>
      <c r="AC69" s="426" t="e">
        <f t="shared" si="57"/>
        <v>#N/A</v>
      </c>
      <c r="AD69" s="572"/>
      <c r="AE69" s="420"/>
      <c r="AF69" s="426"/>
      <c r="AG69" s="426"/>
      <c r="AH69" s="426" t="e">
        <f t="shared" si="58"/>
        <v>#N/A</v>
      </c>
      <c r="AI69" s="572"/>
      <c r="AJ69" s="420"/>
      <c r="AK69" s="426"/>
      <c r="AL69" s="426"/>
      <c r="AM69" s="426" t="e">
        <f t="shared" si="59"/>
        <v>#N/A</v>
      </c>
      <c r="AN69" s="572"/>
      <c r="AO69" s="420"/>
      <c r="AP69" s="426"/>
      <c r="AQ69" s="426"/>
      <c r="AR69" s="426" t="e">
        <f t="shared" si="60"/>
        <v>#N/A</v>
      </c>
      <c r="AS69" s="644"/>
      <c r="AT69" s="425"/>
      <c r="AU69" s="425"/>
      <c r="AV69" s="425"/>
      <c r="AW69" s="420" t="e">
        <f t="shared" si="61"/>
        <v>#N/A</v>
      </c>
      <c r="AX69" s="643"/>
      <c r="AZ69" s="407" t="e">
        <f t="shared" si="53"/>
        <v>#N/A</v>
      </c>
      <c r="BA69" s="611"/>
    </row>
    <row r="70" spans="2:53">
      <c r="B70" s="570"/>
      <c r="C70" s="420">
        <v>4</v>
      </c>
      <c r="D70" s="226"/>
      <c r="E70" s="425"/>
      <c r="F70" s="418"/>
      <c r="G70" s="419"/>
      <c r="H70" s="579"/>
      <c r="I70" s="422" t="str">
        <f t="shared" si="50"/>
        <v>-</v>
      </c>
      <c r="J70" s="422" t="str">
        <f t="shared" si="51"/>
        <v>-</v>
      </c>
      <c r="K70" s="200" t="str">
        <f t="shared" si="52"/>
        <v>-</v>
      </c>
      <c r="L70" s="581"/>
      <c r="M70" s="426" t="e">
        <f>RANK(K70, K$67:$K$81)</f>
        <v>#VALUE!</v>
      </c>
      <c r="N70" s="564"/>
      <c r="O70" s="564"/>
      <c r="P70" s="420"/>
      <c r="Q70" s="426"/>
      <c r="R70" s="426"/>
      <c r="S70" s="426" t="e">
        <f t="shared" si="55"/>
        <v>#N/A</v>
      </c>
      <c r="T70" s="644"/>
      <c r="U70" s="420"/>
      <c r="V70" s="426"/>
      <c r="W70" s="426"/>
      <c r="X70" s="426" t="e">
        <f t="shared" si="56"/>
        <v>#N/A</v>
      </c>
      <c r="Y70" s="572"/>
      <c r="Z70" s="420"/>
      <c r="AA70" s="426"/>
      <c r="AB70" s="426"/>
      <c r="AC70" s="426" t="e">
        <f t="shared" si="57"/>
        <v>#N/A</v>
      </c>
      <c r="AD70" s="572"/>
      <c r="AE70" s="420"/>
      <c r="AF70" s="426"/>
      <c r="AG70" s="426"/>
      <c r="AH70" s="426" t="e">
        <f t="shared" si="58"/>
        <v>#N/A</v>
      </c>
      <c r="AI70" s="572"/>
      <c r="AJ70" s="420"/>
      <c r="AK70" s="426"/>
      <c r="AL70" s="426"/>
      <c r="AM70" s="426" t="e">
        <f t="shared" si="59"/>
        <v>#N/A</v>
      </c>
      <c r="AN70" s="572"/>
      <c r="AO70" s="420"/>
      <c r="AP70" s="426"/>
      <c r="AQ70" s="426"/>
      <c r="AR70" s="426" t="e">
        <f t="shared" si="60"/>
        <v>#N/A</v>
      </c>
      <c r="AS70" s="644"/>
      <c r="AT70" s="425"/>
      <c r="AU70" s="425"/>
      <c r="AV70" s="425"/>
      <c r="AW70" s="420" t="e">
        <f t="shared" si="61"/>
        <v>#N/A</v>
      </c>
      <c r="AX70" s="643"/>
      <c r="AZ70" s="407" t="e">
        <f t="shared" si="53"/>
        <v>#N/A</v>
      </c>
      <c r="BA70" s="611"/>
    </row>
    <row r="71" spans="2:53">
      <c r="B71" s="570"/>
      <c r="C71" s="420">
        <v>5</v>
      </c>
      <c r="D71" s="226"/>
      <c r="E71" s="425"/>
      <c r="F71" s="418"/>
      <c r="G71" s="419"/>
      <c r="H71" s="579"/>
      <c r="I71" s="422" t="str">
        <f t="shared" si="50"/>
        <v>-</v>
      </c>
      <c r="J71" s="422" t="str">
        <f t="shared" si="51"/>
        <v>-</v>
      </c>
      <c r="K71" s="200" t="str">
        <f t="shared" si="52"/>
        <v>-</v>
      </c>
      <c r="L71" s="581"/>
      <c r="M71" s="426" t="e">
        <f>RANK(K71, K$67:$K$81)</f>
        <v>#VALUE!</v>
      </c>
      <c r="N71" s="564"/>
      <c r="O71" s="564"/>
      <c r="P71" s="420"/>
      <c r="Q71" s="426"/>
      <c r="R71" s="426"/>
      <c r="S71" s="426" t="e">
        <f t="shared" si="55"/>
        <v>#N/A</v>
      </c>
      <c r="T71" s="644"/>
      <c r="U71" s="420"/>
      <c r="V71" s="426"/>
      <c r="W71" s="426"/>
      <c r="X71" s="426" t="e">
        <f t="shared" si="56"/>
        <v>#N/A</v>
      </c>
      <c r="Y71" s="572"/>
      <c r="Z71" s="420"/>
      <c r="AA71" s="426"/>
      <c r="AB71" s="426"/>
      <c r="AC71" s="426" t="e">
        <f t="shared" si="57"/>
        <v>#N/A</v>
      </c>
      <c r="AD71" s="572"/>
      <c r="AE71" s="420"/>
      <c r="AF71" s="426"/>
      <c r="AG71" s="426"/>
      <c r="AH71" s="426" t="e">
        <f t="shared" si="58"/>
        <v>#N/A</v>
      </c>
      <c r="AI71" s="572"/>
      <c r="AJ71" s="420"/>
      <c r="AK71" s="426"/>
      <c r="AL71" s="426"/>
      <c r="AM71" s="426" t="e">
        <f t="shared" si="59"/>
        <v>#N/A</v>
      </c>
      <c r="AN71" s="572"/>
      <c r="AO71" s="420"/>
      <c r="AP71" s="426"/>
      <c r="AQ71" s="426"/>
      <c r="AR71" s="426" t="e">
        <f t="shared" si="60"/>
        <v>#N/A</v>
      </c>
      <c r="AS71" s="644"/>
      <c r="AT71" s="425"/>
      <c r="AU71" s="425"/>
      <c r="AV71" s="425"/>
      <c r="AW71" s="420" t="e">
        <f t="shared" si="61"/>
        <v>#N/A</v>
      </c>
      <c r="AX71" s="643"/>
      <c r="AZ71" s="407" t="e">
        <f t="shared" si="53"/>
        <v>#N/A</v>
      </c>
      <c r="BA71" s="611"/>
    </row>
    <row r="72" spans="2:53">
      <c r="B72" s="570"/>
      <c r="C72" s="420">
        <v>6</v>
      </c>
      <c r="D72" s="226"/>
      <c r="E72" s="425"/>
      <c r="F72" s="418"/>
      <c r="G72" s="419"/>
      <c r="H72" s="579"/>
      <c r="I72" s="422" t="str">
        <f t="shared" si="50"/>
        <v>-</v>
      </c>
      <c r="J72" s="422" t="str">
        <f t="shared" si="51"/>
        <v>-</v>
      </c>
      <c r="K72" s="200" t="str">
        <f t="shared" si="52"/>
        <v>-</v>
      </c>
      <c r="L72" s="581"/>
      <c r="M72" s="426" t="e">
        <f>RANK(K72, K$67:$K$81)</f>
        <v>#VALUE!</v>
      </c>
      <c r="N72" s="564"/>
      <c r="O72" s="564"/>
      <c r="P72" s="420"/>
      <c r="Q72" s="426"/>
      <c r="R72" s="426"/>
      <c r="S72" s="426" t="e">
        <f t="shared" si="55"/>
        <v>#N/A</v>
      </c>
      <c r="T72" s="644"/>
      <c r="U72" s="420"/>
      <c r="V72" s="426"/>
      <c r="W72" s="426"/>
      <c r="X72" s="426" t="e">
        <f t="shared" si="56"/>
        <v>#N/A</v>
      </c>
      <c r="Y72" s="572"/>
      <c r="Z72" s="420"/>
      <c r="AA72" s="426"/>
      <c r="AB72" s="426"/>
      <c r="AC72" s="426" t="e">
        <f t="shared" si="57"/>
        <v>#N/A</v>
      </c>
      <c r="AD72" s="572"/>
      <c r="AE72" s="420"/>
      <c r="AF72" s="426"/>
      <c r="AG72" s="426"/>
      <c r="AH72" s="426" t="e">
        <f t="shared" si="58"/>
        <v>#N/A</v>
      </c>
      <c r="AI72" s="572"/>
      <c r="AJ72" s="420"/>
      <c r="AK72" s="426"/>
      <c r="AL72" s="426"/>
      <c r="AM72" s="426" t="e">
        <f t="shared" si="59"/>
        <v>#N/A</v>
      </c>
      <c r="AN72" s="572"/>
      <c r="AO72" s="420"/>
      <c r="AP72" s="426"/>
      <c r="AQ72" s="426"/>
      <c r="AR72" s="426" t="e">
        <f t="shared" si="60"/>
        <v>#N/A</v>
      </c>
      <c r="AS72" s="644"/>
      <c r="AT72" s="425"/>
      <c r="AU72" s="425"/>
      <c r="AV72" s="425"/>
      <c r="AW72" s="420" t="e">
        <f t="shared" si="61"/>
        <v>#N/A</v>
      </c>
      <c r="AX72" s="643"/>
      <c r="AZ72" s="407" t="e">
        <f t="shared" si="53"/>
        <v>#N/A</v>
      </c>
      <c r="BA72" s="611"/>
    </row>
    <row r="73" spans="2:53">
      <c r="B73" s="570"/>
      <c r="C73" s="420">
        <v>7</v>
      </c>
      <c r="D73" s="226"/>
      <c r="E73" s="425"/>
      <c r="F73" s="418"/>
      <c r="G73" s="419"/>
      <c r="H73" s="579"/>
      <c r="I73" s="422" t="str">
        <f t="shared" si="50"/>
        <v>-</v>
      </c>
      <c r="J73" s="422" t="str">
        <f t="shared" si="51"/>
        <v>-</v>
      </c>
      <c r="K73" s="200" t="str">
        <f t="shared" si="52"/>
        <v>-</v>
      </c>
      <c r="L73" s="581"/>
      <c r="M73" s="426" t="e">
        <f>RANK(K73, K$67:$K$81)</f>
        <v>#VALUE!</v>
      </c>
      <c r="N73" s="564"/>
      <c r="O73" s="564"/>
      <c r="P73" s="420"/>
      <c r="Q73" s="426"/>
      <c r="R73" s="426"/>
      <c r="S73" s="426" t="e">
        <f t="shared" si="55"/>
        <v>#N/A</v>
      </c>
      <c r="T73" s="644"/>
      <c r="U73" s="420"/>
      <c r="V73" s="426"/>
      <c r="W73" s="426"/>
      <c r="X73" s="426" t="e">
        <f t="shared" si="56"/>
        <v>#N/A</v>
      </c>
      <c r="Y73" s="572"/>
      <c r="Z73" s="420"/>
      <c r="AA73" s="426"/>
      <c r="AB73" s="426"/>
      <c r="AC73" s="426" t="e">
        <f t="shared" si="57"/>
        <v>#N/A</v>
      </c>
      <c r="AD73" s="572"/>
      <c r="AE73" s="420"/>
      <c r="AF73" s="426"/>
      <c r="AG73" s="426"/>
      <c r="AH73" s="426" t="e">
        <f t="shared" si="58"/>
        <v>#N/A</v>
      </c>
      <c r="AI73" s="572"/>
      <c r="AJ73" s="420"/>
      <c r="AK73" s="426"/>
      <c r="AL73" s="426"/>
      <c r="AM73" s="426" t="e">
        <f t="shared" si="59"/>
        <v>#N/A</v>
      </c>
      <c r="AN73" s="572"/>
      <c r="AO73" s="420"/>
      <c r="AP73" s="426"/>
      <c r="AQ73" s="426"/>
      <c r="AR73" s="426" t="e">
        <f t="shared" si="60"/>
        <v>#N/A</v>
      </c>
      <c r="AS73" s="644"/>
      <c r="AT73" s="425"/>
      <c r="AU73" s="425"/>
      <c r="AV73" s="425"/>
      <c r="AW73" s="420" t="e">
        <f t="shared" si="61"/>
        <v>#N/A</v>
      </c>
      <c r="AX73" s="643"/>
      <c r="AZ73" s="407" t="e">
        <f t="shared" si="53"/>
        <v>#N/A</v>
      </c>
      <c r="BA73" s="611"/>
    </row>
    <row r="74" spans="2:53">
      <c r="B74" s="570"/>
      <c r="C74" s="420">
        <v>8</v>
      </c>
      <c r="D74" s="226"/>
      <c r="E74" s="425"/>
      <c r="F74" s="418"/>
      <c r="G74" s="419"/>
      <c r="H74" s="579"/>
      <c r="I74" s="422" t="str">
        <f t="shared" si="50"/>
        <v>-</v>
      </c>
      <c r="J74" s="422" t="str">
        <f t="shared" si="51"/>
        <v>-</v>
      </c>
      <c r="K74" s="200" t="str">
        <f t="shared" si="52"/>
        <v>-</v>
      </c>
      <c r="L74" s="581"/>
      <c r="M74" s="426" t="e">
        <f>RANK(K74, K$67:$K$81)</f>
        <v>#VALUE!</v>
      </c>
      <c r="N74" s="564"/>
      <c r="O74" s="564"/>
      <c r="P74" s="420"/>
      <c r="Q74" s="426"/>
      <c r="R74" s="426"/>
      <c r="S74" s="426" t="e">
        <f t="shared" si="55"/>
        <v>#N/A</v>
      </c>
      <c r="T74" s="644"/>
      <c r="U74" s="420"/>
      <c r="V74" s="426"/>
      <c r="W74" s="426"/>
      <c r="X74" s="426" t="e">
        <f t="shared" si="56"/>
        <v>#N/A</v>
      </c>
      <c r="Y74" s="572"/>
      <c r="Z74" s="420"/>
      <c r="AA74" s="426"/>
      <c r="AB74" s="426"/>
      <c r="AC74" s="426" t="e">
        <f t="shared" si="57"/>
        <v>#N/A</v>
      </c>
      <c r="AD74" s="572"/>
      <c r="AE74" s="420"/>
      <c r="AF74" s="426"/>
      <c r="AG74" s="426"/>
      <c r="AH74" s="426" t="e">
        <f t="shared" si="58"/>
        <v>#N/A</v>
      </c>
      <c r="AI74" s="572"/>
      <c r="AJ74" s="420"/>
      <c r="AK74" s="426"/>
      <c r="AL74" s="426"/>
      <c r="AM74" s="426" t="e">
        <f t="shared" si="59"/>
        <v>#N/A</v>
      </c>
      <c r="AN74" s="572"/>
      <c r="AO74" s="420"/>
      <c r="AP74" s="426"/>
      <c r="AQ74" s="426"/>
      <c r="AR74" s="426" t="e">
        <f t="shared" si="60"/>
        <v>#N/A</v>
      </c>
      <c r="AS74" s="644"/>
      <c r="AT74" s="425"/>
      <c r="AU74" s="425"/>
      <c r="AV74" s="425"/>
      <c r="AW74" s="420" t="e">
        <f t="shared" si="61"/>
        <v>#N/A</v>
      </c>
      <c r="AX74" s="643"/>
      <c r="AZ74" s="407" t="e">
        <f t="shared" si="53"/>
        <v>#N/A</v>
      </c>
      <c r="BA74" s="611"/>
    </row>
    <row r="75" spans="2:53">
      <c r="B75" s="570"/>
      <c r="C75" s="420">
        <v>9</v>
      </c>
      <c r="D75" s="226"/>
      <c r="E75" s="425"/>
      <c r="F75" s="418"/>
      <c r="G75" s="419"/>
      <c r="H75" s="579"/>
      <c r="I75" s="422" t="str">
        <f t="shared" si="50"/>
        <v>-</v>
      </c>
      <c r="J75" s="422" t="str">
        <f t="shared" si="51"/>
        <v>-</v>
      </c>
      <c r="K75" s="200" t="str">
        <f t="shared" si="52"/>
        <v>-</v>
      </c>
      <c r="L75" s="581"/>
      <c r="M75" s="426" t="e">
        <f>RANK(K75, K$67:$K$81)</f>
        <v>#VALUE!</v>
      </c>
      <c r="N75" s="564"/>
      <c r="O75" s="564"/>
      <c r="P75" s="420"/>
      <c r="Q75" s="426"/>
      <c r="R75" s="426"/>
      <c r="S75" s="426" t="e">
        <f t="shared" si="55"/>
        <v>#N/A</v>
      </c>
      <c r="T75" s="644"/>
      <c r="U75" s="420"/>
      <c r="V75" s="426"/>
      <c r="W75" s="426"/>
      <c r="X75" s="426" t="e">
        <f t="shared" si="56"/>
        <v>#N/A</v>
      </c>
      <c r="Y75" s="572"/>
      <c r="Z75" s="420"/>
      <c r="AA75" s="426"/>
      <c r="AB75" s="426"/>
      <c r="AC75" s="426" t="e">
        <f t="shared" si="57"/>
        <v>#N/A</v>
      </c>
      <c r="AD75" s="572"/>
      <c r="AE75" s="420"/>
      <c r="AF75" s="426"/>
      <c r="AG75" s="426"/>
      <c r="AH75" s="426" t="e">
        <f t="shared" si="58"/>
        <v>#N/A</v>
      </c>
      <c r="AI75" s="572"/>
      <c r="AJ75" s="420"/>
      <c r="AK75" s="426"/>
      <c r="AL75" s="426"/>
      <c r="AM75" s="426" t="e">
        <f t="shared" si="59"/>
        <v>#N/A</v>
      </c>
      <c r="AN75" s="572"/>
      <c r="AO75" s="420"/>
      <c r="AP75" s="426"/>
      <c r="AQ75" s="426"/>
      <c r="AR75" s="426" t="e">
        <f t="shared" si="60"/>
        <v>#N/A</v>
      </c>
      <c r="AS75" s="644"/>
      <c r="AT75" s="425"/>
      <c r="AU75" s="425"/>
      <c r="AV75" s="425"/>
      <c r="AW75" s="420" t="e">
        <f t="shared" si="61"/>
        <v>#N/A</v>
      </c>
      <c r="AX75" s="643"/>
      <c r="AZ75" s="407" t="e">
        <f t="shared" si="53"/>
        <v>#N/A</v>
      </c>
      <c r="BA75" s="611"/>
    </row>
    <row r="76" spans="2:53">
      <c r="B76" s="570"/>
      <c r="C76" s="420">
        <v>10</v>
      </c>
      <c r="D76" s="226"/>
      <c r="E76" s="425"/>
      <c r="F76" s="418"/>
      <c r="G76" s="419"/>
      <c r="H76" s="579"/>
      <c r="I76" s="422" t="str">
        <f t="shared" si="50"/>
        <v>-</v>
      </c>
      <c r="J76" s="422" t="str">
        <f t="shared" si="51"/>
        <v>-</v>
      </c>
      <c r="K76" s="200" t="str">
        <f t="shared" si="52"/>
        <v>-</v>
      </c>
      <c r="L76" s="581"/>
      <c r="M76" s="426" t="e">
        <f>RANK(K76, K$67:$K$81)</f>
        <v>#VALUE!</v>
      </c>
      <c r="N76" s="564"/>
      <c r="O76" s="564"/>
      <c r="P76" s="420"/>
      <c r="Q76" s="426"/>
      <c r="R76" s="426"/>
      <c r="S76" s="426" t="e">
        <f t="shared" si="55"/>
        <v>#N/A</v>
      </c>
      <c r="T76" s="644"/>
      <c r="U76" s="420"/>
      <c r="V76" s="426"/>
      <c r="W76" s="426"/>
      <c r="X76" s="426" t="e">
        <f t="shared" si="56"/>
        <v>#N/A</v>
      </c>
      <c r="Y76" s="572"/>
      <c r="Z76" s="420"/>
      <c r="AA76" s="426"/>
      <c r="AB76" s="426"/>
      <c r="AC76" s="426" t="e">
        <f t="shared" si="57"/>
        <v>#N/A</v>
      </c>
      <c r="AD76" s="572"/>
      <c r="AE76" s="420"/>
      <c r="AF76" s="426"/>
      <c r="AG76" s="426"/>
      <c r="AH76" s="426" t="e">
        <f t="shared" si="58"/>
        <v>#N/A</v>
      </c>
      <c r="AI76" s="572"/>
      <c r="AJ76" s="420"/>
      <c r="AK76" s="426"/>
      <c r="AL76" s="426"/>
      <c r="AM76" s="426" t="e">
        <f t="shared" si="59"/>
        <v>#N/A</v>
      </c>
      <c r="AN76" s="572"/>
      <c r="AO76" s="420"/>
      <c r="AP76" s="426"/>
      <c r="AQ76" s="426"/>
      <c r="AR76" s="426" t="e">
        <f t="shared" si="60"/>
        <v>#N/A</v>
      </c>
      <c r="AS76" s="644"/>
      <c r="AT76" s="425"/>
      <c r="AU76" s="425"/>
      <c r="AV76" s="425"/>
      <c r="AW76" s="420" t="e">
        <f t="shared" si="61"/>
        <v>#N/A</v>
      </c>
      <c r="AX76" s="643"/>
      <c r="AZ76" s="407" t="e">
        <f t="shared" si="53"/>
        <v>#N/A</v>
      </c>
      <c r="BA76" s="611"/>
    </row>
    <row r="77" spans="2:53">
      <c r="B77" s="570"/>
      <c r="C77" s="420">
        <v>11</v>
      </c>
      <c r="D77" s="226"/>
      <c r="E77" s="425"/>
      <c r="F77" s="418"/>
      <c r="G77" s="419"/>
      <c r="H77" s="579"/>
      <c r="I77" s="422" t="str">
        <f t="shared" si="50"/>
        <v>-</v>
      </c>
      <c r="J77" s="422" t="str">
        <f t="shared" si="51"/>
        <v>-</v>
      </c>
      <c r="K77" s="200" t="str">
        <f t="shared" si="52"/>
        <v>-</v>
      </c>
      <c r="L77" s="581"/>
      <c r="M77" s="426" t="e">
        <f>RANK(K77, K$67:$K$81)</f>
        <v>#VALUE!</v>
      </c>
      <c r="N77" s="564"/>
      <c r="O77" s="564"/>
      <c r="P77" s="420"/>
      <c r="Q77" s="426"/>
      <c r="R77" s="426"/>
      <c r="S77" s="426" t="e">
        <f t="shared" si="55"/>
        <v>#N/A</v>
      </c>
      <c r="T77" s="644"/>
      <c r="U77" s="420"/>
      <c r="V77" s="426"/>
      <c r="W77" s="426"/>
      <c r="X77" s="426" t="e">
        <f t="shared" si="56"/>
        <v>#N/A</v>
      </c>
      <c r="Y77" s="572"/>
      <c r="Z77" s="420"/>
      <c r="AA77" s="426"/>
      <c r="AB77" s="426"/>
      <c r="AC77" s="426" t="e">
        <f t="shared" si="57"/>
        <v>#N/A</v>
      </c>
      <c r="AD77" s="572"/>
      <c r="AE77" s="420"/>
      <c r="AF77" s="426"/>
      <c r="AG77" s="426"/>
      <c r="AH77" s="426" t="e">
        <f t="shared" si="58"/>
        <v>#N/A</v>
      </c>
      <c r="AI77" s="572"/>
      <c r="AJ77" s="420"/>
      <c r="AK77" s="426"/>
      <c r="AL77" s="426"/>
      <c r="AM77" s="426" t="e">
        <f t="shared" si="59"/>
        <v>#N/A</v>
      </c>
      <c r="AN77" s="572"/>
      <c r="AO77" s="420"/>
      <c r="AP77" s="426"/>
      <c r="AQ77" s="426"/>
      <c r="AR77" s="426" t="e">
        <f t="shared" si="60"/>
        <v>#N/A</v>
      </c>
      <c r="AS77" s="644"/>
      <c r="AT77" s="425"/>
      <c r="AU77" s="425"/>
      <c r="AV77" s="425"/>
      <c r="AW77" s="420" t="e">
        <f t="shared" si="61"/>
        <v>#N/A</v>
      </c>
      <c r="AX77" s="643"/>
      <c r="AZ77" s="407" t="e">
        <f t="shared" si="53"/>
        <v>#N/A</v>
      </c>
      <c r="BA77" s="611"/>
    </row>
    <row r="78" spans="2:53">
      <c r="B78" s="570"/>
      <c r="C78" s="420">
        <v>12</v>
      </c>
      <c r="D78" s="226"/>
      <c r="E78" s="425"/>
      <c r="F78" s="418"/>
      <c r="G78" s="419"/>
      <c r="H78" s="579"/>
      <c r="I78" s="422" t="str">
        <f t="shared" si="50"/>
        <v>-</v>
      </c>
      <c r="J78" s="422" t="str">
        <f t="shared" si="51"/>
        <v>-</v>
      </c>
      <c r="K78" s="200" t="str">
        <f t="shared" si="52"/>
        <v>-</v>
      </c>
      <c r="L78" s="581"/>
      <c r="M78" s="426" t="e">
        <f>RANK(K78, K$67:$K$81)</f>
        <v>#VALUE!</v>
      </c>
      <c r="N78" s="564"/>
      <c r="O78" s="564"/>
      <c r="P78" s="420"/>
      <c r="Q78" s="426"/>
      <c r="R78" s="426"/>
      <c r="S78" s="426" t="e">
        <f t="shared" si="55"/>
        <v>#N/A</v>
      </c>
      <c r="T78" s="644"/>
      <c r="U78" s="420"/>
      <c r="V78" s="426"/>
      <c r="W78" s="426"/>
      <c r="X78" s="426" t="e">
        <f t="shared" si="56"/>
        <v>#N/A</v>
      </c>
      <c r="Y78" s="572"/>
      <c r="Z78" s="420"/>
      <c r="AA78" s="426"/>
      <c r="AB78" s="426"/>
      <c r="AC78" s="426" t="e">
        <f t="shared" si="57"/>
        <v>#N/A</v>
      </c>
      <c r="AD78" s="572"/>
      <c r="AE78" s="420"/>
      <c r="AF78" s="426"/>
      <c r="AG78" s="426"/>
      <c r="AH78" s="426" t="e">
        <f t="shared" si="58"/>
        <v>#N/A</v>
      </c>
      <c r="AI78" s="572"/>
      <c r="AJ78" s="420"/>
      <c r="AK78" s="426"/>
      <c r="AL78" s="426"/>
      <c r="AM78" s="426" t="e">
        <f t="shared" si="59"/>
        <v>#N/A</v>
      </c>
      <c r="AN78" s="572"/>
      <c r="AO78" s="420"/>
      <c r="AP78" s="426"/>
      <c r="AQ78" s="426"/>
      <c r="AR78" s="426" t="e">
        <f t="shared" si="60"/>
        <v>#N/A</v>
      </c>
      <c r="AS78" s="644"/>
      <c r="AT78" s="425"/>
      <c r="AU78" s="425"/>
      <c r="AV78" s="425"/>
      <c r="AW78" s="420" t="e">
        <f t="shared" si="61"/>
        <v>#N/A</v>
      </c>
      <c r="AX78" s="643"/>
      <c r="AZ78" s="407" t="e">
        <f t="shared" si="53"/>
        <v>#N/A</v>
      </c>
      <c r="BA78" s="611"/>
    </row>
    <row r="79" spans="2:53">
      <c r="B79" s="570"/>
      <c r="C79" s="420">
        <v>13</v>
      </c>
      <c r="D79" s="226"/>
      <c r="E79" s="425"/>
      <c r="F79" s="418"/>
      <c r="G79" s="419"/>
      <c r="H79" s="579"/>
      <c r="I79" s="422" t="str">
        <f t="shared" si="50"/>
        <v>-</v>
      </c>
      <c r="J79" s="422" t="str">
        <f t="shared" si="51"/>
        <v>-</v>
      </c>
      <c r="K79" s="200" t="str">
        <f t="shared" si="52"/>
        <v>-</v>
      </c>
      <c r="L79" s="581"/>
      <c r="M79" s="426" t="e">
        <f>RANK(K79, K$67:$K$81)</f>
        <v>#VALUE!</v>
      </c>
      <c r="N79" s="564"/>
      <c r="O79" s="564"/>
      <c r="P79" s="420"/>
      <c r="Q79" s="426"/>
      <c r="R79" s="426"/>
      <c r="S79" s="426" t="e">
        <f t="shared" si="55"/>
        <v>#N/A</v>
      </c>
      <c r="T79" s="644"/>
      <c r="U79" s="420"/>
      <c r="V79" s="426"/>
      <c r="W79" s="426"/>
      <c r="X79" s="426" t="e">
        <f t="shared" si="56"/>
        <v>#N/A</v>
      </c>
      <c r="Y79" s="572"/>
      <c r="Z79" s="420"/>
      <c r="AA79" s="426"/>
      <c r="AB79" s="426"/>
      <c r="AC79" s="423" t="e">
        <f t="shared" si="57"/>
        <v>#N/A</v>
      </c>
      <c r="AD79" s="572"/>
      <c r="AE79" s="420"/>
      <c r="AF79" s="426"/>
      <c r="AG79" s="426"/>
      <c r="AH79" s="426" t="e">
        <f t="shared" si="58"/>
        <v>#N/A</v>
      </c>
      <c r="AI79" s="572"/>
      <c r="AJ79" s="420"/>
      <c r="AK79" s="426"/>
      <c r="AL79" s="426"/>
      <c r="AM79" s="426" t="e">
        <f t="shared" si="59"/>
        <v>#N/A</v>
      </c>
      <c r="AN79" s="572"/>
      <c r="AO79" s="420"/>
      <c r="AP79" s="426"/>
      <c r="AQ79" s="426"/>
      <c r="AR79" s="423" t="e">
        <f t="shared" si="60"/>
        <v>#N/A</v>
      </c>
      <c r="AS79" s="644"/>
      <c r="AT79" s="425"/>
      <c r="AU79" s="425"/>
      <c r="AV79" s="425"/>
      <c r="AW79" s="420" t="e">
        <f t="shared" si="61"/>
        <v>#N/A</v>
      </c>
      <c r="AX79" s="643"/>
      <c r="AZ79" s="407" t="e">
        <f t="shared" si="53"/>
        <v>#N/A</v>
      </c>
      <c r="BA79" s="611"/>
    </row>
    <row r="80" spans="2:53">
      <c r="B80" s="570"/>
      <c r="C80" s="420">
        <v>14</v>
      </c>
      <c r="D80" s="226"/>
      <c r="E80" s="425"/>
      <c r="F80" s="418"/>
      <c r="G80" s="419"/>
      <c r="H80" s="579"/>
      <c r="I80" s="422" t="str">
        <f t="shared" si="50"/>
        <v>-</v>
      </c>
      <c r="J80" s="422" t="str">
        <f t="shared" si="51"/>
        <v>-</v>
      </c>
      <c r="K80" s="200" t="str">
        <f t="shared" si="52"/>
        <v>-</v>
      </c>
      <c r="L80" s="581"/>
      <c r="M80" s="426" t="e">
        <f>RANK(K80, K$67:$K$81)</f>
        <v>#VALUE!</v>
      </c>
      <c r="N80" s="564"/>
      <c r="O80" s="564"/>
      <c r="P80" s="420"/>
      <c r="Q80" s="426"/>
      <c r="R80" s="426"/>
      <c r="S80" s="426" t="e">
        <f t="shared" si="55"/>
        <v>#N/A</v>
      </c>
      <c r="T80" s="644"/>
      <c r="U80" s="420"/>
      <c r="V80" s="426"/>
      <c r="W80" s="426"/>
      <c r="X80" s="426" t="e">
        <f t="shared" si="56"/>
        <v>#N/A</v>
      </c>
      <c r="Y80" s="572"/>
      <c r="Z80" s="420"/>
      <c r="AA80" s="426"/>
      <c r="AB80" s="426"/>
      <c r="AC80" s="423" t="e">
        <f t="shared" si="57"/>
        <v>#N/A</v>
      </c>
      <c r="AD80" s="572"/>
      <c r="AE80" s="420"/>
      <c r="AF80" s="426"/>
      <c r="AG80" s="426"/>
      <c r="AH80" s="423" t="e">
        <f t="shared" si="58"/>
        <v>#N/A</v>
      </c>
      <c r="AI80" s="572"/>
      <c r="AJ80" s="420"/>
      <c r="AK80" s="426"/>
      <c r="AL80" s="426"/>
      <c r="AM80" s="423" t="e">
        <f t="shared" si="59"/>
        <v>#N/A</v>
      </c>
      <c r="AN80" s="572"/>
      <c r="AO80" s="420"/>
      <c r="AP80" s="426"/>
      <c r="AQ80" s="426"/>
      <c r="AR80" s="423" t="e">
        <f t="shared" si="60"/>
        <v>#N/A</v>
      </c>
      <c r="AS80" s="644"/>
      <c r="AT80" s="425"/>
      <c r="AU80" s="425"/>
      <c r="AV80" s="425"/>
      <c r="AW80" s="420" t="e">
        <f t="shared" si="61"/>
        <v>#N/A</v>
      </c>
      <c r="AX80" s="643"/>
      <c r="AZ80" s="407" t="e">
        <f t="shared" si="53"/>
        <v>#N/A</v>
      </c>
      <c r="BA80" s="611"/>
    </row>
    <row r="81" spans="2:53">
      <c r="B81" s="570"/>
      <c r="C81" s="420">
        <v>15</v>
      </c>
      <c r="D81" s="226"/>
      <c r="E81" s="425"/>
      <c r="F81" s="418"/>
      <c r="G81" s="419"/>
      <c r="H81" s="639"/>
      <c r="I81" s="420"/>
      <c r="J81" s="420"/>
      <c r="K81" s="420"/>
      <c r="L81" s="582"/>
      <c r="M81" s="426" t="e">
        <f>RANK(K81, K$67:$K$81)</f>
        <v>#N/A</v>
      </c>
      <c r="N81" s="564"/>
      <c r="O81" s="564"/>
      <c r="P81" s="420"/>
      <c r="Q81" s="426"/>
      <c r="R81" s="426"/>
      <c r="S81" s="426" t="e">
        <f t="shared" si="55"/>
        <v>#N/A</v>
      </c>
      <c r="T81" s="644"/>
      <c r="U81" s="420"/>
      <c r="V81" s="426"/>
      <c r="W81" s="426"/>
      <c r="X81" s="423" t="e">
        <f t="shared" si="56"/>
        <v>#N/A</v>
      </c>
      <c r="Y81" s="572"/>
      <c r="Z81" s="420"/>
      <c r="AA81" s="426"/>
      <c r="AB81" s="426"/>
      <c r="AC81" s="423" t="e">
        <f t="shared" si="57"/>
        <v>#N/A</v>
      </c>
      <c r="AD81" s="572"/>
      <c r="AE81" s="420"/>
      <c r="AF81" s="426"/>
      <c r="AG81" s="426"/>
      <c r="AH81" s="423" t="e">
        <f t="shared" si="58"/>
        <v>#N/A</v>
      </c>
      <c r="AI81" s="572"/>
      <c r="AJ81" s="420"/>
      <c r="AK81" s="426"/>
      <c r="AL81" s="426"/>
      <c r="AM81" s="423" t="e">
        <f t="shared" si="59"/>
        <v>#N/A</v>
      </c>
      <c r="AN81" s="572"/>
      <c r="AO81" s="420"/>
      <c r="AP81" s="426"/>
      <c r="AQ81" s="426"/>
      <c r="AR81" s="423" t="e">
        <f t="shared" si="60"/>
        <v>#N/A</v>
      </c>
      <c r="AS81" s="644"/>
      <c r="AT81" s="425"/>
      <c r="AU81" s="425"/>
      <c r="AV81" s="425"/>
      <c r="AW81" s="420" t="e">
        <f t="shared" si="61"/>
        <v>#N/A</v>
      </c>
      <c r="AX81" s="643"/>
      <c r="AZ81" s="407" t="e">
        <f t="shared" si="53"/>
        <v>#N/A</v>
      </c>
      <c r="BA81" s="612"/>
    </row>
    <row r="82" spans="2:53" ht="15.75">
      <c r="B82" s="593" t="s">
        <v>163</v>
      </c>
      <c r="C82" s="594"/>
      <c r="D82" s="594"/>
      <c r="E82" s="594"/>
      <c r="F82" s="594"/>
      <c r="G82" s="594"/>
      <c r="H82" s="595"/>
      <c r="I82" s="208"/>
      <c r="J82" s="208"/>
      <c r="K82" s="208"/>
      <c r="L82" s="208"/>
      <c r="M82" s="207"/>
      <c r="N82" s="566" t="s">
        <v>156</v>
      </c>
      <c r="O82" s="566" t="s">
        <v>105</v>
      </c>
      <c r="P82" s="592">
        <f>P62+7</f>
        <v>46168</v>
      </c>
      <c r="Q82" s="570"/>
      <c r="R82" s="570"/>
      <c r="S82" s="570"/>
      <c r="T82" s="570"/>
      <c r="U82" s="589">
        <f>P82+1</f>
        <v>46169</v>
      </c>
      <c r="V82" s="590"/>
      <c r="W82" s="590"/>
      <c r="X82" s="590"/>
      <c r="Y82" s="591"/>
      <c r="Z82" s="589">
        <f>U82+1</f>
        <v>46170</v>
      </c>
      <c r="AA82" s="590"/>
      <c r="AB82" s="590"/>
      <c r="AC82" s="590"/>
      <c r="AD82" s="591"/>
      <c r="AE82" s="589">
        <f>Z82+1</f>
        <v>46171</v>
      </c>
      <c r="AF82" s="590"/>
      <c r="AG82" s="590"/>
      <c r="AH82" s="590"/>
      <c r="AI82" s="591"/>
      <c r="AJ82" s="589">
        <f>AE82+1</f>
        <v>46172</v>
      </c>
      <c r="AK82" s="590"/>
      <c r="AL82" s="590"/>
      <c r="AM82" s="590"/>
      <c r="AN82" s="591"/>
      <c r="AO82" s="589">
        <f>AJ82+1</f>
        <v>46173</v>
      </c>
      <c r="AP82" s="590"/>
      <c r="AQ82" s="590"/>
      <c r="AR82" s="590"/>
      <c r="AS82" s="591"/>
      <c r="AT82" s="589">
        <f>AO82+1</f>
        <v>46174</v>
      </c>
      <c r="AU82" s="590"/>
      <c r="AV82" s="590"/>
      <c r="AW82" s="590"/>
      <c r="AX82" s="591"/>
    </row>
    <row r="83" spans="2:53" ht="15.75">
      <c r="B83" s="596"/>
      <c r="C83" s="596"/>
      <c r="D83" s="596"/>
      <c r="E83" s="596"/>
      <c r="F83" s="596"/>
      <c r="G83" s="596"/>
      <c r="H83" s="596"/>
      <c r="I83" s="205"/>
      <c r="J83" s="205"/>
      <c r="K83" s="205"/>
      <c r="L83" s="205"/>
      <c r="M83" s="206"/>
      <c r="N83" s="568"/>
      <c r="O83" s="568"/>
      <c r="P83" s="592" t="s">
        <v>318</v>
      </c>
      <c r="Q83" s="570"/>
      <c r="R83" s="570"/>
      <c r="S83" s="570"/>
      <c r="T83" s="570"/>
      <c r="U83" s="592" t="s">
        <v>319</v>
      </c>
      <c r="V83" s="570"/>
      <c r="W83" s="570"/>
      <c r="X83" s="570"/>
      <c r="Y83" s="570"/>
      <c r="Z83" s="592" t="s">
        <v>320</v>
      </c>
      <c r="AA83" s="570"/>
      <c r="AB83" s="570"/>
      <c r="AC83" s="570"/>
      <c r="AD83" s="570"/>
      <c r="AE83" s="592" t="s">
        <v>321</v>
      </c>
      <c r="AF83" s="570"/>
      <c r="AG83" s="570"/>
      <c r="AH83" s="570"/>
      <c r="AI83" s="570"/>
      <c r="AJ83" s="592" t="s">
        <v>322</v>
      </c>
      <c r="AK83" s="570"/>
      <c r="AL83" s="570"/>
      <c r="AM83" s="570"/>
      <c r="AN83" s="570"/>
      <c r="AO83" s="592" t="s">
        <v>323</v>
      </c>
      <c r="AP83" s="570"/>
      <c r="AQ83" s="570"/>
      <c r="AR83" s="570"/>
      <c r="AS83" s="570"/>
      <c r="AT83" s="592" t="s">
        <v>324</v>
      </c>
      <c r="AU83" s="570"/>
      <c r="AV83" s="570"/>
      <c r="AW83" s="570"/>
      <c r="AX83" s="570"/>
    </row>
    <row r="84" spans="2:53">
      <c r="B84" s="564" t="s">
        <v>402</v>
      </c>
      <c r="C84" s="564" t="s">
        <v>560</v>
      </c>
      <c r="D84" s="564"/>
      <c r="E84" s="564" t="s">
        <v>561</v>
      </c>
      <c r="F84" s="564"/>
      <c r="G84" s="564"/>
      <c r="H84" s="597" t="s">
        <v>562</v>
      </c>
      <c r="I84" s="564" t="s">
        <v>563</v>
      </c>
      <c r="J84" s="564"/>
      <c r="K84" s="564"/>
      <c r="L84" s="597" t="s">
        <v>374</v>
      </c>
      <c r="M84" s="566" t="s">
        <v>564</v>
      </c>
      <c r="N84" s="564"/>
      <c r="O84" s="564" t="s">
        <v>565</v>
      </c>
      <c r="P84" s="583" t="s">
        <v>376</v>
      </c>
      <c r="Q84" s="584"/>
      <c r="R84" s="584"/>
      <c r="S84" s="585"/>
      <c r="T84" s="564" t="s">
        <v>374</v>
      </c>
      <c r="U84" s="583" t="s">
        <v>376</v>
      </c>
      <c r="V84" s="584"/>
      <c r="W84" s="584"/>
      <c r="X84" s="585"/>
      <c r="Y84" s="564" t="s">
        <v>374</v>
      </c>
      <c r="Z84" s="583" t="s">
        <v>376</v>
      </c>
      <c r="AA84" s="584"/>
      <c r="AB84" s="584"/>
      <c r="AC84" s="585"/>
      <c r="AD84" s="564" t="s">
        <v>374</v>
      </c>
      <c r="AE84" s="583" t="s">
        <v>376</v>
      </c>
      <c r="AF84" s="584"/>
      <c r="AG84" s="584"/>
      <c r="AH84" s="585"/>
      <c r="AI84" s="564" t="s">
        <v>374</v>
      </c>
      <c r="AJ84" s="583" t="s">
        <v>376</v>
      </c>
      <c r="AK84" s="584"/>
      <c r="AL84" s="584"/>
      <c r="AM84" s="585"/>
      <c r="AN84" s="564" t="s">
        <v>374</v>
      </c>
      <c r="AO84" s="583" t="s">
        <v>376</v>
      </c>
      <c r="AP84" s="584"/>
      <c r="AQ84" s="584"/>
      <c r="AR84" s="585"/>
      <c r="AS84" s="564" t="s">
        <v>374</v>
      </c>
      <c r="AT84" s="583" t="s">
        <v>376</v>
      </c>
      <c r="AU84" s="584"/>
      <c r="AV84" s="584"/>
      <c r="AW84" s="585"/>
      <c r="AX84" s="564" t="s">
        <v>374</v>
      </c>
      <c r="BA84" s="564" t="s">
        <v>374</v>
      </c>
    </row>
    <row r="85" spans="2:53">
      <c r="B85" s="564"/>
      <c r="C85" s="564"/>
      <c r="D85" s="564"/>
      <c r="E85" s="564" t="s">
        <v>566</v>
      </c>
      <c r="F85" s="564"/>
      <c r="G85" s="564"/>
      <c r="H85" s="598"/>
      <c r="I85" s="564" t="s">
        <v>566</v>
      </c>
      <c r="J85" s="564"/>
      <c r="K85" s="564"/>
      <c r="L85" s="598"/>
      <c r="M85" s="567"/>
      <c r="N85" s="564"/>
      <c r="O85" s="564"/>
      <c r="P85" s="583" t="s">
        <v>382</v>
      </c>
      <c r="Q85" s="584"/>
      <c r="R85" s="584"/>
      <c r="S85" s="585"/>
      <c r="T85" s="564"/>
      <c r="U85" s="583" t="s">
        <v>382</v>
      </c>
      <c r="V85" s="584"/>
      <c r="W85" s="584"/>
      <c r="X85" s="585"/>
      <c r="Y85" s="564"/>
      <c r="Z85" s="583" t="s">
        <v>382</v>
      </c>
      <c r="AA85" s="584"/>
      <c r="AB85" s="584"/>
      <c r="AC85" s="585"/>
      <c r="AD85" s="564"/>
      <c r="AE85" s="583" t="s">
        <v>382</v>
      </c>
      <c r="AF85" s="584"/>
      <c r="AG85" s="584"/>
      <c r="AH85" s="585"/>
      <c r="AI85" s="564"/>
      <c r="AJ85" s="583" t="s">
        <v>382</v>
      </c>
      <c r="AK85" s="584"/>
      <c r="AL85" s="584"/>
      <c r="AM85" s="585"/>
      <c r="AN85" s="564"/>
      <c r="AO85" s="583" t="s">
        <v>382</v>
      </c>
      <c r="AP85" s="584"/>
      <c r="AQ85" s="584"/>
      <c r="AR85" s="585"/>
      <c r="AS85" s="564"/>
      <c r="AT85" s="583" t="s">
        <v>382</v>
      </c>
      <c r="AU85" s="584"/>
      <c r="AV85" s="584"/>
      <c r="AW85" s="585"/>
      <c r="AX85" s="564"/>
      <c r="BA85" s="564"/>
    </row>
    <row r="86" spans="2:53">
      <c r="B86" s="564"/>
      <c r="C86" s="564"/>
      <c r="D86" s="564"/>
      <c r="E86" s="417" t="s">
        <v>567</v>
      </c>
      <c r="F86" s="417" t="s">
        <v>568</v>
      </c>
      <c r="G86" s="417" t="s">
        <v>569</v>
      </c>
      <c r="H86" s="599"/>
      <c r="I86" s="417" t="s">
        <v>567</v>
      </c>
      <c r="J86" s="417" t="s">
        <v>568</v>
      </c>
      <c r="K86" s="417" t="s">
        <v>569</v>
      </c>
      <c r="L86" s="599"/>
      <c r="M86" s="568"/>
      <c r="N86" s="564"/>
      <c r="O86" s="564"/>
      <c r="P86" s="417" t="s">
        <v>383</v>
      </c>
      <c r="Q86" s="417" t="s">
        <v>384</v>
      </c>
      <c r="R86" s="417" t="s">
        <v>385</v>
      </c>
      <c r="S86" s="417" t="s">
        <v>375</v>
      </c>
      <c r="T86" s="564"/>
      <c r="U86" s="417" t="s">
        <v>383</v>
      </c>
      <c r="V86" s="417" t="s">
        <v>384</v>
      </c>
      <c r="W86" s="417" t="s">
        <v>385</v>
      </c>
      <c r="X86" s="417" t="s">
        <v>375</v>
      </c>
      <c r="Y86" s="564"/>
      <c r="Z86" s="417" t="s">
        <v>383</v>
      </c>
      <c r="AA86" s="417" t="s">
        <v>384</v>
      </c>
      <c r="AB86" s="417" t="s">
        <v>385</v>
      </c>
      <c r="AC86" s="417" t="s">
        <v>375</v>
      </c>
      <c r="AD86" s="564"/>
      <c r="AE86" s="417" t="s">
        <v>383</v>
      </c>
      <c r="AF86" s="417" t="s">
        <v>384</v>
      </c>
      <c r="AG86" s="417" t="s">
        <v>385</v>
      </c>
      <c r="AH86" s="417" t="s">
        <v>375</v>
      </c>
      <c r="AI86" s="564"/>
      <c r="AJ86" s="417" t="s">
        <v>383</v>
      </c>
      <c r="AK86" s="417" t="s">
        <v>384</v>
      </c>
      <c r="AL86" s="417" t="s">
        <v>385</v>
      </c>
      <c r="AM86" s="417" t="s">
        <v>375</v>
      </c>
      <c r="AN86" s="564"/>
      <c r="AO86" s="417" t="s">
        <v>383</v>
      </c>
      <c r="AP86" s="417" t="s">
        <v>384</v>
      </c>
      <c r="AQ86" s="417" t="s">
        <v>385</v>
      </c>
      <c r="AR86" s="417" t="s">
        <v>375</v>
      </c>
      <c r="AS86" s="564"/>
      <c r="AT86" s="417" t="s">
        <v>383</v>
      </c>
      <c r="AU86" s="417" t="s">
        <v>384</v>
      </c>
      <c r="AV86" s="417" t="s">
        <v>385</v>
      </c>
      <c r="AW86" s="417" t="s">
        <v>375</v>
      </c>
      <c r="AX86" s="564"/>
      <c r="AZ86" s="406" t="s">
        <v>375</v>
      </c>
      <c r="BA86" s="564"/>
    </row>
    <row r="87" spans="2:53">
      <c r="B87" s="564" t="s">
        <v>419</v>
      </c>
      <c r="C87" s="420">
        <v>1</v>
      </c>
      <c r="D87" s="226"/>
      <c r="E87" s="425"/>
      <c r="F87" s="418"/>
      <c r="G87" s="419"/>
      <c r="H87" s="578" t="e">
        <f>AVERAGE(G87:G101)</f>
        <v>#DIV/0!</v>
      </c>
      <c r="I87" s="422" t="str">
        <f t="shared" ref="I87:I100" si="62">IFERROR(AVERAGE(P87,U87,Z87,AE87,AJ87,AO87,AT87),"-")</f>
        <v>-</v>
      </c>
      <c r="J87" s="422" t="str">
        <f t="shared" ref="J87:J100" si="63">IFERROR(AVERAGE(Q87,V87,AA87,AF87,AK87,AP87,AU87),"-")</f>
        <v>-</v>
      </c>
      <c r="K87" s="200" t="str">
        <f t="shared" ref="K87:K100" si="64">IFERROR(AVERAGE(R87,W87,AB87,AG87,AL87,AQ87,AV87),"-")</f>
        <v>-</v>
      </c>
      <c r="L87" s="580" t="str">
        <f>IFERROR(AVERAGE(K87:K101),"-")</f>
        <v>-</v>
      </c>
      <c r="M87" s="426" t="e">
        <f>RANK(K87, K$67:$K$81)</f>
        <v>#VALUE!</v>
      </c>
      <c r="N87" s="564"/>
      <c r="O87" s="564"/>
      <c r="P87" s="420"/>
      <c r="Q87" s="426"/>
      <c r="R87" s="426"/>
      <c r="S87" s="426" t="e">
        <f>RANK(R87, R$67:R$81)</f>
        <v>#N/A</v>
      </c>
      <c r="T87" s="644" t="e">
        <f>AVERAGE(R87:R101)</f>
        <v>#DIV/0!</v>
      </c>
      <c r="U87" s="420"/>
      <c r="V87" s="426"/>
      <c r="W87" s="426"/>
      <c r="X87" s="426" t="e">
        <f>RANK(W87, W$67:W$81)</f>
        <v>#N/A</v>
      </c>
      <c r="Y87" s="572" t="e">
        <f>AVERAGE(W87:W101)</f>
        <v>#DIV/0!</v>
      </c>
      <c r="Z87" s="420"/>
      <c r="AA87" s="426"/>
      <c r="AB87" s="426"/>
      <c r="AC87" s="426" t="e">
        <f>RANK(AB87, AB$67:AB$81)</f>
        <v>#N/A</v>
      </c>
      <c r="AD87" s="572" t="e">
        <f>AVERAGE(AB87:AB101)</f>
        <v>#DIV/0!</v>
      </c>
      <c r="AE87" s="420"/>
      <c r="AF87" s="426"/>
      <c r="AG87" s="426"/>
      <c r="AH87" s="426" t="e">
        <f>RANK(AG87, AG$67:AG$81)</f>
        <v>#N/A</v>
      </c>
      <c r="AI87" s="572" t="e">
        <f>AVERAGE(AG87:AG101)</f>
        <v>#DIV/0!</v>
      </c>
      <c r="AJ87" s="420"/>
      <c r="AK87" s="426"/>
      <c r="AL87" s="426"/>
      <c r="AM87" s="426" t="e">
        <f>RANK(AL87, AL$67:AL$81)</f>
        <v>#N/A</v>
      </c>
      <c r="AN87" s="572" t="e">
        <f>AVERAGE(AL87:AL101)</f>
        <v>#DIV/0!</v>
      </c>
      <c r="AO87" s="420"/>
      <c r="AP87" s="426"/>
      <c r="AQ87" s="426"/>
      <c r="AR87" s="426" t="e">
        <f>RANK(AQ87, AQ$67:AQ$81)</f>
        <v>#N/A</v>
      </c>
      <c r="AS87" s="644" t="e">
        <f>AVERAGE(AQ87:AQ101)</f>
        <v>#DIV/0!</v>
      </c>
      <c r="AT87" s="425"/>
      <c r="AU87" s="425"/>
      <c r="AV87" s="425"/>
      <c r="AW87" s="420" t="e">
        <f>RANK(AV87, AV$67:AV$81)</f>
        <v>#N/A</v>
      </c>
      <c r="AX87" s="643" t="e">
        <f>AVERAGE(AV87:AV101)</f>
        <v>#DIV/0!</v>
      </c>
      <c r="AZ87" s="407" t="e">
        <f t="shared" ref="AZ87:AZ101" si="65">RANK(AY87, AY$87:AY$101)</f>
        <v>#N/A</v>
      </c>
      <c r="BA87" s="565" t="e">
        <f t="shared" ref="BA87" si="66">AVERAGE(AY87:AY101)</f>
        <v>#DIV/0!</v>
      </c>
    </row>
    <row r="88" spans="2:53">
      <c r="B88" s="570"/>
      <c r="C88" s="420">
        <v>2</v>
      </c>
      <c r="D88" s="226"/>
      <c r="E88" s="425"/>
      <c r="F88" s="418"/>
      <c r="G88" s="419"/>
      <c r="H88" s="579"/>
      <c r="I88" s="422" t="str">
        <f t="shared" si="62"/>
        <v>-</v>
      </c>
      <c r="J88" s="422" t="str">
        <f t="shared" si="63"/>
        <v>-</v>
      </c>
      <c r="K88" s="200" t="str">
        <f t="shared" si="64"/>
        <v>-</v>
      </c>
      <c r="L88" s="581"/>
      <c r="M88" s="426" t="e">
        <f>RANK(K88, K$67:$K$81)</f>
        <v>#VALUE!</v>
      </c>
      <c r="N88" s="564"/>
      <c r="O88" s="564"/>
      <c r="P88" s="420"/>
      <c r="Q88" s="426"/>
      <c r="R88" s="426"/>
      <c r="S88" s="426" t="e">
        <f t="shared" ref="S88:S101" si="67">RANK(R88, R$67:R$81)</f>
        <v>#N/A</v>
      </c>
      <c r="T88" s="644"/>
      <c r="U88" s="420"/>
      <c r="V88" s="426"/>
      <c r="W88" s="426"/>
      <c r="X88" s="426" t="e">
        <f t="shared" ref="X88:X101" si="68">RANK(W88, W$67:W$81)</f>
        <v>#N/A</v>
      </c>
      <c r="Y88" s="572"/>
      <c r="Z88" s="420"/>
      <c r="AA88" s="426"/>
      <c r="AB88" s="426"/>
      <c r="AC88" s="426" t="e">
        <f t="shared" ref="AC88:AC101" si="69">RANK(AB88, AB$67:AB$81)</f>
        <v>#N/A</v>
      </c>
      <c r="AD88" s="572"/>
      <c r="AE88" s="420"/>
      <c r="AF88" s="426"/>
      <c r="AG88" s="426"/>
      <c r="AH88" s="426" t="e">
        <f t="shared" ref="AH88:AH101" si="70">RANK(AG88, AG$67:AG$81)</f>
        <v>#N/A</v>
      </c>
      <c r="AI88" s="572"/>
      <c r="AJ88" s="420"/>
      <c r="AK88" s="426"/>
      <c r="AL88" s="426"/>
      <c r="AM88" s="426" t="e">
        <f t="shared" ref="AM88:AM101" si="71">RANK(AL88, AL$67:AL$81)</f>
        <v>#N/A</v>
      </c>
      <c r="AN88" s="572"/>
      <c r="AO88" s="420"/>
      <c r="AP88" s="426"/>
      <c r="AQ88" s="426"/>
      <c r="AR88" s="426" t="e">
        <f t="shared" ref="AR88:AR101" si="72">RANK(AQ88, AQ$67:AQ$81)</f>
        <v>#N/A</v>
      </c>
      <c r="AS88" s="644"/>
      <c r="AT88" s="425"/>
      <c r="AU88" s="425"/>
      <c r="AV88" s="425"/>
      <c r="AW88" s="420" t="e">
        <f t="shared" ref="AW88:AW101" si="73">RANK(AV88, AV$67:AV$81)</f>
        <v>#N/A</v>
      </c>
      <c r="AX88" s="643"/>
      <c r="AZ88" s="407" t="e">
        <f t="shared" si="65"/>
        <v>#N/A</v>
      </c>
      <c r="BA88" s="565"/>
    </row>
    <row r="89" spans="2:53">
      <c r="B89" s="570"/>
      <c r="C89" s="420">
        <v>3</v>
      </c>
      <c r="D89" s="226"/>
      <c r="E89" s="425"/>
      <c r="F89" s="418"/>
      <c r="G89" s="419"/>
      <c r="H89" s="579"/>
      <c r="I89" s="422" t="str">
        <f t="shared" si="62"/>
        <v>-</v>
      </c>
      <c r="J89" s="422" t="str">
        <f t="shared" si="63"/>
        <v>-</v>
      </c>
      <c r="K89" s="200" t="str">
        <f t="shared" si="64"/>
        <v>-</v>
      </c>
      <c r="L89" s="581"/>
      <c r="M89" s="426" t="e">
        <f>RANK(K89, K$67:$K$81)</f>
        <v>#VALUE!</v>
      </c>
      <c r="N89" s="564"/>
      <c r="O89" s="564"/>
      <c r="P89" s="420"/>
      <c r="Q89" s="426"/>
      <c r="R89" s="426"/>
      <c r="S89" s="426" t="e">
        <f t="shared" si="67"/>
        <v>#N/A</v>
      </c>
      <c r="T89" s="644"/>
      <c r="U89" s="420"/>
      <c r="V89" s="426"/>
      <c r="W89" s="426"/>
      <c r="X89" s="426" t="e">
        <f t="shared" si="68"/>
        <v>#N/A</v>
      </c>
      <c r="Y89" s="572"/>
      <c r="Z89" s="420"/>
      <c r="AA89" s="426"/>
      <c r="AB89" s="426"/>
      <c r="AC89" s="426" t="e">
        <f t="shared" si="69"/>
        <v>#N/A</v>
      </c>
      <c r="AD89" s="572"/>
      <c r="AE89" s="420"/>
      <c r="AF89" s="426"/>
      <c r="AG89" s="426"/>
      <c r="AH89" s="426" t="e">
        <f t="shared" si="70"/>
        <v>#N/A</v>
      </c>
      <c r="AI89" s="572"/>
      <c r="AJ89" s="420"/>
      <c r="AK89" s="426"/>
      <c r="AL89" s="426"/>
      <c r="AM89" s="426" t="e">
        <f t="shared" si="71"/>
        <v>#N/A</v>
      </c>
      <c r="AN89" s="572"/>
      <c r="AO89" s="420"/>
      <c r="AP89" s="426"/>
      <c r="AQ89" s="426"/>
      <c r="AR89" s="426" t="e">
        <f t="shared" si="72"/>
        <v>#N/A</v>
      </c>
      <c r="AS89" s="644"/>
      <c r="AT89" s="425"/>
      <c r="AU89" s="425"/>
      <c r="AV89" s="425"/>
      <c r="AW89" s="420" t="e">
        <f t="shared" si="73"/>
        <v>#N/A</v>
      </c>
      <c r="AX89" s="643"/>
      <c r="AZ89" s="407" t="e">
        <f t="shared" si="65"/>
        <v>#N/A</v>
      </c>
      <c r="BA89" s="565"/>
    </row>
    <row r="90" spans="2:53">
      <c r="B90" s="570"/>
      <c r="C90" s="420">
        <v>4</v>
      </c>
      <c r="D90" s="226"/>
      <c r="E90" s="425"/>
      <c r="F90" s="418"/>
      <c r="G90" s="419"/>
      <c r="H90" s="579"/>
      <c r="I90" s="422" t="str">
        <f t="shared" si="62"/>
        <v>-</v>
      </c>
      <c r="J90" s="422" t="str">
        <f t="shared" si="63"/>
        <v>-</v>
      </c>
      <c r="K90" s="200" t="str">
        <f t="shared" si="64"/>
        <v>-</v>
      </c>
      <c r="L90" s="581"/>
      <c r="M90" s="426" t="e">
        <f>RANK(K90, K$67:$K$81)</f>
        <v>#VALUE!</v>
      </c>
      <c r="N90" s="564"/>
      <c r="O90" s="564"/>
      <c r="P90" s="420"/>
      <c r="Q90" s="426"/>
      <c r="R90" s="426"/>
      <c r="S90" s="426" t="e">
        <f t="shared" si="67"/>
        <v>#N/A</v>
      </c>
      <c r="T90" s="644"/>
      <c r="U90" s="420"/>
      <c r="V90" s="426"/>
      <c r="W90" s="426"/>
      <c r="X90" s="426" t="e">
        <f t="shared" si="68"/>
        <v>#N/A</v>
      </c>
      <c r="Y90" s="572"/>
      <c r="Z90" s="420"/>
      <c r="AA90" s="426"/>
      <c r="AB90" s="426"/>
      <c r="AC90" s="426" t="e">
        <f t="shared" si="69"/>
        <v>#N/A</v>
      </c>
      <c r="AD90" s="572"/>
      <c r="AE90" s="420"/>
      <c r="AF90" s="426"/>
      <c r="AG90" s="426"/>
      <c r="AH90" s="426" t="e">
        <f t="shared" si="70"/>
        <v>#N/A</v>
      </c>
      <c r="AI90" s="572"/>
      <c r="AJ90" s="420"/>
      <c r="AK90" s="426"/>
      <c r="AL90" s="426"/>
      <c r="AM90" s="426" t="e">
        <f t="shared" si="71"/>
        <v>#N/A</v>
      </c>
      <c r="AN90" s="572"/>
      <c r="AO90" s="420"/>
      <c r="AP90" s="426"/>
      <c r="AQ90" s="426"/>
      <c r="AR90" s="426" t="e">
        <f t="shared" si="72"/>
        <v>#N/A</v>
      </c>
      <c r="AS90" s="644"/>
      <c r="AT90" s="425"/>
      <c r="AU90" s="425"/>
      <c r="AV90" s="425"/>
      <c r="AW90" s="420" t="e">
        <f t="shared" si="73"/>
        <v>#N/A</v>
      </c>
      <c r="AX90" s="643"/>
      <c r="AZ90" s="407" t="e">
        <f t="shared" si="65"/>
        <v>#N/A</v>
      </c>
      <c r="BA90" s="565"/>
    </row>
    <row r="91" spans="2:53">
      <c r="B91" s="570"/>
      <c r="C91" s="420">
        <v>5</v>
      </c>
      <c r="D91" s="226"/>
      <c r="E91" s="425"/>
      <c r="F91" s="418"/>
      <c r="G91" s="419"/>
      <c r="H91" s="579"/>
      <c r="I91" s="422" t="str">
        <f t="shared" si="62"/>
        <v>-</v>
      </c>
      <c r="J91" s="422" t="str">
        <f t="shared" si="63"/>
        <v>-</v>
      </c>
      <c r="K91" s="200" t="str">
        <f t="shared" si="64"/>
        <v>-</v>
      </c>
      <c r="L91" s="581"/>
      <c r="M91" s="426" t="e">
        <f>RANK(K91, K$67:$K$81)</f>
        <v>#VALUE!</v>
      </c>
      <c r="N91" s="564"/>
      <c r="O91" s="564"/>
      <c r="P91" s="420"/>
      <c r="Q91" s="426"/>
      <c r="R91" s="426"/>
      <c r="S91" s="426" t="e">
        <f t="shared" si="67"/>
        <v>#N/A</v>
      </c>
      <c r="T91" s="644"/>
      <c r="U91" s="420"/>
      <c r="V91" s="426"/>
      <c r="W91" s="426"/>
      <c r="X91" s="426" t="e">
        <f t="shared" si="68"/>
        <v>#N/A</v>
      </c>
      <c r="Y91" s="572"/>
      <c r="Z91" s="420"/>
      <c r="AA91" s="426"/>
      <c r="AB91" s="426"/>
      <c r="AC91" s="426" t="e">
        <f t="shared" si="69"/>
        <v>#N/A</v>
      </c>
      <c r="AD91" s="572"/>
      <c r="AE91" s="420"/>
      <c r="AF91" s="426"/>
      <c r="AG91" s="426"/>
      <c r="AH91" s="426" t="e">
        <f t="shared" si="70"/>
        <v>#N/A</v>
      </c>
      <c r="AI91" s="572"/>
      <c r="AJ91" s="420"/>
      <c r="AK91" s="426"/>
      <c r="AL91" s="426"/>
      <c r="AM91" s="426" t="e">
        <f t="shared" si="71"/>
        <v>#N/A</v>
      </c>
      <c r="AN91" s="572"/>
      <c r="AO91" s="420"/>
      <c r="AP91" s="426"/>
      <c r="AQ91" s="426"/>
      <c r="AR91" s="426" t="e">
        <f t="shared" si="72"/>
        <v>#N/A</v>
      </c>
      <c r="AS91" s="644"/>
      <c r="AT91" s="425"/>
      <c r="AU91" s="425"/>
      <c r="AV91" s="425"/>
      <c r="AW91" s="420" t="e">
        <f t="shared" si="73"/>
        <v>#N/A</v>
      </c>
      <c r="AX91" s="643"/>
      <c r="AZ91" s="407" t="e">
        <f t="shared" si="65"/>
        <v>#N/A</v>
      </c>
      <c r="BA91" s="565"/>
    </row>
    <row r="92" spans="2:53">
      <c r="B92" s="570"/>
      <c r="C92" s="420">
        <v>6</v>
      </c>
      <c r="D92" s="226"/>
      <c r="E92" s="425"/>
      <c r="F92" s="418"/>
      <c r="G92" s="419"/>
      <c r="H92" s="579"/>
      <c r="I92" s="422" t="str">
        <f t="shared" si="62"/>
        <v>-</v>
      </c>
      <c r="J92" s="422" t="str">
        <f t="shared" si="63"/>
        <v>-</v>
      </c>
      <c r="K92" s="200" t="str">
        <f t="shared" si="64"/>
        <v>-</v>
      </c>
      <c r="L92" s="581"/>
      <c r="M92" s="426" t="e">
        <f>RANK(K92, K$67:$K$81)</f>
        <v>#VALUE!</v>
      </c>
      <c r="N92" s="564"/>
      <c r="O92" s="564"/>
      <c r="P92" s="420"/>
      <c r="Q92" s="426"/>
      <c r="R92" s="426"/>
      <c r="S92" s="426" t="e">
        <f t="shared" si="67"/>
        <v>#N/A</v>
      </c>
      <c r="T92" s="644"/>
      <c r="U92" s="420"/>
      <c r="V92" s="426"/>
      <c r="W92" s="426"/>
      <c r="X92" s="426" t="e">
        <f t="shared" si="68"/>
        <v>#N/A</v>
      </c>
      <c r="Y92" s="572"/>
      <c r="Z92" s="420"/>
      <c r="AA92" s="426"/>
      <c r="AB92" s="426"/>
      <c r="AC92" s="426" t="e">
        <f t="shared" si="69"/>
        <v>#N/A</v>
      </c>
      <c r="AD92" s="572"/>
      <c r="AE92" s="420"/>
      <c r="AF92" s="426"/>
      <c r="AG92" s="426"/>
      <c r="AH92" s="426" t="e">
        <f t="shared" si="70"/>
        <v>#N/A</v>
      </c>
      <c r="AI92" s="572"/>
      <c r="AJ92" s="420"/>
      <c r="AK92" s="426"/>
      <c r="AL92" s="426"/>
      <c r="AM92" s="426" t="e">
        <f t="shared" si="71"/>
        <v>#N/A</v>
      </c>
      <c r="AN92" s="572"/>
      <c r="AO92" s="420"/>
      <c r="AP92" s="426"/>
      <c r="AQ92" s="426"/>
      <c r="AR92" s="426" t="e">
        <f t="shared" si="72"/>
        <v>#N/A</v>
      </c>
      <c r="AS92" s="644"/>
      <c r="AT92" s="425"/>
      <c r="AU92" s="425"/>
      <c r="AV92" s="425"/>
      <c r="AW92" s="420" t="e">
        <f t="shared" si="73"/>
        <v>#N/A</v>
      </c>
      <c r="AX92" s="643"/>
      <c r="AZ92" s="407" t="e">
        <f t="shared" si="65"/>
        <v>#N/A</v>
      </c>
      <c r="BA92" s="565"/>
    </row>
    <row r="93" spans="2:53">
      <c r="B93" s="570"/>
      <c r="C93" s="420">
        <v>7</v>
      </c>
      <c r="D93" s="226"/>
      <c r="E93" s="425"/>
      <c r="F93" s="418"/>
      <c r="G93" s="419"/>
      <c r="H93" s="579"/>
      <c r="I93" s="422" t="str">
        <f t="shared" si="62"/>
        <v>-</v>
      </c>
      <c r="J93" s="422" t="str">
        <f t="shared" si="63"/>
        <v>-</v>
      </c>
      <c r="K93" s="200" t="str">
        <f t="shared" si="64"/>
        <v>-</v>
      </c>
      <c r="L93" s="581"/>
      <c r="M93" s="426" t="e">
        <f>RANK(K93, K$67:$K$81)</f>
        <v>#VALUE!</v>
      </c>
      <c r="N93" s="564"/>
      <c r="O93" s="564"/>
      <c r="P93" s="420"/>
      <c r="Q93" s="426"/>
      <c r="R93" s="426"/>
      <c r="S93" s="426" t="e">
        <f t="shared" si="67"/>
        <v>#N/A</v>
      </c>
      <c r="T93" s="644"/>
      <c r="U93" s="420"/>
      <c r="V93" s="426"/>
      <c r="W93" s="426"/>
      <c r="X93" s="426" t="e">
        <f t="shared" si="68"/>
        <v>#N/A</v>
      </c>
      <c r="Y93" s="572"/>
      <c r="Z93" s="420"/>
      <c r="AA93" s="426"/>
      <c r="AB93" s="426"/>
      <c r="AC93" s="426" t="e">
        <f t="shared" si="69"/>
        <v>#N/A</v>
      </c>
      <c r="AD93" s="572"/>
      <c r="AE93" s="420"/>
      <c r="AF93" s="426"/>
      <c r="AG93" s="426"/>
      <c r="AH93" s="426" t="e">
        <f t="shared" si="70"/>
        <v>#N/A</v>
      </c>
      <c r="AI93" s="572"/>
      <c r="AJ93" s="420"/>
      <c r="AK93" s="426"/>
      <c r="AL93" s="426"/>
      <c r="AM93" s="426" t="e">
        <f t="shared" si="71"/>
        <v>#N/A</v>
      </c>
      <c r="AN93" s="572"/>
      <c r="AO93" s="420"/>
      <c r="AP93" s="426"/>
      <c r="AQ93" s="426"/>
      <c r="AR93" s="426" t="e">
        <f t="shared" si="72"/>
        <v>#N/A</v>
      </c>
      <c r="AS93" s="644"/>
      <c r="AT93" s="425"/>
      <c r="AU93" s="425"/>
      <c r="AV93" s="425"/>
      <c r="AW93" s="420" t="e">
        <f t="shared" si="73"/>
        <v>#N/A</v>
      </c>
      <c r="AX93" s="643"/>
      <c r="AZ93" s="407" t="e">
        <f t="shared" si="65"/>
        <v>#N/A</v>
      </c>
      <c r="BA93" s="565"/>
    </row>
    <row r="94" spans="2:53">
      <c r="B94" s="570"/>
      <c r="C94" s="420">
        <v>8</v>
      </c>
      <c r="D94" s="226"/>
      <c r="E94" s="425"/>
      <c r="F94" s="418"/>
      <c r="G94" s="419"/>
      <c r="H94" s="579"/>
      <c r="I94" s="422" t="str">
        <f t="shared" si="62"/>
        <v>-</v>
      </c>
      <c r="J94" s="422" t="str">
        <f t="shared" si="63"/>
        <v>-</v>
      </c>
      <c r="K94" s="200" t="str">
        <f t="shared" si="64"/>
        <v>-</v>
      </c>
      <c r="L94" s="581"/>
      <c r="M94" s="426" t="e">
        <f>RANK(K94, K$67:$K$81)</f>
        <v>#VALUE!</v>
      </c>
      <c r="N94" s="564"/>
      <c r="O94" s="564"/>
      <c r="P94" s="420"/>
      <c r="Q94" s="426"/>
      <c r="R94" s="426"/>
      <c r="S94" s="426" t="e">
        <f t="shared" si="67"/>
        <v>#N/A</v>
      </c>
      <c r="T94" s="644"/>
      <c r="U94" s="420"/>
      <c r="V94" s="426"/>
      <c r="W94" s="426"/>
      <c r="X94" s="426" t="e">
        <f t="shared" si="68"/>
        <v>#N/A</v>
      </c>
      <c r="Y94" s="572"/>
      <c r="Z94" s="420"/>
      <c r="AA94" s="426"/>
      <c r="AB94" s="426"/>
      <c r="AC94" s="426" t="e">
        <f t="shared" si="69"/>
        <v>#N/A</v>
      </c>
      <c r="AD94" s="572"/>
      <c r="AE94" s="420"/>
      <c r="AF94" s="426"/>
      <c r="AG94" s="426"/>
      <c r="AH94" s="426" t="e">
        <f t="shared" si="70"/>
        <v>#N/A</v>
      </c>
      <c r="AI94" s="572"/>
      <c r="AJ94" s="420"/>
      <c r="AK94" s="426"/>
      <c r="AL94" s="426"/>
      <c r="AM94" s="426" t="e">
        <f t="shared" si="71"/>
        <v>#N/A</v>
      </c>
      <c r="AN94" s="572"/>
      <c r="AO94" s="420"/>
      <c r="AP94" s="426"/>
      <c r="AQ94" s="426"/>
      <c r="AR94" s="426" t="e">
        <f t="shared" si="72"/>
        <v>#N/A</v>
      </c>
      <c r="AS94" s="644"/>
      <c r="AT94" s="425"/>
      <c r="AU94" s="425"/>
      <c r="AV94" s="425"/>
      <c r="AW94" s="420" t="e">
        <f t="shared" si="73"/>
        <v>#N/A</v>
      </c>
      <c r="AX94" s="643"/>
      <c r="AZ94" s="407" t="e">
        <f t="shared" si="65"/>
        <v>#N/A</v>
      </c>
      <c r="BA94" s="565"/>
    </row>
    <row r="95" spans="2:53">
      <c r="B95" s="570"/>
      <c r="C95" s="420">
        <v>9</v>
      </c>
      <c r="D95" s="226"/>
      <c r="E95" s="425"/>
      <c r="F95" s="418"/>
      <c r="G95" s="419"/>
      <c r="H95" s="579"/>
      <c r="I95" s="422" t="str">
        <f t="shared" si="62"/>
        <v>-</v>
      </c>
      <c r="J95" s="422" t="str">
        <f t="shared" si="63"/>
        <v>-</v>
      </c>
      <c r="K95" s="200" t="str">
        <f t="shared" si="64"/>
        <v>-</v>
      </c>
      <c r="L95" s="581"/>
      <c r="M95" s="426" t="e">
        <f>RANK(K95, K$67:$K$81)</f>
        <v>#VALUE!</v>
      </c>
      <c r="N95" s="564"/>
      <c r="O95" s="564"/>
      <c r="P95" s="420"/>
      <c r="Q95" s="426"/>
      <c r="R95" s="426"/>
      <c r="S95" s="426" t="e">
        <f t="shared" si="67"/>
        <v>#N/A</v>
      </c>
      <c r="T95" s="644"/>
      <c r="U95" s="420"/>
      <c r="V95" s="426"/>
      <c r="W95" s="426"/>
      <c r="X95" s="426" t="e">
        <f t="shared" si="68"/>
        <v>#N/A</v>
      </c>
      <c r="Y95" s="572"/>
      <c r="Z95" s="420"/>
      <c r="AA95" s="426"/>
      <c r="AB95" s="426"/>
      <c r="AC95" s="426" t="e">
        <f t="shared" si="69"/>
        <v>#N/A</v>
      </c>
      <c r="AD95" s="572"/>
      <c r="AE95" s="420"/>
      <c r="AF95" s="426"/>
      <c r="AG95" s="426"/>
      <c r="AH95" s="426" t="e">
        <f t="shared" si="70"/>
        <v>#N/A</v>
      </c>
      <c r="AI95" s="572"/>
      <c r="AJ95" s="420"/>
      <c r="AK95" s="426"/>
      <c r="AL95" s="426"/>
      <c r="AM95" s="426" t="e">
        <f t="shared" si="71"/>
        <v>#N/A</v>
      </c>
      <c r="AN95" s="572"/>
      <c r="AO95" s="420"/>
      <c r="AP95" s="426"/>
      <c r="AQ95" s="426"/>
      <c r="AR95" s="426" t="e">
        <f t="shared" si="72"/>
        <v>#N/A</v>
      </c>
      <c r="AS95" s="644"/>
      <c r="AT95" s="425"/>
      <c r="AU95" s="425"/>
      <c r="AV95" s="425"/>
      <c r="AW95" s="420" t="e">
        <f t="shared" si="73"/>
        <v>#N/A</v>
      </c>
      <c r="AX95" s="643"/>
      <c r="AZ95" s="407" t="e">
        <f t="shared" si="65"/>
        <v>#N/A</v>
      </c>
      <c r="BA95" s="565"/>
    </row>
    <row r="96" spans="2:53">
      <c r="B96" s="570"/>
      <c r="C96" s="420">
        <v>10</v>
      </c>
      <c r="D96" s="226"/>
      <c r="E96" s="425"/>
      <c r="F96" s="418"/>
      <c r="G96" s="419"/>
      <c r="H96" s="579"/>
      <c r="I96" s="422" t="str">
        <f t="shared" si="62"/>
        <v>-</v>
      </c>
      <c r="J96" s="422" t="str">
        <f t="shared" si="63"/>
        <v>-</v>
      </c>
      <c r="K96" s="200" t="str">
        <f t="shared" si="64"/>
        <v>-</v>
      </c>
      <c r="L96" s="581"/>
      <c r="M96" s="426" t="e">
        <f>RANK(K96, K$67:$K$81)</f>
        <v>#VALUE!</v>
      </c>
      <c r="N96" s="564"/>
      <c r="O96" s="564"/>
      <c r="P96" s="420"/>
      <c r="Q96" s="426"/>
      <c r="R96" s="426"/>
      <c r="S96" s="426" t="e">
        <f t="shared" si="67"/>
        <v>#N/A</v>
      </c>
      <c r="T96" s="644"/>
      <c r="U96" s="420"/>
      <c r="V96" s="426"/>
      <c r="W96" s="426"/>
      <c r="X96" s="426" t="e">
        <f t="shared" si="68"/>
        <v>#N/A</v>
      </c>
      <c r="Y96" s="572"/>
      <c r="Z96" s="420"/>
      <c r="AA96" s="426"/>
      <c r="AB96" s="426"/>
      <c r="AC96" s="426" t="e">
        <f t="shared" si="69"/>
        <v>#N/A</v>
      </c>
      <c r="AD96" s="572"/>
      <c r="AE96" s="420"/>
      <c r="AF96" s="426"/>
      <c r="AG96" s="426"/>
      <c r="AH96" s="426" t="e">
        <f t="shared" si="70"/>
        <v>#N/A</v>
      </c>
      <c r="AI96" s="572"/>
      <c r="AJ96" s="420"/>
      <c r="AK96" s="426"/>
      <c r="AL96" s="426"/>
      <c r="AM96" s="426" t="e">
        <f t="shared" si="71"/>
        <v>#N/A</v>
      </c>
      <c r="AN96" s="572"/>
      <c r="AO96" s="420"/>
      <c r="AP96" s="426"/>
      <c r="AQ96" s="426"/>
      <c r="AR96" s="426" t="e">
        <f t="shared" si="72"/>
        <v>#N/A</v>
      </c>
      <c r="AS96" s="644"/>
      <c r="AT96" s="425"/>
      <c r="AU96" s="425"/>
      <c r="AV96" s="425"/>
      <c r="AW96" s="420" t="e">
        <f t="shared" si="73"/>
        <v>#N/A</v>
      </c>
      <c r="AX96" s="643"/>
      <c r="AZ96" s="407" t="e">
        <f t="shared" si="65"/>
        <v>#N/A</v>
      </c>
      <c r="BA96" s="565"/>
    </row>
    <row r="97" spans="2:53">
      <c r="B97" s="570"/>
      <c r="C97" s="420">
        <v>11</v>
      </c>
      <c r="D97" s="226"/>
      <c r="E97" s="425"/>
      <c r="F97" s="418"/>
      <c r="G97" s="419"/>
      <c r="H97" s="579"/>
      <c r="I97" s="422" t="str">
        <f t="shared" si="62"/>
        <v>-</v>
      </c>
      <c r="J97" s="422" t="str">
        <f t="shared" si="63"/>
        <v>-</v>
      </c>
      <c r="K97" s="200" t="str">
        <f t="shared" si="64"/>
        <v>-</v>
      </c>
      <c r="L97" s="581"/>
      <c r="M97" s="426" t="e">
        <f>RANK(K97, K$67:$K$81)</f>
        <v>#VALUE!</v>
      </c>
      <c r="N97" s="564"/>
      <c r="O97" s="564"/>
      <c r="P97" s="420"/>
      <c r="Q97" s="426"/>
      <c r="R97" s="426"/>
      <c r="S97" s="426" t="e">
        <f t="shared" si="67"/>
        <v>#N/A</v>
      </c>
      <c r="T97" s="644"/>
      <c r="U97" s="420"/>
      <c r="V97" s="426"/>
      <c r="W97" s="426"/>
      <c r="X97" s="426" t="e">
        <f t="shared" si="68"/>
        <v>#N/A</v>
      </c>
      <c r="Y97" s="572"/>
      <c r="Z97" s="420"/>
      <c r="AA97" s="426"/>
      <c r="AB97" s="426"/>
      <c r="AC97" s="426" t="e">
        <f t="shared" si="69"/>
        <v>#N/A</v>
      </c>
      <c r="AD97" s="572"/>
      <c r="AE97" s="420"/>
      <c r="AF97" s="426"/>
      <c r="AG97" s="426"/>
      <c r="AH97" s="426" t="e">
        <f t="shared" si="70"/>
        <v>#N/A</v>
      </c>
      <c r="AI97" s="572"/>
      <c r="AJ97" s="420"/>
      <c r="AK97" s="426"/>
      <c r="AL97" s="426"/>
      <c r="AM97" s="426" t="e">
        <f t="shared" si="71"/>
        <v>#N/A</v>
      </c>
      <c r="AN97" s="572"/>
      <c r="AO97" s="420"/>
      <c r="AP97" s="426"/>
      <c r="AQ97" s="426"/>
      <c r="AR97" s="426" t="e">
        <f t="shared" si="72"/>
        <v>#N/A</v>
      </c>
      <c r="AS97" s="644"/>
      <c r="AT97" s="425"/>
      <c r="AU97" s="425"/>
      <c r="AV97" s="425"/>
      <c r="AW97" s="420" t="e">
        <f t="shared" si="73"/>
        <v>#N/A</v>
      </c>
      <c r="AX97" s="643"/>
      <c r="AZ97" s="407" t="e">
        <f t="shared" si="65"/>
        <v>#N/A</v>
      </c>
      <c r="BA97" s="565"/>
    </row>
    <row r="98" spans="2:53">
      <c r="B98" s="570"/>
      <c r="C98" s="420">
        <v>12</v>
      </c>
      <c r="D98" s="226"/>
      <c r="E98" s="425"/>
      <c r="F98" s="418"/>
      <c r="G98" s="419"/>
      <c r="H98" s="579"/>
      <c r="I98" s="422" t="str">
        <f t="shared" si="62"/>
        <v>-</v>
      </c>
      <c r="J98" s="422" t="str">
        <f t="shared" si="63"/>
        <v>-</v>
      </c>
      <c r="K98" s="200" t="str">
        <f t="shared" si="64"/>
        <v>-</v>
      </c>
      <c r="L98" s="581"/>
      <c r="M98" s="426" t="e">
        <f>RANK(K98, K$67:$K$81)</f>
        <v>#VALUE!</v>
      </c>
      <c r="N98" s="564"/>
      <c r="O98" s="564"/>
      <c r="P98" s="420"/>
      <c r="Q98" s="426"/>
      <c r="R98" s="426"/>
      <c r="S98" s="426" t="e">
        <f t="shared" si="67"/>
        <v>#N/A</v>
      </c>
      <c r="T98" s="644"/>
      <c r="U98" s="420"/>
      <c r="V98" s="426"/>
      <c r="W98" s="426"/>
      <c r="X98" s="426" t="e">
        <f t="shared" si="68"/>
        <v>#N/A</v>
      </c>
      <c r="Y98" s="572"/>
      <c r="Z98" s="420"/>
      <c r="AA98" s="426"/>
      <c r="AB98" s="426"/>
      <c r="AC98" s="426" t="e">
        <f t="shared" si="69"/>
        <v>#N/A</v>
      </c>
      <c r="AD98" s="572"/>
      <c r="AE98" s="420"/>
      <c r="AF98" s="426"/>
      <c r="AG98" s="426"/>
      <c r="AH98" s="426" t="e">
        <f t="shared" si="70"/>
        <v>#N/A</v>
      </c>
      <c r="AI98" s="572"/>
      <c r="AJ98" s="420"/>
      <c r="AK98" s="426"/>
      <c r="AL98" s="426"/>
      <c r="AM98" s="426" t="e">
        <f t="shared" si="71"/>
        <v>#N/A</v>
      </c>
      <c r="AN98" s="572"/>
      <c r="AO98" s="420"/>
      <c r="AP98" s="426"/>
      <c r="AQ98" s="426"/>
      <c r="AR98" s="426" t="e">
        <f t="shared" si="72"/>
        <v>#N/A</v>
      </c>
      <c r="AS98" s="644"/>
      <c r="AT98" s="425"/>
      <c r="AU98" s="425"/>
      <c r="AV98" s="425"/>
      <c r="AW98" s="420" t="e">
        <f t="shared" si="73"/>
        <v>#N/A</v>
      </c>
      <c r="AX98" s="643"/>
      <c r="AZ98" s="407" t="e">
        <f t="shared" si="65"/>
        <v>#N/A</v>
      </c>
      <c r="BA98" s="565"/>
    </row>
    <row r="99" spans="2:53">
      <c r="B99" s="570"/>
      <c r="C99" s="420">
        <v>13</v>
      </c>
      <c r="D99" s="226"/>
      <c r="E99" s="425"/>
      <c r="F99" s="418"/>
      <c r="G99" s="419"/>
      <c r="H99" s="579"/>
      <c r="I99" s="422" t="str">
        <f t="shared" si="62"/>
        <v>-</v>
      </c>
      <c r="J99" s="422" t="str">
        <f t="shared" si="63"/>
        <v>-</v>
      </c>
      <c r="K99" s="200" t="str">
        <f t="shared" si="64"/>
        <v>-</v>
      </c>
      <c r="L99" s="581"/>
      <c r="M99" s="426" t="e">
        <f>RANK(K99, K$67:$K$81)</f>
        <v>#VALUE!</v>
      </c>
      <c r="N99" s="564"/>
      <c r="O99" s="564"/>
      <c r="P99" s="420"/>
      <c r="Q99" s="426"/>
      <c r="R99" s="426"/>
      <c r="S99" s="426" t="e">
        <f t="shared" si="67"/>
        <v>#N/A</v>
      </c>
      <c r="T99" s="644"/>
      <c r="U99" s="420"/>
      <c r="V99" s="426"/>
      <c r="W99" s="426"/>
      <c r="X99" s="426" t="e">
        <f t="shared" si="68"/>
        <v>#N/A</v>
      </c>
      <c r="Y99" s="572"/>
      <c r="Z99" s="420"/>
      <c r="AA99" s="426"/>
      <c r="AB99" s="426"/>
      <c r="AC99" s="423" t="e">
        <f t="shared" si="69"/>
        <v>#N/A</v>
      </c>
      <c r="AD99" s="572"/>
      <c r="AE99" s="420"/>
      <c r="AF99" s="426"/>
      <c r="AG99" s="426"/>
      <c r="AH99" s="426" t="e">
        <f t="shared" si="70"/>
        <v>#N/A</v>
      </c>
      <c r="AI99" s="572"/>
      <c r="AJ99" s="420"/>
      <c r="AK99" s="426"/>
      <c r="AL99" s="426"/>
      <c r="AM99" s="426" t="e">
        <f t="shared" si="71"/>
        <v>#N/A</v>
      </c>
      <c r="AN99" s="572"/>
      <c r="AO99" s="420"/>
      <c r="AP99" s="426"/>
      <c r="AQ99" s="426"/>
      <c r="AR99" s="423" t="e">
        <f t="shared" si="72"/>
        <v>#N/A</v>
      </c>
      <c r="AS99" s="644"/>
      <c r="AT99" s="425"/>
      <c r="AU99" s="425"/>
      <c r="AV99" s="425"/>
      <c r="AW99" s="420" t="e">
        <f t="shared" si="73"/>
        <v>#N/A</v>
      </c>
      <c r="AX99" s="643"/>
      <c r="AZ99" s="407" t="e">
        <f t="shared" si="65"/>
        <v>#N/A</v>
      </c>
      <c r="BA99" s="565"/>
    </row>
    <row r="100" spans="2:53">
      <c r="B100" s="570"/>
      <c r="C100" s="420">
        <v>14</v>
      </c>
      <c r="D100" s="226"/>
      <c r="E100" s="425"/>
      <c r="F100" s="418"/>
      <c r="G100" s="419"/>
      <c r="H100" s="579"/>
      <c r="I100" s="422" t="str">
        <f t="shared" si="62"/>
        <v>-</v>
      </c>
      <c r="J100" s="422" t="str">
        <f t="shared" si="63"/>
        <v>-</v>
      </c>
      <c r="K100" s="200" t="str">
        <f t="shared" si="64"/>
        <v>-</v>
      </c>
      <c r="L100" s="581"/>
      <c r="M100" s="426" t="e">
        <f>RANK(K100, K$67:$K$81)</f>
        <v>#VALUE!</v>
      </c>
      <c r="N100" s="564"/>
      <c r="O100" s="564"/>
      <c r="P100" s="420"/>
      <c r="Q100" s="426"/>
      <c r="R100" s="426"/>
      <c r="S100" s="426" t="e">
        <f t="shared" si="67"/>
        <v>#N/A</v>
      </c>
      <c r="T100" s="644"/>
      <c r="U100" s="420"/>
      <c r="V100" s="426"/>
      <c r="W100" s="426"/>
      <c r="X100" s="426" t="e">
        <f t="shared" si="68"/>
        <v>#N/A</v>
      </c>
      <c r="Y100" s="572"/>
      <c r="Z100" s="420"/>
      <c r="AA100" s="426"/>
      <c r="AB100" s="426"/>
      <c r="AC100" s="423" t="e">
        <f t="shared" si="69"/>
        <v>#N/A</v>
      </c>
      <c r="AD100" s="572"/>
      <c r="AE100" s="420"/>
      <c r="AF100" s="426"/>
      <c r="AG100" s="426"/>
      <c r="AH100" s="423" t="e">
        <f t="shared" si="70"/>
        <v>#N/A</v>
      </c>
      <c r="AI100" s="572"/>
      <c r="AJ100" s="420"/>
      <c r="AK100" s="426"/>
      <c r="AL100" s="426"/>
      <c r="AM100" s="423" t="e">
        <f t="shared" si="71"/>
        <v>#N/A</v>
      </c>
      <c r="AN100" s="572"/>
      <c r="AO100" s="420"/>
      <c r="AP100" s="426"/>
      <c r="AQ100" s="426"/>
      <c r="AR100" s="423" t="e">
        <f t="shared" si="72"/>
        <v>#N/A</v>
      </c>
      <c r="AS100" s="644"/>
      <c r="AT100" s="425"/>
      <c r="AU100" s="425"/>
      <c r="AV100" s="425"/>
      <c r="AW100" s="420" t="e">
        <f t="shared" si="73"/>
        <v>#N/A</v>
      </c>
      <c r="AX100" s="643"/>
      <c r="AZ100" s="407" t="e">
        <f t="shared" si="65"/>
        <v>#N/A</v>
      </c>
      <c r="BA100" s="565"/>
    </row>
    <row r="101" spans="2:53">
      <c r="B101" s="570"/>
      <c r="C101" s="420">
        <v>15</v>
      </c>
      <c r="D101" s="226"/>
      <c r="E101" s="425"/>
      <c r="F101" s="418"/>
      <c r="G101" s="419"/>
      <c r="H101" s="639"/>
      <c r="I101" s="420"/>
      <c r="J101" s="420"/>
      <c r="K101" s="420"/>
      <c r="L101" s="582"/>
      <c r="M101" s="426" t="e">
        <f>RANK(K101, K$67:$K$81)</f>
        <v>#N/A</v>
      </c>
      <c r="N101" s="564"/>
      <c r="O101" s="564"/>
      <c r="P101" s="420"/>
      <c r="Q101" s="426"/>
      <c r="R101" s="426"/>
      <c r="S101" s="426" t="e">
        <f t="shared" si="67"/>
        <v>#N/A</v>
      </c>
      <c r="T101" s="644"/>
      <c r="U101" s="420"/>
      <c r="V101" s="426"/>
      <c r="W101" s="426"/>
      <c r="X101" s="423" t="e">
        <f t="shared" si="68"/>
        <v>#N/A</v>
      </c>
      <c r="Y101" s="572"/>
      <c r="Z101" s="420"/>
      <c r="AA101" s="426"/>
      <c r="AB101" s="426"/>
      <c r="AC101" s="423" t="e">
        <f t="shared" si="69"/>
        <v>#N/A</v>
      </c>
      <c r="AD101" s="572"/>
      <c r="AE101" s="420"/>
      <c r="AF101" s="426"/>
      <c r="AG101" s="426"/>
      <c r="AH101" s="423" t="e">
        <f t="shared" si="70"/>
        <v>#N/A</v>
      </c>
      <c r="AI101" s="572"/>
      <c r="AJ101" s="420"/>
      <c r="AK101" s="426"/>
      <c r="AL101" s="426"/>
      <c r="AM101" s="423" t="e">
        <f t="shared" si="71"/>
        <v>#N/A</v>
      </c>
      <c r="AN101" s="572"/>
      <c r="AO101" s="420"/>
      <c r="AP101" s="426"/>
      <c r="AQ101" s="426"/>
      <c r="AR101" s="423" t="e">
        <f t="shared" si="72"/>
        <v>#N/A</v>
      </c>
      <c r="AS101" s="644"/>
      <c r="AT101" s="425"/>
      <c r="AU101" s="425"/>
      <c r="AV101" s="425"/>
      <c r="AW101" s="420" t="e">
        <f t="shared" si="73"/>
        <v>#N/A</v>
      </c>
      <c r="AX101" s="643"/>
      <c r="AZ101" s="407" t="e">
        <f t="shared" si="65"/>
        <v>#N/A</v>
      </c>
      <c r="BA101" s="565"/>
    </row>
    <row r="102" spans="2:53" ht="15.75">
      <c r="B102" s="593" t="s">
        <v>163</v>
      </c>
      <c r="C102" s="594"/>
      <c r="D102" s="594"/>
      <c r="E102" s="594"/>
      <c r="F102" s="594"/>
      <c r="G102" s="594"/>
      <c r="H102" s="595"/>
      <c r="I102" s="208"/>
      <c r="J102" s="208"/>
      <c r="K102" s="208"/>
      <c r="L102" s="208"/>
      <c r="M102" s="207"/>
      <c r="N102" s="566" t="s">
        <v>156</v>
      </c>
      <c r="O102" s="566" t="s">
        <v>105</v>
      </c>
      <c r="P102" s="592">
        <f>P82+7</f>
        <v>46175</v>
      </c>
      <c r="Q102" s="570"/>
      <c r="R102" s="570"/>
      <c r="S102" s="570"/>
      <c r="T102" s="570"/>
      <c r="U102" s="589">
        <f>P102+1</f>
        <v>46176</v>
      </c>
      <c r="V102" s="590"/>
      <c r="W102" s="590"/>
      <c r="X102" s="590"/>
      <c r="Y102" s="591"/>
      <c r="Z102" s="589">
        <f>U102+1</f>
        <v>46177</v>
      </c>
      <c r="AA102" s="590"/>
      <c r="AB102" s="590"/>
      <c r="AC102" s="590"/>
      <c r="AD102" s="591"/>
      <c r="AE102" s="589">
        <f>Z102+1</f>
        <v>46178</v>
      </c>
      <c r="AF102" s="590"/>
      <c r="AG102" s="590"/>
      <c r="AH102" s="590"/>
      <c r="AI102" s="591"/>
      <c r="AJ102" s="589">
        <f>AE102+1</f>
        <v>46179</v>
      </c>
      <c r="AK102" s="590"/>
      <c r="AL102" s="590"/>
      <c r="AM102" s="590"/>
      <c r="AN102" s="591"/>
      <c r="AO102" s="589">
        <f>AJ102+1</f>
        <v>46180</v>
      </c>
      <c r="AP102" s="590"/>
      <c r="AQ102" s="590"/>
      <c r="AR102" s="590"/>
      <c r="AS102" s="591"/>
      <c r="AT102" s="589">
        <f>AO102+1</f>
        <v>46181</v>
      </c>
      <c r="AU102" s="590"/>
      <c r="AV102" s="590"/>
      <c r="AW102" s="590"/>
      <c r="AX102" s="591"/>
    </row>
    <row r="103" spans="2:53" ht="15.75">
      <c r="B103" s="596"/>
      <c r="C103" s="596"/>
      <c r="D103" s="596"/>
      <c r="E103" s="596"/>
      <c r="F103" s="596"/>
      <c r="G103" s="596"/>
      <c r="H103" s="596"/>
      <c r="I103" s="205"/>
      <c r="J103" s="205"/>
      <c r="K103" s="205"/>
      <c r="L103" s="205"/>
      <c r="M103" s="206"/>
      <c r="N103" s="568"/>
      <c r="O103" s="568"/>
      <c r="P103" s="592" t="s">
        <v>158</v>
      </c>
      <c r="Q103" s="570"/>
      <c r="R103" s="570"/>
      <c r="S103" s="570"/>
      <c r="T103" s="570"/>
      <c r="U103" s="592" t="s">
        <v>114</v>
      </c>
      <c r="V103" s="570"/>
      <c r="W103" s="570"/>
      <c r="X103" s="570"/>
      <c r="Y103" s="570"/>
      <c r="Z103" s="592" t="s">
        <v>159</v>
      </c>
      <c r="AA103" s="570"/>
      <c r="AB103" s="570"/>
      <c r="AC103" s="570"/>
      <c r="AD103" s="570"/>
      <c r="AE103" s="592" t="s">
        <v>157</v>
      </c>
      <c r="AF103" s="570"/>
      <c r="AG103" s="570"/>
      <c r="AH103" s="570"/>
      <c r="AI103" s="570"/>
      <c r="AJ103" s="592" t="s">
        <v>160</v>
      </c>
      <c r="AK103" s="570"/>
      <c r="AL103" s="570"/>
      <c r="AM103" s="570"/>
      <c r="AN103" s="570"/>
      <c r="AO103" s="592" t="s">
        <v>115</v>
      </c>
      <c r="AP103" s="570"/>
      <c r="AQ103" s="570"/>
      <c r="AR103" s="570"/>
      <c r="AS103" s="570"/>
      <c r="AT103" s="592" t="s">
        <v>162</v>
      </c>
      <c r="AU103" s="570"/>
      <c r="AV103" s="570"/>
      <c r="AW103" s="570"/>
      <c r="AX103" s="570"/>
    </row>
    <row r="104" spans="2:53">
      <c r="B104" s="564" t="s">
        <v>559</v>
      </c>
      <c r="C104" s="564" t="s">
        <v>560</v>
      </c>
      <c r="D104" s="564"/>
      <c r="E104" s="564" t="s">
        <v>561</v>
      </c>
      <c r="F104" s="564"/>
      <c r="G104" s="564"/>
      <c r="H104" s="597" t="s">
        <v>562</v>
      </c>
      <c r="I104" s="564" t="s">
        <v>563</v>
      </c>
      <c r="J104" s="564"/>
      <c r="K104" s="564"/>
      <c r="L104" s="597" t="s">
        <v>374</v>
      </c>
      <c r="M104" s="566" t="s">
        <v>564</v>
      </c>
      <c r="N104" s="564"/>
      <c r="O104" s="564" t="s">
        <v>565</v>
      </c>
      <c r="P104" s="583" t="s">
        <v>551</v>
      </c>
      <c r="Q104" s="584"/>
      <c r="R104" s="584"/>
      <c r="S104" s="585"/>
      <c r="T104" s="564" t="s">
        <v>547</v>
      </c>
      <c r="U104" s="583" t="s">
        <v>551</v>
      </c>
      <c r="V104" s="584"/>
      <c r="W104" s="584"/>
      <c r="X104" s="585"/>
      <c r="Y104" s="564" t="s">
        <v>547</v>
      </c>
      <c r="Z104" s="583" t="s">
        <v>551</v>
      </c>
      <c r="AA104" s="584"/>
      <c r="AB104" s="584"/>
      <c r="AC104" s="585"/>
      <c r="AD104" s="564" t="s">
        <v>547</v>
      </c>
      <c r="AE104" s="583" t="s">
        <v>551</v>
      </c>
      <c r="AF104" s="584"/>
      <c r="AG104" s="584"/>
      <c r="AH104" s="585"/>
      <c r="AI104" s="564" t="s">
        <v>547</v>
      </c>
      <c r="AJ104" s="583" t="s">
        <v>551</v>
      </c>
      <c r="AK104" s="584"/>
      <c r="AL104" s="584"/>
      <c r="AM104" s="585"/>
      <c r="AN104" s="564" t="s">
        <v>547</v>
      </c>
      <c r="AO104" s="583" t="s">
        <v>551</v>
      </c>
      <c r="AP104" s="584"/>
      <c r="AQ104" s="584"/>
      <c r="AR104" s="585"/>
      <c r="AS104" s="564" t="s">
        <v>547</v>
      </c>
      <c r="AT104" s="583" t="s">
        <v>551</v>
      </c>
      <c r="AU104" s="584"/>
      <c r="AV104" s="584"/>
      <c r="AW104" s="585"/>
      <c r="AX104" s="564" t="s">
        <v>547</v>
      </c>
      <c r="BA104" s="564" t="s">
        <v>374</v>
      </c>
    </row>
    <row r="105" spans="2:53">
      <c r="B105" s="564"/>
      <c r="C105" s="564"/>
      <c r="D105" s="564"/>
      <c r="E105" s="564" t="s">
        <v>566</v>
      </c>
      <c r="F105" s="564"/>
      <c r="G105" s="564"/>
      <c r="H105" s="598"/>
      <c r="I105" s="564" t="s">
        <v>566</v>
      </c>
      <c r="J105" s="564"/>
      <c r="K105" s="564"/>
      <c r="L105" s="598"/>
      <c r="M105" s="567"/>
      <c r="N105" s="564"/>
      <c r="O105" s="564"/>
      <c r="P105" s="583" t="s">
        <v>553</v>
      </c>
      <c r="Q105" s="584"/>
      <c r="R105" s="584"/>
      <c r="S105" s="585"/>
      <c r="T105" s="564"/>
      <c r="U105" s="583" t="s">
        <v>553</v>
      </c>
      <c r="V105" s="584"/>
      <c r="W105" s="584"/>
      <c r="X105" s="585"/>
      <c r="Y105" s="564"/>
      <c r="Z105" s="583" t="s">
        <v>553</v>
      </c>
      <c r="AA105" s="584"/>
      <c r="AB105" s="584"/>
      <c r="AC105" s="585"/>
      <c r="AD105" s="564"/>
      <c r="AE105" s="583" t="s">
        <v>553</v>
      </c>
      <c r="AF105" s="584"/>
      <c r="AG105" s="584"/>
      <c r="AH105" s="585"/>
      <c r="AI105" s="564"/>
      <c r="AJ105" s="583" t="s">
        <v>553</v>
      </c>
      <c r="AK105" s="584"/>
      <c r="AL105" s="584"/>
      <c r="AM105" s="585"/>
      <c r="AN105" s="564"/>
      <c r="AO105" s="583" t="s">
        <v>553</v>
      </c>
      <c r="AP105" s="584"/>
      <c r="AQ105" s="584"/>
      <c r="AR105" s="585"/>
      <c r="AS105" s="564"/>
      <c r="AT105" s="583" t="s">
        <v>553</v>
      </c>
      <c r="AU105" s="584"/>
      <c r="AV105" s="584"/>
      <c r="AW105" s="585"/>
      <c r="AX105" s="564"/>
      <c r="BA105" s="564"/>
    </row>
    <row r="106" spans="2:53">
      <c r="B106" s="564"/>
      <c r="C106" s="564"/>
      <c r="D106" s="564"/>
      <c r="E106" s="366" t="s">
        <v>567</v>
      </c>
      <c r="F106" s="366" t="s">
        <v>568</v>
      </c>
      <c r="G106" s="366" t="s">
        <v>569</v>
      </c>
      <c r="H106" s="599"/>
      <c r="I106" s="366" t="s">
        <v>567</v>
      </c>
      <c r="J106" s="366" t="s">
        <v>568</v>
      </c>
      <c r="K106" s="366" t="s">
        <v>569</v>
      </c>
      <c r="L106" s="599"/>
      <c r="M106" s="568"/>
      <c r="N106" s="564"/>
      <c r="O106" s="564"/>
      <c r="P106" s="366" t="s">
        <v>554</v>
      </c>
      <c r="Q106" s="366" t="s">
        <v>555</v>
      </c>
      <c r="R106" s="366" t="s">
        <v>556</v>
      </c>
      <c r="S106" s="366" t="s">
        <v>549</v>
      </c>
      <c r="T106" s="564"/>
      <c r="U106" s="366" t="s">
        <v>554</v>
      </c>
      <c r="V106" s="366" t="s">
        <v>555</v>
      </c>
      <c r="W106" s="366" t="s">
        <v>556</v>
      </c>
      <c r="X106" s="366" t="s">
        <v>549</v>
      </c>
      <c r="Y106" s="564"/>
      <c r="Z106" s="366" t="s">
        <v>554</v>
      </c>
      <c r="AA106" s="366" t="s">
        <v>555</v>
      </c>
      <c r="AB106" s="366" t="s">
        <v>556</v>
      </c>
      <c r="AC106" s="366" t="s">
        <v>549</v>
      </c>
      <c r="AD106" s="564"/>
      <c r="AE106" s="366" t="s">
        <v>554</v>
      </c>
      <c r="AF106" s="366" t="s">
        <v>555</v>
      </c>
      <c r="AG106" s="366" t="s">
        <v>556</v>
      </c>
      <c r="AH106" s="366" t="s">
        <v>549</v>
      </c>
      <c r="AI106" s="564"/>
      <c r="AJ106" s="366" t="s">
        <v>554</v>
      </c>
      <c r="AK106" s="366" t="s">
        <v>555</v>
      </c>
      <c r="AL106" s="366" t="s">
        <v>556</v>
      </c>
      <c r="AM106" s="366" t="s">
        <v>549</v>
      </c>
      <c r="AN106" s="564"/>
      <c r="AO106" s="366" t="s">
        <v>554</v>
      </c>
      <c r="AP106" s="366" t="s">
        <v>555</v>
      </c>
      <c r="AQ106" s="366" t="s">
        <v>556</v>
      </c>
      <c r="AR106" s="366" t="s">
        <v>549</v>
      </c>
      <c r="AS106" s="564"/>
      <c r="AT106" s="366" t="s">
        <v>554</v>
      </c>
      <c r="AU106" s="366" t="s">
        <v>555</v>
      </c>
      <c r="AV106" s="366" t="s">
        <v>556</v>
      </c>
      <c r="AW106" s="366" t="s">
        <v>549</v>
      </c>
      <c r="AX106" s="564"/>
      <c r="AZ106" s="406" t="s">
        <v>549</v>
      </c>
      <c r="BA106" s="564"/>
    </row>
    <row r="107" spans="2:53">
      <c r="B107" s="564" t="s">
        <v>135</v>
      </c>
      <c r="C107" s="371">
        <v>1</v>
      </c>
      <c r="D107" s="226"/>
      <c r="E107" s="182"/>
      <c r="F107" s="379"/>
      <c r="G107" s="380"/>
      <c r="H107" s="578" t="e">
        <f>AVERAGE(G107:G121)</f>
        <v>#DIV/0!</v>
      </c>
      <c r="I107" s="400" t="str">
        <f t="shared" ref="I107:I120" si="74">IFERROR(AVERAGE(P107,U107,Z107,AE107,AJ107,AO107,AT107),"-")</f>
        <v>-</v>
      </c>
      <c r="J107" s="400" t="str">
        <f t="shared" ref="J107:J120" si="75">IFERROR(AVERAGE(Q107,V107,AA107,AF107,AK107,AP107,AU107),"-")</f>
        <v>-</v>
      </c>
      <c r="K107" s="200" t="str">
        <f t="shared" ref="K107:K120" si="76">IFERROR(AVERAGE(R107,W107,AB107,AG107,AL107,AQ107,AV107),"-")</f>
        <v>-</v>
      </c>
      <c r="L107" s="580" t="str">
        <f>IFERROR(AVERAGE(K107:K121),"-")</f>
        <v>-</v>
      </c>
      <c r="M107" s="372" t="e">
        <f>RANK(K107, K$67:$K$81)</f>
        <v>#VALUE!</v>
      </c>
      <c r="N107" s="564"/>
      <c r="O107" s="564"/>
      <c r="P107" s="371"/>
      <c r="Q107" s="372"/>
      <c r="R107" s="372"/>
      <c r="S107" s="372" t="e">
        <f>RANK(R107, R$67:R$81)</f>
        <v>#N/A</v>
      </c>
      <c r="T107" s="644" t="e">
        <f>AVERAGE(R107:R121)</f>
        <v>#DIV/0!</v>
      </c>
      <c r="U107" s="381"/>
      <c r="V107" s="382"/>
      <c r="W107" s="382"/>
      <c r="X107" s="372" t="e">
        <f>RANK(W107, W$67:W$81)</f>
        <v>#N/A</v>
      </c>
      <c r="Y107" s="572" t="e">
        <f>AVERAGE(W107:W121)</f>
        <v>#DIV/0!</v>
      </c>
      <c r="Z107" s="381"/>
      <c r="AA107" s="382"/>
      <c r="AB107" s="382"/>
      <c r="AC107" s="372" t="e">
        <f>RANK(AB107, AB$67:AB$81)</f>
        <v>#N/A</v>
      </c>
      <c r="AD107" s="572" t="e">
        <f>AVERAGE(AB107:AB121)</f>
        <v>#DIV/0!</v>
      </c>
      <c r="AE107" s="381"/>
      <c r="AF107" s="382"/>
      <c r="AG107" s="382"/>
      <c r="AH107" s="372" t="e">
        <f>RANK(AG107, AG$67:AG$81)</f>
        <v>#N/A</v>
      </c>
      <c r="AI107" s="572" t="e">
        <f>AVERAGE(AG107:AG121)</f>
        <v>#DIV/0!</v>
      </c>
      <c r="AJ107" s="381"/>
      <c r="AK107" s="382"/>
      <c r="AL107" s="382"/>
      <c r="AM107" s="372" t="e">
        <f>RANK(AL107, AL$67:AL$81)</f>
        <v>#N/A</v>
      </c>
      <c r="AN107" s="572" t="e">
        <f>AVERAGE(AL107:AL121)</f>
        <v>#DIV/0!</v>
      </c>
      <c r="AO107" s="381"/>
      <c r="AP107" s="382"/>
      <c r="AQ107" s="382"/>
      <c r="AR107" s="372" t="e">
        <f>RANK(AQ107, AQ$67:AQ$81)</f>
        <v>#N/A</v>
      </c>
      <c r="AS107" s="644" t="e">
        <f>AVERAGE(AQ107:AQ121)</f>
        <v>#DIV/0!</v>
      </c>
      <c r="AT107" s="182"/>
      <c r="AU107" s="182"/>
      <c r="AV107" s="182"/>
      <c r="AW107" s="371" t="e">
        <f>RANK(AV107, AV$67:AV$81)</f>
        <v>#N/A</v>
      </c>
      <c r="AX107" s="643" t="e">
        <f>AVERAGE(AV107:AV121)</f>
        <v>#DIV/0!</v>
      </c>
      <c r="AZ107" s="408" t="e">
        <f>RANK(AY107, AY$67:AY$81)</f>
        <v>#N/A</v>
      </c>
      <c r="BA107" s="643" t="e">
        <f>AVERAGE(AY107:AY121)</f>
        <v>#DIV/0!</v>
      </c>
    </row>
    <row r="108" spans="2:53">
      <c r="B108" s="600"/>
      <c r="C108" s="371">
        <v>2</v>
      </c>
      <c r="D108" s="226"/>
      <c r="E108" s="182"/>
      <c r="F108" s="379"/>
      <c r="G108" s="380"/>
      <c r="H108" s="579"/>
      <c r="I108" s="400" t="str">
        <f t="shared" si="74"/>
        <v>-</v>
      </c>
      <c r="J108" s="400" t="str">
        <f t="shared" si="75"/>
        <v>-</v>
      </c>
      <c r="K108" s="200" t="str">
        <f t="shared" si="76"/>
        <v>-</v>
      </c>
      <c r="L108" s="581"/>
      <c r="M108" s="372" t="e">
        <f>RANK(K108, K$67:$K$81)</f>
        <v>#VALUE!</v>
      </c>
      <c r="N108" s="564"/>
      <c r="O108" s="564"/>
      <c r="P108" s="371"/>
      <c r="Q108" s="372"/>
      <c r="R108" s="372"/>
      <c r="S108" s="372" t="e">
        <f t="shared" ref="S108:S121" si="77">RANK(R108, R$67:R$81)</f>
        <v>#N/A</v>
      </c>
      <c r="T108" s="644"/>
      <c r="U108" s="381"/>
      <c r="V108" s="382"/>
      <c r="W108" s="382"/>
      <c r="X108" s="372" t="e">
        <f t="shared" ref="X108:X121" si="78">RANK(W108, W$67:W$81)</f>
        <v>#N/A</v>
      </c>
      <c r="Y108" s="572"/>
      <c r="Z108" s="381"/>
      <c r="AA108" s="382"/>
      <c r="AB108" s="382"/>
      <c r="AC108" s="372" t="e">
        <f t="shared" ref="AC108:AC121" si="79">RANK(AB108, AB$67:AB$81)</f>
        <v>#N/A</v>
      </c>
      <c r="AD108" s="572"/>
      <c r="AE108" s="381"/>
      <c r="AF108" s="382"/>
      <c r="AG108" s="382"/>
      <c r="AH108" s="372" t="e">
        <f t="shared" ref="AH108:AH121" si="80">RANK(AG108, AG$67:AG$81)</f>
        <v>#N/A</v>
      </c>
      <c r="AI108" s="572"/>
      <c r="AJ108" s="381"/>
      <c r="AK108" s="382"/>
      <c r="AL108" s="382"/>
      <c r="AM108" s="372" t="e">
        <f t="shared" ref="AM108:AM121" si="81">RANK(AL108, AL$67:AL$81)</f>
        <v>#N/A</v>
      </c>
      <c r="AN108" s="572"/>
      <c r="AO108" s="381"/>
      <c r="AP108" s="382"/>
      <c r="AQ108" s="382"/>
      <c r="AR108" s="372" t="e">
        <f t="shared" ref="AR108:AR121" si="82">RANK(AQ108, AQ$67:AQ$81)</f>
        <v>#N/A</v>
      </c>
      <c r="AS108" s="644"/>
      <c r="AT108" s="182"/>
      <c r="AU108" s="182"/>
      <c r="AV108" s="182"/>
      <c r="AW108" s="371" t="e">
        <f t="shared" ref="AW108:AW121" si="83">RANK(AV108, AV$67:AV$81)</f>
        <v>#N/A</v>
      </c>
      <c r="AX108" s="643"/>
      <c r="AZ108" s="408" t="e">
        <f t="shared" ref="AZ108:AZ121" si="84">RANK(AY108, AY$67:AY$81)</f>
        <v>#N/A</v>
      </c>
      <c r="BA108" s="643"/>
    </row>
    <row r="109" spans="2:53">
      <c r="B109" s="600"/>
      <c r="C109" s="371">
        <v>3</v>
      </c>
      <c r="D109" s="226"/>
      <c r="E109" s="182"/>
      <c r="F109" s="379"/>
      <c r="G109" s="380"/>
      <c r="H109" s="579"/>
      <c r="I109" s="400" t="str">
        <f t="shared" si="74"/>
        <v>-</v>
      </c>
      <c r="J109" s="400" t="str">
        <f t="shared" si="75"/>
        <v>-</v>
      </c>
      <c r="K109" s="200" t="str">
        <f t="shared" si="76"/>
        <v>-</v>
      </c>
      <c r="L109" s="581"/>
      <c r="M109" s="372" t="e">
        <f>RANK(K109, K$67:$K$81)</f>
        <v>#VALUE!</v>
      </c>
      <c r="N109" s="564"/>
      <c r="O109" s="564"/>
      <c r="P109" s="371"/>
      <c r="Q109" s="372"/>
      <c r="R109" s="372"/>
      <c r="S109" s="372" t="e">
        <f t="shared" si="77"/>
        <v>#N/A</v>
      </c>
      <c r="T109" s="644"/>
      <c r="U109" s="381"/>
      <c r="V109" s="382"/>
      <c r="W109" s="382"/>
      <c r="X109" s="372" t="e">
        <f t="shared" si="78"/>
        <v>#N/A</v>
      </c>
      <c r="Y109" s="572"/>
      <c r="Z109" s="381"/>
      <c r="AA109" s="382"/>
      <c r="AB109" s="382"/>
      <c r="AC109" s="372" t="e">
        <f t="shared" si="79"/>
        <v>#N/A</v>
      </c>
      <c r="AD109" s="572"/>
      <c r="AE109" s="381"/>
      <c r="AF109" s="382"/>
      <c r="AG109" s="382"/>
      <c r="AH109" s="372" t="e">
        <f t="shared" si="80"/>
        <v>#N/A</v>
      </c>
      <c r="AI109" s="572"/>
      <c r="AJ109" s="381"/>
      <c r="AK109" s="382"/>
      <c r="AL109" s="382"/>
      <c r="AM109" s="372" t="e">
        <f t="shared" si="81"/>
        <v>#N/A</v>
      </c>
      <c r="AN109" s="572"/>
      <c r="AO109" s="381"/>
      <c r="AP109" s="382"/>
      <c r="AQ109" s="382"/>
      <c r="AR109" s="372" t="e">
        <f t="shared" si="82"/>
        <v>#N/A</v>
      </c>
      <c r="AS109" s="644"/>
      <c r="AT109" s="182"/>
      <c r="AU109" s="182"/>
      <c r="AV109" s="182"/>
      <c r="AW109" s="371" t="e">
        <f t="shared" si="83"/>
        <v>#N/A</v>
      </c>
      <c r="AX109" s="643"/>
      <c r="AZ109" s="408" t="e">
        <f t="shared" si="84"/>
        <v>#N/A</v>
      </c>
      <c r="BA109" s="643"/>
    </row>
    <row r="110" spans="2:53">
      <c r="B110" s="600"/>
      <c r="C110" s="371">
        <v>4</v>
      </c>
      <c r="D110" s="226"/>
      <c r="E110" s="182"/>
      <c r="F110" s="379"/>
      <c r="G110" s="380"/>
      <c r="H110" s="579"/>
      <c r="I110" s="400" t="str">
        <f t="shared" si="74"/>
        <v>-</v>
      </c>
      <c r="J110" s="400" t="str">
        <f t="shared" si="75"/>
        <v>-</v>
      </c>
      <c r="K110" s="200" t="str">
        <f t="shared" si="76"/>
        <v>-</v>
      </c>
      <c r="L110" s="581"/>
      <c r="M110" s="372" t="e">
        <f>RANK(K110, K$67:$K$81)</f>
        <v>#VALUE!</v>
      </c>
      <c r="N110" s="564"/>
      <c r="O110" s="564"/>
      <c r="P110" s="371"/>
      <c r="Q110" s="372"/>
      <c r="R110" s="372"/>
      <c r="S110" s="372" t="e">
        <f t="shared" si="77"/>
        <v>#N/A</v>
      </c>
      <c r="T110" s="644"/>
      <c r="U110" s="381"/>
      <c r="V110" s="382"/>
      <c r="W110" s="382"/>
      <c r="X110" s="372" t="e">
        <f t="shared" si="78"/>
        <v>#N/A</v>
      </c>
      <c r="Y110" s="572"/>
      <c r="Z110" s="381"/>
      <c r="AA110" s="382"/>
      <c r="AB110" s="382"/>
      <c r="AC110" s="372" t="e">
        <f t="shared" si="79"/>
        <v>#N/A</v>
      </c>
      <c r="AD110" s="572"/>
      <c r="AE110" s="381"/>
      <c r="AF110" s="382"/>
      <c r="AG110" s="382"/>
      <c r="AH110" s="372" t="e">
        <f t="shared" si="80"/>
        <v>#N/A</v>
      </c>
      <c r="AI110" s="572"/>
      <c r="AJ110" s="381"/>
      <c r="AK110" s="382"/>
      <c r="AL110" s="382"/>
      <c r="AM110" s="372" t="e">
        <f t="shared" si="81"/>
        <v>#N/A</v>
      </c>
      <c r="AN110" s="572"/>
      <c r="AO110" s="381"/>
      <c r="AP110" s="382"/>
      <c r="AQ110" s="382"/>
      <c r="AR110" s="372" t="e">
        <f t="shared" si="82"/>
        <v>#N/A</v>
      </c>
      <c r="AS110" s="644"/>
      <c r="AT110" s="182"/>
      <c r="AU110" s="182"/>
      <c r="AV110" s="182"/>
      <c r="AW110" s="371" t="e">
        <f t="shared" si="83"/>
        <v>#N/A</v>
      </c>
      <c r="AX110" s="643"/>
      <c r="AZ110" s="408" t="e">
        <f t="shared" si="84"/>
        <v>#N/A</v>
      </c>
      <c r="BA110" s="643"/>
    </row>
    <row r="111" spans="2:53">
      <c r="B111" s="600"/>
      <c r="C111" s="371">
        <v>5</v>
      </c>
      <c r="D111" s="226"/>
      <c r="E111" s="182"/>
      <c r="F111" s="379"/>
      <c r="G111" s="380"/>
      <c r="H111" s="579"/>
      <c r="I111" s="400" t="str">
        <f t="shared" si="74"/>
        <v>-</v>
      </c>
      <c r="J111" s="400" t="str">
        <f t="shared" si="75"/>
        <v>-</v>
      </c>
      <c r="K111" s="200" t="str">
        <f t="shared" si="76"/>
        <v>-</v>
      </c>
      <c r="L111" s="581"/>
      <c r="M111" s="372" t="e">
        <f>RANK(K111, K$67:$K$81)</f>
        <v>#VALUE!</v>
      </c>
      <c r="N111" s="564"/>
      <c r="O111" s="564"/>
      <c r="P111" s="371"/>
      <c r="Q111" s="372"/>
      <c r="R111" s="372"/>
      <c r="S111" s="372" t="e">
        <f t="shared" si="77"/>
        <v>#N/A</v>
      </c>
      <c r="T111" s="644"/>
      <c r="U111" s="381"/>
      <c r="V111" s="382"/>
      <c r="W111" s="382"/>
      <c r="X111" s="372" t="e">
        <f t="shared" si="78"/>
        <v>#N/A</v>
      </c>
      <c r="Y111" s="572"/>
      <c r="Z111" s="381"/>
      <c r="AA111" s="382"/>
      <c r="AB111" s="382"/>
      <c r="AC111" s="372" t="e">
        <f t="shared" si="79"/>
        <v>#N/A</v>
      </c>
      <c r="AD111" s="572"/>
      <c r="AE111" s="381"/>
      <c r="AF111" s="382"/>
      <c r="AG111" s="382"/>
      <c r="AH111" s="372" t="e">
        <f t="shared" si="80"/>
        <v>#N/A</v>
      </c>
      <c r="AI111" s="572"/>
      <c r="AJ111" s="381"/>
      <c r="AK111" s="382"/>
      <c r="AL111" s="382"/>
      <c r="AM111" s="372" t="e">
        <f t="shared" si="81"/>
        <v>#N/A</v>
      </c>
      <c r="AN111" s="572"/>
      <c r="AO111" s="381"/>
      <c r="AP111" s="382"/>
      <c r="AQ111" s="382"/>
      <c r="AR111" s="372" t="e">
        <f t="shared" si="82"/>
        <v>#N/A</v>
      </c>
      <c r="AS111" s="644"/>
      <c r="AT111" s="182"/>
      <c r="AU111" s="182"/>
      <c r="AV111" s="182"/>
      <c r="AW111" s="371" t="e">
        <f t="shared" si="83"/>
        <v>#N/A</v>
      </c>
      <c r="AX111" s="643"/>
      <c r="AZ111" s="408" t="e">
        <f t="shared" si="84"/>
        <v>#N/A</v>
      </c>
      <c r="BA111" s="643"/>
    </row>
    <row r="112" spans="2:53">
      <c r="B112" s="600"/>
      <c r="C112" s="371">
        <v>6</v>
      </c>
      <c r="D112" s="226"/>
      <c r="E112" s="182"/>
      <c r="F112" s="379"/>
      <c r="G112" s="380"/>
      <c r="H112" s="579"/>
      <c r="I112" s="400" t="str">
        <f t="shared" si="74"/>
        <v>-</v>
      </c>
      <c r="J112" s="400" t="str">
        <f t="shared" si="75"/>
        <v>-</v>
      </c>
      <c r="K112" s="200" t="str">
        <f t="shared" si="76"/>
        <v>-</v>
      </c>
      <c r="L112" s="581"/>
      <c r="M112" s="372" t="e">
        <f>RANK(K112, K$67:$K$81)</f>
        <v>#VALUE!</v>
      </c>
      <c r="N112" s="564"/>
      <c r="O112" s="564"/>
      <c r="P112" s="371"/>
      <c r="Q112" s="372"/>
      <c r="R112" s="372"/>
      <c r="S112" s="372" t="e">
        <f t="shared" si="77"/>
        <v>#N/A</v>
      </c>
      <c r="T112" s="644"/>
      <c r="U112" s="381"/>
      <c r="V112" s="382"/>
      <c r="W112" s="382"/>
      <c r="X112" s="372" t="e">
        <f t="shared" si="78"/>
        <v>#N/A</v>
      </c>
      <c r="Y112" s="572"/>
      <c r="Z112" s="381"/>
      <c r="AA112" s="382"/>
      <c r="AB112" s="382"/>
      <c r="AC112" s="372" t="e">
        <f t="shared" si="79"/>
        <v>#N/A</v>
      </c>
      <c r="AD112" s="572"/>
      <c r="AE112" s="381"/>
      <c r="AF112" s="382"/>
      <c r="AG112" s="382"/>
      <c r="AH112" s="372" t="e">
        <f t="shared" si="80"/>
        <v>#N/A</v>
      </c>
      <c r="AI112" s="572"/>
      <c r="AJ112" s="381"/>
      <c r="AK112" s="382"/>
      <c r="AL112" s="382"/>
      <c r="AM112" s="372" t="e">
        <f t="shared" si="81"/>
        <v>#N/A</v>
      </c>
      <c r="AN112" s="572"/>
      <c r="AO112" s="381"/>
      <c r="AP112" s="382"/>
      <c r="AQ112" s="382"/>
      <c r="AR112" s="372" t="e">
        <f t="shared" si="82"/>
        <v>#N/A</v>
      </c>
      <c r="AS112" s="644"/>
      <c r="AT112" s="182"/>
      <c r="AU112" s="182"/>
      <c r="AV112" s="182"/>
      <c r="AW112" s="371" t="e">
        <f t="shared" si="83"/>
        <v>#N/A</v>
      </c>
      <c r="AX112" s="643"/>
      <c r="AZ112" s="408" t="e">
        <f t="shared" si="84"/>
        <v>#N/A</v>
      </c>
      <c r="BA112" s="643"/>
    </row>
    <row r="113" spans="2:53">
      <c r="B113" s="600"/>
      <c r="C113" s="371">
        <v>7</v>
      </c>
      <c r="D113" s="226"/>
      <c r="E113" s="182"/>
      <c r="F113" s="379"/>
      <c r="G113" s="380"/>
      <c r="H113" s="579"/>
      <c r="I113" s="400" t="str">
        <f t="shared" si="74"/>
        <v>-</v>
      </c>
      <c r="J113" s="400" t="str">
        <f t="shared" si="75"/>
        <v>-</v>
      </c>
      <c r="K113" s="200" t="str">
        <f t="shared" si="76"/>
        <v>-</v>
      </c>
      <c r="L113" s="581"/>
      <c r="M113" s="372" t="e">
        <f>RANK(K113, K$67:$K$81)</f>
        <v>#VALUE!</v>
      </c>
      <c r="N113" s="564"/>
      <c r="O113" s="564"/>
      <c r="P113" s="371"/>
      <c r="Q113" s="372"/>
      <c r="R113" s="372"/>
      <c r="S113" s="372" t="e">
        <f t="shared" si="77"/>
        <v>#N/A</v>
      </c>
      <c r="T113" s="644"/>
      <c r="U113" s="381"/>
      <c r="V113" s="382"/>
      <c r="W113" s="382"/>
      <c r="X113" s="372" t="e">
        <f t="shared" si="78"/>
        <v>#N/A</v>
      </c>
      <c r="Y113" s="572"/>
      <c r="Z113" s="381"/>
      <c r="AA113" s="382"/>
      <c r="AB113" s="382"/>
      <c r="AC113" s="372" t="e">
        <f t="shared" si="79"/>
        <v>#N/A</v>
      </c>
      <c r="AD113" s="572"/>
      <c r="AE113" s="381"/>
      <c r="AF113" s="382"/>
      <c r="AG113" s="382"/>
      <c r="AH113" s="372" t="e">
        <f t="shared" si="80"/>
        <v>#N/A</v>
      </c>
      <c r="AI113" s="572"/>
      <c r="AJ113" s="381"/>
      <c r="AK113" s="382"/>
      <c r="AL113" s="382"/>
      <c r="AM113" s="372" t="e">
        <f t="shared" si="81"/>
        <v>#N/A</v>
      </c>
      <c r="AN113" s="572"/>
      <c r="AO113" s="381"/>
      <c r="AP113" s="382"/>
      <c r="AQ113" s="382"/>
      <c r="AR113" s="372" t="e">
        <f t="shared" si="82"/>
        <v>#N/A</v>
      </c>
      <c r="AS113" s="644"/>
      <c r="AT113" s="182"/>
      <c r="AU113" s="182"/>
      <c r="AV113" s="182"/>
      <c r="AW113" s="371" t="e">
        <f t="shared" si="83"/>
        <v>#N/A</v>
      </c>
      <c r="AX113" s="643"/>
      <c r="AZ113" s="408" t="e">
        <f t="shared" si="84"/>
        <v>#N/A</v>
      </c>
      <c r="BA113" s="643"/>
    </row>
    <row r="114" spans="2:53">
      <c r="B114" s="600"/>
      <c r="C114" s="371">
        <v>8</v>
      </c>
      <c r="D114" s="226"/>
      <c r="E114" s="182"/>
      <c r="F114" s="379"/>
      <c r="G114" s="380"/>
      <c r="H114" s="579"/>
      <c r="I114" s="400" t="str">
        <f t="shared" si="74"/>
        <v>-</v>
      </c>
      <c r="J114" s="400" t="str">
        <f t="shared" si="75"/>
        <v>-</v>
      </c>
      <c r="K114" s="200" t="str">
        <f t="shared" si="76"/>
        <v>-</v>
      </c>
      <c r="L114" s="581"/>
      <c r="M114" s="372" t="e">
        <f>RANK(K114, K$67:$K$81)</f>
        <v>#VALUE!</v>
      </c>
      <c r="N114" s="564"/>
      <c r="O114" s="564"/>
      <c r="P114" s="371"/>
      <c r="Q114" s="372"/>
      <c r="R114" s="372"/>
      <c r="S114" s="372" t="e">
        <f t="shared" si="77"/>
        <v>#N/A</v>
      </c>
      <c r="T114" s="644"/>
      <c r="U114" s="381"/>
      <c r="V114" s="382"/>
      <c r="W114" s="382"/>
      <c r="X114" s="372" t="e">
        <f t="shared" si="78"/>
        <v>#N/A</v>
      </c>
      <c r="Y114" s="572"/>
      <c r="Z114" s="381"/>
      <c r="AA114" s="382"/>
      <c r="AB114" s="382"/>
      <c r="AC114" s="372" t="e">
        <f t="shared" si="79"/>
        <v>#N/A</v>
      </c>
      <c r="AD114" s="572"/>
      <c r="AE114" s="381"/>
      <c r="AF114" s="382"/>
      <c r="AG114" s="382"/>
      <c r="AH114" s="372" t="e">
        <f t="shared" si="80"/>
        <v>#N/A</v>
      </c>
      <c r="AI114" s="572"/>
      <c r="AJ114" s="381"/>
      <c r="AK114" s="382"/>
      <c r="AL114" s="382"/>
      <c r="AM114" s="372" t="e">
        <f t="shared" si="81"/>
        <v>#N/A</v>
      </c>
      <c r="AN114" s="572"/>
      <c r="AO114" s="381"/>
      <c r="AP114" s="382"/>
      <c r="AQ114" s="382"/>
      <c r="AR114" s="372" t="e">
        <f t="shared" si="82"/>
        <v>#N/A</v>
      </c>
      <c r="AS114" s="644"/>
      <c r="AT114" s="182"/>
      <c r="AU114" s="182"/>
      <c r="AV114" s="182"/>
      <c r="AW114" s="371" t="e">
        <f t="shared" si="83"/>
        <v>#N/A</v>
      </c>
      <c r="AX114" s="643"/>
      <c r="AZ114" s="408" t="e">
        <f t="shared" si="84"/>
        <v>#N/A</v>
      </c>
      <c r="BA114" s="643"/>
    </row>
    <row r="115" spans="2:53">
      <c r="B115" s="600"/>
      <c r="C115" s="371">
        <v>9</v>
      </c>
      <c r="D115" s="226"/>
      <c r="E115" s="182"/>
      <c r="F115" s="379"/>
      <c r="G115" s="380"/>
      <c r="H115" s="579"/>
      <c r="I115" s="400" t="str">
        <f t="shared" si="74"/>
        <v>-</v>
      </c>
      <c r="J115" s="400" t="str">
        <f t="shared" si="75"/>
        <v>-</v>
      </c>
      <c r="K115" s="200" t="str">
        <f t="shared" si="76"/>
        <v>-</v>
      </c>
      <c r="L115" s="581"/>
      <c r="M115" s="372" t="e">
        <f>RANK(K115, K$67:$K$81)</f>
        <v>#VALUE!</v>
      </c>
      <c r="N115" s="564"/>
      <c r="O115" s="564"/>
      <c r="P115" s="371"/>
      <c r="Q115" s="372"/>
      <c r="R115" s="372"/>
      <c r="S115" s="372" t="e">
        <f t="shared" si="77"/>
        <v>#N/A</v>
      </c>
      <c r="T115" s="644"/>
      <c r="U115" s="381"/>
      <c r="V115" s="382"/>
      <c r="W115" s="382"/>
      <c r="X115" s="372" t="e">
        <f t="shared" si="78"/>
        <v>#N/A</v>
      </c>
      <c r="Y115" s="572"/>
      <c r="Z115" s="381"/>
      <c r="AA115" s="382"/>
      <c r="AB115" s="382"/>
      <c r="AC115" s="372" t="e">
        <f t="shared" si="79"/>
        <v>#N/A</v>
      </c>
      <c r="AD115" s="572"/>
      <c r="AE115" s="381"/>
      <c r="AF115" s="382"/>
      <c r="AG115" s="382"/>
      <c r="AH115" s="372" t="e">
        <f t="shared" si="80"/>
        <v>#N/A</v>
      </c>
      <c r="AI115" s="572"/>
      <c r="AJ115" s="381"/>
      <c r="AK115" s="382"/>
      <c r="AL115" s="382"/>
      <c r="AM115" s="372" t="e">
        <f t="shared" si="81"/>
        <v>#N/A</v>
      </c>
      <c r="AN115" s="572"/>
      <c r="AO115" s="381"/>
      <c r="AP115" s="382"/>
      <c r="AQ115" s="382"/>
      <c r="AR115" s="372" t="e">
        <f t="shared" si="82"/>
        <v>#N/A</v>
      </c>
      <c r="AS115" s="644"/>
      <c r="AT115" s="182"/>
      <c r="AU115" s="182"/>
      <c r="AV115" s="182"/>
      <c r="AW115" s="371" t="e">
        <f t="shared" si="83"/>
        <v>#N/A</v>
      </c>
      <c r="AX115" s="643"/>
      <c r="AZ115" s="408" t="e">
        <f t="shared" si="84"/>
        <v>#N/A</v>
      </c>
      <c r="BA115" s="643"/>
    </row>
    <row r="116" spans="2:53">
      <c r="B116" s="600"/>
      <c r="C116" s="371">
        <v>10</v>
      </c>
      <c r="D116" s="226"/>
      <c r="E116" s="182"/>
      <c r="F116" s="379"/>
      <c r="G116" s="380"/>
      <c r="H116" s="579"/>
      <c r="I116" s="400" t="str">
        <f t="shared" si="74"/>
        <v>-</v>
      </c>
      <c r="J116" s="400" t="str">
        <f t="shared" si="75"/>
        <v>-</v>
      </c>
      <c r="K116" s="200" t="str">
        <f t="shared" si="76"/>
        <v>-</v>
      </c>
      <c r="L116" s="581"/>
      <c r="M116" s="372" t="e">
        <f>RANK(K116, K$67:$K$81)</f>
        <v>#VALUE!</v>
      </c>
      <c r="N116" s="564"/>
      <c r="O116" s="564"/>
      <c r="P116" s="371"/>
      <c r="Q116" s="372"/>
      <c r="R116" s="372"/>
      <c r="S116" s="372" t="e">
        <f t="shared" si="77"/>
        <v>#N/A</v>
      </c>
      <c r="T116" s="644"/>
      <c r="U116" s="381"/>
      <c r="V116" s="382"/>
      <c r="W116" s="382"/>
      <c r="X116" s="372" t="e">
        <f t="shared" si="78"/>
        <v>#N/A</v>
      </c>
      <c r="Y116" s="572"/>
      <c r="Z116" s="381"/>
      <c r="AA116" s="382"/>
      <c r="AB116" s="382"/>
      <c r="AC116" s="372" t="e">
        <f t="shared" si="79"/>
        <v>#N/A</v>
      </c>
      <c r="AD116" s="572"/>
      <c r="AE116" s="381"/>
      <c r="AF116" s="382"/>
      <c r="AG116" s="382"/>
      <c r="AH116" s="372" t="e">
        <f t="shared" si="80"/>
        <v>#N/A</v>
      </c>
      <c r="AI116" s="572"/>
      <c r="AJ116" s="381"/>
      <c r="AK116" s="382"/>
      <c r="AL116" s="382"/>
      <c r="AM116" s="372" t="e">
        <f t="shared" si="81"/>
        <v>#N/A</v>
      </c>
      <c r="AN116" s="572"/>
      <c r="AO116" s="381"/>
      <c r="AP116" s="382"/>
      <c r="AQ116" s="382"/>
      <c r="AR116" s="372" t="e">
        <f t="shared" si="82"/>
        <v>#N/A</v>
      </c>
      <c r="AS116" s="644"/>
      <c r="AT116" s="182"/>
      <c r="AU116" s="182"/>
      <c r="AV116" s="182"/>
      <c r="AW116" s="371" t="e">
        <f t="shared" si="83"/>
        <v>#N/A</v>
      </c>
      <c r="AX116" s="643"/>
      <c r="AZ116" s="408" t="e">
        <f t="shared" si="84"/>
        <v>#N/A</v>
      </c>
      <c r="BA116" s="643"/>
    </row>
    <row r="117" spans="2:53">
      <c r="B117" s="600"/>
      <c r="C117" s="371">
        <v>11</v>
      </c>
      <c r="D117" s="226"/>
      <c r="E117" s="182"/>
      <c r="F117" s="379"/>
      <c r="G117" s="380"/>
      <c r="H117" s="579"/>
      <c r="I117" s="400" t="str">
        <f t="shared" si="74"/>
        <v>-</v>
      </c>
      <c r="J117" s="400" t="str">
        <f t="shared" si="75"/>
        <v>-</v>
      </c>
      <c r="K117" s="200" t="str">
        <f t="shared" si="76"/>
        <v>-</v>
      </c>
      <c r="L117" s="581"/>
      <c r="M117" s="372" t="e">
        <f>RANK(K117, K$67:$K$81)</f>
        <v>#VALUE!</v>
      </c>
      <c r="N117" s="564"/>
      <c r="O117" s="564"/>
      <c r="P117" s="371"/>
      <c r="Q117" s="372"/>
      <c r="R117" s="372"/>
      <c r="S117" s="372" t="e">
        <f t="shared" si="77"/>
        <v>#N/A</v>
      </c>
      <c r="T117" s="644"/>
      <c r="U117" s="381"/>
      <c r="V117" s="382"/>
      <c r="W117" s="382"/>
      <c r="X117" s="372" t="e">
        <f t="shared" si="78"/>
        <v>#N/A</v>
      </c>
      <c r="Y117" s="572"/>
      <c r="Z117" s="381"/>
      <c r="AA117" s="382"/>
      <c r="AB117" s="382"/>
      <c r="AC117" s="372" t="e">
        <f t="shared" si="79"/>
        <v>#N/A</v>
      </c>
      <c r="AD117" s="572"/>
      <c r="AE117" s="381"/>
      <c r="AF117" s="382"/>
      <c r="AG117" s="382"/>
      <c r="AH117" s="372" t="e">
        <f t="shared" si="80"/>
        <v>#N/A</v>
      </c>
      <c r="AI117" s="572"/>
      <c r="AJ117" s="381"/>
      <c r="AK117" s="382"/>
      <c r="AL117" s="382"/>
      <c r="AM117" s="372" t="e">
        <f t="shared" si="81"/>
        <v>#N/A</v>
      </c>
      <c r="AN117" s="572"/>
      <c r="AO117" s="381"/>
      <c r="AP117" s="382"/>
      <c r="AQ117" s="382"/>
      <c r="AR117" s="372" t="e">
        <f t="shared" si="82"/>
        <v>#N/A</v>
      </c>
      <c r="AS117" s="644"/>
      <c r="AT117" s="182"/>
      <c r="AU117" s="182"/>
      <c r="AV117" s="182"/>
      <c r="AW117" s="371" t="e">
        <f t="shared" si="83"/>
        <v>#N/A</v>
      </c>
      <c r="AX117" s="643"/>
      <c r="AZ117" s="408" t="e">
        <f t="shared" si="84"/>
        <v>#N/A</v>
      </c>
      <c r="BA117" s="643"/>
    </row>
    <row r="118" spans="2:53">
      <c r="B118" s="600"/>
      <c r="C118" s="371">
        <v>12</v>
      </c>
      <c r="D118" s="226"/>
      <c r="E118" s="182"/>
      <c r="F118" s="379"/>
      <c r="G118" s="380"/>
      <c r="H118" s="579"/>
      <c r="I118" s="400" t="str">
        <f t="shared" si="74"/>
        <v>-</v>
      </c>
      <c r="J118" s="400" t="str">
        <f t="shared" si="75"/>
        <v>-</v>
      </c>
      <c r="K118" s="200" t="str">
        <f t="shared" si="76"/>
        <v>-</v>
      </c>
      <c r="L118" s="581"/>
      <c r="M118" s="372" t="e">
        <f>RANK(K118, K$67:$K$81)</f>
        <v>#VALUE!</v>
      </c>
      <c r="N118" s="564"/>
      <c r="O118" s="564"/>
      <c r="P118" s="371"/>
      <c r="Q118" s="372"/>
      <c r="R118" s="372"/>
      <c r="S118" s="372" t="e">
        <f t="shared" si="77"/>
        <v>#N/A</v>
      </c>
      <c r="T118" s="644"/>
      <c r="U118" s="381"/>
      <c r="V118" s="382"/>
      <c r="W118" s="382"/>
      <c r="X118" s="372" t="e">
        <f t="shared" si="78"/>
        <v>#N/A</v>
      </c>
      <c r="Y118" s="572"/>
      <c r="Z118" s="381"/>
      <c r="AA118" s="382"/>
      <c r="AB118" s="382"/>
      <c r="AC118" s="372" t="e">
        <f t="shared" si="79"/>
        <v>#N/A</v>
      </c>
      <c r="AD118" s="572"/>
      <c r="AE118" s="381"/>
      <c r="AF118" s="382"/>
      <c r="AG118" s="382"/>
      <c r="AH118" s="372" t="e">
        <f t="shared" si="80"/>
        <v>#N/A</v>
      </c>
      <c r="AI118" s="572"/>
      <c r="AJ118" s="381"/>
      <c r="AK118" s="382"/>
      <c r="AL118" s="382"/>
      <c r="AM118" s="372" t="e">
        <f t="shared" si="81"/>
        <v>#N/A</v>
      </c>
      <c r="AN118" s="572"/>
      <c r="AO118" s="381"/>
      <c r="AP118" s="382"/>
      <c r="AQ118" s="382"/>
      <c r="AR118" s="372" t="e">
        <f t="shared" si="82"/>
        <v>#N/A</v>
      </c>
      <c r="AS118" s="644"/>
      <c r="AT118" s="182"/>
      <c r="AU118" s="182"/>
      <c r="AV118" s="182"/>
      <c r="AW118" s="371" t="e">
        <f t="shared" si="83"/>
        <v>#N/A</v>
      </c>
      <c r="AX118" s="643"/>
      <c r="AZ118" s="408" t="e">
        <f t="shared" si="84"/>
        <v>#N/A</v>
      </c>
      <c r="BA118" s="643"/>
    </row>
    <row r="119" spans="2:53">
      <c r="B119" s="600"/>
      <c r="C119" s="371">
        <v>13</v>
      </c>
      <c r="D119" s="226"/>
      <c r="E119" s="182"/>
      <c r="F119" s="379"/>
      <c r="G119" s="380"/>
      <c r="H119" s="579"/>
      <c r="I119" s="400" t="str">
        <f t="shared" si="74"/>
        <v>-</v>
      </c>
      <c r="J119" s="400" t="str">
        <f t="shared" si="75"/>
        <v>-</v>
      </c>
      <c r="K119" s="200" t="str">
        <f t="shared" si="76"/>
        <v>-</v>
      </c>
      <c r="L119" s="581"/>
      <c r="M119" s="372" t="e">
        <f>RANK(K119, K$67:$K$81)</f>
        <v>#VALUE!</v>
      </c>
      <c r="N119" s="564"/>
      <c r="O119" s="564"/>
      <c r="P119" s="371"/>
      <c r="Q119" s="372"/>
      <c r="R119" s="372"/>
      <c r="S119" s="372" t="e">
        <f t="shared" si="77"/>
        <v>#N/A</v>
      </c>
      <c r="T119" s="644"/>
      <c r="U119" s="381"/>
      <c r="V119" s="382"/>
      <c r="W119" s="382"/>
      <c r="X119" s="372" t="e">
        <f t="shared" si="78"/>
        <v>#N/A</v>
      </c>
      <c r="Y119" s="572"/>
      <c r="Z119" s="381"/>
      <c r="AA119" s="382"/>
      <c r="AB119" s="382"/>
      <c r="AC119" s="373" t="e">
        <f t="shared" si="79"/>
        <v>#N/A</v>
      </c>
      <c r="AD119" s="572"/>
      <c r="AE119" s="381"/>
      <c r="AF119" s="382"/>
      <c r="AG119" s="382"/>
      <c r="AH119" s="372" t="e">
        <f t="shared" si="80"/>
        <v>#N/A</v>
      </c>
      <c r="AI119" s="572"/>
      <c r="AJ119" s="381"/>
      <c r="AK119" s="382"/>
      <c r="AL119" s="382"/>
      <c r="AM119" s="372" t="e">
        <f t="shared" si="81"/>
        <v>#N/A</v>
      </c>
      <c r="AN119" s="572"/>
      <c r="AO119" s="381"/>
      <c r="AP119" s="382"/>
      <c r="AQ119" s="382"/>
      <c r="AR119" s="373" t="e">
        <f t="shared" si="82"/>
        <v>#N/A</v>
      </c>
      <c r="AS119" s="644"/>
      <c r="AT119" s="182"/>
      <c r="AU119" s="182"/>
      <c r="AV119" s="182"/>
      <c r="AW119" s="371" t="e">
        <f t="shared" si="83"/>
        <v>#N/A</v>
      </c>
      <c r="AX119" s="643"/>
      <c r="AZ119" s="408" t="e">
        <f t="shared" si="84"/>
        <v>#N/A</v>
      </c>
      <c r="BA119" s="643"/>
    </row>
    <row r="120" spans="2:53">
      <c r="B120" s="600"/>
      <c r="C120" s="371">
        <v>14</v>
      </c>
      <c r="D120" s="226"/>
      <c r="E120" s="182"/>
      <c r="F120" s="379"/>
      <c r="G120" s="380"/>
      <c r="H120" s="579"/>
      <c r="I120" s="400" t="str">
        <f t="shared" si="74"/>
        <v>-</v>
      </c>
      <c r="J120" s="400" t="str">
        <f t="shared" si="75"/>
        <v>-</v>
      </c>
      <c r="K120" s="200" t="str">
        <f t="shared" si="76"/>
        <v>-</v>
      </c>
      <c r="L120" s="581"/>
      <c r="M120" s="372" t="e">
        <f>RANK(K120, K$67:$K$81)</f>
        <v>#VALUE!</v>
      </c>
      <c r="N120" s="564"/>
      <c r="O120" s="564"/>
      <c r="P120" s="371"/>
      <c r="Q120" s="372"/>
      <c r="R120" s="372"/>
      <c r="S120" s="372" t="e">
        <f t="shared" si="77"/>
        <v>#N/A</v>
      </c>
      <c r="T120" s="644"/>
      <c r="U120" s="381"/>
      <c r="V120" s="382"/>
      <c r="W120" s="382"/>
      <c r="X120" s="372" t="e">
        <f t="shared" si="78"/>
        <v>#N/A</v>
      </c>
      <c r="Y120" s="572"/>
      <c r="Z120" s="381"/>
      <c r="AA120" s="382"/>
      <c r="AB120" s="382"/>
      <c r="AC120" s="373" t="e">
        <f t="shared" si="79"/>
        <v>#N/A</v>
      </c>
      <c r="AD120" s="572"/>
      <c r="AE120" s="381"/>
      <c r="AF120" s="382"/>
      <c r="AG120" s="382"/>
      <c r="AH120" s="373" t="e">
        <f t="shared" si="80"/>
        <v>#N/A</v>
      </c>
      <c r="AI120" s="572"/>
      <c r="AJ120" s="381"/>
      <c r="AK120" s="382"/>
      <c r="AL120" s="382"/>
      <c r="AM120" s="373" t="e">
        <f t="shared" si="81"/>
        <v>#N/A</v>
      </c>
      <c r="AN120" s="572"/>
      <c r="AO120" s="381"/>
      <c r="AP120" s="382"/>
      <c r="AQ120" s="382"/>
      <c r="AR120" s="373" t="e">
        <f t="shared" si="82"/>
        <v>#N/A</v>
      </c>
      <c r="AS120" s="644"/>
      <c r="AT120" s="182"/>
      <c r="AU120" s="182"/>
      <c r="AV120" s="182"/>
      <c r="AW120" s="371" t="e">
        <f t="shared" si="83"/>
        <v>#N/A</v>
      </c>
      <c r="AX120" s="643"/>
      <c r="AZ120" s="408" t="e">
        <f t="shared" si="84"/>
        <v>#N/A</v>
      </c>
      <c r="BA120" s="643"/>
    </row>
    <row r="121" spans="2:53">
      <c r="B121" s="600"/>
      <c r="C121" s="371">
        <v>15</v>
      </c>
      <c r="D121" s="226"/>
      <c r="E121" s="182"/>
      <c r="F121" s="379"/>
      <c r="G121" s="380"/>
      <c r="H121" s="639"/>
      <c r="I121" s="404"/>
      <c r="J121" s="404"/>
      <c r="K121" s="404"/>
      <c r="L121" s="582"/>
      <c r="M121" s="372" t="e">
        <f>RANK(K121, K$67:$K$81)</f>
        <v>#N/A</v>
      </c>
      <c r="N121" s="564"/>
      <c r="O121" s="564"/>
      <c r="P121" s="371"/>
      <c r="Q121" s="372"/>
      <c r="R121" s="372"/>
      <c r="S121" s="372" t="e">
        <f t="shared" si="77"/>
        <v>#N/A</v>
      </c>
      <c r="T121" s="644"/>
      <c r="U121" s="381"/>
      <c r="V121" s="382"/>
      <c r="W121" s="382"/>
      <c r="X121" s="373" t="e">
        <f t="shared" si="78"/>
        <v>#N/A</v>
      </c>
      <c r="Y121" s="572"/>
      <c r="Z121" s="381"/>
      <c r="AA121" s="382"/>
      <c r="AB121" s="382"/>
      <c r="AC121" s="373" t="e">
        <f t="shared" si="79"/>
        <v>#N/A</v>
      </c>
      <c r="AD121" s="572"/>
      <c r="AE121" s="381"/>
      <c r="AF121" s="382"/>
      <c r="AG121" s="382"/>
      <c r="AH121" s="373" t="e">
        <f t="shared" si="80"/>
        <v>#N/A</v>
      </c>
      <c r="AI121" s="572"/>
      <c r="AJ121" s="381"/>
      <c r="AK121" s="382"/>
      <c r="AL121" s="382"/>
      <c r="AM121" s="373" t="e">
        <f t="shared" si="81"/>
        <v>#N/A</v>
      </c>
      <c r="AN121" s="572"/>
      <c r="AO121" s="381"/>
      <c r="AP121" s="382"/>
      <c r="AQ121" s="382"/>
      <c r="AR121" s="373" t="e">
        <f t="shared" si="82"/>
        <v>#N/A</v>
      </c>
      <c r="AS121" s="644"/>
      <c r="AT121" s="182"/>
      <c r="AU121" s="182"/>
      <c r="AV121" s="182"/>
      <c r="AW121" s="371" t="e">
        <f t="shared" si="83"/>
        <v>#N/A</v>
      </c>
      <c r="AX121" s="643"/>
      <c r="AZ121" s="408" t="e">
        <f t="shared" si="84"/>
        <v>#N/A</v>
      </c>
      <c r="BA121" s="643"/>
    </row>
    <row r="123" spans="2:53" ht="15.75">
      <c r="B123" s="573" t="s">
        <v>500</v>
      </c>
      <c r="C123" s="574"/>
      <c r="D123" s="574"/>
      <c r="E123" s="574"/>
      <c r="F123" s="574"/>
      <c r="G123" s="574"/>
      <c r="H123" s="575"/>
      <c r="I123" s="319"/>
      <c r="J123" s="319"/>
      <c r="K123" s="319"/>
      <c r="L123" s="319"/>
      <c r="M123" s="320"/>
    </row>
    <row r="124" spans="2:53" ht="15.75">
      <c r="B124" s="576"/>
      <c r="C124" s="576"/>
      <c r="D124" s="576"/>
      <c r="E124" s="576"/>
      <c r="F124" s="576"/>
      <c r="G124" s="576"/>
      <c r="H124" s="576"/>
      <c r="I124" s="321"/>
      <c r="J124" s="321"/>
      <c r="K124" s="321"/>
      <c r="L124" s="321"/>
      <c r="M124" s="322"/>
    </row>
    <row r="125" spans="2:53">
      <c r="B125" s="564" t="s">
        <v>154</v>
      </c>
      <c r="C125" s="564" t="s">
        <v>387</v>
      </c>
      <c r="D125" s="564"/>
      <c r="E125" s="564" t="s">
        <v>378</v>
      </c>
      <c r="F125" s="564"/>
      <c r="G125" s="564"/>
      <c r="H125" s="597" t="s">
        <v>374</v>
      </c>
      <c r="I125" s="577" t="s">
        <v>379</v>
      </c>
      <c r="J125" s="577"/>
      <c r="K125" s="577"/>
      <c r="L125" s="633" t="s">
        <v>374</v>
      </c>
      <c r="M125" s="636" t="s">
        <v>375</v>
      </c>
    </row>
    <row r="126" spans="2:53">
      <c r="B126" s="564"/>
      <c r="C126" s="564"/>
      <c r="D126" s="564"/>
      <c r="E126" s="564" t="s">
        <v>381</v>
      </c>
      <c r="F126" s="564"/>
      <c r="G126" s="564"/>
      <c r="H126" s="598"/>
      <c r="I126" s="577" t="s">
        <v>381</v>
      </c>
      <c r="J126" s="577"/>
      <c r="K126" s="577"/>
      <c r="L126" s="634"/>
      <c r="M126" s="637"/>
    </row>
    <row r="127" spans="2:53">
      <c r="B127" s="564"/>
      <c r="C127" s="564"/>
      <c r="D127" s="564"/>
      <c r="E127" s="316" t="s">
        <v>383</v>
      </c>
      <c r="F127" s="316" t="s">
        <v>384</v>
      </c>
      <c r="G127" s="316" t="s">
        <v>385</v>
      </c>
      <c r="H127" s="599"/>
      <c r="I127" s="323" t="s">
        <v>383</v>
      </c>
      <c r="J127" s="323" t="s">
        <v>384</v>
      </c>
      <c r="K127" s="323" t="s">
        <v>385</v>
      </c>
      <c r="L127" s="635"/>
      <c r="M127" s="638"/>
    </row>
    <row r="128" spans="2:53">
      <c r="B128" s="564" t="s">
        <v>389</v>
      </c>
      <c r="C128" s="315">
        <v>1</v>
      </c>
      <c r="D128" s="226"/>
      <c r="E128" s="182"/>
      <c r="F128" s="315"/>
      <c r="G128" s="318"/>
      <c r="H128" s="627" t="e">
        <f>AVERAGE(G128:G142)</f>
        <v>#DIV/0!</v>
      </c>
      <c r="I128" s="199" t="e">
        <f t="shared" ref="I128:J137" si="85">AVERAGEIF($D$7:$D$121,$D128,I$7:I$121)</f>
        <v>#DIV/0!</v>
      </c>
      <c r="J128" s="199" t="e">
        <f t="shared" si="85"/>
        <v>#DIV/0!</v>
      </c>
      <c r="K128" s="199" t="e">
        <f t="shared" ref="K128:K137" si="86">AVERAGEIF($D$7:$D$121,$D128,K$7:K$121)</f>
        <v>#DIV/0!</v>
      </c>
      <c r="L128" s="630" t="e">
        <f>AVERAGE(K128:K142)</f>
        <v>#DIV/0!</v>
      </c>
      <c r="M128" s="199" t="e">
        <f>RANK(K128, K$128:$K$142)</f>
        <v>#DIV/0!</v>
      </c>
    </row>
    <row r="129" spans="2:39">
      <c r="B129" s="570"/>
      <c r="C129" s="315">
        <v>2</v>
      </c>
      <c r="D129" s="226"/>
      <c r="E129" s="182"/>
      <c r="F129" s="315"/>
      <c r="G129" s="318"/>
      <c r="H129" s="628"/>
      <c r="I129" s="199" t="e">
        <f t="shared" si="85"/>
        <v>#DIV/0!</v>
      </c>
      <c r="J129" s="199" t="e">
        <f t="shared" si="85"/>
        <v>#DIV/0!</v>
      </c>
      <c r="K129" s="199" t="e">
        <f t="shared" si="86"/>
        <v>#DIV/0!</v>
      </c>
      <c r="L129" s="631"/>
      <c r="M129" s="199" t="e">
        <f>RANK(K129, K$128:$K$142)</f>
        <v>#DIV/0!</v>
      </c>
      <c r="N129" s="108"/>
      <c r="O129" s="108"/>
      <c r="P129" s="108"/>
      <c r="Q129" s="108"/>
      <c r="R129" s="108"/>
      <c r="S129" s="108"/>
      <c r="T129" s="108"/>
      <c r="X129" s="108"/>
      <c r="AC129" s="108"/>
      <c r="AH129" s="108"/>
      <c r="AM129" s="108"/>
    </row>
    <row r="130" spans="2:39">
      <c r="B130" s="570"/>
      <c r="C130" s="315">
        <v>3</v>
      </c>
      <c r="D130" s="226"/>
      <c r="E130" s="182"/>
      <c r="F130" s="315"/>
      <c r="G130" s="318"/>
      <c r="H130" s="628"/>
      <c r="I130" s="199" t="e">
        <f t="shared" si="85"/>
        <v>#DIV/0!</v>
      </c>
      <c r="J130" s="199" t="e">
        <f t="shared" si="85"/>
        <v>#DIV/0!</v>
      </c>
      <c r="K130" s="199" t="e">
        <f t="shared" si="86"/>
        <v>#DIV/0!</v>
      </c>
      <c r="L130" s="631"/>
      <c r="M130" s="199" t="e">
        <f>RANK(K130, K$128:$K$142)</f>
        <v>#DIV/0!</v>
      </c>
      <c r="N130" s="108"/>
      <c r="O130" s="108"/>
      <c r="P130" s="108"/>
      <c r="Q130" s="108"/>
      <c r="R130" s="108"/>
      <c r="S130" s="108"/>
      <c r="T130" s="108"/>
      <c r="X130" s="108"/>
      <c r="AC130" s="108"/>
      <c r="AH130" s="108"/>
      <c r="AM130" s="108"/>
    </row>
    <row r="131" spans="2:39">
      <c r="B131" s="570"/>
      <c r="C131" s="315">
        <v>4</v>
      </c>
      <c r="D131" s="226"/>
      <c r="E131" s="182"/>
      <c r="F131" s="315"/>
      <c r="G131" s="318"/>
      <c r="H131" s="628"/>
      <c r="I131" s="199" t="e">
        <f t="shared" si="85"/>
        <v>#DIV/0!</v>
      </c>
      <c r="J131" s="199" t="e">
        <f t="shared" si="85"/>
        <v>#DIV/0!</v>
      </c>
      <c r="K131" s="199" t="e">
        <f t="shared" si="86"/>
        <v>#DIV/0!</v>
      </c>
      <c r="L131" s="631"/>
      <c r="M131" s="199" t="e">
        <f>RANK(K131, K$128:$K$142)</f>
        <v>#DIV/0!</v>
      </c>
      <c r="N131" s="108"/>
      <c r="O131" s="108"/>
      <c r="P131" s="108"/>
      <c r="Q131" s="108"/>
      <c r="R131" s="108"/>
      <c r="S131" s="108"/>
      <c r="T131" s="108"/>
      <c r="X131" s="108"/>
      <c r="AC131" s="108"/>
      <c r="AH131" s="108"/>
      <c r="AM131" s="108"/>
    </row>
    <row r="132" spans="2:39">
      <c r="B132" s="570"/>
      <c r="C132" s="315">
        <v>5</v>
      </c>
      <c r="D132" s="226"/>
      <c r="E132" s="182"/>
      <c r="F132" s="315"/>
      <c r="G132" s="318"/>
      <c r="H132" s="628"/>
      <c r="I132" s="199" t="e">
        <f t="shared" si="85"/>
        <v>#DIV/0!</v>
      </c>
      <c r="J132" s="199" t="e">
        <f t="shared" si="85"/>
        <v>#DIV/0!</v>
      </c>
      <c r="K132" s="199" t="e">
        <f t="shared" si="86"/>
        <v>#DIV/0!</v>
      </c>
      <c r="L132" s="631"/>
      <c r="M132" s="199" t="e">
        <f>RANK(K132, K$128:$K$142)</f>
        <v>#DIV/0!</v>
      </c>
      <c r="N132" s="108"/>
      <c r="O132" s="108"/>
      <c r="P132" s="108"/>
      <c r="Q132" s="108"/>
      <c r="R132" s="108"/>
      <c r="S132" s="108"/>
      <c r="T132" s="108"/>
      <c r="X132" s="108"/>
      <c r="AC132" s="108"/>
      <c r="AH132" s="108"/>
      <c r="AM132" s="108"/>
    </row>
    <row r="133" spans="2:39">
      <c r="B133" s="570"/>
      <c r="C133" s="315">
        <v>6</v>
      </c>
      <c r="D133" s="324"/>
      <c r="E133" s="182"/>
      <c r="F133" s="315"/>
      <c r="G133" s="318"/>
      <c r="H133" s="628"/>
      <c r="I133" s="199" t="e">
        <f t="shared" si="85"/>
        <v>#DIV/0!</v>
      </c>
      <c r="J133" s="199" t="e">
        <f t="shared" si="85"/>
        <v>#DIV/0!</v>
      </c>
      <c r="K133" s="199" t="e">
        <f t="shared" si="86"/>
        <v>#DIV/0!</v>
      </c>
      <c r="L133" s="631"/>
      <c r="M133" s="199" t="e">
        <f>RANK(K133, K$128:$K$142)</f>
        <v>#DIV/0!</v>
      </c>
      <c r="N133" s="108"/>
      <c r="O133" s="108"/>
      <c r="P133" s="108"/>
      <c r="Q133" s="108"/>
      <c r="R133" s="108"/>
      <c r="S133" s="108"/>
      <c r="T133" s="108"/>
      <c r="X133" s="108"/>
      <c r="AC133" s="108"/>
      <c r="AH133" s="108"/>
      <c r="AM133" s="108"/>
    </row>
    <row r="134" spans="2:39">
      <c r="B134" s="570"/>
      <c r="C134" s="315">
        <v>7</v>
      </c>
      <c r="D134" s="226"/>
      <c r="E134" s="182"/>
      <c r="F134" s="315"/>
      <c r="G134" s="318"/>
      <c r="H134" s="628"/>
      <c r="I134" s="199" t="e">
        <f t="shared" si="85"/>
        <v>#DIV/0!</v>
      </c>
      <c r="J134" s="199" t="e">
        <f t="shared" si="85"/>
        <v>#DIV/0!</v>
      </c>
      <c r="K134" s="199" t="e">
        <f t="shared" si="86"/>
        <v>#DIV/0!</v>
      </c>
      <c r="L134" s="631"/>
      <c r="M134" s="199" t="e">
        <f>RANK(K134, K$128:$K$142)</f>
        <v>#DIV/0!</v>
      </c>
      <c r="N134" s="108"/>
      <c r="O134" s="108"/>
      <c r="P134" s="108"/>
      <c r="Q134" s="108"/>
      <c r="R134" s="108"/>
      <c r="S134" s="108"/>
      <c r="T134" s="108"/>
      <c r="X134" s="108"/>
      <c r="AC134" s="108"/>
      <c r="AH134" s="108"/>
      <c r="AM134" s="108"/>
    </row>
    <row r="135" spans="2:39">
      <c r="B135" s="570"/>
      <c r="C135" s="315">
        <v>8</v>
      </c>
      <c r="D135" s="226"/>
      <c r="E135" s="182"/>
      <c r="F135" s="315"/>
      <c r="G135" s="318"/>
      <c r="H135" s="628"/>
      <c r="I135" s="199" t="e">
        <f t="shared" si="85"/>
        <v>#DIV/0!</v>
      </c>
      <c r="J135" s="199" t="e">
        <f t="shared" si="85"/>
        <v>#DIV/0!</v>
      </c>
      <c r="K135" s="199" t="e">
        <f t="shared" si="86"/>
        <v>#DIV/0!</v>
      </c>
      <c r="L135" s="631"/>
      <c r="M135" s="199" t="e">
        <f>RANK(K135, K$128:$K$142)</f>
        <v>#DIV/0!</v>
      </c>
      <c r="N135" s="108"/>
      <c r="O135" s="108"/>
      <c r="P135" s="108"/>
      <c r="Q135" s="108"/>
      <c r="R135" s="108"/>
      <c r="S135" s="108"/>
      <c r="T135" s="108"/>
      <c r="X135" s="108"/>
      <c r="AC135" s="108"/>
      <c r="AH135" s="108"/>
      <c r="AM135" s="108"/>
    </row>
    <row r="136" spans="2:39">
      <c r="B136" s="570"/>
      <c r="C136" s="315">
        <v>9</v>
      </c>
      <c r="D136" s="226"/>
      <c r="E136" s="315"/>
      <c r="F136" s="315"/>
      <c r="G136" s="315"/>
      <c r="H136" s="628"/>
      <c r="I136" s="199" t="e">
        <f t="shared" si="85"/>
        <v>#DIV/0!</v>
      </c>
      <c r="J136" s="199" t="e">
        <f t="shared" si="85"/>
        <v>#DIV/0!</v>
      </c>
      <c r="K136" s="199" t="e">
        <f t="shared" si="86"/>
        <v>#DIV/0!</v>
      </c>
      <c r="L136" s="631"/>
      <c r="M136" s="199" t="e">
        <f>RANK(K136, K$128:$K$142)</f>
        <v>#DIV/0!</v>
      </c>
      <c r="N136" s="108"/>
      <c r="O136" s="108"/>
      <c r="P136" s="108"/>
      <c r="Q136" s="108"/>
      <c r="R136" s="108"/>
      <c r="S136" s="108"/>
      <c r="T136" s="108"/>
      <c r="X136" s="108"/>
      <c r="AC136" s="108"/>
      <c r="AH136" s="108"/>
      <c r="AM136" s="108"/>
    </row>
    <row r="137" spans="2:39">
      <c r="B137" s="570"/>
      <c r="C137" s="315">
        <v>10</v>
      </c>
      <c r="D137" s="226"/>
      <c r="E137" s="315"/>
      <c r="F137" s="315"/>
      <c r="G137" s="315"/>
      <c r="H137" s="628"/>
      <c r="I137" s="199" t="e">
        <f t="shared" si="85"/>
        <v>#DIV/0!</v>
      </c>
      <c r="J137" s="199" t="e">
        <f t="shared" si="85"/>
        <v>#DIV/0!</v>
      </c>
      <c r="K137" s="199" t="e">
        <f t="shared" si="86"/>
        <v>#DIV/0!</v>
      </c>
      <c r="L137" s="631"/>
      <c r="M137" s="199" t="e">
        <f>RANK(K137, K$128:$K$142)</f>
        <v>#DIV/0!</v>
      </c>
      <c r="N137" s="108"/>
      <c r="O137" s="108"/>
      <c r="P137" s="108"/>
      <c r="Q137" s="108"/>
      <c r="R137" s="108"/>
      <c r="S137" s="108"/>
      <c r="T137" s="108"/>
      <c r="X137" s="108"/>
      <c r="AC137" s="108"/>
      <c r="AH137" s="108"/>
      <c r="AM137" s="108"/>
    </row>
    <row r="138" spans="2:39">
      <c r="B138" s="570"/>
      <c r="C138" s="315">
        <v>11</v>
      </c>
      <c r="D138" s="226"/>
      <c r="E138" s="315"/>
      <c r="F138" s="315"/>
      <c r="G138" s="315"/>
      <c r="H138" s="628"/>
      <c r="I138" s="199"/>
      <c r="J138" s="199"/>
      <c r="K138" s="199"/>
      <c r="L138" s="631"/>
      <c r="M138" s="199" t="e">
        <f>RANK(K138, K$128:$K$142)</f>
        <v>#DIV/0!</v>
      </c>
      <c r="N138" s="108"/>
      <c r="O138" s="108"/>
      <c r="P138" s="108"/>
      <c r="Q138" s="108"/>
      <c r="R138" s="108"/>
      <c r="S138" s="108"/>
      <c r="T138" s="108"/>
      <c r="X138" s="108"/>
      <c r="AC138" s="108"/>
      <c r="AH138" s="108"/>
      <c r="AM138" s="108"/>
    </row>
    <row r="139" spans="2:39">
      <c r="B139" s="570"/>
      <c r="C139" s="315">
        <v>12</v>
      </c>
      <c r="D139" s="226"/>
      <c r="E139" s="315"/>
      <c r="F139" s="315"/>
      <c r="G139" s="315"/>
      <c r="H139" s="628"/>
      <c r="I139" s="199"/>
      <c r="J139" s="199"/>
      <c r="K139" s="199"/>
      <c r="L139" s="631"/>
      <c r="M139" s="199" t="e">
        <f>RANK(K139, K$128:$K$142)</f>
        <v>#DIV/0!</v>
      </c>
      <c r="N139" s="108"/>
      <c r="O139" s="108"/>
      <c r="P139" s="108"/>
      <c r="Q139" s="108"/>
      <c r="R139" s="108"/>
      <c r="S139" s="108"/>
      <c r="T139" s="108"/>
      <c r="X139" s="108"/>
      <c r="AC139" s="108"/>
      <c r="AH139" s="108"/>
      <c r="AM139" s="108"/>
    </row>
    <row r="140" spans="2:39">
      <c r="B140" s="570"/>
      <c r="C140" s="315">
        <v>13</v>
      </c>
      <c r="D140" s="226"/>
      <c r="E140" s="315"/>
      <c r="F140" s="315"/>
      <c r="G140" s="315"/>
      <c r="H140" s="628"/>
      <c r="I140" s="199"/>
      <c r="J140" s="199"/>
      <c r="K140" s="199"/>
      <c r="L140" s="631"/>
      <c r="M140" s="199" t="e">
        <f>RANK(K140, K$128:$K$142)</f>
        <v>#DIV/0!</v>
      </c>
      <c r="N140" s="108"/>
      <c r="O140" s="108"/>
      <c r="P140" s="108"/>
      <c r="Q140" s="108"/>
      <c r="R140" s="108"/>
      <c r="S140" s="108"/>
      <c r="T140" s="108"/>
      <c r="X140" s="108"/>
      <c r="AC140" s="108"/>
      <c r="AH140" s="108"/>
      <c r="AM140" s="108"/>
    </row>
    <row r="141" spans="2:39">
      <c r="B141" s="570"/>
      <c r="C141" s="315">
        <v>14</v>
      </c>
      <c r="D141" s="226"/>
      <c r="E141" s="315"/>
      <c r="F141" s="315"/>
      <c r="G141" s="315"/>
      <c r="H141" s="628"/>
      <c r="I141" s="199"/>
      <c r="J141" s="199"/>
      <c r="K141" s="199"/>
      <c r="L141" s="631"/>
      <c r="M141" s="199" t="e">
        <f>RANK(K141, K$128:$K$142)</f>
        <v>#DIV/0!</v>
      </c>
      <c r="N141" s="108"/>
      <c r="O141" s="108"/>
      <c r="P141" s="108"/>
      <c r="Q141" s="108"/>
      <c r="R141" s="108"/>
      <c r="S141" s="108"/>
      <c r="T141" s="108"/>
      <c r="X141" s="108"/>
      <c r="AC141" s="108"/>
      <c r="AH141" s="108"/>
      <c r="AM141" s="108"/>
    </row>
    <row r="142" spans="2:39">
      <c r="B142" s="570"/>
      <c r="C142" s="315">
        <v>15</v>
      </c>
      <c r="D142" s="226"/>
      <c r="E142" s="315"/>
      <c r="F142" s="315"/>
      <c r="G142" s="315"/>
      <c r="H142" s="629"/>
      <c r="I142" s="199"/>
      <c r="J142" s="199"/>
      <c r="K142" s="199"/>
      <c r="L142" s="632"/>
      <c r="M142" s="199" t="e">
        <f>RANK(K142, K$128:$K$142)</f>
        <v>#DIV/0!</v>
      </c>
      <c r="N142" s="108"/>
      <c r="O142" s="108"/>
      <c r="P142" s="108"/>
      <c r="Q142" s="108"/>
      <c r="R142" s="108"/>
      <c r="S142" s="108"/>
      <c r="T142" s="108"/>
      <c r="X142" s="108"/>
      <c r="AC142" s="108"/>
      <c r="AH142" s="108"/>
      <c r="AM142" s="108"/>
    </row>
  </sheetData>
  <mergeCells count="379">
    <mergeCell ref="BA87:BA101"/>
    <mergeCell ref="BA104:BA106"/>
    <mergeCell ref="BA107:BA121"/>
    <mergeCell ref="BA4:BA6"/>
    <mergeCell ref="BA7:BA21"/>
    <mergeCell ref="BA24:BA26"/>
    <mergeCell ref="BA27:BA41"/>
    <mergeCell ref="BA44:BA46"/>
    <mergeCell ref="BA47:BA61"/>
    <mergeCell ref="BA64:BA66"/>
    <mergeCell ref="BA67:BA81"/>
    <mergeCell ref="BA84:BA86"/>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T22:AX22"/>
    <mergeCell ref="P23:T23"/>
    <mergeCell ref="U23:Y23"/>
    <mergeCell ref="Z23:AD23"/>
    <mergeCell ref="AE23:AI23"/>
    <mergeCell ref="AJ23:AN23"/>
    <mergeCell ref="AO23:AS23"/>
    <mergeCell ref="AT23:AX23"/>
    <mergeCell ref="AX7:AX21"/>
    <mergeCell ref="B22:H23"/>
    <mergeCell ref="N22:N23"/>
    <mergeCell ref="O22:O23"/>
    <mergeCell ref="P22:T22"/>
    <mergeCell ref="U22:Y22"/>
    <mergeCell ref="Z22:AD22"/>
    <mergeCell ref="AE22:AI22"/>
    <mergeCell ref="AJ22:AN22"/>
    <mergeCell ref="AO22:AS22"/>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102:H103"/>
    <mergeCell ref="N102:N103"/>
    <mergeCell ref="O102:O103"/>
    <mergeCell ref="P102:T102"/>
    <mergeCell ref="U102:Y102"/>
    <mergeCell ref="Z102:AD102"/>
    <mergeCell ref="AE102:AI102"/>
    <mergeCell ref="AJ102:AN102"/>
    <mergeCell ref="AO102:AS102"/>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s>
  <phoneticPr fontId="12" type="noConversion"/>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A142"/>
  <sheetViews>
    <sheetView topLeftCell="A10" zoomScale="55" zoomScaleNormal="55" workbookViewId="0">
      <pane xSplit="15" topLeftCell="P1" activePane="topRight" state="frozen"/>
      <selection activeCell="M7" sqref="M7:M21"/>
      <selection pane="topRight" activeCell="Q92" sqref="Q92"/>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51" width="8.85546875" style="108"/>
    <col min="52" max="52" width="5.42578125" style="108" customWidth="1"/>
    <col min="53" max="53" width="13.140625" style="108" customWidth="1"/>
    <col min="54" max="16384" width="8.85546875" style="108"/>
  </cols>
  <sheetData>
    <row r="1" spans="1:53" ht="24">
      <c r="A1" s="75"/>
      <c r="B1" s="221" t="s">
        <v>314</v>
      </c>
      <c r="C1" s="220">
        <f>AVERAGE(L7,L27,L47,L67,L87,L107)</f>
        <v>130.69808243009319</v>
      </c>
    </row>
    <row r="2" spans="1:53" ht="15.75">
      <c r="A2" s="81"/>
      <c r="B2" s="593" t="s">
        <v>163</v>
      </c>
      <c r="C2" s="593"/>
      <c r="D2" s="593"/>
      <c r="E2" s="593"/>
      <c r="F2" s="593"/>
      <c r="G2" s="593"/>
      <c r="H2" s="593"/>
      <c r="I2" s="293"/>
      <c r="J2" s="293"/>
      <c r="K2" s="293"/>
      <c r="L2" s="293"/>
      <c r="M2" s="197"/>
      <c r="N2" s="566" t="s">
        <v>156</v>
      </c>
      <c r="O2" s="566" t="s">
        <v>155</v>
      </c>
      <c r="P2" s="605">
        <v>46140</v>
      </c>
      <c r="Q2" s="606"/>
      <c r="R2" s="606"/>
      <c r="S2" s="606"/>
      <c r="T2" s="607"/>
      <c r="U2" s="592">
        <f>P2+1</f>
        <v>46141</v>
      </c>
      <c r="V2" s="570"/>
      <c r="W2" s="570"/>
      <c r="X2" s="570"/>
      <c r="Y2" s="570"/>
      <c r="Z2" s="592">
        <f>U2+1</f>
        <v>46142</v>
      </c>
      <c r="AA2" s="570"/>
      <c r="AB2" s="570"/>
      <c r="AC2" s="570"/>
      <c r="AD2" s="570"/>
      <c r="AE2" s="592">
        <f>Z2+1</f>
        <v>46143</v>
      </c>
      <c r="AF2" s="570"/>
      <c r="AG2" s="570"/>
      <c r="AH2" s="570"/>
      <c r="AI2" s="570"/>
      <c r="AJ2" s="592">
        <f>AE2+1</f>
        <v>46144</v>
      </c>
      <c r="AK2" s="570"/>
      <c r="AL2" s="570"/>
      <c r="AM2" s="570"/>
      <c r="AN2" s="570"/>
      <c r="AO2" s="592">
        <f>AJ2+1</f>
        <v>46145</v>
      </c>
      <c r="AP2" s="570"/>
      <c r="AQ2" s="570"/>
      <c r="AR2" s="570"/>
      <c r="AS2" s="570"/>
      <c r="AT2" s="589">
        <f>AO2+1</f>
        <v>46146</v>
      </c>
      <c r="AU2" s="590"/>
      <c r="AV2" s="590"/>
      <c r="AW2" s="590"/>
      <c r="AX2" s="591"/>
    </row>
    <row r="3" spans="1:53" ht="15.75">
      <c r="A3" s="81"/>
      <c r="B3" s="601"/>
      <c r="C3" s="601"/>
      <c r="D3" s="601"/>
      <c r="E3" s="601"/>
      <c r="F3" s="601"/>
      <c r="G3" s="601"/>
      <c r="H3" s="601"/>
      <c r="I3" s="294"/>
      <c r="J3" s="294"/>
      <c r="K3" s="294"/>
      <c r="L3" s="294"/>
      <c r="M3" s="198"/>
      <c r="N3" s="568"/>
      <c r="O3" s="568"/>
      <c r="P3" s="589" t="s">
        <v>158</v>
      </c>
      <c r="Q3" s="590"/>
      <c r="R3" s="590"/>
      <c r="S3" s="590"/>
      <c r="T3" s="591"/>
      <c r="U3" s="589" t="s">
        <v>114</v>
      </c>
      <c r="V3" s="590"/>
      <c r="W3" s="590"/>
      <c r="X3" s="590"/>
      <c r="Y3" s="591"/>
      <c r="Z3" s="589" t="s">
        <v>159</v>
      </c>
      <c r="AA3" s="590"/>
      <c r="AB3" s="590"/>
      <c r="AC3" s="590"/>
      <c r="AD3" s="591"/>
      <c r="AE3" s="589" t="s">
        <v>157</v>
      </c>
      <c r="AF3" s="590"/>
      <c r="AG3" s="590"/>
      <c r="AH3" s="590"/>
      <c r="AI3" s="591"/>
      <c r="AJ3" s="589" t="s">
        <v>160</v>
      </c>
      <c r="AK3" s="590"/>
      <c r="AL3" s="590"/>
      <c r="AM3" s="590"/>
      <c r="AN3" s="591"/>
      <c r="AO3" s="589" t="s">
        <v>161</v>
      </c>
      <c r="AP3" s="590"/>
      <c r="AQ3" s="590"/>
      <c r="AR3" s="590"/>
      <c r="AS3" s="591"/>
      <c r="AT3" s="589" t="s">
        <v>162</v>
      </c>
      <c r="AU3" s="590"/>
      <c r="AV3" s="590"/>
      <c r="AW3" s="590"/>
      <c r="AX3" s="591"/>
    </row>
    <row r="4" spans="1:53" ht="14.25">
      <c r="A4" s="81"/>
      <c r="B4" s="564" t="s">
        <v>559</v>
      </c>
      <c r="C4" s="564" t="s">
        <v>387</v>
      </c>
      <c r="D4" s="564"/>
      <c r="E4" s="564" t="s">
        <v>378</v>
      </c>
      <c r="F4" s="564"/>
      <c r="G4" s="564"/>
      <c r="H4" s="597" t="s">
        <v>374</v>
      </c>
      <c r="I4" s="616" t="s">
        <v>379</v>
      </c>
      <c r="J4" s="616"/>
      <c r="K4" s="616"/>
      <c r="L4" s="617" t="s">
        <v>374</v>
      </c>
      <c r="M4" s="602" t="s">
        <v>375</v>
      </c>
      <c r="N4" s="564"/>
      <c r="O4" s="564" t="s">
        <v>380</v>
      </c>
      <c r="P4" s="583" t="s">
        <v>376</v>
      </c>
      <c r="Q4" s="584"/>
      <c r="R4" s="584"/>
      <c r="S4" s="585"/>
      <c r="T4" s="564" t="s">
        <v>374</v>
      </c>
      <c r="U4" s="583" t="s">
        <v>376</v>
      </c>
      <c r="V4" s="584"/>
      <c r="W4" s="584"/>
      <c r="X4" s="585"/>
      <c r="Y4" s="564" t="s">
        <v>374</v>
      </c>
      <c r="Z4" s="583" t="s">
        <v>376</v>
      </c>
      <c r="AA4" s="584"/>
      <c r="AB4" s="584"/>
      <c r="AC4" s="585"/>
      <c r="AD4" s="564" t="s">
        <v>374</v>
      </c>
      <c r="AE4" s="583" t="s">
        <v>376</v>
      </c>
      <c r="AF4" s="584"/>
      <c r="AG4" s="584"/>
      <c r="AH4" s="585"/>
      <c r="AI4" s="564" t="s">
        <v>374</v>
      </c>
      <c r="AJ4" s="583" t="s">
        <v>376</v>
      </c>
      <c r="AK4" s="584"/>
      <c r="AL4" s="584"/>
      <c r="AM4" s="585"/>
      <c r="AN4" s="564" t="s">
        <v>374</v>
      </c>
      <c r="AO4" s="583" t="s">
        <v>376</v>
      </c>
      <c r="AP4" s="584"/>
      <c r="AQ4" s="584"/>
      <c r="AR4" s="585"/>
      <c r="AS4" s="564" t="s">
        <v>374</v>
      </c>
      <c r="AT4" s="583" t="s">
        <v>376</v>
      </c>
      <c r="AU4" s="584"/>
      <c r="AV4" s="584"/>
      <c r="AW4" s="585"/>
      <c r="AX4" s="564" t="s">
        <v>374</v>
      </c>
      <c r="BA4" s="564" t="s">
        <v>374</v>
      </c>
    </row>
    <row r="5" spans="1:53" ht="14.25">
      <c r="A5" s="81"/>
      <c r="B5" s="564"/>
      <c r="C5" s="564"/>
      <c r="D5" s="564"/>
      <c r="E5" s="564" t="s">
        <v>381</v>
      </c>
      <c r="F5" s="564"/>
      <c r="G5" s="564"/>
      <c r="H5" s="598"/>
      <c r="I5" s="616" t="s">
        <v>381</v>
      </c>
      <c r="J5" s="616"/>
      <c r="K5" s="616"/>
      <c r="L5" s="618"/>
      <c r="M5" s="603"/>
      <c r="N5" s="564"/>
      <c r="O5" s="564"/>
      <c r="P5" s="583" t="s">
        <v>382</v>
      </c>
      <c r="Q5" s="584"/>
      <c r="R5" s="584"/>
      <c r="S5" s="585"/>
      <c r="T5" s="564"/>
      <c r="U5" s="583" t="s">
        <v>382</v>
      </c>
      <c r="V5" s="584"/>
      <c r="W5" s="584"/>
      <c r="X5" s="585"/>
      <c r="Y5" s="564"/>
      <c r="Z5" s="583" t="s">
        <v>382</v>
      </c>
      <c r="AA5" s="584"/>
      <c r="AB5" s="584"/>
      <c r="AC5" s="585"/>
      <c r="AD5" s="564"/>
      <c r="AE5" s="583" t="s">
        <v>382</v>
      </c>
      <c r="AF5" s="584"/>
      <c r="AG5" s="584"/>
      <c r="AH5" s="585"/>
      <c r="AI5" s="564"/>
      <c r="AJ5" s="583" t="s">
        <v>382</v>
      </c>
      <c r="AK5" s="584"/>
      <c r="AL5" s="584"/>
      <c r="AM5" s="585"/>
      <c r="AN5" s="564"/>
      <c r="AO5" s="583" t="s">
        <v>382</v>
      </c>
      <c r="AP5" s="584"/>
      <c r="AQ5" s="584"/>
      <c r="AR5" s="585"/>
      <c r="AS5" s="564"/>
      <c r="AT5" s="583" t="s">
        <v>382</v>
      </c>
      <c r="AU5" s="584"/>
      <c r="AV5" s="584"/>
      <c r="AW5" s="585"/>
      <c r="AX5" s="564"/>
      <c r="BA5" s="564"/>
    </row>
    <row r="6" spans="1:53" ht="14.25">
      <c r="A6" s="79"/>
      <c r="B6" s="564"/>
      <c r="C6" s="564"/>
      <c r="D6" s="564"/>
      <c r="E6" s="417" t="s">
        <v>383</v>
      </c>
      <c r="F6" s="417" t="s">
        <v>384</v>
      </c>
      <c r="G6" s="417" t="s">
        <v>385</v>
      </c>
      <c r="H6" s="599"/>
      <c r="I6" s="416" t="s">
        <v>383</v>
      </c>
      <c r="J6" s="416" t="s">
        <v>384</v>
      </c>
      <c r="K6" s="416" t="s">
        <v>385</v>
      </c>
      <c r="L6" s="619"/>
      <c r="M6" s="604"/>
      <c r="N6" s="564"/>
      <c r="O6" s="564"/>
      <c r="P6" s="417" t="s">
        <v>383</v>
      </c>
      <c r="Q6" s="417" t="s">
        <v>384</v>
      </c>
      <c r="R6" s="417" t="s">
        <v>385</v>
      </c>
      <c r="S6" s="417" t="s">
        <v>375</v>
      </c>
      <c r="T6" s="564"/>
      <c r="U6" s="417" t="s">
        <v>383</v>
      </c>
      <c r="V6" s="417" t="s">
        <v>384</v>
      </c>
      <c r="W6" s="417" t="s">
        <v>385</v>
      </c>
      <c r="X6" s="417" t="s">
        <v>375</v>
      </c>
      <c r="Y6" s="564"/>
      <c r="Z6" s="417" t="s">
        <v>383</v>
      </c>
      <c r="AA6" s="417" t="s">
        <v>384</v>
      </c>
      <c r="AB6" s="417" t="s">
        <v>385</v>
      </c>
      <c r="AC6" s="417" t="s">
        <v>375</v>
      </c>
      <c r="AD6" s="564"/>
      <c r="AE6" s="417" t="s">
        <v>383</v>
      </c>
      <c r="AF6" s="417" t="s">
        <v>384</v>
      </c>
      <c r="AG6" s="417" t="s">
        <v>385</v>
      </c>
      <c r="AH6" s="417" t="s">
        <v>375</v>
      </c>
      <c r="AI6" s="564"/>
      <c r="AJ6" s="417" t="s">
        <v>383</v>
      </c>
      <c r="AK6" s="417" t="s">
        <v>384</v>
      </c>
      <c r="AL6" s="417" t="s">
        <v>385</v>
      </c>
      <c r="AM6" s="417" t="s">
        <v>375</v>
      </c>
      <c r="AN6" s="564"/>
      <c r="AO6" s="417" t="s">
        <v>383</v>
      </c>
      <c r="AP6" s="417" t="s">
        <v>384</v>
      </c>
      <c r="AQ6" s="417" t="s">
        <v>385</v>
      </c>
      <c r="AR6" s="417" t="s">
        <v>375</v>
      </c>
      <c r="AS6" s="564"/>
      <c r="AT6" s="417" t="s">
        <v>383</v>
      </c>
      <c r="AU6" s="417" t="s">
        <v>384</v>
      </c>
      <c r="AV6" s="417" t="s">
        <v>385</v>
      </c>
      <c r="AW6" s="417" t="s">
        <v>375</v>
      </c>
      <c r="AX6" s="564"/>
      <c r="AZ6" s="406" t="s">
        <v>375</v>
      </c>
      <c r="BA6" s="564"/>
    </row>
    <row r="7" spans="1:53" ht="14.25">
      <c r="A7" s="81"/>
      <c r="B7" s="564" t="s">
        <v>136</v>
      </c>
      <c r="C7" s="418">
        <v>1</v>
      </c>
      <c r="D7" s="226" t="s">
        <v>357</v>
      </c>
      <c r="E7" s="425">
        <v>20</v>
      </c>
      <c r="F7" s="418">
        <v>2400</v>
      </c>
      <c r="G7" s="419">
        <v>120</v>
      </c>
      <c r="H7" s="627">
        <f>AVERAGE(G7:G21)</f>
        <v>153.87142857142857</v>
      </c>
      <c r="I7" s="422">
        <f t="shared" ref="I7:I20" si="0">IFERROR(AVERAGE(P7,U7,Z7,AE7,AJ7,AO7,AT7),"-")</f>
        <v>20</v>
      </c>
      <c r="J7" s="422">
        <f t="shared" ref="J7:J20" si="1">IFERROR(AVERAGE(Q7,V7,AA7,AF7,AK7,AP7,AU7),"-")</f>
        <v>2266.6536981486188</v>
      </c>
      <c r="K7" s="200">
        <f t="shared" ref="K7:K20" si="2">IFERROR(AVERAGE(R7,W7,AB7,AG7,AL7,AQ7,AV7),"-")</f>
        <v>113.33268490743095</v>
      </c>
      <c r="L7" s="580">
        <f>IFERROR(AVERAGE(K7:K21),"-")</f>
        <v>130.98098467239637</v>
      </c>
      <c r="M7" s="424">
        <f>RANK(K7, K$7:$K$21)</f>
        <v>7</v>
      </c>
      <c r="N7" s="564"/>
      <c r="O7" s="564"/>
      <c r="P7" s="418">
        <v>20</v>
      </c>
      <c r="Q7" s="425">
        <v>2234.2793296089385</v>
      </c>
      <c r="R7" s="425">
        <v>111.71396648044693</v>
      </c>
      <c r="S7" s="420">
        <f t="shared" ref="S7:S21" si="3">RANK(R7, R$7:R$21)</f>
        <v>7</v>
      </c>
      <c r="T7" s="572">
        <f t="shared" ref="T7" si="4">AVERAGE(R7:R21)</f>
        <v>131.05534535530106</v>
      </c>
      <c r="U7" s="418">
        <v>20</v>
      </c>
      <c r="V7" s="425">
        <v>2293.0000000000009</v>
      </c>
      <c r="W7" s="425">
        <v>114.65000000000005</v>
      </c>
      <c r="X7" s="420">
        <f t="shared" ref="X7:X21" si="5">RANK(W7, W$7:W$21)</f>
        <v>7</v>
      </c>
      <c r="Y7" s="572">
        <f t="shared" ref="Y7" si="6">AVERAGE(W7:W21)</f>
        <v>129.3920828338594</v>
      </c>
      <c r="Z7" s="418">
        <v>20</v>
      </c>
      <c r="AA7" s="425">
        <v>2278.5</v>
      </c>
      <c r="AB7" s="425">
        <v>113.925</v>
      </c>
      <c r="AC7" s="420">
        <f t="shared" ref="AC7:AC21" si="7">RANK(AB7, AB$7:AB$21)</f>
        <v>7</v>
      </c>
      <c r="AD7" s="572">
        <f t="shared" ref="AD7" si="8">AVERAGE(AB7:AB21)</f>
        <v>131.41386463070549</v>
      </c>
      <c r="AE7" s="418">
        <v>20</v>
      </c>
      <c r="AF7" s="425">
        <v>2253.7500000000005</v>
      </c>
      <c r="AG7" s="425">
        <v>112.68750000000003</v>
      </c>
      <c r="AH7" s="420">
        <f t="shared" ref="AH7:AH21" si="9">RANK(AG7, AG$7:AG$21)</f>
        <v>7</v>
      </c>
      <c r="AI7" s="572">
        <f t="shared" ref="AI7" si="10">AVERAGE(AG7:AG21)</f>
        <v>131.57728734618459</v>
      </c>
      <c r="AJ7" s="418">
        <v>20</v>
      </c>
      <c r="AK7" s="425">
        <v>2264.7945205479455</v>
      </c>
      <c r="AL7" s="425">
        <v>113.23972602739727</v>
      </c>
      <c r="AM7" s="420">
        <f t="shared" ref="AM7:AM21" si="11">RANK(AL7, AL$7:AL$21)</f>
        <v>7</v>
      </c>
      <c r="AN7" s="572">
        <f t="shared" ref="AN7" si="12">AVERAGE(AL7:AL21)</f>
        <v>130.10930586419721</v>
      </c>
      <c r="AO7" s="418">
        <v>20</v>
      </c>
      <c r="AP7" s="425">
        <v>2278.8349514563106</v>
      </c>
      <c r="AQ7" s="425">
        <v>113.94174757281553</v>
      </c>
      <c r="AR7" s="420">
        <f t="shared" ref="AR7:AR21" si="13">RANK(AQ7, AQ$7:AQ$21)</f>
        <v>7</v>
      </c>
      <c r="AS7" s="572">
        <f t="shared" ref="AS7" si="14">AVERAGE(AQ7:AQ21)</f>
        <v>131.9155286911222</v>
      </c>
      <c r="AT7" s="418">
        <v>20</v>
      </c>
      <c r="AU7" s="425">
        <v>2263.4170854271356</v>
      </c>
      <c r="AV7" s="425">
        <v>113.17085427135677</v>
      </c>
      <c r="AW7" s="420">
        <f t="shared" ref="AW7:AW21" si="15">RANK(AV7, AV$7:AV$21)</f>
        <v>7</v>
      </c>
      <c r="AX7" s="572">
        <f t="shared" ref="AX7" si="16">AVERAGE(AV7:AV21)</f>
        <v>131.40347798540472</v>
      </c>
      <c r="AZ7" s="408" t="e">
        <f t="shared" ref="AZ7:AZ21" si="17">RANK(AY7, AY$7:AY$21)</f>
        <v>#N/A</v>
      </c>
      <c r="BA7" s="572" t="e">
        <f t="shared" ref="BA7" si="18">AVERAGE(AY7:AY21)</f>
        <v>#DIV/0!</v>
      </c>
    </row>
    <row r="8" spans="1:53" ht="15" customHeight="1">
      <c r="A8" s="81"/>
      <c r="B8" s="600"/>
      <c r="C8" s="418">
        <v>2</v>
      </c>
      <c r="D8" s="226" t="s">
        <v>358</v>
      </c>
      <c r="E8" s="425">
        <v>18</v>
      </c>
      <c r="F8" s="418">
        <v>2700</v>
      </c>
      <c r="G8" s="419">
        <v>166.7</v>
      </c>
      <c r="H8" s="628"/>
      <c r="I8" s="422">
        <f t="shared" si="0"/>
        <v>18.857142857142858</v>
      </c>
      <c r="J8" s="422">
        <f t="shared" si="1"/>
        <v>2507.8971806430986</v>
      </c>
      <c r="K8" s="200">
        <f t="shared" si="2"/>
        <v>133.05557425272784</v>
      </c>
      <c r="L8" s="581"/>
      <c r="M8" s="424">
        <f>RANK(K8, K$7:$K$21)</f>
        <v>4</v>
      </c>
      <c r="N8" s="564"/>
      <c r="O8" s="564"/>
      <c r="P8" s="418">
        <v>19</v>
      </c>
      <c r="Q8" s="425">
        <v>2530.1694915254261</v>
      </c>
      <c r="R8" s="425">
        <v>133.16681534344349</v>
      </c>
      <c r="S8" s="420">
        <f t="shared" si="3"/>
        <v>4</v>
      </c>
      <c r="T8" s="572"/>
      <c r="U8" s="418">
        <v>19</v>
      </c>
      <c r="V8" s="425">
        <v>2514.0000000000009</v>
      </c>
      <c r="W8" s="425">
        <v>132.31578947368425</v>
      </c>
      <c r="X8" s="420">
        <f t="shared" si="5"/>
        <v>5</v>
      </c>
      <c r="Y8" s="572"/>
      <c r="Z8" s="418">
        <v>19</v>
      </c>
      <c r="AA8" s="425">
        <v>2475.8490566037749</v>
      </c>
      <c r="AB8" s="425">
        <v>130.30784508440919</v>
      </c>
      <c r="AC8" s="420">
        <f t="shared" si="7"/>
        <v>5</v>
      </c>
      <c r="AD8" s="572"/>
      <c r="AE8" s="418">
        <v>19</v>
      </c>
      <c r="AF8" s="425">
        <v>2474.9999999999973</v>
      </c>
      <c r="AG8" s="425">
        <v>130.26315789473671</v>
      </c>
      <c r="AH8" s="420">
        <f t="shared" si="9"/>
        <v>5</v>
      </c>
      <c r="AI8" s="572"/>
      <c r="AJ8" s="418">
        <v>19</v>
      </c>
      <c r="AK8" s="425">
        <v>2497.3584905660355</v>
      </c>
      <c r="AL8" s="425">
        <v>131.43992055610713</v>
      </c>
      <c r="AM8" s="420">
        <f t="shared" si="11"/>
        <v>5</v>
      </c>
      <c r="AN8" s="572"/>
      <c r="AO8" s="418">
        <v>18</v>
      </c>
      <c r="AP8" s="425">
        <v>2540.0000000000023</v>
      </c>
      <c r="AQ8" s="425">
        <v>141.11111111111123</v>
      </c>
      <c r="AR8" s="420">
        <f t="shared" si="13"/>
        <v>2</v>
      </c>
      <c r="AS8" s="572"/>
      <c r="AT8" s="418">
        <v>19</v>
      </c>
      <c r="AU8" s="425">
        <v>2522.903225806454</v>
      </c>
      <c r="AV8" s="425">
        <v>132.78438030560284</v>
      </c>
      <c r="AW8" s="420">
        <f t="shared" si="15"/>
        <v>5</v>
      </c>
      <c r="AX8" s="572"/>
      <c r="AZ8" s="408" t="e">
        <f t="shared" si="17"/>
        <v>#N/A</v>
      </c>
      <c r="BA8" s="572"/>
    </row>
    <row r="9" spans="1:53" ht="14.25">
      <c r="A9" s="81"/>
      <c r="B9" s="600"/>
      <c r="C9" s="418">
        <v>3</v>
      </c>
      <c r="D9" s="226" t="s">
        <v>359</v>
      </c>
      <c r="E9" s="425">
        <v>18</v>
      </c>
      <c r="F9" s="418">
        <v>2700</v>
      </c>
      <c r="G9" s="419">
        <v>166.7</v>
      </c>
      <c r="H9" s="628"/>
      <c r="I9" s="422">
        <f t="shared" si="0"/>
        <v>19</v>
      </c>
      <c r="J9" s="422">
        <f t="shared" si="1"/>
        <v>2537.096742032395</v>
      </c>
      <c r="K9" s="200">
        <f t="shared" si="2"/>
        <v>133.53140747538919</v>
      </c>
      <c r="L9" s="581"/>
      <c r="M9" s="424">
        <f>RANK(K9, K$7:$K$21)</f>
        <v>3</v>
      </c>
      <c r="N9" s="564"/>
      <c r="O9" s="564"/>
      <c r="P9" s="418">
        <v>19</v>
      </c>
      <c r="Q9" s="425">
        <v>2552.1428571428564</v>
      </c>
      <c r="R9" s="425">
        <v>134.32330827067665</v>
      </c>
      <c r="S9" s="420">
        <f t="shared" si="3"/>
        <v>3</v>
      </c>
      <c r="T9" s="572"/>
      <c r="U9" s="418">
        <v>19</v>
      </c>
      <c r="V9" s="425">
        <v>2559.4285714285688</v>
      </c>
      <c r="W9" s="425">
        <v>134.70676691729309</v>
      </c>
      <c r="X9" s="420">
        <f t="shared" si="5"/>
        <v>1</v>
      </c>
      <c r="Y9" s="572"/>
      <c r="Z9" s="418">
        <v>19</v>
      </c>
      <c r="AA9" s="425">
        <v>2537.1428571428546</v>
      </c>
      <c r="AB9" s="425">
        <v>133.53383458646604</v>
      </c>
      <c r="AC9" s="420">
        <f t="shared" si="7"/>
        <v>3</v>
      </c>
      <c r="AD9" s="572"/>
      <c r="AE9" s="418">
        <v>19</v>
      </c>
      <c r="AF9" s="425">
        <v>2540.9090909090937</v>
      </c>
      <c r="AG9" s="425">
        <v>133.73205741626808</v>
      </c>
      <c r="AH9" s="420">
        <f t="shared" si="9"/>
        <v>3</v>
      </c>
      <c r="AI9" s="572"/>
      <c r="AJ9" s="418">
        <v>19</v>
      </c>
      <c r="AK9" s="425">
        <v>2522.6086956521713</v>
      </c>
      <c r="AL9" s="425">
        <v>132.76887871853532</v>
      </c>
      <c r="AM9" s="420">
        <f t="shared" si="11"/>
        <v>3</v>
      </c>
      <c r="AN9" s="572"/>
      <c r="AO9" s="418">
        <v>19</v>
      </c>
      <c r="AP9" s="425">
        <v>2522.1951219512189</v>
      </c>
      <c r="AQ9" s="425">
        <v>132.7471116816431</v>
      </c>
      <c r="AR9" s="420">
        <f t="shared" si="13"/>
        <v>4</v>
      </c>
      <c r="AS9" s="572"/>
      <c r="AT9" s="418">
        <v>19</v>
      </c>
      <c r="AU9" s="425">
        <v>2525.2499999999991</v>
      </c>
      <c r="AV9" s="425">
        <v>132.90789473684205</v>
      </c>
      <c r="AW9" s="420">
        <f t="shared" si="15"/>
        <v>4</v>
      </c>
      <c r="AX9" s="572"/>
      <c r="AZ9" s="408" t="e">
        <f t="shared" si="17"/>
        <v>#N/A</v>
      </c>
      <c r="BA9" s="572"/>
    </row>
    <row r="10" spans="1:53" ht="14.25">
      <c r="A10" s="81"/>
      <c r="B10" s="600"/>
      <c r="C10" s="418">
        <v>4</v>
      </c>
      <c r="D10" s="226" t="s">
        <v>360</v>
      </c>
      <c r="E10" s="425">
        <v>19</v>
      </c>
      <c r="F10" s="418">
        <v>2700</v>
      </c>
      <c r="G10" s="419">
        <v>157.9</v>
      </c>
      <c r="H10" s="628"/>
      <c r="I10" s="422">
        <f t="shared" si="0"/>
        <v>19</v>
      </c>
      <c r="J10" s="422">
        <f t="shared" si="1"/>
        <v>2517.7306709202176</v>
      </c>
      <c r="K10" s="200">
        <f t="shared" si="2"/>
        <v>132.51214057474832</v>
      </c>
      <c r="L10" s="581"/>
      <c r="M10" s="424">
        <f>RANK(K10, K$7:$K$21)</f>
        <v>5</v>
      </c>
      <c r="N10" s="564"/>
      <c r="O10" s="564"/>
      <c r="P10" s="418">
        <v>19</v>
      </c>
      <c r="Q10" s="425">
        <v>2499.4736842105285</v>
      </c>
      <c r="R10" s="425">
        <v>131.55124653739622</v>
      </c>
      <c r="S10" s="420">
        <f t="shared" si="3"/>
        <v>5</v>
      </c>
      <c r="T10" s="572"/>
      <c r="U10" s="418">
        <v>19</v>
      </c>
      <c r="V10" s="425">
        <v>2533.0434782608695</v>
      </c>
      <c r="W10" s="425">
        <v>133.31807780320366</v>
      </c>
      <c r="X10" s="420">
        <f t="shared" si="5"/>
        <v>3</v>
      </c>
      <c r="Y10" s="572"/>
      <c r="Z10" s="418">
        <v>19</v>
      </c>
      <c r="AA10" s="425">
        <v>2524.5652173913045</v>
      </c>
      <c r="AB10" s="425">
        <v>132.87185354691076</v>
      </c>
      <c r="AC10" s="420">
        <f t="shared" si="7"/>
        <v>4</v>
      </c>
      <c r="AD10" s="572"/>
      <c r="AE10" s="418">
        <v>19</v>
      </c>
      <c r="AF10" s="425">
        <v>2510.4545454545455</v>
      </c>
      <c r="AG10" s="425">
        <v>132.12918660287082</v>
      </c>
      <c r="AH10" s="420">
        <f t="shared" si="9"/>
        <v>4</v>
      </c>
      <c r="AI10" s="572"/>
      <c r="AJ10" s="418">
        <v>19</v>
      </c>
      <c r="AK10" s="425">
        <v>2506.9565217391305</v>
      </c>
      <c r="AL10" s="425">
        <v>131.94508009153319</v>
      </c>
      <c r="AM10" s="420">
        <f t="shared" si="11"/>
        <v>4</v>
      </c>
      <c r="AN10" s="572"/>
      <c r="AO10" s="418">
        <v>19</v>
      </c>
      <c r="AP10" s="425">
        <v>2475.789473684209</v>
      </c>
      <c r="AQ10" s="425">
        <v>130.30470914127417</v>
      </c>
      <c r="AR10" s="420">
        <f t="shared" si="13"/>
        <v>5</v>
      </c>
      <c r="AS10" s="572"/>
      <c r="AT10" s="418">
        <v>19</v>
      </c>
      <c r="AU10" s="425">
        <v>2573.8317757009363</v>
      </c>
      <c r="AV10" s="425">
        <v>135.46483030004927</v>
      </c>
      <c r="AW10" s="420">
        <f t="shared" si="15"/>
        <v>3</v>
      </c>
      <c r="AX10" s="572"/>
      <c r="AZ10" s="408" t="e">
        <f t="shared" si="17"/>
        <v>#N/A</v>
      </c>
      <c r="BA10" s="572"/>
    </row>
    <row r="11" spans="1:53" ht="14.25">
      <c r="A11" s="81"/>
      <c r="B11" s="600"/>
      <c r="C11" s="418">
        <v>5</v>
      </c>
      <c r="D11" s="226" t="s">
        <v>532</v>
      </c>
      <c r="E11" s="425">
        <v>17</v>
      </c>
      <c r="F11" s="418">
        <v>2250</v>
      </c>
      <c r="G11" s="419">
        <v>132.4</v>
      </c>
      <c r="H11" s="628"/>
      <c r="I11" s="422">
        <f t="shared" si="0"/>
        <v>18</v>
      </c>
      <c r="J11" s="422">
        <f t="shared" si="1"/>
        <v>2236.9886615614741</v>
      </c>
      <c r="K11" s="200">
        <f t="shared" si="2"/>
        <v>124.27714786452636</v>
      </c>
      <c r="L11" s="581"/>
      <c r="M11" s="424">
        <f>RANK(K11, K$7:$K$21)</f>
        <v>6</v>
      </c>
      <c r="N11" s="564"/>
      <c r="O11" s="564"/>
      <c r="P11" s="418">
        <v>18</v>
      </c>
      <c r="Q11" s="425">
        <v>2243.0909090909086</v>
      </c>
      <c r="R11" s="425">
        <v>124.61616161616159</v>
      </c>
      <c r="S11" s="420">
        <f t="shared" si="3"/>
        <v>6</v>
      </c>
      <c r="T11" s="572"/>
      <c r="U11" s="418">
        <v>18</v>
      </c>
      <c r="V11" s="425">
        <v>2228.296296296297</v>
      </c>
      <c r="W11" s="425">
        <v>123.79423868312762</v>
      </c>
      <c r="X11" s="420">
        <f t="shared" si="5"/>
        <v>6</v>
      </c>
      <c r="Y11" s="572"/>
      <c r="Z11" s="418">
        <v>18</v>
      </c>
      <c r="AA11" s="425">
        <v>2258.9210526315787</v>
      </c>
      <c r="AB11" s="425">
        <v>125.49561403508771</v>
      </c>
      <c r="AC11" s="420">
        <f t="shared" si="7"/>
        <v>6</v>
      </c>
      <c r="AD11" s="572"/>
      <c r="AE11" s="418">
        <v>18</v>
      </c>
      <c r="AF11" s="425">
        <v>2238.260869565217</v>
      </c>
      <c r="AG11" s="425">
        <v>124.3478260869565</v>
      </c>
      <c r="AH11" s="420">
        <f t="shared" si="9"/>
        <v>6</v>
      </c>
      <c r="AI11" s="572"/>
      <c r="AJ11" s="418">
        <v>18</v>
      </c>
      <c r="AK11" s="425">
        <v>2232.3380281690143</v>
      </c>
      <c r="AL11" s="425">
        <v>124.01877934272301</v>
      </c>
      <c r="AM11" s="420">
        <f t="shared" si="11"/>
        <v>6</v>
      </c>
      <c r="AN11" s="572"/>
      <c r="AO11" s="418">
        <v>18</v>
      </c>
      <c r="AP11" s="425">
        <v>2235.4468085106378</v>
      </c>
      <c r="AQ11" s="425">
        <v>124.1914893617021</v>
      </c>
      <c r="AR11" s="420">
        <f t="shared" si="13"/>
        <v>6</v>
      </c>
      <c r="AS11" s="572"/>
      <c r="AT11" s="418">
        <v>18</v>
      </c>
      <c r="AU11" s="425">
        <v>2222.5666666666666</v>
      </c>
      <c r="AV11" s="425">
        <v>123.47592592592592</v>
      </c>
      <c r="AW11" s="420">
        <f t="shared" si="15"/>
        <v>6</v>
      </c>
      <c r="AX11" s="572"/>
      <c r="AZ11" s="408" t="e">
        <f t="shared" si="17"/>
        <v>#N/A</v>
      </c>
      <c r="BA11" s="572"/>
    </row>
    <row r="12" spans="1:53" ht="14.25">
      <c r="A12" s="81"/>
      <c r="B12" s="600"/>
      <c r="C12" s="418">
        <v>6</v>
      </c>
      <c r="D12" s="226" t="s">
        <v>653</v>
      </c>
      <c r="E12" s="425">
        <v>17</v>
      </c>
      <c r="F12" s="418">
        <v>2700</v>
      </c>
      <c r="G12" s="419">
        <v>166.7</v>
      </c>
      <c r="H12" s="628"/>
      <c r="I12" s="422">
        <f t="shared" si="0"/>
        <v>17.142857142857142</v>
      </c>
      <c r="J12" s="422">
        <f t="shared" si="1"/>
        <v>2396.0872775037983</v>
      </c>
      <c r="K12" s="200">
        <f t="shared" si="2"/>
        <v>139.82640093913741</v>
      </c>
      <c r="L12" s="581"/>
      <c r="M12" s="424">
        <f>RANK(K12, K$7:$K$21)</f>
        <v>2</v>
      </c>
      <c r="N12" s="564"/>
      <c r="O12" s="564"/>
      <c r="P12" s="418">
        <v>17</v>
      </c>
      <c r="Q12" s="425">
        <v>2374.6666666666665</v>
      </c>
      <c r="R12" s="425">
        <v>139.68627450980392</v>
      </c>
      <c r="S12" s="420">
        <f t="shared" si="3"/>
        <v>2</v>
      </c>
      <c r="T12" s="572"/>
      <c r="U12" s="418">
        <v>18</v>
      </c>
      <c r="V12" s="425">
        <v>2398.8461538461552</v>
      </c>
      <c r="W12" s="425">
        <v>133.26923076923083</v>
      </c>
      <c r="X12" s="420">
        <f t="shared" si="5"/>
        <v>4</v>
      </c>
      <c r="Y12" s="572"/>
      <c r="Z12" s="418">
        <v>17</v>
      </c>
      <c r="AA12" s="425">
        <v>2413.4693877551026</v>
      </c>
      <c r="AB12" s="425">
        <v>141.96878751500603</v>
      </c>
      <c r="AC12" s="420">
        <f t="shared" si="7"/>
        <v>1</v>
      </c>
      <c r="AD12" s="572"/>
      <c r="AE12" s="418">
        <v>17</v>
      </c>
      <c r="AF12" s="425">
        <v>2453.181818181818</v>
      </c>
      <c r="AG12" s="425">
        <v>144.30481283422458</v>
      </c>
      <c r="AH12" s="420">
        <f t="shared" si="9"/>
        <v>1</v>
      </c>
      <c r="AI12" s="572"/>
      <c r="AJ12" s="418">
        <v>17</v>
      </c>
      <c r="AK12" s="425">
        <v>2344.1860465116274</v>
      </c>
      <c r="AL12" s="425">
        <v>137.89329685362515</v>
      </c>
      <c r="AM12" s="420">
        <f t="shared" si="11"/>
        <v>2</v>
      </c>
      <c r="AN12" s="572"/>
      <c r="AO12" s="418">
        <v>17</v>
      </c>
      <c r="AP12" s="425">
        <v>2373.913043478261</v>
      </c>
      <c r="AQ12" s="425">
        <v>139.64194373401534</v>
      </c>
      <c r="AR12" s="420">
        <f t="shared" si="13"/>
        <v>3</v>
      </c>
      <c r="AS12" s="572"/>
      <c r="AT12" s="418">
        <v>17</v>
      </c>
      <c r="AU12" s="425">
        <v>2414.3478260869565</v>
      </c>
      <c r="AV12" s="425">
        <v>142.02046035805625</v>
      </c>
      <c r="AW12" s="420">
        <f t="shared" si="15"/>
        <v>1</v>
      </c>
      <c r="AX12" s="572"/>
      <c r="AZ12" s="408" t="e">
        <f t="shared" si="17"/>
        <v>#N/A</v>
      </c>
      <c r="BA12" s="572"/>
    </row>
    <row r="13" spans="1:53" ht="14.25">
      <c r="A13" s="81"/>
      <c r="B13" s="600"/>
      <c r="C13" s="418">
        <v>7</v>
      </c>
      <c r="D13" s="226" t="s">
        <v>677</v>
      </c>
      <c r="E13" s="425">
        <v>17</v>
      </c>
      <c r="F13" s="418">
        <v>2700</v>
      </c>
      <c r="G13" s="419">
        <v>166.7</v>
      </c>
      <c r="H13" s="628"/>
      <c r="I13" s="422">
        <f t="shared" si="0"/>
        <v>17.142857142857142</v>
      </c>
      <c r="J13" s="422">
        <f t="shared" si="1"/>
        <v>2404.7347632336309</v>
      </c>
      <c r="K13" s="200">
        <f t="shared" si="2"/>
        <v>140.33153669281461</v>
      </c>
      <c r="L13" s="581"/>
      <c r="M13" s="424">
        <f>RANK(K13, K$7:$K$21)</f>
        <v>1</v>
      </c>
      <c r="N13" s="564"/>
      <c r="O13" s="564"/>
      <c r="P13" s="418">
        <v>17</v>
      </c>
      <c r="Q13" s="425">
        <v>2419.6039603960385</v>
      </c>
      <c r="R13" s="425">
        <v>142.32964472917874</v>
      </c>
      <c r="S13" s="420">
        <f t="shared" si="3"/>
        <v>1</v>
      </c>
      <c r="T13" s="572"/>
      <c r="U13" s="418">
        <v>18</v>
      </c>
      <c r="V13" s="425">
        <v>2406.4285714285706</v>
      </c>
      <c r="W13" s="425">
        <v>133.69047619047615</v>
      </c>
      <c r="X13" s="420">
        <f t="shared" si="5"/>
        <v>2</v>
      </c>
      <c r="Y13" s="572"/>
      <c r="Z13" s="418">
        <v>17</v>
      </c>
      <c r="AA13" s="425">
        <v>2410.4999999999991</v>
      </c>
      <c r="AB13" s="425">
        <v>141.79411764705878</v>
      </c>
      <c r="AC13" s="420">
        <f t="shared" si="7"/>
        <v>2</v>
      </c>
      <c r="AD13" s="572"/>
      <c r="AE13" s="418">
        <v>17</v>
      </c>
      <c r="AF13" s="425">
        <v>2440.8000000000006</v>
      </c>
      <c r="AG13" s="425">
        <v>143.57647058823534</v>
      </c>
      <c r="AH13" s="420">
        <f t="shared" si="9"/>
        <v>2</v>
      </c>
      <c r="AI13" s="572"/>
      <c r="AJ13" s="418">
        <v>17</v>
      </c>
      <c r="AK13" s="425">
        <v>2370.810810810809</v>
      </c>
      <c r="AL13" s="425">
        <v>139.45945945945937</v>
      </c>
      <c r="AM13" s="420">
        <f t="shared" si="11"/>
        <v>1</v>
      </c>
      <c r="AN13" s="572"/>
      <c r="AO13" s="418">
        <v>17</v>
      </c>
      <c r="AP13" s="425">
        <v>2404.9999999999991</v>
      </c>
      <c r="AQ13" s="425">
        <v>141.47058823529406</v>
      </c>
      <c r="AR13" s="420">
        <f t="shared" si="13"/>
        <v>1</v>
      </c>
      <c r="AS13" s="572"/>
      <c r="AT13" s="418">
        <v>17</v>
      </c>
      <c r="AU13" s="425">
        <v>2379.9999999999986</v>
      </c>
      <c r="AV13" s="425">
        <v>139.99999999999991</v>
      </c>
      <c r="AW13" s="420">
        <f t="shared" si="15"/>
        <v>2</v>
      </c>
      <c r="AX13" s="572"/>
      <c r="AZ13" s="408" t="e">
        <f t="shared" si="17"/>
        <v>#N/A</v>
      </c>
      <c r="BA13" s="572"/>
    </row>
    <row r="14" spans="1:53" ht="14.25">
      <c r="A14" s="81"/>
      <c r="B14" s="600"/>
      <c r="C14" s="418">
        <v>8</v>
      </c>
      <c r="D14" s="226"/>
      <c r="E14" s="425"/>
      <c r="F14" s="418"/>
      <c r="G14" s="419"/>
      <c r="H14" s="628"/>
      <c r="I14" s="422" t="str">
        <f t="shared" si="0"/>
        <v>-</v>
      </c>
      <c r="J14" s="422" t="str">
        <f t="shared" si="1"/>
        <v>-</v>
      </c>
      <c r="K14" s="200" t="str">
        <f t="shared" si="2"/>
        <v>-</v>
      </c>
      <c r="L14" s="581"/>
      <c r="M14" s="424" t="e">
        <f>RANK(K14, K$7:$K$21)</f>
        <v>#VALUE!</v>
      </c>
      <c r="N14" s="564"/>
      <c r="O14" s="564"/>
      <c r="P14" s="418" t="s">
        <v>639</v>
      </c>
      <c r="Q14" s="425" t="s">
        <v>639</v>
      </c>
      <c r="R14" s="425" t="s">
        <v>639</v>
      </c>
      <c r="S14" s="420" t="e">
        <f t="shared" si="3"/>
        <v>#VALUE!</v>
      </c>
      <c r="T14" s="572"/>
      <c r="U14" s="418" t="s">
        <v>639</v>
      </c>
      <c r="V14" s="425" t="s">
        <v>639</v>
      </c>
      <c r="W14" s="425" t="s">
        <v>639</v>
      </c>
      <c r="X14" s="420" t="e">
        <f t="shared" si="5"/>
        <v>#VALUE!</v>
      </c>
      <c r="Y14" s="572"/>
      <c r="Z14" s="418" t="s">
        <v>639</v>
      </c>
      <c r="AA14" s="425" t="s">
        <v>639</v>
      </c>
      <c r="AB14" s="425" t="s">
        <v>639</v>
      </c>
      <c r="AC14" s="420" t="e">
        <f t="shared" si="7"/>
        <v>#VALUE!</v>
      </c>
      <c r="AD14" s="572"/>
      <c r="AE14" s="418" t="s">
        <v>639</v>
      </c>
      <c r="AF14" s="425" t="s">
        <v>639</v>
      </c>
      <c r="AG14" s="425" t="s">
        <v>639</v>
      </c>
      <c r="AH14" s="420" t="e">
        <f t="shared" si="9"/>
        <v>#VALUE!</v>
      </c>
      <c r="AI14" s="572"/>
      <c r="AJ14" s="418" t="s">
        <v>639</v>
      </c>
      <c r="AK14" s="425" t="s">
        <v>639</v>
      </c>
      <c r="AL14" s="425" t="s">
        <v>639</v>
      </c>
      <c r="AM14" s="420" t="e">
        <f t="shared" si="11"/>
        <v>#VALUE!</v>
      </c>
      <c r="AN14" s="572"/>
      <c r="AO14" s="418" t="s">
        <v>639</v>
      </c>
      <c r="AP14" s="425" t="s">
        <v>639</v>
      </c>
      <c r="AQ14" s="425" t="s">
        <v>639</v>
      </c>
      <c r="AR14" s="420" t="e">
        <f t="shared" si="13"/>
        <v>#VALUE!</v>
      </c>
      <c r="AS14" s="572"/>
      <c r="AT14" s="418" t="s">
        <v>639</v>
      </c>
      <c r="AU14" s="425" t="s">
        <v>639</v>
      </c>
      <c r="AV14" s="425" t="s">
        <v>639</v>
      </c>
      <c r="AW14" s="420" t="e">
        <f t="shared" si="15"/>
        <v>#VALUE!</v>
      </c>
      <c r="AX14" s="572"/>
      <c r="AZ14" s="408" t="e">
        <f t="shared" si="17"/>
        <v>#N/A</v>
      </c>
      <c r="BA14" s="572"/>
    </row>
    <row r="15" spans="1:53" ht="14.25">
      <c r="A15" s="81"/>
      <c r="B15" s="600"/>
      <c r="C15" s="418">
        <v>9</v>
      </c>
      <c r="D15" s="226"/>
      <c r="E15" s="425"/>
      <c r="F15" s="418"/>
      <c r="G15" s="419"/>
      <c r="H15" s="628"/>
      <c r="I15" s="422" t="str">
        <f t="shared" si="0"/>
        <v>-</v>
      </c>
      <c r="J15" s="422" t="str">
        <f t="shared" si="1"/>
        <v>-</v>
      </c>
      <c r="K15" s="200" t="str">
        <f t="shared" si="2"/>
        <v>-</v>
      </c>
      <c r="L15" s="581"/>
      <c r="M15" s="424" t="e">
        <f>RANK(K15, K$7:$K$21)</f>
        <v>#VALUE!</v>
      </c>
      <c r="N15" s="564"/>
      <c r="O15" s="564"/>
      <c r="P15" s="418" t="s">
        <v>639</v>
      </c>
      <c r="Q15" s="425" t="s">
        <v>639</v>
      </c>
      <c r="R15" s="425" t="s">
        <v>639</v>
      </c>
      <c r="S15" s="420" t="e">
        <f t="shared" si="3"/>
        <v>#VALUE!</v>
      </c>
      <c r="T15" s="572"/>
      <c r="U15" s="418" t="s">
        <v>639</v>
      </c>
      <c r="V15" s="425" t="s">
        <v>639</v>
      </c>
      <c r="W15" s="425" t="s">
        <v>639</v>
      </c>
      <c r="X15" s="420" t="e">
        <f t="shared" si="5"/>
        <v>#VALUE!</v>
      </c>
      <c r="Y15" s="572"/>
      <c r="Z15" s="418" t="s">
        <v>639</v>
      </c>
      <c r="AA15" s="425" t="s">
        <v>639</v>
      </c>
      <c r="AB15" s="425" t="s">
        <v>639</v>
      </c>
      <c r="AC15" s="420" t="e">
        <f t="shared" si="7"/>
        <v>#VALUE!</v>
      </c>
      <c r="AD15" s="572"/>
      <c r="AE15" s="418" t="s">
        <v>639</v>
      </c>
      <c r="AF15" s="425" t="s">
        <v>639</v>
      </c>
      <c r="AG15" s="425" t="s">
        <v>639</v>
      </c>
      <c r="AH15" s="420" t="e">
        <f t="shared" si="9"/>
        <v>#VALUE!</v>
      </c>
      <c r="AI15" s="572"/>
      <c r="AJ15" s="418" t="s">
        <v>639</v>
      </c>
      <c r="AK15" s="425" t="s">
        <v>639</v>
      </c>
      <c r="AL15" s="425" t="s">
        <v>639</v>
      </c>
      <c r="AM15" s="420" t="e">
        <f t="shared" si="11"/>
        <v>#VALUE!</v>
      </c>
      <c r="AN15" s="572"/>
      <c r="AO15" s="418" t="s">
        <v>639</v>
      </c>
      <c r="AP15" s="425" t="s">
        <v>639</v>
      </c>
      <c r="AQ15" s="425" t="s">
        <v>639</v>
      </c>
      <c r="AR15" s="420" t="e">
        <f t="shared" si="13"/>
        <v>#VALUE!</v>
      </c>
      <c r="AS15" s="572"/>
      <c r="AT15" s="418" t="s">
        <v>639</v>
      </c>
      <c r="AU15" s="425" t="s">
        <v>639</v>
      </c>
      <c r="AV15" s="425" t="s">
        <v>639</v>
      </c>
      <c r="AW15" s="420" t="e">
        <f t="shared" si="15"/>
        <v>#VALUE!</v>
      </c>
      <c r="AX15" s="572"/>
      <c r="AZ15" s="408" t="e">
        <f t="shared" si="17"/>
        <v>#N/A</v>
      </c>
      <c r="BA15" s="572"/>
    </row>
    <row r="16" spans="1:53" ht="14.25">
      <c r="A16" s="81"/>
      <c r="B16" s="600"/>
      <c r="C16" s="418">
        <v>10</v>
      </c>
      <c r="D16" s="226"/>
      <c r="E16" s="425"/>
      <c r="F16" s="418"/>
      <c r="G16" s="419"/>
      <c r="H16" s="628"/>
      <c r="I16" s="422" t="str">
        <f t="shared" si="0"/>
        <v>-</v>
      </c>
      <c r="J16" s="422" t="str">
        <f t="shared" si="1"/>
        <v>-</v>
      </c>
      <c r="K16" s="200" t="str">
        <f t="shared" si="2"/>
        <v>-</v>
      </c>
      <c r="L16" s="581"/>
      <c r="M16" s="424" t="e">
        <f>RANK(K16, K$7:$K$21)</f>
        <v>#VALUE!</v>
      </c>
      <c r="N16" s="564"/>
      <c r="O16" s="564"/>
      <c r="P16" s="418" t="s">
        <v>639</v>
      </c>
      <c r="Q16" s="425" t="s">
        <v>639</v>
      </c>
      <c r="R16" s="425" t="s">
        <v>639</v>
      </c>
      <c r="S16" s="420" t="e">
        <f t="shared" si="3"/>
        <v>#VALUE!</v>
      </c>
      <c r="T16" s="572"/>
      <c r="U16" s="418" t="s">
        <v>639</v>
      </c>
      <c r="V16" s="425" t="s">
        <v>639</v>
      </c>
      <c r="W16" s="425" t="s">
        <v>639</v>
      </c>
      <c r="X16" s="420" t="e">
        <f t="shared" si="5"/>
        <v>#VALUE!</v>
      </c>
      <c r="Y16" s="572"/>
      <c r="Z16" s="418" t="s">
        <v>639</v>
      </c>
      <c r="AA16" s="425" t="s">
        <v>639</v>
      </c>
      <c r="AB16" s="425" t="s">
        <v>639</v>
      </c>
      <c r="AC16" s="420" t="e">
        <f t="shared" si="7"/>
        <v>#VALUE!</v>
      </c>
      <c r="AD16" s="572"/>
      <c r="AE16" s="418" t="s">
        <v>639</v>
      </c>
      <c r="AF16" s="425" t="s">
        <v>639</v>
      </c>
      <c r="AG16" s="425" t="s">
        <v>639</v>
      </c>
      <c r="AH16" s="420" t="e">
        <f t="shared" si="9"/>
        <v>#VALUE!</v>
      </c>
      <c r="AI16" s="572"/>
      <c r="AJ16" s="418" t="s">
        <v>639</v>
      </c>
      <c r="AK16" s="425" t="s">
        <v>639</v>
      </c>
      <c r="AL16" s="425" t="s">
        <v>639</v>
      </c>
      <c r="AM16" s="420" t="e">
        <f t="shared" si="11"/>
        <v>#VALUE!</v>
      </c>
      <c r="AN16" s="572"/>
      <c r="AO16" s="418" t="s">
        <v>639</v>
      </c>
      <c r="AP16" s="425" t="s">
        <v>639</v>
      </c>
      <c r="AQ16" s="425" t="s">
        <v>639</v>
      </c>
      <c r="AR16" s="420" t="e">
        <f t="shared" si="13"/>
        <v>#VALUE!</v>
      </c>
      <c r="AS16" s="572"/>
      <c r="AT16" s="418" t="s">
        <v>639</v>
      </c>
      <c r="AU16" s="425" t="s">
        <v>639</v>
      </c>
      <c r="AV16" s="425" t="s">
        <v>639</v>
      </c>
      <c r="AW16" s="420" t="e">
        <f t="shared" si="15"/>
        <v>#VALUE!</v>
      </c>
      <c r="AX16" s="572"/>
      <c r="AZ16" s="408" t="e">
        <f t="shared" si="17"/>
        <v>#N/A</v>
      </c>
      <c r="BA16" s="572"/>
    </row>
    <row r="17" spans="2:53">
      <c r="B17" s="600"/>
      <c r="C17" s="418">
        <v>11</v>
      </c>
      <c r="D17" s="226"/>
      <c r="E17" s="425"/>
      <c r="F17" s="418"/>
      <c r="G17" s="419"/>
      <c r="H17" s="628"/>
      <c r="I17" s="422" t="str">
        <f t="shared" si="0"/>
        <v>-</v>
      </c>
      <c r="J17" s="422" t="str">
        <f t="shared" si="1"/>
        <v>-</v>
      </c>
      <c r="K17" s="200" t="str">
        <f t="shared" si="2"/>
        <v>-</v>
      </c>
      <c r="L17" s="581"/>
      <c r="M17" s="424" t="e">
        <f>RANK(K17, K$7:$K$21)</f>
        <v>#VALUE!</v>
      </c>
      <c r="N17" s="564"/>
      <c r="O17" s="564"/>
      <c r="P17" s="418" t="s">
        <v>639</v>
      </c>
      <c r="Q17" s="425" t="s">
        <v>639</v>
      </c>
      <c r="R17" s="425" t="s">
        <v>639</v>
      </c>
      <c r="S17" s="420" t="e">
        <f t="shared" si="3"/>
        <v>#VALUE!</v>
      </c>
      <c r="T17" s="572"/>
      <c r="U17" s="418" t="s">
        <v>639</v>
      </c>
      <c r="V17" s="425" t="s">
        <v>639</v>
      </c>
      <c r="W17" s="425" t="s">
        <v>639</v>
      </c>
      <c r="X17" s="420" t="e">
        <f t="shared" si="5"/>
        <v>#VALUE!</v>
      </c>
      <c r="Y17" s="572"/>
      <c r="Z17" s="418" t="s">
        <v>639</v>
      </c>
      <c r="AA17" s="425" t="s">
        <v>639</v>
      </c>
      <c r="AB17" s="425" t="s">
        <v>639</v>
      </c>
      <c r="AC17" s="420" t="e">
        <f t="shared" si="7"/>
        <v>#VALUE!</v>
      </c>
      <c r="AD17" s="572"/>
      <c r="AE17" s="418" t="s">
        <v>639</v>
      </c>
      <c r="AF17" s="425" t="s">
        <v>639</v>
      </c>
      <c r="AG17" s="425" t="s">
        <v>639</v>
      </c>
      <c r="AH17" s="420" t="e">
        <f t="shared" si="9"/>
        <v>#VALUE!</v>
      </c>
      <c r="AI17" s="572"/>
      <c r="AJ17" s="418" t="s">
        <v>639</v>
      </c>
      <c r="AK17" s="425" t="s">
        <v>639</v>
      </c>
      <c r="AL17" s="425" t="s">
        <v>639</v>
      </c>
      <c r="AM17" s="420" t="e">
        <f t="shared" si="11"/>
        <v>#VALUE!</v>
      </c>
      <c r="AN17" s="572"/>
      <c r="AO17" s="418" t="s">
        <v>639</v>
      </c>
      <c r="AP17" s="425" t="s">
        <v>639</v>
      </c>
      <c r="AQ17" s="425" t="s">
        <v>639</v>
      </c>
      <c r="AR17" s="420" t="e">
        <f t="shared" si="13"/>
        <v>#VALUE!</v>
      </c>
      <c r="AS17" s="572"/>
      <c r="AT17" s="418" t="s">
        <v>639</v>
      </c>
      <c r="AU17" s="425" t="s">
        <v>639</v>
      </c>
      <c r="AV17" s="425" t="s">
        <v>639</v>
      </c>
      <c r="AW17" s="420" t="e">
        <f t="shared" si="15"/>
        <v>#VALUE!</v>
      </c>
      <c r="AX17" s="572"/>
      <c r="AZ17" s="408" t="e">
        <f t="shared" si="17"/>
        <v>#N/A</v>
      </c>
      <c r="BA17" s="572"/>
    </row>
    <row r="18" spans="2:53">
      <c r="B18" s="600"/>
      <c r="C18" s="418">
        <v>12</v>
      </c>
      <c r="D18" s="226"/>
      <c r="E18" s="425"/>
      <c r="F18" s="418"/>
      <c r="G18" s="419"/>
      <c r="H18" s="628"/>
      <c r="I18" s="422" t="str">
        <f t="shared" si="0"/>
        <v>-</v>
      </c>
      <c r="J18" s="422" t="str">
        <f t="shared" si="1"/>
        <v>-</v>
      </c>
      <c r="K18" s="200" t="str">
        <f t="shared" si="2"/>
        <v>-</v>
      </c>
      <c r="L18" s="581"/>
      <c r="M18" s="424" t="e">
        <f>RANK(K18, K$7:$K$21)</f>
        <v>#VALUE!</v>
      </c>
      <c r="N18" s="564"/>
      <c r="O18" s="564"/>
      <c r="P18" s="418" t="s">
        <v>639</v>
      </c>
      <c r="Q18" s="425" t="s">
        <v>639</v>
      </c>
      <c r="R18" s="425" t="s">
        <v>639</v>
      </c>
      <c r="S18" s="420" t="e">
        <f t="shared" si="3"/>
        <v>#VALUE!</v>
      </c>
      <c r="T18" s="572"/>
      <c r="U18" s="418" t="s">
        <v>639</v>
      </c>
      <c r="V18" s="425" t="s">
        <v>639</v>
      </c>
      <c r="W18" s="425" t="s">
        <v>639</v>
      </c>
      <c r="X18" s="420" t="e">
        <f t="shared" si="5"/>
        <v>#VALUE!</v>
      </c>
      <c r="Y18" s="572"/>
      <c r="Z18" s="418" t="s">
        <v>639</v>
      </c>
      <c r="AA18" s="425" t="s">
        <v>639</v>
      </c>
      <c r="AB18" s="425" t="s">
        <v>639</v>
      </c>
      <c r="AC18" s="420" t="e">
        <f t="shared" si="7"/>
        <v>#VALUE!</v>
      </c>
      <c r="AD18" s="572"/>
      <c r="AE18" s="418" t="s">
        <v>639</v>
      </c>
      <c r="AF18" s="425" t="s">
        <v>639</v>
      </c>
      <c r="AG18" s="425" t="s">
        <v>639</v>
      </c>
      <c r="AH18" s="420" t="e">
        <f t="shared" si="9"/>
        <v>#VALUE!</v>
      </c>
      <c r="AI18" s="572"/>
      <c r="AJ18" s="418" t="s">
        <v>639</v>
      </c>
      <c r="AK18" s="425" t="s">
        <v>639</v>
      </c>
      <c r="AL18" s="425" t="s">
        <v>639</v>
      </c>
      <c r="AM18" s="420" t="e">
        <f t="shared" si="11"/>
        <v>#VALUE!</v>
      </c>
      <c r="AN18" s="572"/>
      <c r="AO18" s="418" t="s">
        <v>639</v>
      </c>
      <c r="AP18" s="425" t="s">
        <v>639</v>
      </c>
      <c r="AQ18" s="425" t="s">
        <v>639</v>
      </c>
      <c r="AR18" s="420" t="e">
        <f t="shared" si="13"/>
        <v>#VALUE!</v>
      </c>
      <c r="AS18" s="572"/>
      <c r="AT18" s="425"/>
      <c r="AU18" s="425"/>
      <c r="AV18" s="425"/>
      <c r="AW18" s="420" t="e">
        <f t="shared" si="15"/>
        <v>#N/A</v>
      </c>
      <c r="AX18" s="572"/>
      <c r="AZ18" s="408" t="e">
        <f t="shared" si="17"/>
        <v>#N/A</v>
      </c>
      <c r="BA18" s="572"/>
    </row>
    <row r="19" spans="2:53">
      <c r="B19" s="600"/>
      <c r="C19" s="418">
        <v>13</v>
      </c>
      <c r="D19" s="226"/>
      <c r="E19" s="425"/>
      <c r="F19" s="418"/>
      <c r="G19" s="419"/>
      <c r="H19" s="628"/>
      <c r="I19" s="422" t="str">
        <f t="shared" si="0"/>
        <v>-</v>
      </c>
      <c r="J19" s="422" t="str">
        <f t="shared" si="1"/>
        <v>-</v>
      </c>
      <c r="K19" s="200" t="str">
        <f t="shared" si="2"/>
        <v>-</v>
      </c>
      <c r="L19" s="581"/>
      <c r="M19" s="424" t="e">
        <f>RANK(K19, K$7:$K$21)</f>
        <v>#VALUE!</v>
      </c>
      <c r="N19" s="564"/>
      <c r="O19" s="564"/>
      <c r="P19" s="418" t="s">
        <v>639</v>
      </c>
      <c r="Q19" s="425" t="s">
        <v>639</v>
      </c>
      <c r="R19" s="425" t="s">
        <v>639</v>
      </c>
      <c r="S19" s="420" t="e">
        <f t="shared" si="3"/>
        <v>#VALUE!</v>
      </c>
      <c r="T19" s="572"/>
      <c r="U19" s="418" t="s">
        <v>639</v>
      </c>
      <c r="V19" s="425" t="s">
        <v>639</v>
      </c>
      <c r="W19" s="425" t="s">
        <v>639</v>
      </c>
      <c r="X19" s="420" t="e">
        <f t="shared" si="5"/>
        <v>#VALUE!</v>
      </c>
      <c r="Y19" s="572"/>
      <c r="Z19" s="418" t="s">
        <v>639</v>
      </c>
      <c r="AA19" s="425" t="s">
        <v>639</v>
      </c>
      <c r="AB19" s="425" t="s">
        <v>639</v>
      </c>
      <c r="AC19" s="420" t="e">
        <f t="shared" si="7"/>
        <v>#VALUE!</v>
      </c>
      <c r="AD19" s="572"/>
      <c r="AE19" s="418" t="s">
        <v>639</v>
      </c>
      <c r="AF19" s="425" t="s">
        <v>639</v>
      </c>
      <c r="AG19" s="425" t="s">
        <v>639</v>
      </c>
      <c r="AH19" s="420" t="e">
        <f t="shared" si="9"/>
        <v>#VALUE!</v>
      </c>
      <c r="AI19" s="572"/>
      <c r="AJ19" s="418" t="s">
        <v>639</v>
      </c>
      <c r="AK19" s="425" t="s">
        <v>639</v>
      </c>
      <c r="AL19" s="425" t="s">
        <v>639</v>
      </c>
      <c r="AM19" s="420" t="e">
        <f t="shared" si="11"/>
        <v>#VALUE!</v>
      </c>
      <c r="AN19" s="572"/>
      <c r="AO19" s="418" t="s">
        <v>639</v>
      </c>
      <c r="AP19" s="425" t="s">
        <v>639</v>
      </c>
      <c r="AQ19" s="425" t="s">
        <v>639</v>
      </c>
      <c r="AR19" s="420" t="e">
        <f t="shared" si="13"/>
        <v>#VALUE!</v>
      </c>
      <c r="AS19" s="572"/>
      <c r="AT19" s="425"/>
      <c r="AU19" s="425"/>
      <c r="AV19" s="425"/>
      <c r="AW19" s="420" t="e">
        <f t="shared" si="15"/>
        <v>#N/A</v>
      </c>
      <c r="AX19" s="572"/>
      <c r="AZ19" s="408" t="e">
        <f t="shared" si="17"/>
        <v>#N/A</v>
      </c>
      <c r="BA19" s="572"/>
    </row>
    <row r="20" spans="2:53">
      <c r="B20" s="600"/>
      <c r="C20" s="418">
        <v>14</v>
      </c>
      <c r="D20" s="226"/>
      <c r="E20" s="425"/>
      <c r="F20" s="418"/>
      <c r="G20" s="419"/>
      <c r="H20" s="628"/>
      <c r="I20" s="422" t="str">
        <f t="shared" si="0"/>
        <v>-</v>
      </c>
      <c r="J20" s="422" t="str">
        <f t="shared" si="1"/>
        <v>-</v>
      </c>
      <c r="K20" s="200" t="str">
        <f t="shared" si="2"/>
        <v>-</v>
      </c>
      <c r="L20" s="581"/>
      <c r="M20" s="424" t="e">
        <f>RANK(K20, K$7:$K$21)</f>
        <v>#VALUE!</v>
      </c>
      <c r="N20" s="564"/>
      <c r="O20" s="564"/>
      <c r="P20" s="418" t="s">
        <v>639</v>
      </c>
      <c r="Q20" s="425" t="s">
        <v>639</v>
      </c>
      <c r="R20" s="425" t="s">
        <v>639</v>
      </c>
      <c r="S20" s="420" t="e">
        <f t="shared" si="3"/>
        <v>#VALUE!</v>
      </c>
      <c r="T20" s="572"/>
      <c r="U20" s="418" t="s">
        <v>639</v>
      </c>
      <c r="V20" s="425" t="s">
        <v>639</v>
      </c>
      <c r="W20" s="425" t="s">
        <v>639</v>
      </c>
      <c r="X20" s="420" t="e">
        <f t="shared" si="5"/>
        <v>#VALUE!</v>
      </c>
      <c r="Y20" s="572"/>
      <c r="Z20" s="418" t="s">
        <v>639</v>
      </c>
      <c r="AA20" s="425" t="s">
        <v>639</v>
      </c>
      <c r="AB20" s="425" t="s">
        <v>639</v>
      </c>
      <c r="AC20" s="420" t="e">
        <f t="shared" si="7"/>
        <v>#VALUE!</v>
      </c>
      <c r="AD20" s="572"/>
      <c r="AE20" s="418" t="s">
        <v>639</v>
      </c>
      <c r="AF20" s="425" t="s">
        <v>639</v>
      </c>
      <c r="AG20" s="425" t="s">
        <v>639</v>
      </c>
      <c r="AH20" s="420" t="e">
        <f t="shared" si="9"/>
        <v>#VALUE!</v>
      </c>
      <c r="AI20" s="572"/>
      <c r="AJ20" s="418" t="s">
        <v>639</v>
      </c>
      <c r="AK20" s="425" t="s">
        <v>639</v>
      </c>
      <c r="AL20" s="425" t="s">
        <v>639</v>
      </c>
      <c r="AM20" s="420" t="e">
        <f t="shared" si="11"/>
        <v>#VALUE!</v>
      </c>
      <c r="AN20" s="572"/>
      <c r="AO20" s="418" t="s">
        <v>639</v>
      </c>
      <c r="AP20" s="425" t="s">
        <v>639</v>
      </c>
      <c r="AQ20" s="425" t="s">
        <v>639</v>
      </c>
      <c r="AR20" s="420" t="e">
        <f t="shared" si="13"/>
        <v>#VALUE!</v>
      </c>
      <c r="AS20" s="572"/>
      <c r="AT20" s="425"/>
      <c r="AU20" s="425"/>
      <c r="AV20" s="425"/>
      <c r="AW20" s="420" t="e">
        <f t="shared" si="15"/>
        <v>#N/A</v>
      </c>
      <c r="AX20" s="572"/>
      <c r="AZ20" s="408" t="e">
        <f t="shared" si="17"/>
        <v>#N/A</v>
      </c>
      <c r="BA20" s="572"/>
    </row>
    <row r="21" spans="2:53">
      <c r="B21" s="600"/>
      <c r="C21" s="418">
        <v>15</v>
      </c>
      <c r="D21" s="226"/>
      <c r="E21" s="425"/>
      <c r="F21" s="418"/>
      <c r="G21" s="419"/>
      <c r="H21" s="629"/>
      <c r="I21" s="420"/>
      <c r="J21" s="420"/>
      <c r="K21" s="420"/>
      <c r="L21" s="582"/>
      <c r="M21" s="424" t="e">
        <f>RANK(K21, K$7:$K$21)</f>
        <v>#N/A</v>
      </c>
      <c r="N21" s="564"/>
      <c r="O21" s="564"/>
      <c r="P21" s="418" t="s">
        <v>639</v>
      </c>
      <c r="Q21" s="425" t="s">
        <v>639</v>
      </c>
      <c r="R21" s="425" t="s">
        <v>639</v>
      </c>
      <c r="S21" s="420" t="e">
        <f t="shared" si="3"/>
        <v>#VALUE!</v>
      </c>
      <c r="T21" s="572"/>
      <c r="U21" s="418" t="s">
        <v>639</v>
      </c>
      <c r="V21" s="425" t="s">
        <v>639</v>
      </c>
      <c r="W21" s="425" t="s">
        <v>639</v>
      </c>
      <c r="X21" s="420" t="e">
        <f t="shared" si="5"/>
        <v>#VALUE!</v>
      </c>
      <c r="Y21" s="572"/>
      <c r="Z21" s="418" t="s">
        <v>639</v>
      </c>
      <c r="AA21" s="425" t="s">
        <v>639</v>
      </c>
      <c r="AB21" s="425" t="s">
        <v>639</v>
      </c>
      <c r="AC21" s="420" t="e">
        <f t="shared" si="7"/>
        <v>#VALUE!</v>
      </c>
      <c r="AD21" s="572"/>
      <c r="AE21" s="418" t="s">
        <v>639</v>
      </c>
      <c r="AF21" s="425" t="s">
        <v>639</v>
      </c>
      <c r="AG21" s="425" t="s">
        <v>639</v>
      </c>
      <c r="AH21" s="420" t="e">
        <f t="shared" si="9"/>
        <v>#VALUE!</v>
      </c>
      <c r="AI21" s="572"/>
      <c r="AJ21" s="418" t="s">
        <v>639</v>
      </c>
      <c r="AK21" s="425" t="s">
        <v>639</v>
      </c>
      <c r="AL21" s="425" t="s">
        <v>639</v>
      </c>
      <c r="AM21" s="420" t="e">
        <f t="shared" si="11"/>
        <v>#VALUE!</v>
      </c>
      <c r="AN21" s="572"/>
      <c r="AO21" s="418" t="s">
        <v>639</v>
      </c>
      <c r="AP21" s="425" t="s">
        <v>639</v>
      </c>
      <c r="AQ21" s="425" t="s">
        <v>639</v>
      </c>
      <c r="AR21" s="420" t="e">
        <f t="shared" si="13"/>
        <v>#VALUE!</v>
      </c>
      <c r="AS21" s="572"/>
      <c r="AT21" s="425"/>
      <c r="AU21" s="425"/>
      <c r="AV21" s="425"/>
      <c r="AW21" s="420" t="e">
        <f t="shared" si="15"/>
        <v>#N/A</v>
      </c>
      <c r="AX21" s="572"/>
      <c r="AZ21" s="408" t="e">
        <f t="shared" si="17"/>
        <v>#N/A</v>
      </c>
      <c r="BA21" s="572"/>
    </row>
    <row r="22" spans="2:53" ht="15.75">
      <c r="B22" s="608" t="s">
        <v>163</v>
      </c>
      <c r="C22" s="609"/>
      <c r="D22" s="609"/>
      <c r="E22" s="609"/>
      <c r="F22" s="609"/>
      <c r="G22" s="609"/>
      <c r="H22" s="609"/>
      <c r="I22" s="203"/>
      <c r="J22" s="203"/>
      <c r="K22" s="203"/>
      <c r="L22" s="203"/>
      <c r="M22" s="204"/>
      <c r="N22" s="566" t="s">
        <v>156</v>
      </c>
      <c r="O22" s="566" t="s">
        <v>105</v>
      </c>
      <c r="P22" s="592">
        <f>P2+7</f>
        <v>46147</v>
      </c>
      <c r="Q22" s="570"/>
      <c r="R22" s="570"/>
      <c r="S22" s="570"/>
      <c r="T22" s="570"/>
      <c r="U22" s="589">
        <f>P22+1</f>
        <v>46148</v>
      </c>
      <c r="V22" s="590"/>
      <c r="W22" s="590"/>
      <c r="X22" s="590"/>
      <c r="Y22" s="591"/>
      <c r="Z22" s="589">
        <f>U22+1</f>
        <v>46149</v>
      </c>
      <c r="AA22" s="590"/>
      <c r="AB22" s="590"/>
      <c r="AC22" s="590"/>
      <c r="AD22" s="591"/>
      <c r="AE22" s="589">
        <f>Z22+1</f>
        <v>46150</v>
      </c>
      <c r="AF22" s="590"/>
      <c r="AG22" s="590"/>
      <c r="AH22" s="590"/>
      <c r="AI22" s="591"/>
      <c r="AJ22" s="589">
        <f>AE22+1</f>
        <v>46151</v>
      </c>
      <c r="AK22" s="590"/>
      <c r="AL22" s="590"/>
      <c r="AM22" s="590"/>
      <c r="AN22" s="591"/>
      <c r="AO22" s="589">
        <f>AJ22+1</f>
        <v>46152</v>
      </c>
      <c r="AP22" s="590"/>
      <c r="AQ22" s="590"/>
      <c r="AR22" s="590"/>
      <c r="AS22" s="591"/>
      <c r="AT22" s="589">
        <f>AO22+1</f>
        <v>46153</v>
      </c>
      <c r="AU22" s="590"/>
      <c r="AV22" s="590"/>
      <c r="AW22" s="590"/>
      <c r="AX22" s="591"/>
    </row>
    <row r="23" spans="2:53" ht="15.75">
      <c r="B23" s="596"/>
      <c r="C23" s="596"/>
      <c r="D23" s="596"/>
      <c r="E23" s="596"/>
      <c r="F23" s="596"/>
      <c r="G23" s="596"/>
      <c r="H23" s="596"/>
      <c r="I23" s="205"/>
      <c r="J23" s="205"/>
      <c r="K23" s="205"/>
      <c r="L23" s="205"/>
      <c r="M23" s="206"/>
      <c r="N23" s="568"/>
      <c r="O23" s="568"/>
      <c r="P23" s="592" t="s">
        <v>318</v>
      </c>
      <c r="Q23" s="570"/>
      <c r="R23" s="570"/>
      <c r="S23" s="570"/>
      <c r="T23" s="570"/>
      <c r="U23" s="592" t="s">
        <v>319</v>
      </c>
      <c r="V23" s="570"/>
      <c r="W23" s="570"/>
      <c r="X23" s="570"/>
      <c r="Y23" s="570"/>
      <c r="Z23" s="592" t="s">
        <v>320</v>
      </c>
      <c r="AA23" s="570"/>
      <c r="AB23" s="570"/>
      <c r="AC23" s="570"/>
      <c r="AD23" s="570"/>
      <c r="AE23" s="592" t="s">
        <v>321</v>
      </c>
      <c r="AF23" s="570"/>
      <c r="AG23" s="570"/>
      <c r="AH23" s="570"/>
      <c r="AI23" s="570"/>
      <c r="AJ23" s="592" t="s">
        <v>322</v>
      </c>
      <c r="AK23" s="570"/>
      <c r="AL23" s="570"/>
      <c r="AM23" s="570"/>
      <c r="AN23" s="570"/>
      <c r="AO23" s="592" t="s">
        <v>323</v>
      </c>
      <c r="AP23" s="570"/>
      <c r="AQ23" s="570"/>
      <c r="AR23" s="570"/>
      <c r="AS23" s="570"/>
      <c r="AT23" s="592" t="s">
        <v>324</v>
      </c>
      <c r="AU23" s="570"/>
      <c r="AV23" s="570"/>
      <c r="AW23" s="570"/>
      <c r="AX23" s="570"/>
    </row>
    <row r="24" spans="2:53">
      <c r="B24" s="564" t="s">
        <v>154</v>
      </c>
      <c r="C24" s="564" t="s">
        <v>560</v>
      </c>
      <c r="D24" s="564"/>
      <c r="E24" s="564" t="s">
        <v>561</v>
      </c>
      <c r="F24" s="564"/>
      <c r="G24" s="564"/>
      <c r="H24" s="597" t="s">
        <v>562</v>
      </c>
      <c r="I24" s="564" t="s">
        <v>563</v>
      </c>
      <c r="J24" s="564"/>
      <c r="K24" s="564"/>
      <c r="L24" s="597" t="s">
        <v>374</v>
      </c>
      <c r="M24" s="566" t="s">
        <v>564</v>
      </c>
      <c r="N24" s="564"/>
      <c r="O24" s="564" t="s">
        <v>380</v>
      </c>
      <c r="P24" s="583" t="s">
        <v>376</v>
      </c>
      <c r="Q24" s="584"/>
      <c r="R24" s="584"/>
      <c r="S24" s="585"/>
      <c r="T24" s="564" t="s">
        <v>374</v>
      </c>
      <c r="U24" s="583" t="s">
        <v>376</v>
      </c>
      <c r="V24" s="584"/>
      <c r="W24" s="584"/>
      <c r="X24" s="585"/>
      <c r="Y24" s="564" t="s">
        <v>374</v>
      </c>
      <c r="Z24" s="583" t="s">
        <v>376</v>
      </c>
      <c r="AA24" s="584"/>
      <c r="AB24" s="584"/>
      <c r="AC24" s="585"/>
      <c r="AD24" s="564" t="s">
        <v>374</v>
      </c>
      <c r="AE24" s="583" t="s">
        <v>376</v>
      </c>
      <c r="AF24" s="584"/>
      <c r="AG24" s="584"/>
      <c r="AH24" s="585"/>
      <c r="AI24" s="564" t="s">
        <v>374</v>
      </c>
      <c r="AJ24" s="583" t="s">
        <v>376</v>
      </c>
      <c r="AK24" s="584"/>
      <c r="AL24" s="584"/>
      <c r="AM24" s="585"/>
      <c r="AN24" s="564" t="s">
        <v>374</v>
      </c>
      <c r="AO24" s="583" t="s">
        <v>376</v>
      </c>
      <c r="AP24" s="584"/>
      <c r="AQ24" s="584"/>
      <c r="AR24" s="585"/>
      <c r="AS24" s="564" t="s">
        <v>374</v>
      </c>
      <c r="AT24" s="583" t="s">
        <v>376</v>
      </c>
      <c r="AU24" s="584"/>
      <c r="AV24" s="584"/>
      <c r="AW24" s="585"/>
      <c r="AX24" s="564" t="s">
        <v>374</v>
      </c>
      <c r="BA24" s="564" t="s">
        <v>374</v>
      </c>
    </row>
    <row r="25" spans="2:53">
      <c r="B25" s="564"/>
      <c r="C25" s="564"/>
      <c r="D25" s="564"/>
      <c r="E25" s="564" t="s">
        <v>566</v>
      </c>
      <c r="F25" s="564"/>
      <c r="G25" s="564"/>
      <c r="H25" s="598"/>
      <c r="I25" s="564" t="s">
        <v>566</v>
      </c>
      <c r="J25" s="564"/>
      <c r="K25" s="564"/>
      <c r="L25" s="598"/>
      <c r="M25" s="567"/>
      <c r="N25" s="564"/>
      <c r="O25" s="564"/>
      <c r="P25" s="583" t="s">
        <v>382</v>
      </c>
      <c r="Q25" s="584"/>
      <c r="R25" s="584"/>
      <c r="S25" s="585"/>
      <c r="T25" s="564"/>
      <c r="U25" s="583" t="s">
        <v>382</v>
      </c>
      <c r="V25" s="584"/>
      <c r="W25" s="584"/>
      <c r="X25" s="585"/>
      <c r="Y25" s="564"/>
      <c r="Z25" s="583" t="s">
        <v>382</v>
      </c>
      <c r="AA25" s="584"/>
      <c r="AB25" s="584"/>
      <c r="AC25" s="585"/>
      <c r="AD25" s="564"/>
      <c r="AE25" s="583" t="s">
        <v>382</v>
      </c>
      <c r="AF25" s="584"/>
      <c r="AG25" s="584"/>
      <c r="AH25" s="585"/>
      <c r="AI25" s="564"/>
      <c r="AJ25" s="583" t="s">
        <v>382</v>
      </c>
      <c r="AK25" s="584"/>
      <c r="AL25" s="584"/>
      <c r="AM25" s="585"/>
      <c r="AN25" s="564"/>
      <c r="AO25" s="583" t="s">
        <v>382</v>
      </c>
      <c r="AP25" s="584"/>
      <c r="AQ25" s="584"/>
      <c r="AR25" s="585"/>
      <c r="AS25" s="564"/>
      <c r="AT25" s="583" t="s">
        <v>382</v>
      </c>
      <c r="AU25" s="584"/>
      <c r="AV25" s="584"/>
      <c r="AW25" s="585"/>
      <c r="AX25" s="564"/>
      <c r="BA25" s="564"/>
    </row>
    <row r="26" spans="2:53">
      <c r="B26" s="564"/>
      <c r="C26" s="564"/>
      <c r="D26" s="564"/>
      <c r="E26" s="417" t="s">
        <v>567</v>
      </c>
      <c r="F26" s="417" t="s">
        <v>568</v>
      </c>
      <c r="G26" s="417" t="s">
        <v>569</v>
      </c>
      <c r="H26" s="599"/>
      <c r="I26" s="417" t="s">
        <v>567</v>
      </c>
      <c r="J26" s="417" t="s">
        <v>568</v>
      </c>
      <c r="K26" s="417" t="s">
        <v>569</v>
      </c>
      <c r="L26" s="599"/>
      <c r="M26" s="568"/>
      <c r="N26" s="564"/>
      <c r="O26" s="564"/>
      <c r="P26" s="417" t="s">
        <v>383</v>
      </c>
      <c r="Q26" s="417" t="s">
        <v>384</v>
      </c>
      <c r="R26" s="417" t="s">
        <v>385</v>
      </c>
      <c r="S26" s="417" t="s">
        <v>375</v>
      </c>
      <c r="T26" s="564"/>
      <c r="U26" s="417" t="s">
        <v>383</v>
      </c>
      <c r="V26" s="417" t="s">
        <v>384</v>
      </c>
      <c r="W26" s="417" t="s">
        <v>385</v>
      </c>
      <c r="X26" s="417" t="s">
        <v>375</v>
      </c>
      <c r="Y26" s="564"/>
      <c r="Z26" s="417" t="s">
        <v>383</v>
      </c>
      <c r="AA26" s="417" t="s">
        <v>384</v>
      </c>
      <c r="AB26" s="417" t="s">
        <v>385</v>
      </c>
      <c r="AC26" s="417" t="s">
        <v>375</v>
      </c>
      <c r="AD26" s="564"/>
      <c r="AE26" s="417" t="s">
        <v>383</v>
      </c>
      <c r="AF26" s="417" t="s">
        <v>384</v>
      </c>
      <c r="AG26" s="417" t="s">
        <v>385</v>
      </c>
      <c r="AH26" s="417" t="s">
        <v>375</v>
      </c>
      <c r="AI26" s="564"/>
      <c r="AJ26" s="417" t="s">
        <v>383</v>
      </c>
      <c r="AK26" s="417" t="s">
        <v>384</v>
      </c>
      <c r="AL26" s="417" t="s">
        <v>385</v>
      </c>
      <c r="AM26" s="417" t="s">
        <v>375</v>
      </c>
      <c r="AN26" s="564"/>
      <c r="AO26" s="417" t="s">
        <v>383</v>
      </c>
      <c r="AP26" s="417" t="s">
        <v>384</v>
      </c>
      <c r="AQ26" s="417" t="s">
        <v>385</v>
      </c>
      <c r="AR26" s="417" t="s">
        <v>375</v>
      </c>
      <c r="AS26" s="564"/>
      <c r="AT26" s="417" t="s">
        <v>383</v>
      </c>
      <c r="AU26" s="417" t="s">
        <v>384</v>
      </c>
      <c r="AV26" s="417" t="s">
        <v>385</v>
      </c>
      <c r="AW26" s="417" t="s">
        <v>375</v>
      </c>
      <c r="AX26" s="564"/>
      <c r="AZ26" s="406" t="s">
        <v>375</v>
      </c>
      <c r="BA26" s="564"/>
    </row>
    <row r="27" spans="2:53">
      <c r="B27" s="564" t="s">
        <v>455</v>
      </c>
      <c r="C27" s="420">
        <v>1</v>
      </c>
      <c r="D27" s="226" t="s">
        <v>357</v>
      </c>
      <c r="E27" s="425">
        <v>20</v>
      </c>
      <c r="F27" s="418">
        <v>2400</v>
      </c>
      <c r="G27" s="419">
        <v>120</v>
      </c>
      <c r="H27" s="578">
        <f>AVERAGE(G27:G41)</f>
        <v>153.87142857142857</v>
      </c>
      <c r="I27" s="422">
        <f t="shared" ref="I27:I40" si="19">IFERROR(AVERAGE(P27,U27,Z27,AE27,AJ27,AO27,AT27),"-")</f>
        <v>20</v>
      </c>
      <c r="J27" s="422">
        <f t="shared" ref="J27:J40" si="20">IFERROR(AVERAGE(Q27,V27,AA27,AF27,AK27,AP27,AU27),"-")</f>
        <v>2340.1173848206099</v>
      </c>
      <c r="K27" s="200">
        <f t="shared" ref="K27:K40" si="21">IFERROR(AVERAGE(R27,W27,AB27,AG27,AL27,AQ27,AV27),"-")</f>
        <v>117.00586924103052</v>
      </c>
      <c r="L27" s="580">
        <f>IFERROR(AVERAGE(K27:K41),"-")</f>
        <v>132.35821870184301</v>
      </c>
      <c r="M27" s="426">
        <f>RANK(K27, K$24:$K$41)</f>
        <v>7</v>
      </c>
      <c r="N27" s="564"/>
      <c r="O27" s="564"/>
      <c r="P27" s="420">
        <v>20</v>
      </c>
      <c r="Q27" s="426">
        <v>2293.6421052631576</v>
      </c>
      <c r="R27" s="426">
        <v>114.68210526315788</v>
      </c>
      <c r="S27" s="420">
        <f>RANK(R27, R$24:R$41)</f>
        <v>7</v>
      </c>
      <c r="T27" s="572">
        <f>AVERAGE(R27:R41)</f>
        <v>129.69592341907645</v>
      </c>
      <c r="U27" s="420">
        <v>20</v>
      </c>
      <c r="V27" s="426">
        <v>2310.244660194176</v>
      </c>
      <c r="W27" s="426">
        <v>115.51223300970881</v>
      </c>
      <c r="X27" s="430">
        <f>RANK(W27, W$24:W$41)</f>
        <v>7</v>
      </c>
      <c r="Y27" s="572">
        <f>AVERAGE(W27:W41)</f>
        <v>132.67657369016734</v>
      </c>
      <c r="Z27" s="420">
        <v>20</v>
      </c>
      <c r="AA27" s="426">
        <v>2336.6871165644175</v>
      </c>
      <c r="AB27" s="426">
        <v>116.83435582822088</v>
      </c>
      <c r="AC27" s="430">
        <f>RANK(AB27, AB$24:AB$41)</f>
        <v>7</v>
      </c>
      <c r="AD27" s="572">
        <f>AVERAGE(AB27:AB41)</f>
        <v>132.91186559487315</v>
      </c>
      <c r="AE27" s="420">
        <v>20</v>
      </c>
      <c r="AF27" s="426">
        <v>2343.636363636364</v>
      </c>
      <c r="AG27" s="426">
        <v>117.1818181818182</v>
      </c>
      <c r="AH27" s="430">
        <f>RANK(AG27, AG$24:AG$41)</f>
        <v>7</v>
      </c>
      <c r="AI27" s="572">
        <f>AVERAGE(AG27:AG41)</f>
        <v>132.44751813107979</v>
      </c>
      <c r="AJ27" s="420">
        <v>20</v>
      </c>
      <c r="AK27" s="426">
        <v>2362.5842696629215</v>
      </c>
      <c r="AL27" s="426">
        <v>118.12921348314607</v>
      </c>
      <c r="AM27" s="430">
        <f>RANK(AL27, AL$24:AL$41)</f>
        <v>7</v>
      </c>
      <c r="AN27" s="572">
        <f>AVERAGE(AL27:AL41)</f>
        <v>132.91248041497585</v>
      </c>
      <c r="AO27" s="420">
        <v>20</v>
      </c>
      <c r="AP27" s="426">
        <v>2345.4771784232371</v>
      </c>
      <c r="AQ27" s="426">
        <v>117.27385892116186</v>
      </c>
      <c r="AR27" s="430">
        <f>RANK(AQ27, AQ$24:AQ$41)</f>
        <v>7</v>
      </c>
      <c r="AS27" s="572">
        <f>AVERAGE(AQ27:AQ41)</f>
        <v>134.00601484321064</v>
      </c>
      <c r="AT27" s="425">
        <v>20</v>
      </c>
      <c r="AU27" s="425">
        <v>2388.5500000000002</v>
      </c>
      <c r="AV27" s="425">
        <v>119.42750000000001</v>
      </c>
      <c r="AW27" s="430">
        <f>RANK(AV27, AV$24:AV$41)</f>
        <v>7</v>
      </c>
      <c r="AX27" s="572">
        <f>AVERAGE(AV27:AV41)</f>
        <v>131.85715481951775</v>
      </c>
      <c r="AZ27" s="407" t="e">
        <f t="shared" ref="AZ27:AZ41" si="22">RANK(AY27, AY$27:AY$41)</f>
        <v>#N/A</v>
      </c>
      <c r="BA27" s="559" t="e">
        <f t="shared" ref="BA27" si="23">AVERAGE(AY27:AY41)</f>
        <v>#DIV/0!</v>
      </c>
    </row>
    <row r="28" spans="2:53">
      <c r="B28" s="570"/>
      <c r="C28" s="420">
        <v>2</v>
      </c>
      <c r="D28" s="226" t="s">
        <v>358</v>
      </c>
      <c r="E28" s="425">
        <v>18</v>
      </c>
      <c r="F28" s="418">
        <v>2700</v>
      </c>
      <c r="G28" s="419">
        <v>166.7</v>
      </c>
      <c r="H28" s="579"/>
      <c r="I28" s="422">
        <f t="shared" si="19"/>
        <v>18.428571428571427</v>
      </c>
      <c r="J28" s="422">
        <f t="shared" si="20"/>
        <v>2539.6618587837415</v>
      </c>
      <c r="K28" s="200">
        <f t="shared" si="21"/>
        <v>137.90293027651913</v>
      </c>
      <c r="L28" s="581"/>
      <c r="M28" s="432">
        <f>RANK(K28, K$24:$K$41)</f>
        <v>3</v>
      </c>
      <c r="N28" s="564"/>
      <c r="O28" s="564"/>
      <c r="P28" s="420">
        <v>19</v>
      </c>
      <c r="Q28" s="426">
        <v>2524.8387096774218</v>
      </c>
      <c r="R28" s="426">
        <v>132.88624787775905</v>
      </c>
      <c r="S28" s="430">
        <f t="shared" ref="S28:S41" si="24">RANK(R28, R$24:R$41)</f>
        <v>4</v>
      </c>
      <c r="T28" s="572"/>
      <c r="U28" s="420">
        <v>18</v>
      </c>
      <c r="V28" s="426">
        <v>2519.016393442625</v>
      </c>
      <c r="W28" s="426">
        <v>139.94535519125694</v>
      </c>
      <c r="X28" s="430">
        <f t="shared" ref="X28:X41" si="25">RANK(W28, W$24:W$41)</f>
        <v>3</v>
      </c>
      <c r="Y28" s="572"/>
      <c r="Z28" s="420">
        <v>19</v>
      </c>
      <c r="AA28" s="426">
        <v>2564.7272727272743</v>
      </c>
      <c r="AB28" s="426">
        <v>134.98564593301444</v>
      </c>
      <c r="AC28" s="430">
        <f t="shared" ref="AC28:AC41" si="26">RANK(AB28, AB$24:AB$41)</f>
        <v>4</v>
      </c>
      <c r="AD28" s="572"/>
      <c r="AE28" s="420">
        <v>18</v>
      </c>
      <c r="AF28" s="426">
        <v>2537.0000000000023</v>
      </c>
      <c r="AG28" s="426">
        <v>140.94444444444457</v>
      </c>
      <c r="AH28" s="430">
        <f t="shared" ref="AH28:AH41" si="27">RANK(AG28, AG$24:AG$41)</f>
        <v>1</v>
      </c>
      <c r="AI28" s="572"/>
      <c r="AJ28" s="420">
        <v>18</v>
      </c>
      <c r="AK28" s="426">
        <v>2512.3809523809518</v>
      </c>
      <c r="AL28" s="426">
        <v>139.57671957671954</v>
      </c>
      <c r="AM28" s="430">
        <f t="shared" ref="AM28:AM41" si="28">RANK(AL28, AL$24:AL$41)</f>
        <v>2</v>
      </c>
      <c r="AN28" s="572"/>
      <c r="AO28" s="420">
        <v>18</v>
      </c>
      <c r="AP28" s="426">
        <v>2573.8235294117612</v>
      </c>
      <c r="AQ28" s="426">
        <v>142.99019607843118</v>
      </c>
      <c r="AR28" s="430">
        <f t="shared" ref="AR28:AR41" si="29">RANK(AQ28, AQ$24:AQ$41)</f>
        <v>1</v>
      </c>
      <c r="AS28" s="572"/>
      <c r="AT28" s="418">
        <v>19</v>
      </c>
      <c r="AU28" s="425">
        <v>2545.8461538461565</v>
      </c>
      <c r="AV28" s="425">
        <v>133.99190283400824</v>
      </c>
      <c r="AW28" s="430">
        <f t="shared" ref="AW28:AW41" si="30">RANK(AV28, AV$24:AV$41)</f>
        <v>3</v>
      </c>
      <c r="AX28" s="572"/>
      <c r="AZ28" s="407" t="e">
        <f t="shared" si="22"/>
        <v>#N/A</v>
      </c>
      <c r="BA28" s="560"/>
    </row>
    <row r="29" spans="2:53">
      <c r="B29" s="570"/>
      <c r="C29" s="420">
        <v>3</v>
      </c>
      <c r="D29" s="226" t="s">
        <v>359</v>
      </c>
      <c r="E29" s="425">
        <v>18</v>
      </c>
      <c r="F29" s="418">
        <v>2700</v>
      </c>
      <c r="G29" s="419">
        <v>166.7</v>
      </c>
      <c r="H29" s="579"/>
      <c r="I29" s="422">
        <f t="shared" si="19"/>
        <v>19</v>
      </c>
      <c r="J29" s="422">
        <f t="shared" si="20"/>
        <v>2535.9019466869181</v>
      </c>
      <c r="K29" s="200">
        <f t="shared" si="21"/>
        <v>133.46852350983778</v>
      </c>
      <c r="L29" s="581"/>
      <c r="M29" s="432">
        <f>RANK(K29, K$24:$K$41)</f>
        <v>5</v>
      </c>
      <c r="N29" s="564"/>
      <c r="O29" s="564"/>
      <c r="P29" s="420">
        <v>19</v>
      </c>
      <c r="Q29" s="426">
        <v>2546.0240963855413</v>
      </c>
      <c r="R29" s="426">
        <v>134.00126823081797</v>
      </c>
      <c r="S29" s="430">
        <f t="shared" si="24"/>
        <v>2</v>
      </c>
      <c r="T29" s="572"/>
      <c r="U29" s="420">
        <v>19</v>
      </c>
      <c r="V29" s="426">
        <v>2496.7499999999991</v>
      </c>
      <c r="W29" s="426">
        <v>131.40789473684205</v>
      </c>
      <c r="X29" s="430">
        <f t="shared" si="25"/>
        <v>5</v>
      </c>
      <c r="Y29" s="572"/>
      <c r="Z29" s="420">
        <v>19</v>
      </c>
      <c r="AA29" s="426">
        <v>2551.395348837209</v>
      </c>
      <c r="AB29" s="426">
        <v>134.28396572827415</v>
      </c>
      <c r="AC29" s="430">
        <f t="shared" si="26"/>
        <v>5</v>
      </c>
      <c r="AD29" s="572"/>
      <c r="AE29" s="420">
        <v>19</v>
      </c>
      <c r="AF29" s="426">
        <v>2534</v>
      </c>
      <c r="AG29" s="426">
        <v>133.36842105263159</v>
      </c>
      <c r="AH29" s="430">
        <f t="shared" si="27"/>
        <v>5</v>
      </c>
      <c r="AI29" s="572"/>
      <c r="AJ29" s="420">
        <v>19</v>
      </c>
      <c r="AK29" s="426">
        <v>2563.695652173913</v>
      </c>
      <c r="AL29" s="426">
        <v>134.93135011441646</v>
      </c>
      <c r="AM29" s="430">
        <f t="shared" si="28"/>
        <v>4</v>
      </c>
      <c r="AN29" s="572"/>
      <c r="AO29" s="420">
        <v>19</v>
      </c>
      <c r="AP29" s="426">
        <v>2558.8235294117658</v>
      </c>
      <c r="AQ29" s="426">
        <v>134.67492260061925</v>
      </c>
      <c r="AR29" s="430">
        <f t="shared" si="29"/>
        <v>4</v>
      </c>
      <c r="AS29" s="572"/>
      <c r="AT29" s="418">
        <v>19</v>
      </c>
      <c r="AU29" s="425">
        <v>2500.6250000000005</v>
      </c>
      <c r="AV29" s="425">
        <v>131.61184210526318</v>
      </c>
      <c r="AW29" s="430">
        <f t="shared" si="30"/>
        <v>5</v>
      </c>
      <c r="AX29" s="572"/>
      <c r="AZ29" s="407" t="e">
        <f t="shared" si="22"/>
        <v>#N/A</v>
      </c>
      <c r="BA29" s="560"/>
    </row>
    <row r="30" spans="2:53">
      <c r="B30" s="570"/>
      <c r="C30" s="420">
        <v>4</v>
      </c>
      <c r="D30" s="226" t="s">
        <v>360</v>
      </c>
      <c r="E30" s="425">
        <v>19</v>
      </c>
      <c r="F30" s="418">
        <v>2700</v>
      </c>
      <c r="G30" s="419">
        <v>157.9</v>
      </c>
      <c r="H30" s="579"/>
      <c r="I30" s="422">
        <f t="shared" si="19"/>
        <v>19</v>
      </c>
      <c r="J30" s="422">
        <f t="shared" si="20"/>
        <v>2537.9148765673467</v>
      </c>
      <c r="K30" s="200">
        <f t="shared" si="21"/>
        <v>133.57446718775515</v>
      </c>
      <c r="L30" s="581"/>
      <c r="M30" s="432">
        <f>RANK(K30, K$24:$K$41)</f>
        <v>4</v>
      </c>
      <c r="N30" s="564"/>
      <c r="O30" s="564"/>
      <c r="P30" s="420">
        <v>19</v>
      </c>
      <c r="Q30" s="426">
        <v>2523.1578947368439</v>
      </c>
      <c r="R30" s="426">
        <v>132.7977839335181</v>
      </c>
      <c r="S30" s="430">
        <f t="shared" si="24"/>
        <v>5</v>
      </c>
      <c r="T30" s="572"/>
      <c r="U30" s="420">
        <v>19</v>
      </c>
      <c r="V30" s="426">
        <v>2511.8644067796599</v>
      </c>
      <c r="W30" s="426">
        <v>132.20338983050843</v>
      </c>
      <c r="X30" s="430">
        <f t="shared" si="25"/>
        <v>4</v>
      </c>
      <c r="Y30" s="572"/>
      <c r="Z30" s="420">
        <v>19</v>
      </c>
      <c r="AA30" s="426">
        <v>2568.2142857142876</v>
      </c>
      <c r="AB30" s="426">
        <v>135.16917293233092</v>
      </c>
      <c r="AC30" s="430">
        <f t="shared" si="26"/>
        <v>3</v>
      </c>
      <c r="AD30" s="572"/>
      <c r="AE30" s="420">
        <v>19</v>
      </c>
      <c r="AF30" s="426">
        <v>2546.2809917355362</v>
      </c>
      <c r="AG30" s="426">
        <v>134.01478903871242</v>
      </c>
      <c r="AH30" s="430">
        <f t="shared" si="27"/>
        <v>4</v>
      </c>
      <c r="AI30" s="572"/>
      <c r="AJ30" s="420">
        <v>19</v>
      </c>
      <c r="AK30" s="426">
        <v>2557.5609756097551</v>
      </c>
      <c r="AL30" s="426">
        <v>134.60847240051342</v>
      </c>
      <c r="AM30" s="430">
        <f t="shared" si="28"/>
        <v>5</v>
      </c>
      <c r="AN30" s="572"/>
      <c r="AO30" s="420">
        <v>19</v>
      </c>
      <c r="AP30" s="426">
        <v>2556.0000000000005</v>
      </c>
      <c r="AQ30" s="426">
        <v>134.5263157894737</v>
      </c>
      <c r="AR30" s="430">
        <f t="shared" si="29"/>
        <v>5</v>
      </c>
      <c r="AS30" s="572"/>
      <c r="AT30" s="418">
        <v>19</v>
      </c>
      <c r="AU30" s="425">
        <v>2502.3255813953483</v>
      </c>
      <c r="AV30" s="425">
        <v>131.70134638922886</v>
      </c>
      <c r="AW30" s="430">
        <f t="shared" si="30"/>
        <v>4</v>
      </c>
      <c r="AX30" s="572"/>
      <c r="AZ30" s="407" t="e">
        <f t="shared" si="22"/>
        <v>#N/A</v>
      </c>
      <c r="BA30" s="560"/>
    </row>
    <row r="31" spans="2:53">
      <c r="B31" s="570"/>
      <c r="C31" s="420">
        <v>5</v>
      </c>
      <c r="D31" s="226" t="s">
        <v>532</v>
      </c>
      <c r="E31" s="425">
        <v>17</v>
      </c>
      <c r="F31" s="418">
        <v>2250</v>
      </c>
      <c r="G31" s="419">
        <v>132.4</v>
      </c>
      <c r="H31" s="579"/>
      <c r="I31" s="422">
        <f t="shared" si="19"/>
        <v>18</v>
      </c>
      <c r="J31" s="422">
        <f t="shared" si="20"/>
        <v>2228.1265386985501</v>
      </c>
      <c r="K31" s="200">
        <f t="shared" si="21"/>
        <v>123.78480770547503</v>
      </c>
      <c r="L31" s="581"/>
      <c r="M31" s="432">
        <f>RANK(K31, K$24:$K$41)</f>
        <v>6</v>
      </c>
      <c r="N31" s="564"/>
      <c r="O31" s="564"/>
      <c r="P31" s="420">
        <v>18</v>
      </c>
      <c r="Q31" s="426">
        <v>2221.304347826087</v>
      </c>
      <c r="R31" s="426">
        <v>123.40579710144928</v>
      </c>
      <c r="S31" s="430">
        <f t="shared" si="24"/>
        <v>6</v>
      </c>
      <c r="T31" s="572"/>
      <c r="U31" s="420">
        <v>18</v>
      </c>
      <c r="V31" s="426">
        <v>2221.6395348837204</v>
      </c>
      <c r="W31" s="426">
        <v>123.42441860465114</v>
      </c>
      <c r="X31" s="430">
        <f t="shared" si="25"/>
        <v>6</v>
      </c>
      <c r="Y31" s="572"/>
      <c r="Z31" s="420">
        <v>18</v>
      </c>
      <c r="AA31" s="426">
        <v>2268.5</v>
      </c>
      <c r="AB31" s="426">
        <v>126.02777777777777</v>
      </c>
      <c r="AC31" s="430">
        <f t="shared" si="26"/>
        <v>6</v>
      </c>
      <c r="AD31" s="572"/>
      <c r="AE31" s="420">
        <v>18</v>
      </c>
      <c r="AF31" s="426">
        <v>2223.4814814814822</v>
      </c>
      <c r="AG31" s="426">
        <v>123.52674897119346</v>
      </c>
      <c r="AH31" s="430">
        <f t="shared" si="27"/>
        <v>6</v>
      </c>
      <c r="AI31" s="572"/>
      <c r="AJ31" s="420">
        <v>18</v>
      </c>
      <c r="AK31" s="426">
        <v>2200.397727272727</v>
      </c>
      <c r="AL31" s="426">
        <v>122.24431818181817</v>
      </c>
      <c r="AM31" s="430">
        <f t="shared" si="28"/>
        <v>6</v>
      </c>
      <c r="AN31" s="572"/>
      <c r="AO31" s="420">
        <v>18</v>
      </c>
      <c r="AP31" s="426">
        <v>2218.0363636363631</v>
      </c>
      <c r="AQ31" s="426">
        <v>123.22424242424239</v>
      </c>
      <c r="AR31" s="430">
        <f t="shared" si="29"/>
        <v>6</v>
      </c>
      <c r="AS31" s="572"/>
      <c r="AT31" s="418">
        <v>18</v>
      </c>
      <c r="AU31" s="425">
        <v>2243.5263157894728</v>
      </c>
      <c r="AV31" s="425">
        <v>124.64035087719293</v>
      </c>
      <c r="AW31" s="430">
        <f t="shared" si="30"/>
        <v>6</v>
      </c>
      <c r="AX31" s="572"/>
      <c r="AZ31" s="407" t="e">
        <f t="shared" si="22"/>
        <v>#N/A</v>
      </c>
      <c r="BA31" s="560"/>
    </row>
    <row r="32" spans="2:53">
      <c r="B32" s="570"/>
      <c r="C32" s="420">
        <v>6</v>
      </c>
      <c r="D32" s="226" t="s">
        <v>653</v>
      </c>
      <c r="E32" s="425">
        <v>17</v>
      </c>
      <c r="F32" s="418">
        <v>2700</v>
      </c>
      <c r="G32" s="419">
        <v>166.7</v>
      </c>
      <c r="H32" s="579"/>
      <c r="I32" s="422">
        <f t="shared" si="19"/>
        <v>17.142857142857142</v>
      </c>
      <c r="J32" s="422">
        <f t="shared" si="20"/>
        <v>2401.0466584036212</v>
      </c>
      <c r="K32" s="200">
        <f t="shared" si="21"/>
        <v>140.11987717929037</v>
      </c>
      <c r="L32" s="581"/>
      <c r="M32" s="432">
        <f>RANK(K32, K$24:$K$41)</f>
        <v>2</v>
      </c>
      <c r="N32" s="564"/>
      <c r="O32" s="564"/>
      <c r="P32" s="420">
        <v>18</v>
      </c>
      <c r="Q32" s="426">
        <v>2395.1020408163272</v>
      </c>
      <c r="R32" s="426">
        <v>133.06122448979596</v>
      </c>
      <c r="S32" s="430">
        <f t="shared" si="24"/>
        <v>3</v>
      </c>
      <c r="T32" s="572"/>
      <c r="U32" s="420">
        <v>17</v>
      </c>
      <c r="V32" s="426">
        <v>2415.6000000000008</v>
      </c>
      <c r="W32" s="426">
        <v>142.09411764705888</v>
      </c>
      <c r="X32" s="430">
        <f t="shared" si="25"/>
        <v>2</v>
      </c>
      <c r="Y32" s="572"/>
      <c r="Z32" s="420">
        <v>17</v>
      </c>
      <c r="AA32" s="426">
        <v>2402.6666666666665</v>
      </c>
      <c r="AB32" s="426">
        <v>141.33333333333331</v>
      </c>
      <c r="AC32" s="430">
        <f t="shared" si="26"/>
        <v>2</v>
      </c>
      <c r="AD32" s="572"/>
      <c r="AE32" s="420">
        <v>17</v>
      </c>
      <c r="AF32" s="426">
        <v>2368.7500000000009</v>
      </c>
      <c r="AG32" s="426">
        <v>139.33823529411771</v>
      </c>
      <c r="AH32" s="430">
        <f t="shared" si="27"/>
        <v>2</v>
      </c>
      <c r="AI32" s="572"/>
      <c r="AJ32" s="420">
        <v>17</v>
      </c>
      <c r="AK32" s="426">
        <v>2407.3469387755113</v>
      </c>
      <c r="AL32" s="426">
        <v>141.60864345738301</v>
      </c>
      <c r="AM32" s="430">
        <f t="shared" si="28"/>
        <v>1</v>
      </c>
      <c r="AN32" s="572"/>
      <c r="AO32" s="420">
        <v>17</v>
      </c>
      <c r="AP32" s="426">
        <v>2427.2727272727257</v>
      </c>
      <c r="AQ32" s="426">
        <v>142.78074866310152</v>
      </c>
      <c r="AR32" s="430">
        <f t="shared" si="29"/>
        <v>2</v>
      </c>
      <c r="AS32" s="572"/>
      <c r="AT32" s="418">
        <v>17</v>
      </c>
      <c r="AU32" s="425">
        <v>2390.5882352941185</v>
      </c>
      <c r="AV32" s="425">
        <v>140.62283737024225</v>
      </c>
      <c r="AW32" s="430">
        <f t="shared" si="30"/>
        <v>2</v>
      </c>
      <c r="AX32" s="572"/>
      <c r="AZ32" s="407" t="e">
        <f t="shared" si="22"/>
        <v>#N/A</v>
      </c>
      <c r="BA32" s="560"/>
    </row>
    <row r="33" spans="2:53">
      <c r="B33" s="570"/>
      <c r="C33" s="420">
        <v>7</v>
      </c>
      <c r="D33" s="226" t="s">
        <v>677</v>
      </c>
      <c r="E33" s="425">
        <v>17</v>
      </c>
      <c r="F33" s="418">
        <v>2700</v>
      </c>
      <c r="G33" s="419">
        <v>166.7</v>
      </c>
      <c r="H33" s="579"/>
      <c r="I33" s="422">
        <f t="shared" si="19"/>
        <v>17.142857142857142</v>
      </c>
      <c r="J33" s="422">
        <f t="shared" si="20"/>
        <v>2410.6446683976005</v>
      </c>
      <c r="K33" s="200">
        <f t="shared" si="21"/>
        <v>140.65105581299301</v>
      </c>
      <c r="L33" s="581"/>
      <c r="M33" s="432">
        <f>RANK(K33, K$24:$K$41)</f>
        <v>1</v>
      </c>
      <c r="N33" s="564"/>
      <c r="O33" s="564"/>
      <c r="P33" s="420">
        <v>18</v>
      </c>
      <c r="Q33" s="426">
        <v>2466.6666666666647</v>
      </c>
      <c r="R33" s="426">
        <v>137.03703703703692</v>
      </c>
      <c r="S33" s="430">
        <f t="shared" si="24"/>
        <v>1</v>
      </c>
      <c r="T33" s="572"/>
      <c r="U33" s="420">
        <v>17</v>
      </c>
      <c r="V33" s="426">
        <v>2450.5263157894715</v>
      </c>
      <c r="W33" s="426">
        <v>144.14860681114538</v>
      </c>
      <c r="X33" s="430">
        <f t="shared" si="25"/>
        <v>1</v>
      </c>
      <c r="Y33" s="572"/>
      <c r="Z33" s="420">
        <v>17</v>
      </c>
      <c r="AA33" s="426">
        <v>2409.7297297297282</v>
      </c>
      <c r="AB33" s="426">
        <v>141.74880763116047</v>
      </c>
      <c r="AC33" s="430">
        <f t="shared" si="26"/>
        <v>1</v>
      </c>
      <c r="AD33" s="572"/>
      <c r="AE33" s="420">
        <v>17</v>
      </c>
      <c r="AF33" s="426">
        <v>2358.8888888888905</v>
      </c>
      <c r="AG33" s="426">
        <v>138.75816993464062</v>
      </c>
      <c r="AH33" s="430">
        <f t="shared" si="27"/>
        <v>3</v>
      </c>
      <c r="AI33" s="572"/>
      <c r="AJ33" s="420">
        <v>17</v>
      </c>
      <c r="AK33" s="426">
        <v>2367.9069767441856</v>
      </c>
      <c r="AL33" s="426">
        <v>139.28864569083444</v>
      </c>
      <c r="AM33" s="430">
        <f t="shared" si="28"/>
        <v>3</v>
      </c>
      <c r="AN33" s="572"/>
      <c r="AO33" s="420">
        <v>17</v>
      </c>
      <c r="AP33" s="426">
        <v>2423.7209302325577</v>
      </c>
      <c r="AQ33" s="426">
        <v>142.57181942544457</v>
      </c>
      <c r="AR33" s="430">
        <f t="shared" si="29"/>
        <v>3</v>
      </c>
      <c r="AS33" s="572"/>
      <c r="AT33" s="418">
        <v>17</v>
      </c>
      <c r="AU33" s="425">
        <v>2397.0731707317063</v>
      </c>
      <c r="AV33" s="425">
        <v>141.0043041606886</v>
      </c>
      <c r="AW33" s="430">
        <f t="shared" si="30"/>
        <v>1</v>
      </c>
      <c r="AX33" s="572"/>
      <c r="AZ33" s="407" t="e">
        <f t="shared" si="22"/>
        <v>#N/A</v>
      </c>
      <c r="BA33" s="560"/>
    </row>
    <row r="34" spans="2:53">
      <c r="B34" s="570"/>
      <c r="C34" s="420">
        <v>8</v>
      </c>
      <c r="D34" s="226"/>
      <c r="E34" s="425"/>
      <c r="F34" s="418"/>
      <c r="G34" s="419"/>
      <c r="H34" s="579"/>
      <c r="I34" s="422" t="str">
        <f t="shared" si="19"/>
        <v>-</v>
      </c>
      <c r="J34" s="422" t="str">
        <f t="shared" si="20"/>
        <v>-</v>
      </c>
      <c r="K34" s="200" t="str">
        <f t="shared" si="21"/>
        <v>-</v>
      </c>
      <c r="L34" s="581"/>
      <c r="M34" s="432" t="e">
        <f>RANK(K34, K$24:$K$41)</f>
        <v>#VALUE!</v>
      </c>
      <c r="N34" s="564"/>
      <c r="O34" s="564"/>
      <c r="P34" s="420"/>
      <c r="Q34" s="426"/>
      <c r="R34" s="426"/>
      <c r="S34" s="430" t="e">
        <f t="shared" si="24"/>
        <v>#N/A</v>
      </c>
      <c r="T34" s="572"/>
      <c r="U34" s="420"/>
      <c r="V34" s="426"/>
      <c r="W34" s="426"/>
      <c r="X34" s="430" t="e">
        <f t="shared" si="25"/>
        <v>#N/A</v>
      </c>
      <c r="Y34" s="572"/>
      <c r="Z34" s="420"/>
      <c r="AA34" s="426"/>
      <c r="AB34" s="426"/>
      <c r="AC34" s="430" t="e">
        <f t="shared" si="26"/>
        <v>#N/A</v>
      </c>
      <c r="AD34" s="572"/>
      <c r="AE34" s="420"/>
      <c r="AF34" s="426"/>
      <c r="AG34" s="426"/>
      <c r="AH34" s="430" t="e">
        <f t="shared" si="27"/>
        <v>#N/A</v>
      </c>
      <c r="AI34" s="572"/>
      <c r="AJ34" s="420"/>
      <c r="AK34" s="426"/>
      <c r="AL34" s="426"/>
      <c r="AM34" s="430" t="e">
        <f t="shared" si="28"/>
        <v>#N/A</v>
      </c>
      <c r="AN34" s="572"/>
      <c r="AO34" s="420"/>
      <c r="AP34" s="426"/>
      <c r="AQ34" s="426"/>
      <c r="AR34" s="430" t="e">
        <f t="shared" si="29"/>
        <v>#N/A</v>
      </c>
      <c r="AS34" s="572"/>
      <c r="AT34" s="418"/>
      <c r="AU34" s="419"/>
      <c r="AV34" s="419"/>
      <c r="AW34" s="430" t="e">
        <f t="shared" si="30"/>
        <v>#N/A</v>
      </c>
      <c r="AX34" s="572"/>
      <c r="AZ34" s="407" t="e">
        <f t="shared" si="22"/>
        <v>#N/A</v>
      </c>
      <c r="BA34" s="560"/>
    </row>
    <row r="35" spans="2:53">
      <c r="B35" s="570"/>
      <c r="C35" s="420">
        <v>9</v>
      </c>
      <c r="D35" s="226"/>
      <c r="E35" s="425"/>
      <c r="F35" s="418"/>
      <c r="G35" s="419"/>
      <c r="H35" s="579"/>
      <c r="I35" s="422" t="str">
        <f t="shared" si="19"/>
        <v>-</v>
      </c>
      <c r="J35" s="422" t="str">
        <f t="shared" si="20"/>
        <v>-</v>
      </c>
      <c r="K35" s="200" t="str">
        <f t="shared" si="21"/>
        <v>-</v>
      </c>
      <c r="L35" s="581"/>
      <c r="M35" s="432" t="e">
        <f>RANK(K35, K$24:$K$41)</f>
        <v>#VALUE!</v>
      </c>
      <c r="N35" s="564"/>
      <c r="O35" s="564"/>
      <c r="P35" s="420"/>
      <c r="Q35" s="426"/>
      <c r="R35" s="426"/>
      <c r="S35" s="430" t="e">
        <f t="shared" si="24"/>
        <v>#N/A</v>
      </c>
      <c r="T35" s="572"/>
      <c r="U35" s="420"/>
      <c r="V35" s="426"/>
      <c r="W35" s="426"/>
      <c r="X35" s="430" t="e">
        <f t="shared" si="25"/>
        <v>#N/A</v>
      </c>
      <c r="Y35" s="572"/>
      <c r="Z35" s="420"/>
      <c r="AA35" s="426"/>
      <c r="AB35" s="426"/>
      <c r="AC35" s="430" t="e">
        <f t="shared" si="26"/>
        <v>#N/A</v>
      </c>
      <c r="AD35" s="572"/>
      <c r="AE35" s="420"/>
      <c r="AF35" s="426"/>
      <c r="AG35" s="426"/>
      <c r="AH35" s="430" t="e">
        <f t="shared" si="27"/>
        <v>#N/A</v>
      </c>
      <c r="AI35" s="572"/>
      <c r="AJ35" s="420"/>
      <c r="AK35" s="426"/>
      <c r="AL35" s="426"/>
      <c r="AM35" s="430" t="e">
        <f t="shared" si="28"/>
        <v>#N/A</v>
      </c>
      <c r="AN35" s="572"/>
      <c r="AO35" s="420"/>
      <c r="AP35" s="426"/>
      <c r="AQ35" s="426"/>
      <c r="AR35" s="430" t="e">
        <f t="shared" si="29"/>
        <v>#N/A</v>
      </c>
      <c r="AS35" s="572"/>
      <c r="AT35" s="418"/>
      <c r="AU35" s="419"/>
      <c r="AV35" s="419"/>
      <c r="AW35" s="430" t="e">
        <f t="shared" si="30"/>
        <v>#N/A</v>
      </c>
      <c r="AX35" s="572"/>
      <c r="AZ35" s="407" t="e">
        <f t="shared" si="22"/>
        <v>#N/A</v>
      </c>
      <c r="BA35" s="560"/>
    </row>
    <row r="36" spans="2:53">
      <c r="B36" s="570"/>
      <c r="C36" s="420">
        <v>10</v>
      </c>
      <c r="D36" s="226"/>
      <c r="E36" s="425"/>
      <c r="F36" s="418"/>
      <c r="G36" s="419"/>
      <c r="H36" s="579"/>
      <c r="I36" s="422" t="str">
        <f t="shared" si="19"/>
        <v>-</v>
      </c>
      <c r="J36" s="422" t="str">
        <f t="shared" si="20"/>
        <v>-</v>
      </c>
      <c r="K36" s="200" t="str">
        <f t="shared" si="21"/>
        <v>-</v>
      </c>
      <c r="L36" s="581"/>
      <c r="M36" s="432" t="e">
        <f>RANK(K36, K$24:$K$41)</f>
        <v>#VALUE!</v>
      </c>
      <c r="N36" s="564"/>
      <c r="O36" s="564"/>
      <c r="P36" s="420"/>
      <c r="Q36" s="426"/>
      <c r="R36" s="426"/>
      <c r="S36" s="430" t="e">
        <f t="shared" si="24"/>
        <v>#N/A</v>
      </c>
      <c r="T36" s="572"/>
      <c r="U36" s="420"/>
      <c r="V36" s="426"/>
      <c r="W36" s="426"/>
      <c r="X36" s="430" t="e">
        <f t="shared" si="25"/>
        <v>#N/A</v>
      </c>
      <c r="Y36" s="572"/>
      <c r="Z36" s="420"/>
      <c r="AA36" s="426"/>
      <c r="AB36" s="426"/>
      <c r="AC36" s="430" t="e">
        <f t="shared" si="26"/>
        <v>#N/A</v>
      </c>
      <c r="AD36" s="572"/>
      <c r="AE36" s="420"/>
      <c r="AF36" s="426"/>
      <c r="AG36" s="426"/>
      <c r="AH36" s="430" t="e">
        <f t="shared" si="27"/>
        <v>#N/A</v>
      </c>
      <c r="AI36" s="572"/>
      <c r="AJ36" s="420"/>
      <c r="AK36" s="426"/>
      <c r="AL36" s="426"/>
      <c r="AM36" s="430" t="e">
        <f t="shared" si="28"/>
        <v>#N/A</v>
      </c>
      <c r="AN36" s="572"/>
      <c r="AO36" s="420"/>
      <c r="AP36" s="426"/>
      <c r="AQ36" s="426"/>
      <c r="AR36" s="430" t="e">
        <f t="shared" si="29"/>
        <v>#N/A</v>
      </c>
      <c r="AS36" s="572"/>
      <c r="AT36" s="418"/>
      <c r="AU36" s="418"/>
      <c r="AV36" s="419"/>
      <c r="AW36" s="430" t="e">
        <f t="shared" si="30"/>
        <v>#N/A</v>
      </c>
      <c r="AX36" s="572"/>
      <c r="AZ36" s="407" t="e">
        <f t="shared" si="22"/>
        <v>#N/A</v>
      </c>
      <c r="BA36" s="560"/>
    </row>
    <row r="37" spans="2:53">
      <c r="B37" s="570"/>
      <c r="C37" s="420">
        <v>11</v>
      </c>
      <c r="D37" s="226"/>
      <c r="E37" s="425"/>
      <c r="F37" s="418"/>
      <c r="G37" s="419"/>
      <c r="H37" s="579"/>
      <c r="I37" s="422" t="str">
        <f t="shared" si="19"/>
        <v>-</v>
      </c>
      <c r="J37" s="422" t="str">
        <f t="shared" si="20"/>
        <v>-</v>
      </c>
      <c r="K37" s="200" t="str">
        <f t="shared" si="21"/>
        <v>-</v>
      </c>
      <c r="L37" s="581"/>
      <c r="M37" s="432" t="e">
        <f>RANK(K37, K$24:$K$41)</f>
        <v>#VALUE!</v>
      </c>
      <c r="N37" s="564"/>
      <c r="O37" s="564"/>
      <c r="P37" s="420"/>
      <c r="Q37" s="426"/>
      <c r="R37" s="426"/>
      <c r="S37" s="430" t="e">
        <f t="shared" si="24"/>
        <v>#N/A</v>
      </c>
      <c r="T37" s="572"/>
      <c r="U37" s="420"/>
      <c r="V37" s="426"/>
      <c r="W37" s="426"/>
      <c r="X37" s="430" t="e">
        <f t="shared" si="25"/>
        <v>#N/A</v>
      </c>
      <c r="Y37" s="572"/>
      <c r="Z37" s="420"/>
      <c r="AA37" s="426"/>
      <c r="AB37" s="426"/>
      <c r="AC37" s="430" t="e">
        <f t="shared" si="26"/>
        <v>#N/A</v>
      </c>
      <c r="AD37" s="572"/>
      <c r="AE37" s="420"/>
      <c r="AF37" s="426"/>
      <c r="AG37" s="426"/>
      <c r="AH37" s="430" t="e">
        <f t="shared" si="27"/>
        <v>#N/A</v>
      </c>
      <c r="AI37" s="572"/>
      <c r="AJ37" s="420"/>
      <c r="AK37" s="426"/>
      <c r="AL37" s="426"/>
      <c r="AM37" s="430" t="e">
        <f t="shared" si="28"/>
        <v>#N/A</v>
      </c>
      <c r="AN37" s="572"/>
      <c r="AO37" s="420"/>
      <c r="AP37" s="426"/>
      <c r="AQ37" s="426"/>
      <c r="AR37" s="430" t="e">
        <f t="shared" si="29"/>
        <v>#N/A</v>
      </c>
      <c r="AS37" s="572"/>
      <c r="AT37" s="418"/>
      <c r="AU37" s="418"/>
      <c r="AV37" s="418"/>
      <c r="AW37" s="430" t="e">
        <f t="shared" si="30"/>
        <v>#N/A</v>
      </c>
      <c r="AX37" s="572"/>
      <c r="AZ37" s="407" t="e">
        <f t="shared" si="22"/>
        <v>#N/A</v>
      </c>
      <c r="BA37" s="560"/>
    </row>
    <row r="38" spans="2:53">
      <c r="B38" s="570"/>
      <c r="C38" s="420">
        <v>12</v>
      </c>
      <c r="D38" s="226"/>
      <c r="E38" s="425"/>
      <c r="F38" s="418"/>
      <c r="G38" s="419"/>
      <c r="H38" s="579"/>
      <c r="I38" s="422" t="str">
        <f t="shared" si="19"/>
        <v>-</v>
      </c>
      <c r="J38" s="422" t="str">
        <f t="shared" si="20"/>
        <v>-</v>
      </c>
      <c r="K38" s="200" t="str">
        <f t="shared" si="21"/>
        <v>-</v>
      </c>
      <c r="L38" s="581"/>
      <c r="M38" s="432" t="e">
        <f>RANK(K38, K$24:$K$41)</f>
        <v>#VALUE!</v>
      </c>
      <c r="N38" s="564"/>
      <c r="O38" s="564"/>
      <c r="P38" s="420"/>
      <c r="Q38" s="426"/>
      <c r="R38" s="426"/>
      <c r="S38" s="430" t="e">
        <f t="shared" si="24"/>
        <v>#N/A</v>
      </c>
      <c r="T38" s="572"/>
      <c r="U38" s="420"/>
      <c r="V38" s="426"/>
      <c r="W38" s="426"/>
      <c r="X38" s="430" t="e">
        <f t="shared" si="25"/>
        <v>#N/A</v>
      </c>
      <c r="Y38" s="572"/>
      <c r="Z38" s="420"/>
      <c r="AA38" s="426"/>
      <c r="AB38" s="426"/>
      <c r="AC38" s="430" t="e">
        <f t="shared" si="26"/>
        <v>#N/A</v>
      </c>
      <c r="AD38" s="572"/>
      <c r="AE38" s="420"/>
      <c r="AF38" s="426"/>
      <c r="AG38" s="426"/>
      <c r="AH38" s="430" t="e">
        <f t="shared" si="27"/>
        <v>#N/A</v>
      </c>
      <c r="AI38" s="572"/>
      <c r="AJ38" s="420"/>
      <c r="AK38" s="426"/>
      <c r="AL38" s="426"/>
      <c r="AM38" s="430" t="e">
        <f t="shared" si="28"/>
        <v>#N/A</v>
      </c>
      <c r="AN38" s="572"/>
      <c r="AO38" s="420"/>
      <c r="AP38" s="426"/>
      <c r="AQ38" s="426"/>
      <c r="AR38" s="430" t="e">
        <f t="shared" si="29"/>
        <v>#N/A</v>
      </c>
      <c r="AS38" s="572"/>
      <c r="AT38" s="418"/>
      <c r="AU38" s="418"/>
      <c r="AV38" s="418"/>
      <c r="AW38" s="430" t="e">
        <f t="shared" si="30"/>
        <v>#N/A</v>
      </c>
      <c r="AX38" s="572"/>
      <c r="AZ38" s="407" t="e">
        <f t="shared" si="22"/>
        <v>#N/A</v>
      </c>
      <c r="BA38" s="560"/>
    </row>
    <row r="39" spans="2:53">
      <c r="B39" s="570"/>
      <c r="C39" s="420">
        <v>13</v>
      </c>
      <c r="D39" s="226"/>
      <c r="E39" s="425"/>
      <c r="F39" s="418"/>
      <c r="G39" s="419"/>
      <c r="H39" s="579"/>
      <c r="I39" s="422" t="str">
        <f t="shared" si="19"/>
        <v>-</v>
      </c>
      <c r="J39" s="422" t="str">
        <f t="shared" si="20"/>
        <v>-</v>
      </c>
      <c r="K39" s="200" t="str">
        <f t="shared" si="21"/>
        <v>-</v>
      </c>
      <c r="L39" s="581"/>
      <c r="M39" s="432" t="e">
        <f>RANK(K39, K$24:$K$41)</f>
        <v>#VALUE!</v>
      </c>
      <c r="N39" s="564"/>
      <c r="O39" s="564"/>
      <c r="P39" s="420"/>
      <c r="Q39" s="426"/>
      <c r="R39" s="426"/>
      <c r="S39" s="430" t="e">
        <f t="shared" si="24"/>
        <v>#N/A</v>
      </c>
      <c r="T39" s="572"/>
      <c r="U39" s="420"/>
      <c r="V39" s="426"/>
      <c r="W39" s="426"/>
      <c r="X39" s="430" t="e">
        <f t="shared" si="25"/>
        <v>#N/A</v>
      </c>
      <c r="Y39" s="572"/>
      <c r="Z39" s="420"/>
      <c r="AA39" s="426"/>
      <c r="AB39" s="426"/>
      <c r="AC39" s="430" t="e">
        <f t="shared" si="26"/>
        <v>#N/A</v>
      </c>
      <c r="AD39" s="572"/>
      <c r="AE39" s="420"/>
      <c r="AF39" s="426"/>
      <c r="AG39" s="426"/>
      <c r="AH39" s="430" t="e">
        <f t="shared" si="27"/>
        <v>#N/A</v>
      </c>
      <c r="AI39" s="572"/>
      <c r="AJ39" s="420"/>
      <c r="AK39" s="426"/>
      <c r="AL39" s="426"/>
      <c r="AM39" s="430" t="e">
        <f t="shared" si="28"/>
        <v>#N/A</v>
      </c>
      <c r="AN39" s="572"/>
      <c r="AO39" s="420"/>
      <c r="AP39" s="426"/>
      <c r="AQ39" s="426"/>
      <c r="AR39" s="430" t="e">
        <f t="shared" si="29"/>
        <v>#N/A</v>
      </c>
      <c r="AS39" s="572"/>
      <c r="AT39" s="418"/>
      <c r="AU39" s="418"/>
      <c r="AV39" s="418"/>
      <c r="AW39" s="430" t="e">
        <f t="shared" si="30"/>
        <v>#N/A</v>
      </c>
      <c r="AX39" s="572"/>
      <c r="AZ39" s="407" t="e">
        <f t="shared" si="22"/>
        <v>#N/A</v>
      </c>
      <c r="BA39" s="560"/>
    </row>
    <row r="40" spans="2:53">
      <c r="B40" s="570"/>
      <c r="C40" s="420">
        <v>14</v>
      </c>
      <c r="D40" s="226"/>
      <c r="E40" s="425"/>
      <c r="F40" s="418"/>
      <c r="G40" s="419"/>
      <c r="H40" s="579"/>
      <c r="I40" s="422" t="str">
        <f t="shared" si="19"/>
        <v>-</v>
      </c>
      <c r="J40" s="422" t="str">
        <f t="shared" si="20"/>
        <v>-</v>
      </c>
      <c r="K40" s="200" t="str">
        <f t="shared" si="21"/>
        <v>-</v>
      </c>
      <c r="L40" s="581"/>
      <c r="M40" s="432" t="e">
        <f>RANK(K40, K$24:$K$41)</f>
        <v>#VALUE!</v>
      </c>
      <c r="N40" s="564"/>
      <c r="O40" s="564"/>
      <c r="P40" s="420"/>
      <c r="Q40" s="426"/>
      <c r="R40" s="426"/>
      <c r="S40" s="430" t="e">
        <f t="shared" si="24"/>
        <v>#N/A</v>
      </c>
      <c r="T40" s="572"/>
      <c r="U40" s="420"/>
      <c r="V40" s="426"/>
      <c r="W40" s="426"/>
      <c r="X40" s="430" t="e">
        <f t="shared" si="25"/>
        <v>#N/A</v>
      </c>
      <c r="Y40" s="572"/>
      <c r="Z40" s="420"/>
      <c r="AA40" s="426"/>
      <c r="AB40" s="426"/>
      <c r="AC40" s="430" t="e">
        <f t="shared" si="26"/>
        <v>#N/A</v>
      </c>
      <c r="AD40" s="572"/>
      <c r="AE40" s="420"/>
      <c r="AF40" s="426"/>
      <c r="AG40" s="426"/>
      <c r="AH40" s="430" t="e">
        <f t="shared" si="27"/>
        <v>#N/A</v>
      </c>
      <c r="AI40" s="572"/>
      <c r="AJ40" s="420"/>
      <c r="AK40" s="426"/>
      <c r="AL40" s="426"/>
      <c r="AM40" s="430" t="e">
        <f t="shared" si="28"/>
        <v>#N/A</v>
      </c>
      <c r="AN40" s="572"/>
      <c r="AO40" s="420"/>
      <c r="AP40" s="426"/>
      <c r="AQ40" s="426"/>
      <c r="AR40" s="430" t="e">
        <f t="shared" si="29"/>
        <v>#N/A</v>
      </c>
      <c r="AS40" s="572"/>
      <c r="AT40" s="418"/>
      <c r="AU40" s="418"/>
      <c r="AV40" s="418"/>
      <c r="AW40" s="430" t="e">
        <f t="shared" si="30"/>
        <v>#N/A</v>
      </c>
      <c r="AX40" s="572"/>
      <c r="AZ40" s="407" t="e">
        <f t="shared" si="22"/>
        <v>#N/A</v>
      </c>
      <c r="BA40" s="560"/>
    </row>
    <row r="41" spans="2:53">
      <c r="B41" s="570"/>
      <c r="C41" s="420">
        <v>15</v>
      </c>
      <c r="D41" s="226"/>
      <c r="E41" s="425"/>
      <c r="F41" s="418"/>
      <c r="G41" s="419"/>
      <c r="H41" s="639"/>
      <c r="I41" s="420"/>
      <c r="J41" s="420"/>
      <c r="K41" s="420"/>
      <c r="L41" s="582"/>
      <c r="M41" s="432" t="e">
        <f>RANK(K41, K$24:$K$41)</f>
        <v>#N/A</v>
      </c>
      <c r="N41" s="564"/>
      <c r="O41" s="564"/>
      <c r="P41" s="420"/>
      <c r="Q41" s="426"/>
      <c r="R41" s="426"/>
      <c r="S41" s="430" t="e">
        <f t="shared" si="24"/>
        <v>#N/A</v>
      </c>
      <c r="T41" s="572"/>
      <c r="U41" s="420"/>
      <c r="V41" s="426"/>
      <c r="W41" s="426"/>
      <c r="X41" s="430" t="e">
        <f t="shared" si="25"/>
        <v>#N/A</v>
      </c>
      <c r="Y41" s="572"/>
      <c r="Z41" s="420"/>
      <c r="AA41" s="426"/>
      <c r="AB41" s="426"/>
      <c r="AC41" s="430" t="e">
        <f t="shared" si="26"/>
        <v>#N/A</v>
      </c>
      <c r="AD41" s="572"/>
      <c r="AE41" s="420"/>
      <c r="AF41" s="426"/>
      <c r="AG41" s="426"/>
      <c r="AH41" s="430" t="e">
        <f t="shared" si="27"/>
        <v>#N/A</v>
      </c>
      <c r="AI41" s="572"/>
      <c r="AJ41" s="420"/>
      <c r="AK41" s="426"/>
      <c r="AL41" s="426"/>
      <c r="AM41" s="430" t="e">
        <f t="shared" si="28"/>
        <v>#N/A</v>
      </c>
      <c r="AN41" s="572"/>
      <c r="AO41" s="420"/>
      <c r="AP41" s="426"/>
      <c r="AQ41" s="426"/>
      <c r="AR41" s="430" t="e">
        <f t="shared" si="29"/>
        <v>#N/A</v>
      </c>
      <c r="AS41" s="572"/>
      <c r="AT41" s="418"/>
      <c r="AU41" s="418"/>
      <c r="AV41" s="418"/>
      <c r="AW41" s="430" t="e">
        <f t="shared" si="30"/>
        <v>#N/A</v>
      </c>
      <c r="AX41" s="572"/>
      <c r="AZ41" s="407" t="e">
        <f t="shared" si="22"/>
        <v>#N/A</v>
      </c>
      <c r="BA41" s="561"/>
    </row>
    <row r="42" spans="2:53" ht="15.75">
      <c r="B42" s="608" t="s">
        <v>163</v>
      </c>
      <c r="C42" s="609"/>
      <c r="D42" s="609"/>
      <c r="E42" s="609"/>
      <c r="F42" s="609"/>
      <c r="G42" s="609"/>
      <c r="H42" s="609"/>
      <c r="I42" s="208"/>
      <c r="J42" s="203"/>
      <c r="K42" s="208"/>
      <c r="L42" s="208"/>
      <c r="M42" s="204"/>
      <c r="N42" s="566" t="s">
        <v>156</v>
      </c>
      <c r="O42" s="566" t="s">
        <v>105</v>
      </c>
      <c r="P42" s="592">
        <f>P22+7</f>
        <v>46154</v>
      </c>
      <c r="Q42" s="570"/>
      <c r="R42" s="570"/>
      <c r="S42" s="570"/>
      <c r="T42" s="570"/>
      <c r="U42" s="589">
        <f>P42+1</f>
        <v>46155</v>
      </c>
      <c r="V42" s="590"/>
      <c r="W42" s="590"/>
      <c r="X42" s="590"/>
      <c r="Y42" s="591"/>
      <c r="Z42" s="589">
        <f>U42+1</f>
        <v>46156</v>
      </c>
      <c r="AA42" s="590"/>
      <c r="AB42" s="590"/>
      <c r="AC42" s="590"/>
      <c r="AD42" s="591"/>
      <c r="AE42" s="589">
        <f>Z42+1</f>
        <v>46157</v>
      </c>
      <c r="AF42" s="590"/>
      <c r="AG42" s="590"/>
      <c r="AH42" s="590"/>
      <c r="AI42" s="591"/>
      <c r="AJ42" s="589">
        <f>AE42+1</f>
        <v>46158</v>
      </c>
      <c r="AK42" s="590"/>
      <c r="AL42" s="590"/>
      <c r="AM42" s="590"/>
      <c r="AN42" s="591"/>
      <c r="AO42" s="589">
        <f>AJ42+1</f>
        <v>46159</v>
      </c>
      <c r="AP42" s="590"/>
      <c r="AQ42" s="590"/>
      <c r="AR42" s="590"/>
      <c r="AS42" s="591"/>
      <c r="AT42" s="589">
        <f>AO42+1</f>
        <v>46160</v>
      </c>
      <c r="AU42" s="590"/>
      <c r="AV42" s="590"/>
      <c r="AW42" s="590"/>
      <c r="AX42" s="591"/>
    </row>
    <row r="43" spans="2:53" ht="15.75">
      <c r="B43" s="596"/>
      <c r="C43" s="596"/>
      <c r="D43" s="596"/>
      <c r="E43" s="596"/>
      <c r="F43" s="596"/>
      <c r="G43" s="596"/>
      <c r="H43" s="596"/>
      <c r="I43" s="205"/>
      <c r="J43" s="205"/>
      <c r="K43" s="205"/>
      <c r="L43" s="205"/>
      <c r="M43" s="206"/>
      <c r="N43" s="568"/>
      <c r="O43" s="568"/>
      <c r="P43" s="592" t="s">
        <v>318</v>
      </c>
      <c r="Q43" s="570"/>
      <c r="R43" s="570"/>
      <c r="S43" s="570"/>
      <c r="T43" s="570"/>
      <c r="U43" s="592" t="s">
        <v>319</v>
      </c>
      <c r="V43" s="570"/>
      <c r="W43" s="570"/>
      <c r="X43" s="570"/>
      <c r="Y43" s="570"/>
      <c r="Z43" s="592" t="s">
        <v>320</v>
      </c>
      <c r="AA43" s="570"/>
      <c r="AB43" s="570"/>
      <c r="AC43" s="570"/>
      <c r="AD43" s="570"/>
      <c r="AE43" s="592" t="s">
        <v>321</v>
      </c>
      <c r="AF43" s="570"/>
      <c r="AG43" s="570"/>
      <c r="AH43" s="570"/>
      <c r="AI43" s="570"/>
      <c r="AJ43" s="592" t="s">
        <v>322</v>
      </c>
      <c r="AK43" s="570"/>
      <c r="AL43" s="570"/>
      <c r="AM43" s="570"/>
      <c r="AN43" s="570"/>
      <c r="AO43" s="592" t="s">
        <v>323</v>
      </c>
      <c r="AP43" s="570"/>
      <c r="AQ43" s="570"/>
      <c r="AR43" s="570"/>
      <c r="AS43" s="570"/>
      <c r="AT43" s="592" t="s">
        <v>324</v>
      </c>
      <c r="AU43" s="570"/>
      <c r="AV43" s="570"/>
      <c r="AW43" s="570"/>
      <c r="AX43" s="570"/>
    </row>
    <row r="44" spans="2:53">
      <c r="B44" s="564" t="s">
        <v>468</v>
      </c>
      <c r="C44" s="564" t="s">
        <v>560</v>
      </c>
      <c r="D44" s="564"/>
      <c r="E44" s="564" t="s">
        <v>561</v>
      </c>
      <c r="F44" s="564"/>
      <c r="G44" s="564"/>
      <c r="H44" s="597" t="s">
        <v>562</v>
      </c>
      <c r="I44" s="564" t="s">
        <v>563</v>
      </c>
      <c r="J44" s="564"/>
      <c r="K44" s="564"/>
      <c r="L44" s="597" t="s">
        <v>374</v>
      </c>
      <c r="M44" s="566" t="s">
        <v>564</v>
      </c>
      <c r="N44" s="564"/>
      <c r="O44" s="564" t="s">
        <v>380</v>
      </c>
      <c r="P44" s="583" t="s">
        <v>376</v>
      </c>
      <c r="Q44" s="584"/>
      <c r="R44" s="584"/>
      <c r="S44" s="585"/>
      <c r="T44" s="564" t="s">
        <v>374</v>
      </c>
      <c r="U44" s="583" t="s">
        <v>376</v>
      </c>
      <c r="V44" s="584"/>
      <c r="W44" s="584"/>
      <c r="X44" s="585"/>
      <c r="Y44" s="564" t="s">
        <v>374</v>
      </c>
      <c r="Z44" s="583" t="s">
        <v>376</v>
      </c>
      <c r="AA44" s="584"/>
      <c r="AB44" s="584"/>
      <c r="AC44" s="585"/>
      <c r="AD44" s="564" t="s">
        <v>374</v>
      </c>
      <c r="AE44" s="583" t="s">
        <v>376</v>
      </c>
      <c r="AF44" s="584"/>
      <c r="AG44" s="584"/>
      <c r="AH44" s="585"/>
      <c r="AI44" s="564" t="s">
        <v>374</v>
      </c>
      <c r="AJ44" s="583" t="s">
        <v>376</v>
      </c>
      <c r="AK44" s="584"/>
      <c r="AL44" s="584"/>
      <c r="AM44" s="585"/>
      <c r="AN44" s="564" t="s">
        <v>374</v>
      </c>
      <c r="AO44" s="583" t="s">
        <v>376</v>
      </c>
      <c r="AP44" s="584"/>
      <c r="AQ44" s="584"/>
      <c r="AR44" s="585"/>
      <c r="AS44" s="564" t="s">
        <v>374</v>
      </c>
      <c r="AT44" s="583" t="s">
        <v>376</v>
      </c>
      <c r="AU44" s="584"/>
      <c r="AV44" s="584"/>
      <c r="AW44" s="585"/>
      <c r="AX44" s="564" t="s">
        <v>374</v>
      </c>
      <c r="BA44" s="564" t="s">
        <v>374</v>
      </c>
    </row>
    <row r="45" spans="2:53">
      <c r="B45" s="564"/>
      <c r="C45" s="564"/>
      <c r="D45" s="564"/>
      <c r="E45" s="564" t="s">
        <v>566</v>
      </c>
      <c r="F45" s="564"/>
      <c r="G45" s="564"/>
      <c r="H45" s="598"/>
      <c r="I45" s="564" t="s">
        <v>566</v>
      </c>
      <c r="J45" s="564"/>
      <c r="K45" s="564"/>
      <c r="L45" s="598"/>
      <c r="M45" s="567"/>
      <c r="N45" s="564"/>
      <c r="O45" s="564"/>
      <c r="P45" s="583" t="s">
        <v>382</v>
      </c>
      <c r="Q45" s="584"/>
      <c r="R45" s="584"/>
      <c r="S45" s="585"/>
      <c r="T45" s="564"/>
      <c r="U45" s="583" t="s">
        <v>382</v>
      </c>
      <c r="V45" s="584"/>
      <c r="W45" s="584"/>
      <c r="X45" s="585"/>
      <c r="Y45" s="564"/>
      <c r="Z45" s="583" t="s">
        <v>382</v>
      </c>
      <c r="AA45" s="584"/>
      <c r="AB45" s="584"/>
      <c r="AC45" s="585"/>
      <c r="AD45" s="564"/>
      <c r="AE45" s="583" t="s">
        <v>382</v>
      </c>
      <c r="AF45" s="584"/>
      <c r="AG45" s="584"/>
      <c r="AH45" s="585"/>
      <c r="AI45" s="564"/>
      <c r="AJ45" s="583" t="s">
        <v>382</v>
      </c>
      <c r="AK45" s="584"/>
      <c r="AL45" s="584"/>
      <c r="AM45" s="585"/>
      <c r="AN45" s="564"/>
      <c r="AO45" s="583" t="s">
        <v>382</v>
      </c>
      <c r="AP45" s="584"/>
      <c r="AQ45" s="584"/>
      <c r="AR45" s="585"/>
      <c r="AS45" s="564"/>
      <c r="AT45" s="583" t="s">
        <v>382</v>
      </c>
      <c r="AU45" s="584"/>
      <c r="AV45" s="584"/>
      <c r="AW45" s="585"/>
      <c r="AX45" s="564"/>
      <c r="BA45" s="564"/>
    </row>
    <row r="46" spans="2:53">
      <c r="B46" s="564"/>
      <c r="C46" s="564"/>
      <c r="D46" s="564"/>
      <c r="E46" s="417" t="s">
        <v>567</v>
      </c>
      <c r="F46" s="417" t="s">
        <v>568</v>
      </c>
      <c r="G46" s="417" t="s">
        <v>569</v>
      </c>
      <c r="H46" s="599"/>
      <c r="I46" s="417" t="s">
        <v>567</v>
      </c>
      <c r="J46" s="417" t="s">
        <v>568</v>
      </c>
      <c r="K46" s="417" t="s">
        <v>569</v>
      </c>
      <c r="L46" s="599"/>
      <c r="M46" s="568"/>
      <c r="N46" s="564"/>
      <c r="O46" s="564"/>
      <c r="P46" s="417" t="s">
        <v>383</v>
      </c>
      <c r="Q46" s="417" t="s">
        <v>384</v>
      </c>
      <c r="R46" s="417" t="s">
        <v>385</v>
      </c>
      <c r="S46" s="417" t="s">
        <v>375</v>
      </c>
      <c r="T46" s="564"/>
      <c r="U46" s="417" t="s">
        <v>383</v>
      </c>
      <c r="V46" s="417" t="s">
        <v>384</v>
      </c>
      <c r="W46" s="417" t="s">
        <v>385</v>
      </c>
      <c r="X46" s="417" t="s">
        <v>375</v>
      </c>
      <c r="Y46" s="564"/>
      <c r="Z46" s="417" t="s">
        <v>383</v>
      </c>
      <c r="AA46" s="417" t="s">
        <v>384</v>
      </c>
      <c r="AB46" s="417" t="s">
        <v>385</v>
      </c>
      <c r="AC46" s="417" t="s">
        <v>375</v>
      </c>
      <c r="AD46" s="564"/>
      <c r="AE46" s="417" t="s">
        <v>383</v>
      </c>
      <c r="AF46" s="417" t="s">
        <v>384</v>
      </c>
      <c r="AG46" s="417" t="s">
        <v>385</v>
      </c>
      <c r="AH46" s="417" t="s">
        <v>375</v>
      </c>
      <c r="AI46" s="564"/>
      <c r="AJ46" s="417" t="s">
        <v>383</v>
      </c>
      <c r="AK46" s="417" t="s">
        <v>384</v>
      </c>
      <c r="AL46" s="417" t="s">
        <v>385</v>
      </c>
      <c r="AM46" s="417" t="s">
        <v>375</v>
      </c>
      <c r="AN46" s="564"/>
      <c r="AO46" s="417" t="s">
        <v>383</v>
      </c>
      <c r="AP46" s="417" t="s">
        <v>384</v>
      </c>
      <c r="AQ46" s="417" t="s">
        <v>385</v>
      </c>
      <c r="AR46" s="417" t="s">
        <v>375</v>
      </c>
      <c r="AS46" s="564"/>
      <c r="AT46" s="417" t="s">
        <v>383</v>
      </c>
      <c r="AU46" s="417" t="s">
        <v>384</v>
      </c>
      <c r="AV46" s="417" t="s">
        <v>385</v>
      </c>
      <c r="AW46" s="417" t="s">
        <v>375</v>
      </c>
      <c r="AX46" s="564"/>
      <c r="AZ46" s="406" t="s">
        <v>595</v>
      </c>
      <c r="BA46" s="564"/>
    </row>
    <row r="47" spans="2:53">
      <c r="B47" s="564" t="s">
        <v>483</v>
      </c>
      <c r="C47" s="420">
        <v>1</v>
      </c>
      <c r="D47" s="226" t="s">
        <v>357</v>
      </c>
      <c r="E47" s="425">
        <v>20</v>
      </c>
      <c r="F47" s="418">
        <v>2400</v>
      </c>
      <c r="G47" s="419">
        <v>120</v>
      </c>
      <c r="H47" s="648">
        <f>AVERAGE(G47:G61)</f>
        <v>153.87142857142857</v>
      </c>
      <c r="I47" s="422">
        <f t="shared" ref="I47:I60" si="31">IFERROR(AVERAGE(P47,U47,Z47,AE47,AJ47,AO47,AT47),"-")</f>
        <v>20</v>
      </c>
      <c r="J47" s="422">
        <f t="shared" ref="J47:J60" si="32">IFERROR(AVERAGE(Q47,V47,AA47,AF47,AK47,AP47,AU47),"-")</f>
        <v>2252.7798887605663</v>
      </c>
      <c r="K47" s="200">
        <f t="shared" ref="K47:K60" si="33">IFERROR(AVERAGE(R47,W47,AB47,AG47,AL47,AQ47,AV47),"-")</f>
        <v>112.63899443802829</v>
      </c>
      <c r="L47" s="580">
        <f>IFERROR(AVERAGE(K47:K61),"-")</f>
        <v>128.75504391604022</v>
      </c>
      <c r="M47" s="426">
        <f>RANK(K47, K$47:$K$61)</f>
        <v>7</v>
      </c>
      <c r="N47" s="564"/>
      <c r="O47" s="564"/>
      <c r="P47" s="498">
        <v>20</v>
      </c>
      <c r="Q47" s="425">
        <v>2360.8609271523173</v>
      </c>
      <c r="R47" s="425">
        <v>118.04304635761586</v>
      </c>
      <c r="S47" s="498">
        <f t="shared" ref="S47:S61" si="34">RANK(R47, R$47:R$61)</f>
        <v>7</v>
      </c>
      <c r="T47" s="559">
        <f t="shared" ref="T47" si="35">AVERAGE(R47:R61)</f>
        <v>132.35935246040313</v>
      </c>
      <c r="U47" s="498">
        <v>20</v>
      </c>
      <c r="V47" s="425">
        <v>2259.6183206106871</v>
      </c>
      <c r="W47" s="425">
        <v>112.98091603053436</v>
      </c>
      <c r="X47" s="498">
        <f t="shared" ref="X47:X61" si="36">RANK(W47, W$47:W$61)</f>
        <v>7</v>
      </c>
      <c r="Y47" s="559">
        <f t="shared" ref="Y47" si="37">AVERAGE(W47:W61)</f>
        <v>128.25685050572662</v>
      </c>
      <c r="Z47" s="498">
        <v>20</v>
      </c>
      <c r="AA47" s="425">
        <v>2216.3428571428567</v>
      </c>
      <c r="AB47" s="425">
        <v>110.81714285714284</v>
      </c>
      <c r="AC47" s="498">
        <f t="shared" ref="AC47:AC61" si="38">RANK(AB47, AB$47:AB$61)</f>
        <v>7</v>
      </c>
      <c r="AD47" s="559">
        <f t="shared" ref="AD47" si="39">AVERAGE(AB47:AB61)</f>
        <v>127.19686935704577</v>
      </c>
      <c r="AE47" s="498">
        <v>20</v>
      </c>
      <c r="AF47" s="425">
        <v>2248.0615384615389</v>
      </c>
      <c r="AG47" s="425">
        <v>112.40307692307695</v>
      </c>
      <c r="AH47" s="498">
        <f t="shared" ref="AH47:AH61" si="40">RANK(AG47, AG$47:AG$61)</f>
        <v>7</v>
      </c>
      <c r="AI47" s="559">
        <f t="shared" ref="AI47" si="41">AVERAGE(AG47:AG61)</f>
        <v>128.02975510255678</v>
      </c>
      <c r="AJ47" s="498">
        <v>20</v>
      </c>
      <c r="AK47" s="425">
        <v>2241.0915254237293</v>
      </c>
      <c r="AL47" s="425">
        <v>112.05457627118646</v>
      </c>
      <c r="AM47" s="498">
        <f t="shared" ref="AM47:AM61" si="42">RANK(AL47, AL$47:AL$61)</f>
        <v>7</v>
      </c>
      <c r="AN47" s="559">
        <f t="shared" ref="AN47" si="43">AVERAGE(AL47:AL61)</f>
        <v>128.16946654688337</v>
      </c>
      <c r="AO47" s="498">
        <v>20</v>
      </c>
      <c r="AP47" s="425">
        <v>2234.2609756097568</v>
      </c>
      <c r="AQ47" s="425">
        <v>111.71304878048784</v>
      </c>
      <c r="AR47" s="498">
        <f t="shared" ref="AR47:AR61" si="44">RANK(AQ47, AQ$47:AQ$61)</f>
        <v>7</v>
      </c>
      <c r="AS47" s="559">
        <f t="shared" ref="AS47" si="45">AVERAGE(AQ47:AQ61)</f>
        <v>127.42170119373702</v>
      </c>
      <c r="AT47" s="498">
        <v>20</v>
      </c>
      <c r="AU47" s="425">
        <v>2209.2230769230773</v>
      </c>
      <c r="AV47" s="425">
        <v>110.46115384615386</v>
      </c>
      <c r="AW47" s="498">
        <f t="shared" ref="AW47:AW61" si="46">RANK(AV47, AV$47:AV$61)</f>
        <v>7</v>
      </c>
      <c r="AX47" s="559">
        <f t="shared" ref="AX47" si="47">AVERAGE(AV47:AV61)</f>
        <v>129.85131224592885</v>
      </c>
      <c r="AZ47" s="407" t="e">
        <f t="shared" ref="AZ47:AZ61" si="48">RANK(AY47, AY$47:AY$61)</f>
        <v>#N/A</v>
      </c>
      <c r="BA47" s="559" t="e">
        <f t="shared" ref="BA47" si="49">AVERAGE(AY47:AY61)</f>
        <v>#DIV/0!</v>
      </c>
    </row>
    <row r="48" spans="2:53">
      <c r="B48" s="570"/>
      <c r="C48" s="420">
        <v>2</v>
      </c>
      <c r="D48" s="226" t="s">
        <v>358</v>
      </c>
      <c r="E48" s="425">
        <v>18</v>
      </c>
      <c r="F48" s="418">
        <v>2700</v>
      </c>
      <c r="G48" s="419">
        <v>166.7</v>
      </c>
      <c r="H48" s="649"/>
      <c r="I48" s="422">
        <f t="shared" si="31"/>
        <v>18.857142857142858</v>
      </c>
      <c r="J48" s="422">
        <f t="shared" si="32"/>
        <v>2519.0396243355331</v>
      </c>
      <c r="K48" s="200">
        <f t="shared" si="33"/>
        <v>133.63665699472918</v>
      </c>
      <c r="L48" s="581"/>
      <c r="M48" s="501">
        <f>RANK(K48, K$47:$K$61)</f>
        <v>2</v>
      </c>
      <c r="N48" s="564"/>
      <c r="O48" s="564"/>
      <c r="P48" s="498">
        <v>19</v>
      </c>
      <c r="Q48" s="425">
        <v>2545.0000000000023</v>
      </c>
      <c r="R48" s="425">
        <v>133.94736842105274</v>
      </c>
      <c r="S48" s="498">
        <f t="shared" si="34"/>
        <v>5</v>
      </c>
      <c r="T48" s="560"/>
      <c r="U48" s="498">
        <v>19</v>
      </c>
      <c r="V48" s="425">
        <v>2504.5161290322603</v>
      </c>
      <c r="W48" s="425">
        <v>131.81663837011897</v>
      </c>
      <c r="X48" s="498">
        <f t="shared" si="36"/>
        <v>4</v>
      </c>
      <c r="Y48" s="560"/>
      <c r="Z48" s="498">
        <v>19</v>
      </c>
      <c r="AA48" s="425">
        <v>2520.9677419354862</v>
      </c>
      <c r="AB48" s="425">
        <v>132.68251273344663</v>
      </c>
      <c r="AC48" s="498">
        <f t="shared" si="38"/>
        <v>2</v>
      </c>
      <c r="AD48" s="560"/>
      <c r="AE48" s="498">
        <v>19</v>
      </c>
      <c r="AF48" s="425">
        <v>2468.7096774193569</v>
      </c>
      <c r="AG48" s="425">
        <v>129.9320882852293</v>
      </c>
      <c r="AH48" s="498">
        <f t="shared" si="40"/>
        <v>4</v>
      </c>
      <c r="AI48" s="560"/>
      <c r="AJ48" s="498">
        <v>19</v>
      </c>
      <c r="AK48" s="425">
        <v>2517.8571428571445</v>
      </c>
      <c r="AL48" s="425">
        <v>132.5187969924813</v>
      </c>
      <c r="AM48" s="498">
        <f t="shared" si="42"/>
        <v>3</v>
      </c>
      <c r="AN48" s="560"/>
      <c r="AO48" s="498">
        <v>19</v>
      </c>
      <c r="AP48" s="425">
        <v>2549.0625000000032</v>
      </c>
      <c r="AQ48" s="425">
        <v>134.16118421052647</v>
      </c>
      <c r="AR48" s="498">
        <f t="shared" si="44"/>
        <v>2</v>
      </c>
      <c r="AS48" s="560"/>
      <c r="AT48" s="498">
        <v>18</v>
      </c>
      <c r="AU48" s="425">
        <v>2527.1641791044776</v>
      </c>
      <c r="AV48" s="425">
        <v>140.39800995024876</v>
      </c>
      <c r="AW48" s="498">
        <f t="shared" si="46"/>
        <v>1</v>
      </c>
      <c r="AX48" s="560"/>
      <c r="AZ48" s="498" t="e">
        <f t="shared" si="48"/>
        <v>#N/A</v>
      </c>
      <c r="BA48" s="560"/>
    </row>
    <row r="49" spans="2:53">
      <c r="B49" s="570"/>
      <c r="C49" s="420">
        <v>3</v>
      </c>
      <c r="D49" s="226" t="s">
        <v>359</v>
      </c>
      <c r="E49" s="425">
        <v>18</v>
      </c>
      <c r="F49" s="418">
        <v>2700</v>
      </c>
      <c r="G49" s="419">
        <v>166.7</v>
      </c>
      <c r="H49" s="649"/>
      <c r="I49" s="422">
        <f t="shared" si="31"/>
        <v>19</v>
      </c>
      <c r="J49" s="422">
        <f t="shared" si="32"/>
        <v>2523.3901226532112</v>
      </c>
      <c r="K49" s="200">
        <f t="shared" si="33"/>
        <v>132.81000645543216</v>
      </c>
      <c r="L49" s="581"/>
      <c r="M49" s="501">
        <f>RANK(K49, K$47:$K$61)</f>
        <v>3</v>
      </c>
      <c r="N49" s="564"/>
      <c r="O49" s="564"/>
      <c r="P49" s="498">
        <v>19</v>
      </c>
      <c r="Q49" s="425">
        <v>2567.0454545454545</v>
      </c>
      <c r="R49" s="425">
        <v>135.10765550239233</v>
      </c>
      <c r="S49" s="498">
        <f t="shared" si="34"/>
        <v>4</v>
      </c>
      <c r="T49" s="560"/>
      <c r="U49" s="498">
        <v>19</v>
      </c>
      <c r="V49" s="425">
        <v>2537.2340425531916</v>
      </c>
      <c r="W49" s="425">
        <v>133.53863381858903</v>
      </c>
      <c r="X49" s="498">
        <f t="shared" si="36"/>
        <v>2</v>
      </c>
      <c r="Y49" s="560"/>
      <c r="Z49" s="498">
        <v>19</v>
      </c>
      <c r="AA49" s="425">
        <v>2516.6666666666665</v>
      </c>
      <c r="AB49" s="425">
        <v>132.45614035087718</v>
      </c>
      <c r="AC49" s="498">
        <f t="shared" si="38"/>
        <v>3</v>
      </c>
      <c r="AD49" s="560"/>
      <c r="AE49" s="498">
        <v>19</v>
      </c>
      <c r="AF49" s="425">
        <v>2549.1891891891873</v>
      </c>
      <c r="AG49" s="425">
        <v>134.16785206258882</v>
      </c>
      <c r="AH49" s="498">
        <f t="shared" si="40"/>
        <v>2</v>
      </c>
      <c r="AI49" s="560"/>
      <c r="AJ49" s="498">
        <v>19</v>
      </c>
      <c r="AK49" s="425">
        <v>2519.9999999999977</v>
      </c>
      <c r="AL49" s="425">
        <v>132.6315789473683</v>
      </c>
      <c r="AM49" s="498">
        <f t="shared" si="42"/>
        <v>2</v>
      </c>
      <c r="AN49" s="560"/>
      <c r="AO49" s="498">
        <v>19</v>
      </c>
      <c r="AP49" s="425">
        <v>2483.5955056179773</v>
      </c>
      <c r="AQ49" s="425">
        <v>130.71555292726197</v>
      </c>
      <c r="AR49" s="498">
        <f t="shared" si="44"/>
        <v>4</v>
      </c>
      <c r="AS49" s="560"/>
      <c r="AT49" s="498">
        <v>19</v>
      </c>
      <c r="AU49" s="425">
        <v>2490.0000000000005</v>
      </c>
      <c r="AV49" s="425">
        <v>131.0526315789474</v>
      </c>
      <c r="AW49" s="498">
        <f t="shared" si="46"/>
        <v>5</v>
      </c>
      <c r="AX49" s="560"/>
      <c r="AZ49" s="498" t="e">
        <f t="shared" si="48"/>
        <v>#N/A</v>
      </c>
      <c r="BA49" s="560"/>
    </row>
    <row r="50" spans="2:53">
      <c r="B50" s="570"/>
      <c r="C50" s="420">
        <v>4</v>
      </c>
      <c r="D50" s="226" t="s">
        <v>360</v>
      </c>
      <c r="E50" s="425">
        <v>19</v>
      </c>
      <c r="F50" s="418">
        <v>2700</v>
      </c>
      <c r="G50" s="419">
        <v>157.9</v>
      </c>
      <c r="H50" s="649"/>
      <c r="I50" s="422">
        <f t="shared" si="31"/>
        <v>19</v>
      </c>
      <c r="J50" s="422">
        <f t="shared" si="32"/>
        <v>2522.7449470172683</v>
      </c>
      <c r="K50" s="200">
        <f t="shared" si="33"/>
        <v>132.77604984301414</v>
      </c>
      <c r="L50" s="581"/>
      <c r="M50" s="501">
        <f>RANK(K50, K$47:$K$61)</f>
        <v>4</v>
      </c>
      <c r="N50" s="564"/>
      <c r="O50" s="564"/>
      <c r="P50" s="498">
        <v>19</v>
      </c>
      <c r="Q50" s="425">
        <v>2575.8974358974347</v>
      </c>
      <c r="R50" s="425">
        <v>135.57354925775971</v>
      </c>
      <c r="S50" s="498">
        <f t="shared" si="34"/>
        <v>3</v>
      </c>
      <c r="T50" s="560"/>
      <c r="U50" s="498">
        <v>19</v>
      </c>
      <c r="V50" s="425">
        <v>2530.7812499999995</v>
      </c>
      <c r="W50" s="425">
        <v>133.19901315789471</v>
      </c>
      <c r="X50" s="498">
        <f t="shared" si="36"/>
        <v>3</v>
      </c>
      <c r="Y50" s="560"/>
      <c r="Z50" s="498">
        <v>19</v>
      </c>
      <c r="AA50" s="425">
        <v>2507.3333333333335</v>
      </c>
      <c r="AB50" s="425">
        <v>131.96491228070175</v>
      </c>
      <c r="AC50" s="498">
        <f t="shared" si="38"/>
        <v>4</v>
      </c>
      <c r="AD50" s="560"/>
      <c r="AE50" s="498">
        <v>19</v>
      </c>
      <c r="AF50" s="425">
        <v>2530.9615384615395</v>
      </c>
      <c r="AG50" s="425">
        <v>133.20850202429156</v>
      </c>
      <c r="AH50" s="498">
        <f t="shared" si="40"/>
        <v>3</v>
      </c>
      <c r="AI50" s="560"/>
      <c r="AJ50" s="498">
        <v>19</v>
      </c>
      <c r="AK50" s="425">
        <v>2500.0000000000014</v>
      </c>
      <c r="AL50" s="425">
        <v>131.57894736842113</v>
      </c>
      <c r="AM50" s="498">
        <f t="shared" si="42"/>
        <v>4</v>
      </c>
      <c r="AN50" s="560"/>
      <c r="AO50" s="498">
        <v>19</v>
      </c>
      <c r="AP50" s="425">
        <v>2492.8124999999995</v>
      </c>
      <c r="AQ50" s="425">
        <v>131.20065789473682</v>
      </c>
      <c r="AR50" s="498">
        <f t="shared" si="44"/>
        <v>3</v>
      </c>
      <c r="AS50" s="560"/>
      <c r="AT50" s="498">
        <v>19</v>
      </c>
      <c r="AU50" s="425">
        <v>2521.4285714285706</v>
      </c>
      <c r="AV50" s="425">
        <v>132.70676691729318</v>
      </c>
      <c r="AW50" s="498">
        <f t="shared" si="46"/>
        <v>4</v>
      </c>
      <c r="AX50" s="560"/>
      <c r="AZ50" s="498" t="e">
        <f t="shared" si="48"/>
        <v>#N/A</v>
      </c>
      <c r="BA50" s="560"/>
    </row>
    <row r="51" spans="2:53">
      <c r="B51" s="570"/>
      <c r="C51" s="420">
        <v>5</v>
      </c>
      <c r="D51" s="226" t="s">
        <v>532</v>
      </c>
      <c r="E51" s="425">
        <v>17</v>
      </c>
      <c r="F51" s="418">
        <v>2250</v>
      </c>
      <c r="G51" s="419">
        <v>132.4</v>
      </c>
      <c r="H51" s="649"/>
      <c r="I51" s="422">
        <f t="shared" si="31"/>
        <v>18</v>
      </c>
      <c r="J51" s="422">
        <f t="shared" si="32"/>
        <v>2172.3954268806251</v>
      </c>
      <c r="K51" s="200">
        <f t="shared" si="33"/>
        <v>120.68863482670136</v>
      </c>
      <c r="L51" s="581"/>
      <c r="M51" s="501">
        <f>RANK(K51, K$47:$K$61)</f>
        <v>6</v>
      </c>
      <c r="N51" s="564"/>
      <c r="O51" s="564"/>
      <c r="P51" s="498">
        <v>18</v>
      </c>
      <c r="Q51" s="425">
        <v>2171</v>
      </c>
      <c r="R51" s="425">
        <v>120.61111111111111</v>
      </c>
      <c r="S51" s="498">
        <f t="shared" si="34"/>
        <v>6</v>
      </c>
      <c r="T51" s="560"/>
      <c r="U51" s="498">
        <v>18</v>
      </c>
      <c r="V51" s="425">
        <v>2186.215909090909</v>
      </c>
      <c r="W51" s="425">
        <v>121.45643939393939</v>
      </c>
      <c r="X51" s="498">
        <f t="shared" si="36"/>
        <v>6</v>
      </c>
      <c r="Y51" s="560"/>
      <c r="Z51" s="498">
        <v>18</v>
      </c>
      <c r="AA51" s="425">
        <v>2158</v>
      </c>
      <c r="AB51" s="425">
        <v>119.88888888888889</v>
      </c>
      <c r="AC51" s="498">
        <f t="shared" si="38"/>
        <v>6</v>
      </c>
      <c r="AD51" s="560"/>
      <c r="AE51" s="498">
        <v>18</v>
      </c>
      <c r="AF51" s="425">
        <v>2180.4137931034475</v>
      </c>
      <c r="AG51" s="425">
        <v>121.13409961685819</v>
      </c>
      <c r="AH51" s="498">
        <f t="shared" si="40"/>
        <v>6</v>
      </c>
      <c r="AI51" s="560"/>
      <c r="AJ51" s="498">
        <v>18</v>
      </c>
      <c r="AK51" s="425">
        <v>2168.7804878048787</v>
      </c>
      <c r="AL51" s="425">
        <v>120.48780487804882</v>
      </c>
      <c r="AM51" s="498">
        <f t="shared" si="42"/>
        <v>6</v>
      </c>
      <c r="AN51" s="560"/>
      <c r="AO51" s="498">
        <v>18</v>
      </c>
      <c r="AP51" s="425">
        <v>2145.3577981651383</v>
      </c>
      <c r="AQ51" s="425">
        <v>119.18654434250769</v>
      </c>
      <c r="AR51" s="498">
        <f t="shared" si="44"/>
        <v>6</v>
      </c>
      <c r="AS51" s="560"/>
      <c r="AT51" s="498">
        <v>18</v>
      </c>
      <c r="AU51" s="425">
        <v>2197.0000000000005</v>
      </c>
      <c r="AV51" s="425">
        <v>122.05555555555559</v>
      </c>
      <c r="AW51" s="498">
        <f t="shared" si="46"/>
        <v>6</v>
      </c>
      <c r="AX51" s="560"/>
      <c r="AZ51" s="498" t="e">
        <f t="shared" si="48"/>
        <v>#N/A</v>
      </c>
      <c r="BA51" s="560"/>
    </row>
    <row r="52" spans="2:53">
      <c r="B52" s="570"/>
      <c r="C52" s="420">
        <v>6</v>
      </c>
      <c r="D52" s="226" t="s">
        <v>653</v>
      </c>
      <c r="E52" s="425">
        <v>17</v>
      </c>
      <c r="F52" s="418">
        <v>2700</v>
      </c>
      <c r="G52" s="419">
        <v>166.7</v>
      </c>
      <c r="H52" s="649"/>
      <c r="I52" s="422">
        <f t="shared" si="31"/>
        <v>17.714285714285715</v>
      </c>
      <c r="J52" s="422">
        <f t="shared" si="32"/>
        <v>2334.2167684082719</v>
      </c>
      <c r="K52" s="200">
        <f t="shared" si="33"/>
        <v>131.87096083854792</v>
      </c>
      <c r="L52" s="581"/>
      <c r="M52" s="501">
        <f>RANK(K52, K$47:$K$61)</f>
        <v>5</v>
      </c>
      <c r="N52" s="564"/>
      <c r="O52" s="564"/>
      <c r="P52" s="498">
        <v>17</v>
      </c>
      <c r="Q52" s="425">
        <v>2386.9565217391305</v>
      </c>
      <c r="R52" s="425">
        <v>140.40920716112532</v>
      </c>
      <c r="S52" s="498">
        <f t="shared" si="34"/>
        <v>2</v>
      </c>
      <c r="T52" s="560"/>
      <c r="U52" s="498">
        <v>18</v>
      </c>
      <c r="V52" s="425">
        <v>2340.0000000000009</v>
      </c>
      <c r="W52" s="425">
        <v>130.00000000000006</v>
      </c>
      <c r="X52" s="498">
        <f t="shared" si="36"/>
        <v>5</v>
      </c>
      <c r="Y52" s="560"/>
      <c r="Z52" s="498">
        <v>18</v>
      </c>
      <c r="AA52" s="425">
        <v>2309.4117647058833</v>
      </c>
      <c r="AB52" s="425">
        <v>128.30065359477129</v>
      </c>
      <c r="AC52" s="498">
        <f t="shared" si="38"/>
        <v>5</v>
      </c>
      <c r="AD52" s="560"/>
      <c r="AE52" s="498">
        <v>18</v>
      </c>
      <c r="AF52" s="425">
        <v>2337.5510204081638</v>
      </c>
      <c r="AG52" s="425">
        <v>129.86394557823132</v>
      </c>
      <c r="AH52" s="498">
        <f t="shared" si="40"/>
        <v>5</v>
      </c>
      <c r="AI52" s="560"/>
      <c r="AJ52" s="498">
        <v>18</v>
      </c>
      <c r="AK52" s="425">
        <v>2330.8695652173915</v>
      </c>
      <c r="AL52" s="425">
        <v>129.49275362318841</v>
      </c>
      <c r="AM52" s="498">
        <f t="shared" si="42"/>
        <v>5</v>
      </c>
      <c r="AN52" s="560"/>
      <c r="AO52" s="498">
        <v>18</v>
      </c>
      <c r="AP52" s="425">
        <v>2325.8823529411775</v>
      </c>
      <c r="AQ52" s="425">
        <v>129.21568627450986</v>
      </c>
      <c r="AR52" s="498">
        <f t="shared" si="44"/>
        <v>5</v>
      </c>
      <c r="AS52" s="560"/>
      <c r="AT52" s="498">
        <v>17</v>
      </c>
      <c r="AU52" s="425">
        <v>2308.8461538461552</v>
      </c>
      <c r="AV52" s="425">
        <v>135.81447963800912</v>
      </c>
      <c r="AW52" s="498">
        <f t="shared" si="46"/>
        <v>3</v>
      </c>
      <c r="AX52" s="560"/>
      <c r="AZ52" s="498" t="e">
        <f t="shared" si="48"/>
        <v>#N/A</v>
      </c>
      <c r="BA52" s="560"/>
    </row>
    <row r="53" spans="2:53">
      <c r="B53" s="570"/>
      <c r="C53" s="420">
        <v>7</v>
      </c>
      <c r="D53" s="226" t="s">
        <v>677</v>
      </c>
      <c r="E53" s="425">
        <v>17</v>
      </c>
      <c r="F53" s="418">
        <v>2700</v>
      </c>
      <c r="G53" s="419">
        <v>166.7</v>
      </c>
      <c r="H53" s="649"/>
      <c r="I53" s="422">
        <f t="shared" si="31"/>
        <v>17</v>
      </c>
      <c r="J53" s="422">
        <f t="shared" si="32"/>
        <v>2326.6880682690858</v>
      </c>
      <c r="K53" s="200">
        <f t="shared" si="33"/>
        <v>136.86400401582858</v>
      </c>
      <c r="L53" s="581"/>
      <c r="M53" s="501">
        <f>RANK(K53, K$47:$K$61)</f>
        <v>1</v>
      </c>
      <c r="N53" s="564"/>
      <c r="O53" s="564"/>
      <c r="P53" s="498">
        <v>17</v>
      </c>
      <c r="Q53" s="425">
        <v>2428.0000000000023</v>
      </c>
      <c r="R53" s="425">
        <v>142.82352941176484</v>
      </c>
      <c r="S53" s="498">
        <f t="shared" si="34"/>
        <v>1</v>
      </c>
      <c r="T53" s="560"/>
      <c r="U53" s="498">
        <v>17</v>
      </c>
      <c r="V53" s="425">
        <v>2291.7073170731701</v>
      </c>
      <c r="W53" s="425">
        <v>134.80631276900999</v>
      </c>
      <c r="X53" s="498">
        <f t="shared" si="36"/>
        <v>1</v>
      </c>
      <c r="Y53" s="560"/>
      <c r="Z53" s="498">
        <v>17</v>
      </c>
      <c r="AA53" s="425">
        <v>2282.5531914893622</v>
      </c>
      <c r="AB53" s="425">
        <v>134.26783479349189</v>
      </c>
      <c r="AC53" s="498">
        <f t="shared" si="38"/>
        <v>1</v>
      </c>
      <c r="AD53" s="560"/>
      <c r="AE53" s="498">
        <v>17</v>
      </c>
      <c r="AF53" s="425">
        <v>2303.478260869565</v>
      </c>
      <c r="AG53" s="425">
        <v>135.49872122762147</v>
      </c>
      <c r="AH53" s="498">
        <f t="shared" si="40"/>
        <v>1</v>
      </c>
      <c r="AI53" s="560"/>
      <c r="AJ53" s="498">
        <v>17</v>
      </c>
      <c r="AK53" s="425">
        <v>2353.170731707316</v>
      </c>
      <c r="AL53" s="425">
        <v>138.42180774748917</v>
      </c>
      <c r="AM53" s="498">
        <f t="shared" si="42"/>
        <v>1</v>
      </c>
      <c r="AN53" s="560"/>
      <c r="AO53" s="498">
        <v>17</v>
      </c>
      <c r="AP53" s="425">
        <v>2307.9069767441856</v>
      </c>
      <c r="AQ53" s="425">
        <v>135.75923392612856</v>
      </c>
      <c r="AR53" s="498">
        <f t="shared" si="44"/>
        <v>1</v>
      </c>
      <c r="AS53" s="560"/>
      <c r="AT53" s="498">
        <v>17</v>
      </c>
      <c r="AU53" s="425">
        <v>2319.9999999999991</v>
      </c>
      <c r="AV53" s="425">
        <v>136.47058823529406</v>
      </c>
      <c r="AW53" s="498">
        <f t="shared" si="46"/>
        <v>2</v>
      </c>
      <c r="AX53" s="560"/>
      <c r="AZ53" s="498" t="e">
        <f t="shared" si="48"/>
        <v>#N/A</v>
      </c>
      <c r="BA53" s="560"/>
    </row>
    <row r="54" spans="2:53">
      <c r="B54" s="570"/>
      <c r="C54" s="420">
        <v>8</v>
      </c>
      <c r="D54" s="226"/>
      <c r="E54" s="425"/>
      <c r="F54" s="418"/>
      <c r="G54" s="419"/>
      <c r="H54" s="649"/>
      <c r="I54" s="422" t="str">
        <f t="shared" si="31"/>
        <v>-</v>
      </c>
      <c r="J54" s="422" t="str">
        <f t="shared" si="32"/>
        <v>-</v>
      </c>
      <c r="K54" s="200" t="str">
        <f t="shared" si="33"/>
        <v>-</v>
      </c>
      <c r="L54" s="581"/>
      <c r="M54" s="501" t="e">
        <f>RANK(K54, K$47:$K$61)</f>
        <v>#VALUE!</v>
      </c>
      <c r="N54" s="564"/>
      <c r="O54" s="564"/>
      <c r="P54" s="498" t="s">
        <v>639</v>
      </c>
      <c r="Q54" s="425" t="s">
        <v>639</v>
      </c>
      <c r="R54" s="425" t="s">
        <v>639</v>
      </c>
      <c r="S54" s="498" t="e">
        <f t="shared" si="34"/>
        <v>#VALUE!</v>
      </c>
      <c r="T54" s="560"/>
      <c r="U54" s="498" t="s">
        <v>639</v>
      </c>
      <c r="V54" s="425" t="s">
        <v>639</v>
      </c>
      <c r="W54" s="425" t="s">
        <v>639</v>
      </c>
      <c r="X54" s="498" t="e">
        <f t="shared" si="36"/>
        <v>#VALUE!</v>
      </c>
      <c r="Y54" s="560"/>
      <c r="Z54" s="498" t="s">
        <v>639</v>
      </c>
      <c r="AA54" s="425" t="s">
        <v>639</v>
      </c>
      <c r="AB54" s="425" t="s">
        <v>639</v>
      </c>
      <c r="AC54" s="498" t="e">
        <f t="shared" si="38"/>
        <v>#VALUE!</v>
      </c>
      <c r="AD54" s="560"/>
      <c r="AE54" s="498" t="s">
        <v>639</v>
      </c>
      <c r="AF54" s="425" t="s">
        <v>639</v>
      </c>
      <c r="AG54" s="425" t="s">
        <v>639</v>
      </c>
      <c r="AH54" s="498" t="e">
        <f t="shared" si="40"/>
        <v>#VALUE!</v>
      </c>
      <c r="AI54" s="560"/>
      <c r="AJ54" s="498" t="s">
        <v>639</v>
      </c>
      <c r="AK54" s="425" t="s">
        <v>639</v>
      </c>
      <c r="AL54" s="425" t="s">
        <v>639</v>
      </c>
      <c r="AM54" s="498" t="e">
        <f t="shared" si="42"/>
        <v>#VALUE!</v>
      </c>
      <c r="AN54" s="560"/>
      <c r="AO54" s="498" t="s">
        <v>639</v>
      </c>
      <c r="AP54" s="425" t="s">
        <v>639</v>
      </c>
      <c r="AQ54" s="425" t="s">
        <v>639</v>
      </c>
      <c r="AR54" s="498" t="e">
        <f t="shared" si="44"/>
        <v>#VALUE!</v>
      </c>
      <c r="AS54" s="560"/>
      <c r="AT54" s="498"/>
      <c r="AU54" s="425"/>
      <c r="AV54" s="425"/>
      <c r="AW54" s="498" t="e">
        <f t="shared" si="46"/>
        <v>#N/A</v>
      </c>
      <c r="AX54" s="560"/>
      <c r="AZ54" s="498" t="e">
        <f t="shared" si="48"/>
        <v>#N/A</v>
      </c>
      <c r="BA54" s="560"/>
    </row>
    <row r="55" spans="2:53">
      <c r="B55" s="570"/>
      <c r="C55" s="420">
        <v>9</v>
      </c>
      <c r="D55" s="226"/>
      <c r="E55" s="425"/>
      <c r="F55" s="418"/>
      <c r="G55" s="419"/>
      <c r="H55" s="649"/>
      <c r="I55" s="422" t="str">
        <f t="shared" si="31"/>
        <v>-</v>
      </c>
      <c r="J55" s="422" t="str">
        <f t="shared" si="32"/>
        <v>-</v>
      </c>
      <c r="K55" s="200" t="str">
        <f t="shared" si="33"/>
        <v>-</v>
      </c>
      <c r="L55" s="581"/>
      <c r="M55" s="501" t="e">
        <f>RANK(K55, K$47:$K$61)</f>
        <v>#VALUE!</v>
      </c>
      <c r="N55" s="564"/>
      <c r="O55" s="564"/>
      <c r="P55" s="498" t="s">
        <v>639</v>
      </c>
      <c r="Q55" s="425" t="s">
        <v>639</v>
      </c>
      <c r="R55" s="425" t="s">
        <v>639</v>
      </c>
      <c r="S55" s="498" t="e">
        <f t="shared" si="34"/>
        <v>#VALUE!</v>
      </c>
      <c r="T55" s="560"/>
      <c r="U55" s="498" t="s">
        <v>639</v>
      </c>
      <c r="V55" s="425" t="s">
        <v>639</v>
      </c>
      <c r="W55" s="425" t="s">
        <v>639</v>
      </c>
      <c r="X55" s="498" t="e">
        <f t="shared" si="36"/>
        <v>#VALUE!</v>
      </c>
      <c r="Y55" s="560"/>
      <c r="Z55" s="498" t="s">
        <v>639</v>
      </c>
      <c r="AA55" s="425" t="s">
        <v>639</v>
      </c>
      <c r="AB55" s="425" t="s">
        <v>639</v>
      </c>
      <c r="AC55" s="498" t="e">
        <f t="shared" si="38"/>
        <v>#VALUE!</v>
      </c>
      <c r="AD55" s="560"/>
      <c r="AE55" s="498" t="s">
        <v>639</v>
      </c>
      <c r="AF55" s="425" t="s">
        <v>639</v>
      </c>
      <c r="AG55" s="425" t="s">
        <v>639</v>
      </c>
      <c r="AH55" s="498" t="e">
        <f t="shared" si="40"/>
        <v>#VALUE!</v>
      </c>
      <c r="AI55" s="560"/>
      <c r="AJ55" s="498" t="s">
        <v>639</v>
      </c>
      <c r="AK55" s="425" t="s">
        <v>639</v>
      </c>
      <c r="AL55" s="425" t="s">
        <v>639</v>
      </c>
      <c r="AM55" s="498" t="e">
        <f t="shared" si="42"/>
        <v>#VALUE!</v>
      </c>
      <c r="AN55" s="560"/>
      <c r="AO55" s="498" t="s">
        <v>639</v>
      </c>
      <c r="AP55" s="425" t="s">
        <v>639</v>
      </c>
      <c r="AQ55" s="425" t="s">
        <v>639</v>
      </c>
      <c r="AR55" s="498" t="e">
        <f t="shared" si="44"/>
        <v>#VALUE!</v>
      </c>
      <c r="AS55" s="560"/>
      <c r="AT55" s="498"/>
      <c r="AU55" s="425"/>
      <c r="AV55" s="425"/>
      <c r="AW55" s="498" t="e">
        <f t="shared" si="46"/>
        <v>#N/A</v>
      </c>
      <c r="AX55" s="560"/>
      <c r="AZ55" s="498" t="e">
        <f t="shared" si="48"/>
        <v>#N/A</v>
      </c>
      <c r="BA55" s="560"/>
    </row>
    <row r="56" spans="2:53">
      <c r="B56" s="570"/>
      <c r="C56" s="420">
        <v>10</v>
      </c>
      <c r="D56" s="226"/>
      <c r="E56" s="425"/>
      <c r="F56" s="418"/>
      <c r="G56" s="419"/>
      <c r="H56" s="649"/>
      <c r="I56" s="422" t="str">
        <f t="shared" si="31"/>
        <v>-</v>
      </c>
      <c r="J56" s="422" t="str">
        <f t="shared" si="32"/>
        <v>-</v>
      </c>
      <c r="K56" s="200" t="str">
        <f t="shared" si="33"/>
        <v>-</v>
      </c>
      <c r="L56" s="581"/>
      <c r="M56" s="501" t="e">
        <f>RANK(K56, K$47:$K$61)</f>
        <v>#VALUE!</v>
      </c>
      <c r="N56" s="564"/>
      <c r="O56" s="564"/>
      <c r="P56" s="498" t="s">
        <v>639</v>
      </c>
      <c r="Q56" s="425" t="s">
        <v>639</v>
      </c>
      <c r="R56" s="425" t="s">
        <v>639</v>
      </c>
      <c r="S56" s="498" t="e">
        <f t="shared" si="34"/>
        <v>#VALUE!</v>
      </c>
      <c r="T56" s="560"/>
      <c r="U56" s="498" t="s">
        <v>639</v>
      </c>
      <c r="V56" s="425" t="s">
        <v>639</v>
      </c>
      <c r="W56" s="425" t="s">
        <v>639</v>
      </c>
      <c r="X56" s="498" t="e">
        <f t="shared" si="36"/>
        <v>#VALUE!</v>
      </c>
      <c r="Y56" s="560"/>
      <c r="Z56" s="498" t="s">
        <v>639</v>
      </c>
      <c r="AA56" s="425" t="s">
        <v>639</v>
      </c>
      <c r="AB56" s="425" t="s">
        <v>639</v>
      </c>
      <c r="AC56" s="498" t="e">
        <f t="shared" si="38"/>
        <v>#VALUE!</v>
      </c>
      <c r="AD56" s="560"/>
      <c r="AE56" s="498" t="s">
        <v>639</v>
      </c>
      <c r="AF56" s="425" t="s">
        <v>639</v>
      </c>
      <c r="AG56" s="425" t="s">
        <v>639</v>
      </c>
      <c r="AH56" s="498" t="e">
        <f t="shared" si="40"/>
        <v>#VALUE!</v>
      </c>
      <c r="AI56" s="560"/>
      <c r="AJ56" s="498" t="s">
        <v>639</v>
      </c>
      <c r="AK56" s="425" t="s">
        <v>639</v>
      </c>
      <c r="AL56" s="425" t="s">
        <v>639</v>
      </c>
      <c r="AM56" s="498" t="e">
        <f t="shared" si="42"/>
        <v>#VALUE!</v>
      </c>
      <c r="AN56" s="560"/>
      <c r="AO56" s="498" t="s">
        <v>639</v>
      </c>
      <c r="AP56" s="425" t="s">
        <v>639</v>
      </c>
      <c r="AQ56" s="425" t="s">
        <v>639</v>
      </c>
      <c r="AR56" s="498" t="e">
        <f t="shared" si="44"/>
        <v>#VALUE!</v>
      </c>
      <c r="AS56" s="560"/>
      <c r="AT56" s="498"/>
      <c r="AU56" s="425"/>
      <c r="AV56" s="425"/>
      <c r="AW56" s="498" t="e">
        <f t="shared" si="46"/>
        <v>#N/A</v>
      </c>
      <c r="AX56" s="560"/>
      <c r="AZ56" s="498" t="e">
        <f t="shared" si="48"/>
        <v>#N/A</v>
      </c>
      <c r="BA56" s="560"/>
    </row>
    <row r="57" spans="2:53">
      <c r="B57" s="570"/>
      <c r="C57" s="420">
        <v>11</v>
      </c>
      <c r="D57" s="226"/>
      <c r="E57" s="425"/>
      <c r="F57" s="418"/>
      <c r="G57" s="419"/>
      <c r="H57" s="649"/>
      <c r="I57" s="422" t="str">
        <f t="shared" si="31"/>
        <v>-</v>
      </c>
      <c r="J57" s="422" t="str">
        <f t="shared" si="32"/>
        <v>-</v>
      </c>
      <c r="K57" s="200" t="str">
        <f t="shared" si="33"/>
        <v>-</v>
      </c>
      <c r="L57" s="581"/>
      <c r="M57" s="501" t="e">
        <f>RANK(K57, K$47:$K$61)</f>
        <v>#VALUE!</v>
      </c>
      <c r="N57" s="564"/>
      <c r="O57" s="564"/>
      <c r="P57" s="498"/>
      <c r="Q57" s="425"/>
      <c r="R57" s="425"/>
      <c r="S57" s="498" t="e">
        <f t="shared" si="34"/>
        <v>#N/A</v>
      </c>
      <c r="T57" s="560"/>
      <c r="U57" s="498"/>
      <c r="V57" s="425"/>
      <c r="W57" s="425"/>
      <c r="X57" s="498" t="e">
        <f t="shared" si="36"/>
        <v>#N/A</v>
      </c>
      <c r="Y57" s="560"/>
      <c r="Z57" s="498"/>
      <c r="AA57" s="425"/>
      <c r="AB57" s="425"/>
      <c r="AC57" s="498" t="e">
        <f t="shared" si="38"/>
        <v>#N/A</v>
      </c>
      <c r="AD57" s="560"/>
      <c r="AE57" s="498"/>
      <c r="AF57" s="425"/>
      <c r="AG57" s="425"/>
      <c r="AH57" s="498" t="e">
        <f t="shared" si="40"/>
        <v>#N/A</v>
      </c>
      <c r="AI57" s="560"/>
      <c r="AJ57" s="498"/>
      <c r="AK57" s="425"/>
      <c r="AL57" s="425"/>
      <c r="AM57" s="498" t="e">
        <f t="shared" si="42"/>
        <v>#N/A</v>
      </c>
      <c r="AN57" s="560"/>
      <c r="AO57" s="498"/>
      <c r="AP57" s="425"/>
      <c r="AQ57" s="425"/>
      <c r="AR57" s="498" t="e">
        <f t="shared" si="44"/>
        <v>#N/A</v>
      </c>
      <c r="AS57" s="560"/>
      <c r="AT57" s="498"/>
      <c r="AU57" s="425"/>
      <c r="AV57" s="425"/>
      <c r="AW57" s="498" t="e">
        <f t="shared" si="46"/>
        <v>#N/A</v>
      </c>
      <c r="AX57" s="560"/>
      <c r="AZ57" s="498" t="e">
        <f t="shared" si="48"/>
        <v>#N/A</v>
      </c>
      <c r="BA57" s="560"/>
    </row>
    <row r="58" spans="2:53">
      <c r="B58" s="570"/>
      <c r="C58" s="420">
        <v>12</v>
      </c>
      <c r="D58" s="226"/>
      <c r="E58" s="425"/>
      <c r="F58" s="418"/>
      <c r="G58" s="419"/>
      <c r="H58" s="649"/>
      <c r="I58" s="422" t="str">
        <f t="shared" si="31"/>
        <v>-</v>
      </c>
      <c r="J58" s="422" t="str">
        <f t="shared" si="32"/>
        <v>-</v>
      </c>
      <c r="K58" s="200" t="str">
        <f t="shared" si="33"/>
        <v>-</v>
      </c>
      <c r="L58" s="581"/>
      <c r="M58" s="501" t="e">
        <f>RANK(K58, K$47:$K$61)</f>
        <v>#VALUE!</v>
      </c>
      <c r="N58" s="564"/>
      <c r="O58" s="564"/>
      <c r="P58" s="498"/>
      <c r="Q58" s="425"/>
      <c r="R58" s="425"/>
      <c r="S58" s="498" t="e">
        <f t="shared" si="34"/>
        <v>#N/A</v>
      </c>
      <c r="T58" s="560"/>
      <c r="U58" s="498"/>
      <c r="V58" s="425"/>
      <c r="W58" s="425"/>
      <c r="X58" s="498" t="e">
        <f t="shared" si="36"/>
        <v>#N/A</v>
      </c>
      <c r="Y58" s="560"/>
      <c r="Z58" s="498"/>
      <c r="AA58" s="425"/>
      <c r="AB58" s="425"/>
      <c r="AC58" s="498" t="e">
        <f t="shared" si="38"/>
        <v>#N/A</v>
      </c>
      <c r="AD58" s="560"/>
      <c r="AE58" s="498"/>
      <c r="AF58" s="425"/>
      <c r="AG58" s="425"/>
      <c r="AH58" s="498" t="e">
        <f t="shared" si="40"/>
        <v>#N/A</v>
      </c>
      <c r="AI58" s="560"/>
      <c r="AJ58" s="498"/>
      <c r="AK58" s="425"/>
      <c r="AL58" s="425"/>
      <c r="AM58" s="498" t="e">
        <f t="shared" si="42"/>
        <v>#N/A</v>
      </c>
      <c r="AN58" s="560"/>
      <c r="AO58" s="498"/>
      <c r="AP58" s="425"/>
      <c r="AQ58" s="425"/>
      <c r="AR58" s="498" t="e">
        <f t="shared" si="44"/>
        <v>#N/A</v>
      </c>
      <c r="AS58" s="560"/>
      <c r="AT58" s="498"/>
      <c r="AU58" s="425"/>
      <c r="AV58" s="425"/>
      <c r="AW58" s="498" t="e">
        <f t="shared" si="46"/>
        <v>#N/A</v>
      </c>
      <c r="AX58" s="560"/>
      <c r="AZ58" s="498" t="e">
        <f t="shared" si="48"/>
        <v>#N/A</v>
      </c>
      <c r="BA58" s="560"/>
    </row>
    <row r="59" spans="2:53">
      <c r="B59" s="570"/>
      <c r="C59" s="420">
        <v>13</v>
      </c>
      <c r="D59" s="226"/>
      <c r="E59" s="425"/>
      <c r="F59" s="418"/>
      <c r="G59" s="419"/>
      <c r="H59" s="649"/>
      <c r="I59" s="422" t="str">
        <f t="shared" si="31"/>
        <v>-</v>
      </c>
      <c r="J59" s="422" t="str">
        <f t="shared" si="32"/>
        <v>-</v>
      </c>
      <c r="K59" s="200" t="str">
        <f t="shared" si="33"/>
        <v>-</v>
      </c>
      <c r="L59" s="581"/>
      <c r="M59" s="501" t="e">
        <f>RANK(K59, K$47:$K$61)</f>
        <v>#VALUE!</v>
      </c>
      <c r="N59" s="564"/>
      <c r="O59" s="564"/>
      <c r="P59" s="498"/>
      <c r="Q59" s="425"/>
      <c r="R59" s="425"/>
      <c r="S59" s="498" t="e">
        <f t="shared" si="34"/>
        <v>#N/A</v>
      </c>
      <c r="T59" s="560"/>
      <c r="U59" s="498"/>
      <c r="V59" s="425"/>
      <c r="W59" s="425"/>
      <c r="X59" s="498" t="e">
        <f t="shared" si="36"/>
        <v>#N/A</v>
      </c>
      <c r="Y59" s="560"/>
      <c r="Z59" s="498"/>
      <c r="AA59" s="425"/>
      <c r="AB59" s="425"/>
      <c r="AC59" s="498" t="e">
        <f t="shared" si="38"/>
        <v>#N/A</v>
      </c>
      <c r="AD59" s="560"/>
      <c r="AE59" s="498"/>
      <c r="AF59" s="425"/>
      <c r="AG59" s="425"/>
      <c r="AH59" s="498" t="e">
        <f t="shared" si="40"/>
        <v>#N/A</v>
      </c>
      <c r="AI59" s="560"/>
      <c r="AJ59" s="498"/>
      <c r="AK59" s="425"/>
      <c r="AL59" s="425"/>
      <c r="AM59" s="498" t="e">
        <f t="shared" si="42"/>
        <v>#N/A</v>
      </c>
      <c r="AN59" s="560"/>
      <c r="AO59" s="498"/>
      <c r="AP59" s="425"/>
      <c r="AQ59" s="425"/>
      <c r="AR59" s="498" t="e">
        <f t="shared" si="44"/>
        <v>#N/A</v>
      </c>
      <c r="AS59" s="560"/>
      <c r="AT59" s="498"/>
      <c r="AU59" s="425"/>
      <c r="AV59" s="425"/>
      <c r="AW59" s="498" t="e">
        <f t="shared" si="46"/>
        <v>#N/A</v>
      </c>
      <c r="AX59" s="560"/>
      <c r="AZ59" s="498" t="e">
        <f t="shared" si="48"/>
        <v>#N/A</v>
      </c>
      <c r="BA59" s="560"/>
    </row>
    <row r="60" spans="2:53">
      <c r="B60" s="570"/>
      <c r="C60" s="420">
        <v>14</v>
      </c>
      <c r="D60" s="226"/>
      <c r="E60" s="425"/>
      <c r="F60" s="418"/>
      <c r="G60" s="419"/>
      <c r="H60" s="649"/>
      <c r="I60" s="422" t="str">
        <f t="shared" si="31"/>
        <v>-</v>
      </c>
      <c r="J60" s="422" t="str">
        <f t="shared" si="32"/>
        <v>-</v>
      </c>
      <c r="K60" s="200" t="str">
        <f t="shared" si="33"/>
        <v>-</v>
      </c>
      <c r="L60" s="581"/>
      <c r="M60" s="501" t="e">
        <f>RANK(K60, K$47:$K$61)</f>
        <v>#VALUE!</v>
      </c>
      <c r="N60" s="564"/>
      <c r="O60" s="564"/>
      <c r="P60" s="498"/>
      <c r="Q60" s="425"/>
      <c r="R60" s="425"/>
      <c r="S60" s="498" t="e">
        <f t="shared" si="34"/>
        <v>#N/A</v>
      </c>
      <c r="T60" s="560"/>
      <c r="U60" s="498"/>
      <c r="V60" s="425"/>
      <c r="W60" s="425"/>
      <c r="X60" s="498" t="e">
        <f t="shared" si="36"/>
        <v>#N/A</v>
      </c>
      <c r="Y60" s="560"/>
      <c r="Z60" s="498"/>
      <c r="AA60" s="425"/>
      <c r="AB60" s="425"/>
      <c r="AC60" s="498" t="e">
        <f t="shared" si="38"/>
        <v>#N/A</v>
      </c>
      <c r="AD60" s="560"/>
      <c r="AE60" s="498"/>
      <c r="AF60" s="425"/>
      <c r="AG60" s="425"/>
      <c r="AH60" s="498" t="e">
        <f t="shared" si="40"/>
        <v>#N/A</v>
      </c>
      <c r="AI60" s="560"/>
      <c r="AJ60" s="498"/>
      <c r="AK60" s="425"/>
      <c r="AL60" s="425"/>
      <c r="AM60" s="498" t="e">
        <f t="shared" si="42"/>
        <v>#N/A</v>
      </c>
      <c r="AN60" s="560"/>
      <c r="AO60" s="498"/>
      <c r="AP60" s="425"/>
      <c r="AQ60" s="425"/>
      <c r="AR60" s="498" t="e">
        <f t="shared" si="44"/>
        <v>#N/A</v>
      </c>
      <c r="AS60" s="560"/>
      <c r="AT60" s="498"/>
      <c r="AU60" s="425"/>
      <c r="AV60" s="425"/>
      <c r="AW60" s="498" t="e">
        <f t="shared" si="46"/>
        <v>#N/A</v>
      </c>
      <c r="AX60" s="560"/>
      <c r="AZ60" s="498" t="e">
        <f t="shared" si="48"/>
        <v>#N/A</v>
      </c>
      <c r="BA60" s="560"/>
    </row>
    <row r="61" spans="2:53">
      <c r="B61" s="570"/>
      <c r="C61" s="420">
        <v>15</v>
      </c>
      <c r="D61" s="226"/>
      <c r="E61" s="425"/>
      <c r="F61" s="418"/>
      <c r="G61" s="419"/>
      <c r="H61" s="650"/>
      <c r="I61" s="420"/>
      <c r="J61" s="420"/>
      <c r="K61" s="420"/>
      <c r="L61" s="582"/>
      <c r="M61" s="501" t="e">
        <f>RANK(K61, K$47:$K$61)</f>
        <v>#N/A</v>
      </c>
      <c r="N61" s="564"/>
      <c r="O61" s="564"/>
      <c r="P61" s="498"/>
      <c r="Q61" s="425"/>
      <c r="R61" s="425"/>
      <c r="S61" s="498" t="e">
        <f t="shared" si="34"/>
        <v>#N/A</v>
      </c>
      <c r="T61" s="561"/>
      <c r="U61" s="498"/>
      <c r="V61" s="425"/>
      <c r="W61" s="425"/>
      <c r="X61" s="498" t="e">
        <f t="shared" si="36"/>
        <v>#N/A</v>
      </c>
      <c r="Y61" s="561"/>
      <c r="Z61" s="498"/>
      <c r="AA61" s="425"/>
      <c r="AB61" s="425"/>
      <c r="AC61" s="498" t="e">
        <f t="shared" si="38"/>
        <v>#N/A</v>
      </c>
      <c r="AD61" s="561"/>
      <c r="AE61" s="498"/>
      <c r="AF61" s="425"/>
      <c r="AG61" s="425"/>
      <c r="AH61" s="498" t="e">
        <f t="shared" si="40"/>
        <v>#N/A</v>
      </c>
      <c r="AI61" s="561"/>
      <c r="AJ61" s="498"/>
      <c r="AK61" s="425"/>
      <c r="AL61" s="425"/>
      <c r="AM61" s="498" t="e">
        <f t="shared" si="42"/>
        <v>#N/A</v>
      </c>
      <c r="AN61" s="561"/>
      <c r="AO61" s="498"/>
      <c r="AP61" s="425"/>
      <c r="AQ61" s="425"/>
      <c r="AR61" s="498" t="e">
        <f t="shared" si="44"/>
        <v>#N/A</v>
      </c>
      <c r="AS61" s="561"/>
      <c r="AT61" s="498"/>
      <c r="AU61" s="425"/>
      <c r="AV61" s="425"/>
      <c r="AW61" s="498" t="e">
        <f t="shared" si="46"/>
        <v>#N/A</v>
      </c>
      <c r="AX61" s="561"/>
      <c r="AZ61" s="498" t="e">
        <f t="shared" si="48"/>
        <v>#N/A</v>
      </c>
      <c r="BA61" s="561"/>
    </row>
    <row r="62" spans="2:53" ht="15.75">
      <c r="B62" s="593" t="s">
        <v>163</v>
      </c>
      <c r="C62" s="594"/>
      <c r="D62" s="594"/>
      <c r="E62" s="594"/>
      <c r="F62" s="594"/>
      <c r="G62" s="594"/>
      <c r="H62" s="595"/>
      <c r="I62" s="208"/>
      <c r="J62" s="208"/>
      <c r="K62" s="208"/>
      <c r="L62" s="208"/>
      <c r="M62" s="207"/>
      <c r="N62" s="566" t="s">
        <v>156</v>
      </c>
      <c r="O62" s="566" t="s">
        <v>105</v>
      </c>
      <c r="P62" s="592">
        <f>P42+7</f>
        <v>46161</v>
      </c>
      <c r="Q62" s="570"/>
      <c r="R62" s="570"/>
      <c r="S62" s="570"/>
      <c r="T62" s="570"/>
      <c r="U62" s="589">
        <f>P62+1</f>
        <v>46162</v>
      </c>
      <c r="V62" s="590"/>
      <c r="W62" s="590"/>
      <c r="X62" s="590"/>
      <c r="Y62" s="591"/>
      <c r="Z62" s="589">
        <f>U62+1</f>
        <v>46163</v>
      </c>
      <c r="AA62" s="590"/>
      <c r="AB62" s="590"/>
      <c r="AC62" s="590"/>
      <c r="AD62" s="591"/>
      <c r="AE62" s="589">
        <f>Z62+1</f>
        <v>46164</v>
      </c>
      <c r="AF62" s="590"/>
      <c r="AG62" s="590"/>
      <c r="AH62" s="590"/>
      <c r="AI62" s="591"/>
      <c r="AJ62" s="589">
        <f>AE62+1</f>
        <v>46165</v>
      </c>
      <c r="AK62" s="590"/>
      <c r="AL62" s="590"/>
      <c r="AM62" s="590"/>
      <c r="AN62" s="591"/>
      <c r="AO62" s="589">
        <f>AJ62+1</f>
        <v>46166</v>
      </c>
      <c r="AP62" s="590"/>
      <c r="AQ62" s="590"/>
      <c r="AR62" s="590"/>
      <c r="AS62" s="591"/>
      <c r="AT62" s="589">
        <f>AO62+1</f>
        <v>46167</v>
      </c>
      <c r="AU62" s="590"/>
      <c r="AV62" s="590"/>
      <c r="AW62" s="590"/>
      <c r="AX62" s="591"/>
    </row>
    <row r="63" spans="2:53" ht="15.75">
      <c r="B63" s="596"/>
      <c r="C63" s="596"/>
      <c r="D63" s="596"/>
      <c r="E63" s="596"/>
      <c r="F63" s="596"/>
      <c r="G63" s="596"/>
      <c r="H63" s="596"/>
      <c r="I63" s="205"/>
      <c r="J63" s="205"/>
      <c r="K63" s="205"/>
      <c r="L63" s="205"/>
      <c r="M63" s="206"/>
      <c r="N63" s="568"/>
      <c r="O63" s="568"/>
      <c r="P63" s="592" t="s">
        <v>318</v>
      </c>
      <c r="Q63" s="570"/>
      <c r="R63" s="570"/>
      <c r="S63" s="570"/>
      <c r="T63" s="570"/>
      <c r="U63" s="592" t="s">
        <v>319</v>
      </c>
      <c r="V63" s="570"/>
      <c r="W63" s="570"/>
      <c r="X63" s="570"/>
      <c r="Y63" s="570"/>
      <c r="Z63" s="592" t="s">
        <v>320</v>
      </c>
      <c r="AA63" s="570"/>
      <c r="AB63" s="570"/>
      <c r="AC63" s="570"/>
      <c r="AD63" s="570"/>
      <c r="AE63" s="592" t="s">
        <v>321</v>
      </c>
      <c r="AF63" s="570"/>
      <c r="AG63" s="570"/>
      <c r="AH63" s="570"/>
      <c r="AI63" s="570"/>
      <c r="AJ63" s="592" t="s">
        <v>322</v>
      </c>
      <c r="AK63" s="570"/>
      <c r="AL63" s="570"/>
      <c r="AM63" s="570"/>
      <c r="AN63" s="570"/>
      <c r="AO63" s="592" t="s">
        <v>323</v>
      </c>
      <c r="AP63" s="570"/>
      <c r="AQ63" s="570"/>
      <c r="AR63" s="570"/>
      <c r="AS63" s="570"/>
      <c r="AT63" s="592" t="s">
        <v>324</v>
      </c>
      <c r="AU63" s="570"/>
      <c r="AV63" s="570"/>
      <c r="AW63" s="570"/>
      <c r="AX63" s="570"/>
    </row>
    <row r="64" spans="2:53">
      <c r="B64" s="564" t="s">
        <v>420</v>
      </c>
      <c r="C64" s="564" t="s">
        <v>560</v>
      </c>
      <c r="D64" s="564"/>
      <c r="E64" s="564" t="s">
        <v>561</v>
      </c>
      <c r="F64" s="564"/>
      <c r="G64" s="564"/>
      <c r="H64" s="597" t="s">
        <v>562</v>
      </c>
      <c r="I64" s="564" t="s">
        <v>563</v>
      </c>
      <c r="J64" s="564"/>
      <c r="K64" s="564"/>
      <c r="L64" s="597" t="s">
        <v>374</v>
      </c>
      <c r="M64" s="566" t="s">
        <v>564</v>
      </c>
      <c r="N64" s="564"/>
      <c r="O64" s="564" t="s">
        <v>380</v>
      </c>
      <c r="P64" s="583" t="s">
        <v>376</v>
      </c>
      <c r="Q64" s="584"/>
      <c r="R64" s="584"/>
      <c r="S64" s="585"/>
      <c r="T64" s="564" t="s">
        <v>374</v>
      </c>
      <c r="U64" s="583" t="s">
        <v>376</v>
      </c>
      <c r="V64" s="584"/>
      <c r="W64" s="584"/>
      <c r="X64" s="585"/>
      <c r="Y64" s="564" t="s">
        <v>374</v>
      </c>
      <c r="Z64" s="583" t="s">
        <v>376</v>
      </c>
      <c r="AA64" s="584"/>
      <c r="AB64" s="584"/>
      <c r="AC64" s="585"/>
      <c r="AD64" s="564" t="s">
        <v>374</v>
      </c>
      <c r="AE64" s="583" t="s">
        <v>376</v>
      </c>
      <c r="AF64" s="584"/>
      <c r="AG64" s="584"/>
      <c r="AH64" s="585"/>
      <c r="AI64" s="564" t="s">
        <v>374</v>
      </c>
      <c r="AJ64" s="583" t="s">
        <v>376</v>
      </c>
      <c r="AK64" s="584"/>
      <c r="AL64" s="584"/>
      <c r="AM64" s="585"/>
      <c r="AN64" s="564" t="s">
        <v>374</v>
      </c>
      <c r="AO64" s="583" t="s">
        <v>376</v>
      </c>
      <c r="AP64" s="584"/>
      <c r="AQ64" s="584"/>
      <c r="AR64" s="585"/>
      <c r="AS64" s="564" t="s">
        <v>374</v>
      </c>
      <c r="AT64" s="583" t="s">
        <v>376</v>
      </c>
      <c r="AU64" s="584"/>
      <c r="AV64" s="584"/>
      <c r="AW64" s="585"/>
      <c r="AX64" s="564" t="s">
        <v>374</v>
      </c>
      <c r="BA64" s="564" t="s">
        <v>374</v>
      </c>
    </row>
    <row r="65" spans="2:53">
      <c r="B65" s="564"/>
      <c r="C65" s="564"/>
      <c r="D65" s="564"/>
      <c r="E65" s="564" t="s">
        <v>566</v>
      </c>
      <c r="F65" s="564"/>
      <c r="G65" s="564"/>
      <c r="H65" s="598"/>
      <c r="I65" s="564" t="s">
        <v>566</v>
      </c>
      <c r="J65" s="564"/>
      <c r="K65" s="564"/>
      <c r="L65" s="598"/>
      <c r="M65" s="567"/>
      <c r="N65" s="564"/>
      <c r="O65" s="564"/>
      <c r="P65" s="583" t="s">
        <v>382</v>
      </c>
      <c r="Q65" s="584"/>
      <c r="R65" s="584"/>
      <c r="S65" s="585"/>
      <c r="T65" s="564"/>
      <c r="U65" s="583" t="s">
        <v>382</v>
      </c>
      <c r="V65" s="584"/>
      <c r="W65" s="584"/>
      <c r="X65" s="585"/>
      <c r="Y65" s="564"/>
      <c r="Z65" s="583" t="s">
        <v>382</v>
      </c>
      <c r="AA65" s="584"/>
      <c r="AB65" s="584"/>
      <c r="AC65" s="585"/>
      <c r="AD65" s="564"/>
      <c r="AE65" s="583" t="s">
        <v>382</v>
      </c>
      <c r="AF65" s="584"/>
      <c r="AG65" s="584"/>
      <c r="AH65" s="585"/>
      <c r="AI65" s="564"/>
      <c r="AJ65" s="583" t="s">
        <v>382</v>
      </c>
      <c r="AK65" s="584"/>
      <c r="AL65" s="584"/>
      <c r="AM65" s="585"/>
      <c r="AN65" s="564"/>
      <c r="AO65" s="583" t="s">
        <v>382</v>
      </c>
      <c r="AP65" s="584"/>
      <c r="AQ65" s="584"/>
      <c r="AR65" s="585"/>
      <c r="AS65" s="564"/>
      <c r="AT65" s="583" t="s">
        <v>382</v>
      </c>
      <c r="AU65" s="584"/>
      <c r="AV65" s="584"/>
      <c r="AW65" s="585"/>
      <c r="AX65" s="564"/>
      <c r="BA65" s="564"/>
    </row>
    <row r="66" spans="2:53">
      <c r="B66" s="564"/>
      <c r="C66" s="564"/>
      <c r="D66" s="564"/>
      <c r="E66" s="417" t="s">
        <v>567</v>
      </c>
      <c r="F66" s="417" t="s">
        <v>568</v>
      </c>
      <c r="G66" s="417" t="s">
        <v>569</v>
      </c>
      <c r="H66" s="599"/>
      <c r="I66" s="417" t="s">
        <v>567</v>
      </c>
      <c r="J66" s="417" t="s">
        <v>568</v>
      </c>
      <c r="K66" s="417" t="s">
        <v>569</v>
      </c>
      <c r="L66" s="599"/>
      <c r="M66" s="568"/>
      <c r="N66" s="564"/>
      <c r="O66" s="564"/>
      <c r="P66" s="417" t="s">
        <v>383</v>
      </c>
      <c r="Q66" s="417" t="s">
        <v>384</v>
      </c>
      <c r="R66" s="417" t="s">
        <v>385</v>
      </c>
      <c r="S66" s="417" t="s">
        <v>375</v>
      </c>
      <c r="T66" s="564"/>
      <c r="U66" s="417" t="s">
        <v>383</v>
      </c>
      <c r="V66" s="417" t="s">
        <v>384</v>
      </c>
      <c r="W66" s="417" t="s">
        <v>385</v>
      </c>
      <c r="X66" s="417" t="s">
        <v>375</v>
      </c>
      <c r="Y66" s="564"/>
      <c r="Z66" s="417" t="s">
        <v>383</v>
      </c>
      <c r="AA66" s="417" t="s">
        <v>384</v>
      </c>
      <c r="AB66" s="417" t="s">
        <v>385</v>
      </c>
      <c r="AC66" s="417" t="s">
        <v>375</v>
      </c>
      <c r="AD66" s="564"/>
      <c r="AE66" s="417" t="s">
        <v>383</v>
      </c>
      <c r="AF66" s="417" t="s">
        <v>384</v>
      </c>
      <c r="AG66" s="417" t="s">
        <v>385</v>
      </c>
      <c r="AH66" s="417" t="s">
        <v>375</v>
      </c>
      <c r="AI66" s="564"/>
      <c r="AJ66" s="417" t="s">
        <v>383</v>
      </c>
      <c r="AK66" s="417" t="s">
        <v>384</v>
      </c>
      <c r="AL66" s="417" t="s">
        <v>385</v>
      </c>
      <c r="AM66" s="417" t="s">
        <v>375</v>
      </c>
      <c r="AN66" s="564"/>
      <c r="AO66" s="417" t="s">
        <v>383</v>
      </c>
      <c r="AP66" s="417" t="s">
        <v>384</v>
      </c>
      <c r="AQ66" s="417" t="s">
        <v>385</v>
      </c>
      <c r="AR66" s="417" t="s">
        <v>375</v>
      </c>
      <c r="AS66" s="564"/>
      <c r="AT66" s="417" t="s">
        <v>383</v>
      </c>
      <c r="AU66" s="417" t="s">
        <v>384</v>
      </c>
      <c r="AV66" s="417" t="s">
        <v>385</v>
      </c>
      <c r="AW66" s="417" t="s">
        <v>375</v>
      </c>
      <c r="AX66" s="564"/>
      <c r="AZ66" s="406" t="s">
        <v>375</v>
      </c>
      <c r="BA66" s="564"/>
    </row>
    <row r="67" spans="2:53">
      <c r="B67" s="564" t="s">
        <v>437</v>
      </c>
      <c r="C67" s="420">
        <v>1</v>
      </c>
      <c r="D67" s="226"/>
      <c r="E67" s="425"/>
      <c r="F67" s="418"/>
      <c r="G67" s="419"/>
      <c r="H67" s="648" t="e">
        <f>AVERAGE(G67:G81)</f>
        <v>#DIV/0!</v>
      </c>
      <c r="I67" s="422" t="str">
        <f t="shared" ref="I67:I80" si="50">IFERROR(AVERAGE(P67,U67,Z67,AE67,AJ67,AO67,AT67),"-")</f>
        <v>-</v>
      </c>
      <c r="J67" s="422" t="str">
        <f t="shared" ref="J67:J80" si="51">IFERROR(AVERAGE(Q67,V67,AA67,AF67,AK67,AP67,AU67),"-")</f>
        <v>-</v>
      </c>
      <c r="K67" s="200" t="str">
        <f t="shared" ref="K67:K80" si="52">IFERROR(AVERAGE(R67,W67,AB67,AG67,AL67,AQ67,AV67),"-")</f>
        <v>-</v>
      </c>
      <c r="L67" s="580" t="str">
        <f>IFERROR(AVERAGE(K67:K81),"-")</f>
        <v>-</v>
      </c>
      <c r="M67" s="426" t="e">
        <f>RANK(K67, K$67:$K$81)</f>
        <v>#VALUE!</v>
      </c>
      <c r="N67" s="564"/>
      <c r="O67" s="564"/>
      <c r="P67" s="420"/>
      <c r="Q67" s="426"/>
      <c r="R67" s="426"/>
      <c r="S67" s="420" t="e">
        <f>RANK(R67, R$67:R$81)</f>
        <v>#N/A</v>
      </c>
      <c r="T67" s="572" t="e">
        <f>AVERAGE(R67:R81)</f>
        <v>#DIV/0!</v>
      </c>
      <c r="U67" s="420"/>
      <c r="V67" s="426"/>
      <c r="W67" s="426"/>
      <c r="X67" s="420" t="e">
        <f>RANK(W67, W$67:W$81)</f>
        <v>#N/A</v>
      </c>
      <c r="Y67" s="572" t="e">
        <f>AVERAGE(W67:W81)</f>
        <v>#DIV/0!</v>
      </c>
      <c r="Z67" s="420"/>
      <c r="AA67" s="426"/>
      <c r="AB67" s="426"/>
      <c r="AC67" s="420" t="e">
        <f>RANK(AB67, AB$67:AB$81)</f>
        <v>#N/A</v>
      </c>
      <c r="AD67" s="572" t="e">
        <f>AVERAGE(AB67:AB81)</f>
        <v>#DIV/0!</v>
      </c>
      <c r="AE67" s="420"/>
      <c r="AF67" s="426"/>
      <c r="AG67" s="426"/>
      <c r="AH67" s="420" t="e">
        <f>RANK(AG67, AG$67:AG$81)</f>
        <v>#N/A</v>
      </c>
      <c r="AI67" s="572" t="e">
        <f>AVERAGE(AG67:AG81)</f>
        <v>#DIV/0!</v>
      </c>
      <c r="AJ67" s="420"/>
      <c r="AK67" s="426"/>
      <c r="AL67" s="426"/>
      <c r="AM67" s="420" t="e">
        <f>RANK(AL67, AL$67:AL$81)</f>
        <v>#N/A</v>
      </c>
      <c r="AN67" s="572" t="e">
        <f>AVERAGE(AL67:AL81)</f>
        <v>#DIV/0!</v>
      </c>
      <c r="AO67" s="420"/>
      <c r="AP67" s="426"/>
      <c r="AQ67" s="426"/>
      <c r="AR67" s="420" t="e">
        <f>RANK(AQ67, AQ$67:AQ$81)</f>
        <v>#N/A</v>
      </c>
      <c r="AS67" s="572" t="e">
        <f>AVERAGE(AQ67:AQ81)</f>
        <v>#DIV/0!</v>
      </c>
      <c r="AT67" s="425"/>
      <c r="AU67" s="419"/>
      <c r="AV67" s="419"/>
      <c r="AW67" s="420" t="e">
        <f>RANK(AV67, AV$67:AV$81)</f>
        <v>#N/A</v>
      </c>
      <c r="AX67" s="572" t="e">
        <f>AVERAGE(AV67:AV81)</f>
        <v>#DIV/0!</v>
      </c>
      <c r="AZ67" s="407" t="e">
        <f t="shared" ref="AZ67:AZ81" si="53">RANK(AY67, AY$67:AY$81)</f>
        <v>#N/A</v>
      </c>
      <c r="BA67" s="559" t="e">
        <f t="shared" ref="BA67" si="54">AVERAGE(AY67:AY81)</f>
        <v>#DIV/0!</v>
      </c>
    </row>
    <row r="68" spans="2:53">
      <c r="B68" s="570"/>
      <c r="C68" s="420">
        <v>2</v>
      </c>
      <c r="D68" s="226"/>
      <c r="E68" s="425"/>
      <c r="F68" s="418"/>
      <c r="G68" s="419"/>
      <c r="H68" s="649"/>
      <c r="I68" s="422" t="str">
        <f t="shared" si="50"/>
        <v>-</v>
      </c>
      <c r="J68" s="422" t="str">
        <f t="shared" si="51"/>
        <v>-</v>
      </c>
      <c r="K68" s="200" t="str">
        <f t="shared" si="52"/>
        <v>-</v>
      </c>
      <c r="L68" s="581"/>
      <c r="M68" s="426" t="e">
        <f>RANK(K68, K$67:$K$81)</f>
        <v>#VALUE!</v>
      </c>
      <c r="N68" s="564"/>
      <c r="O68" s="564"/>
      <c r="P68" s="420"/>
      <c r="Q68" s="426"/>
      <c r="R68" s="426"/>
      <c r="S68" s="420" t="e">
        <f t="shared" ref="S68:S81" si="55">RANK(R68, R$67:R$81)</f>
        <v>#N/A</v>
      </c>
      <c r="T68" s="572"/>
      <c r="U68" s="420"/>
      <c r="V68" s="426"/>
      <c r="W68" s="426"/>
      <c r="X68" s="420" t="e">
        <f t="shared" ref="X68:X81" si="56">RANK(W68, W$67:W$81)</f>
        <v>#N/A</v>
      </c>
      <c r="Y68" s="572"/>
      <c r="Z68" s="420"/>
      <c r="AA68" s="426"/>
      <c r="AB68" s="426"/>
      <c r="AC68" s="420" t="e">
        <f t="shared" ref="AC68:AC81" si="57">RANK(AB68, AB$67:AB$81)</f>
        <v>#N/A</v>
      </c>
      <c r="AD68" s="572"/>
      <c r="AE68" s="420"/>
      <c r="AF68" s="426"/>
      <c r="AG68" s="426"/>
      <c r="AH68" s="420" t="e">
        <f t="shared" ref="AH68:AH81" si="58">RANK(AG68, AG$67:AG$81)</f>
        <v>#N/A</v>
      </c>
      <c r="AI68" s="572"/>
      <c r="AJ68" s="420"/>
      <c r="AK68" s="426"/>
      <c r="AL68" s="426"/>
      <c r="AM68" s="420" t="e">
        <f t="shared" ref="AM68:AM81" si="59">RANK(AL68, AL$67:AL$81)</f>
        <v>#N/A</v>
      </c>
      <c r="AN68" s="572"/>
      <c r="AO68" s="420"/>
      <c r="AP68" s="426"/>
      <c r="AQ68" s="426"/>
      <c r="AR68" s="420" t="e">
        <f t="shared" ref="AR68:AR81" si="60">RANK(AQ68, AQ$67:AQ$81)</f>
        <v>#N/A</v>
      </c>
      <c r="AS68" s="572"/>
      <c r="AT68" s="418"/>
      <c r="AU68" s="419"/>
      <c r="AV68" s="419"/>
      <c r="AW68" s="420" t="e">
        <f t="shared" ref="AW68:AW81" si="61">RANK(AV68, AV$67:AV$81)</f>
        <v>#N/A</v>
      </c>
      <c r="AX68" s="572"/>
      <c r="AZ68" s="407" t="e">
        <f t="shared" si="53"/>
        <v>#N/A</v>
      </c>
      <c r="BA68" s="560"/>
    </row>
    <row r="69" spans="2:53">
      <c r="B69" s="570"/>
      <c r="C69" s="420">
        <v>3</v>
      </c>
      <c r="D69" s="226"/>
      <c r="E69" s="425"/>
      <c r="F69" s="418"/>
      <c r="G69" s="419"/>
      <c r="H69" s="649"/>
      <c r="I69" s="422" t="str">
        <f t="shared" si="50"/>
        <v>-</v>
      </c>
      <c r="J69" s="422" t="str">
        <f t="shared" si="51"/>
        <v>-</v>
      </c>
      <c r="K69" s="200" t="str">
        <f t="shared" si="52"/>
        <v>-</v>
      </c>
      <c r="L69" s="581"/>
      <c r="M69" s="426" t="e">
        <f>RANK(K69, K$67:$K$81)</f>
        <v>#VALUE!</v>
      </c>
      <c r="N69" s="564"/>
      <c r="O69" s="564"/>
      <c r="P69" s="420"/>
      <c r="Q69" s="426"/>
      <c r="R69" s="426"/>
      <c r="S69" s="420" t="e">
        <f t="shared" si="55"/>
        <v>#N/A</v>
      </c>
      <c r="T69" s="572"/>
      <c r="U69" s="420"/>
      <c r="V69" s="426"/>
      <c r="W69" s="426"/>
      <c r="X69" s="420" t="e">
        <f t="shared" si="56"/>
        <v>#N/A</v>
      </c>
      <c r="Y69" s="572"/>
      <c r="Z69" s="420"/>
      <c r="AA69" s="426"/>
      <c r="AB69" s="426"/>
      <c r="AC69" s="420" t="e">
        <f t="shared" si="57"/>
        <v>#N/A</v>
      </c>
      <c r="AD69" s="572"/>
      <c r="AE69" s="420"/>
      <c r="AF69" s="426"/>
      <c r="AG69" s="426"/>
      <c r="AH69" s="420" t="e">
        <f t="shared" si="58"/>
        <v>#N/A</v>
      </c>
      <c r="AI69" s="572"/>
      <c r="AJ69" s="420"/>
      <c r="AK69" s="426"/>
      <c r="AL69" s="426"/>
      <c r="AM69" s="420" t="e">
        <f t="shared" si="59"/>
        <v>#N/A</v>
      </c>
      <c r="AN69" s="572"/>
      <c r="AO69" s="420"/>
      <c r="AP69" s="426"/>
      <c r="AQ69" s="426"/>
      <c r="AR69" s="420" t="e">
        <f t="shared" si="60"/>
        <v>#N/A</v>
      </c>
      <c r="AS69" s="572"/>
      <c r="AT69" s="418"/>
      <c r="AU69" s="419"/>
      <c r="AV69" s="419"/>
      <c r="AW69" s="420" t="e">
        <f t="shared" si="61"/>
        <v>#N/A</v>
      </c>
      <c r="AX69" s="572"/>
      <c r="AZ69" s="407" t="e">
        <f t="shared" si="53"/>
        <v>#N/A</v>
      </c>
      <c r="BA69" s="560"/>
    </row>
    <row r="70" spans="2:53">
      <c r="B70" s="570"/>
      <c r="C70" s="420">
        <v>4</v>
      </c>
      <c r="D70" s="226"/>
      <c r="E70" s="425"/>
      <c r="F70" s="418"/>
      <c r="G70" s="419"/>
      <c r="H70" s="649"/>
      <c r="I70" s="422" t="str">
        <f t="shared" si="50"/>
        <v>-</v>
      </c>
      <c r="J70" s="422" t="str">
        <f t="shared" si="51"/>
        <v>-</v>
      </c>
      <c r="K70" s="200" t="str">
        <f t="shared" si="52"/>
        <v>-</v>
      </c>
      <c r="L70" s="581"/>
      <c r="M70" s="426" t="e">
        <f>RANK(K70, K$67:$K$81)</f>
        <v>#VALUE!</v>
      </c>
      <c r="N70" s="564"/>
      <c r="O70" s="564"/>
      <c r="P70" s="420"/>
      <c r="Q70" s="426"/>
      <c r="R70" s="426"/>
      <c r="S70" s="420" t="e">
        <f t="shared" si="55"/>
        <v>#N/A</v>
      </c>
      <c r="T70" s="572"/>
      <c r="U70" s="420"/>
      <c r="V70" s="426"/>
      <c r="W70" s="426"/>
      <c r="X70" s="420" t="e">
        <f t="shared" si="56"/>
        <v>#N/A</v>
      </c>
      <c r="Y70" s="572"/>
      <c r="Z70" s="420"/>
      <c r="AA70" s="426"/>
      <c r="AB70" s="426"/>
      <c r="AC70" s="420" t="e">
        <f t="shared" si="57"/>
        <v>#N/A</v>
      </c>
      <c r="AD70" s="572"/>
      <c r="AE70" s="420"/>
      <c r="AF70" s="426"/>
      <c r="AG70" s="426"/>
      <c r="AH70" s="420" t="e">
        <f t="shared" si="58"/>
        <v>#N/A</v>
      </c>
      <c r="AI70" s="572"/>
      <c r="AJ70" s="420"/>
      <c r="AK70" s="426"/>
      <c r="AL70" s="426"/>
      <c r="AM70" s="420" t="e">
        <f t="shared" si="59"/>
        <v>#N/A</v>
      </c>
      <c r="AN70" s="572"/>
      <c r="AO70" s="420"/>
      <c r="AP70" s="426"/>
      <c r="AQ70" s="426"/>
      <c r="AR70" s="420" t="e">
        <f t="shared" si="60"/>
        <v>#N/A</v>
      </c>
      <c r="AS70" s="572"/>
      <c r="AT70" s="418"/>
      <c r="AU70" s="419"/>
      <c r="AV70" s="419"/>
      <c r="AW70" s="420" t="e">
        <f t="shared" si="61"/>
        <v>#N/A</v>
      </c>
      <c r="AX70" s="572"/>
      <c r="AZ70" s="407" t="e">
        <f t="shared" si="53"/>
        <v>#N/A</v>
      </c>
      <c r="BA70" s="560"/>
    </row>
    <row r="71" spans="2:53">
      <c r="B71" s="570"/>
      <c r="C71" s="420">
        <v>5</v>
      </c>
      <c r="D71" s="226"/>
      <c r="E71" s="425"/>
      <c r="F71" s="418"/>
      <c r="G71" s="419"/>
      <c r="H71" s="649"/>
      <c r="I71" s="422" t="str">
        <f t="shared" si="50"/>
        <v>-</v>
      </c>
      <c r="J71" s="422" t="str">
        <f t="shared" si="51"/>
        <v>-</v>
      </c>
      <c r="K71" s="200" t="str">
        <f t="shared" si="52"/>
        <v>-</v>
      </c>
      <c r="L71" s="581"/>
      <c r="M71" s="426" t="e">
        <f>RANK(K71, K$67:$K$81)</f>
        <v>#VALUE!</v>
      </c>
      <c r="N71" s="564"/>
      <c r="O71" s="564"/>
      <c r="P71" s="420"/>
      <c r="Q71" s="426"/>
      <c r="R71" s="426"/>
      <c r="S71" s="420" t="e">
        <f t="shared" si="55"/>
        <v>#N/A</v>
      </c>
      <c r="T71" s="572"/>
      <c r="U71" s="420"/>
      <c r="V71" s="426"/>
      <c r="W71" s="426"/>
      <c r="X71" s="420" t="e">
        <f t="shared" si="56"/>
        <v>#N/A</v>
      </c>
      <c r="Y71" s="572"/>
      <c r="Z71" s="420"/>
      <c r="AA71" s="426"/>
      <c r="AB71" s="426"/>
      <c r="AC71" s="420" t="e">
        <f t="shared" si="57"/>
        <v>#N/A</v>
      </c>
      <c r="AD71" s="572"/>
      <c r="AE71" s="420"/>
      <c r="AF71" s="426"/>
      <c r="AG71" s="426"/>
      <c r="AH71" s="420" t="e">
        <f t="shared" si="58"/>
        <v>#N/A</v>
      </c>
      <c r="AI71" s="572"/>
      <c r="AJ71" s="420"/>
      <c r="AK71" s="426"/>
      <c r="AL71" s="426"/>
      <c r="AM71" s="420" t="e">
        <f t="shared" si="59"/>
        <v>#N/A</v>
      </c>
      <c r="AN71" s="572"/>
      <c r="AO71" s="420"/>
      <c r="AP71" s="426"/>
      <c r="AQ71" s="426"/>
      <c r="AR71" s="420" t="e">
        <f t="shared" si="60"/>
        <v>#N/A</v>
      </c>
      <c r="AS71" s="572"/>
      <c r="AT71" s="418"/>
      <c r="AU71" s="419"/>
      <c r="AV71" s="419"/>
      <c r="AW71" s="420" t="e">
        <f t="shared" si="61"/>
        <v>#N/A</v>
      </c>
      <c r="AX71" s="572"/>
      <c r="AZ71" s="407" t="e">
        <f t="shared" si="53"/>
        <v>#N/A</v>
      </c>
      <c r="BA71" s="560"/>
    </row>
    <row r="72" spans="2:53">
      <c r="B72" s="570"/>
      <c r="C72" s="420">
        <v>6</v>
      </c>
      <c r="D72" s="226"/>
      <c r="E72" s="425"/>
      <c r="F72" s="418"/>
      <c r="G72" s="419"/>
      <c r="H72" s="649"/>
      <c r="I72" s="422" t="str">
        <f t="shared" si="50"/>
        <v>-</v>
      </c>
      <c r="J72" s="422" t="str">
        <f t="shared" si="51"/>
        <v>-</v>
      </c>
      <c r="K72" s="200" t="str">
        <f t="shared" si="52"/>
        <v>-</v>
      </c>
      <c r="L72" s="581"/>
      <c r="M72" s="426" t="e">
        <f>RANK(K72, K$67:$K$81)</f>
        <v>#VALUE!</v>
      </c>
      <c r="N72" s="564"/>
      <c r="O72" s="564"/>
      <c r="P72" s="420"/>
      <c r="Q72" s="426"/>
      <c r="R72" s="426"/>
      <c r="S72" s="420" t="e">
        <f t="shared" si="55"/>
        <v>#N/A</v>
      </c>
      <c r="T72" s="572"/>
      <c r="U72" s="420"/>
      <c r="V72" s="426"/>
      <c r="W72" s="426"/>
      <c r="X72" s="420" t="e">
        <f t="shared" si="56"/>
        <v>#N/A</v>
      </c>
      <c r="Y72" s="572"/>
      <c r="Z72" s="420"/>
      <c r="AA72" s="426"/>
      <c r="AB72" s="426"/>
      <c r="AC72" s="420" t="e">
        <f t="shared" si="57"/>
        <v>#N/A</v>
      </c>
      <c r="AD72" s="572"/>
      <c r="AE72" s="420"/>
      <c r="AF72" s="426"/>
      <c r="AG72" s="426"/>
      <c r="AH72" s="420" t="e">
        <f t="shared" si="58"/>
        <v>#N/A</v>
      </c>
      <c r="AI72" s="572"/>
      <c r="AJ72" s="420"/>
      <c r="AK72" s="426"/>
      <c r="AL72" s="426"/>
      <c r="AM72" s="420" t="e">
        <f t="shared" si="59"/>
        <v>#N/A</v>
      </c>
      <c r="AN72" s="572"/>
      <c r="AO72" s="420"/>
      <c r="AP72" s="426"/>
      <c r="AQ72" s="426"/>
      <c r="AR72" s="420" t="e">
        <f t="shared" si="60"/>
        <v>#N/A</v>
      </c>
      <c r="AS72" s="572"/>
      <c r="AT72" s="418"/>
      <c r="AU72" s="419"/>
      <c r="AV72" s="419"/>
      <c r="AW72" s="420" t="e">
        <f t="shared" si="61"/>
        <v>#N/A</v>
      </c>
      <c r="AX72" s="572"/>
      <c r="AZ72" s="407" t="e">
        <f t="shared" si="53"/>
        <v>#N/A</v>
      </c>
      <c r="BA72" s="560"/>
    </row>
    <row r="73" spans="2:53">
      <c r="B73" s="570"/>
      <c r="C73" s="420">
        <v>7</v>
      </c>
      <c r="D73" s="226"/>
      <c r="E73" s="425"/>
      <c r="F73" s="418"/>
      <c r="G73" s="419"/>
      <c r="H73" s="649"/>
      <c r="I73" s="422" t="str">
        <f t="shared" si="50"/>
        <v>-</v>
      </c>
      <c r="J73" s="422" t="str">
        <f t="shared" si="51"/>
        <v>-</v>
      </c>
      <c r="K73" s="200" t="str">
        <f t="shared" si="52"/>
        <v>-</v>
      </c>
      <c r="L73" s="581"/>
      <c r="M73" s="426" t="e">
        <f>RANK(K73, K$67:$K$81)</f>
        <v>#VALUE!</v>
      </c>
      <c r="N73" s="564"/>
      <c r="O73" s="564"/>
      <c r="P73" s="420"/>
      <c r="Q73" s="426"/>
      <c r="R73" s="426"/>
      <c r="S73" s="420" t="e">
        <f t="shared" si="55"/>
        <v>#N/A</v>
      </c>
      <c r="T73" s="572"/>
      <c r="U73" s="420"/>
      <c r="V73" s="426"/>
      <c r="W73" s="426"/>
      <c r="X73" s="420" t="e">
        <f t="shared" si="56"/>
        <v>#N/A</v>
      </c>
      <c r="Y73" s="572"/>
      <c r="Z73" s="420"/>
      <c r="AA73" s="426"/>
      <c r="AB73" s="426"/>
      <c r="AC73" s="420" t="e">
        <f t="shared" si="57"/>
        <v>#N/A</v>
      </c>
      <c r="AD73" s="572"/>
      <c r="AE73" s="420"/>
      <c r="AF73" s="426"/>
      <c r="AG73" s="426"/>
      <c r="AH73" s="420" t="e">
        <f t="shared" si="58"/>
        <v>#N/A</v>
      </c>
      <c r="AI73" s="572"/>
      <c r="AJ73" s="420"/>
      <c r="AK73" s="426"/>
      <c r="AL73" s="426"/>
      <c r="AM73" s="420" t="e">
        <f t="shared" si="59"/>
        <v>#N/A</v>
      </c>
      <c r="AN73" s="572"/>
      <c r="AO73" s="420"/>
      <c r="AP73" s="426"/>
      <c r="AQ73" s="426"/>
      <c r="AR73" s="420" t="e">
        <f t="shared" si="60"/>
        <v>#N/A</v>
      </c>
      <c r="AS73" s="572"/>
      <c r="AT73" s="418"/>
      <c r="AU73" s="419"/>
      <c r="AV73" s="419"/>
      <c r="AW73" s="420" t="e">
        <f t="shared" si="61"/>
        <v>#N/A</v>
      </c>
      <c r="AX73" s="572"/>
      <c r="AZ73" s="407" t="e">
        <f t="shared" si="53"/>
        <v>#N/A</v>
      </c>
      <c r="BA73" s="560"/>
    </row>
    <row r="74" spans="2:53">
      <c r="B74" s="570"/>
      <c r="C74" s="420">
        <v>8</v>
      </c>
      <c r="D74" s="226"/>
      <c r="E74" s="425"/>
      <c r="F74" s="418"/>
      <c r="G74" s="419"/>
      <c r="H74" s="649"/>
      <c r="I74" s="422" t="str">
        <f t="shared" si="50"/>
        <v>-</v>
      </c>
      <c r="J74" s="422" t="str">
        <f t="shared" si="51"/>
        <v>-</v>
      </c>
      <c r="K74" s="200" t="str">
        <f t="shared" si="52"/>
        <v>-</v>
      </c>
      <c r="L74" s="581"/>
      <c r="M74" s="426" t="e">
        <f>RANK(K74, K$67:$K$81)</f>
        <v>#VALUE!</v>
      </c>
      <c r="N74" s="564"/>
      <c r="O74" s="564"/>
      <c r="P74" s="420"/>
      <c r="Q74" s="426"/>
      <c r="R74" s="426"/>
      <c r="S74" s="420" t="e">
        <f t="shared" si="55"/>
        <v>#N/A</v>
      </c>
      <c r="T74" s="572"/>
      <c r="U74" s="420"/>
      <c r="V74" s="426"/>
      <c r="W74" s="426"/>
      <c r="X74" s="420" t="e">
        <f t="shared" si="56"/>
        <v>#N/A</v>
      </c>
      <c r="Y74" s="572"/>
      <c r="Z74" s="420"/>
      <c r="AA74" s="426"/>
      <c r="AB74" s="426"/>
      <c r="AC74" s="420" t="e">
        <f t="shared" si="57"/>
        <v>#N/A</v>
      </c>
      <c r="AD74" s="572"/>
      <c r="AE74" s="420"/>
      <c r="AF74" s="426"/>
      <c r="AG74" s="426"/>
      <c r="AH74" s="420" t="e">
        <f t="shared" si="58"/>
        <v>#N/A</v>
      </c>
      <c r="AI74" s="572"/>
      <c r="AJ74" s="420"/>
      <c r="AK74" s="426"/>
      <c r="AL74" s="426"/>
      <c r="AM74" s="420" t="e">
        <f t="shared" si="59"/>
        <v>#N/A</v>
      </c>
      <c r="AN74" s="572"/>
      <c r="AO74" s="420"/>
      <c r="AP74" s="426"/>
      <c r="AQ74" s="426"/>
      <c r="AR74" s="420" t="e">
        <f t="shared" si="60"/>
        <v>#N/A</v>
      </c>
      <c r="AS74" s="572"/>
      <c r="AT74" s="418"/>
      <c r="AU74" s="419"/>
      <c r="AV74" s="419"/>
      <c r="AW74" s="420" t="e">
        <f t="shared" si="61"/>
        <v>#N/A</v>
      </c>
      <c r="AX74" s="572"/>
      <c r="AZ74" s="407" t="e">
        <f t="shared" si="53"/>
        <v>#N/A</v>
      </c>
      <c r="BA74" s="560"/>
    </row>
    <row r="75" spans="2:53">
      <c r="B75" s="570"/>
      <c r="C75" s="420">
        <v>9</v>
      </c>
      <c r="D75" s="226"/>
      <c r="E75" s="425"/>
      <c r="F75" s="418"/>
      <c r="G75" s="419"/>
      <c r="H75" s="649"/>
      <c r="I75" s="422" t="str">
        <f t="shared" si="50"/>
        <v>-</v>
      </c>
      <c r="J75" s="422" t="str">
        <f t="shared" si="51"/>
        <v>-</v>
      </c>
      <c r="K75" s="200" t="str">
        <f t="shared" si="52"/>
        <v>-</v>
      </c>
      <c r="L75" s="581"/>
      <c r="M75" s="426" t="e">
        <f>RANK(K75, K$67:$K$81)</f>
        <v>#VALUE!</v>
      </c>
      <c r="N75" s="564"/>
      <c r="O75" s="564"/>
      <c r="P75" s="420"/>
      <c r="Q75" s="426"/>
      <c r="R75" s="426"/>
      <c r="S75" s="420" t="e">
        <f t="shared" si="55"/>
        <v>#N/A</v>
      </c>
      <c r="T75" s="572"/>
      <c r="U75" s="420"/>
      <c r="V75" s="426"/>
      <c r="W75" s="426"/>
      <c r="X75" s="420" t="e">
        <f t="shared" si="56"/>
        <v>#N/A</v>
      </c>
      <c r="Y75" s="572"/>
      <c r="Z75" s="420"/>
      <c r="AA75" s="426"/>
      <c r="AB75" s="426"/>
      <c r="AC75" s="420" t="e">
        <f t="shared" si="57"/>
        <v>#N/A</v>
      </c>
      <c r="AD75" s="572"/>
      <c r="AE75" s="420"/>
      <c r="AF75" s="426"/>
      <c r="AG75" s="426"/>
      <c r="AH75" s="420" t="e">
        <f t="shared" si="58"/>
        <v>#N/A</v>
      </c>
      <c r="AI75" s="572"/>
      <c r="AJ75" s="420"/>
      <c r="AK75" s="426"/>
      <c r="AL75" s="426"/>
      <c r="AM75" s="420" t="e">
        <f t="shared" si="59"/>
        <v>#N/A</v>
      </c>
      <c r="AN75" s="572"/>
      <c r="AO75" s="420"/>
      <c r="AP75" s="426"/>
      <c r="AQ75" s="426"/>
      <c r="AR75" s="420" t="e">
        <f t="shared" si="60"/>
        <v>#N/A</v>
      </c>
      <c r="AS75" s="572"/>
      <c r="AT75" s="418"/>
      <c r="AU75" s="419"/>
      <c r="AV75" s="419"/>
      <c r="AW75" s="420" t="e">
        <f t="shared" si="61"/>
        <v>#N/A</v>
      </c>
      <c r="AX75" s="572"/>
      <c r="AZ75" s="407" t="e">
        <f t="shared" si="53"/>
        <v>#N/A</v>
      </c>
      <c r="BA75" s="560"/>
    </row>
    <row r="76" spans="2:53">
      <c r="B76" s="570"/>
      <c r="C76" s="420">
        <v>10</v>
      </c>
      <c r="D76" s="226"/>
      <c r="E76" s="425"/>
      <c r="F76" s="418"/>
      <c r="G76" s="419"/>
      <c r="H76" s="649"/>
      <c r="I76" s="422" t="str">
        <f t="shared" si="50"/>
        <v>-</v>
      </c>
      <c r="J76" s="422" t="str">
        <f t="shared" si="51"/>
        <v>-</v>
      </c>
      <c r="K76" s="200" t="str">
        <f t="shared" si="52"/>
        <v>-</v>
      </c>
      <c r="L76" s="581"/>
      <c r="M76" s="426" t="e">
        <f>RANK(K76, K$67:$K$81)</f>
        <v>#VALUE!</v>
      </c>
      <c r="N76" s="564"/>
      <c r="O76" s="564"/>
      <c r="P76" s="420"/>
      <c r="Q76" s="426"/>
      <c r="R76" s="426"/>
      <c r="S76" s="420" t="e">
        <f t="shared" si="55"/>
        <v>#N/A</v>
      </c>
      <c r="T76" s="572"/>
      <c r="U76" s="420"/>
      <c r="V76" s="426"/>
      <c r="W76" s="426"/>
      <c r="X76" s="420" t="e">
        <f t="shared" si="56"/>
        <v>#N/A</v>
      </c>
      <c r="Y76" s="572"/>
      <c r="Z76" s="420"/>
      <c r="AA76" s="426"/>
      <c r="AB76" s="426"/>
      <c r="AC76" s="420" t="e">
        <f t="shared" si="57"/>
        <v>#N/A</v>
      </c>
      <c r="AD76" s="572"/>
      <c r="AE76" s="420"/>
      <c r="AF76" s="426"/>
      <c r="AG76" s="426"/>
      <c r="AH76" s="420" t="e">
        <f t="shared" si="58"/>
        <v>#N/A</v>
      </c>
      <c r="AI76" s="572"/>
      <c r="AJ76" s="420"/>
      <c r="AK76" s="426"/>
      <c r="AL76" s="426"/>
      <c r="AM76" s="420" t="e">
        <f t="shared" si="59"/>
        <v>#N/A</v>
      </c>
      <c r="AN76" s="572"/>
      <c r="AO76" s="420"/>
      <c r="AP76" s="426"/>
      <c r="AQ76" s="426"/>
      <c r="AR76" s="420" t="e">
        <f t="shared" si="60"/>
        <v>#N/A</v>
      </c>
      <c r="AS76" s="572"/>
      <c r="AT76" s="418"/>
      <c r="AU76" s="418"/>
      <c r="AV76" s="419"/>
      <c r="AW76" s="420" t="e">
        <f t="shared" si="61"/>
        <v>#N/A</v>
      </c>
      <c r="AX76" s="572"/>
      <c r="AZ76" s="407" t="e">
        <f t="shared" si="53"/>
        <v>#N/A</v>
      </c>
      <c r="BA76" s="560"/>
    </row>
    <row r="77" spans="2:53">
      <c r="B77" s="570"/>
      <c r="C77" s="420">
        <v>11</v>
      </c>
      <c r="D77" s="226"/>
      <c r="E77" s="425"/>
      <c r="F77" s="418"/>
      <c r="G77" s="419"/>
      <c r="H77" s="649"/>
      <c r="I77" s="422" t="str">
        <f t="shared" si="50"/>
        <v>-</v>
      </c>
      <c r="J77" s="422" t="str">
        <f t="shared" si="51"/>
        <v>-</v>
      </c>
      <c r="K77" s="200" t="str">
        <f t="shared" si="52"/>
        <v>-</v>
      </c>
      <c r="L77" s="581"/>
      <c r="M77" s="426" t="e">
        <f>RANK(K77, K$67:$K$81)</f>
        <v>#VALUE!</v>
      </c>
      <c r="N77" s="564"/>
      <c r="O77" s="564"/>
      <c r="P77" s="420"/>
      <c r="Q77" s="426"/>
      <c r="R77" s="426"/>
      <c r="S77" s="420" t="e">
        <f t="shared" si="55"/>
        <v>#N/A</v>
      </c>
      <c r="T77" s="572"/>
      <c r="U77" s="420"/>
      <c r="V77" s="426"/>
      <c r="W77" s="426"/>
      <c r="X77" s="420" t="e">
        <f t="shared" si="56"/>
        <v>#N/A</v>
      </c>
      <c r="Y77" s="572"/>
      <c r="Z77" s="420"/>
      <c r="AA77" s="426"/>
      <c r="AB77" s="426"/>
      <c r="AC77" s="420" t="e">
        <f t="shared" si="57"/>
        <v>#N/A</v>
      </c>
      <c r="AD77" s="572"/>
      <c r="AE77" s="420"/>
      <c r="AF77" s="426"/>
      <c r="AG77" s="426"/>
      <c r="AH77" s="420" t="e">
        <f t="shared" si="58"/>
        <v>#N/A</v>
      </c>
      <c r="AI77" s="572"/>
      <c r="AJ77" s="420"/>
      <c r="AK77" s="426"/>
      <c r="AL77" s="426"/>
      <c r="AM77" s="420" t="e">
        <f t="shared" si="59"/>
        <v>#N/A</v>
      </c>
      <c r="AN77" s="572"/>
      <c r="AO77" s="420"/>
      <c r="AP77" s="426"/>
      <c r="AQ77" s="426"/>
      <c r="AR77" s="420" t="e">
        <f t="shared" si="60"/>
        <v>#N/A</v>
      </c>
      <c r="AS77" s="572"/>
      <c r="AT77" s="418"/>
      <c r="AU77" s="418"/>
      <c r="AV77" s="418"/>
      <c r="AW77" s="420" t="e">
        <f t="shared" si="61"/>
        <v>#N/A</v>
      </c>
      <c r="AX77" s="572"/>
      <c r="AZ77" s="407" t="e">
        <f t="shared" si="53"/>
        <v>#N/A</v>
      </c>
      <c r="BA77" s="560"/>
    </row>
    <row r="78" spans="2:53">
      <c r="B78" s="570"/>
      <c r="C78" s="420">
        <v>12</v>
      </c>
      <c r="D78" s="226"/>
      <c r="E78" s="425"/>
      <c r="F78" s="418"/>
      <c r="G78" s="419"/>
      <c r="H78" s="649"/>
      <c r="I78" s="422" t="str">
        <f t="shared" si="50"/>
        <v>-</v>
      </c>
      <c r="J78" s="422" t="str">
        <f t="shared" si="51"/>
        <v>-</v>
      </c>
      <c r="K78" s="200" t="str">
        <f t="shared" si="52"/>
        <v>-</v>
      </c>
      <c r="L78" s="581"/>
      <c r="M78" s="426" t="e">
        <f>RANK(K78, K$67:$K$81)</f>
        <v>#VALUE!</v>
      </c>
      <c r="N78" s="564"/>
      <c r="O78" s="564"/>
      <c r="P78" s="420"/>
      <c r="Q78" s="426"/>
      <c r="R78" s="426"/>
      <c r="S78" s="420" t="e">
        <f t="shared" si="55"/>
        <v>#N/A</v>
      </c>
      <c r="T78" s="572"/>
      <c r="U78" s="420"/>
      <c r="V78" s="426"/>
      <c r="W78" s="426"/>
      <c r="X78" s="420" t="e">
        <f t="shared" si="56"/>
        <v>#N/A</v>
      </c>
      <c r="Y78" s="572"/>
      <c r="Z78" s="420"/>
      <c r="AA78" s="426"/>
      <c r="AB78" s="426"/>
      <c r="AC78" s="420" t="e">
        <f t="shared" si="57"/>
        <v>#N/A</v>
      </c>
      <c r="AD78" s="572"/>
      <c r="AE78" s="420"/>
      <c r="AF78" s="426"/>
      <c r="AG78" s="426"/>
      <c r="AH78" s="420" t="e">
        <f t="shared" si="58"/>
        <v>#N/A</v>
      </c>
      <c r="AI78" s="572"/>
      <c r="AJ78" s="420"/>
      <c r="AK78" s="426"/>
      <c r="AL78" s="426"/>
      <c r="AM78" s="420" t="e">
        <f t="shared" si="59"/>
        <v>#N/A</v>
      </c>
      <c r="AN78" s="572"/>
      <c r="AO78" s="420"/>
      <c r="AP78" s="426"/>
      <c r="AQ78" s="426"/>
      <c r="AR78" s="420" t="e">
        <f t="shared" si="60"/>
        <v>#N/A</v>
      </c>
      <c r="AS78" s="572"/>
      <c r="AT78" s="418"/>
      <c r="AU78" s="418"/>
      <c r="AV78" s="418"/>
      <c r="AW78" s="420" t="e">
        <f t="shared" si="61"/>
        <v>#N/A</v>
      </c>
      <c r="AX78" s="572"/>
      <c r="AZ78" s="407" t="e">
        <f t="shared" si="53"/>
        <v>#N/A</v>
      </c>
      <c r="BA78" s="560"/>
    </row>
    <row r="79" spans="2:53">
      <c r="B79" s="570"/>
      <c r="C79" s="420">
        <v>13</v>
      </c>
      <c r="D79" s="226"/>
      <c r="E79" s="425"/>
      <c r="F79" s="418"/>
      <c r="G79" s="419"/>
      <c r="H79" s="649"/>
      <c r="I79" s="422" t="str">
        <f t="shared" si="50"/>
        <v>-</v>
      </c>
      <c r="J79" s="422" t="str">
        <f t="shared" si="51"/>
        <v>-</v>
      </c>
      <c r="K79" s="200" t="str">
        <f t="shared" si="52"/>
        <v>-</v>
      </c>
      <c r="L79" s="581"/>
      <c r="M79" s="426" t="e">
        <f>RANK(K79, K$67:$K$81)</f>
        <v>#VALUE!</v>
      </c>
      <c r="N79" s="564"/>
      <c r="O79" s="564"/>
      <c r="P79" s="420"/>
      <c r="Q79" s="426"/>
      <c r="R79" s="426"/>
      <c r="S79" s="420" t="e">
        <f t="shared" si="55"/>
        <v>#N/A</v>
      </c>
      <c r="T79" s="572"/>
      <c r="U79" s="420"/>
      <c r="V79" s="426"/>
      <c r="W79" s="426"/>
      <c r="X79" s="420" t="e">
        <f t="shared" si="56"/>
        <v>#N/A</v>
      </c>
      <c r="Y79" s="572"/>
      <c r="Z79" s="420"/>
      <c r="AA79" s="426"/>
      <c r="AB79" s="426"/>
      <c r="AC79" s="420" t="e">
        <f t="shared" si="57"/>
        <v>#N/A</v>
      </c>
      <c r="AD79" s="572"/>
      <c r="AE79" s="420"/>
      <c r="AF79" s="426"/>
      <c r="AG79" s="426"/>
      <c r="AH79" s="420" t="e">
        <f t="shared" si="58"/>
        <v>#N/A</v>
      </c>
      <c r="AI79" s="572"/>
      <c r="AJ79" s="420"/>
      <c r="AK79" s="426"/>
      <c r="AL79" s="426"/>
      <c r="AM79" s="420" t="e">
        <f t="shared" si="59"/>
        <v>#N/A</v>
      </c>
      <c r="AN79" s="572"/>
      <c r="AO79" s="420"/>
      <c r="AP79" s="426"/>
      <c r="AQ79" s="426"/>
      <c r="AR79" s="420" t="e">
        <f t="shared" si="60"/>
        <v>#N/A</v>
      </c>
      <c r="AS79" s="572"/>
      <c r="AT79" s="418"/>
      <c r="AU79" s="418"/>
      <c r="AV79" s="418"/>
      <c r="AW79" s="420" t="e">
        <f t="shared" si="61"/>
        <v>#N/A</v>
      </c>
      <c r="AX79" s="572"/>
      <c r="AZ79" s="407" t="e">
        <f t="shared" si="53"/>
        <v>#N/A</v>
      </c>
      <c r="BA79" s="560"/>
    </row>
    <row r="80" spans="2:53">
      <c r="B80" s="570"/>
      <c r="C80" s="420">
        <v>14</v>
      </c>
      <c r="D80" s="226"/>
      <c r="E80" s="425"/>
      <c r="F80" s="418"/>
      <c r="G80" s="419"/>
      <c r="H80" s="649"/>
      <c r="I80" s="422" t="str">
        <f t="shared" si="50"/>
        <v>-</v>
      </c>
      <c r="J80" s="422" t="str">
        <f t="shared" si="51"/>
        <v>-</v>
      </c>
      <c r="K80" s="200" t="str">
        <f t="shared" si="52"/>
        <v>-</v>
      </c>
      <c r="L80" s="581"/>
      <c r="M80" s="426" t="e">
        <f>RANK(K80, K$67:$K$81)</f>
        <v>#VALUE!</v>
      </c>
      <c r="N80" s="564"/>
      <c r="O80" s="564"/>
      <c r="P80" s="420"/>
      <c r="Q80" s="426"/>
      <c r="R80" s="426"/>
      <c r="S80" s="420" t="e">
        <f t="shared" si="55"/>
        <v>#N/A</v>
      </c>
      <c r="T80" s="572"/>
      <c r="U80" s="420"/>
      <c r="V80" s="426"/>
      <c r="W80" s="426"/>
      <c r="X80" s="420" t="e">
        <f t="shared" si="56"/>
        <v>#N/A</v>
      </c>
      <c r="Y80" s="572"/>
      <c r="Z80" s="420"/>
      <c r="AA80" s="426"/>
      <c r="AB80" s="426"/>
      <c r="AC80" s="420" t="e">
        <f t="shared" si="57"/>
        <v>#N/A</v>
      </c>
      <c r="AD80" s="572"/>
      <c r="AE80" s="420"/>
      <c r="AF80" s="426"/>
      <c r="AG80" s="426"/>
      <c r="AH80" s="420" t="e">
        <f t="shared" si="58"/>
        <v>#N/A</v>
      </c>
      <c r="AI80" s="572"/>
      <c r="AJ80" s="420"/>
      <c r="AK80" s="426"/>
      <c r="AL80" s="426"/>
      <c r="AM80" s="420" t="e">
        <f t="shared" si="59"/>
        <v>#N/A</v>
      </c>
      <c r="AN80" s="572"/>
      <c r="AO80" s="420"/>
      <c r="AP80" s="426"/>
      <c r="AQ80" s="426"/>
      <c r="AR80" s="420" t="e">
        <f t="shared" si="60"/>
        <v>#N/A</v>
      </c>
      <c r="AS80" s="572"/>
      <c r="AT80" s="418"/>
      <c r="AU80" s="418"/>
      <c r="AV80" s="418"/>
      <c r="AW80" s="420" t="e">
        <f t="shared" si="61"/>
        <v>#N/A</v>
      </c>
      <c r="AX80" s="572"/>
      <c r="AZ80" s="407" t="e">
        <f t="shared" si="53"/>
        <v>#N/A</v>
      </c>
      <c r="BA80" s="560"/>
    </row>
    <row r="81" spans="2:53">
      <c r="B81" s="570"/>
      <c r="C81" s="420">
        <v>15</v>
      </c>
      <c r="D81" s="226"/>
      <c r="E81" s="425"/>
      <c r="F81" s="418"/>
      <c r="G81" s="419"/>
      <c r="H81" s="650"/>
      <c r="I81" s="420"/>
      <c r="J81" s="420"/>
      <c r="K81" s="420"/>
      <c r="L81" s="582"/>
      <c r="M81" s="426" t="e">
        <f>RANK(K81, K$47:$K$61)</f>
        <v>#N/A</v>
      </c>
      <c r="N81" s="564"/>
      <c r="O81" s="564"/>
      <c r="P81" s="420"/>
      <c r="Q81" s="426"/>
      <c r="R81" s="426"/>
      <c r="S81" s="420" t="e">
        <f t="shared" si="55"/>
        <v>#N/A</v>
      </c>
      <c r="T81" s="572"/>
      <c r="U81" s="420"/>
      <c r="V81" s="426"/>
      <c r="W81" s="426"/>
      <c r="X81" s="420" t="e">
        <f t="shared" si="56"/>
        <v>#N/A</v>
      </c>
      <c r="Y81" s="572"/>
      <c r="Z81" s="420"/>
      <c r="AA81" s="426"/>
      <c r="AB81" s="426"/>
      <c r="AC81" s="420" t="e">
        <f t="shared" si="57"/>
        <v>#N/A</v>
      </c>
      <c r="AD81" s="572"/>
      <c r="AE81" s="420"/>
      <c r="AF81" s="426"/>
      <c r="AG81" s="426"/>
      <c r="AH81" s="420" t="e">
        <f t="shared" si="58"/>
        <v>#N/A</v>
      </c>
      <c r="AI81" s="572"/>
      <c r="AJ81" s="420"/>
      <c r="AK81" s="426"/>
      <c r="AL81" s="426"/>
      <c r="AM81" s="420" t="e">
        <f t="shared" si="59"/>
        <v>#N/A</v>
      </c>
      <c r="AN81" s="572"/>
      <c r="AO81" s="420"/>
      <c r="AP81" s="426"/>
      <c r="AQ81" s="426"/>
      <c r="AR81" s="420" t="e">
        <f t="shared" si="60"/>
        <v>#N/A</v>
      </c>
      <c r="AS81" s="572"/>
      <c r="AT81" s="418"/>
      <c r="AU81" s="418"/>
      <c r="AV81" s="418"/>
      <c r="AW81" s="420" t="e">
        <f t="shared" si="61"/>
        <v>#N/A</v>
      </c>
      <c r="AX81" s="572"/>
      <c r="AZ81" s="407" t="e">
        <f t="shared" si="53"/>
        <v>#N/A</v>
      </c>
      <c r="BA81" s="561"/>
    </row>
    <row r="82" spans="2:53" ht="15.75">
      <c r="B82" s="593" t="s">
        <v>163</v>
      </c>
      <c r="C82" s="594"/>
      <c r="D82" s="594"/>
      <c r="E82" s="594"/>
      <c r="F82" s="594"/>
      <c r="G82" s="594"/>
      <c r="H82" s="595"/>
      <c r="I82" s="208"/>
      <c r="J82" s="208"/>
      <c r="K82" s="208"/>
      <c r="L82" s="208"/>
      <c r="M82" s="207"/>
      <c r="N82" s="566" t="s">
        <v>156</v>
      </c>
      <c r="O82" s="566" t="s">
        <v>105</v>
      </c>
      <c r="P82" s="592">
        <f>P62+7</f>
        <v>46168</v>
      </c>
      <c r="Q82" s="570"/>
      <c r="R82" s="570"/>
      <c r="S82" s="570"/>
      <c r="T82" s="570"/>
      <c r="U82" s="589">
        <f>P82+1</f>
        <v>46169</v>
      </c>
      <c r="V82" s="590"/>
      <c r="W82" s="590"/>
      <c r="X82" s="590"/>
      <c r="Y82" s="591"/>
      <c r="Z82" s="589">
        <f>U82+1</f>
        <v>46170</v>
      </c>
      <c r="AA82" s="590"/>
      <c r="AB82" s="590"/>
      <c r="AC82" s="590"/>
      <c r="AD82" s="591"/>
      <c r="AE82" s="589">
        <f>Z82+1</f>
        <v>46171</v>
      </c>
      <c r="AF82" s="590"/>
      <c r="AG82" s="590"/>
      <c r="AH82" s="590"/>
      <c r="AI82" s="591"/>
      <c r="AJ82" s="589">
        <f>AE82+1</f>
        <v>46172</v>
      </c>
      <c r="AK82" s="590"/>
      <c r="AL82" s="590"/>
      <c r="AM82" s="590"/>
      <c r="AN82" s="591"/>
      <c r="AO82" s="589">
        <f>AJ82+1</f>
        <v>46173</v>
      </c>
      <c r="AP82" s="590"/>
      <c r="AQ82" s="590"/>
      <c r="AR82" s="590"/>
      <c r="AS82" s="591"/>
      <c r="AT82" s="589">
        <f>AO82+1</f>
        <v>46174</v>
      </c>
      <c r="AU82" s="590"/>
      <c r="AV82" s="590"/>
      <c r="AW82" s="590"/>
      <c r="AX82" s="591"/>
    </row>
    <row r="83" spans="2:53" ht="15.75">
      <c r="B83" s="596"/>
      <c r="C83" s="596"/>
      <c r="D83" s="596"/>
      <c r="E83" s="596"/>
      <c r="F83" s="596"/>
      <c r="G83" s="596"/>
      <c r="H83" s="596"/>
      <c r="I83" s="205"/>
      <c r="J83" s="205"/>
      <c r="K83" s="205"/>
      <c r="L83" s="205"/>
      <c r="M83" s="206"/>
      <c r="N83" s="568"/>
      <c r="O83" s="568"/>
      <c r="P83" s="592" t="s">
        <v>318</v>
      </c>
      <c r="Q83" s="570"/>
      <c r="R83" s="570"/>
      <c r="S83" s="570"/>
      <c r="T83" s="570"/>
      <c r="U83" s="592" t="s">
        <v>319</v>
      </c>
      <c r="V83" s="570"/>
      <c r="W83" s="570"/>
      <c r="X83" s="570"/>
      <c r="Y83" s="570"/>
      <c r="Z83" s="592" t="s">
        <v>320</v>
      </c>
      <c r="AA83" s="570"/>
      <c r="AB83" s="570"/>
      <c r="AC83" s="570"/>
      <c r="AD83" s="570"/>
      <c r="AE83" s="592" t="s">
        <v>321</v>
      </c>
      <c r="AF83" s="570"/>
      <c r="AG83" s="570"/>
      <c r="AH83" s="570"/>
      <c r="AI83" s="570"/>
      <c r="AJ83" s="592" t="s">
        <v>322</v>
      </c>
      <c r="AK83" s="570"/>
      <c r="AL83" s="570"/>
      <c r="AM83" s="570"/>
      <c r="AN83" s="570"/>
      <c r="AO83" s="592" t="s">
        <v>323</v>
      </c>
      <c r="AP83" s="570"/>
      <c r="AQ83" s="570"/>
      <c r="AR83" s="570"/>
      <c r="AS83" s="570"/>
      <c r="AT83" s="592" t="s">
        <v>324</v>
      </c>
      <c r="AU83" s="570"/>
      <c r="AV83" s="570"/>
      <c r="AW83" s="570"/>
      <c r="AX83" s="570"/>
    </row>
    <row r="84" spans="2:53">
      <c r="B84" s="564" t="s">
        <v>420</v>
      </c>
      <c r="C84" s="564" t="s">
        <v>560</v>
      </c>
      <c r="D84" s="564"/>
      <c r="E84" s="564" t="s">
        <v>561</v>
      </c>
      <c r="F84" s="564"/>
      <c r="G84" s="564"/>
      <c r="H84" s="597" t="s">
        <v>562</v>
      </c>
      <c r="I84" s="564" t="s">
        <v>563</v>
      </c>
      <c r="J84" s="564"/>
      <c r="K84" s="564"/>
      <c r="L84" s="597" t="s">
        <v>374</v>
      </c>
      <c r="M84" s="566" t="s">
        <v>564</v>
      </c>
      <c r="N84" s="564"/>
      <c r="O84" s="564" t="s">
        <v>380</v>
      </c>
      <c r="P84" s="583" t="s">
        <v>376</v>
      </c>
      <c r="Q84" s="584"/>
      <c r="R84" s="584"/>
      <c r="S84" s="585"/>
      <c r="T84" s="564" t="s">
        <v>374</v>
      </c>
      <c r="U84" s="583" t="s">
        <v>376</v>
      </c>
      <c r="V84" s="584"/>
      <c r="W84" s="584"/>
      <c r="X84" s="585"/>
      <c r="Y84" s="564" t="s">
        <v>374</v>
      </c>
      <c r="Z84" s="583" t="s">
        <v>376</v>
      </c>
      <c r="AA84" s="584"/>
      <c r="AB84" s="584"/>
      <c r="AC84" s="585"/>
      <c r="AD84" s="564" t="s">
        <v>374</v>
      </c>
      <c r="AE84" s="583" t="s">
        <v>376</v>
      </c>
      <c r="AF84" s="584"/>
      <c r="AG84" s="584"/>
      <c r="AH84" s="585"/>
      <c r="AI84" s="564" t="s">
        <v>374</v>
      </c>
      <c r="AJ84" s="583" t="s">
        <v>376</v>
      </c>
      <c r="AK84" s="584"/>
      <c r="AL84" s="584"/>
      <c r="AM84" s="585"/>
      <c r="AN84" s="564" t="s">
        <v>374</v>
      </c>
      <c r="AO84" s="583" t="s">
        <v>376</v>
      </c>
      <c r="AP84" s="584"/>
      <c r="AQ84" s="584"/>
      <c r="AR84" s="585"/>
      <c r="AS84" s="564" t="s">
        <v>374</v>
      </c>
      <c r="AT84" s="583" t="s">
        <v>376</v>
      </c>
      <c r="AU84" s="584"/>
      <c r="AV84" s="584"/>
      <c r="AW84" s="585"/>
      <c r="AX84" s="564" t="s">
        <v>374</v>
      </c>
      <c r="BA84" s="564" t="s">
        <v>374</v>
      </c>
    </row>
    <row r="85" spans="2:53">
      <c r="B85" s="564"/>
      <c r="C85" s="564"/>
      <c r="D85" s="564"/>
      <c r="E85" s="564" t="s">
        <v>566</v>
      </c>
      <c r="F85" s="564"/>
      <c r="G85" s="564"/>
      <c r="H85" s="598"/>
      <c r="I85" s="564" t="s">
        <v>566</v>
      </c>
      <c r="J85" s="564"/>
      <c r="K85" s="564"/>
      <c r="L85" s="598"/>
      <c r="M85" s="567"/>
      <c r="N85" s="564"/>
      <c r="O85" s="564"/>
      <c r="P85" s="583" t="s">
        <v>382</v>
      </c>
      <c r="Q85" s="584"/>
      <c r="R85" s="584"/>
      <c r="S85" s="585"/>
      <c r="T85" s="564"/>
      <c r="U85" s="583" t="s">
        <v>382</v>
      </c>
      <c r="V85" s="584"/>
      <c r="W85" s="584"/>
      <c r="X85" s="585"/>
      <c r="Y85" s="564"/>
      <c r="Z85" s="583" t="s">
        <v>382</v>
      </c>
      <c r="AA85" s="584"/>
      <c r="AB85" s="584"/>
      <c r="AC85" s="585"/>
      <c r="AD85" s="564"/>
      <c r="AE85" s="583" t="s">
        <v>382</v>
      </c>
      <c r="AF85" s="584"/>
      <c r="AG85" s="584"/>
      <c r="AH85" s="585"/>
      <c r="AI85" s="564"/>
      <c r="AJ85" s="583" t="s">
        <v>382</v>
      </c>
      <c r="AK85" s="584"/>
      <c r="AL85" s="584"/>
      <c r="AM85" s="585"/>
      <c r="AN85" s="564"/>
      <c r="AO85" s="583" t="s">
        <v>382</v>
      </c>
      <c r="AP85" s="584"/>
      <c r="AQ85" s="584"/>
      <c r="AR85" s="585"/>
      <c r="AS85" s="564"/>
      <c r="AT85" s="583" t="s">
        <v>382</v>
      </c>
      <c r="AU85" s="584"/>
      <c r="AV85" s="584"/>
      <c r="AW85" s="585"/>
      <c r="AX85" s="564"/>
      <c r="BA85" s="564"/>
    </row>
    <row r="86" spans="2:53">
      <c r="B86" s="564"/>
      <c r="C86" s="564"/>
      <c r="D86" s="564"/>
      <c r="E86" s="417" t="s">
        <v>567</v>
      </c>
      <c r="F86" s="417" t="s">
        <v>568</v>
      </c>
      <c r="G86" s="417" t="s">
        <v>569</v>
      </c>
      <c r="H86" s="599"/>
      <c r="I86" s="417" t="s">
        <v>567</v>
      </c>
      <c r="J86" s="417" t="s">
        <v>568</v>
      </c>
      <c r="K86" s="417" t="s">
        <v>569</v>
      </c>
      <c r="L86" s="599"/>
      <c r="M86" s="568"/>
      <c r="N86" s="564"/>
      <c r="O86" s="564"/>
      <c r="P86" s="417" t="s">
        <v>383</v>
      </c>
      <c r="Q86" s="417" t="s">
        <v>384</v>
      </c>
      <c r="R86" s="417" t="s">
        <v>385</v>
      </c>
      <c r="S86" s="417" t="s">
        <v>375</v>
      </c>
      <c r="T86" s="564"/>
      <c r="U86" s="417" t="s">
        <v>383</v>
      </c>
      <c r="V86" s="417" t="s">
        <v>384</v>
      </c>
      <c r="W86" s="417" t="s">
        <v>385</v>
      </c>
      <c r="X86" s="417" t="s">
        <v>375</v>
      </c>
      <c r="Y86" s="564"/>
      <c r="Z86" s="417" t="s">
        <v>383</v>
      </c>
      <c r="AA86" s="417" t="s">
        <v>384</v>
      </c>
      <c r="AB86" s="417" t="s">
        <v>385</v>
      </c>
      <c r="AC86" s="417" t="s">
        <v>375</v>
      </c>
      <c r="AD86" s="564"/>
      <c r="AE86" s="417" t="s">
        <v>383</v>
      </c>
      <c r="AF86" s="417" t="s">
        <v>384</v>
      </c>
      <c r="AG86" s="417" t="s">
        <v>385</v>
      </c>
      <c r="AH86" s="417" t="s">
        <v>375</v>
      </c>
      <c r="AI86" s="564"/>
      <c r="AJ86" s="417" t="s">
        <v>383</v>
      </c>
      <c r="AK86" s="417" t="s">
        <v>384</v>
      </c>
      <c r="AL86" s="417" t="s">
        <v>385</v>
      </c>
      <c r="AM86" s="417" t="s">
        <v>375</v>
      </c>
      <c r="AN86" s="564"/>
      <c r="AO86" s="417" t="s">
        <v>383</v>
      </c>
      <c r="AP86" s="417" t="s">
        <v>384</v>
      </c>
      <c r="AQ86" s="417" t="s">
        <v>385</v>
      </c>
      <c r="AR86" s="417" t="s">
        <v>375</v>
      </c>
      <c r="AS86" s="564"/>
      <c r="AT86" s="417" t="s">
        <v>383</v>
      </c>
      <c r="AU86" s="417" t="s">
        <v>384</v>
      </c>
      <c r="AV86" s="417" t="s">
        <v>385</v>
      </c>
      <c r="AW86" s="417" t="s">
        <v>375</v>
      </c>
      <c r="AX86" s="564"/>
      <c r="AZ86" s="406" t="s">
        <v>375</v>
      </c>
      <c r="BA86" s="564"/>
    </row>
    <row r="87" spans="2:53">
      <c r="B87" s="564" t="s">
        <v>437</v>
      </c>
      <c r="C87" s="420">
        <v>1</v>
      </c>
      <c r="D87" s="226"/>
      <c r="E87" s="425"/>
      <c r="F87" s="418"/>
      <c r="G87" s="419"/>
      <c r="H87" s="648" t="e">
        <f>AVERAGE(G87:G101)</f>
        <v>#DIV/0!</v>
      </c>
      <c r="I87" s="422" t="str">
        <f t="shared" ref="I87:I100" si="62">IFERROR(AVERAGE(P87,U87,Z87,AE87,AJ87,AO87,AT87),"-")</f>
        <v>-</v>
      </c>
      <c r="J87" s="422" t="str">
        <f t="shared" ref="J87:J100" si="63">IFERROR(AVERAGE(Q87,V87,AA87,AF87,AK87,AP87,AU87),"-")</f>
        <v>-</v>
      </c>
      <c r="K87" s="200" t="str">
        <f t="shared" ref="K87:K100" si="64">IFERROR(AVERAGE(R87,W87,AB87,AG87,AL87,AQ87,AV87),"-")</f>
        <v>-</v>
      </c>
      <c r="L87" s="580" t="str">
        <f>IFERROR(AVERAGE(K87:K101),"-")</f>
        <v>-</v>
      </c>
      <c r="M87" s="426" t="e">
        <f>RANK(K87, K$67:$K$81)</f>
        <v>#VALUE!</v>
      </c>
      <c r="N87" s="564"/>
      <c r="O87" s="564"/>
      <c r="P87" s="420"/>
      <c r="Q87" s="426"/>
      <c r="R87" s="426"/>
      <c r="S87" s="420" t="e">
        <f>RANK(R87, R$67:R$81)</f>
        <v>#N/A</v>
      </c>
      <c r="T87" s="572" t="e">
        <f>AVERAGE(R87:R101)</f>
        <v>#DIV/0!</v>
      </c>
      <c r="U87" s="420"/>
      <c r="V87" s="426"/>
      <c r="W87" s="426"/>
      <c r="X87" s="420" t="e">
        <f>RANK(W87, W$67:W$81)</f>
        <v>#N/A</v>
      </c>
      <c r="Y87" s="572" t="e">
        <f>AVERAGE(W87:W101)</f>
        <v>#DIV/0!</v>
      </c>
      <c r="Z87" s="420"/>
      <c r="AA87" s="426"/>
      <c r="AB87" s="426"/>
      <c r="AC87" s="420" t="e">
        <f>RANK(AB87, AB$67:AB$81)</f>
        <v>#N/A</v>
      </c>
      <c r="AD87" s="572" t="e">
        <f>AVERAGE(AB87:AB101)</f>
        <v>#DIV/0!</v>
      </c>
      <c r="AE87" s="420"/>
      <c r="AF87" s="426"/>
      <c r="AG87" s="426"/>
      <c r="AH87" s="420" t="e">
        <f>RANK(AG87, AG$67:AG$81)</f>
        <v>#N/A</v>
      </c>
      <c r="AI87" s="572" t="e">
        <f>AVERAGE(AG87:AG101)</f>
        <v>#DIV/0!</v>
      </c>
      <c r="AJ87" s="420"/>
      <c r="AK87" s="426"/>
      <c r="AL87" s="426"/>
      <c r="AM87" s="420" t="e">
        <f>RANK(AL87, AL$67:AL$81)</f>
        <v>#N/A</v>
      </c>
      <c r="AN87" s="572" t="e">
        <f>AVERAGE(AL87:AL101)</f>
        <v>#DIV/0!</v>
      </c>
      <c r="AO87" s="420"/>
      <c r="AP87" s="426"/>
      <c r="AQ87" s="426"/>
      <c r="AR87" s="420" t="e">
        <f>RANK(AQ87, AQ$67:AQ$81)</f>
        <v>#N/A</v>
      </c>
      <c r="AS87" s="572" t="e">
        <f>AVERAGE(AQ87:AQ101)</f>
        <v>#DIV/0!</v>
      </c>
      <c r="AT87" s="425"/>
      <c r="AU87" s="419"/>
      <c r="AV87" s="419"/>
      <c r="AW87" s="420" t="e">
        <f>RANK(AV87, AV$67:AV$81)</f>
        <v>#N/A</v>
      </c>
      <c r="AX87" s="572" t="e">
        <f>AVERAGE(AV87:AV101)</f>
        <v>#DIV/0!</v>
      </c>
      <c r="AZ87" s="407" t="e">
        <f t="shared" ref="AZ87:AZ101" si="65">RANK(AY87, AY$87:AY$101)</f>
        <v>#N/A</v>
      </c>
      <c r="BA87" s="565" t="e">
        <f t="shared" ref="BA87" si="66">AVERAGE(AY87:AY101)</f>
        <v>#DIV/0!</v>
      </c>
    </row>
    <row r="88" spans="2:53">
      <c r="B88" s="570"/>
      <c r="C88" s="420">
        <v>2</v>
      </c>
      <c r="D88" s="226"/>
      <c r="E88" s="425"/>
      <c r="F88" s="418"/>
      <c r="G88" s="419"/>
      <c r="H88" s="649"/>
      <c r="I88" s="422" t="str">
        <f t="shared" si="62"/>
        <v>-</v>
      </c>
      <c r="J88" s="422" t="str">
        <f t="shared" si="63"/>
        <v>-</v>
      </c>
      <c r="K88" s="200" t="str">
        <f t="shared" si="64"/>
        <v>-</v>
      </c>
      <c r="L88" s="581"/>
      <c r="M88" s="426" t="e">
        <f>RANK(K88, K$67:$K$81)</f>
        <v>#VALUE!</v>
      </c>
      <c r="N88" s="564"/>
      <c r="O88" s="564"/>
      <c r="P88" s="420"/>
      <c r="Q88" s="426"/>
      <c r="R88" s="426"/>
      <c r="S88" s="420" t="e">
        <f t="shared" ref="S88:S101" si="67">RANK(R88, R$67:R$81)</f>
        <v>#N/A</v>
      </c>
      <c r="T88" s="572"/>
      <c r="U88" s="420"/>
      <c r="V88" s="426"/>
      <c r="W88" s="426"/>
      <c r="X88" s="420" t="e">
        <f t="shared" ref="X88:X101" si="68">RANK(W88, W$67:W$81)</f>
        <v>#N/A</v>
      </c>
      <c r="Y88" s="572"/>
      <c r="Z88" s="420"/>
      <c r="AA88" s="426"/>
      <c r="AB88" s="426"/>
      <c r="AC88" s="420" t="e">
        <f t="shared" ref="AC88:AC101" si="69">RANK(AB88, AB$67:AB$81)</f>
        <v>#N/A</v>
      </c>
      <c r="AD88" s="572"/>
      <c r="AE88" s="420"/>
      <c r="AF88" s="426"/>
      <c r="AG88" s="426"/>
      <c r="AH88" s="420" t="e">
        <f t="shared" ref="AH88:AH101" si="70">RANK(AG88, AG$67:AG$81)</f>
        <v>#N/A</v>
      </c>
      <c r="AI88" s="572"/>
      <c r="AJ88" s="420"/>
      <c r="AK88" s="426"/>
      <c r="AL88" s="426"/>
      <c r="AM88" s="420" t="e">
        <f t="shared" ref="AM88:AM101" si="71">RANK(AL88, AL$67:AL$81)</f>
        <v>#N/A</v>
      </c>
      <c r="AN88" s="572"/>
      <c r="AO88" s="420"/>
      <c r="AP88" s="426"/>
      <c r="AQ88" s="426"/>
      <c r="AR88" s="420" t="e">
        <f t="shared" ref="AR88:AR101" si="72">RANK(AQ88, AQ$67:AQ$81)</f>
        <v>#N/A</v>
      </c>
      <c r="AS88" s="572"/>
      <c r="AT88" s="418"/>
      <c r="AU88" s="419"/>
      <c r="AV88" s="419"/>
      <c r="AW88" s="420" t="e">
        <f t="shared" ref="AW88:AW101" si="73">RANK(AV88, AV$67:AV$81)</f>
        <v>#N/A</v>
      </c>
      <c r="AX88" s="572"/>
      <c r="AZ88" s="407" t="e">
        <f t="shared" si="65"/>
        <v>#N/A</v>
      </c>
      <c r="BA88" s="565"/>
    </row>
    <row r="89" spans="2:53">
      <c r="B89" s="570"/>
      <c r="C89" s="420">
        <v>3</v>
      </c>
      <c r="D89" s="226"/>
      <c r="E89" s="425"/>
      <c r="F89" s="418"/>
      <c r="G89" s="419"/>
      <c r="H89" s="649"/>
      <c r="I89" s="422" t="str">
        <f t="shared" si="62"/>
        <v>-</v>
      </c>
      <c r="J89" s="422" t="str">
        <f t="shared" si="63"/>
        <v>-</v>
      </c>
      <c r="K89" s="200" t="str">
        <f t="shared" si="64"/>
        <v>-</v>
      </c>
      <c r="L89" s="581"/>
      <c r="M89" s="426" t="e">
        <f>RANK(K89, K$67:$K$81)</f>
        <v>#VALUE!</v>
      </c>
      <c r="N89" s="564"/>
      <c r="O89" s="564"/>
      <c r="P89" s="420"/>
      <c r="Q89" s="426"/>
      <c r="R89" s="426"/>
      <c r="S89" s="420" t="e">
        <f t="shared" si="67"/>
        <v>#N/A</v>
      </c>
      <c r="T89" s="572"/>
      <c r="U89" s="420"/>
      <c r="V89" s="426"/>
      <c r="W89" s="426"/>
      <c r="X89" s="420" t="e">
        <f t="shared" si="68"/>
        <v>#N/A</v>
      </c>
      <c r="Y89" s="572"/>
      <c r="Z89" s="420"/>
      <c r="AA89" s="426"/>
      <c r="AB89" s="426"/>
      <c r="AC89" s="420" t="e">
        <f t="shared" si="69"/>
        <v>#N/A</v>
      </c>
      <c r="AD89" s="572"/>
      <c r="AE89" s="420"/>
      <c r="AF89" s="426"/>
      <c r="AG89" s="426"/>
      <c r="AH89" s="420" t="e">
        <f t="shared" si="70"/>
        <v>#N/A</v>
      </c>
      <c r="AI89" s="572"/>
      <c r="AJ89" s="420"/>
      <c r="AK89" s="426"/>
      <c r="AL89" s="426"/>
      <c r="AM89" s="420" t="e">
        <f t="shared" si="71"/>
        <v>#N/A</v>
      </c>
      <c r="AN89" s="572"/>
      <c r="AO89" s="420"/>
      <c r="AP89" s="426"/>
      <c r="AQ89" s="426"/>
      <c r="AR89" s="420" t="e">
        <f t="shared" si="72"/>
        <v>#N/A</v>
      </c>
      <c r="AS89" s="572"/>
      <c r="AT89" s="418"/>
      <c r="AU89" s="419"/>
      <c r="AV89" s="419"/>
      <c r="AW89" s="420" t="e">
        <f t="shared" si="73"/>
        <v>#N/A</v>
      </c>
      <c r="AX89" s="572"/>
      <c r="AZ89" s="407" t="e">
        <f t="shared" si="65"/>
        <v>#N/A</v>
      </c>
      <c r="BA89" s="565"/>
    </row>
    <row r="90" spans="2:53">
      <c r="B90" s="570"/>
      <c r="C90" s="420">
        <v>4</v>
      </c>
      <c r="D90" s="226"/>
      <c r="E90" s="425"/>
      <c r="F90" s="418"/>
      <c r="G90" s="419"/>
      <c r="H90" s="649"/>
      <c r="I90" s="422" t="str">
        <f t="shared" si="62"/>
        <v>-</v>
      </c>
      <c r="J90" s="422" t="str">
        <f t="shared" si="63"/>
        <v>-</v>
      </c>
      <c r="K90" s="200" t="str">
        <f t="shared" si="64"/>
        <v>-</v>
      </c>
      <c r="L90" s="581"/>
      <c r="M90" s="426" t="e">
        <f>RANK(K90, K$67:$K$81)</f>
        <v>#VALUE!</v>
      </c>
      <c r="N90" s="564"/>
      <c r="O90" s="564"/>
      <c r="P90" s="420"/>
      <c r="Q90" s="426"/>
      <c r="R90" s="426"/>
      <c r="S90" s="420" t="e">
        <f t="shared" si="67"/>
        <v>#N/A</v>
      </c>
      <c r="T90" s="572"/>
      <c r="U90" s="420"/>
      <c r="V90" s="426"/>
      <c r="W90" s="426"/>
      <c r="X90" s="420" t="e">
        <f t="shared" si="68"/>
        <v>#N/A</v>
      </c>
      <c r="Y90" s="572"/>
      <c r="Z90" s="420"/>
      <c r="AA90" s="426"/>
      <c r="AB90" s="426"/>
      <c r="AC90" s="420" t="e">
        <f t="shared" si="69"/>
        <v>#N/A</v>
      </c>
      <c r="AD90" s="572"/>
      <c r="AE90" s="420"/>
      <c r="AF90" s="426"/>
      <c r="AG90" s="426"/>
      <c r="AH90" s="420" t="e">
        <f t="shared" si="70"/>
        <v>#N/A</v>
      </c>
      <c r="AI90" s="572"/>
      <c r="AJ90" s="420"/>
      <c r="AK90" s="426"/>
      <c r="AL90" s="426"/>
      <c r="AM90" s="420" t="e">
        <f t="shared" si="71"/>
        <v>#N/A</v>
      </c>
      <c r="AN90" s="572"/>
      <c r="AO90" s="420"/>
      <c r="AP90" s="426"/>
      <c r="AQ90" s="426"/>
      <c r="AR90" s="420" t="e">
        <f t="shared" si="72"/>
        <v>#N/A</v>
      </c>
      <c r="AS90" s="572"/>
      <c r="AT90" s="418"/>
      <c r="AU90" s="419"/>
      <c r="AV90" s="419"/>
      <c r="AW90" s="420" t="e">
        <f t="shared" si="73"/>
        <v>#N/A</v>
      </c>
      <c r="AX90" s="572"/>
      <c r="AZ90" s="407" t="e">
        <f t="shared" si="65"/>
        <v>#N/A</v>
      </c>
      <c r="BA90" s="565"/>
    </row>
    <row r="91" spans="2:53">
      <c r="B91" s="570"/>
      <c r="C91" s="420">
        <v>5</v>
      </c>
      <c r="D91" s="226"/>
      <c r="E91" s="425"/>
      <c r="F91" s="418"/>
      <c r="G91" s="419"/>
      <c r="H91" s="649"/>
      <c r="I91" s="422" t="str">
        <f t="shared" si="62"/>
        <v>-</v>
      </c>
      <c r="J91" s="422" t="str">
        <f t="shared" si="63"/>
        <v>-</v>
      </c>
      <c r="K91" s="200" t="str">
        <f t="shared" si="64"/>
        <v>-</v>
      </c>
      <c r="L91" s="581"/>
      <c r="M91" s="426" t="e">
        <f>RANK(K91, K$67:$K$81)</f>
        <v>#VALUE!</v>
      </c>
      <c r="N91" s="564"/>
      <c r="O91" s="564"/>
      <c r="P91" s="420"/>
      <c r="Q91" s="426"/>
      <c r="R91" s="426"/>
      <c r="S91" s="420" t="e">
        <f t="shared" si="67"/>
        <v>#N/A</v>
      </c>
      <c r="T91" s="572"/>
      <c r="U91" s="420"/>
      <c r="V91" s="426"/>
      <c r="W91" s="426"/>
      <c r="X91" s="420" t="e">
        <f t="shared" si="68"/>
        <v>#N/A</v>
      </c>
      <c r="Y91" s="572"/>
      <c r="Z91" s="420"/>
      <c r="AA91" s="426"/>
      <c r="AB91" s="426"/>
      <c r="AC91" s="420" t="e">
        <f t="shared" si="69"/>
        <v>#N/A</v>
      </c>
      <c r="AD91" s="572"/>
      <c r="AE91" s="420"/>
      <c r="AF91" s="426"/>
      <c r="AG91" s="426"/>
      <c r="AH91" s="420" t="e">
        <f t="shared" si="70"/>
        <v>#N/A</v>
      </c>
      <c r="AI91" s="572"/>
      <c r="AJ91" s="420"/>
      <c r="AK91" s="426"/>
      <c r="AL91" s="426"/>
      <c r="AM91" s="420" t="e">
        <f t="shared" si="71"/>
        <v>#N/A</v>
      </c>
      <c r="AN91" s="572"/>
      <c r="AO91" s="420"/>
      <c r="AP91" s="426"/>
      <c r="AQ91" s="426"/>
      <c r="AR91" s="420" t="e">
        <f t="shared" si="72"/>
        <v>#N/A</v>
      </c>
      <c r="AS91" s="572"/>
      <c r="AT91" s="418"/>
      <c r="AU91" s="419"/>
      <c r="AV91" s="419"/>
      <c r="AW91" s="420" t="e">
        <f t="shared" si="73"/>
        <v>#N/A</v>
      </c>
      <c r="AX91" s="572"/>
      <c r="AZ91" s="407" t="e">
        <f t="shared" si="65"/>
        <v>#N/A</v>
      </c>
      <c r="BA91" s="565"/>
    </row>
    <row r="92" spans="2:53">
      <c r="B92" s="570"/>
      <c r="C92" s="420">
        <v>6</v>
      </c>
      <c r="D92" s="226"/>
      <c r="E92" s="425"/>
      <c r="F92" s="418"/>
      <c r="G92" s="419"/>
      <c r="H92" s="649"/>
      <c r="I92" s="422" t="str">
        <f t="shared" si="62"/>
        <v>-</v>
      </c>
      <c r="J92" s="422" t="str">
        <f t="shared" si="63"/>
        <v>-</v>
      </c>
      <c r="K92" s="200" t="str">
        <f t="shared" si="64"/>
        <v>-</v>
      </c>
      <c r="L92" s="581"/>
      <c r="M92" s="426" t="e">
        <f>RANK(K92, K$67:$K$81)</f>
        <v>#VALUE!</v>
      </c>
      <c r="N92" s="564"/>
      <c r="O92" s="564"/>
      <c r="P92" s="420"/>
      <c r="Q92" s="426"/>
      <c r="R92" s="426"/>
      <c r="S92" s="420" t="e">
        <f t="shared" si="67"/>
        <v>#N/A</v>
      </c>
      <c r="T92" s="572"/>
      <c r="U92" s="420"/>
      <c r="V92" s="426"/>
      <c r="W92" s="426"/>
      <c r="X92" s="420" t="e">
        <f t="shared" si="68"/>
        <v>#N/A</v>
      </c>
      <c r="Y92" s="572"/>
      <c r="Z92" s="420"/>
      <c r="AA92" s="426"/>
      <c r="AB92" s="426"/>
      <c r="AC92" s="420" t="e">
        <f t="shared" si="69"/>
        <v>#N/A</v>
      </c>
      <c r="AD92" s="572"/>
      <c r="AE92" s="420"/>
      <c r="AF92" s="426"/>
      <c r="AG92" s="426"/>
      <c r="AH92" s="420" t="e">
        <f t="shared" si="70"/>
        <v>#N/A</v>
      </c>
      <c r="AI92" s="572"/>
      <c r="AJ92" s="420"/>
      <c r="AK92" s="426"/>
      <c r="AL92" s="426"/>
      <c r="AM92" s="420" t="e">
        <f t="shared" si="71"/>
        <v>#N/A</v>
      </c>
      <c r="AN92" s="572"/>
      <c r="AO92" s="420"/>
      <c r="AP92" s="426"/>
      <c r="AQ92" s="426"/>
      <c r="AR92" s="420" t="e">
        <f t="shared" si="72"/>
        <v>#N/A</v>
      </c>
      <c r="AS92" s="572"/>
      <c r="AT92" s="418"/>
      <c r="AU92" s="419"/>
      <c r="AV92" s="419"/>
      <c r="AW92" s="420" t="e">
        <f t="shared" si="73"/>
        <v>#N/A</v>
      </c>
      <c r="AX92" s="572"/>
      <c r="AZ92" s="407" t="e">
        <f t="shared" si="65"/>
        <v>#N/A</v>
      </c>
      <c r="BA92" s="565"/>
    </row>
    <row r="93" spans="2:53">
      <c r="B93" s="570"/>
      <c r="C93" s="420">
        <v>7</v>
      </c>
      <c r="D93" s="226"/>
      <c r="E93" s="425"/>
      <c r="F93" s="418"/>
      <c r="G93" s="419"/>
      <c r="H93" s="649"/>
      <c r="I93" s="422" t="str">
        <f t="shared" si="62"/>
        <v>-</v>
      </c>
      <c r="J93" s="422" t="str">
        <f t="shared" si="63"/>
        <v>-</v>
      </c>
      <c r="K93" s="200" t="str">
        <f t="shared" si="64"/>
        <v>-</v>
      </c>
      <c r="L93" s="581"/>
      <c r="M93" s="426" t="e">
        <f>RANK(K93, K$67:$K$81)</f>
        <v>#VALUE!</v>
      </c>
      <c r="N93" s="564"/>
      <c r="O93" s="564"/>
      <c r="P93" s="420"/>
      <c r="Q93" s="426"/>
      <c r="R93" s="426"/>
      <c r="S93" s="420" t="e">
        <f t="shared" si="67"/>
        <v>#N/A</v>
      </c>
      <c r="T93" s="572"/>
      <c r="U93" s="420"/>
      <c r="V93" s="426"/>
      <c r="W93" s="426"/>
      <c r="X93" s="420" t="e">
        <f t="shared" si="68"/>
        <v>#N/A</v>
      </c>
      <c r="Y93" s="572"/>
      <c r="Z93" s="420"/>
      <c r="AA93" s="426"/>
      <c r="AB93" s="426"/>
      <c r="AC93" s="420" t="e">
        <f t="shared" si="69"/>
        <v>#N/A</v>
      </c>
      <c r="AD93" s="572"/>
      <c r="AE93" s="420"/>
      <c r="AF93" s="426"/>
      <c r="AG93" s="426"/>
      <c r="AH93" s="420" t="e">
        <f t="shared" si="70"/>
        <v>#N/A</v>
      </c>
      <c r="AI93" s="572"/>
      <c r="AJ93" s="420"/>
      <c r="AK93" s="426"/>
      <c r="AL93" s="426"/>
      <c r="AM93" s="420" t="e">
        <f t="shared" si="71"/>
        <v>#N/A</v>
      </c>
      <c r="AN93" s="572"/>
      <c r="AO93" s="420"/>
      <c r="AP93" s="426"/>
      <c r="AQ93" s="426"/>
      <c r="AR93" s="420" t="e">
        <f t="shared" si="72"/>
        <v>#N/A</v>
      </c>
      <c r="AS93" s="572"/>
      <c r="AT93" s="418"/>
      <c r="AU93" s="419"/>
      <c r="AV93" s="419"/>
      <c r="AW93" s="420" t="e">
        <f t="shared" si="73"/>
        <v>#N/A</v>
      </c>
      <c r="AX93" s="572"/>
      <c r="AZ93" s="407" t="e">
        <f t="shared" si="65"/>
        <v>#N/A</v>
      </c>
      <c r="BA93" s="565"/>
    </row>
    <row r="94" spans="2:53">
      <c r="B94" s="570"/>
      <c r="C94" s="420">
        <v>8</v>
      </c>
      <c r="D94" s="226"/>
      <c r="E94" s="425"/>
      <c r="F94" s="418"/>
      <c r="G94" s="419"/>
      <c r="H94" s="649"/>
      <c r="I94" s="422" t="str">
        <f t="shared" si="62"/>
        <v>-</v>
      </c>
      <c r="J94" s="422" t="str">
        <f t="shared" si="63"/>
        <v>-</v>
      </c>
      <c r="K94" s="200" t="str">
        <f t="shared" si="64"/>
        <v>-</v>
      </c>
      <c r="L94" s="581"/>
      <c r="M94" s="426" t="e">
        <f>RANK(K94, K$67:$K$81)</f>
        <v>#VALUE!</v>
      </c>
      <c r="N94" s="564"/>
      <c r="O94" s="564"/>
      <c r="P94" s="420"/>
      <c r="Q94" s="426"/>
      <c r="R94" s="426"/>
      <c r="S94" s="420" t="e">
        <f t="shared" si="67"/>
        <v>#N/A</v>
      </c>
      <c r="T94" s="572"/>
      <c r="U94" s="420"/>
      <c r="V94" s="426"/>
      <c r="W94" s="426"/>
      <c r="X94" s="420" t="e">
        <f t="shared" si="68"/>
        <v>#N/A</v>
      </c>
      <c r="Y94" s="572"/>
      <c r="Z94" s="420"/>
      <c r="AA94" s="426"/>
      <c r="AB94" s="426"/>
      <c r="AC94" s="420" t="e">
        <f t="shared" si="69"/>
        <v>#N/A</v>
      </c>
      <c r="AD94" s="572"/>
      <c r="AE94" s="420"/>
      <c r="AF94" s="426"/>
      <c r="AG94" s="426"/>
      <c r="AH94" s="420" t="e">
        <f t="shared" si="70"/>
        <v>#N/A</v>
      </c>
      <c r="AI94" s="572"/>
      <c r="AJ94" s="420"/>
      <c r="AK94" s="426"/>
      <c r="AL94" s="426"/>
      <c r="AM94" s="420" t="e">
        <f t="shared" si="71"/>
        <v>#N/A</v>
      </c>
      <c r="AN94" s="572"/>
      <c r="AO94" s="420"/>
      <c r="AP94" s="426"/>
      <c r="AQ94" s="426"/>
      <c r="AR94" s="420" t="e">
        <f t="shared" si="72"/>
        <v>#N/A</v>
      </c>
      <c r="AS94" s="572"/>
      <c r="AT94" s="418"/>
      <c r="AU94" s="419"/>
      <c r="AV94" s="419"/>
      <c r="AW94" s="420" t="e">
        <f t="shared" si="73"/>
        <v>#N/A</v>
      </c>
      <c r="AX94" s="572"/>
      <c r="AZ94" s="407" t="e">
        <f t="shared" si="65"/>
        <v>#N/A</v>
      </c>
      <c r="BA94" s="565"/>
    </row>
    <row r="95" spans="2:53">
      <c r="B95" s="570"/>
      <c r="C95" s="420">
        <v>9</v>
      </c>
      <c r="D95" s="226"/>
      <c r="E95" s="425"/>
      <c r="F95" s="418"/>
      <c r="G95" s="419"/>
      <c r="H95" s="649"/>
      <c r="I95" s="422" t="str">
        <f t="shared" si="62"/>
        <v>-</v>
      </c>
      <c r="J95" s="422" t="str">
        <f t="shared" si="63"/>
        <v>-</v>
      </c>
      <c r="K95" s="200" t="str">
        <f t="shared" si="64"/>
        <v>-</v>
      </c>
      <c r="L95" s="581"/>
      <c r="M95" s="426" t="e">
        <f>RANK(K95, K$67:$K$81)</f>
        <v>#VALUE!</v>
      </c>
      <c r="N95" s="564"/>
      <c r="O95" s="564"/>
      <c r="P95" s="420"/>
      <c r="Q95" s="426"/>
      <c r="R95" s="426"/>
      <c r="S95" s="420" t="e">
        <f t="shared" si="67"/>
        <v>#N/A</v>
      </c>
      <c r="T95" s="572"/>
      <c r="U95" s="420"/>
      <c r="V95" s="426"/>
      <c r="W95" s="426"/>
      <c r="X95" s="420" t="e">
        <f t="shared" si="68"/>
        <v>#N/A</v>
      </c>
      <c r="Y95" s="572"/>
      <c r="Z95" s="420"/>
      <c r="AA95" s="426"/>
      <c r="AB95" s="426"/>
      <c r="AC95" s="420" t="e">
        <f t="shared" si="69"/>
        <v>#N/A</v>
      </c>
      <c r="AD95" s="572"/>
      <c r="AE95" s="420"/>
      <c r="AF95" s="426"/>
      <c r="AG95" s="426"/>
      <c r="AH95" s="420" t="e">
        <f t="shared" si="70"/>
        <v>#N/A</v>
      </c>
      <c r="AI95" s="572"/>
      <c r="AJ95" s="420"/>
      <c r="AK95" s="426"/>
      <c r="AL95" s="426"/>
      <c r="AM95" s="420" t="e">
        <f t="shared" si="71"/>
        <v>#N/A</v>
      </c>
      <c r="AN95" s="572"/>
      <c r="AO95" s="420"/>
      <c r="AP95" s="426"/>
      <c r="AQ95" s="426"/>
      <c r="AR95" s="420" t="e">
        <f t="shared" si="72"/>
        <v>#N/A</v>
      </c>
      <c r="AS95" s="572"/>
      <c r="AT95" s="418"/>
      <c r="AU95" s="419"/>
      <c r="AV95" s="419"/>
      <c r="AW95" s="420" t="e">
        <f t="shared" si="73"/>
        <v>#N/A</v>
      </c>
      <c r="AX95" s="572"/>
      <c r="AZ95" s="407" t="e">
        <f t="shared" si="65"/>
        <v>#N/A</v>
      </c>
      <c r="BA95" s="565"/>
    </row>
    <row r="96" spans="2:53">
      <c r="B96" s="570"/>
      <c r="C96" s="420">
        <v>10</v>
      </c>
      <c r="D96" s="226"/>
      <c r="E96" s="425"/>
      <c r="F96" s="418"/>
      <c r="G96" s="419"/>
      <c r="H96" s="649"/>
      <c r="I96" s="422" t="str">
        <f t="shared" si="62"/>
        <v>-</v>
      </c>
      <c r="J96" s="422" t="str">
        <f t="shared" si="63"/>
        <v>-</v>
      </c>
      <c r="K96" s="200" t="str">
        <f t="shared" si="64"/>
        <v>-</v>
      </c>
      <c r="L96" s="581"/>
      <c r="M96" s="426" t="e">
        <f>RANK(K96, K$67:$K$81)</f>
        <v>#VALUE!</v>
      </c>
      <c r="N96" s="564"/>
      <c r="O96" s="564"/>
      <c r="P96" s="420"/>
      <c r="Q96" s="426"/>
      <c r="R96" s="426"/>
      <c r="S96" s="420" t="e">
        <f t="shared" si="67"/>
        <v>#N/A</v>
      </c>
      <c r="T96" s="572"/>
      <c r="U96" s="420"/>
      <c r="V96" s="426"/>
      <c r="W96" s="426"/>
      <c r="X96" s="420" t="e">
        <f t="shared" si="68"/>
        <v>#N/A</v>
      </c>
      <c r="Y96" s="572"/>
      <c r="Z96" s="420"/>
      <c r="AA96" s="426"/>
      <c r="AB96" s="426"/>
      <c r="AC96" s="420" t="e">
        <f t="shared" si="69"/>
        <v>#N/A</v>
      </c>
      <c r="AD96" s="572"/>
      <c r="AE96" s="420"/>
      <c r="AF96" s="426"/>
      <c r="AG96" s="426"/>
      <c r="AH96" s="420" t="e">
        <f t="shared" si="70"/>
        <v>#N/A</v>
      </c>
      <c r="AI96" s="572"/>
      <c r="AJ96" s="420"/>
      <c r="AK96" s="426"/>
      <c r="AL96" s="426"/>
      <c r="AM96" s="420" t="e">
        <f t="shared" si="71"/>
        <v>#N/A</v>
      </c>
      <c r="AN96" s="572"/>
      <c r="AO96" s="420"/>
      <c r="AP96" s="426"/>
      <c r="AQ96" s="426"/>
      <c r="AR96" s="420" t="e">
        <f t="shared" si="72"/>
        <v>#N/A</v>
      </c>
      <c r="AS96" s="572"/>
      <c r="AT96" s="418"/>
      <c r="AU96" s="418"/>
      <c r="AV96" s="419"/>
      <c r="AW96" s="420" t="e">
        <f t="shared" si="73"/>
        <v>#N/A</v>
      </c>
      <c r="AX96" s="572"/>
      <c r="AZ96" s="407" t="e">
        <f t="shared" si="65"/>
        <v>#N/A</v>
      </c>
      <c r="BA96" s="565"/>
    </row>
    <row r="97" spans="2:53">
      <c r="B97" s="570"/>
      <c r="C97" s="420">
        <v>11</v>
      </c>
      <c r="D97" s="226"/>
      <c r="E97" s="425"/>
      <c r="F97" s="418"/>
      <c r="G97" s="419"/>
      <c r="H97" s="649"/>
      <c r="I97" s="422" t="str">
        <f t="shared" si="62"/>
        <v>-</v>
      </c>
      <c r="J97" s="422" t="str">
        <f t="shared" si="63"/>
        <v>-</v>
      </c>
      <c r="K97" s="200" t="str">
        <f t="shared" si="64"/>
        <v>-</v>
      </c>
      <c r="L97" s="581"/>
      <c r="M97" s="426" t="e">
        <f>RANK(K97, K$67:$K$81)</f>
        <v>#VALUE!</v>
      </c>
      <c r="N97" s="564"/>
      <c r="O97" s="564"/>
      <c r="P97" s="420"/>
      <c r="Q97" s="426"/>
      <c r="R97" s="426"/>
      <c r="S97" s="420" t="e">
        <f t="shared" si="67"/>
        <v>#N/A</v>
      </c>
      <c r="T97" s="572"/>
      <c r="U97" s="420"/>
      <c r="V97" s="426"/>
      <c r="W97" s="426"/>
      <c r="X97" s="420" t="e">
        <f t="shared" si="68"/>
        <v>#N/A</v>
      </c>
      <c r="Y97" s="572"/>
      <c r="Z97" s="420"/>
      <c r="AA97" s="426"/>
      <c r="AB97" s="426"/>
      <c r="AC97" s="420" t="e">
        <f t="shared" si="69"/>
        <v>#N/A</v>
      </c>
      <c r="AD97" s="572"/>
      <c r="AE97" s="420"/>
      <c r="AF97" s="426"/>
      <c r="AG97" s="426"/>
      <c r="AH97" s="420" t="e">
        <f t="shared" si="70"/>
        <v>#N/A</v>
      </c>
      <c r="AI97" s="572"/>
      <c r="AJ97" s="420"/>
      <c r="AK97" s="426"/>
      <c r="AL97" s="426"/>
      <c r="AM97" s="420" t="e">
        <f t="shared" si="71"/>
        <v>#N/A</v>
      </c>
      <c r="AN97" s="572"/>
      <c r="AO97" s="420"/>
      <c r="AP97" s="426"/>
      <c r="AQ97" s="426"/>
      <c r="AR97" s="420" t="e">
        <f t="shared" si="72"/>
        <v>#N/A</v>
      </c>
      <c r="AS97" s="572"/>
      <c r="AT97" s="418"/>
      <c r="AU97" s="418"/>
      <c r="AV97" s="418"/>
      <c r="AW97" s="420" t="e">
        <f t="shared" si="73"/>
        <v>#N/A</v>
      </c>
      <c r="AX97" s="572"/>
      <c r="AZ97" s="407" t="e">
        <f t="shared" si="65"/>
        <v>#N/A</v>
      </c>
      <c r="BA97" s="565"/>
    </row>
    <row r="98" spans="2:53">
      <c r="B98" s="570"/>
      <c r="C98" s="420">
        <v>12</v>
      </c>
      <c r="D98" s="226"/>
      <c r="E98" s="425"/>
      <c r="F98" s="418"/>
      <c r="G98" s="419"/>
      <c r="H98" s="649"/>
      <c r="I98" s="422" t="str">
        <f t="shared" si="62"/>
        <v>-</v>
      </c>
      <c r="J98" s="422" t="str">
        <f t="shared" si="63"/>
        <v>-</v>
      </c>
      <c r="K98" s="200" t="str">
        <f t="shared" si="64"/>
        <v>-</v>
      </c>
      <c r="L98" s="581"/>
      <c r="M98" s="426" t="e">
        <f>RANK(K98, K$67:$K$81)</f>
        <v>#VALUE!</v>
      </c>
      <c r="N98" s="564"/>
      <c r="O98" s="564"/>
      <c r="P98" s="420"/>
      <c r="Q98" s="426"/>
      <c r="R98" s="426"/>
      <c r="S98" s="420" t="e">
        <f t="shared" si="67"/>
        <v>#N/A</v>
      </c>
      <c r="T98" s="572"/>
      <c r="U98" s="420"/>
      <c r="V98" s="426"/>
      <c r="W98" s="426"/>
      <c r="X98" s="420" t="e">
        <f t="shared" si="68"/>
        <v>#N/A</v>
      </c>
      <c r="Y98" s="572"/>
      <c r="Z98" s="420"/>
      <c r="AA98" s="426"/>
      <c r="AB98" s="426"/>
      <c r="AC98" s="420" t="e">
        <f t="shared" si="69"/>
        <v>#N/A</v>
      </c>
      <c r="AD98" s="572"/>
      <c r="AE98" s="420"/>
      <c r="AF98" s="426"/>
      <c r="AG98" s="426"/>
      <c r="AH98" s="420" t="e">
        <f t="shared" si="70"/>
        <v>#N/A</v>
      </c>
      <c r="AI98" s="572"/>
      <c r="AJ98" s="420"/>
      <c r="AK98" s="426"/>
      <c r="AL98" s="426"/>
      <c r="AM98" s="420" t="e">
        <f t="shared" si="71"/>
        <v>#N/A</v>
      </c>
      <c r="AN98" s="572"/>
      <c r="AO98" s="420"/>
      <c r="AP98" s="426"/>
      <c r="AQ98" s="426"/>
      <c r="AR98" s="420" t="e">
        <f t="shared" si="72"/>
        <v>#N/A</v>
      </c>
      <c r="AS98" s="572"/>
      <c r="AT98" s="418"/>
      <c r="AU98" s="418"/>
      <c r="AV98" s="418"/>
      <c r="AW98" s="420" t="e">
        <f t="shared" si="73"/>
        <v>#N/A</v>
      </c>
      <c r="AX98" s="572"/>
      <c r="AZ98" s="407" t="e">
        <f t="shared" si="65"/>
        <v>#N/A</v>
      </c>
      <c r="BA98" s="565"/>
    </row>
    <row r="99" spans="2:53">
      <c r="B99" s="570"/>
      <c r="C99" s="420">
        <v>13</v>
      </c>
      <c r="D99" s="226"/>
      <c r="E99" s="425"/>
      <c r="F99" s="418"/>
      <c r="G99" s="419"/>
      <c r="H99" s="649"/>
      <c r="I99" s="422" t="str">
        <f t="shared" si="62"/>
        <v>-</v>
      </c>
      <c r="J99" s="422" t="str">
        <f t="shared" si="63"/>
        <v>-</v>
      </c>
      <c r="K99" s="200" t="str">
        <f t="shared" si="64"/>
        <v>-</v>
      </c>
      <c r="L99" s="581"/>
      <c r="M99" s="426" t="e">
        <f>RANK(K99, K$67:$K$81)</f>
        <v>#VALUE!</v>
      </c>
      <c r="N99" s="564"/>
      <c r="O99" s="564"/>
      <c r="P99" s="420"/>
      <c r="Q99" s="426"/>
      <c r="R99" s="426"/>
      <c r="S99" s="420" t="e">
        <f t="shared" si="67"/>
        <v>#N/A</v>
      </c>
      <c r="T99" s="572"/>
      <c r="U99" s="420"/>
      <c r="V99" s="426"/>
      <c r="W99" s="426"/>
      <c r="X99" s="420" t="e">
        <f t="shared" si="68"/>
        <v>#N/A</v>
      </c>
      <c r="Y99" s="572"/>
      <c r="Z99" s="420"/>
      <c r="AA99" s="426"/>
      <c r="AB99" s="426"/>
      <c r="AC99" s="420" t="e">
        <f t="shared" si="69"/>
        <v>#N/A</v>
      </c>
      <c r="AD99" s="572"/>
      <c r="AE99" s="420"/>
      <c r="AF99" s="426"/>
      <c r="AG99" s="426"/>
      <c r="AH99" s="420" t="e">
        <f t="shared" si="70"/>
        <v>#N/A</v>
      </c>
      <c r="AI99" s="572"/>
      <c r="AJ99" s="420"/>
      <c r="AK99" s="426"/>
      <c r="AL99" s="426"/>
      <c r="AM99" s="420" t="e">
        <f t="shared" si="71"/>
        <v>#N/A</v>
      </c>
      <c r="AN99" s="572"/>
      <c r="AO99" s="420"/>
      <c r="AP99" s="426"/>
      <c r="AQ99" s="426"/>
      <c r="AR99" s="420" t="e">
        <f t="shared" si="72"/>
        <v>#N/A</v>
      </c>
      <c r="AS99" s="572"/>
      <c r="AT99" s="418"/>
      <c r="AU99" s="418"/>
      <c r="AV99" s="418"/>
      <c r="AW99" s="420" t="e">
        <f t="shared" si="73"/>
        <v>#N/A</v>
      </c>
      <c r="AX99" s="572"/>
      <c r="AZ99" s="407" t="e">
        <f t="shared" si="65"/>
        <v>#N/A</v>
      </c>
      <c r="BA99" s="565"/>
    </row>
    <row r="100" spans="2:53">
      <c r="B100" s="570"/>
      <c r="C100" s="420">
        <v>14</v>
      </c>
      <c r="D100" s="226"/>
      <c r="E100" s="425"/>
      <c r="F100" s="418"/>
      <c r="G100" s="419"/>
      <c r="H100" s="649"/>
      <c r="I100" s="422" t="str">
        <f t="shared" si="62"/>
        <v>-</v>
      </c>
      <c r="J100" s="422" t="str">
        <f t="shared" si="63"/>
        <v>-</v>
      </c>
      <c r="K100" s="200" t="str">
        <f t="shared" si="64"/>
        <v>-</v>
      </c>
      <c r="L100" s="581"/>
      <c r="M100" s="426" t="e">
        <f>RANK(K100, K$67:$K$81)</f>
        <v>#VALUE!</v>
      </c>
      <c r="N100" s="564"/>
      <c r="O100" s="564"/>
      <c r="P100" s="420"/>
      <c r="Q100" s="426"/>
      <c r="R100" s="426"/>
      <c r="S100" s="420" t="e">
        <f t="shared" si="67"/>
        <v>#N/A</v>
      </c>
      <c r="T100" s="572"/>
      <c r="U100" s="420"/>
      <c r="V100" s="426"/>
      <c r="W100" s="426"/>
      <c r="X100" s="420" t="e">
        <f t="shared" si="68"/>
        <v>#N/A</v>
      </c>
      <c r="Y100" s="572"/>
      <c r="Z100" s="420"/>
      <c r="AA100" s="426"/>
      <c r="AB100" s="426"/>
      <c r="AC100" s="420" t="e">
        <f t="shared" si="69"/>
        <v>#N/A</v>
      </c>
      <c r="AD100" s="572"/>
      <c r="AE100" s="420"/>
      <c r="AF100" s="426"/>
      <c r="AG100" s="426"/>
      <c r="AH100" s="420" t="e">
        <f t="shared" si="70"/>
        <v>#N/A</v>
      </c>
      <c r="AI100" s="572"/>
      <c r="AJ100" s="420"/>
      <c r="AK100" s="426"/>
      <c r="AL100" s="426"/>
      <c r="AM100" s="420" t="e">
        <f t="shared" si="71"/>
        <v>#N/A</v>
      </c>
      <c r="AN100" s="572"/>
      <c r="AO100" s="420"/>
      <c r="AP100" s="426"/>
      <c r="AQ100" s="426"/>
      <c r="AR100" s="420" t="e">
        <f t="shared" si="72"/>
        <v>#N/A</v>
      </c>
      <c r="AS100" s="572"/>
      <c r="AT100" s="418"/>
      <c r="AU100" s="418"/>
      <c r="AV100" s="418"/>
      <c r="AW100" s="420" t="e">
        <f t="shared" si="73"/>
        <v>#N/A</v>
      </c>
      <c r="AX100" s="572"/>
      <c r="AZ100" s="407" t="e">
        <f t="shared" si="65"/>
        <v>#N/A</v>
      </c>
      <c r="BA100" s="565"/>
    </row>
    <row r="101" spans="2:53">
      <c r="B101" s="570"/>
      <c r="C101" s="420">
        <v>15</v>
      </c>
      <c r="D101" s="226"/>
      <c r="E101" s="425"/>
      <c r="F101" s="418"/>
      <c r="G101" s="419"/>
      <c r="H101" s="650"/>
      <c r="I101" s="420"/>
      <c r="J101" s="420"/>
      <c r="K101" s="420"/>
      <c r="L101" s="582"/>
      <c r="M101" s="426" t="e">
        <f>RANK(K101, K$47:$K$61)</f>
        <v>#N/A</v>
      </c>
      <c r="N101" s="564"/>
      <c r="O101" s="564"/>
      <c r="P101" s="420"/>
      <c r="Q101" s="426"/>
      <c r="R101" s="426"/>
      <c r="S101" s="420" t="e">
        <f t="shared" si="67"/>
        <v>#N/A</v>
      </c>
      <c r="T101" s="572"/>
      <c r="U101" s="420"/>
      <c r="V101" s="426"/>
      <c r="W101" s="426"/>
      <c r="X101" s="420" t="e">
        <f t="shared" si="68"/>
        <v>#N/A</v>
      </c>
      <c r="Y101" s="572"/>
      <c r="Z101" s="420"/>
      <c r="AA101" s="426"/>
      <c r="AB101" s="426"/>
      <c r="AC101" s="420" t="e">
        <f t="shared" si="69"/>
        <v>#N/A</v>
      </c>
      <c r="AD101" s="572"/>
      <c r="AE101" s="420"/>
      <c r="AF101" s="426"/>
      <c r="AG101" s="426"/>
      <c r="AH101" s="420" t="e">
        <f t="shared" si="70"/>
        <v>#N/A</v>
      </c>
      <c r="AI101" s="572"/>
      <c r="AJ101" s="420"/>
      <c r="AK101" s="426"/>
      <c r="AL101" s="426"/>
      <c r="AM101" s="420" t="e">
        <f t="shared" si="71"/>
        <v>#N/A</v>
      </c>
      <c r="AN101" s="572"/>
      <c r="AO101" s="420"/>
      <c r="AP101" s="426"/>
      <c r="AQ101" s="426"/>
      <c r="AR101" s="420" t="e">
        <f t="shared" si="72"/>
        <v>#N/A</v>
      </c>
      <c r="AS101" s="572"/>
      <c r="AT101" s="418"/>
      <c r="AU101" s="418"/>
      <c r="AV101" s="418"/>
      <c r="AW101" s="420" t="e">
        <f t="shared" si="73"/>
        <v>#N/A</v>
      </c>
      <c r="AX101" s="572"/>
      <c r="AZ101" s="407" t="e">
        <f t="shared" si="65"/>
        <v>#N/A</v>
      </c>
      <c r="BA101" s="565"/>
    </row>
    <row r="102" spans="2:53" ht="15.75">
      <c r="B102" s="593" t="s">
        <v>163</v>
      </c>
      <c r="C102" s="594"/>
      <c r="D102" s="594"/>
      <c r="E102" s="594"/>
      <c r="F102" s="594"/>
      <c r="G102" s="594"/>
      <c r="H102" s="595"/>
      <c r="I102" s="208"/>
      <c r="J102" s="208"/>
      <c r="K102" s="208"/>
      <c r="L102" s="208"/>
      <c r="M102" s="207"/>
      <c r="N102" s="566" t="s">
        <v>156</v>
      </c>
      <c r="O102" s="566" t="s">
        <v>105</v>
      </c>
      <c r="P102" s="592">
        <f>P82+7</f>
        <v>46175</v>
      </c>
      <c r="Q102" s="570"/>
      <c r="R102" s="570"/>
      <c r="S102" s="570"/>
      <c r="T102" s="570"/>
      <c r="U102" s="589">
        <f>P102+1</f>
        <v>46176</v>
      </c>
      <c r="V102" s="590"/>
      <c r="W102" s="590"/>
      <c r="X102" s="590"/>
      <c r="Y102" s="591"/>
      <c r="Z102" s="589">
        <f>U102+1</f>
        <v>46177</v>
      </c>
      <c r="AA102" s="590"/>
      <c r="AB102" s="590"/>
      <c r="AC102" s="590"/>
      <c r="AD102" s="591"/>
      <c r="AE102" s="589">
        <f>Z102+1</f>
        <v>46178</v>
      </c>
      <c r="AF102" s="590"/>
      <c r="AG102" s="590"/>
      <c r="AH102" s="590"/>
      <c r="AI102" s="591"/>
      <c r="AJ102" s="589">
        <f>AE102+1</f>
        <v>46179</v>
      </c>
      <c r="AK102" s="590"/>
      <c r="AL102" s="590"/>
      <c r="AM102" s="590"/>
      <c r="AN102" s="591"/>
      <c r="AO102" s="589">
        <f>AJ102+1</f>
        <v>46180</v>
      </c>
      <c r="AP102" s="590"/>
      <c r="AQ102" s="590"/>
      <c r="AR102" s="590"/>
      <c r="AS102" s="591"/>
      <c r="AT102" s="589">
        <f>AO102+1</f>
        <v>46181</v>
      </c>
      <c r="AU102" s="590"/>
      <c r="AV102" s="590"/>
      <c r="AW102" s="590"/>
      <c r="AX102" s="591"/>
    </row>
    <row r="103" spans="2:53" ht="15.75">
      <c r="B103" s="596"/>
      <c r="C103" s="596"/>
      <c r="D103" s="596"/>
      <c r="E103" s="596"/>
      <c r="F103" s="596"/>
      <c r="G103" s="596"/>
      <c r="H103" s="596"/>
      <c r="I103" s="205"/>
      <c r="J103" s="205"/>
      <c r="K103" s="205"/>
      <c r="L103" s="205"/>
      <c r="M103" s="206"/>
      <c r="N103" s="568"/>
      <c r="O103" s="568"/>
      <c r="P103" s="592" t="s">
        <v>158</v>
      </c>
      <c r="Q103" s="570"/>
      <c r="R103" s="570"/>
      <c r="S103" s="570"/>
      <c r="T103" s="570"/>
      <c r="U103" s="592" t="s">
        <v>114</v>
      </c>
      <c r="V103" s="570"/>
      <c r="W103" s="570"/>
      <c r="X103" s="570"/>
      <c r="Y103" s="570"/>
      <c r="Z103" s="592" t="s">
        <v>159</v>
      </c>
      <c r="AA103" s="570"/>
      <c r="AB103" s="570"/>
      <c r="AC103" s="570"/>
      <c r="AD103" s="570"/>
      <c r="AE103" s="592" t="s">
        <v>157</v>
      </c>
      <c r="AF103" s="570"/>
      <c r="AG103" s="570"/>
      <c r="AH103" s="570"/>
      <c r="AI103" s="570"/>
      <c r="AJ103" s="592" t="s">
        <v>160</v>
      </c>
      <c r="AK103" s="570"/>
      <c r="AL103" s="570"/>
      <c r="AM103" s="570"/>
      <c r="AN103" s="570"/>
      <c r="AO103" s="592" t="s">
        <v>115</v>
      </c>
      <c r="AP103" s="570"/>
      <c r="AQ103" s="570"/>
      <c r="AR103" s="570"/>
      <c r="AS103" s="570"/>
      <c r="AT103" s="592" t="s">
        <v>162</v>
      </c>
      <c r="AU103" s="570"/>
      <c r="AV103" s="570"/>
      <c r="AW103" s="570"/>
      <c r="AX103" s="570"/>
    </row>
    <row r="104" spans="2:53">
      <c r="B104" s="564" t="s">
        <v>559</v>
      </c>
      <c r="C104" s="564" t="s">
        <v>560</v>
      </c>
      <c r="D104" s="564"/>
      <c r="E104" s="564" t="s">
        <v>561</v>
      </c>
      <c r="F104" s="564"/>
      <c r="G104" s="564"/>
      <c r="H104" s="597" t="s">
        <v>562</v>
      </c>
      <c r="I104" s="564" t="s">
        <v>563</v>
      </c>
      <c r="J104" s="564"/>
      <c r="K104" s="564"/>
      <c r="L104" s="597" t="s">
        <v>374</v>
      </c>
      <c r="M104" s="566" t="s">
        <v>564</v>
      </c>
      <c r="N104" s="564"/>
      <c r="O104" s="564" t="s">
        <v>550</v>
      </c>
      <c r="P104" s="583" t="s">
        <v>551</v>
      </c>
      <c r="Q104" s="584"/>
      <c r="R104" s="584"/>
      <c r="S104" s="585"/>
      <c r="T104" s="564" t="s">
        <v>547</v>
      </c>
      <c r="U104" s="583" t="s">
        <v>551</v>
      </c>
      <c r="V104" s="584"/>
      <c r="W104" s="584"/>
      <c r="X104" s="585"/>
      <c r="Y104" s="564" t="s">
        <v>547</v>
      </c>
      <c r="Z104" s="583" t="s">
        <v>551</v>
      </c>
      <c r="AA104" s="584"/>
      <c r="AB104" s="584"/>
      <c r="AC104" s="585"/>
      <c r="AD104" s="564" t="s">
        <v>547</v>
      </c>
      <c r="AE104" s="583" t="s">
        <v>551</v>
      </c>
      <c r="AF104" s="584"/>
      <c r="AG104" s="584"/>
      <c r="AH104" s="585"/>
      <c r="AI104" s="564" t="s">
        <v>547</v>
      </c>
      <c r="AJ104" s="583" t="s">
        <v>551</v>
      </c>
      <c r="AK104" s="584"/>
      <c r="AL104" s="584"/>
      <c r="AM104" s="585"/>
      <c r="AN104" s="564" t="s">
        <v>547</v>
      </c>
      <c r="AO104" s="583" t="s">
        <v>551</v>
      </c>
      <c r="AP104" s="584"/>
      <c r="AQ104" s="584"/>
      <c r="AR104" s="585"/>
      <c r="AS104" s="564" t="s">
        <v>547</v>
      </c>
      <c r="AT104" s="583" t="s">
        <v>551</v>
      </c>
      <c r="AU104" s="584"/>
      <c r="AV104" s="584"/>
      <c r="AW104" s="585"/>
      <c r="AX104" s="564" t="s">
        <v>547</v>
      </c>
      <c r="BA104" s="564" t="s">
        <v>374</v>
      </c>
    </row>
    <row r="105" spans="2:53">
      <c r="B105" s="564"/>
      <c r="C105" s="564"/>
      <c r="D105" s="564"/>
      <c r="E105" s="564" t="s">
        <v>566</v>
      </c>
      <c r="F105" s="564"/>
      <c r="G105" s="564"/>
      <c r="H105" s="598"/>
      <c r="I105" s="564" t="s">
        <v>566</v>
      </c>
      <c r="J105" s="564"/>
      <c r="K105" s="564"/>
      <c r="L105" s="598"/>
      <c r="M105" s="567"/>
      <c r="N105" s="564"/>
      <c r="O105" s="564"/>
      <c r="P105" s="583" t="s">
        <v>553</v>
      </c>
      <c r="Q105" s="584"/>
      <c r="R105" s="584"/>
      <c r="S105" s="585"/>
      <c r="T105" s="564"/>
      <c r="U105" s="583" t="s">
        <v>553</v>
      </c>
      <c r="V105" s="584"/>
      <c r="W105" s="584"/>
      <c r="X105" s="585"/>
      <c r="Y105" s="564"/>
      <c r="Z105" s="583" t="s">
        <v>553</v>
      </c>
      <c r="AA105" s="584"/>
      <c r="AB105" s="584"/>
      <c r="AC105" s="585"/>
      <c r="AD105" s="564"/>
      <c r="AE105" s="583" t="s">
        <v>553</v>
      </c>
      <c r="AF105" s="584"/>
      <c r="AG105" s="584"/>
      <c r="AH105" s="585"/>
      <c r="AI105" s="564"/>
      <c r="AJ105" s="583" t="s">
        <v>553</v>
      </c>
      <c r="AK105" s="584"/>
      <c r="AL105" s="584"/>
      <c r="AM105" s="585"/>
      <c r="AN105" s="564"/>
      <c r="AO105" s="583" t="s">
        <v>553</v>
      </c>
      <c r="AP105" s="584"/>
      <c r="AQ105" s="584"/>
      <c r="AR105" s="585"/>
      <c r="AS105" s="564"/>
      <c r="AT105" s="583" t="s">
        <v>553</v>
      </c>
      <c r="AU105" s="584"/>
      <c r="AV105" s="584"/>
      <c r="AW105" s="585"/>
      <c r="AX105" s="564"/>
      <c r="BA105" s="564"/>
    </row>
    <row r="106" spans="2:53">
      <c r="B106" s="564"/>
      <c r="C106" s="564"/>
      <c r="D106" s="564"/>
      <c r="E106" s="366" t="s">
        <v>567</v>
      </c>
      <c r="F106" s="366" t="s">
        <v>568</v>
      </c>
      <c r="G106" s="366" t="s">
        <v>569</v>
      </c>
      <c r="H106" s="599"/>
      <c r="I106" s="366" t="s">
        <v>567</v>
      </c>
      <c r="J106" s="366" t="s">
        <v>568</v>
      </c>
      <c r="K106" s="366" t="s">
        <v>569</v>
      </c>
      <c r="L106" s="599"/>
      <c r="M106" s="568"/>
      <c r="N106" s="564"/>
      <c r="O106" s="564"/>
      <c r="P106" s="366" t="s">
        <v>554</v>
      </c>
      <c r="Q106" s="366" t="s">
        <v>555</v>
      </c>
      <c r="R106" s="366" t="s">
        <v>556</v>
      </c>
      <c r="S106" s="366" t="s">
        <v>549</v>
      </c>
      <c r="T106" s="564"/>
      <c r="U106" s="366" t="s">
        <v>554</v>
      </c>
      <c r="V106" s="366" t="s">
        <v>555</v>
      </c>
      <c r="W106" s="366" t="s">
        <v>556</v>
      </c>
      <c r="X106" s="366" t="s">
        <v>549</v>
      </c>
      <c r="Y106" s="564"/>
      <c r="Z106" s="366" t="s">
        <v>554</v>
      </c>
      <c r="AA106" s="366" t="s">
        <v>555</v>
      </c>
      <c r="AB106" s="366" t="s">
        <v>556</v>
      </c>
      <c r="AC106" s="366" t="s">
        <v>549</v>
      </c>
      <c r="AD106" s="564"/>
      <c r="AE106" s="366" t="s">
        <v>554</v>
      </c>
      <c r="AF106" s="366" t="s">
        <v>555</v>
      </c>
      <c r="AG106" s="366" t="s">
        <v>556</v>
      </c>
      <c r="AH106" s="366" t="s">
        <v>549</v>
      </c>
      <c r="AI106" s="564"/>
      <c r="AJ106" s="366" t="s">
        <v>554</v>
      </c>
      <c r="AK106" s="366" t="s">
        <v>555</v>
      </c>
      <c r="AL106" s="366" t="s">
        <v>556</v>
      </c>
      <c r="AM106" s="366" t="s">
        <v>549</v>
      </c>
      <c r="AN106" s="564"/>
      <c r="AO106" s="366" t="s">
        <v>554</v>
      </c>
      <c r="AP106" s="366" t="s">
        <v>555</v>
      </c>
      <c r="AQ106" s="366" t="s">
        <v>556</v>
      </c>
      <c r="AR106" s="366" t="s">
        <v>549</v>
      </c>
      <c r="AS106" s="564"/>
      <c r="AT106" s="366" t="s">
        <v>554</v>
      </c>
      <c r="AU106" s="366" t="s">
        <v>555</v>
      </c>
      <c r="AV106" s="366" t="s">
        <v>556</v>
      </c>
      <c r="AW106" s="366" t="s">
        <v>549</v>
      </c>
      <c r="AX106" s="564"/>
      <c r="AZ106" s="406" t="s">
        <v>549</v>
      </c>
      <c r="BA106" s="564"/>
    </row>
    <row r="107" spans="2:53">
      <c r="B107" s="564" t="s">
        <v>136</v>
      </c>
      <c r="C107" s="371">
        <v>1</v>
      </c>
      <c r="D107" s="226"/>
      <c r="E107" s="182"/>
      <c r="F107" s="379"/>
      <c r="G107" s="380"/>
      <c r="H107" s="648" t="e">
        <f>AVERAGE(G107:G121)</f>
        <v>#DIV/0!</v>
      </c>
      <c r="I107" s="400" t="str">
        <f t="shared" ref="I107:I120" si="74">IFERROR(AVERAGE(P107,U107,Z107,AE107,AJ107,AO107,AT107),"-")</f>
        <v>-</v>
      </c>
      <c r="J107" s="400" t="str">
        <f t="shared" ref="J107:J120" si="75">IFERROR(AVERAGE(Q107,V107,AA107,AF107,AK107,AP107,AU107),"-")</f>
        <v>-</v>
      </c>
      <c r="K107" s="200" t="str">
        <f t="shared" ref="K107:K120" si="76">IFERROR(AVERAGE(R107,W107,AB107,AG107,AL107,AQ107,AV107),"-")</f>
        <v>-</v>
      </c>
      <c r="L107" s="580" t="str">
        <f>IFERROR(AVERAGE(K107:K121),"-")</f>
        <v>-</v>
      </c>
      <c r="M107" s="372" t="e">
        <f>RANK(K107, K$67:$K$81)</f>
        <v>#VALUE!</v>
      </c>
      <c r="N107" s="564"/>
      <c r="O107" s="564"/>
      <c r="P107" s="371"/>
      <c r="Q107" s="372"/>
      <c r="R107" s="372"/>
      <c r="S107" s="371" t="e">
        <f>RANK(R107, R$67:R$81)</f>
        <v>#N/A</v>
      </c>
      <c r="T107" s="572" t="e">
        <f>AVERAGE(R107:R121)</f>
        <v>#DIV/0!</v>
      </c>
      <c r="U107" s="381"/>
      <c r="V107" s="382"/>
      <c r="W107" s="382"/>
      <c r="X107" s="371" t="e">
        <f>RANK(W107, W$67:W$81)</f>
        <v>#N/A</v>
      </c>
      <c r="Y107" s="572" t="e">
        <f>AVERAGE(W107:W121)</f>
        <v>#DIV/0!</v>
      </c>
      <c r="Z107" s="381"/>
      <c r="AA107" s="382"/>
      <c r="AB107" s="382"/>
      <c r="AC107" s="371" t="e">
        <f>RANK(AB107, AB$67:AB$81)</f>
        <v>#N/A</v>
      </c>
      <c r="AD107" s="572" t="e">
        <f>AVERAGE(AB107:AB121)</f>
        <v>#DIV/0!</v>
      </c>
      <c r="AE107" s="381"/>
      <c r="AF107" s="382"/>
      <c r="AG107" s="382"/>
      <c r="AH107" s="371" t="e">
        <f>RANK(AG107, AG$67:AG$81)</f>
        <v>#N/A</v>
      </c>
      <c r="AI107" s="572" t="e">
        <f>AVERAGE(AG107:AG121)</f>
        <v>#DIV/0!</v>
      </c>
      <c r="AJ107" s="381"/>
      <c r="AK107" s="382"/>
      <c r="AL107" s="382"/>
      <c r="AM107" s="371" t="e">
        <f>RANK(AL107, AL$67:AL$81)</f>
        <v>#N/A</v>
      </c>
      <c r="AN107" s="572" t="e">
        <f>AVERAGE(AL107:AL121)</f>
        <v>#DIV/0!</v>
      </c>
      <c r="AO107" s="381"/>
      <c r="AP107" s="382"/>
      <c r="AQ107" s="382"/>
      <c r="AR107" s="371" t="e">
        <f>RANK(AQ107, AQ$67:AQ$81)</f>
        <v>#N/A</v>
      </c>
      <c r="AS107" s="572" t="e">
        <f>AVERAGE(AQ107:AQ121)</f>
        <v>#DIV/0!</v>
      </c>
      <c r="AT107" s="182"/>
      <c r="AU107" s="380"/>
      <c r="AV107" s="380"/>
      <c r="AW107" s="371" t="e">
        <f>RANK(AV107, AV$67:AV$81)</f>
        <v>#N/A</v>
      </c>
      <c r="AX107" s="572" t="e">
        <f>AVERAGE(AV107:AV121)</f>
        <v>#DIV/0!</v>
      </c>
      <c r="AZ107" s="408" t="e">
        <f>RANK(AY107, AY$67:AY$81)</f>
        <v>#N/A</v>
      </c>
      <c r="BA107" s="572" t="e">
        <f>AVERAGE(AY107:AY121)</f>
        <v>#DIV/0!</v>
      </c>
    </row>
    <row r="108" spans="2:53">
      <c r="B108" s="600"/>
      <c r="C108" s="371">
        <v>2</v>
      </c>
      <c r="D108" s="226"/>
      <c r="E108" s="182"/>
      <c r="F108" s="379"/>
      <c r="G108" s="380"/>
      <c r="H108" s="649"/>
      <c r="I108" s="400" t="str">
        <f t="shared" si="74"/>
        <v>-</v>
      </c>
      <c r="J108" s="400" t="str">
        <f t="shared" si="75"/>
        <v>-</v>
      </c>
      <c r="K108" s="200" t="str">
        <f t="shared" si="76"/>
        <v>-</v>
      </c>
      <c r="L108" s="581"/>
      <c r="M108" s="372" t="e">
        <f>RANK(K108, K$67:$K$81)</f>
        <v>#VALUE!</v>
      </c>
      <c r="N108" s="564"/>
      <c r="O108" s="564"/>
      <c r="P108" s="371"/>
      <c r="Q108" s="372"/>
      <c r="R108" s="372"/>
      <c r="S108" s="371" t="e">
        <f t="shared" ref="S108:S121" si="77">RANK(R108, R$67:R$81)</f>
        <v>#N/A</v>
      </c>
      <c r="T108" s="572"/>
      <c r="U108" s="381"/>
      <c r="V108" s="382"/>
      <c r="W108" s="382"/>
      <c r="X108" s="371" t="e">
        <f t="shared" ref="X108:X121" si="78">RANK(W108, W$67:W$81)</f>
        <v>#N/A</v>
      </c>
      <c r="Y108" s="572"/>
      <c r="Z108" s="381"/>
      <c r="AA108" s="382"/>
      <c r="AB108" s="382"/>
      <c r="AC108" s="371" t="e">
        <f t="shared" ref="AC108:AC121" si="79">RANK(AB108, AB$67:AB$81)</f>
        <v>#N/A</v>
      </c>
      <c r="AD108" s="572"/>
      <c r="AE108" s="381"/>
      <c r="AF108" s="382"/>
      <c r="AG108" s="382"/>
      <c r="AH108" s="371" t="e">
        <f t="shared" ref="AH108:AH121" si="80">RANK(AG108, AG$67:AG$81)</f>
        <v>#N/A</v>
      </c>
      <c r="AI108" s="572"/>
      <c r="AJ108" s="381"/>
      <c r="AK108" s="382"/>
      <c r="AL108" s="382"/>
      <c r="AM108" s="371" t="e">
        <f t="shared" ref="AM108:AM121" si="81">RANK(AL108, AL$67:AL$81)</f>
        <v>#N/A</v>
      </c>
      <c r="AN108" s="572"/>
      <c r="AO108" s="381"/>
      <c r="AP108" s="382"/>
      <c r="AQ108" s="382"/>
      <c r="AR108" s="371" t="e">
        <f t="shared" ref="AR108:AR121" si="82">RANK(AQ108, AQ$67:AQ$81)</f>
        <v>#N/A</v>
      </c>
      <c r="AS108" s="572"/>
      <c r="AT108" s="379"/>
      <c r="AU108" s="380"/>
      <c r="AV108" s="380"/>
      <c r="AW108" s="371" t="e">
        <f t="shared" ref="AW108:AW121" si="83">RANK(AV108, AV$67:AV$81)</f>
        <v>#N/A</v>
      </c>
      <c r="AX108" s="572"/>
      <c r="AZ108" s="408" t="e">
        <f t="shared" ref="AZ108:AZ121" si="84">RANK(AY108, AY$67:AY$81)</f>
        <v>#N/A</v>
      </c>
      <c r="BA108" s="572"/>
    </row>
    <row r="109" spans="2:53">
      <c r="B109" s="600"/>
      <c r="C109" s="371">
        <v>3</v>
      </c>
      <c r="D109" s="226"/>
      <c r="E109" s="182"/>
      <c r="F109" s="379"/>
      <c r="G109" s="380"/>
      <c r="H109" s="649"/>
      <c r="I109" s="400" t="str">
        <f t="shared" si="74"/>
        <v>-</v>
      </c>
      <c r="J109" s="400" t="str">
        <f t="shared" si="75"/>
        <v>-</v>
      </c>
      <c r="K109" s="200" t="str">
        <f t="shared" si="76"/>
        <v>-</v>
      </c>
      <c r="L109" s="581"/>
      <c r="M109" s="372" t="e">
        <f>RANK(K109, K$67:$K$81)</f>
        <v>#VALUE!</v>
      </c>
      <c r="N109" s="564"/>
      <c r="O109" s="564"/>
      <c r="P109" s="371"/>
      <c r="Q109" s="372"/>
      <c r="R109" s="372"/>
      <c r="S109" s="371" t="e">
        <f t="shared" si="77"/>
        <v>#N/A</v>
      </c>
      <c r="T109" s="572"/>
      <c r="U109" s="381"/>
      <c r="V109" s="382"/>
      <c r="W109" s="382"/>
      <c r="X109" s="371" t="e">
        <f t="shared" si="78"/>
        <v>#N/A</v>
      </c>
      <c r="Y109" s="572"/>
      <c r="Z109" s="381"/>
      <c r="AA109" s="382"/>
      <c r="AB109" s="382"/>
      <c r="AC109" s="371" t="e">
        <f t="shared" si="79"/>
        <v>#N/A</v>
      </c>
      <c r="AD109" s="572"/>
      <c r="AE109" s="381"/>
      <c r="AF109" s="382"/>
      <c r="AG109" s="382"/>
      <c r="AH109" s="371" t="e">
        <f t="shared" si="80"/>
        <v>#N/A</v>
      </c>
      <c r="AI109" s="572"/>
      <c r="AJ109" s="381"/>
      <c r="AK109" s="382"/>
      <c r="AL109" s="382"/>
      <c r="AM109" s="371" t="e">
        <f t="shared" si="81"/>
        <v>#N/A</v>
      </c>
      <c r="AN109" s="572"/>
      <c r="AO109" s="381"/>
      <c r="AP109" s="382"/>
      <c r="AQ109" s="382"/>
      <c r="AR109" s="371" t="e">
        <f t="shared" si="82"/>
        <v>#N/A</v>
      </c>
      <c r="AS109" s="572"/>
      <c r="AT109" s="379"/>
      <c r="AU109" s="380"/>
      <c r="AV109" s="380"/>
      <c r="AW109" s="371" t="e">
        <f t="shared" si="83"/>
        <v>#N/A</v>
      </c>
      <c r="AX109" s="572"/>
      <c r="AZ109" s="408" t="e">
        <f t="shared" si="84"/>
        <v>#N/A</v>
      </c>
      <c r="BA109" s="572"/>
    </row>
    <row r="110" spans="2:53">
      <c r="B110" s="600"/>
      <c r="C110" s="371">
        <v>4</v>
      </c>
      <c r="D110" s="226"/>
      <c r="E110" s="182"/>
      <c r="F110" s="379"/>
      <c r="G110" s="380"/>
      <c r="H110" s="649"/>
      <c r="I110" s="400" t="str">
        <f t="shared" si="74"/>
        <v>-</v>
      </c>
      <c r="J110" s="400" t="str">
        <f t="shared" si="75"/>
        <v>-</v>
      </c>
      <c r="K110" s="200" t="str">
        <f t="shared" si="76"/>
        <v>-</v>
      </c>
      <c r="L110" s="581"/>
      <c r="M110" s="372" t="e">
        <f>RANK(K110, K$67:$K$81)</f>
        <v>#VALUE!</v>
      </c>
      <c r="N110" s="564"/>
      <c r="O110" s="564"/>
      <c r="P110" s="371"/>
      <c r="Q110" s="372"/>
      <c r="R110" s="372"/>
      <c r="S110" s="371" t="e">
        <f t="shared" si="77"/>
        <v>#N/A</v>
      </c>
      <c r="T110" s="572"/>
      <c r="U110" s="381"/>
      <c r="V110" s="382"/>
      <c r="W110" s="382"/>
      <c r="X110" s="371" t="e">
        <f t="shared" si="78"/>
        <v>#N/A</v>
      </c>
      <c r="Y110" s="572"/>
      <c r="Z110" s="381"/>
      <c r="AA110" s="382"/>
      <c r="AB110" s="382"/>
      <c r="AC110" s="371" t="e">
        <f t="shared" si="79"/>
        <v>#N/A</v>
      </c>
      <c r="AD110" s="572"/>
      <c r="AE110" s="381"/>
      <c r="AF110" s="382"/>
      <c r="AG110" s="382"/>
      <c r="AH110" s="371" t="e">
        <f t="shared" si="80"/>
        <v>#N/A</v>
      </c>
      <c r="AI110" s="572"/>
      <c r="AJ110" s="381"/>
      <c r="AK110" s="382"/>
      <c r="AL110" s="382"/>
      <c r="AM110" s="371" t="e">
        <f t="shared" si="81"/>
        <v>#N/A</v>
      </c>
      <c r="AN110" s="572"/>
      <c r="AO110" s="381"/>
      <c r="AP110" s="382"/>
      <c r="AQ110" s="382"/>
      <c r="AR110" s="371" t="e">
        <f t="shared" si="82"/>
        <v>#N/A</v>
      </c>
      <c r="AS110" s="572"/>
      <c r="AT110" s="379"/>
      <c r="AU110" s="380"/>
      <c r="AV110" s="380"/>
      <c r="AW110" s="371" t="e">
        <f t="shared" si="83"/>
        <v>#N/A</v>
      </c>
      <c r="AX110" s="572"/>
      <c r="AZ110" s="408" t="e">
        <f t="shared" si="84"/>
        <v>#N/A</v>
      </c>
      <c r="BA110" s="572"/>
    </row>
    <row r="111" spans="2:53">
      <c r="B111" s="600"/>
      <c r="C111" s="371">
        <v>5</v>
      </c>
      <c r="D111" s="226"/>
      <c r="E111" s="182"/>
      <c r="F111" s="379"/>
      <c r="G111" s="380"/>
      <c r="H111" s="649"/>
      <c r="I111" s="400" t="str">
        <f t="shared" si="74"/>
        <v>-</v>
      </c>
      <c r="J111" s="400" t="str">
        <f t="shared" si="75"/>
        <v>-</v>
      </c>
      <c r="K111" s="200" t="str">
        <f t="shared" si="76"/>
        <v>-</v>
      </c>
      <c r="L111" s="581"/>
      <c r="M111" s="372" t="e">
        <f>RANK(K111, K$67:$K$81)</f>
        <v>#VALUE!</v>
      </c>
      <c r="N111" s="564"/>
      <c r="O111" s="564"/>
      <c r="P111" s="371"/>
      <c r="Q111" s="372"/>
      <c r="R111" s="372"/>
      <c r="S111" s="371" t="e">
        <f t="shared" si="77"/>
        <v>#N/A</v>
      </c>
      <c r="T111" s="572"/>
      <c r="U111" s="381"/>
      <c r="V111" s="382"/>
      <c r="W111" s="382"/>
      <c r="X111" s="371" t="e">
        <f t="shared" si="78"/>
        <v>#N/A</v>
      </c>
      <c r="Y111" s="572"/>
      <c r="Z111" s="381"/>
      <c r="AA111" s="382"/>
      <c r="AB111" s="382"/>
      <c r="AC111" s="371" t="e">
        <f t="shared" si="79"/>
        <v>#N/A</v>
      </c>
      <c r="AD111" s="572"/>
      <c r="AE111" s="381"/>
      <c r="AF111" s="382"/>
      <c r="AG111" s="382"/>
      <c r="AH111" s="371" t="e">
        <f t="shared" si="80"/>
        <v>#N/A</v>
      </c>
      <c r="AI111" s="572"/>
      <c r="AJ111" s="381"/>
      <c r="AK111" s="382"/>
      <c r="AL111" s="382"/>
      <c r="AM111" s="371" t="e">
        <f t="shared" si="81"/>
        <v>#N/A</v>
      </c>
      <c r="AN111" s="572"/>
      <c r="AO111" s="381"/>
      <c r="AP111" s="382"/>
      <c r="AQ111" s="382"/>
      <c r="AR111" s="371" t="e">
        <f t="shared" si="82"/>
        <v>#N/A</v>
      </c>
      <c r="AS111" s="572"/>
      <c r="AT111" s="379"/>
      <c r="AU111" s="380"/>
      <c r="AV111" s="380"/>
      <c r="AW111" s="371" t="e">
        <f t="shared" si="83"/>
        <v>#N/A</v>
      </c>
      <c r="AX111" s="572"/>
      <c r="AZ111" s="408" t="e">
        <f t="shared" si="84"/>
        <v>#N/A</v>
      </c>
      <c r="BA111" s="572"/>
    </row>
    <row r="112" spans="2:53">
      <c r="B112" s="600"/>
      <c r="C112" s="371">
        <v>6</v>
      </c>
      <c r="D112" s="226"/>
      <c r="E112" s="182"/>
      <c r="F112" s="379"/>
      <c r="G112" s="380"/>
      <c r="H112" s="649"/>
      <c r="I112" s="400" t="str">
        <f t="shared" si="74"/>
        <v>-</v>
      </c>
      <c r="J112" s="400" t="str">
        <f t="shared" si="75"/>
        <v>-</v>
      </c>
      <c r="K112" s="200" t="str">
        <f t="shared" si="76"/>
        <v>-</v>
      </c>
      <c r="L112" s="581"/>
      <c r="M112" s="372" t="e">
        <f>RANK(K112, K$67:$K$81)</f>
        <v>#VALUE!</v>
      </c>
      <c r="N112" s="564"/>
      <c r="O112" s="564"/>
      <c r="P112" s="371"/>
      <c r="Q112" s="372"/>
      <c r="R112" s="372"/>
      <c r="S112" s="371" t="e">
        <f t="shared" si="77"/>
        <v>#N/A</v>
      </c>
      <c r="T112" s="572"/>
      <c r="U112" s="381"/>
      <c r="V112" s="382"/>
      <c r="W112" s="382"/>
      <c r="X112" s="371" t="e">
        <f t="shared" si="78"/>
        <v>#N/A</v>
      </c>
      <c r="Y112" s="572"/>
      <c r="Z112" s="381"/>
      <c r="AA112" s="382"/>
      <c r="AB112" s="382"/>
      <c r="AC112" s="371" t="e">
        <f t="shared" si="79"/>
        <v>#N/A</v>
      </c>
      <c r="AD112" s="572"/>
      <c r="AE112" s="381"/>
      <c r="AF112" s="382"/>
      <c r="AG112" s="382"/>
      <c r="AH112" s="371" t="e">
        <f t="shared" si="80"/>
        <v>#N/A</v>
      </c>
      <c r="AI112" s="572"/>
      <c r="AJ112" s="381"/>
      <c r="AK112" s="382"/>
      <c r="AL112" s="382"/>
      <c r="AM112" s="371" t="e">
        <f t="shared" si="81"/>
        <v>#N/A</v>
      </c>
      <c r="AN112" s="572"/>
      <c r="AO112" s="381"/>
      <c r="AP112" s="382"/>
      <c r="AQ112" s="382"/>
      <c r="AR112" s="371" t="e">
        <f t="shared" si="82"/>
        <v>#N/A</v>
      </c>
      <c r="AS112" s="572"/>
      <c r="AT112" s="379"/>
      <c r="AU112" s="380"/>
      <c r="AV112" s="380"/>
      <c r="AW112" s="371" t="e">
        <f t="shared" si="83"/>
        <v>#N/A</v>
      </c>
      <c r="AX112" s="572"/>
      <c r="AZ112" s="408" t="e">
        <f t="shared" si="84"/>
        <v>#N/A</v>
      </c>
      <c r="BA112" s="572"/>
    </row>
    <row r="113" spans="2:53">
      <c r="B113" s="600"/>
      <c r="C113" s="371">
        <v>7</v>
      </c>
      <c r="D113" s="226"/>
      <c r="E113" s="182"/>
      <c r="F113" s="379"/>
      <c r="G113" s="380"/>
      <c r="H113" s="649"/>
      <c r="I113" s="400" t="str">
        <f t="shared" si="74"/>
        <v>-</v>
      </c>
      <c r="J113" s="400" t="str">
        <f t="shared" si="75"/>
        <v>-</v>
      </c>
      <c r="K113" s="200" t="str">
        <f t="shared" si="76"/>
        <v>-</v>
      </c>
      <c r="L113" s="581"/>
      <c r="M113" s="372" t="e">
        <f>RANK(K113, K$67:$K$81)</f>
        <v>#VALUE!</v>
      </c>
      <c r="N113" s="564"/>
      <c r="O113" s="564"/>
      <c r="P113" s="371"/>
      <c r="Q113" s="372"/>
      <c r="R113" s="372"/>
      <c r="S113" s="371" t="e">
        <f t="shared" si="77"/>
        <v>#N/A</v>
      </c>
      <c r="T113" s="572"/>
      <c r="U113" s="381"/>
      <c r="V113" s="382"/>
      <c r="W113" s="382"/>
      <c r="X113" s="371" t="e">
        <f t="shared" si="78"/>
        <v>#N/A</v>
      </c>
      <c r="Y113" s="572"/>
      <c r="Z113" s="381"/>
      <c r="AA113" s="382"/>
      <c r="AB113" s="382"/>
      <c r="AC113" s="371" t="e">
        <f t="shared" si="79"/>
        <v>#N/A</v>
      </c>
      <c r="AD113" s="572"/>
      <c r="AE113" s="381"/>
      <c r="AF113" s="382"/>
      <c r="AG113" s="382"/>
      <c r="AH113" s="371" t="e">
        <f t="shared" si="80"/>
        <v>#N/A</v>
      </c>
      <c r="AI113" s="572"/>
      <c r="AJ113" s="381"/>
      <c r="AK113" s="382"/>
      <c r="AL113" s="382"/>
      <c r="AM113" s="371" t="e">
        <f t="shared" si="81"/>
        <v>#N/A</v>
      </c>
      <c r="AN113" s="572"/>
      <c r="AO113" s="381"/>
      <c r="AP113" s="382"/>
      <c r="AQ113" s="382"/>
      <c r="AR113" s="371" t="e">
        <f t="shared" si="82"/>
        <v>#N/A</v>
      </c>
      <c r="AS113" s="572"/>
      <c r="AT113" s="379"/>
      <c r="AU113" s="380"/>
      <c r="AV113" s="380"/>
      <c r="AW113" s="371" t="e">
        <f t="shared" si="83"/>
        <v>#N/A</v>
      </c>
      <c r="AX113" s="572"/>
      <c r="AZ113" s="408" t="e">
        <f t="shared" si="84"/>
        <v>#N/A</v>
      </c>
      <c r="BA113" s="572"/>
    </row>
    <row r="114" spans="2:53">
      <c r="B114" s="600"/>
      <c r="C114" s="371">
        <v>8</v>
      </c>
      <c r="D114" s="226"/>
      <c r="E114" s="182"/>
      <c r="F114" s="379"/>
      <c r="G114" s="380"/>
      <c r="H114" s="649"/>
      <c r="I114" s="400" t="str">
        <f t="shared" si="74"/>
        <v>-</v>
      </c>
      <c r="J114" s="400" t="str">
        <f t="shared" si="75"/>
        <v>-</v>
      </c>
      <c r="K114" s="200" t="str">
        <f t="shared" si="76"/>
        <v>-</v>
      </c>
      <c r="L114" s="581"/>
      <c r="M114" s="372" t="e">
        <f>RANK(K114, K$67:$K$81)</f>
        <v>#VALUE!</v>
      </c>
      <c r="N114" s="564"/>
      <c r="O114" s="564"/>
      <c r="P114" s="371"/>
      <c r="Q114" s="372"/>
      <c r="R114" s="372"/>
      <c r="S114" s="371" t="e">
        <f t="shared" si="77"/>
        <v>#N/A</v>
      </c>
      <c r="T114" s="572"/>
      <c r="U114" s="381"/>
      <c r="V114" s="382"/>
      <c r="W114" s="382"/>
      <c r="X114" s="371" t="e">
        <f t="shared" si="78"/>
        <v>#N/A</v>
      </c>
      <c r="Y114" s="572"/>
      <c r="Z114" s="381"/>
      <c r="AA114" s="382"/>
      <c r="AB114" s="382"/>
      <c r="AC114" s="371" t="e">
        <f t="shared" si="79"/>
        <v>#N/A</v>
      </c>
      <c r="AD114" s="572"/>
      <c r="AE114" s="381"/>
      <c r="AF114" s="382"/>
      <c r="AG114" s="382"/>
      <c r="AH114" s="371" t="e">
        <f t="shared" si="80"/>
        <v>#N/A</v>
      </c>
      <c r="AI114" s="572"/>
      <c r="AJ114" s="381"/>
      <c r="AK114" s="382"/>
      <c r="AL114" s="382"/>
      <c r="AM114" s="371" t="e">
        <f t="shared" si="81"/>
        <v>#N/A</v>
      </c>
      <c r="AN114" s="572"/>
      <c r="AO114" s="381"/>
      <c r="AP114" s="382"/>
      <c r="AQ114" s="382"/>
      <c r="AR114" s="371" t="e">
        <f t="shared" si="82"/>
        <v>#N/A</v>
      </c>
      <c r="AS114" s="572"/>
      <c r="AT114" s="379"/>
      <c r="AU114" s="380"/>
      <c r="AV114" s="380"/>
      <c r="AW114" s="371" t="e">
        <f t="shared" si="83"/>
        <v>#N/A</v>
      </c>
      <c r="AX114" s="572"/>
      <c r="AZ114" s="408" t="e">
        <f t="shared" si="84"/>
        <v>#N/A</v>
      </c>
      <c r="BA114" s="572"/>
    </row>
    <row r="115" spans="2:53">
      <c r="B115" s="600"/>
      <c r="C115" s="371">
        <v>9</v>
      </c>
      <c r="D115" s="226"/>
      <c r="E115" s="182"/>
      <c r="F115" s="379"/>
      <c r="G115" s="380"/>
      <c r="H115" s="649"/>
      <c r="I115" s="400" t="str">
        <f t="shared" si="74"/>
        <v>-</v>
      </c>
      <c r="J115" s="400" t="str">
        <f t="shared" si="75"/>
        <v>-</v>
      </c>
      <c r="K115" s="200" t="str">
        <f t="shared" si="76"/>
        <v>-</v>
      </c>
      <c r="L115" s="581"/>
      <c r="M115" s="372" t="e">
        <f>RANK(K115, K$67:$K$81)</f>
        <v>#VALUE!</v>
      </c>
      <c r="N115" s="564"/>
      <c r="O115" s="564"/>
      <c r="P115" s="371"/>
      <c r="Q115" s="372"/>
      <c r="R115" s="372"/>
      <c r="S115" s="371" t="e">
        <f t="shared" si="77"/>
        <v>#N/A</v>
      </c>
      <c r="T115" s="572"/>
      <c r="U115" s="381"/>
      <c r="V115" s="382"/>
      <c r="W115" s="382"/>
      <c r="X115" s="371" t="e">
        <f t="shared" si="78"/>
        <v>#N/A</v>
      </c>
      <c r="Y115" s="572"/>
      <c r="Z115" s="381"/>
      <c r="AA115" s="382"/>
      <c r="AB115" s="382"/>
      <c r="AC115" s="371" t="e">
        <f t="shared" si="79"/>
        <v>#N/A</v>
      </c>
      <c r="AD115" s="572"/>
      <c r="AE115" s="381"/>
      <c r="AF115" s="382"/>
      <c r="AG115" s="382"/>
      <c r="AH115" s="371" t="e">
        <f t="shared" si="80"/>
        <v>#N/A</v>
      </c>
      <c r="AI115" s="572"/>
      <c r="AJ115" s="381"/>
      <c r="AK115" s="382"/>
      <c r="AL115" s="382"/>
      <c r="AM115" s="371" t="e">
        <f t="shared" si="81"/>
        <v>#N/A</v>
      </c>
      <c r="AN115" s="572"/>
      <c r="AO115" s="381"/>
      <c r="AP115" s="382"/>
      <c r="AQ115" s="382"/>
      <c r="AR115" s="371" t="e">
        <f t="shared" si="82"/>
        <v>#N/A</v>
      </c>
      <c r="AS115" s="572"/>
      <c r="AT115" s="379"/>
      <c r="AU115" s="380"/>
      <c r="AV115" s="380"/>
      <c r="AW115" s="371" t="e">
        <f t="shared" si="83"/>
        <v>#N/A</v>
      </c>
      <c r="AX115" s="572"/>
      <c r="AZ115" s="408" t="e">
        <f t="shared" si="84"/>
        <v>#N/A</v>
      </c>
      <c r="BA115" s="572"/>
    </row>
    <row r="116" spans="2:53">
      <c r="B116" s="600"/>
      <c r="C116" s="371">
        <v>10</v>
      </c>
      <c r="D116" s="226"/>
      <c r="E116" s="182"/>
      <c r="F116" s="379"/>
      <c r="G116" s="380"/>
      <c r="H116" s="649"/>
      <c r="I116" s="400" t="str">
        <f t="shared" si="74"/>
        <v>-</v>
      </c>
      <c r="J116" s="400" t="str">
        <f t="shared" si="75"/>
        <v>-</v>
      </c>
      <c r="K116" s="200" t="str">
        <f t="shared" si="76"/>
        <v>-</v>
      </c>
      <c r="L116" s="581"/>
      <c r="M116" s="372" t="e">
        <f>RANK(K116, K$67:$K$81)</f>
        <v>#VALUE!</v>
      </c>
      <c r="N116" s="564"/>
      <c r="O116" s="564"/>
      <c r="P116" s="371"/>
      <c r="Q116" s="372"/>
      <c r="R116" s="372"/>
      <c r="S116" s="371" t="e">
        <f t="shared" si="77"/>
        <v>#N/A</v>
      </c>
      <c r="T116" s="572"/>
      <c r="U116" s="381"/>
      <c r="V116" s="382"/>
      <c r="W116" s="382"/>
      <c r="X116" s="371" t="e">
        <f t="shared" si="78"/>
        <v>#N/A</v>
      </c>
      <c r="Y116" s="572"/>
      <c r="Z116" s="381"/>
      <c r="AA116" s="382"/>
      <c r="AB116" s="382"/>
      <c r="AC116" s="371" t="e">
        <f t="shared" si="79"/>
        <v>#N/A</v>
      </c>
      <c r="AD116" s="572"/>
      <c r="AE116" s="381"/>
      <c r="AF116" s="382"/>
      <c r="AG116" s="382"/>
      <c r="AH116" s="371" t="e">
        <f t="shared" si="80"/>
        <v>#N/A</v>
      </c>
      <c r="AI116" s="572"/>
      <c r="AJ116" s="381"/>
      <c r="AK116" s="382"/>
      <c r="AL116" s="382"/>
      <c r="AM116" s="371" t="e">
        <f t="shared" si="81"/>
        <v>#N/A</v>
      </c>
      <c r="AN116" s="572"/>
      <c r="AO116" s="381"/>
      <c r="AP116" s="382"/>
      <c r="AQ116" s="382"/>
      <c r="AR116" s="371" t="e">
        <f t="shared" si="82"/>
        <v>#N/A</v>
      </c>
      <c r="AS116" s="572"/>
      <c r="AT116" s="379"/>
      <c r="AU116" s="379"/>
      <c r="AV116" s="380"/>
      <c r="AW116" s="371" t="e">
        <f t="shared" si="83"/>
        <v>#N/A</v>
      </c>
      <c r="AX116" s="572"/>
      <c r="AZ116" s="408" t="e">
        <f t="shared" si="84"/>
        <v>#N/A</v>
      </c>
      <c r="BA116" s="572"/>
    </row>
    <row r="117" spans="2:53">
      <c r="B117" s="600"/>
      <c r="C117" s="371">
        <v>11</v>
      </c>
      <c r="D117" s="226"/>
      <c r="E117" s="182"/>
      <c r="F117" s="379"/>
      <c r="G117" s="380"/>
      <c r="H117" s="649"/>
      <c r="I117" s="400" t="str">
        <f t="shared" si="74"/>
        <v>-</v>
      </c>
      <c r="J117" s="400" t="str">
        <f t="shared" si="75"/>
        <v>-</v>
      </c>
      <c r="K117" s="200" t="str">
        <f t="shared" si="76"/>
        <v>-</v>
      </c>
      <c r="L117" s="581"/>
      <c r="M117" s="372" t="e">
        <f>RANK(K117, K$67:$K$81)</f>
        <v>#VALUE!</v>
      </c>
      <c r="N117" s="564"/>
      <c r="O117" s="564"/>
      <c r="P117" s="371"/>
      <c r="Q117" s="372"/>
      <c r="R117" s="372"/>
      <c r="S117" s="371" t="e">
        <f t="shared" si="77"/>
        <v>#N/A</v>
      </c>
      <c r="T117" s="572"/>
      <c r="U117" s="381"/>
      <c r="V117" s="382"/>
      <c r="W117" s="382"/>
      <c r="X117" s="371" t="e">
        <f t="shared" si="78"/>
        <v>#N/A</v>
      </c>
      <c r="Y117" s="572"/>
      <c r="Z117" s="381"/>
      <c r="AA117" s="382"/>
      <c r="AB117" s="382"/>
      <c r="AC117" s="371" t="e">
        <f t="shared" si="79"/>
        <v>#N/A</v>
      </c>
      <c r="AD117" s="572"/>
      <c r="AE117" s="381"/>
      <c r="AF117" s="382"/>
      <c r="AG117" s="382"/>
      <c r="AH117" s="371" t="e">
        <f t="shared" si="80"/>
        <v>#N/A</v>
      </c>
      <c r="AI117" s="572"/>
      <c r="AJ117" s="381"/>
      <c r="AK117" s="382"/>
      <c r="AL117" s="382"/>
      <c r="AM117" s="371" t="e">
        <f t="shared" si="81"/>
        <v>#N/A</v>
      </c>
      <c r="AN117" s="572"/>
      <c r="AO117" s="381"/>
      <c r="AP117" s="382"/>
      <c r="AQ117" s="382"/>
      <c r="AR117" s="371" t="e">
        <f t="shared" si="82"/>
        <v>#N/A</v>
      </c>
      <c r="AS117" s="572"/>
      <c r="AT117" s="379"/>
      <c r="AU117" s="379"/>
      <c r="AV117" s="379"/>
      <c r="AW117" s="371" t="e">
        <f t="shared" si="83"/>
        <v>#N/A</v>
      </c>
      <c r="AX117" s="572"/>
      <c r="AZ117" s="408" t="e">
        <f t="shared" si="84"/>
        <v>#N/A</v>
      </c>
      <c r="BA117" s="572"/>
    </row>
    <row r="118" spans="2:53">
      <c r="B118" s="600"/>
      <c r="C118" s="371">
        <v>12</v>
      </c>
      <c r="D118" s="226"/>
      <c r="E118" s="182"/>
      <c r="F118" s="379"/>
      <c r="G118" s="380"/>
      <c r="H118" s="649"/>
      <c r="I118" s="400" t="str">
        <f t="shared" si="74"/>
        <v>-</v>
      </c>
      <c r="J118" s="400" t="str">
        <f t="shared" si="75"/>
        <v>-</v>
      </c>
      <c r="K118" s="200" t="str">
        <f t="shared" si="76"/>
        <v>-</v>
      </c>
      <c r="L118" s="581"/>
      <c r="M118" s="372" t="e">
        <f>RANK(K118, K$67:$K$81)</f>
        <v>#VALUE!</v>
      </c>
      <c r="N118" s="564"/>
      <c r="O118" s="564"/>
      <c r="P118" s="371"/>
      <c r="Q118" s="372"/>
      <c r="R118" s="372"/>
      <c r="S118" s="371" t="e">
        <f t="shared" si="77"/>
        <v>#N/A</v>
      </c>
      <c r="T118" s="572"/>
      <c r="U118" s="381"/>
      <c r="V118" s="382"/>
      <c r="W118" s="382"/>
      <c r="X118" s="371" t="e">
        <f t="shared" si="78"/>
        <v>#N/A</v>
      </c>
      <c r="Y118" s="572"/>
      <c r="Z118" s="381"/>
      <c r="AA118" s="382"/>
      <c r="AB118" s="382"/>
      <c r="AC118" s="371" t="e">
        <f t="shared" si="79"/>
        <v>#N/A</v>
      </c>
      <c r="AD118" s="572"/>
      <c r="AE118" s="381"/>
      <c r="AF118" s="382"/>
      <c r="AG118" s="382"/>
      <c r="AH118" s="371" t="e">
        <f t="shared" si="80"/>
        <v>#N/A</v>
      </c>
      <c r="AI118" s="572"/>
      <c r="AJ118" s="381"/>
      <c r="AK118" s="382"/>
      <c r="AL118" s="382"/>
      <c r="AM118" s="371" t="e">
        <f t="shared" si="81"/>
        <v>#N/A</v>
      </c>
      <c r="AN118" s="572"/>
      <c r="AO118" s="381"/>
      <c r="AP118" s="382"/>
      <c r="AQ118" s="382"/>
      <c r="AR118" s="371" t="e">
        <f t="shared" si="82"/>
        <v>#N/A</v>
      </c>
      <c r="AS118" s="572"/>
      <c r="AT118" s="379"/>
      <c r="AU118" s="379"/>
      <c r="AV118" s="379"/>
      <c r="AW118" s="371" t="e">
        <f t="shared" si="83"/>
        <v>#N/A</v>
      </c>
      <c r="AX118" s="572"/>
      <c r="AZ118" s="408" t="e">
        <f t="shared" si="84"/>
        <v>#N/A</v>
      </c>
      <c r="BA118" s="572"/>
    </row>
    <row r="119" spans="2:53">
      <c r="B119" s="600"/>
      <c r="C119" s="371">
        <v>13</v>
      </c>
      <c r="D119" s="226"/>
      <c r="E119" s="182"/>
      <c r="F119" s="379"/>
      <c r="G119" s="380"/>
      <c r="H119" s="649"/>
      <c r="I119" s="400" t="str">
        <f t="shared" si="74"/>
        <v>-</v>
      </c>
      <c r="J119" s="400" t="str">
        <f t="shared" si="75"/>
        <v>-</v>
      </c>
      <c r="K119" s="200" t="str">
        <f t="shared" si="76"/>
        <v>-</v>
      </c>
      <c r="L119" s="581"/>
      <c r="M119" s="372" t="e">
        <f>RANK(K119, K$67:$K$81)</f>
        <v>#VALUE!</v>
      </c>
      <c r="N119" s="564"/>
      <c r="O119" s="564"/>
      <c r="P119" s="371"/>
      <c r="Q119" s="372"/>
      <c r="R119" s="372"/>
      <c r="S119" s="371" t="e">
        <f t="shared" si="77"/>
        <v>#N/A</v>
      </c>
      <c r="T119" s="572"/>
      <c r="U119" s="381"/>
      <c r="V119" s="382"/>
      <c r="W119" s="382"/>
      <c r="X119" s="371" t="e">
        <f t="shared" si="78"/>
        <v>#N/A</v>
      </c>
      <c r="Y119" s="572"/>
      <c r="Z119" s="381"/>
      <c r="AA119" s="382"/>
      <c r="AB119" s="382"/>
      <c r="AC119" s="371" t="e">
        <f t="shared" si="79"/>
        <v>#N/A</v>
      </c>
      <c r="AD119" s="572"/>
      <c r="AE119" s="381"/>
      <c r="AF119" s="382"/>
      <c r="AG119" s="382"/>
      <c r="AH119" s="371" t="e">
        <f t="shared" si="80"/>
        <v>#N/A</v>
      </c>
      <c r="AI119" s="572"/>
      <c r="AJ119" s="381"/>
      <c r="AK119" s="382"/>
      <c r="AL119" s="382"/>
      <c r="AM119" s="371" t="e">
        <f t="shared" si="81"/>
        <v>#N/A</v>
      </c>
      <c r="AN119" s="572"/>
      <c r="AO119" s="381"/>
      <c r="AP119" s="382"/>
      <c r="AQ119" s="382"/>
      <c r="AR119" s="371" t="e">
        <f t="shared" si="82"/>
        <v>#N/A</v>
      </c>
      <c r="AS119" s="572"/>
      <c r="AT119" s="379"/>
      <c r="AU119" s="379"/>
      <c r="AV119" s="379"/>
      <c r="AW119" s="371" t="e">
        <f t="shared" si="83"/>
        <v>#N/A</v>
      </c>
      <c r="AX119" s="572"/>
      <c r="AZ119" s="408" t="e">
        <f t="shared" si="84"/>
        <v>#N/A</v>
      </c>
      <c r="BA119" s="572"/>
    </row>
    <row r="120" spans="2:53">
      <c r="B120" s="600"/>
      <c r="C120" s="371">
        <v>14</v>
      </c>
      <c r="D120" s="226"/>
      <c r="E120" s="182"/>
      <c r="F120" s="379"/>
      <c r="G120" s="380"/>
      <c r="H120" s="649"/>
      <c r="I120" s="400" t="str">
        <f t="shared" si="74"/>
        <v>-</v>
      </c>
      <c r="J120" s="400" t="str">
        <f t="shared" si="75"/>
        <v>-</v>
      </c>
      <c r="K120" s="200" t="str">
        <f t="shared" si="76"/>
        <v>-</v>
      </c>
      <c r="L120" s="581"/>
      <c r="M120" s="372" t="e">
        <f>RANK(K120, K$67:$K$81)</f>
        <v>#VALUE!</v>
      </c>
      <c r="N120" s="564"/>
      <c r="O120" s="564"/>
      <c r="P120" s="371"/>
      <c r="Q120" s="372"/>
      <c r="R120" s="372"/>
      <c r="S120" s="371" t="e">
        <f t="shared" si="77"/>
        <v>#N/A</v>
      </c>
      <c r="T120" s="572"/>
      <c r="U120" s="381"/>
      <c r="V120" s="382"/>
      <c r="W120" s="382"/>
      <c r="X120" s="371" t="e">
        <f t="shared" si="78"/>
        <v>#N/A</v>
      </c>
      <c r="Y120" s="572"/>
      <c r="Z120" s="381"/>
      <c r="AA120" s="382"/>
      <c r="AB120" s="382"/>
      <c r="AC120" s="371" t="e">
        <f t="shared" si="79"/>
        <v>#N/A</v>
      </c>
      <c r="AD120" s="572"/>
      <c r="AE120" s="381"/>
      <c r="AF120" s="382"/>
      <c r="AG120" s="382"/>
      <c r="AH120" s="371" t="e">
        <f t="shared" si="80"/>
        <v>#N/A</v>
      </c>
      <c r="AI120" s="572"/>
      <c r="AJ120" s="381"/>
      <c r="AK120" s="382"/>
      <c r="AL120" s="382"/>
      <c r="AM120" s="371" t="e">
        <f t="shared" si="81"/>
        <v>#N/A</v>
      </c>
      <c r="AN120" s="572"/>
      <c r="AO120" s="381"/>
      <c r="AP120" s="382"/>
      <c r="AQ120" s="382"/>
      <c r="AR120" s="371" t="e">
        <f t="shared" si="82"/>
        <v>#N/A</v>
      </c>
      <c r="AS120" s="572"/>
      <c r="AT120" s="379"/>
      <c r="AU120" s="379"/>
      <c r="AV120" s="379"/>
      <c r="AW120" s="371" t="e">
        <f t="shared" si="83"/>
        <v>#N/A</v>
      </c>
      <c r="AX120" s="572"/>
      <c r="AZ120" s="408" t="e">
        <f t="shared" si="84"/>
        <v>#N/A</v>
      </c>
      <c r="BA120" s="572"/>
    </row>
    <row r="121" spans="2:53">
      <c r="B121" s="600"/>
      <c r="C121" s="371">
        <v>15</v>
      </c>
      <c r="D121" s="226"/>
      <c r="E121" s="182"/>
      <c r="F121" s="379"/>
      <c r="G121" s="380"/>
      <c r="H121" s="650"/>
      <c r="I121" s="404"/>
      <c r="J121" s="404"/>
      <c r="K121" s="404"/>
      <c r="L121" s="582"/>
      <c r="M121" s="372" t="e">
        <f>RANK(K121, K$47:$K$61)</f>
        <v>#N/A</v>
      </c>
      <c r="N121" s="564"/>
      <c r="O121" s="564"/>
      <c r="P121" s="371"/>
      <c r="Q121" s="372"/>
      <c r="R121" s="372"/>
      <c r="S121" s="371" t="e">
        <f t="shared" si="77"/>
        <v>#N/A</v>
      </c>
      <c r="T121" s="572"/>
      <c r="U121" s="381"/>
      <c r="V121" s="382"/>
      <c r="W121" s="382"/>
      <c r="X121" s="371" t="e">
        <f t="shared" si="78"/>
        <v>#N/A</v>
      </c>
      <c r="Y121" s="572"/>
      <c r="Z121" s="381"/>
      <c r="AA121" s="382"/>
      <c r="AB121" s="382"/>
      <c r="AC121" s="371" t="e">
        <f t="shared" si="79"/>
        <v>#N/A</v>
      </c>
      <c r="AD121" s="572"/>
      <c r="AE121" s="381"/>
      <c r="AF121" s="382"/>
      <c r="AG121" s="382"/>
      <c r="AH121" s="371" t="e">
        <f t="shared" si="80"/>
        <v>#N/A</v>
      </c>
      <c r="AI121" s="572"/>
      <c r="AJ121" s="381"/>
      <c r="AK121" s="382"/>
      <c r="AL121" s="382"/>
      <c r="AM121" s="371" t="e">
        <f t="shared" si="81"/>
        <v>#N/A</v>
      </c>
      <c r="AN121" s="572"/>
      <c r="AO121" s="381"/>
      <c r="AP121" s="382"/>
      <c r="AQ121" s="382"/>
      <c r="AR121" s="371" t="e">
        <f t="shared" si="82"/>
        <v>#N/A</v>
      </c>
      <c r="AS121" s="572"/>
      <c r="AT121" s="379"/>
      <c r="AU121" s="379"/>
      <c r="AV121" s="379"/>
      <c r="AW121" s="371" t="e">
        <f t="shared" si="83"/>
        <v>#N/A</v>
      </c>
      <c r="AX121" s="572"/>
      <c r="AZ121" s="408" t="e">
        <f t="shared" si="84"/>
        <v>#N/A</v>
      </c>
      <c r="BA121" s="572"/>
    </row>
    <row r="123" spans="2:53" ht="15.75">
      <c r="B123" s="573" t="s">
        <v>487</v>
      </c>
      <c r="C123" s="574"/>
      <c r="D123" s="574"/>
      <c r="E123" s="574"/>
      <c r="F123" s="574"/>
      <c r="G123" s="574"/>
      <c r="H123" s="575"/>
      <c r="I123" s="319"/>
      <c r="J123" s="319"/>
      <c r="K123" s="319"/>
      <c r="L123" s="319"/>
      <c r="M123" s="320"/>
    </row>
    <row r="124" spans="2:53" ht="15.75">
      <c r="B124" s="576"/>
      <c r="C124" s="576"/>
      <c r="D124" s="576"/>
      <c r="E124" s="576"/>
      <c r="F124" s="576"/>
      <c r="G124" s="576"/>
      <c r="H124" s="576"/>
      <c r="I124" s="321"/>
      <c r="J124" s="321"/>
      <c r="K124" s="321"/>
      <c r="L124" s="321"/>
      <c r="M124" s="322"/>
    </row>
    <row r="125" spans="2:53">
      <c r="B125" s="564" t="s">
        <v>488</v>
      </c>
      <c r="C125" s="564" t="s">
        <v>489</v>
      </c>
      <c r="D125" s="564"/>
      <c r="E125" s="564" t="s">
        <v>490</v>
      </c>
      <c r="F125" s="564"/>
      <c r="G125" s="564"/>
      <c r="H125" s="597" t="s">
        <v>491</v>
      </c>
      <c r="I125" s="577" t="s">
        <v>492</v>
      </c>
      <c r="J125" s="577"/>
      <c r="K125" s="577"/>
      <c r="L125" s="633" t="s">
        <v>491</v>
      </c>
      <c r="M125" s="636" t="s">
        <v>493</v>
      </c>
    </row>
    <row r="126" spans="2:53">
      <c r="B126" s="564"/>
      <c r="C126" s="564"/>
      <c r="D126" s="564"/>
      <c r="E126" s="564" t="s">
        <v>494</v>
      </c>
      <c r="F126" s="564"/>
      <c r="G126" s="564"/>
      <c r="H126" s="598"/>
      <c r="I126" s="577" t="s">
        <v>494</v>
      </c>
      <c r="J126" s="577"/>
      <c r="K126" s="577"/>
      <c r="L126" s="634"/>
      <c r="M126" s="637"/>
    </row>
    <row r="127" spans="2:53">
      <c r="B127" s="564"/>
      <c r="C127" s="564"/>
      <c r="D127" s="564"/>
      <c r="E127" s="316" t="s">
        <v>495</v>
      </c>
      <c r="F127" s="316" t="s">
        <v>496</v>
      </c>
      <c r="G127" s="316" t="s">
        <v>497</v>
      </c>
      <c r="H127" s="599"/>
      <c r="I127" s="323" t="s">
        <v>495</v>
      </c>
      <c r="J127" s="323" t="s">
        <v>496</v>
      </c>
      <c r="K127" s="323" t="s">
        <v>497</v>
      </c>
      <c r="L127" s="635"/>
      <c r="M127" s="638"/>
    </row>
    <row r="128" spans="2:53">
      <c r="B128" s="564" t="s">
        <v>504</v>
      </c>
      <c r="C128" s="315">
        <v>1</v>
      </c>
      <c r="D128" s="226"/>
      <c r="E128" s="182"/>
      <c r="F128" s="315"/>
      <c r="G128" s="318"/>
      <c r="H128" s="627" t="e">
        <f>AVERAGE(G128:G142)</f>
        <v>#DIV/0!</v>
      </c>
      <c r="I128" s="199" t="e">
        <f t="shared" ref="I128:J132" si="85">AVERAGEIF($D$7:$D$121,$D128,I$7:I$121)</f>
        <v>#DIV/0!</v>
      </c>
      <c r="J128" s="199" t="e">
        <f t="shared" si="85"/>
        <v>#DIV/0!</v>
      </c>
      <c r="K128" s="199" t="e">
        <f>AVERAGEIF($D$7:$D$121,$D128,K$7:K$121)</f>
        <v>#DIV/0!</v>
      </c>
      <c r="L128" s="630" t="e">
        <f>AVERAGE(K128:K142)</f>
        <v>#DIV/0!</v>
      </c>
      <c r="M128" s="199" t="e">
        <f>RANK(K128, K$128:$K$142)</f>
        <v>#DIV/0!</v>
      </c>
    </row>
    <row r="129" spans="2:39">
      <c r="B129" s="570"/>
      <c r="C129" s="315">
        <v>2</v>
      </c>
      <c r="D129" s="226"/>
      <c r="E129" s="182"/>
      <c r="F129" s="315"/>
      <c r="G129" s="318"/>
      <c r="H129" s="628"/>
      <c r="I129" s="199" t="e">
        <f t="shared" si="85"/>
        <v>#DIV/0!</v>
      </c>
      <c r="J129" s="199" t="e">
        <f t="shared" si="85"/>
        <v>#DIV/0!</v>
      </c>
      <c r="K129" s="199" t="e">
        <f>AVERAGEIF($D$7:$D$121,$D129,K$7:K$121)</f>
        <v>#DIV/0!</v>
      </c>
      <c r="L129" s="631"/>
      <c r="M129" s="199" t="e">
        <f>RANK(K129, K$128:$K$142)</f>
        <v>#DIV/0!</v>
      </c>
      <c r="N129" s="108"/>
      <c r="O129" s="108"/>
      <c r="P129" s="108"/>
      <c r="Q129" s="108"/>
      <c r="R129" s="108"/>
      <c r="S129" s="108"/>
      <c r="T129" s="108"/>
      <c r="X129" s="108"/>
      <c r="AC129" s="108"/>
      <c r="AH129" s="108"/>
      <c r="AM129" s="108"/>
    </row>
    <row r="130" spans="2:39">
      <c r="B130" s="570"/>
      <c r="C130" s="315">
        <v>3</v>
      </c>
      <c r="D130" s="226"/>
      <c r="E130" s="182"/>
      <c r="F130" s="315"/>
      <c r="G130" s="318"/>
      <c r="H130" s="628"/>
      <c r="I130" s="199" t="e">
        <f t="shared" si="85"/>
        <v>#DIV/0!</v>
      </c>
      <c r="J130" s="199" t="e">
        <f t="shared" si="85"/>
        <v>#DIV/0!</v>
      </c>
      <c r="K130" s="199" t="e">
        <f>AVERAGEIF($D$7:$D$121,$D130,K$7:K$121)</f>
        <v>#DIV/0!</v>
      </c>
      <c r="L130" s="631"/>
      <c r="M130" s="199" t="e">
        <f>RANK(K130, K$128:$K$142)</f>
        <v>#DIV/0!</v>
      </c>
      <c r="N130" s="108"/>
      <c r="O130" s="108"/>
      <c r="P130" s="108"/>
      <c r="Q130" s="108"/>
      <c r="R130" s="108"/>
      <c r="S130" s="108"/>
      <c r="T130" s="108"/>
      <c r="X130" s="108"/>
      <c r="AC130" s="108"/>
      <c r="AH130" s="108"/>
      <c r="AM130" s="108"/>
    </row>
    <row r="131" spans="2:39">
      <c r="B131" s="570"/>
      <c r="C131" s="315">
        <v>4</v>
      </c>
      <c r="D131" s="226"/>
      <c r="E131" s="182"/>
      <c r="F131" s="315"/>
      <c r="G131" s="318"/>
      <c r="H131" s="628"/>
      <c r="I131" s="199" t="e">
        <f t="shared" si="85"/>
        <v>#DIV/0!</v>
      </c>
      <c r="J131" s="199" t="e">
        <f t="shared" si="85"/>
        <v>#DIV/0!</v>
      </c>
      <c r="K131" s="199" t="e">
        <f>AVERAGEIF($D$7:$D$121,$D131,K$7:K$121)</f>
        <v>#DIV/0!</v>
      </c>
      <c r="L131" s="631"/>
      <c r="M131" s="199" t="e">
        <f>RANK(K131, K$128:$K$142)</f>
        <v>#DIV/0!</v>
      </c>
      <c r="N131" s="108"/>
      <c r="O131" s="108"/>
      <c r="P131" s="108"/>
      <c r="Q131" s="108"/>
      <c r="R131" s="108"/>
      <c r="S131" s="108"/>
      <c r="T131" s="108"/>
      <c r="X131" s="108"/>
      <c r="AC131" s="108"/>
      <c r="AH131" s="108"/>
      <c r="AM131" s="108"/>
    </row>
    <row r="132" spans="2:39">
      <c r="B132" s="570"/>
      <c r="C132" s="315">
        <v>5</v>
      </c>
      <c r="D132" s="226"/>
      <c r="E132" s="182"/>
      <c r="F132" s="315"/>
      <c r="G132" s="318"/>
      <c r="H132" s="628"/>
      <c r="I132" s="199" t="e">
        <f t="shared" si="85"/>
        <v>#DIV/0!</v>
      </c>
      <c r="J132" s="199" t="e">
        <f t="shared" si="85"/>
        <v>#DIV/0!</v>
      </c>
      <c r="K132" s="199" t="e">
        <f>AVERAGEIF($D$7:$D$121,$D132,K$7:K$121)</f>
        <v>#DIV/0!</v>
      </c>
      <c r="L132" s="631"/>
      <c r="M132" s="199" t="e">
        <f>RANK(K132, K$128:$K$142)</f>
        <v>#DIV/0!</v>
      </c>
      <c r="N132" s="108"/>
      <c r="O132" s="108"/>
      <c r="P132" s="108"/>
      <c r="Q132" s="108"/>
      <c r="R132" s="108"/>
      <c r="S132" s="108"/>
      <c r="T132" s="108"/>
      <c r="X132" s="108"/>
      <c r="AC132" s="108"/>
      <c r="AH132" s="108"/>
      <c r="AM132" s="108"/>
    </row>
    <row r="133" spans="2:39">
      <c r="B133" s="570"/>
      <c r="C133" s="315">
        <v>6</v>
      </c>
      <c r="D133" s="324"/>
      <c r="E133" s="182"/>
      <c r="F133" s="315"/>
      <c r="G133" s="318"/>
      <c r="H133" s="628"/>
      <c r="I133" s="199"/>
      <c r="J133" s="199"/>
      <c r="K133" s="199"/>
      <c r="L133" s="631"/>
      <c r="M133" s="199" t="e">
        <f>RANK(K133, K$128:$K$142)</f>
        <v>#DIV/0!</v>
      </c>
      <c r="N133" s="108"/>
      <c r="O133" s="108"/>
      <c r="P133" s="108"/>
      <c r="Q133" s="108"/>
      <c r="R133" s="108"/>
      <c r="S133" s="108"/>
      <c r="T133" s="108"/>
      <c r="X133" s="108"/>
      <c r="AC133" s="108"/>
      <c r="AH133" s="108"/>
      <c r="AM133" s="108"/>
    </row>
    <row r="134" spans="2:39">
      <c r="B134" s="570"/>
      <c r="C134" s="315">
        <v>7</v>
      </c>
      <c r="D134" s="226"/>
      <c r="E134" s="182"/>
      <c r="F134" s="315"/>
      <c r="G134" s="318"/>
      <c r="H134" s="628"/>
      <c r="I134" s="199"/>
      <c r="J134" s="199"/>
      <c r="K134" s="199"/>
      <c r="L134" s="631"/>
      <c r="M134" s="199" t="e">
        <f>RANK(K134, K$128:$K$142)</f>
        <v>#DIV/0!</v>
      </c>
      <c r="N134" s="108"/>
      <c r="O134" s="108"/>
      <c r="P134" s="108"/>
      <c r="Q134" s="108"/>
      <c r="R134" s="108"/>
      <c r="S134" s="108"/>
      <c r="T134" s="108"/>
      <c r="X134" s="108"/>
      <c r="AC134" s="108"/>
      <c r="AH134" s="108"/>
      <c r="AM134" s="108"/>
    </row>
    <row r="135" spans="2:39">
      <c r="B135" s="570"/>
      <c r="C135" s="315">
        <v>8</v>
      </c>
      <c r="D135" s="226"/>
      <c r="E135" s="182"/>
      <c r="F135" s="315"/>
      <c r="G135" s="318"/>
      <c r="H135" s="628"/>
      <c r="I135" s="199"/>
      <c r="J135" s="199"/>
      <c r="K135" s="199"/>
      <c r="L135" s="631"/>
      <c r="M135" s="199" t="e">
        <f>RANK(K135, K$128:$K$142)</f>
        <v>#DIV/0!</v>
      </c>
      <c r="N135" s="108"/>
      <c r="O135" s="108"/>
      <c r="P135" s="108"/>
      <c r="Q135" s="108"/>
      <c r="R135" s="108"/>
      <c r="S135" s="108"/>
      <c r="T135" s="108"/>
      <c r="X135" s="108"/>
      <c r="AC135" s="108"/>
      <c r="AH135" s="108"/>
      <c r="AM135" s="108"/>
    </row>
    <row r="136" spans="2:39">
      <c r="B136" s="570"/>
      <c r="C136" s="315">
        <v>9</v>
      </c>
      <c r="D136" s="226"/>
      <c r="E136" s="315"/>
      <c r="F136" s="315"/>
      <c r="G136" s="315"/>
      <c r="H136" s="628"/>
      <c r="I136" s="199"/>
      <c r="J136" s="199"/>
      <c r="K136" s="199"/>
      <c r="L136" s="631"/>
      <c r="M136" s="199" t="e">
        <f>RANK(K136, K$128:$K$142)</f>
        <v>#DIV/0!</v>
      </c>
      <c r="N136" s="108"/>
      <c r="O136" s="108"/>
      <c r="P136" s="108"/>
      <c r="Q136" s="108"/>
      <c r="R136" s="108"/>
      <c r="S136" s="108"/>
      <c r="T136" s="108"/>
      <c r="X136" s="108"/>
      <c r="AC136" s="108"/>
      <c r="AH136" s="108"/>
      <c r="AM136" s="108"/>
    </row>
    <row r="137" spans="2:39">
      <c r="B137" s="570"/>
      <c r="C137" s="315">
        <v>10</v>
      </c>
      <c r="D137" s="226"/>
      <c r="E137" s="315"/>
      <c r="F137" s="315"/>
      <c r="G137" s="315"/>
      <c r="H137" s="628"/>
      <c r="I137" s="199"/>
      <c r="J137" s="199"/>
      <c r="K137" s="199"/>
      <c r="L137" s="631"/>
      <c r="M137" s="199" t="e">
        <f>RANK(K137, K$128:$K$142)</f>
        <v>#DIV/0!</v>
      </c>
      <c r="N137" s="108"/>
      <c r="O137" s="108"/>
      <c r="P137" s="108"/>
      <c r="Q137" s="108"/>
      <c r="R137" s="108"/>
      <c r="S137" s="108"/>
      <c r="T137" s="108"/>
      <c r="X137" s="108"/>
      <c r="AC137" s="108"/>
      <c r="AH137" s="108"/>
      <c r="AM137" s="108"/>
    </row>
    <row r="138" spans="2:39">
      <c r="B138" s="570"/>
      <c r="C138" s="315">
        <v>11</v>
      </c>
      <c r="D138" s="226"/>
      <c r="E138" s="315"/>
      <c r="F138" s="315"/>
      <c r="G138" s="315"/>
      <c r="H138" s="628"/>
      <c r="I138" s="199"/>
      <c r="J138" s="199"/>
      <c r="K138" s="199"/>
      <c r="L138" s="631"/>
      <c r="M138" s="199" t="e">
        <f>RANK(K138, K$128:$K$142)</f>
        <v>#DIV/0!</v>
      </c>
      <c r="N138" s="108"/>
      <c r="O138" s="108"/>
      <c r="P138" s="108"/>
      <c r="Q138" s="108"/>
      <c r="R138" s="108"/>
      <c r="S138" s="108"/>
      <c r="T138" s="108"/>
      <c r="X138" s="108"/>
      <c r="AC138" s="108"/>
      <c r="AH138" s="108"/>
      <c r="AM138" s="108"/>
    </row>
    <row r="139" spans="2:39">
      <c r="B139" s="570"/>
      <c r="C139" s="315">
        <v>12</v>
      </c>
      <c r="D139" s="226"/>
      <c r="E139" s="315"/>
      <c r="F139" s="315"/>
      <c r="G139" s="315"/>
      <c r="H139" s="628"/>
      <c r="I139" s="199"/>
      <c r="J139" s="199"/>
      <c r="K139" s="199"/>
      <c r="L139" s="631"/>
      <c r="M139" s="199" t="e">
        <f>RANK(K139, K$128:$K$142)</f>
        <v>#DIV/0!</v>
      </c>
      <c r="N139" s="108"/>
      <c r="O139" s="108"/>
      <c r="P139" s="108"/>
      <c r="Q139" s="108"/>
      <c r="R139" s="108"/>
      <c r="S139" s="108"/>
      <c r="T139" s="108"/>
      <c r="X139" s="108"/>
      <c r="AC139" s="108"/>
      <c r="AH139" s="108"/>
      <c r="AM139" s="108"/>
    </row>
    <row r="140" spans="2:39">
      <c r="B140" s="570"/>
      <c r="C140" s="315">
        <v>13</v>
      </c>
      <c r="D140" s="226"/>
      <c r="E140" s="315"/>
      <c r="F140" s="315"/>
      <c r="G140" s="315"/>
      <c r="H140" s="628"/>
      <c r="I140" s="199"/>
      <c r="J140" s="199"/>
      <c r="K140" s="199"/>
      <c r="L140" s="631"/>
      <c r="M140" s="199" t="e">
        <f>RANK(K140, K$128:$K$142)</f>
        <v>#DIV/0!</v>
      </c>
      <c r="N140" s="108"/>
      <c r="O140" s="108"/>
      <c r="P140" s="108"/>
      <c r="Q140" s="108"/>
      <c r="R140" s="108"/>
      <c r="S140" s="108"/>
      <c r="T140" s="108"/>
      <c r="X140" s="108"/>
      <c r="AC140" s="108"/>
      <c r="AH140" s="108"/>
      <c r="AM140" s="108"/>
    </row>
    <row r="141" spans="2:39">
      <c r="B141" s="570"/>
      <c r="C141" s="315">
        <v>14</v>
      </c>
      <c r="D141" s="226"/>
      <c r="E141" s="315"/>
      <c r="F141" s="315"/>
      <c r="G141" s="315"/>
      <c r="H141" s="628"/>
      <c r="I141" s="199"/>
      <c r="J141" s="199"/>
      <c r="K141" s="199"/>
      <c r="L141" s="631"/>
      <c r="M141" s="199" t="e">
        <f>RANK(K141, K$128:$K$142)</f>
        <v>#DIV/0!</v>
      </c>
      <c r="N141" s="108"/>
      <c r="O141" s="108"/>
      <c r="P141" s="108"/>
      <c r="Q141" s="108"/>
      <c r="R141" s="108"/>
      <c r="S141" s="108"/>
      <c r="T141" s="108"/>
      <c r="X141" s="108"/>
      <c r="AC141" s="108"/>
      <c r="AH141" s="108"/>
      <c r="AM141" s="108"/>
    </row>
    <row r="142" spans="2:39">
      <c r="B142" s="570"/>
      <c r="C142" s="315">
        <v>15</v>
      </c>
      <c r="D142" s="226"/>
      <c r="E142" s="315"/>
      <c r="F142" s="315"/>
      <c r="G142" s="315"/>
      <c r="H142" s="629"/>
      <c r="I142" s="199"/>
      <c r="J142" s="199"/>
      <c r="K142" s="199"/>
      <c r="L142" s="632"/>
      <c r="M142" s="199" t="e">
        <f>RANK(K142, K$128:$K$142)</f>
        <v>#DIV/0!</v>
      </c>
      <c r="N142" s="108"/>
      <c r="O142" s="108"/>
      <c r="P142" s="108"/>
      <c r="Q142" s="108"/>
      <c r="R142" s="108"/>
      <c r="S142" s="108"/>
      <c r="T142" s="108"/>
      <c r="X142" s="108"/>
      <c r="AC142" s="108"/>
      <c r="AH142" s="108"/>
      <c r="AM142" s="108"/>
    </row>
  </sheetData>
  <mergeCells count="379">
    <mergeCell ref="BA87:BA101"/>
    <mergeCell ref="BA104:BA106"/>
    <mergeCell ref="BA107:BA121"/>
    <mergeCell ref="BA4:BA6"/>
    <mergeCell ref="BA7:BA21"/>
    <mergeCell ref="BA24:BA26"/>
    <mergeCell ref="BA27:BA41"/>
    <mergeCell ref="BA44:BA46"/>
    <mergeCell ref="BA47:BA61"/>
    <mergeCell ref="BA64:BA66"/>
    <mergeCell ref="BA67:BA81"/>
    <mergeCell ref="BA84:BA86"/>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T22:AX22"/>
    <mergeCell ref="P23:T23"/>
    <mergeCell ref="U23:Y23"/>
    <mergeCell ref="Z23:AD23"/>
    <mergeCell ref="AE23:AI23"/>
    <mergeCell ref="AJ23:AN23"/>
    <mergeCell ref="AO23:AS23"/>
    <mergeCell ref="AT23:AX23"/>
    <mergeCell ref="AX7:AX21"/>
    <mergeCell ref="B22:H23"/>
    <mergeCell ref="N22:N23"/>
    <mergeCell ref="O22:O23"/>
    <mergeCell ref="P22:T22"/>
    <mergeCell ref="U22:Y22"/>
    <mergeCell ref="Z22:AD22"/>
    <mergeCell ref="AE22:AI22"/>
    <mergeCell ref="AJ22:AN22"/>
    <mergeCell ref="AO22:AS22"/>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102:H103"/>
    <mergeCell ref="N102:N103"/>
    <mergeCell ref="O102:O103"/>
    <mergeCell ref="P102:T102"/>
    <mergeCell ref="U102:Y102"/>
    <mergeCell ref="Z102:AD102"/>
    <mergeCell ref="AE102:AI102"/>
    <mergeCell ref="AJ102:AN102"/>
    <mergeCell ref="AO102:AS102"/>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B128:B142"/>
    <mergeCell ref="H128:H142"/>
    <mergeCell ref="L128:L142"/>
    <mergeCell ref="AX107:AX121"/>
    <mergeCell ref="E125:G125"/>
    <mergeCell ref="I125:K125"/>
    <mergeCell ref="B107:B121"/>
    <mergeCell ref="H107:H121"/>
    <mergeCell ref="L107:L121"/>
    <mergeCell ref="T107:T121"/>
    <mergeCell ref="Y107:Y121"/>
    <mergeCell ref="AD107:AD121"/>
    <mergeCell ref="AI107:AI121"/>
    <mergeCell ref="AN107:AN121"/>
    <mergeCell ref="AS107:AS121"/>
    <mergeCell ref="B123:H124"/>
    <mergeCell ref="B125:B127"/>
    <mergeCell ref="C125:D127"/>
    <mergeCell ref="H125:H127"/>
    <mergeCell ref="L125:L127"/>
    <mergeCell ref="M125:M127"/>
    <mergeCell ref="E126:G126"/>
    <mergeCell ref="I126:K126"/>
  </mergeCells>
  <phoneticPr fontId="12" type="noConversion"/>
  <pageMargins left="0.7" right="0.7" top="0.75" bottom="0.75" header="0.3" footer="0.3"/>
  <pageSetup paperSize="9"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BA142"/>
  <sheetViews>
    <sheetView topLeftCell="A19" zoomScale="55" zoomScaleNormal="55" workbookViewId="0">
      <pane xSplit="15" topLeftCell="P1" activePane="topRight" state="frozen"/>
      <selection activeCell="M7" sqref="M7:M21"/>
      <selection pane="topRight" activeCell="D58" sqref="D58"/>
    </sheetView>
  </sheetViews>
  <sheetFormatPr defaultColWidth="8.85546875" defaultRowHeight="12.75"/>
  <cols>
    <col min="1" max="1" width="5.5703125" style="108" customWidth="1"/>
    <col min="2" max="2" width="12.42578125" style="108" customWidth="1"/>
    <col min="3" max="3" width="8.85546875" style="107"/>
    <col min="4" max="4" width="26.42578125" style="107" customWidth="1"/>
    <col min="5" max="7" width="8.42578125" style="107" customWidth="1"/>
    <col min="8" max="8" width="11.140625" style="107" bestFit="1" customWidth="1"/>
    <col min="9" max="12" width="11.140625" style="107" customWidth="1"/>
    <col min="13" max="13" width="13.5703125" style="107" customWidth="1"/>
    <col min="14" max="14" width="9.85546875" style="107" customWidth="1"/>
    <col min="15" max="15" width="7.140625" style="107" customWidth="1"/>
    <col min="16" max="18" width="12.85546875" style="107" customWidth="1"/>
    <col min="19" max="19" width="5.42578125" style="107" customWidth="1"/>
    <col min="20" max="20" width="12.85546875" style="107" customWidth="1"/>
    <col min="21" max="23" width="12.85546875" style="108" customWidth="1"/>
    <col min="24" max="24" width="5.42578125" style="107" customWidth="1"/>
    <col min="25" max="28" width="12.85546875" style="108" customWidth="1"/>
    <col min="29" max="29" width="5.42578125" style="107" customWidth="1"/>
    <col min="30" max="30" width="12.85546875" style="108" customWidth="1"/>
    <col min="31" max="33" width="12.5703125" style="108" customWidth="1"/>
    <col min="34" max="34" width="5.42578125" style="107" customWidth="1"/>
    <col min="35" max="35" width="13" style="108" customWidth="1"/>
    <col min="36" max="38" width="12.5703125" style="108" customWidth="1"/>
    <col min="39" max="39" width="5.42578125" style="107" customWidth="1"/>
    <col min="40" max="40" width="13" style="108" customWidth="1"/>
    <col min="41" max="43" width="13.140625" style="108" customWidth="1"/>
    <col min="44" max="44" width="5.42578125" style="108" customWidth="1"/>
    <col min="45" max="48" width="13.140625" style="108" customWidth="1"/>
    <col min="49" max="49" width="5.42578125" style="108" customWidth="1"/>
    <col min="50" max="50" width="13.140625" style="108" customWidth="1"/>
    <col min="51" max="51" width="8.85546875" style="108"/>
    <col min="52" max="52" width="5.42578125" style="108" customWidth="1"/>
    <col min="53" max="53" width="13.140625" style="108" customWidth="1"/>
    <col min="54" max="16384" width="8.85546875" style="108"/>
  </cols>
  <sheetData>
    <row r="1" spans="1:53" ht="24">
      <c r="A1" s="75"/>
      <c r="B1" s="221" t="s">
        <v>314</v>
      </c>
      <c r="C1" s="220">
        <f>AVERAGE(L7,L27,L47,L67,L87,L107)</f>
        <v>170.74124582284776</v>
      </c>
    </row>
    <row r="2" spans="1:53" ht="15.75">
      <c r="A2" s="81"/>
      <c r="B2" s="593" t="s">
        <v>163</v>
      </c>
      <c r="C2" s="593"/>
      <c r="D2" s="593"/>
      <c r="E2" s="593"/>
      <c r="F2" s="593"/>
      <c r="G2" s="593"/>
      <c r="H2" s="593"/>
      <c r="I2" s="293"/>
      <c r="J2" s="293"/>
      <c r="K2" s="293"/>
      <c r="L2" s="293"/>
      <c r="M2" s="197"/>
      <c r="N2" s="566" t="s">
        <v>156</v>
      </c>
      <c r="O2" s="566" t="s">
        <v>155</v>
      </c>
      <c r="P2" s="605">
        <v>46140</v>
      </c>
      <c r="Q2" s="606"/>
      <c r="R2" s="606"/>
      <c r="S2" s="606"/>
      <c r="T2" s="607"/>
      <c r="U2" s="592">
        <f>P2+1</f>
        <v>46141</v>
      </c>
      <c r="V2" s="570"/>
      <c r="W2" s="570"/>
      <c r="X2" s="570"/>
      <c r="Y2" s="570"/>
      <c r="Z2" s="592">
        <f>U2+1</f>
        <v>46142</v>
      </c>
      <c r="AA2" s="570"/>
      <c r="AB2" s="570"/>
      <c r="AC2" s="570"/>
      <c r="AD2" s="570"/>
      <c r="AE2" s="592">
        <f>Z2+1</f>
        <v>46143</v>
      </c>
      <c r="AF2" s="570"/>
      <c r="AG2" s="570"/>
      <c r="AH2" s="570"/>
      <c r="AI2" s="570"/>
      <c r="AJ2" s="592">
        <f>AE2+1</f>
        <v>46144</v>
      </c>
      <c r="AK2" s="570"/>
      <c r="AL2" s="570"/>
      <c r="AM2" s="570"/>
      <c r="AN2" s="570"/>
      <c r="AO2" s="592">
        <f>AJ2+1</f>
        <v>46145</v>
      </c>
      <c r="AP2" s="570"/>
      <c r="AQ2" s="570"/>
      <c r="AR2" s="570"/>
      <c r="AS2" s="570"/>
      <c r="AT2" s="589">
        <f>AO2+1</f>
        <v>46146</v>
      </c>
      <c r="AU2" s="590"/>
      <c r="AV2" s="590"/>
      <c r="AW2" s="590"/>
      <c r="AX2" s="591"/>
    </row>
    <row r="3" spans="1:53" ht="15.75">
      <c r="A3" s="81"/>
      <c r="B3" s="601"/>
      <c r="C3" s="601"/>
      <c r="D3" s="601"/>
      <c r="E3" s="601"/>
      <c r="F3" s="601"/>
      <c r="G3" s="601"/>
      <c r="H3" s="601"/>
      <c r="I3" s="294"/>
      <c r="J3" s="294"/>
      <c r="K3" s="294"/>
      <c r="L3" s="294"/>
      <c r="M3" s="198"/>
      <c r="N3" s="568"/>
      <c r="O3" s="568"/>
      <c r="P3" s="589" t="s">
        <v>158</v>
      </c>
      <c r="Q3" s="590"/>
      <c r="R3" s="590"/>
      <c r="S3" s="590"/>
      <c r="T3" s="591"/>
      <c r="U3" s="589" t="s">
        <v>114</v>
      </c>
      <c r="V3" s="590"/>
      <c r="W3" s="590"/>
      <c r="X3" s="590"/>
      <c r="Y3" s="591"/>
      <c r="Z3" s="589" t="s">
        <v>159</v>
      </c>
      <c r="AA3" s="590"/>
      <c r="AB3" s="590"/>
      <c r="AC3" s="590"/>
      <c r="AD3" s="591"/>
      <c r="AE3" s="589" t="s">
        <v>157</v>
      </c>
      <c r="AF3" s="590"/>
      <c r="AG3" s="590"/>
      <c r="AH3" s="590"/>
      <c r="AI3" s="591"/>
      <c r="AJ3" s="589" t="s">
        <v>160</v>
      </c>
      <c r="AK3" s="590"/>
      <c r="AL3" s="590"/>
      <c r="AM3" s="590"/>
      <c r="AN3" s="591"/>
      <c r="AO3" s="589" t="s">
        <v>161</v>
      </c>
      <c r="AP3" s="590"/>
      <c r="AQ3" s="590"/>
      <c r="AR3" s="590"/>
      <c r="AS3" s="591"/>
      <c r="AT3" s="589" t="s">
        <v>162</v>
      </c>
      <c r="AU3" s="590"/>
      <c r="AV3" s="590"/>
      <c r="AW3" s="590"/>
      <c r="AX3" s="591"/>
    </row>
    <row r="4" spans="1:53" ht="14.25">
      <c r="A4" s="81"/>
      <c r="B4" s="564" t="s">
        <v>559</v>
      </c>
      <c r="C4" s="564" t="s">
        <v>387</v>
      </c>
      <c r="D4" s="564"/>
      <c r="E4" s="564" t="s">
        <v>378</v>
      </c>
      <c r="F4" s="564"/>
      <c r="G4" s="564"/>
      <c r="H4" s="597" t="s">
        <v>374</v>
      </c>
      <c r="I4" s="616" t="s">
        <v>379</v>
      </c>
      <c r="J4" s="616"/>
      <c r="K4" s="616"/>
      <c r="L4" s="617" t="s">
        <v>374</v>
      </c>
      <c r="M4" s="602" t="s">
        <v>375</v>
      </c>
      <c r="N4" s="564"/>
      <c r="O4" s="564" t="s">
        <v>380</v>
      </c>
      <c r="P4" s="583" t="s">
        <v>376</v>
      </c>
      <c r="Q4" s="584"/>
      <c r="R4" s="584"/>
      <c r="S4" s="585"/>
      <c r="T4" s="564" t="s">
        <v>374</v>
      </c>
      <c r="U4" s="583" t="s">
        <v>376</v>
      </c>
      <c r="V4" s="584"/>
      <c r="W4" s="584"/>
      <c r="X4" s="585"/>
      <c r="Y4" s="564" t="s">
        <v>374</v>
      </c>
      <c r="Z4" s="583" t="s">
        <v>376</v>
      </c>
      <c r="AA4" s="584"/>
      <c r="AB4" s="584"/>
      <c r="AC4" s="585"/>
      <c r="AD4" s="564" t="s">
        <v>374</v>
      </c>
      <c r="AE4" s="583" t="s">
        <v>376</v>
      </c>
      <c r="AF4" s="584"/>
      <c r="AG4" s="584"/>
      <c r="AH4" s="585"/>
      <c r="AI4" s="564" t="s">
        <v>374</v>
      </c>
      <c r="AJ4" s="583" t="s">
        <v>376</v>
      </c>
      <c r="AK4" s="584"/>
      <c r="AL4" s="584"/>
      <c r="AM4" s="585"/>
      <c r="AN4" s="564" t="s">
        <v>374</v>
      </c>
      <c r="AO4" s="583" t="s">
        <v>376</v>
      </c>
      <c r="AP4" s="584"/>
      <c r="AQ4" s="584"/>
      <c r="AR4" s="585"/>
      <c r="AS4" s="564" t="s">
        <v>374</v>
      </c>
      <c r="AT4" s="583" t="s">
        <v>376</v>
      </c>
      <c r="AU4" s="584"/>
      <c r="AV4" s="584"/>
      <c r="AW4" s="585"/>
      <c r="AX4" s="564" t="s">
        <v>374</v>
      </c>
      <c r="BA4" s="564" t="s">
        <v>374</v>
      </c>
    </row>
    <row r="5" spans="1:53" ht="14.25">
      <c r="A5" s="81"/>
      <c r="B5" s="564"/>
      <c r="C5" s="564"/>
      <c r="D5" s="564"/>
      <c r="E5" s="564" t="s">
        <v>381</v>
      </c>
      <c r="F5" s="564"/>
      <c r="G5" s="564"/>
      <c r="H5" s="598"/>
      <c r="I5" s="616" t="s">
        <v>381</v>
      </c>
      <c r="J5" s="616"/>
      <c r="K5" s="616"/>
      <c r="L5" s="618"/>
      <c r="M5" s="603"/>
      <c r="N5" s="564"/>
      <c r="O5" s="564"/>
      <c r="P5" s="583" t="s">
        <v>382</v>
      </c>
      <c r="Q5" s="584"/>
      <c r="R5" s="584"/>
      <c r="S5" s="585"/>
      <c r="T5" s="564"/>
      <c r="U5" s="583" t="s">
        <v>382</v>
      </c>
      <c r="V5" s="584"/>
      <c r="W5" s="584"/>
      <c r="X5" s="585"/>
      <c r="Y5" s="564"/>
      <c r="Z5" s="583" t="s">
        <v>382</v>
      </c>
      <c r="AA5" s="584"/>
      <c r="AB5" s="584"/>
      <c r="AC5" s="585"/>
      <c r="AD5" s="564"/>
      <c r="AE5" s="583" t="s">
        <v>382</v>
      </c>
      <c r="AF5" s="584"/>
      <c r="AG5" s="584"/>
      <c r="AH5" s="585"/>
      <c r="AI5" s="564"/>
      <c r="AJ5" s="583" t="s">
        <v>382</v>
      </c>
      <c r="AK5" s="584"/>
      <c r="AL5" s="584"/>
      <c r="AM5" s="585"/>
      <c r="AN5" s="564"/>
      <c r="AO5" s="583" t="s">
        <v>382</v>
      </c>
      <c r="AP5" s="584"/>
      <c r="AQ5" s="584"/>
      <c r="AR5" s="585"/>
      <c r="AS5" s="564"/>
      <c r="AT5" s="583" t="s">
        <v>382</v>
      </c>
      <c r="AU5" s="584"/>
      <c r="AV5" s="584"/>
      <c r="AW5" s="585"/>
      <c r="AX5" s="564"/>
      <c r="BA5" s="564"/>
    </row>
    <row r="6" spans="1:53" ht="14.25">
      <c r="A6" s="79"/>
      <c r="B6" s="564"/>
      <c r="C6" s="564"/>
      <c r="D6" s="564"/>
      <c r="E6" s="417" t="s">
        <v>383</v>
      </c>
      <c r="F6" s="417" t="s">
        <v>384</v>
      </c>
      <c r="G6" s="417" t="s">
        <v>385</v>
      </c>
      <c r="H6" s="599"/>
      <c r="I6" s="416" t="s">
        <v>383</v>
      </c>
      <c r="J6" s="416" t="s">
        <v>384</v>
      </c>
      <c r="K6" s="416" t="s">
        <v>385</v>
      </c>
      <c r="L6" s="619"/>
      <c r="M6" s="604"/>
      <c r="N6" s="564"/>
      <c r="O6" s="564"/>
      <c r="P6" s="417" t="s">
        <v>383</v>
      </c>
      <c r="Q6" s="417" t="s">
        <v>384</v>
      </c>
      <c r="R6" s="417" t="s">
        <v>385</v>
      </c>
      <c r="S6" s="417" t="s">
        <v>375</v>
      </c>
      <c r="T6" s="564"/>
      <c r="U6" s="417" t="s">
        <v>383</v>
      </c>
      <c r="V6" s="417" t="s">
        <v>384</v>
      </c>
      <c r="W6" s="417" t="s">
        <v>385</v>
      </c>
      <c r="X6" s="417" t="s">
        <v>375</v>
      </c>
      <c r="Y6" s="564"/>
      <c r="Z6" s="417" t="s">
        <v>383</v>
      </c>
      <c r="AA6" s="417" t="s">
        <v>384</v>
      </c>
      <c r="AB6" s="417" t="s">
        <v>385</v>
      </c>
      <c r="AC6" s="417" t="s">
        <v>375</v>
      </c>
      <c r="AD6" s="564"/>
      <c r="AE6" s="417" t="s">
        <v>383</v>
      </c>
      <c r="AF6" s="417" t="s">
        <v>384</v>
      </c>
      <c r="AG6" s="417" t="s">
        <v>385</v>
      </c>
      <c r="AH6" s="417" t="s">
        <v>375</v>
      </c>
      <c r="AI6" s="564"/>
      <c r="AJ6" s="417" t="s">
        <v>383</v>
      </c>
      <c r="AK6" s="417" t="s">
        <v>384</v>
      </c>
      <c r="AL6" s="417" t="s">
        <v>385</v>
      </c>
      <c r="AM6" s="417" t="s">
        <v>375</v>
      </c>
      <c r="AN6" s="564"/>
      <c r="AO6" s="417" t="s">
        <v>383</v>
      </c>
      <c r="AP6" s="417" t="s">
        <v>384</v>
      </c>
      <c r="AQ6" s="417" t="s">
        <v>385</v>
      </c>
      <c r="AR6" s="417" t="s">
        <v>375</v>
      </c>
      <c r="AS6" s="564"/>
      <c r="AT6" s="417" t="s">
        <v>383</v>
      </c>
      <c r="AU6" s="417" t="s">
        <v>384</v>
      </c>
      <c r="AV6" s="417" t="s">
        <v>385</v>
      </c>
      <c r="AW6" s="417" t="s">
        <v>375</v>
      </c>
      <c r="AX6" s="564"/>
      <c r="AZ6" s="406" t="s">
        <v>375</v>
      </c>
      <c r="BA6" s="564"/>
    </row>
    <row r="7" spans="1:53" ht="14.25">
      <c r="A7" s="81"/>
      <c r="B7" s="564" t="s">
        <v>136</v>
      </c>
      <c r="C7" s="418">
        <v>1</v>
      </c>
      <c r="D7" s="226" t="s">
        <v>361</v>
      </c>
      <c r="E7" s="425">
        <v>7</v>
      </c>
      <c r="F7" s="418">
        <v>1500</v>
      </c>
      <c r="G7" s="419">
        <v>214.3</v>
      </c>
      <c r="H7" s="627">
        <f>AVERAGE(G7:G21)</f>
        <v>184.21428571428575</v>
      </c>
      <c r="I7" s="422">
        <f t="shared" ref="I7:I20" si="0">IFERROR(AVERAGE(P7,U7,Z7,AE7,AJ7,AO7,AT7),"-")</f>
        <v>7</v>
      </c>
      <c r="J7" s="422">
        <f t="shared" ref="J7:J20" si="1">IFERROR(AVERAGE(Q7,V7,AA7,AF7,AK7,AP7,AU7),"-")</f>
        <v>1476.1960482624743</v>
      </c>
      <c r="K7" s="200">
        <f t="shared" ref="K7:K20" si="2">IFERROR(AVERAGE(R7,W7,AB7,AG7,AL7,AQ7,AV7),"-")</f>
        <v>210.88514975178197</v>
      </c>
      <c r="L7" s="580">
        <f>IFERROR(AVERAGE(K7:K21),"-")</f>
        <v>179.52947949226444</v>
      </c>
      <c r="M7" s="424">
        <f>RANK(K7, K$7:$K$21)</f>
        <v>4</v>
      </c>
      <c r="N7" s="564"/>
      <c r="O7" s="564"/>
      <c r="P7" s="418">
        <v>7</v>
      </c>
      <c r="Q7" s="425">
        <v>1466.5116279069764</v>
      </c>
      <c r="R7" s="425">
        <v>209.50166112956805</v>
      </c>
      <c r="S7" s="420">
        <f t="shared" ref="S7:S21" si="3">RANK(R7, R$7:R$21)</f>
        <v>5</v>
      </c>
      <c r="T7" s="572">
        <f t="shared" ref="T7" si="4">AVERAGE(R7:R21)</f>
        <v>179.29371636736624</v>
      </c>
      <c r="U7" s="418">
        <v>7</v>
      </c>
      <c r="V7" s="425">
        <v>1458.0722891566268</v>
      </c>
      <c r="W7" s="425">
        <v>208.29604130808954</v>
      </c>
      <c r="X7" s="420">
        <f t="shared" ref="X7:X21" si="5">RANK(W7, W$7:W$21)</f>
        <v>4</v>
      </c>
      <c r="Y7" s="572">
        <f t="shared" ref="Y7" si="6">AVERAGE(W7:W21)</f>
        <v>177.04131544168459</v>
      </c>
      <c r="Z7" s="418">
        <v>7</v>
      </c>
      <c r="AA7" s="425">
        <v>1475.6756756756754</v>
      </c>
      <c r="AB7" s="425">
        <v>210.81081081081078</v>
      </c>
      <c r="AC7" s="420">
        <f t="shared" ref="AC7:AC21" si="7">RANK(AB7, AB$7:AB$21)</f>
        <v>4</v>
      </c>
      <c r="AD7" s="572">
        <f t="shared" ref="AD7" si="8">AVERAGE(AB7:AB21)</f>
        <v>179.50131027701258</v>
      </c>
      <c r="AE7" s="418">
        <v>7</v>
      </c>
      <c r="AF7" s="425">
        <v>1499.9999999999998</v>
      </c>
      <c r="AG7" s="425">
        <v>214.28571428571425</v>
      </c>
      <c r="AH7" s="420">
        <f t="shared" ref="AH7:AH21" si="9">RANK(AG7, AG$7:AG$21)</f>
        <v>2</v>
      </c>
      <c r="AI7" s="572">
        <f t="shared" ref="AI7" si="10">AVERAGE(AG7:AG21)</f>
        <v>179.85114250100415</v>
      </c>
      <c r="AJ7" s="418">
        <v>7</v>
      </c>
      <c r="AK7" s="425">
        <v>1484.25</v>
      </c>
      <c r="AL7" s="425">
        <v>212.03571428571428</v>
      </c>
      <c r="AM7" s="420">
        <f t="shared" ref="AM7:AM21" si="11">RANK(AL7, AL$7:AL$21)</f>
        <v>2</v>
      </c>
      <c r="AN7" s="572">
        <f t="shared" ref="AN7" si="12">AVERAGE(AL7:AL21)</f>
        <v>180.32374151103804</v>
      </c>
      <c r="AO7" s="418">
        <v>7</v>
      </c>
      <c r="AP7" s="425">
        <v>1491.5294117647063</v>
      </c>
      <c r="AQ7" s="425">
        <v>213.07563025210089</v>
      </c>
      <c r="AR7" s="420">
        <f t="shared" ref="AR7:AR21" si="13">RANK(AQ7, AQ$7:AQ$21)</f>
        <v>3</v>
      </c>
      <c r="AS7" s="572">
        <f t="shared" ref="AS7" si="14">AVERAGE(AQ7:AQ21)</f>
        <v>180.61689463963609</v>
      </c>
      <c r="AT7" s="418">
        <v>7</v>
      </c>
      <c r="AU7" s="425">
        <v>1457.3333333333333</v>
      </c>
      <c r="AV7" s="425">
        <v>208.19047619047618</v>
      </c>
      <c r="AW7" s="420">
        <f t="shared" ref="AW7:AW21" si="15">RANK(AV7, AV$7:AV$21)</f>
        <v>5</v>
      </c>
      <c r="AX7" s="572">
        <f t="shared" ref="AX7" si="16">AVERAGE(AV7:AV21)</f>
        <v>157.56845624459578</v>
      </c>
      <c r="AZ7" s="408" t="e">
        <f t="shared" ref="AZ7:AZ21" si="17">RANK(AY7, AY$7:AY$21)</f>
        <v>#N/A</v>
      </c>
      <c r="BA7" s="572" t="e">
        <f t="shared" ref="BA7" si="18">AVERAGE(AY7:AY21)</f>
        <v>#DIV/0!</v>
      </c>
    </row>
    <row r="8" spans="1:53" ht="15" customHeight="1">
      <c r="A8" s="81"/>
      <c r="B8" s="600"/>
      <c r="C8" s="418">
        <v>2</v>
      </c>
      <c r="D8" s="226" t="s">
        <v>362</v>
      </c>
      <c r="E8" s="425">
        <v>7</v>
      </c>
      <c r="F8" s="418">
        <v>1500</v>
      </c>
      <c r="G8" s="419">
        <v>214.3</v>
      </c>
      <c r="H8" s="628"/>
      <c r="I8" s="422">
        <f t="shared" si="0"/>
        <v>7</v>
      </c>
      <c r="J8" s="422">
        <f t="shared" si="1"/>
        <v>1479.4736650746631</v>
      </c>
      <c r="K8" s="200">
        <f t="shared" si="2"/>
        <v>211.35338072495185</v>
      </c>
      <c r="L8" s="581"/>
      <c r="M8" s="424">
        <f>RANK(K8, K$7:$K$21)</f>
        <v>3</v>
      </c>
      <c r="N8" s="564"/>
      <c r="O8" s="564"/>
      <c r="P8" s="418">
        <v>7</v>
      </c>
      <c r="Q8" s="425">
        <v>1494.1791044776119</v>
      </c>
      <c r="R8" s="425">
        <v>213.45415778251598</v>
      </c>
      <c r="S8" s="420">
        <f t="shared" si="3"/>
        <v>3</v>
      </c>
      <c r="T8" s="572"/>
      <c r="U8" s="418">
        <v>7</v>
      </c>
      <c r="V8" s="425">
        <v>1468.7603305785117</v>
      </c>
      <c r="W8" s="425">
        <v>209.82290436835882</v>
      </c>
      <c r="X8" s="420">
        <f t="shared" si="5"/>
        <v>3</v>
      </c>
      <c r="Y8" s="572"/>
      <c r="Z8" s="418">
        <v>7</v>
      </c>
      <c r="AA8" s="425">
        <v>1484.2105263157887</v>
      </c>
      <c r="AB8" s="425">
        <v>212.0300751879698</v>
      </c>
      <c r="AC8" s="420">
        <f t="shared" si="7"/>
        <v>3</v>
      </c>
      <c r="AD8" s="572"/>
      <c r="AE8" s="418">
        <v>7</v>
      </c>
      <c r="AF8" s="425">
        <v>1473.9823008849557</v>
      </c>
      <c r="AG8" s="425">
        <v>210.56890012642225</v>
      </c>
      <c r="AH8" s="420">
        <f t="shared" si="9"/>
        <v>4</v>
      </c>
      <c r="AI8" s="572"/>
      <c r="AJ8" s="418">
        <v>7</v>
      </c>
      <c r="AK8" s="425">
        <v>1474.4347826086957</v>
      </c>
      <c r="AL8" s="425">
        <v>210.63354037267081</v>
      </c>
      <c r="AM8" s="420">
        <f t="shared" si="11"/>
        <v>4</v>
      </c>
      <c r="AN8" s="572"/>
      <c r="AO8" s="418">
        <v>7</v>
      </c>
      <c r="AP8" s="425">
        <v>1476.0869565217392</v>
      </c>
      <c r="AQ8" s="425">
        <v>210.86956521739131</v>
      </c>
      <c r="AR8" s="420">
        <f t="shared" si="13"/>
        <v>4</v>
      </c>
      <c r="AS8" s="572"/>
      <c r="AT8" s="418">
        <v>7</v>
      </c>
      <c r="AU8" s="425">
        <v>1484.6616541353374</v>
      </c>
      <c r="AV8" s="425">
        <v>212.09452201933391</v>
      </c>
      <c r="AW8" s="420">
        <f t="shared" si="15"/>
        <v>3</v>
      </c>
      <c r="AX8" s="572"/>
      <c r="AZ8" s="408" t="e">
        <f t="shared" si="17"/>
        <v>#N/A</v>
      </c>
      <c r="BA8" s="572"/>
    </row>
    <row r="9" spans="1:53" ht="14.25">
      <c r="A9" s="81"/>
      <c r="B9" s="600"/>
      <c r="C9" s="418">
        <v>3</v>
      </c>
      <c r="D9" s="226" t="s">
        <v>331</v>
      </c>
      <c r="E9" s="425">
        <v>20</v>
      </c>
      <c r="F9" s="418">
        <v>1500</v>
      </c>
      <c r="G9" s="419">
        <v>75</v>
      </c>
      <c r="H9" s="628"/>
      <c r="I9" s="422">
        <f t="shared" si="0"/>
        <v>18.285714285714285</v>
      </c>
      <c r="J9" s="422">
        <f t="shared" si="1"/>
        <v>1314.2192450310924</v>
      </c>
      <c r="K9" s="200">
        <f t="shared" si="2"/>
        <v>71.935672342997208</v>
      </c>
      <c r="L9" s="581"/>
      <c r="M9" s="424">
        <f>RANK(K9, K$7:$K$21)</f>
        <v>7</v>
      </c>
      <c r="N9" s="564"/>
      <c r="O9" s="564"/>
      <c r="P9" s="418">
        <v>18</v>
      </c>
      <c r="Q9" s="425">
        <v>1278.3214285714266</v>
      </c>
      <c r="R9" s="425">
        <v>71.017857142857039</v>
      </c>
      <c r="S9" s="420">
        <f t="shared" si="3"/>
        <v>7</v>
      </c>
      <c r="T9" s="572"/>
      <c r="U9" s="418">
        <v>20</v>
      </c>
      <c r="V9" s="425">
        <v>1356.3999999999999</v>
      </c>
      <c r="W9" s="425">
        <v>67.819999999999993</v>
      </c>
      <c r="X9" s="420">
        <f t="shared" si="5"/>
        <v>7</v>
      </c>
      <c r="Y9" s="572"/>
      <c r="Z9" s="418">
        <v>18</v>
      </c>
      <c r="AA9" s="425">
        <v>1321.9232142857131</v>
      </c>
      <c r="AB9" s="425">
        <v>73.440178571428504</v>
      </c>
      <c r="AC9" s="420">
        <f t="shared" si="7"/>
        <v>7</v>
      </c>
      <c r="AD9" s="572"/>
      <c r="AE9" s="418">
        <v>18</v>
      </c>
      <c r="AF9" s="425">
        <v>1290.9692307692301</v>
      </c>
      <c r="AG9" s="425">
        <v>71.720512820512781</v>
      </c>
      <c r="AH9" s="420">
        <f t="shared" si="9"/>
        <v>7</v>
      </c>
      <c r="AI9" s="572"/>
      <c r="AJ9" s="418">
        <v>18</v>
      </c>
      <c r="AK9" s="425">
        <v>1331.705357142856</v>
      </c>
      <c r="AL9" s="425">
        <v>73.983630952380892</v>
      </c>
      <c r="AM9" s="420">
        <f t="shared" si="11"/>
        <v>7</v>
      </c>
      <c r="AN9" s="572"/>
      <c r="AO9" s="418">
        <v>18</v>
      </c>
      <c r="AP9" s="425">
        <v>1330.6788990825685</v>
      </c>
      <c r="AQ9" s="425">
        <v>73.926605504587144</v>
      </c>
      <c r="AR9" s="420">
        <f t="shared" si="13"/>
        <v>7</v>
      </c>
      <c r="AS9" s="572"/>
      <c r="AT9" s="418">
        <v>18</v>
      </c>
      <c r="AU9" s="425">
        <v>1289.5365853658532</v>
      </c>
      <c r="AV9" s="425">
        <v>71.640921409214059</v>
      </c>
      <c r="AW9" s="420">
        <f t="shared" si="15"/>
        <v>7</v>
      </c>
      <c r="AX9" s="572"/>
      <c r="AZ9" s="408" t="e">
        <f t="shared" si="17"/>
        <v>#N/A</v>
      </c>
      <c r="BA9" s="572"/>
    </row>
    <row r="10" spans="1:53" ht="14.25">
      <c r="A10" s="81"/>
      <c r="B10" s="600"/>
      <c r="C10" s="418">
        <v>4</v>
      </c>
      <c r="D10" s="226" t="s">
        <v>363</v>
      </c>
      <c r="E10" s="425">
        <v>16</v>
      </c>
      <c r="F10" s="418">
        <v>1440</v>
      </c>
      <c r="G10" s="419">
        <v>84.7</v>
      </c>
      <c r="H10" s="628"/>
      <c r="I10" s="422">
        <f t="shared" si="0"/>
        <v>16</v>
      </c>
      <c r="J10" s="422">
        <f t="shared" si="1"/>
        <v>1380.3845941147279</v>
      </c>
      <c r="K10" s="200">
        <f t="shared" si="2"/>
        <v>86.274037132170491</v>
      </c>
      <c r="L10" s="581"/>
      <c r="M10" s="424">
        <f>RANK(K10, K$7:$K$21)</f>
        <v>6</v>
      </c>
      <c r="N10" s="564"/>
      <c r="O10" s="564"/>
      <c r="P10" s="418">
        <v>16</v>
      </c>
      <c r="Q10" s="425">
        <v>1389.4426229508192</v>
      </c>
      <c r="R10" s="425">
        <v>86.840163934426201</v>
      </c>
      <c r="S10" s="420">
        <f t="shared" si="3"/>
        <v>6</v>
      </c>
      <c r="T10" s="572"/>
      <c r="U10" s="418">
        <v>16</v>
      </c>
      <c r="V10" s="425">
        <v>1362.6666666666672</v>
      </c>
      <c r="W10" s="425">
        <v>85.1666666666667</v>
      </c>
      <c r="X10" s="420">
        <f t="shared" si="5"/>
        <v>6</v>
      </c>
      <c r="Y10" s="572"/>
      <c r="Z10" s="418">
        <v>16</v>
      </c>
      <c r="AA10" s="425">
        <v>1379.9999999999998</v>
      </c>
      <c r="AB10" s="425">
        <v>86.249999999999986</v>
      </c>
      <c r="AC10" s="420">
        <f t="shared" si="7"/>
        <v>6</v>
      </c>
      <c r="AD10" s="572"/>
      <c r="AE10" s="418">
        <v>16</v>
      </c>
      <c r="AF10" s="425">
        <v>1374.4615384615381</v>
      </c>
      <c r="AG10" s="425">
        <v>85.903846153846132</v>
      </c>
      <c r="AH10" s="420">
        <f t="shared" si="9"/>
        <v>6</v>
      </c>
      <c r="AI10" s="572"/>
      <c r="AJ10" s="418">
        <v>16</v>
      </c>
      <c r="AK10" s="425">
        <v>1396.0000000000007</v>
      </c>
      <c r="AL10" s="425">
        <v>87.250000000000043</v>
      </c>
      <c r="AM10" s="420">
        <f t="shared" si="11"/>
        <v>6</v>
      </c>
      <c r="AN10" s="572"/>
      <c r="AO10" s="418">
        <v>16</v>
      </c>
      <c r="AP10" s="425">
        <v>1404.2857142857138</v>
      </c>
      <c r="AQ10" s="425">
        <v>87.76785714285711</v>
      </c>
      <c r="AR10" s="420">
        <f t="shared" si="13"/>
        <v>6</v>
      </c>
      <c r="AS10" s="572"/>
      <c r="AT10" s="418">
        <v>16</v>
      </c>
      <c r="AU10" s="425">
        <v>1355.8356164383565</v>
      </c>
      <c r="AV10" s="425">
        <v>84.739726027397282</v>
      </c>
      <c r="AW10" s="420">
        <f t="shared" si="15"/>
        <v>6</v>
      </c>
      <c r="AX10" s="572"/>
      <c r="AZ10" s="408" t="e">
        <f t="shared" si="17"/>
        <v>#N/A</v>
      </c>
      <c r="BA10" s="572"/>
    </row>
    <row r="11" spans="1:53" ht="14.25">
      <c r="A11" s="81"/>
      <c r="B11" s="600"/>
      <c r="C11" s="418">
        <v>5</v>
      </c>
      <c r="D11" s="226" t="s">
        <v>401</v>
      </c>
      <c r="E11" s="425">
        <v>7</v>
      </c>
      <c r="F11" s="418">
        <v>1500</v>
      </c>
      <c r="G11" s="419">
        <v>214.3</v>
      </c>
      <c r="H11" s="628"/>
      <c r="I11" s="422">
        <f t="shared" si="0"/>
        <v>7</v>
      </c>
      <c r="J11" s="422">
        <f t="shared" si="1"/>
        <v>1491.4931125551261</v>
      </c>
      <c r="K11" s="200">
        <f t="shared" si="2"/>
        <v>213.0704446507323</v>
      </c>
      <c r="L11" s="581"/>
      <c r="M11" s="424">
        <f>RANK(K11, K$7:$K$21)</f>
        <v>2</v>
      </c>
      <c r="N11" s="564"/>
      <c r="O11" s="564"/>
      <c r="P11" s="418">
        <v>7</v>
      </c>
      <c r="Q11" s="425">
        <v>1495.7142857142853</v>
      </c>
      <c r="R11" s="425">
        <v>213.67346938775503</v>
      </c>
      <c r="S11" s="420">
        <f t="shared" si="3"/>
        <v>2</v>
      </c>
      <c r="T11" s="572"/>
      <c r="U11" s="418">
        <v>7</v>
      </c>
      <c r="V11" s="425">
        <v>1496.4963503649635</v>
      </c>
      <c r="W11" s="425">
        <v>213.78519290928051</v>
      </c>
      <c r="X11" s="420">
        <f t="shared" si="5"/>
        <v>2</v>
      </c>
      <c r="Y11" s="572"/>
      <c r="Z11" s="418">
        <v>7</v>
      </c>
      <c r="AA11" s="425">
        <v>1489.4444444444441</v>
      </c>
      <c r="AB11" s="425">
        <v>212.77777777777774</v>
      </c>
      <c r="AC11" s="420">
        <f t="shared" si="7"/>
        <v>2</v>
      </c>
      <c r="AD11" s="572"/>
      <c r="AE11" s="418">
        <v>7</v>
      </c>
      <c r="AF11" s="425">
        <v>1498.3018867924525</v>
      </c>
      <c r="AG11" s="425">
        <v>214.04312668463606</v>
      </c>
      <c r="AH11" s="420">
        <f t="shared" si="9"/>
        <v>3</v>
      </c>
      <c r="AI11" s="572"/>
      <c r="AJ11" s="418">
        <v>7</v>
      </c>
      <c r="AK11" s="425">
        <v>1471.1320754716976</v>
      </c>
      <c r="AL11" s="425">
        <v>210.16172506738536</v>
      </c>
      <c r="AM11" s="420">
        <f t="shared" si="11"/>
        <v>5</v>
      </c>
      <c r="AN11" s="572"/>
      <c r="AO11" s="418">
        <v>7</v>
      </c>
      <c r="AP11" s="425">
        <v>1496.8627450980391</v>
      </c>
      <c r="AQ11" s="425">
        <v>213.8375350140056</v>
      </c>
      <c r="AR11" s="420">
        <f t="shared" si="13"/>
        <v>2</v>
      </c>
      <c r="AS11" s="572"/>
      <c r="AT11" s="418">
        <v>7</v>
      </c>
      <c r="AU11" s="425">
        <v>1492.5</v>
      </c>
      <c r="AV11" s="425">
        <v>213.21428571428572</v>
      </c>
      <c r="AW11" s="420">
        <f t="shared" si="15"/>
        <v>2</v>
      </c>
      <c r="AX11" s="572"/>
      <c r="AZ11" s="408" t="e">
        <f t="shared" si="17"/>
        <v>#N/A</v>
      </c>
      <c r="BA11" s="572"/>
    </row>
    <row r="12" spans="1:53" ht="14.25">
      <c r="A12" s="81"/>
      <c r="B12" s="600"/>
      <c r="C12" s="418">
        <v>6</v>
      </c>
      <c r="D12" s="226" t="s">
        <v>620</v>
      </c>
      <c r="E12" s="425">
        <v>6</v>
      </c>
      <c r="F12" s="418">
        <v>1636</v>
      </c>
      <c r="G12" s="419">
        <v>272.60000000000002</v>
      </c>
      <c r="H12" s="628"/>
      <c r="I12" s="422">
        <f t="shared" si="0"/>
        <v>6</v>
      </c>
      <c r="J12" s="422">
        <f t="shared" si="1"/>
        <v>1524.5559550684409</v>
      </c>
      <c r="K12" s="200">
        <f t="shared" si="2"/>
        <v>254.09265917807346</v>
      </c>
      <c r="L12" s="581"/>
      <c r="M12" s="424">
        <f>RANK(K12, K$7:$K$21)</f>
        <v>1</v>
      </c>
      <c r="N12" s="564"/>
      <c r="O12" s="564"/>
      <c r="P12" s="418">
        <v>6</v>
      </c>
      <c r="Q12" s="425">
        <v>1493.6585365853664</v>
      </c>
      <c r="R12" s="425">
        <v>248.94308943089439</v>
      </c>
      <c r="S12" s="420">
        <f t="shared" si="3"/>
        <v>1</v>
      </c>
      <c r="T12" s="572"/>
      <c r="U12" s="418">
        <v>6</v>
      </c>
      <c r="V12" s="425">
        <v>1489.0434782608697</v>
      </c>
      <c r="W12" s="425">
        <v>248.17391304347828</v>
      </c>
      <c r="X12" s="420">
        <f t="shared" si="5"/>
        <v>1</v>
      </c>
      <c r="Y12" s="572"/>
      <c r="Z12" s="418">
        <v>6</v>
      </c>
      <c r="AA12" s="425">
        <v>1513.8947368421057</v>
      </c>
      <c r="AB12" s="425">
        <v>252.31578947368428</v>
      </c>
      <c r="AC12" s="420">
        <f t="shared" si="7"/>
        <v>1</v>
      </c>
      <c r="AD12" s="572"/>
      <c r="AE12" s="418">
        <v>6</v>
      </c>
      <c r="AF12" s="425">
        <v>1538.901098901099</v>
      </c>
      <c r="AG12" s="425">
        <v>256.4835164835165</v>
      </c>
      <c r="AH12" s="420">
        <f t="shared" si="9"/>
        <v>1</v>
      </c>
      <c r="AI12" s="572"/>
      <c r="AJ12" s="418">
        <v>6</v>
      </c>
      <c r="AK12" s="425">
        <v>1540.4210526315792</v>
      </c>
      <c r="AL12" s="425">
        <v>256.73684210526318</v>
      </c>
      <c r="AM12" s="420">
        <f t="shared" si="11"/>
        <v>1</v>
      </c>
      <c r="AN12" s="572"/>
      <c r="AO12" s="418">
        <v>6</v>
      </c>
      <c r="AP12" s="425">
        <v>1541.1290322580651</v>
      </c>
      <c r="AQ12" s="425">
        <v>256.85483870967749</v>
      </c>
      <c r="AR12" s="420">
        <f t="shared" si="13"/>
        <v>1</v>
      </c>
      <c r="AS12" s="572"/>
      <c r="AT12" s="418">
        <v>6</v>
      </c>
      <c r="AU12" s="425">
        <v>1554.8437499999995</v>
      </c>
      <c r="AV12" s="425">
        <v>259.14062499999994</v>
      </c>
      <c r="AW12" s="420">
        <f t="shared" si="15"/>
        <v>1</v>
      </c>
      <c r="AX12" s="572"/>
      <c r="AZ12" s="408" t="e">
        <f t="shared" si="17"/>
        <v>#N/A</v>
      </c>
      <c r="BA12" s="572"/>
    </row>
    <row r="13" spans="1:53" ht="14.25">
      <c r="A13" s="81"/>
      <c r="B13" s="600"/>
      <c r="C13" s="418">
        <v>7</v>
      </c>
      <c r="D13" s="226" t="s">
        <v>599</v>
      </c>
      <c r="E13" s="425">
        <v>7</v>
      </c>
      <c r="F13" s="418">
        <v>1500</v>
      </c>
      <c r="G13" s="419">
        <v>214.3</v>
      </c>
      <c r="H13" s="628"/>
      <c r="I13" s="422">
        <f t="shared" si="0"/>
        <v>7</v>
      </c>
      <c r="J13" s="422">
        <f t="shared" si="1"/>
        <v>1463.6650886560067</v>
      </c>
      <c r="K13" s="200">
        <f t="shared" si="2"/>
        <v>209.0950126651438</v>
      </c>
      <c r="L13" s="581"/>
      <c r="M13" s="424">
        <f>RANK(K13, K$7:$K$21)</f>
        <v>5</v>
      </c>
      <c r="N13" s="564"/>
      <c r="O13" s="564"/>
      <c r="P13" s="418">
        <v>7</v>
      </c>
      <c r="Q13" s="425">
        <v>1481.3793103448274</v>
      </c>
      <c r="R13" s="425">
        <v>211.62561576354679</v>
      </c>
      <c r="S13" s="420">
        <f t="shared" si="3"/>
        <v>4</v>
      </c>
      <c r="T13" s="572"/>
      <c r="U13" s="418">
        <v>7</v>
      </c>
      <c r="V13" s="425">
        <v>1443.5714285714282</v>
      </c>
      <c r="W13" s="425">
        <v>206.22448979591832</v>
      </c>
      <c r="X13" s="420">
        <f t="shared" si="5"/>
        <v>5</v>
      </c>
      <c r="Y13" s="572"/>
      <c r="Z13" s="418">
        <v>7</v>
      </c>
      <c r="AA13" s="425">
        <v>1462.191780821918</v>
      </c>
      <c r="AB13" s="425">
        <v>208.88454011741686</v>
      </c>
      <c r="AC13" s="420">
        <f t="shared" si="7"/>
        <v>5</v>
      </c>
      <c r="AD13" s="572"/>
      <c r="AE13" s="418">
        <v>7</v>
      </c>
      <c r="AF13" s="425">
        <v>1441.666666666667</v>
      </c>
      <c r="AG13" s="425">
        <v>205.95238095238099</v>
      </c>
      <c r="AH13" s="420">
        <f t="shared" si="9"/>
        <v>5</v>
      </c>
      <c r="AI13" s="572"/>
      <c r="AJ13" s="418">
        <v>7</v>
      </c>
      <c r="AK13" s="425">
        <v>1480.2531645569627</v>
      </c>
      <c r="AL13" s="425">
        <v>211.46473779385181</v>
      </c>
      <c r="AM13" s="420">
        <f t="shared" si="11"/>
        <v>3</v>
      </c>
      <c r="AN13" s="572"/>
      <c r="AO13" s="418">
        <v>7</v>
      </c>
      <c r="AP13" s="425">
        <v>1455.9036144578308</v>
      </c>
      <c r="AQ13" s="425">
        <v>207.98623063683297</v>
      </c>
      <c r="AR13" s="420">
        <f t="shared" si="13"/>
        <v>5</v>
      </c>
      <c r="AS13" s="572"/>
      <c r="AT13" s="418">
        <v>7</v>
      </c>
      <c r="AU13" s="425">
        <v>1480.6896551724135</v>
      </c>
      <c r="AV13" s="425">
        <v>211.52709359605907</v>
      </c>
      <c r="AW13" s="420">
        <f t="shared" si="15"/>
        <v>4</v>
      </c>
      <c r="AX13" s="572"/>
      <c r="AZ13" s="408" t="e">
        <f t="shared" si="17"/>
        <v>#N/A</v>
      </c>
      <c r="BA13" s="572"/>
    </row>
    <row r="14" spans="1:53" ht="14.25">
      <c r="A14" s="81"/>
      <c r="B14" s="600"/>
      <c r="C14" s="418">
        <v>8</v>
      </c>
      <c r="D14" s="226"/>
      <c r="E14" s="425"/>
      <c r="F14" s="418"/>
      <c r="G14" s="419"/>
      <c r="H14" s="628"/>
      <c r="I14" s="422" t="str">
        <f t="shared" si="0"/>
        <v>-</v>
      </c>
      <c r="J14" s="422" t="str">
        <f t="shared" si="1"/>
        <v>-</v>
      </c>
      <c r="K14" s="200" t="str">
        <f t="shared" si="2"/>
        <v>-</v>
      </c>
      <c r="L14" s="581"/>
      <c r="M14" s="424" t="e">
        <f>RANK(K14, K$7:$K$21)</f>
        <v>#VALUE!</v>
      </c>
      <c r="N14" s="564"/>
      <c r="O14" s="564"/>
      <c r="P14" s="418" t="s">
        <v>639</v>
      </c>
      <c r="Q14" s="425" t="s">
        <v>639</v>
      </c>
      <c r="R14" s="425" t="s">
        <v>639</v>
      </c>
      <c r="S14" s="420" t="e">
        <f t="shared" si="3"/>
        <v>#VALUE!</v>
      </c>
      <c r="T14" s="572"/>
      <c r="U14" s="418" t="s">
        <v>639</v>
      </c>
      <c r="V14" s="425" t="s">
        <v>639</v>
      </c>
      <c r="W14" s="425" t="s">
        <v>639</v>
      </c>
      <c r="X14" s="420" t="e">
        <f t="shared" si="5"/>
        <v>#VALUE!</v>
      </c>
      <c r="Y14" s="572"/>
      <c r="Z14" s="418" t="s">
        <v>639</v>
      </c>
      <c r="AA14" s="425" t="s">
        <v>639</v>
      </c>
      <c r="AB14" s="425" t="s">
        <v>639</v>
      </c>
      <c r="AC14" s="420" t="e">
        <f t="shared" si="7"/>
        <v>#VALUE!</v>
      </c>
      <c r="AD14" s="572"/>
      <c r="AE14" s="418" t="s">
        <v>639</v>
      </c>
      <c r="AF14" s="425" t="s">
        <v>639</v>
      </c>
      <c r="AG14" s="425" t="s">
        <v>639</v>
      </c>
      <c r="AH14" s="420" t="e">
        <f t="shared" si="9"/>
        <v>#VALUE!</v>
      </c>
      <c r="AI14" s="572"/>
      <c r="AJ14" s="418" t="s">
        <v>639</v>
      </c>
      <c r="AK14" s="425" t="s">
        <v>639</v>
      </c>
      <c r="AL14" s="425" t="s">
        <v>639</v>
      </c>
      <c r="AM14" s="420" t="e">
        <f t="shared" si="11"/>
        <v>#VALUE!</v>
      </c>
      <c r="AN14" s="572"/>
      <c r="AO14" s="418" t="s">
        <v>639</v>
      </c>
      <c r="AP14" s="425" t="s">
        <v>639</v>
      </c>
      <c r="AQ14" s="425" t="s">
        <v>639</v>
      </c>
      <c r="AR14" s="420" t="e">
        <f t="shared" si="13"/>
        <v>#VALUE!</v>
      </c>
      <c r="AS14" s="572"/>
      <c r="AT14" s="418" t="s">
        <v>639</v>
      </c>
      <c r="AU14" s="425" t="s">
        <v>639</v>
      </c>
      <c r="AV14" s="425" t="s">
        <v>639</v>
      </c>
      <c r="AW14" s="420" t="e">
        <f t="shared" si="15"/>
        <v>#VALUE!</v>
      </c>
      <c r="AX14" s="572"/>
      <c r="AZ14" s="408" t="e">
        <f t="shared" si="17"/>
        <v>#N/A</v>
      </c>
      <c r="BA14" s="572"/>
    </row>
    <row r="15" spans="1:53" ht="14.25">
      <c r="A15" s="81"/>
      <c r="B15" s="600"/>
      <c r="C15" s="418">
        <v>9</v>
      </c>
      <c r="D15" s="226"/>
      <c r="E15" s="425"/>
      <c r="F15" s="418"/>
      <c r="G15" s="419"/>
      <c r="H15" s="628"/>
      <c r="I15" s="422" t="str">
        <f t="shared" si="0"/>
        <v>-</v>
      </c>
      <c r="J15" s="422" t="str">
        <f t="shared" si="1"/>
        <v>-</v>
      </c>
      <c r="K15" s="200" t="str">
        <f t="shared" si="2"/>
        <v>-</v>
      </c>
      <c r="L15" s="581"/>
      <c r="M15" s="424" t="e">
        <f>RANK(K15, K$7:$K$21)</f>
        <v>#VALUE!</v>
      </c>
      <c r="N15" s="564"/>
      <c r="O15" s="564"/>
      <c r="P15" s="418" t="s">
        <v>639</v>
      </c>
      <c r="Q15" s="425" t="s">
        <v>639</v>
      </c>
      <c r="R15" s="425" t="s">
        <v>639</v>
      </c>
      <c r="S15" s="420" t="e">
        <f t="shared" si="3"/>
        <v>#VALUE!</v>
      </c>
      <c r="T15" s="572"/>
      <c r="U15" s="418" t="s">
        <v>639</v>
      </c>
      <c r="V15" s="425" t="s">
        <v>639</v>
      </c>
      <c r="W15" s="425" t="s">
        <v>639</v>
      </c>
      <c r="X15" s="420" t="e">
        <f t="shared" si="5"/>
        <v>#VALUE!</v>
      </c>
      <c r="Y15" s="572"/>
      <c r="Z15" s="418" t="s">
        <v>639</v>
      </c>
      <c r="AA15" s="425" t="s">
        <v>639</v>
      </c>
      <c r="AB15" s="425" t="s">
        <v>639</v>
      </c>
      <c r="AC15" s="420" t="e">
        <f t="shared" si="7"/>
        <v>#VALUE!</v>
      </c>
      <c r="AD15" s="572"/>
      <c r="AE15" s="418" t="s">
        <v>639</v>
      </c>
      <c r="AF15" s="425" t="s">
        <v>639</v>
      </c>
      <c r="AG15" s="425" t="s">
        <v>639</v>
      </c>
      <c r="AH15" s="420" t="e">
        <f t="shared" si="9"/>
        <v>#VALUE!</v>
      </c>
      <c r="AI15" s="572"/>
      <c r="AJ15" s="418" t="s">
        <v>639</v>
      </c>
      <c r="AK15" s="425" t="s">
        <v>639</v>
      </c>
      <c r="AL15" s="425" t="s">
        <v>639</v>
      </c>
      <c r="AM15" s="420" t="e">
        <f t="shared" si="11"/>
        <v>#VALUE!</v>
      </c>
      <c r="AN15" s="572"/>
      <c r="AO15" s="418" t="s">
        <v>639</v>
      </c>
      <c r="AP15" s="425" t="s">
        <v>639</v>
      </c>
      <c r="AQ15" s="425" t="s">
        <v>639</v>
      </c>
      <c r="AR15" s="420" t="e">
        <f t="shared" si="13"/>
        <v>#VALUE!</v>
      </c>
      <c r="AS15" s="572"/>
      <c r="AT15" s="418" t="s">
        <v>639</v>
      </c>
      <c r="AU15" s="425" t="s">
        <v>639</v>
      </c>
      <c r="AV15" s="425" t="s">
        <v>639</v>
      </c>
      <c r="AW15" s="420" t="e">
        <f t="shared" si="15"/>
        <v>#VALUE!</v>
      </c>
      <c r="AX15" s="572"/>
      <c r="AZ15" s="408" t="e">
        <f t="shared" si="17"/>
        <v>#N/A</v>
      </c>
      <c r="BA15" s="572"/>
    </row>
    <row r="16" spans="1:53" ht="14.25">
      <c r="A16" s="81"/>
      <c r="B16" s="600"/>
      <c r="C16" s="418">
        <v>10</v>
      </c>
      <c r="D16" s="226"/>
      <c r="E16" s="425"/>
      <c r="F16" s="418"/>
      <c r="G16" s="419"/>
      <c r="H16" s="628"/>
      <c r="I16" s="422" t="str">
        <f t="shared" si="0"/>
        <v>-</v>
      </c>
      <c r="J16" s="422" t="str">
        <f t="shared" si="1"/>
        <v>-</v>
      </c>
      <c r="K16" s="200" t="str">
        <f t="shared" si="2"/>
        <v>-</v>
      </c>
      <c r="L16" s="581"/>
      <c r="M16" s="424" t="e">
        <f>RANK(K16, K$7:$K$21)</f>
        <v>#VALUE!</v>
      </c>
      <c r="N16" s="564"/>
      <c r="O16" s="564"/>
      <c r="P16" s="418" t="s">
        <v>639</v>
      </c>
      <c r="Q16" s="425" t="s">
        <v>639</v>
      </c>
      <c r="R16" s="425" t="s">
        <v>639</v>
      </c>
      <c r="S16" s="420" t="e">
        <f t="shared" si="3"/>
        <v>#VALUE!</v>
      </c>
      <c r="T16" s="572"/>
      <c r="U16" s="418" t="s">
        <v>639</v>
      </c>
      <c r="V16" s="425" t="s">
        <v>639</v>
      </c>
      <c r="W16" s="425" t="s">
        <v>639</v>
      </c>
      <c r="X16" s="420" t="e">
        <f t="shared" si="5"/>
        <v>#VALUE!</v>
      </c>
      <c r="Y16" s="572"/>
      <c r="Z16" s="418" t="s">
        <v>639</v>
      </c>
      <c r="AA16" s="425" t="s">
        <v>639</v>
      </c>
      <c r="AB16" s="425" t="s">
        <v>639</v>
      </c>
      <c r="AC16" s="420" t="e">
        <f t="shared" si="7"/>
        <v>#VALUE!</v>
      </c>
      <c r="AD16" s="572"/>
      <c r="AE16" s="418" t="s">
        <v>639</v>
      </c>
      <c r="AF16" s="425" t="s">
        <v>639</v>
      </c>
      <c r="AG16" s="425" t="s">
        <v>639</v>
      </c>
      <c r="AH16" s="420" t="e">
        <f t="shared" si="9"/>
        <v>#VALUE!</v>
      </c>
      <c r="AI16" s="572"/>
      <c r="AJ16" s="418" t="s">
        <v>639</v>
      </c>
      <c r="AK16" s="425" t="s">
        <v>639</v>
      </c>
      <c r="AL16" s="425" t="s">
        <v>639</v>
      </c>
      <c r="AM16" s="420" t="e">
        <f t="shared" si="11"/>
        <v>#VALUE!</v>
      </c>
      <c r="AN16" s="572"/>
      <c r="AO16" s="418" t="s">
        <v>639</v>
      </c>
      <c r="AP16" s="425" t="s">
        <v>639</v>
      </c>
      <c r="AQ16" s="425" t="s">
        <v>639</v>
      </c>
      <c r="AR16" s="420" t="e">
        <f t="shared" si="13"/>
        <v>#VALUE!</v>
      </c>
      <c r="AS16" s="572"/>
      <c r="AT16" s="418" t="s">
        <v>639</v>
      </c>
      <c r="AU16" s="425" t="s">
        <v>639</v>
      </c>
      <c r="AV16" s="425" t="s">
        <v>639</v>
      </c>
      <c r="AW16" s="420" t="e">
        <f t="shared" si="15"/>
        <v>#VALUE!</v>
      </c>
      <c r="AX16" s="572"/>
      <c r="AZ16" s="408" t="e">
        <f t="shared" si="17"/>
        <v>#N/A</v>
      </c>
      <c r="BA16" s="572"/>
    </row>
    <row r="17" spans="2:53">
      <c r="B17" s="600"/>
      <c r="C17" s="418">
        <v>11</v>
      </c>
      <c r="D17" s="226"/>
      <c r="E17" s="425"/>
      <c r="F17" s="418"/>
      <c r="G17" s="419"/>
      <c r="H17" s="628"/>
      <c r="I17" s="422" t="str">
        <f t="shared" si="0"/>
        <v>-</v>
      </c>
      <c r="J17" s="422" t="str">
        <f t="shared" si="1"/>
        <v>-</v>
      </c>
      <c r="K17" s="200" t="str">
        <f t="shared" si="2"/>
        <v>-</v>
      </c>
      <c r="L17" s="581"/>
      <c r="M17" s="424" t="e">
        <f>RANK(K17, K$7:$K$21)</f>
        <v>#VALUE!</v>
      </c>
      <c r="N17" s="564"/>
      <c r="O17" s="564"/>
      <c r="P17" s="418" t="s">
        <v>639</v>
      </c>
      <c r="Q17" s="425" t="s">
        <v>639</v>
      </c>
      <c r="R17" s="425" t="s">
        <v>639</v>
      </c>
      <c r="S17" s="420" t="e">
        <f t="shared" si="3"/>
        <v>#VALUE!</v>
      </c>
      <c r="T17" s="572"/>
      <c r="U17" s="418" t="s">
        <v>639</v>
      </c>
      <c r="V17" s="425" t="s">
        <v>639</v>
      </c>
      <c r="W17" s="425" t="s">
        <v>639</v>
      </c>
      <c r="X17" s="420" t="e">
        <f t="shared" si="5"/>
        <v>#VALUE!</v>
      </c>
      <c r="Y17" s="572"/>
      <c r="Z17" s="418" t="s">
        <v>639</v>
      </c>
      <c r="AA17" s="425" t="s">
        <v>639</v>
      </c>
      <c r="AB17" s="425" t="s">
        <v>639</v>
      </c>
      <c r="AC17" s="420" t="e">
        <f t="shared" si="7"/>
        <v>#VALUE!</v>
      </c>
      <c r="AD17" s="572"/>
      <c r="AE17" s="418" t="s">
        <v>639</v>
      </c>
      <c r="AF17" s="425" t="s">
        <v>639</v>
      </c>
      <c r="AG17" s="425" t="s">
        <v>639</v>
      </c>
      <c r="AH17" s="420" t="e">
        <f t="shared" si="9"/>
        <v>#VALUE!</v>
      </c>
      <c r="AI17" s="572"/>
      <c r="AJ17" s="418" t="s">
        <v>639</v>
      </c>
      <c r="AK17" s="425" t="s">
        <v>639</v>
      </c>
      <c r="AL17" s="425" t="s">
        <v>639</v>
      </c>
      <c r="AM17" s="420" t="e">
        <f t="shared" si="11"/>
        <v>#VALUE!</v>
      </c>
      <c r="AN17" s="572"/>
      <c r="AO17" s="418" t="s">
        <v>639</v>
      </c>
      <c r="AP17" s="425" t="s">
        <v>639</v>
      </c>
      <c r="AQ17" s="425" t="s">
        <v>639</v>
      </c>
      <c r="AR17" s="420" t="e">
        <f t="shared" si="13"/>
        <v>#VALUE!</v>
      </c>
      <c r="AS17" s="572"/>
      <c r="AT17" s="418" t="s">
        <v>639</v>
      </c>
      <c r="AU17" s="425" t="s">
        <v>639</v>
      </c>
      <c r="AV17" s="425" t="s">
        <v>639</v>
      </c>
      <c r="AW17" s="420" t="e">
        <f t="shared" si="15"/>
        <v>#VALUE!</v>
      </c>
      <c r="AX17" s="572"/>
      <c r="AZ17" s="408" t="e">
        <f t="shared" si="17"/>
        <v>#N/A</v>
      </c>
      <c r="BA17" s="572"/>
    </row>
    <row r="18" spans="2:53">
      <c r="B18" s="600"/>
      <c r="C18" s="418">
        <v>12</v>
      </c>
      <c r="D18" s="226"/>
      <c r="E18" s="425"/>
      <c r="F18" s="418"/>
      <c r="G18" s="419"/>
      <c r="H18" s="628"/>
      <c r="I18" s="422" t="str">
        <f t="shared" si="0"/>
        <v>-</v>
      </c>
      <c r="J18" s="422" t="str">
        <f t="shared" si="1"/>
        <v>-</v>
      </c>
      <c r="K18" s="200" t="str">
        <f t="shared" si="2"/>
        <v>-</v>
      </c>
      <c r="L18" s="581"/>
      <c r="M18" s="424" t="e">
        <f>RANK(K18, K$7:$K$21)</f>
        <v>#VALUE!</v>
      </c>
      <c r="N18" s="564"/>
      <c r="O18" s="564"/>
      <c r="P18" s="418" t="s">
        <v>639</v>
      </c>
      <c r="Q18" s="425" t="s">
        <v>639</v>
      </c>
      <c r="R18" s="425" t="s">
        <v>639</v>
      </c>
      <c r="S18" s="420" t="e">
        <f t="shared" si="3"/>
        <v>#VALUE!</v>
      </c>
      <c r="T18" s="572"/>
      <c r="U18" s="418" t="s">
        <v>639</v>
      </c>
      <c r="V18" s="425" t="s">
        <v>639</v>
      </c>
      <c r="W18" s="425" t="s">
        <v>639</v>
      </c>
      <c r="X18" s="420" t="e">
        <f t="shared" si="5"/>
        <v>#VALUE!</v>
      </c>
      <c r="Y18" s="572"/>
      <c r="Z18" s="418" t="s">
        <v>639</v>
      </c>
      <c r="AA18" s="425" t="s">
        <v>639</v>
      </c>
      <c r="AB18" s="425" t="s">
        <v>639</v>
      </c>
      <c r="AC18" s="420" t="e">
        <f t="shared" si="7"/>
        <v>#VALUE!</v>
      </c>
      <c r="AD18" s="572"/>
      <c r="AE18" s="418" t="s">
        <v>639</v>
      </c>
      <c r="AF18" s="425" t="s">
        <v>639</v>
      </c>
      <c r="AG18" s="425" t="s">
        <v>639</v>
      </c>
      <c r="AH18" s="420" t="e">
        <f t="shared" si="9"/>
        <v>#VALUE!</v>
      </c>
      <c r="AI18" s="572"/>
      <c r="AJ18" s="418" t="s">
        <v>639</v>
      </c>
      <c r="AK18" s="425" t="s">
        <v>639</v>
      </c>
      <c r="AL18" s="425" t="s">
        <v>639</v>
      </c>
      <c r="AM18" s="420" t="e">
        <f t="shared" si="11"/>
        <v>#VALUE!</v>
      </c>
      <c r="AN18" s="572"/>
      <c r="AO18" s="418" t="s">
        <v>639</v>
      </c>
      <c r="AP18" s="425" t="s">
        <v>639</v>
      </c>
      <c r="AQ18" s="425" t="s">
        <v>639</v>
      </c>
      <c r="AR18" s="420" t="e">
        <f t="shared" si="13"/>
        <v>#VALUE!</v>
      </c>
      <c r="AS18" s="572"/>
      <c r="AT18" s="418" t="s">
        <v>639</v>
      </c>
      <c r="AU18" s="425" t="s">
        <v>639</v>
      </c>
      <c r="AV18" s="425" t="s">
        <v>639</v>
      </c>
      <c r="AW18" s="420" t="e">
        <f t="shared" si="15"/>
        <v>#VALUE!</v>
      </c>
      <c r="AX18" s="572"/>
      <c r="AZ18" s="408" t="e">
        <f t="shared" si="17"/>
        <v>#N/A</v>
      </c>
      <c r="BA18" s="572"/>
    </row>
    <row r="19" spans="2:53">
      <c r="B19" s="600"/>
      <c r="C19" s="418">
        <v>13</v>
      </c>
      <c r="D19" s="226"/>
      <c r="E19" s="425"/>
      <c r="F19" s="418"/>
      <c r="G19" s="419"/>
      <c r="H19" s="628"/>
      <c r="I19" s="422" t="str">
        <f t="shared" si="0"/>
        <v>-</v>
      </c>
      <c r="J19" s="422" t="str">
        <f t="shared" si="1"/>
        <v>-</v>
      </c>
      <c r="K19" s="200" t="str">
        <f t="shared" si="2"/>
        <v>-</v>
      </c>
      <c r="L19" s="581"/>
      <c r="M19" s="424" t="e">
        <f>RANK(K19, K$7:$K$21)</f>
        <v>#VALUE!</v>
      </c>
      <c r="N19" s="564"/>
      <c r="O19" s="564"/>
      <c r="P19" s="418" t="s">
        <v>639</v>
      </c>
      <c r="Q19" s="425" t="s">
        <v>639</v>
      </c>
      <c r="R19" s="425" t="s">
        <v>639</v>
      </c>
      <c r="S19" s="420" t="e">
        <f t="shared" si="3"/>
        <v>#VALUE!</v>
      </c>
      <c r="T19" s="572"/>
      <c r="U19" s="418" t="s">
        <v>639</v>
      </c>
      <c r="V19" s="425" t="s">
        <v>639</v>
      </c>
      <c r="W19" s="425" t="s">
        <v>639</v>
      </c>
      <c r="X19" s="420" t="e">
        <f t="shared" si="5"/>
        <v>#VALUE!</v>
      </c>
      <c r="Y19" s="572"/>
      <c r="Z19" s="418" t="s">
        <v>639</v>
      </c>
      <c r="AA19" s="425" t="s">
        <v>639</v>
      </c>
      <c r="AB19" s="425" t="s">
        <v>639</v>
      </c>
      <c r="AC19" s="420" t="e">
        <f t="shared" si="7"/>
        <v>#VALUE!</v>
      </c>
      <c r="AD19" s="572"/>
      <c r="AE19" s="418" t="s">
        <v>639</v>
      </c>
      <c r="AF19" s="425" t="s">
        <v>639</v>
      </c>
      <c r="AG19" s="425" t="s">
        <v>639</v>
      </c>
      <c r="AH19" s="420" t="e">
        <f t="shared" si="9"/>
        <v>#VALUE!</v>
      </c>
      <c r="AI19" s="572"/>
      <c r="AJ19" s="418" t="s">
        <v>639</v>
      </c>
      <c r="AK19" s="425" t="s">
        <v>639</v>
      </c>
      <c r="AL19" s="425" t="s">
        <v>639</v>
      </c>
      <c r="AM19" s="420" t="e">
        <f t="shared" si="11"/>
        <v>#VALUE!</v>
      </c>
      <c r="AN19" s="572"/>
      <c r="AO19" s="418" t="s">
        <v>639</v>
      </c>
      <c r="AP19" s="425" t="s">
        <v>639</v>
      </c>
      <c r="AQ19" s="425" t="s">
        <v>639</v>
      </c>
      <c r="AR19" s="420" t="e">
        <f t="shared" si="13"/>
        <v>#VALUE!</v>
      </c>
      <c r="AS19" s="572"/>
      <c r="AT19" s="418" t="s">
        <v>639</v>
      </c>
      <c r="AU19" s="425" t="s">
        <v>639</v>
      </c>
      <c r="AV19" s="425" t="s">
        <v>639</v>
      </c>
      <c r="AW19" s="420" t="e">
        <f t="shared" si="15"/>
        <v>#VALUE!</v>
      </c>
      <c r="AX19" s="572"/>
      <c r="AZ19" s="408" t="e">
        <f t="shared" si="17"/>
        <v>#N/A</v>
      </c>
      <c r="BA19" s="572"/>
    </row>
    <row r="20" spans="2:53">
      <c r="B20" s="600"/>
      <c r="C20" s="418">
        <v>14</v>
      </c>
      <c r="D20" s="226"/>
      <c r="E20" s="425"/>
      <c r="F20" s="418"/>
      <c r="G20" s="419"/>
      <c r="H20" s="628"/>
      <c r="I20" s="422" t="str">
        <f t="shared" si="0"/>
        <v>-</v>
      </c>
      <c r="J20" s="422" t="str">
        <f t="shared" si="1"/>
        <v>-</v>
      </c>
      <c r="K20" s="200" t="str">
        <f t="shared" si="2"/>
        <v>-</v>
      </c>
      <c r="L20" s="581"/>
      <c r="M20" s="424" t="e">
        <f>RANK(K20, K$7:$K$21)</f>
        <v>#VALUE!</v>
      </c>
      <c r="N20" s="564"/>
      <c r="O20" s="564"/>
      <c r="P20" s="418" t="s">
        <v>639</v>
      </c>
      <c r="Q20" s="425" t="s">
        <v>639</v>
      </c>
      <c r="R20" s="425" t="s">
        <v>639</v>
      </c>
      <c r="S20" s="420" t="e">
        <f t="shared" si="3"/>
        <v>#VALUE!</v>
      </c>
      <c r="T20" s="572"/>
      <c r="U20" s="418" t="s">
        <v>639</v>
      </c>
      <c r="V20" s="425" t="s">
        <v>639</v>
      </c>
      <c r="W20" s="425" t="s">
        <v>639</v>
      </c>
      <c r="X20" s="420" t="e">
        <f t="shared" si="5"/>
        <v>#VALUE!</v>
      </c>
      <c r="Y20" s="572"/>
      <c r="Z20" s="418" t="s">
        <v>639</v>
      </c>
      <c r="AA20" s="425" t="s">
        <v>639</v>
      </c>
      <c r="AB20" s="425" t="s">
        <v>639</v>
      </c>
      <c r="AC20" s="420" t="e">
        <f t="shared" si="7"/>
        <v>#VALUE!</v>
      </c>
      <c r="AD20" s="572"/>
      <c r="AE20" s="418" t="s">
        <v>639</v>
      </c>
      <c r="AF20" s="425" t="s">
        <v>639</v>
      </c>
      <c r="AG20" s="425" t="s">
        <v>639</v>
      </c>
      <c r="AH20" s="420" t="e">
        <f t="shared" si="9"/>
        <v>#VALUE!</v>
      </c>
      <c r="AI20" s="572"/>
      <c r="AJ20" s="418" t="s">
        <v>639</v>
      </c>
      <c r="AK20" s="425" t="s">
        <v>639</v>
      </c>
      <c r="AL20" s="425" t="s">
        <v>639</v>
      </c>
      <c r="AM20" s="420" t="e">
        <f t="shared" si="11"/>
        <v>#VALUE!</v>
      </c>
      <c r="AN20" s="572"/>
      <c r="AO20" s="418" t="s">
        <v>639</v>
      </c>
      <c r="AP20" s="425" t="s">
        <v>639</v>
      </c>
      <c r="AQ20" s="425" t="s">
        <v>639</v>
      </c>
      <c r="AR20" s="420" t="e">
        <f t="shared" si="13"/>
        <v>#VALUE!</v>
      </c>
      <c r="AS20" s="572"/>
      <c r="AT20" s="418" t="s">
        <v>639</v>
      </c>
      <c r="AU20" s="425" t="s">
        <v>639</v>
      </c>
      <c r="AV20" s="425" t="s">
        <v>639</v>
      </c>
      <c r="AW20" s="420" t="e">
        <f t="shared" si="15"/>
        <v>#VALUE!</v>
      </c>
      <c r="AX20" s="572"/>
      <c r="AZ20" s="408" t="e">
        <f t="shared" si="17"/>
        <v>#N/A</v>
      </c>
      <c r="BA20" s="572"/>
    </row>
    <row r="21" spans="2:53">
      <c r="B21" s="600"/>
      <c r="C21" s="418">
        <v>15</v>
      </c>
      <c r="D21" s="226"/>
      <c r="E21" s="425"/>
      <c r="F21" s="418"/>
      <c r="G21" s="419"/>
      <c r="H21" s="629"/>
      <c r="I21" s="420"/>
      <c r="J21" s="420"/>
      <c r="K21" s="420"/>
      <c r="L21" s="582"/>
      <c r="M21" s="424" t="e">
        <f>RANK(K21, K$7:$K$21)</f>
        <v>#N/A</v>
      </c>
      <c r="N21" s="564"/>
      <c r="O21" s="564"/>
      <c r="P21" s="418" t="s">
        <v>639</v>
      </c>
      <c r="Q21" s="425" t="s">
        <v>639</v>
      </c>
      <c r="R21" s="425" t="s">
        <v>639</v>
      </c>
      <c r="S21" s="420" t="e">
        <f t="shared" si="3"/>
        <v>#VALUE!</v>
      </c>
      <c r="T21" s="572"/>
      <c r="U21" s="418" t="s">
        <v>639</v>
      </c>
      <c r="V21" s="425" t="s">
        <v>639</v>
      </c>
      <c r="W21" s="425" t="s">
        <v>639</v>
      </c>
      <c r="X21" s="420" t="e">
        <f t="shared" si="5"/>
        <v>#VALUE!</v>
      </c>
      <c r="Y21" s="572"/>
      <c r="Z21" s="418" t="s">
        <v>639</v>
      </c>
      <c r="AA21" s="425" t="s">
        <v>639</v>
      </c>
      <c r="AB21" s="425" t="s">
        <v>639</v>
      </c>
      <c r="AC21" s="420" t="e">
        <f t="shared" si="7"/>
        <v>#VALUE!</v>
      </c>
      <c r="AD21" s="572"/>
      <c r="AE21" s="418" t="s">
        <v>639</v>
      </c>
      <c r="AF21" s="425" t="s">
        <v>639</v>
      </c>
      <c r="AG21" s="425" t="s">
        <v>639</v>
      </c>
      <c r="AH21" s="420" t="e">
        <f t="shared" si="9"/>
        <v>#VALUE!</v>
      </c>
      <c r="AI21" s="572"/>
      <c r="AJ21" s="418" t="s">
        <v>639</v>
      </c>
      <c r="AK21" s="425" t="s">
        <v>639</v>
      </c>
      <c r="AL21" s="425" t="s">
        <v>639</v>
      </c>
      <c r="AM21" s="420" t="e">
        <f t="shared" si="11"/>
        <v>#VALUE!</v>
      </c>
      <c r="AN21" s="572"/>
      <c r="AO21" s="418" t="s">
        <v>639</v>
      </c>
      <c r="AP21" s="425" t="s">
        <v>639</v>
      </c>
      <c r="AQ21" s="425" t="s">
        <v>639</v>
      </c>
      <c r="AR21" s="420" t="e">
        <f t="shared" si="13"/>
        <v>#VALUE!</v>
      </c>
      <c r="AS21" s="572"/>
      <c r="AT21" s="425">
        <v>0</v>
      </c>
      <c r="AU21" s="425">
        <v>0</v>
      </c>
      <c r="AV21" s="425">
        <v>0</v>
      </c>
      <c r="AW21" s="420">
        <f t="shared" si="15"/>
        <v>8</v>
      </c>
      <c r="AX21" s="572"/>
      <c r="AZ21" s="408" t="e">
        <f t="shared" si="17"/>
        <v>#N/A</v>
      </c>
      <c r="BA21" s="572"/>
    </row>
    <row r="22" spans="2:53" ht="15.75">
      <c r="B22" s="608" t="s">
        <v>163</v>
      </c>
      <c r="C22" s="609"/>
      <c r="D22" s="609"/>
      <c r="E22" s="609"/>
      <c r="F22" s="609"/>
      <c r="G22" s="609"/>
      <c r="H22" s="609"/>
      <c r="I22" s="203"/>
      <c r="J22" s="203"/>
      <c r="K22" s="203"/>
      <c r="L22" s="203"/>
      <c r="M22" s="204"/>
      <c r="N22" s="566" t="s">
        <v>156</v>
      </c>
      <c r="O22" s="566" t="s">
        <v>105</v>
      </c>
      <c r="P22" s="592">
        <f>P2+7</f>
        <v>46147</v>
      </c>
      <c r="Q22" s="570"/>
      <c r="R22" s="570"/>
      <c r="S22" s="570"/>
      <c r="T22" s="570"/>
      <c r="U22" s="589">
        <f>P22+1</f>
        <v>46148</v>
      </c>
      <c r="V22" s="590"/>
      <c r="W22" s="590"/>
      <c r="X22" s="590"/>
      <c r="Y22" s="591"/>
      <c r="Z22" s="589">
        <f>U22+1</f>
        <v>46149</v>
      </c>
      <c r="AA22" s="590"/>
      <c r="AB22" s="590"/>
      <c r="AC22" s="590"/>
      <c r="AD22" s="591"/>
      <c r="AE22" s="589">
        <f>Z22+1</f>
        <v>46150</v>
      </c>
      <c r="AF22" s="590"/>
      <c r="AG22" s="590"/>
      <c r="AH22" s="590"/>
      <c r="AI22" s="591"/>
      <c r="AJ22" s="589">
        <f>AE22+1</f>
        <v>46151</v>
      </c>
      <c r="AK22" s="590"/>
      <c r="AL22" s="590"/>
      <c r="AM22" s="590"/>
      <c r="AN22" s="591"/>
      <c r="AO22" s="589">
        <f>AJ22+1</f>
        <v>46152</v>
      </c>
      <c r="AP22" s="590"/>
      <c r="AQ22" s="590"/>
      <c r="AR22" s="590"/>
      <c r="AS22" s="591"/>
      <c r="AT22" s="589">
        <f>AO22+1</f>
        <v>46153</v>
      </c>
      <c r="AU22" s="590"/>
      <c r="AV22" s="590"/>
      <c r="AW22" s="590"/>
      <c r="AX22" s="591"/>
    </row>
    <row r="23" spans="2:53" ht="15.75">
      <c r="B23" s="596"/>
      <c r="C23" s="596"/>
      <c r="D23" s="596"/>
      <c r="E23" s="596"/>
      <c r="F23" s="596"/>
      <c r="G23" s="596"/>
      <c r="H23" s="596"/>
      <c r="I23" s="205"/>
      <c r="J23" s="205"/>
      <c r="K23" s="205"/>
      <c r="L23" s="205"/>
      <c r="M23" s="206"/>
      <c r="N23" s="568"/>
      <c r="O23" s="568"/>
      <c r="P23" s="592" t="s">
        <v>318</v>
      </c>
      <c r="Q23" s="570"/>
      <c r="R23" s="570"/>
      <c r="S23" s="570"/>
      <c r="T23" s="570"/>
      <c r="U23" s="592" t="s">
        <v>319</v>
      </c>
      <c r="V23" s="570"/>
      <c r="W23" s="570"/>
      <c r="X23" s="570"/>
      <c r="Y23" s="570"/>
      <c r="Z23" s="592" t="s">
        <v>320</v>
      </c>
      <c r="AA23" s="570"/>
      <c r="AB23" s="570"/>
      <c r="AC23" s="570"/>
      <c r="AD23" s="570"/>
      <c r="AE23" s="592" t="s">
        <v>321</v>
      </c>
      <c r="AF23" s="570"/>
      <c r="AG23" s="570"/>
      <c r="AH23" s="570"/>
      <c r="AI23" s="570"/>
      <c r="AJ23" s="592" t="s">
        <v>322</v>
      </c>
      <c r="AK23" s="570"/>
      <c r="AL23" s="570"/>
      <c r="AM23" s="570"/>
      <c r="AN23" s="570"/>
      <c r="AO23" s="592" t="s">
        <v>323</v>
      </c>
      <c r="AP23" s="570"/>
      <c r="AQ23" s="570"/>
      <c r="AR23" s="570"/>
      <c r="AS23" s="570"/>
      <c r="AT23" s="592" t="s">
        <v>324</v>
      </c>
      <c r="AU23" s="570"/>
      <c r="AV23" s="570"/>
      <c r="AW23" s="570"/>
      <c r="AX23" s="570"/>
    </row>
    <row r="24" spans="2:53">
      <c r="B24" s="564" t="s">
        <v>456</v>
      </c>
      <c r="C24" s="564" t="s">
        <v>560</v>
      </c>
      <c r="D24" s="564"/>
      <c r="E24" s="564" t="s">
        <v>561</v>
      </c>
      <c r="F24" s="564"/>
      <c r="G24" s="564"/>
      <c r="H24" s="597" t="s">
        <v>562</v>
      </c>
      <c r="I24" s="564" t="s">
        <v>563</v>
      </c>
      <c r="J24" s="564"/>
      <c r="K24" s="564"/>
      <c r="L24" s="597" t="s">
        <v>374</v>
      </c>
      <c r="M24" s="566" t="s">
        <v>564</v>
      </c>
      <c r="N24" s="564"/>
      <c r="O24" s="564" t="s">
        <v>380</v>
      </c>
      <c r="P24" s="583" t="s">
        <v>376</v>
      </c>
      <c r="Q24" s="584"/>
      <c r="R24" s="584"/>
      <c r="S24" s="585"/>
      <c r="T24" s="564" t="s">
        <v>374</v>
      </c>
      <c r="U24" s="583" t="s">
        <v>376</v>
      </c>
      <c r="V24" s="584"/>
      <c r="W24" s="584"/>
      <c r="X24" s="585"/>
      <c r="Y24" s="564" t="s">
        <v>374</v>
      </c>
      <c r="Z24" s="583" t="s">
        <v>376</v>
      </c>
      <c r="AA24" s="584"/>
      <c r="AB24" s="584"/>
      <c r="AC24" s="585"/>
      <c r="AD24" s="564" t="s">
        <v>374</v>
      </c>
      <c r="AE24" s="583" t="s">
        <v>376</v>
      </c>
      <c r="AF24" s="584"/>
      <c r="AG24" s="584"/>
      <c r="AH24" s="585"/>
      <c r="AI24" s="564" t="s">
        <v>374</v>
      </c>
      <c r="AJ24" s="583" t="s">
        <v>376</v>
      </c>
      <c r="AK24" s="584"/>
      <c r="AL24" s="584"/>
      <c r="AM24" s="585"/>
      <c r="AN24" s="564" t="s">
        <v>374</v>
      </c>
      <c r="AO24" s="583" t="s">
        <v>376</v>
      </c>
      <c r="AP24" s="584"/>
      <c r="AQ24" s="584"/>
      <c r="AR24" s="585"/>
      <c r="AS24" s="564" t="s">
        <v>374</v>
      </c>
      <c r="AT24" s="583" t="s">
        <v>376</v>
      </c>
      <c r="AU24" s="584"/>
      <c r="AV24" s="584"/>
      <c r="AW24" s="585"/>
      <c r="AX24" s="564" t="s">
        <v>374</v>
      </c>
      <c r="BA24" s="564" t="s">
        <v>374</v>
      </c>
    </row>
    <row r="25" spans="2:53">
      <c r="B25" s="564"/>
      <c r="C25" s="564"/>
      <c r="D25" s="564"/>
      <c r="E25" s="564" t="s">
        <v>566</v>
      </c>
      <c r="F25" s="564"/>
      <c r="G25" s="564"/>
      <c r="H25" s="598"/>
      <c r="I25" s="564" t="s">
        <v>566</v>
      </c>
      <c r="J25" s="564"/>
      <c r="K25" s="564"/>
      <c r="L25" s="598"/>
      <c r="M25" s="567"/>
      <c r="N25" s="564"/>
      <c r="O25" s="564"/>
      <c r="P25" s="583" t="s">
        <v>382</v>
      </c>
      <c r="Q25" s="584"/>
      <c r="R25" s="584"/>
      <c r="S25" s="585"/>
      <c r="T25" s="564"/>
      <c r="U25" s="583" t="s">
        <v>382</v>
      </c>
      <c r="V25" s="584"/>
      <c r="W25" s="584"/>
      <c r="X25" s="585"/>
      <c r="Y25" s="564"/>
      <c r="Z25" s="583" t="s">
        <v>382</v>
      </c>
      <c r="AA25" s="584"/>
      <c r="AB25" s="584"/>
      <c r="AC25" s="585"/>
      <c r="AD25" s="564"/>
      <c r="AE25" s="583" t="s">
        <v>382</v>
      </c>
      <c r="AF25" s="584"/>
      <c r="AG25" s="584"/>
      <c r="AH25" s="585"/>
      <c r="AI25" s="564"/>
      <c r="AJ25" s="583" t="s">
        <v>382</v>
      </c>
      <c r="AK25" s="584"/>
      <c r="AL25" s="584"/>
      <c r="AM25" s="585"/>
      <c r="AN25" s="564"/>
      <c r="AO25" s="583" t="s">
        <v>382</v>
      </c>
      <c r="AP25" s="584"/>
      <c r="AQ25" s="584"/>
      <c r="AR25" s="585"/>
      <c r="AS25" s="564"/>
      <c r="AT25" s="583" t="s">
        <v>382</v>
      </c>
      <c r="AU25" s="584"/>
      <c r="AV25" s="584"/>
      <c r="AW25" s="585"/>
      <c r="AX25" s="564"/>
      <c r="BA25" s="564"/>
    </row>
    <row r="26" spans="2:53">
      <c r="B26" s="564"/>
      <c r="C26" s="564"/>
      <c r="D26" s="564"/>
      <c r="E26" s="417" t="s">
        <v>567</v>
      </c>
      <c r="F26" s="417" t="s">
        <v>568</v>
      </c>
      <c r="G26" s="417" t="s">
        <v>569</v>
      </c>
      <c r="H26" s="599"/>
      <c r="I26" s="417" t="s">
        <v>567</v>
      </c>
      <c r="J26" s="417" t="s">
        <v>568</v>
      </c>
      <c r="K26" s="417" t="s">
        <v>569</v>
      </c>
      <c r="L26" s="599"/>
      <c r="M26" s="568"/>
      <c r="N26" s="564"/>
      <c r="O26" s="564"/>
      <c r="P26" s="417" t="s">
        <v>383</v>
      </c>
      <c r="Q26" s="417" t="s">
        <v>384</v>
      </c>
      <c r="R26" s="417" t="s">
        <v>385</v>
      </c>
      <c r="S26" s="417" t="s">
        <v>375</v>
      </c>
      <c r="T26" s="564"/>
      <c r="U26" s="417" t="s">
        <v>383</v>
      </c>
      <c r="V26" s="417" t="s">
        <v>384</v>
      </c>
      <c r="W26" s="417" t="s">
        <v>385</v>
      </c>
      <c r="X26" s="417" t="s">
        <v>375</v>
      </c>
      <c r="Y26" s="564"/>
      <c r="Z26" s="417" t="s">
        <v>383</v>
      </c>
      <c r="AA26" s="417" t="s">
        <v>384</v>
      </c>
      <c r="AB26" s="417" t="s">
        <v>385</v>
      </c>
      <c r="AC26" s="417" t="s">
        <v>375</v>
      </c>
      <c r="AD26" s="564"/>
      <c r="AE26" s="417" t="s">
        <v>383</v>
      </c>
      <c r="AF26" s="417" t="s">
        <v>384</v>
      </c>
      <c r="AG26" s="417" t="s">
        <v>385</v>
      </c>
      <c r="AH26" s="417" t="s">
        <v>375</v>
      </c>
      <c r="AI26" s="564"/>
      <c r="AJ26" s="417" t="s">
        <v>383</v>
      </c>
      <c r="AK26" s="417" t="s">
        <v>384</v>
      </c>
      <c r="AL26" s="417" t="s">
        <v>385</v>
      </c>
      <c r="AM26" s="417" t="s">
        <v>375</v>
      </c>
      <c r="AN26" s="564"/>
      <c r="AO26" s="417" t="s">
        <v>383</v>
      </c>
      <c r="AP26" s="417" t="s">
        <v>384</v>
      </c>
      <c r="AQ26" s="417" t="s">
        <v>385</v>
      </c>
      <c r="AR26" s="417" t="s">
        <v>375</v>
      </c>
      <c r="AS26" s="564"/>
      <c r="AT26" s="417" t="s">
        <v>383</v>
      </c>
      <c r="AU26" s="417" t="s">
        <v>384</v>
      </c>
      <c r="AV26" s="417" t="s">
        <v>385</v>
      </c>
      <c r="AW26" s="417" t="s">
        <v>375</v>
      </c>
      <c r="AX26" s="564"/>
      <c r="AZ26" s="406" t="s">
        <v>375</v>
      </c>
      <c r="BA26" s="564"/>
    </row>
    <row r="27" spans="2:53">
      <c r="B27" s="564" t="s">
        <v>457</v>
      </c>
      <c r="C27" s="420">
        <v>1</v>
      </c>
      <c r="D27" s="226" t="s">
        <v>361</v>
      </c>
      <c r="E27" s="425">
        <v>7</v>
      </c>
      <c r="F27" s="418">
        <v>1500</v>
      </c>
      <c r="G27" s="419">
        <v>214.3</v>
      </c>
      <c r="H27" s="578">
        <f>AVERAGE(G27:G41)</f>
        <v>184.21428571428575</v>
      </c>
      <c r="I27" s="422">
        <f t="shared" ref="I27:I40" si="19">IFERROR(AVERAGE(P27,U27,Z27,AE27,AJ27,AO27,AT27),"-")</f>
        <v>7</v>
      </c>
      <c r="J27" s="422">
        <f t="shared" ref="J27:J40" si="20">IFERROR(AVERAGE(Q27,V27,AA27,AF27,AK27,AP27,AU27),"-")</f>
        <v>1487.4659781273281</v>
      </c>
      <c r="K27" s="200">
        <f t="shared" ref="K27:K40" si="21">IFERROR(AVERAGE(R27,W27,AB27,AG27,AL27,AQ27,AV27),"-")</f>
        <v>212.49513973247545</v>
      </c>
      <c r="L27" s="580">
        <f>IFERROR(AVERAGE(K27:K41),"-")</f>
        <v>177.80695592701596</v>
      </c>
      <c r="M27" s="426">
        <f>RANK(K27, K$24:$K$41)</f>
        <v>3</v>
      </c>
      <c r="N27" s="564"/>
      <c r="O27" s="564"/>
      <c r="P27" s="420">
        <v>7</v>
      </c>
      <c r="Q27" s="426">
        <v>1494.2553191489355</v>
      </c>
      <c r="R27" s="426">
        <v>213.46504559270508</v>
      </c>
      <c r="S27" s="420">
        <f>RANK(R27, R$24:R$41)</f>
        <v>3</v>
      </c>
      <c r="T27" s="572">
        <f>AVERAGE(R27:R41)</f>
        <v>174.48991603246307</v>
      </c>
      <c r="U27" s="420">
        <v>7</v>
      </c>
      <c r="V27" s="426">
        <v>1485.1612903225803</v>
      </c>
      <c r="W27" s="426">
        <v>212.16589861751146</v>
      </c>
      <c r="X27" s="430">
        <f>RANK(W27, W$24:W$41)</f>
        <v>4</v>
      </c>
      <c r="Y27" s="572">
        <f>AVERAGE(W27:W41)</f>
        <v>174.83073147922036</v>
      </c>
      <c r="Z27" s="420">
        <v>7</v>
      </c>
      <c r="AA27" s="426">
        <v>1487.7272727272727</v>
      </c>
      <c r="AB27" s="426">
        <v>212.53246753246754</v>
      </c>
      <c r="AC27" s="430">
        <f>RANK(AB27, AB$24:AB$41)</f>
        <v>3</v>
      </c>
      <c r="AD27" s="572">
        <f>AVERAGE(AB27:AB41)</f>
        <v>178.42372442964205</v>
      </c>
      <c r="AE27" s="420">
        <v>7</v>
      </c>
      <c r="AF27" s="426">
        <v>1488.75</v>
      </c>
      <c r="AG27" s="426">
        <v>212.67857142857142</v>
      </c>
      <c r="AH27" s="430">
        <f>RANK(AG27, AG$24:AG$41)</f>
        <v>2</v>
      </c>
      <c r="AI27" s="572">
        <f>AVERAGE(AG27:AG41)</f>
        <v>177.95502153545434</v>
      </c>
      <c r="AJ27" s="420">
        <v>7</v>
      </c>
      <c r="AK27" s="426">
        <v>1483.7647058823527</v>
      </c>
      <c r="AL27" s="426">
        <v>211.96638655462181</v>
      </c>
      <c r="AM27" s="430">
        <f>RANK(AL27, AL$24:AL$41)</f>
        <v>2</v>
      </c>
      <c r="AN27" s="572">
        <f>AVERAGE(AL27:AL41)</f>
        <v>179.38011233589029</v>
      </c>
      <c r="AO27" s="420">
        <v>7</v>
      </c>
      <c r="AP27" s="426">
        <v>1491.7241379310344</v>
      </c>
      <c r="AQ27" s="426">
        <v>213.10344827586206</v>
      </c>
      <c r="AR27" s="430">
        <f>RANK(AQ27, AQ$24:AQ$41)</f>
        <v>3</v>
      </c>
      <c r="AS27" s="572">
        <f>AVERAGE(AQ27:AQ41)</f>
        <v>179.01458024299274</v>
      </c>
      <c r="AT27" s="425">
        <v>7</v>
      </c>
      <c r="AU27" s="425">
        <v>1480.879120879121</v>
      </c>
      <c r="AV27" s="419">
        <v>211.55416012558871</v>
      </c>
      <c r="AW27" s="430">
        <f>RANK(AV27, AV$24:AV$41)</f>
        <v>4</v>
      </c>
      <c r="AX27" s="572">
        <f>AVERAGE(AV27:AV41)</f>
        <v>180.55460543344887</v>
      </c>
      <c r="AZ27" s="407" t="e">
        <f t="shared" ref="AZ27:AZ41" si="22">RANK(AY27, AY$27:AY$41)</f>
        <v>#N/A</v>
      </c>
      <c r="BA27" s="559" t="e">
        <f t="shared" ref="BA27" si="23">AVERAGE(AY27:AY41)</f>
        <v>#DIV/0!</v>
      </c>
    </row>
    <row r="28" spans="2:53">
      <c r="B28" s="570"/>
      <c r="C28" s="420">
        <v>2</v>
      </c>
      <c r="D28" s="226" t="s">
        <v>362</v>
      </c>
      <c r="E28" s="425">
        <v>7</v>
      </c>
      <c r="F28" s="418">
        <v>1500</v>
      </c>
      <c r="G28" s="419">
        <v>214.3</v>
      </c>
      <c r="H28" s="579"/>
      <c r="I28" s="422">
        <f t="shared" si="19"/>
        <v>7</v>
      </c>
      <c r="J28" s="422">
        <f t="shared" si="20"/>
        <v>1486.2549119748378</v>
      </c>
      <c r="K28" s="200">
        <f t="shared" si="21"/>
        <v>212.32213028211973</v>
      </c>
      <c r="L28" s="581"/>
      <c r="M28" s="432">
        <f>RANK(K28, K$24:$K$41)</f>
        <v>4</v>
      </c>
      <c r="N28" s="564"/>
      <c r="O28" s="564"/>
      <c r="P28" s="420">
        <v>7</v>
      </c>
      <c r="Q28" s="426">
        <v>1494.2647058823532</v>
      </c>
      <c r="R28" s="426">
        <v>213.46638655462189</v>
      </c>
      <c r="S28" s="430">
        <f t="shared" ref="S28:S41" si="24">RANK(R28, R$24:R$41)</f>
        <v>2</v>
      </c>
      <c r="T28" s="572"/>
      <c r="U28" s="420">
        <v>7</v>
      </c>
      <c r="V28" s="426">
        <v>1492.3404255319151</v>
      </c>
      <c r="W28" s="426">
        <v>213.19148936170217</v>
      </c>
      <c r="X28" s="430">
        <f t="shared" ref="X28:X41" si="25">RANK(W28, W$24:W$41)</f>
        <v>2</v>
      </c>
      <c r="Y28" s="572"/>
      <c r="Z28" s="420">
        <v>7</v>
      </c>
      <c r="AA28" s="426">
        <v>1495.182481751825</v>
      </c>
      <c r="AB28" s="426">
        <v>213.59749739311786</v>
      </c>
      <c r="AC28" s="430">
        <f t="shared" ref="AC28:AC41" si="26">RANK(AB28, AB$24:AB$41)</f>
        <v>2</v>
      </c>
      <c r="AD28" s="572"/>
      <c r="AE28" s="420">
        <v>7</v>
      </c>
      <c r="AF28" s="426">
        <v>1476.3025210084036</v>
      </c>
      <c r="AG28" s="426">
        <v>210.90036014405766</v>
      </c>
      <c r="AH28" s="430">
        <f t="shared" ref="AH28:AH41" si="27">RANK(AG28, AG$24:AG$41)</f>
        <v>4</v>
      </c>
      <c r="AI28" s="572"/>
      <c r="AJ28" s="420">
        <v>7</v>
      </c>
      <c r="AK28" s="426">
        <v>1466.1290322580639</v>
      </c>
      <c r="AL28" s="426">
        <v>209.44700460829486</v>
      </c>
      <c r="AM28" s="430">
        <f t="shared" ref="AM28:AM41" si="28">RANK(AL28, AL$24:AL$41)</f>
        <v>5</v>
      </c>
      <c r="AN28" s="572"/>
      <c r="AO28" s="420">
        <v>7</v>
      </c>
      <c r="AP28" s="426">
        <v>1473.9130434782608</v>
      </c>
      <c r="AQ28" s="426">
        <v>210.5590062111801</v>
      </c>
      <c r="AR28" s="430">
        <f t="shared" ref="AR28:AR41" si="29">RANK(AQ28, AQ$24:AQ$41)</f>
        <v>4</v>
      </c>
      <c r="AS28" s="572"/>
      <c r="AT28" s="418">
        <v>7</v>
      </c>
      <c r="AU28" s="425">
        <v>1505.6521739130435</v>
      </c>
      <c r="AV28" s="419">
        <v>215.09316770186336</v>
      </c>
      <c r="AW28" s="430">
        <f t="shared" ref="AW28:AW41" si="30">RANK(AV28, AV$24:AV$41)</f>
        <v>3</v>
      </c>
      <c r="AX28" s="572"/>
      <c r="AZ28" s="407" t="e">
        <f t="shared" si="22"/>
        <v>#N/A</v>
      </c>
      <c r="BA28" s="560"/>
    </row>
    <row r="29" spans="2:53">
      <c r="B29" s="570"/>
      <c r="C29" s="420">
        <v>3</v>
      </c>
      <c r="D29" s="226" t="s">
        <v>331</v>
      </c>
      <c r="E29" s="425">
        <v>20</v>
      </c>
      <c r="F29" s="418">
        <v>1500</v>
      </c>
      <c r="G29" s="419">
        <v>75</v>
      </c>
      <c r="H29" s="579"/>
      <c r="I29" s="422">
        <f t="shared" si="19"/>
        <v>19.714285714285715</v>
      </c>
      <c r="J29" s="422">
        <f t="shared" si="20"/>
        <v>1282.0127685056411</v>
      </c>
      <c r="K29" s="200">
        <f t="shared" si="21"/>
        <v>65.067636339648388</v>
      </c>
      <c r="L29" s="581"/>
      <c r="M29" s="432">
        <f>RANK(K29, K$24:$K$41)</f>
        <v>7</v>
      </c>
      <c r="N29" s="564"/>
      <c r="O29" s="564"/>
      <c r="P29" s="420">
        <v>19</v>
      </c>
      <c r="Q29" s="426">
        <v>1286.7272727272732</v>
      </c>
      <c r="R29" s="426">
        <v>67.722488038277532</v>
      </c>
      <c r="S29" s="430">
        <f t="shared" si="24"/>
        <v>7</v>
      </c>
      <c r="T29" s="572"/>
      <c r="U29" s="420">
        <v>19</v>
      </c>
      <c r="V29" s="426">
        <v>1285.4871794871788</v>
      </c>
      <c r="W29" s="426">
        <v>67.657219973009404</v>
      </c>
      <c r="X29" s="430">
        <f t="shared" si="25"/>
        <v>7</v>
      </c>
      <c r="Y29" s="572"/>
      <c r="Z29" s="420">
        <v>20</v>
      </c>
      <c r="AA29" s="426">
        <v>1274.1257142857141</v>
      </c>
      <c r="AB29" s="426">
        <v>63.706285714285706</v>
      </c>
      <c r="AC29" s="430">
        <f t="shared" si="26"/>
        <v>7</v>
      </c>
      <c r="AD29" s="572"/>
      <c r="AE29" s="420">
        <v>20</v>
      </c>
      <c r="AF29" s="426">
        <v>1261.2349514563105</v>
      </c>
      <c r="AG29" s="426">
        <v>63.06174757281552</v>
      </c>
      <c r="AH29" s="430">
        <f t="shared" si="27"/>
        <v>7</v>
      </c>
      <c r="AI29" s="572"/>
      <c r="AJ29" s="420">
        <v>20</v>
      </c>
      <c r="AK29" s="426">
        <v>1277.2972972972973</v>
      </c>
      <c r="AL29" s="426">
        <v>63.864864864864863</v>
      </c>
      <c r="AM29" s="430">
        <f t="shared" si="28"/>
        <v>7</v>
      </c>
      <c r="AN29" s="572"/>
      <c r="AO29" s="420">
        <v>20</v>
      </c>
      <c r="AP29" s="426">
        <v>1292.5312500000007</v>
      </c>
      <c r="AQ29" s="426">
        <v>64.626562500000034</v>
      </c>
      <c r="AR29" s="430">
        <f t="shared" si="29"/>
        <v>7</v>
      </c>
      <c r="AS29" s="572"/>
      <c r="AT29" s="418">
        <v>20</v>
      </c>
      <c r="AU29" s="425">
        <v>1296.6857142857143</v>
      </c>
      <c r="AV29" s="419">
        <v>64.834285714285713</v>
      </c>
      <c r="AW29" s="430">
        <f t="shared" si="30"/>
        <v>7</v>
      </c>
      <c r="AX29" s="572"/>
      <c r="AZ29" s="407" t="e">
        <f t="shared" si="22"/>
        <v>#N/A</v>
      </c>
      <c r="BA29" s="560"/>
    </row>
    <row r="30" spans="2:53">
      <c r="B30" s="570"/>
      <c r="C30" s="420">
        <v>4</v>
      </c>
      <c r="D30" s="226" t="s">
        <v>363</v>
      </c>
      <c r="E30" s="425">
        <v>16</v>
      </c>
      <c r="F30" s="418">
        <v>1440</v>
      </c>
      <c r="G30" s="419">
        <v>84.7</v>
      </c>
      <c r="H30" s="579"/>
      <c r="I30" s="422">
        <f t="shared" si="19"/>
        <v>16</v>
      </c>
      <c r="J30" s="422">
        <f t="shared" si="20"/>
        <v>1356.9521863629595</v>
      </c>
      <c r="K30" s="200">
        <f t="shared" si="21"/>
        <v>84.809511647684971</v>
      </c>
      <c r="L30" s="581"/>
      <c r="M30" s="432">
        <f>RANK(K30, K$24:$K$41)</f>
        <v>6</v>
      </c>
      <c r="N30" s="564"/>
      <c r="O30" s="564"/>
      <c r="P30" s="420">
        <v>16</v>
      </c>
      <c r="Q30" s="426">
        <v>1358.1971830985917</v>
      </c>
      <c r="R30" s="426">
        <v>84.887323943661983</v>
      </c>
      <c r="S30" s="430">
        <f t="shared" si="24"/>
        <v>6</v>
      </c>
      <c r="T30" s="572"/>
      <c r="U30" s="420">
        <v>16</v>
      </c>
      <c r="V30" s="426">
        <v>1370.25</v>
      </c>
      <c r="W30" s="426">
        <v>85.640625</v>
      </c>
      <c r="X30" s="430">
        <f t="shared" si="25"/>
        <v>6</v>
      </c>
      <c r="Y30" s="572"/>
      <c r="Z30" s="420">
        <v>16</v>
      </c>
      <c r="AA30" s="426">
        <v>1346.2499999999998</v>
      </c>
      <c r="AB30" s="426">
        <v>84.140624999999986</v>
      </c>
      <c r="AC30" s="430">
        <f t="shared" si="26"/>
        <v>6</v>
      </c>
      <c r="AD30" s="572"/>
      <c r="AE30" s="420">
        <v>16</v>
      </c>
      <c r="AF30" s="426">
        <v>1353.5294117647059</v>
      </c>
      <c r="AG30" s="426">
        <v>84.595588235294116</v>
      </c>
      <c r="AH30" s="430">
        <f t="shared" si="27"/>
        <v>6</v>
      </c>
      <c r="AI30" s="572"/>
      <c r="AJ30" s="420">
        <v>16</v>
      </c>
      <c r="AK30" s="426">
        <v>1365.6000000000006</v>
      </c>
      <c r="AL30" s="426">
        <v>85.350000000000037</v>
      </c>
      <c r="AM30" s="430">
        <f t="shared" si="28"/>
        <v>6</v>
      </c>
      <c r="AN30" s="572"/>
      <c r="AO30" s="420">
        <v>16</v>
      </c>
      <c r="AP30" s="426">
        <v>1349.9999999999995</v>
      </c>
      <c r="AQ30" s="426">
        <v>84.374999999999972</v>
      </c>
      <c r="AR30" s="430">
        <f t="shared" si="29"/>
        <v>6</v>
      </c>
      <c r="AS30" s="572"/>
      <c r="AT30" s="418">
        <v>16</v>
      </c>
      <c r="AU30" s="425">
        <v>1354.8387096774188</v>
      </c>
      <c r="AV30" s="419">
        <v>84.677419354838676</v>
      </c>
      <c r="AW30" s="430">
        <f t="shared" si="30"/>
        <v>6</v>
      </c>
      <c r="AX30" s="572"/>
      <c r="AZ30" s="407" t="e">
        <f t="shared" si="22"/>
        <v>#N/A</v>
      </c>
      <c r="BA30" s="560"/>
    </row>
    <row r="31" spans="2:53">
      <c r="B31" s="570"/>
      <c r="C31" s="420">
        <v>5</v>
      </c>
      <c r="D31" s="226" t="s">
        <v>401</v>
      </c>
      <c r="E31" s="425">
        <v>7</v>
      </c>
      <c r="F31" s="418">
        <v>1500</v>
      </c>
      <c r="G31" s="419">
        <v>214.3</v>
      </c>
      <c r="H31" s="579"/>
      <c r="I31" s="422">
        <f t="shared" si="19"/>
        <v>7</v>
      </c>
      <c r="J31" s="422">
        <f t="shared" si="20"/>
        <v>1489.3564493143674</v>
      </c>
      <c r="K31" s="200">
        <f t="shared" si="21"/>
        <v>212.76520704490963</v>
      </c>
      <c r="L31" s="581"/>
      <c r="M31" s="432">
        <f>RANK(K31, K$24:$K$41)</f>
        <v>2</v>
      </c>
      <c r="N31" s="564"/>
      <c r="O31" s="564"/>
      <c r="P31" s="420">
        <v>7</v>
      </c>
      <c r="Q31" s="426">
        <v>1490.3225806451615</v>
      </c>
      <c r="R31" s="426">
        <v>212.90322580645164</v>
      </c>
      <c r="S31" s="430">
        <f t="shared" si="24"/>
        <v>4</v>
      </c>
      <c r="T31" s="572"/>
      <c r="U31" s="420">
        <v>7</v>
      </c>
      <c r="V31" s="426">
        <v>1491.6556291390727</v>
      </c>
      <c r="W31" s="426">
        <v>213.09366130558183</v>
      </c>
      <c r="X31" s="430">
        <f t="shared" si="25"/>
        <v>3</v>
      </c>
      <c r="Y31" s="572"/>
      <c r="Z31" s="420">
        <v>7</v>
      </c>
      <c r="AA31" s="426">
        <v>1470.4109589041095</v>
      </c>
      <c r="AB31" s="426">
        <v>210.0587084148728</v>
      </c>
      <c r="AC31" s="430">
        <f t="shared" si="26"/>
        <v>4</v>
      </c>
      <c r="AD31" s="572"/>
      <c r="AE31" s="420">
        <v>7</v>
      </c>
      <c r="AF31" s="426">
        <v>1483.8095238095243</v>
      </c>
      <c r="AG31" s="426">
        <v>211.97278911564632</v>
      </c>
      <c r="AH31" s="430">
        <f t="shared" si="27"/>
        <v>3</v>
      </c>
      <c r="AI31" s="572"/>
      <c r="AJ31" s="420">
        <v>7</v>
      </c>
      <c r="AK31" s="426">
        <v>1483.5937500000005</v>
      </c>
      <c r="AL31" s="426">
        <v>211.94196428571436</v>
      </c>
      <c r="AM31" s="430">
        <f t="shared" si="28"/>
        <v>3</v>
      </c>
      <c r="AN31" s="572"/>
      <c r="AO31" s="420">
        <v>7</v>
      </c>
      <c r="AP31" s="426">
        <v>1498</v>
      </c>
      <c r="AQ31" s="426">
        <v>214</v>
      </c>
      <c r="AR31" s="430">
        <f t="shared" si="29"/>
        <v>2</v>
      </c>
      <c r="AS31" s="572"/>
      <c r="AT31" s="418">
        <v>7</v>
      </c>
      <c r="AU31" s="425">
        <v>1507.7027027027027</v>
      </c>
      <c r="AV31" s="419">
        <v>215.3861003861004</v>
      </c>
      <c r="AW31" s="430">
        <f t="shared" si="30"/>
        <v>2</v>
      </c>
      <c r="AX31" s="572"/>
      <c r="AZ31" s="407" t="e">
        <f t="shared" si="22"/>
        <v>#N/A</v>
      </c>
      <c r="BA31" s="560"/>
    </row>
    <row r="32" spans="2:53">
      <c r="B32" s="570"/>
      <c r="C32" s="420">
        <v>6</v>
      </c>
      <c r="D32" s="226" t="s">
        <v>620</v>
      </c>
      <c r="E32" s="425">
        <v>6</v>
      </c>
      <c r="F32" s="418">
        <v>1636</v>
      </c>
      <c r="G32" s="419">
        <v>272.60000000000002</v>
      </c>
      <c r="H32" s="579"/>
      <c r="I32" s="422">
        <f t="shared" si="19"/>
        <v>6.2857142857142856</v>
      </c>
      <c r="J32" s="422">
        <f t="shared" si="20"/>
        <v>1559.6578715792753</v>
      </c>
      <c r="K32" s="200">
        <f t="shared" si="21"/>
        <v>249.29378678633853</v>
      </c>
      <c r="L32" s="581"/>
      <c r="M32" s="432">
        <f>RANK(K32, K$24:$K$41)</f>
        <v>1</v>
      </c>
      <c r="N32" s="564"/>
      <c r="O32" s="564"/>
      <c r="P32" s="420">
        <v>7</v>
      </c>
      <c r="Q32" s="426">
        <v>1559.5238095238101</v>
      </c>
      <c r="R32" s="426">
        <v>222.78911564625858</v>
      </c>
      <c r="S32" s="430">
        <f t="shared" si="24"/>
        <v>1</v>
      </c>
      <c r="T32" s="572"/>
      <c r="U32" s="420">
        <v>7</v>
      </c>
      <c r="V32" s="426">
        <v>1571.3385826771648</v>
      </c>
      <c r="W32" s="426">
        <v>224.47694038245211</v>
      </c>
      <c r="X32" s="430">
        <f t="shared" si="25"/>
        <v>1</v>
      </c>
      <c r="Y32" s="572"/>
      <c r="Z32" s="420">
        <v>6</v>
      </c>
      <c r="AA32" s="426">
        <v>1541.6528925619839</v>
      </c>
      <c r="AB32" s="426">
        <v>256.94214876033067</v>
      </c>
      <c r="AC32" s="430">
        <f t="shared" si="26"/>
        <v>1</v>
      </c>
      <c r="AD32" s="572"/>
      <c r="AE32" s="420">
        <v>6</v>
      </c>
      <c r="AF32" s="426">
        <v>1530.8411214953269</v>
      </c>
      <c r="AG32" s="426">
        <v>255.14018691588782</v>
      </c>
      <c r="AH32" s="430">
        <f t="shared" si="27"/>
        <v>1</v>
      </c>
      <c r="AI32" s="572"/>
      <c r="AJ32" s="420">
        <v>6</v>
      </c>
      <c r="AK32" s="426">
        <v>1580.9433962264147</v>
      </c>
      <c r="AL32" s="426">
        <v>263.49056603773579</v>
      </c>
      <c r="AM32" s="430">
        <f t="shared" si="28"/>
        <v>1</v>
      </c>
      <c r="AN32" s="572"/>
      <c r="AO32" s="420">
        <v>6</v>
      </c>
      <c r="AP32" s="426">
        <v>1553.7931034482763</v>
      </c>
      <c r="AQ32" s="426">
        <v>258.96551724137936</v>
      </c>
      <c r="AR32" s="430">
        <f t="shared" si="29"/>
        <v>1</v>
      </c>
      <c r="AS32" s="572"/>
      <c r="AT32" s="418">
        <v>6</v>
      </c>
      <c r="AU32" s="425">
        <v>1579.5121951219519</v>
      </c>
      <c r="AV32" s="419">
        <v>263.25203252032532</v>
      </c>
      <c r="AW32" s="430">
        <f t="shared" si="30"/>
        <v>1</v>
      </c>
      <c r="AX32" s="572"/>
      <c r="AZ32" s="407" t="e">
        <f t="shared" si="22"/>
        <v>#N/A</v>
      </c>
      <c r="BA32" s="560"/>
    </row>
    <row r="33" spans="2:53">
      <c r="B33" s="570"/>
      <c r="C33" s="420">
        <v>7</v>
      </c>
      <c r="D33" s="226" t="s">
        <v>599</v>
      </c>
      <c r="E33" s="425">
        <v>7</v>
      </c>
      <c r="F33" s="418">
        <v>1500</v>
      </c>
      <c r="G33" s="419">
        <v>214.3</v>
      </c>
      <c r="H33" s="579"/>
      <c r="I33" s="422">
        <f t="shared" si="19"/>
        <v>7</v>
      </c>
      <c r="J33" s="422">
        <f t="shared" si="20"/>
        <v>1455.2669575915454</v>
      </c>
      <c r="K33" s="200">
        <f t="shared" si="21"/>
        <v>207.89527965593507</v>
      </c>
      <c r="L33" s="581"/>
      <c r="M33" s="432">
        <f>RANK(K33, K$24:$K$41)</f>
        <v>5</v>
      </c>
      <c r="N33" s="564"/>
      <c r="O33" s="564"/>
      <c r="P33" s="420">
        <v>7</v>
      </c>
      <c r="Q33" s="426">
        <v>1443.370786516854</v>
      </c>
      <c r="R33" s="426">
        <v>206.19582664526484</v>
      </c>
      <c r="S33" s="430">
        <f t="shared" si="24"/>
        <v>5</v>
      </c>
      <c r="T33" s="572"/>
      <c r="U33" s="420">
        <v>7</v>
      </c>
      <c r="V33" s="426">
        <v>1453.1250000000005</v>
      </c>
      <c r="W33" s="426">
        <v>207.58928571428578</v>
      </c>
      <c r="X33" s="430">
        <f t="shared" si="25"/>
        <v>5</v>
      </c>
      <c r="Y33" s="572"/>
      <c r="Z33" s="420">
        <v>7</v>
      </c>
      <c r="AA33" s="426">
        <v>1455.9183673469392</v>
      </c>
      <c r="AB33" s="426">
        <v>207.98833819241989</v>
      </c>
      <c r="AC33" s="430">
        <f t="shared" si="26"/>
        <v>5</v>
      </c>
      <c r="AD33" s="572"/>
      <c r="AE33" s="420">
        <v>7</v>
      </c>
      <c r="AF33" s="426">
        <v>1451.3513513513519</v>
      </c>
      <c r="AG33" s="426">
        <v>207.33590733590742</v>
      </c>
      <c r="AH33" s="430">
        <f t="shared" si="27"/>
        <v>5</v>
      </c>
      <c r="AI33" s="572"/>
      <c r="AJ33" s="420">
        <v>7</v>
      </c>
      <c r="AK33" s="426">
        <v>1467.2000000000007</v>
      </c>
      <c r="AL33" s="426">
        <v>209.60000000000011</v>
      </c>
      <c r="AM33" s="430">
        <f t="shared" si="28"/>
        <v>4</v>
      </c>
      <c r="AN33" s="572"/>
      <c r="AO33" s="420">
        <v>7</v>
      </c>
      <c r="AP33" s="426">
        <v>1452.3076923076931</v>
      </c>
      <c r="AQ33" s="426">
        <v>207.47252747252759</v>
      </c>
      <c r="AR33" s="430">
        <f t="shared" si="29"/>
        <v>5</v>
      </c>
      <c r="AS33" s="572"/>
      <c r="AT33" s="418">
        <v>7</v>
      </c>
      <c r="AU33" s="425">
        <v>1463.5955056179776</v>
      </c>
      <c r="AV33" s="419">
        <v>209.08507223113966</v>
      </c>
      <c r="AW33" s="430">
        <f t="shared" si="30"/>
        <v>5</v>
      </c>
      <c r="AX33" s="572"/>
      <c r="AZ33" s="407" t="e">
        <f t="shared" si="22"/>
        <v>#N/A</v>
      </c>
      <c r="BA33" s="560"/>
    </row>
    <row r="34" spans="2:53">
      <c r="B34" s="570"/>
      <c r="C34" s="420">
        <v>8</v>
      </c>
      <c r="D34" s="226"/>
      <c r="E34" s="425"/>
      <c r="F34" s="418"/>
      <c r="G34" s="419"/>
      <c r="H34" s="579"/>
      <c r="I34" s="422" t="str">
        <f t="shared" si="19"/>
        <v>-</v>
      </c>
      <c r="J34" s="422" t="str">
        <f t="shared" si="20"/>
        <v>-</v>
      </c>
      <c r="K34" s="200" t="str">
        <f t="shared" si="21"/>
        <v>-</v>
      </c>
      <c r="L34" s="581"/>
      <c r="M34" s="432" t="e">
        <f>RANK(K34, K$24:$K$41)</f>
        <v>#VALUE!</v>
      </c>
      <c r="N34" s="564"/>
      <c r="O34" s="564"/>
      <c r="P34" s="420"/>
      <c r="Q34" s="426"/>
      <c r="R34" s="426"/>
      <c r="S34" s="430" t="e">
        <f t="shared" si="24"/>
        <v>#N/A</v>
      </c>
      <c r="T34" s="572"/>
      <c r="U34" s="420"/>
      <c r="V34" s="426"/>
      <c r="W34" s="426"/>
      <c r="X34" s="430" t="e">
        <f t="shared" si="25"/>
        <v>#N/A</v>
      </c>
      <c r="Y34" s="572"/>
      <c r="Z34" s="420"/>
      <c r="AA34" s="426"/>
      <c r="AB34" s="426"/>
      <c r="AC34" s="430" t="e">
        <f t="shared" si="26"/>
        <v>#N/A</v>
      </c>
      <c r="AD34" s="572"/>
      <c r="AE34" s="420"/>
      <c r="AF34" s="426"/>
      <c r="AG34" s="426"/>
      <c r="AH34" s="430" t="e">
        <f t="shared" si="27"/>
        <v>#N/A</v>
      </c>
      <c r="AI34" s="572"/>
      <c r="AJ34" s="420"/>
      <c r="AK34" s="426"/>
      <c r="AL34" s="426"/>
      <c r="AM34" s="430" t="e">
        <f t="shared" si="28"/>
        <v>#N/A</v>
      </c>
      <c r="AN34" s="572"/>
      <c r="AO34" s="420"/>
      <c r="AP34" s="426"/>
      <c r="AQ34" s="426"/>
      <c r="AR34" s="430" t="e">
        <f t="shared" si="29"/>
        <v>#N/A</v>
      </c>
      <c r="AS34" s="572"/>
      <c r="AT34" s="418"/>
      <c r="AU34" s="425"/>
      <c r="AV34" s="419"/>
      <c r="AW34" s="430" t="e">
        <f t="shared" si="30"/>
        <v>#N/A</v>
      </c>
      <c r="AX34" s="572"/>
      <c r="AZ34" s="407" t="e">
        <f t="shared" si="22"/>
        <v>#N/A</v>
      </c>
      <c r="BA34" s="560"/>
    </row>
    <row r="35" spans="2:53">
      <c r="B35" s="570"/>
      <c r="C35" s="420">
        <v>9</v>
      </c>
      <c r="D35" s="226"/>
      <c r="E35" s="425"/>
      <c r="F35" s="418"/>
      <c r="G35" s="419"/>
      <c r="H35" s="579"/>
      <c r="I35" s="422" t="str">
        <f t="shared" si="19"/>
        <v>-</v>
      </c>
      <c r="J35" s="422" t="str">
        <f t="shared" si="20"/>
        <v>-</v>
      </c>
      <c r="K35" s="200" t="str">
        <f t="shared" si="21"/>
        <v>-</v>
      </c>
      <c r="L35" s="581"/>
      <c r="M35" s="432" t="e">
        <f>RANK(K35, K$24:$K$41)</f>
        <v>#VALUE!</v>
      </c>
      <c r="N35" s="564"/>
      <c r="O35" s="564"/>
      <c r="P35" s="420"/>
      <c r="Q35" s="426"/>
      <c r="R35" s="426"/>
      <c r="S35" s="430" t="e">
        <f t="shared" si="24"/>
        <v>#N/A</v>
      </c>
      <c r="T35" s="572"/>
      <c r="U35" s="420"/>
      <c r="V35" s="426"/>
      <c r="W35" s="426"/>
      <c r="X35" s="430" t="e">
        <f t="shared" si="25"/>
        <v>#N/A</v>
      </c>
      <c r="Y35" s="572"/>
      <c r="Z35" s="420"/>
      <c r="AA35" s="426"/>
      <c r="AB35" s="426"/>
      <c r="AC35" s="430" t="e">
        <f t="shared" si="26"/>
        <v>#N/A</v>
      </c>
      <c r="AD35" s="572"/>
      <c r="AE35" s="420"/>
      <c r="AF35" s="426"/>
      <c r="AG35" s="426"/>
      <c r="AH35" s="430" t="e">
        <f t="shared" si="27"/>
        <v>#N/A</v>
      </c>
      <c r="AI35" s="572"/>
      <c r="AJ35" s="420"/>
      <c r="AK35" s="426"/>
      <c r="AL35" s="426"/>
      <c r="AM35" s="430" t="e">
        <f t="shared" si="28"/>
        <v>#N/A</v>
      </c>
      <c r="AN35" s="572"/>
      <c r="AO35" s="420"/>
      <c r="AP35" s="426"/>
      <c r="AQ35" s="426"/>
      <c r="AR35" s="430" t="e">
        <f t="shared" si="29"/>
        <v>#N/A</v>
      </c>
      <c r="AS35" s="572"/>
      <c r="AT35" s="418"/>
      <c r="AU35" s="425"/>
      <c r="AV35" s="419"/>
      <c r="AW35" s="430" t="e">
        <f t="shared" si="30"/>
        <v>#N/A</v>
      </c>
      <c r="AX35" s="572"/>
      <c r="AZ35" s="407" t="e">
        <f t="shared" si="22"/>
        <v>#N/A</v>
      </c>
      <c r="BA35" s="560"/>
    </row>
    <row r="36" spans="2:53">
      <c r="B36" s="570"/>
      <c r="C36" s="420">
        <v>10</v>
      </c>
      <c r="D36" s="226"/>
      <c r="E36" s="425"/>
      <c r="F36" s="418"/>
      <c r="G36" s="419"/>
      <c r="H36" s="579"/>
      <c r="I36" s="422" t="str">
        <f t="shared" si="19"/>
        <v>-</v>
      </c>
      <c r="J36" s="422" t="str">
        <f t="shared" si="20"/>
        <v>-</v>
      </c>
      <c r="K36" s="200" t="str">
        <f t="shared" si="21"/>
        <v>-</v>
      </c>
      <c r="L36" s="581"/>
      <c r="M36" s="432" t="e">
        <f>RANK(K36, K$24:$K$41)</f>
        <v>#VALUE!</v>
      </c>
      <c r="N36" s="564"/>
      <c r="O36" s="564"/>
      <c r="P36" s="420"/>
      <c r="Q36" s="426"/>
      <c r="R36" s="426"/>
      <c r="S36" s="430" t="e">
        <f t="shared" si="24"/>
        <v>#N/A</v>
      </c>
      <c r="T36" s="572"/>
      <c r="U36" s="420"/>
      <c r="V36" s="426"/>
      <c r="W36" s="426"/>
      <c r="X36" s="430" t="e">
        <f t="shared" si="25"/>
        <v>#N/A</v>
      </c>
      <c r="Y36" s="572"/>
      <c r="Z36" s="420"/>
      <c r="AA36" s="426"/>
      <c r="AB36" s="426"/>
      <c r="AC36" s="430" t="e">
        <f t="shared" si="26"/>
        <v>#N/A</v>
      </c>
      <c r="AD36" s="572"/>
      <c r="AE36" s="420"/>
      <c r="AF36" s="426"/>
      <c r="AG36" s="426"/>
      <c r="AH36" s="430" t="e">
        <f t="shared" si="27"/>
        <v>#N/A</v>
      </c>
      <c r="AI36" s="572"/>
      <c r="AJ36" s="420"/>
      <c r="AK36" s="426"/>
      <c r="AL36" s="426"/>
      <c r="AM36" s="430" t="e">
        <f t="shared" si="28"/>
        <v>#N/A</v>
      </c>
      <c r="AN36" s="572"/>
      <c r="AO36" s="420"/>
      <c r="AP36" s="426"/>
      <c r="AQ36" s="426"/>
      <c r="AR36" s="430" t="e">
        <f t="shared" si="29"/>
        <v>#N/A</v>
      </c>
      <c r="AS36" s="572"/>
      <c r="AT36" s="418"/>
      <c r="AU36" s="425"/>
      <c r="AV36" s="419"/>
      <c r="AW36" s="430" t="e">
        <f t="shared" si="30"/>
        <v>#N/A</v>
      </c>
      <c r="AX36" s="572"/>
      <c r="AZ36" s="407" t="e">
        <f t="shared" si="22"/>
        <v>#N/A</v>
      </c>
      <c r="BA36" s="560"/>
    </row>
    <row r="37" spans="2:53">
      <c r="B37" s="570"/>
      <c r="C37" s="420">
        <v>11</v>
      </c>
      <c r="D37" s="226"/>
      <c r="E37" s="425"/>
      <c r="F37" s="418"/>
      <c r="G37" s="419"/>
      <c r="H37" s="579"/>
      <c r="I37" s="422" t="str">
        <f t="shared" si="19"/>
        <v>-</v>
      </c>
      <c r="J37" s="422" t="str">
        <f t="shared" si="20"/>
        <v>-</v>
      </c>
      <c r="K37" s="200" t="str">
        <f t="shared" si="21"/>
        <v>-</v>
      </c>
      <c r="L37" s="581"/>
      <c r="M37" s="432" t="e">
        <f>RANK(K37, K$24:$K$41)</f>
        <v>#VALUE!</v>
      </c>
      <c r="N37" s="564"/>
      <c r="O37" s="564"/>
      <c r="P37" s="420"/>
      <c r="Q37" s="426"/>
      <c r="R37" s="426"/>
      <c r="S37" s="430" t="e">
        <f t="shared" si="24"/>
        <v>#N/A</v>
      </c>
      <c r="T37" s="572"/>
      <c r="U37" s="420"/>
      <c r="V37" s="426"/>
      <c r="W37" s="426"/>
      <c r="X37" s="430" t="e">
        <f t="shared" si="25"/>
        <v>#N/A</v>
      </c>
      <c r="Y37" s="572"/>
      <c r="Z37" s="420"/>
      <c r="AA37" s="426"/>
      <c r="AB37" s="426"/>
      <c r="AC37" s="430" t="e">
        <f t="shared" si="26"/>
        <v>#N/A</v>
      </c>
      <c r="AD37" s="572"/>
      <c r="AE37" s="420"/>
      <c r="AF37" s="426"/>
      <c r="AG37" s="426"/>
      <c r="AH37" s="430" t="e">
        <f t="shared" si="27"/>
        <v>#N/A</v>
      </c>
      <c r="AI37" s="572"/>
      <c r="AJ37" s="420"/>
      <c r="AK37" s="426"/>
      <c r="AL37" s="426"/>
      <c r="AM37" s="430" t="e">
        <f t="shared" si="28"/>
        <v>#N/A</v>
      </c>
      <c r="AN37" s="572"/>
      <c r="AO37" s="420"/>
      <c r="AP37" s="426"/>
      <c r="AQ37" s="426"/>
      <c r="AR37" s="430" t="e">
        <f t="shared" si="29"/>
        <v>#N/A</v>
      </c>
      <c r="AS37" s="572"/>
      <c r="AT37" s="418"/>
      <c r="AU37" s="425"/>
      <c r="AV37" s="419"/>
      <c r="AW37" s="430" t="e">
        <f t="shared" si="30"/>
        <v>#N/A</v>
      </c>
      <c r="AX37" s="572"/>
      <c r="AZ37" s="407" t="e">
        <f t="shared" si="22"/>
        <v>#N/A</v>
      </c>
      <c r="BA37" s="560"/>
    </row>
    <row r="38" spans="2:53">
      <c r="B38" s="570"/>
      <c r="C38" s="420">
        <v>12</v>
      </c>
      <c r="D38" s="226"/>
      <c r="E38" s="425"/>
      <c r="F38" s="418"/>
      <c r="G38" s="419"/>
      <c r="H38" s="579"/>
      <c r="I38" s="422" t="str">
        <f t="shared" si="19"/>
        <v>-</v>
      </c>
      <c r="J38" s="422" t="str">
        <f t="shared" si="20"/>
        <v>-</v>
      </c>
      <c r="K38" s="200" t="str">
        <f t="shared" si="21"/>
        <v>-</v>
      </c>
      <c r="L38" s="581"/>
      <c r="M38" s="432" t="e">
        <f>RANK(K38, K$24:$K$41)</f>
        <v>#VALUE!</v>
      </c>
      <c r="N38" s="564"/>
      <c r="O38" s="564"/>
      <c r="P38" s="420"/>
      <c r="Q38" s="426"/>
      <c r="R38" s="426"/>
      <c r="S38" s="430" t="e">
        <f t="shared" si="24"/>
        <v>#N/A</v>
      </c>
      <c r="T38" s="572"/>
      <c r="U38" s="420"/>
      <c r="V38" s="426"/>
      <c r="W38" s="426"/>
      <c r="X38" s="430" t="e">
        <f t="shared" si="25"/>
        <v>#N/A</v>
      </c>
      <c r="Y38" s="572"/>
      <c r="Z38" s="420"/>
      <c r="AA38" s="426"/>
      <c r="AB38" s="426"/>
      <c r="AC38" s="430" t="e">
        <f t="shared" si="26"/>
        <v>#N/A</v>
      </c>
      <c r="AD38" s="572"/>
      <c r="AE38" s="420"/>
      <c r="AF38" s="426"/>
      <c r="AG38" s="426"/>
      <c r="AH38" s="430" t="e">
        <f t="shared" si="27"/>
        <v>#N/A</v>
      </c>
      <c r="AI38" s="572"/>
      <c r="AJ38" s="420"/>
      <c r="AK38" s="426"/>
      <c r="AL38" s="426"/>
      <c r="AM38" s="430" t="e">
        <f t="shared" si="28"/>
        <v>#N/A</v>
      </c>
      <c r="AN38" s="572"/>
      <c r="AO38" s="420"/>
      <c r="AP38" s="426"/>
      <c r="AQ38" s="426"/>
      <c r="AR38" s="430" t="e">
        <f t="shared" si="29"/>
        <v>#N/A</v>
      </c>
      <c r="AS38" s="572"/>
      <c r="AT38" s="418"/>
      <c r="AU38" s="425"/>
      <c r="AV38" s="419"/>
      <c r="AW38" s="430" t="e">
        <f t="shared" si="30"/>
        <v>#N/A</v>
      </c>
      <c r="AX38" s="572"/>
      <c r="AZ38" s="407" t="e">
        <f t="shared" si="22"/>
        <v>#N/A</v>
      </c>
      <c r="BA38" s="560"/>
    </row>
    <row r="39" spans="2:53">
      <c r="B39" s="570"/>
      <c r="C39" s="420">
        <v>13</v>
      </c>
      <c r="D39" s="226"/>
      <c r="E39" s="425"/>
      <c r="F39" s="418"/>
      <c r="G39" s="419"/>
      <c r="H39" s="579"/>
      <c r="I39" s="422" t="str">
        <f t="shared" si="19"/>
        <v>-</v>
      </c>
      <c r="J39" s="422" t="str">
        <f t="shared" si="20"/>
        <v>-</v>
      </c>
      <c r="K39" s="200" t="str">
        <f t="shared" si="21"/>
        <v>-</v>
      </c>
      <c r="L39" s="581"/>
      <c r="M39" s="432" t="e">
        <f>RANK(K39, K$24:$K$41)</f>
        <v>#VALUE!</v>
      </c>
      <c r="N39" s="564"/>
      <c r="O39" s="564"/>
      <c r="P39" s="420"/>
      <c r="Q39" s="426"/>
      <c r="R39" s="426"/>
      <c r="S39" s="430" t="e">
        <f t="shared" si="24"/>
        <v>#N/A</v>
      </c>
      <c r="T39" s="572"/>
      <c r="U39" s="420"/>
      <c r="V39" s="426"/>
      <c r="W39" s="426"/>
      <c r="X39" s="430" t="e">
        <f t="shared" si="25"/>
        <v>#N/A</v>
      </c>
      <c r="Y39" s="572"/>
      <c r="Z39" s="420"/>
      <c r="AA39" s="426"/>
      <c r="AB39" s="426"/>
      <c r="AC39" s="430" t="e">
        <f t="shared" si="26"/>
        <v>#N/A</v>
      </c>
      <c r="AD39" s="572"/>
      <c r="AE39" s="420"/>
      <c r="AF39" s="426"/>
      <c r="AG39" s="426"/>
      <c r="AH39" s="430" t="e">
        <f t="shared" si="27"/>
        <v>#N/A</v>
      </c>
      <c r="AI39" s="572"/>
      <c r="AJ39" s="420"/>
      <c r="AK39" s="426"/>
      <c r="AL39" s="426"/>
      <c r="AM39" s="430" t="e">
        <f t="shared" si="28"/>
        <v>#N/A</v>
      </c>
      <c r="AN39" s="572"/>
      <c r="AO39" s="420"/>
      <c r="AP39" s="426"/>
      <c r="AQ39" s="426"/>
      <c r="AR39" s="430" t="e">
        <f t="shared" si="29"/>
        <v>#N/A</v>
      </c>
      <c r="AS39" s="572"/>
      <c r="AT39" s="418"/>
      <c r="AU39" s="425"/>
      <c r="AV39" s="419"/>
      <c r="AW39" s="430" t="e">
        <f t="shared" si="30"/>
        <v>#N/A</v>
      </c>
      <c r="AX39" s="572"/>
      <c r="AZ39" s="407" t="e">
        <f t="shared" si="22"/>
        <v>#N/A</v>
      </c>
      <c r="BA39" s="560"/>
    </row>
    <row r="40" spans="2:53">
      <c r="B40" s="570"/>
      <c r="C40" s="420">
        <v>14</v>
      </c>
      <c r="D40" s="226"/>
      <c r="E40" s="425"/>
      <c r="F40" s="418"/>
      <c r="G40" s="419"/>
      <c r="H40" s="579"/>
      <c r="I40" s="422" t="str">
        <f t="shared" si="19"/>
        <v>-</v>
      </c>
      <c r="J40" s="422" t="str">
        <f t="shared" si="20"/>
        <v>-</v>
      </c>
      <c r="K40" s="200" t="str">
        <f t="shared" si="21"/>
        <v>-</v>
      </c>
      <c r="L40" s="581"/>
      <c r="M40" s="432" t="e">
        <f>RANK(K40, K$24:$K$41)</f>
        <v>#VALUE!</v>
      </c>
      <c r="N40" s="564"/>
      <c r="O40" s="564"/>
      <c r="P40" s="420"/>
      <c r="Q40" s="426"/>
      <c r="R40" s="426"/>
      <c r="S40" s="430" t="e">
        <f t="shared" si="24"/>
        <v>#N/A</v>
      </c>
      <c r="T40" s="572"/>
      <c r="U40" s="420"/>
      <c r="V40" s="426"/>
      <c r="W40" s="426"/>
      <c r="X40" s="430" t="e">
        <f t="shared" si="25"/>
        <v>#N/A</v>
      </c>
      <c r="Y40" s="572"/>
      <c r="Z40" s="420"/>
      <c r="AA40" s="426"/>
      <c r="AB40" s="426"/>
      <c r="AC40" s="430" t="e">
        <f t="shared" si="26"/>
        <v>#N/A</v>
      </c>
      <c r="AD40" s="572"/>
      <c r="AE40" s="420"/>
      <c r="AF40" s="426"/>
      <c r="AG40" s="426"/>
      <c r="AH40" s="430" t="e">
        <f t="shared" si="27"/>
        <v>#N/A</v>
      </c>
      <c r="AI40" s="572"/>
      <c r="AJ40" s="420"/>
      <c r="AK40" s="426"/>
      <c r="AL40" s="426"/>
      <c r="AM40" s="430" t="e">
        <f t="shared" si="28"/>
        <v>#N/A</v>
      </c>
      <c r="AN40" s="572"/>
      <c r="AO40" s="420"/>
      <c r="AP40" s="426"/>
      <c r="AQ40" s="426"/>
      <c r="AR40" s="430" t="e">
        <f t="shared" si="29"/>
        <v>#N/A</v>
      </c>
      <c r="AS40" s="572"/>
      <c r="AT40" s="418"/>
      <c r="AU40" s="425"/>
      <c r="AV40" s="419"/>
      <c r="AW40" s="430" t="e">
        <f t="shared" si="30"/>
        <v>#N/A</v>
      </c>
      <c r="AX40" s="572"/>
      <c r="AZ40" s="407" t="e">
        <f t="shared" si="22"/>
        <v>#N/A</v>
      </c>
      <c r="BA40" s="560"/>
    </row>
    <row r="41" spans="2:53">
      <c r="B41" s="570"/>
      <c r="C41" s="420">
        <v>15</v>
      </c>
      <c r="D41" s="226"/>
      <c r="E41" s="425"/>
      <c r="F41" s="418"/>
      <c r="G41" s="419"/>
      <c r="H41" s="639"/>
      <c r="I41" s="420"/>
      <c r="J41" s="420"/>
      <c r="K41" s="420"/>
      <c r="L41" s="582"/>
      <c r="M41" s="432" t="e">
        <f>RANK(K41, K$24:$K$41)</f>
        <v>#N/A</v>
      </c>
      <c r="N41" s="564"/>
      <c r="O41" s="564"/>
      <c r="P41" s="420"/>
      <c r="Q41" s="426"/>
      <c r="R41" s="426"/>
      <c r="S41" s="430" t="e">
        <f t="shared" si="24"/>
        <v>#N/A</v>
      </c>
      <c r="T41" s="572"/>
      <c r="U41" s="420"/>
      <c r="V41" s="426"/>
      <c r="W41" s="426"/>
      <c r="X41" s="430" t="e">
        <f t="shared" si="25"/>
        <v>#N/A</v>
      </c>
      <c r="Y41" s="572"/>
      <c r="Z41" s="420"/>
      <c r="AA41" s="426"/>
      <c r="AB41" s="426"/>
      <c r="AC41" s="430" t="e">
        <f t="shared" si="26"/>
        <v>#N/A</v>
      </c>
      <c r="AD41" s="572"/>
      <c r="AE41" s="420"/>
      <c r="AF41" s="426"/>
      <c r="AG41" s="426"/>
      <c r="AH41" s="430" t="e">
        <f t="shared" si="27"/>
        <v>#N/A</v>
      </c>
      <c r="AI41" s="572"/>
      <c r="AJ41" s="420"/>
      <c r="AK41" s="426"/>
      <c r="AL41" s="426"/>
      <c r="AM41" s="430" t="e">
        <f t="shared" si="28"/>
        <v>#N/A</v>
      </c>
      <c r="AN41" s="572"/>
      <c r="AO41" s="420"/>
      <c r="AP41" s="426"/>
      <c r="AQ41" s="426"/>
      <c r="AR41" s="430" t="e">
        <f t="shared" si="29"/>
        <v>#N/A</v>
      </c>
      <c r="AS41" s="572"/>
      <c r="AT41" s="418"/>
      <c r="AU41" s="425"/>
      <c r="AV41" s="419"/>
      <c r="AW41" s="430" t="e">
        <f t="shared" si="30"/>
        <v>#N/A</v>
      </c>
      <c r="AX41" s="572"/>
      <c r="AZ41" s="407" t="e">
        <f t="shared" si="22"/>
        <v>#N/A</v>
      </c>
      <c r="BA41" s="561"/>
    </row>
    <row r="42" spans="2:53" ht="15.75">
      <c r="B42" s="608" t="s">
        <v>163</v>
      </c>
      <c r="C42" s="609"/>
      <c r="D42" s="609"/>
      <c r="E42" s="609"/>
      <c r="F42" s="609"/>
      <c r="G42" s="609"/>
      <c r="H42" s="609"/>
      <c r="I42" s="208"/>
      <c r="J42" s="203"/>
      <c r="K42" s="208"/>
      <c r="L42" s="208"/>
      <c r="M42" s="204"/>
      <c r="N42" s="566" t="s">
        <v>156</v>
      </c>
      <c r="O42" s="566" t="s">
        <v>105</v>
      </c>
      <c r="P42" s="592">
        <f>P22+7</f>
        <v>46154</v>
      </c>
      <c r="Q42" s="570"/>
      <c r="R42" s="570"/>
      <c r="S42" s="570"/>
      <c r="T42" s="570"/>
      <c r="U42" s="589">
        <f>P42+1</f>
        <v>46155</v>
      </c>
      <c r="V42" s="590"/>
      <c r="W42" s="590"/>
      <c r="X42" s="590"/>
      <c r="Y42" s="591"/>
      <c r="Z42" s="589">
        <f>U42+1</f>
        <v>46156</v>
      </c>
      <c r="AA42" s="590"/>
      <c r="AB42" s="590"/>
      <c r="AC42" s="590"/>
      <c r="AD42" s="591"/>
      <c r="AE42" s="589">
        <f>Z42+1</f>
        <v>46157</v>
      </c>
      <c r="AF42" s="590"/>
      <c r="AG42" s="590"/>
      <c r="AH42" s="590"/>
      <c r="AI42" s="591"/>
      <c r="AJ42" s="589">
        <f>AE42+1</f>
        <v>46158</v>
      </c>
      <c r="AK42" s="590"/>
      <c r="AL42" s="590"/>
      <c r="AM42" s="590"/>
      <c r="AN42" s="591"/>
      <c r="AO42" s="589">
        <f>AJ42+1</f>
        <v>46159</v>
      </c>
      <c r="AP42" s="590"/>
      <c r="AQ42" s="590"/>
      <c r="AR42" s="590"/>
      <c r="AS42" s="591"/>
      <c r="AT42" s="589">
        <f>AO42+1</f>
        <v>46160</v>
      </c>
      <c r="AU42" s="590"/>
      <c r="AV42" s="590"/>
      <c r="AW42" s="590"/>
      <c r="AX42" s="591"/>
    </row>
    <row r="43" spans="2:53" ht="15.75">
      <c r="B43" s="596"/>
      <c r="C43" s="596"/>
      <c r="D43" s="596"/>
      <c r="E43" s="596"/>
      <c r="F43" s="596"/>
      <c r="G43" s="596"/>
      <c r="H43" s="596"/>
      <c r="I43" s="205"/>
      <c r="J43" s="205"/>
      <c r="K43" s="205"/>
      <c r="L43" s="205"/>
      <c r="M43" s="206"/>
      <c r="N43" s="568"/>
      <c r="O43" s="568"/>
      <c r="P43" s="592" t="s">
        <v>318</v>
      </c>
      <c r="Q43" s="570"/>
      <c r="R43" s="570"/>
      <c r="S43" s="570"/>
      <c r="T43" s="570"/>
      <c r="U43" s="592" t="s">
        <v>319</v>
      </c>
      <c r="V43" s="570"/>
      <c r="W43" s="570"/>
      <c r="X43" s="570"/>
      <c r="Y43" s="570"/>
      <c r="Z43" s="592" t="s">
        <v>320</v>
      </c>
      <c r="AA43" s="570"/>
      <c r="AB43" s="570"/>
      <c r="AC43" s="570"/>
      <c r="AD43" s="570"/>
      <c r="AE43" s="592" t="s">
        <v>321</v>
      </c>
      <c r="AF43" s="570"/>
      <c r="AG43" s="570"/>
      <c r="AH43" s="570"/>
      <c r="AI43" s="570"/>
      <c r="AJ43" s="592" t="s">
        <v>322</v>
      </c>
      <c r="AK43" s="570"/>
      <c r="AL43" s="570"/>
      <c r="AM43" s="570"/>
      <c r="AN43" s="570"/>
      <c r="AO43" s="592" t="s">
        <v>323</v>
      </c>
      <c r="AP43" s="570"/>
      <c r="AQ43" s="570"/>
      <c r="AR43" s="570"/>
      <c r="AS43" s="570"/>
      <c r="AT43" s="592" t="s">
        <v>324</v>
      </c>
      <c r="AU43" s="570"/>
      <c r="AV43" s="570"/>
      <c r="AW43" s="570"/>
      <c r="AX43" s="570"/>
    </row>
    <row r="44" spans="2:53">
      <c r="B44" s="564" t="s">
        <v>468</v>
      </c>
      <c r="C44" s="564" t="s">
        <v>560</v>
      </c>
      <c r="D44" s="564"/>
      <c r="E44" s="564" t="s">
        <v>561</v>
      </c>
      <c r="F44" s="564"/>
      <c r="G44" s="564"/>
      <c r="H44" s="597" t="s">
        <v>562</v>
      </c>
      <c r="I44" s="564" t="s">
        <v>563</v>
      </c>
      <c r="J44" s="564"/>
      <c r="K44" s="564"/>
      <c r="L44" s="597" t="s">
        <v>374</v>
      </c>
      <c r="M44" s="566" t="s">
        <v>564</v>
      </c>
      <c r="N44" s="564"/>
      <c r="O44" s="564" t="s">
        <v>380</v>
      </c>
      <c r="P44" s="583" t="s">
        <v>376</v>
      </c>
      <c r="Q44" s="584"/>
      <c r="R44" s="584"/>
      <c r="S44" s="585"/>
      <c r="T44" s="564" t="s">
        <v>374</v>
      </c>
      <c r="U44" s="583" t="s">
        <v>376</v>
      </c>
      <c r="V44" s="584"/>
      <c r="W44" s="584"/>
      <c r="X44" s="585"/>
      <c r="Y44" s="564" t="s">
        <v>374</v>
      </c>
      <c r="Z44" s="583" t="s">
        <v>376</v>
      </c>
      <c r="AA44" s="584"/>
      <c r="AB44" s="584"/>
      <c r="AC44" s="585"/>
      <c r="AD44" s="564" t="s">
        <v>374</v>
      </c>
      <c r="AE44" s="583" t="s">
        <v>376</v>
      </c>
      <c r="AF44" s="584"/>
      <c r="AG44" s="584"/>
      <c r="AH44" s="585"/>
      <c r="AI44" s="564" t="s">
        <v>374</v>
      </c>
      <c r="AJ44" s="583" t="s">
        <v>376</v>
      </c>
      <c r="AK44" s="584"/>
      <c r="AL44" s="584"/>
      <c r="AM44" s="585"/>
      <c r="AN44" s="564" t="s">
        <v>374</v>
      </c>
      <c r="AO44" s="583" t="s">
        <v>376</v>
      </c>
      <c r="AP44" s="584"/>
      <c r="AQ44" s="584"/>
      <c r="AR44" s="585"/>
      <c r="AS44" s="564" t="s">
        <v>374</v>
      </c>
      <c r="AT44" s="583" t="s">
        <v>376</v>
      </c>
      <c r="AU44" s="584"/>
      <c r="AV44" s="584"/>
      <c r="AW44" s="585"/>
      <c r="AX44" s="564" t="s">
        <v>374</v>
      </c>
      <c r="BA44" s="564" t="s">
        <v>374</v>
      </c>
    </row>
    <row r="45" spans="2:53">
      <c r="B45" s="564"/>
      <c r="C45" s="564"/>
      <c r="D45" s="564"/>
      <c r="E45" s="564" t="s">
        <v>566</v>
      </c>
      <c r="F45" s="564"/>
      <c r="G45" s="564"/>
      <c r="H45" s="598"/>
      <c r="I45" s="564" t="s">
        <v>566</v>
      </c>
      <c r="J45" s="564"/>
      <c r="K45" s="564"/>
      <c r="L45" s="598"/>
      <c r="M45" s="567"/>
      <c r="N45" s="564"/>
      <c r="O45" s="564"/>
      <c r="P45" s="583" t="s">
        <v>382</v>
      </c>
      <c r="Q45" s="584"/>
      <c r="R45" s="584"/>
      <c r="S45" s="585"/>
      <c r="T45" s="564"/>
      <c r="U45" s="583" t="s">
        <v>382</v>
      </c>
      <c r="V45" s="584"/>
      <c r="W45" s="584"/>
      <c r="X45" s="585"/>
      <c r="Y45" s="564"/>
      <c r="Z45" s="583" t="s">
        <v>382</v>
      </c>
      <c r="AA45" s="584"/>
      <c r="AB45" s="584"/>
      <c r="AC45" s="585"/>
      <c r="AD45" s="564"/>
      <c r="AE45" s="583" t="s">
        <v>382</v>
      </c>
      <c r="AF45" s="584"/>
      <c r="AG45" s="584"/>
      <c r="AH45" s="585"/>
      <c r="AI45" s="564"/>
      <c r="AJ45" s="583" t="s">
        <v>382</v>
      </c>
      <c r="AK45" s="584"/>
      <c r="AL45" s="584"/>
      <c r="AM45" s="585"/>
      <c r="AN45" s="564"/>
      <c r="AO45" s="583" t="s">
        <v>382</v>
      </c>
      <c r="AP45" s="584"/>
      <c r="AQ45" s="584"/>
      <c r="AR45" s="585"/>
      <c r="AS45" s="564"/>
      <c r="AT45" s="583" t="s">
        <v>382</v>
      </c>
      <c r="AU45" s="584"/>
      <c r="AV45" s="584"/>
      <c r="AW45" s="585"/>
      <c r="AX45" s="564"/>
      <c r="BA45" s="564"/>
    </row>
    <row r="46" spans="2:53">
      <c r="B46" s="564"/>
      <c r="C46" s="564"/>
      <c r="D46" s="564"/>
      <c r="E46" s="417" t="s">
        <v>567</v>
      </c>
      <c r="F46" s="417" t="s">
        <v>568</v>
      </c>
      <c r="G46" s="417" t="s">
        <v>569</v>
      </c>
      <c r="H46" s="599"/>
      <c r="I46" s="417" t="s">
        <v>567</v>
      </c>
      <c r="J46" s="417" t="s">
        <v>568</v>
      </c>
      <c r="K46" s="417" t="s">
        <v>569</v>
      </c>
      <c r="L46" s="599"/>
      <c r="M46" s="568"/>
      <c r="N46" s="564"/>
      <c r="O46" s="564"/>
      <c r="P46" s="417" t="s">
        <v>383</v>
      </c>
      <c r="Q46" s="417" t="s">
        <v>384</v>
      </c>
      <c r="R46" s="417" t="s">
        <v>385</v>
      </c>
      <c r="S46" s="417" t="s">
        <v>375</v>
      </c>
      <c r="T46" s="564"/>
      <c r="U46" s="417" t="s">
        <v>383</v>
      </c>
      <c r="V46" s="417" t="s">
        <v>384</v>
      </c>
      <c r="W46" s="417" t="s">
        <v>385</v>
      </c>
      <c r="X46" s="417" t="s">
        <v>375</v>
      </c>
      <c r="Y46" s="564"/>
      <c r="Z46" s="417" t="s">
        <v>383</v>
      </c>
      <c r="AA46" s="417" t="s">
        <v>384</v>
      </c>
      <c r="AB46" s="417" t="s">
        <v>385</v>
      </c>
      <c r="AC46" s="417" t="s">
        <v>375</v>
      </c>
      <c r="AD46" s="564"/>
      <c r="AE46" s="417" t="s">
        <v>383</v>
      </c>
      <c r="AF46" s="417" t="s">
        <v>384</v>
      </c>
      <c r="AG46" s="417" t="s">
        <v>385</v>
      </c>
      <c r="AH46" s="417" t="s">
        <v>375</v>
      </c>
      <c r="AI46" s="564"/>
      <c r="AJ46" s="417" t="s">
        <v>383</v>
      </c>
      <c r="AK46" s="417" t="s">
        <v>384</v>
      </c>
      <c r="AL46" s="417" t="s">
        <v>385</v>
      </c>
      <c r="AM46" s="417" t="s">
        <v>375</v>
      </c>
      <c r="AN46" s="564"/>
      <c r="AO46" s="417" t="s">
        <v>383</v>
      </c>
      <c r="AP46" s="417" t="s">
        <v>384</v>
      </c>
      <c r="AQ46" s="417" t="s">
        <v>385</v>
      </c>
      <c r="AR46" s="417" t="s">
        <v>375</v>
      </c>
      <c r="AS46" s="564"/>
      <c r="AT46" s="417" t="s">
        <v>383</v>
      </c>
      <c r="AU46" s="417" t="s">
        <v>384</v>
      </c>
      <c r="AV46" s="417" t="s">
        <v>385</v>
      </c>
      <c r="AW46" s="417" t="s">
        <v>375</v>
      </c>
      <c r="AX46" s="564"/>
      <c r="AZ46" s="406" t="s">
        <v>595</v>
      </c>
      <c r="BA46" s="564"/>
    </row>
    <row r="47" spans="2:53">
      <c r="B47" s="564" t="s">
        <v>484</v>
      </c>
      <c r="C47" s="420">
        <v>1</v>
      </c>
      <c r="D47" s="226" t="s">
        <v>361</v>
      </c>
      <c r="E47" s="425">
        <v>7</v>
      </c>
      <c r="F47" s="418">
        <v>1500</v>
      </c>
      <c r="G47" s="419">
        <v>214.3</v>
      </c>
      <c r="H47" s="578">
        <f>AVERAGE(G47:G61)</f>
        <v>168.32222222222222</v>
      </c>
      <c r="I47" s="422">
        <f t="shared" ref="I47:I60" si="31">IFERROR(AVERAGE(P47,U47,Z47,AE47,AJ47,AO47,AT47),"-")</f>
        <v>7</v>
      </c>
      <c r="J47" s="422">
        <f t="shared" ref="J47:J60" si="32">IFERROR(AVERAGE(Q47,V47,AA47,AF47,AK47,AP47,AU47),"-")</f>
        <v>1472.1589602261688</v>
      </c>
      <c r="K47" s="200">
        <f t="shared" ref="K47:K60" si="33">IFERROR(AVERAGE(R47,W47,AB47,AG47,AL47,AQ47,AV47),"-")</f>
        <v>210.30842288945269</v>
      </c>
      <c r="L47" s="580">
        <f>IFERROR(AVERAGE(K47:K61),"-")</f>
        <v>154.88730204926293</v>
      </c>
      <c r="M47" s="426">
        <f>RANK(K47, K$47:$K$61)</f>
        <v>1</v>
      </c>
      <c r="N47" s="564"/>
      <c r="O47" s="564"/>
      <c r="P47" s="498">
        <v>7</v>
      </c>
      <c r="Q47" s="425">
        <v>1489.6153846153841</v>
      </c>
      <c r="R47" s="425">
        <v>212.80219780219772</v>
      </c>
      <c r="S47" s="498">
        <f t="shared" ref="S47:S54" si="34">RANK(R47, R$47:R$61)</f>
        <v>1</v>
      </c>
      <c r="T47" s="559">
        <f t="shared" ref="T47" si="35">AVERAGE(R47:R61)</f>
        <v>166.2677046504121</v>
      </c>
      <c r="U47" s="498">
        <v>7</v>
      </c>
      <c r="V47" s="425">
        <v>1467.1698113207544</v>
      </c>
      <c r="W47" s="425">
        <v>209.59568733153634</v>
      </c>
      <c r="X47" s="498">
        <f t="shared" ref="X47:X54" si="36">RANK(W47, W$47:W$61)</f>
        <v>2</v>
      </c>
      <c r="Y47" s="559">
        <f t="shared" ref="Y47" si="37">AVERAGE(W47:W61)</f>
        <v>152.91810907933757</v>
      </c>
      <c r="Z47" s="498">
        <v>7</v>
      </c>
      <c r="AA47" s="425">
        <v>1480.7547169811317</v>
      </c>
      <c r="AB47" s="425">
        <v>211.53638814016168</v>
      </c>
      <c r="AC47" s="498">
        <f t="shared" ref="AC47:AC55" si="38">RANK(AB47, AB$47:AB$61)</f>
        <v>1</v>
      </c>
      <c r="AD47" s="559">
        <f t="shared" ref="AD47" si="39">AVERAGE(AB47:AB61)</f>
        <v>153.84866224316173</v>
      </c>
      <c r="AE47" s="498">
        <v>7</v>
      </c>
      <c r="AF47" s="425">
        <v>1466.3414634146336</v>
      </c>
      <c r="AG47" s="425">
        <v>209.47735191637622</v>
      </c>
      <c r="AH47" s="498">
        <f t="shared" ref="AH47:AH55" si="40">RANK(AG47, AG$47:AG$61)</f>
        <v>2</v>
      </c>
      <c r="AI47" s="559">
        <f t="shared" ref="AI47" si="41">AVERAGE(AG47:AG61)</f>
        <v>152.21690927886263</v>
      </c>
      <c r="AJ47" s="498">
        <v>7</v>
      </c>
      <c r="AK47" s="425">
        <v>1472.0930232558137</v>
      </c>
      <c r="AL47" s="425">
        <v>210.2990033222591</v>
      </c>
      <c r="AM47" s="498">
        <f t="shared" ref="AM47:AM55" si="42">RANK(AL47, AL$47:AL$61)</f>
        <v>1</v>
      </c>
      <c r="AN47" s="559">
        <f t="shared" ref="AN47" si="43">AVERAGE(AL47:AL61)</f>
        <v>153.35126877998769</v>
      </c>
      <c r="AO47" s="498">
        <v>7</v>
      </c>
      <c r="AP47" s="425">
        <v>1454.6938775510209</v>
      </c>
      <c r="AQ47" s="425">
        <v>207.81341107871728</v>
      </c>
      <c r="AR47" s="498">
        <f t="shared" ref="AR47:AR55" si="44">RANK(AQ47, AQ$47:AQ$61)</f>
        <v>4</v>
      </c>
      <c r="AS47" s="559">
        <f t="shared" ref="AS47" si="45">AVERAGE(AQ47:AQ61)</f>
        <v>152.33404274731063</v>
      </c>
      <c r="AT47" s="498">
        <v>7</v>
      </c>
      <c r="AU47" s="425">
        <v>1474.4444444444441</v>
      </c>
      <c r="AV47" s="425">
        <v>210.63492063492058</v>
      </c>
      <c r="AW47" s="498">
        <f t="shared" ref="AW47:AW55" si="46">RANK(AV47, AV$47:AV$61)</f>
        <v>2</v>
      </c>
      <c r="AX47" s="559">
        <f t="shared" ref="AX47" si="47">AVERAGE(AV47:AV61)</f>
        <v>153.27441756576815</v>
      </c>
      <c r="AZ47" s="407" t="e">
        <f t="shared" ref="AZ47:AZ61" si="48">RANK(AY47, AY$47:AY$61)</f>
        <v>#N/A</v>
      </c>
      <c r="BA47" s="559" t="e">
        <f t="shared" ref="BA47" si="49">AVERAGE(AY47:AY61)</f>
        <v>#DIV/0!</v>
      </c>
    </row>
    <row r="48" spans="2:53">
      <c r="B48" s="570"/>
      <c r="C48" s="420">
        <v>2</v>
      </c>
      <c r="D48" s="226" t="s">
        <v>362</v>
      </c>
      <c r="E48" s="425">
        <v>7</v>
      </c>
      <c r="F48" s="418">
        <v>1500</v>
      </c>
      <c r="G48" s="419">
        <v>214.3</v>
      </c>
      <c r="H48" s="579"/>
      <c r="I48" s="422">
        <f t="shared" si="31"/>
        <v>7</v>
      </c>
      <c r="J48" s="422">
        <f t="shared" si="32"/>
        <v>1469.4929530837012</v>
      </c>
      <c r="K48" s="200">
        <f t="shared" si="33"/>
        <v>209.92756472624305</v>
      </c>
      <c r="L48" s="581"/>
      <c r="M48" s="501">
        <f>RANK(K48, K$47:$K$61)</f>
        <v>2</v>
      </c>
      <c r="N48" s="564"/>
      <c r="O48" s="564"/>
      <c r="P48" s="498">
        <v>7</v>
      </c>
      <c r="Q48" s="425">
        <v>1460.0000000000005</v>
      </c>
      <c r="R48" s="425">
        <v>208.57142857142864</v>
      </c>
      <c r="S48" s="498">
        <f t="shared" si="34"/>
        <v>2</v>
      </c>
      <c r="T48" s="560"/>
      <c r="U48" s="498">
        <v>7</v>
      </c>
      <c r="V48" s="425">
        <v>1457.5182481751824</v>
      </c>
      <c r="W48" s="425">
        <v>208.21689259645464</v>
      </c>
      <c r="X48" s="498">
        <f t="shared" si="36"/>
        <v>4</v>
      </c>
      <c r="Y48" s="560"/>
      <c r="Z48" s="498">
        <v>7</v>
      </c>
      <c r="AA48" s="425">
        <v>1470</v>
      </c>
      <c r="AB48" s="425">
        <v>210</v>
      </c>
      <c r="AC48" s="498">
        <f t="shared" si="38"/>
        <v>3</v>
      </c>
      <c r="AD48" s="560"/>
      <c r="AE48" s="498">
        <v>7</v>
      </c>
      <c r="AF48" s="425">
        <v>1487.6923076923078</v>
      </c>
      <c r="AG48" s="425">
        <v>212.52747252747255</v>
      </c>
      <c r="AH48" s="498">
        <f t="shared" si="40"/>
        <v>1</v>
      </c>
      <c r="AI48" s="560"/>
      <c r="AJ48" s="498">
        <v>7</v>
      </c>
      <c r="AK48" s="425">
        <v>1471.475409836065</v>
      </c>
      <c r="AL48" s="425">
        <v>210.21077283372355</v>
      </c>
      <c r="AM48" s="498">
        <f t="shared" si="42"/>
        <v>2</v>
      </c>
      <c r="AN48" s="560"/>
      <c r="AO48" s="498">
        <v>7</v>
      </c>
      <c r="AP48" s="425">
        <v>1468</v>
      </c>
      <c r="AQ48" s="425">
        <v>209.71428571428572</v>
      </c>
      <c r="AR48" s="498">
        <f t="shared" si="44"/>
        <v>2</v>
      </c>
      <c r="AS48" s="560"/>
      <c r="AT48" s="498">
        <v>7</v>
      </c>
      <c r="AU48" s="425">
        <v>1471.7647058823532</v>
      </c>
      <c r="AV48" s="425">
        <v>210.25210084033617</v>
      </c>
      <c r="AW48" s="498">
        <f t="shared" si="46"/>
        <v>3</v>
      </c>
      <c r="AX48" s="560"/>
      <c r="AZ48" s="407" t="e">
        <f t="shared" si="48"/>
        <v>#N/A</v>
      </c>
      <c r="BA48" s="560"/>
    </row>
    <row r="49" spans="2:53">
      <c r="B49" s="570"/>
      <c r="C49" s="420">
        <v>3</v>
      </c>
      <c r="D49" s="226" t="s">
        <v>331</v>
      </c>
      <c r="E49" s="425">
        <v>20</v>
      </c>
      <c r="F49" s="418">
        <v>1500</v>
      </c>
      <c r="G49" s="419">
        <v>75</v>
      </c>
      <c r="H49" s="579"/>
      <c r="I49" s="422">
        <f t="shared" si="31"/>
        <v>18.571428571428573</v>
      </c>
      <c r="J49" s="422">
        <f t="shared" si="32"/>
        <v>1343.9419534024989</v>
      </c>
      <c r="K49" s="200">
        <f t="shared" si="33"/>
        <v>72.483791848640664</v>
      </c>
      <c r="L49" s="581"/>
      <c r="M49" s="501">
        <f>RANK(K49, K$47:$K$61)</f>
        <v>9</v>
      </c>
      <c r="N49" s="564"/>
      <c r="O49" s="564"/>
      <c r="P49" s="498">
        <v>20</v>
      </c>
      <c r="Q49" s="425">
        <v>1415.3164556962024</v>
      </c>
      <c r="R49" s="425">
        <v>70.765822784810126</v>
      </c>
      <c r="S49" s="498">
        <f t="shared" si="34"/>
        <v>9</v>
      </c>
      <c r="T49" s="560"/>
      <c r="U49" s="498">
        <v>18</v>
      </c>
      <c r="V49" s="425">
        <v>1346.1000000000004</v>
      </c>
      <c r="W49" s="425">
        <v>74.78333333333336</v>
      </c>
      <c r="X49" s="498">
        <f t="shared" si="36"/>
        <v>9</v>
      </c>
      <c r="Y49" s="560"/>
      <c r="Z49" s="498">
        <v>18</v>
      </c>
      <c r="AA49" s="425">
        <v>1363.2857142857144</v>
      </c>
      <c r="AB49" s="425">
        <v>75.738095238095241</v>
      </c>
      <c r="AC49" s="498">
        <f t="shared" si="38"/>
        <v>9</v>
      </c>
      <c r="AD49" s="560"/>
      <c r="AE49" s="498">
        <v>20</v>
      </c>
      <c r="AF49" s="425">
        <v>1331.0425531914893</v>
      </c>
      <c r="AG49" s="425">
        <v>66.552127659574467</v>
      </c>
      <c r="AH49" s="498">
        <f t="shared" si="40"/>
        <v>9</v>
      </c>
      <c r="AI49" s="560"/>
      <c r="AJ49" s="498">
        <v>18</v>
      </c>
      <c r="AK49" s="425">
        <v>1322.8163265306125</v>
      </c>
      <c r="AL49" s="425">
        <v>73.489795918367363</v>
      </c>
      <c r="AM49" s="498">
        <f t="shared" si="42"/>
        <v>9</v>
      </c>
      <c r="AN49" s="560"/>
      <c r="AO49" s="498">
        <v>18</v>
      </c>
      <c r="AP49" s="425">
        <v>1310.6666666666661</v>
      </c>
      <c r="AQ49" s="425">
        <v>72.814814814814781</v>
      </c>
      <c r="AR49" s="498">
        <f t="shared" si="44"/>
        <v>9</v>
      </c>
      <c r="AS49" s="560"/>
      <c r="AT49" s="498">
        <v>18</v>
      </c>
      <c r="AU49" s="425">
        <v>1318.3659574468088</v>
      </c>
      <c r="AV49" s="425">
        <v>73.242553191489378</v>
      </c>
      <c r="AW49" s="498">
        <f t="shared" si="46"/>
        <v>9</v>
      </c>
      <c r="AX49" s="560"/>
      <c r="AZ49" s="407" t="e">
        <f t="shared" si="48"/>
        <v>#N/A</v>
      </c>
      <c r="BA49" s="560"/>
    </row>
    <row r="50" spans="2:53">
      <c r="B50" s="570"/>
      <c r="C50" s="420">
        <v>4</v>
      </c>
      <c r="D50" s="226" t="s">
        <v>363</v>
      </c>
      <c r="E50" s="425">
        <v>16</v>
      </c>
      <c r="F50" s="418">
        <v>1440</v>
      </c>
      <c r="G50" s="419">
        <v>84.7</v>
      </c>
      <c r="H50" s="579"/>
      <c r="I50" s="422">
        <f t="shared" si="31"/>
        <v>16</v>
      </c>
      <c r="J50" s="422">
        <f t="shared" si="32"/>
        <v>1353.6297093826474</v>
      </c>
      <c r="K50" s="200">
        <f t="shared" si="33"/>
        <v>84.601856836415465</v>
      </c>
      <c r="L50" s="581"/>
      <c r="M50" s="501">
        <f>RANK(K50, K$47:$K$61)</f>
        <v>8</v>
      </c>
      <c r="N50" s="564"/>
      <c r="O50" s="564"/>
      <c r="P50" s="498">
        <v>16</v>
      </c>
      <c r="Q50" s="425">
        <v>1359.1406249999998</v>
      </c>
      <c r="R50" s="425">
        <v>84.946289062499986</v>
      </c>
      <c r="S50" s="498">
        <f t="shared" si="34"/>
        <v>8</v>
      </c>
      <c r="T50" s="560"/>
      <c r="U50" s="498">
        <v>16</v>
      </c>
      <c r="V50" s="425">
        <v>1343.5102040816332</v>
      </c>
      <c r="W50" s="425">
        <v>83.969387755102076</v>
      </c>
      <c r="X50" s="498">
        <f t="shared" si="36"/>
        <v>8</v>
      </c>
      <c r="Y50" s="560"/>
      <c r="Z50" s="498">
        <v>16</v>
      </c>
      <c r="AA50" s="425">
        <v>1372.4680851063833</v>
      </c>
      <c r="AB50" s="425">
        <v>85.779255319148959</v>
      </c>
      <c r="AC50" s="498">
        <f t="shared" si="38"/>
        <v>8</v>
      </c>
      <c r="AD50" s="560"/>
      <c r="AE50" s="498">
        <v>16</v>
      </c>
      <c r="AF50" s="425">
        <v>1346.9268292682923</v>
      </c>
      <c r="AG50" s="425">
        <v>84.182926829268268</v>
      </c>
      <c r="AH50" s="498">
        <f t="shared" si="40"/>
        <v>8</v>
      </c>
      <c r="AI50" s="560"/>
      <c r="AJ50" s="498">
        <v>16</v>
      </c>
      <c r="AK50" s="425">
        <v>1355.6400000000006</v>
      </c>
      <c r="AL50" s="425">
        <v>84.727500000000035</v>
      </c>
      <c r="AM50" s="498">
        <f t="shared" si="42"/>
        <v>8</v>
      </c>
      <c r="AN50" s="560"/>
      <c r="AO50" s="498">
        <v>16</v>
      </c>
      <c r="AP50" s="425">
        <v>1339.7222222222231</v>
      </c>
      <c r="AQ50" s="425">
        <v>83.732638888888943</v>
      </c>
      <c r="AR50" s="498">
        <f t="shared" si="44"/>
        <v>8</v>
      </c>
      <c r="AS50" s="560"/>
      <c r="AT50" s="498">
        <v>16</v>
      </c>
      <c r="AU50" s="425">
        <v>1357.9999999999995</v>
      </c>
      <c r="AV50" s="425">
        <v>84.874999999999972</v>
      </c>
      <c r="AW50" s="498">
        <f t="shared" si="46"/>
        <v>8</v>
      </c>
      <c r="AX50" s="560"/>
      <c r="AZ50" s="407" t="e">
        <f t="shared" si="48"/>
        <v>#N/A</v>
      </c>
      <c r="BA50" s="560"/>
    </row>
    <row r="51" spans="2:53">
      <c r="B51" s="570"/>
      <c r="C51" s="420">
        <v>5</v>
      </c>
      <c r="D51" s="226" t="s">
        <v>401</v>
      </c>
      <c r="E51" s="425">
        <v>7</v>
      </c>
      <c r="F51" s="418">
        <v>1500</v>
      </c>
      <c r="G51" s="419">
        <v>214.3</v>
      </c>
      <c r="H51" s="579"/>
      <c r="I51" s="422">
        <f t="shared" si="31"/>
        <v>7</v>
      </c>
      <c r="J51" s="422">
        <f t="shared" si="32"/>
        <v>1467.3471279473451</v>
      </c>
      <c r="K51" s="200">
        <f t="shared" si="33"/>
        <v>209.62101827819214</v>
      </c>
      <c r="L51" s="581"/>
      <c r="M51" s="501">
        <f>RANK(K51, K$47:$K$61)</f>
        <v>3</v>
      </c>
      <c r="N51" s="564"/>
      <c r="O51" s="564"/>
      <c r="P51" s="498">
        <v>7</v>
      </c>
      <c r="Q51" s="425">
        <v>1450</v>
      </c>
      <c r="R51" s="425">
        <v>207.14285714285714</v>
      </c>
      <c r="S51" s="498">
        <f t="shared" si="34"/>
        <v>3</v>
      </c>
      <c r="T51" s="560"/>
      <c r="U51" s="498">
        <v>7</v>
      </c>
      <c r="V51" s="425">
        <v>1470.6122448979597</v>
      </c>
      <c r="W51" s="425">
        <v>210.08746355685139</v>
      </c>
      <c r="X51" s="498">
        <f t="shared" si="36"/>
        <v>1</v>
      </c>
      <c r="Y51" s="560"/>
      <c r="Z51" s="498">
        <v>7</v>
      </c>
      <c r="AA51" s="425">
        <v>1473.8931297709923</v>
      </c>
      <c r="AB51" s="425">
        <v>210.55616139585604</v>
      </c>
      <c r="AC51" s="498">
        <f t="shared" si="38"/>
        <v>2</v>
      </c>
      <c r="AD51" s="560"/>
      <c r="AE51" s="498">
        <v>7</v>
      </c>
      <c r="AF51" s="425">
        <v>1455.9292035398237</v>
      </c>
      <c r="AG51" s="425">
        <v>207.98988621997481</v>
      </c>
      <c r="AH51" s="498">
        <f t="shared" si="40"/>
        <v>4</v>
      </c>
      <c r="AI51" s="560"/>
      <c r="AJ51" s="498">
        <v>7</v>
      </c>
      <c r="AK51" s="425">
        <v>1460.172413793103</v>
      </c>
      <c r="AL51" s="425">
        <v>208.59605911330044</v>
      </c>
      <c r="AM51" s="498">
        <f t="shared" si="42"/>
        <v>3</v>
      </c>
      <c r="AN51" s="560"/>
      <c r="AO51" s="498">
        <v>7</v>
      </c>
      <c r="AP51" s="425">
        <v>1473.6170212765956</v>
      </c>
      <c r="AQ51" s="425">
        <v>210.51671732522794</v>
      </c>
      <c r="AR51" s="498">
        <f t="shared" si="44"/>
        <v>1</v>
      </c>
      <c r="AS51" s="560"/>
      <c r="AT51" s="498">
        <v>7</v>
      </c>
      <c r="AU51" s="425">
        <v>1487.205882352941</v>
      </c>
      <c r="AV51" s="425">
        <v>212.45798319327727</v>
      </c>
      <c r="AW51" s="498">
        <f t="shared" si="46"/>
        <v>1</v>
      </c>
      <c r="AX51" s="560"/>
      <c r="AZ51" s="407" t="e">
        <f t="shared" si="48"/>
        <v>#N/A</v>
      </c>
      <c r="BA51" s="560"/>
    </row>
    <row r="52" spans="2:53">
      <c r="B52" s="570"/>
      <c r="C52" s="420">
        <v>6</v>
      </c>
      <c r="D52" s="226" t="s">
        <v>620</v>
      </c>
      <c r="E52" s="425">
        <v>12</v>
      </c>
      <c r="F52" s="418">
        <v>2000</v>
      </c>
      <c r="G52" s="419">
        <v>166</v>
      </c>
      <c r="H52" s="579"/>
      <c r="I52" s="422">
        <f t="shared" si="31"/>
        <v>12.571428571428571</v>
      </c>
      <c r="J52" s="422">
        <f t="shared" si="32"/>
        <v>1621.9165809498215</v>
      </c>
      <c r="K52" s="200">
        <f t="shared" si="33"/>
        <v>128.92240304907662</v>
      </c>
      <c r="L52" s="581"/>
      <c r="M52" s="501">
        <f>RANK(K52, K$47:$K$61)</f>
        <v>7</v>
      </c>
      <c r="N52" s="564"/>
      <c r="O52" s="564"/>
      <c r="P52" s="498">
        <v>16</v>
      </c>
      <c r="Q52" s="425">
        <v>2095.7368421052647</v>
      </c>
      <c r="R52" s="425">
        <v>130.98355263157904</v>
      </c>
      <c r="S52" s="498">
        <f t="shared" si="34"/>
        <v>7</v>
      </c>
      <c r="T52" s="560"/>
      <c r="U52" s="498">
        <v>12</v>
      </c>
      <c r="V52" s="425">
        <v>1568.7236842105269</v>
      </c>
      <c r="W52" s="425">
        <v>130.72697368421058</v>
      </c>
      <c r="X52" s="498">
        <f t="shared" si="36"/>
        <v>5</v>
      </c>
      <c r="Y52" s="560"/>
      <c r="Z52" s="498">
        <v>12</v>
      </c>
      <c r="AA52" s="425">
        <v>1525.2162162162169</v>
      </c>
      <c r="AB52" s="425">
        <v>127.10135135135141</v>
      </c>
      <c r="AC52" s="498">
        <f t="shared" si="38"/>
        <v>7</v>
      </c>
      <c r="AD52" s="560"/>
      <c r="AE52" s="498">
        <v>12</v>
      </c>
      <c r="AF52" s="425">
        <v>1540.1904761904759</v>
      </c>
      <c r="AG52" s="425">
        <v>128.34920634920633</v>
      </c>
      <c r="AH52" s="498">
        <f t="shared" si="40"/>
        <v>5</v>
      </c>
      <c r="AI52" s="560"/>
      <c r="AJ52" s="498">
        <v>12</v>
      </c>
      <c r="AK52" s="425">
        <v>1568.1774193548383</v>
      </c>
      <c r="AL52" s="425">
        <v>130.6814516129032</v>
      </c>
      <c r="AM52" s="498">
        <f t="shared" si="42"/>
        <v>6</v>
      </c>
      <c r="AN52" s="560"/>
      <c r="AO52" s="498">
        <v>12</v>
      </c>
      <c r="AP52" s="425">
        <v>1534.3714285714289</v>
      </c>
      <c r="AQ52" s="425">
        <v>127.86428571428574</v>
      </c>
      <c r="AR52" s="498">
        <f t="shared" si="44"/>
        <v>5</v>
      </c>
      <c r="AS52" s="560"/>
      <c r="AT52" s="498">
        <v>12</v>
      </c>
      <c r="AU52" s="425">
        <v>1521.0000000000007</v>
      </c>
      <c r="AV52" s="425">
        <v>126.75000000000006</v>
      </c>
      <c r="AW52" s="498">
        <f t="shared" si="46"/>
        <v>6</v>
      </c>
      <c r="AX52" s="560"/>
      <c r="AZ52" s="407" t="e">
        <f t="shared" si="48"/>
        <v>#N/A</v>
      </c>
      <c r="BA52" s="560"/>
    </row>
    <row r="53" spans="2:53">
      <c r="B53" s="570"/>
      <c r="C53" s="420">
        <v>7</v>
      </c>
      <c r="D53" s="226" t="s">
        <v>599</v>
      </c>
      <c r="E53" s="425">
        <v>7</v>
      </c>
      <c r="F53" s="418">
        <v>1500</v>
      </c>
      <c r="G53" s="419">
        <v>214.3</v>
      </c>
      <c r="H53" s="579"/>
      <c r="I53" s="422">
        <f t="shared" si="31"/>
        <v>7</v>
      </c>
      <c r="J53" s="422">
        <f t="shared" si="32"/>
        <v>1454.8809833034807</v>
      </c>
      <c r="K53" s="200">
        <f t="shared" si="33"/>
        <v>207.84014047192582</v>
      </c>
      <c r="L53" s="581"/>
      <c r="M53" s="501">
        <f>RANK(K53, K$47:$K$61)</f>
        <v>4</v>
      </c>
      <c r="N53" s="564"/>
      <c r="O53" s="564"/>
      <c r="P53" s="498">
        <v>7</v>
      </c>
      <c r="Q53" s="425">
        <v>1438.6363636363635</v>
      </c>
      <c r="R53" s="425">
        <v>205.51948051948051</v>
      </c>
      <c r="S53" s="498">
        <f t="shared" si="34"/>
        <v>4</v>
      </c>
      <c r="T53" s="560"/>
      <c r="U53" s="498">
        <v>7</v>
      </c>
      <c r="V53" s="425">
        <v>1466.8965517241377</v>
      </c>
      <c r="W53" s="425">
        <v>209.5566502463054</v>
      </c>
      <c r="X53" s="498">
        <f t="shared" si="36"/>
        <v>3</v>
      </c>
      <c r="Y53" s="560"/>
      <c r="Z53" s="498">
        <v>7</v>
      </c>
      <c r="AA53" s="425">
        <v>1464.8275862068963</v>
      </c>
      <c r="AB53" s="425">
        <v>209.26108374384233</v>
      </c>
      <c r="AC53" s="498">
        <f t="shared" si="38"/>
        <v>4</v>
      </c>
      <c r="AD53" s="560"/>
      <c r="AE53" s="498">
        <v>7</v>
      </c>
      <c r="AF53" s="425">
        <v>1463.0136986301372</v>
      </c>
      <c r="AG53" s="425">
        <v>209.00195694716245</v>
      </c>
      <c r="AH53" s="498">
        <f t="shared" si="40"/>
        <v>3</v>
      </c>
      <c r="AI53" s="560"/>
      <c r="AJ53" s="498">
        <v>7</v>
      </c>
      <c r="AK53" s="425">
        <v>1434.166666666667</v>
      </c>
      <c r="AL53" s="425">
        <v>204.88095238095244</v>
      </c>
      <c r="AM53" s="498">
        <f t="shared" si="42"/>
        <v>4</v>
      </c>
      <c r="AN53" s="560"/>
      <c r="AO53" s="498">
        <v>7</v>
      </c>
      <c r="AP53" s="425">
        <v>1458.3333333333337</v>
      </c>
      <c r="AQ53" s="425">
        <v>208.3333333333334</v>
      </c>
      <c r="AR53" s="498">
        <f t="shared" si="44"/>
        <v>3</v>
      </c>
      <c r="AS53" s="560"/>
      <c r="AT53" s="498">
        <v>7</v>
      </c>
      <c r="AU53" s="425">
        <v>1458.2926829268288</v>
      </c>
      <c r="AV53" s="425">
        <v>208.3275261324041</v>
      </c>
      <c r="AW53" s="498">
        <f t="shared" si="46"/>
        <v>4</v>
      </c>
      <c r="AX53" s="560"/>
      <c r="AZ53" s="407" t="e">
        <f t="shared" si="48"/>
        <v>#N/A</v>
      </c>
      <c r="BA53" s="560"/>
    </row>
    <row r="54" spans="2:53">
      <c r="B54" s="570"/>
      <c r="C54" s="420">
        <v>8</v>
      </c>
      <c r="D54" s="226" t="s">
        <v>813</v>
      </c>
      <c r="E54" s="425">
        <v>12</v>
      </c>
      <c r="F54" s="418">
        <v>2000</v>
      </c>
      <c r="G54" s="419">
        <v>166</v>
      </c>
      <c r="H54" s="579"/>
      <c r="I54" s="422">
        <f t="shared" si="31"/>
        <v>12.857142857142858</v>
      </c>
      <c r="J54" s="422">
        <f t="shared" si="32"/>
        <v>1759.6509749120232</v>
      </c>
      <c r="K54" s="200">
        <f t="shared" si="33"/>
        <v>133.27763726507766</v>
      </c>
      <c r="L54" s="581"/>
      <c r="M54" s="501">
        <f>RANK(K54, K$47:$K$61)</f>
        <v>6</v>
      </c>
      <c r="N54" s="564"/>
      <c r="O54" s="564"/>
      <c r="P54" s="498">
        <v>18</v>
      </c>
      <c r="Q54" s="425">
        <v>3366.7058823529219</v>
      </c>
      <c r="R54" s="425">
        <v>187.03921568627345</v>
      </c>
      <c r="S54" s="498">
        <f t="shared" si="34"/>
        <v>6</v>
      </c>
      <c r="T54" s="560"/>
      <c r="U54" s="498">
        <v>12</v>
      </c>
      <c r="V54" s="425">
        <v>1487.7452054794521</v>
      </c>
      <c r="W54" s="425">
        <v>123.97876712328768</v>
      </c>
      <c r="X54" s="498">
        <f t="shared" si="36"/>
        <v>7</v>
      </c>
      <c r="Y54" s="560"/>
      <c r="Z54" s="498">
        <v>12</v>
      </c>
      <c r="AA54" s="425">
        <v>1528.6874999999995</v>
      </c>
      <c r="AB54" s="425">
        <v>127.39062499999996</v>
      </c>
      <c r="AC54" s="498">
        <f t="shared" si="38"/>
        <v>5</v>
      </c>
      <c r="AD54" s="560"/>
      <c r="AE54" s="498">
        <v>12</v>
      </c>
      <c r="AF54" s="425">
        <v>1499.7473684210518</v>
      </c>
      <c r="AG54" s="425">
        <v>124.97894736842098</v>
      </c>
      <c r="AH54" s="498">
        <f t="shared" si="40"/>
        <v>7</v>
      </c>
      <c r="AI54" s="560"/>
      <c r="AJ54" s="498">
        <v>12</v>
      </c>
      <c r="AK54" s="425">
        <v>1478.5833333333337</v>
      </c>
      <c r="AL54" s="425">
        <v>123.21527777777781</v>
      </c>
      <c r="AM54" s="498">
        <f t="shared" si="42"/>
        <v>7</v>
      </c>
      <c r="AN54" s="560"/>
      <c r="AO54" s="498">
        <v>12</v>
      </c>
      <c r="AP54" s="425">
        <v>1482.2950819672137</v>
      </c>
      <c r="AQ54" s="425">
        <v>123.52459016393448</v>
      </c>
      <c r="AR54" s="498">
        <f t="shared" si="44"/>
        <v>7</v>
      </c>
      <c r="AS54" s="560"/>
      <c r="AT54" s="498">
        <v>12</v>
      </c>
      <c r="AU54" s="425">
        <v>1473.7924528301896</v>
      </c>
      <c r="AV54" s="425">
        <v>122.81603773584914</v>
      </c>
      <c r="AW54" s="498">
        <f t="shared" si="46"/>
        <v>7</v>
      </c>
      <c r="AX54" s="560"/>
      <c r="AZ54" s="407" t="e">
        <f t="shared" si="48"/>
        <v>#N/A</v>
      </c>
      <c r="BA54" s="560"/>
    </row>
    <row r="55" spans="2:53">
      <c r="B55" s="570"/>
      <c r="C55" s="420">
        <v>9</v>
      </c>
      <c r="D55" s="226" t="s">
        <v>814</v>
      </c>
      <c r="E55" s="425">
        <v>12</v>
      </c>
      <c r="F55" s="418">
        <v>2000</v>
      </c>
      <c r="G55" s="419">
        <v>166</v>
      </c>
      <c r="H55" s="579"/>
      <c r="I55" s="422">
        <f t="shared" si="31"/>
        <v>12.857142857142858</v>
      </c>
      <c r="J55" s="422">
        <f t="shared" si="32"/>
        <v>1805.7247377851775</v>
      </c>
      <c r="K55" s="200">
        <f t="shared" si="33"/>
        <v>137.00288307834225</v>
      </c>
      <c r="L55" s="581"/>
      <c r="M55" s="501">
        <f>RANK(K55, K$47:$K$61)</f>
        <v>5</v>
      </c>
      <c r="N55" s="564"/>
      <c r="O55" s="564"/>
      <c r="P55" s="498">
        <v>18</v>
      </c>
      <c r="Q55" s="425">
        <v>3395.4929577464795</v>
      </c>
      <c r="R55" s="425">
        <v>188.6384976525822</v>
      </c>
      <c r="S55" s="498"/>
      <c r="T55" s="560"/>
      <c r="U55" s="498">
        <v>12</v>
      </c>
      <c r="V55" s="425">
        <v>1504.1739130434783</v>
      </c>
      <c r="W55" s="425">
        <v>125.34782608695652</v>
      </c>
      <c r="X55" s="498"/>
      <c r="Y55" s="560"/>
      <c r="Z55" s="498">
        <v>12</v>
      </c>
      <c r="AA55" s="425">
        <v>1527.2999999999995</v>
      </c>
      <c r="AB55" s="425">
        <v>127.27499999999996</v>
      </c>
      <c r="AC55" s="498">
        <f t="shared" si="38"/>
        <v>6</v>
      </c>
      <c r="AD55" s="560"/>
      <c r="AE55" s="498">
        <v>12</v>
      </c>
      <c r="AF55" s="425">
        <v>1522.7076923076941</v>
      </c>
      <c r="AG55" s="425">
        <v>126.89230769230784</v>
      </c>
      <c r="AH55" s="498">
        <f t="shared" si="40"/>
        <v>6</v>
      </c>
      <c r="AI55" s="560"/>
      <c r="AJ55" s="498">
        <v>12</v>
      </c>
      <c r="AK55" s="425">
        <v>1608.7272727272632</v>
      </c>
      <c r="AL55" s="425">
        <v>134.06060606060527</v>
      </c>
      <c r="AM55" s="498">
        <f t="shared" si="42"/>
        <v>5</v>
      </c>
      <c r="AN55" s="560"/>
      <c r="AO55" s="498">
        <v>12</v>
      </c>
      <c r="AP55" s="425">
        <v>1520.3076923076917</v>
      </c>
      <c r="AQ55" s="425">
        <v>126.69230769230764</v>
      </c>
      <c r="AR55" s="498">
        <f t="shared" si="44"/>
        <v>6</v>
      </c>
      <c r="AS55" s="560"/>
      <c r="AT55" s="498">
        <v>12</v>
      </c>
      <c r="AU55" s="425">
        <v>1561.3636363636365</v>
      </c>
      <c r="AV55" s="425">
        <v>130.11363636363637</v>
      </c>
      <c r="AW55" s="498">
        <f t="shared" si="46"/>
        <v>5</v>
      </c>
      <c r="AX55" s="560"/>
      <c r="AZ55" s="498" t="e">
        <f t="shared" si="48"/>
        <v>#N/A</v>
      </c>
      <c r="BA55" s="560"/>
    </row>
    <row r="56" spans="2:53">
      <c r="B56" s="570"/>
      <c r="C56" s="420">
        <v>10</v>
      </c>
      <c r="D56" s="226"/>
      <c r="E56" s="425"/>
      <c r="F56" s="418"/>
      <c r="G56" s="419"/>
      <c r="H56" s="579"/>
      <c r="I56" s="422" t="str">
        <f t="shared" si="31"/>
        <v>-</v>
      </c>
      <c r="J56" s="422" t="str">
        <f t="shared" si="32"/>
        <v>-</v>
      </c>
      <c r="K56" s="200" t="str">
        <f t="shared" si="33"/>
        <v>-</v>
      </c>
      <c r="L56" s="581"/>
      <c r="M56" s="501" t="e">
        <f>RANK(K56, K$47:$K$61)</f>
        <v>#VALUE!</v>
      </c>
      <c r="N56" s="564"/>
      <c r="O56" s="564"/>
      <c r="P56" s="498" t="s">
        <v>639</v>
      </c>
      <c r="Q56" s="425" t="s">
        <v>639</v>
      </c>
      <c r="R56" s="425" t="s">
        <v>639</v>
      </c>
      <c r="S56" s="498"/>
      <c r="T56" s="560"/>
      <c r="U56" s="498" t="s">
        <v>639</v>
      </c>
      <c r="V56" s="425" t="s">
        <v>639</v>
      </c>
      <c r="W56" s="425" t="s">
        <v>639</v>
      </c>
      <c r="X56" s="498"/>
      <c r="Y56" s="560"/>
      <c r="Z56" s="498" t="s">
        <v>639</v>
      </c>
      <c r="AA56" s="425" t="s">
        <v>639</v>
      </c>
      <c r="AB56" s="425" t="s">
        <v>639</v>
      </c>
      <c r="AC56" s="498"/>
      <c r="AD56" s="560"/>
      <c r="AE56" s="498" t="s">
        <v>639</v>
      </c>
      <c r="AF56" s="425" t="s">
        <v>639</v>
      </c>
      <c r="AG56" s="425" t="s">
        <v>639</v>
      </c>
      <c r="AH56" s="498"/>
      <c r="AI56" s="560"/>
      <c r="AJ56" s="498" t="s">
        <v>639</v>
      </c>
      <c r="AK56" s="425" t="s">
        <v>639</v>
      </c>
      <c r="AL56" s="425" t="s">
        <v>639</v>
      </c>
      <c r="AM56" s="498"/>
      <c r="AN56" s="560"/>
      <c r="AO56" s="498" t="s">
        <v>639</v>
      </c>
      <c r="AP56" s="425" t="s">
        <v>639</v>
      </c>
      <c r="AQ56" s="425" t="s">
        <v>639</v>
      </c>
      <c r="AR56" s="498"/>
      <c r="AS56" s="560"/>
      <c r="AT56" s="498" t="s">
        <v>639</v>
      </c>
      <c r="AU56" s="425" t="s">
        <v>639</v>
      </c>
      <c r="AV56" s="425" t="s">
        <v>639</v>
      </c>
      <c r="AW56" s="498"/>
      <c r="AX56" s="560"/>
      <c r="AZ56" s="498" t="e">
        <f t="shared" si="48"/>
        <v>#N/A</v>
      </c>
      <c r="BA56" s="560"/>
    </row>
    <row r="57" spans="2:53">
      <c r="B57" s="570"/>
      <c r="C57" s="420">
        <v>11</v>
      </c>
      <c r="D57" s="226"/>
      <c r="E57" s="425"/>
      <c r="F57" s="418"/>
      <c r="G57" s="419"/>
      <c r="H57" s="579"/>
      <c r="I57" s="422" t="str">
        <f t="shared" si="31"/>
        <v>-</v>
      </c>
      <c r="J57" s="422" t="str">
        <f t="shared" si="32"/>
        <v>-</v>
      </c>
      <c r="K57" s="200" t="str">
        <f t="shared" si="33"/>
        <v>-</v>
      </c>
      <c r="L57" s="581"/>
      <c r="M57" s="501" t="e">
        <f>RANK(K57, K$47:$K$61)</f>
        <v>#VALUE!</v>
      </c>
      <c r="N57" s="564"/>
      <c r="O57" s="564"/>
      <c r="P57" s="498" t="s">
        <v>639</v>
      </c>
      <c r="Q57" s="425" t="s">
        <v>639</v>
      </c>
      <c r="R57" s="425" t="s">
        <v>639</v>
      </c>
      <c r="S57" s="498"/>
      <c r="T57" s="560"/>
      <c r="U57" s="498" t="s">
        <v>639</v>
      </c>
      <c r="V57" s="425" t="s">
        <v>639</v>
      </c>
      <c r="W57" s="425" t="s">
        <v>639</v>
      </c>
      <c r="X57" s="498"/>
      <c r="Y57" s="560"/>
      <c r="Z57" s="498" t="s">
        <v>639</v>
      </c>
      <c r="AA57" s="425" t="s">
        <v>639</v>
      </c>
      <c r="AB57" s="425" t="s">
        <v>639</v>
      </c>
      <c r="AC57" s="498"/>
      <c r="AD57" s="560"/>
      <c r="AE57" s="498" t="s">
        <v>639</v>
      </c>
      <c r="AF57" s="425" t="s">
        <v>639</v>
      </c>
      <c r="AG57" s="425" t="s">
        <v>639</v>
      </c>
      <c r="AH57" s="498"/>
      <c r="AI57" s="560"/>
      <c r="AJ57" s="498" t="s">
        <v>639</v>
      </c>
      <c r="AK57" s="425" t="s">
        <v>639</v>
      </c>
      <c r="AL57" s="425" t="s">
        <v>639</v>
      </c>
      <c r="AM57" s="498"/>
      <c r="AN57" s="560"/>
      <c r="AO57" s="498" t="s">
        <v>639</v>
      </c>
      <c r="AP57" s="425" t="s">
        <v>639</v>
      </c>
      <c r="AQ57" s="425" t="s">
        <v>639</v>
      </c>
      <c r="AR57" s="498"/>
      <c r="AS57" s="560"/>
      <c r="AT57" s="498" t="s">
        <v>639</v>
      </c>
      <c r="AU57" s="425" t="s">
        <v>639</v>
      </c>
      <c r="AV57" s="425" t="s">
        <v>639</v>
      </c>
      <c r="AW57" s="498"/>
      <c r="AX57" s="560"/>
      <c r="AZ57" s="498" t="e">
        <f t="shared" si="48"/>
        <v>#N/A</v>
      </c>
      <c r="BA57" s="560"/>
    </row>
    <row r="58" spans="2:53">
      <c r="B58" s="570"/>
      <c r="C58" s="420">
        <v>12</v>
      </c>
      <c r="D58" s="226"/>
      <c r="E58" s="425"/>
      <c r="F58" s="418"/>
      <c r="G58" s="419"/>
      <c r="H58" s="579"/>
      <c r="I58" s="422" t="str">
        <f t="shared" si="31"/>
        <v>-</v>
      </c>
      <c r="J58" s="422" t="str">
        <f t="shared" si="32"/>
        <v>-</v>
      </c>
      <c r="K58" s="200" t="str">
        <f t="shared" si="33"/>
        <v>-</v>
      </c>
      <c r="L58" s="581"/>
      <c r="M58" s="501" t="e">
        <f>RANK(K58, K$47:$K$61)</f>
        <v>#VALUE!</v>
      </c>
      <c r="N58" s="564"/>
      <c r="O58" s="564"/>
      <c r="P58" s="498" t="s">
        <v>639</v>
      </c>
      <c r="Q58" s="425" t="s">
        <v>639</v>
      </c>
      <c r="R58" s="425" t="s">
        <v>639</v>
      </c>
      <c r="S58" s="498"/>
      <c r="T58" s="560"/>
      <c r="U58" s="498" t="s">
        <v>639</v>
      </c>
      <c r="V58" s="425" t="s">
        <v>639</v>
      </c>
      <c r="W58" s="425" t="s">
        <v>639</v>
      </c>
      <c r="X58" s="498"/>
      <c r="Y58" s="560"/>
      <c r="Z58" s="498" t="s">
        <v>639</v>
      </c>
      <c r="AA58" s="425" t="s">
        <v>639</v>
      </c>
      <c r="AB58" s="425" t="s">
        <v>639</v>
      </c>
      <c r="AC58" s="498"/>
      <c r="AD58" s="560"/>
      <c r="AE58" s="498" t="s">
        <v>639</v>
      </c>
      <c r="AF58" s="425" t="s">
        <v>639</v>
      </c>
      <c r="AG58" s="425" t="s">
        <v>639</v>
      </c>
      <c r="AH58" s="498"/>
      <c r="AI58" s="560"/>
      <c r="AJ58" s="498" t="s">
        <v>639</v>
      </c>
      <c r="AK58" s="425" t="s">
        <v>639</v>
      </c>
      <c r="AL58" s="425" t="s">
        <v>639</v>
      </c>
      <c r="AM58" s="498"/>
      <c r="AN58" s="560"/>
      <c r="AO58" s="498" t="s">
        <v>639</v>
      </c>
      <c r="AP58" s="425" t="s">
        <v>639</v>
      </c>
      <c r="AQ58" s="425" t="s">
        <v>639</v>
      </c>
      <c r="AR58" s="498"/>
      <c r="AS58" s="560"/>
      <c r="AT58" s="498" t="s">
        <v>639</v>
      </c>
      <c r="AU58" s="425" t="s">
        <v>639</v>
      </c>
      <c r="AV58" s="425" t="s">
        <v>639</v>
      </c>
      <c r="AW58" s="498"/>
      <c r="AX58" s="560"/>
      <c r="AZ58" s="498" t="e">
        <f t="shared" si="48"/>
        <v>#N/A</v>
      </c>
      <c r="BA58" s="560"/>
    </row>
    <row r="59" spans="2:53">
      <c r="B59" s="570"/>
      <c r="C59" s="420">
        <v>13</v>
      </c>
      <c r="D59" s="226"/>
      <c r="E59" s="425"/>
      <c r="F59" s="418"/>
      <c r="G59" s="419"/>
      <c r="H59" s="579"/>
      <c r="I59" s="422" t="str">
        <f t="shared" si="31"/>
        <v>-</v>
      </c>
      <c r="J59" s="422" t="str">
        <f t="shared" si="32"/>
        <v>-</v>
      </c>
      <c r="K59" s="200" t="str">
        <f t="shared" si="33"/>
        <v>-</v>
      </c>
      <c r="L59" s="581"/>
      <c r="M59" s="501" t="e">
        <f>RANK(K59, K$47:$K$61)</f>
        <v>#VALUE!</v>
      </c>
      <c r="N59" s="564"/>
      <c r="O59" s="564"/>
      <c r="P59" s="498" t="s">
        <v>639</v>
      </c>
      <c r="Q59" s="425" t="s">
        <v>639</v>
      </c>
      <c r="R59" s="425" t="s">
        <v>639</v>
      </c>
      <c r="S59" s="498"/>
      <c r="T59" s="560"/>
      <c r="U59" s="498" t="s">
        <v>639</v>
      </c>
      <c r="V59" s="425" t="s">
        <v>639</v>
      </c>
      <c r="W59" s="425" t="s">
        <v>639</v>
      </c>
      <c r="X59" s="498"/>
      <c r="Y59" s="560"/>
      <c r="Z59" s="498" t="s">
        <v>639</v>
      </c>
      <c r="AA59" s="425" t="s">
        <v>639</v>
      </c>
      <c r="AB59" s="425" t="s">
        <v>639</v>
      </c>
      <c r="AC59" s="498"/>
      <c r="AD59" s="560"/>
      <c r="AE59" s="498" t="s">
        <v>639</v>
      </c>
      <c r="AF59" s="425" t="s">
        <v>639</v>
      </c>
      <c r="AG59" s="425" t="s">
        <v>639</v>
      </c>
      <c r="AH59" s="498"/>
      <c r="AI59" s="560"/>
      <c r="AJ59" s="498" t="s">
        <v>639</v>
      </c>
      <c r="AK59" s="425" t="s">
        <v>639</v>
      </c>
      <c r="AL59" s="425" t="s">
        <v>639</v>
      </c>
      <c r="AM59" s="498"/>
      <c r="AN59" s="560"/>
      <c r="AO59" s="498" t="s">
        <v>639</v>
      </c>
      <c r="AP59" s="425" t="s">
        <v>639</v>
      </c>
      <c r="AQ59" s="425" t="s">
        <v>639</v>
      </c>
      <c r="AR59" s="498"/>
      <c r="AS59" s="560"/>
      <c r="AT59" s="498" t="s">
        <v>639</v>
      </c>
      <c r="AU59" s="425" t="s">
        <v>639</v>
      </c>
      <c r="AV59" s="425" t="s">
        <v>639</v>
      </c>
      <c r="AW59" s="498"/>
      <c r="AX59" s="560"/>
      <c r="AZ59" s="498" t="e">
        <f t="shared" si="48"/>
        <v>#N/A</v>
      </c>
      <c r="BA59" s="560"/>
    </row>
    <row r="60" spans="2:53">
      <c r="B60" s="570"/>
      <c r="C60" s="420">
        <v>14</v>
      </c>
      <c r="D60" s="226"/>
      <c r="E60" s="425"/>
      <c r="F60" s="418"/>
      <c r="G60" s="419"/>
      <c r="H60" s="579"/>
      <c r="I60" s="422" t="str">
        <f t="shared" si="31"/>
        <v>-</v>
      </c>
      <c r="J60" s="422" t="str">
        <f t="shared" si="32"/>
        <v>-</v>
      </c>
      <c r="K60" s="200" t="str">
        <f t="shared" si="33"/>
        <v>-</v>
      </c>
      <c r="L60" s="581"/>
      <c r="M60" s="501" t="e">
        <f>RANK(K60, K$47:$K$61)</f>
        <v>#VALUE!</v>
      </c>
      <c r="N60" s="564"/>
      <c r="O60" s="564"/>
      <c r="P60" s="498" t="s">
        <v>639</v>
      </c>
      <c r="Q60" s="425" t="s">
        <v>639</v>
      </c>
      <c r="R60" s="425" t="s">
        <v>639</v>
      </c>
      <c r="S60" s="498"/>
      <c r="T60" s="560"/>
      <c r="U60" s="498" t="s">
        <v>639</v>
      </c>
      <c r="V60" s="425" t="s">
        <v>639</v>
      </c>
      <c r="W60" s="425" t="s">
        <v>639</v>
      </c>
      <c r="X60" s="498"/>
      <c r="Y60" s="560"/>
      <c r="Z60" s="498" t="s">
        <v>639</v>
      </c>
      <c r="AA60" s="425" t="s">
        <v>639</v>
      </c>
      <c r="AB60" s="425" t="s">
        <v>639</v>
      </c>
      <c r="AC60" s="498"/>
      <c r="AD60" s="560"/>
      <c r="AE60" s="498" t="s">
        <v>639</v>
      </c>
      <c r="AF60" s="425" t="s">
        <v>639</v>
      </c>
      <c r="AG60" s="425" t="s">
        <v>639</v>
      </c>
      <c r="AH60" s="498"/>
      <c r="AI60" s="560"/>
      <c r="AJ60" s="498" t="s">
        <v>639</v>
      </c>
      <c r="AK60" s="425" t="s">
        <v>639</v>
      </c>
      <c r="AL60" s="425" t="s">
        <v>639</v>
      </c>
      <c r="AM60" s="498"/>
      <c r="AN60" s="560"/>
      <c r="AO60" s="498" t="s">
        <v>639</v>
      </c>
      <c r="AP60" s="425" t="s">
        <v>639</v>
      </c>
      <c r="AQ60" s="425" t="s">
        <v>639</v>
      </c>
      <c r="AR60" s="498"/>
      <c r="AS60" s="560"/>
      <c r="AT60" s="498" t="s">
        <v>639</v>
      </c>
      <c r="AU60" s="425" t="s">
        <v>639</v>
      </c>
      <c r="AV60" s="425" t="s">
        <v>639</v>
      </c>
      <c r="AW60" s="498"/>
      <c r="AX60" s="560"/>
      <c r="AZ60" s="498" t="e">
        <f t="shared" si="48"/>
        <v>#N/A</v>
      </c>
      <c r="BA60" s="560"/>
    </row>
    <row r="61" spans="2:53">
      <c r="B61" s="570"/>
      <c r="C61" s="420">
        <v>15</v>
      </c>
      <c r="D61" s="226"/>
      <c r="E61" s="425"/>
      <c r="F61" s="418"/>
      <c r="G61" s="419"/>
      <c r="H61" s="639"/>
      <c r="I61" s="420"/>
      <c r="J61" s="420"/>
      <c r="K61" s="420"/>
      <c r="L61" s="582"/>
      <c r="M61" s="501" t="e">
        <f>RANK(K61, K$47:$K$61)</f>
        <v>#N/A</v>
      </c>
      <c r="N61" s="564"/>
      <c r="O61" s="564"/>
      <c r="P61" s="498" t="s">
        <v>639</v>
      </c>
      <c r="Q61" s="425" t="s">
        <v>639</v>
      </c>
      <c r="R61" s="425" t="s">
        <v>639</v>
      </c>
      <c r="S61" s="498"/>
      <c r="T61" s="561"/>
      <c r="U61" s="498" t="s">
        <v>639</v>
      </c>
      <c r="V61" s="425" t="s">
        <v>639</v>
      </c>
      <c r="W61" s="425" t="s">
        <v>639</v>
      </c>
      <c r="X61" s="498"/>
      <c r="Y61" s="561"/>
      <c r="Z61" s="498" t="s">
        <v>639</v>
      </c>
      <c r="AA61" s="425" t="s">
        <v>639</v>
      </c>
      <c r="AB61" s="425" t="s">
        <v>639</v>
      </c>
      <c r="AC61" s="498"/>
      <c r="AD61" s="561"/>
      <c r="AE61" s="498" t="s">
        <v>639</v>
      </c>
      <c r="AF61" s="425" t="s">
        <v>639</v>
      </c>
      <c r="AG61" s="425" t="s">
        <v>639</v>
      </c>
      <c r="AH61" s="498"/>
      <c r="AI61" s="561"/>
      <c r="AJ61" s="498" t="s">
        <v>639</v>
      </c>
      <c r="AK61" s="425" t="s">
        <v>639</v>
      </c>
      <c r="AL61" s="425" t="s">
        <v>639</v>
      </c>
      <c r="AM61" s="498"/>
      <c r="AN61" s="561"/>
      <c r="AO61" s="498" t="s">
        <v>639</v>
      </c>
      <c r="AP61" s="425" t="s">
        <v>639</v>
      </c>
      <c r="AQ61" s="425" t="s">
        <v>639</v>
      </c>
      <c r="AR61" s="498"/>
      <c r="AS61" s="561"/>
      <c r="AT61" s="498" t="s">
        <v>639</v>
      </c>
      <c r="AU61" s="425" t="s">
        <v>639</v>
      </c>
      <c r="AV61" s="425" t="s">
        <v>639</v>
      </c>
      <c r="AW61" s="498"/>
      <c r="AX61" s="561"/>
      <c r="AZ61" s="498" t="e">
        <f t="shared" si="48"/>
        <v>#N/A</v>
      </c>
      <c r="BA61" s="561"/>
    </row>
    <row r="62" spans="2:53" ht="15.75">
      <c r="B62" s="593" t="s">
        <v>163</v>
      </c>
      <c r="C62" s="594"/>
      <c r="D62" s="594"/>
      <c r="E62" s="594"/>
      <c r="F62" s="594"/>
      <c r="G62" s="594"/>
      <c r="H62" s="595"/>
      <c r="I62" s="208"/>
      <c r="J62" s="208"/>
      <c r="K62" s="208"/>
      <c r="L62" s="208"/>
      <c r="M62" s="207"/>
      <c r="N62" s="566" t="s">
        <v>156</v>
      </c>
      <c r="O62" s="566" t="s">
        <v>105</v>
      </c>
      <c r="P62" s="592">
        <f>P42+7</f>
        <v>46161</v>
      </c>
      <c r="Q62" s="570"/>
      <c r="R62" s="570"/>
      <c r="S62" s="570"/>
      <c r="T62" s="570"/>
      <c r="U62" s="589">
        <f>P62+1</f>
        <v>46162</v>
      </c>
      <c r="V62" s="590"/>
      <c r="W62" s="590"/>
      <c r="X62" s="590"/>
      <c r="Y62" s="591"/>
      <c r="Z62" s="589">
        <f>U62+1</f>
        <v>46163</v>
      </c>
      <c r="AA62" s="590"/>
      <c r="AB62" s="590"/>
      <c r="AC62" s="590"/>
      <c r="AD62" s="591"/>
      <c r="AE62" s="589">
        <f>Z62+1</f>
        <v>46164</v>
      </c>
      <c r="AF62" s="590"/>
      <c r="AG62" s="590"/>
      <c r="AH62" s="590"/>
      <c r="AI62" s="591"/>
      <c r="AJ62" s="589">
        <f>AE62+1</f>
        <v>46165</v>
      </c>
      <c r="AK62" s="590"/>
      <c r="AL62" s="590"/>
      <c r="AM62" s="590"/>
      <c r="AN62" s="591"/>
      <c r="AO62" s="589">
        <f>AJ62+1</f>
        <v>46166</v>
      </c>
      <c r="AP62" s="590"/>
      <c r="AQ62" s="590"/>
      <c r="AR62" s="590"/>
      <c r="AS62" s="591"/>
      <c r="AT62" s="589">
        <f>AO62+1</f>
        <v>46167</v>
      </c>
      <c r="AU62" s="590"/>
      <c r="AV62" s="590"/>
      <c r="AW62" s="590"/>
      <c r="AX62" s="591"/>
    </row>
    <row r="63" spans="2:53" ht="15.75">
      <c r="B63" s="596"/>
      <c r="C63" s="596"/>
      <c r="D63" s="596"/>
      <c r="E63" s="596"/>
      <c r="F63" s="596"/>
      <c r="G63" s="596"/>
      <c r="H63" s="596"/>
      <c r="I63" s="205"/>
      <c r="J63" s="205"/>
      <c r="K63" s="205"/>
      <c r="L63" s="205"/>
      <c r="M63" s="206"/>
      <c r="N63" s="568"/>
      <c r="O63" s="568"/>
      <c r="P63" s="592" t="s">
        <v>318</v>
      </c>
      <c r="Q63" s="570"/>
      <c r="R63" s="570"/>
      <c r="S63" s="570"/>
      <c r="T63" s="570"/>
      <c r="U63" s="592" t="s">
        <v>319</v>
      </c>
      <c r="V63" s="570"/>
      <c r="W63" s="570"/>
      <c r="X63" s="570"/>
      <c r="Y63" s="570"/>
      <c r="Z63" s="592" t="s">
        <v>320</v>
      </c>
      <c r="AA63" s="570"/>
      <c r="AB63" s="570"/>
      <c r="AC63" s="570"/>
      <c r="AD63" s="570"/>
      <c r="AE63" s="592" t="s">
        <v>321</v>
      </c>
      <c r="AF63" s="570"/>
      <c r="AG63" s="570"/>
      <c r="AH63" s="570"/>
      <c r="AI63" s="570"/>
      <c r="AJ63" s="592" t="s">
        <v>322</v>
      </c>
      <c r="AK63" s="570"/>
      <c r="AL63" s="570"/>
      <c r="AM63" s="570"/>
      <c r="AN63" s="570"/>
      <c r="AO63" s="592" t="s">
        <v>323</v>
      </c>
      <c r="AP63" s="570"/>
      <c r="AQ63" s="570"/>
      <c r="AR63" s="570"/>
      <c r="AS63" s="570"/>
      <c r="AT63" s="592" t="s">
        <v>324</v>
      </c>
      <c r="AU63" s="570"/>
      <c r="AV63" s="570"/>
      <c r="AW63" s="570"/>
      <c r="AX63" s="570"/>
    </row>
    <row r="64" spans="2:53">
      <c r="B64" s="564" t="s">
        <v>420</v>
      </c>
      <c r="C64" s="564" t="s">
        <v>560</v>
      </c>
      <c r="D64" s="564"/>
      <c r="E64" s="564" t="s">
        <v>561</v>
      </c>
      <c r="F64" s="564"/>
      <c r="G64" s="564"/>
      <c r="H64" s="597" t="s">
        <v>562</v>
      </c>
      <c r="I64" s="564" t="s">
        <v>563</v>
      </c>
      <c r="J64" s="564"/>
      <c r="K64" s="564"/>
      <c r="L64" s="597" t="s">
        <v>374</v>
      </c>
      <c r="M64" s="566" t="s">
        <v>564</v>
      </c>
      <c r="N64" s="564"/>
      <c r="O64" s="564" t="s">
        <v>380</v>
      </c>
      <c r="P64" s="583" t="s">
        <v>376</v>
      </c>
      <c r="Q64" s="584"/>
      <c r="R64" s="584"/>
      <c r="S64" s="585"/>
      <c r="T64" s="564" t="s">
        <v>374</v>
      </c>
      <c r="U64" s="583" t="s">
        <v>376</v>
      </c>
      <c r="V64" s="584"/>
      <c r="W64" s="584"/>
      <c r="X64" s="585"/>
      <c r="Y64" s="564" t="s">
        <v>374</v>
      </c>
      <c r="Z64" s="583" t="s">
        <v>376</v>
      </c>
      <c r="AA64" s="584"/>
      <c r="AB64" s="584"/>
      <c r="AC64" s="585"/>
      <c r="AD64" s="564" t="s">
        <v>374</v>
      </c>
      <c r="AE64" s="583" t="s">
        <v>376</v>
      </c>
      <c r="AF64" s="584"/>
      <c r="AG64" s="584"/>
      <c r="AH64" s="585"/>
      <c r="AI64" s="564" t="s">
        <v>374</v>
      </c>
      <c r="AJ64" s="583" t="s">
        <v>376</v>
      </c>
      <c r="AK64" s="584"/>
      <c r="AL64" s="584"/>
      <c r="AM64" s="585"/>
      <c r="AN64" s="564" t="s">
        <v>374</v>
      </c>
      <c r="AO64" s="583" t="s">
        <v>376</v>
      </c>
      <c r="AP64" s="584"/>
      <c r="AQ64" s="584"/>
      <c r="AR64" s="585"/>
      <c r="AS64" s="564" t="s">
        <v>374</v>
      </c>
      <c r="AT64" s="583" t="s">
        <v>376</v>
      </c>
      <c r="AU64" s="584"/>
      <c r="AV64" s="584"/>
      <c r="AW64" s="585"/>
      <c r="AX64" s="564" t="s">
        <v>374</v>
      </c>
      <c r="BA64" s="564" t="s">
        <v>374</v>
      </c>
    </row>
    <row r="65" spans="2:53">
      <c r="B65" s="564"/>
      <c r="C65" s="564"/>
      <c r="D65" s="564"/>
      <c r="E65" s="564" t="s">
        <v>566</v>
      </c>
      <c r="F65" s="564"/>
      <c r="G65" s="564"/>
      <c r="H65" s="598"/>
      <c r="I65" s="564" t="s">
        <v>566</v>
      </c>
      <c r="J65" s="564"/>
      <c r="K65" s="564"/>
      <c r="L65" s="598"/>
      <c r="M65" s="567"/>
      <c r="N65" s="564"/>
      <c r="O65" s="564"/>
      <c r="P65" s="583" t="s">
        <v>382</v>
      </c>
      <c r="Q65" s="584"/>
      <c r="R65" s="584"/>
      <c r="S65" s="585"/>
      <c r="T65" s="564"/>
      <c r="U65" s="583" t="s">
        <v>382</v>
      </c>
      <c r="V65" s="584"/>
      <c r="W65" s="584"/>
      <c r="X65" s="585"/>
      <c r="Y65" s="564"/>
      <c r="Z65" s="583" t="s">
        <v>382</v>
      </c>
      <c r="AA65" s="584"/>
      <c r="AB65" s="584"/>
      <c r="AC65" s="585"/>
      <c r="AD65" s="564"/>
      <c r="AE65" s="583" t="s">
        <v>382</v>
      </c>
      <c r="AF65" s="584"/>
      <c r="AG65" s="584"/>
      <c r="AH65" s="585"/>
      <c r="AI65" s="564"/>
      <c r="AJ65" s="583" t="s">
        <v>382</v>
      </c>
      <c r="AK65" s="584"/>
      <c r="AL65" s="584"/>
      <c r="AM65" s="585"/>
      <c r="AN65" s="564"/>
      <c r="AO65" s="583" t="s">
        <v>382</v>
      </c>
      <c r="AP65" s="584"/>
      <c r="AQ65" s="584"/>
      <c r="AR65" s="585"/>
      <c r="AS65" s="564"/>
      <c r="AT65" s="583" t="s">
        <v>382</v>
      </c>
      <c r="AU65" s="584"/>
      <c r="AV65" s="584"/>
      <c r="AW65" s="585"/>
      <c r="AX65" s="564"/>
      <c r="BA65" s="564"/>
    </row>
    <row r="66" spans="2:53">
      <c r="B66" s="564"/>
      <c r="C66" s="564"/>
      <c r="D66" s="564"/>
      <c r="E66" s="417" t="s">
        <v>567</v>
      </c>
      <c r="F66" s="417" t="s">
        <v>568</v>
      </c>
      <c r="G66" s="417" t="s">
        <v>569</v>
      </c>
      <c r="H66" s="599"/>
      <c r="I66" s="417" t="s">
        <v>567</v>
      </c>
      <c r="J66" s="417" t="s">
        <v>568</v>
      </c>
      <c r="K66" s="417" t="s">
        <v>569</v>
      </c>
      <c r="L66" s="599"/>
      <c r="M66" s="568"/>
      <c r="N66" s="564"/>
      <c r="O66" s="564"/>
      <c r="P66" s="417" t="s">
        <v>383</v>
      </c>
      <c r="Q66" s="417" t="s">
        <v>384</v>
      </c>
      <c r="R66" s="417" t="s">
        <v>385</v>
      </c>
      <c r="S66" s="417" t="s">
        <v>375</v>
      </c>
      <c r="T66" s="564"/>
      <c r="U66" s="417" t="s">
        <v>383</v>
      </c>
      <c r="V66" s="417" t="s">
        <v>384</v>
      </c>
      <c r="W66" s="417" t="s">
        <v>385</v>
      </c>
      <c r="X66" s="417" t="s">
        <v>375</v>
      </c>
      <c r="Y66" s="564"/>
      <c r="Z66" s="417" t="s">
        <v>383</v>
      </c>
      <c r="AA66" s="417" t="s">
        <v>384</v>
      </c>
      <c r="AB66" s="417" t="s">
        <v>385</v>
      </c>
      <c r="AC66" s="417" t="s">
        <v>375</v>
      </c>
      <c r="AD66" s="564"/>
      <c r="AE66" s="417" t="s">
        <v>383</v>
      </c>
      <c r="AF66" s="417" t="s">
        <v>384</v>
      </c>
      <c r="AG66" s="417" t="s">
        <v>385</v>
      </c>
      <c r="AH66" s="417" t="s">
        <v>375</v>
      </c>
      <c r="AI66" s="564"/>
      <c r="AJ66" s="417" t="s">
        <v>383</v>
      </c>
      <c r="AK66" s="417" t="s">
        <v>384</v>
      </c>
      <c r="AL66" s="417" t="s">
        <v>385</v>
      </c>
      <c r="AM66" s="417" t="s">
        <v>375</v>
      </c>
      <c r="AN66" s="564"/>
      <c r="AO66" s="417" t="s">
        <v>383</v>
      </c>
      <c r="AP66" s="417" t="s">
        <v>384</v>
      </c>
      <c r="AQ66" s="417" t="s">
        <v>385</v>
      </c>
      <c r="AR66" s="417" t="s">
        <v>375</v>
      </c>
      <c r="AS66" s="564"/>
      <c r="AT66" s="417" t="s">
        <v>383</v>
      </c>
      <c r="AU66" s="417" t="s">
        <v>384</v>
      </c>
      <c r="AV66" s="417" t="s">
        <v>385</v>
      </c>
      <c r="AW66" s="417" t="s">
        <v>375</v>
      </c>
      <c r="AX66" s="564"/>
      <c r="AZ66" s="406" t="s">
        <v>375</v>
      </c>
      <c r="BA66" s="564"/>
    </row>
    <row r="67" spans="2:53">
      <c r="B67" s="564" t="s">
        <v>434</v>
      </c>
      <c r="C67" s="420">
        <v>1</v>
      </c>
      <c r="D67" s="226"/>
      <c r="E67" s="425"/>
      <c r="F67" s="418"/>
      <c r="G67" s="419"/>
      <c r="H67" s="578" t="e">
        <f>AVERAGE(G67:G81)</f>
        <v>#DIV/0!</v>
      </c>
      <c r="I67" s="422" t="str">
        <f t="shared" ref="I67:I80" si="50">IFERROR(AVERAGE(P67,U67,Z67,AE67,AJ67,AO67,AT67),"-")</f>
        <v>-</v>
      </c>
      <c r="J67" s="422" t="str">
        <f t="shared" ref="J67:J80" si="51">IFERROR(AVERAGE(Q67,V67,AA67,AF67,AK67,AP67,AU67),"-")</f>
        <v>-</v>
      </c>
      <c r="K67" s="200" t="str">
        <f t="shared" ref="K67:K80" si="52">IFERROR(AVERAGE(R67,W67,AB67,AG67,AL67,AQ67,AV67),"-")</f>
        <v>-</v>
      </c>
      <c r="L67" s="580" t="str">
        <f>IFERROR(AVERAGE(K67:K81),"-")</f>
        <v>-</v>
      </c>
      <c r="M67" s="426" t="e">
        <f>RANK(K67, K$67:$K$81)</f>
        <v>#VALUE!</v>
      </c>
      <c r="N67" s="564"/>
      <c r="O67" s="564"/>
      <c r="P67" s="420"/>
      <c r="Q67" s="426"/>
      <c r="R67" s="426"/>
      <c r="S67" s="420" t="e">
        <f>RANK(R67, R$67:R$81)</f>
        <v>#N/A</v>
      </c>
      <c r="T67" s="572" t="e">
        <f>AVERAGE(R67:R81)</f>
        <v>#DIV/0!</v>
      </c>
      <c r="U67" s="420"/>
      <c r="V67" s="426"/>
      <c r="W67" s="426"/>
      <c r="X67" s="420" t="e">
        <f>RANK(W67, W$67:W$81)</f>
        <v>#N/A</v>
      </c>
      <c r="Y67" s="572" t="e">
        <f>AVERAGE(W67:W81)</f>
        <v>#DIV/0!</v>
      </c>
      <c r="Z67" s="420"/>
      <c r="AA67" s="426"/>
      <c r="AB67" s="426"/>
      <c r="AC67" s="420" t="e">
        <f>RANK(AB67, AB$67:AB$81)</f>
        <v>#N/A</v>
      </c>
      <c r="AD67" s="572" t="e">
        <f>AVERAGE(AB67:AB81)</f>
        <v>#DIV/0!</v>
      </c>
      <c r="AE67" s="420"/>
      <c r="AF67" s="426"/>
      <c r="AG67" s="426"/>
      <c r="AH67" s="420" t="e">
        <f>RANK(AG67, AG$67:AG$81)</f>
        <v>#N/A</v>
      </c>
      <c r="AI67" s="572" t="e">
        <f>AVERAGE(AG67:AG81)</f>
        <v>#DIV/0!</v>
      </c>
      <c r="AJ67" s="420"/>
      <c r="AK67" s="426"/>
      <c r="AL67" s="426"/>
      <c r="AM67" s="420" t="e">
        <f>RANK(AL67, AL$67:AL$81)</f>
        <v>#N/A</v>
      </c>
      <c r="AN67" s="572" t="e">
        <f>AVERAGE(AL67:AL81)</f>
        <v>#DIV/0!</v>
      </c>
      <c r="AO67" s="420"/>
      <c r="AP67" s="426"/>
      <c r="AQ67" s="426"/>
      <c r="AR67" s="420" t="e">
        <f>RANK(AQ67, AQ$67:AQ$81)</f>
        <v>#N/A</v>
      </c>
      <c r="AS67" s="572" t="e">
        <f>AVERAGE(AQ67:AQ81)</f>
        <v>#DIV/0!</v>
      </c>
      <c r="AT67" s="425"/>
      <c r="AU67" s="425"/>
      <c r="AV67" s="419"/>
      <c r="AW67" s="420" t="e">
        <f>RANK(AV67, AV$67:AV$81)</f>
        <v>#N/A</v>
      </c>
      <c r="AX67" s="572" t="e">
        <f>AVERAGE(AV67:AV81)</f>
        <v>#DIV/0!</v>
      </c>
      <c r="AZ67" s="407" t="e">
        <f t="shared" ref="AZ67:AZ81" si="53">RANK(AY67, AY$67:AY$81)</f>
        <v>#N/A</v>
      </c>
      <c r="BA67" s="559" t="e">
        <f t="shared" ref="BA67" si="54">AVERAGE(AY67:AY81)</f>
        <v>#DIV/0!</v>
      </c>
    </row>
    <row r="68" spans="2:53">
      <c r="B68" s="570"/>
      <c r="C68" s="420">
        <v>2</v>
      </c>
      <c r="D68" s="226"/>
      <c r="E68" s="425"/>
      <c r="F68" s="418"/>
      <c r="G68" s="419"/>
      <c r="H68" s="579"/>
      <c r="I68" s="422" t="str">
        <f t="shared" si="50"/>
        <v>-</v>
      </c>
      <c r="J68" s="422" t="str">
        <f t="shared" si="51"/>
        <v>-</v>
      </c>
      <c r="K68" s="200" t="str">
        <f t="shared" si="52"/>
        <v>-</v>
      </c>
      <c r="L68" s="581"/>
      <c r="M68" s="426" t="e">
        <f>RANK(K68, K$67:$K$81)</f>
        <v>#VALUE!</v>
      </c>
      <c r="N68" s="564"/>
      <c r="O68" s="564"/>
      <c r="P68" s="420"/>
      <c r="Q68" s="426"/>
      <c r="R68" s="426"/>
      <c r="S68" s="420" t="e">
        <f t="shared" ref="S68:S81" si="55">RANK(R68, R$67:R$81)</f>
        <v>#N/A</v>
      </c>
      <c r="T68" s="572"/>
      <c r="U68" s="420"/>
      <c r="V68" s="426"/>
      <c r="W68" s="426"/>
      <c r="X68" s="420" t="e">
        <f t="shared" ref="X68:X81" si="56">RANK(W68, W$67:W$81)</f>
        <v>#N/A</v>
      </c>
      <c r="Y68" s="572"/>
      <c r="Z68" s="420"/>
      <c r="AA68" s="426"/>
      <c r="AB68" s="426"/>
      <c r="AC68" s="420" t="e">
        <f t="shared" ref="AC68:AC81" si="57">RANK(AB68, AB$67:AB$81)</f>
        <v>#N/A</v>
      </c>
      <c r="AD68" s="572"/>
      <c r="AE68" s="420"/>
      <c r="AF68" s="426"/>
      <c r="AG68" s="426"/>
      <c r="AH68" s="420" t="e">
        <f t="shared" ref="AH68:AH81" si="58">RANK(AG68, AG$67:AG$81)</f>
        <v>#N/A</v>
      </c>
      <c r="AI68" s="572"/>
      <c r="AJ68" s="420"/>
      <c r="AK68" s="426"/>
      <c r="AL68" s="426"/>
      <c r="AM68" s="420" t="e">
        <f t="shared" ref="AM68:AM81" si="59">RANK(AL68, AL$67:AL$81)</f>
        <v>#N/A</v>
      </c>
      <c r="AN68" s="572"/>
      <c r="AO68" s="420"/>
      <c r="AP68" s="426"/>
      <c r="AQ68" s="426"/>
      <c r="AR68" s="420" t="e">
        <f t="shared" ref="AR68:AR81" si="60">RANK(AQ68, AQ$67:AQ$81)</f>
        <v>#N/A</v>
      </c>
      <c r="AS68" s="572"/>
      <c r="AT68" s="418"/>
      <c r="AU68" s="425"/>
      <c r="AV68" s="419"/>
      <c r="AW68" s="420" t="e">
        <f t="shared" ref="AW68:AW81" si="61">RANK(AV68, AV$67:AV$81)</f>
        <v>#N/A</v>
      </c>
      <c r="AX68" s="572"/>
      <c r="AZ68" s="407" t="e">
        <f t="shared" si="53"/>
        <v>#N/A</v>
      </c>
      <c r="BA68" s="560"/>
    </row>
    <row r="69" spans="2:53">
      <c r="B69" s="570"/>
      <c r="C69" s="420">
        <v>3</v>
      </c>
      <c r="D69" s="226"/>
      <c r="E69" s="425"/>
      <c r="F69" s="418"/>
      <c r="G69" s="419"/>
      <c r="H69" s="579"/>
      <c r="I69" s="422" t="str">
        <f t="shared" si="50"/>
        <v>-</v>
      </c>
      <c r="J69" s="422" t="str">
        <f t="shared" si="51"/>
        <v>-</v>
      </c>
      <c r="K69" s="200" t="str">
        <f t="shared" si="52"/>
        <v>-</v>
      </c>
      <c r="L69" s="581"/>
      <c r="M69" s="426" t="e">
        <f>RANK(K69, K$67:$K$81)</f>
        <v>#VALUE!</v>
      </c>
      <c r="N69" s="564"/>
      <c r="O69" s="564"/>
      <c r="P69" s="420"/>
      <c r="Q69" s="426"/>
      <c r="R69" s="426"/>
      <c r="S69" s="420" t="e">
        <f t="shared" si="55"/>
        <v>#N/A</v>
      </c>
      <c r="T69" s="572"/>
      <c r="U69" s="420"/>
      <c r="V69" s="426"/>
      <c r="W69" s="426"/>
      <c r="X69" s="420" t="e">
        <f t="shared" si="56"/>
        <v>#N/A</v>
      </c>
      <c r="Y69" s="572"/>
      <c r="Z69" s="420"/>
      <c r="AA69" s="426"/>
      <c r="AB69" s="426"/>
      <c r="AC69" s="420" t="e">
        <f t="shared" si="57"/>
        <v>#N/A</v>
      </c>
      <c r="AD69" s="572"/>
      <c r="AE69" s="420"/>
      <c r="AF69" s="426"/>
      <c r="AG69" s="426"/>
      <c r="AH69" s="420" t="e">
        <f t="shared" si="58"/>
        <v>#N/A</v>
      </c>
      <c r="AI69" s="572"/>
      <c r="AJ69" s="420"/>
      <c r="AK69" s="426"/>
      <c r="AL69" s="426"/>
      <c r="AM69" s="420" t="e">
        <f t="shared" si="59"/>
        <v>#N/A</v>
      </c>
      <c r="AN69" s="572"/>
      <c r="AO69" s="420"/>
      <c r="AP69" s="426"/>
      <c r="AQ69" s="426"/>
      <c r="AR69" s="420" t="e">
        <f t="shared" si="60"/>
        <v>#N/A</v>
      </c>
      <c r="AS69" s="572"/>
      <c r="AT69" s="418"/>
      <c r="AU69" s="425"/>
      <c r="AV69" s="419"/>
      <c r="AW69" s="420" t="e">
        <f t="shared" si="61"/>
        <v>#N/A</v>
      </c>
      <c r="AX69" s="572"/>
      <c r="AZ69" s="407" t="e">
        <f t="shared" si="53"/>
        <v>#N/A</v>
      </c>
      <c r="BA69" s="560"/>
    </row>
    <row r="70" spans="2:53">
      <c r="B70" s="570"/>
      <c r="C70" s="420">
        <v>4</v>
      </c>
      <c r="D70" s="226"/>
      <c r="E70" s="425"/>
      <c r="F70" s="418"/>
      <c r="G70" s="419"/>
      <c r="H70" s="579"/>
      <c r="I70" s="422" t="str">
        <f t="shared" si="50"/>
        <v>-</v>
      </c>
      <c r="J70" s="422" t="str">
        <f t="shared" si="51"/>
        <v>-</v>
      </c>
      <c r="K70" s="200" t="str">
        <f t="shared" si="52"/>
        <v>-</v>
      </c>
      <c r="L70" s="581"/>
      <c r="M70" s="426" t="e">
        <f>RANK(K70, K$67:$K$81)</f>
        <v>#VALUE!</v>
      </c>
      <c r="N70" s="564"/>
      <c r="O70" s="564"/>
      <c r="P70" s="420"/>
      <c r="Q70" s="426"/>
      <c r="R70" s="426"/>
      <c r="S70" s="420" t="e">
        <f t="shared" si="55"/>
        <v>#N/A</v>
      </c>
      <c r="T70" s="572"/>
      <c r="U70" s="420"/>
      <c r="V70" s="426"/>
      <c r="W70" s="426"/>
      <c r="X70" s="420" t="e">
        <f t="shared" si="56"/>
        <v>#N/A</v>
      </c>
      <c r="Y70" s="572"/>
      <c r="Z70" s="420"/>
      <c r="AA70" s="426"/>
      <c r="AB70" s="426"/>
      <c r="AC70" s="420" t="e">
        <f t="shared" si="57"/>
        <v>#N/A</v>
      </c>
      <c r="AD70" s="572"/>
      <c r="AE70" s="420"/>
      <c r="AF70" s="426"/>
      <c r="AG70" s="426"/>
      <c r="AH70" s="420" t="e">
        <f t="shared" si="58"/>
        <v>#N/A</v>
      </c>
      <c r="AI70" s="572"/>
      <c r="AJ70" s="420"/>
      <c r="AK70" s="426"/>
      <c r="AL70" s="426"/>
      <c r="AM70" s="420" t="e">
        <f t="shared" si="59"/>
        <v>#N/A</v>
      </c>
      <c r="AN70" s="572"/>
      <c r="AO70" s="420"/>
      <c r="AP70" s="426"/>
      <c r="AQ70" s="426"/>
      <c r="AR70" s="420" t="e">
        <f t="shared" si="60"/>
        <v>#N/A</v>
      </c>
      <c r="AS70" s="572"/>
      <c r="AT70" s="418"/>
      <c r="AU70" s="425"/>
      <c r="AV70" s="419"/>
      <c r="AW70" s="420" t="e">
        <f t="shared" si="61"/>
        <v>#N/A</v>
      </c>
      <c r="AX70" s="572"/>
      <c r="AZ70" s="407" t="e">
        <f t="shared" si="53"/>
        <v>#N/A</v>
      </c>
      <c r="BA70" s="560"/>
    </row>
    <row r="71" spans="2:53">
      <c r="B71" s="570"/>
      <c r="C71" s="420">
        <v>5</v>
      </c>
      <c r="D71" s="226"/>
      <c r="E71" s="425"/>
      <c r="F71" s="418"/>
      <c r="G71" s="419"/>
      <c r="H71" s="579"/>
      <c r="I71" s="422" t="str">
        <f t="shared" si="50"/>
        <v>-</v>
      </c>
      <c r="J71" s="422" t="str">
        <f t="shared" si="51"/>
        <v>-</v>
      </c>
      <c r="K71" s="200" t="str">
        <f t="shared" si="52"/>
        <v>-</v>
      </c>
      <c r="L71" s="581"/>
      <c r="M71" s="426" t="e">
        <f>RANK(K71, K$67:$K$81)</f>
        <v>#VALUE!</v>
      </c>
      <c r="N71" s="564"/>
      <c r="O71" s="564"/>
      <c r="P71" s="420"/>
      <c r="Q71" s="426"/>
      <c r="R71" s="426"/>
      <c r="S71" s="420" t="e">
        <f t="shared" si="55"/>
        <v>#N/A</v>
      </c>
      <c r="T71" s="572"/>
      <c r="U71" s="420"/>
      <c r="V71" s="426"/>
      <c r="W71" s="426"/>
      <c r="X71" s="420" t="e">
        <f t="shared" si="56"/>
        <v>#N/A</v>
      </c>
      <c r="Y71" s="572"/>
      <c r="Z71" s="420"/>
      <c r="AA71" s="426"/>
      <c r="AB71" s="426"/>
      <c r="AC71" s="420" t="e">
        <f t="shared" si="57"/>
        <v>#N/A</v>
      </c>
      <c r="AD71" s="572"/>
      <c r="AE71" s="420"/>
      <c r="AF71" s="426"/>
      <c r="AG71" s="426"/>
      <c r="AH71" s="420" t="e">
        <f t="shared" si="58"/>
        <v>#N/A</v>
      </c>
      <c r="AI71" s="572"/>
      <c r="AJ71" s="420"/>
      <c r="AK71" s="426"/>
      <c r="AL71" s="426"/>
      <c r="AM71" s="420" t="e">
        <f t="shared" si="59"/>
        <v>#N/A</v>
      </c>
      <c r="AN71" s="572"/>
      <c r="AO71" s="420"/>
      <c r="AP71" s="426"/>
      <c r="AQ71" s="426"/>
      <c r="AR71" s="420" t="e">
        <f t="shared" si="60"/>
        <v>#N/A</v>
      </c>
      <c r="AS71" s="572"/>
      <c r="AT71" s="418"/>
      <c r="AU71" s="425"/>
      <c r="AV71" s="419"/>
      <c r="AW71" s="420" t="e">
        <f t="shared" si="61"/>
        <v>#N/A</v>
      </c>
      <c r="AX71" s="572"/>
      <c r="AZ71" s="407" t="e">
        <f t="shared" si="53"/>
        <v>#N/A</v>
      </c>
      <c r="BA71" s="560"/>
    </row>
    <row r="72" spans="2:53">
      <c r="B72" s="570"/>
      <c r="C72" s="420">
        <v>6</v>
      </c>
      <c r="D72" s="226"/>
      <c r="E72" s="425"/>
      <c r="F72" s="418"/>
      <c r="G72" s="419"/>
      <c r="H72" s="579"/>
      <c r="I72" s="422" t="str">
        <f t="shared" si="50"/>
        <v>-</v>
      </c>
      <c r="J72" s="422" t="str">
        <f t="shared" si="51"/>
        <v>-</v>
      </c>
      <c r="K72" s="200" t="str">
        <f t="shared" si="52"/>
        <v>-</v>
      </c>
      <c r="L72" s="581"/>
      <c r="M72" s="426" t="e">
        <f>RANK(K72, K$67:$K$81)</f>
        <v>#VALUE!</v>
      </c>
      <c r="N72" s="564"/>
      <c r="O72" s="564"/>
      <c r="P72" s="420"/>
      <c r="Q72" s="426"/>
      <c r="R72" s="426"/>
      <c r="S72" s="420" t="e">
        <f t="shared" si="55"/>
        <v>#N/A</v>
      </c>
      <c r="T72" s="572"/>
      <c r="U72" s="420"/>
      <c r="V72" s="426"/>
      <c r="W72" s="426"/>
      <c r="X72" s="420" t="e">
        <f t="shared" si="56"/>
        <v>#N/A</v>
      </c>
      <c r="Y72" s="572"/>
      <c r="Z72" s="420"/>
      <c r="AA72" s="426"/>
      <c r="AB72" s="426"/>
      <c r="AC72" s="420" t="e">
        <f t="shared" si="57"/>
        <v>#N/A</v>
      </c>
      <c r="AD72" s="572"/>
      <c r="AE72" s="420"/>
      <c r="AF72" s="426"/>
      <c r="AG72" s="426"/>
      <c r="AH72" s="420" t="e">
        <f t="shared" si="58"/>
        <v>#N/A</v>
      </c>
      <c r="AI72" s="572"/>
      <c r="AJ72" s="420"/>
      <c r="AK72" s="426"/>
      <c r="AL72" s="426"/>
      <c r="AM72" s="420" t="e">
        <f t="shared" si="59"/>
        <v>#N/A</v>
      </c>
      <c r="AN72" s="572"/>
      <c r="AO72" s="420"/>
      <c r="AP72" s="426"/>
      <c r="AQ72" s="426"/>
      <c r="AR72" s="420" t="e">
        <f t="shared" si="60"/>
        <v>#N/A</v>
      </c>
      <c r="AS72" s="572"/>
      <c r="AT72" s="418"/>
      <c r="AU72" s="425"/>
      <c r="AV72" s="419"/>
      <c r="AW72" s="420" t="e">
        <f t="shared" si="61"/>
        <v>#N/A</v>
      </c>
      <c r="AX72" s="572"/>
      <c r="AZ72" s="407" t="e">
        <f t="shared" si="53"/>
        <v>#N/A</v>
      </c>
      <c r="BA72" s="560"/>
    </row>
    <row r="73" spans="2:53">
      <c r="B73" s="570"/>
      <c r="C73" s="420">
        <v>7</v>
      </c>
      <c r="D73" s="226"/>
      <c r="E73" s="425"/>
      <c r="F73" s="418"/>
      <c r="G73" s="419"/>
      <c r="H73" s="579"/>
      <c r="I73" s="422" t="str">
        <f t="shared" si="50"/>
        <v>-</v>
      </c>
      <c r="J73" s="422" t="str">
        <f t="shared" si="51"/>
        <v>-</v>
      </c>
      <c r="K73" s="200" t="str">
        <f t="shared" si="52"/>
        <v>-</v>
      </c>
      <c r="L73" s="581"/>
      <c r="M73" s="426" t="e">
        <f>RANK(K73, K$67:$K$81)</f>
        <v>#VALUE!</v>
      </c>
      <c r="N73" s="564"/>
      <c r="O73" s="564"/>
      <c r="P73" s="420"/>
      <c r="Q73" s="426"/>
      <c r="R73" s="426"/>
      <c r="S73" s="420" t="e">
        <f t="shared" si="55"/>
        <v>#N/A</v>
      </c>
      <c r="T73" s="572"/>
      <c r="U73" s="420"/>
      <c r="V73" s="426"/>
      <c r="W73" s="426"/>
      <c r="X73" s="420" t="e">
        <f t="shared" si="56"/>
        <v>#N/A</v>
      </c>
      <c r="Y73" s="572"/>
      <c r="Z73" s="420"/>
      <c r="AA73" s="426"/>
      <c r="AB73" s="426"/>
      <c r="AC73" s="420" t="e">
        <f t="shared" si="57"/>
        <v>#N/A</v>
      </c>
      <c r="AD73" s="572"/>
      <c r="AE73" s="420"/>
      <c r="AF73" s="426"/>
      <c r="AG73" s="426"/>
      <c r="AH73" s="420" t="e">
        <f t="shared" si="58"/>
        <v>#N/A</v>
      </c>
      <c r="AI73" s="572"/>
      <c r="AJ73" s="420"/>
      <c r="AK73" s="426"/>
      <c r="AL73" s="426"/>
      <c r="AM73" s="420" t="e">
        <f t="shared" si="59"/>
        <v>#N/A</v>
      </c>
      <c r="AN73" s="572"/>
      <c r="AO73" s="420"/>
      <c r="AP73" s="426"/>
      <c r="AQ73" s="426"/>
      <c r="AR73" s="420" t="e">
        <f t="shared" si="60"/>
        <v>#N/A</v>
      </c>
      <c r="AS73" s="572"/>
      <c r="AT73" s="418"/>
      <c r="AU73" s="425"/>
      <c r="AV73" s="419"/>
      <c r="AW73" s="420" t="e">
        <f t="shared" si="61"/>
        <v>#N/A</v>
      </c>
      <c r="AX73" s="572"/>
      <c r="AZ73" s="407" t="e">
        <f t="shared" si="53"/>
        <v>#N/A</v>
      </c>
      <c r="BA73" s="560"/>
    </row>
    <row r="74" spans="2:53">
      <c r="B74" s="570"/>
      <c r="C74" s="420">
        <v>8</v>
      </c>
      <c r="D74" s="226"/>
      <c r="E74" s="425"/>
      <c r="F74" s="418"/>
      <c r="G74" s="419"/>
      <c r="H74" s="579"/>
      <c r="I74" s="422" t="str">
        <f t="shared" si="50"/>
        <v>-</v>
      </c>
      <c r="J74" s="422" t="str">
        <f t="shared" si="51"/>
        <v>-</v>
      </c>
      <c r="K74" s="200" t="str">
        <f t="shared" si="52"/>
        <v>-</v>
      </c>
      <c r="L74" s="581"/>
      <c r="M74" s="426" t="e">
        <f>RANK(K74, K$67:$K$81)</f>
        <v>#VALUE!</v>
      </c>
      <c r="N74" s="564"/>
      <c r="O74" s="564"/>
      <c r="P74" s="420"/>
      <c r="Q74" s="426"/>
      <c r="R74" s="426"/>
      <c r="S74" s="420" t="e">
        <f t="shared" si="55"/>
        <v>#N/A</v>
      </c>
      <c r="T74" s="572"/>
      <c r="U74" s="420"/>
      <c r="V74" s="426"/>
      <c r="W74" s="426"/>
      <c r="X74" s="420" t="e">
        <f t="shared" si="56"/>
        <v>#N/A</v>
      </c>
      <c r="Y74" s="572"/>
      <c r="Z74" s="420"/>
      <c r="AA74" s="426"/>
      <c r="AB74" s="426"/>
      <c r="AC74" s="420" t="e">
        <f t="shared" si="57"/>
        <v>#N/A</v>
      </c>
      <c r="AD74" s="572"/>
      <c r="AE74" s="420"/>
      <c r="AF74" s="426"/>
      <c r="AG74" s="426"/>
      <c r="AH74" s="420" t="e">
        <f t="shared" si="58"/>
        <v>#N/A</v>
      </c>
      <c r="AI74" s="572"/>
      <c r="AJ74" s="420"/>
      <c r="AK74" s="426"/>
      <c r="AL74" s="426"/>
      <c r="AM74" s="420" t="e">
        <f t="shared" si="59"/>
        <v>#N/A</v>
      </c>
      <c r="AN74" s="572"/>
      <c r="AO74" s="420"/>
      <c r="AP74" s="426"/>
      <c r="AQ74" s="426"/>
      <c r="AR74" s="420" t="e">
        <f t="shared" si="60"/>
        <v>#N/A</v>
      </c>
      <c r="AS74" s="572"/>
      <c r="AT74" s="418"/>
      <c r="AU74" s="425"/>
      <c r="AV74" s="419"/>
      <c r="AW74" s="420" t="e">
        <f t="shared" si="61"/>
        <v>#N/A</v>
      </c>
      <c r="AX74" s="572"/>
      <c r="AZ74" s="407" t="e">
        <f t="shared" si="53"/>
        <v>#N/A</v>
      </c>
      <c r="BA74" s="560"/>
    </row>
    <row r="75" spans="2:53">
      <c r="B75" s="570"/>
      <c r="C75" s="420">
        <v>9</v>
      </c>
      <c r="D75" s="226"/>
      <c r="E75" s="425"/>
      <c r="F75" s="418"/>
      <c r="G75" s="419"/>
      <c r="H75" s="579"/>
      <c r="I75" s="422" t="str">
        <f t="shared" si="50"/>
        <v>-</v>
      </c>
      <c r="J75" s="422" t="str">
        <f t="shared" si="51"/>
        <v>-</v>
      </c>
      <c r="K75" s="200" t="str">
        <f t="shared" si="52"/>
        <v>-</v>
      </c>
      <c r="L75" s="581"/>
      <c r="M75" s="426" t="e">
        <f>RANK(K75, K$67:$K$81)</f>
        <v>#VALUE!</v>
      </c>
      <c r="N75" s="564"/>
      <c r="O75" s="564"/>
      <c r="P75" s="420"/>
      <c r="Q75" s="426"/>
      <c r="R75" s="426"/>
      <c r="S75" s="420" t="e">
        <f t="shared" si="55"/>
        <v>#N/A</v>
      </c>
      <c r="T75" s="572"/>
      <c r="U75" s="420"/>
      <c r="V75" s="426"/>
      <c r="W75" s="426"/>
      <c r="X75" s="420" t="e">
        <f t="shared" si="56"/>
        <v>#N/A</v>
      </c>
      <c r="Y75" s="572"/>
      <c r="Z75" s="420"/>
      <c r="AA75" s="426"/>
      <c r="AB75" s="426"/>
      <c r="AC75" s="420" t="e">
        <f t="shared" si="57"/>
        <v>#N/A</v>
      </c>
      <c r="AD75" s="572"/>
      <c r="AE75" s="420"/>
      <c r="AF75" s="426"/>
      <c r="AG75" s="426"/>
      <c r="AH75" s="420" t="e">
        <f t="shared" si="58"/>
        <v>#N/A</v>
      </c>
      <c r="AI75" s="572"/>
      <c r="AJ75" s="420"/>
      <c r="AK75" s="426"/>
      <c r="AL75" s="426"/>
      <c r="AM75" s="420" t="e">
        <f t="shared" si="59"/>
        <v>#N/A</v>
      </c>
      <c r="AN75" s="572"/>
      <c r="AO75" s="420"/>
      <c r="AP75" s="426"/>
      <c r="AQ75" s="426"/>
      <c r="AR75" s="420" t="e">
        <f t="shared" si="60"/>
        <v>#N/A</v>
      </c>
      <c r="AS75" s="572"/>
      <c r="AT75" s="418"/>
      <c r="AU75" s="425"/>
      <c r="AV75" s="419"/>
      <c r="AW75" s="420" t="e">
        <f t="shared" si="61"/>
        <v>#N/A</v>
      </c>
      <c r="AX75" s="572"/>
      <c r="AZ75" s="407" t="e">
        <f t="shared" si="53"/>
        <v>#N/A</v>
      </c>
      <c r="BA75" s="560"/>
    </row>
    <row r="76" spans="2:53">
      <c r="B76" s="570"/>
      <c r="C76" s="420">
        <v>10</v>
      </c>
      <c r="D76" s="226"/>
      <c r="E76" s="425"/>
      <c r="F76" s="418"/>
      <c r="G76" s="419"/>
      <c r="H76" s="579"/>
      <c r="I76" s="422" t="str">
        <f t="shared" si="50"/>
        <v>-</v>
      </c>
      <c r="J76" s="422" t="str">
        <f t="shared" si="51"/>
        <v>-</v>
      </c>
      <c r="K76" s="200" t="str">
        <f t="shared" si="52"/>
        <v>-</v>
      </c>
      <c r="L76" s="581"/>
      <c r="M76" s="426" t="e">
        <f>RANK(K76, K$67:$K$81)</f>
        <v>#VALUE!</v>
      </c>
      <c r="N76" s="564"/>
      <c r="O76" s="564"/>
      <c r="P76" s="420"/>
      <c r="Q76" s="426"/>
      <c r="R76" s="426"/>
      <c r="S76" s="420" t="e">
        <f t="shared" si="55"/>
        <v>#N/A</v>
      </c>
      <c r="T76" s="572"/>
      <c r="U76" s="420"/>
      <c r="V76" s="426"/>
      <c r="W76" s="426"/>
      <c r="X76" s="420" t="e">
        <f t="shared" si="56"/>
        <v>#N/A</v>
      </c>
      <c r="Y76" s="572"/>
      <c r="Z76" s="420"/>
      <c r="AA76" s="426"/>
      <c r="AB76" s="426"/>
      <c r="AC76" s="420" t="e">
        <f t="shared" si="57"/>
        <v>#N/A</v>
      </c>
      <c r="AD76" s="572"/>
      <c r="AE76" s="420"/>
      <c r="AF76" s="426"/>
      <c r="AG76" s="426"/>
      <c r="AH76" s="420" t="e">
        <f t="shared" si="58"/>
        <v>#N/A</v>
      </c>
      <c r="AI76" s="572"/>
      <c r="AJ76" s="420"/>
      <c r="AK76" s="426"/>
      <c r="AL76" s="426"/>
      <c r="AM76" s="420" t="e">
        <f t="shared" si="59"/>
        <v>#N/A</v>
      </c>
      <c r="AN76" s="572"/>
      <c r="AO76" s="420"/>
      <c r="AP76" s="426"/>
      <c r="AQ76" s="426"/>
      <c r="AR76" s="420" t="e">
        <f t="shared" si="60"/>
        <v>#N/A</v>
      </c>
      <c r="AS76" s="572"/>
      <c r="AT76" s="418"/>
      <c r="AU76" s="425"/>
      <c r="AV76" s="419"/>
      <c r="AW76" s="420" t="e">
        <f t="shared" si="61"/>
        <v>#N/A</v>
      </c>
      <c r="AX76" s="572"/>
      <c r="AZ76" s="407" t="e">
        <f t="shared" si="53"/>
        <v>#N/A</v>
      </c>
      <c r="BA76" s="560"/>
    </row>
    <row r="77" spans="2:53">
      <c r="B77" s="570"/>
      <c r="C77" s="420">
        <v>11</v>
      </c>
      <c r="D77" s="226"/>
      <c r="E77" s="425"/>
      <c r="F77" s="418"/>
      <c r="G77" s="419"/>
      <c r="H77" s="579"/>
      <c r="I77" s="422" t="str">
        <f t="shared" si="50"/>
        <v>-</v>
      </c>
      <c r="J77" s="422" t="str">
        <f t="shared" si="51"/>
        <v>-</v>
      </c>
      <c r="K77" s="200" t="str">
        <f t="shared" si="52"/>
        <v>-</v>
      </c>
      <c r="L77" s="581"/>
      <c r="M77" s="426" t="e">
        <f>RANK(K77, K$67:$K$81)</f>
        <v>#VALUE!</v>
      </c>
      <c r="N77" s="564"/>
      <c r="O77" s="564"/>
      <c r="P77" s="420"/>
      <c r="Q77" s="426"/>
      <c r="R77" s="426"/>
      <c r="S77" s="420" t="e">
        <f t="shared" si="55"/>
        <v>#N/A</v>
      </c>
      <c r="T77" s="572"/>
      <c r="U77" s="420"/>
      <c r="V77" s="426"/>
      <c r="W77" s="426"/>
      <c r="X77" s="420" t="e">
        <f t="shared" si="56"/>
        <v>#N/A</v>
      </c>
      <c r="Y77" s="572"/>
      <c r="Z77" s="420"/>
      <c r="AA77" s="426"/>
      <c r="AB77" s="426"/>
      <c r="AC77" s="420" t="e">
        <f t="shared" si="57"/>
        <v>#N/A</v>
      </c>
      <c r="AD77" s="572"/>
      <c r="AE77" s="420"/>
      <c r="AF77" s="426"/>
      <c r="AG77" s="426"/>
      <c r="AH77" s="420" t="e">
        <f t="shared" si="58"/>
        <v>#N/A</v>
      </c>
      <c r="AI77" s="572"/>
      <c r="AJ77" s="420"/>
      <c r="AK77" s="426"/>
      <c r="AL77" s="426"/>
      <c r="AM77" s="420" t="e">
        <f t="shared" si="59"/>
        <v>#N/A</v>
      </c>
      <c r="AN77" s="572"/>
      <c r="AO77" s="420"/>
      <c r="AP77" s="426"/>
      <c r="AQ77" s="426"/>
      <c r="AR77" s="420" t="e">
        <f t="shared" si="60"/>
        <v>#N/A</v>
      </c>
      <c r="AS77" s="572"/>
      <c r="AT77" s="418"/>
      <c r="AU77" s="425"/>
      <c r="AV77" s="419"/>
      <c r="AW77" s="420" t="e">
        <f t="shared" si="61"/>
        <v>#N/A</v>
      </c>
      <c r="AX77" s="572"/>
      <c r="AZ77" s="407" t="e">
        <f t="shared" si="53"/>
        <v>#N/A</v>
      </c>
      <c r="BA77" s="560"/>
    </row>
    <row r="78" spans="2:53">
      <c r="B78" s="570"/>
      <c r="C78" s="420">
        <v>12</v>
      </c>
      <c r="D78" s="226"/>
      <c r="E78" s="425"/>
      <c r="F78" s="418"/>
      <c r="G78" s="419"/>
      <c r="H78" s="579"/>
      <c r="I78" s="422" t="str">
        <f t="shared" si="50"/>
        <v>-</v>
      </c>
      <c r="J78" s="422" t="str">
        <f t="shared" si="51"/>
        <v>-</v>
      </c>
      <c r="K78" s="200" t="str">
        <f t="shared" si="52"/>
        <v>-</v>
      </c>
      <c r="L78" s="581"/>
      <c r="M78" s="426" t="e">
        <f>RANK(K78, K$67:$K$81)</f>
        <v>#VALUE!</v>
      </c>
      <c r="N78" s="564"/>
      <c r="O78" s="564"/>
      <c r="P78" s="420"/>
      <c r="Q78" s="426"/>
      <c r="R78" s="426"/>
      <c r="S78" s="420" t="e">
        <f t="shared" si="55"/>
        <v>#N/A</v>
      </c>
      <c r="T78" s="572"/>
      <c r="U78" s="420"/>
      <c r="V78" s="426"/>
      <c r="W78" s="426"/>
      <c r="X78" s="420" t="e">
        <f t="shared" si="56"/>
        <v>#N/A</v>
      </c>
      <c r="Y78" s="572"/>
      <c r="Z78" s="420"/>
      <c r="AA78" s="426"/>
      <c r="AB78" s="426"/>
      <c r="AC78" s="420" t="e">
        <f t="shared" si="57"/>
        <v>#N/A</v>
      </c>
      <c r="AD78" s="572"/>
      <c r="AE78" s="420"/>
      <c r="AF78" s="426"/>
      <c r="AG78" s="426"/>
      <c r="AH78" s="420" t="e">
        <f t="shared" si="58"/>
        <v>#N/A</v>
      </c>
      <c r="AI78" s="572"/>
      <c r="AJ78" s="420"/>
      <c r="AK78" s="426"/>
      <c r="AL78" s="426"/>
      <c r="AM78" s="420" t="e">
        <f t="shared" si="59"/>
        <v>#N/A</v>
      </c>
      <c r="AN78" s="572"/>
      <c r="AO78" s="420"/>
      <c r="AP78" s="426"/>
      <c r="AQ78" s="426"/>
      <c r="AR78" s="420" t="e">
        <f t="shared" si="60"/>
        <v>#N/A</v>
      </c>
      <c r="AS78" s="572"/>
      <c r="AT78" s="418"/>
      <c r="AU78" s="425"/>
      <c r="AV78" s="419"/>
      <c r="AW78" s="420" t="e">
        <f t="shared" si="61"/>
        <v>#N/A</v>
      </c>
      <c r="AX78" s="572"/>
      <c r="AZ78" s="407" t="e">
        <f t="shared" si="53"/>
        <v>#N/A</v>
      </c>
      <c r="BA78" s="560"/>
    </row>
    <row r="79" spans="2:53">
      <c r="B79" s="570"/>
      <c r="C79" s="420">
        <v>13</v>
      </c>
      <c r="D79" s="226"/>
      <c r="E79" s="425"/>
      <c r="F79" s="418"/>
      <c r="G79" s="419"/>
      <c r="H79" s="579"/>
      <c r="I79" s="422" t="str">
        <f t="shared" si="50"/>
        <v>-</v>
      </c>
      <c r="J79" s="422" t="str">
        <f t="shared" si="51"/>
        <v>-</v>
      </c>
      <c r="K79" s="200" t="str">
        <f t="shared" si="52"/>
        <v>-</v>
      </c>
      <c r="L79" s="581"/>
      <c r="M79" s="426" t="e">
        <f>RANK(K79, K$67:$K$81)</f>
        <v>#VALUE!</v>
      </c>
      <c r="N79" s="564"/>
      <c r="O79" s="564"/>
      <c r="P79" s="420"/>
      <c r="Q79" s="426"/>
      <c r="R79" s="426"/>
      <c r="S79" s="420" t="e">
        <f t="shared" si="55"/>
        <v>#N/A</v>
      </c>
      <c r="T79" s="572"/>
      <c r="U79" s="420"/>
      <c r="V79" s="426"/>
      <c r="W79" s="426"/>
      <c r="X79" s="420" t="e">
        <f t="shared" si="56"/>
        <v>#N/A</v>
      </c>
      <c r="Y79" s="572"/>
      <c r="Z79" s="420"/>
      <c r="AA79" s="426"/>
      <c r="AB79" s="426"/>
      <c r="AC79" s="420" t="e">
        <f t="shared" si="57"/>
        <v>#N/A</v>
      </c>
      <c r="AD79" s="572"/>
      <c r="AE79" s="420"/>
      <c r="AF79" s="426"/>
      <c r="AG79" s="426"/>
      <c r="AH79" s="420" t="e">
        <f t="shared" si="58"/>
        <v>#N/A</v>
      </c>
      <c r="AI79" s="572"/>
      <c r="AJ79" s="420"/>
      <c r="AK79" s="426"/>
      <c r="AL79" s="426"/>
      <c r="AM79" s="420" t="e">
        <f t="shared" si="59"/>
        <v>#N/A</v>
      </c>
      <c r="AN79" s="572"/>
      <c r="AO79" s="420"/>
      <c r="AP79" s="426"/>
      <c r="AQ79" s="426"/>
      <c r="AR79" s="420" t="e">
        <f t="shared" si="60"/>
        <v>#N/A</v>
      </c>
      <c r="AS79" s="572"/>
      <c r="AT79" s="418"/>
      <c r="AU79" s="425"/>
      <c r="AV79" s="419"/>
      <c r="AW79" s="420" t="e">
        <f t="shared" si="61"/>
        <v>#N/A</v>
      </c>
      <c r="AX79" s="572"/>
      <c r="AZ79" s="407" t="e">
        <f t="shared" si="53"/>
        <v>#N/A</v>
      </c>
      <c r="BA79" s="560"/>
    </row>
    <row r="80" spans="2:53">
      <c r="B80" s="570"/>
      <c r="C80" s="420">
        <v>14</v>
      </c>
      <c r="D80" s="226"/>
      <c r="E80" s="425"/>
      <c r="F80" s="418"/>
      <c r="G80" s="419"/>
      <c r="H80" s="579"/>
      <c r="I80" s="422" t="str">
        <f t="shared" si="50"/>
        <v>-</v>
      </c>
      <c r="J80" s="422" t="str">
        <f t="shared" si="51"/>
        <v>-</v>
      </c>
      <c r="K80" s="200" t="str">
        <f t="shared" si="52"/>
        <v>-</v>
      </c>
      <c r="L80" s="581"/>
      <c r="M80" s="426" t="e">
        <f>RANK(K80, K$67:$K$81)</f>
        <v>#VALUE!</v>
      </c>
      <c r="N80" s="564"/>
      <c r="O80" s="564"/>
      <c r="P80" s="420"/>
      <c r="Q80" s="426"/>
      <c r="R80" s="426"/>
      <c r="S80" s="420" t="e">
        <f t="shared" si="55"/>
        <v>#N/A</v>
      </c>
      <c r="T80" s="572"/>
      <c r="U80" s="420"/>
      <c r="V80" s="426"/>
      <c r="W80" s="426"/>
      <c r="X80" s="420" t="e">
        <f t="shared" si="56"/>
        <v>#N/A</v>
      </c>
      <c r="Y80" s="572"/>
      <c r="Z80" s="420"/>
      <c r="AA80" s="426"/>
      <c r="AB80" s="426"/>
      <c r="AC80" s="420" t="e">
        <f t="shared" si="57"/>
        <v>#N/A</v>
      </c>
      <c r="AD80" s="572"/>
      <c r="AE80" s="420"/>
      <c r="AF80" s="426"/>
      <c r="AG80" s="426"/>
      <c r="AH80" s="420" t="e">
        <f t="shared" si="58"/>
        <v>#N/A</v>
      </c>
      <c r="AI80" s="572"/>
      <c r="AJ80" s="420"/>
      <c r="AK80" s="426"/>
      <c r="AL80" s="426"/>
      <c r="AM80" s="420" t="e">
        <f t="shared" si="59"/>
        <v>#N/A</v>
      </c>
      <c r="AN80" s="572"/>
      <c r="AO80" s="420"/>
      <c r="AP80" s="426"/>
      <c r="AQ80" s="426"/>
      <c r="AR80" s="420" t="e">
        <f t="shared" si="60"/>
        <v>#N/A</v>
      </c>
      <c r="AS80" s="572"/>
      <c r="AT80" s="418"/>
      <c r="AU80" s="425"/>
      <c r="AV80" s="419"/>
      <c r="AW80" s="420" t="e">
        <f t="shared" si="61"/>
        <v>#N/A</v>
      </c>
      <c r="AX80" s="572"/>
      <c r="AZ80" s="407" t="e">
        <f t="shared" si="53"/>
        <v>#N/A</v>
      </c>
      <c r="BA80" s="560"/>
    </row>
    <row r="81" spans="2:53">
      <c r="B81" s="570"/>
      <c r="C81" s="420">
        <v>15</v>
      </c>
      <c r="D81" s="226"/>
      <c r="E81" s="425"/>
      <c r="F81" s="418"/>
      <c r="G81" s="419"/>
      <c r="H81" s="639"/>
      <c r="I81" s="420"/>
      <c r="J81" s="420"/>
      <c r="K81" s="420"/>
      <c r="L81" s="582"/>
      <c r="M81" s="426" t="e">
        <f>RANK(K81, K$47:$K$61)</f>
        <v>#N/A</v>
      </c>
      <c r="N81" s="564"/>
      <c r="O81" s="564"/>
      <c r="P81" s="420"/>
      <c r="Q81" s="426"/>
      <c r="R81" s="426"/>
      <c r="S81" s="420" t="e">
        <f t="shared" si="55"/>
        <v>#N/A</v>
      </c>
      <c r="T81" s="572"/>
      <c r="U81" s="420"/>
      <c r="V81" s="426"/>
      <c r="W81" s="426"/>
      <c r="X81" s="420" t="e">
        <f t="shared" si="56"/>
        <v>#N/A</v>
      </c>
      <c r="Y81" s="572"/>
      <c r="Z81" s="420"/>
      <c r="AA81" s="426"/>
      <c r="AB81" s="426"/>
      <c r="AC81" s="420" t="e">
        <f t="shared" si="57"/>
        <v>#N/A</v>
      </c>
      <c r="AD81" s="572"/>
      <c r="AE81" s="420"/>
      <c r="AF81" s="426"/>
      <c r="AG81" s="426"/>
      <c r="AH81" s="420" t="e">
        <f t="shared" si="58"/>
        <v>#N/A</v>
      </c>
      <c r="AI81" s="572"/>
      <c r="AJ81" s="420"/>
      <c r="AK81" s="426"/>
      <c r="AL81" s="426"/>
      <c r="AM81" s="420" t="e">
        <f t="shared" si="59"/>
        <v>#N/A</v>
      </c>
      <c r="AN81" s="572"/>
      <c r="AO81" s="420"/>
      <c r="AP81" s="426"/>
      <c r="AQ81" s="426"/>
      <c r="AR81" s="420" t="e">
        <f t="shared" si="60"/>
        <v>#N/A</v>
      </c>
      <c r="AS81" s="572"/>
      <c r="AT81" s="418"/>
      <c r="AU81" s="425"/>
      <c r="AV81" s="419"/>
      <c r="AW81" s="420" t="e">
        <f t="shared" si="61"/>
        <v>#N/A</v>
      </c>
      <c r="AX81" s="572"/>
      <c r="AZ81" s="407" t="e">
        <f t="shared" si="53"/>
        <v>#N/A</v>
      </c>
      <c r="BA81" s="561"/>
    </row>
    <row r="82" spans="2:53" ht="15.75">
      <c r="B82" s="593" t="s">
        <v>163</v>
      </c>
      <c r="C82" s="594"/>
      <c r="D82" s="594"/>
      <c r="E82" s="594"/>
      <c r="F82" s="594"/>
      <c r="G82" s="594"/>
      <c r="H82" s="595"/>
      <c r="I82" s="208"/>
      <c r="J82" s="208"/>
      <c r="K82" s="208"/>
      <c r="L82" s="208"/>
      <c r="M82" s="207"/>
      <c r="N82" s="566" t="s">
        <v>156</v>
      </c>
      <c r="O82" s="566" t="s">
        <v>105</v>
      </c>
      <c r="P82" s="592">
        <f>P62+7</f>
        <v>46168</v>
      </c>
      <c r="Q82" s="570"/>
      <c r="R82" s="570"/>
      <c r="S82" s="570"/>
      <c r="T82" s="570"/>
      <c r="U82" s="589">
        <f>P82+1</f>
        <v>46169</v>
      </c>
      <c r="V82" s="590"/>
      <c r="W82" s="590"/>
      <c r="X82" s="590"/>
      <c r="Y82" s="591"/>
      <c r="Z82" s="589">
        <f>U82+1</f>
        <v>46170</v>
      </c>
      <c r="AA82" s="590"/>
      <c r="AB82" s="590"/>
      <c r="AC82" s="590"/>
      <c r="AD82" s="591"/>
      <c r="AE82" s="589">
        <f>Z82+1</f>
        <v>46171</v>
      </c>
      <c r="AF82" s="590"/>
      <c r="AG82" s="590"/>
      <c r="AH82" s="590"/>
      <c r="AI82" s="591"/>
      <c r="AJ82" s="589">
        <f>AE82+1</f>
        <v>46172</v>
      </c>
      <c r="AK82" s="590"/>
      <c r="AL82" s="590"/>
      <c r="AM82" s="590"/>
      <c r="AN82" s="591"/>
      <c r="AO82" s="589">
        <f>AJ82+1</f>
        <v>46173</v>
      </c>
      <c r="AP82" s="590"/>
      <c r="AQ82" s="590"/>
      <c r="AR82" s="590"/>
      <c r="AS82" s="591"/>
      <c r="AT82" s="589">
        <f>AO82+1</f>
        <v>46174</v>
      </c>
      <c r="AU82" s="590"/>
      <c r="AV82" s="590"/>
      <c r="AW82" s="590"/>
      <c r="AX82" s="591"/>
    </row>
    <row r="83" spans="2:53" ht="15.75">
      <c r="B83" s="596"/>
      <c r="C83" s="596"/>
      <c r="D83" s="596"/>
      <c r="E83" s="596"/>
      <c r="F83" s="596"/>
      <c r="G83" s="596"/>
      <c r="H83" s="596"/>
      <c r="I83" s="205"/>
      <c r="J83" s="205"/>
      <c r="K83" s="205"/>
      <c r="L83" s="205"/>
      <c r="M83" s="206"/>
      <c r="N83" s="568"/>
      <c r="O83" s="568"/>
      <c r="P83" s="592" t="s">
        <v>318</v>
      </c>
      <c r="Q83" s="570"/>
      <c r="R83" s="570"/>
      <c r="S83" s="570"/>
      <c r="T83" s="570"/>
      <c r="U83" s="592" t="s">
        <v>319</v>
      </c>
      <c r="V83" s="570"/>
      <c r="W83" s="570"/>
      <c r="X83" s="570"/>
      <c r="Y83" s="570"/>
      <c r="Z83" s="592" t="s">
        <v>320</v>
      </c>
      <c r="AA83" s="570"/>
      <c r="AB83" s="570"/>
      <c r="AC83" s="570"/>
      <c r="AD83" s="570"/>
      <c r="AE83" s="592" t="s">
        <v>321</v>
      </c>
      <c r="AF83" s="570"/>
      <c r="AG83" s="570"/>
      <c r="AH83" s="570"/>
      <c r="AI83" s="570"/>
      <c r="AJ83" s="592" t="s">
        <v>322</v>
      </c>
      <c r="AK83" s="570"/>
      <c r="AL83" s="570"/>
      <c r="AM83" s="570"/>
      <c r="AN83" s="570"/>
      <c r="AO83" s="592" t="s">
        <v>323</v>
      </c>
      <c r="AP83" s="570"/>
      <c r="AQ83" s="570"/>
      <c r="AR83" s="570"/>
      <c r="AS83" s="570"/>
      <c r="AT83" s="592" t="s">
        <v>324</v>
      </c>
      <c r="AU83" s="570"/>
      <c r="AV83" s="570"/>
      <c r="AW83" s="570"/>
      <c r="AX83" s="570"/>
    </row>
    <row r="84" spans="2:53">
      <c r="B84" s="564" t="s">
        <v>420</v>
      </c>
      <c r="C84" s="564" t="s">
        <v>560</v>
      </c>
      <c r="D84" s="564"/>
      <c r="E84" s="564" t="s">
        <v>561</v>
      </c>
      <c r="F84" s="564"/>
      <c r="G84" s="564"/>
      <c r="H84" s="597" t="s">
        <v>562</v>
      </c>
      <c r="I84" s="564" t="s">
        <v>563</v>
      </c>
      <c r="J84" s="564"/>
      <c r="K84" s="564"/>
      <c r="L84" s="597" t="s">
        <v>374</v>
      </c>
      <c r="M84" s="566" t="s">
        <v>564</v>
      </c>
      <c r="N84" s="564"/>
      <c r="O84" s="564" t="s">
        <v>380</v>
      </c>
      <c r="P84" s="583" t="s">
        <v>376</v>
      </c>
      <c r="Q84" s="584"/>
      <c r="R84" s="584"/>
      <c r="S84" s="585"/>
      <c r="T84" s="564" t="s">
        <v>374</v>
      </c>
      <c r="U84" s="583" t="s">
        <v>376</v>
      </c>
      <c r="V84" s="584"/>
      <c r="W84" s="584"/>
      <c r="X84" s="585"/>
      <c r="Y84" s="564" t="s">
        <v>374</v>
      </c>
      <c r="Z84" s="583" t="s">
        <v>376</v>
      </c>
      <c r="AA84" s="584"/>
      <c r="AB84" s="584"/>
      <c r="AC84" s="585"/>
      <c r="AD84" s="564" t="s">
        <v>374</v>
      </c>
      <c r="AE84" s="583" t="s">
        <v>376</v>
      </c>
      <c r="AF84" s="584"/>
      <c r="AG84" s="584"/>
      <c r="AH84" s="585"/>
      <c r="AI84" s="564" t="s">
        <v>374</v>
      </c>
      <c r="AJ84" s="583" t="s">
        <v>376</v>
      </c>
      <c r="AK84" s="584"/>
      <c r="AL84" s="584"/>
      <c r="AM84" s="585"/>
      <c r="AN84" s="564" t="s">
        <v>374</v>
      </c>
      <c r="AO84" s="583" t="s">
        <v>376</v>
      </c>
      <c r="AP84" s="584"/>
      <c r="AQ84" s="584"/>
      <c r="AR84" s="585"/>
      <c r="AS84" s="564" t="s">
        <v>374</v>
      </c>
      <c r="AT84" s="583" t="s">
        <v>376</v>
      </c>
      <c r="AU84" s="584"/>
      <c r="AV84" s="584"/>
      <c r="AW84" s="585"/>
      <c r="AX84" s="564" t="s">
        <v>374</v>
      </c>
      <c r="BA84" s="564" t="s">
        <v>374</v>
      </c>
    </row>
    <row r="85" spans="2:53">
      <c r="B85" s="564"/>
      <c r="C85" s="564"/>
      <c r="D85" s="564"/>
      <c r="E85" s="564" t="s">
        <v>566</v>
      </c>
      <c r="F85" s="564"/>
      <c r="G85" s="564"/>
      <c r="H85" s="598"/>
      <c r="I85" s="564" t="s">
        <v>566</v>
      </c>
      <c r="J85" s="564"/>
      <c r="K85" s="564"/>
      <c r="L85" s="598"/>
      <c r="M85" s="567"/>
      <c r="N85" s="564"/>
      <c r="O85" s="564"/>
      <c r="P85" s="583" t="s">
        <v>382</v>
      </c>
      <c r="Q85" s="584"/>
      <c r="R85" s="584"/>
      <c r="S85" s="585"/>
      <c r="T85" s="564"/>
      <c r="U85" s="583" t="s">
        <v>382</v>
      </c>
      <c r="V85" s="584"/>
      <c r="W85" s="584"/>
      <c r="X85" s="585"/>
      <c r="Y85" s="564"/>
      <c r="Z85" s="583" t="s">
        <v>382</v>
      </c>
      <c r="AA85" s="584"/>
      <c r="AB85" s="584"/>
      <c r="AC85" s="585"/>
      <c r="AD85" s="564"/>
      <c r="AE85" s="583" t="s">
        <v>382</v>
      </c>
      <c r="AF85" s="584"/>
      <c r="AG85" s="584"/>
      <c r="AH85" s="585"/>
      <c r="AI85" s="564"/>
      <c r="AJ85" s="583" t="s">
        <v>382</v>
      </c>
      <c r="AK85" s="584"/>
      <c r="AL85" s="584"/>
      <c r="AM85" s="585"/>
      <c r="AN85" s="564"/>
      <c r="AO85" s="583" t="s">
        <v>382</v>
      </c>
      <c r="AP85" s="584"/>
      <c r="AQ85" s="584"/>
      <c r="AR85" s="585"/>
      <c r="AS85" s="564"/>
      <c r="AT85" s="583" t="s">
        <v>382</v>
      </c>
      <c r="AU85" s="584"/>
      <c r="AV85" s="584"/>
      <c r="AW85" s="585"/>
      <c r="AX85" s="564"/>
      <c r="BA85" s="564"/>
    </row>
    <row r="86" spans="2:53">
      <c r="B86" s="564"/>
      <c r="C86" s="564"/>
      <c r="D86" s="564"/>
      <c r="E86" s="417" t="s">
        <v>567</v>
      </c>
      <c r="F86" s="417" t="s">
        <v>568</v>
      </c>
      <c r="G86" s="417" t="s">
        <v>569</v>
      </c>
      <c r="H86" s="599"/>
      <c r="I86" s="417" t="s">
        <v>567</v>
      </c>
      <c r="J86" s="417" t="s">
        <v>568</v>
      </c>
      <c r="K86" s="417" t="s">
        <v>569</v>
      </c>
      <c r="L86" s="599"/>
      <c r="M86" s="568"/>
      <c r="N86" s="564"/>
      <c r="O86" s="564"/>
      <c r="P86" s="417" t="s">
        <v>383</v>
      </c>
      <c r="Q86" s="417" t="s">
        <v>384</v>
      </c>
      <c r="R86" s="417" t="s">
        <v>385</v>
      </c>
      <c r="S86" s="417" t="s">
        <v>375</v>
      </c>
      <c r="T86" s="564"/>
      <c r="U86" s="417" t="s">
        <v>383</v>
      </c>
      <c r="V86" s="417" t="s">
        <v>384</v>
      </c>
      <c r="W86" s="417" t="s">
        <v>385</v>
      </c>
      <c r="X86" s="417" t="s">
        <v>375</v>
      </c>
      <c r="Y86" s="564"/>
      <c r="Z86" s="417" t="s">
        <v>383</v>
      </c>
      <c r="AA86" s="417" t="s">
        <v>384</v>
      </c>
      <c r="AB86" s="417" t="s">
        <v>385</v>
      </c>
      <c r="AC86" s="417" t="s">
        <v>375</v>
      </c>
      <c r="AD86" s="564"/>
      <c r="AE86" s="417" t="s">
        <v>383</v>
      </c>
      <c r="AF86" s="417" t="s">
        <v>384</v>
      </c>
      <c r="AG86" s="417" t="s">
        <v>385</v>
      </c>
      <c r="AH86" s="417" t="s">
        <v>375</v>
      </c>
      <c r="AI86" s="564"/>
      <c r="AJ86" s="417" t="s">
        <v>383</v>
      </c>
      <c r="AK86" s="417" t="s">
        <v>384</v>
      </c>
      <c r="AL86" s="417" t="s">
        <v>385</v>
      </c>
      <c r="AM86" s="417" t="s">
        <v>375</v>
      </c>
      <c r="AN86" s="564"/>
      <c r="AO86" s="417" t="s">
        <v>383</v>
      </c>
      <c r="AP86" s="417" t="s">
        <v>384</v>
      </c>
      <c r="AQ86" s="417" t="s">
        <v>385</v>
      </c>
      <c r="AR86" s="417" t="s">
        <v>375</v>
      </c>
      <c r="AS86" s="564"/>
      <c r="AT86" s="417" t="s">
        <v>383</v>
      </c>
      <c r="AU86" s="417" t="s">
        <v>384</v>
      </c>
      <c r="AV86" s="417" t="s">
        <v>385</v>
      </c>
      <c r="AW86" s="417" t="s">
        <v>375</v>
      </c>
      <c r="AX86" s="564"/>
      <c r="AZ86" s="406" t="s">
        <v>375</v>
      </c>
      <c r="BA86" s="564"/>
    </row>
    <row r="87" spans="2:53">
      <c r="B87" s="564" t="s">
        <v>434</v>
      </c>
      <c r="C87" s="420">
        <v>1</v>
      </c>
      <c r="D87" s="226"/>
      <c r="E87" s="425"/>
      <c r="F87" s="418"/>
      <c r="G87" s="419"/>
      <c r="H87" s="578" t="e">
        <f>AVERAGE(G87:G101)</f>
        <v>#DIV/0!</v>
      </c>
      <c r="I87" s="422" t="str">
        <f t="shared" ref="I87:I100" si="62">IFERROR(AVERAGE(P87,U87,Z87,AE87,AJ87,AO87,AT87),"-")</f>
        <v>-</v>
      </c>
      <c r="J87" s="422" t="str">
        <f t="shared" ref="J87:J100" si="63">IFERROR(AVERAGE(Q87,V87,AA87,AF87,AK87,AP87,AU87),"-")</f>
        <v>-</v>
      </c>
      <c r="K87" s="200" t="str">
        <f t="shared" ref="K87:K100" si="64">IFERROR(AVERAGE(R87,W87,AB87,AG87,AL87,AQ87,AV87),"-")</f>
        <v>-</v>
      </c>
      <c r="L87" s="580" t="str">
        <f>IFERROR(AVERAGE(K87:K101),"-")</f>
        <v>-</v>
      </c>
      <c r="M87" s="426" t="e">
        <f>RANK(K87, K$67:$K$81)</f>
        <v>#VALUE!</v>
      </c>
      <c r="N87" s="564"/>
      <c r="O87" s="564"/>
      <c r="P87" s="420"/>
      <c r="Q87" s="426"/>
      <c r="R87" s="426"/>
      <c r="S87" s="420" t="e">
        <f>RANK(R87, R$67:R$81)</f>
        <v>#N/A</v>
      </c>
      <c r="T87" s="572" t="e">
        <f>AVERAGE(R87:R101)</f>
        <v>#DIV/0!</v>
      </c>
      <c r="U87" s="420"/>
      <c r="V87" s="426"/>
      <c r="W87" s="426"/>
      <c r="X87" s="420" t="e">
        <f>RANK(W87, W$67:W$81)</f>
        <v>#N/A</v>
      </c>
      <c r="Y87" s="572" t="e">
        <f>AVERAGE(W87:W101)</f>
        <v>#DIV/0!</v>
      </c>
      <c r="Z87" s="420"/>
      <c r="AA87" s="426"/>
      <c r="AB87" s="426"/>
      <c r="AC87" s="420" t="e">
        <f>RANK(AB87, AB$67:AB$81)</f>
        <v>#N/A</v>
      </c>
      <c r="AD87" s="572" t="e">
        <f>AVERAGE(AB87:AB101)</f>
        <v>#DIV/0!</v>
      </c>
      <c r="AE87" s="420"/>
      <c r="AF87" s="426"/>
      <c r="AG87" s="426"/>
      <c r="AH87" s="420" t="e">
        <f>RANK(AG87, AG$67:AG$81)</f>
        <v>#N/A</v>
      </c>
      <c r="AI87" s="572" t="e">
        <f>AVERAGE(AG87:AG101)</f>
        <v>#DIV/0!</v>
      </c>
      <c r="AJ87" s="420"/>
      <c r="AK87" s="426"/>
      <c r="AL87" s="426"/>
      <c r="AM87" s="420" t="e">
        <f>RANK(AL87, AL$67:AL$81)</f>
        <v>#N/A</v>
      </c>
      <c r="AN87" s="572" t="e">
        <f>AVERAGE(AL87:AL101)</f>
        <v>#DIV/0!</v>
      </c>
      <c r="AO87" s="420"/>
      <c r="AP87" s="426"/>
      <c r="AQ87" s="426"/>
      <c r="AR87" s="420" t="e">
        <f>RANK(AQ87, AQ$67:AQ$81)</f>
        <v>#N/A</v>
      </c>
      <c r="AS87" s="572" t="e">
        <f>AVERAGE(AQ87:AQ101)</f>
        <v>#DIV/0!</v>
      </c>
      <c r="AT87" s="425"/>
      <c r="AU87" s="425"/>
      <c r="AV87" s="419"/>
      <c r="AW87" s="420" t="e">
        <f>RANK(AV87, AV$67:AV$81)</f>
        <v>#N/A</v>
      </c>
      <c r="AX87" s="572" t="e">
        <f>AVERAGE(AV87:AV101)</f>
        <v>#DIV/0!</v>
      </c>
      <c r="AZ87" s="407" t="e">
        <f t="shared" ref="AZ87:AZ101" si="65">RANK(AY87, AY$87:AY$101)</f>
        <v>#N/A</v>
      </c>
      <c r="BA87" s="565" t="e">
        <f t="shared" ref="BA87" si="66">AVERAGE(AY87:AY101)</f>
        <v>#DIV/0!</v>
      </c>
    </row>
    <row r="88" spans="2:53">
      <c r="B88" s="570"/>
      <c r="C88" s="420">
        <v>2</v>
      </c>
      <c r="D88" s="226"/>
      <c r="E88" s="425"/>
      <c r="F88" s="418"/>
      <c r="G88" s="419"/>
      <c r="H88" s="579"/>
      <c r="I88" s="422" t="str">
        <f t="shared" si="62"/>
        <v>-</v>
      </c>
      <c r="J88" s="422" t="str">
        <f t="shared" si="63"/>
        <v>-</v>
      </c>
      <c r="K88" s="200" t="str">
        <f t="shared" si="64"/>
        <v>-</v>
      </c>
      <c r="L88" s="581"/>
      <c r="M88" s="426" t="e">
        <f>RANK(K88, K$67:$K$81)</f>
        <v>#VALUE!</v>
      </c>
      <c r="N88" s="564"/>
      <c r="O88" s="564"/>
      <c r="P88" s="420"/>
      <c r="Q88" s="426"/>
      <c r="R88" s="426"/>
      <c r="S88" s="420" t="e">
        <f t="shared" ref="S88:S101" si="67">RANK(R88, R$67:R$81)</f>
        <v>#N/A</v>
      </c>
      <c r="T88" s="572"/>
      <c r="U88" s="420"/>
      <c r="V88" s="426"/>
      <c r="W88" s="426"/>
      <c r="X88" s="420" t="e">
        <f t="shared" ref="X88:X101" si="68">RANK(W88, W$67:W$81)</f>
        <v>#N/A</v>
      </c>
      <c r="Y88" s="572"/>
      <c r="Z88" s="420"/>
      <c r="AA88" s="426"/>
      <c r="AB88" s="426"/>
      <c r="AC88" s="420" t="e">
        <f t="shared" ref="AC88:AC101" si="69">RANK(AB88, AB$67:AB$81)</f>
        <v>#N/A</v>
      </c>
      <c r="AD88" s="572"/>
      <c r="AE88" s="420"/>
      <c r="AF88" s="426"/>
      <c r="AG88" s="426"/>
      <c r="AH88" s="420" t="e">
        <f t="shared" ref="AH88:AH101" si="70">RANK(AG88, AG$67:AG$81)</f>
        <v>#N/A</v>
      </c>
      <c r="AI88" s="572"/>
      <c r="AJ88" s="420"/>
      <c r="AK88" s="426"/>
      <c r="AL88" s="426"/>
      <c r="AM88" s="420" t="e">
        <f t="shared" ref="AM88:AM101" si="71">RANK(AL88, AL$67:AL$81)</f>
        <v>#N/A</v>
      </c>
      <c r="AN88" s="572"/>
      <c r="AO88" s="420"/>
      <c r="AP88" s="426"/>
      <c r="AQ88" s="426"/>
      <c r="AR88" s="420" t="e">
        <f t="shared" ref="AR88:AR101" si="72">RANK(AQ88, AQ$67:AQ$81)</f>
        <v>#N/A</v>
      </c>
      <c r="AS88" s="572"/>
      <c r="AT88" s="418"/>
      <c r="AU88" s="425"/>
      <c r="AV88" s="419"/>
      <c r="AW88" s="420" t="e">
        <f t="shared" ref="AW88:AW101" si="73">RANK(AV88, AV$67:AV$81)</f>
        <v>#N/A</v>
      </c>
      <c r="AX88" s="572"/>
      <c r="AZ88" s="407" t="e">
        <f t="shared" si="65"/>
        <v>#N/A</v>
      </c>
      <c r="BA88" s="565"/>
    </row>
    <row r="89" spans="2:53">
      <c r="B89" s="570"/>
      <c r="C89" s="420">
        <v>3</v>
      </c>
      <c r="D89" s="226"/>
      <c r="E89" s="425"/>
      <c r="F89" s="418"/>
      <c r="G89" s="419"/>
      <c r="H89" s="579"/>
      <c r="I89" s="422" t="str">
        <f t="shared" si="62"/>
        <v>-</v>
      </c>
      <c r="J89" s="422" t="str">
        <f t="shared" si="63"/>
        <v>-</v>
      </c>
      <c r="K89" s="200" t="str">
        <f t="shared" si="64"/>
        <v>-</v>
      </c>
      <c r="L89" s="581"/>
      <c r="M89" s="426" t="e">
        <f>RANK(K89, K$67:$K$81)</f>
        <v>#VALUE!</v>
      </c>
      <c r="N89" s="564"/>
      <c r="O89" s="564"/>
      <c r="P89" s="420"/>
      <c r="Q89" s="426"/>
      <c r="R89" s="426"/>
      <c r="S89" s="420" t="e">
        <f t="shared" si="67"/>
        <v>#N/A</v>
      </c>
      <c r="T89" s="572"/>
      <c r="U89" s="420"/>
      <c r="V89" s="426"/>
      <c r="W89" s="426"/>
      <c r="X89" s="420" t="e">
        <f t="shared" si="68"/>
        <v>#N/A</v>
      </c>
      <c r="Y89" s="572"/>
      <c r="Z89" s="420"/>
      <c r="AA89" s="426"/>
      <c r="AB89" s="426"/>
      <c r="AC89" s="420" t="e">
        <f t="shared" si="69"/>
        <v>#N/A</v>
      </c>
      <c r="AD89" s="572"/>
      <c r="AE89" s="420"/>
      <c r="AF89" s="426"/>
      <c r="AG89" s="426"/>
      <c r="AH89" s="420" t="e">
        <f t="shared" si="70"/>
        <v>#N/A</v>
      </c>
      <c r="AI89" s="572"/>
      <c r="AJ89" s="420"/>
      <c r="AK89" s="426"/>
      <c r="AL89" s="426"/>
      <c r="AM89" s="420" t="e">
        <f t="shared" si="71"/>
        <v>#N/A</v>
      </c>
      <c r="AN89" s="572"/>
      <c r="AO89" s="420"/>
      <c r="AP89" s="426"/>
      <c r="AQ89" s="426"/>
      <c r="AR89" s="420" t="e">
        <f t="shared" si="72"/>
        <v>#N/A</v>
      </c>
      <c r="AS89" s="572"/>
      <c r="AT89" s="418"/>
      <c r="AU89" s="425"/>
      <c r="AV89" s="419"/>
      <c r="AW89" s="420" t="e">
        <f t="shared" si="73"/>
        <v>#N/A</v>
      </c>
      <c r="AX89" s="572"/>
      <c r="AZ89" s="407" t="e">
        <f t="shared" si="65"/>
        <v>#N/A</v>
      </c>
      <c r="BA89" s="565"/>
    </row>
    <row r="90" spans="2:53">
      <c r="B90" s="570"/>
      <c r="C90" s="420">
        <v>4</v>
      </c>
      <c r="D90" s="226"/>
      <c r="E90" s="425"/>
      <c r="F90" s="418"/>
      <c r="G90" s="419"/>
      <c r="H90" s="579"/>
      <c r="I90" s="422" t="str">
        <f t="shared" si="62"/>
        <v>-</v>
      </c>
      <c r="J90" s="422" t="str">
        <f t="shared" si="63"/>
        <v>-</v>
      </c>
      <c r="K90" s="200" t="str">
        <f t="shared" si="64"/>
        <v>-</v>
      </c>
      <c r="L90" s="581"/>
      <c r="M90" s="426" t="e">
        <f>RANK(K90, K$67:$K$81)</f>
        <v>#VALUE!</v>
      </c>
      <c r="N90" s="564"/>
      <c r="O90" s="564"/>
      <c r="P90" s="420"/>
      <c r="Q90" s="426"/>
      <c r="R90" s="426"/>
      <c r="S90" s="420" t="e">
        <f t="shared" si="67"/>
        <v>#N/A</v>
      </c>
      <c r="T90" s="572"/>
      <c r="U90" s="420"/>
      <c r="V90" s="426"/>
      <c r="W90" s="426"/>
      <c r="X90" s="420" t="e">
        <f t="shared" si="68"/>
        <v>#N/A</v>
      </c>
      <c r="Y90" s="572"/>
      <c r="Z90" s="420"/>
      <c r="AA90" s="426"/>
      <c r="AB90" s="426"/>
      <c r="AC90" s="420" t="e">
        <f t="shared" si="69"/>
        <v>#N/A</v>
      </c>
      <c r="AD90" s="572"/>
      <c r="AE90" s="420"/>
      <c r="AF90" s="426"/>
      <c r="AG90" s="426"/>
      <c r="AH90" s="420" t="e">
        <f t="shared" si="70"/>
        <v>#N/A</v>
      </c>
      <c r="AI90" s="572"/>
      <c r="AJ90" s="420"/>
      <c r="AK90" s="426"/>
      <c r="AL90" s="426"/>
      <c r="AM90" s="420" t="e">
        <f t="shared" si="71"/>
        <v>#N/A</v>
      </c>
      <c r="AN90" s="572"/>
      <c r="AO90" s="420"/>
      <c r="AP90" s="426"/>
      <c r="AQ90" s="426"/>
      <c r="AR90" s="420" t="e">
        <f t="shared" si="72"/>
        <v>#N/A</v>
      </c>
      <c r="AS90" s="572"/>
      <c r="AT90" s="418"/>
      <c r="AU90" s="425"/>
      <c r="AV90" s="419"/>
      <c r="AW90" s="420" t="e">
        <f t="shared" si="73"/>
        <v>#N/A</v>
      </c>
      <c r="AX90" s="572"/>
      <c r="AZ90" s="407" t="e">
        <f t="shared" si="65"/>
        <v>#N/A</v>
      </c>
      <c r="BA90" s="565"/>
    </row>
    <row r="91" spans="2:53">
      <c r="B91" s="570"/>
      <c r="C91" s="420">
        <v>5</v>
      </c>
      <c r="D91" s="226"/>
      <c r="E91" s="425"/>
      <c r="F91" s="418"/>
      <c r="G91" s="419"/>
      <c r="H91" s="579"/>
      <c r="I91" s="422" t="str">
        <f t="shared" si="62"/>
        <v>-</v>
      </c>
      <c r="J91" s="422" t="str">
        <f t="shared" si="63"/>
        <v>-</v>
      </c>
      <c r="K91" s="200" t="str">
        <f t="shared" si="64"/>
        <v>-</v>
      </c>
      <c r="L91" s="581"/>
      <c r="M91" s="426" t="e">
        <f>RANK(K91, K$67:$K$81)</f>
        <v>#VALUE!</v>
      </c>
      <c r="N91" s="564"/>
      <c r="O91" s="564"/>
      <c r="P91" s="420"/>
      <c r="Q91" s="426"/>
      <c r="R91" s="426"/>
      <c r="S91" s="420" t="e">
        <f t="shared" si="67"/>
        <v>#N/A</v>
      </c>
      <c r="T91" s="572"/>
      <c r="U91" s="420"/>
      <c r="V91" s="426"/>
      <c r="W91" s="426"/>
      <c r="X91" s="420" t="e">
        <f t="shared" si="68"/>
        <v>#N/A</v>
      </c>
      <c r="Y91" s="572"/>
      <c r="Z91" s="420"/>
      <c r="AA91" s="426"/>
      <c r="AB91" s="426"/>
      <c r="AC91" s="420" t="e">
        <f t="shared" si="69"/>
        <v>#N/A</v>
      </c>
      <c r="AD91" s="572"/>
      <c r="AE91" s="420"/>
      <c r="AF91" s="426"/>
      <c r="AG91" s="426"/>
      <c r="AH91" s="420" t="e">
        <f t="shared" si="70"/>
        <v>#N/A</v>
      </c>
      <c r="AI91" s="572"/>
      <c r="AJ91" s="420"/>
      <c r="AK91" s="426"/>
      <c r="AL91" s="426"/>
      <c r="AM91" s="420" t="e">
        <f t="shared" si="71"/>
        <v>#N/A</v>
      </c>
      <c r="AN91" s="572"/>
      <c r="AO91" s="420"/>
      <c r="AP91" s="426"/>
      <c r="AQ91" s="426"/>
      <c r="AR91" s="420" t="e">
        <f t="shared" si="72"/>
        <v>#N/A</v>
      </c>
      <c r="AS91" s="572"/>
      <c r="AT91" s="418"/>
      <c r="AU91" s="425"/>
      <c r="AV91" s="419"/>
      <c r="AW91" s="420" t="e">
        <f t="shared" si="73"/>
        <v>#N/A</v>
      </c>
      <c r="AX91" s="572"/>
      <c r="AZ91" s="407" t="e">
        <f t="shared" si="65"/>
        <v>#N/A</v>
      </c>
      <c r="BA91" s="565"/>
    </row>
    <row r="92" spans="2:53">
      <c r="B92" s="570"/>
      <c r="C92" s="420">
        <v>6</v>
      </c>
      <c r="D92" s="226"/>
      <c r="E92" s="425"/>
      <c r="F92" s="418"/>
      <c r="G92" s="419"/>
      <c r="H92" s="579"/>
      <c r="I92" s="422" t="str">
        <f t="shared" si="62"/>
        <v>-</v>
      </c>
      <c r="J92" s="422" t="str">
        <f t="shared" si="63"/>
        <v>-</v>
      </c>
      <c r="K92" s="200" t="str">
        <f t="shared" si="64"/>
        <v>-</v>
      </c>
      <c r="L92" s="581"/>
      <c r="M92" s="426" t="e">
        <f>RANK(K92, K$67:$K$81)</f>
        <v>#VALUE!</v>
      </c>
      <c r="N92" s="564"/>
      <c r="O92" s="564"/>
      <c r="P92" s="420"/>
      <c r="Q92" s="426"/>
      <c r="R92" s="426"/>
      <c r="S92" s="420" t="e">
        <f t="shared" si="67"/>
        <v>#N/A</v>
      </c>
      <c r="T92" s="572"/>
      <c r="U92" s="420"/>
      <c r="V92" s="426"/>
      <c r="W92" s="426"/>
      <c r="X92" s="420" t="e">
        <f t="shared" si="68"/>
        <v>#N/A</v>
      </c>
      <c r="Y92" s="572"/>
      <c r="Z92" s="420"/>
      <c r="AA92" s="426"/>
      <c r="AB92" s="426"/>
      <c r="AC92" s="420" t="e">
        <f t="shared" si="69"/>
        <v>#N/A</v>
      </c>
      <c r="AD92" s="572"/>
      <c r="AE92" s="420"/>
      <c r="AF92" s="426"/>
      <c r="AG92" s="426"/>
      <c r="AH92" s="420" t="e">
        <f t="shared" si="70"/>
        <v>#N/A</v>
      </c>
      <c r="AI92" s="572"/>
      <c r="AJ92" s="420"/>
      <c r="AK92" s="426"/>
      <c r="AL92" s="426"/>
      <c r="AM92" s="420" t="e">
        <f t="shared" si="71"/>
        <v>#N/A</v>
      </c>
      <c r="AN92" s="572"/>
      <c r="AO92" s="420"/>
      <c r="AP92" s="426"/>
      <c r="AQ92" s="426"/>
      <c r="AR92" s="420" t="e">
        <f t="shared" si="72"/>
        <v>#N/A</v>
      </c>
      <c r="AS92" s="572"/>
      <c r="AT92" s="418"/>
      <c r="AU92" s="425"/>
      <c r="AV92" s="419"/>
      <c r="AW92" s="420" t="e">
        <f t="shared" si="73"/>
        <v>#N/A</v>
      </c>
      <c r="AX92" s="572"/>
      <c r="AZ92" s="407" t="e">
        <f t="shared" si="65"/>
        <v>#N/A</v>
      </c>
      <c r="BA92" s="565"/>
    </row>
    <row r="93" spans="2:53">
      <c r="B93" s="570"/>
      <c r="C93" s="420">
        <v>7</v>
      </c>
      <c r="D93" s="226"/>
      <c r="E93" s="425"/>
      <c r="F93" s="418"/>
      <c r="G93" s="419"/>
      <c r="H93" s="579"/>
      <c r="I93" s="422" t="str">
        <f t="shared" si="62"/>
        <v>-</v>
      </c>
      <c r="J93" s="422" t="str">
        <f t="shared" si="63"/>
        <v>-</v>
      </c>
      <c r="K93" s="200" t="str">
        <f t="shared" si="64"/>
        <v>-</v>
      </c>
      <c r="L93" s="581"/>
      <c r="M93" s="426" t="e">
        <f>RANK(K93, K$67:$K$81)</f>
        <v>#VALUE!</v>
      </c>
      <c r="N93" s="564"/>
      <c r="O93" s="564"/>
      <c r="P93" s="420"/>
      <c r="Q93" s="426"/>
      <c r="R93" s="426"/>
      <c r="S93" s="420" t="e">
        <f t="shared" si="67"/>
        <v>#N/A</v>
      </c>
      <c r="T93" s="572"/>
      <c r="U93" s="420"/>
      <c r="V93" s="426"/>
      <c r="W93" s="426"/>
      <c r="X93" s="420" t="e">
        <f t="shared" si="68"/>
        <v>#N/A</v>
      </c>
      <c r="Y93" s="572"/>
      <c r="Z93" s="420"/>
      <c r="AA93" s="426"/>
      <c r="AB93" s="426"/>
      <c r="AC93" s="420" t="e">
        <f t="shared" si="69"/>
        <v>#N/A</v>
      </c>
      <c r="AD93" s="572"/>
      <c r="AE93" s="420"/>
      <c r="AF93" s="426"/>
      <c r="AG93" s="426"/>
      <c r="AH93" s="420" t="e">
        <f t="shared" si="70"/>
        <v>#N/A</v>
      </c>
      <c r="AI93" s="572"/>
      <c r="AJ93" s="420"/>
      <c r="AK93" s="426"/>
      <c r="AL93" s="426"/>
      <c r="AM93" s="420" t="e">
        <f t="shared" si="71"/>
        <v>#N/A</v>
      </c>
      <c r="AN93" s="572"/>
      <c r="AO93" s="420"/>
      <c r="AP93" s="426"/>
      <c r="AQ93" s="426"/>
      <c r="AR93" s="420" t="e">
        <f t="shared" si="72"/>
        <v>#N/A</v>
      </c>
      <c r="AS93" s="572"/>
      <c r="AT93" s="418"/>
      <c r="AU93" s="425"/>
      <c r="AV93" s="419"/>
      <c r="AW93" s="420" t="e">
        <f t="shared" si="73"/>
        <v>#N/A</v>
      </c>
      <c r="AX93" s="572"/>
      <c r="AZ93" s="407" t="e">
        <f t="shared" si="65"/>
        <v>#N/A</v>
      </c>
      <c r="BA93" s="565"/>
    </row>
    <row r="94" spans="2:53">
      <c r="B94" s="570"/>
      <c r="C94" s="420">
        <v>8</v>
      </c>
      <c r="D94" s="226"/>
      <c r="E94" s="425"/>
      <c r="F94" s="418"/>
      <c r="G94" s="419"/>
      <c r="H94" s="579"/>
      <c r="I94" s="422" t="str">
        <f t="shared" si="62"/>
        <v>-</v>
      </c>
      <c r="J94" s="422" t="str">
        <f t="shared" si="63"/>
        <v>-</v>
      </c>
      <c r="K94" s="200" t="str">
        <f t="shared" si="64"/>
        <v>-</v>
      </c>
      <c r="L94" s="581"/>
      <c r="M94" s="426" t="e">
        <f>RANK(K94, K$67:$K$81)</f>
        <v>#VALUE!</v>
      </c>
      <c r="N94" s="564"/>
      <c r="O94" s="564"/>
      <c r="P94" s="420"/>
      <c r="Q94" s="426"/>
      <c r="R94" s="426"/>
      <c r="S94" s="420" t="e">
        <f t="shared" si="67"/>
        <v>#N/A</v>
      </c>
      <c r="T94" s="572"/>
      <c r="U94" s="420"/>
      <c r="V94" s="426"/>
      <c r="W94" s="426"/>
      <c r="X94" s="420" t="e">
        <f t="shared" si="68"/>
        <v>#N/A</v>
      </c>
      <c r="Y94" s="572"/>
      <c r="Z94" s="420"/>
      <c r="AA94" s="426"/>
      <c r="AB94" s="426"/>
      <c r="AC94" s="420" t="e">
        <f t="shared" si="69"/>
        <v>#N/A</v>
      </c>
      <c r="AD94" s="572"/>
      <c r="AE94" s="420"/>
      <c r="AF94" s="426"/>
      <c r="AG94" s="426"/>
      <c r="AH94" s="420" t="e">
        <f t="shared" si="70"/>
        <v>#N/A</v>
      </c>
      <c r="AI94" s="572"/>
      <c r="AJ94" s="420"/>
      <c r="AK94" s="426"/>
      <c r="AL94" s="426"/>
      <c r="AM94" s="420" t="e">
        <f t="shared" si="71"/>
        <v>#N/A</v>
      </c>
      <c r="AN94" s="572"/>
      <c r="AO94" s="420"/>
      <c r="AP94" s="426"/>
      <c r="AQ94" s="426"/>
      <c r="AR94" s="420" t="e">
        <f t="shared" si="72"/>
        <v>#N/A</v>
      </c>
      <c r="AS94" s="572"/>
      <c r="AT94" s="418"/>
      <c r="AU94" s="425"/>
      <c r="AV94" s="419"/>
      <c r="AW94" s="420" t="e">
        <f t="shared" si="73"/>
        <v>#N/A</v>
      </c>
      <c r="AX94" s="572"/>
      <c r="AZ94" s="407" t="e">
        <f t="shared" si="65"/>
        <v>#N/A</v>
      </c>
      <c r="BA94" s="565"/>
    </row>
    <row r="95" spans="2:53">
      <c r="B95" s="570"/>
      <c r="C95" s="420">
        <v>9</v>
      </c>
      <c r="D95" s="226"/>
      <c r="E95" s="425"/>
      <c r="F95" s="418"/>
      <c r="G95" s="419"/>
      <c r="H95" s="579"/>
      <c r="I95" s="422" t="str">
        <f t="shared" si="62"/>
        <v>-</v>
      </c>
      <c r="J95" s="422" t="str">
        <f t="shared" si="63"/>
        <v>-</v>
      </c>
      <c r="K95" s="200" t="str">
        <f t="shared" si="64"/>
        <v>-</v>
      </c>
      <c r="L95" s="581"/>
      <c r="M95" s="426" t="e">
        <f>RANK(K95, K$67:$K$81)</f>
        <v>#VALUE!</v>
      </c>
      <c r="N95" s="564"/>
      <c r="O95" s="564"/>
      <c r="P95" s="420"/>
      <c r="Q95" s="426"/>
      <c r="R95" s="426"/>
      <c r="S95" s="420" t="e">
        <f t="shared" si="67"/>
        <v>#N/A</v>
      </c>
      <c r="T95" s="572"/>
      <c r="U95" s="420"/>
      <c r="V95" s="426"/>
      <c r="W95" s="426"/>
      <c r="X95" s="420" t="e">
        <f t="shared" si="68"/>
        <v>#N/A</v>
      </c>
      <c r="Y95" s="572"/>
      <c r="Z95" s="420"/>
      <c r="AA95" s="426"/>
      <c r="AB95" s="426"/>
      <c r="AC95" s="420" t="e">
        <f t="shared" si="69"/>
        <v>#N/A</v>
      </c>
      <c r="AD95" s="572"/>
      <c r="AE95" s="420"/>
      <c r="AF95" s="426"/>
      <c r="AG95" s="426"/>
      <c r="AH95" s="420" t="e">
        <f t="shared" si="70"/>
        <v>#N/A</v>
      </c>
      <c r="AI95" s="572"/>
      <c r="AJ95" s="420"/>
      <c r="AK95" s="426"/>
      <c r="AL95" s="426"/>
      <c r="AM95" s="420" t="e">
        <f t="shared" si="71"/>
        <v>#N/A</v>
      </c>
      <c r="AN95" s="572"/>
      <c r="AO95" s="420"/>
      <c r="AP95" s="426"/>
      <c r="AQ95" s="426"/>
      <c r="AR95" s="420" t="e">
        <f t="shared" si="72"/>
        <v>#N/A</v>
      </c>
      <c r="AS95" s="572"/>
      <c r="AT95" s="418"/>
      <c r="AU95" s="425"/>
      <c r="AV95" s="419"/>
      <c r="AW95" s="420" t="e">
        <f t="shared" si="73"/>
        <v>#N/A</v>
      </c>
      <c r="AX95" s="572"/>
      <c r="AZ95" s="407" t="e">
        <f t="shared" si="65"/>
        <v>#N/A</v>
      </c>
      <c r="BA95" s="565"/>
    </row>
    <row r="96" spans="2:53">
      <c r="B96" s="570"/>
      <c r="C96" s="420">
        <v>10</v>
      </c>
      <c r="D96" s="226"/>
      <c r="E96" s="425"/>
      <c r="F96" s="418"/>
      <c r="G96" s="419"/>
      <c r="H96" s="579"/>
      <c r="I96" s="422" t="str">
        <f t="shared" si="62"/>
        <v>-</v>
      </c>
      <c r="J96" s="422" t="str">
        <f t="shared" si="63"/>
        <v>-</v>
      </c>
      <c r="K96" s="200" t="str">
        <f t="shared" si="64"/>
        <v>-</v>
      </c>
      <c r="L96" s="581"/>
      <c r="M96" s="426" t="e">
        <f>RANK(K96, K$67:$K$81)</f>
        <v>#VALUE!</v>
      </c>
      <c r="N96" s="564"/>
      <c r="O96" s="564"/>
      <c r="P96" s="420"/>
      <c r="Q96" s="426"/>
      <c r="R96" s="426"/>
      <c r="S96" s="420" t="e">
        <f t="shared" si="67"/>
        <v>#N/A</v>
      </c>
      <c r="T96" s="572"/>
      <c r="U96" s="420"/>
      <c r="V96" s="426"/>
      <c r="W96" s="426"/>
      <c r="X96" s="420" t="e">
        <f t="shared" si="68"/>
        <v>#N/A</v>
      </c>
      <c r="Y96" s="572"/>
      <c r="Z96" s="420"/>
      <c r="AA96" s="426"/>
      <c r="AB96" s="426"/>
      <c r="AC96" s="420" t="e">
        <f t="shared" si="69"/>
        <v>#N/A</v>
      </c>
      <c r="AD96" s="572"/>
      <c r="AE96" s="420"/>
      <c r="AF96" s="426"/>
      <c r="AG96" s="426"/>
      <c r="AH96" s="420" t="e">
        <f t="shared" si="70"/>
        <v>#N/A</v>
      </c>
      <c r="AI96" s="572"/>
      <c r="AJ96" s="420"/>
      <c r="AK96" s="426"/>
      <c r="AL96" s="426"/>
      <c r="AM96" s="420" t="e">
        <f t="shared" si="71"/>
        <v>#N/A</v>
      </c>
      <c r="AN96" s="572"/>
      <c r="AO96" s="420"/>
      <c r="AP96" s="426"/>
      <c r="AQ96" s="426"/>
      <c r="AR96" s="420" t="e">
        <f t="shared" si="72"/>
        <v>#N/A</v>
      </c>
      <c r="AS96" s="572"/>
      <c r="AT96" s="418"/>
      <c r="AU96" s="425"/>
      <c r="AV96" s="419"/>
      <c r="AW96" s="420" t="e">
        <f t="shared" si="73"/>
        <v>#N/A</v>
      </c>
      <c r="AX96" s="572"/>
      <c r="AZ96" s="407" t="e">
        <f t="shared" si="65"/>
        <v>#N/A</v>
      </c>
      <c r="BA96" s="565"/>
    </row>
    <row r="97" spans="2:53">
      <c r="B97" s="570"/>
      <c r="C97" s="420">
        <v>11</v>
      </c>
      <c r="D97" s="226"/>
      <c r="E97" s="425"/>
      <c r="F97" s="418"/>
      <c r="G97" s="419"/>
      <c r="H97" s="579"/>
      <c r="I97" s="422" t="str">
        <f t="shared" si="62"/>
        <v>-</v>
      </c>
      <c r="J97" s="422" t="str">
        <f t="shared" si="63"/>
        <v>-</v>
      </c>
      <c r="K97" s="200" t="str">
        <f t="shared" si="64"/>
        <v>-</v>
      </c>
      <c r="L97" s="581"/>
      <c r="M97" s="426" t="e">
        <f>RANK(K97, K$67:$K$81)</f>
        <v>#VALUE!</v>
      </c>
      <c r="N97" s="564"/>
      <c r="O97" s="564"/>
      <c r="P97" s="420"/>
      <c r="Q97" s="426"/>
      <c r="R97" s="426"/>
      <c r="S97" s="420" t="e">
        <f t="shared" si="67"/>
        <v>#N/A</v>
      </c>
      <c r="T97" s="572"/>
      <c r="U97" s="420"/>
      <c r="V97" s="426"/>
      <c r="W97" s="426"/>
      <c r="X97" s="420" t="e">
        <f t="shared" si="68"/>
        <v>#N/A</v>
      </c>
      <c r="Y97" s="572"/>
      <c r="Z97" s="420"/>
      <c r="AA97" s="426"/>
      <c r="AB97" s="426"/>
      <c r="AC97" s="420" t="e">
        <f t="shared" si="69"/>
        <v>#N/A</v>
      </c>
      <c r="AD97" s="572"/>
      <c r="AE97" s="420"/>
      <c r="AF97" s="426"/>
      <c r="AG97" s="426"/>
      <c r="AH97" s="420" t="e">
        <f t="shared" si="70"/>
        <v>#N/A</v>
      </c>
      <c r="AI97" s="572"/>
      <c r="AJ97" s="420"/>
      <c r="AK97" s="426"/>
      <c r="AL97" s="426"/>
      <c r="AM97" s="420" t="e">
        <f t="shared" si="71"/>
        <v>#N/A</v>
      </c>
      <c r="AN97" s="572"/>
      <c r="AO97" s="420"/>
      <c r="AP97" s="426"/>
      <c r="AQ97" s="426"/>
      <c r="AR97" s="420" t="e">
        <f t="shared" si="72"/>
        <v>#N/A</v>
      </c>
      <c r="AS97" s="572"/>
      <c r="AT97" s="418"/>
      <c r="AU97" s="425"/>
      <c r="AV97" s="419"/>
      <c r="AW97" s="420" t="e">
        <f t="shared" si="73"/>
        <v>#N/A</v>
      </c>
      <c r="AX97" s="572"/>
      <c r="AZ97" s="407" t="e">
        <f t="shared" si="65"/>
        <v>#N/A</v>
      </c>
      <c r="BA97" s="565"/>
    </row>
    <row r="98" spans="2:53">
      <c r="B98" s="570"/>
      <c r="C98" s="420">
        <v>12</v>
      </c>
      <c r="D98" s="226"/>
      <c r="E98" s="425"/>
      <c r="F98" s="418"/>
      <c r="G98" s="419"/>
      <c r="H98" s="579"/>
      <c r="I98" s="422" t="str">
        <f t="shared" si="62"/>
        <v>-</v>
      </c>
      <c r="J98" s="422" t="str">
        <f t="shared" si="63"/>
        <v>-</v>
      </c>
      <c r="K98" s="200" t="str">
        <f t="shared" si="64"/>
        <v>-</v>
      </c>
      <c r="L98" s="581"/>
      <c r="M98" s="426" t="e">
        <f>RANK(K98, K$67:$K$81)</f>
        <v>#VALUE!</v>
      </c>
      <c r="N98" s="564"/>
      <c r="O98" s="564"/>
      <c r="P98" s="420"/>
      <c r="Q98" s="426"/>
      <c r="R98" s="426"/>
      <c r="S98" s="420" t="e">
        <f t="shared" si="67"/>
        <v>#N/A</v>
      </c>
      <c r="T98" s="572"/>
      <c r="U98" s="420"/>
      <c r="V98" s="426"/>
      <c r="W98" s="426"/>
      <c r="X98" s="420" t="e">
        <f t="shared" si="68"/>
        <v>#N/A</v>
      </c>
      <c r="Y98" s="572"/>
      <c r="Z98" s="420"/>
      <c r="AA98" s="426"/>
      <c r="AB98" s="426"/>
      <c r="AC98" s="420" t="e">
        <f t="shared" si="69"/>
        <v>#N/A</v>
      </c>
      <c r="AD98" s="572"/>
      <c r="AE98" s="420"/>
      <c r="AF98" s="426"/>
      <c r="AG98" s="426"/>
      <c r="AH98" s="420" t="e">
        <f t="shared" si="70"/>
        <v>#N/A</v>
      </c>
      <c r="AI98" s="572"/>
      <c r="AJ98" s="420"/>
      <c r="AK98" s="426"/>
      <c r="AL98" s="426"/>
      <c r="AM98" s="420" t="e">
        <f t="shared" si="71"/>
        <v>#N/A</v>
      </c>
      <c r="AN98" s="572"/>
      <c r="AO98" s="420"/>
      <c r="AP98" s="426"/>
      <c r="AQ98" s="426"/>
      <c r="AR98" s="420" t="e">
        <f t="shared" si="72"/>
        <v>#N/A</v>
      </c>
      <c r="AS98" s="572"/>
      <c r="AT98" s="418"/>
      <c r="AU98" s="425"/>
      <c r="AV98" s="419"/>
      <c r="AW98" s="420" t="e">
        <f t="shared" si="73"/>
        <v>#N/A</v>
      </c>
      <c r="AX98" s="572"/>
      <c r="AZ98" s="407" t="e">
        <f t="shared" si="65"/>
        <v>#N/A</v>
      </c>
      <c r="BA98" s="565"/>
    </row>
    <row r="99" spans="2:53">
      <c r="B99" s="570"/>
      <c r="C99" s="420">
        <v>13</v>
      </c>
      <c r="D99" s="226"/>
      <c r="E99" s="425"/>
      <c r="F99" s="418"/>
      <c r="G99" s="419"/>
      <c r="H99" s="579"/>
      <c r="I99" s="422" t="str">
        <f t="shared" si="62"/>
        <v>-</v>
      </c>
      <c r="J99" s="422" t="str">
        <f t="shared" si="63"/>
        <v>-</v>
      </c>
      <c r="K99" s="200" t="str">
        <f t="shared" si="64"/>
        <v>-</v>
      </c>
      <c r="L99" s="581"/>
      <c r="M99" s="426" t="e">
        <f>RANK(K99, K$67:$K$81)</f>
        <v>#VALUE!</v>
      </c>
      <c r="N99" s="564"/>
      <c r="O99" s="564"/>
      <c r="P99" s="420"/>
      <c r="Q99" s="426"/>
      <c r="R99" s="426"/>
      <c r="S99" s="420" t="e">
        <f t="shared" si="67"/>
        <v>#N/A</v>
      </c>
      <c r="T99" s="572"/>
      <c r="U99" s="420"/>
      <c r="V99" s="426"/>
      <c r="W99" s="426"/>
      <c r="X99" s="420" t="e">
        <f t="shared" si="68"/>
        <v>#N/A</v>
      </c>
      <c r="Y99" s="572"/>
      <c r="Z99" s="420"/>
      <c r="AA99" s="426"/>
      <c r="AB99" s="426"/>
      <c r="AC99" s="420" t="e">
        <f t="shared" si="69"/>
        <v>#N/A</v>
      </c>
      <c r="AD99" s="572"/>
      <c r="AE99" s="420"/>
      <c r="AF99" s="426"/>
      <c r="AG99" s="426"/>
      <c r="AH99" s="420" t="e">
        <f t="shared" si="70"/>
        <v>#N/A</v>
      </c>
      <c r="AI99" s="572"/>
      <c r="AJ99" s="420"/>
      <c r="AK99" s="426"/>
      <c r="AL99" s="426"/>
      <c r="AM99" s="420" t="e">
        <f t="shared" si="71"/>
        <v>#N/A</v>
      </c>
      <c r="AN99" s="572"/>
      <c r="AO99" s="420"/>
      <c r="AP99" s="426"/>
      <c r="AQ99" s="426"/>
      <c r="AR99" s="420" t="e">
        <f t="shared" si="72"/>
        <v>#N/A</v>
      </c>
      <c r="AS99" s="572"/>
      <c r="AT99" s="418"/>
      <c r="AU99" s="425"/>
      <c r="AV99" s="419"/>
      <c r="AW99" s="420" t="e">
        <f t="shared" si="73"/>
        <v>#N/A</v>
      </c>
      <c r="AX99" s="572"/>
      <c r="AZ99" s="407" t="e">
        <f t="shared" si="65"/>
        <v>#N/A</v>
      </c>
      <c r="BA99" s="565"/>
    </row>
    <row r="100" spans="2:53">
      <c r="B100" s="570"/>
      <c r="C100" s="420">
        <v>14</v>
      </c>
      <c r="D100" s="226"/>
      <c r="E100" s="425"/>
      <c r="F100" s="418"/>
      <c r="G100" s="419"/>
      <c r="H100" s="579"/>
      <c r="I100" s="422" t="str">
        <f t="shared" si="62"/>
        <v>-</v>
      </c>
      <c r="J100" s="422" t="str">
        <f t="shared" si="63"/>
        <v>-</v>
      </c>
      <c r="K100" s="200" t="str">
        <f t="shared" si="64"/>
        <v>-</v>
      </c>
      <c r="L100" s="581"/>
      <c r="M100" s="426" t="e">
        <f>RANK(K100, K$67:$K$81)</f>
        <v>#VALUE!</v>
      </c>
      <c r="N100" s="564"/>
      <c r="O100" s="564"/>
      <c r="P100" s="420"/>
      <c r="Q100" s="426"/>
      <c r="R100" s="426"/>
      <c r="S100" s="420" t="e">
        <f t="shared" si="67"/>
        <v>#N/A</v>
      </c>
      <c r="T100" s="572"/>
      <c r="U100" s="420"/>
      <c r="V100" s="426"/>
      <c r="W100" s="426"/>
      <c r="X100" s="420" t="e">
        <f t="shared" si="68"/>
        <v>#N/A</v>
      </c>
      <c r="Y100" s="572"/>
      <c r="Z100" s="420"/>
      <c r="AA100" s="426"/>
      <c r="AB100" s="426"/>
      <c r="AC100" s="420" t="e">
        <f t="shared" si="69"/>
        <v>#N/A</v>
      </c>
      <c r="AD100" s="572"/>
      <c r="AE100" s="420"/>
      <c r="AF100" s="426"/>
      <c r="AG100" s="426"/>
      <c r="AH100" s="420" t="e">
        <f t="shared" si="70"/>
        <v>#N/A</v>
      </c>
      <c r="AI100" s="572"/>
      <c r="AJ100" s="420"/>
      <c r="AK100" s="426"/>
      <c r="AL100" s="426"/>
      <c r="AM100" s="420" t="e">
        <f t="shared" si="71"/>
        <v>#N/A</v>
      </c>
      <c r="AN100" s="572"/>
      <c r="AO100" s="420"/>
      <c r="AP100" s="426"/>
      <c r="AQ100" s="426"/>
      <c r="AR100" s="420" t="e">
        <f t="shared" si="72"/>
        <v>#N/A</v>
      </c>
      <c r="AS100" s="572"/>
      <c r="AT100" s="418"/>
      <c r="AU100" s="425"/>
      <c r="AV100" s="419"/>
      <c r="AW100" s="420" t="e">
        <f t="shared" si="73"/>
        <v>#N/A</v>
      </c>
      <c r="AX100" s="572"/>
      <c r="AZ100" s="407" t="e">
        <f t="shared" si="65"/>
        <v>#N/A</v>
      </c>
      <c r="BA100" s="565"/>
    </row>
    <row r="101" spans="2:53">
      <c r="B101" s="570"/>
      <c r="C101" s="420">
        <v>15</v>
      </c>
      <c r="D101" s="226"/>
      <c r="E101" s="425"/>
      <c r="F101" s="418"/>
      <c r="G101" s="419"/>
      <c r="H101" s="639"/>
      <c r="I101" s="420"/>
      <c r="J101" s="420"/>
      <c r="K101" s="420"/>
      <c r="L101" s="582"/>
      <c r="M101" s="426" t="e">
        <f>RANK(K101, K$47:$K$61)</f>
        <v>#N/A</v>
      </c>
      <c r="N101" s="564"/>
      <c r="O101" s="564"/>
      <c r="P101" s="420"/>
      <c r="Q101" s="426"/>
      <c r="R101" s="426"/>
      <c r="S101" s="420" t="e">
        <f t="shared" si="67"/>
        <v>#N/A</v>
      </c>
      <c r="T101" s="572"/>
      <c r="U101" s="420"/>
      <c r="V101" s="426"/>
      <c r="W101" s="426"/>
      <c r="X101" s="420" t="e">
        <f t="shared" si="68"/>
        <v>#N/A</v>
      </c>
      <c r="Y101" s="572"/>
      <c r="Z101" s="420"/>
      <c r="AA101" s="426"/>
      <c r="AB101" s="426"/>
      <c r="AC101" s="420" t="e">
        <f t="shared" si="69"/>
        <v>#N/A</v>
      </c>
      <c r="AD101" s="572"/>
      <c r="AE101" s="420"/>
      <c r="AF101" s="426"/>
      <c r="AG101" s="426"/>
      <c r="AH101" s="420" t="e">
        <f t="shared" si="70"/>
        <v>#N/A</v>
      </c>
      <c r="AI101" s="572"/>
      <c r="AJ101" s="420"/>
      <c r="AK101" s="426"/>
      <c r="AL101" s="426"/>
      <c r="AM101" s="420" t="e">
        <f t="shared" si="71"/>
        <v>#N/A</v>
      </c>
      <c r="AN101" s="572"/>
      <c r="AO101" s="420"/>
      <c r="AP101" s="426"/>
      <c r="AQ101" s="426"/>
      <c r="AR101" s="420" t="e">
        <f t="shared" si="72"/>
        <v>#N/A</v>
      </c>
      <c r="AS101" s="572"/>
      <c r="AT101" s="418"/>
      <c r="AU101" s="425"/>
      <c r="AV101" s="419"/>
      <c r="AW101" s="420" t="e">
        <f t="shared" si="73"/>
        <v>#N/A</v>
      </c>
      <c r="AX101" s="572"/>
      <c r="AZ101" s="407" t="e">
        <f t="shared" si="65"/>
        <v>#N/A</v>
      </c>
      <c r="BA101" s="565"/>
    </row>
    <row r="102" spans="2:53" ht="15.75">
      <c r="B102" s="593" t="s">
        <v>163</v>
      </c>
      <c r="C102" s="594"/>
      <c r="D102" s="594"/>
      <c r="E102" s="594"/>
      <c r="F102" s="594"/>
      <c r="G102" s="594"/>
      <c r="H102" s="595"/>
      <c r="I102" s="208"/>
      <c r="J102" s="208"/>
      <c r="K102" s="208"/>
      <c r="L102" s="208"/>
      <c r="M102" s="207"/>
      <c r="N102" s="566" t="s">
        <v>156</v>
      </c>
      <c r="O102" s="566" t="s">
        <v>105</v>
      </c>
      <c r="P102" s="592">
        <f>P82+7</f>
        <v>46175</v>
      </c>
      <c r="Q102" s="570"/>
      <c r="R102" s="570"/>
      <c r="S102" s="570"/>
      <c r="T102" s="570"/>
      <c r="U102" s="589">
        <f>P102+1</f>
        <v>46176</v>
      </c>
      <c r="V102" s="590"/>
      <c r="W102" s="590"/>
      <c r="X102" s="590"/>
      <c r="Y102" s="591"/>
      <c r="Z102" s="589">
        <f>U102+1</f>
        <v>46177</v>
      </c>
      <c r="AA102" s="590"/>
      <c r="AB102" s="590"/>
      <c r="AC102" s="590"/>
      <c r="AD102" s="591"/>
      <c r="AE102" s="589">
        <f>Z102+1</f>
        <v>46178</v>
      </c>
      <c r="AF102" s="590"/>
      <c r="AG102" s="590"/>
      <c r="AH102" s="590"/>
      <c r="AI102" s="591"/>
      <c r="AJ102" s="589">
        <f>AE102+1</f>
        <v>46179</v>
      </c>
      <c r="AK102" s="590"/>
      <c r="AL102" s="590"/>
      <c r="AM102" s="590"/>
      <c r="AN102" s="591"/>
      <c r="AO102" s="589">
        <f>AJ102+1</f>
        <v>46180</v>
      </c>
      <c r="AP102" s="590"/>
      <c r="AQ102" s="590"/>
      <c r="AR102" s="590"/>
      <c r="AS102" s="591"/>
      <c r="AT102" s="589">
        <f>AO102+1</f>
        <v>46181</v>
      </c>
      <c r="AU102" s="590"/>
      <c r="AV102" s="590"/>
      <c r="AW102" s="590"/>
      <c r="AX102" s="591"/>
    </row>
    <row r="103" spans="2:53" ht="15.75">
      <c r="B103" s="596"/>
      <c r="C103" s="596"/>
      <c r="D103" s="596"/>
      <c r="E103" s="596"/>
      <c r="F103" s="596"/>
      <c r="G103" s="596"/>
      <c r="H103" s="596"/>
      <c r="I103" s="205"/>
      <c r="J103" s="205"/>
      <c r="K103" s="205"/>
      <c r="L103" s="205"/>
      <c r="M103" s="206"/>
      <c r="N103" s="568"/>
      <c r="O103" s="568"/>
      <c r="P103" s="592" t="s">
        <v>158</v>
      </c>
      <c r="Q103" s="570"/>
      <c r="R103" s="570"/>
      <c r="S103" s="570"/>
      <c r="T103" s="570"/>
      <c r="U103" s="592" t="s">
        <v>114</v>
      </c>
      <c r="V103" s="570"/>
      <c r="W103" s="570"/>
      <c r="X103" s="570"/>
      <c r="Y103" s="570"/>
      <c r="Z103" s="592" t="s">
        <v>159</v>
      </c>
      <c r="AA103" s="570"/>
      <c r="AB103" s="570"/>
      <c r="AC103" s="570"/>
      <c r="AD103" s="570"/>
      <c r="AE103" s="592" t="s">
        <v>157</v>
      </c>
      <c r="AF103" s="570"/>
      <c r="AG103" s="570"/>
      <c r="AH103" s="570"/>
      <c r="AI103" s="570"/>
      <c r="AJ103" s="592" t="s">
        <v>160</v>
      </c>
      <c r="AK103" s="570"/>
      <c r="AL103" s="570"/>
      <c r="AM103" s="570"/>
      <c r="AN103" s="570"/>
      <c r="AO103" s="592" t="s">
        <v>115</v>
      </c>
      <c r="AP103" s="570"/>
      <c r="AQ103" s="570"/>
      <c r="AR103" s="570"/>
      <c r="AS103" s="570"/>
      <c r="AT103" s="592" t="s">
        <v>162</v>
      </c>
      <c r="AU103" s="570"/>
      <c r="AV103" s="570"/>
      <c r="AW103" s="570"/>
      <c r="AX103" s="570"/>
    </row>
    <row r="104" spans="2:53">
      <c r="B104" s="564" t="s">
        <v>559</v>
      </c>
      <c r="C104" s="564" t="s">
        <v>560</v>
      </c>
      <c r="D104" s="564"/>
      <c r="E104" s="564" t="s">
        <v>561</v>
      </c>
      <c r="F104" s="564"/>
      <c r="G104" s="564"/>
      <c r="H104" s="597" t="s">
        <v>562</v>
      </c>
      <c r="I104" s="564" t="s">
        <v>563</v>
      </c>
      <c r="J104" s="564"/>
      <c r="K104" s="564"/>
      <c r="L104" s="597" t="s">
        <v>374</v>
      </c>
      <c r="M104" s="566" t="s">
        <v>564</v>
      </c>
      <c r="N104" s="564"/>
      <c r="O104" s="564" t="s">
        <v>550</v>
      </c>
      <c r="P104" s="583" t="s">
        <v>551</v>
      </c>
      <c r="Q104" s="584"/>
      <c r="R104" s="584"/>
      <c r="S104" s="585"/>
      <c r="T104" s="564" t="s">
        <v>547</v>
      </c>
      <c r="U104" s="583" t="s">
        <v>551</v>
      </c>
      <c r="V104" s="584"/>
      <c r="W104" s="584"/>
      <c r="X104" s="585"/>
      <c r="Y104" s="564" t="s">
        <v>547</v>
      </c>
      <c r="Z104" s="583" t="s">
        <v>551</v>
      </c>
      <c r="AA104" s="584"/>
      <c r="AB104" s="584"/>
      <c r="AC104" s="585"/>
      <c r="AD104" s="564" t="s">
        <v>547</v>
      </c>
      <c r="AE104" s="583" t="s">
        <v>551</v>
      </c>
      <c r="AF104" s="584"/>
      <c r="AG104" s="584"/>
      <c r="AH104" s="585"/>
      <c r="AI104" s="564" t="s">
        <v>547</v>
      </c>
      <c r="AJ104" s="583" t="s">
        <v>551</v>
      </c>
      <c r="AK104" s="584"/>
      <c r="AL104" s="584"/>
      <c r="AM104" s="585"/>
      <c r="AN104" s="564" t="s">
        <v>547</v>
      </c>
      <c r="AO104" s="583" t="s">
        <v>551</v>
      </c>
      <c r="AP104" s="584"/>
      <c r="AQ104" s="584"/>
      <c r="AR104" s="585"/>
      <c r="AS104" s="564" t="s">
        <v>547</v>
      </c>
      <c r="AT104" s="583" t="s">
        <v>551</v>
      </c>
      <c r="AU104" s="584"/>
      <c r="AV104" s="584"/>
      <c r="AW104" s="585"/>
      <c r="AX104" s="564" t="s">
        <v>547</v>
      </c>
      <c r="BA104" s="564" t="s">
        <v>374</v>
      </c>
    </row>
    <row r="105" spans="2:53">
      <c r="B105" s="564"/>
      <c r="C105" s="564"/>
      <c r="D105" s="564"/>
      <c r="E105" s="564" t="s">
        <v>566</v>
      </c>
      <c r="F105" s="564"/>
      <c r="G105" s="564"/>
      <c r="H105" s="598"/>
      <c r="I105" s="564" t="s">
        <v>566</v>
      </c>
      <c r="J105" s="564"/>
      <c r="K105" s="564"/>
      <c r="L105" s="598"/>
      <c r="M105" s="567"/>
      <c r="N105" s="564"/>
      <c r="O105" s="564"/>
      <c r="P105" s="583" t="s">
        <v>553</v>
      </c>
      <c r="Q105" s="584"/>
      <c r="R105" s="584"/>
      <c r="S105" s="585"/>
      <c r="T105" s="564"/>
      <c r="U105" s="583" t="s">
        <v>553</v>
      </c>
      <c r="V105" s="584"/>
      <c r="W105" s="584"/>
      <c r="X105" s="585"/>
      <c r="Y105" s="564"/>
      <c r="Z105" s="583" t="s">
        <v>553</v>
      </c>
      <c r="AA105" s="584"/>
      <c r="AB105" s="584"/>
      <c r="AC105" s="585"/>
      <c r="AD105" s="564"/>
      <c r="AE105" s="583" t="s">
        <v>553</v>
      </c>
      <c r="AF105" s="584"/>
      <c r="AG105" s="584"/>
      <c r="AH105" s="585"/>
      <c r="AI105" s="564"/>
      <c r="AJ105" s="583" t="s">
        <v>553</v>
      </c>
      <c r="AK105" s="584"/>
      <c r="AL105" s="584"/>
      <c r="AM105" s="585"/>
      <c r="AN105" s="564"/>
      <c r="AO105" s="583" t="s">
        <v>553</v>
      </c>
      <c r="AP105" s="584"/>
      <c r="AQ105" s="584"/>
      <c r="AR105" s="585"/>
      <c r="AS105" s="564"/>
      <c r="AT105" s="583" t="s">
        <v>553</v>
      </c>
      <c r="AU105" s="584"/>
      <c r="AV105" s="584"/>
      <c r="AW105" s="585"/>
      <c r="AX105" s="564"/>
      <c r="BA105" s="564"/>
    </row>
    <row r="106" spans="2:53">
      <c r="B106" s="564"/>
      <c r="C106" s="564"/>
      <c r="D106" s="564"/>
      <c r="E106" s="366" t="s">
        <v>567</v>
      </c>
      <c r="F106" s="366" t="s">
        <v>568</v>
      </c>
      <c r="G106" s="366" t="s">
        <v>569</v>
      </c>
      <c r="H106" s="599"/>
      <c r="I106" s="366" t="s">
        <v>567</v>
      </c>
      <c r="J106" s="366" t="s">
        <v>568</v>
      </c>
      <c r="K106" s="366" t="s">
        <v>569</v>
      </c>
      <c r="L106" s="599"/>
      <c r="M106" s="568"/>
      <c r="N106" s="564"/>
      <c r="O106" s="564"/>
      <c r="P106" s="366" t="s">
        <v>554</v>
      </c>
      <c r="Q106" s="366" t="s">
        <v>555</v>
      </c>
      <c r="R106" s="366" t="s">
        <v>556</v>
      </c>
      <c r="S106" s="366" t="s">
        <v>549</v>
      </c>
      <c r="T106" s="564"/>
      <c r="U106" s="366" t="s">
        <v>554</v>
      </c>
      <c r="V106" s="366" t="s">
        <v>555</v>
      </c>
      <c r="W106" s="366" t="s">
        <v>556</v>
      </c>
      <c r="X106" s="366" t="s">
        <v>549</v>
      </c>
      <c r="Y106" s="564"/>
      <c r="Z106" s="366" t="s">
        <v>554</v>
      </c>
      <c r="AA106" s="366" t="s">
        <v>555</v>
      </c>
      <c r="AB106" s="366" t="s">
        <v>556</v>
      </c>
      <c r="AC106" s="366" t="s">
        <v>549</v>
      </c>
      <c r="AD106" s="564"/>
      <c r="AE106" s="366" t="s">
        <v>554</v>
      </c>
      <c r="AF106" s="366" t="s">
        <v>555</v>
      </c>
      <c r="AG106" s="366" t="s">
        <v>556</v>
      </c>
      <c r="AH106" s="366" t="s">
        <v>549</v>
      </c>
      <c r="AI106" s="564"/>
      <c r="AJ106" s="366" t="s">
        <v>554</v>
      </c>
      <c r="AK106" s="366" t="s">
        <v>555</v>
      </c>
      <c r="AL106" s="366" t="s">
        <v>556</v>
      </c>
      <c r="AM106" s="366" t="s">
        <v>549</v>
      </c>
      <c r="AN106" s="564"/>
      <c r="AO106" s="366" t="s">
        <v>554</v>
      </c>
      <c r="AP106" s="366" t="s">
        <v>555</v>
      </c>
      <c r="AQ106" s="366" t="s">
        <v>556</v>
      </c>
      <c r="AR106" s="366" t="s">
        <v>549</v>
      </c>
      <c r="AS106" s="564"/>
      <c r="AT106" s="366" t="s">
        <v>554</v>
      </c>
      <c r="AU106" s="366" t="s">
        <v>555</v>
      </c>
      <c r="AV106" s="366" t="s">
        <v>556</v>
      </c>
      <c r="AW106" s="366" t="s">
        <v>549</v>
      </c>
      <c r="AX106" s="564"/>
      <c r="AZ106" s="406" t="s">
        <v>549</v>
      </c>
      <c r="BA106" s="564"/>
    </row>
    <row r="107" spans="2:53">
      <c r="B107" s="564" t="s">
        <v>136</v>
      </c>
      <c r="C107" s="371">
        <v>1</v>
      </c>
      <c r="D107" s="226"/>
      <c r="E107" s="182"/>
      <c r="F107" s="379"/>
      <c r="G107" s="380"/>
      <c r="H107" s="578" t="e">
        <f>AVERAGE(G107:G121)</f>
        <v>#DIV/0!</v>
      </c>
      <c r="I107" s="400" t="str">
        <f t="shared" ref="I107:I120" si="74">IFERROR(AVERAGE(P107,U107,Z107,AE107,AJ107,AO107,AT107),"-")</f>
        <v>-</v>
      </c>
      <c r="J107" s="400" t="str">
        <f t="shared" ref="J107:J120" si="75">IFERROR(AVERAGE(Q107,V107,AA107,AF107,AK107,AP107,AU107),"-")</f>
        <v>-</v>
      </c>
      <c r="K107" s="200" t="str">
        <f t="shared" ref="K107:K120" si="76">IFERROR(AVERAGE(R107,W107,AB107,AG107,AL107,AQ107,AV107),"-")</f>
        <v>-</v>
      </c>
      <c r="L107" s="580" t="str">
        <f>IFERROR(AVERAGE(K107:K121),"-")</f>
        <v>-</v>
      </c>
      <c r="M107" s="372" t="e">
        <f>RANK(K107, K$67:$K$81)</f>
        <v>#VALUE!</v>
      </c>
      <c r="N107" s="564"/>
      <c r="O107" s="564"/>
      <c r="P107" s="371"/>
      <c r="Q107" s="372"/>
      <c r="R107" s="372"/>
      <c r="S107" s="371" t="e">
        <f>RANK(R107, R$67:R$81)</f>
        <v>#N/A</v>
      </c>
      <c r="T107" s="572" t="e">
        <f>AVERAGE(R107:R121)</f>
        <v>#DIV/0!</v>
      </c>
      <c r="U107" s="381"/>
      <c r="V107" s="382"/>
      <c r="W107" s="382"/>
      <c r="X107" s="371" t="e">
        <f>RANK(W107, W$67:W$81)</f>
        <v>#N/A</v>
      </c>
      <c r="Y107" s="572" t="e">
        <f>AVERAGE(W107:W121)</f>
        <v>#DIV/0!</v>
      </c>
      <c r="Z107" s="381"/>
      <c r="AA107" s="382"/>
      <c r="AB107" s="382"/>
      <c r="AC107" s="371" t="e">
        <f>RANK(AB107, AB$67:AB$81)</f>
        <v>#N/A</v>
      </c>
      <c r="AD107" s="572" t="e">
        <f>AVERAGE(AB107:AB121)</f>
        <v>#DIV/0!</v>
      </c>
      <c r="AE107" s="381"/>
      <c r="AF107" s="382"/>
      <c r="AG107" s="382"/>
      <c r="AH107" s="371" t="e">
        <f>RANK(AG107, AG$67:AG$81)</f>
        <v>#N/A</v>
      </c>
      <c r="AI107" s="572" t="e">
        <f>AVERAGE(AG107:AG121)</f>
        <v>#DIV/0!</v>
      </c>
      <c r="AJ107" s="381"/>
      <c r="AK107" s="382"/>
      <c r="AL107" s="382"/>
      <c r="AM107" s="371" t="e">
        <f>RANK(AL107, AL$67:AL$81)</f>
        <v>#N/A</v>
      </c>
      <c r="AN107" s="572" t="e">
        <f>AVERAGE(AL107:AL121)</f>
        <v>#DIV/0!</v>
      </c>
      <c r="AO107" s="381"/>
      <c r="AP107" s="382"/>
      <c r="AQ107" s="382"/>
      <c r="AR107" s="371" t="e">
        <f>RANK(AQ107, AQ$67:AQ$81)</f>
        <v>#N/A</v>
      </c>
      <c r="AS107" s="572" t="e">
        <f>AVERAGE(AQ107:AQ121)</f>
        <v>#DIV/0!</v>
      </c>
      <c r="AT107" s="182"/>
      <c r="AU107" s="182"/>
      <c r="AV107" s="380"/>
      <c r="AW107" s="371" t="e">
        <f>RANK(AV107, AV$67:AV$81)</f>
        <v>#N/A</v>
      </c>
      <c r="AX107" s="572" t="e">
        <f>AVERAGE(AV107:AV121)</f>
        <v>#DIV/0!</v>
      </c>
      <c r="AZ107" s="408" t="e">
        <f>RANK(AY107, AY$67:AY$81)</f>
        <v>#N/A</v>
      </c>
      <c r="BA107" s="572" t="e">
        <f>AVERAGE(AY107:AY121)</f>
        <v>#DIV/0!</v>
      </c>
    </row>
    <row r="108" spans="2:53">
      <c r="B108" s="600"/>
      <c r="C108" s="371">
        <v>2</v>
      </c>
      <c r="D108" s="226"/>
      <c r="E108" s="182"/>
      <c r="F108" s="379"/>
      <c r="G108" s="380"/>
      <c r="H108" s="579"/>
      <c r="I108" s="400" t="str">
        <f t="shared" si="74"/>
        <v>-</v>
      </c>
      <c r="J108" s="400" t="str">
        <f t="shared" si="75"/>
        <v>-</v>
      </c>
      <c r="K108" s="200" t="str">
        <f t="shared" si="76"/>
        <v>-</v>
      </c>
      <c r="L108" s="581"/>
      <c r="M108" s="372" t="e">
        <f>RANK(K108, K$67:$K$81)</f>
        <v>#VALUE!</v>
      </c>
      <c r="N108" s="564"/>
      <c r="O108" s="564"/>
      <c r="P108" s="371"/>
      <c r="Q108" s="372"/>
      <c r="R108" s="372"/>
      <c r="S108" s="371" t="e">
        <f t="shared" ref="S108:S121" si="77">RANK(R108, R$67:R$81)</f>
        <v>#N/A</v>
      </c>
      <c r="T108" s="572"/>
      <c r="U108" s="381"/>
      <c r="V108" s="382"/>
      <c r="W108" s="382"/>
      <c r="X108" s="371" t="e">
        <f t="shared" ref="X108:X121" si="78">RANK(W108, W$67:W$81)</f>
        <v>#N/A</v>
      </c>
      <c r="Y108" s="572"/>
      <c r="Z108" s="381"/>
      <c r="AA108" s="382"/>
      <c r="AB108" s="382"/>
      <c r="AC108" s="371" t="e">
        <f t="shared" ref="AC108:AC121" si="79">RANK(AB108, AB$67:AB$81)</f>
        <v>#N/A</v>
      </c>
      <c r="AD108" s="572"/>
      <c r="AE108" s="381"/>
      <c r="AF108" s="382"/>
      <c r="AG108" s="382"/>
      <c r="AH108" s="371" t="e">
        <f t="shared" ref="AH108:AH121" si="80">RANK(AG108, AG$67:AG$81)</f>
        <v>#N/A</v>
      </c>
      <c r="AI108" s="572"/>
      <c r="AJ108" s="381"/>
      <c r="AK108" s="382"/>
      <c r="AL108" s="382"/>
      <c r="AM108" s="371" t="e">
        <f t="shared" ref="AM108:AM121" si="81">RANK(AL108, AL$67:AL$81)</f>
        <v>#N/A</v>
      </c>
      <c r="AN108" s="572"/>
      <c r="AO108" s="381"/>
      <c r="AP108" s="382"/>
      <c r="AQ108" s="382"/>
      <c r="AR108" s="371" t="e">
        <f t="shared" ref="AR108:AR121" si="82">RANK(AQ108, AQ$67:AQ$81)</f>
        <v>#N/A</v>
      </c>
      <c r="AS108" s="572"/>
      <c r="AT108" s="379"/>
      <c r="AU108" s="182"/>
      <c r="AV108" s="380"/>
      <c r="AW108" s="371" t="e">
        <f t="shared" ref="AW108:AW121" si="83">RANK(AV108, AV$67:AV$81)</f>
        <v>#N/A</v>
      </c>
      <c r="AX108" s="572"/>
      <c r="AZ108" s="408" t="e">
        <f t="shared" ref="AZ108:AZ121" si="84">RANK(AY108, AY$67:AY$81)</f>
        <v>#N/A</v>
      </c>
      <c r="BA108" s="572"/>
    </row>
    <row r="109" spans="2:53">
      <c r="B109" s="600"/>
      <c r="C109" s="371">
        <v>3</v>
      </c>
      <c r="D109" s="226"/>
      <c r="E109" s="182"/>
      <c r="F109" s="379"/>
      <c r="G109" s="380"/>
      <c r="H109" s="579"/>
      <c r="I109" s="400" t="str">
        <f t="shared" si="74"/>
        <v>-</v>
      </c>
      <c r="J109" s="400" t="str">
        <f t="shared" si="75"/>
        <v>-</v>
      </c>
      <c r="K109" s="200" t="str">
        <f t="shared" si="76"/>
        <v>-</v>
      </c>
      <c r="L109" s="581"/>
      <c r="M109" s="372" t="e">
        <f>RANK(K109, K$67:$K$81)</f>
        <v>#VALUE!</v>
      </c>
      <c r="N109" s="564"/>
      <c r="O109" s="564"/>
      <c r="P109" s="371"/>
      <c r="Q109" s="372"/>
      <c r="R109" s="372"/>
      <c r="S109" s="371" t="e">
        <f t="shared" si="77"/>
        <v>#N/A</v>
      </c>
      <c r="T109" s="572"/>
      <c r="U109" s="381"/>
      <c r="V109" s="382"/>
      <c r="W109" s="382"/>
      <c r="X109" s="371" t="e">
        <f t="shared" si="78"/>
        <v>#N/A</v>
      </c>
      <c r="Y109" s="572"/>
      <c r="Z109" s="381"/>
      <c r="AA109" s="382"/>
      <c r="AB109" s="382"/>
      <c r="AC109" s="371" t="e">
        <f t="shared" si="79"/>
        <v>#N/A</v>
      </c>
      <c r="AD109" s="572"/>
      <c r="AE109" s="381"/>
      <c r="AF109" s="382"/>
      <c r="AG109" s="382"/>
      <c r="AH109" s="371" t="e">
        <f t="shared" si="80"/>
        <v>#N/A</v>
      </c>
      <c r="AI109" s="572"/>
      <c r="AJ109" s="381"/>
      <c r="AK109" s="382"/>
      <c r="AL109" s="382"/>
      <c r="AM109" s="371" t="e">
        <f t="shared" si="81"/>
        <v>#N/A</v>
      </c>
      <c r="AN109" s="572"/>
      <c r="AO109" s="381"/>
      <c r="AP109" s="382"/>
      <c r="AQ109" s="382"/>
      <c r="AR109" s="371" t="e">
        <f t="shared" si="82"/>
        <v>#N/A</v>
      </c>
      <c r="AS109" s="572"/>
      <c r="AT109" s="379"/>
      <c r="AU109" s="182"/>
      <c r="AV109" s="380"/>
      <c r="AW109" s="371" t="e">
        <f t="shared" si="83"/>
        <v>#N/A</v>
      </c>
      <c r="AX109" s="572"/>
      <c r="AZ109" s="408" t="e">
        <f t="shared" si="84"/>
        <v>#N/A</v>
      </c>
      <c r="BA109" s="572"/>
    </row>
    <row r="110" spans="2:53">
      <c r="B110" s="600"/>
      <c r="C110" s="371">
        <v>4</v>
      </c>
      <c r="D110" s="226"/>
      <c r="E110" s="182"/>
      <c r="F110" s="379"/>
      <c r="G110" s="380"/>
      <c r="H110" s="579"/>
      <c r="I110" s="400" t="str">
        <f t="shared" si="74"/>
        <v>-</v>
      </c>
      <c r="J110" s="400" t="str">
        <f t="shared" si="75"/>
        <v>-</v>
      </c>
      <c r="K110" s="200" t="str">
        <f t="shared" si="76"/>
        <v>-</v>
      </c>
      <c r="L110" s="581"/>
      <c r="M110" s="372" t="e">
        <f>RANK(K110, K$67:$K$81)</f>
        <v>#VALUE!</v>
      </c>
      <c r="N110" s="564"/>
      <c r="O110" s="564"/>
      <c r="P110" s="371"/>
      <c r="Q110" s="372"/>
      <c r="R110" s="372"/>
      <c r="S110" s="371" t="e">
        <f t="shared" si="77"/>
        <v>#N/A</v>
      </c>
      <c r="T110" s="572"/>
      <c r="U110" s="381"/>
      <c r="V110" s="382"/>
      <c r="W110" s="382"/>
      <c r="X110" s="371" t="e">
        <f t="shared" si="78"/>
        <v>#N/A</v>
      </c>
      <c r="Y110" s="572"/>
      <c r="Z110" s="381"/>
      <c r="AA110" s="382"/>
      <c r="AB110" s="382"/>
      <c r="AC110" s="371" t="e">
        <f t="shared" si="79"/>
        <v>#N/A</v>
      </c>
      <c r="AD110" s="572"/>
      <c r="AE110" s="381"/>
      <c r="AF110" s="382"/>
      <c r="AG110" s="382"/>
      <c r="AH110" s="371" t="e">
        <f t="shared" si="80"/>
        <v>#N/A</v>
      </c>
      <c r="AI110" s="572"/>
      <c r="AJ110" s="381"/>
      <c r="AK110" s="382"/>
      <c r="AL110" s="382"/>
      <c r="AM110" s="371" t="e">
        <f t="shared" si="81"/>
        <v>#N/A</v>
      </c>
      <c r="AN110" s="572"/>
      <c r="AO110" s="381"/>
      <c r="AP110" s="382"/>
      <c r="AQ110" s="382"/>
      <c r="AR110" s="371" t="e">
        <f t="shared" si="82"/>
        <v>#N/A</v>
      </c>
      <c r="AS110" s="572"/>
      <c r="AT110" s="379"/>
      <c r="AU110" s="182"/>
      <c r="AV110" s="380"/>
      <c r="AW110" s="371" t="e">
        <f t="shared" si="83"/>
        <v>#N/A</v>
      </c>
      <c r="AX110" s="572"/>
      <c r="AZ110" s="408" t="e">
        <f t="shared" si="84"/>
        <v>#N/A</v>
      </c>
      <c r="BA110" s="572"/>
    </row>
    <row r="111" spans="2:53">
      <c r="B111" s="600"/>
      <c r="C111" s="371">
        <v>5</v>
      </c>
      <c r="D111" s="226"/>
      <c r="E111" s="182"/>
      <c r="F111" s="379"/>
      <c r="G111" s="380"/>
      <c r="H111" s="579"/>
      <c r="I111" s="400" t="str">
        <f t="shared" si="74"/>
        <v>-</v>
      </c>
      <c r="J111" s="400" t="str">
        <f t="shared" si="75"/>
        <v>-</v>
      </c>
      <c r="K111" s="200" t="str">
        <f t="shared" si="76"/>
        <v>-</v>
      </c>
      <c r="L111" s="581"/>
      <c r="M111" s="372" t="e">
        <f>RANK(K111, K$67:$K$81)</f>
        <v>#VALUE!</v>
      </c>
      <c r="N111" s="564"/>
      <c r="O111" s="564"/>
      <c r="P111" s="371"/>
      <c r="Q111" s="372"/>
      <c r="R111" s="372"/>
      <c r="S111" s="371" t="e">
        <f t="shared" si="77"/>
        <v>#N/A</v>
      </c>
      <c r="T111" s="572"/>
      <c r="U111" s="381"/>
      <c r="V111" s="382"/>
      <c r="W111" s="382"/>
      <c r="X111" s="371" t="e">
        <f t="shared" si="78"/>
        <v>#N/A</v>
      </c>
      <c r="Y111" s="572"/>
      <c r="Z111" s="381"/>
      <c r="AA111" s="382"/>
      <c r="AB111" s="382"/>
      <c r="AC111" s="371" t="e">
        <f t="shared" si="79"/>
        <v>#N/A</v>
      </c>
      <c r="AD111" s="572"/>
      <c r="AE111" s="381"/>
      <c r="AF111" s="382"/>
      <c r="AG111" s="382"/>
      <c r="AH111" s="371" t="e">
        <f t="shared" si="80"/>
        <v>#N/A</v>
      </c>
      <c r="AI111" s="572"/>
      <c r="AJ111" s="381"/>
      <c r="AK111" s="382"/>
      <c r="AL111" s="382"/>
      <c r="AM111" s="371" t="e">
        <f t="shared" si="81"/>
        <v>#N/A</v>
      </c>
      <c r="AN111" s="572"/>
      <c r="AO111" s="381"/>
      <c r="AP111" s="382"/>
      <c r="AQ111" s="382"/>
      <c r="AR111" s="371" t="e">
        <f t="shared" si="82"/>
        <v>#N/A</v>
      </c>
      <c r="AS111" s="572"/>
      <c r="AT111" s="379"/>
      <c r="AU111" s="182"/>
      <c r="AV111" s="380"/>
      <c r="AW111" s="371" t="e">
        <f t="shared" si="83"/>
        <v>#N/A</v>
      </c>
      <c r="AX111" s="572"/>
      <c r="AZ111" s="408" t="e">
        <f t="shared" si="84"/>
        <v>#N/A</v>
      </c>
      <c r="BA111" s="572"/>
    </row>
    <row r="112" spans="2:53">
      <c r="B112" s="600"/>
      <c r="C112" s="371">
        <v>6</v>
      </c>
      <c r="D112" s="226"/>
      <c r="E112" s="182"/>
      <c r="F112" s="379"/>
      <c r="G112" s="380"/>
      <c r="H112" s="579"/>
      <c r="I112" s="400" t="str">
        <f t="shared" si="74"/>
        <v>-</v>
      </c>
      <c r="J112" s="400" t="str">
        <f t="shared" si="75"/>
        <v>-</v>
      </c>
      <c r="K112" s="200" t="str">
        <f t="shared" si="76"/>
        <v>-</v>
      </c>
      <c r="L112" s="581"/>
      <c r="M112" s="372" t="e">
        <f>RANK(K112, K$67:$K$81)</f>
        <v>#VALUE!</v>
      </c>
      <c r="N112" s="564"/>
      <c r="O112" s="564"/>
      <c r="P112" s="371"/>
      <c r="Q112" s="372"/>
      <c r="R112" s="372"/>
      <c r="S112" s="371" t="e">
        <f t="shared" si="77"/>
        <v>#N/A</v>
      </c>
      <c r="T112" s="572"/>
      <c r="U112" s="381"/>
      <c r="V112" s="382"/>
      <c r="W112" s="382"/>
      <c r="X112" s="371" t="e">
        <f t="shared" si="78"/>
        <v>#N/A</v>
      </c>
      <c r="Y112" s="572"/>
      <c r="Z112" s="381"/>
      <c r="AA112" s="382"/>
      <c r="AB112" s="382"/>
      <c r="AC112" s="371" t="e">
        <f t="shared" si="79"/>
        <v>#N/A</v>
      </c>
      <c r="AD112" s="572"/>
      <c r="AE112" s="381"/>
      <c r="AF112" s="382"/>
      <c r="AG112" s="382"/>
      <c r="AH112" s="371" t="e">
        <f t="shared" si="80"/>
        <v>#N/A</v>
      </c>
      <c r="AI112" s="572"/>
      <c r="AJ112" s="381"/>
      <c r="AK112" s="382"/>
      <c r="AL112" s="382"/>
      <c r="AM112" s="371" t="e">
        <f t="shared" si="81"/>
        <v>#N/A</v>
      </c>
      <c r="AN112" s="572"/>
      <c r="AO112" s="381"/>
      <c r="AP112" s="382"/>
      <c r="AQ112" s="382"/>
      <c r="AR112" s="371" t="e">
        <f t="shared" si="82"/>
        <v>#N/A</v>
      </c>
      <c r="AS112" s="572"/>
      <c r="AT112" s="379"/>
      <c r="AU112" s="182"/>
      <c r="AV112" s="380"/>
      <c r="AW112" s="371" t="e">
        <f t="shared" si="83"/>
        <v>#N/A</v>
      </c>
      <c r="AX112" s="572"/>
      <c r="AZ112" s="408" t="e">
        <f t="shared" si="84"/>
        <v>#N/A</v>
      </c>
      <c r="BA112" s="572"/>
    </row>
    <row r="113" spans="2:53">
      <c r="B113" s="600"/>
      <c r="C113" s="371">
        <v>7</v>
      </c>
      <c r="D113" s="226"/>
      <c r="E113" s="182"/>
      <c r="F113" s="379"/>
      <c r="G113" s="380"/>
      <c r="H113" s="579"/>
      <c r="I113" s="400" t="str">
        <f t="shared" si="74"/>
        <v>-</v>
      </c>
      <c r="J113" s="400" t="str">
        <f t="shared" si="75"/>
        <v>-</v>
      </c>
      <c r="K113" s="200" t="str">
        <f t="shared" si="76"/>
        <v>-</v>
      </c>
      <c r="L113" s="581"/>
      <c r="M113" s="372" t="e">
        <f>RANK(K113, K$67:$K$81)</f>
        <v>#VALUE!</v>
      </c>
      <c r="N113" s="564"/>
      <c r="O113" s="564"/>
      <c r="P113" s="371"/>
      <c r="Q113" s="372"/>
      <c r="R113" s="372"/>
      <c r="S113" s="371" t="e">
        <f t="shared" si="77"/>
        <v>#N/A</v>
      </c>
      <c r="T113" s="572"/>
      <c r="U113" s="381"/>
      <c r="V113" s="382"/>
      <c r="W113" s="382"/>
      <c r="X113" s="371" t="e">
        <f t="shared" si="78"/>
        <v>#N/A</v>
      </c>
      <c r="Y113" s="572"/>
      <c r="Z113" s="381"/>
      <c r="AA113" s="382"/>
      <c r="AB113" s="382"/>
      <c r="AC113" s="371" t="e">
        <f t="shared" si="79"/>
        <v>#N/A</v>
      </c>
      <c r="AD113" s="572"/>
      <c r="AE113" s="381"/>
      <c r="AF113" s="382"/>
      <c r="AG113" s="382"/>
      <c r="AH113" s="371" t="e">
        <f t="shared" si="80"/>
        <v>#N/A</v>
      </c>
      <c r="AI113" s="572"/>
      <c r="AJ113" s="381"/>
      <c r="AK113" s="382"/>
      <c r="AL113" s="382"/>
      <c r="AM113" s="371" t="e">
        <f t="shared" si="81"/>
        <v>#N/A</v>
      </c>
      <c r="AN113" s="572"/>
      <c r="AO113" s="381"/>
      <c r="AP113" s="382"/>
      <c r="AQ113" s="382"/>
      <c r="AR113" s="371" t="e">
        <f t="shared" si="82"/>
        <v>#N/A</v>
      </c>
      <c r="AS113" s="572"/>
      <c r="AT113" s="379"/>
      <c r="AU113" s="182"/>
      <c r="AV113" s="380"/>
      <c r="AW113" s="371" t="e">
        <f t="shared" si="83"/>
        <v>#N/A</v>
      </c>
      <c r="AX113" s="572"/>
      <c r="AZ113" s="408" t="e">
        <f t="shared" si="84"/>
        <v>#N/A</v>
      </c>
      <c r="BA113" s="572"/>
    </row>
    <row r="114" spans="2:53">
      <c r="B114" s="600"/>
      <c r="C114" s="371">
        <v>8</v>
      </c>
      <c r="D114" s="226"/>
      <c r="E114" s="182"/>
      <c r="F114" s="379"/>
      <c r="G114" s="380"/>
      <c r="H114" s="579"/>
      <c r="I114" s="400" t="str">
        <f t="shared" si="74"/>
        <v>-</v>
      </c>
      <c r="J114" s="400" t="str">
        <f t="shared" si="75"/>
        <v>-</v>
      </c>
      <c r="K114" s="200" t="str">
        <f t="shared" si="76"/>
        <v>-</v>
      </c>
      <c r="L114" s="581"/>
      <c r="M114" s="372" t="e">
        <f>RANK(K114, K$67:$K$81)</f>
        <v>#VALUE!</v>
      </c>
      <c r="N114" s="564"/>
      <c r="O114" s="564"/>
      <c r="P114" s="371"/>
      <c r="Q114" s="372"/>
      <c r="R114" s="372"/>
      <c r="S114" s="371" t="e">
        <f t="shared" si="77"/>
        <v>#N/A</v>
      </c>
      <c r="T114" s="572"/>
      <c r="U114" s="381"/>
      <c r="V114" s="382"/>
      <c r="W114" s="382"/>
      <c r="X114" s="371" t="e">
        <f t="shared" si="78"/>
        <v>#N/A</v>
      </c>
      <c r="Y114" s="572"/>
      <c r="Z114" s="381"/>
      <c r="AA114" s="382"/>
      <c r="AB114" s="382"/>
      <c r="AC114" s="371" t="e">
        <f t="shared" si="79"/>
        <v>#N/A</v>
      </c>
      <c r="AD114" s="572"/>
      <c r="AE114" s="381"/>
      <c r="AF114" s="382"/>
      <c r="AG114" s="382"/>
      <c r="AH114" s="371" t="e">
        <f t="shared" si="80"/>
        <v>#N/A</v>
      </c>
      <c r="AI114" s="572"/>
      <c r="AJ114" s="381"/>
      <c r="AK114" s="382"/>
      <c r="AL114" s="382"/>
      <c r="AM114" s="371" t="e">
        <f t="shared" si="81"/>
        <v>#N/A</v>
      </c>
      <c r="AN114" s="572"/>
      <c r="AO114" s="381"/>
      <c r="AP114" s="382"/>
      <c r="AQ114" s="382"/>
      <c r="AR114" s="371" t="e">
        <f t="shared" si="82"/>
        <v>#N/A</v>
      </c>
      <c r="AS114" s="572"/>
      <c r="AT114" s="379"/>
      <c r="AU114" s="182"/>
      <c r="AV114" s="380"/>
      <c r="AW114" s="371" t="e">
        <f t="shared" si="83"/>
        <v>#N/A</v>
      </c>
      <c r="AX114" s="572"/>
      <c r="AZ114" s="408" t="e">
        <f t="shared" si="84"/>
        <v>#N/A</v>
      </c>
      <c r="BA114" s="572"/>
    </row>
    <row r="115" spans="2:53">
      <c r="B115" s="600"/>
      <c r="C115" s="371">
        <v>9</v>
      </c>
      <c r="D115" s="226"/>
      <c r="E115" s="182"/>
      <c r="F115" s="379"/>
      <c r="G115" s="380"/>
      <c r="H115" s="579"/>
      <c r="I115" s="400" t="str">
        <f t="shared" si="74"/>
        <v>-</v>
      </c>
      <c r="J115" s="400" t="str">
        <f t="shared" si="75"/>
        <v>-</v>
      </c>
      <c r="K115" s="200" t="str">
        <f t="shared" si="76"/>
        <v>-</v>
      </c>
      <c r="L115" s="581"/>
      <c r="M115" s="372" t="e">
        <f>RANK(K115, K$67:$K$81)</f>
        <v>#VALUE!</v>
      </c>
      <c r="N115" s="564"/>
      <c r="O115" s="564"/>
      <c r="P115" s="371"/>
      <c r="Q115" s="372"/>
      <c r="R115" s="372"/>
      <c r="S115" s="371" t="e">
        <f t="shared" si="77"/>
        <v>#N/A</v>
      </c>
      <c r="T115" s="572"/>
      <c r="U115" s="381"/>
      <c r="V115" s="382"/>
      <c r="W115" s="382"/>
      <c r="X115" s="371" t="e">
        <f t="shared" si="78"/>
        <v>#N/A</v>
      </c>
      <c r="Y115" s="572"/>
      <c r="Z115" s="381"/>
      <c r="AA115" s="382"/>
      <c r="AB115" s="382"/>
      <c r="AC115" s="371" t="e">
        <f t="shared" si="79"/>
        <v>#N/A</v>
      </c>
      <c r="AD115" s="572"/>
      <c r="AE115" s="381"/>
      <c r="AF115" s="382"/>
      <c r="AG115" s="382"/>
      <c r="AH115" s="371" t="e">
        <f t="shared" si="80"/>
        <v>#N/A</v>
      </c>
      <c r="AI115" s="572"/>
      <c r="AJ115" s="381"/>
      <c r="AK115" s="382"/>
      <c r="AL115" s="382"/>
      <c r="AM115" s="371" t="e">
        <f t="shared" si="81"/>
        <v>#N/A</v>
      </c>
      <c r="AN115" s="572"/>
      <c r="AO115" s="381"/>
      <c r="AP115" s="382"/>
      <c r="AQ115" s="382"/>
      <c r="AR115" s="371" t="e">
        <f t="shared" si="82"/>
        <v>#N/A</v>
      </c>
      <c r="AS115" s="572"/>
      <c r="AT115" s="379"/>
      <c r="AU115" s="182"/>
      <c r="AV115" s="380"/>
      <c r="AW115" s="371" t="e">
        <f t="shared" si="83"/>
        <v>#N/A</v>
      </c>
      <c r="AX115" s="572"/>
      <c r="AZ115" s="408" t="e">
        <f t="shared" si="84"/>
        <v>#N/A</v>
      </c>
      <c r="BA115" s="572"/>
    </row>
    <row r="116" spans="2:53">
      <c r="B116" s="600"/>
      <c r="C116" s="371">
        <v>10</v>
      </c>
      <c r="D116" s="226"/>
      <c r="E116" s="182"/>
      <c r="F116" s="379"/>
      <c r="G116" s="380"/>
      <c r="H116" s="579"/>
      <c r="I116" s="400" t="str">
        <f t="shared" si="74"/>
        <v>-</v>
      </c>
      <c r="J116" s="400" t="str">
        <f t="shared" si="75"/>
        <v>-</v>
      </c>
      <c r="K116" s="200" t="str">
        <f t="shared" si="76"/>
        <v>-</v>
      </c>
      <c r="L116" s="581"/>
      <c r="M116" s="372" t="e">
        <f>RANK(K116, K$67:$K$81)</f>
        <v>#VALUE!</v>
      </c>
      <c r="N116" s="564"/>
      <c r="O116" s="564"/>
      <c r="P116" s="371"/>
      <c r="Q116" s="372"/>
      <c r="R116" s="372"/>
      <c r="S116" s="371" t="e">
        <f t="shared" si="77"/>
        <v>#N/A</v>
      </c>
      <c r="T116" s="572"/>
      <c r="U116" s="381"/>
      <c r="V116" s="382"/>
      <c r="W116" s="382"/>
      <c r="X116" s="371" t="e">
        <f t="shared" si="78"/>
        <v>#N/A</v>
      </c>
      <c r="Y116" s="572"/>
      <c r="Z116" s="381"/>
      <c r="AA116" s="382"/>
      <c r="AB116" s="382"/>
      <c r="AC116" s="371" t="e">
        <f t="shared" si="79"/>
        <v>#N/A</v>
      </c>
      <c r="AD116" s="572"/>
      <c r="AE116" s="381"/>
      <c r="AF116" s="382"/>
      <c r="AG116" s="382"/>
      <c r="AH116" s="371" t="e">
        <f t="shared" si="80"/>
        <v>#N/A</v>
      </c>
      <c r="AI116" s="572"/>
      <c r="AJ116" s="381"/>
      <c r="AK116" s="382"/>
      <c r="AL116" s="382"/>
      <c r="AM116" s="371" t="e">
        <f t="shared" si="81"/>
        <v>#N/A</v>
      </c>
      <c r="AN116" s="572"/>
      <c r="AO116" s="381"/>
      <c r="AP116" s="382"/>
      <c r="AQ116" s="382"/>
      <c r="AR116" s="371" t="e">
        <f t="shared" si="82"/>
        <v>#N/A</v>
      </c>
      <c r="AS116" s="572"/>
      <c r="AT116" s="379"/>
      <c r="AU116" s="182"/>
      <c r="AV116" s="380"/>
      <c r="AW116" s="371" t="e">
        <f t="shared" si="83"/>
        <v>#N/A</v>
      </c>
      <c r="AX116" s="572"/>
      <c r="AZ116" s="408" t="e">
        <f t="shared" si="84"/>
        <v>#N/A</v>
      </c>
      <c r="BA116" s="572"/>
    </row>
    <row r="117" spans="2:53">
      <c r="B117" s="600"/>
      <c r="C117" s="371">
        <v>11</v>
      </c>
      <c r="D117" s="226"/>
      <c r="E117" s="182"/>
      <c r="F117" s="379"/>
      <c r="G117" s="380"/>
      <c r="H117" s="579"/>
      <c r="I117" s="400" t="str">
        <f t="shared" si="74"/>
        <v>-</v>
      </c>
      <c r="J117" s="400" t="str">
        <f t="shared" si="75"/>
        <v>-</v>
      </c>
      <c r="K117" s="200" t="str">
        <f t="shared" si="76"/>
        <v>-</v>
      </c>
      <c r="L117" s="581"/>
      <c r="M117" s="372" t="e">
        <f>RANK(K117, K$67:$K$81)</f>
        <v>#VALUE!</v>
      </c>
      <c r="N117" s="564"/>
      <c r="O117" s="564"/>
      <c r="P117" s="371"/>
      <c r="Q117" s="372"/>
      <c r="R117" s="372"/>
      <c r="S117" s="371" t="e">
        <f t="shared" si="77"/>
        <v>#N/A</v>
      </c>
      <c r="T117" s="572"/>
      <c r="U117" s="381"/>
      <c r="V117" s="382"/>
      <c r="W117" s="382"/>
      <c r="X117" s="371" t="e">
        <f t="shared" si="78"/>
        <v>#N/A</v>
      </c>
      <c r="Y117" s="572"/>
      <c r="Z117" s="381"/>
      <c r="AA117" s="382"/>
      <c r="AB117" s="382"/>
      <c r="AC117" s="371" t="e">
        <f t="shared" si="79"/>
        <v>#N/A</v>
      </c>
      <c r="AD117" s="572"/>
      <c r="AE117" s="381"/>
      <c r="AF117" s="382"/>
      <c r="AG117" s="382"/>
      <c r="AH117" s="371" t="e">
        <f t="shared" si="80"/>
        <v>#N/A</v>
      </c>
      <c r="AI117" s="572"/>
      <c r="AJ117" s="381"/>
      <c r="AK117" s="382"/>
      <c r="AL117" s="382"/>
      <c r="AM117" s="371" t="e">
        <f t="shared" si="81"/>
        <v>#N/A</v>
      </c>
      <c r="AN117" s="572"/>
      <c r="AO117" s="381"/>
      <c r="AP117" s="382"/>
      <c r="AQ117" s="382"/>
      <c r="AR117" s="371" t="e">
        <f t="shared" si="82"/>
        <v>#N/A</v>
      </c>
      <c r="AS117" s="572"/>
      <c r="AT117" s="379"/>
      <c r="AU117" s="182"/>
      <c r="AV117" s="380"/>
      <c r="AW117" s="371" t="e">
        <f t="shared" si="83"/>
        <v>#N/A</v>
      </c>
      <c r="AX117" s="572"/>
      <c r="AZ117" s="408" t="e">
        <f t="shared" si="84"/>
        <v>#N/A</v>
      </c>
      <c r="BA117" s="572"/>
    </row>
    <row r="118" spans="2:53">
      <c r="B118" s="600"/>
      <c r="C118" s="371">
        <v>12</v>
      </c>
      <c r="D118" s="226"/>
      <c r="E118" s="182"/>
      <c r="F118" s="379"/>
      <c r="G118" s="380"/>
      <c r="H118" s="579"/>
      <c r="I118" s="400" t="str">
        <f t="shared" si="74"/>
        <v>-</v>
      </c>
      <c r="J118" s="400" t="str">
        <f t="shared" si="75"/>
        <v>-</v>
      </c>
      <c r="K118" s="200" t="str">
        <f t="shared" si="76"/>
        <v>-</v>
      </c>
      <c r="L118" s="581"/>
      <c r="M118" s="372" t="e">
        <f>RANK(K118, K$67:$K$81)</f>
        <v>#VALUE!</v>
      </c>
      <c r="N118" s="564"/>
      <c r="O118" s="564"/>
      <c r="P118" s="371"/>
      <c r="Q118" s="372"/>
      <c r="R118" s="372"/>
      <c r="S118" s="371" t="e">
        <f t="shared" si="77"/>
        <v>#N/A</v>
      </c>
      <c r="T118" s="572"/>
      <c r="U118" s="381"/>
      <c r="V118" s="382"/>
      <c r="W118" s="382"/>
      <c r="X118" s="371" t="e">
        <f t="shared" si="78"/>
        <v>#N/A</v>
      </c>
      <c r="Y118" s="572"/>
      <c r="Z118" s="381"/>
      <c r="AA118" s="382"/>
      <c r="AB118" s="382"/>
      <c r="AC118" s="371" t="e">
        <f t="shared" si="79"/>
        <v>#N/A</v>
      </c>
      <c r="AD118" s="572"/>
      <c r="AE118" s="381"/>
      <c r="AF118" s="382"/>
      <c r="AG118" s="382"/>
      <c r="AH118" s="371" t="e">
        <f t="shared" si="80"/>
        <v>#N/A</v>
      </c>
      <c r="AI118" s="572"/>
      <c r="AJ118" s="381"/>
      <c r="AK118" s="382"/>
      <c r="AL118" s="382"/>
      <c r="AM118" s="371" t="e">
        <f t="shared" si="81"/>
        <v>#N/A</v>
      </c>
      <c r="AN118" s="572"/>
      <c r="AO118" s="381"/>
      <c r="AP118" s="382"/>
      <c r="AQ118" s="382"/>
      <c r="AR118" s="371" t="e">
        <f t="shared" si="82"/>
        <v>#N/A</v>
      </c>
      <c r="AS118" s="572"/>
      <c r="AT118" s="379"/>
      <c r="AU118" s="182"/>
      <c r="AV118" s="380"/>
      <c r="AW118" s="371" t="e">
        <f t="shared" si="83"/>
        <v>#N/A</v>
      </c>
      <c r="AX118" s="572"/>
      <c r="AZ118" s="408" t="e">
        <f t="shared" si="84"/>
        <v>#N/A</v>
      </c>
      <c r="BA118" s="572"/>
    </row>
    <row r="119" spans="2:53">
      <c r="B119" s="600"/>
      <c r="C119" s="371">
        <v>13</v>
      </c>
      <c r="D119" s="226"/>
      <c r="E119" s="182"/>
      <c r="F119" s="379"/>
      <c r="G119" s="380"/>
      <c r="H119" s="579"/>
      <c r="I119" s="400" t="str">
        <f t="shared" si="74"/>
        <v>-</v>
      </c>
      <c r="J119" s="400" t="str">
        <f t="shared" si="75"/>
        <v>-</v>
      </c>
      <c r="K119" s="200" t="str">
        <f t="shared" si="76"/>
        <v>-</v>
      </c>
      <c r="L119" s="581"/>
      <c r="M119" s="372" t="e">
        <f>RANK(K119, K$67:$K$81)</f>
        <v>#VALUE!</v>
      </c>
      <c r="N119" s="564"/>
      <c r="O119" s="564"/>
      <c r="P119" s="371"/>
      <c r="Q119" s="372"/>
      <c r="R119" s="372"/>
      <c r="S119" s="371" t="e">
        <f t="shared" si="77"/>
        <v>#N/A</v>
      </c>
      <c r="T119" s="572"/>
      <c r="U119" s="381"/>
      <c r="V119" s="382"/>
      <c r="W119" s="382"/>
      <c r="X119" s="371" t="e">
        <f t="shared" si="78"/>
        <v>#N/A</v>
      </c>
      <c r="Y119" s="572"/>
      <c r="Z119" s="381"/>
      <c r="AA119" s="382"/>
      <c r="AB119" s="382"/>
      <c r="AC119" s="371" t="e">
        <f t="shared" si="79"/>
        <v>#N/A</v>
      </c>
      <c r="AD119" s="572"/>
      <c r="AE119" s="381"/>
      <c r="AF119" s="382"/>
      <c r="AG119" s="382"/>
      <c r="AH119" s="371" t="e">
        <f t="shared" si="80"/>
        <v>#N/A</v>
      </c>
      <c r="AI119" s="572"/>
      <c r="AJ119" s="381"/>
      <c r="AK119" s="382"/>
      <c r="AL119" s="382"/>
      <c r="AM119" s="371" t="e">
        <f t="shared" si="81"/>
        <v>#N/A</v>
      </c>
      <c r="AN119" s="572"/>
      <c r="AO119" s="381"/>
      <c r="AP119" s="382"/>
      <c r="AQ119" s="382"/>
      <c r="AR119" s="371" t="e">
        <f t="shared" si="82"/>
        <v>#N/A</v>
      </c>
      <c r="AS119" s="572"/>
      <c r="AT119" s="379"/>
      <c r="AU119" s="182"/>
      <c r="AV119" s="380"/>
      <c r="AW119" s="371" t="e">
        <f t="shared" si="83"/>
        <v>#N/A</v>
      </c>
      <c r="AX119" s="572"/>
      <c r="AZ119" s="408" t="e">
        <f t="shared" si="84"/>
        <v>#N/A</v>
      </c>
      <c r="BA119" s="572"/>
    </row>
    <row r="120" spans="2:53">
      <c r="B120" s="600"/>
      <c r="C120" s="371">
        <v>14</v>
      </c>
      <c r="D120" s="226"/>
      <c r="E120" s="182"/>
      <c r="F120" s="379"/>
      <c r="G120" s="380"/>
      <c r="H120" s="579"/>
      <c r="I120" s="400" t="str">
        <f t="shared" si="74"/>
        <v>-</v>
      </c>
      <c r="J120" s="400" t="str">
        <f t="shared" si="75"/>
        <v>-</v>
      </c>
      <c r="K120" s="200" t="str">
        <f t="shared" si="76"/>
        <v>-</v>
      </c>
      <c r="L120" s="581"/>
      <c r="M120" s="372" t="e">
        <f>RANK(K120, K$67:$K$81)</f>
        <v>#VALUE!</v>
      </c>
      <c r="N120" s="564"/>
      <c r="O120" s="564"/>
      <c r="P120" s="371"/>
      <c r="Q120" s="372"/>
      <c r="R120" s="372"/>
      <c r="S120" s="371" t="e">
        <f t="shared" si="77"/>
        <v>#N/A</v>
      </c>
      <c r="T120" s="572"/>
      <c r="U120" s="381"/>
      <c r="V120" s="382"/>
      <c r="W120" s="382"/>
      <c r="X120" s="371" t="e">
        <f t="shared" si="78"/>
        <v>#N/A</v>
      </c>
      <c r="Y120" s="572"/>
      <c r="Z120" s="381"/>
      <c r="AA120" s="382"/>
      <c r="AB120" s="382"/>
      <c r="AC120" s="371" t="e">
        <f t="shared" si="79"/>
        <v>#N/A</v>
      </c>
      <c r="AD120" s="572"/>
      <c r="AE120" s="381"/>
      <c r="AF120" s="382"/>
      <c r="AG120" s="382"/>
      <c r="AH120" s="371" t="e">
        <f t="shared" si="80"/>
        <v>#N/A</v>
      </c>
      <c r="AI120" s="572"/>
      <c r="AJ120" s="381"/>
      <c r="AK120" s="382"/>
      <c r="AL120" s="382"/>
      <c r="AM120" s="371" t="e">
        <f t="shared" si="81"/>
        <v>#N/A</v>
      </c>
      <c r="AN120" s="572"/>
      <c r="AO120" s="381"/>
      <c r="AP120" s="382"/>
      <c r="AQ120" s="382"/>
      <c r="AR120" s="371" t="e">
        <f t="shared" si="82"/>
        <v>#N/A</v>
      </c>
      <c r="AS120" s="572"/>
      <c r="AT120" s="379"/>
      <c r="AU120" s="182"/>
      <c r="AV120" s="380"/>
      <c r="AW120" s="371" t="e">
        <f t="shared" si="83"/>
        <v>#N/A</v>
      </c>
      <c r="AX120" s="572"/>
      <c r="AZ120" s="408" t="e">
        <f t="shared" si="84"/>
        <v>#N/A</v>
      </c>
      <c r="BA120" s="572"/>
    </row>
    <row r="121" spans="2:53">
      <c r="B121" s="600"/>
      <c r="C121" s="371">
        <v>15</v>
      </c>
      <c r="D121" s="226"/>
      <c r="E121" s="182"/>
      <c r="F121" s="379"/>
      <c r="G121" s="380"/>
      <c r="H121" s="639"/>
      <c r="I121" s="404"/>
      <c r="J121" s="404"/>
      <c r="K121" s="404"/>
      <c r="L121" s="582"/>
      <c r="M121" s="372" t="e">
        <f>RANK(K121, K$47:$K$61)</f>
        <v>#N/A</v>
      </c>
      <c r="N121" s="564"/>
      <c r="O121" s="564"/>
      <c r="P121" s="371"/>
      <c r="Q121" s="372"/>
      <c r="R121" s="372"/>
      <c r="S121" s="371" t="e">
        <f t="shared" si="77"/>
        <v>#N/A</v>
      </c>
      <c r="T121" s="572"/>
      <c r="U121" s="381"/>
      <c r="V121" s="382"/>
      <c r="W121" s="382"/>
      <c r="X121" s="371" t="e">
        <f t="shared" si="78"/>
        <v>#N/A</v>
      </c>
      <c r="Y121" s="572"/>
      <c r="Z121" s="381"/>
      <c r="AA121" s="382"/>
      <c r="AB121" s="382"/>
      <c r="AC121" s="371" t="e">
        <f t="shared" si="79"/>
        <v>#N/A</v>
      </c>
      <c r="AD121" s="572"/>
      <c r="AE121" s="381"/>
      <c r="AF121" s="382"/>
      <c r="AG121" s="382"/>
      <c r="AH121" s="371" t="e">
        <f t="shared" si="80"/>
        <v>#N/A</v>
      </c>
      <c r="AI121" s="572"/>
      <c r="AJ121" s="381"/>
      <c r="AK121" s="382"/>
      <c r="AL121" s="382"/>
      <c r="AM121" s="371" t="e">
        <f t="shared" si="81"/>
        <v>#N/A</v>
      </c>
      <c r="AN121" s="572"/>
      <c r="AO121" s="381"/>
      <c r="AP121" s="382"/>
      <c r="AQ121" s="382"/>
      <c r="AR121" s="371" t="e">
        <f t="shared" si="82"/>
        <v>#N/A</v>
      </c>
      <c r="AS121" s="572"/>
      <c r="AT121" s="379"/>
      <c r="AU121" s="182"/>
      <c r="AV121" s="380"/>
      <c r="AW121" s="371" t="e">
        <f t="shared" si="83"/>
        <v>#N/A</v>
      </c>
      <c r="AX121" s="572"/>
      <c r="AZ121" s="408" t="e">
        <f t="shared" si="84"/>
        <v>#N/A</v>
      </c>
      <c r="BA121" s="572"/>
    </row>
    <row r="123" spans="2:53" ht="15.75">
      <c r="B123" s="573" t="s">
        <v>487</v>
      </c>
      <c r="C123" s="574"/>
      <c r="D123" s="574"/>
      <c r="E123" s="574"/>
      <c r="F123" s="574"/>
      <c r="G123" s="574"/>
      <c r="H123" s="575"/>
      <c r="I123" s="319"/>
      <c r="J123" s="319"/>
      <c r="K123" s="319"/>
      <c r="L123" s="319"/>
      <c r="M123" s="320"/>
    </row>
    <row r="124" spans="2:53" ht="15.75">
      <c r="B124" s="576"/>
      <c r="C124" s="576"/>
      <c r="D124" s="576"/>
      <c r="E124" s="576"/>
      <c r="F124" s="576"/>
      <c r="G124" s="576"/>
      <c r="H124" s="576"/>
      <c r="I124" s="321"/>
      <c r="J124" s="321"/>
      <c r="K124" s="321"/>
      <c r="L124" s="321"/>
      <c r="M124" s="322"/>
    </row>
    <row r="125" spans="2:53">
      <c r="B125" s="564" t="s">
        <v>488</v>
      </c>
      <c r="C125" s="564" t="s">
        <v>489</v>
      </c>
      <c r="D125" s="564"/>
      <c r="E125" s="564" t="s">
        <v>490</v>
      </c>
      <c r="F125" s="564"/>
      <c r="G125" s="564"/>
      <c r="H125" s="597" t="s">
        <v>491</v>
      </c>
      <c r="I125" s="577" t="s">
        <v>492</v>
      </c>
      <c r="J125" s="577"/>
      <c r="K125" s="577"/>
      <c r="L125" s="633" t="s">
        <v>491</v>
      </c>
      <c r="M125" s="636" t="s">
        <v>493</v>
      </c>
    </row>
    <row r="126" spans="2:53">
      <c r="B126" s="564"/>
      <c r="C126" s="564"/>
      <c r="D126" s="564"/>
      <c r="E126" s="564" t="s">
        <v>494</v>
      </c>
      <c r="F126" s="564"/>
      <c r="G126" s="564"/>
      <c r="H126" s="598"/>
      <c r="I126" s="577" t="s">
        <v>494</v>
      </c>
      <c r="J126" s="577"/>
      <c r="K126" s="577"/>
      <c r="L126" s="634"/>
      <c r="M126" s="637"/>
    </row>
    <row r="127" spans="2:53">
      <c r="B127" s="564"/>
      <c r="C127" s="564"/>
      <c r="D127" s="564"/>
      <c r="E127" s="316" t="s">
        <v>495</v>
      </c>
      <c r="F127" s="316" t="s">
        <v>496</v>
      </c>
      <c r="G127" s="316" t="s">
        <v>497</v>
      </c>
      <c r="H127" s="599"/>
      <c r="I127" s="323" t="s">
        <v>495</v>
      </c>
      <c r="J127" s="323" t="s">
        <v>496</v>
      </c>
      <c r="K127" s="323" t="s">
        <v>497</v>
      </c>
      <c r="L127" s="635"/>
      <c r="M127" s="638"/>
    </row>
    <row r="128" spans="2:53">
      <c r="B128" s="564" t="s">
        <v>505</v>
      </c>
      <c r="C128" s="315">
        <v>1</v>
      </c>
      <c r="D128" s="226"/>
      <c r="E128" s="182"/>
      <c r="F128" s="315"/>
      <c r="G128" s="318"/>
      <c r="H128" s="627" t="e">
        <f>AVERAGE(G128:G142)</f>
        <v>#DIV/0!</v>
      </c>
      <c r="I128" s="199" t="e">
        <f t="shared" ref="I128:J133" si="85">AVERAGEIF($D$7:$D$121,$D128,I$7:I$121)</f>
        <v>#DIV/0!</v>
      </c>
      <c r="J128" s="199" t="e">
        <f t="shared" si="85"/>
        <v>#DIV/0!</v>
      </c>
      <c r="K128" s="199" t="e">
        <f t="shared" ref="K128:K133" si="86">AVERAGEIF($D$7:$D$121,$D128,K$7:K$121)</f>
        <v>#DIV/0!</v>
      </c>
      <c r="L128" s="630" t="e">
        <f>AVERAGE(K128:K142)</f>
        <v>#DIV/0!</v>
      </c>
      <c r="M128" s="199" t="e">
        <f>RANK(K128, K$128:$K$142)</f>
        <v>#DIV/0!</v>
      </c>
    </row>
    <row r="129" spans="2:13">
      <c r="B129" s="570"/>
      <c r="C129" s="315">
        <v>2</v>
      </c>
      <c r="D129" s="226"/>
      <c r="E129" s="182"/>
      <c r="F129" s="315"/>
      <c r="G129" s="318"/>
      <c r="H129" s="628"/>
      <c r="I129" s="199" t="e">
        <f t="shared" si="85"/>
        <v>#DIV/0!</v>
      </c>
      <c r="J129" s="199" t="e">
        <f t="shared" si="85"/>
        <v>#DIV/0!</v>
      </c>
      <c r="K129" s="199" t="e">
        <f t="shared" si="86"/>
        <v>#DIV/0!</v>
      </c>
      <c r="L129" s="631"/>
      <c r="M129" s="199" t="e">
        <f>RANK(K129, K$128:$K$142)</f>
        <v>#DIV/0!</v>
      </c>
    </row>
    <row r="130" spans="2:13">
      <c r="B130" s="570"/>
      <c r="C130" s="315">
        <v>3</v>
      </c>
      <c r="D130" s="226"/>
      <c r="E130" s="182"/>
      <c r="F130" s="315"/>
      <c r="G130" s="318"/>
      <c r="H130" s="628"/>
      <c r="I130" s="199" t="e">
        <f t="shared" si="85"/>
        <v>#DIV/0!</v>
      </c>
      <c r="J130" s="199" t="e">
        <f t="shared" si="85"/>
        <v>#DIV/0!</v>
      </c>
      <c r="K130" s="199" t="e">
        <f t="shared" si="86"/>
        <v>#DIV/0!</v>
      </c>
      <c r="L130" s="631"/>
      <c r="M130" s="199" t="e">
        <f>RANK(K130, K$128:$K$142)</f>
        <v>#DIV/0!</v>
      </c>
    </row>
    <row r="131" spans="2:13">
      <c r="B131" s="570"/>
      <c r="C131" s="315">
        <v>4</v>
      </c>
      <c r="D131" s="226"/>
      <c r="E131" s="182"/>
      <c r="F131" s="315"/>
      <c r="G131" s="318"/>
      <c r="H131" s="628"/>
      <c r="I131" s="199" t="e">
        <f t="shared" si="85"/>
        <v>#DIV/0!</v>
      </c>
      <c r="J131" s="199" t="e">
        <f t="shared" si="85"/>
        <v>#DIV/0!</v>
      </c>
      <c r="K131" s="199" t="e">
        <f t="shared" si="86"/>
        <v>#DIV/0!</v>
      </c>
      <c r="L131" s="631"/>
      <c r="M131" s="199" t="e">
        <f>RANK(K131, K$128:$K$142)</f>
        <v>#DIV/0!</v>
      </c>
    </row>
    <row r="132" spans="2:13">
      <c r="B132" s="570"/>
      <c r="C132" s="315">
        <v>5</v>
      </c>
      <c r="D132" s="226"/>
      <c r="E132" s="182"/>
      <c r="F132" s="315"/>
      <c r="G132" s="318"/>
      <c r="H132" s="628"/>
      <c r="I132" s="199" t="e">
        <f t="shared" si="85"/>
        <v>#DIV/0!</v>
      </c>
      <c r="J132" s="199" t="e">
        <f t="shared" si="85"/>
        <v>#DIV/0!</v>
      </c>
      <c r="K132" s="199" t="e">
        <f t="shared" si="86"/>
        <v>#DIV/0!</v>
      </c>
      <c r="L132" s="631"/>
      <c r="M132" s="199" t="e">
        <f>RANK(K132, K$128:$K$142)</f>
        <v>#DIV/0!</v>
      </c>
    </row>
    <row r="133" spans="2:13">
      <c r="B133" s="570"/>
      <c r="C133" s="315">
        <v>6</v>
      </c>
      <c r="D133" s="324"/>
      <c r="E133" s="182"/>
      <c r="F133" s="315"/>
      <c r="G133" s="318"/>
      <c r="H133" s="628"/>
      <c r="I133" s="199" t="e">
        <f t="shared" si="85"/>
        <v>#DIV/0!</v>
      </c>
      <c r="J133" s="199" t="e">
        <f t="shared" si="85"/>
        <v>#DIV/0!</v>
      </c>
      <c r="K133" s="199" t="e">
        <f t="shared" si="86"/>
        <v>#DIV/0!</v>
      </c>
      <c r="L133" s="631"/>
      <c r="M133" s="199" t="e">
        <f>RANK(K133, K$128:$K$142)</f>
        <v>#DIV/0!</v>
      </c>
    </row>
    <row r="134" spans="2:13">
      <c r="B134" s="570"/>
      <c r="C134" s="315">
        <v>7</v>
      </c>
      <c r="D134" s="226"/>
      <c r="E134" s="182"/>
      <c r="F134" s="315"/>
      <c r="G134" s="318"/>
      <c r="H134" s="628"/>
      <c r="I134" s="199"/>
      <c r="J134" s="199"/>
      <c r="K134" s="199"/>
      <c r="L134" s="631"/>
      <c r="M134" s="199" t="e">
        <f>RANK(K134, K$128:$K$142)</f>
        <v>#DIV/0!</v>
      </c>
    </row>
    <row r="135" spans="2:13">
      <c r="B135" s="570"/>
      <c r="C135" s="315">
        <v>8</v>
      </c>
      <c r="D135" s="226"/>
      <c r="E135" s="182"/>
      <c r="F135" s="315"/>
      <c r="G135" s="318"/>
      <c r="H135" s="628"/>
      <c r="I135" s="199"/>
      <c r="J135" s="199"/>
      <c r="K135" s="199"/>
      <c r="L135" s="631"/>
      <c r="M135" s="199" t="e">
        <f>RANK(K135, K$128:$K$142)</f>
        <v>#DIV/0!</v>
      </c>
    </row>
    <row r="136" spans="2:13">
      <c r="B136" s="570"/>
      <c r="C136" s="315">
        <v>9</v>
      </c>
      <c r="D136" s="226"/>
      <c r="E136" s="315"/>
      <c r="F136" s="315"/>
      <c r="G136" s="315"/>
      <c r="H136" s="628"/>
      <c r="I136" s="199"/>
      <c r="J136" s="199"/>
      <c r="K136" s="199"/>
      <c r="L136" s="631"/>
      <c r="M136" s="199" t="e">
        <f>RANK(K136, K$128:$K$142)</f>
        <v>#DIV/0!</v>
      </c>
    </row>
    <row r="137" spans="2:13">
      <c r="B137" s="570"/>
      <c r="C137" s="315">
        <v>10</v>
      </c>
      <c r="D137" s="226"/>
      <c r="E137" s="315"/>
      <c r="F137" s="315"/>
      <c r="G137" s="315"/>
      <c r="H137" s="628"/>
      <c r="I137" s="199"/>
      <c r="J137" s="199"/>
      <c r="K137" s="199"/>
      <c r="L137" s="631"/>
      <c r="M137" s="199" t="e">
        <f>RANK(K137, K$128:$K$142)</f>
        <v>#DIV/0!</v>
      </c>
    </row>
    <row r="138" spans="2:13">
      <c r="B138" s="570"/>
      <c r="C138" s="315">
        <v>11</v>
      </c>
      <c r="D138" s="226"/>
      <c r="E138" s="315"/>
      <c r="F138" s="315"/>
      <c r="G138" s="315"/>
      <c r="H138" s="628"/>
      <c r="I138" s="199"/>
      <c r="J138" s="199"/>
      <c r="K138" s="199"/>
      <c r="L138" s="631"/>
      <c r="M138" s="199" t="e">
        <f>RANK(K138, K$128:$K$142)</f>
        <v>#DIV/0!</v>
      </c>
    </row>
    <row r="139" spans="2:13">
      <c r="B139" s="570"/>
      <c r="C139" s="315">
        <v>12</v>
      </c>
      <c r="D139" s="226"/>
      <c r="E139" s="315"/>
      <c r="F139" s="315"/>
      <c r="G139" s="315"/>
      <c r="H139" s="628"/>
      <c r="I139" s="199"/>
      <c r="J139" s="199"/>
      <c r="K139" s="199"/>
      <c r="L139" s="631"/>
      <c r="M139" s="199" t="e">
        <f>RANK(K139, K$128:$K$142)</f>
        <v>#DIV/0!</v>
      </c>
    </row>
    <row r="140" spans="2:13">
      <c r="B140" s="570"/>
      <c r="C140" s="315">
        <v>13</v>
      </c>
      <c r="D140" s="226"/>
      <c r="E140" s="315"/>
      <c r="F140" s="315"/>
      <c r="G140" s="315"/>
      <c r="H140" s="628"/>
      <c r="I140" s="199"/>
      <c r="J140" s="199"/>
      <c r="K140" s="199"/>
      <c r="L140" s="631"/>
      <c r="M140" s="199" t="e">
        <f>RANK(K140, K$128:$K$142)</f>
        <v>#DIV/0!</v>
      </c>
    </row>
    <row r="141" spans="2:13">
      <c r="B141" s="570"/>
      <c r="C141" s="315">
        <v>14</v>
      </c>
      <c r="D141" s="226"/>
      <c r="E141" s="315"/>
      <c r="F141" s="315"/>
      <c r="G141" s="315"/>
      <c r="H141" s="628"/>
      <c r="I141" s="199"/>
      <c r="J141" s="199"/>
      <c r="K141" s="199"/>
      <c r="L141" s="631"/>
      <c r="M141" s="199" t="e">
        <f>RANK(K141, K$128:$K$142)</f>
        <v>#DIV/0!</v>
      </c>
    </row>
    <row r="142" spans="2:13">
      <c r="B142" s="570"/>
      <c r="C142" s="315">
        <v>15</v>
      </c>
      <c r="D142" s="226"/>
      <c r="E142" s="315"/>
      <c r="F142" s="315"/>
      <c r="G142" s="315"/>
      <c r="H142" s="629"/>
      <c r="I142" s="199"/>
      <c r="J142" s="199"/>
      <c r="K142" s="199"/>
      <c r="L142" s="632"/>
      <c r="M142" s="199" t="e">
        <f>RANK(K142, K$128:$K$142)</f>
        <v>#DIV/0!</v>
      </c>
    </row>
  </sheetData>
  <mergeCells count="379">
    <mergeCell ref="BA87:BA101"/>
    <mergeCell ref="BA104:BA106"/>
    <mergeCell ref="BA107:BA121"/>
    <mergeCell ref="BA4:BA6"/>
    <mergeCell ref="BA7:BA21"/>
    <mergeCell ref="BA24:BA26"/>
    <mergeCell ref="BA27:BA41"/>
    <mergeCell ref="BA44:BA46"/>
    <mergeCell ref="BA47:BA61"/>
    <mergeCell ref="BA64:BA66"/>
    <mergeCell ref="BA67:BA81"/>
    <mergeCell ref="BA84:BA86"/>
    <mergeCell ref="B87:B101"/>
    <mergeCell ref="AS87:AS101"/>
    <mergeCell ref="AX87:AX101"/>
    <mergeCell ref="AO85:AR85"/>
    <mergeCell ref="AT85:AW85"/>
    <mergeCell ref="AO84:AR84"/>
    <mergeCell ref="AS84:AS86"/>
    <mergeCell ref="AT84:AW84"/>
    <mergeCell ref="AX84:AX86"/>
    <mergeCell ref="AJ85:AM85"/>
    <mergeCell ref="AN87:AN101"/>
    <mergeCell ref="AN84:AN86"/>
    <mergeCell ref="AJ84:AM84"/>
    <mergeCell ref="C84:D86"/>
    <mergeCell ref="E84:G84"/>
    <mergeCell ref="H84:H86"/>
    <mergeCell ref="I84:K84"/>
    <mergeCell ref="L84:L86"/>
    <mergeCell ref="AD84:AD86"/>
    <mergeCell ref="AE84:AH84"/>
    <mergeCell ref="AI84:AI86"/>
    <mergeCell ref="AE85:AH85"/>
    <mergeCell ref="Z85:AC85"/>
    <mergeCell ref="Y84:Y86"/>
    <mergeCell ref="Z84:AC84"/>
    <mergeCell ref="P84:S84"/>
    <mergeCell ref="T84:T86"/>
    <mergeCell ref="U84:X84"/>
    <mergeCell ref="E85:G85"/>
    <mergeCell ref="I85:K85"/>
    <mergeCell ref="P85:S85"/>
    <mergeCell ref="U85:X85"/>
    <mergeCell ref="M84:M86"/>
    <mergeCell ref="N84:N101"/>
    <mergeCell ref="O84:O101"/>
    <mergeCell ref="H87:H101"/>
    <mergeCell ref="L87:L101"/>
    <mergeCell ref="T87:T101"/>
    <mergeCell ref="Y87:Y101"/>
    <mergeCell ref="AX67:AX81"/>
    <mergeCell ref="B82:H83"/>
    <mergeCell ref="N82:N83"/>
    <mergeCell ref="O82:O83"/>
    <mergeCell ref="P82:T82"/>
    <mergeCell ref="U82:Y82"/>
    <mergeCell ref="Z82:AD82"/>
    <mergeCell ref="AE82:AI82"/>
    <mergeCell ref="AJ82:AN82"/>
    <mergeCell ref="AO82:AS82"/>
    <mergeCell ref="AT82:AX82"/>
    <mergeCell ref="P83:T83"/>
    <mergeCell ref="U83:Y83"/>
    <mergeCell ref="Z83:AD83"/>
    <mergeCell ref="AE83:AI83"/>
    <mergeCell ref="AJ83:AN83"/>
    <mergeCell ref="AO83:AS83"/>
    <mergeCell ref="AT83:AX83"/>
    <mergeCell ref="AO65:AR65"/>
    <mergeCell ref="AT65:AW65"/>
    <mergeCell ref="B67:B81"/>
    <mergeCell ref="H67:H81"/>
    <mergeCell ref="L67:L81"/>
    <mergeCell ref="T67:T81"/>
    <mergeCell ref="Y67:Y81"/>
    <mergeCell ref="AD67:AD81"/>
    <mergeCell ref="AI67:AI81"/>
    <mergeCell ref="AN67:AN81"/>
    <mergeCell ref="AN64:AN66"/>
    <mergeCell ref="AO64:AR64"/>
    <mergeCell ref="AS64:AS66"/>
    <mergeCell ref="AT64:AW64"/>
    <mergeCell ref="B64:B66"/>
    <mergeCell ref="C64:D66"/>
    <mergeCell ref="AS67:AS81"/>
    <mergeCell ref="H64:H66"/>
    <mergeCell ref="I64:K64"/>
    <mergeCell ref="L64:L66"/>
    <mergeCell ref="AD87:AD101"/>
    <mergeCell ref="AI87:AI101"/>
    <mergeCell ref="B84:B86"/>
    <mergeCell ref="AX64:AX66"/>
    <mergeCell ref="E65:G65"/>
    <mergeCell ref="I65:K65"/>
    <mergeCell ref="P65:S65"/>
    <mergeCell ref="U65:X65"/>
    <mergeCell ref="Z65:AC65"/>
    <mergeCell ref="Y64:Y66"/>
    <mergeCell ref="Z64:AC64"/>
    <mergeCell ref="AD64:AD66"/>
    <mergeCell ref="AE64:AH64"/>
    <mergeCell ref="AI64:AI66"/>
    <mergeCell ref="AJ64:AM64"/>
    <mergeCell ref="AE65:AH65"/>
    <mergeCell ref="AJ65:AM65"/>
    <mergeCell ref="M64:M66"/>
    <mergeCell ref="N64:N81"/>
    <mergeCell ref="O64:O81"/>
    <mergeCell ref="P64:S64"/>
    <mergeCell ref="T64:T66"/>
    <mergeCell ref="U64:X64"/>
    <mergeCell ref="E64:G64"/>
    <mergeCell ref="AX47:AX61"/>
    <mergeCell ref="B62:H63"/>
    <mergeCell ref="N62:N63"/>
    <mergeCell ref="O62:O63"/>
    <mergeCell ref="P62:T62"/>
    <mergeCell ref="U62:Y62"/>
    <mergeCell ref="Z62:AD62"/>
    <mergeCell ref="AE62:AI62"/>
    <mergeCell ref="AJ62:AN62"/>
    <mergeCell ref="AO62:AS62"/>
    <mergeCell ref="AT62:AX62"/>
    <mergeCell ref="P63:T63"/>
    <mergeCell ref="U63:Y63"/>
    <mergeCell ref="Z63:AD63"/>
    <mergeCell ref="AE63:AI63"/>
    <mergeCell ref="AJ63:AN63"/>
    <mergeCell ref="AO63:AS63"/>
    <mergeCell ref="AT63:AX63"/>
    <mergeCell ref="AO45:AR45"/>
    <mergeCell ref="AT45:AW45"/>
    <mergeCell ref="B47:B61"/>
    <mergeCell ref="H47:H61"/>
    <mergeCell ref="L47:L61"/>
    <mergeCell ref="T47:T61"/>
    <mergeCell ref="Y47:Y61"/>
    <mergeCell ref="AD47:AD61"/>
    <mergeCell ref="AI47:AI61"/>
    <mergeCell ref="AN47:AN61"/>
    <mergeCell ref="AN44:AN46"/>
    <mergeCell ref="AO44:AR44"/>
    <mergeCell ref="AS44:AS46"/>
    <mergeCell ref="AT44:AW44"/>
    <mergeCell ref="B44:B46"/>
    <mergeCell ref="C44:D46"/>
    <mergeCell ref="AS47:AS61"/>
    <mergeCell ref="AX44:AX46"/>
    <mergeCell ref="E45:G45"/>
    <mergeCell ref="I45:K45"/>
    <mergeCell ref="P45:S45"/>
    <mergeCell ref="U45:X45"/>
    <mergeCell ref="Z45:AC45"/>
    <mergeCell ref="Y44:Y46"/>
    <mergeCell ref="Z44:AC44"/>
    <mergeCell ref="AD44:AD46"/>
    <mergeCell ref="AE44:AH44"/>
    <mergeCell ref="AI44:AI46"/>
    <mergeCell ref="AJ44:AM44"/>
    <mergeCell ref="AE45:AH45"/>
    <mergeCell ref="AJ45:AM45"/>
    <mergeCell ref="M44:M46"/>
    <mergeCell ref="N44:N61"/>
    <mergeCell ref="O44:O61"/>
    <mergeCell ref="P44:S44"/>
    <mergeCell ref="T44:T46"/>
    <mergeCell ref="U44:X44"/>
    <mergeCell ref="E44:G44"/>
    <mergeCell ref="H44:H46"/>
    <mergeCell ref="I44:K44"/>
    <mergeCell ref="L44:L46"/>
    <mergeCell ref="AX27:AX41"/>
    <mergeCell ref="B42:H43"/>
    <mergeCell ref="N42:N43"/>
    <mergeCell ref="O42:O43"/>
    <mergeCell ref="P42:T42"/>
    <mergeCell ref="U42:Y42"/>
    <mergeCell ref="Z42:AD42"/>
    <mergeCell ref="AE42:AI42"/>
    <mergeCell ref="AJ42:AN42"/>
    <mergeCell ref="AO42:AS42"/>
    <mergeCell ref="AT42:AX42"/>
    <mergeCell ref="P43:T43"/>
    <mergeCell ref="U43:Y43"/>
    <mergeCell ref="Z43:AD43"/>
    <mergeCell ref="AE43:AI43"/>
    <mergeCell ref="AJ43:AN43"/>
    <mergeCell ref="AO43:AS43"/>
    <mergeCell ref="AT43:AX43"/>
    <mergeCell ref="AO25:AR25"/>
    <mergeCell ref="AT25:AW25"/>
    <mergeCell ref="B27:B41"/>
    <mergeCell ref="H27:H41"/>
    <mergeCell ref="L27:L41"/>
    <mergeCell ref="T27:T41"/>
    <mergeCell ref="Y27:Y41"/>
    <mergeCell ref="AD27:AD41"/>
    <mergeCell ref="AI27:AI41"/>
    <mergeCell ref="AN27:AN41"/>
    <mergeCell ref="AN24:AN26"/>
    <mergeCell ref="AO24:AR24"/>
    <mergeCell ref="AS24:AS26"/>
    <mergeCell ref="AT24:AW24"/>
    <mergeCell ref="B24:B26"/>
    <mergeCell ref="C24:D26"/>
    <mergeCell ref="AS27:AS41"/>
    <mergeCell ref="AX24:AX26"/>
    <mergeCell ref="E25:G25"/>
    <mergeCell ref="I25:K25"/>
    <mergeCell ref="P25:S25"/>
    <mergeCell ref="U25:X25"/>
    <mergeCell ref="Z25:AC25"/>
    <mergeCell ref="Y24:Y26"/>
    <mergeCell ref="Z24:AC24"/>
    <mergeCell ref="AD24:AD26"/>
    <mergeCell ref="AE24:AH24"/>
    <mergeCell ref="AI24:AI26"/>
    <mergeCell ref="AJ24:AM24"/>
    <mergeCell ref="AE25:AH25"/>
    <mergeCell ref="AJ25:AM25"/>
    <mergeCell ref="M24:M26"/>
    <mergeCell ref="N24:N41"/>
    <mergeCell ref="O24:O41"/>
    <mergeCell ref="P24:S24"/>
    <mergeCell ref="T24:T26"/>
    <mergeCell ref="U24:X24"/>
    <mergeCell ref="E24:G24"/>
    <mergeCell ref="H24:H26"/>
    <mergeCell ref="I24:K24"/>
    <mergeCell ref="L24:L26"/>
    <mergeCell ref="AT22:AX22"/>
    <mergeCell ref="P23:T23"/>
    <mergeCell ref="U23:Y23"/>
    <mergeCell ref="Z23:AD23"/>
    <mergeCell ref="AE23:AI23"/>
    <mergeCell ref="AJ23:AN23"/>
    <mergeCell ref="AO23:AS23"/>
    <mergeCell ref="AT23:AX23"/>
    <mergeCell ref="AX7:AX21"/>
    <mergeCell ref="B22:H23"/>
    <mergeCell ref="N22:N23"/>
    <mergeCell ref="O22:O23"/>
    <mergeCell ref="P22:T22"/>
    <mergeCell ref="U22:Y22"/>
    <mergeCell ref="Z22:AD22"/>
    <mergeCell ref="AE22:AI22"/>
    <mergeCell ref="AJ22:AN22"/>
    <mergeCell ref="AO22:AS22"/>
    <mergeCell ref="AD4:AD6"/>
    <mergeCell ref="AT5:AW5"/>
    <mergeCell ref="B7:B21"/>
    <mergeCell ref="H7:H21"/>
    <mergeCell ref="L7:L21"/>
    <mergeCell ref="T7:T21"/>
    <mergeCell ref="Y7:Y21"/>
    <mergeCell ref="AD7:AD21"/>
    <mergeCell ref="AI7:AI21"/>
    <mergeCell ref="AN7:AN21"/>
    <mergeCell ref="AS7:AS21"/>
    <mergeCell ref="B4:B6"/>
    <mergeCell ref="C4:D6"/>
    <mergeCell ref="E4:G4"/>
    <mergeCell ref="H4:H6"/>
    <mergeCell ref="I4:K4"/>
    <mergeCell ref="L4:L6"/>
    <mergeCell ref="M4:M6"/>
    <mergeCell ref="N4:N21"/>
    <mergeCell ref="O4:O21"/>
    <mergeCell ref="B2:H3"/>
    <mergeCell ref="N2:N3"/>
    <mergeCell ref="O2:O3"/>
    <mergeCell ref="AT4:AW4"/>
    <mergeCell ref="AX4:AX6"/>
    <mergeCell ref="E5:G5"/>
    <mergeCell ref="I5:K5"/>
    <mergeCell ref="P5:S5"/>
    <mergeCell ref="U5:X5"/>
    <mergeCell ref="Z5:AC5"/>
    <mergeCell ref="AE5:AH5"/>
    <mergeCell ref="AJ5:AM5"/>
    <mergeCell ref="AO5:AR5"/>
    <mergeCell ref="AE4:AH4"/>
    <mergeCell ref="AI4:AI6"/>
    <mergeCell ref="AJ4:AM4"/>
    <mergeCell ref="AN4:AN6"/>
    <mergeCell ref="AO4:AR4"/>
    <mergeCell ref="AS4:AS6"/>
    <mergeCell ref="P4:S4"/>
    <mergeCell ref="T4:T6"/>
    <mergeCell ref="U4:X4"/>
    <mergeCell ref="Y4:Y6"/>
    <mergeCell ref="Z4:AC4"/>
    <mergeCell ref="AE2:AI2"/>
    <mergeCell ref="AJ2:AN2"/>
    <mergeCell ref="AO2:AS2"/>
    <mergeCell ref="AT2:AX2"/>
    <mergeCell ref="P3:T3"/>
    <mergeCell ref="U3:Y3"/>
    <mergeCell ref="Z3:AD3"/>
    <mergeCell ref="AE3:AI3"/>
    <mergeCell ref="AJ3:AN3"/>
    <mergeCell ref="AO3:AS3"/>
    <mergeCell ref="P2:T2"/>
    <mergeCell ref="U2:Y2"/>
    <mergeCell ref="Z2:AD2"/>
    <mergeCell ref="AT3:AX3"/>
    <mergeCell ref="B102:H103"/>
    <mergeCell ref="N102:N103"/>
    <mergeCell ref="O102:O103"/>
    <mergeCell ref="P102:T102"/>
    <mergeCell ref="U102:Y102"/>
    <mergeCell ref="Z102:AD102"/>
    <mergeCell ref="AE102:AI102"/>
    <mergeCell ref="AJ102:AN102"/>
    <mergeCell ref="AO102:AS102"/>
    <mergeCell ref="AT102:AX102"/>
    <mergeCell ref="P103:T103"/>
    <mergeCell ref="U103:Y103"/>
    <mergeCell ref="Z103:AD103"/>
    <mergeCell ref="AE103:AI103"/>
    <mergeCell ref="AJ103:AN103"/>
    <mergeCell ref="AO103:AS103"/>
    <mergeCell ref="AT103:AX103"/>
    <mergeCell ref="B104:B106"/>
    <mergeCell ref="C104:D106"/>
    <mergeCell ref="E104:G104"/>
    <mergeCell ref="H104:H106"/>
    <mergeCell ref="I104:K104"/>
    <mergeCell ref="L104:L106"/>
    <mergeCell ref="M104:M106"/>
    <mergeCell ref="N104:N121"/>
    <mergeCell ref="O104:O121"/>
    <mergeCell ref="P104:S104"/>
    <mergeCell ref="T104:T106"/>
    <mergeCell ref="U104:X104"/>
    <mergeCell ref="Y104:Y106"/>
    <mergeCell ref="Z104:AC104"/>
    <mergeCell ref="AD104:AD106"/>
    <mergeCell ref="AE104:AH104"/>
    <mergeCell ref="AI104:AI106"/>
    <mergeCell ref="AJ104:AM104"/>
    <mergeCell ref="AN104:AN106"/>
    <mergeCell ref="AO104:AR104"/>
    <mergeCell ref="AS104:AS106"/>
    <mergeCell ref="AT104:AW104"/>
    <mergeCell ref="AX104:AX106"/>
    <mergeCell ref="E105:G105"/>
    <mergeCell ref="I105:K105"/>
    <mergeCell ref="P105:S105"/>
    <mergeCell ref="U105:X105"/>
    <mergeCell ref="Z105:AC105"/>
    <mergeCell ref="AE105:AH105"/>
    <mergeCell ref="AJ105:AM105"/>
    <mergeCell ref="AO105:AR105"/>
    <mergeCell ref="AT105:AW105"/>
    <mergeCell ref="B128:B142"/>
    <mergeCell ref="H128:H142"/>
    <mergeCell ref="L128:L142"/>
    <mergeCell ref="AX107:AX121"/>
    <mergeCell ref="B123:H124"/>
    <mergeCell ref="B125:B127"/>
    <mergeCell ref="C125:D127"/>
    <mergeCell ref="E125:G125"/>
    <mergeCell ref="H125:H127"/>
    <mergeCell ref="I125:K125"/>
    <mergeCell ref="L125:L127"/>
    <mergeCell ref="M125:M127"/>
    <mergeCell ref="E126:G126"/>
    <mergeCell ref="I126:K126"/>
    <mergeCell ref="B107:B121"/>
    <mergeCell ref="H107:H121"/>
    <mergeCell ref="L107:L121"/>
    <mergeCell ref="T107:T121"/>
    <mergeCell ref="Y107:Y121"/>
    <mergeCell ref="AD107:AD121"/>
    <mergeCell ref="AI107:AI121"/>
    <mergeCell ref="AN107:AN121"/>
    <mergeCell ref="AS107:AS121"/>
  </mergeCells>
  <phoneticPr fontId="12" type="noConversion"/>
  <pageMargins left="0.7" right="0.7" top="0.75" bottom="0.75" header="0.3" footer="0.3"/>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M35"/>
  <sheetViews>
    <sheetView topLeftCell="A3" zoomScale="85" zoomScaleNormal="85" zoomScaleSheetLayoutView="100" workbookViewId="0">
      <selection activeCell="D8" sqref="D8:L28"/>
    </sheetView>
  </sheetViews>
  <sheetFormatPr defaultColWidth="12.5703125" defaultRowHeight="15.75" customHeight="1"/>
  <cols>
    <col min="1" max="1" width="6.42578125" style="120" customWidth="1"/>
    <col min="2" max="10" width="11.5703125" style="120" customWidth="1"/>
    <col min="11" max="12" width="12.85546875" style="120" customWidth="1"/>
    <col min="13" max="13" width="12.5703125" style="121"/>
    <col min="14" max="16384" width="12.5703125" style="120"/>
  </cols>
  <sheetData>
    <row r="1" spans="1:13" ht="15.75" customHeight="1">
      <c r="A1" s="531" t="s">
        <v>186</v>
      </c>
      <c r="B1" s="531"/>
      <c r="C1" s="531"/>
      <c r="D1" s="531"/>
      <c r="E1" s="531"/>
      <c r="F1" s="531"/>
      <c r="G1" s="531"/>
      <c r="H1" s="531"/>
      <c r="I1" s="531"/>
      <c r="J1" s="531"/>
      <c r="K1" s="531"/>
      <c r="L1" s="531"/>
      <c r="M1" s="120"/>
    </row>
    <row r="2" spans="1:13" s="121" customFormat="1" ht="15.75" customHeight="1">
      <c r="A2" s="531"/>
      <c r="B2" s="531"/>
      <c r="C2" s="531"/>
      <c r="D2" s="531"/>
      <c r="E2" s="531"/>
      <c r="F2" s="531"/>
      <c r="G2" s="531"/>
      <c r="H2" s="531"/>
      <c r="I2" s="531"/>
      <c r="J2" s="531"/>
      <c r="K2" s="531"/>
      <c r="L2" s="531"/>
    </row>
    <row r="3" spans="1:13" ht="15.75" customHeight="1">
      <c r="A3" s="654" t="s">
        <v>187</v>
      </c>
      <c r="B3" s="655"/>
      <c r="C3" s="655"/>
      <c r="D3" s="655"/>
      <c r="E3" s="655"/>
      <c r="F3" s="655"/>
      <c r="G3" s="655"/>
      <c r="H3" s="655"/>
      <c r="I3" s="655"/>
      <c r="J3" s="655"/>
      <c r="K3" s="655"/>
      <c r="L3" s="655"/>
      <c r="M3" s="152"/>
    </row>
    <row r="4" spans="1:13" s="121" customFormat="1" ht="15.75" customHeight="1">
      <c r="A4" s="655"/>
      <c r="B4" s="655"/>
      <c r="C4" s="655"/>
      <c r="D4" s="655"/>
      <c r="E4" s="655"/>
      <c r="F4" s="655"/>
      <c r="G4" s="655"/>
      <c r="H4" s="655"/>
      <c r="I4" s="655"/>
      <c r="J4" s="655"/>
      <c r="K4" s="655"/>
      <c r="L4" s="655"/>
      <c r="M4" s="131"/>
    </row>
    <row r="5" spans="1:13" s="154" customFormat="1" ht="16.350000000000001" customHeight="1">
      <c r="A5" s="651" t="s">
        <v>154</v>
      </c>
      <c r="B5" s="166">
        <v>1</v>
      </c>
      <c r="C5" s="166">
        <v>2</v>
      </c>
      <c r="D5" s="156">
        <v>3</v>
      </c>
      <c r="E5" s="156">
        <v>4</v>
      </c>
      <c r="F5" s="156">
        <v>5</v>
      </c>
      <c r="G5" s="156">
        <v>6</v>
      </c>
      <c r="H5" s="156">
        <v>7</v>
      </c>
      <c r="I5" s="156">
        <v>8</v>
      </c>
      <c r="J5" s="156">
        <v>9</v>
      </c>
      <c r="K5" s="153"/>
      <c r="L5" s="153"/>
      <c r="M5" s="153"/>
    </row>
    <row r="6" spans="1:13" ht="16.350000000000001" customHeight="1">
      <c r="A6" s="651"/>
      <c r="B6" s="167" t="s">
        <v>188</v>
      </c>
      <c r="C6" s="167" t="s">
        <v>151</v>
      </c>
      <c r="D6" s="157" t="s">
        <v>189</v>
      </c>
      <c r="E6" s="157" t="s">
        <v>153</v>
      </c>
      <c r="F6" s="158" t="s">
        <v>133</v>
      </c>
      <c r="G6" s="159" t="s">
        <v>131</v>
      </c>
      <c r="H6" s="160" t="s">
        <v>190</v>
      </c>
      <c r="I6" s="159" t="s">
        <v>191</v>
      </c>
      <c r="J6" s="159" t="s">
        <v>137</v>
      </c>
      <c r="K6" s="155"/>
      <c r="L6" s="155"/>
      <c r="M6" s="131"/>
    </row>
    <row r="7" spans="1:13" s="154" customFormat="1" ht="15.75" customHeight="1">
      <c r="A7" s="652" t="s">
        <v>169</v>
      </c>
      <c r="B7" s="652"/>
      <c r="C7" s="367" t="s">
        <v>393</v>
      </c>
      <c r="D7" s="652" t="s">
        <v>12</v>
      </c>
      <c r="E7" s="653"/>
      <c r="F7" s="653"/>
      <c r="G7" s="367" t="s">
        <v>46</v>
      </c>
      <c r="H7" s="367" t="s">
        <v>526</v>
      </c>
      <c r="I7" s="367" t="s">
        <v>390</v>
      </c>
      <c r="J7" s="222" t="s">
        <v>391</v>
      </c>
      <c r="K7" s="652" t="s">
        <v>392</v>
      </c>
      <c r="L7" s="653"/>
      <c r="M7" s="153"/>
    </row>
    <row r="8" spans="1:13" ht="15.75" customHeight="1">
      <c r="A8" s="651">
        <v>1</v>
      </c>
      <c r="B8" s="652" t="s">
        <v>150</v>
      </c>
      <c r="C8" s="368">
        <v>1</v>
      </c>
      <c r="D8" s="390" t="s">
        <v>659</v>
      </c>
      <c r="E8" s="364"/>
      <c r="F8" s="365"/>
      <c r="G8" s="385">
        <v>3</v>
      </c>
      <c r="H8" s="385">
        <v>3235.2220946454795</v>
      </c>
      <c r="I8" s="385">
        <v>1078.4073648818262</v>
      </c>
      <c r="J8" s="241" t="s">
        <v>815</v>
      </c>
      <c r="K8" s="658" t="s">
        <v>816</v>
      </c>
      <c r="L8" s="659"/>
      <c r="M8" s="131"/>
    </row>
    <row r="9" spans="1:13" ht="15.75" customHeight="1">
      <c r="A9" s="651"/>
      <c r="B9" s="652"/>
      <c r="C9" s="368">
        <v>2</v>
      </c>
      <c r="D9" s="384" t="s">
        <v>340</v>
      </c>
      <c r="E9" s="364"/>
      <c r="F9" s="365"/>
      <c r="G9" s="385">
        <v>3</v>
      </c>
      <c r="H9" s="385">
        <v>3225.4451831549313</v>
      </c>
      <c r="I9" s="385">
        <v>1075.1483943849771</v>
      </c>
      <c r="J9" s="242" t="s">
        <v>817</v>
      </c>
      <c r="K9" s="662"/>
      <c r="L9" s="663"/>
      <c r="M9" s="131"/>
    </row>
    <row r="10" spans="1:13" ht="15.75" customHeight="1">
      <c r="A10" s="651"/>
      <c r="B10" s="652"/>
      <c r="C10" s="368">
        <v>3</v>
      </c>
      <c r="D10" s="384" t="s">
        <v>341</v>
      </c>
      <c r="E10" s="364"/>
      <c r="F10" s="365"/>
      <c r="G10" s="385">
        <v>3</v>
      </c>
      <c r="H10" s="385">
        <v>3225.0325814536295</v>
      </c>
      <c r="I10" s="385">
        <v>1075.0108604845429</v>
      </c>
      <c r="J10" s="242" t="s">
        <v>817</v>
      </c>
      <c r="K10" s="660"/>
      <c r="L10" s="661"/>
      <c r="M10" s="131"/>
    </row>
    <row r="11" spans="1:13" ht="15.75" customHeight="1">
      <c r="A11" s="651"/>
      <c r="B11" s="652"/>
      <c r="C11" s="368">
        <v>4</v>
      </c>
      <c r="D11" s="384" t="s">
        <v>342</v>
      </c>
      <c r="E11" s="364"/>
      <c r="F11" s="365"/>
      <c r="G11" s="385">
        <v>3</v>
      </c>
      <c r="H11" s="385">
        <v>3223.2412184467576</v>
      </c>
      <c r="I11" s="385">
        <v>1074.4137394822526</v>
      </c>
      <c r="J11" s="415" t="s">
        <v>818</v>
      </c>
      <c r="K11" s="656"/>
      <c r="L11" s="653"/>
      <c r="M11" s="131"/>
    </row>
    <row r="12" spans="1:13" ht="15.75" customHeight="1">
      <c r="A12" s="651"/>
      <c r="B12" s="652"/>
      <c r="C12" s="368">
        <v>5</v>
      </c>
      <c r="D12" s="390" t="s">
        <v>345</v>
      </c>
      <c r="E12" s="364"/>
      <c r="F12" s="365"/>
      <c r="G12" s="385">
        <v>3</v>
      </c>
      <c r="H12" s="385">
        <v>3220.7507851625492</v>
      </c>
      <c r="I12" s="385">
        <v>1073.5835950541832</v>
      </c>
      <c r="J12" s="415" t="s">
        <v>818</v>
      </c>
      <c r="K12" s="656"/>
      <c r="L12" s="653"/>
      <c r="M12" s="131"/>
    </row>
    <row r="13" spans="1:13" ht="15.75" customHeight="1">
      <c r="A13" s="651"/>
      <c r="B13" s="652"/>
      <c r="C13" s="165" t="s">
        <v>394</v>
      </c>
      <c r="D13" s="384" t="s">
        <v>623</v>
      </c>
      <c r="E13" s="364"/>
      <c r="F13" s="365"/>
      <c r="G13" s="385">
        <v>12</v>
      </c>
      <c r="H13" s="385">
        <v>976.91836734693766</v>
      </c>
      <c r="I13" s="385">
        <v>81.409863945578124</v>
      </c>
      <c r="J13" s="415" t="s">
        <v>818</v>
      </c>
      <c r="K13" s="656"/>
      <c r="L13" s="653"/>
      <c r="M13" s="131"/>
    </row>
    <row r="14" spans="1:13" ht="15.75" customHeight="1">
      <c r="A14" s="651"/>
      <c r="B14" s="652"/>
      <c r="C14" s="165" t="s">
        <v>395</v>
      </c>
      <c r="D14" s="384" t="s">
        <v>630</v>
      </c>
      <c r="E14" s="364"/>
      <c r="F14" s="365"/>
      <c r="G14" s="385">
        <v>13</v>
      </c>
      <c r="H14" s="385">
        <v>1365.087035481602</v>
      </c>
      <c r="I14" s="385">
        <v>104.54672664101066</v>
      </c>
      <c r="J14" s="240" t="s">
        <v>818</v>
      </c>
      <c r="K14" s="657"/>
      <c r="L14" s="657"/>
      <c r="M14" s="131"/>
    </row>
    <row r="15" spans="1:13" ht="15.75" customHeight="1">
      <c r="A15" s="651"/>
      <c r="B15" s="652"/>
      <c r="C15" s="165" t="s">
        <v>435</v>
      </c>
      <c r="D15" s="384" t="s">
        <v>676</v>
      </c>
      <c r="E15" s="364"/>
      <c r="F15" s="365"/>
      <c r="G15" s="385">
        <v>12</v>
      </c>
      <c r="H15" s="385">
        <v>1480.0276590156027</v>
      </c>
      <c r="I15" s="385">
        <v>123.33563825130021</v>
      </c>
      <c r="J15" s="240" t="s">
        <v>818</v>
      </c>
      <c r="K15" s="656"/>
      <c r="L15" s="653"/>
      <c r="M15" s="131"/>
    </row>
    <row r="16" spans="1:13" ht="15.75" customHeight="1">
      <c r="A16" s="651"/>
      <c r="B16" s="652"/>
      <c r="C16" s="165" t="s">
        <v>397</v>
      </c>
      <c r="D16" s="384" t="s">
        <v>604</v>
      </c>
      <c r="E16" s="364"/>
      <c r="F16" s="365"/>
      <c r="G16" s="385">
        <v>4</v>
      </c>
      <c r="H16" s="385">
        <v>2753.0571428571407</v>
      </c>
      <c r="I16" s="385">
        <v>688.26428571428517</v>
      </c>
      <c r="J16" s="242" t="s">
        <v>817</v>
      </c>
      <c r="K16" s="658" t="s">
        <v>816</v>
      </c>
      <c r="L16" s="659"/>
      <c r="M16" s="152"/>
    </row>
    <row r="17" spans="1:13" ht="15.75" customHeight="1">
      <c r="A17" s="651"/>
      <c r="B17" s="652"/>
      <c r="C17" s="165" t="s">
        <v>436</v>
      </c>
      <c r="D17" s="390" t="s">
        <v>603</v>
      </c>
      <c r="E17" s="364"/>
      <c r="F17" s="365"/>
      <c r="G17" s="385">
        <v>4</v>
      </c>
      <c r="H17" s="385">
        <v>2800.6389961879477</v>
      </c>
      <c r="I17" s="385">
        <v>700.15974904698692</v>
      </c>
      <c r="J17" s="241" t="s">
        <v>815</v>
      </c>
      <c r="K17" s="660"/>
      <c r="L17" s="661"/>
      <c r="M17" s="152"/>
    </row>
    <row r="18" spans="1:13" s="162" customFormat="1" ht="15.75" customHeight="1">
      <c r="A18" s="666" t="s">
        <v>169</v>
      </c>
      <c r="B18" s="666"/>
      <c r="C18" s="369" t="s">
        <v>393</v>
      </c>
      <c r="D18" s="666" t="s">
        <v>12</v>
      </c>
      <c r="E18" s="667"/>
      <c r="F18" s="667"/>
      <c r="G18" s="502" t="s">
        <v>819</v>
      </c>
      <c r="H18" s="502" t="s">
        <v>820</v>
      </c>
      <c r="I18" s="502" t="s">
        <v>821</v>
      </c>
      <c r="J18" s="222" t="s">
        <v>822</v>
      </c>
      <c r="K18" s="666" t="s">
        <v>823</v>
      </c>
      <c r="L18" s="667"/>
      <c r="M18" s="155"/>
    </row>
    <row r="19" spans="1:13" ht="15.75" customHeight="1">
      <c r="A19" s="651">
        <v>2</v>
      </c>
      <c r="B19" s="652" t="s">
        <v>151</v>
      </c>
      <c r="C19" s="368">
        <v>1</v>
      </c>
      <c r="D19" s="363" t="s">
        <v>652</v>
      </c>
      <c r="E19" s="364"/>
      <c r="F19" s="365"/>
      <c r="G19" s="385">
        <v>12.285714285714286</v>
      </c>
      <c r="H19" s="385">
        <v>1824.6816326530618</v>
      </c>
      <c r="I19" s="385">
        <v>148.97687074829938</v>
      </c>
      <c r="J19" s="241" t="s">
        <v>815</v>
      </c>
      <c r="K19" s="669" t="s">
        <v>824</v>
      </c>
      <c r="L19" s="670"/>
      <c r="M19" s="152"/>
    </row>
    <row r="20" spans="1:13" ht="15.75" customHeight="1">
      <c r="A20" s="651"/>
      <c r="B20" s="652"/>
      <c r="C20" s="368">
        <v>2</v>
      </c>
      <c r="D20" s="363" t="s">
        <v>651</v>
      </c>
      <c r="E20" s="364"/>
      <c r="F20" s="365"/>
      <c r="G20" s="385">
        <v>12.285714285714286</v>
      </c>
      <c r="H20" s="385">
        <v>1797.8517406962794</v>
      </c>
      <c r="I20" s="385">
        <v>146.88220288115255</v>
      </c>
      <c r="J20" s="242" t="s">
        <v>817</v>
      </c>
      <c r="K20" s="671"/>
      <c r="L20" s="672"/>
      <c r="M20" s="152"/>
    </row>
    <row r="21" spans="1:13" ht="15.75" customHeight="1">
      <c r="A21" s="651"/>
      <c r="B21" s="652"/>
      <c r="C21" s="368">
        <v>3</v>
      </c>
      <c r="D21" s="386" t="s">
        <v>609</v>
      </c>
      <c r="E21" s="364"/>
      <c r="F21" s="365"/>
      <c r="G21" s="385">
        <v>10</v>
      </c>
      <c r="H21" s="385">
        <v>1258.1009667024703</v>
      </c>
      <c r="I21" s="385">
        <v>125.81009667024703</v>
      </c>
      <c r="J21" s="240" t="s">
        <v>818</v>
      </c>
      <c r="K21" s="664"/>
      <c r="L21" s="665"/>
      <c r="M21" s="152"/>
    </row>
    <row r="22" spans="1:13" ht="15.75" customHeight="1">
      <c r="A22" s="651"/>
      <c r="B22" s="652"/>
      <c r="C22" s="368">
        <v>4</v>
      </c>
      <c r="D22" s="386"/>
      <c r="E22" s="364"/>
      <c r="F22" s="365"/>
      <c r="G22" s="385"/>
      <c r="H22" s="385"/>
      <c r="I22" s="385"/>
      <c r="J22" s="240"/>
      <c r="K22" s="664"/>
      <c r="L22" s="665"/>
      <c r="M22" s="152"/>
    </row>
    <row r="23" spans="1:13" ht="15.75" customHeight="1">
      <c r="A23" s="651"/>
      <c r="B23" s="652"/>
      <c r="C23" s="368">
        <v>5</v>
      </c>
      <c r="D23" s="386"/>
      <c r="E23" s="364"/>
      <c r="F23" s="365"/>
      <c r="G23" s="385"/>
      <c r="H23" s="385"/>
      <c r="I23" s="385"/>
      <c r="J23" s="240"/>
      <c r="K23" s="664"/>
      <c r="L23" s="665"/>
      <c r="M23" s="152"/>
    </row>
    <row r="24" spans="1:13" ht="15.75" customHeight="1">
      <c r="A24" s="651"/>
      <c r="B24" s="652"/>
      <c r="C24" s="165" t="s">
        <v>394</v>
      </c>
      <c r="D24" s="363"/>
      <c r="E24" s="364"/>
      <c r="F24" s="365"/>
      <c r="G24" s="385"/>
      <c r="H24" s="385"/>
      <c r="I24" s="385"/>
      <c r="J24" s="240"/>
      <c r="K24" s="668"/>
      <c r="L24" s="665"/>
      <c r="M24" s="152"/>
    </row>
    <row r="25" spans="1:13" ht="15.75" customHeight="1">
      <c r="A25" s="651"/>
      <c r="B25" s="652"/>
      <c r="C25" s="165" t="s">
        <v>395</v>
      </c>
      <c r="D25" s="363"/>
      <c r="E25" s="364"/>
      <c r="F25" s="365"/>
      <c r="G25" s="385"/>
      <c r="H25" s="385"/>
      <c r="I25" s="385"/>
      <c r="J25" s="240"/>
      <c r="K25" s="664"/>
      <c r="L25" s="665"/>
      <c r="M25" s="152"/>
    </row>
    <row r="26" spans="1:13" ht="15.75" customHeight="1">
      <c r="A26" s="651"/>
      <c r="B26" s="652"/>
      <c r="C26" s="165" t="s">
        <v>435</v>
      </c>
      <c r="E26" s="364"/>
      <c r="F26" s="365"/>
      <c r="G26" s="385"/>
      <c r="H26" s="385"/>
      <c r="I26" s="385"/>
      <c r="J26" s="503"/>
      <c r="K26" s="664"/>
      <c r="L26" s="665"/>
      <c r="M26" s="152"/>
    </row>
    <row r="27" spans="1:13" ht="15.75" customHeight="1">
      <c r="A27" s="651"/>
      <c r="B27" s="652"/>
      <c r="C27" s="165" t="s">
        <v>397</v>
      </c>
      <c r="D27" s="363"/>
      <c r="E27" s="364"/>
      <c r="F27" s="365"/>
      <c r="G27" s="385"/>
      <c r="H27" s="385"/>
      <c r="I27" s="385"/>
      <c r="J27" s="503"/>
      <c r="K27" s="664"/>
      <c r="L27" s="665"/>
      <c r="M27" s="152"/>
    </row>
    <row r="28" spans="1:13" ht="15.75" customHeight="1">
      <c r="A28" s="651"/>
      <c r="B28" s="652"/>
      <c r="C28" s="165" t="s">
        <v>436</v>
      </c>
      <c r="D28" s="363"/>
      <c r="E28" s="364"/>
      <c r="F28" s="365"/>
      <c r="G28" s="503"/>
      <c r="H28" s="503"/>
      <c r="I28" s="503"/>
      <c r="J28" s="503"/>
      <c r="K28" s="664"/>
      <c r="L28" s="665"/>
      <c r="M28" s="152"/>
    </row>
    <row r="29" spans="1:13" ht="15.75" customHeight="1">
      <c r="A29" s="152"/>
      <c r="B29" s="152"/>
      <c r="C29" s="152"/>
      <c r="D29" s="152"/>
      <c r="E29" s="152"/>
      <c r="F29" s="152"/>
      <c r="G29" s="152"/>
      <c r="H29" s="152"/>
      <c r="I29" s="152"/>
      <c r="J29" s="152"/>
      <c r="K29" s="152"/>
      <c r="L29" s="152"/>
      <c r="M29" s="131"/>
    </row>
    <row r="30" spans="1:13" ht="15.75" customHeight="1">
      <c r="A30" s="152"/>
      <c r="B30" s="152"/>
      <c r="C30" s="152"/>
      <c r="D30" s="152"/>
      <c r="E30" s="152"/>
      <c r="F30" s="152"/>
      <c r="G30" s="152"/>
      <c r="H30" s="152"/>
      <c r="I30" s="152"/>
      <c r="J30" s="152"/>
      <c r="K30" s="152"/>
      <c r="L30" s="152"/>
      <c r="M30" s="131"/>
    </row>
    <row r="31" spans="1:13" ht="15.75" customHeight="1">
      <c r="A31" s="152"/>
      <c r="B31" s="152"/>
      <c r="C31" s="152"/>
      <c r="D31" s="152"/>
      <c r="E31" s="152"/>
      <c r="F31" s="152"/>
      <c r="G31" s="152"/>
      <c r="H31" s="152"/>
      <c r="I31" s="152"/>
      <c r="J31" s="152"/>
      <c r="K31" s="152"/>
      <c r="L31" s="152"/>
      <c r="M31" s="131"/>
    </row>
    <row r="32" spans="1:13"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29">
    <mergeCell ref="K23:L23"/>
    <mergeCell ref="A18:B18"/>
    <mergeCell ref="D18:F18"/>
    <mergeCell ref="K18:L18"/>
    <mergeCell ref="A19:A28"/>
    <mergeCell ref="K28:L28"/>
    <mergeCell ref="B19:B28"/>
    <mergeCell ref="K27:L27"/>
    <mergeCell ref="K26:L26"/>
    <mergeCell ref="K24:L24"/>
    <mergeCell ref="K25:L25"/>
    <mergeCell ref="K22:L22"/>
    <mergeCell ref="K21:L21"/>
    <mergeCell ref="K19:L20"/>
    <mergeCell ref="K13:L13"/>
    <mergeCell ref="A8:A17"/>
    <mergeCell ref="B8:B17"/>
    <mergeCell ref="K14:L14"/>
    <mergeCell ref="K15:L15"/>
    <mergeCell ref="K16:L17"/>
    <mergeCell ref="K8:L10"/>
    <mergeCell ref="K11:L11"/>
    <mergeCell ref="K12:L12"/>
    <mergeCell ref="A1:L2"/>
    <mergeCell ref="A5:A6"/>
    <mergeCell ref="A7:B7"/>
    <mergeCell ref="D7:F7"/>
    <mergeCell ref="K7:L7"/>
    <mergeCell ref="A3:L4"/>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M35"/>
  <sheetViews>
    <sheetView topLeftCell="A3" zoomScale="85" zoomScaleNormal="85" zoomScaleSheetLayoutView="100" workbookViewId="0">
      <selection activeCell="D8" sqref="D8:L28"/>
    </sheetView>
  </sheetViews>
  <sheetFormatPr defaultColWidth="12.5703125" defaultRowHeight="15.75" customHeight="1"/>
  <cols>
    <col min="1" max="1" width="6.42578125" style="120" customWidth="1"/>
    <col min="2" max="10" width="11.5703125" style="120" customWidth="1"/>
    <col min="11" max="12" width="12.85546875" style="120" customWidth="1"/>
    <col min="13" max="13" width="12.5703125" style="121"/>
    <col min="14" max="16384" width="12.5703125" style="120"/>
  </cols>
  <sheetData>
    <row r="1" spans="1:13" ht="15.75" customHeight="1">
      <c r="A1" s="531" t="s">
        <v>186</v>
      </c>
      <c r="B1" s="531"/>
      <c r="C1" s="531"/>
      <c r="D1" s="531"/>
      <c r="E1" s="531"/>
      <c r="F1" s="531"/>
      <c r="G1" s="531"/>
      <c r="H1" s="531"/>
      <c r="I1" s="531"/>
      <c r="J1" s="531"/>
      <c r="K1" s="531"/>
      <c r="L1" s="531"/>
      <c r="M1" s="120"/>
    </row>
    <row r="2" spans="1:13" s="121" customFormat="1" ht="15.75" customHeight="1">
      <c r="A2" s="531"/>
      <c r="B2" s="531"/>
      <c r="C2" s="531"/>
      <c r="D2" s="531"/>
      <c r="E2" s="531"/>
      <c r="F2" s="531"/>
      <c r="G2" s="531"/>
      <c r="H2" s="531"/>
      <c r="I2" s="531"/>
      <c r="J2" s="531"/>
      <c r="K2" s="531"/>
      <c r="L2" s="531"/>
    </row>
    <row r="3" spans="1:13" ht="15.75" customHeight="1">
      <c r="A3" s="654" t="s">
        <v>187</v>
      </c>
      <c r="B3" s="655"/>
      <c r="C3" s="655"/>
      <c r="D3" s="655"/>
      <c r="E3" s="655"/>
      <c r="F3" s="655"/>
      <c r="G3" s="655"/>
      <c r="H3" s="655"/>
      <c r="I3" s="655"/>
      <c r="J3" s="655"/>
      <c r="K3" s="655"/>
      <c r="L3" s="655"/>
      <c r="M3" s="152"/>
    </row>
    <row r="4" spans="1:13" s="121" customFormat="1" ht="15.75" customHeight="1">
      <c r="A4" s="655"/>
      <c r="B4" s="655"/>
      <c r="C4" s="655"/>
      <c r="D4" s="655"/>
      <c r="E4" s="655"/>
      <c r="F4" s="655"/>
      <c r="G4" s="655"/>
      <c r="H4" s="655"/>
      <c r="I4" s="655"/>
      <c r="J4" s="655"/>
      <c r="K4" s="655"/>
      <c r="L4" s="655"/>
      <c r="M4" s="131"/>
    </row>
    <row r="5" spans="1:13" s="154" customFormat="1" ht="16.350000000000001" customHeight="1">
      <c r="A5" s="651" t="s">
        <v>154</v>
      </c>
      <c r="B5" s="156">
        <v>1</v>
      </c>
      <c r="C5" s="156">
        <v>2</v>
      </c>
      <c r="D5" s="166">
        <v>3</v>
      </c>
      <c r="E5" s="166">
        <v>4</v>
      </c>
      <c r="F5" s="156">
        <v>5</v>
      </c>
      <c r="G5" s="156">
        <v>6</v>
      </c>
      <c r="H5" s="156">
        <v>7</v>
      </c>
      <c r="I5" s="156">
        <v>8</v>
      </c>
      <c r="J5" s="156">
        <v>9</v>
      </c>
      <c r="K5" s="153"/>
      <c r="L5" s="153"/>
      <c r="M5" s="153"/>
    </row>
    <row r="6" spans="1:13" ht="16.350000000000001" customHeight="1">
      <c r="A6" s="651"/>
      <c r="B6" s="157" t="s">
        <v>188</v>
      </c>
      <c r="C6" s="157" t="s">
        <v>151</v>
      </c>
      <c r="D6" s="167" t="s">
        <v>189</v>
      </c>
      <c r="E6" s="167" t="s">
        <v>153</v>
      </c>
      <c r="F6" s="158" t="s">
        <v>133</v>
      </c>
      <c r="G6" s="159" t="s">
        <v>131</v>
      </c>
      <c r="H6" s="160" t="s">
        <v>190</v>
      </c>
      <c r="I6" s="159" t="s">
        <v>191</v>
      </c>
      <c r="J6" s="159" t="s">
        <v>137</v>
      </c>
      <c r="K6" s="155"/>
      <c r="L6" s="155"/>
      <c r="M6" s="131"/>
    </row>
    <row r="7" spans="1:13" s="154" customFormat="1" ht="15.75" customHeight="1">
      <c r="A7" s="652" t="s">
        <v>169</v>
      </c>
      <c r="B7" s="652"/>
      <c r="C7" s="367" t="s">
        <v>393</v>
      </c>
      <c r="D7" s="652" t="s">
        <v>12</v>
      </c>
      <c r="E7" s="653"/>
      <c r="F7" s="653"/>
      <c r="G7" s="389" t="s">
        <v>587</v>
      </c>
      <c r="H7" s="389" t="s">
        <v>588</v>
      </c>
      <c r="I7" s="389" t="s">
        <v>589</v>
      </c>
      <c r="J7" s="222" t="s">
        <v>590</v>
      </c>
      <c r="K7" s="652" t="s">
        <v>591</v>
      </c>
      <c r="L7" s="653"/>
      <c r="M7" s="153"/>
    </row>
    <row r="8" spans="1:13" ht="15.75" customHeight="1">
      <c r="A8" s="651">
        <v>3</v>
      </c>
      <c r="B8" s="652" t="s">
        <v>152</v>
      </c>
      <c r="C8" s="368">
        <v>1</v>
      </c>
      <c r="D8" s="363" t="s">
        <v>365</v>
      </c>
      <c r="E8" s="364"/>
      <c r="F8" s="365"/>
      <c r="G8" s="385">
        <v>5</v>
      </c>
      <c r="H8" s="385">
        <v>2128.8056352446451</v>
      </c>
      <c r="I8" s="385">
        <v>425.76112704892915</v>
      </c>
      <c r="J8" s="241" t="s">
        <v>815</v>
      </c>
      <c r="K8" s="675" t="s">
        <v>816</v>
      </c>
      <c r="L8" s="676"/>
      <c r="M8" s="131"/>
    </row>
    <row r="9" spans="1:13" ht="15.75" customHeight="1">
      <c r="A9" s="651"/>
      <c r="B9" s="652"/>
      <c r="C9" s="368">
        <v>2</v>
      </c>
      <c r="D9" s="363" t="s">
        <v>443</v>
      </c>
      <c r="E9" s="364"/>
      <c r="F9" s="365"/>
      <c r="G9" s="385">
        <v>5</v>
      </c>
      <c r="H9" s="385">
        <v>2122.6110862880637</v>
      </c>
      <c r="I9" s="385">
        <v>424.52221725761274</v>
      </c>
      <c r="J9" s="242" t="s">
        <v>817</v>
      </c>
      <c r="K9" s="677"/>
      <c r="L9" s="678"/>
      <c r="M9" s="131"/>
    </row>
    <row r="10" spans="1:13" ht="15.75" customHeight="1">
      <c r="A10" s="651"/>
      <c r="B10" s="652"/>
      <c r="C10" s="368">
        <v>3</v>
      </c>
      <c r="D10" s="363" t="s">
        <v>368</v>
      </c>
      <c r="E10" s="364"/>
      <c r="F10" s="365"/>
      <c r="G10" s="385">
        <v>10</v>
      </c>
      <c r="H10" s="385">
        <v>2458.7165521105894</v>
      </c>
      <c r="I10" s="385">
        <v>245.87165521105899</v>
      </c>
      <c r="J10" s="240" t="s">
        <v>818</v>
      </c>
      <c r="K10" s="673"/>
      <c r="L10" s="667"/>
      <c r="M10" s="131"/>
    </row>
    <row r="11" spans="1:13" ht="15.75" customHeight="1">
      <c r="A11" s="651"/>
      <c r="B11" s="652"/>
      <c r="C11" s="368">
        <v>4</v>
      </c>
      <c r="D11" s="363" t="s">
        <v>610</v>
      </c>
      <c r="E11" s="364"/>
      <c r="F11" s="365"/>
      <c r="G11" s="385">
        <v>13</v>
      </c>
      <c r="H11" s="385">
        <v>2216.8667745594857</v>
      </c>
      <c r="I11" s="385">
        <v>170.52821342765279</v>
      </c>
      <c r="J11" s="240" t="s">
        <v>818</v>
      </c>
      <c r="K11" s="673"/>
      <c r="L11" s="667"/>
      <c r="M11" s="131"/>
    </row>
    <row r="12" spans="1:13" ht="15.75" customHeight="1">
      <c r="A12" s="651"/>
      <c r="B12" s="652"/>
      <c r="C12" s="368">
        <v>5</v>
      </c>
      <c r="D12" s="363" t="s">
        <v>367</v>
      </c>
      <c r="E12" s="364"/>
      <c r="F12" s="365"/>
      <c r="G12" s="385">
        <v>13</v>
      </c>
      <c r="H12" s="385">
        <v>2212.6599643193408</v>
      </c>
      <c r="I12" s="385">
        <v>170.20461263994932</v>
      </c>
      <c r="J12" s="240" t="s">
        <v>818</v>
      </c>
      <c r="K12" s="674"/>
      <c r="L12" s="667"/>
      <c r="M12" s="131"/>
    </row>
    <row r="13" spans="1:13" ht="15.75" customHeight="1">
      <c r="A13" s="651"/>
      <c r="B13" s="652"/>
      <c r="C13" s="165" t="s">
        <v>394</v>
      </c>
      <c r="D13" s="363" t="s">
        <v>364</v>
      </c>
      <c r="E13" s="364"/>
      <c r="F13" s="365"/>
      <c r="G13" s="385">
        <v>18</v>
      </c>
      <c r="H13" s="385">
        <v>1177.7337939315528</v>
      </c>
      <c r="I13" s="385">
        <v>65.429655218419597</v>
      </c>
      <c r="J13" s="240" t="s">
        <v>818</v>
      </c>
      <c r="K13" s="673"/>
      <c r="L13" s="667"/>
      <c r="M13" s="131"/>
    </row>
    <row r="14" spans="1:13" ht="15.75" customHeight="1">
      <c r="A14" s="651"/>
      <c r="B14" s="652"/>
      <c r="C14" s="165" t="s">
        <v>395</v>
      </c>
      <c r="D14" s="363" t="s">
        <v>366</v>
      </c>
      <c r="E14" s="364"/>
      <c r="F14" s="365"/>
      <c r="G14" s="385">
        <v>12</v>
      </c>
      <c r="H14" s="385">
        <v>1983.9960397157006</v>
      </c>
      <c r="I14" s="385">
        <v>165.3330033096417</v>
      </c>
      <c r="J14" s="240" t="s">
        <v>818</v>
      </c>
      <c r="K14" s="673"/>
      <c r="L14" s="667"/>
      <c r="M14" s="131"/>
    </row>
    <row r="15" spans="1:13" ht="15.75" customHeight="1">
      <c r="A15" s="651"/>
      <c r="B15" s="652"/>
      <c r="C15" s="165" t="s">
        <v>435</v>
      </c>
      <c r="D15" s="363" t="s">
        <v>542</v>
      </c>
      <c r="E15" s="364"/>
      <c r="F15" s="365"/>
      <c r="G15" s="385">
        <v>12</v>
      </c>
      <c r="H15" s="385">
        <v>1994.1392549728753</v>
      </c>
      <c r="I15" s="385">
        <v>166.17827124773962</v>
      </c>
      <c r="J15" s="240" t="s">
        <v>818</v>
      </c>
      <c r="K15" s="673"/>
      <c r="L15" s="667"/>
      <c r="M15" s="131"/>
    </row>
    <row r="16" spans="1:13" ht="15.75" customHeight="1">
      <c r="A16" s="651"/>
      <c r="B16" s="652"/>
      <c r="C16" s="165" t="s">
        <v>397</v>
      </c>
      <c r="D16" s="363"/>
      <c r="E16" s="364"/>
      <c r="F16" s="365"/>
      <c r="G16" s="385"/>
      <c r="H16" s="385"/>
      <c r="I16" s="385"/>
      <c r="J16" s="240"/>
      <c r="K16" s="674"/>
      <c r="L16" s="667"/>
      <c r="M16" s="152"/>
    </row>
    <row r="17" spans="1:13" ht="15.75" customHeight="1">
      <c r="A17" s="651"/>
      <c r="B17" s="652"/>
      <c r="C17" s="165" t="s">
        <v>436</v>
      </c>
      <c r="D17" s="363"/>
      <c r="E17" s="364"/>
      <c r="F17" s="365"/>
      <c r="G17" s="385"/>
      <c r="H17" s="385"/>
      <c r="I17" s="385"/>
      <c r="J17" s="240"/>
      <c r="K17" s="673"/>
      <c r="L17" s="667"/>
      <c r="M17" s="152"/>
    </row>
    <row r="18" spans="1:13" s="162" customFormat="1" ht="15.75" customHeight="1">
      <c r="A18" s="666" t="s">
        <v>169</v>
      </c>
      <c r="B18" s="666"/>
      <c r="C18" s="369" t="s">
        <v>393</v>
      </c>
      <c r="D18" s="666" t="s">
        <v>12</v>
      </c>
      <c r="E18" s="667"/>
      <c r="F18" s="667"/>
      <c r="G18" s="502" t="s">
        <v>819</v>
      </c>
      <c r="H18" s="502" t="s">
        <v>820</v>
      </c>
      <c r="I18" s="502" t="s">
        <v>821</v>
      </c>
      <c r="J18" s="222" t="s">
        <v>822</v>
      </c>
      <c r="K18" s="666" t="s">
        <v>823</v>
      </c>
      <c r="L18" s="667"/>
      <c r="M18" s="155"/>
    </row>
    <row r="19" spans="1:13" ht="15.75" customHeight="1">
      <c r="A19" s="651">
        <v>4</v>
      </c>
      <c r="B19" s="652" t="s">
        <v>153</v>
      </c>
      <c r="C19" s="368">
        <v>1</v>
      </c>
      <c r="D19" s="386" t="s">
        <v>667</v>
      </c>
      <c r="E19" s="364"/>
      <c r="F19" s="365"/>
      <c r="G19" s="385">
        <v>12.857142857142858</v>
      </c>
      <c r="H19" s="385">
        <v>1507.3601457366162</v>
      </c>
      <c r="I19" s="385">
        <v>117.29228509047512</v>
      </c>
      <c r="J19" s="240" t="s">
        <v>818</v>
      </c>
      <c r="K19" s="679"/>
      <c r="L19" s="665"/>
      <c r="M19" s="152"/>
    </row>
    <row r="20" spans="1:13" ht="15.75" customHeight="1">
      <c r="A20" s="651"/>
      <c r="B20" s="652"/>
      <c r="C20" s="368">
        <v>2</v>
      </c>
      <c r="D20" s="363" t="s">
        <v>648</v>
      </c>
      <c r="E20" s="364"/>
      <c r="F20" s="365"/>
      <c r="G20" s="385">
        <v>15</v>
      </c>
      <c r="H20" s="385">
        <v>1288.3333333333348</v>
      </c>
      <c r="I20" s="385">
        <v>85.888888888888985</v>
      </c>
      <c r="J20" s="241" t="s">
        <v>815</v>
      </c>
      <c r="K20" s="681" t="s">
        <v>825</v>
      </c>
      <c r="L20" s="682"/>
      <c r="M20" s="152"/>
    </row>
    <row r="21" spans="1:13" ht="15.75" customHeight="1">
      <c r="A21" s="651"/>
      <c r="B21" s="652"/>
      <c r="C21" s="368">
        <v>3</v>
      </c>
      <c r="D21" s="386" t="s">
        <v>671</v>
      </c>
      <c r="E21" s="364"/>
      <c r="F21" s="365"/>
      <c r="G21" s="385">
        <v>15</v>
      </c>
      <c r="H21" s="385">
        <v>1241.9047619047644</v>
      </c>
      <c r="I21" s="385">
        <v>82.793650793650968</v>
      </c>
      <c r="J21" s="242" t="s">
        <v>817</v>
      </c>
      <c r="K21" s="683"/>
      <c r="L21" s="684"/>
      <c r="M21" s="152"/>
    </row>
    <row r="22" spans="1:13" ht="15.75" customHeight="1">
      <c r="A22" s="651"/>
      <c r="B22" s="652"/>
      <c r="C22" s="368">
        <v>4</v>
      </c>
      <c r="D22" s="386"/>
      <c r="E22" s="364"/>
      <c r="F22" s="365"/>
      <c r="G22" s="503"/>
      <c r="H22" s="385"/>
      <c r="I22" s="385"/>
      <c r="J22" s="240"/>
      <c r="K22" s="664"/>
      <c r="L22" s="665"/>
      <c r="M22" s="152"/>
    </row>
    <row r="23" spans="1:13" ht="15.75" customHeight="1">
      <c r="A23" s="651"/>
      <c r="B23" s="652"/>
      <c r="C23" s="368">
        <v>5</v>
      </c>
      <c r="D23" s="363"/>
      <c r="E23" s="364"/>
      <c r="F23" s="365"/>
      <c r="G23" s="503"/>
      <c r="H23" s="503"/>
      <c r="I23" s="503"/>
      <c r="J23" s="503"/>
      <c r="K23" s="664"/>
      <c r="L23" s="665"/>
      <c r="M23" s="152"/>
    </row>
    <row r="24" spans="1:13" ht="15.75" customHeight="1">
      <c r="A24" s="651"/>
      <c r="B24" s="652"/>
      <c r="C24" s="165" t="s">
        <v>394</v>
      </c>
      <c r="D24" s="386"/>
      <c r="E24" s="364"/>
      <c r="F24" s="365"/>
      <c r="G24" s="385"/>
      <c r="H24" s="385"/>
      <c r="I24" s="385"/>
      <c r="J24" s="240"/>
      <c r="K24" s="680"/>
      <c r="L24" s="665"/>
      <c r="M24" s="152"/>
    </row>
    <row r="25" spans="1:13" ht="15.75" customHeight="1">
      <c r="A25" s="651"/>
      <c r="B25" s="652"/>
      <c r="C25" s="165" t="s">
        <v>395</v>
      </c>
      <c r="D25" s="363"/>
      <c r="E25" s="364"/>
      <c r="F25" s="365"/>
      <c r="G25" s="503"/>
      <c r="H25" s="503"/>
      <c r="I25" s="503"/>
      <c r="J25" s="503"/>
      <c r="K25" s="664"/>
      <c r="L25" s="665"/>
      <c r="M25" s="152"/>
    </row>
    <row r="26" spans="1:13" ht="15.75" customHeight="1">
      <c r="A26" s="651"/>
      <c r="B26" s="652"/>
      <c r="C26" s="165" t="s">
        <v>435</v>
      </c>
      <c r="D26" s="363"/>
      <c r="E26" s="364"/>
      <c r="F26" s="365"/>
      <c r="G26" s="503"/>
      <c r="H26" s="503"/>
      <c r="I26" s="503"/>
      <c r="J26" s="503"/>
      <c r="K26" s="664"/>
      <c r="L26" s="665"/>
      <c r="M26" s="152"/>
    </row>
    <row r="27" spans="1:13" ht="15.75" customHeight="1">
      <c r="A27" s="651"/>
      <c r="B27" s="652"/>
      <c r="C27" s="165" t="s">
        <v>397</v>
      </c>
      <c r="D27" s="363"/>
      <c r="E27" s="364"/>
      <c r="F27" s="365"/>
      <c r="G27" s="503"/>
      <c r="H27" s="503"/>
      <c r="I27" s="503"/>
      <c r="J27" s="503"/>
      <c r="K27" s="664"/>
      <c r="L27" s="665"/>
      <c r="M27" s="152"/>
    </row>
    <row r="28" spans="1:13" ht="15.75" customHeight="1">
      <c r="A28" s="651"/>
      <c r="B28" s="652"/>
      <c r="C28" s="165" t="s">
        <v>436</v>
      </c>
      <c r="D28" s="363"/>
      <c r="E28" s="364"/>
      <c r="F28" s="365"/>
      <c r="G28" s="503"/>
      <c r="H28" s="503"/>
      <c r="I28" s="503"/>
      <c r="J28" s="503"/>
      <c r="K28" s="664"/>
      <c r="L28" s="665"/>
      <c r="M28" s="152"/>
    </row>
    <row r="29" spans="1:13" ht="15.75" customHeight="1">
      <c r="A29" s="152"/>
      <c r="B29" s="152"/>
      <c r="C29" s="152"/>
      <c r="D29" s="152"/>
      <c r="E29" s="152"/>
      <c r="F29" s="152"/>
      <c r="G29" s="152"/>
      <c r="H29" s="152"/>
      <c r="I29" s="152"/>
      <c r="J29" s="152"/>
      <c r="K29" s="152"/>
      <c r="L29" s="152"/>
      <c r="M29" s="131"/>
    </row>
    <row r="30" spans="1:13" ht="15.75" customHeight="1">
      <c r="A30" s="152"/>
      <c r="B30" s="152"/>
      <c r="C30" s="152"/>
      <c r="D30" s="152"/>
      <c r="E30" s="152"/>
      <c r="F30" s="152"/>
      <c r="G30" s="152"/>
      <c r="H30" s="152"/>
      <c r="I30" s="152"/>
      <c r="J30" s="152"/>
      <c r="K30" s="152"/>
      <c r="L30" s="152"/>
      <c r="M30" s="131"/>
    </row>
    <row r="31" spans="1:13" ht="15.75" customHeight="1">
      <c r="A31" s="152"/>
      <c r="B31" s="152"/>
      <c r="C31" s="152"/>
      <c r="D31" s="152"/>
      <c r="E31" s="152"/>
      <c r="F31" s="152"/>
      <c r="G31" s="152"/>
      <c r="H31" s="152"/>
      <c r="I31" s="152"/>
      <c r="J31" s="152"/>
      <c r="K31" s="152"/>
      <c r="L31" s="152"/>
      <c r="M31" s="131"/>
    </row>
    <row r="32" spans="1:13"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31">
    <mergeCell ref="K15:L15"/>
    <mergeCell ref="K16:L16"/>
    <mergeCell ref="K17:L17"/>
    <mergeCell ref="K28:L28"/>
    <mergeCell ref="K22:L22"/>
    <mergeCell ref="K23:L23"/>
    <mergeCell ref="K27:L27"/>
    <mergeCell ref="K24:L24"/>
    <mergeCell ref="K20:L21"/>
    <mergeCell ref="A19:A28"/>
    <mergeCell ref="A5:A6"/>
    <mergeCell ref="A7:B7"/>
    <mergeCell ref="K25:L25"/>
    <mergeCell ref="D7:F7"/>
    <mergeCell ref="K7:L7"/>
    <mergeCell ref="A8:A17"/>
    <mergeCell ref="K19:L19"/>
    <mergeCell ref="D18:F18"/>
    <mergeCell ref="K18:L18"/>
    <mergeCell ref="B8:B17"/>
    <mergeCell ref="A18:B18"/>
    <mergeCell ref="K26:L26"/>
    <mergeCell ref="B19:B28"/>
    <mergeCell ref="K13:L13"/>
    <mergeCell ref="K14:L14"/>
    <mergeCell ref="A1:L2"/>
    <mergeCell ref="K11:L11"/>
    <mergeCell ref="K12:L12"/>
    <mergeCell ref="A3:L4"/>
    <mergeCell ref="K10:L10"/>
    <mergeCell ref="K8:L9"/>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R35"/>
  <sheetViews>
    <sheetView topLeftCell="A2" zoomScale="90" zoomScaleNormal="90" zoomScaleSheetLayoutView="100" workbookViewId="0">
      <selection activeCell="D8" sqref="D8:L28"/>
    </sheetView>
  </sheetViews>
  <sheetFormatPr defaultColWidth="12.5703125" defaultRowHeight="15.75" customHeight="1"/>
  <cols>
    <col min="1" max="1" width="6.42578125" style="120" customWidth="1"/>
    <col min="2" max="10" width="11.5703125" style="120" customWidth="1"/>
    <col min="11" max="12" width="12.85546875" style="120" customWidth="1"/>
    <col min="13" max="13" width="12.5703125" style="121"/>
    <col min="14" max="16384" width="12.5703125" style="120"/>
  </cols>
  <sheetData>
    <row r="1" spans="1:18" ht="15.75" customHeight="1">
      <c r="A1" s="531" t="s">
        <v>186</v>
      </c>
      <c r="B1" s="531"/>
      <c r="C1" s="531"/>
      <c r="D1" s="531"/>
      <c r="E1" s="531"/>
      <c r="F1" s="531"/>
      <c r="G1" s="531"/>
      <c r="H1" s="531"/>
      <c r="I1" s="531"/>
      <c r="J1" s="531"/>
      <c r="K1" s="531"/>
      <c r="L1" s="531"/>
      <c r="M1" s="120"/>
    </row>
    <row r="2" spans="1:18" s="121" customFormat="1" ht="15.75" customHeight="1">
      <c r="A2" s="531"/>
      <c r="B2" s="531"/>
      <c r="C2" s="531"/>
      <c r="D2" s="531"/>
      <c r="E2" s="531"/>
      <c r="F2" s="531"/>
      <c r="G2" s="531"/>
      <c r="H2" s="531"/>
      <c r="I2" s="531"/>
      <c r="J2" s="531"/>
      <c r="K2" s="531"/>
      <c r="L2" s="531"/>
    </row>
    <row r="3" spans="1:18" ht="15.75" customHeight="1">
      <c r="A3" s="654" t="s">
        <v>187</v>
      </c>
      <c r="B3" s="655"/>
      <c r="C3" s="655"/>
      <c r="D3" s="655"/>
      <c r="E3" s="655"/>
      <c r="F3" s="655"/>
      <c r="G3" s="655"/>
      <c r="H3" s="655"/>
      <c r="I3" s="655"/>
      <c r="J3" s="655"/>
      <c r="K3" s="655"/>
      <c r="L3" s="655"/>
      <c r="M3" s="152"/>
    </row>
    <row r="4" spans="1:18" s="121" customFormat="1" ht="15.75" customHeight="1">
      <c r="A4" s="655"/>
      <c r="B4" s="655"/>
      <c r="C4" s="655"/>
      <c r="D4" s="655"/>
      <c r="E4" s="655"/>
      <c r="F4" s="655"/>
      <c r="G4" s="655"/>
      <c r="H4" s="655"/>
      <c r="I4" s="655"/>
      <c r="J4" s="655"/>
      <c r="K4" s="655"/>
      <c r="L4" s="655"/>
      <c r="M4" s="131"/>
    </row>
    <row r="5" spans="1:18" s="154" customFormat="1" ht="16.350000000000001" customHeight="1">
      <c r="A5" s="651" t="s">
        <v>154</v>
      </c>
      <c r="B5" s="156">
        <v>1</v>
      </c>
      <c r="C5" s="156">
        <v>2</v>
      </c>
      <c r="D5" s="156">
        <v>3</v>
      </c>
      <c r="E5" s="156">
        <v>4</v>
      </c>
      <c r="F5" s="166">
        <v>5</v>
      </c>
      <c r="G5" s="166">
        <v>6</v>
      </c>
      <c r="H5" s="156">
        <v>7</v>
      </c>
      <c r="I5" s="156">
        <v>8</v>
      </c>
      <c r="J5" s="156">
        <v>9</v>
      </c>
      <c r="K5" s="153"/>
      <c r="L5" s="153"/>
      <c r="M5" s="153"/>
    </row>
    <row r="6" spans="1:18" ht="16.350000000000001" customHeight="1">
      <c r="A6" s="651"/>
      <c r="B6" s="157" t="s">
        <v>188</v>
      </c>
      <c r="C6" s="157" t="s">
        <v>151</v>
      </c>
      <c r="D6" s="157" t="s">
        <v>189</v>
      </c>
      <c r="E6" s="157" t="s">
        <v>153</v>
      </c>
      <c r="F6" s="168" t="s">
        <v>133</v>
      </c>
      <c r="G6" s="169" t="s">
        <v>131</v>
      </c>
      <c r="H6" s="160" t="s">
        <v>190</v>
      </c>
      <c r="I6" s="159" t="s">
        <v>191</v>
      </c>
      <c r="J6" s="159" t="s">
        <v>137</v>
      </c>
      <c r="K6" s="155"/>
      <c r="L6" s="155"/>
      <c r="M6" s="131"/>
    </row>
    <row r="7" spans="1:18" s="154" customFormat="1" ht="15.75" customHeight="1">
      <c r="A7" s="652" t="s">
        <v>570</v>
      </c>
      <c r="B7" s="652"/>
      <c r="C7" s="367" t="s">
        <v>571</v>
      </c>
      <c r="D7" s="652" t="s">
        <v>12</v>
      </c>
      <c r="E7" s="653"/>
      <c r="F7" s="653"/>
      <c r="G7" s="389" t="s">
        <v>587</v>
      </c>
      <c r="H7" s="389" t="s">
        <v>588</v>
      </c>
      <c r="I7" s="389" t="s">
        <v>589</v>
      </c>
      <c r="J7" s="222" t="s">
        <v>590</v>
      </c>
      <c r="K7" s="652" t="s">
        <v>591</v>
      </c>
      <c r="L7" s="653"/>
      <c r="M7" s="153"/>
    </row>
    <row r="8" spans="1:18" ht="15.75" customHeight="1">
      <c r="A8" s="651">
        <v>5</v>
      </c>
      <c r="B8" s="652" t="s">
        <v>133</v>
      </c>
      <c r="C8" s="368">
        <v>1</v>
      </c>
      <c r="D8" s="410" t="s">
        <v>640</v>
      </c>
      <c r="E8" s="364"/>
      <c r="F8" s="365"/>
      <c r="G8" s="385">
        <v>6</v>
      </c>
      <c r="H8" s="385">
        <v>1444.9084789496478</v>
      </c>
      <c r="I8" s="385">
        <v>240.81807982494132</v>
      </c>
      <c r="J8" s="240" t="s">
        <v>818</v>
      </c>
      <c r="K8" s="691"/>
      <c r="L8" s="653"/>
      <c r="M8" s="131"/>
      <c r="P8" s="251"/>
      <c r="Q8" s="251"/>
      <c r="R8" s="251"/>
    </row>
    <row r="9" spans="1:18" ht="15.75" customHeight="1">
      <c r="A9" s="651"/>
      <c r="B9" s="652"/>
      <c r="C9" s="368">
        <v>2</v>
      </c>
      <c r="D9" s="386" t="s">
        <v>347</v>
      </c>
      <c r="E9" s="364"/>
      <c r="F9" s="365"/>
      <c r="G9" s="385">
        <v>6</v>
      </c>
      <c r="H9" s="385">
        <v>1426.7146642836155</v>
      </c>
      <c r="I9" s="385">
        <v>237.78577738060264</v>
      </c>
      <c r="J9" s="240" t="s">
        <v>818</v>
      </c>
      <c r="K9" s="691"/>
      <c r="L9" s="653"/>
      <c r="M9" s="131"/>
      <c r="P9" s="251"/>
      <c r="Q9" s="251"/>
      <c r="R9" s="251"/>
    </row>
    <row r="10" spans="1:18" ht="15.75" customHeight="1">
      <c r="A10" s="651"/>
      <c r="B10" s="652"/>
      <c r="C10" s="368">
        <v>3</v>
      </c>
      <c r="D10" s="363" t="s">
        <v>327</v>
      </c>
      <c r="E10" s="364"/>
      <c r="F10" s="365"/>
      <c r="G10" s="385">
        <v>15</v>
      </c>
      <c r="H10" s="385">
        <v>1380.0000000000016</v>
      </c>
      <c r="I10" s="385">
        <v>92.000000000000099</v>
      </c>
      <c r="J10" s="241" t="s">
        <v>815</v>
      </c>
      <c r="K10" s="692" t="s">
        <v>826</v>
      </c>
      <c r="L10" s="693"/>
      <c r="M10" s="131"/>
      <c r="P10" s="251"/>
      <c r="Q10" s="251"/>
      <c r="R10" s="251"/>
    </row>
    <row r="11" spans="1:18" ht="15.75" customHeight="1">
      <c r="A11" s="651"/>
      <c r="B11" s="652"/>
      <c r="C11" s="368">
        <v>4</v>
      </c>
      <c r="D11" s="363" t="s">
        <v>350</v>
      </c>
      <c r="E11" s="364"/>
      <c r="F11" s="365"/>
      <c r="G11" s="385">
        <v>15</v>
      </c>
      <c r="H11" s="385">
        <v>1333.3147821725684</v>
      </c>
      <c r="I11" s="385">
        <v>88.887652144837872</v>
      </c>
      <c r="J11" s="241" t="s">
        <v>815</v>
      </c>
      <c r="K11" s="691" t="s">
        <v>827</v>
      </c>
      <c r="L11" s="653"/>
      <c r="M11" s="131"/>
      <c r="P11" s="251"/>
      <c r="Q11" s="251"/>
      <c r="R11" s="251"/>
    </row>
    <row r="12" spans="1:18" ht="15.75" customHeight="1">
      <c r="A12" s="651"/>
      <c r="B12" s="652"/>
      <c r="C12" s="368">
        <v>5</v>
      </c>
      <c r="D12" s="363" t="s">
        <v>349</v>
      </c>
      <c r="E12" s="364"/>
      <c r="F12" s="365"/>
      <c r="G12" s="385">
        <v>16</v>
      </c>
      <c r="H12" s="385">
        <v>1386.798410722937</v>
      </c>
      <c r="I12" s="385">
        <v>86.674900670183561</v>
      </c>
      <c r="J12" s="242" t="s">
        <v>817</v>
      </c>
      <c r="K12" s="691" t="s">
        <v>816</v>
      </c>
      <c r="L12" s="653"/>
      <c r="M12" s="131"/>
      <c r="P12" s="251"/>
      <c r="Q12" s="251"/>
      <c r="R12" s="251"/>
    </row>
    <row r="13" spans="1:18" ht="15.75" customHeight="1">
      <c r="A13" s="651"/>
      <c r="B13" s="652"/>
      <c r="C13" s="165" t="s">
        <v>572</v>
      </c>
      <c r="D13" s="363" t="s">
        <v>673</v>
      </c>
      <c r="E13" s="364"/>
      <c r="F13" s="365"/>
      <c r="G13" s="385">
        <v>20</v>
      </c>
      <c r="H13" s="385">
        <v>1078.5537108288604</v>
      </c>
      <c r="I13" s="385">
        <v>53.927685541443019</v>
      </c>
      <c r="J13" s="240" t="s">
        <v>818</v>
      </c>
      <c r="K13" s="691"/>
      <c r="L13" s="653"/>
      <c r="M13" s="131"/>
      <c r="P13" s="251"/>
      <c r="Q13" s="251"/>
      <c r="R13" s="251"/>
    </row>
    <row r="14" spans="1:18" ht="15.75" customHeight="1">
      <c r="A14" s="651"/>
      <c r="B14" s="652"/>
      <c r="C14" s="165" t="s">
        <v>573</v>
      </c>
      <c r="D14" s="363" t="s">
        <v>583</v>
      </c>
      <c r="E14" s="364"/>
      <c r="F14" s="365"/>
      <c r="G14" s="385">
        <v>21</v>
      </c>
      <c r="H14" s="385">
        <v>1247.9708969343114</v>
      </c>
      <c r="I14" s="385">
        <v>59.427185568300537</v>
      </c>
      <c r="J14" s="240" t="s">
        <v>818</v>
      </c>
      <c r="K14" s="691"/>
      <c r="L14" s="653"/>
      <c r="M14" s="131"/>
      <c r="P14" s="251"/>
      <c r="Q14" s="251"/>
      <c r="R14" s="251"/>
    </row>
    <row r="15" spans="1:18" ht="15.75" customHeight="1">
      <c r="A15" s="651"/>
      <c r="B15" s="652"/>
      <c r="C15" s="165" t="s">
        <v>574</v>
      </c>
      <c r="D15" s="363" t="s">
        <v>536</v>
      </c>
      <c r="E15" s="364"/>
      <c r="F15" s="365"/>
      <c r="G15" s="385">
        <v>19.857142857142858</v>
      </c>
      <c r="H15" s="385">
        <v>1192.0643983448922</v>
      </c>
      <c r="I15" s="385">
        <v>60.043821421004004</v>
      </c>
      <c r="J15" s="240" t="s">
        <v>818</v>
      </c>
      <c r="K15" s="685"/>
      <c r="L15" s="653"/>
      <c r="M15" s="131"/>
      <c r="P15" s="251"/>
      <c r="Q15" s="251"/>
      <c r="R15" s="251"/>
    </row>
    <row r="16" spans="1:18" ht="15.75" customHeight="1">
      <c r="A16" s="651"/>
      <c r="B16" s="652"/>
      <c r="C16" s="165" t="s">
        <v>575</v>
      </c>
      <c r="D16" s="386" t="s">
        <v>614</v>
      </c>
      <c r="E16" s="364"/>
      <c r="F16" s="365"/>
      <c r="G16" s="385">
        <v>19</v>
      </c>
      <c r="H16" s="385">
        <v>1151.2500000000041</v>
      </c>
      <c r="I16" s="385">
        <v>60.592105263158111</v>
      </c>
      <c r="J16" s="240" t="s">
        <v>818</v>
      </c>
      <c r="K16" s="691"/>
      <c r="L16" s="685"/>
      <c r="M16" s="152"/>
      <c r="P16" s="251"/>
      <c r="Q16" s="251"/>
      <c r="R16" s="251"/>
    </row>
    <row r="17" spans="1:18" ht="15.75" customHeight="1">
      <c r="A17" s="651"/>
      <c r="B17" s="652"/>
      <c r="C17" s="165" t="s">
        <v>576</v>
      </c>
      <c r="D17" s="386" t="s">
        <v>617</v>
      </c>
      <c r="E17" s="364"/>
      <c r="F17" s="365"/>
      <c r="G17" s="385">
        <v>19</v>
      </c>
      <c r="H17" s="385">
        <v>1199.1158258758057</v>
      </c>
      <c r="I17" s="385">
        <v>63.111359256621348</v>
      </c>
      <c r="J17" s="242" t="s">
        <v>817</v>
      </c>
      <c r="K17" s="691" t="s">
        <v>816</v>
      </c>
      <c r="L17" s="653"/>
      <c r="M17" s="152"/>
      <c r="P17" s="251"/>
      <c r="Q17" s="251"/>
      <c r="R17" s="251"/>
    </row>
    <row r="18" spans="1:18" s="162" customFormat="1" ht="15.75" customHeight="1">
      <c r="A18" s="666" t="s">
        <v>570</v>
      </c>
      <c r="B18" s="666"/>
      <c r="C18" s="369" t="s">
        <v>571</v>
      </c>
      <c r="D18" s="666" t="s">
        <v>12</v>
      </c>
      <c r="E18" s="667"/>
      <c r="F18" s="667"/>
      <c r="G18" s="502" t="s">
        <v>819</v>
      </c>
      <c r="H18" s="502" t="s">
        <v>820</v>
      </c>
      <c r="I18" s="502" t="s">
        <v>821</v>
      </c>
      <c r="J18" s="222" t="s">
        <v>822</v>
      </c>
      <c r="K18" s="666" t="s">
        <v>823</v>
      </c>
      <c r="L18" s="667"/>
      <c r="M18" s="155"/>
    </row>
    <row r="19" spans="1:18" ht="15.75" customHeight="1">
      <c r="A19" s="651">
        <v>6</v>
      </c>
      <c r="B19" s="652" t="s">
        <v>131</v>
      </c>
      <c r="C19" s="368">
        <v>1</v>
      </c>
      <c r="D19" s="363" t="s">
        <v>531</v>
      </c>
      <c r="E19" s="364"/>
      <c r="F19" s="365"/>
      <c r="G19" s="385">
        <v>16.142857142857142</v>
      </c>
      <c r="H19" s="385">
        <v>1323.6188096357741</v>
      </c>
      <c r="I19" s="385">
        <v>82.025782541785901</v>
      </c>
      <c r="J19" s="241" t="s">
        <v>815</v>
      </c>
      <c r="K19" s="681" t="s">
        <v>816</v>
      </c>
      <c r="L19" s="686"/>
      <c r="M19" s="152"/>
      <c r="P19" s="251"/>
      <c r="Q19" s="251"/>
      <c r="R19" s="251"/>
    </row>
    <row r="20" spans="1:18" ht="15.75" customHeight="1">
      <c r="A20" s="651"/>
      <c r="B20" s="652"/>
      <c r="C20" s="368">
        <v>2</v>
      </c>
      <c r="D20" s="363" t="s">
        <v>643</v>
      </c>
      <c r="E20" s="364"/>
      <c r="F20" s="365"/>
      <c r="G20" s="385">
        <v>17</v>
      </c>
      <c r="H20" s="385">
        <v>1362.1185376231638</v>
      </c>
      <c r="I20" s="385">
        <v>80.124619860186087</v>
      </c>
      <c r="J20" s="242" t="s">
        <v>817</v>
      </c>
      <c r="K20" s="689"/>
      <c r="L20" s="690"/>
      <c r="M20" s="152"/>
      <c r="P20" s="251"/>
      <c r="Q20" s="251"/>
      <c r="R20" s="251"/>
    </row>
    <row r="21" spans="1:18" ht="15.75" customHeight="1">
      <c r="A21" s="651"/>
      <c r="B21" s="652"/>
      <c r="C21" s="368">
        <v>3</v>
      </c>
      <c r="D21" s="363" t="s">
        <v>353</v>
      </c>
      <c r="E21" s="364"/>
      <c r="F21" s="365"/>
      <c r="G21" s="385">
        <v>17</v>
      </c>
      <c r="H21" s="385">
        <v>1326.7180518116766</v>
      </c>
      <c r="I21" s="385">
        <v>78.042238341863339</v>
      </c>
      <c r="J21" s="240" t="s">
        <v>818</v>
      </c>
      <c r="K21" s="685"/>
      <c r="L21" s="653"/>
      <c r="M21" s="152"/>
      <c r="P21" s="251"/>
      <c r="Q21" s="251"/>
      <c r="R21" s="251"/>
    </row>
    <row r="22" spans="1:18" ht="15.75" customHeight="1">
      <c r="A22" s="651"/>
      <c r="B22" s="652"/>
      <c r="C22" s="368">
        <v>4</v>
      </c>
      <c r="D22" s="363" t="s">
        <v>812</v>
      </c>
      <c r="E22" s="364"/>
      <c r="F22" s="365"/>
      <c r="G22" s="385">
        <v>17</v>
      </c>
      <c r="H22" s="385">
        <v>1289.9784833886392</v>
      </c>
      <c r="I22" s="385">
        <v>75.881087258155247</v>
      </c>
      <c r="J22" s="240" t="s">
        <v>818</v>
      </c>
      <c r="K22" s="685" t="s">
        <v>828</v>
      </c>
      <c r="L22" s="653"/>
      <c r="M22" s="152"/>
      <c r="P22" s="251"/>
      <c r="Q22" s="251"/>
      <c r="R22" s="251"/>
    </row>
    <row r="23" spans="1:18" ht="15.75" customHeight="1">
      <c r="A23" s="651"/>
      <c r="B23" s="652"/>
      <c r="C23" s="368">
        <v>5</v>
      </c>
      <c r="D23" s="363" t="s">
        <v>354</v>
      </c>
      <c r="E23" s="364"/>
      <c r="F23" s="365"/>
      <c r="G23" s="385">
        <v>17</v>
      </c>
      <c r="H23" s="385">
        <v>1275.2226273155054</v>
      </c>
      <c r="I23" s="385">
        <v>75.013095724441499</v>
      </c>
      <c r="J23" s="242" t="s">
        <v>817</v>
      </c>
      <c r="K23" s="685" t="s">
        <v>816</v>
      </c>
      <c r="L23" s="653"/>
      <c r="M23" s="152"/>
      <c r="P23" s="251"/>
      <c r="Q23" s="251"/>
      <c r="R23" s="251"/>
    </row>
    <row r="24" spans="1:18" ht="15.75" customHeight="1">
      <c r="A24" s="651"/>
      <c r="B24" s="652"/>
      <c r="C24" s="165" t="s">
        <v>572</v>
      </c>
      <c r="D24" s="386" t="s">
        <v>355</v>
      </c>
      <c r="E24" s="364"/>
      <c r="F24" s="365"/>
      <c r="G24" s="385">
        <v>21</v>
      </c>
      <c r="H24" s="385">
        <v>1258.2547021914295</v>
      </c>
      <c r="I24" s="385">
        <v>59.916890580544255</v>
      </c>
      <c r="J24" s="240" t="s">
        <v>818</v>
      </c>
      <c r="K24" s="685"/>
      <c r="L24" s="653"/>
      <c r="M24" s="152"/>
      <c r="P24" s="251"/>
      <c r="Q24" s="251"/>
      <c r="R24" s="251"/>
    </row>
    <row r="25" spans="1:18" ht="15.75" customHeight="1">
      <c r="A25" s="651"/>
      <c r="B25" s="652"/>
      <c r="C25" s="165" t="s">
        <v>573</v>
      </c>
      <c r="D25" s="363" t="s">
        <v>636</v>
      </c>
      <c r="E25" s="364"/>
      <c r="F25" s="365"/>
      <c r="G25" s="385">
        <v>18.285714285714285</v>
      </c>
      <c r="H25" s="385">
        <v>1144.3530697810045</v>
      </c>
      <c r="I25" s="385">
        <v>62.552424579480466</v>
      </c>
      <c r="J25" s="240" t="s">
        <v>818</v>
      </c>
      <c r="K25" s="685"/>
      <c r="L25" s="653"/>
      <c r="M25" s="152"/>
      <c r="P25" s="251"/>
      <c r="Q25" s="251"/>
      <c r="R25" s="251"/>
    </row>
    <row r="26" spans="1:18" ht="15.75" customHeight="1">
      <c r="A26" s="651"/>
      <c r="B26" s="652"/>
      <c r="C26" s="165" t="s">
        <v>574</v>
      </c>
      <c r="D26" s="363" t="s">
        <v>356</v>
      </c>
      <c r="E26" s="364"/>
      <c r="F26" s="365"/>
      <c r="G26" s="385">
        <v>19</v>
      </c>
      <c r="H26" s="385">
        <v>1298.9645161787262</v>
      </c>
      <c r="I26" s="385">
        <v>68.36655348309084</v>
      </c>
      <c r="J26" s="242" t="s">
        <v>817</v>
      </c>
      <c r="K26" s="681" t="s">
        <v>816</v>
      </c>
      <c r="L26" s="686"/>
      <c r="M26" s="152"/>
      <c r="P26" s="251"/>
      <c r="Q26" s="251"/>
      <c r="R26" s="251"/>
    </row>
    <row r="27" spans="1:18" ht="15.75" customHeight="1">
      <c r="A27" s="651"/>
      <c r="B27" s="652"/>
      <c r="C27" s="165" t="s">
        <v>575</v>
      </c>
      <c r="D27" s="363" t="s">
        <v>506</v>
      </c>
      <c r="E27" s="364"/>
      <c r="F27" s="365"/>
      <c r="G27" s="385">
        <v>18</v>
      </c>
      <c r="H27" s="385">
        <v>1234.4835019782254</v>
      </c>
      <c r="I27" s="385">
        <v>68.582416776568067</v>
      </c>
      <c r="J27" s="242" t="s">
        <v>817</v>
      </c>
      <c r="K27" s="687"/>
      <c r="L27" s="688"/>
      <c r="M27" s="152"/>
      <c r="P27" s="251"/>
      <c r="Q27" s="251"/>
      <c r="R27" s="251"/>
    </row>
    <row r="28" spans="1:18" ht="15.75" customHeight="1">
      <c r="A28" s="651"/>
      <c r="B28" s="652"/>
      <c r="C28" s="165" t="s">
        <v>576</v>
      </c>
      <c r="D28" s="363" t="s">
        <v>509</v>
      </c>
      <c r="E28" s="364"/>
      <c r="F28" s="365"/>
      <c r="G28" s="385">
        <v>18</v>
      </c>
      <c r="H28" s="385">
        <v>1248.4000000000044</v>
      </c>
      <c r="I28" s="385">
        <v>69.35555555555581</v>
      </c>
      <c r="J28" s="241" t="s">
        <v>815</v>
      </c>
      <c r="K28" s="689"/>
      <c r="L28" s="690"/>
      <c r="M28" s="152"/>
      <c r="P28" s="251"/>
      <c r="Q28" s="251"/>
      <c r="R28" s="251"/>
    </row>
    <row r="29" spans="1:18" ht="15.75" customHeight="1">
      <c r="A29" s="152"/>
      <c r="B29" s="152"/>
      <c r="C29" s="152"/>
      <c r="D29" s="152"/>
      <c r="E29" s="152"/>
      <c r="F29" s="152"/>
      <c r="G29" s="152"/>
      <c r="H29" s="152"/>
      <c r="I29" s="152"/>
      <c r="J29" s="152"/>
      <c r="K29" s="152"/>
      <c r="L29" s="152"/>
      <c r="M29" s="131"/>
    </row>
    <row r="30" spans="1:18" ht="15.75" customHeight="1">
      <c r="A30" s="152"/>
      <c r="B30" s="152"/>
      <c r="C30" s="152"/>
      <c r="D30" s="152"/>
      <c r="E30" s="152"/>
      <c r="F30" s="152"/>
      <c r="G30" s="152"/>
      <c r="H30" s="152"/>
      <c r="I30" s="152"/>
      <c r="J30" s="152"/>
      <c r="K30" s="152"/>
      <c r="L30" s="152"/>
      <c r="M30" s="131"/>
    </row>
    <row r="31" spans="1:18" ht="15.75" customHeight="1">
      <c r="A31" s="152"/>
      <c r="B31" s="152"/>
      <c r="C31" s="152"/>
      <c r="D31" s="152"/>
      <c r="E31" s="152"/>
      <c r="F31" s="152"/>
      <c r="G31" s="152"/>
      <c r="H31" s="152"/>
      <c r="I31" s="152"/>
      <c r="J31" s="152"/>
      <c r="K31" s="152"/>
      <c r="L31" s="152"/>
      <c r="M31" s="131"/>
    </row>
    <row r="32" spans="1:18"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30">
    <mergeCell ref="K22:L22"/>
    <mergeCell ref="K23:L23"/>
    <mergeCell ref="A19:A28"/>
    <mergeCell ref="A8:A17"/>
    <mergeCell ref="B8:B17"/>
    <mergeCell ref="A18:B18"/>
    <mergeCell ref="D18:F18"/>
    <mergeCell ref="B19:B28"/>
    <mergeCell ref="A1:L2"/>
    <mergeCell ref="A3:L4"/>
    <mergeCell ref="A5:A6"/>
    <mergeCell ref="A7:B7"/>
    <mergeCell ref="D7:F7"/>
    <mergeCell ref="K7:L7"/>
    <mergeCell ref="K25:L25"/>
    <mergeCell ref="K26:L28"/>
    <mergeCell ref="K8:L8"/>
    <mergeCell ref="K9:L9"/>
    <mergeCell ref="K10:L10"/>
    <mergeCell ref="K11:L11"/>
    <mergeCell ref="K19:L20"/>
    <mergeCell ref="K24:L24"/>
    <mergeCell ref="K15:L15"/>
    <mergeCell ref="K16:L16"/>
    <mergeCell ref="K17:L17"/>
    <mergeCell ref="K21:L21"/>
    <mergeCell ref="K18:L18"/>
    <mergeCell ref="K12:L12"/>
    <mergeCell ref="K13:L13"/>
    <mergeCell ref="K14:L14"/>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M35"/>
  <sheetViews>
    <sheetView topLeftCell="A2" zoomScale="90" zoomScaleNormal="90" zoomScaleSheetLayoutView="100" workbookViewId="0">
      <selection activeCell="O25" sqref="O25"/>
    </sheetView>
  </sheetViews>
  <sheetFormatPr defaultColWidth="12.5703125" defaultRowHeight="15.75" customHeight="1"/>
  <cols>
    <col min="1" max="1" width="6.42578125" style="120" customWidth="1"/>
    <col min="2" max="10" width="11.5703125" style="120" customWidth="1"/>
    <col min="11" max="12" width="12.85546875" style="120" customWidth="1"/>
    <col min="13" max="13" width="12.5703125" style="121"/>
    <col min="14" max="16384" width="12.5703125" style="120"/>
  </cols>
  <sheetData>
    <row r="1" spans="1:13" ht="15.75" customHeight="1">
      <c r="A1" s="531" t="s">
        <v>186</v>
      </c>
      <c r="B1" s="531"/>
      <c r="C1" s="531"/>
      <c r="D1" s="531"/>
      <c r="E1" s="531"/>
      <c r="F1" s="531"/>
      <c r="G1" s="531"/>
      <c r="H1" s="531"/>
      <c r="I1" s="531"/>
      <c r="J1" s="531"/>
      <c r="K1" s="531"/>
      <c r="L1" s="531"/>
      <c r="M1" s="120"/>
    </row>
    <row r="2" spans="1:13" s="121" customFormat="1" ht="15.75" customHeight="1">
      <c r="A2" s="531"/>
      <c r="B2" s="531"/>
      <c r="C2" s="531"/>
      <c r="D2" s="531"/>
      <c r="E2" s="531"/>
      <c r="F2" s="531"/>
      <c r="G2" s="531"/>
      <c r="H2" s="531"/>
      <c r="I2" s="531"/>
      <c r="J2" s="531"/>
      <c r="K2" s="531"/>
      <c r="L2" s="531"/>
    </row>
    <row r="3" spans="1:13" ht="15.75" customHeight="1">
      <c r="A3" s="654" t="s">
        <v>187</v>
      </c>
      <c r="B3" s="654"/>
      <c r="C3" s="654"/>
      <c r="D3" s="654"/>
      <c r="E3" s="654"/>
      <c r="F3" s="654"/>
      <c r="G3" s="654"/>
      <c r="H3" s="654"/>
      <c r="I3" s="654"/>
      <c r="J3" s="654"/>
      <c r="K3" s="654"/>
      <c r="L3" s="654"/>
      <c r="M3" s="152"/>
    </row>
    <row r="4" spans="1:13" s="121" customFormat="1" ht="15.75" customHeight="1">
      <c r="A4" s="654"/>
      <c r="B4" s="654"/>
      <c r="C4" s="654"/>
      <c r="D4" s="654"/>
      <c r="E4" s="654"/>
      <c r="F4" s="654"/>
      <c r="G4" s="654"/>
      <c r="H4" s="654"/>
      <c r="I4" s="654"/>
      <c r="J4" s="654"/>
      <c r="K4" s="654"/>
      <c r="L4" s="654"/>
      <c r="M4" s="131"/>
    </row>
    <row r="5" spans="1:13" s="154" customFormat="1" ht="16.350000000000001" customHeight="1">
      <c r="A5" s="700" t="s">
        <v>154</v>
      </c>
      <c r="B5" s="156">
        <v>1</v>
      </c>
      <c r="C5" s="156">
        <v>2</v>
      </c>
      <c r="D5" s="156">
        <v>3</v>
      </c>
      <c r="E5" s="156">
        <v>4</v>
      </c>
      <c r="F5" s="156">
        <v>5</v>
      </c>
      <c r="G5" s="156">
        <v>6</v>
      </c>
      <c r="H5" s="166">
        <v>7</v>
      </c>
      <c r="I5" s="166">
        <v>8</v>
      </c>
      <c r="J5" s="156">
        <v>9</v>
      </c>
      <c r="K5" s="153"/>
      <c r="L5" s="153"/>
      <c r="M5" s="153"/>
    </row>
    <row r="6" spans="1:13" ht="16.350000000000001" customHeight="1">
      <c r="A6" s="702"/>
      <c r="B6" s="157" t="s">
        <v>188</v>
      </c>
      <c r="C6" s="157" t="s">
        <v>151</v>
      </c>
      <c r="D6" s="157" t="s">
        <v>189</v>
      </c>
      <c r="E6" s="157" t="s">
        <v>153</v>
      </c>
      <c r="F6" s="158" t="s">
        <v>133</v>
      </c>
      <c r="G6" s="159" t="s">
        <v>131</v>
      </c>
      <c r="H6" s="167" t="s">
        <v>190</v>
      </c>
      <c r="I6" s="169" t="s">
        <v>191</v>
      </c>
      <c r="J6" s="159" t="s">
        <v>137</v>
      </c>
      <c r="K6" s="155"/>
      <c r="L6" s="155"/>
      <c r="M6" s="131"/>
    </row>
    <row r="7" spans="1:13" s="154" customFormat="1" ht="15.75" customHeight="1">
      <c r="A7" s="711" t="s">
        <v>570</v>
      </c>
      <c r="B7" s="712"/>
      <c r="C7" s="367" t="s">
        <v>571</v>
      </c>
      <c r="D7" s="711" t="s">
        <v>12</v>
      </c>
      <c r="E7" s="713"/>
      <c r="F7" s="712"/>
      <c r="G7" s="389" t="s">
        <v>46</v>
      </c>
      <c r="H7" s="389" t="s">
        <v>592</v>
      </c>
      <c r="I7" s="389" t="s">
        <v>593</v>
      </c>
      <c r="J7" s="222" t="s">
        <v>594</v>
      </c>
      <c r="K7" s="711" t="s">
        <v>51</v>
      </c>
      <c r="L7" s="712"/>
      <c r="M7" s="153"/>
    </row>
    <row r="8" spans="1:13" ht="15.75" customHeight="1">
      <c r="A8" s="700">
        <v>7</v>
      </c>
      <c r="B8" s="703" t="s">
        <v>135</v>
      </c>
      <c r="C8" s="368">
        <v>1</v>
      </c>
      <c r="D8" s="363" t="s">
        <v>678</v>
      </c>
      <c r="E8" s="364"/>
      <c r="F8" s="365"/>
      <c r="G8" s="385">
        <v>14</v>
      </c>
      <c r="H8" s="385">
        <v>1460.1255633363107</v>
      </c>
      <c r="I8" s="385">
        <v>104.29468309545078</v>
      </c>
      <c r="J8" s="240" t="s">
        <v>818</v>
      </c>
      <c r="K8" s="709"/>
      <c r="L8" s="710"/>
      <c r="M8" s="131"/>
    </row>
    <row r="9" spans="1:13" ht="15.75" customHeight="1">
      <c r="A9" s="701"/>
      <c r="B9" s="704"/>
      <c r="C9" s="368">
        <v>2</v>
      </c>
      <c r="D9" s="386" t="s">
        <v>642</v>
      </c>
      <c r="E9" s="364"/>
      <c r="F9" s="365"/>
      <c r="G9" s="385">
        <v>15.428571428571429</v>
      </c>
      <c r="H9" s="385">
        <v>1428.910735023909</v>
      </c>
      <c r="I9" s="385">
        <v>92.707667826830047</v>
      </c>
      <c r="J9" s="241" t="s">
        <v>815</v>
      </c>
      <c r="K9" s="681" t="s">
        <v>816</v>
      </c>
      <c r="L9" s="686"/>
      <c r="M9" s="131"/>
    </row>
    <row r="10" spans="1:13" ht="15.75" customHeight="1">
      <c r="A10" s="701"/>
      <c r="B10" s="704"/>
      <c r="C10" s="368">
        <v>3</v>
      </c>
      <c r="D10" s="363" t="s">
        <v>543</v>
      </c>
      <c r="E10" s="364"/>
      <c r="F10" s="365"/>
      <c r="G10" s="385">
        <v>16.857142857142858</v>
      </c>
      <c r="H10" s="385">
        <v>1425.8077671486994</v>
      </c>
      <c r="I10" s="385">
        <v>84.625596947122375</v>
      </c>
      <c r="J10" s="242" t="s">
        <v>817</v>
      </c>
      <c r="K10" s="689"/>
      <c r="L10" s="690"/>
      <c r="M10" s="131"/>
    </row>
    <row r="11" spans="1:13" ht="15.75" customHeight="1">
      <c r="A11" s="701"/>
      <c r="B11" s="704"/>
      <c r="C11" s="368">
        <v>4</v>
      </c>
      <c r="D11" s="363" t="s">
        <v>645</v>
      </c>
      <c r="E11" s="364"/>
      <c r="F11" s="365"/>
      <c r="G11" s="385">
        <v>17</v>
      </c>
      <c r="H11" s="385">
        <v>1429.5296351868105</v>
      </c>
      <c r="I11" s="385">
        <v>84.089978540400594</v>
      </c>
      <c r="J11" s="240" t="s">
        <v>818</v>
      </c>
      <c r="K11" s="692"/>
      <c r="L11" s="696"/>
      <c r="M11" s="131"/>
    </row>
    <row r="12" spans="1:13" ht="15.75" customHeight="1">
      <c r="A12" s="701"/>
      <c r="B12" s="704"/>
      <c r="C12" s="368">
        <v>5</v>
      </c>
      <c r="D12" s="363" t="s">
        <v>666</v>
      </c>
      <c r="E12" s="364"/>
      <c r="F12" s="365"/>
      <c r="G12" s="385">
        <v>17.142857142857142</v>
      </c>
      <c r="H12" s="385">
        <v>1391.6086029904623</v>
      </c>
      <c r="I12" s="385">
        <v>81.205844664293139</v>
      </c>
      <c r="J12" s="240" t="s">
        <v>818</v>
      </c>
      <c r="K12" s="692"/>
      <c r="L12" s="696"/>
      <c r="M12" s="131"/>
    </row>
    <row r="13" spans="1:13" ht="15.75" customHeight="1">
      <c r="A13" s="701"/>
      <c r="B13" s="704"/>
      <c r="C13" s="165" t="s">
        <v>572</v>
      </c>
      <c r="D13" s="386" t="s">
        <v>656</v>
      </c>
      <c r="E13" s="364"/>
      <c r="F13" s="365"/>
      <c r="G13" s="385">
        <v>17</v>
      </c>
      <c r="H13" s="385">
        <v>1358.5460182889751</v>
      </c>
      <c r="I13" s="385">
        <v>79.914471664057373</v>
      </c>
      <c r="J13" s="240" t="s">
        <v>818</v>
      </c>
      <c r="K13" s="692"/>
      <c r="L13" s="696"/>
      <c r="M13" s="131"/>
    </row>
    <row r="14" spans="1:13" ht="15.75" customHeight="1">
      <c r="A14" s="701"/>
      <c r="B14" s="704"/>
      <c r="C14" s="165" t="s">
        <v>573</v>
      </c>
      <c r="D14" s="363"/>
      <c r="E14" s="364"/>
      <c r="F14" s="365"/>
      <c r="G14" s="385"/>
      <c r="H14" s="385"/>
      <c r="I14" s="385"/>
      <c r="J14" s="240"/>
      <c r="K14" s="714"/>
      <c r="L14" s="696"/>
      <c r="M14" s="131"/>
    </row>
    <row r="15" spans="1:13" ht="15.75" customHeight="1">
      <c r="A15" s="701"/>
      <c r="B15" s="704"/>
      <c r="C15" s="165" t="s">
        <v>574</v>
      </c>
      <c r="D15" s="363"/>
      <c r="E15" s="364"/>
      <c r="F15" s="365"/>
      <c r="G15" s="385"/>
      <c r="H15" s="385"/>
      <c r="I15" s="385"/>
      <c r="J15" s="240"/>
      <c r="K15" s="714"/>
      <c r="L15" s="696"/>
      <c r="M15" s="131"/>
    </row>
    <row r="16" spans="1:13" ht="15.75" customHeight="1">
      <c r="A16" s="701"/>
      <c r="B16" s="704"/>
      <c r="C16" s="165" t="s">
        <v>575</v>
      </c>
      <c r="D16" s="363"/>
      <c r="E16" s="364"/>
      <c r="F16" s="365"/>
      <c r="G16" s="385"/>
      <c r="H16" s="385"/>
      <c r="I16" s="385"/>
      <c r="J16" s="240"/>
      <c r="K16" s="714"/>
      <c r="L16" s="696"/>
      <c r="M16" s="152"/>
    </row>
    <row r="17" spans="1:13" ht="15.75" customHeight="1">
      <c r="A17" s="702"/>
      <c r="B17" s="705"/>
      <c r="C17" s="165" t="s">
        <v>576</v>
      </c>
      <c r="D17" s="363"/>
      <c r="E17" s="364"/>
      <c r="F17" s="365"/>
      <c r="G17" s="503"/>
      <c r="H17" s="503"/>
      <c r="I17" s="503"/>
      <c r="J17" s="503"/>
      <c r="K17" s="714"/>
      <c r="L17" s="696"/>
      <c r="M17" s="152"/>
    </row>
    <row r="18" spans="1:13" s="162" customFormat="1" ht="15.75" customHeight="1">
      <c r="A18" s="697" t="s">
        <v>570</v>
      </c>
      <c r="B18" s="698"/>
      <c r="C18" s="369" t="s">
        <v>571</v>
      </c>
      <c r="D18" s="697" t="s">
        <v>12</v>
      </c>
      <c r="E18" s="699"/>
      <c r="F18" s="698"/>
      <c r="G18" s="502" t="s">
        <v>819</v>
      </c>
      <c r="H18" s="502" t="s">
        <v>820</v>
      </c>
      <c r="I18" s="502" t="s">
        <v>821</v>
      </c>
      <c r="J18" s="222" t="s">
        <v>822</v>
      </c>
      <c r="K18" s="697" t="s">
        <v>823</v>
      </c>
      <c r="L18" s="698"/>
      <c r="M18" s="155"/>
    </row>
    <row r="19" spans="1:13" ht="15.75" customHeight="1">
      <c r="A19" s="700">
        <v>8</v>
      </c>
      <c r="B19" s="703" t="s">
        <v>136</v>
      </c>
      <c r="C19" s="368">
        <v>1</v>
      </c>
      <c r="D19" s="363" t="s">
        <v>677</v>
      </c>
      <c r="E19" s="364"/>
      <c r="F19" s="365"/>
      <c r="G19" s="385">
        <v>17</v>
      </c>
      <c r="H19" s="385">
        <v>2326.6880682690858</v>
      </c>
      <c r="I19" s="385">
        <v>136.86400401582858</v>
      </c>
      <c r="J19" s="240" t="s">
        <v>818</v>
      </c>
      <c r="K19" s="708"/>
      <c r="L19" s="695"/>
      <c r="M19" s="152"/>
    </row>
    <row r="20" spans="1:13" ht="15.75" customHeight="1">
      <c r="A20" s="701"/>
      <c r="B20" s="704"/>
      <c r="C20" s="368">
        <v>2</v>
      </c>
      <c r="D20" s="363" t="s">
        <v>358</v>
      </c>
      <c r="E20" s="364"/>
      <c r="F20" s="365"/>
      <c r="G20" s="385">
        <v>18.857142857142858</v>
      </c>
      <c r="H20" s="385">
        <v>2519.0396243355331</v>
      </c>
      <c r="I20" s="385">
        <v>133.63665699472918</v>
      </c>
      <c r="J20" s="241" t="s">
        <v>815</v>
      </c>
      <c r="K20" s="681" t="s">
        <v>816</v>
      </c>
      <c r="L20" s="686"/>
      <c r="M20" s="152"/>
    </row>
    <row r="21" spans="1:13" ht="15.75" customHeight="1">
      <c r="A21" s="701"/>
      <c r="B21" s="704"/>
      <c r="C21" s="368">
        <v>3</v>
      </c>
      <c r="D21" s="363" t="s">
        <v>359</v>
      </c>
      <c r="E21" s="364"/>
      <c r="F21" s="365"/>
      <c r="G21" s="385">
        <v>19</v>
      </c>
      <c r="H21" s="385">
        <v>2523.3901226532112</v>
      </c>
      <c r="I21" s="385">
        <v>132.81000645543216</v>
      </c>
      <c r="J21" s="241" t="s">
        <v>815</v>
      </c>
      <c r="K21" s="689"/>
      <c r="L21" s="690"/>
      <c r="M21" s="152"/>
    </row>
    <row r="22" spans="1:13" ht="15.75" customHeight="1">
      <c r="A22" s="701"/>
      <c r="B22" s="704"/>
      <c r="C22" s="368">
        <v>4</v>
      </c>
      <c r="D22" s="363" t="s">
        <v>360</v>
      </c>
      <c r="E22" s="364"/>
      <c r="F22" s="365"/>
      <c r="G22" s="385">
        <v>19</v>
      </c>
      <c r="H22" s="385">
        <v>2522.7449470172683</v>
      </c>
      <c r="I22" s="385">
        <v>132.77604984301414</v>
      </c>
      <c r="J22" s="240" t="s">
        <v>818</v>
      </c>
      <c r="K22" s="694"/>
      <c r="L22" s="695"/>
      <c r="M22" s="152"/>
    </row>
    <row r="23" spans="1:13" ht="15.75" customHeight="1">
      <c r="A23" s="701"/>
      <c r="B23" s="704"/>
      <c r="C23" s="368">
        <v>5</v>
      </c>
      <c r="D23" s="363" t="s">
        <v>653</v>
      </c>
      <c r="E23" s="364"/>
      <c r="F23" s="365"/>
      <c r="G23" s="385">
        <v>17.714285714285715</v>
      </c>
      <c r="H23" s="385">
        <v>2334.2167684082719</v>
      </c>
      <c r="I23" s="385">
        <v>131.87096083854792</v>
      </c>
      <c r="J23" s="242" t="s">
        <v>817</v>
      </c>
      <c r="K23" s="694" t="s">
        <v>829</v>
      </c>
      <c r="L23" s="695"/>
      <c r="M23" s="152"/>
    </row>
    <row r="24" spans="1:13" ht="15.75" customHeight="1">
      <c r="A24" s="701"/>
      <c r="B24" s="704"/>
      <c r="C24" s="165" t="s">
        <v>572</v>
      </c>
      <c r="D24" s="363" t="s">
        <v>357</v>
      </c>
      <c r="E24" s="364"/>
      <c r="F24" s="365"/>
      <c r="G24" s="503">
        <v>20</v>
      </c>
      <c r="H24" s="385">
        <v>2252.7798887605663</v>
      </c>
      <c r="I24" s="385">
        <v>112.63899443802829</v>
      </c>
      <c r="J24" s="240" t="s">
        <v>818</v>
      </c>
      <c r="K24" s="694"/>
      <c r="L24" s="695"/>
      <c r="M24" s="152"/>
    </row>
    <row r="25" spans="1:13" ht="15.75" customHeight="1">
      <c r="A25" s="701"/>
      <c r="B25" s="704"/>
      <c r="C25" s="165" t="s">
        <v>573</v>
      </c>
      <c r="D25" s="363" t="s">
        <v>532</v>
      </c>
      <c r="E25" s="364"/>
      <c r="F25" s="365"/>
      <c r="G25" s="503">
        <v>18</v>
      </c>
      <c r="H25" s="385">
        <v>2172.3954268806251</v>
      </c>
      <c r="I25" s="385">
        <v>120.68863482670136</v>
      </c>
      <c r="J25" s="240" t="s">
        <v>818</v>
      </c>
      <c r="K25" s="706"/>
      <c r="L25" s="707"/>
      <c r="M25" s="152"/>
    </row>
    <row r="26" spans="1:13" ht="15.75" customHeight="1">
      <c r="A26" s="701"/>
      <c r="B26" s="704"/>
      <c r="C26" s="165" t="s">
        <v>574</v>
      </c>
      <c r="D26" s="363"/>
      <c r="E26" s="364"/>
      <c r="F26" s="365"/>
      <c r="G26" s="503"/>
      <c r="H26" s="503"/>
      <c r="I26" s="503"/>
      <c r="J26" s="503"/>
      <c r="K26" s="706"/>
      <c r="L26" s="707"/>
      <c r="M26" s="152"/>
    </row>
    <row r="27" spans="1:13" ht="15.75" customHeight="1">
      <c r="A27" s="701"/>
      <c r="B27" s="704"/>
      <c r="C27" s="165" t="s">
        <v>575</v>
      </c>
      <c r="D27" s="363"/>
      <c r="E27" s="364"/>
      <c r="F27" s="365"/>
      <c r="G27" s="503"/>
      <c r="H27" s="503"/>
      <c r="I27" s="503"/>
      <c r="J27" s="503"/>
      <c r="K27" s="706"/>
      <c r="L27" s="707"/>
      <c r="M27" s="152"/>
    </row>
    <row r="28" spans="1:13" ht="15.75" customHeight="1">
      <c r="A28" s="702"/>
      <c r="B28" s="705"/>
      <c r="C28" s="165" t="s">
        <v>576</v>
      </c>
      <c r="D28" s="363"/>
      <c r="E28" s="364"/>
      <c r="F28" s="365"/>
      <c r="G28" s="503"/>
      <c r="H28" s="503"/>
      <c r="I28" s="503"/>
      <c r="J28" s="503"/>
      <c r="K28" s="706"/>
      <c r="L28" s="707"/>
      <c r="M28" s="152"/>
    </row>
    <row r="29" spans="1:13" ht="15.75" customHeight="1">
      <c r="A29" s="152"/>
      <c r="B29" s="152"/>
      <c r="C29" s="152"/>
      <c r="D29" s="152"/>
      <c r="E29" s="152"/>
      <c r="F29" s="152"/>
      <c r="G29" s="152"/>
      <c r="H29" s="152"/>
      <c r="I29" s="152"/>
      <c r="J29" s="152"/>
      <c r="K29" s="152"/>
      <c r="L29" s="152"/>
      <c r="M29" s="131"/>
    </row>
    <row r="30" spans="1:13" ht="15.75" customHeight="1">
      <c r="A30" s="152"/>
      <c r="B30" s="152"/>
      <c r="C30" s="152"/>
      <c r="D30" s="152"/>
      <c r="E30" s="152"/>
      <c r="F30" s="152"/>
      <c r="G30" s="152"/>
      <c r="H30" s="152"/>
      <c r="I30" s="152"/>
      <c r="J30" s="152"/>
      <c r="K30" s="152"/>
      <c r="L30" s="152"/>
      <c r="M30" s="131"/>
    </row>
    <row r="31" spans="1:13" ht="15.75" customHeight="1">
      <c r="A31" s="152"/>
      <c r="B31" s="152"/>
      <c r="C31" s="152"/>
      <c r="D31" s="152"/>
      <c r="E31" s="152"/>
      <c r="F31" s="152"/>
      <c r="G31" s="152"/>
      <c r="H31" s="152"/>
      <c r="I31" s="152"/>
      <c r="J31" s="152"/>
      <c r="K31" s="152"/>
      <c r="L31" s="152"/>
      <c r="M31" s="131"/>
    </row>
    <row r="32" spans="1:13"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31">
    <mergeCell ref="A1:L2"/>
    <mergeCell ref="K8:L8"/>
    <mergeCell ref="A3:L4"/>
    <mergeCell ref="A5:A6"/>
    <mergeCell ref="A7:B7"/>
    <mergeCell ref="D7:F7"/>
    <mergeCell ref="K7:L7"/>
    <mergeCell ref="A8:A17"/>
    <mergeCell ref="B8:B17"/>
    <mergeCell ref="K17:L17"/>
    <mergeCell ref="K16:L16"/>
    <mergeCell ref="K13:L13"/>
    <mergeCell ref="K14:L14"/>
    <mergeCell ref="K15:L15"/>
    <mergeCell ref="K9:L10"/>
    <mergeCell ref="K11:L11"/>
    <mergeCell ref="K23:L23"/>
    <mergeCell ref="K12:L12"/>
    <mergeCell ref="A18:B18"/>
    <mergeCell ref="D18:F18"/>
    <mergeCell ref="K18:L18"/>
    <mergeCell ref="A19:A28"/>
    <mergeCell ref="B19:B28"/>
    <mergeCell ref="K28:L28"/>
    <mergeCell ref="K24:L24"/>
    <mergeCell ref="K25:L25"/>
    <mergeCell ref="K27:L27"/>
    <mergeCell ref="K26:L26"/>
    <mergeCell ref="K19:L19"/>
    <mergeCell ref="K20:L21"/>
    <mergeCell ref="K22:L22"/>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M35"/>
  <sheetViews>
    <sheetView zoomScale="70" zoomScaleNormal="70" zoomScaleSheetLayoutView="100" workbookViewId="0">
      <selection activeCell="R19" sqref="R19"/>
    </sheetView>
  </sheetViews>
  <sheetFormatPr defaultColWidth="12.5703125" defaultRowHeight="15.75" customHeight="1"/>
  <cols>
    <col min="1" max="1" width="6.42578125" style="120" customWidth="1"/>
    <col min="2" max="10" width="11.5703125" style="120" customWidth="1"/>
    <col min="11" max="12" width="12.85546875" style="120" customWidth="1"/>
    <col min="13" max="13" width="12.5703125" style="121"/>
    <col min="14" max="16384" width="12.5703125" style="120"/>
  </cols>
  <sheetData>
    <row r="1" spans="1:13" ht="15.75" customHeight="1">
      <c r="A1" s="531" t="s">
        <v>186</v>
      </c>
      <c r="B1" s="531"/>
      <c r="C1" s="531"/>
      <c r="D1" s="531"/>
      <c r="E1" s="531"/>
      <c r="F1" s="531"/>
      <c r="G1" s="531"/>
      <c r="H1" s="531"/>
      <c r="I1" s="531"/>
      <c r="J1" s="531"/>
      <c r="K1" s="531"/>
      <c r="L1" s="531"/>
      <c r="M1" s="120"/>
    </row>
    <row r="2" spans="1:13" s="121" customFormat="1" ht="15.75" customHeight="1">
      <c r="A2" s="531"/>
      <c r="B2" s="531"/>
      <c r="C2" s="531"/>
      <c r="D2" s="531"/>
      <c r="E2" s="531"/>
      <c r="F2" s="531"/>
      <c r="G2" s="531"/>
      <c r="H2" s="531"/>
      <c r="I2" s="531"/>
      <c r="J2" s="531"/>
      <c r="K2" s="531"/>
      <c r="L2" s="531"/>
    </row>
    <row r="3" spans="1:13" ht="15.75" customHeight="1">
      <c r="A3" s="654" t="s">
        <v>187</v>
      </c>
      <c r="B3" s="654"/>
      <c r="C3" s="654"/>
      <c r="D3" s="654"/>
      <c r="E3" s="654"/>
      <c r="F3" s="654"/>
      <c r="G3" s="654"/>
      <c r="H3" s="654"/>
      <c r="I3" s="654"/>
      <c r="J3" s="654"/>
      <c r="K3" s="654"/>
      <c r="L3" s="654"/>
      <c r="M3" s="152"/>
    </row>
    <row r="4" spans="1:13" s="121" customFormat="1" ht="15.75" customHeight="1">
      <c r="A4" s="654"/>
      <c r="B4" s="654"/>
      <c r="C4" s="654"/>
      <c r="D4" s="654"/>
      <c r="E4" s="654"/>
      <c r="F4" s="654"/>
      <c r="G4" s="654"/>
      <c r="H4" s="654"/>
      <c r="I4" s="654"/>
      <c r="J4" s="654"/>
      <c r="K4" s="654"/>
      <c r="L4" s="654"/>
      <c r="M4" s="131"/>
    </row>
    <row r="5" spans="1:13" s="154" customFormat="1" ht="16.350000000000001" customHeight="1">
      <c r="A5" s="700" t="s">
        <v>154</v>
      </c>
      <c r="B5" s="156">
        <v>1</v>
      </c>
      <c r="C5" s="156">
        <v>2</v>
      </c>
      <c r="D5" s="156">
        <v>3</v>
      </c>
      <c r="E5" s="156">
        <v>4</v>
      </c>
      <c r="F5" s="156">
        <v>5</v>
      </c>
      <c r="G5" s="156">
        <v>6</v>
      </c>
      <c r="H5" s="156">
        <v>7</v>
      </c>
      <c r="I5" s="156">
        <v>8</v>
      </c>
      <c r="J5" s="166">
        <v>9</v>
      </c>
      <c r="K5" s="153"/>
      <c r="L5" s="153"/>
      <c r="M5" s="153"/>
    </row>
    <row r="6" spans="1:13" ht="16.350000000000001" customHeight="1">
      <c r="A6" s="702"/>
      <c r="B6" s="157" t="s">
        <v>188</v>
      </c>
      <c r="C6" s="157" t="s">
        <v>151</v>
      </c>
      <c r="D6" s="157" t="s">
        <v>189</v>
      </c>
      <c r="E6" s="157" t="s">
        <v>153</v>
      </c>
      <c r="F6" s="158" t="s">
        <v>133</v>
      </c>
      <c r="G6" s="159" t="s">
        <v>131</v>
      </c>
      <c r="H6" s="160" t="s">
        <v>190</v>
      </c>
      <c r="I6" s="159" t="s">
        <v>191</v>
      </c>
      <c r="J6" s="169" t="s">
        <v>137</v>
      </c>
      <c r="K6" s="155"/>
      <c r="L6" s="155"/>
      <c r="M6" s="131"/>
    </row>
    <row r="7" spans="1:13" s="154" customFormat="1" ht="15.75" customHeight="1">
      <c r="A7" s="711" t="s">
        <v>570</v>
      </c>
      <c r="B7" s="712"/>
      <c r="C7" s="367" t="s">
        <v>571</v>
      </c>
      <c r="D7" s="711" t="s">
        <v>12</v>
      </c>
      <c r="E7" s="713"/>
      <c r="F7" s="712"/>
      <c r="G7" s="389" t="s">
        <v>587</v>
      </c>
      <c r="H7" s="389" t="s">
        <v>588</v>
      </c>
      <c r="I7" s="389" t="s">
        <v>589</v>
      </c>
      <c r="J7" s="222" t="s">
        <v>590</v>
      </c>
      <c r="K7" s="711" t="s">
        <v>591</v>
      </c>
      <c r="L7" s="712"/>
      <c r="M7" s="153"/>
    </row>
    <row r="8" spans="1:13" ht="15.75" customHeight="1">
      <c r="A8" s="700">
        <v>9</v>
      </c>
      <c r="B8" s="703" t="s">
        <v>137</v>
      </c>
      <c r="C8" s="368">
        <v>1</v>
      </c>
      <c r="D8" s="363" t="s">
        <v>361</v>
      </c>
      <c r="E8" s="364"/>
      <c r="F8" s="365"/>
      <c r="G8" s="435">
        <v>7</v>
      </c>
      <c r="H8" s="435">
        <v>1472.1589602261688</v>
      </c>
      <c r="I8" s="435">
        <v>210.30842288945269</v>
      </c>
      <c r="J8" s="241" t="s">
        <v>830</v>
      </c>
      <c r="K8" s="726" t="s">
        <v>831</v>
      </c>
      <c r="L8" s="727"/>
      <c r="M8" s="131"/>
    </row>
    <row r="9" spans="1:13" ht="15.75" customHeight="1">
      <c r="A9" s="701"/>
      <c r="B9" s="704"/>
      <c r="C9" s="368">
        <v>2</v>
      </c>
      <c r="D9" s="363" t="s">
        <v>362</v>
      </c>
      <c r="E9" s="364"/>
      <c r="F9" s="365"/>
      <c r="G9" s="435">
        <v>7</v>
      </c>
      <c r="H9" s="435">
        <v>1469.4929530837012</v>
      </c>
      <c r="I9" s="435">
        <v>209.92756472624305</v>
      </c>
      <c r="J9" s="241" t="s">
        <v>830</v>
      </c>
      <c r="K9" s="728"/>
      <c r="L9" s="729"/>
      <c r="M9" s="131"/>
    </row>
    <row r="10" spans="1:13" ht="15.75" customHeight="1">
      <c r="A10" s="701"/>
      <c r="B10" s="704"/>
      <c r="C10" s="368">
        <v>3</v>
      </c>
      <c r="D10" s="363" t="s">
        <v>401</v>
      </c>
      <c r="E10" s="364"/>
      <c r="F10" s="365"/>
      <c r="G10" s="435">
        <v>7</v>
      </c>
      <c r="H10" s="435">
        <v>1467.3471279473451</v>
      </c>
      <c r="I10" s="435">
        <v>209.62101827819214</v>
      </c>
      <c r="J10" s="242" t="s">
        <v>832</v>
      </c>
      <c r="K10" s="728"/>
      <c r="L10" s="729"/>
      <c r="M10" s="131"/>
    </row>
    <row r="11" spans="1:13" ht="15.75" customHeight="1">
      <c r="A11" s="701"/>
      <c r="B11" s="704"/>
      <c r="C11" s="368">
        <v>4</v>
      </c>
      <c r="D11" s="386" t="s">
        <v>599</v>
      </c>
      <c r="E11" s="364"/>
      <c r="F11" s="365"/>
      <c r="G11" s="435">
        <v>7</v>
      </c>
      <c r="H11" s="435">
        <v>1454.8809833034807</v>
      </c>
      <c r="I11" s="435">
        <v>207.84014047192582</v>
      </c>
      <c r="J11" s="240" t="s">
        <v>833</v>
      </c>
      <c r="K11" s="730"/>
      <c r="L11" s="731"/>
      <c r="M11" s="131"/>
    </row>
    <row r="12" spans="1:13" ht="15.75" customHeight="1">
      <c r="A12" s="701"/>
      <c r="B12" s="704"/>
      <c r="C12" s="368">
        <v>5</v>
      </c>
      <c r="D12" s="363" t="s">
        <v>814</v>
      </c>
      <c r="E12" s="364"/>
      <c r="F12" s="365"/>
      <c r="G12" s="435">
        <v>12.857142857142858</v>
      </c>
      <c r="H12" s="435">
        <v>1805.7247377851775</v>
      </c>
      <c r="I12" s="435">
        <v>137.00288307834225</v>
      </c>
      <c r="J12" s="240" t="s">
        <v>833</v>
      </c>
      <c r="K12" s="715" t="s">
        <v>834</v>
      </c>
      <c r="L12" s="716"/>
      <c r="M12" s="131"/>
    </row>
    <row r="13" spans="1:13" ht="15.75" customHeight="1">
      <c r="A13" s="701"/>
      <c r="B13" s="704"/>
      <c r="C13" s="165" t="s">
        <v>572</v>
      </c>
      <c r="D13" s="363" t="s">
        <v>331</v>
      </c>
      <c r="E13" s="364"/>
      <c r="F13" s="365"/>
      <c r="G13" s="435">
        <v>18.571428571428573</v>
      </c>
      <c r="H13" s="435">
        <v>1343.9419534024989</v>
      </c>
      <c r="I13" s="435">
        <v>72.483791848640664</v>
      </c>
      <c r="J13" s="240" t="s">
        <v>833</v>
      </c>
      <c r="K13" s="725"/>
      <c r="L13" s="725"/>
      <c r="M13" s="131"/>
    </row>
    <row r="14" spans="1:13" ht="15.75" customHeight="1">
      <c r="A14" s="701"/>
      <c r="B14" s="704"/>
      <c r="C14" s="165" t="s">
        <v>573</v>
      </c>
      <c r="D14" s="363" t="s">
        <v>363</v>
      </c>
      <c r="E14" s="364"/>
      <c r="F14" s="365"/>
      <c r="G14" s="435">
        <v>16</v>
      </c>
      <c r="H14" s="435">
        <v>1353.6297093826474</v>
      </c>
      <c r="I14" s="435">
        <v>84.601856836415465</v>
      </c>
      <c r="J14" s="240" t="s">
        <v>833</v>
      </c>
      <c r="K14" s="723"/>
      <c r="L14" s="724"/>
      <c r="M14" s="131"/>
    </row>
    <row r="15" spans="1:13" ht="15.75" customHeight="1">
      <c r="A15" s="701"/>
      <c r="B15" s="704"/>
      <c r="C15" s="165" t="s">
        <v>574</v>
      </c>
      <c r="D15" s="363" t="s">
        <v>620</v>
      </c>
      <c r="E15" s="364"/>
      <c r="F15" s="365"/>
      <c r="G15" s="385">
        <v>12.571428571428571</v>
      </c>
      <c r="H15" s="385">
        <v>1621.9165809498215</v>
      </c>
      <c r="I15" s="385">
        <v>128.92240304907662</v>
      </c>
      <c r="J15" s="240" t="s">
        <v>833</v>
      </c>
      <c r="K15" s="714"/>
      <c r="L15" s="696"/>
      <c r="M15" s="131"/>
    </row>
    <row r="16" spans="1:13" ht="15.75" customHeight="1">
      <c r="A16" s="701"/>
      <c r="B16" s="704"/>
      <c r="C16" s="165" t="s">
        <v>575</v>
      </c>
      <c r="D16" s="363" t="s">
        <v>813</v>
      </c>
      <c r="E16" s="364"/>
      <c r="F16" s="365"/>
      <c r="G16" s="385">
        <v>12.857142857142858</v>
      </c>
      <c r="H16" s="385">
        <v>1759.6509749120232</v>
      </c>
      <c r="I16" s="385">
        <v>133.27763726507766</v>
      </c>
      <c r="J16" s="240" t="s">
        <v>833</v>
      </c>
      <c r="K16" s="715" t="s">
        <v>834</v>
      </c>
      <c r="L16" s="716"/>
      <c r="M16" s="152"/>
    </row>
    <row r="17" spans="1:13" ht="15.75" customHeight="1">
      <c r="A17" s="702"/>
      <c r="B17" s="705"/>
      <c r="C17" s="165" t="s">
        <v>576</v>
      </c>
      <c r="D17" s="363"/>
      <c r="E17" s="364"/>
      <c r="F17" s="365"/>
      <c r="G17" s="503"/>
      <c r="H17" s="503"/>
      <c r="I17" s="503"/>
      <c r="J17" s="503"/>
      <c r="K17" s="714"/>
      <c r="L17" s="696"/>
      <c r="M17" s="152"/>
    </row>
    <row r="18" spans="1:13" s="162" customFormat="1" ht="15.75" customHeight="1">
      <c r="A18" s="697" t="s">
        <v>169</v>
      </c>
      <c r="B18" s="698"/>
      <c r="C18" s="271" t="s">
        <v>393</v>
      </c>
      <c r="D18" s="697" t="s">
        <v>12</v>
      </c>
      <c r="E18" s="699"/>
      <c r="F18" s="698"/>
      <c r="G18" s="397" t="s">
        <v>631</v>
      </c>
      <c r="H18" s="397" t="s">
        <v>632</v>
      </c>
      <c r="I18" s="397" t="s">
        <v>633</v>
      </c>
      <c r="J18" s="222" t="s">
        <v>634</v>
      </c>
      <c r="K18" s="697" t="s">
        <v>635</v>
      </c>
      <c r="L18" s="698"/>
      <c r="M18" s="155"/>
    </row>
    <row r="19" spans="1:13" ht="15.75" customHeight="1">
      <c r="A19" s="700"/>
      <c r="B19" s="703"/>
      <c r="C19" s="270">
        <v>1</v>
      </c>
      <c r="D19" s="363"/>
      <c r="E19" s="364"/>
      <c r="F19" s="365"/>
      <c r="G19" s="396"/>
      <c r="H19" s="396"/>
      <c r="I19" s="396"/>
      <c r="J19" s="396"/>
      <c r="K19" s="720"/>
      <c r="L19" s="721"/>
      <c r="M19" s="152"/>
    </row>
    <row r="20" spans="1:13" ht="15.75" customHeight="1">
      <c r="A20" s="701"/>
      <c r="B20" s="704"/>
      <c r="C20" s="270">
        <v>2</v>
      </c>
      <c r="D20" s="363"/>
      <c r="E20" s="364"/>
      <c r="F20" s="365"/>
      <c r="G20" s="396"/>
      <c r="H20" s="396"/>
      <c r="I20" s="396"/>
      <c r="J20" s="396"/>
      <c r="K20" s="717"/>
      <c r="L20" s="718"/>
      <c r="M20" s="152"/>
    </row>
    <row r="21" spans="1:13" ht="15.75" customHeight="1">
      <c r="A21" s="701"/>
      <c r="B21" s="704"/>
      <c r="C21" s="270">
        <v>3</v>
      </c>
      <c r="D21" s="363"/>
      <c r="E21" s="364"/>
      <c r="F21" s="365"/>
      <c r="G21" s="396"/>
      <c r="H21" s="396"/>
      <c r="I21" s="396"/>
      <c r="J21" s="396"/>
      <c r="K21" s="717"/>
      <c r="L21" s="718"/>
      <c r="M21" s="152"/>
    </row>
    <row r="22" spans="1:13" ht="15.75" customHeight="1">
      <c r="A22" s="701"/>
      <c r="B22" s="704"/>
      <c r="C22" s="270">
        <v>4</v>
      </c>
      <c r="D22" s="717"/>
      <c r="E22" s="719"/>
      <c r="F22" s="718"/>
      <c r="G22" s="269"/>
      <c r="H22" s="269"/>
      <c r="I22" s="269"/>
      <c r="J22" s="269"/>
      <c r="K22" s="717"/>
      <c r="L22" s="718"/>
      <c r="M22" s="152"/>
    </row>
    <row r="23" spans="1:13" ht="15.75" customHeight="1">
      <c r="A23" s="701"/>
      <c r="B23" s="704"/>
      <c r="C23" s="270">
        <v>5</v>
      </c>
      <c r="D23" s="717"/>
      <c r="E23" s="719"/>
      <c r="F23" s="718"/>
      <c r="G23" s="269"/>
      <c r="H23" s="269"/>
      <c r="I23" s="269"/>
      <c r="J23" s="269"/>
      <c r="K23" s="717"/>
      <c r="L23" s="718"/>
      <c r="M23" s="152"/>
    </row>
    <row r="24" spans="1:13" ht="15.75" customHeight="1">
      <c r="A24" s="701"/>
      <c r="B24" s="704"/>
      <c r="C24" s="165" t="s">
        <v>394</v>
      </c>
      <c r="D24" s="720"/>
      <c r="E24" s="722"/>
      <c r="F24" s="721"/>
      <c r="G24" s="269"/>
      <c r="H24" s="269"/>
      <c r="I24" s="269"/>
      <c r="J24" s="269"/>
      <c r="K24" s="720"/>
      <c r="L24" s="721"/>
      <c r="M24" s="152"/>
    </row>
    <row r="25" spans="1:13" ht="15.75" customHeight="1">
      <c r="A25" s="701"/>
      <c r="B25" s="704"/>
      <c r="C25" s="165" t="s">
        <v>395</v>
      </c>
      <c r="D25" s="717"/>
      <c r="E25" s="719"/>
      <c r="F25" s="718"/>
      <c r="G25" s="269"/>
      <c r="H25" s="269"/>
      <c r="I25" s="269"/>
      <c r="J25" s="269"/>
      <c r="K25" s="717"/>
      <c r="L25" s="718"/>
      <c r="M25" s="152"/>
    </row>
    <row r="26" spans="1:13" ht="15.75" customHeight="1">
      <c r="A26" s="701"/>
      <c r="B26" s="704"/>
      <c r="C26" s="165" t="s">
        <v>396</v>
      </c>
      <c r="D26" s="717"/>
      <c r="E26" s="719"/>
      <c r="F26" s="718"/>
      <c r="G26" s="269"/>
      <c r="H26" s="269"/>
      <c r="I26" s="269"/>
      <c r="J26" s="269"/>
      <c r="K26" s="717"/>
      <c r="L26" s="718"/>
      <c r="M26" s="152"/>
    </row>
    <row r="27" spans="1:13" ht="15.75" customHeight="1">
      <c r="A27" s="701"/>
      <c r="B27" s="704"/>
      <c r="C27" s="165" t="s">
        <v>397</v>
      </c>
      <c r="D27" s="717"/>
      <c r="E27" s="719"/>
      <c r="F27" s="718"/>
      <c r="G27" s="269"/>
      <c r="H27" s="269"/>
      <c r="I27" s="269"/>
      <c r="J27" s="269"/>
      <c r="K27" s="717"/>
      <c r="L27" s="718"/>
      <c r="M27" s="152"/>
    </row>
    <row r="28" spans="1:13" ht="15.75" customHeight="1">
      <c r="A28" s="702"/>
      <c r="B28" s="705"/>
      <c r="C28" s="165" t="s">
        <v>398</v>
      </c>
      <c r="D28" s="717"/>
      <c r="E28" s="719"/>
      <c r="F28" s="718"/>
      <c r="G28" s="269"/>
      <c r="H28" s="269"/>
      <c r="I28" s="269"/>
      <c r="J28" s="269"/>
      <c r="K28" s="717"/>
      <c r="L28" s="718"/>
      <c r="M28" s="152"/>
    </row>
    <row r="29" spans="1:13" ht="15.75" customHeight="1">
      <c r="A29" s="152"/>
      <c r="B29" s="152"/>
      <c r="C29" s="152"/>
      <c r="D29" s="152"/>
      <c r="E29" s="152"/>
      <c r="F29" s="152"/>
      <c r="G29" s="152"/>
      <c r="H29" s="152"/>
      <c r="I29" s="152"/>
      <c r="J29" s="152"/>
      <c r="K29" s="152"/>
      <c r="L29" s="152"/>
      <c r="M29" s="131"/>
    </row>
    <row r="30" spans="1:13" ht="15.75" customHeight="1">
      <c r="A30" s="152"/>
      <c r="B30" s="152"/>
      <c r="C30" s="152"/>
      <c r="D30" s="152"/>
      <c r="E30" s="152"/>
      <c r="F30" s="152"/>
      <c r="G30" s="152"/>
      <c r="H30" s="152"/>
      <c r="I30" s="152"/>
      <c r="J30" s="152"/>
      <c r="K30" s="152"/>
      <c r="L30" s="152"/>
      <c r="M30" s="131"/>
    </row>
    <row r="31" spans="1:13" ht="15.75" customHeight="1">
      <c r="A31" s="152"/>
      <c r="B31" s="152"/>
      <c r="C31" s="152"/>
      <c r="D31" s="152"/>
      <c r="E31" s="152"/>
      <c r="F31" s="152"/>
      <c r="G31" s="152"/>
      <c r="H31" s="152"/>
      <c r="I31" s="152"/>
      <c r="J31" s="152"/>
      <c r="K31" s="152"/>
      <c r="L31" s="152"/>
      <c r="M31" s="131"/>
    </row>
    <row r="32" spans="1:13" ht="15.75" customHeight="1">
      <c r="A32" s="152"/>
      <c r="B32" s="152"/>
      <c r="C32" s="152"/>
      <c r="D32" s="152"/>
      <c r="E32" s="152"/>
      <c r="F32" s="152"/>
      <c r="G32" s="152"/>
      <c r="H32" s="152"/>
      <c r="I32" s="152"/>
      <c r="J32" s="152"/>
      <c r="K32" s="152"/>
      <c r="L32" s="152"/>
      <c r="M32" s="131"/>
    </row>
    <row r="33" spans="1:13" ht="15.75" customHeight="1">
      <c r="A33" s="152"/>
      <c r="B33" s="152"/>
      <c r="C33" s="152"/>
      <c r="D33" s="152"/>
      <c r="E33" s="152"/>
      <c r="F33" s="152"/>
      <c r="G33" s="152"/>
      <c r="H33" s="152"/>
      <c r="I33" s="152"/>
      <c r="J33" s="152"/>
      <c r="K33" s="152"/>
      <c r="L33" s="152"/>
      <c r="M33" s="131"/>
    </row>
    <row r="34" spans="1:13" ht="15.75" customHeight="1">
      <c r="A34" s="152"/>
      <c r="B34" s="152"/>
      <c r="C34" s="152"/>
      <c r="D34" s="152"/>
      <c r="E34" s="152"/>
      <c r="F34" s="152"/>
      <c r="G34" s="152"/>
      <c r="H34" s="152"/>
      <c r="I34" s="152"/>
      <c r="J34" s="152"/>
      <c r="K34" s="152"/>
      <c r="L34" s="152"/>
      <c r="M34" s="131"/>
    </row>
    <row r="35" spans="1:13" ht="15.75" customHeight="1">
      <c r="A35" s="152"/>
      <c r="B35" s="152"/>
      <c r="C35" s="152"/>
      <c r="D35" s="152"/>
      <c r="E35" s="152"/>
      <c r="F35" s="152"/>
      <c r="G35" s="152"/>
      <c r="H35" s="152"/>
      <c r="I35" s="152"/>
      <c r="J35" s="152"/>
      <c r="K35" s="152"/>
      <c r="L35" s="152"/>
      <c r="M35" s="131"/>
    </row>
  </sheetData>
  <mergeCells count="37">
    <mergeCell ref="A1:L2"/>
    <mergeCell ref="K14:L14"/>
    <mergeCell ref="A3:L4"/>
    <mergeCell ref="A5:A6"/>
    <mergeCell ref="A7:B7"/>
    <mergeCell ref="D7:F7"/>
    <mergeCell ref="K7:L7"/>
    <mergeCell ref="A8:A17"/>
    <mergeCell ref="B8:B17"/>
    <mergeCell ref="K13:L13"/>
    <mergeCell ref="K15:L15"/>
    <mergeCell ref="K16:L16"/>
    <mergeCell ref="K17:L17"/>
    <mergeCell ref="K8:L11"/>
    <mergeCell ref="A18:B18"/>
    <mergeCell ref="D18:F18"/>
    <mergeCell ref="K18:L18"/>
    <mergeCell ref="A19:A28"/>
    <mergeCell ref="B19:B28"/>
    <mergeCell ref="K19:L19"/>
    <mergeCell ref="K20:L20"/>
    <mergeCell ref="D28:F28"/>
    <mergeCell ref="K28:L28"/>
    <mergeCell ref="D25:F25"/>
    <mergeCell ref="D26:F26"/>
    <mergeCell ref="K26:L26"/>
    <mergeCell ref="K21:L21"/>
    <mergeCell ref="D27:F27"/>
    <mergeCell ref="K27:L27"/>
    <mergeCell ref="D22:F22"/>
    <mergeCell ref="K12:L12"/>
    <mergeCell ref="K25:L25"/>
    <mergeCell ref="K22:L22"/>
    <mergeCell ref="D23:F23"/>
    <mergeCell ref="K24:L24"/>
    <mergeCell ref="K23:L23"/>
    <mergeCell ref="D24:F24"/>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N15"/>
  <sheetViews>
    <sheetView zoomScale="115" zoomScaleNormal="115" zoomScaleSheetLayoutView="115" workbookViewId="0">
      <selection activeCell="N13" sqref="N13"/>
    </sheetView>
  </sheetViews>
  <sheetFormatPr defaultColWidth="12.5703125" defaultRowHeight="15.75" customHeight="1"/>
  <cols>
    <col min="1" max="1" width="7.5703125" style="183" customWidth="1"/>
    <col min="2" max="2" width="14.85546875" style="183" customWidth="1"/>
    <col min="3" max="3" width="12.85546875" style="183" customWidth="1"/>
    <col min="4" max="4" width="2.5703125" style="183" customWidth="1"/>
    <col min="5" max="5" width="7.5703125" style="183" customWidth="1"/>
    <col min="6" max="6" width="12.85546875" style="183" customWidth="1"/>
    <col min="7" max="7" width="9.42578125" style="183" customWidth="1"/>
    <col min="8" max="8" width="12.85546875" style="183" customWidth="1"/>
    <col min="9" max="9" width="9.42578125" style="183" customWidth="1"/>
    <col min="10" max="10" width="12.85546875" style="183" customWidth="1"/>
    <col min="11" max="11" width="9.42578125" style="183" customWidth="1"/>
    <col min="12" max="12" width="12.85546875" style="183" customWidth="1"/>
    <col min="13" max="13" width="9.42578125" style="183" customWidth="1"/>
    <col min="14" max="16384" width="12.5703125" style="183"/>
  </cols>
  <sheetData>
    <row r="1" spans="1:14" ht="15.75" customHeight="1">
      <c r="A1" s="732" t="s">
        <v>218</v>
      </c>
      <c r="B1" s="732"/>
      <c r="C1" s="732"/>
      <c r="D1" s="732"/>
      <c r="E1" s="732"/>
      <c r="F1" s="732"/>
      <c r="G1" s="732"/>
      <c r="H1" s="732"/>
      <c r="I1" s="732"/>
      <c r="J1" s="732"/>
      <c r="K1" s="732"/>
      <c r="L1" s="732"/>
      <c r="M1" s="732"/>
    </row>
    <row r="2" spans="1:14" s="184" customFormat="1" ht="15.75" customHeight="1">
      <c r="A2" s="732"/>
      <c r="B2" s="732"/>
      <c r="C2" s="732"/>
      <c r="D2" s="732"/>
      <c r="E2" s="732"/>
      <c r="F2" s="732"/>
      <c r="G2" s="732"/>
      <c r="H2" s="732"/>
      <c r="I2" s="732"/>
      <c r="J2" s="732"/>
      <c r="K2" s="732"/>
      <c r="L2" s="732"/>
      <c r="M2" s="732"/>
    </row>
    <row r="3" spans="1:14" ht="15.75" customHeight="1">
      <c r="A3" s="733" t="s">
        <v>219</v>
      </c>
      <c r="B3" s="733"/>
      <c r="C3" s="733"/>
      <c r="D3" s="733"/>
      <c r="E3" s="733"/>
      <c r="F3" s="733"/>
      <c r="G3" s="733"/>
      <c r="H3" s="733"/>
      <c r="I3" s="733"/>
      <c r="J3" s="733"/>
      <c r="K3" s="733"/>
      <c r="L3" s="733"/>
      <c r="M3" s="733"/>
      <c r="N3" s="185"/>
    </row>
    <row r="4" spans="1:14" s="184" customFormat="1" ht="15.75" customHeight="1">
      <c r="A4" s="733"/>
      <c r="B4" s="733"/>
      <c r="C4" s="733"/>
      <c r="D4" s="733"/>
      <c r="E4" s="733"/>
      <c r="F4" s="733"/>
      <c r="G4" s="733"/>
      <c r="H4" s="733"/>
      <c r="I4" s="733"/>
      <c r="J4" s="733"/>
      <c r="K4" s="733"/>
      <c r="L4" s="733"/>
      <c r="M4" s="733"/>
      <c r="N4" s="186"/>
    </row>
    <row r="5" spans="1:14" ht="15.75" customHeight="1">
      <c r="A5" s="187" t="s">
        <v>220</v>
      </c>
      <c r="B5" s="188">
        <v>212376150</v>
      </c>
    </row>
    <row r="6" spans="1:14" ht="15.75" customHeight="1">
      <c r="A6" s="734" t="s">
        <v>221</v>
      </c>
      <c r="B6" s="735" t="s">
        <v>10</v>
      </c>
      <c r="C6" s="735"/>
      <c r="D6" s="736"/>
      <c r="E6" s="734" t="s">
        <v>221</v>
      </c>
      <c r="F6" s="738">
        <v>1</v>
      </c>
      <c r="G6" s="738"/>
      <c r="H6" s="738">
        <v>2</v>
      </c>
      <c r="I6" s="738"/>
      <c r="J6" s="738">
        <v>3</v>
      </c>
      <c r="K6" s="738"/>
      <c r="L6" s="738">
        <v>4</v>
      </c>
      <c r="M6" s="738"/>
    </row>
    <row r="7" spans="1:14" ht="31.35" customHeight="1">
      <c r="A7" s="734"/>
      <c r="B7" s="735"/>
      <c r="C7" s="735"/>
      <c r="D7" s="737"/>
      <c r="E7" s="734"/>
      <c r="F7" s="740" t="s">
        <v>232</v>
      </c>
      <c r="G7" s="740"/>
      <c r="H7" s="740" t="s">
        <v>222</v>
      </c>
      <c r="I7" s="740"/>
      <c r="J7" s="740" t="s">
        <v>223</v>
      </c>
      <c r="K7" s="740"/>
      <c r="L7" s="740" t="s">
        <v>224</v>
      </c>
      <c r="M7" s="740"/>
    </row>
    <row r="8" spans="1:14" ht="15.75" customHeight="1">
      <c r="A8" s="734"/>
      <c r="B8" s="216" t="s">
        <v>11</v>
      </c>
      <c r="C8" s="216" t="s">
        <v>225</v>
      </c>
      <c r="D8" s="737"/>
      <c r="E8" s="734"/>
      <c r="F8" s="216" t="s">
        <v>11</v>
      </c>
      <c r="G8" s="216" t="s">
        <v>225</v>
      </c>
      <c r="H8" s="216" t="s">
        <v>11</v>
      </c>
      <c r="I8" s="216" t="s">
        <v>225</v>
      </c>
      <c r="J8" s="216" t="s">
        <v>11</v>
      </c>
      <c r="K8" s="216" t="s">
        <v>225</v>
      </c>
      <c r="L8" s="216" t="s">
        <v>11</v>
      </c>
      <c r="M8" s="216" t="s">
        <v>225</v>
      </c>
    </row>
    <row r="9" spans="1:14" s="194" customFormat="1" ht="19.350000000000001" customHeight="1">
      <c r="A9" s="189" t="s">
        <v>226</v>
      </c>
      <c r="B9" s="190">
        <v>47927.00699999994</v>
      </c>
      <c r="C9" s="191">
        <f>B9/$B$5</f>
        <v>2.256703824793883E-4</v>
      </c>
      <c r="D9" s="737"/>
      <c r="E9" s="189" t="s">
        <v>226</v>
      </c>
      <c r="F9" s="192">
        <v>1423.9050000000002</v>
      </c>
      <c r="G9" s="193">
        <f>IFERROR(F9/$B$9,"")</f>
        <v>2.9709866923256903E-2</v>
      </c>
      <c r="H9" s="192">
        <v>5535.9419999999991</v>
      </c>
      <c r="I9" s="193">
        <f>IFERROR(H9/$B$9,"")</f>
        <v>0.11550777623146812</v>
      </c>
      <c r="J9" s="192">
        <v>6691.5360000000019</v>
      </c>
      <c r="K9" s="193">
        <f>IFERROR(J9/$B$9,"")</f>
        <v>0.13961931735065389</v>
      </c>
      <c r="L9" s="192">
        <v>17258.763000000006</v>
      </c>
      <c r="M9" s="193">
        <f>IFERROR(L9/$B$9,"")</f>
        <v>0.36010516993059943</v>
      </c>
    </row>
    <row r="10" spans="1:14" s="194" customFormat="1" ht="19.350000000000001" customHeight="1">
      <c r="A10" s="195" t="s">
        <v>227</v>
      </c>
      <c r="B10" s="196">
        <v>69974.579191980054</v>
      </c>
      <c r="C10" s="191">
        <f>B10/$B$5</f>
        <v>3.2948416849999424E-4</v>
      </c>
      <c r="D10" s="737"/>
      <c r="E10" s="195" t="s">
        <v>227</v>
      </c>
      <c r="F10" s="192">
        <v>1179.8078200000007</v>
      </c>
      <c r="G10" s="193">
        <f>IFERROR(F10/$B$10,"")</f>
        <v>1.6860520400746062E-2</v>
      </c>
      <c r="H10" s="192">
        <v>3563.9139100000007</v>
      </c>
      <c r="I10" s="193">
        <f>IFERROR(H10/$B$10,"")</f>
        <v>5.0931551874319365E-2</v>
      </c>
      <c r="J10" s="192">
        <v>3130.998689999999</v>
      </c>
      <c r="K10" s="193">
        <f>IFERROR(J10/$B$10,"")</f>
        <v>4.4744801986016804E-2</v>
      </c>
      <c r="L10" s="192">
        <v>14381.948886699534</v>
      </c>
      <c r="M10" s="193">
        <f>IFERROR(L10/$B$10,"")</f>
        <v>0.20553105217312806</v>
      </c>
    </row>
    <row r="11" spans="1:14" ht="15.75" customHeight="1">
      <c r="D11" s="737"/>
      <c r="E11" s="734" t="s">
        <v>221</v>
      </c>
      <c r="F11" s="738">
        <v>5</v>
      </c>
      <c r="G11" s="738"/>
      <c r="H11" s="738">
        <v>6</v>
      </c>
      <c r="I11" s="738"/>
      <c r="J11" s="738">
        <v>7</v>
      </c>
      <c r="K11" s="738"/>
      <c r="L11" s="739">
        <v>8</v>
      </c>
      <c r="M11" s="739"/>
    </row>
    <row r="12" spans="1:14" ht="31.35" customHeight="1">
      <c r="D12" s="737"/>
      <c r="E12" s="734"/>
      <c r="F12" s="740" t="s">
        <v>228</v>
      </c>
      <c r="G12" s="740"/>
      <c r="H12" s="740" t="s">
        <v>229</v>
      </c>
      <c r="I12" s="740"/>
      <c r="J12" s="740" t="s">
        <v>230</v>
      </c>
      <c r="K12" s="740"/>
      <c r="L12" s="741" t="s">
        <v>231</v>
      </c>
      <c r="M12" s="741"/>
    </row>
    <row r="13" spans="1:14" ht="15.75" customHeight="1">
      <c r="D13" s="737"/>
      <c r="E13" s="734"/>
      <c r="F13" s="216" t="s">
        <v>11</v>
      </c>
      <c r="G13" s="216" t="s">
        <v>225</v>
      </c>
      <c r="H13" s="216" t="s">
        <v>11</v>
      </c>
      <c r="I13" s="216" t="s">
        <v>225</v>
      </c>
      <c r="J13" s="216" t="s">
        <v>11</v>
      </c>
      <c r="K13" s="216" t="s">
        <v>225</v>
      </c>
      <c r="L13" s="216" t="s">
        <v>11</v>
      </c>
      <c r="M13" s="216" t="s">
        <v>225</v>
      </c>
    </row>
    <row r="14" spans="1:14" s="194" customFormat="1" ht="19.350000000000001" customHeight="1">
      <c r="D14" s="737"/>
      <c r="E14" s="189" t="s">
        <v>226</v>
      </c>
      <c r="F14" s="192">
        <v>12460.915000000001</v>
      </c>
      <c r="G14" s="193">
        <f>IFERROR(F14/$B$9,"")</f>
        <v>0.25999777119401629</v>
      </c>
      <c r="H14" s="192">
        <v>1494.27</v>
      </c>
      <c r="I14" s="193">
        <f>IFERROR(H14/$B$9,"")</f>
        <v>3.1178037051218365E-2</v>
      </c>
      <c r="J14" s="192">
        <v>3061.675999999999</v>
      </c>
      <c r="K14" s="193">
        <f>IFERROR(J14/$B$9,"")</f>
        <v>6.3882061318788444E-2</v>
      </c>
      <c r="L14" s="192">
        <v>0</v>
      </c>
      <c r="M14" s="193">
        <f>IFERROR(L14/$B$9,"")</f>
        <v>0</v>
      </c>
    </row>
    <row r="15" spans="1:14" s="194" customFormat="1" ht="19.350000000000001" customHeight="1">
      <c r="D15" s="737"/>
      <c r="E15" s="195" t="s">
        <v>227</v>
      </c>
      <c r="F15" s="192">
        <v>30846.731825280494</v>
      </c>
      <c r="G15" s="193">
        <f>IFERROR(F15/$B$10,"")</f>
        <v>0.44082768601795191</v>
      </c>
      <c r="H15" s="192">
        <v>12704.309300000044</v>
      </c>
      <c r="I15" s="193">
        <f>IFERROR(H15/$B$10,"")</f>
        <v>0.18155606574131589</v>
      </c>
      <c r="J15" s="192">
        <v>3994.7131600000112</v>
      </c>
      <c r="K15" s="193">
        <f>IFERROR(J15/$B$10,"")</f>
        <v>5.7088062638293857E-2</v>
      </c>
      <c r="L15" s="192">
        <v>0</v>
      </c>
      <c r="M15" s="193">
        <f>IFERROR(L15/$B$10,"")</f>
        <v>0</v>
      </c>
    </row>
  </sheetData>
  <mergeCells count="23">
    <mergeCell ref="H12:I12"/>
    <mergeCell ref="J12:K12"/>
    <mergeCell ref="L12:M12"/>
    <mergeCell ref="F7:G7"/>
    <mergeCell ref="H7:I7"/>
    <mergeCell ref="J7:K7"/>
    <mergeCell ref="L7:M7"/>
    <mergeCell ref="A1:M2"/>
    <mergeCell ref="A3:M4"/>
    <mergeCell ref="A6:A8"/>
    <mergeCell ref="B6:C7"/>
    <mergeCell ref="D6:D15"/>
    <mergeCell ref="E6:E8"/>
    <mergeCell ref="F6:G6"/>
    <mergeCell ref="H6:I6"/>
    <mergeCell ref="J6:K6"/>
    <mergeCell ref="L6:M6"/>
    <mergeCell ref="E11:E13"/>
    <mergeCell ref="F11:G11"/>
    <mergeCell ref="H11:I11"/>
    <mergeCell ref="J11:K11"/>
    <mergeCell ref="L11:M11"/>
    <mergeCell ref="F12:G12"/>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S16"/>
  <sheetViews>
    <sheetView zoomScale="110" zoomScaleNormal="110" zoomScaleSheetLayoutView="115" workbookViewId="0">
      <selection activeCell="L21" sqref="L21"/>
    </sheetView>
  </sheetViews>
  <sheetFormatPr defaultColWidth="12.5703125" defaultRowHeight="15.75" customHeight="1"/>
  <cols>
    <col min="1" max="1" width="7.5703125" style="183" customWidth="1"/>
    <col min="2" max="2" width="14.85546875" style="183" customWidth="1"/>
    <col min="3" max="3" width="12.85546875" style="183" customWidth="1"/>
    <col min="4" max="4" width="2.5703125" style="183" customWidth="1"/>
    <col min="5" max="5" width="7.5703125" style="183" customWidth="1"/>
    <col min="6" max="6" width="12.85546875" style="183" customWidth="1"/>
    <col min="7" max="7" width="9.42578125" style="183" customWidth="1"/>
    <col min="8" max="8" width="12.85546875" style="183" customWidth="1"/>
    <col min="9" max="9" width="9.42578125" style="183" customWidth="1"/>
    <col min="10" max="10" width="12.85546875" style="183" customWidth="1"/>
    <col min="11" max="11" width="9.42578125" style="183" customWidth="1"/>
    <col min="12" max="12" width="12.85546875" style="183" customWidth="1"/>
    <col min="13" max="13" width="9.42578125" style="183" customWidth="1"/>
    <col min="14" max="16384" width="12.5703125" style="183"/>
  </cols>
  <sheetData>
    <row r="1" spans="1:19" ht="15.75" customHeight="1">
      <c r="A1" s="732" t="s">
        <v>218</v>
      </c>
      <c r="B1" s="732"/>
      <c r="C1" s="732"/>
      <c r="D1" s="732"/>
      <c r="E1" s="732"/>
      <c r="F1" s="732"/>
      <c r="G1" s="732"/>
      <c r="H1" s="732"/>
      <c r="I1" s="732"/>
      <c r="J1" s="732"/>
      <c r="K1" s="732"/>
      <c r="L1" s="732"/>
      <c r="M1" s="732"/>
    </row>
    <row r="2" spans="1:19" s="184" customFormat="1" ht="15.75" customHeight="1">
      <c r="A2" s="732"/>
      <c r="B2" s="732"/>
      <c r="C2" s="732"/>
      <c r="D2" s="732"/>
      <c r="E2" s="732"/>
      <c r="F2" s="732"/>
      <c r="G2" s="732"/>
      <c r="H2" s="732"/>
      <c r="I2" s="732"/>
      <c r="J2" s="732"/>
      <c r="K2" s="732"/>
      <c r="L2" s="732"/>
      <c r="M2" s="732"/>
    </row>
    <row r="3" spans="1:19" ht="15.75" customHeight="1">
      <c r="A3" s="733" t="s">
        <v>679</v>
      </c>
      <c r="B3" s="733"/>
      <c r="C3" s="733"/>
      <c r="D3" s="733"/>
      <c r="E3" s="733"/>
      <c r="F3" s="733"/>
      <c r="G3" s="733"/>
      <c r="H3" s="733"/>
      <c r="I3" s="733"/>
      <c r="J3" s="733"/>
      <c r="K3" s="733"/>
      <c r="L3" s="733"/>
      <c r="M3" s="733"/>
    </row>
    <row r="4" spans="1:19" s="184" customFormat="1" ht="15.75" customHeight="1">
      <c r="A4" s="733"/>
      <c r="B4" s="733"/>
      <c r="C4" s="733"/>
      <c r="D4" s="733"/>
      <c r="E4" s="733"/>
      <c r="F4" s="733"/>
      <c r="G4" s="733"/>
      <c r="H4" s="733"/>
      <c r="I4" s="733"/>
      <c r="J4" s="733"/>
      <c r="K4" s="733"/>
      <c r="L4" s="733"/>
      <c r="M4" s="733"/>
    </row>
    <row r="5" spans="1:19" ht="15.75" customHeight="1" thickBot="1"/>
    <row r="6" spans="1:19" ht="15.75" customHeight="1" thickBot="1">
      <c r="A6" s="436" t="s">
        <v>753</v>
      </c>
      <c r="B6" s="437">
        <v>63943796</v>
      </c>
      <c r="C6" s="438" t="s">
        <v>754</v>
      </c>
      <c r="E6" s="749" t="s">
        <v>755</v>
      </c>
      <c r="F6" s="750"/>
      <c r="G6" s="750"/>
      <c r="H6" s="750"/>
      <c r="I6" s="750"/>
      <c r="J6" s="750"/>
      <c r="K6" s="750"/>
      <c r="L6" s="750"/>
      <c r="M6" s="750"/>
      <c r="N6" s="750"/>
      <c r="O6" s="750"/>
      <c r="P6" s="750"/>
      <c r="Q6" s="750"/>
      <c r="R6" s="750"/>
      <c r="S6" s="751"/>
    </row>
    <row r="7" spans="1:19" ht="15.75" customHeight="1">
      <c r="A7" s="752" t="s">
        <v>756</v>
      </c>
      <c r="B7" s="735" t="s">
        <v>10</v>
      </c>
      <c r="C7" s="753"/>
      <c r="D7" s="737"/>
      <c r="E7" s="754" t="s">
        <v>756</v>
      </c>
      <c r="F7" s="756">
        <v>1</v>
      </c>
      <c r="G7" s="757"/>
      <c r="H7" s="758">
        <v>2</v>
      </c>
      <c r="I7" s="759"/>
      <c r="J7" s="759">
        <v>3</v>
      </c>
      <c r="K7" s="760"/>
      <c r="L7" s="756">
        <v>4</v>
      </c>
      <c r="M7" s="757"/>
      <c r="N7" s="761">
        <v>5</v>
      </c>
      <c r="O7" s="762"/>
      <c r="P7" s="763">
        <v>6</v>
      </c>
      <c r="Q7" s="758"/>
      <c r="R7" s="760">
        <v>7</v>
      </c>
      <c r="S7" s="762"/>
    </row>
    <row r="8" spans="1:19" ht="15.75" customHeight="1">
      <c r="A8" s="752"/>
      <c r="B8" s="735"/>
      <c r="C8" s="753"/>
      <c r="D8" s="737"/>
      <c r="E8" s="755"/>
      <c r="F8" s="743" t="s">
        <v>757</v>
      </c>
      <c r="G8" s="744"/>
      <c r="H8" s="748" t="s">
        <v>758</v>
      </c>
      <c r="I8" s="740"/>
      <c r="J8" s="740" t="s">
        <v>759</v>
      </c>
      <c r="K8" s="742"/>
      <c r="L8" s="743" t="s">
        <v>760</v>
      </c>
      <c r="M8" s="744"/>
      <c r="N8" s="745" t="s">
        <v>761</v>
      </c>
      <c r="O8" s="746"/>
      <c r="P8" s="747" t="s">
        <v>762</v>
      </c>
      <c r="Q8" s="748"/>
      <c r="R8" s="742" t="s">
        <v>763</v>
      </c>
      <c r="S8" s="746"/>
    </row>
    <row r="9" spans="1:19" ht="15.75" customHeight="1">
      <c r="A9" s="752"/>
      <c r="B9" s="490" t="s">
        <v>11</v>
      </c>
      <c r="C9" s="491" t="s">
        <v>764</v>
      </c>
      <c r="D9" s="737"/>
      <c r="E9" s="755"/>
      <c r="F9" s="439" t="s">
        <v>11</v>
      </c>
      <c r="G9" s="491" t="s">
        <v>764</v>
      </c>
      <c r="H9" s="440" t="s">
        <v>11</v>
      </c>
      <c r="I9" s="490" t="s">
        <v>764</v>
      </c>
      <c r="J9" s="490" t="s">
        <v>11</v>
      </c>
      <c r="K9" s="441" t="s">
        <v>764</v>
      </c>
      <c r="L9" s="439" t="s">
        <v>11</v>
      </c>
      <c r="M9" s="491" t="s">
        <v>764</v>
      </c>
      <c r="N9" s="439" t="s">
        <v>11</v>
      </c>
      <c r="O9" s="491" t="s">
        <v>764</v>
      </c>
      <c r="P9" s="440" t="s">
        <v>11</v>
      </c>
      <c r="Q9" s="490" t="s">
        <v>764</v>
      </c>
      <c r="R9" s="490" t="s">
        <v>11</v>
      </c>
      <c r="S9" s="491" t="s">
        <v>764</v>
      </c>
    </row>
    <row r="10" spans="1:19" ht="15.75" customHeight="1">
      <c r="A10" s="263" t="s">
        <v>765</v>
      </c>
      <c r="B10" s="264">
        <v>154603.788</v>
      </c>
      <c r="C10" s="442">
        <v>2.4178074758026565E-3</v>
      </c>
      <c r="D10" s="737"/>
      <c r="E10" s="443" t="s">
        <v>765</v>
      </c>
      <c r="F10" s="444">
        <v>0</v>
      </c>
      <c r="G10" s="266">
        <v>0</v>
      </c>
      <c r="H10" s="445">
        <v>0</v>
      </c>
      <c r="I10" s="193">
        <v>0</v>
      </c>
      <c r="J10" s="265">
        <v>3038.5160000000001</v>
      </c>
      <c r="K10" s="446">
        <v>1.9653567608576318E-2</v>
      </c>
      <c r="L10" s="444">
        <v>8402.860999999999</v>
      </c>
      <c r="M10" s="266">
        <v>5.4350938671696707E-2</v>
      </c>
      <c r="N10" s="444">
        <v>6271.9340000000011</v>
      </c>
      <c r="O10" s="266">
        <v>4.0567789969027157E-2</v>
      </c>
      <c r="P10" s="445">
        <v>2131.8879999999999</v>
      </c>
      <c r="Q10" s="193">
        <v>1.3789364591765371E-2</v>
      </c>
      <c r="R10" s="265">
        <v>1049.886</v>
      </c>
      <c r="S10" s="266">
        <v>6.7908167942172283E-3</v>
      </c>
    </row>
    <row r="11" spans="1:19" ht="15.75" customHeight="1" thickBot="1">
      <c r="A11" s="447" t="s">
        <v>766</v>
      </c>
      <c r="B11" s="448">
        <v>261747.03723926519</v>
      </c>
      <c r="C11" s="449">
        <v>4.0933922227461318E-3</v>
      </c>
      <c r="D11" s="737"/>
      <c r="E11" s="450" t="s">
        <v>766</v>
      </c>
      <c r="F11" s="451">
        <v>0</v>
      </c>
      <c r="G11" s="268">
        <v>0</v>
      </c>
      <c r="H11" s="451">
        <v>0</v>
      </c>
      <c r="I11" s="267">
        <v>0</v>
      </c>
      <c r="J11" s="451">
        <v>0</v>
      </c>
      <c r="K11" s="452">
        <v>0</v>
      </c>
      <c r="L11" s="451">
        <v>15021.542890000088</v>
      </c>
      <c r="M11" s="268">
        <v>5.7389543157536367E-2</v>
      </c>
      <c r="N11" s="451">
        <v>11375.55769999997</v>
      </c>
      <c r="O11" s="268">
        <v>4.3460120198424546E-2</v>
      </c>
      <c r="P11" s="451">
        <v>3923.4633600000052</v>
      </c>
      <c r="Q11" s="267">
        <v>1.4989523478019481E-2</v>
      </c>
      <c r="R11" s="451">
        <v>4872.4163599999847</v>
      </c>
      <c r="S11" s="268">
        <v>1.8614981897755227E-2</v>
      </c>
    </row>
    <row r="12" spans="1:19" ht="15.75" customHeight="1">
      <c r="A12" s="495"/>
      <c r="B12" s="185"/>
      <c r="C12" s="185"/>
      <c r="D12" s="737"/>
    </row>
    <row r="13" spans="1:19" ht="15.75" customHeight="1">
      <c r="A13" s="495"/>
      <c r="B13" s="185"/>
      <c r="C13" s="185"/>
      <c r="D13" s="737"/>
    </row>
    <row r="14" spans="1:19" ht="15.75" customHeight="1">
      <c r="A14" s="495"/>
      <c r="B14" s="185"/>
      <c r="C14" s="185"/>
      <c r="D14" s="737"/>
    </row>
    <row r="15" spans="1:19" ht="15.75" customHeight="1">
      <c r="A15" s="496"/>
      <c r="B15" s="497"/>
      <c r="C15" s="497"/>
      <c r="D15" s="737"/>
    </row>
    <row r="16" spans="1:19" ht="15.75" customHeight="1">
      <c r="A16" s="496"/>
      <c r="B16" s="497"/>
      <c r="C16" s="497"/>
      <c r="D16" s="737"/>
    </row>
  </sheetData>
  <mergeCells count="21">
    <mergeCell ref="R8:S8"/>
    <mergeCell ref="A3:M4"/>
    <mergeCell ref="E6:S6"/>
    <mergeCell ref="A7:A9"/>
    <mergeCell ref="B7:C8"/>
    <mergeCell ref="E7:E9"/>
    <mergeCell ref="F7:G7"/>
    <mergeCell ref="H7:I7"/>
    <mergeCell ref="J7:K7"/>
    <mergeCell ref="L7:M7"/>
    <mergeCell ref="N7:O7"/>
    <mergeCell ref="P7:Q7"/>
    <mergeCell ref="R7:S7"/>
    <mergeCell ref="F8:G8"/>
    <mergeCell ref="H8:I8"/>
    <mergeCell ref="D7:D16"/>
    <mergeCell ref="J8:K8"/>
    <mergeCell ref="L8:M8"/>
    <mergeCell ref="A1:M2"/>
    <mergeCell ref="N8:O8"/>
    <mergeCell ref="P8:Q8"/>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Q31"/>
  <sheetViews>
    <sheetView view="pageBreakPreview" zoomScale="115" zoomScaleNormal="60" zoomScaleSheetLayoutView="115" workbookViewId="0">
      <selection activeCell="A8" sqref="A8:P30"/>
    </sheetView>
  </sheetViews>
  <sheetFormatPr defaultColWidth="12.5703125" defaultRowHeight="15.75" customHeight="1"/>
  <cols>
    <col min="1" max="1" width="5.42578125" style="120" customWidth="1"/>
    <col min="2" max="2" width="11.42578125" style="175" customWidth="1"/>
    <col min="3" max="3" width="4" style="161" customWidth="1"/>
    <col min="4" max="17" width="9.5703125" style="120" customWidth="1"/>
    <col min="18" max="16384" width="12.5703125" style="120"/>
  </cols>
  <sheetData>
    <row r="1" spans="1:17" ht="15.75" customHeight="1">
      <c r="A1" s="531" t="s">
        <v>186</v>
      </c>
      <c r="B1" s="531"/>
      <c r="C1" s="531"/>
      <c r="D1" s="531"/>
      <c r="E1" s="531"/>
      <c r="F1" s="531"/>
      <c r="G1" s="531"/>
      <c r="H1" s="531"/>
      <c r="I1" s="531"/>
      <c r="J1" s="531"/>
      <c r="K1" s="531"/>
      <c r="L1" s="531"/>
      <c r="M1" s="531"/>
      <c r="N1" s="531"/>
      <c r="O1" s="531"/>
      <c r="P1" s="531"/>
      <c r="Q1" s="531"/>
    </row>
    <row r="2" spans="1:17" s="121" customFormat="1" ht="15.75" customHeight="1">
      <c r="A2" s="531"/>
      <c r="B2" s="531"/>
      <c r="C2" s="531"/>
      <c r="D2" s="531"/>
      <c r="E2" s="531"/>
      <c r="F2" s="531"/>
      <c r="G2" s="531"/>
      <c r="H2" s="531"/>
      <c r="I2" s="531"/>
      <c r="J2" s="531"/>
      <c r="K2" s="531"/>
      <c r="L2" s="531"/>
      <c r="M2" s="531"/>
      <c r="N2" s="531"/>
      <c r="O2" s="531"/>
      <c r="P2" s="531"/>
      <c r="Q2" s="531"/>
    </row>
    <row r="3" spans="1:17" ht="15.75" customHeight="1">
      <c r="A3" s="654" t="s">
        <v>192</v>
      </c>
      <c r="B3" s="655"/>
      <c r="C3" s="655"/>
      <c r="D3" s="655"/>
      <c r="E3" s="655"/>
      <c r="F3" s="655"/>
      <c r="G3" s="655"/>
      <c r="H3" s="655"/>
      <c r="I3" s="655"/>
      <c r="J3" s="655"/>
      <c r="K3" s="655"/>
      <c r="L3" s="655"/>
      <c r="M3" s="655"/>
      <c r="N3" s="152"/>
    </row>
    <row r="4" spans="1:17" s="121" customFormat="1" ht="15.75" customHeight="1">
      <c r="A4" s="655"/>
      <c r="B4" s="655"/>
      <c r="C4" s="655"/>
      <c r="D4" s="655"/>
      <c r="E4" s="655"/>
      <c r="F4" s="655"/>
      <c r="G4" s="655"/>
      <c r="H4" s="655"/>
      <c r="I4" s="655"/>
      <c r="J4" s="655"/>
      <c r="K4" s="655"/>
      <c r="L4" s="655"/>
      <c r="M4" s="655"/>
      <c r="N4" s="131"/>
    </row>
    <row r="5" spans="1:17" ht="15.75" customHeight="1">
      <c r="A5" s="548" t="s">
        <v>172</v>
      </c>
      <c r="B5" s="768">
        <v>1</v>
      </c>
      <c r="C5" s="768"/>
      <c r="D5" s="768">
        <v>2</v>
      </c>
      <c r="E5" s="768"/>
      <c r="F5" s="768">
        <v>3</v>
      </c>
      <c r="G5" s="768"/>
      <c r="H5" s="766">
        <v>4</v>
      </c>
      <c r="I5" s="766"/>
      <c r="J5" s="766">
        <v>5</v>
      </c>
      <c r="K5" s="766"/>
      <c r="L5" s="766">
        <v>6</v>
      </c>
      <c r="M5" s="766"/>
      <c r="N5" s="766">
        <v>7</v>
      </c>
      <c r="O5" s="766"/>
      <c r="P5" s="766">
        <v>8</v>
      </c>
      <c r="Q5" s="766"/>
    </row>
    <row r="6" spans="1:17" ht="15.75" customHeight="1">
      <c r="A6" s="548"/>
      <c r="B6" s="769" t="s">
        <v>303</v>
      </c>
      <c r="C6" s="769"/>
      <c r="D6" s="769" t="s">
        <v>193</v>
      </c>
      <c r="E6" s="769"/>
      <c r="F6" s="769" t="s">
        <v>164</v>
      </c>
      <c r="G6" s="769"/>
      <c r="H6" s="548" t="s">
        <v>508</v>
      </c>
      <c r="I6" s="548"/>
      <c r="J6" s="548" t="s">
        <v>170</v>
      </c>
      <c r="K6" s="548"/>
      <c r="L6" s="548" t="s">
        <v>165</v>
      </c>
      <c r="M6" s="548"/>
      <c r="N6" s="548" t="s">
        <v>171</v>
      </c>
      <c r="O6" s="548"/>
      <c r="P6" s="767" t="s">
        <v>196</v>
      </c>
      <c r="Q6" s="548"/>
    </row>
    <row r="8" spans="1:17" s="154" customFormat="1" ht="15.75" customHeight="1">
      <c r="A8" s="777" t="s">
        <v>767</v>
      </c>
      <c r="B8" s="778"/>
      <c r="C8" s="494" t="s">
        <v>768</v>
      </c>
      <c r="D8" s="782" t="s">
        <v>12</v>
      </c>
      <c r="E8" s="783"/>
      <c r="F8" s="784"/>
      <c r="G8" s="492" t="s">
        <v>769</v>
      </c>
      <c r="H8" s="493"/>
      <c r="I8" s="494"/>
      <c r="J8" s="170" t="s">
        <v>770</v>
      </c>
      <c r="K8" s="170" t="s">
        <v>771</v>
      </c>
      <c r="L8" s="170" t="s">
        <v>772</v>
      </c>
      <c r="M8" s="170" t="s">
        <v>11</v>
      </c>
      <c r="N8" s="336" t="s">
        <v>773</v>
      </c>
      <c r="O8" s="775" t="s">
        <v>774</v>
      </c>
      <c r="P8" s="776"/>
    </row>
    <row r="9" spans="1:17" ht="15.75" customHeight="1">
      <c r="A9" s="700">
        <v>1</v>
      </c>
      <c r="B9" s="779" t="s">
        <v>775</v>
      </c>
      <c r="C9" s="171">
        <v>1</v>
      </c>
      <c r="D9" s="509">
        <v>0</v>
      </c>
      <c r="E9" s="773"/>
      <c r="F9" s="774"/>
      <c r="G9" s="509">
        <v>0</v>
      </c>
      <c r="H9" s="773"/>
      <c r="I9" s="774"/>
      <c r="J9" s="4">
        <v>0</v>
      </c>
      <c r="K9" s="14">
        <v>0</v>
      </c>
      <c r="L9" s="4">
        <v>0</v>
      </c>
      <c r="M9" s="453">
        <v>0</v>
      </c>
      <c r="N9" s="172"/>
      <c r="O9" s="764"/>
      <c r="P9" s="765"/>
    </row>
    <row r="10" spans="1:17" ht="15.75" customHeight="1">
      <c r="A10" s="701"/>
      <c r="B10" s="780"/>
      <c r="C10" s="171">
        <v>2</v>
      </c>
      <c r="D10" s="509">
        <v>0</v>
      </c>
      <c r="E10" s="773"/>
      <c r="F10" s="774"/>
      <c r="G10" s="509">
        <v>0</v>
      </c>
      <c r="H10" s="773"/>
      <c r="I10" s="774"/>
      <c r="J10" s="4">
        <v>0</v>
      </c>
      <c r="K10" s="14">
        <v>0</v>
      </c>
      <c r="L10" s="4">
        <v>0</v>
      </c>
      <c r="M10" s="453">
        <v>0</v>
      </c>
      <c r="N10" s="172"/>
      <c r="O10" s="764"/>
      <c r="P10" s="765"/>
    </row>
    <row r="11" spans="1:17" ht="15.75" customHeight="1">
      <c r="A11" s="701"/>
      <c r="B11" s="780"/>
      <c r="C11" s="171">
        <v>3</v>
      </c>
      <c r="D11" s="509">
        <v>0</v>
      </c>
      <c r="E11" s="773"/>
      <c r="F11" s="774"/>
      <c r="G11" s="509">
        <v>0</v>
      </c>
      <c r="H11" s="773"/>
      <c r="I11" s="774"/>
      <c r="J11" s="4">
        <v>0</v>
      </c>
      <c r="K11" s="14">
        <v>0</v>
      </c>
      <c r="L11" s="4">
        <v>0</v>
      </c>
      <c r="M11" s="453">
        <v>0</v>
      </c>
      <c r="N11" s="172"/>
      <c r="O11" s="764"/>
      <c r="P11" s="765"/>
    </row>
    <row r="12" spans="1:17" ht="15.75" customHeight="1">
      <c r="A12" s="701"/>
      <c r="B12" s="780"/>
      <c r="C12" s="171">
        <v>4</v>
      </c>
      <c r="D12" s="509">
        <v>0</v>
      </c>
      <c r="E12" s="773"/>
      <c r="F12" s="774"/>
      <c r="G12" s="509">
        <v>0</v>
      </c>
      <c r="H12" s="773"/>
      <c r="I12" s="774"/>
      <c r="J12" s="4">
        <v>0</v>
      </c>
      <c r="K12" s="14">
        <v>0</v>
      </c>
      <c r="L12" s="4">
        <v>0</v>
      </c>
      <c r="M12" s="453">
        <v>0</v>
      </c>
      <c r="N12" s="172"/>
      <c r="O12" s="764"/>
      <c r="P12" s="765"/>
    </row>
    <row r="13" spans="1:17" ht="15.75" customHeight="1" thickBot="1">
      <c r="A13" s="701"/>
      <c r="B13" s="780"/>
      <c r="C13" s="173">
        <v>5</v>
      </c>
      <c r="D13" s="509">
        <v>0</v>
      </c>
      <c r="E13" s="773"/>
      <c r="F13" s="774"/>
      <c r="G13" s="509">
        <v>0</v>
      </c>
      <c r="H13" s="773"/>
      <c r="I13" s="774"/>
      <c r="J13" s="4">
        <v>0</v>
      </c>
      <c r="K13" s="14">
        <v>0</v>
      </c>
      <c r="L13" s="4">
        <v>0</v>
      </c>
      <c r="M13" s="453">
        <v>0</v>
      </c>
      <c r="N13" s="172"/>
      <c r="O13" s="764"/>
      <c r="P13" s="765"/>
    </row>
    <row r="14" spans="1:17" ht="15.75" customHeight="1" thickTop="1" thickBot="1">
      <c r="A14" s="702"/>
      <c r="B14" s="781"/>
      <c r="C14" s="785"/>
      <c r="D14" s="786"/>
      <c r="E14" s="786"/>
      <c r="F14" s="786"/>
      <c r="G14" s="786"/>
      <c r="H14" s="786"/>
      <c r="I14" s="787"/>
      <c r="J14" s="335" t="s">
        <v>776</v>
      </c>
      <c r="K14" s="245">
        <v>0</v>
      </c>
      <c r="L14" s="335" t="s">
        <v>777</v>
      </c>
      <c r="M14" s="454">
        <v>0</v>
      </c>
      <c r="N14" s="770"/>
      <c r="O14" s="771"/>
      <c r="P14" s="772"/>
    </row>
    <row r="15" spans="1:17" ht="15.75" customHeight="1" thickTop="1"/>
    <row r="16" spans="1:17" ht="15.75" customHeight="1">
      <c r="A16" s="777" t="s">
        <v>767</v>
      </c>
      <c r="B16" s="778"/>
      <c r="C16" s="494" t="s">
        <v>768</v>
      </c>
      <c r="D16" s="782" t="s">
        <v>12</v>
      </c>
      <c r="E16" s="783"/>
      <c r="F16" s="784"/>
      <c r="G16" s="492" t="s">
        <v>769</v>
      </c>
      <c r="H16" s="493"/>
      <c r="I16" s="494"/>
      <c r="J16" s="170" t="s">
        <v>770</v>
      </c>
      <c r="K16" s="170" t="s">
        <v>771</v>
      </c>
      <c r="L16" s="170" t="s">
        <v>772</v>
      </c>
      <c r="M16" s="170" t="s">
        <v>11</v>
      </c>
      <c r="N16" s="336" t="s">
        <v>773</v>
      </c>
      <c r="O16" s="775" t="s">
        <v>774</v>
      </c>
      <c r="P16" s="776"/>
    </row>
    <row r="17" spans="1:16" ht="15.75" customHeight="1">
      <c r="A17" s="700">
        <v>2</v>
      </c>
      <c r="B17" s="779" t="s">
        <v>778</v>
      </c>
      <c r="C17" s="171">
        <v>1</v>
      </c>
      <c r="D17" s="509" t="s">
        <v>354</v>
      </c>
      <c r="E17" s="773"/>
      <c r="F17" s="774"/>
      <c r="G17" s="509" t="s">
        <v>779</v>
      </c>
      <c r="H17" s="773"/>
      <c r="I17" s="774"/>
      <c r="J17" s="4">
        <v>195.51</v>
      </c>
      <c r="K17" s="14">
        <v>7.2376357056694818E-2</v>
      </c>
      <c r="L17" s="4">
        <v>0.9</v>
      </c>
      <c r="M17" s="453">
        <v>175.959</v>
      </c>
      <c r="N17" s="172"/>
      <c r="O17" s="764" t="s">
        <v>511</v>
      </c>
      <c r="P17" s="765"/>
    </row>
    <row r="18" spans="1:16" ht="15.75" customHeight="1">
      <c r="A18" s="701"/>
      <c r="B18" s="780"/>
      <c r="C18" s="171">
        <v>2</v>
      </c>
      <c r="D18" s="509" t="s">
        <v>608</v>
      </c>
      <c r="E18" s="773"/>
      <c r="F18" s="774"/>
      <c r="G18" s="509" t="s">
        <v>780</v>
      </c>
      <c r="H18" s="773"/>
      <c r="I18" s="774"/>
      <c r="J18" s="4">
        <v>423.77</v>
      </c>
      <c r="K18" s="14">
        <v>9.2721372276309694E-2</v>
      </c>
      <c r="L18" s="4">
        <v>0.4</v>
      </c>
      <c r="M18" s="453">
        <v>169.50800000000001</v>
      </c>
      <c r="N18" s="172"/>
      <c r="O18" s="764" t="s">
        <v>511</v>
      </c>
      <c r="P18" s="765"/>
    </row>
    <row r="19" spans="1:16" ht="15.75" customHeight="1">
      <c r="A19" s="701"/>
      <c r="B19" s="780"/>
      <c r="C19" s="171">
        <v>3</v>
      </c>
      <c r="D19" s="509">
        <v>0</v>
      </c>
      <c r="E19" s="773"/>
      <c r="F19" s="774"/>
      <c r="G19" s="509">
        <v>0</v>
      </c>
      <c r="H19" s="773"/>
      <c r="I19" s="774"/>
      <c r="J19" s="4">
        <v>0</v>
      </c>
      <c r="K19" s="14">
        <v>0</v>
      </c>
      <c r="L19" s="4">
        <v>0</v>
      </c>
      <c r="M19" s="453">
        <v>0</v>
      </c>
      <c r="N19" s="172"/>
      <c r="O19" s="764"/>
      <c r="P19" s="765"/>
    </row>
    <row r="20" spans="1:16" ht="15.75" customHeight="1">
      <c r="A20" s="701"/>
      <c r="B20" s="780"/>
      <c r="C20" s="171">
        <v>4</v>
      </c>
      <c r="D20" s="509">
        <v>0</v>
      </c>
      <c r="E20" s="773"/>
      <c r="F20" s="774"/>
      <c r="G20" s="509">
        <v>0</v>
      </c>
      <c r="H20" s="773"/>
      <c r="I20" s="774"/>
      <c r="J20" s="4">
        <v>0</v>
      </c>
      <c r="K20" s="14">
        <v>0</v>
      </c>
      <c r="L20" s="4">
        <v>0</v>
      </c>
      <c r="M20" s="453">
        <v>0</v>
      </c>
      <c r="N20" s="172"/>
      <c r="O20" s="764"/>
      <c r="P20" s="765"/>
    </row>
    <row r="21" spans="1:16" ht="15.75" customHeight="1" thickBot="1">
      <c r="A21" s="701"/>
      <c r="B21" s="780"/>
      <c r="C21" s="173">
        <v>5</v>
      </c>
      <c r="D21" s="509">
        <v>0</v>
      </c>
      <c r="E21" s="773"/>
      <c r="F21" s="774"/>
      <c r="G21" s="509">
        <v>0</v>
      </c>
      <c r="H21" s="773"/>
      <c r="I21" s="774"/>
      <c r="J21" s="4">
        <v>0</v>
      </c>
      <c r="K21" s="14">
        <v>0</v>
      </c>
      <c r="L21" s="4">
        <v>0</v>
      </c>
      <c r="M21" s="453">
        <v>0</v>
      </c>
      <c r="N21" s="174"/>
      <c r="O21" s="764"/>
      <c r="P21" s="765"/>
    </row>
    <row r="22" spans="1:16" ht="15.75" customHeight="1" thickTop="1" thickBot="1">
      <c r="A22" s="702"/>
      <c r="B22" s="781"/>
      <c r="C22" s="788"/>
      <c r="D22" s="789"/>
      <c r="E22" s="789"/>
      <c r="F22" s="789"/>
      <c r="G22" s="789"/>
      <c r="H22" s="789"/>
      <c r="I22" s="790"/>
      <c r="J22" s="335" t="s">
        <v>776</v>
      </c>
      <c r="K22" s="245">
        <v>2.2345312781081404E-3</v>
      </c>
      <c r="L22" s="335" t="s">
        <v>777</v>
      </c>
      <c r="M22" s="454">
        <v>345.46699999999998</v>
      </c>
      <c r="N22" s="770"/>
      <c r="O22" s="771"/>
      <c r="P22" s="772"/>
    </row>
    <row r="23" spans="1:16" ht="15.75" customHeight="1" thickTop="1"/>
    <row r="24" spans="1:16" ht="15.75" customHeight="1">
      <c r="A24" s="777" t="s">
        <v>767</v>
      </c>
      <c r="B24" s="778"/>
      <c r="C24" s="494" t="s">
        <v>768</v>
      </c>
      <c r="D24" s="782" t="s">
        <v>12</v>
      </c>
      <c r="E24" s="783"/>
      <c r="F24" s="784"/>
      <c r="G24" s="492" t="s">
        <v>769</v>
      </c>
      <c r="H24" s="493"/>
      <c r="I24" s="494"/>
      <c r="J24" s="170" t="s">
        <v>770</v>
      </c>
      <c r="K24" s="170" t="s">
        <v>771</v>
      </c>
      <c r="L24" s="170" t="s">
        <v>772</v>
      </c>
      <c r="M24" s="170" t="s">
        <v>11</v>
      </c>
      <c r="N24" s="336" t="s">
        <v>773</v>
      </c>
      <c r="O24" s="775" t="s">
        <v>774</v>
      </c>
      <c r="P24" s="776"/>
    </row>
    <row r="25" spans="1:16" ht="15.75" customHeight="1">
      <c r="A25" s="700">
        <v>3</v>
      </c>
      <c r="B25" s="779" t="s">
        <v>781</v>
      </c>
      <c r="C25" s="171">
        <v>1</v>
      </c>
      <c r="D25" s="509" t="s">
        <v>673</v>
      </c>
      <c r="E25" s="773"/>
      <c r="F25" s="774"/>
      <c r="G25" s="509" t="s">
        <v>782</v>
      </c>
      <c r="H25" s="773"/>
      <c r="I25" s="774"/>
      <c r="J25" s="4">
        <v>90.32</v>
      </c>
      <c r="K25" s="14">
        <v>2.8112449799196786E-2</v>
      </c>
      <c r="L25" s="4">
        <v>2.1</v>
      </c>
      <c r="M25" s="453">
        <v>189.672</v>
      </c>
      <c r="N25" s="172"/>
      <c r="O25" s="764" t="s">
        <v>783</v>
      </c>
      <c r="P25" s="765"/>
    </row>
    <row r="26" spans="1:16" ht="15.75" customHeight="1">
      <c r="A26" s="701"/>
      <c r="B26" s="780"/>
      <c r="C26" s="171">
        <v>2</v>
      </c>
      <c r="D26" s="509" t="s">
        <v>530</v>
      </c>
      <c r="E26" s="773"/>
      <c r="F26" s="774"/>
      <c r="G26" s="509" t="s">
        <v>672</v>
      </c>
      <c r="H26" s="773"/>
      <c r="I26" s="774"/>
      <c r="J26" s="4">
        <v>103.97</v>
      </c>
      <c r="K26" s="14">
        <v>1.7582417582417582E-2</v>
      </c>
      <c r="L26" s="4">
        <v>1.8</v>
      </c>
      <c r="M26" s="453">
        <v>187.14600000000002</v>
      </c>
      <c r="N26" s="172"/>
      <c r="O26" s="764" t="s">
        <v>783</v>
      </c>
      <c r="P26" s="765"/>
    </row>
    <row r="27" spans="1:16" ht="15.75" customHeight="1">
      <c r="A27" s="701"/>
      <c r="B27" s="780"/>
      <c r="C27" s="171">
        <v>3</v>
      </c>
      <c r="D27" s="509">
        <v>0</v>
      </c>
      <c r="E27" s="773"/>
      <c r="F27" s="774"/>
      <c r="G27" s="509">
        <v>0</v>
      </c>
      <c r="H27" s="773"/>
      <c r="I27" s="774"/>
      <c r="J27" s="4">
        <v>0</v>
      </c>
      <c r="K27" s="14">
        <v>0</v>
      </c>
      <c r="L27" s="4">
        <v>0</v>
      </c>
      <c r="M27" s="453">
        <v>0</v>
      </c>
      <c r="N27" s="172"/>
      <c r="O27" s="764"/>
      <c r="P27" s="765"/>
    </row>
    <row r="28" spans="1:16" ht="15.75" customHeight="1">
      <c r="A28" s="701"/>
      <c r="B28" s="780"/>
      <c r="C28" s="171">
        <v>4</v>
      </c>
      <c r="D28" s="509">
        <v>0</v>
      </c>
      <c r="E28" s="773"/>
      <c r="F28" s="774"/>
      <c r="G28" s="509">
        <v>0</v>
      </c>
      <c r="H28" s="773"/>
      <c r="I28" s="774"/>
      <c r="J28" s="4">
        <v>0</v>
      </c>
      <c r="K28" s="14">
        <v>0</v>
      </c>
      <c r="L28" s="4">
        <v>0</v>
      </c>
      <c r="M28" s="453">
        <v>0</v>
      </c>
      <c r="N28" s="172"/>
      <c r="O28" s="764"/>
      <c r="P28" s="765"/>
    </row>
    <row r="29" spans="1:16" ht="15.75" customHeight="1" thickBot="1">
      <c r="A29" s="701"/>
      <c r="B29" s="780"/>
      <c r="C29" s="173">
        <v>5</v>
      </c>
      <c r="D29" s="509">
        <v>0</v>
      </c>
      <c r="E29" s="773"/>
      <c r="F29" s="774"/>
      <c r="G29" s="509">
        <v>0</v>
      </c>
      <c r="H29" s="773"/>
      <c r="I29" s="774"/>
      <c r="J29" s="4">
        <v>0</v>
      </c>
      <c r="K29" s="14">
        <v>0</v>
      </c>
      <c r="L29" s="4">
        <v>0</v>
      </c>
      <c r="M29" s="453">
        <v>0</v>
      </c>
      <c r="N29" s="174"/>
      <c r="O29" s="764"/>
      <c r="P29" s="765"/>
    </row>
    <row r="30" spans="1:16" ht="15.75" customHeight="1" thickTop="1" thickBot="1">
      <c r="A30" s="702"/>
      <c r="B30" s="781"/>
      <c r="C30" s="785"/>
      <c r="D30" s="786"/>
      <c r="E30" s="786"/>
      <c r="F30" s="786"/>
      <c r="G30" s="786"/>
      <c r="H30" s="786"/>
      <c r="I30" s="787"/>
      <c r="J30" s="335" t="s">
        <v>776</v>
      </c>
      <c r="K30" s="245">
        <v>2.4373141491203306E-3</v>
      </c>
      <c r="L30" s="335" t="s">
        <v>777</v>
      </c>
      <c r="M30" s="454">
        <v>376.81799999999998</v>
      </c>
      <c r="N30" s="770"/>
      <c r="O30" s="771"/>
      <c r="P30" s="772"/>
    </row>
    <row r="31" spans="1:16" ht="15.75" customHeight="1" thickTop="1"/>
  </sheetData>
  <mergeCells count="85">
    <mergeCell ref="C30:I30"/>
    <mergeCell ref="N30:P30"/>
    <mergeCell ref="A25:A30"/>
    <mergeCell ref="B25:B30"/>
    <mergeCell ref="D25:F25"/>
    <mergeCell ref="G25:I25"/>
    <mergeCell ref="D26:F26"/>
    <mergeCell ref="G26:I26"/>
    <mergeCell ref="D27:F27"/>
    <mergeCell ref="G27:I27"/>
    <mergeCell ref="D28:F28"/>
    <mergeCell ref="G28:I28"/>
    <mergeCell ref="D21:F21"/>
    <mergeCell ref="G21:I21"/>
    <mergeCell ref="C22:I22"/>
    <mergeCell ref="N22:P22"/>
    <mergeCell ref="D29:F29"/>
    <mergeCell ref="G29:I29"/>
    <mergeCell ref="O25:P25"/>
    <mergeCell ref="O26:P26"/>
    <mergeCell ref="O27:P27"/>
    <mergeCell ref="O28:P28"/>
    <mergeCell ref="O29:P29"/>
    <mergeCell ref="A16:B16"/>
    <mergeCell ref="D16:F16"/>
    <mergeCell ref="A24:B24"/>
    <mergeCell ref="D24:F24"/>
    <mergeCell ref="O24:P24"/>
    <mergeCell ref="O16:P16"/>
    <mergeCell ref="A17:A22"/>
    <mergeCell ref="B17:B22"/>
    <mergeCell ref="D17:F17"/>
    <mergeCell ref="G17:I17"/>
    <mergeCell ref="D18:F18"/>
    <mergeCell ref="G18:I18"/>
    <mergeCell ref="D19:F19"/>
    <mergeCell ref="G19:I19"/>
    <mergeCell ref="D20:F20"/>
    <mergeCell ref="G20:I20"/>
    <mergeCell ref="A8:B8"/>
    <mergeCell ref="A9:A14"/>
    <mergeCell ref="B9:B14"/>
    <mergeCell ref="D8:F8"/>
    <mergeCell ref="C14:I14"/>
    <mergeCell ref="D9:F9"/>
    <mergeCell ref="D10:F10"/>
    <mergeCell ref="D11:F11"/>
    <mergeCell ref="G10:I10"/>
    <mergeCell ref="G11:I11"/>
    <mergeCell ref="G12:I12"/>
    <mergeCell ref="G13:I13"/>
    <mergeCell ref="N6:O6"/>
    <mergeCell ref="H5:I5"/>
    <mergeCell ref="H6:I6"/>
    <mergeCell ref="N14:P14"/>
    <mergeCell ref="D13:F13"/>
    <mergeCell ref="D12:F12"/>
    <mergeCell ref="O8:P8"/>
    <mergeCell ref="G9:I9"/>
    <mergeCell ref="O9:P9"/>
    <mergeCell ref="O10:P10"/>
    <mergeCell ref="O11:P11"/>
    <mergeCell ref="O12:P12"/>
    <mergeCell ref="O13:P13"/>
    <mergeCell ref="A1:Q2"/>
    <mergeCell ref="A3:M4"/>
    <mergeCell ref="P5:Q5"/>
    <mergeCell ref="P6:Q6"/>
    <mergeCell ref="A5:A6"/>
    <mergeCell ref="B5:C5"/>
    <mergeCell ref="D5:E5"/>
    <mergeCell ref="F5:G5"/>
    <mergeCell ref="F6:G6"/>
    <mergeCell ref="D6:E6"/>
    <mergeCell ref="B6:C6"/>
    <mergeCell ref="J5:K5"/>
    <mergeCell ref="L5:M5"/>
    <mergeCell ref="N5:O5"/>
    <mergeCell ref="J6:K6"/>
    <mergeCell ref="L6:M6"/>
    <mergeCell ref="O17:P17"/>
    <mergeCell ref="O18:P18"/>
    <mergeCell ref="O19:P19"/>
    <mergeCell ref="O20:P20"/>
    <mergeCell ref="O21:P21"/>
  </mergeCells>
  <phoneticPr fontId="12" type="noConversion"/>
  <printOptions horizontalCentered="1" gridLines="1"/>
  <pageMargins left="0.39370078740157483" right="0.39370078740157483" top="0.39370078740157483" bottom="0.39370078740157483" header="0" footer="0"/>
  <pageSetup paperSize="9" scale="90" fitToWidth="0" fitToHeight="0" pageOrder="overThenDown" orientation="landscape" cellComments="atEnd"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Q39"/>
  <sheetViews>
    <sheetView view="pageBreakPreview" topLeftCell="A4" zoomScaleNormal="60" zoomScaleSheetLayoutView="100" workbookViewId="0">
      <selection activeCell="A8" sqref="A8:P38"/>
    </sheetView>
  </sheetViews>
  <sheetFormatPr defaultColWidth="12.5703125" defaultRowHeight="15.75" customHeight="1"/>
  <cols>
    <col min="1" max="1" width="5.42578125" style="76" customWidth="1"/>
    <col min="2" max="2" width="11.42578125" style="111" customWidth="1"/>
    <col min="3" max="3" width="4" style="109" customWidth="1"/>
    <col min="4" max="17" width="9.5703125" style="76" customWidth="1"/>
    <col min="18" max="16384" width="12.5703125" style="76"/>
  </cols>
  <sheetData>
    <row r="1" spans="1:17" s="120" customFormat="1" ht="15.75" customHeight="1">
      <c r="A1" s="531" t="s">
        <v>186</v>
      </c>
      <c r="B1" s="531"/>
      <c r="C1" s="531"/>
      <c r="D1" s="531"/>
      <c r="E1" s="531"/>
      <c r="F1" s="531"/>
      <c r="G1" s="531"/>
      <c r="H1" s="531"/>
      <c r="I1" s="531"/>
      <c r="J1" s="531"/>
      <c r="K1" s="531"/>
      <c r="L1" s="531"/>
      <c r="M1" s="531"/>
      <c r="N1" s="531"/>
      <c r="O1" s="531"/>
      <c r="P1" s="531"/>
      <c r="Q1" s="531"/>
    </row>
    <row r="2" spans="1:17" s="121" customFormat="1" ht="15.75" customHeight="1">
      <c r="A2" s="531"/>
      <c r="B2" s="531"/>
      <c r="C2" s="531"/>
      <c r="D2" s="531"/>
      <c r="E2" s="531"/>
      <c r="F2" s="531"/>
      <c r="G2" s="531"/>
      <c r="H2" s="531"/>
      <c r="I2" s="531"/>
      <c r="J2" s="531"/>
      <c r="K2" s="531"/>
      <c r="L2" s="531"/>
      <c r="M2" s="531"/>
      <c r="N2" s="531"/>
      <c r="O2" s="531"/>
      <c r="P2" s="531"/>
      <c r="Q2" s="531"/>
    </row>
    <row r="3" spans="1:17" s="120" customFormat="1" ht="15.75" customHeight="1">
      <c r="A3" s="654" t="s">
        <v>192</v>
      </c>
      <c r="B3" s="655"/>
      <c r="C3" s="655"/>
      <c r="D3" s="655"/>
      <c r="E3" s="655"/>
      <c r="F3" s="655"/>
      <c r="G3" s="655"/>
      <c r="H3" s="655"/>
      <c r="I3" s="655"/>
      <c r="J3" s="655"/>
      <c r="K3" s="655"/>
      <c r="L3" s="655"/>
      <c r="M3" s="655"/>
      <c r="N3" s="152"/>
    </row>
    <row r="4" spans="1:17" s="121" customFormat="1" ht="15.75" customHeight="1">
      <c r="A4" s="655"/>
      <c r="B4" s="655"/>
      <c r="C4" s="655"/>
      <c r="D4" s="655"/>
      <c r="E4" s="655"/>
      <c r="F4" s="655"/>
      <c r="G4" s="655"/>
      <c r="H4" s="655"/>
      <c r="I4" s="655"/>
      <c r="J4" s="655"/>
      <c r="K4" s="655"/>
      <c r="L4" s="655"/>
      <c r="M4" s="655"/>
      <c r="N4" s="131"/>
    </row>
    <row r="5" spans="1:17" s="120" customFormat="1" ht="15.75" customHeight="1">
      <c r="A5" s="548" t="s">
        <v>172</v>
      </c>
      <c r="B5" s="766">
        <v>1</v>
      </c>
      <c r="C5" s="766"/>
      <c r="D5" s="766">
        <v>2</v>
      </c>
      <c r="E5" s="766"/>
      <c r="F5" s="766">
        <v>3</v>
      </c>
      <c r="G5" s="766"/>
      <c r="H5" s="768">
        <v>4</v>
      </c>
      <c r="I5" s="768"/>
      <c r="J5" s="768">
        <v>5</v>
      </c>
      <c r="K5" s="768"/>
      <c r="L5" s="768">
        <v>6</v>
      </c>
      <c r="M5" s="768"/>
      <c r="N5" s="768">
        <v>7</v>
      </c>
      <c r="O5" s="768"/>
      <c r="P5" s="766">
        <v>8</v>
      </c>
      <c r="Q5" s="766"/>
    </row>
    <row r="6" spans="1:17" s="120" customFormat="1" ht="15.75" customHeight="1">
      <c r="A6" s="548"/>
      <c r="B6" s="548" t="s">
        <v>304</v>
      </c>
      <c r="C6" s="548"/>
      <c r="D6" s="548" t="s">
        <v>193</v>
      </c>
      <c r="E6" s="548"/>
      <c r="F6" s="548" t="s">
        <v>164</v>
      </c>
      <c r="G6" s="548"/>
      <c r="H6" s="769" t="s">
        <v>508</v>
      </c>
      <c r="I6" s="769"/>
      <c r="J6" s="769" t="s">
        <v>170</v>
      </c>
      <c r="K6" s="769"/>
      <c r="L6" s="769" t="s">
        <v>165</v>
      </c>
      <c r="M6" s="769"/>
      <c r="N6" s="769" t="s">
        <v>171</v>
      </c>
      <c r="O6" s="769"/>
      <c r="P6" s="767" t="s">
        <v>196</v>
      </c>
      <c r="Q6" s="548"/>
    </row>
    <row r="7" spans="1:17" s="120" customFormat="1" ht="15.75" customHeight="1">
      <c r="B7" s="175"/>
      <c r="C7" s="161"/>
    </row>
    <row r="8" spans="1:17" s="110" customFormat="1" ht="15.75" customHeight="1">
      <c r="A8" s="792" t="s">
        <v>767</v>
      </c>
      <c r="B8" s="793"/>
      <c r="C8" s="117" t="s">
        <v>768</v>
      </c>
      <c r="D8" s="794" t="s">
        <v>12</v>
      </c>
      <c r="E8" s="795"/>
      <c r="F8" s="796"/>
      <c r="G8" s="115" t="s">
        <v>769</v>
      </c>
      <c r="H8" s="116"/>
      <c r="I8" s="117"/>
      <c r="J8" s="114" t="s">
        <v>770</v>
      </c>
      <c r="K8" s="114" t="s">
        <v>771</v>
      </c>
      <c r="L8" s="114" t="s">
        <v>772</v>
      </c>
      <c r="M8" s="118" t="s">
        <v>11</v>
      </c>
      <c r="N8" s="336" t="s">
        <v>773</v>
      </c>
      <c r="O8" s="797" t="s">
        <v>774</v>
      </c>
      <c r="P8" s="798"/>
    </row>
    <row r="9" spans="1:17" ht="15.75" customHeight="1">
      <c r="A9" s="793">
        <v>4</v>
      </c>
      <c r="B9" s="799" t="s">
        <v>508</v>
      </c>
      <c r="C9" s="112">
        <v>1</v>
      </c>
      <c r="D9" s="509" t="s">
        <v>645</v>
      </c>
      <c r="E9" s="773"/>
      <c r="F9" s="774"/>
      <c r="G9" s="509" t="s">
        <v>646</v>
      </c>
      <c r="H9" s="773"/>
      <c r="I9" s="774"/>
      <c r="J9" s="4">
        <v>114.68</v>
      </c>
      <c r="K9" s="14">
        <v>3.9376462140689782E-3</v>
      </c>
      <c r="L9" s="4">
        <v>1.7</v>
      </c>
      <c r="M9" s="453">
        <v>194.95600000000002</v>
      </c>
      <c r="N9" s="4"/>
      <c r="O9" s="764" t="s">
        <v>784</v>
      </c>
      <c r="P9" s="791"/>
      <c r="Q9" s="262"/>
    </row>
    <row r="10" spans="1:17" ht="15.75" customHeight="1">
      <c r="A10" s="793"/>
      <c r="B10" s="799"/>
      <c r="C10" s="112">
        <v>2</v>
      </c>
      <c r="D10" s="509" t="s">
        <v>666</v>
      </c>
      <c r="E10" s="773"/>
      <c r="F10" s="774"/>
      <c r="G10" s="509" t="s">
        <v>670</v>
      </c>
      <c r="H10" s="773"/>
      <c r="I10" s="774"/>
      <c r="J10" s="4">
        <v>102.12</v>
      </c>
      <c r="K10" s="14">
        <v>6.2768417575156917E-3</v>
      </c>
      <c r="L10" s="4">
        <v>1.9</v>
      </c>
      <c r="M10" s="453">
        <v>194.02799999999999</v>
      </c>
      <c r="N10" s="4"/>
      <c r="O10" s="764" t="s">
        <v>784</v>
      </c>
      <c r="P10" s="791"/>
      <c r="Q10" s="262"/>
    </row>
    <row r="11" spans="1:17" ht="15.75" customHeight="1">
      <c r="A11" s="793"/>
      <c r="B11" s="799"/>
      <c r="C11" s="112">
        <v>3</v>
      </c>
      <c r="D11" s="509" t="s">
        <v>334</v>
      </c>
      <c r="E11" s="773"/>
      <c r="F11" s="774"/>
      <c r="G11" s="509" t="s">
        <v>540</v>
      </c>
      <c r="H11" s="773"/>
      <c r="I11" s="774"/>
      <c r="J11" s="4">
        <v>111.17</v>
      </c>
      <c r="K11" s="14">
        <v>4.7538485200151002E-3</v>
      </c>
      <c r="L11" s="4">
        <v>1.7</v>
      </c>
      <c r="M11" s="453">
        <v>188.989</v>
      </c>
      <c r="N11" s="4"/>
      <c r="O11" s="764" t="s">
        <v>784</v>
      </c>
      <c r="P11" s="791"/>
      <c r="Q11" s="262"/>
    </row>
    <row r="12" spans="1:17" ht="15.75" customHeight="1">
      <c r="A12" s="793"/>
      <c r="B12" s="799"/>
      <c r="C12" s="112">
        <v>4</v>
      </c>
      <c r="D12" s="509" t="s">
        <v>656</v>
      </c>
      <c r="E12" s="773"/>
      <c r="F12" s="774"/>
      <c r="G12" s="509" t="s">
        <v>657</v>
      </c>
      <c r="H12" s="773"/>
      <c r="I12" s="774"/>
      <c r="J12" s="4">
        <v>144.99</v>
      </c>
      <c r="K12" s="14">
        <v>1.7430946634486459E-2</v>
      </c>
      <c r="L12" s="4">
        <v>1.3</v>
      </c>
      <c r="M12" s="453">
        <v>188.48700000000002</v>
      </c>
      <c r="N12" s="4"/>
      <c r="O12" s="764" t="s">
        <v>784</v>
      </c>
      <c r="P12" s="791"/>
      <c r="Q12" s="262"/>
    </row>
    <row r="13" spans="1:17" ht="15.75" customHeight="1" thickBot="1">
      <c r="A13" s="793"/>
      <c r="B13" s="799"/>
      <c r="C13" s="113">
        <v>5</v>
      </c>
      <c r="D13" s="509" t="s">
        <v>530</v>
      </c>
      <c r="E13" s="773"/>
      <c r="F13" s="774"/>
      <c r="G13" s="509" t="s">
        <v>672</v>
      </c>
      <c r="H13" s="773"/>
      <c r="I13" s="774"/>
      <c r="J13" s="4">
        <v>103.97</v>
      </c>
      <c r="K13" s="14">
        <v>1.605136436597111E-2</v>
      </c>
      <c r="L13" s="4">
        <v>1.8</v>
      </c>
      <c r="M13" s="453">
        <v>187.14600000000002</v>
      </c>
      <c r="N13" s="27"/>
      <c r="O13" s="764" t="s">
        <v>784</v>
      </c>
      <c r="P13" s="791"/>
      <c r="Q13" s="262"/>
    </row>
    <row r="14" spans="1:17" ht="15.75" customHeight="1" thickTop="1" thickBot="1">
      <c r="A14" s="793"/>
      <c r="B14" s="799"/>
      <c r="C14" s="801"/>
      <c r="D14" s="801"/>
      <c r="E14" s="801"/>
      <c r="F14" s="801"/>
      <c r="G14" s="801"/>
      <c r="H14" s="801"/>
      <c r="I14" s="801"/>
      <c r="J14" s="246" t="s">
        <v>776</v>
      </c>
      <c r="K14" s="245">
        <v>6.1680636182083713E-3</v>
      </c>
      <c r="L14" s="246" t="s">
        <v>777</v>
      </c>
      <c r="M14" s="454">
        <v>953.60599999999999</v>
      </c>
      <c r="N14" s="800"/>
      <c r="O14" s="800"/>
      <c r="P14" s="800"/>
      <c r="Q14" s="262"/>
    </row>
    <row r="15" spans="1:17" ht="15.75" customHeight="1" thickTop="1">
      <c r="A15" s="489"/>
      <c r="D15" s="489"/>
      <c r="E15" s="489"/>
      <c r="F15" s="489"/>
      <c r="G15" s="489"/>
      <c r="H15" s="489"/>
      <c r="I15" s="489"/>
      <c r="J15" s="489"/>
      <c r="K15" s="489"/>
      <c r="L15" s="489"/>
      <c r="M15" s="489"/>
      <c r="N15" s="489"/>
      <c r="O15" s="489"/>
      <c r="P15" s="489"/>
      <c r="Q15" s="262"/>
    </row>
    <row r="16" spans="1:17" ht="15.75" customHeight="1">
      <c r="A16" s="792" t="s">
        <v>767</v>
      </c>
      <c r="B16" s="793"/>
      <c r="C16" s="117" t="s">
        <v>768</v>
      </c>
      <c r="D16" s="794" t="s">
        <v>12</v>
      </c>
      <c r="E16" s="795"/>
      <c r="F16" s="796"/>
      <c r="G16" s="115" t="s">
        <v>769</v>
      </c>
      <c r="H16" s="116"/>
      <c r="I16" s="117"/>
      <c r="J16" s="114" t="s">
        <v>770</v>
      </c>
      <c r="K16" s="114" t="s">
        <v>771</v>
      </c>
      <c r="L16" s="114" t="s">
        <v>772</v>
      </c>
      <c r="M16" s="118" t="s">
        <v>11</v>
      </c>
      <c r="N16" s="336" t="s">
        <v>773</v>
      </c>
      <c r="O16" s="797" t="s">
        <v>774</v>
      </c>
      <c r="P16" s="798"/>
      <c r="Q16" s="262"/>
    </row>
    <row r="17" spans="1:17" ht="15.75" customHeight="1">
      <c r="A17" s="793">
        <v>5</v>
      </c>
      <c r="B17" s="802" t="s">
        <v>194</v>
      </c>
      <c r="C17" s="112">
        <v>1</v>
      </c>
      <c r="D17" s="509" t="s">
        <v>654</v>
      </c>
      <c r="E17" s="773"/>
      <c r="F17" s="774"/>
      <c r="G17" s="509" t="s">
        <v>655</v>
      </c>
      <c r="H17" s="773"/>
      <c r="I17" s="774"/>
      <c r="J17" s="4">
        <v>325.01</v>
      </c>
      <c r="K17" s="14">
        <v>9.4861660079051391E-3</v>
      </c>
      <c r="L17" s="4">
        <v>0.60000000000000009</v>
      </c>
      <c r="M17" s="453">
        <v>195.00600000000003</v>
      </c>
      <c r="N17" s="4"/>
      <c r="O17" s="764" t="s">
        <v>522</v>
      </c>
      <c r="P17" s="791"/>
      <c r="Q17" s="262"/>
    </row>
    <row r="18" spans="1:17" ht="15.75" customHeight="1">
      <c r="A18" s="793"/>
      <c r="B18" s="799"/>
      <c r="C18" s="112">
        <v>2</v>
      </c>
      <c r="D18" s="509" t="s">
        <v>530</v>
      </c>
      <c r="E18" s="773"/>
      <c r="F18" s="774"/>
      <c r="G18" s="509" t="s">
        <v>658</v>
      </c>
      <c r="H18" s="773"/>
      <c r="I18" s="774"/>
      <c r="J18" s="4">
        <v>278.12</v>
      </c>
      <c r="K18" s="14">
        <v>1.820640865584686E-2</v>
      </c>
      <c r="L18" s="4">
        <v>0.70000000000000007</v>
      </c>
      <c r="M18" s="453">
        <v>194.68400000000003</v>
      </c>
      <c r="N18" s="4"/>
      <c r="O18" s="764" t="s">
        <v>522</v>
      </c>
      <c r="P18" s="791"/>
      <c r="Q18" s="262"/>
    </row>
    <row r="19" spans="1:17" ht="15.75" customHeight="1">
      <c r="A19" s="793"/>
      <c r="B19" s="799"/>
      <c r="C19" s="112">
        <v>3</v>
      </c>
      <c r="D19" s="509" t="s">
        <v>329</v>
      </c>
      <c r="E19" s="773"/>
      <c r="F19" s="774"/>
      <c r="G19" s="509" t="s">
        <v>684</v>
      </c>
      <c r="H19" s="773"/>
      <c r="I19" s="774"/>
      <c r="J19" s="4">
        <v>272.74</v>
      </c>
      <c r="K19" s="14">
        <v>1.192301141202521E-2</v>
      </c>
      <c r="L19" s="4">
        <v>0.70000000000000007</v>
      </c>
      <c r="M19" s="453">
        <v>190.91800000000003</v>
      </c>
      <c r="N19" s="4"/>
      <c r="O19" s="764" t="s">
        <v>522</v>
      </c>
      <c r="P19" s="791"/>
      <c r="Q19" s="262"/>
    </row>
    <row r="20" spans="1:17" ht="15.75" customHeight="1">
      <c r="A20" s="793"/>
      <c r="B20" s="799"/>
      <c r="C20" s="112">
        <v>4</v>
      </c>
      <c r="D20" s="509" t="s">
        <v>506</v>
      </c>
      <c r="E20" s="773"/>
      <c r="F20" s="774"/>
      <c r="G20" s="509" t="s">
        <v>785</v>
      </c>
      <c r="H20" s="773"/>
      <c r="I20" s="774"/>
      <c r="J20" s="4">
        <v>237.97</v>
      </c>
      <c r="K20" s="14">
        <v>1.9028590457161886E-2</v>
      </c>
      <c r="L20" s="4">
        <v>0.8</v>
      </c>
      <c r="M20" s="453">
        <v>190.376</v>
      </c>
      <c r="N20" s="4"/>
      <c r="O20" s="764" t="s">
        <v>522</v>
      </c>
      <c r="P20" s="791"/>
      <c r="Q20" s="262"/>
    </row>
    <row r="21" spans="1:17" ht="15.75" customHeight="1" thickBot="1">
      <c r="A21" s="793"/>
      <c r="B21" s="799"/>
      <c r="C21" s="113">
        <v>5</v>
      </c>
      <c r="D21" s="509" t="s">
        <v>628</v>
      </c>
      <c r="E21" s="773"/>
      <c r="F21" s="774"/>
      <c r="G21" s="509" t="s">
        <v>629</v>
      </c>
      <c r="H21" s="773"/>
      <c r="I21" s="774"/>
      <c r="J21" s="4">
        <v>310.27999999999997</v>
      </c>
      <c r="K21" s="14">
        <v>9.305210918114145E-3</v>
      </c>
      <c r="L21" s="4">
        <v>0.60000000000000009</v>
      </c>
      <c r="M21" s="453">
        <v>186.16800000000001</v>
      </c>
      <c r="N21" s="4"/>
      <c r="O21" s="764" t="s">
        <v>522</v>
      </c>
      <c r="P21" s="791"/>
      <c r="Q21" s="262"/>
    </row>
    <row r="22" spans="1:17" ht="15.75" customHeight="1" thickTop="1" thickBot="1">
      <c r="A22" s="793"/>
      <c r="B22" s="799"/>
      <c r="C22" s="806"/>
      <c r="D22" s="806"/>
      <c r="E22" s="806"/>
      <c r="F22" s="806"/>
      <c r="G22" s="806"/>
      <c r="H22" s="806"/>
      <c r="I22" s="807"/>
      <c r="J22" s="119" t="s">
        <v>776</v>
      </c>
      <c r="K22" s="245">
        <v>6.1909996668386936E-3</v>
      </c>
      <c r="L22" s="119" t="s">
        <v>777</v>
      </c>
      <c r="M22" s="454">
        <v>957.15200000000004</v>
      </c>
      <c r="N22" s="803"/>
      <c r="O22" s="804"/>
      <c r="P22" s="805"/>
      <c r="Q22" s="262"/>
    </row>
    <row r="23" spans="1:17" ht="15.75" customHeight="1" thickTop="1">
      <c r="A23" s="489"/>
      <c r="D23" s="489"/>
      <c r="E23" s="489"/>
      <c r="F23" s="489"/>
      <c r="G23" s="489"/>
      <c r="H23" s="489"/>
      <c r="I23" s="489"/>
      <c r="J23" s="489"/>
      <c r="K23" s="489"/>
      <c r="L23" s="489"/>
      <c r="M23" s="489"/>
      <c r="N23" s="489"/>
      <c r="O23" s="489"/>
      <c r="P23" s="489"/>
      <c r="Q23" s="262"/>
    </row>
    <row r="24" spans="1:17" ht="15.75" customHeight="1">
      <c r="A24" s="792" t="s">
        <v>767</v>
      </c>
      <c r="B24" s="793"/>
      <c r="C24" s="117" t="s">
        <v>768</v>
      </c>
      <c r="D24" s="794" t="s">
        <v>12</v>
      </c>
      <c r="E24" s="795"/>
      <c r="F24" s="796"/>
      <c r="G24" s="115" t="s">
        <v>769</v>
      </c>
      <c r="H24" s="116"/>
      <c r="I24" s="117"/>
      <c r="J24" s="114" t="s">
        <v>770</v>
      </c>
      <c r="K24" s="114" t="s">
        <v>771</v>
      </c>
      <c r="L24" s="114" t="s">
        <v>772</v>
      </c>
      <c r="M24" s="118" t="s">
        <v>11</v>
      </c>
      <c r="N24" s="336" t="s">
        <v>773</v>
      </c>
      <c r="O24" s="797" t="s">
        <v>774</v>
      </c>
      <c r="P24" s="798"/>
      <c r="Q24" s="262"/>
    </row>
    <row r="25" spans="1:17" ht="15.75" customHeight="1">
      <c r="A25" s="793">
        <v>6</v>
      </c>
      <c r="B25" s="802" t="s">
        <v>195</v>
      </c>
      <c r="C25" s="112">
        <v>1</v>
      </c>
      <c r="D25" s="509" t="s">
        <v>583</v>
      </c>
      <c r="E25" s="773"/>
      <c r="F25" s="774"/>
      <c r="G25" s="509" t="s">
        <v>336</v>
      </c>
      <c r="H25" s="773"/>
      <c r="I25" s="774"/>
      <c r="J25" s="4">
        <v>487.6</v>
      </c>
      <c r="K25" s="14">
        <v>1.1657049600746051E-2</v>
      </c>
      <c r="L25" s="4">
        <v>0.4</v>
      </c>
      <c r="M25" s="453">
        <v>195.04000000000002</v>
      </c>
      <c r="N25" s="4"/>
      <c r="O25" s="764" t="s">
        <v>619</v>
      </c>
      <c r="P25" s="791"/>
      <c r="Q25" s="262"/>
    </row>
    <row r="26" spans="1:17" ht="15.75" customHeight="1">
      <c r="A26" s="793"/>
      <c r="B26" s="799"/>
      <c r="C26" s="112">
        <v>2</v>
      </c>
      <c r="D26" s="509" t="s">
        <v>582</v>
      </c>
      <c r="E26" s="773"/>
      <c r="F26" s="774"/>
      <c r="G26" s="509" t="s">
        <v>682</v>
      </c>
      <c r="H26" s="773"/>
      <c r="I26" s="774"/>
      <c r="J26" s="4">
        <v>444.88</v>
      </c>
      <c r="K26" s="14">
        <v>2.2909507445589922E-2</v>
      </c>
      <c r="L26" s="4">
        <v>0.4</v>
      </c>
      <c r="M26" s="453">
        <v>177.952</v>
      </c>
      <c r="N26" s="4"/>
      <c r="O26" s="764" t="s">
        <v>619</v>
      </c>
      <c r="P26" s="791"/>
      <c r="Q26" s="262"/>
    </row>
    <row r="27" spans="1:17" ht="15.75" customHeight="1">
      <c r="A27" s="793"/>
      <c r="B27" s="799"/>
      <c r="C27" s="112">
        <v>3</v>
      </c>
      <c r="D27" s="509">
        <v>0</v>
      </c>
      <c r="E27" s="773"/>
      <c r="F27" s="774"/>
      <c r="G27" s="509">
        <v>0</v>
      </c>
      <c r="H27" s="773"/>
      <c r="I27" s="774"/>
      <c r="J27" s="4">
        <v>0</v>
      </c>
      <c r="K27" s="14">
        <v>0</v>
      </c>
      <c r="L27" s="4">
        <v>0</v>
      </c>
      <c r="M27" s="453">
        <v>0</v>
      </c>
      <c r="N27" s="4"/>
      <c r="O27" s="764"/>
      <c r="P27" s="791"/>
      <c r="Q27" s="262"/>
    </row>
    <row r="28" spans="1:17" ht="15.75" customHeight="1">
      <c r="A28" s="793"/>
      <c r="B28" s="799"/>
      <c r="C28" s="112">
        <v>4</v>
      </c>
      <c r="D28" s="509">
        <v>0</v>
      </c>
      <c r="E28" s="773"/>
      <c r="F28" s="774"/>
      <c r="G28" s="509">
        <v>0</v>
      </c>
      <c r="H28" s="773"/>
      <c r="I28" s="774"/>
      <c r="J28" s="4">
        <v>0</v>
      </c>
      <c r="K28" s="14">
        <v>0</v>
      </c>
      <c r="L28" s="4">
        <v>0</v>
      </c>
      <c r="M28" s="453">
        <v>0</v>
      </c>
      <c r="N28" s="4"/>
      <c r="O28" s="764"/>
      <c r="P28" s="791"/>
      <c r="Q28" s="262"/>
    </row>
    <row r="29" spans="1:17" ht="15.75" customHeight="1" thickBot="1">
      <c r="A29" s="793"/>
      <c r="B29" s="799"/>
      <c r="C29" s="113">
        <v>5</v>
      </c>
      <c r="D29" s="509">
        <v>0</v>
      </c>
      <c r="E29" s="773"/>
      <c r="F29" s="774"/>
      <c r="G29" s="509">
        <v>0</v>
      </c>
      <c r="H29" s="773"/>
      <c r="I29" s="774"/>
      <c r="J29" s="4">
        <v>0</v>
      </c>
      <c r="K29" s="14">
        <v>0</v>
      </c>
      <c r="L29" s="4">
        <v>0</v>
      </c>
      <c r="M29" s="453">
        <v>0</v>
      </c>
      <c r="N29" s="4"/>
      <c r="O29" s="764"/>
      <c r="P29" s="791"/>
      <c r="Q29" s="262"/>
    </row>
    <row r="30" spans="1:17" ht="15.75" customHeight="1" thickTop="1" thickBot="1">
      <c r="A30" s="793"/>
      <c r="B30" s="799"/>
      <c r="C30" s="806"/>
      <c r="D30" s="806"/>
      <c r="E30" s="806"/>
      <c r="F30" s="806"/>
      <c r="G30" s="806"/>
      <c r="H30" s="806"/>
      <c r="I30" s="807"/>
      <c r="J30" s="119" t="s">
        <v>776</v>
      </c>
      <c r="K30" s="245">
        <v>2.4125670193798875E-3</v>
      </c>
      <c r="L30" s="119" t="s">
        <v>777</v>
      </c>
      <c r="M30" s="454">
        <v>372.99200000000002</v>
      </c>
      <c r="N30" s="803"/>
      <c r="O30" s="804"/>
      <c r="P30" s="805"/>
      <c r="Q30" s="262"/>
    </row>
    <row r="31" spans="1:17" ht="15.75" customHeight="1" thickTop="1">
      <c r="A31" s="489"/>
      <c r="D31" s="489"/>
      <c r="E31" s="489"/>
      <c r="F31" s="489"/>
      <c r="G31" s="489"/>
      <c r="H31" s="489"/>
      <c r="I31" s="489"/>
      <c r="J31" s="489"/>
      <c r="K31" s="489"/>
      <c r="L31" s="489"/>
      <c r="M31" s="489"/>
      <c r="N31" s="489"/>
      <c r="O31" s="489"/>
      <c r="P31" s="489"/>
      <c r="Q31" s="262"/>
    </row>
    <row r="32" spans="1:17" ht="15.75" customHeight="1">
      <c r="A32" s="792" t="s">
        <v>767</v>
      </c>
      <c r="B32" s="793"/>
      <c r="C32" s="117" t="s">
        <v>768</v>
      </c>
      <c r="D32" s="794" t="s">
        <v>12</v>
      </c>
      <c r="E32" s="795"/>
      <c r="F32" s="796"/>
      <c r="G32" s="115" t="s">
        <v>769</v>
      </c>
      <c r="H32" s="116"/>
      <c r="I32" s="117"/>
      <c r="J32" s="114" t="s">
        <v>770</v>
      </c>
      <c r="K32" s="114" t="s">
        <v>771</v>
      </c>
      <c r="L32" s="114" t="s">
        <v>772</v>
      </c>
      <c r="M32" s="118" t="s">
        <v>11</v>
      </c>
      <c r="N32" s="118" t="s">
        <v>13</v>
      </c>
      <c r="O32" s="797" t="s">
        <v>774</v>
      </c>
      <c r="P32" s="798"/>
      <c r="Q32" s="262"/>
    </row>
    <row r="33" spans="1:17" ht="15.75" customHeight="1">
      <c r="A33" s="793">
        <v>7</v>
      </c>
      <c r="B33" s="802" t="s">
        <v>786</v>
      </c>
      <c r="C33" s="112">
        <v>1</v>
      </c>
      <c r="D33" s="509" t="s">
        <v>677</v>
      </c>
      <c r="E33" s="773"/>
      <c r="F33" s="774"/>
      <c r="G33" s="509" t="s">
        <v>686</v>
      </c>
      <c r="H33" s="773"/>
      <c r="I33" s="774"/>
      <c r="J33" s="4">
        <v>62.03</v>
      </c>
      <c r="K33" s="14">
        <v>1.0182651307834278E-2</v>
      </c>
      <c r="L33" s="4">
        <v>3.2</v>
      </c>
      <c r="M33" s="453">
        <v>198.49600000000001</v>
      </c>
      <c r="N33" s="4"/>
      <c r="O33" s="764" t="s">
        <v>787</v>
      </c>
      <c r="P33" s="791"/>
      <c r="Q33" s="262"/>
    </row>
    <row r="34" spans="1:17" ht="15.75" customHeight="1">
      <c r="A34" s="793"/>
      <c r="B34" s="799"/>
      <c r="C34" s="112">
        <v>2</v>
      </c>
      <c r="D34" s="509" t="s">
        <v>528</v>
      </c>
      <c r="E34" s="773"/>
      <c r="F34" s="774"/>
      <c r="G34" s="509" t="s">
        <v>669</v>
      </c>
      <c r="H34" s="773"/>
      <c r="I34" s="774"/>
      <c r="J34" s="4">
        <v>13.45</v>
      </c>
      <c r="K34" s="14">
        <v>2.4595924104005621E-3</v>
      </c>
      <c r="L34" s="4">
        <v>14</v>
      </c>
      <c r="M34" s="453">
        <v>188.29999999999998</v>
      </c>
      <c r="N34" s="4"/>
      <c r="O34" s="764" t="s">
        <v>787</v>
      </c>
      <c r="P34" s="791"/>
      <c r="Q34" s="262"/>
    </row>
    <row r="35" spans="1:17" ht="15.75" customHeight="1">
      <c r="A35" s="793"/>
      <c r="B35" s="799"/>
      <c r="C35" s="112">
        <v>3</v>
      </c>
      <c r="D35" s="509" t="s">
        <v>611</v>
      </c>
      <c r="E35" s="773"/>
      <c r="F35" s="774"/>
      <c r="G35" s="509" t="s">
        <v>788</v>
      </c>
      <c r="H35" s="773"/>
      <c r="I35" s="774"/>
      <c r="J35" s="4">
        <v>930.36</v>
      </c>
      <c r="K35" s="14">
        <v>1.8439977872026555E-2</v>
      </c>
      <c r="L35" s="4">
        <v>0.2</v>
      </c>
      <c r="M35" s="453">
        <v>186.072</v>
      </c>
      <c r="N35" s="4"/>
      <c r="O35" s="764" t="s">
        <v>644</v>
      </c>
      <c r="P35" s="765"/>
      <c r="Q35" s="262"/>
    </row>
    <row r="36" spans="1:17" ht="15.75" customHeight="1">
      <c r="A36" s="793"/>
      <c r="B36" s="799"/>
      <c r="C36" s="112">
        <v>4</v>
      </c>
      <c r="D36" s="509" t="s">
        <v>330</v>
      </c>
      <c r="E36" s="773"/>
      <c r="F36" s="774"/>
      <c r="G36" s="509" t="s">
        <v>789</v>
      </c>
      <c r="H36" s="773"/>
      <c r="I36" s="774"/>
      <c r="J36" s="4">
        <v>1760</v>
      </c>
      <c r="K36" s="14">
        <v>4.4964028776978415E-2</v>
      </c>
      <c r="L36" s="4">
        <v>0.1</v>
      </c>
      <c r="M36" s="453">
        <v>176</v>
      </c>
      <c r="N36" s="4"/>
      <c r="O36" s="764" t="s">
        <v>644</v>
      </c>
      <c r="P36" s="765"/>
      <c r="Q36" s="262"/>
    </row>
    <row r="37" spans="1:17" ht="15.75" customHeight="1" thickBot="1">
      <c r="A37" s="793"/>
      <c r="B37" s="799"/>
      <c r="C37" s="113">
        <v>5</v>
      </c>
      <c r="D37" s="509" t="s">
        <v>790</v>
      </c>
      <c r="E37" s="773"/>
      <c r="F37" s="774"/>
      <c r="G37" s="509" t="s">
        <v>791</v>
      </c>
      <c r="H37" s="773"/>
      <c r="I37" s="774"/>
      <c r="J37" s="4">
        <v>1760</v>
      </c>
      <c r="K37" s="14">
        <v>2.4096385542168672E-2</v>
      </c>
      <c r="L37" s="4">
        <v>0.1</v>
      </c>
      <c r="M37" s="453">
        <v>176</v>
      </c>
      <c r="N37" s="4"/>
      <c r="O37" s="764" t="s">
        <v>644</v>
      </c>
      <c r="P37" s="765"/>
      <c r="Q37" s="262"/>
    </row>
    <row r="38" spans="1:17" ht="15.75" customHeight="1" thickTop="1" thickBot="1">
      <c r="A38" s="793"/>
      <c r="B38" s="799"/>
      <c r="C38" s="806"/>
      <c r="D38" s="806"/>
      <c r="E38" s="806"/>
      <c r="F38" s="806"/>
      <c r="G38" s="806"/>
      <c r="H38" s="806"/>
      <c r="I38" s="807"/>
      <c r="J38" s="119" t="s">
        <v>776</v>
      </c>
      <c r="K38" s="245">
        <v>5.9821820148417059E-3</v>
      </c>
      <c r="L38" s="119" t="s">
        <v>777</v>
      </c>
      <c r="M38" s="454">
        <v>924.86799999999994</v>
      </c>
      <c r="N38" s="803"/>
      <c r="O38" s="804"/>
      <c r="P38" s="805"/>
      <c r="Q38" s="262"/>
    </row>
    <row r="39" spans="1:17" ht="15.75" customHeight="1" thickTop="1"/>
  </sheetData>
  <mergeCells count="107">
    <mergeCell ref="A24:B24"/>
    <mergeCell ref="D24:F24"/>
    <mergeCell ref="O24:P24"/>
    <mergeCell ref="G28:I28"/>
    <mergeCell ref="A33:A38"/>
    <mergeCell ref="B33:B38"/>
    <mergeCell ref="D33:F33"/>
    <mergeCell ref="G33:I33"/>
    <mergeCell ref="D34:F34"/>
    <mergeCell ref="C30:I30"/>
    <mergeCell ref="D29:F29"/>
    <mergeCell ref="G29:I29"/>
    <mergeCell ref="A25:A30"/>
    <mergeCell ref="B25:B30"/>
    <mergeCell ref="D25:F25"/>
    <mergeCell ref="G25:I25"/>
    <mergeCell ref="D26:F26"/>
    <mergeCell ref="G26:I26"/>
    <mergeCell ref="D27:F27"/>
    <mergeCell ref="N30:P30"/>
    <mergeCell ref="A32:B32"/>
    <mergeCell ref="D32:F32"/>
    <mergeCell ref="O32:P32"/>
    <mergeCell ref="C38:I38"/>
    <mergeCell ref="N38:P38"/>
    <mergeCell ref="G34:I34"/>
    <mergeCell ref="D35:F35"/>
    <mergeCell ref="G27:I27"/>
    <mergeCell ref="D28:F28"/>
    <mergeCell ref="O36:P36"/>
    <mergeCell ref="O37:P37"/>
    <mergeCell ref="G35:I35"/>
    <mergeCell ref="D36:F36"/>
    <mergeCell ref="G36:I36"/>
    <mergeCell ref="D37:F37"/>
    <mergeCell ref="G37:I37"/>
    <mergeCell ref="O33:P33"/>
    <mergeCell ref="O34:P34"/>
    <mergeCell ref="O35:P35"/>
    <mergeCell ref="A16:B16"/>
    <mergeCell ref="D16:F16"/>
    <mergeCell ref="O16:P16"/>
    <mergeCell ref="A17:A22"/>
    <mergeCell ref="B17:B22"/>
    <mergeCell ref="D17:F17"/>
    <mergeCell ref="G17:I17"/>
    <mergeCell ref="D18:F18"/>
    <mergeCell ref="G18:I18"/>
    <mergeCell ref="D21:F21"/>
    <mergeCell ref="G21:I21"/>
    <mergeCell ref="N22:P22"/>
    <mergeCell ref="O19:P19"/>
    <mergeCell ref="O20:P20"/>
    <mergeCell ref="O21:P21"/>
    <mergeCell ref="D19:F19"/>
    <mergeCell ref="G19:I19"/>
    <mergeCell ref="D20:F20"/>
    <mergeCell ref="G20:I20"/>
    <mergeCell ref="C22:I22"/>
    <mergeCell ref="A8:B8"/>
    <mergeCell ref="D8:F8"/>
    <mergeCell ref="O8:P8"/>
    <mergeCell ref="A9:A14"/>
    <mergeCell ref="B9:B14"/>
    <mergeCell ref="D9:F9"/>
    <mergeCell ref="G9:I9"/>
    <mergeCell ref="D10:F10"/>
    <mergeCell ref="G10:I10"/>
    <mergeCell ref="D11:F11"/>
    <mergeCell ref="G11:I11"/>
    <mergeCell ref="D12:F12"/>
    <mergeCell ref="G12:I12"/>
    <mergeCell ref="D13:F13"/>
    <mergeCell ref="G13:I13"/>
    <mergeCell ref="N14:P14"/>
    <mergeCell ref="O9:P9"/>
    <mergeCell ref="O10:P10"/>
    <mergeCell ref="C14:I14"/>
    <mergeCell ref="A1:Q2"/>
    <mergeCell ref="P5:Q5"/>
    <mergeCell ref="P6:Q6"/>
    <mergeCell ref="N5:O5"/>
    <mergeCell ref="B6:C6"/>
    <mergeCell ref="D6:E6"/>
    <mergeCell ref="F6:G6"/>
    <mergeCell ref="H6:I6"/>
    <mergeCell ref="J6:K6"/>
    <mergeCell ref="L6:M6"/>
    <mergeCell ref="N6:O6"/>
    <mergeCell ref="A3:M4"/>
    <mergeCell ref="A5:A6"/>
    <mergeCell ref="B5:C5"/>
    <mergeCell ref="D5:E5"/>
    <mergeCell ref="F5:G5"/>
    <mergeCell ref="H5:I5"/>
    <mergeCell ref="J5:K5"/>
    <mergeCell ref="L5:M5"/>
    <mergeCell ref="O25:P25"/>
    <mergeCell ref="O26:P26"/>
    <mergeCell ref="O27:P27"/>
    <mergeCell ref="O28:P28"/>
    <mergeCell ref="O29:P29"/>
    <mergeCell ref="O11:P11"/>
    <mergeCell ref="O12:P12"/>
    <mergeCell ref="O13:P13"/>
    <mergeCell ref="O17:P17"/>
    <mergeCell ref="O18:P18"/>
  </mergeCells>
  <phoneticPr fontId="12" type="noConversion"/>
  <printOptions horizontalCentered="1" gridLines="1"/>
  <pageMargins left="0.39370078740157483" right="0.39370078740157483" top="0.39370078740157483" bottom="0.39370078740157483" header="0" footer="0"/>
  <pageSetup paperSize="9" scale="90" fitToWidth="0" fitToHeight="0" pageOrder="overThenDown" orientation="landscape" cellComments="atEnd"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W31"/>
  <sheetViews>
    <sheetView view="pageBreakPreview" zoomScale="115" zoomScaleNormal="60" zoomScaleSheetLayoutView="115" workbookViewId="0">
      <selection activeCell="A8" sqref="A8:P30"/>
    </sheetView>
  </sheetViews>
  <sheetFormatPr defaultColWidth="12.5703125" defaultRowHeight="15.75" customHeight="1"/>
  <cols>
    <col min="1" max="1" width="5.42578125" style="183" customWidth="1"/>
    <col min="2" max="2" width="11.42578125" style="338" customWidth="1"/>
    <col min="3" max="3" width="4" style="339" customWidth="1"/>
    <col min="4" max="17" width="9.5703125" style="183" customWidth="1"/>
    <col min="18" max="16384" width="12.5703125" style="183"/>
  </cols>
  <sheetData>
    <row r="1" spans="1:23" ht="15.75" customHeight="1">
      <c r="A1" s="732" t="s">
        <v>512</v>
      </c>
      <c r="B1" s="732"/>
      <c r="C1" s="732"/>
      <c r="D1" s="732"/>
      <c r="E1" s="732"/>
      <c r="F1" s="732"/>
      <c r="G1" s="732"/>
      <c r="H1" s="732"/>
      <c r="I1" s="732"/>
      <c r="J1" s="732"/>
      <c r="K1" s="732"/>
      <c r="L1" s="732"/>
      <c r="M1" s="732"/>
      <c r="N1" s="732"/>
      <c r="O1" s="732"/>
      <c r="P1" s="732"/>
      <c r="Q1" s="732"/>
    </row>
    <row r="2" spans="1:23" s="184" customFormat="1" ht="15.75" customHeight="1">
      <c r="A2" s="732"/>
      <c r="B2" s="732"/>
      <c r="C2" s="732"/>
      <c r="D2" s="732"/>
      <c r="E2" s="732"/>
      <c r="F2" s="732"/>
      <c r="G2" s="732"/>
      <c r="H2" s="732"/>
      <c r="I2" s="732"/>
      <c r="J2" s="732"/>
      <c r="K2" s="732"/>
      <c r="L2" s="732"/>
      <c r="M2" s="732"/>
      <c r="N2" s="732"/>
      <c r="O2" s="732"/>
      <c r="P2" s="732"/>
      <c r="Q2" s="732"/>
      <c r="R2" s="183"/>
      <c r="S2" s="183"/>
      <c r="T2" s="183"/>
      <c r="U2" s="183"/>
      <c r="V2" s="183"/>
      <c r="W2" s="183"/>
    </row>
    <row r="3" spans="1:23" ht="15.75" customHeight="1">
      <c r="A3" s="733" t="s">
        <v>513</v>
      </c>
      <c r="B3" s="733"/>
      <c r="C3" s="733"/>
      <c r="D3" s="733"/>
      <c r="E3" s="733"/>
      <c r="F3" s="733"/>
      <c r="G3" s="733"/>
      <c r="H3" s="733"/>
      <c r="I3" s="733"/>
      <c r="J3" s="733"/>
      <c r="K3" s="733"/>
      <c r="L3" s="733"/>
      <c r="M3" s="733"/>
      <c r="N3" s="185"/>
    </row>
    <row r="4" spans="1:23" s="184" customFormat="1" ht="15.75" customHeight="1">
      <c r="A4" s="733"/>
      <c r="B4" s="733"/>
      <c r="C4" s="733"/>
      <c r="D4" s="733"/>
      <c r="E4" s="733"/>
      <c r="F4" s="733"/>
      <c r="G4" s="733"/>
      <c r="H4" s="733"/>
      <c r="I4" s="733"/>
      <c r="J4" s="733"/>
      <c r="K4" s="733"/>
      <c r="L4" s="733"/>
      <c r="M4" s="733"/>
      <c r="N4" s="186"/>
      <c r="R4" s="183"/>
      <c r="S4" s="183"/>
      <c r="T4" s="183"/>
      <c r="U4" s="183"/>
      <c r="V4" s="183"/>
      <c r="W4" s="183"/>
    </row>
    <row r="5" spans="1:23" ht="15.75" customHeight="1">
      <c r="A5" s="735" t="s">
        <v>510</v>
      </c>
      <c r="B5" s="808">
        <v>1</v>
      </c>
      <c r="C5" s="808"/>
      <c r="D5" s="808">
        <v>2</v>
      </c>
      <c r="E5" s="808"/>
      <c r="F5" s="808">
        <v>3</v>
      </c>
      <c r="G5" s="808"/>
      <c r="H5" s="738">
        <v>4</v>
      </c>
      <c r="I5" s="738"/>
      <c r="J5" s="738">
        <v>5</v>
      </c>
      <c r="K5" s="738"/>
      <c r="L5" s="738">
        <v>6</v>
      </c>
      <c r="M5" s="738"/>
      <c r="N5" s="738">
        <v>7</v>
      </c>
      <c r="O5" s="738"/>
      <c r="P5" s="738">
        <v>8</v>
      </c>
      <c r="Q5" s="738"/>
    </row>
    <row r="6" spans="1:23" ht="15.75" customHeight="1">
      <c r="A6" s="735"/>
      <c r="B6" s="809" t="s">
        <v>514</v>
      </c>
      <c r="C6" s="809"/>
      <c r="D6" s="809" t="s">
        <v>515</v>
      </c>
      <c r="E6" s="809"/>
      <c r="F6" s="809" t="s">
        <v>516</v>
      </c>
      <c r="G6" s="809"/>
      <c r="H6" s="810" t="s">
        <v>517</v>
      </c>
      <c r="I6" s="735"/>
      <c r="J6" s="735" t="s">
        <v>518</v>
      </c>
      <c r="K6" s="735"/>
      <c r="L6" s="735" t="s">
        <v>519</v>
      </c>
      <c r="M6" s="735"/>
      <c r="N6" s="735" t="s">
        <v>520</v>
      </c>
      <c r="O6" s="735"/>
      <c r="P6" s="810" t="s">
        <v>521</v>
      </c>
      <c r="Q6" s="735"/>
    </row>
    <row r="8" spans="1:23" s="337" customFormat="1" ht="15.75" customHeight="1">
      <c r="A8" s="777" t="s">
        <v>767</v>
      </c>
      <c r="B8" s="778"/>
      <c r="C8" s="494" t="s">
        <v>768</v>
      </c>
      <c r="D8" s="782" t="s">
        <v>12</v>
      </c>
      <c r="E8" s="783"/>
      <c r="F8" s="784"/>
      <c r="G8" s="492" t="s">
        <v>769</v>
      </c>
      <c r="H8" s="493"/>
      <c r="I8" s="494"/>
      <c r="J8" s="170" t="s">
        <v>770</v>
      </c>
      <c r="K8" s="336" t="s">
        <v>792</v>
      </c>
      <c r="L8" s="170" t="s">
        <v>772</v>
      </c>
      <c r="M8" s="170" t="s">
        <v>11</v>
      </c>
      <c r="N8" s="336" t="s">
        <v>773</v>
      </c>
      <c r="O8" s="775" t="s">
        <v>774</v>
      </c>
      <c r="P8" s="776"/>
      <c r="R8" s="183"/>
      <c r="S8" s="183"/>
      <c r="T8" s="183"/>
      <c r="U8" s="183"/>
      <c r="V8" s="183"/>
      <c r="W8" s="183"/>
    </row>
    <row r="9" spans="1:23" ht="15.75" customHeight="1">
      <c r="A9" s="700">
        <v>1</v>
      </c>
      <c r="B9" s="779" t="s">
        <v>775</v>
      </c>
      <c r="C9" s="171">
        <v>1</v>
      </c>
      <c r="D9" s="509">
        <v>0</v>
      </c>
      <c r="E9" s="773"/>
      <c r="F9" s="774"/>
      <c r="G9" s="509">
        <v>0</v>
      </c>
      <c r="H9" s="773"/>
      <c r="I9" s="774"/>
      <c r="J9" s="4">
        <v>0</v>
      </c>
      <c r="K9" s="14">
        <v>0</v>
      </c>
      <c r="L9" s="4">
        <v>0</v>
      </c>
      <c r="M9" s="453">
        <v>0</v>
      </c>
      <c r="N9" s="172"/>
      <c r="O9" s="764"/>
      <c r="P9" s="765"/>
    </row>
    <row r="10" spans="1:23" ht="15.75" customHeight="1">
      <c r="A10" s="701"/>
      <c r="B10" s="780"/>
      <c r="C10" s="171">
        <v>2</v>
      </c>
      <c r="D10" s="509">
        <v>0</v>
      </c>
      <c r="E10" s="773"/>
      <c r="F10" s="774"/>
      <c r="G10" s="509">
        <v>0</v>
      </c>
      <c r="H10" s="773"/>
      <c r="I10" s="774"/>
      <c r="J10" s="4">
        <v>0</v>
      </c>
      <c r="K10" s="14">
        <v>0</v>
      </c>
      <c r="L10" s="4">
        <v>0</v>
      </c>
      <c r="M10" s="453">
        <v>0</v>
      </c>
      <c r="N10" s="172"/>
      <c r="O10" s="764"/>
      <c r="P10" s="765"/>
    </row>
    <row r="11" spans="1:23" ht="15.75" customHeight="1">
      <c r="A11" s="701"/>
      <c r="B11" s="780"/>
      <c r="C11" s="171">
        <v>3</v>
      </c>
      <c r="D11" s="509">
        <v>0</v>
      </c>
      <c r="E11" s="773"/>
      <c r="F11" s="774"/>
      <c r="G11" s="509">
        <v>0</v>
      </c>
      <c r="H11" s="773"/>
      <c r="I11" s="774"/>
      <c r="J11" s="4">
        <v>0</v>
      </c>
      <c r="K11" s="14">
        <v>0</v>
      </c>
      <c r="L11" s="4">
        <v>0</v>
      </c>
      <c r="M11" s="453">
        <v>0</v>
      </c>
      <c r="N11" s="172"/>
      <c r="O11" s="764"/>
      <c r="P11" s="765"/>
    </row>
    <row r="12" spans="1:23" ht="15.75" customHeight="1">
      <c r="A12" s="701"/>
      <c r="B12" s="780"/>
      <c r="C12" s="171">
        <v>4</v>
      </c>
      <c r="D12" s="509">
        <v>0</v>
      </c>
      <c r="E12" s="773"/>
      <c r="F12" s="774"/>
      <c r="G12" s="509">
        <v>0</v>
      </c>
      <c r="H12" s="773"/>
      <c r="I12" s="774"/>
      <c r="J12" s="4">
        <v>0</v>
      </c>
      <c r="K12" s="14">
        <v>0</v>
      </c>
      <c r="L12" s="4">
        <v>0</v>
      </c>
      <c r="M12" s="453">
        <v>0</v>
      </c>
      <c r="N12" s="172"/>
      <c r="O12" s="764"/>
      <c r="P12" s="765"/>
    </row>
    <row r="13" spans="1:23" ht="15.75" customHeight="1" thickBot="1">
      <c r="A13" s="701"/>
      <c r="B13" s="780"/>
      <c r="C13" s="173">
        <v>5</v>
      </c>
      <c r="D13" s="509">
        <v>0</v>
      </c>
      <c r="E13" s="773"/>
      <c r="F13" s="774"/>
      <c r="G13" s="509">
        <v>0</v>
      </c>
      <c r="H13" s="773"/>
      <c r="I13" s="774"/>
      <c r="J13" s="4">
        <v>0</v>
      </c>
      <c r="K13" s="14">
        <v>0</v>
      </c>
      <c r="L13" s="4">
        <v>0</v>
      </c>
      <c r="M13" s="453">
        <v>0</v>
      </c>
      <c r="N13" s="174"/>
      <c r="O13" s="811"/>
      <c r="P13" s="812"/>
    </row>
    <row r="14" spans="1:23" ht="15.75" customHeight="1" thickTop="1" thickBot="1">
      <c r="A14" s="702"/>
      <c r="B14" s="781"/>
      <c r="C14" s="785"/>
      <c r="D14" s="786"/>
      <c r="E14" s="786"/>
      <c r="F14" s="786"/>
      <c r="G14" s="786"/>
      <c r="H14" s="786"/>
      <c r="I14" s="787"/>
      <c r="J14" s="335" t="s">
        <v>776</v>
      </c>
      <c r="K14" s="245">
        <v>0</v>
      </c>
      <c r="L14" s="335" t="s">
        <v>777</v>
      </c>
      <c r="M14" s="454">
        <v>0</v>
      </c>
      <c r="N14" s="770"/>
      <c r="O14" s="771"/>
      <c r="P14" s="772"/>
    </row>
    <row r="15" spans="1:23" ht="15.75" customHeight="1" thickTop="1">
      <c r="A15" s="120"/>
      <c r="B15" s="175"/>
      <c r="C15" s="161"/>
      <c r="D15" s="120"/>
      <c r="E15" s="120"/>
      <c r="F15" s="120"/>
      <c r="G15" s="120"/>
      <c r="H15" s="120"/>
      <c r="I15" s="120"/>
      <c r="J15" s="120"/>
      <c r="K15" s="120"/>
      <c r="L15" s="120"/>
      <c r="M15" s="120"/>
      <c r="N15" s="120"/>
      <c r="O15" s="120"/>
      <c r="P15" s="120"/>
    </row>
    <row r="16" spans="1:23" ht="15.75" customHeight="1">
      <c r="A16" s="777" t="s">
        <v>767</v>
      </c>
      <c r="B16" s="778"/>
      <c r="C16" s="494" t="s">
        <v>768</v>
      </c>
      <c r="D16" s="782" t="s">
        <v>12</v>
      </c>
      <c r="E16" s="783"/>
      <c r="F16" s="784"/>
      <c r="G16" s="492" t="s">
        <v>769</v>
      </c>
      <c r="H16" s="493"/>
      <c r="I16" s="494"/>
      <c r="J16" s="170" t="s">
        <v>770</v>
      </c>
      <c r="K16" s="336" t="s">
        <v>792</v>
      </c>
      <c r="L16" s="170" t="s">
        <v>772</v>
      </c>
      <c r="M16" s="170" t="s">
        <v>11</v>
      </c>
      <c r="N16" s="336" t="s">
        <v>773</v>
      </c>
      <c r="O16" s="775" t="s">
        <v>774</v>
      </c>
      <c r="P16" s="776"/>
    </row>
    <row r="17" spans="1:16" ht="15.75" customHeight="1">
      <c r="A17" s="700">
        <v>2</v>
      </c>
      <c r="B17" s="779" t="s">
        <v>778</v>
      </c>
      <c r="C17" s="171">
        <v>1</v>
      </c>
      <c r="D17" s="509">
        <v>0</v>
      </c>
      <c r="E17" s="773"/>
      <c r="F17" s="774"/>
      <c r="G17" s="509">
        <v>0</v>
      </c>
      <c r="H17" s="773"/>
      <c r="I17" s="774"/>
      <c r="J17" s="4">
        <v>0</v>
      </c>
      <c r="K17" s="14">
        <v>0</v>
      </c>
      <c r="L17" s="4">
        <v>0</v>
      </c>
      <c r="M17" s="453">
        <v>0</v>
      </c>
      <c r="N17" s="172"/>
      <c r="O17" s="764"/>
      <c r="P17" s="765"/>
    </row>
    <row r="18" spans="1:16" ht="15.75" customHeight="1">
      <c r="A18" s="701"/>
      <c r="B18" s="780"/>
      <c r="C18" s="171">
        <v>2</v>
      </c>
      <c r="D18" s="509">
        <v>0</v>
      </c>
      <c r="E18" s="773"/>
      <c r="F18" s="774"/>
      <c r="G18" s="509">
        <v>0</v>
      </c>
      <c r="H18" s="773"/>
      <c r="I18" s="774"/>
      <c r="J18" s="4">
        <v>0</v>
      </c>
      <c r="K18" s="14">
        <v>0</v>
      </c>
      <c r="L18" s="4">
        <v>0</v>
      </c>
      <c r="M18" s="453">
        <v>0</v>
      </c>
      <c r="N18" s="172"/>
      <c r="O18" s="764"/>
      <c r="P18" s="765"/>
    </row>
    <row r="19" spans="1:16" ht="15.75" customHeight="1">
      <c r="A19" s="701"/>
      <c r="B19" s="780"/>
      <c r="C19" s="171">
        <v>3</v>
      </c>
      <c r="D19" s="509">
        <v>0</v>
      </c>
      <c r="E19" s="773"/>
      <c r="F19" s="774"/>
      <c r="G19" s="509">
        <v>0</v>
      </c>
      <c r="H19" s="773"/>
      <c r="I19" s="774"/>
      <c r="J19" s="4">
        <v>0</v>
      </c>
      <c r="K19" s="14">
        <v>0</v>
      </c>
      <c r="L19" s="4">
        <v>0</v>
      </c>
      <c r="M19" s="453">
        <v>0</v>
      </c>
      <c r="N19" s="172"/>
      <c r="O19" s="764"/>
      <c r="P19" s="765"/>
    </row>
    <row r="20" spans="1:16" ht="15.75" customHeight="1">
      <c r="A20" s="701"/>
      <c r="B20" s="780"/>
      <c r="C20" s="171">
        <v>4</v>
      </c>
      <c r="D20" s="509">
        <v>0</v>
      </c>
      <c r="E20" s="773"/>
      <c r="F20" s="774"/>
      <c r="G20" s="509">
        <v>0</v>
      </c>
      <c r="H20" s="773"/>
      <c r="I20" s="774"/>
      <c r="J20" s="4">
        <v>0</v>
      </c>
      <c r="K20" s="14">
        <v>0</v>
      </c>
      <c r="L20" s="4">
        <v>0</v>
      </c>
      <c r="M20" s="453">
        <v>0</v>
      </c>
      <c r="N20" s="172"/>
      <c r="O20" s="764"/>
      <c r="P20" s="765"/>
    </row>
    <row r="21" spans="1:16" ht="15.75" customHeight="1" thickBot="1">
      <c r="A21" s="701"/>
      <c r="B21" s="780"/>
      <c r="C21" s="173">
        <v>5</v>
      </c>
      <c r="D21" s="509">
        <v>0</v>
      </c>
      <c r="E21" s="773"/>
      <c r="F21" s="774"/>
      <c r="G21" s="509">
        <v>0</v>
      </c>
      <c r="H21" s="773"/>
      <c r="I21" s="774"/>
      <c r="J21" s="4">
        <v>0</v>
      </c>
      <c r="K21" s="14">
        <v>0</v>
      </c>
      <c r="L21" s="4">
        <v>0</v>
      </c>
      <c r="M21" s="453">
        <v>0</v>
      </c>
      <c r="N21" s="174"/>
      <c r="O21" s="764"/>
      <c r="P21" s="765"/>
    </row>
    <row r="22" spans="1:16" ht="15.75" customHeight="1" thickTop="1" thickBot="1">
      <c r="A22" s="702"/>
      <c r="B22" s="781"/>
      <c r="C22" s="788"/>
      <c r="D22" s="789"/>
      <c r="E22" s="789"/>
      <c r="F22" s="789"/>
      <c r="G22" s="789"/>
      <c r="H22" s="789"/>
      <c r="I22" s="790"/>
      <c r="J22" s="335" t="s">
        <v>776</v>
      </c>
      <c r="K22" s="245">
        <v>0</v>
      </c>
      <c r="L22" s="335" t="s">
        <v>777</v>
      </c>
      <c r="M22" s="454">
        <v>0</v>
      </c>
      <c r="N22" s="770"/>
      <c r="O22" s="771"/>
      <c r="P22" s="772"/>
    </row>
    <row r="23" spans="1:16" ht="15.75" customHeight="1" thickTop="1">
      <c r="A23" s="120"/>
      <c r="B23" s="175"/>
      <c r="C23" s="161"/>
      <c r="D23" s="120"/>
      <c r="E23" s="120"/>
      <c r="F23" s="120"/>
      <c r="G23" s="120"/>
      <c r="H23" s="120"/>
      <c r="I23" s="120"/>
      <c r="J23" s="120"/>
      <c r="K23" s="120"/>
      <c r="L23" s="120"/>
      <c r="M23" s="120"/>
      <c r="N23" s="120"/>
      <c r="O23" s="120"/>
      <c r="P23" s="120"/>
    </row>
    <row r="24" spans="1:16" ht="15.75" customHeight="1">
      <c r="A24" s="777" t="s">
        <v>767</v>
      </c>
      <c r="B24" s="778"/>
      <c r="C24" s="494" t="s">
        <v>768</v>
      </c>
      <c r="D24" s="782" t="s">
        <v>12</v>
      </c>
      <c r="E24" s="783"/>
      <c r="F24" s="784"/>
      <c r="G24" s="492" t="s">
        <v>769</v>
      </c>
      <c r="H24" s="493"/>
      <c r="I24" s="494"/>
      <c r="J24" s="170" t="s">
        <v>770</v>
      </c>
      <c r="K24" s="336" t="s">
        <v>792</v>
      </c>
      <c r="L24" s="170" t="s">
        <v>772</v>
      </c>
      <c r="M24" s="170" t="s">
        <v>11</v>
      </c>
      <c r="N24" s="336" t="s">
        <v>773</v>
      </c>
      <c r="O24" s="775" t="s">
        <v>774</v>
      </c>
      <c r="P24" s="776"/>
    </row>
    <row r="25" spans="1:16" ht="15.75" customHeight="1">
      <c r="A25" s="700">
        <v>3</v>
      </c>
      <c r="B25" s="779" t="s">
        <v>781</v>
      </c>
      <c r="C25" s="171">
        <v>1</v>
      </c>
      <c r="D25" s="509" t="s">
        <v>530</v>
      </c>
      <c r="E25" s="773"/>
      <c r="F25" s="774"/>
      <c r="G25" s="509" t="s">
        <v>672</v>
      </c>
      <c r="H25" s="773"/>
      <c r="I25" s="774"/>
      <c r="J25" s="4">
        <v>103.97</v>
      </c>
      <c r="K25" s="14">
        <v>2.467978756638551E-2</v>
      </c>
      <c r="L25" s="4">
        <v>2.7650000000000006</v>
      </c>
      <c r="M25" s="453">
        <v>287.47705000000008</v>
      </c>
      <c r="N25" s="172"/>
      <c r="O25" s="764" t="s">
        <v>537</v>
      </c>
      <c r="P25" s="765"/>
    </row>
    <row r="26" spans="1:16" ht="15.75" customHeight="1">
      <c r="A26" s="701"/>
      <c r="B26" s="780"/>
      <c r="C26" s="171">
        <v>2</v>
      </c>
      <c r="D26" s="509" t="s">
        <v>348</v>
      </c>
      <c r="E26" s="773"/>
      <c r="F26" s="774"/>
      <c r="G26" s="509" t="s">
        <v>680</v>
      </c>
      <c r="H26" s="773"/>
      <c r="I26" s="774"/>
      <c r="J26" s="4">
        <v>418.41</v>
      </c>
      <c r="K26" s="14">
        <v>4.9341370841705756E-2</v>
      </c>
      <c r="L26" s="4">
        <v>0.66300000000000026</v>
      </c>
      <c r="M26" s="453">
        <v>277.40583000000015</v>
      </c>
      <c r="N26" s="172"/>
      <c r="O26" s="764" t="s">
        <v>537</v>
      </c>
      <c r="P26" s="765"/>
    </row>
    <row r="27" spans="1:16" ht="15.75" customHeight="1">
      <c r="A27" s="701"/>
      <c r="B27" s="780"/>
      <c r="C27" s="171">
        <v>3</v>
      </c>
      <c r="D27" s="509" t="s">
        <v>673</v>
      </c>
      <c r="E27" s="773"/>
      <c r="F27" s="774"/>
      <c r="G27" s="509" t="s">
        <v>782</v>
      </c>
      <c r="H27" s="773"/>
      <c r="I27" s="774"/>
      <c r="J27" s="4">
        <v>90.32</v>
      </c>
      <c r="K27" s="14">
        <v>3.6144578313253052E-2</v>
      </c>
      <c r="L27" s="4">
        <v>2.7000000000000028</v>
      </c>
      <c r="M27" s="453">
        <v>243.86400000000023</v>
      </c>
      <c r="N27" s="172"/>
      <c r="O27" s="764" t="s">
        <v>537</v>
      </c>
      <c r="P27" s="765"/>
    </row>
    <row r="28" spans="1:16" ht="15.75" customHeight="1">
      <c r="A28" s="701"/>
      <c r="B28" s="780"/>
      <c r="C28" s="171">
        <v>4</v>
      </c>
      <c r="D28" s="509">
        <v>0</v>
      </c>
      <c r="E28" s="773"/>
      <c r="F28" s="774"/>
      <c r="G28" s="509">
        <v>0</v>
      </c>
      <c r="H28" s="773"/>
      <c r="I28" s="774"/>
      <c r="J28" s="4">
        <v>0</v>
      </c>
      <c r="K28" s="14">
        <v>0</v>
      </c>
      <c r="L28" s="4">
        <v>0</v>
      </c>
      <c r="M28" s="453">
        <v>0</v>
      </c>
      <c r="N28" s="172"/>
      <c r="O28" s="764"/>
      <c r="P28" s="765"/>
    </row>
    <row r="29" spans="1:16" ht="15.75" customHeight="1" thickBot="1">
      <c r="A29" s="701"/>
      <c r="B29" s="780"/>
      <c r="C29" s="173">
        <v>5</v>
      </c>
      <c r="D29" s="509">
        <v>0</v>
      </c>
      <c r="E29" s="773"/>
      <c r="F29" s="774"/>
      <c r="G29" s="509">
        <v>0</v>
      </c>
      <c r="H29" s="773"/>
      <c r="I29" s="774"/>
      <c r="J29" s="4">
        <v>0</v>
      </c>
      <c r="K29" s="14">
        <v>0</v>
      </c>
      <c r="L29" s="4">
        <v>0</v>
      </c>
      <c r="M29" s="453">
        <v>0</v>
      </c>
      <c r="N29" s="174"/>
      <c r="O29" s="811"/>
      <c r="P29" s="812"/>
    </row>
    <row r="30" spans="1:16" ht="15.75" customHeight="1" thickTop="1" thickBot="1">
      <c r="A30" s="702"/>
      <c r="B30" s="781"/>
      <c r="C30" s="785"/>
      <c r="D30" s="786"/>
      <c r="E30" s="786"/>
      <c r="F30" s="786"/>
      <c r="G30" s="786"/>
      <c r="H30" s="786"/>
      <c r="I30" s="787"/>
      <c r="J30" s="335" t="s">
        <v>776</v>
      </c>
      <c r="K30" s="245">
        <v>3.0898033785983913E-3</v>
      </c>
      <c r="L30" s="335" t="s">
        <v>777</v>
      </c>
      <c r="M30" s="454">
        <v>808.74688000000049</v>
      </c>
      <c r="N30" s="770"/>
      <c r="O30" s="771"/>
      <c r="P30" s="772"/>
    </row>
    <row r="31" spans="1:16" ht="15.75" customHeight="1" thickTop="1"/>
  </sheetData>
  <mergeCells count="85">
    <mergeCell ref="A24:B24"/>
    <mergeCell ref="D24:F24"/>
    <mergeCell ref="O24:P24"/>
    <mergeCell ref="A25:A30"/>
    <mergeCell ref="B25:B30"/>
    <mergeCell ref="D25:F25"/>
    <mergeCell ref="G25:I25"/>
    <mergeCell ref="O25:P25"/>
    <mergeCell ref="D26:F26"/>
    <mergeCell ref="G26:I26"/>
    <mergeCell ref="O26:P26"/>
    <mergeCell ref="D27:F27"/>
    <mergeCell ref="G27:I27"/>
    <mergeCell ref="O27:P27"/>
    <mergeCell ref="C30:I30"/>
    <mergeCell ref="N30:P30"/>
    <mergeCell ref="A16:B16"/>
    <mergeCell ref="D16:F16"/>
    <mergeCell ref="O16:P16"/>
    <mergeCell ref="A17:A22"/>
    <mergeCell ref="B17:B22"/>
    <mergeCell ref="D17:F17"/>
    <mergeCell ref="G17:I17"/>
    <mergeCell ref="D18:F18"/>
    <mergeCell ref="G18:I18"/>
    <mergeCell ref="D20:F20"/>
    <mergeCell ref="C22:I22"/>
    <mergeCell ref="N22:P22"/>
    <mergeCell ref="D29:F29"/>
    <mergeCell ref="G29:I29"/>
    <mergeCell ref="O29:P29"/>
    <mergeCell ref="D28:F28"/>
    <mergeCell ref="G28:I28"/>
    <mergeCell ref="O28:P28"/>
    <mergeCell ref="D12:F12"/>
    <mergeCell ref="G12:I12"/>
    <mergeCell ref="O12:P12"/>
    <mergeCell ref="G21:I21"/>
    <mergeCell ref="O21:P21"/>
    <mergeCell ref="D19:F19"/>
    <mergeCell ref="G19:I19"/>
    <mergeCell ref="G20:I20"/>
    <mergeCell ref="O20:P20"/>
    <mergeCell ref="D21:F21"/>
    <mergeCell ref="O17:P17"/>
    <mergeCell ref="O18:P18"/>
    <mergeCell ref="O19:P19"/>
    <mergeCell ref="A9:A14"/>
    <mergeCell ref="B9:B14"/>
    <mergeCell ref="D9:F9"/>
    <mergeCell ref="G9:I9"/>
    <mergeCell ref="O9:P9"/>
    <mergeCell ref="D10:F10"/>
    <mergeCell ref="G10:I10"/>
    <mergeCell ref="D13:F13"/>
    <mergeCell ref="G13:I13"/>
    <mergeCell ref="O13:P13"/>
    <mergeCell ref="C14:I14"/>
    <mergeCell ref="N14:P14"/>
    <mergeCell ref="O10:P10"/>
    <mergeCell ref="D11:F11"/>
    <mergeCell ref="G11:I11"/>
    <mergeCell ref="O11:P11"/>
    <mergeCell ref="L6:M6"/>
    <mergeCell ref="N6:O6"/>
    <mergeCell ref="P6:Q6"/>
    <mergeCell ref="A8:B8"/>
    <mergeCell ref="D8:F8"/>
    <mergeCell ref="O8:P8"/>
    <mergeCell ref="A1:Q2"/>
    <mergeCell ref="A3:M4"/>
    <mergeCell ref="A5:A6"/>
    <mergeCell ref="B5:C5"/>
    <mergeCell ref="D5:E5"/>
    <mergeCell ref="F5:G5"/>
    <mergeCell ref="H5:I5"/>
    <mergeCell ref="J5:K5"/>
    <mergeCell ref="L5:M5"/>
    <mergeCell ref="N5:O5"/>
    <mergeCell ref="P5:Q5"/>
    <mergeCell ref="B6:C6"/>
    <mergeCell ref="D6:E6"/>
    <mergeCell ref="F6:G6"/>
    <mergeCell ref="H6:I6"/>
    <mergeCell ref="J6:K6"/>
  </mergeCells>
  <phoneticPr fontId="12" type="noConversion"/>
  <printOptions horizontalCentered="1" gridLines="1"/>
  <pageMargins left="0.39370078740157483" right="0.39370078740157483" top="0.39370078740157483" bottom="0.39370078740157483" header="0" footer="0"/>
  <pageSetup paperSize="9" scale="90" fitToWidth="0" fitToHeight="0" pageOrder="overThenDown" orientation="landscape" cellComments="atEnd"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W39"/>
  <sheetViews>
    <sheetView view="pageBreakPreview" topLeftCell="A4" zoomScaleNormal="60" zoomScaleSheetLayoutView="100" workbookViewId="0">
      <selection activeCell="A8" sqref="A8:P38"/>
    </sheetView>
  </sheetViews>
  <sheetFormatPr defaultColWidth="12.5703125" defaultRowHeight="15.75" customHeight="1"/>
  <cols>
    <col min="1" max="1" width="5.42578125" style="341" customWidth="1"/>
    <col min="2" max="2" width="11.42578125" style="342" customWidth="1"/>
    <col min="3" max="3" width="4" style="343" customWidth="1"/>
    <col min="4" max="17" width="9.5703125" style="341" customWidth="1"/>
    <col min="18" max="16384" width="12.5703125" style="341"/>
  </cols>
  <sheetData>
    <row r="1" spans="1:23" s="183" customFormat="1" ht="15.75" customHeight="1">
      <c r="A1" s="732" t="s">
        <v>512</v>
      </c>
      <c r="B1" s="732"/>
      <c r="C1" s="732"/>
      <c r="D1" s="732"/>
      <c r="E1" s="732"/>
      <c r="F1" s="732"/>
      <c r="G1" s="732"/>
      <c r="H1" s="732"/>
      <c r="I1" s="732"/>
      <c r="J1" s="732"/>
      <c r="K1" s="732"/>
      <c r="L1" s="732"/>
      <c r="M1" s="732"/>
      <c r="N1" s="732"/>
      <c r="O1" s="732"/>
      <c r="P1" s="732"/>
      <c r="Q1" s="732"/>
    </row>
    <row r="2" spans="1:23" s="184" customFormat="1" ht="15.75" customHeight="1">
      <c r="A2" s="732"/>
      <c r="B2" s="732"/>
      <c r="C2" s="732"/>
      <c r="D2" s="732"/>
      <c r="E2" s="732"/>
      <c r="F2" s="732"/>
      <c r="G2" s="732"/>
      <c r="H2" s="732"/>
      <c r="I2" s="732"/>
      <c r="J2" s="732"/>
      <c r="K2" s="732"/>
      <c r="L2" s="732"/>
      <c r="M2" s="732"/>
      <c r="N2" s="732"/>
      <c r="O2" s="732"/>
      <c r="P2" s="732"/>
      <c r="Q2" s="732"/>
    </row>
    <row r="3" spans="1:23" s="183" customFormat="1" ht="15.75" customHeight="1">
      <c r="A3" s="733" t="s">
        <v>513</v>
      </c>
      <c r="B3" s="733"/>
      <c r="C3" s="733"/>
      <c r="D3" s="733"/>
      <c r="E3" s="733"/>
      <c r="F3" s="733"/>
      <c r="G3" s="733"/>
      <c r="H3" s="733"/>
      <c r="I3" s="733"/>
      <c r="J3" s="733"/>
      <c r="K3" s="733"/>
      <c r="L3" s="733"/>
      <c r="M3" s="733"/>
      <c r="N3" s="185"/>
    </row>
    <row r="4" spans="1:23" s="184" customFormat="1" ht="15.75" customHeight="1">
      <c r="A4" s="733"/>
      <c r="B4" s="733"/>
      <c r="C4" s="733"/>
      <c r="D4" s="733"/>
      <c r="E4" s="733"/>
      <c r="F4" s="733"/>
      <c r="G4" s="733"/>
      <c r="H4" s="733"/>
      <c r="I4" s="733"/>
      <c r="J4" s="733"/>
      <c r="K4" s="733"/>
      <c r="L4" s="733"/>
      <c r="M4" s="733"/>
      <c r="N4" s="186"/>
    </row>
    <row r="5" spans="1:23" s="183" customFormat="1" ht="15.75" customHeight="1">
      <c r="A5" s="735" t="s">
        <v>510</v>
      </c>
      <c r="B5" s="738">
        <v>1</v>
      </c>
      <c r="C5" s="738"/>
      <c r="D5" s="738">
        <v>2</v>
      </c>
      <c r="E5" s="738"/>
      <c r="F5" s="738">
        <v>3</v>
      </c>
      <c r="G5" s="738"/>
      <c r="H5" s="808">
        <v>4</v>
      </c>
      <c r="I5" s="808"/>
      <c r="J5" s="808">
        <v>5</v>
      </c>
      <c r="K5" s="808"/>
      <c r="L5" s="808">
        <v>6</v>
      </c>
      <c r="M5" s="808"/>
      <c r="N5" s="808">
        <v>7</v>
      </c>
      <c r="O5" s="808"/>
      <c r="P5" s="738">
        <v>8</v>
      </c>
      <c r="Q5" s="738"/>
    </row>
    <row r="6" spans="1:23" s="183" customFormat="1" ht="15.75" customHeight="1">
      <c r="A6" s="735"/>
      <c r="B6" s="735" t="s">
        <v>514</v>
      </c>
      <c r="C6" s="735"/>
      <c r="D6" s="735" t="s">
        <v>515</v>
      </c>
      <c r="E6" s="735"/>
      <c r="F6" s="735" t="s">
        <v>516</v>
      </c>
      <c r="G6" s="735"/>
      <c r="H6" s="813" t="s">
        <v>517</v>
      </c>
      <c r="I6" s="809"/>
      <c r="J6" s="809" t="s">
        <v>518</v>
      </c>
      <c r="K6" s="809"/>
      <c r="L6" s="809" t="s">
        <v>519</v>
      </c>
      <c r="M6" s="809"/>
      <c r="N6" s="809" t="s">
        <v>520</v>
      </c>
      <c r="O6" s="809"/>
      <c r="P6" s="810" t="s">
        <v>521</v>
      </c>
      <c r="Q6" s="735"/>
    </row>
    <row r="7" spans="1:23" s="183" customFormat="1" ht="15.75" customHeight="1">
      <c r="B7" s="338"/>
      <c r="C7" s="339"/>
    </row>
    <row r="8" spans="1:23" s="340" customFormat="1" ht="15.75" customHeight="1">
      <c r="A8" s="814" t="s">
        <v>767</v>
      </c>
      <c r="B8" s="815"/>
      <c r="C8" s="117" t="s">
        <v>768</v>
      </c>
      <c r="D8" s="794" t="s">
        <v>12</v>
      </c>
      <c r="E8" s="795"/>
      <c r="F8" s="796"/>
      <c r="G8" s="115" t="s">
        <v>769</v>
      </c>
      <c r="H8" s="116"/>
      <c r="I8" s="117"/>
      <c r="J8" s="114" t="s">
        <v>770</v>
      </c>
      <c r="K8" s="114" t="s">
        <v>792</v>
      </c>
      <c r="L8" s="114" t="s">
        <v>772</v>
      </c>
      <c r="M8" s="118" t="s">
        <v>11</v>
      </c>
      <c r="N8" s="336" t="s">
        <v>773</v>
      </c>
      <c r="O8" s="797" t="s">
        <v>774</v>
      </c>
      <c r="P8" s="798"/>
      <c r="R8" s="183"/>
      <c r="S8" s="183"/>
      <c r="T8" s="183"/>
      <c r="U8" s="183"/>
      <c r="V8" s="183"/>
      <c r="W8" s="183"/>
    </row>
    <row r="9" spans="1:23" ht="15.75" customHeight="1">
      <c r="A9" s="816">
        <v>4</v>
      </c>
      <c r="B9" s="819" t="s">
        <v>508</v>
      </c>
      <c r="C9" s="112">
        <v>1</v>
      </c>
      <c r="D9" s="509" t="s">
        <v>645</v>
      </c>
      <c r="E9" s="773"/>
      <c r="F9" s="774"/>
      <c r="G9" s="509" t="s">
        <v>646</v>
      </c>
      <c r="H9" s="773"/>
      <c r="I9" s="774"/>
      <c r="J9" s="4">
        <v>114.68</v>
      </c>
      <c r="K9" s="14">
        <v>6.2893081761008487E-3</v>
      </c>
      <c r="L9" s="4">
        <v>3.2500000000001137</v>
      </c>
      <c r="M9" s="453">
        <v>372.71000000001305</v>
      </c>
      <c r="N9" s="4"/>
      <c r="O9" s="764" t="s">
        <v>458</v>
      </c>
      <c r="P9" s="765"/>
      <c r="R9" s="183"/>
      <c r="S9" s="183"/>
      <c r="T9" s="183"/>
      <c r="U9" s="183"/>
      <c r="V9" s="183"/>
      <c r="W9" s="183"/>
    </row>
    <row r="10" spans="1:23" ht="15.75" customHeight="1">
      <c r="A10" s="817"/>
      <c r="B10" s="820"/>
      <c r="C10" s="112">
        <v>2</v>
      </c>
      <c r="D10" s="509" t="s">
        <v>334</v>
      </c>
      <c r="E10" s="773"/>
      <c r="F10" s="774"/>
      <c r="G10" s="509" t="s">
        <v>540</v>
      </c>
      <c r="H10" s="773"/>
      <c r="I10" s="774"/>
      <c r="J10" s="4">
        <v>111.17</v>
      </c>
      <c r="K10" s="14">
        <v>8.3751625396738336E-3</v>
      </c>
      <c r="L10" s="4">
        <v>2.9950000000000614</v>
      </c>
      <c r="M10" s="453">
        <v>332.95415000000685</v>
      </c>
      <c r="N10" s="4"/>
      <c r="O10" s="764" t="s">
        <v>458</v>
      </c>
      <c r="P10" s="765"/>
      <c r="R10" s="183"/>
      <c r="S10" s="183"/>
      <c r="T10" s="183"/>
      <c r="U10" s="183"/>
      <c r="V10" s="183"/>
      <c r="W10" s="183"/>
    </row>
    <row r="11" spans="1:23" ht="15.75" customHeight="1">
      <c r="A11" s="817"/>
      <c r="B11" s="820"/>
      <c r="C11" s="112">
        <v>3</v>
      </c>
      <c r="D11" s="509" t="s">
        <v>666</v>
      </c>
      <c r="E11" s="773"/>
      <c r="F11" s="774"/>
      <c r="G11" s="509" t="s">
        <v>670</v>
      </c>
      <c r="H11" s="773"/>
      <c r="I11" s="774"/>
      <c r="J11" s="4">
        <v>102.12</v>
      </c>
      <c r="K11" s="14">
        <v>1.0241162867525678E-2</v>
      </c>
      <c r="L11" s="4">
        <v>3.1000000000000227</v>
      </c>
      <c r="M11" s="453">
        <v>316.57200000000233</v>
      </c>
      <c r="N11" s="4"/>
      <c r="O11" s="764" t="s">
        <v>458</v>
      </c>
      <c r="P11" s="765"/>
      <c r="R11" s="183"/>
      <c r="S11" s="183"/>
      <c r="T11" s="183"/>
      <c r="U11" s="183"/>
      <c r="V11" s="183"/>
      <c r="W11" s="183"/>
    </row>
    <row r="12" spans="1:23" ht="15.75" customHeight="1">
      <c r="A12" s="817"/>
      <c r="B12" s="820"/>
      <c r="C12" s="112">
        <v>4</v>
      </c>
      <c r="D12" s="509" t="s">
        <v>667</v>
      </c>
      <c r="E12" s="773"/>
      <c r="F12" s="774"/>
      <c r="G12" s="509" t="s">
        <v>668</v>
      </c>
      <c r="H12" s="773"/>
      <c r="I12" s="774"/>
      <c r="J12" s="4">
        <v>416.3</v>
      </c>
      <c r="K12" s="14">
        <v>1.8930381710975833E-2</v>
      </c>
      <c r="L12" s="4">
        <v>0.73200000000001353</v>
      </c>
      <c r="M12" s="453">
        <v>304.73160000000564</v>
      </c>
      <c r="N12" s="4"/>
      <c r="O12" s="764" t="s">
        <v>458</v>
      </c>
      <c r="P12" s="765"/>
      <c r="R12" s="183"/>
      <c r="S12" s="183"/>
      <c r="T12" s="183"/>
      <c r="U12" s="183"/>
      <c r="V12" s="183"/>
      <c r="W12" s="183"/>
    </row>
    <row r="13" spans="1:23" ht="15.75" customHeight="1" thickBot="1">
      <c r="A13" s="817"/>
      <c r="B13" s="820"/>
      <c r="C13" s="113">
        <v>5</v>
      </c>
      <c r="D13" s="509" t="s">
        <v>506</v>
      </c>
      <c r="E13" s="773"/>
      <c r="F13" s="774"/>
      <c r="G13" s="509" t="s">
        <v>793</v>
      </c>
      <c r="H13" s="773"/>
      <c r="I13" s="774"/>
      <c r="J13" s="4">
        <v>120.23</v>
      </c>
      <c r="K13" s="14">
        <v>4.385256927629809E-2</v>
      </c>
      <c r="L13" s="4">
        <v>2.4450000000000003</v>
      </c>
      <c r="M13" s="453">
        <v>293.96235000000007</v>
      </c>
      <c r="N13" s="4"/>
      <c r="O13" s="764" t="s">
        <v>458</v>
      </c>
      <c r="P13" s="765"/>
      <c r="R13" s="183"/>
      <c r="S13" s="183"/>
      <c r="T13" s="183"/>
      <c r="U13" s="183"/>
      <c r="V13" s="183"/>
      <c r="W13" s="183"/>
    </row>
    <row r="14" spans="1:23" ht="15.75" customHeight="1" thickTop="1" thickBot="1">
      <c r="A14" s="818"/>
      <c r="B14" s="821"/>
      <c r="C14" s="822"/>
      <c r="D14" s="823"/>
      <c r="E14" s="823"/>
      <c r="F14" s="823"/>
      <c r="G14" s="823"/>
      <c r="H14" s="823"/>
      <c r="I14" s="824"/>
      <c r="J14" s="246" t="s">
        <v>776</v>
      </c>
      <c r="K14" s="245">
        <v>6.1927352343565285E-3</v>
      </c>
      <c r="L14" s="246" t="s">
        <v>777</v>
      </c>
      <c r="M14" s="454">
        <v>1620.930100000028</v>
      </c>
      <c r="N14" s="825"/>
      <c r="O14" s="826"/>
      <c r="P14" s="827"/>
      <c r="R14" s="183"/>
      <c r="S14" s="183"/>
      <c r="T14" s="183"/>
      <c r="U14" s="183"/>
      <c r="V14" s="183"/>
      <c r="W14" s="183"/>
    </row>
    <row r="15" spans="1:23" ht="15.75" customHeight="1" thickTop="1">
      <c r="A15" s="489"/>
      <c r="B15" s="111"/>
      <c r="C15" s="109"/>
      <c r="D15" s="489"/>
      <c r="E15" s="489"/>
      <c r="F15" s="489"/>
      <c r="G15" s="489"/>
      <c r="H15" s="489"/>
      <c r="I15" s="489"/>
      <c r="J15" s="489"/>
      <c r="K15" s="489"/>
      <c r="L15" s="489"/>
      <c r="M15" s="489"/>
      <c r="N15" s="489"/>
      <c r="O15" s="489"/>
      <c r="P15" s="489"/>
      <c r="R15" s="183"/>
      <c r="S15" s="183"/>
      <c r="T15" s="183"/>
      <c r="U15" s="183"/>
      <c r="V15" s="183"/>
      <c r="W15" s="183"/>
    </row>
    <row r="16" spans="1:23" ht="15.75" customHeight="1">
      <c r="A16" s="814" t="s">
        <v>767</v>
      </c>
      <c r="B16" s="815"/>
      <c r="C16" s="117" t="s">
        <v>768</v>
      </c>
      <c r="D16" s="794" t="s">
        <v>12</v>
      </c>
      <c r="E16" s="795"/>
      <c r="F16" s="796"/>
      <c r="G16" s="115" t="s">
        <v>769</v>
      </c>
      <c r="H16" s="116"/>
      <c r="I16" s="117"/>
      <c r="J16" s="114" t="s">
        <v>770</v>
      </c>
      <c r="K16" s="114" t="s">
        <v>792</v>
      </c>
      <c r="L16" s="114" t="s">
        <v>772</v>
      </c>
      <c r="M16" s="118" t="s">
        <v>11</v>
      </c>
      <c r="N16" s="336" t="s">
        <v>773</v>
      </c>
      <c r="O16" s="797" t="s">
        <v>774</v>
      </c>
      <c r="P16" s="798"/>
      <c r="R16" s="183"/>
      <c r="S16" s="183"/>
      <c r="T16" s="183"/>
      <c r="U16" s="183"/>
      <c r="V16" s="183"/>
      <c r="W16" s="183"/>
    </row>
    <row r="17" spans="1:23" ht="15.75" customHeight="1">
      <c r="A17" s="816">
        <v>5</v>
      </c>
      <c r="B17" s="828" t="s">
        <v>194</v>
      </c>
      <c r="C17" s="112">
        <v>1</v>
      </c>
      <c r="D17" s="509" t="s">
        <v>624</v>
      </c>
      <c r="E17" s="773"/>
      <c r="F17" s="774"/>
      <c r="G17" s="509" t="s">
        <v>625</v>
      </c>
      <c r="H17" s="773"/>
      <c r="I17" s="774"/>
      <c r="J17" s="4">
        <v>447.3</v>
      </c>
      <c r="K17" s="14">
        <v>8.0645161290322162E-3</v>
      </c>
      <c r="L17" s="4">
        <v>0.87999999999999545</v>
      </c>
      <c r="M17" s="453">
        <v>393.62399999999798</v>
      </c>
      <c r="N17" s="4"/>
      <c r="O17" s="764" t="s">
        <v>522</v>
      </c>
      <c r="P17" s="765"/>
      <c r="R17" s="183"/>
      <c r="S17" s="183"/>
      <c r="T17" s="183"/>
      <c r="U17" s="183"/>
      <c r="V17" s="183"/>
      <c r="W17" s="183"/>
    </row>
    <row r="18" spans="1:23" ht="15.75" customHeight="1">
      <c r="A18" s="817"/>
      <c r="B18" s="829"/>
      <c r="C18" s="112">
        <v>2</v>
      </c>
      <c r="D18" s="509" t="s">
        <v>337</v>
      </c>
      <c r="E18" s="773"/>
      <c r="F18" s="774"/>
      <c r="G18" s="509" t="s">
        <v>586</v>
      </c>
      <c r="H18" s="773"/>
      <c r="I18" s="774"/>
      <c r="J18" s="4">
        <v>581.91999999999996</v>
      </c>
      <c r="K18" s="14">
        <v>3.7102767456047944E-2</v>
      </c>
      <c r="L18" s="4">
        <v>0.66900000000000048</v>
      </c>
      <c r="M18" s="453">
        <v>389.30448000000024</v>
      </c>
      <c r="N18" s="4"/>
      <c r="O18" s="764" t="s">
        <v>522</v>
      </c>
      <c r="P18" s="765"/>
      <c r="R18" s="183"/>
      <c r="S18" s="183"/>
      <c r="T18" s="183"/>
      <c r="U18" s="183"/>
      <c r="V18" s="183"/>
      <c r="W18" s="183"/>
    </row>
    <row r="19" spans="1:23" ht="15.75" customHeight="1">
      <c r="A19" s="817"/>
      <c r="B19" s="829"/>
      <c r="C19" s="112">
        <v>3</v>
      </c>
      <c r="D19" s="509" t="s">
        <v>654</v>
      </c>
      <c r="E19" s="773"/>
      <c r="F19" s="774"/>
      <c r="G19" s="509" t="s">
        <v>655</v>
      </c>
      <c r="H19" s="773"/>
      <c r="I19" s="774"/>
      <c r="J19" s="4">
        <v>325.01</v>
      </c>
      <c r="K19" s="14">
        <v>1.815038893690574E-2</v>
      </c>
      <c r="L19" s="4">
        <v>1.0499999999999972</v>
      </c>
      <c r="M19" s="453">
        <v>341.26049999999907</v>
      </c>
      <c r="N19" s="4"/>
      <c r="O19" s="764" t="s">
        <v>522</v>
      </c>
      <c r="P19" s="765"/>
      <c r="R19" s="183"/>
      <c r="S19" s="183"/>
      <c r="T19" s="183"/>
      <c r="U19" s="183"/>
      <c r="V19" s="183"/>
      <c r="W19" s="183"/>
    </row>
    <row r="20" spans="1:23" ht="15.75" customHeight="1">
      <c r="A20" s="817"/>
      <c r="B20" s="829"/>
      <c r="C20" s="112">
        <v>4</v>
      </c>
      <c r="D20" s="509" t="s">
        <v>583</v>
      </c>
      <c r="E20" s="773"/>
      <c r="F20" s="774"/>
      <c r="G20" s="509" t="s">
        <v>336</v>
      </c>
      <c r="H20" s="773"/>
      <c r="I20" s="774"/>
      <c r="J20" s="4">
        <v>487.6</v>
      </c>
      <c r="K20" s="14">
        <v>1.9991840065279685E-2</v>
      </c>
      <c r="L20" s="4">
        <v>0.68600000000000705</v>
      </c>
      <c r="M20" s="453">
        <v>334.49360000000343</v>
      </c>
      <c r="N20" s="4"/>
      <c r="O20" s="764" t="s">
        <v>522</v>
      </c>
      <c r="P20" s="765"/>
      <c r="R20" s="183"/>
      <c r="S20" s="183"/>
      <c r="T20" s="183"/>
      <c r="U20" s="183"/>
      <c r="V20" s="183"/>
      <c r="W20" s="183"/>
    </row>
    <row r="21" spans="1:23" ht="15.75" customHeight="1" thickBot="1">
      <c r="A21" s="817"/>
      <c r="B21" s="829"/>
      <c r="C21" s="113">
        <v>5</v>
      </c>
      <c r="D21" s="509" t="s">
        <v>355</v>
      </c>
      <c r="E21" s="773"/>
      <c r="F21" s="774"/>
      <c r="G21" s="509" t="s">
        <v>373</v>
      </c>
      <c r="H21" s="773"/>
      <c r="I21" s="774"/>
      <c r="J21" s="4">
        <v>420.33</v>
      </c>
      <c r="K21" s="14">
        <v>9.4909404659188467E-3</v>
      </c>
      <c r="L21" s="4">
        <v>0.76999999999999602</v>
      </c>
      <c r="M21" s="453">
        <v>323.65409999999832</v>
      </c>
      <c r="N21" s="4"/>
      <c r="O21" s="764" t="s">
        <v>522</v>
      </c>
      <c r="P21" s="765"/>
      <c r="R21" s="183"/>
      <c r="S21" s="183"/>
      <c r="T21" s="183"/>
      <c r="U21" s="183"/>
      <c r="V21" s="183"/>
      <c r="W21" s="183"/>
    </row>
    <row r="22" spans="1:23" ht="15.75" customHeight="1" thickTop="1" thickBot="1">
      <c r="A22" s="818"/>
      <c r="B22" s="830"/>
      <c r="C22" s="831"/>
      <c r="D22" s="806"/>
      <c r="E22" s="806"/>
      <c r="F22" s="806"/>
      <c r="G22" s="806"/>
      <c r="H22" s="806"/>
      <c r="I22" s="807"/>
      <c r="J22" s="119" t="s">
        <v>776</v>
      </c>
      <c r="K22" s="245">
        <v>6.809386263924546E-3</v>
      </c>
      <c r="L22" s="119" t="s">
        <v>777</v>
      </c>
      <c r="M22" s="454">
        <v>1782.336679999999</v>
      </c>
      <c r="N22" s="803"/>
      <c r="O22" s="804"/>
      <c r="P22" s="805"/>
      <c r="R22" s="183"/>
      <c r="S22" s="183"/>
      <c r="T22" s="183"/>
      <c r="U22" s="183"/>
      <c r="V22" s="183"/>
      <c r="W22" s="183"/>
    </row>
    <row r="23" spans="1:23" ht="15.75" customHeight="1" thickTop="1">
      <c r="A23" s="489"/>
      <c r="B23" s="111"/>
      <c r="C23" s="109"/>
      <c r="D23" s="489"/>
      <c r="E23" s="489"/>
      <c r="F23" s="489"/>
      <c r="G23" s="489"/>
      <c r="H23" s="489"/>
      <c r="I23" s="489"/>
      <c r="J23" s="489"/>
      <c r="K23" s="489"/>
      <c r="L23" s="489"/>
      <c r="M23" s="489"/>
      <c r="N23" s="489"/>
      <c r="O23" s="489"/>
      <c r="P23" s="489"/>
      <c r="R23" s="183"/>
      <c r="S23" s="183"/>
      <c r="T23" s="183"/>
      <c r="U23" s="183"/>
      <c r="V23" s="183"/>
      <c r="W23" s="183"/>
    </row>
    <row r="24" spans="1:23" ht="15.75" customHeight="1">
      <c r="A24" s="814" t="s">
        <v>767</v>
      </c>
      <c r="B24" s="815"/>
      <c r="C24" s="117" t="s">
        <v>768</v>
      </c>
      <c r="D24" s="794" t="s">
        <v>12</v>
      </c>
      <c r="E24" s="795"/>
      <c r="F24" s="796"/>
      <c r="G24" s="115" t="s">
        <v>769</v>
      </c>
      <c r="H24" s="116"/>
      <c r="I24" s="117"/>
      <c r="J24" s="114" t="s">
        <v>770</v>
      </c>
      <c r="K24" s="114" t="s">
        <v>792</v>
      </c>
      <c r="L24" s="114" t="s">
        <v>772</v>
      </c>
      <c r="M24" s="118" t="s">
        <v>11</v>
      </c>
      <c r="N24" s="336" t="s">
        <v>773</v>
      </c>
      <c r="O24" s="797" t="s">
        <v>774</v>
      </c>
      <c r="P24" s="798"/>
      <c r="R24" s="183"/>
      <c r="S24" s="183"/>
      <c r="T24" s="183"/>
      <c r="U24" s="183"/>
      <c r="V24" s="183"/>
      <c r="W24" s="183"/>
    </row>
    <row r="25" spans="1:23" ht="15.75" customHeight="1">
      <c r="A25" s="816">
        <v>6</v>
      </c>
      <c r="B25" s="828" t="s">
        <v>195</v>
      </c>
      <c r="C25" s="112">
        <v>1</v>
      </c>
      <c r="D25" s="509" t="s">
        <v>583</v>
      </c>
      <c r="E25" s="773"/>
      <c r="F25" s="774"/>
      <c r="G25" s="509" t="s">
        <v>336</v>
      </c>
      <c r="H25" s="773"/>
      <c r="I25" s="774"/>
      <c r="J25" s="4">
        <v>487.6</v>
      </c>
      <c r="K25" s="14">
        <v>2.0513883133029466E-2</v>
      </c>
      <c r="L25" s="4">
        <v>0.79200000000000159</v>
      </c>
      <c r="M25" s="453">
        <v>386.17920000000078</v>
      </c>
      <c r="N25" s="4"/>
      <c r="O25" s="764" t="s">
        <v>794</v>
      </c>
      <c r="P25" s="765"/>
      <c r="R25" s="183"/>
      <c r="S25" s="183"/>
      <c r="T25" s="183"/>
      <c r="U25" s="183"/>
      <c r="V25" s="183"/>
      <c r="W25" s="183"/>
    </row>
    <row r="26" spans="1:23" ht="15.75" customHeight="1">
      <c r="A26" s="817"/>
      <c r="B26" s="829"/>
      <c r="C26" s="112">
        <v>2</v>
      </c>
      <c r="D26" s="509" t="s">
        <v>582</v>
      </c>
      <c r="E26" s="773"/>
      <c r="F26" s="774"/>
      <c r="G26" s="509" t="s">
        <v>682</v>
      </c>
      <c r="H26" s="773"/>
      <c r="I26" s="774"/>
      <c r="J26" s="4">
        <v>444.88</v>
      </c>
      <c r="K26" s="14">
        <v>4.9538203190596153E-2</v>
      </c>
      <c r="L26" s="4">
        <v>0.70800000000000018</v>
      </c>
      <c r="M26" s="453">
        <v>314.97504000000009</v>
      </c>
      <c r="N26" s="4"/>
      <c r="O26" s="764" t="s">
        <v>795</v>
      </c>
      <c r="P26" s="765"/>
      <c r="R26" s="183"/>
      <c r="S26" s="183"/>
      <c r="T26" s="183"/>
      <c r="U26" s="183"/>
      <c r="V26" s="183"/>
      <c r="W26" s="183"/>
    </row>
    <row r="27" spans="1:23" ht="15.75" customHeight="1">
      <c r="A27" s="817"/>
      <c r="B27" s="829"/>
      <c r="C27" s="112">
        <v>3</v>
      </c>
      <c r="D27" s="509">
        <v>0</v>
      </c>
      <c r="E27" s="773"/>
      <c r="F27" s="774"/>
      <c r="G27" s="509">
        <v>0</v>
      </c>
      <c r="H27" s="773"/>
      <c r="I27" s="774"/>
      <c r="J27" s="4">
        <v>0</v>
      </c>
      <c r="K27" s="14">
        <v>0</v>
      </c>
      <c r="L27" s="4">
        <v>0</v>
      </c>
      <c r="M27" s="453">
        <v>0</v>
      </c>
      <c r="N27" s="4"/>
      <c r="O27" s="764"/>
      <c r="P27" s="765"/>
      <c r="R27" s="183"/>
      <c r="S27" s="183"/>
      <c r="T27" s="183"/>
      <c r="U27" s="183"/>
      <c r="V27" s="183"/>
      <c r="W27" s="183"/>
    </row>
    <row r="28" spans="1:23" ht="15.75" customHeight="1">
      <c r="A28" s="817"/>
      <c r="B28" s="829"/>
      <c r="C28" s="112">
        <v>4</v>
      </c>
      <c r="D28" s="509">
        <v>0</v>
      </c>
      <c r="E28" s="773"/>
      <c r="F28" s="774"/>
      <c r="G28" s="509">
        <v>0</v>
      </c>
      <c r="H28" s="773"/>
      <c r="I28" s="774"/>
      <c r="J28" s="4">
        <v>0</v>
      </c>
      <c r="K28" s="14">
        <v>0</v>
      </c>
      <c r="L28" s="4">
        <v>0</v>
      </c>
      <c r="M28" s="453">
        <v>0</v>
      </c>
      <c r="N28" s="4"/>
      <c r="O28" s="764"/>
      <c r="P28" s="765"/>
      <c r="R28" s="183"/>
      <c r="S28" s="183"/>
      <c r="T28" s="183"/>
      <c r="U28" s="183"/>
      <c r="V28" s="183"/>
      <c r="W28" s="183"/>
    </row>
    <row r="29" spans="1:23" ht="15.75" customHeight="1" thickBot="1">
      <c r="A29" s="817"/>
      <c r="B29" s="829"/>
      <c r="C29" s="113">
        <v>5</v>
      </c>
      <c r="D29" s="509">
        <v>0</v>
      </c>
      <c r="E29" s="773"/>
      <c r="F29" s="774"/>
      <c r="G29" s="509">
        <v>0</v>
      </c>
      <c r="H29" s="773"/>
      <c r="I29" s="774"/>
      <c r="J29" s="4">
        <v>0</v>
      </c>
      <c r="K29" s="14">
        <v>0</v>
      </c>
      <c r="L29" s="4">
        <v>0</v>
      </c>
      <c r="M29" s="453">
        <v>0</v>
      </c>
      <c r="N29" s="4"/>
      <c r="O29" s="764"/>
      <c r="P29" s="765"/>
      <c r="R29" s="183"/>
      <c r="S29" s="183"/>
      <c r="T29" s="183"/>
      <c r="U29" s="183"/>
      <c r="V29" s="183"/>
      <c r="W29" s="183"/>
    </row>
    <row r="30" spans="1:23" ht="15.75" customHeight="1" thickTop="1" thickBot="1">
      <c r="A30" s="818"/>
      <c r="B30" s="830"/>
      <c r="C30" s="831"/>
      <c r="D30" s="806"/>
      <c r="E30" s="806"/>
      <c r="F30" s="806"/>
      <c r="G30" s="806"/>
      <c r="H30" s="806"/>
      <c r="I30" s="807"/>
      <c r="J30" s="119" t="s">
        <v>776</v>
      </c>
      <c r="K30" s="245">
        <v>2.6787475701551869E-3</v>
      </c>
      <c r="L30" s="119" t="s">
        <v>777</v>
      </c>
      <c r="M30" s="454">
        <v>701.15424000000087</v>
      </c>
      <c r="N30" s="803"/>
      <c r="O30" s="804"/>
      <c r="P30" s="805"/>
      <c r="R30" s="183"/>
      <c r="S30" s="183"/>
      <c r="T30" s="183"/>
      <c r="U30" s="183"/>
      <c r="V30" s="183"/>
      <c r="W30" s="183"/>
    </row>
    <row r="31" spans="1:23" ht="15.75" customHeight="1" thickTop="1">
      <c r="A31" s="489"/>
      <c r="B31" s="111"/>
      <c r="C31" s="109"/>
      <c r="D31" s="489"/>
      <c r="E31" s="489"/>
      <c r="F31" s="489"/>
      <c r="G31" s="489"/>
      <c r="H31" s="489"/>
      <c r="I31" s="489"/>
      <c r="J31" s="489"/>
      <c r="K31" s="489"/>
      <c r="L31" s="489"/>
      <c r="M31" s="489"/>
      <c r="N31" s="489"/>
      <c r="O31" s="489"/>
      <c r="P31" s="489"/>
      <c r="R31" s="183"/>
      <c r="S31" s="183"/>
      <c r="T31" s="183"/>
      <c r="U31" s="183"/>
      <c r="V31" s="183"/>
      <c r="W31" s="183"/>
    </row>
    <row r="32" spans="1:23" ht="15.75" customHeight="1">
      <c r="A32" s="814" t="s">
        <v>767</v>
      </c>
      <c r="B32" s="815"/>
      <c r="C32" s="117" t="s">
        <v>768</v>
      </c>
      <c r="D32" s="794" t="s">
        <v>12</v>
      </c>
      <c r="E32" s="795"/>
      <c r="F32" s="796"/>
      <c r="G32" s="115" t="s">
        <v>769</v>
      </c>
      <c r="H32" s="116"/>
      <c r="I32" s="117"/>
      <c r="J32" s="114" t="s">
        <v>770</v>
      </c>
      <c r="K32" s="114" t="s">
        <v>792</v>
      </c>
      <c r="L32" s="114" t="s">
        <v>772</v>
      </c>
      <c r="M32" s="118" t="s">
        <v>11</v>
      </c>
      <c r="N32" s="118" t="s">
        <v>13</v>
      </c>
      <c r="O32" s="797" t="s">
        <v>774</v>
      </c>
      <c r="P32" s="798"/>
      <c r="R32" s="183"/>
      <c r="S32" s="183"/>
      <c r="T32" s="183"/>
      <c r="U32" s="183"/>
      <c r="V32" s="183"/>
      <c r="W32" s="183"/>
    </row>
    <row r="33" spans="1:23" ht="15.75" customHeight="1">
      <c r="A33" s="816">
        <v>7</v>
      </c>
      <c r="B33" s="828" t="s">
        <v>786</v>
      </c>
      <c r="C33" s="112">
        <v>1</v>
      </c>
      <c r="D33" s="509" t="s">
        <v>656</v>
      </c>
      <c r="E33" s="773"/>
      <c r="F33" s="774"/>
      <c r="G33" s="509" t="s">
        <v>685</v>
      </c>
      <c r="H33" s="773"/>
      <c r="I33" s="774"/>
      <c r="J33" s="4">
        <v>790</v>
      </c>
      <c r="K33" s="14">
        <v>5.115627189908907E-2</v>
      </c>
      <c r="L33" s="4">
        <v>0.43800000000000061</v>
      </c>
      <c r="M33" s="453">
        <v>346.02000000000049</v>
      </c>
      <c r="N33" s="4"/>
      <c r="O33" s="764" t="s">
        <v>796</v>
      </c>
      <c r="P33" s="765"/>
      <c r="R33" s="183"/>
      <c r="S33" s="183"/>
      <c r="T33" s="183"/>
      <c r="U33" s="183"/>
      <c r="V33" s="183"/>
      <c r="W33" s="183"/>
    </row>
    <row r="34" spans="1:23" ht="15.75" customHeight="1">
      <c r="A34" s="817"/>
      <c r="B34" s="829"/>
      <c r="C34" s="112">
        <v>2</v>
      </c>
      <c r="D34" s="509" t="s">
        <v>642</v>
      </c>
      <c r="E34" s="773"/>
      <c r="F34" s="774"/>
      <c r="G34" s="509" t="s">
        <v>683</v>
      </c>
      <c r="H34" s="773"/>
      <c r="I34" s="774"/>
      <c r="J34" s="4">
        <v>68.62</v>
      </c>
      <c r="K34" s="14">
        <v>5.7471264367816299E-3</v>
      </c>
      <c r="L34" s="4">
        <v>4.9800000000000182</v>
      </c>
      <c r="M34" s="453">
        <v>341.72760000000125</v>
      </c>
      <c r="N34" s="4"/>
      <c r="O34" s="764" t="s">
        <v>797</v>
      </c>
      <c r="P34" s="765"/>
      <c r="R34" s="183"/>
      <c r="S34" s="183"/>
      <c r="T34" s="183"/>
      <c r="U34" s="183"/>
      <c r="V34" s="183"/>
      <c r="W34" s="183"/>
    </row>
    <row r="35" spans="1:23" ht="15.75" customHeight="1">
      <c r="A35" s="817"/>
      <c r="B35" s="829"/>
      <c r="C35" s="112">
        <v>3</v>
      </c>
      <c r="D35" s="509" t="s">
        <v>611</v>
      </c>
      <c r="E35" s="773"/>
      <c r="F35" s="774"/>
      <c r="G35" s="509" t="s">
        <v>788</v>
      </c>
      <c r="H35" s="773"/>
      <c r="I35" s="774"/>
      <c r="J35" s="4">
        <v>930.36</v>
      </c>
      <c r="K35" s="14">
        <v>3.2638760833486928E-2</v>
      </c>
      <c r="L35" s="4">
        <v>0.3539999999999992</v>
      </c>
      <c r="M35" s="453">
        <v>329.34743999999927</v>
      </c>
      <c r="N35" s="4"/>
      <c r="O35" s="764" t="s">
        <v>796</v>
      </c>
      <c r="P35" s="765"/>
      <c r="R35" s="183"/>
      <c r="S35" s="183"/>
      <c r="T35" s="183"/>
      <c r="U35" s="183"/>
      <c r="V35" s="183"/>
      <c r="W35" s="183"/>
    </row>
    <row r="36" spans="1:23" ht="15.75" customHeight="1">
      <c r="A36" s="817"/>
      <c r="B36" s="829"/>
      <c r="C36" s="112">
        <v>4</v>
      </c>
      <c r="D36" s="509" t="s">
        <v>659</v>
      </c>
      <c r="E36" s="773"/>
      <c r="F36" s="774"/>
      <c r="G36" s="509" t="s">
        <v>660</v>
      </c>
      <c r="H36" s="773"/>
      <c r="I36" s="774"/>
      <c r="J36" s="4">
        <v>593.27</v>
      </c>
      <c r="K36" s="14">
        <v>2.2891317797484004E-2</v>
      </c>
      <c r="L36" s="4">
        <v>0.55499999999999972</v>
      </c>
      <c r="M36" s="453">
        <v>329.2648499999998</v>
      </c>
      <c r="N36" s="4"/>
      <c r="O36" s="764" t="s">
        <v>644</v>
      </c>
      <c r="P36" s="765"/>
      <c r="R36" s="183"/>
      <c r="S36" s="183"/>
      <c r="T36" s="183"/>
      <c r="U36" s="183"/>
      <c r="V36" s="183"/>
      <c r="W36" s="183"/>
    </row>
    <row r="37" spans="1:23" ht="15.75" customHeight="1" thickBot="1">
      <c r="A37" s="817"/>
      <c r="B37" s="829"/>
      <c r="C37" s="113">
        <v>5</v>
      </c>
      <c r="D37" s="509" t="s">
        <v>330</v>
      </c>
      <c r="E37" s="773"/>
      <c r="F37" s="774"/>
      <c r="G37" s="509" t="s">
        <v>789</v>
      </c>
      <c r="H37" s="773"/>
      <c r="I37" s="774"/>
      <c r="J37" s="4">
        <v>1760</v>
      </c>
      <c r="K37" s="14">
        <v>7.9136690647481883E-2</v>
      </c>
      <c r="L37" s="4">
        <v>0.17599999999999971</v>
      </c>
      <c r="M37" s="453">
        <v>309.75999999999948</v>
      </c>
      <c r="N37" s="4"/>
      <c r="O37" s="764" t="s">
        <v>644</v>
      </c>
      <c r="P37" s="765"/>
      <c r="R37" s="183"/>
      <c r="S37" s="183"/>
      <c r="T37" s="183"/>
      <c r="U37" s="183"/>
      <c r="V37" s="183"/>
      <c r="W37" s="183"/>
    </row>
    <row r="38" spans="1:23" ht="15.75" customHeight="1" thickTop="1" thickBot="1">
      <c r="A38" s="818"/>
      <c r="B38" s="830"/>
      <c r="C38" s="831"/>
      <c r="D38" s="806"/>
      <c r="E38" s="806"/>
      <c r="F38" s="806"/>
      <c r="G38" s="806"/>
      <c r="H38" s="806"/>
      <c r="I38" s="807"/>
      <c r="J38" s="119" t="s">
        <v>776</v>
      </c>
      <c r="K38" s="245">
        <v>6.3271772145643322E-3</v>
      </c>
      <c r="L38" s="119" t="s">
        <v>777</v>
      </c>
      <c r="M38" s="454">
        <v>1656.1198900000004</v>
      </c>
      <c r="N38" s="803"/>
      <c r="O38" s="804"/>
      <c r="P38" s="805"/>
      <c r="R38" s="183"/>
      <c r="S38" s="183"/>
      <c r="T38" s="183"/>
      <c r="U38" s="183"/>
      <c r="V38" s="183"/>
      <c r="W38" s="183"/>
    </row>
    <row r="39" spans="1:23" ht="15.75" customHeight="1" thickTop="1"/>
  </sheetData>
  <mergeCells count="107">
    <mergeCell ref="A32:B32"/>
    <mergeCell ref="D32:F32"/>
    <mergeCell ref="O32:P32"/>
    <mergeCell ref="A33:A38"/>
    <mergeCell ref="B33:B38"/>
    <mergeCell ref="D33:F33"/>
    <mergeCell ref="G33:I33"/>
    <mergeCell ref="O33:P33"/>
    <mergeCell ref="C38:I38"/>
    <mergeCell ref="N38:P38"/>
    <mergeCell ref="D36:F36"/>
    <mergeCell ref="G36:I36"/>
    <mergeCell ref="O36:P36"/>
    <mergeCell ref="D37:F37"/>
    <mergeCell ref="G37:I37"/>
    <mergeCell ref="O37:P37"/>
    <mergeCell ref="D34:F34"/>
    <mergeCell ref="G34:I34"/>
    <mergeCell ref="O34:P34"/>
    <mergeCell ref="D35:F35"/>
    <mergeCell ref="G35:I35"/>
    <mergeCell ref="O35:P35"/>
    <mergeCell ref="A24:B24"/>
    <mergeCell ref="D24:F24"/>
    <mergeCell ref="O24:P24"/>
    <mergeCell ref="A25:A30"/>
    <mergeCell ref="B25:B30"/>
    <mergeCell ref="D25:F25"/>
    <mergeCell ref="G25:I25"/>
    <mergeCell ref="O25:P25"/>
    <mergeCell ref="D28:F28"/>
    <mergeCell ref="G28:I28"/>
    <mergeCell ref="O28:P28"/>
    <mergeCell ref="D29:F29"/>
    <mergeCell ref="G29:I29"/>
    <mergeCell ref="O29:P29"/>
    <mergeCell ref="D26:F26"/>
    <mergeCell ref="G26:I26"/>
    <mergeCell ref="O26:P26"/>
    <mergeCell ref="D27:F27"/>
    <mergeCell ref="G27:I27"/>
    <mergeCell ref="O27:P27"/>
    <mergeCell ref="C30:I30"/>
    <mergeCell ref="N30:P30"/>
    <mergeCell ref="O19:P19"/>
    <mergeCell ref="D20:F20"/>
    <mergeCell ref="G20:I20"/>
    <mergeCell ref="O20:P20"/>
    <mergeCell ref="D21:F21"/>
    <mergeCell ref="G21:I21"/>
    <mergeCell ref="O21:P21"/>
    <mergeCell ref="A17:A22"/>
    <mergeCell ref="B17:B22"/>
    <mergeCell ref="D17:F17"/>
    <mergeCell ref="G17:I17"/>
    <mergeCell ref="O17:P17"/>
    <mergeCell ref="D18:F18"/>
    <mergeCell ref="G18:I18"/>
    <mergeCell ref="O18:P18"/>
    <mergeCell ref="D19:F19"/>
    <mergeCell ref="G19:I19"/>
    <mergeCell ref="C22:I22"/>
    <mergeCell ref="N22:P22"/>
    <mergeCell ref="A16:B16"/>
    <mergeCell ref="D16:F16"/>
    <mergeCell ref="O16:P16"/>
    <mergeCell ref="O10:P10"/>
    <mergeCell ref="D11:F11"/>
    <mergeCell ref="G11:I11"/>
    <mergeCell ref="O11:P11"/>
    <mergeCell ref="D12:F12"/>
    <mergeCell ref="G12:I12"/>
    <mergeCell ref="O12:P12"/>
    <mergeCell ref="A8:B8"/>
    <mergeCell ref="D8:F8"/>
    <mergeCell ref="O8:P8"/>
    <mergeCell ref="A9:A14"/>
    <mergeCell ref="B9:B14"/>
    <mergeCell ref="D9:F9"/>
    <mergeCell ref="G9:I9"/>
    <mergeCell ref="O9:P9"/>
    <mergeCell ref="D10:F10"/>
    <mergeCell ref="G10:I10"/>
    <mergeCell ref="D13:F13"/>
    <mergeCell ref="G13:I13"/>
    <mergeCell ref="O13:P13"/>
    <mergeCell ref="C14:I14"/>
    <mergeCell ref="N14:P14"/>
    <mergeCell ref="A1:Q2"/>
    <mergeCell ref="A3:M4"/>
    <mergeCell ref="A5:A6"/>
    <mergeCell ref="B5:C5"/>
    <mergeCell ref="D5:E5"/>
    <mergeCell ref="F5:G5"/>
    <mergeCell ref="H5:I5"/>
    <mergeCell ref="J5:K5"/>
    <mergeCell ref="L5:M5"/>
    <mergeCell ref="N5:O5"/>
    <mergeCell ref="P5:Q5"/>
    <mergeCell ref="B6:C6"/>
    <mergeCell ref="D6:E6"/>
    <mergeCell ref="F6:G6"/>
    <mergeCell ref="H6:I6"/>
    <mergeCell ref="J6:K6"/>
    <mergeCell ref="L6:M6"/>
    <mergeCell ref="N6:O6"/>
    <mergeCell ref="P6:Q6"/>
  </mergeCells>
  <phoneticPr fontId="12" type="noConversion"/>
  <printOptions horizontalCentered="1" gridLines="1"/>
  <pageMargins left="0.39370078740157483" right="0.39370078740157483" top="0.39370078740157483" bottom="0.39370078740157483" header="0" footer="0"/>
  <pageSetup paperSize="9" scale="90" fitToWidth="0" fitToHeight="0" pageOrder="overThenDown" orientation="landscape" cellComments="atEnd"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Q20"/>
  <sheetViews>
    <sheetView view="pageBreakPreview" zoomScale="115" zoomScaleNormal="60" zoomScaleSheetLayoutView="115" workbookViewId="0">
      <selection activeCell="R32" sqref="R32"/>
    </sheetView>
  </sheetViews>
  <sheetFormatPr defaultColWidth="12.5703125" defaultRowHeight="15.75" customHeight="1"/>
  <cols>
    <col min="1" max="1" width="5.42578125" style="120" customWidth="1"/>
    <col min="2" max="2" width="7.85546875" style="176" customWidth="1"/>
    <col min="3" max="3" width="4" style="161" customWidth="1"/>
    <col min="4" max="17" width="8.5703125" style="120" customWidth="1"/>
    <col min="18" max="16384" width="12.5703125" style="120"/>
  </cols>
  <sheetData>
    <row r="1" spans="1:17" ht="15.75" customHeight="1">
      <c r="A1" s="531" t="s">
        <v>186</v>
      </c>
      <c r="B1" s="531"/>
      <c r="C1" s="531"/>
      <c r="D1" s="531"/>
      <c r="E1" s="531"/>
      <c r="F1" s="531"/>
      <c r="G1" s="531"/>
      <c r="H1" s="531"/>
      <c r="I1" s="531"/>
      <c r="J1" s="531"/>
      <c r="K1" s="531"/>
      <c r="L1" s="531"/>
      <c r="M1" s="531"/>
      <c r="N1" s="531"/>
      <c r="O1" s="531"/>
      <c r="P1" s="531"/>
      <c r="Q1" s="531"/>
    </row>
    <row r="2" spans="1:17" s="121" customFormat="1" ht="15.75" customHeight="1">
      <c r="A2" s="531"/>
      <c r="B2" s="531"/>
      <c r="C2" s="531"/>
      <c r="D2" s="531"/>
      <c r="E2" s="531"/>
      <c r="F2" s="531"/>
      <c r="G2" s="531"/>
      <c r="H2" s="531"/>
      <c r="I2" s="531"/>
      <c r="J2" s="531"/>
      <c r="K2" s="531"/>
      <c r="L2" s="531"/>
      <c r="M2" s="531"/>
      <c r="N2" s="531"/>
      <c r="O2" s="531"/>
      <c r="P2" s="531"/>
      <c r="Q2" s="531"/>
    </row>
    <row r="3" spans="1:17" ht="15.75" customHeight="1">
      <c r="A3" s="654" t="s">
        <v>197</v>
      </c>
      <c r="B3" s="654"/>
      <c r="C3" s="654"/>
      <c r="D3" s="654"/>
      <c r="E3" s="654"/>
      <c r="F3" s="654"/>
      <c r="G3" s="654"/>
      <c r="H3" s="654"/>
      <c r="I3" s="654"/>
      <c r="J3" s="654"/>
      <c r="K3" s="654"/>
      <c r="L3" s="654"/>
      <c r="M3" s="654"/>
      <c r="N3" s="654"/>
      <c r="O3" s="654"/>
      <c r="P3" s="654"/>
      <c r="Q3" s="654"/>
    </row>
    <row r="4" spans="1:17" s="121" customFormat="1" ht="15.75" customHeight="1">
      <c r="A4" s="833"/>
      <c r="B4" s="833"/>
      <c r="C4" s="833"/>
      <c r="D4" s="833"/>
      <c r="E4" s="833"/>
      <c r="F4" s="833"/>
      <c r="G4" s="833"/>
      <c r="H4" s="833"/>
      <c r="I4" s="833"/>
      <c r="J4" s="833"/>
      <c r="K4" s="833"/>
      <c r="L4" s="833"/>
      <c r="M4" s="833"/>
      <c r="N4" s="833"/>
      <c r="O4" s="833"/>
      <c r="P4" s="833"/>
      <c r="Q4" s="833"/>
    </row>
    <row r="5" spans="1:17" ht="15.75" customHeight="1">
      <c r="A5" s="548" t="s">
        <v>172</v>
      </c>
      <c r="B5" s="766">
        <v>1</v>
      </c>
      <c r="C5" s="766"/>
      <c r="D5" s="766">
        <v>2</v>
      </c>
      <c r="E5" s="766"/>
      <c r="F5" s="766">
        <v>3</v>
      </c>
      <c r="G5" s="766"/>
      <c r="H5" s="766">
        <v>4</v>
      </c>
      <c r="I5" s="766"/>
      <c r="J5" s="766">
        <v>5</v>
      </c>
      <c r="K5" s="766"/>
      <c r="L5" s="766">
        <v>6</v>
      </c>
      <c r="M5" s="766"/>
      <c r="N5" s="766">
        <v>7</v>
      </c>
      <c r="O5" s="766"/>
      <c r="P5" s="768">
        <v>8</v>
      </c>
      <c r="Q5" s="768"/>
    </row>
    <row r="6" spans="1:17" ht="15.75" customHeight="1">
      <c r="A6" s="548"/>
      <c r="B6" s="548" t="s">
        <v>305</v>
      </c>
      <c r="C6" s="548"/>
      <c r="D6" s="548" t="s">
        <v>198</v>
      </c>
      <c r="E6" s="548"/>
      <c r="F6" s="548" t="s">
        <v>164</v>
      </c>
      <c r="G6" s="548"/>
      <c r="H6" s="548" t="s">
        <v>508</v>
      </c>
      <c r="I6" s="548"/>
      <c r="J6" s="548" t="s">
        <v>170</v>
      </c>
      <c r="K6" s="548"/>
      <c r="L6" s="548" t="s">
        <v>165</v>
      </c>
      <c r="M6" s="548"/>
      <c r="N6" s="548" t="s">
        <v>171</v>
      </c>
      <c r="O6" s="548"/>
      <c r="P6" s="769" t="s">
        <v>199</v>
      </c>
      <c r="Q6" s="769"/>
    </row>
    <row r="8" spans="1:17" s="154" customFormat="1" ht="15.75" customHeight="1">
      <c r="A8" s="163" t="s">
        <v>174</v>
      </c>
      <c r="B8" s="180" t="s">
        <v>18</v>
      </c>
      <c r="C8" s="834" t="s">
        <v>12</v>
      </c>
      <c r="D8" s="834"/>
      <c r="E8" s="834"/>
      <c r="F8" s="834" t="s">
        <v>53</v>
      </c>
      <c r="G8" s="834"/>
      <c r="H8" s="834"/>
      <c r="I8" s="180" t="s">
        <v>54</v>
      </c>
      <c r="J8" s="181" t="s">
        <v>19</v>
      </c>
      <c r="K8" s="180" t="s">
        <v>57</v>
      </c>
      <c r="L8" s="180" t="s">
        <v>2</v>
      </c>
      <c r="M8" s="835" t="s">
        <v>50</v>
      </c>
      <c r="N8" s="836"/>
      <c r="O8" s="836"/>
      <c r="P8" s="836"/>
      <c r="Q8" s="836"/>
    </row>
    <row r="9" spans="1:17" ht="15.75" customHeight="1">
      <c r="A9" s="834" t="s">
        <v>173</v>
      </c>
      <c r="B9" s="156">
        <v>1</v>
      </c>
      <c r="C9" s="679"/>
      <c r="D9" s="665"/>
      <c r="E9" s="665"/>
      <c r="F9" s="679"/>
      <c r="G9" s="665"/>
      <c r="H9" s="665"/>
      <c r="I9" s="164"/>
      <c r="J9" s="178"/>
      <c r="K9" s="178"/>
      <c r="L9" s="179">
        <f>K9-J9</f>
        <v>0</v>
      </c>
      <c r="M9" s="679"/>
      <c r="N9" s="679"/>
      <c r="O9" s="679"/>
      <c r="P9" s="679"/>
      <c r="Q9" s="679"/>
    </row>
    <row r="10" spans="1:17" ht="15.75" customHeight="1">
      <c r="A10" s="839"/>
      <c r="B10" s="156">
        <v>2</v>
      </c>
      <c r="C10" s="679"/>
      <c r="D10" s="665"/>
      <c r="E10" s="665"/>
      <c r="F10" s="679"/>
      <c r="G10" s="665"/>
      <c r="H10" s="665"/>
      <c r="I10" s="164"/>
      <c r="J10" s="178"/>
      <c r="K10" s="178"/>
      <c r="L10" s="179">
        <f>K10-J10</f>
        <v>0</v>
      </c>
      <c r="M10" s="679"/>
      <c r="N10" s="679"/>
      <c r="O10" s="679"/>
      <c r="P10" s="679"/>
      <c r="Q10" s="679"/>
    </row>
    <row r="11" spans="1:17" ht="15.75" customHeight="1">
      <c r="A11" s="839"/>
      <c r="B11" s="156">
        <v>3</v>
      </c>
      <c r="C11" s="679"/>
      <c r="D11" s="665"/>
      <c r="E11" s="665"/>
      <c r="F11" s="679"/>
      <c r="G11" s="665"/>
      <c r="H11" s="665"/>
      <c r="I11" s="164"/>
      <c r="J11" s="178"/>
      <c r="K11" s="178"/>
      <c r="L11" s="179">
        <f>K11-J11</f>
        <v>0</v>
      </c>
      <c r="M11" s="679"/>
      <c r="N11" s="679"/>
      <c r="O11" s="679"/>
      <c r="P11" s="679"/>
      <c r="Q11" s="679"/>
    </row>
    <row r="12" spans="1:17" ht="15.75" customHeight="1">
      <c r="A12" s="839"/>
      <c r="B12" s="156">
        <v>4</v>
      </c>
      <c r="C12" s="679"/>
      <c r="D12" s="665"/>
      <c r="E12" s="665"/>
      <c r="F12" s="679"/>
      <c r="G12" s="665"/>
      <c r="H12" s="665"/>
      <c r="I12" s="164"/>
      <c r="J12" s="178"/>
      <c r="K12" s="178"/>
      <c r="L12" s="179">
        <f>K12-J12</f>
        <v>0</v>
      </c>
      <c r="M12" s="679"/>
      <c r="N12" s="679"/>
      <c r="O12" s="679"/>
      <c r="P12" s="679"/>
      <c r="Q12" s="679"/>
    </row>
    <row r="13" spans="1:17" ht="15.75" customHeight="1">
      <c r="A13" s="839"/>
      <c r="B13" s="156">
        <v>5</v>
      </c>
      <c r="C13" s="679"/>
      <c r="D13" s="665"/>
      <c r="E13" s="665"/>
      <c r="F13" s="679"/>
      <c r="G13" s="665"/>
      <c r="H13" s="665"/>
      <c r="I13" s="164"/>
      <c r="J13" s="178"/>
      <c r="K13" s="178"/>
      <c r="L13" s="179">
        <f>K13-J13</f>
        <v>0</v>
      </c>
      <c r="M13" s="679"/>
      <c r="N13" s="679"/>
      <c r="O13" s="679"/>
      <c r="P13" s="679"/>
      <c r="Q13" s="679"/>
    </row>
    <row r="14" spans="1:17" ht="15.75" customHeight="1">
      <c r="A14" s="837"/>
      <c r="B14" s="837"/>
      <c r="C14" s="837"/>
      <c r="D14" s="837"/>
      <c r="E14" s="837"/>
      <c r="F14" s="837"/>
      <c r="G14" s="837"/>
      <c r="H14" s="837"/>
      <c r="I14" s="837"/>
      <c r="J14" s="837"/>
      <c r="K14" s="837"/>
      <c r="L14" s="837"/>
      <c r="M14" s="837"/>
      <c r="N14" s="837"/>
      <c r="O14" s="838"/>
    </row>
    <row r="15" spans="1:17" s="154" customFormat="1" ht="15.75" customHeight="1">
      <c r="A15" s="163" t="s">
        <v>174</v>
      </c>
      <c r="B15" s="163" t="s">
        <v>18</v>
      </c>
      <c r="C15" s="832" t="s">
        <v>12</v>
      </c>
      <c r="D15" s="832"/>
      <c r="E15" s="832"/>
      <c r="F15" s="832" t="s">
        <v>53</v>
      </c>
      <c r="G15" s="832"/>
      <c r="H15" s="832"/>
      <c r="I15" s="163" t="s">
        <v>54</v>
      </c>
      <c r="J15" s="177" t="s">
        <v>19</v>
      </c>
      <c r="K15" s="163" t="s">
        <v>57</v>
      </c>
      <c r="L15" s="163" t="s">
        <v>2</v>
      </c>
      <c r="M15" s="832" t="s">
        <v>50</v>
      </c>
      <c r="N15" s="832"/>
      <c r="O15" s="832"/>
      <c r="P15" s="832"/>
      <c r="Q15" s="832"/>
    </row>
    <row r="16" spans="1:17" ht="15.75" customHeight="1">
      <c r="A16" s="832" t="s">
        <v>175</v>
      </c>
      <c r="B16" s="156">
        <v>1</v>
      </c>
      <c r="C16" s="679"/>
      <c r="D16" s="665"/>
      <c r="E16" s="665"/>
      <c r="F16" s="679"/>
      <c r="G16" s="665"/>
      <c r="H16" s="665"/>
      <c r="I16" s="164"/>
      <c r="J16" s="178"/>
      <c r="K16" s="178"/>
      <c r="L16" s="179">
        <f>K16-J16</f>
        <v>0</v>
      </c>
      <c r="M16" s="679"/>
      <c r="N16" s="679"/>
      <c r="O16" s="679"/>
      <c r="P16" s="679"/>
      <c r="Q16" s="679"/>
    </row>
    <row r="17" spans="1:17" ht="15.75" customHeight="1">
      <c r="A17" s="832"/>
      <c r="B17" s="156">
        <v>2</v>
      </c>
      <c r="C17" s="679"/>
      <c r="D17" s="665"/>
      <c r="E17" s="665"/>
      <c r="F17" s="679"/>
      <c r="G17" s="665"/>
      <c r="H17" s="665"/>
      <c r="I17" s="164"/>
      <c r="J17" s="178"/>
      <c r="K17" s="178"/>
      <c r="L17" s="179">
        <f>K17-J17</f>
        <v>0</v>
      </c>
      <c r="M17" s="679"/>
      <c r="N17" s="679"/>
      <c r="O17" s="679"/>
      <c r="P17" s="679"/>
      <c r="Q17" s="679"/>
    </row>
    <row r="18" spans="1:17" ht="15.75" customHeight="1">
      <c r="A18" s="832"/>
      <c r="B18" s="156">
        <v>3</v>
      </c>
      <c r="C18" s="679"/>
      <c r="D18" s="665"/>
      <c r="E18" s="665"/>
      <c r="F18" s="679"/>
      <c r="G18" s="665"/>
      <c r="H18" s="665"/>
      <c r="I18" s="164"/>
      <c r="J18" s="178"/>
      <c r="K18" s="178"/>
      <c r="L18" s="179">
        <f>K18-J18</f>
        <v>0</v>
      </c>
      <c r="M18" s="679"/>
      <c r="N18" s="679"/>
      <c r="O18" s="679"/>
      <c r="P18" s="679"/>
      <c r="Q18" s="679"/>
    </row>
    <row r="19" spans="1:17" ht="15.75" customHeight="1">
      <c r="A19" s="832"/>
      <c r="B19" s="156">
        <v>4</v>
      </c>
      <c r="C19" s="679"/>
      <c r="D19" s="665"/>
      <c r="E19" s="665"/>
      <c r="F19" s="679"/>
      <c r="G19" s="665"/>
      <c r="H19" s="665"/>
      <c r="I19" s="164"/>
      <c r="J19" s="178"/>
      <c r="K19" s="178"/>
      <c r="L19" s="179">
        <f>K19-J19</f>
        <v>0</v>
      </c>
      <c r="M19" s="679"/>
      <c r="N19" s="679"/>
      <c r="O19" s="679"/>
      <c r="P19" s="679"/>
      <c r="Q19" s="679"/>
    </row>
    <row r="20" spans="1:17" ht="15.75" customHeight="1">
      <c r="A20" s="832"/>
      <c r="B20" s="156">
        <v>5</v>
      </c>
      <c r="C20" s="679"/>
      <c r="D20" s="665"/>
      <c r="E20" s="665"/>
      <c r="F20" s="679"/>
      <c r="G20" s="665"/>
      <c r="H20" s="665"/>
      <c r="I20" s="164"/>
      <c r="J20" s="178"/>
      <c r="K20" s="178"/>
      <c r="L20" s="179">
        <f>K20-J20</f>
        <v>0</v>
      </c>
      <c r="M20" s="679"/>
      <c r="N20" s="679"/>
      <c r="O20" s="679"/>
      <c r="P20" s="679"/>
      <c r="Q20" s="679"/>
    </row>
  </sheetData>
  <mergeCells count="58">
    <mergeCell ref="M20:Q20"/>
    <mergeCell ref="C20:E20"/>
    <mergeCell ref="F20:H20"/>
    <mergeCell ref="C18:E18"/>
    <mergeCell ref="F18:H18"/>
    <mergeCell ref="C19:E19"/>
    <mergeCell ref="F19:H19"/>
    <mergeCell ref="M18:Q18"/>
    <mergeCell ref="M19:Q19"/>
    <mergeCell ref="A16:A20"/>
    <mergeCell ref="M13:Q13"/>
    <mergeCell ref="C16:E16"/>
    <mergeCell ref="F16:H16"/>
    <mergeCell ref="C17:E17"/>
    <mergeCell ref="F17:H17"/>
    <mergeCell ref="C15:E15"/>
    <mergeCell ref="F15:H15"/>
    <mergeCell ref="A14:O14"/>
    <mergeCell ref="A9:A13"/>
    <mergeCell ref="M10:Q10"/>
    <mergeCell ref="M11:Q11"/>
    <mergeCell ref="M12:Q12"/>
    <mergeCell ref="M16:Q16"/>
    <mergeCell ref="M17:Q17"/>
    <mergeCell ref="C10:E10"/>
    <mergeCell ref="C12:E12"/>
    <mergeCell ref="C13:E13"/>
    <mergeCell ref="F10:H10"/>
    <mergeCell ref="F11:H11"/>
    <mergeCell ref="F12:H12"/>
    <mergeCell ref="F13:H13"/>
    <mergeCell ref="A1:Q2"/>
    <mergeCell ref="J6:K6"/>
    <mergeCell ref="L6:M6"/>
    <mergeCell ref="N6:O6"/>
    <mergeCell ref="P6:Q6"/>
    <mergeCell ref="F5:G5"/>
    <mergeCell ref="H5:I5"/>
    <mergeCell ref="B6:C6"/>
    <mergeCell ref="D6:E6"/>
    <mergeCell ref="F6:G6"/>
    <mergeCell ref="H6:I6"/>
    <mergeCell ref="M15:Q15"/>
    <mergeCell ref="J5:K5"/>
    <mergeCell ref="L5:M5"/>
    <mergeCell ref="A3:Q4"/>
    <mergeCell ref="N5:O5"/>
    <mergeCell ref="P5:Q5"/>
    <mergeCell ref="A5:A6"/>
    <mergeCell ref="B5:C5"/>
    <mergeCell ref="D5:E5"/>
    <mergeCell ref="C8:E8"/>
    <mergeCell ref="F8:H8"/>
    <mergeCell ref="C9:E9"/>
    <mergeCell ref="F9:H9"/>
    <mergeCell ref="M8:Q8"/>
    <mergeCell ref="M9:Q9"/>
    <mergeCell ref="C11:E11"/>
  </mergeCells>
  <phoneticPr fontId="12" type="noConversion"/>
  <printOptions horizontalCentered="1" gridLines="1"/>
  <pageMargins left="0.39370078740157483" right="0.39370078740157483" top="0.39370078740157483" bottom="0.39370078740157483" header="0" footer="0"/>
  <pageSetup paperSize="9" fitToWidth="0" fitToHeight="0" pageOrder="overThenDown" orientation="landscape" cellComments="atEnd"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B2:AP272"/>
  <sheetViews>
    <sheetView zoomScale="55" zoomScaleNormal="55" workbookViewId="0">
      <pane xSplit="4" ySplit="1" topLeftCell="O2" activePane="bottomRight" state="frozen"/>
      <selection activeCell="M12" sqref="M12:Q12"/>
      <selection pane="topRight" activeCell="M12" sqref="M12:Q12"/>
      <selection pane="bottomLeft" activeCell="M12" sqref="M12:Q12"/>
      <selection pane="bottomRight" activeCell="B5" sqref="B5:AA24"/>
    </sheetView>
  </sheetViews>
  <sheetFormatPr defaultColWidth="8.85546875" defaultRowHeight="16.5"/>
  <cols>
    <col min="1" max="1" width="8.85546875" style="344"/>
    <col min="2" max="2" width="12.42578125" style="344" customWidth="1"/>
    <col min="3" max="3" width="8.85546875" style="344"/>
    <col min="4" max="4" width="11.5703125" style="344" customWidth="1"/>
    <col min="5" max="5" width="39.28515625" style="344" bestFit="1" customWidth="1"/>
    <col min="6" max="21" width="15.7109375" style="344" customWidth="1"/>
    <col min="22" max="22" width="12.42578125" style="344" bestFit="1" customWidth="1"/>
    <col min="23" max="23" width="25.28515625" style="344" bestFit="1" customWidth="1"/>
    <col min="24" max="24" width="88.28515625" style="344" customWidth="1"/>
    <col min="25" max="25" width="117.7109375" style="344" bestFit="1" customWidth="1"/>
    <col min="26" max="26" width="7.42578125" style="344" bestFit="1" customWidth="1"/>
    <col min="27" max="27" width="69.5703125" style="344" bestFit="1" customWidth="1"/>
    <col min="28" max="28" width="11.42578125" style="344" bestFit="1" customWidth="1"/>
    <col min="29" max="29" width="21.5703125" style="344" customWidth="1"/>
    <col min="30" max="30" width="19.42578125" style="344" bestFit="1" customWidth="1"/>
    <col min="31" max="36" width="14.42578125" style="344" customWidth="1"/>
    <col min="37" max="40" width="8.85546875" style="344"/>
    <col min="41" max="41" width="20.85546875" style="344" bestFit="1" customWidth="1"/>
    <col min="42" max="42" width="8.7109375" style="344" customWidth="1"/>
    <col min="43" max="16384" width="8.85546875" style="344"/>
  </cols>
  <sheetData>
    <row r="2" spans="2:42" ht="41.1" customHeight="1">
      <c r="B2" s="842" t="s">
        <v>698</v>
      </c>
      <c r="C2" s="843"/>
      <c r="D2" s="843"/>
      <c r="E2" s="843"/>
      <c r="F2" s="843"/>
      <c r="G2" s="843"/>
      <c r="H2" s="843"/>
      <c r="I2" s="843"/>
      <c r="J2" s="843"/>
      <c r="K2" s="843"/>
      <c r="L2" s="843"/>
      <c r="M2" s="843"/>
      <c r="N2" s="843"/>
      <c r="O2" s="843"/>
      <c r="P2" s="843"/>
      <c r="Q2" s="843"/>
      <c r="R2" s="843"/>
      <c r="S2" s="843"/>
      <c r="T2" s="843"/>
      <c r="U2" s="843"/>
      <c r="V2" s="843"/>
      <c r="W2" s="843"/>
      <c r="X2" s="843"/>
      <c r="Y2" s="843"/>
      <c r="Z2" s="843"/>
      <c r="AA2" s="843"/>
      <c r="AC2" s="345"/>
      <c r="AD2" s="345"/>
    </row>
    <row r="3" spans="2:42" ht="17.100000000000001" customHeight="1">
      <c r="B3" s="844" t="s">
        <v>699</v>
      </c>
      <c r="C3" s="845"/>
      <c r="D3" s="848" t="s">
        <v>700</v>
      </c>
      <c r="E3" s="849" t="s">
        <v>701</v>
      </c>
      <c r="F3" s="872" t="s">
        <v>702</v>
      </c>
      <c r="G3" s="867" t="s">
        <v>703</v>
      </c>
      <c r="H3" s="873" t="s">
        <v>704</v>
      </c>
      <c r="I3" s="840" t="s">
        <v>705</v>
      </c>
      <c r="J3" s="841"/>
      <c r="K3" s="840" t="s">
        <v>706</v>
      </c>
      <c r="L3" s="841"/>
      <c r="M3" s="840" t="s">
        <v>707</v>
      </c>
      <c r="N3" s="841"/>
      <c r="O3" s="840" t="s">
        <v>708</v>
      </c>
      <c r="P3" s="841"/>
      <c r="Q3" s="840" t="s">
        <v>709</v>
      </c>
      <c r="R3" s="841"/>
      <c r="S3" s="869" t="s">
        <v>710</v>
      </c>
      <c r="T3" s="870"/>
      <c r="U3" s="871"/>
      <c r="V3" s="865" t="s">
        <v>166</v>
      </c>
      <c r="W3" s="865" t="s">
        <v>711</v>
      </c>
      <c r="X3" s="865" t="s">
        <v>712</v>
      </c>
      <c r="Y3" s="865" t="s">
        <v>713</v>
      </c>
      <c r="Z3" s="865" t="s">
        <v>714</v>
      </c>
      <c r="AA3" s="867" t="s">
        <v>167</v>
      </c>
      <c r="AC3" s="850" t="s">
        <v>715</v>
      </c>
      <c r="AD3" s="851"/>
      <c r="AE3" s="851"/>
      <c r="AF3" s="851"/>
      <c r="AG3" s="851"/>
      <c r="AH3" s="851"/>
      <c r="AI3" s="851"/>
      <c r="AJ3" s="852"/>
    </row>
    <row r="4" spans="2:42">
      <c r="B4" s="846"/>
      <c r="C4" s="847"/>
      <c r="D4" s="848"/>
      <c r="E4" s="848"/>
      <c r="F4" s="872"/>
      <c r="G4" s="868"/>
      <c r="H4" s="868"/>
      <c r="I4" s="455" t="s">
        <v>716</v>
      </c>
      <c r="J4" s="456" t="s">
        <v>687</v>
      </c>
      <c r="K4" s="455" t="s">
        <v>716</v>
      </c>
      <c r="L4" s="456" t="s">
        <v>687</v>
      </c>
      <c r="M4" s="455" t="s">
        <v>716</v>
      </c>
      <c r="N4" s="456" t="s">
        <v>687</v>
      </c>
      <c r="O4" s="455" t="s">
        <v>716</v>
      </c>
      <c r="P4" s="456" t="s">
        <v>687</v>
      </c>
      <c r="Q4" s="455" t="s">
        <v>716</v>
      </c>
      <c r="R4" s="456" t="s">
        <v>687</v>
      </c>
      <c r="S4" s="455" t="s">
        <v>716</v>
      </c>
      <c r="T4" s="456" t="s">
        <v>687</v>
      </c>
      <c r="U4" s="456" t="s">
        <v>688</v>
      </c>
      <c r="V4" s="866"/>
      <c r="W4" s="866"/>
      <c r="X4" s="866"/>
      <c r="Y4" s="866"/>
      <c r="Z4" s="866"/>
      <c r="AA4" s="868"/>
      <c r="AC4" s="853"/>
      <c r="AD4" s="854"/>
      <c r="AE4" s="854"/>
      <c r="AF4" s="854"/>
      <c r="AG4" s="854"/>
      <c r="AH4" s="854"/>
      <c r="AI4" s="854"/>
      <c r="AJ4" s="855"/>
    </row>
    <row r="5" spans="2:42" s="433" customFormat="1" ht="27" customHeight="1">
      <c r="B5" s="859" t="s">
        <v>717</v>
      </c>
      <c r="C5" s="860"/>
      <c r="D5" s="346">
        <v>1</v>
      </c>
      <c r="E5" s="457" t="s">
        <v>646</v>
      </c>
      <c r="F5" s="458">
        <v>1112.396</v>
      </c>
      <c r="G5" s="347">
        <v>114.68</v>
      </c>
      <c r="H5" s="459">
        <v>3564.86</v>
      </c>
      <c r="I5" s="460">
        <v>3573.9514036075489</v>
      </c>
      <c r="J5" s="461">
        <v>1.0025490305327138</v>
      </c>
      <c r="K5" s="460">
        <v>3582.5</v>
      </c>
      <c r="L5" s="461">
        <v>1.0049483009150428</v>
      </c>
      <c r="M5" s="460">
        <v>0</v>
      </c>
      <c r="N5" s="461">
        <v>0</v>
      </c>
      <c r="O5" s="462">
        <v>3582.5</v>
      </c>
      <c r="P5" s="461">
        <v>1.0049483009150428</v>
      </c>
      <c r="Q5" s="459">
        <v>9.6999999999999993</v>
      </c>
      <c r="R5" s="461">
        <v>2.7210044714238426E-3</v>
      </c>
      <c r="S5" s="462">
        <v>17.639999999999986</v>
      </c>
      <c r="T5" s="461">
        <v>4.9483009150429426E-3</v>
      </c>
      <c r="U5" s="463">
        <v>2022.9551999999983</v>
      </c>
      <c r="V5" s="348" t="s">
        <v>326</v>
      </c>
      <c r="W5" s="348" t="s">
        <v>508</v>
      </c>
      <c r="X5" s="348" t="s">
        <v>596</v>
      </c>
      <c r="Y5" s="348" t="s">
        <v>538</v>
      </c>
      <c r="Z5" s="348">
        <v>1</v>
      </c>
      <c r="AA5" s="464" t="s">
        <v>645</v>
      </c>
      <c r="AC5" s="856"/>
      <c r="AD5" s="857"/>
      <c r="AE5" s="857"/>
      <c r="AF5" s="857"/>
      <c r="AG5" s="857"/>
      <c r="AH5" s="857"/>
      <c r="AI5" s="857"/>
      <c r="AJ5" s="858"/>
    </row>
    <row r="6" spans="2:42" s="433" customFormat="1" ht="27" customHeight="1">
      <c r="B6" s="861"/>
      <c r="C6" s="862"/>
      <c r="D6" s="346">
        <v>2</v>
      </c>
      <c r="E6" s="457" t="s">
        <v>540</v>
      </c>
      <c r="F6" s="458">
        <v>1089.4660000000001</v>
      </c>
      <c r="G6" s="347">
        <v>111.17</v>
      </c>
      <c r="H6" s="459">
        <v>2078.335</v>
      </c>
      <c r="I6" s="460">
        <v>2085.6856439526809</v>
      </c>
      <c r="J6" s="461">
        <v>1.0034125999136858</v>
      </c>
      <c r="K6" s="460">
        <v>2095.2000000000003</v>
      </c>
      <c r="L6" s="461">
        <v>1.0081146687131768</v>
      </c>
      <c r="M6" s="460">
        <v>0</v>
      </c>
      <c r="N6" s="461">
        <v>0</v>
      </c>
      <c r="O6" s="462">
        <v>2095.2000000000003</v>
      </c>
      <c r="P6" s="461">
        <v>1.0081146687131768</v>
      </c>
      <c r="Q6" s="459">
        <v>9.7999999999999989</v>
      </c>
      <c r="R6" s="461">
        <v>4.7153129788989742E-3</v>
      </c>
      <c r="S6" s="462">
        <v>16.865000000000094</v>
      </c>
      <c r="T6" s="461">
        <v>8.1146687131766985E-3</v>
      </c>
      <c r="U6" s="463">
        <v>1874.8820500000106</v>
      </c>
      <c r="V6" s="348" t="s">
        <v>326</v>
      </c>
      <c r="W6" s="348" t="s">
        <v>508</v>
      </c>
      <c r="X6" s="348" t="s">
        <v>597</v>
      </c>
      <c r="Y6" s="348" t="s">
        <v>541</v>
      </c>
      <c r="Z6" s="348">
        <v>1</v>
      </c>
      <c r="AA6" s="464" t="s">
        <v>334</v>
      </c>
      <c r="AC6" s="223" t="s">
        <v>718</v>
      </c>
      <c r="AD6" s="223" t="s">
        <v>689</v>
      </c>
      <c r="AE6" s="434" t="s">
        <v>690</v>
      </c>
      <c r="AF6" s="434" t="s">
        <v>372</v>
      </c>
      <c r="AG6" s="434" t="s">
        <v>508</v>
      </c>
      <c r="AH6" s="434" t="s">
        <v>194</v>
      </c>
      <c r="AI6" s="434" t="s">
        <v>195</v>
      </c>
      <c r="AJ6" s="434" t="s">
        <v>523</v>
      </c>
      <c r="AO6" s="465"/>
      <c r="AP6" s="465"/>
    </row>
    <row r="7" spans="2:42" s="433" customFormat="1" ht="27" customHeight="1">
      <c r="B7" s="861"/>
      <c r="C7" s="862"/>
      <c r="D7" s="346">
        <v>3</v>
      </c>
      <c r="E7" s="457" t="s">
        <v>661</v>
      </c>
      <c r="F7" s="458">
        <v>1059.9189999999999</v>
      </c>
      <c r="G7" s="347">
        <v>109.27</v>
      </c>
      <c r="H7" s="459">
        <v>1139.3720000000001</v>
      </c>
      <c r="I7" s="460">
        <v>1145.3977967920039</v>
      </c>
      <c r="J7" s="461">
        <v>1.0054109879842161</v>
      </c>
      <c r="K7" s="460">
        <v>1154.9000000000001</v>
      </c>
      <c r="L7" s="461">
        <v>1.0136285602946185</v>
      </c>
      <c r="M7" s="460">
        <v>0</v>
      </c>
      <c r="N7" s="461">
        <v>0</v>
      </c>
      <c r="O7" s="462">
        <v>1154.9000000000001</v>
      </c>
      <c r="P7" s="461">
        <v>1.0136285602946185</v>
      </c>
      <c r="Q7" s="459">
        <v>9.6999999999999993</v>
      </c>
      <c r="R7" s="461">
        <v>8.5134618017644794E-3</v>
      </c>
      <c r="S7" s="462">
        <v>15.527999999999992</v>
      </c>
      <c r="T7" s="461">
        <v>1.362856029461843E-2</v>
      </c>
      <c r="U7" s="463">
        <v>1696.744559999999</v>
      </c>
      <c r="V7" s="348" t="s">
        <v>326</v>
      </c>
      <c r="W7" s="348" t="s">
        <v>508</v>
      </c>
      <c r="X7" s="348" t="s">
        <v>637</v>
      </c>
      <c r="Y7" s="348" t="s">
        <v>638</v>
      </c>
      <c r="Z7" s="348">
        <v>1</v>
      </c>
      <c r="AA7" s="464" t="s">
        <v>656</v>
      </c>
      <c r="AC7" s="466">
        <f>SUM(Z5:Z24)</f>
        <v>20</v>
      </c>
      <c r="AD7" s="349">
        <f>SUMIF($W$5:$W$24,TRIM(AD6),$Z$5:$Z$24)</f>
        <v>0</v>
      </c>
      <c r="AE7" s="349">
        <f>SUMIF($W$5:$W$24,TRIM(AE6),$Z$5:$Z$24)</f>
        <v>1</v>
      </c>
      <c r="AF7" s="349">
        <f>SUMIF($W$5:$W$24,TRIM(AF6),$Z$5:$Z$24)</f>
        <v>3</v>
      </c>
      <c r="AG7" s="349">
        <f>SUMIF($W$5:$W$24,TRIM(AG6),$Z$5:$Z$24)</f>
        <v>7</v>
      </c>
      <c r="AH7" s="349">
        <f t="shared" ref="AH7:AI7" si="0">SUMIF($W$5:$W$24,TRIM(AH6),$Z$5:$Z$24)</f>
        <v>6</v>
      </c>
      <c r="AI7" s="349">
        <f t="shared" si="0"/>
        <v>2</v>
      </c>
      <c r="AJ7" s="349">
        <f>SUMIF($W$5:$W$24,TRIM(AJ6),$Z$5:$Z$24)</f>
        <v>1</v>
      </c>
      <c r="AO7" s="467"/>
      <c r="AP7" s="209"/>
    </row>
    <row r="8" spans="2:42" s="433" customFormat="1" ht="27" customHeight="1">
      <c r="B8" s="861"/>
      <c r="C8" s="862"/>
      <c r="D8" s="346">
        <v>4</v>
      </c>
      <c r="E8" s="457" t="s">
        <v>668</v>
      </c>
      <c r="F8" s="458">
        <v>1040.75</v>
      </c>
      <c r="G8" s="347">
        <v>416.3</v>
      </c>
      <c r="H8" s="459">
        <v>391.49600000000004</v>
      </c>
      <c r="I8" s="460">
        <v>393.70728759849703</v>
      </c>
      <c r="J8" s="461">
        <v>1.0056926842800176</v>
      </c>
      <c r="K8" s="460">
        <v>394.8</v>
      </c>
      <c r="L8" s="461">
        <v>1.0084394221141466</v>
      </c>
      <c r="M8" s="460">
        <v>1.5</v>
      </c>
      <c r="N8" s="461">
        <v>3.8314567709504051E-3</v>
      </c>
      <c r="O8" s="462">
        <v>396.3</v>
      </c>
      <c r="P8" s="461">
        <v>1.0122708788850971</v>
      </c>
      <c r="Q8" s="459">
        <v>2.5</v>
      </c>
      <c r="R8" s="461">
        <v>6.3857612849173417E-3</v>
      </c>
      <c r="S8" s="462">
        <v>4.8039999999999949</v>
      </c>
      <c r="T8" s="461">
        <v>1.2270878885097151E-2</v>
      </c>
      <c r="U8" s="463">
        <v>1999.9051999999979</v>
      </c>
      <c r="V8" s="348" t="s">
        <v>326</v>
      </c>
      <c r="W8" s="348" t="s">
        <v>508</v>
      </c>
      <c r="X8" s="348" t="s">
        <v>674</v>
      </c>
      <c r="Y8" s="348" t="s">
        <v>675</v>
      </c>
      <c r="Z8" s="348">
        <v>1</v>
      </c>
      <c r="AA8" s="464" t="s">
        <v>667</v>
      </c>
      <c r="AC8" s="468" t="s">
        <v>11</v>
      </c>
      <c r="AD8" s="469">
        <f>SUMIF($W5:$W$24,TRIM(AD6),$F$5:$F$24)</f>
        <v>0</v>
      </c>
      <c r="AE8" s="469">
        <f>SUMIF($W5:$W$24,TRIM(AE6),$F$5:$F$24)</f>
        <v>876.3</v>
      </c>
      <c r="AF8" s="469">
        <f>SUMIF($W5:$W$24,TRIM(AF6),$F$5:$F$24)</f>
        <v>2668.5360000000001</v>
      </c>
      <c r="AG8" s="469">
        <f>SUMIF($W5:$W$24,TRIM(AG6),$F$5:$F$24)</f>
        <v>6929.8339999999998</v>
      </c>
      <c r="AH8" s="469">
        <f>SUMIF($W5:$W$24,TRIM(AH6),$F$5:$F$24)</f>
        <v>5508.6030000000001</v>
      </c>
      <c r="AI8" s="469">
        <f>SUMIF($W5:$W$24,TRIM(AI6),$F$5:$F$24)</f>
        <v>1860.6879999999996</v>
      </c>
      <c r="AJ8" s="469">
        <f>SUMIF($W5:$W$24,TRIM(AJ6),$F$5:$F$24)</f>
        <v>844.02600000000007</v>
      </c>
      <c r="AO8" s="209"/>
      <c r="AP8" s="209"/>
    </row>
    <row r="9" spans="2:42" s="433" customFormat="1" ht="27" customHeight="1">
      <c r="B9" s="861"/>
      <c r="C9" s="862"/>
      <c r="D9" s="346">
        <v>5</v>
      </c>
      <c r="E9" s="457" t="s">
        <v>655</v>
      </c>
      <c r="F9" s="458">
        <v>1007.5310000000001</v>
      </c>
      <c r="G9" s="347">
        <v>325.01</v>
      </c>
      <c r="H9" s="459">
        <v>425</v>
      </c>
      <c r="I9" s="460">
        <v>427.0183330469788</v>
      </c>
      <c r="J9" s="461">
        <v>1.0048273917001089</v>
      </c>
      <c r="K9" s="460">
        <v>430.29999999999995</v>
      </c>
      <c r="L9" s="461">
        <v>1.012470588235294</v>
      </c>
      <c r="M9" s="460">
        <v>0</v>
      </c>
      <c r="N9" s="461">
        <v>0</v>
      </c>
      <c r="O9" s="462">
        <v>430.29999999999995</v>
      </c>
      <c r="P9" s="461">
        <v>1.012470588235294</v>
      </c>
      <c r="Q9" s="459">
        <v>3.0999999999999996</v>
      </c>
      <c r="R9" s="461">
        <v>7.2941176470588225E-3</v>
      </c>
      <c r="S9" s="462">
        <v>5.2999999999999829</v>
      </c>
      <c r="T9" s="461">
        <v>1.2470588235294077E-2</v>
      </c>
      <c r="U9" s="463">
        <v>1722.5529999999944</v>
      </c>
      <c r="V9" s="348" t="s">
        <v>328</v>
      </c>
      <c r="W9" s="348" t="s">
        <v>194</v>
      </c>
      <c r="X9" s="348" t="s">
        <v>626</v>
      </c>
      <c r="Y9" s="348" t="s">
        <v>539</v>
      </c>
      <c r="Z9" s="348">
        <v>1</v>
      </c>
      <c r="AA9" s="464" t="s">
        <v>654</v>
      </c>
      <c r="AC9" s="346" t="s">
        <v>691</v>
      </c>
      <c r="AD9" s="470">
        <f t="shared" ref="AD9:AJ9" si="1">AD7/$AC7</f>
        <v>0</v>
      </c>
      <c r="AE9" s="470">
        <f t="shared" si="1"/>
        <v>0.05</v>
      </c>
      <c r="AF9" s="470">
        <f t="shared" si="1"/>
        <v>0.15</v>
      </c>
      <c r="AG9" s="470">
        <f t="shared" si="1"/>
        <v>0.35</v>
      </c>
      <c r="AH9" s="470">
        <f t="shared" si="1"/>
        <v>0.3</v>
      </c>
      <c r="AI9" s="470">
        <f t="shared" si="1"/>
        <v>0.1</v>
      </c>
      <c r="AJ9" s="470">
        <f t="shared" si="1"/>
        <v>0.05</v>
      </c>
      <c r="AO9" s="209"/>
      <c r="AP9" s="209"/>
    </row>
    <row r="10" spans="2:42" s="433" customFormat="1" ht="27" customHeight="1">
      <c r="B10" s="861"/>
      <c r="C10" s="862"/>
      <c r="D10" s="346">
        <v>6</v>
      </c>
      <c r="E10" s="457" t="s">
        <v>625</v>
      </c>
      <c r="F10" s="458">
        <v>939.33000000000015</v>
      </c>
      <c r="G10" s="347">
        <v>447.3</v>
      </c>
      <c r="H10" s="459">
        <v>845.36000000000013</v>
      </c>
      <c r="I10" s="460">
        <v>848.00108407888729</v>
      </c>
      <c r="J10" s="461">
        <v>1.0031275785635945</v>
      </c>
      <c r="K10" s="460">
        <v>848.4</v>
      </c>
      <c r="L10" s="461">
        <v>1.0035961010693668</v>
      </c>
      <c r="M10" s="460">
        <v>2</v>
      </c>
      <c r="N10" s="461">
        <v>2.3658559666887478E-3</v>
      </c>
      <c r="O10" s="462">
        <v>850.4</v>
      </c>
      <c r="P10" s="461">
        <v>1.0059619570360554</v>
      </c>
      <c r="Q10" s="459">
        <v>2.1</v>
      </c>
      <c r="R10" s="461">
        <v>2.4841487650231853E-3</v>
      </c>
      <c r="S10" s="462">
        <v>5.039999999999992</v>
      </c>
      <c r="T10" s="461">
        <v>5.9619570360556345E-3</v>
      </c>
      <c r="U10" s="463">
        <v>2254.3919999999962</v>
      </c>
      <c r="V10" s="348" t="s">
        <v>328</v>
      </c>
      <c r="W10" s="348" t="s">
        <v>194</v>
      </c>
      <c r="X10" s="348" t="s">
        <v>626</v>
      </c>
      <c r="Y10" s="348" t="s">
        <v>539</v>
      </c>
      <c r="Z10" s="348">
        <v>1</v>
      </c>
      <c r="AA10" s="464" t="s">
        <v>624</v>
      </c>
      <c r="AO10" s="209"/>
      <c r="AP10" s="209"/>
    </row>
    <row r="11" spans="2:42" s="433" customFormat="1" ht="27" customHeight="1">
      <c r="B11" s="861"/>
      <c r="C11" s="862"/>
      <c r="D11" s="346">
        <v>7</v>
      </c>
      <c r="E11" s="457" t="s">
        <v>682</v>
      </c>
      <c r="F11" s="458">
        <v>934.24799999999982</v>
      </c>
      <c r="G11" s="347">
        <v>444.88</v>
      </c>
      <c r="H11" s="459">
        <v>112.84199999999998</v>
      </c>
      <c r="I11" s="460">
        <v>113.98548650633032</v>
      </c>
      <c r="J11" s="461">
        <v>1.0100268347861625</v>
      </c>
      <c r="K11" s="460">
        <v>116.00000000000001</v>
      </c>
      <c r="L11" s="461">
        <v>1.0279860335690614</v>
      </c>
      <c r="M11" s="460">
        <v>0</v>
      </c>
      <c r="N11" s="461">
        <v>0</v>
      </c>
      <c r="O11" s="462">
        <v>116.00000000000001</v>
      </c>
      <c r="P11" s="461">
        <v>1.0279860335690614</v>
      </c>
      <c r="Q11" s="459">
        <v>2.1</v>
      </c>
      <c r="R11" s="461">
        <v>1.8610091987026112E-2</v>
      </c>
      <c r="S11" s="462">
        <v>3.158000000000003</v>
      </c>
      <c r="T11" s="461">
        <v>2.7986033569061194E-2</v>
      </c>
      <c r="U11" s="463">
        <v>1404.9310400000013</v>
      </c>
      <c r="V11" s="348" t="s">
        <v>328</v>
      </c>
      <c r="W11" s="348" t="s">
        <v>195</v>
      </c>
      <c r="X11" s="348" t="s">
        <v>627</v>
      </c>
      <c r="Y11" s="348" t="s">
        <v>539</v>
      </c>
      <c r="Z11" s="348">
        <v>1</v>
      </c>
      <c r="AA11" s="464" t="s">
        <v>582</v>
      </c>
      <c r="AO11" s="209"/>
      <c r="AP11" s="209"/>
    </row>
    <row r="12" spans="2:42" s="433" customFormat="1" ht="27" customHeight="1">
      <c r="B12" s="861"/>
      <c r="C12" s="862"/>
      <c r="D12" s="346">
        <v>8</v>
      </c>
      <c r="E12" s="457" t="s">
        <v>665</v>
      </c>
      <c r="F12" s="458">
        <v>930.73500000000013</v>
      </c>
      <c r="G12" s="347">
        <v>238.65</v>
      </c>
      <c r="H12" s="459">
        <v>102</v>
      </c>
      <c r="I12" s="460">
        <v>103.85581312268673</v>
      </c>
      <c r="J12" s="461">
        <v>1.0182162819763054</v>
      </c>
      <c r="K12" s="460">
        <v>107.8</v>
      </c>
      <c r="L12" s="461">
        <v>1.0568627450980392</v>
      </c>
      <c r="M12" s="460">
        <v>0</v>
      </c>
      <c r="N12" s="461">
        <v>0</v>
      </c>
      <c r="O12" s="462">
        <v>107.8</v>
      </c>
      <c r="P12" s="461">
        <v>1.0568627450980392</v>
      </c>
      <c r="Q12" s="459">
        <v>3.9000000000000004</v>
      </c>
      <c r="R12" s="461">
        <v>3.8235294117647062E-2</v>
      </c>
      <c r="S12" s="462">
        <v>5.8000000000000043</v>
      </c>
      <c r="T12" s="461">
        <v>5.6862745098039257E-2</v>
      </c>
      <c r="U12" s="463">
        <v>1384.1700000000012</v>
      </c>
      <c r="V12" s="348" t="s">
        <v>332</v>
      </c>
      <c r="W12" s="348" t="s">
        <v>372</v>
      </c>
      <c r="X12" s="348" t="s">
        <v>692</v>
      </c>
      <c r="Y12" s="348" t="s">
        <v>693</v>
      </c>
      <c r="Z12" s="348">
        <v>1</v>
      </c>
      <c r="AA12" s="464" t="s">
        <v>654</v>
      </c>
      <c r="AO12" s="209"/>
      <c r="AP12" s="209"/>
    </row>
    <row r="13" spans="2:42" s="433" customFormat="1" ht="27" customHeight="1">
      <c r="B13" s="861"/>
      <c r="C13" s="862"/>
      <c r="D13" s="346">
        <v>9</v>
      </c>
      <c r="E13" s="457" t="s">
        <v>336</v>
      </c>
      <c r="F13" s="458">
        <v>926.43999999999994</v>
      </c>
      <c r="G13" s="347">
        <v>487.6</v>
      </c>
      <c r="H13" s="459">
        <v>236.39800000000002</v>
      </c>
      <c r="I13" s="460">
        <v>238.54958891189747</v>
      </c>
      <c r="J13" s="461">
        <v>1.0090726487770747</v>
      </c>
      <c r="K13" s="460">
        <v>240.39999999999998</v>
      </c>
      <c r="L13" s="461">
        <v>1.0169290772341557</v>
      </c>
      <c r="M13" s="460">
        <v>0</v>
      </c>
      <c r="N13" s="461">
        <v>0</v>
      </c>
      <c r="O13" s="462">
        <v>240.39999999999998</v>
      </c>
      <c r="P13" s="461">
        <v>1.0169290772341557</v>
      </c>
      <c r="Q13" s="459">
        <v>1.9</v>
      </c>
      <c r="R13" s="461">
        <v>8.0372930397042269E-3</v>
      </c>
      <c r="S13" s="462">
        <v>4.0019999999999989</v>
      </c>
      <c r="T13" s="461">
        <v>1.6929077234155952E-2</v>
      </c>
      <c r="U13" s="463">
        <v>1951.3751999999997</v>
      </c>
      <c r="V13" s="348" t="s">
        <v>328</v>
      </c>
      <c r="W13" s="348" t="s">
        <v>195</v>
      </c>
      <c r="X13" s="348" t="s">
        <v>627</v>
      </c>
      <c r="Y13" s="348" t="s">
        <v>539</v>
      </c>
      <c r="Z13" s="348">
        <v>1</v>
      </c>
      <c r="AA13" s="464" t="s">
        <v>583</v>
      </c>
      <c r="AO13" s="209"/>
      <c r="AP13" s="209"/>
    </row>
    <row r="14" spans="2:42" s="433" customFormat="1" ht="27" customHeight="1">
      <c r="B14" s="861"/>
      <c r="C14" s="862"/>
      <c r="D14" s="346">
        <v>10</v>
      </c>
      <c r="E14" s="457" t="s">
        <v>658</v>
      </c>
      <c r="F14" s="458">
        <v>917.79600000000005</v>
      </c>
      <c r="G14" s="347">
        <v>278.12</v>
      </c>
      <c r="H14" s="459">
        <v>236.84399999999999</v>
      </c>
      <c r="I14" s="460">
        <v>238.70104926289847</v>
      </c>
      <c r="J14" s="461">
        <v>1.0076652205763295</v>
      </c>
      <c r="K14" s="460">
        <v>241.8</v>
      </c>
      <c r="L14" s="461">
        <v>1.020925165932006</v>
      </c>
      <c r="M14" s="460">
        <v>0</v>
      </c>
      <c r="N14" s="461">
        <v>0</v>
      </c>
      <c r="O14" s="462">
        <v>241.8</v>
      </c>
      <c r="P14" s="461">
        <v>1.020925165932006</v>
      </c>
      <c r="Q14" s="459">
        <v>3.3</v>
      </c>
      <c r="R14" s="461">
        <v>1.3933221867558392E-2</v>
      </c>
      <c r="S14" s="462">
        <v>4.9560000000000031</v>
      </c>
      <c r="T14" s="461">
        <v>2.0925165932005892E-2</v>
      </c>
      <c r="U14" s="463">
        <v>1378.362720000001</v>
      </c>
      <c r="V14" s="348" t="s">
        <v>328</v>
      </c>
      <c r="W14" s="348" t="s">
        <v>194</v>
      </c>
      <c r="X14" s="348" t="s">
        <v>626</v>
      </c>
      <c r="Y14" s="348" t="s">
        <v>539</v>
      </c>
      <c r="Z14" s="348">
        <v>1</v>
      </c>
      <c r="AA14" s="464" t="s">
        <v>530</v>
      </c>
    </row>
    <row r="15" spans="2:42" s="433" customFormat="1" ht="27" customHeight="1">
      <c r="B15" s="861"/>
      <c r="C15" s="862"/>
      <c r="D15" s="346">
        <v>11</v>
      </c>
      <c r="E15" s="457" t="s">
        <v>649</v>
      </c>
      <c r="F15" s="458">
        <v>905.10800000000017</v>
      </c>
      <c r="G15" s="347">
        <v>127.48</v>
      </c>
      <c r="H15" s="459">
        <v>1199.5340000000001</v>
      </c>
      <c r="I15" s="460">
        <v>1203.4400229053554</v>
      </c>
      <c r="J15" s="461">
        <v>1.0032978909681955</v>
      </c>
      <c r="K15" s="460">
        <v>1210.8</v>
      </c>
      <c r="L15" s="461">
        <v>1.0093919805524478</v>
      </c>
      <c r="M15" s="460">
        <v>0</v>
      </c>
      <c r="N15" s="461">
        <v>0</v>
      </c>
      <c r="O15" s="462">
        <v>1210.8</v>
      </c>
      <c r="P15" s="461">
        <v>1.0093919805524478</v>
      </c>
      <c r="Q15" s="459">
        <v>7.1</v>
      </c>
      <c r="R15" s="461">
        <v>5.918965198151948E-3</v>
      </c>
      <c r="S15" s="462">
        <v>11.26600000000002</v>
      </c>
      <c r="T15" s="461">
        <v>9.391980552447882E-3</v>
      </c>
      <c r="U15" s="463">
        <v>1436.1896800000025</v>
      </c>
      <c r="V15" s="348" t="s">
        <v>326</v>
      </c>
      <c r="W15" s="348" t="s">
        <v>508</v>
      </c>
      <c r="X15" s="348" t="s">
        <v>596</v>
      </c>
      <c r="Y15" s="348" t="s">
        <v>538</v>
      </c>
      <c r="Z15" s="348">
        <v>1</v>
      </c>
      <c r="AA15" s="464" t="s">
        <v>331</v>
      </c>
      <c r="AE15" s="350"/>
    </row>
    <row r="16" spans="2:42" s="433" customFormat="1" ht="27" customHeight="1">
      <c r="B16" s="861"/>
      <c r="C16" s="862"/>
      <c r="D16" s="346">
        <v>12</v>
      </c>
      <c r="E16" s="457" t="s">
        <v>535</v>
      </c>
      <c r="F16" s="458">
        <v>903.47400000000005</v>
      </c>
      <c r="G16" s="347">
        <v>136.88999999999999</v>
      </c>
      <c r="H16" s="459">
        <v>2286.6400000000003</v>
      </c>
      <c r="I16" s="460">
        <v>2290.9756107666071</v>
      </c>
      <c r="J16" s="461">
        <v>1.0018786482627358</v>
      </c>
      <c r="K16" s="460">
        <v>2297.1999999999998</v>
      </c>
      <c r="L16" s="461">
        <v>1.0046181296574885</v>
      </c>
      <c r="M16" s="460">
        <v>0</v>
      </c>
      <c r="N16" s="461">
        <v>0</v>
      </c>
      <c r="O16" s="462">
        <v>2297.1999999999998</v>
      </c>
      <c r="P16" s="461">
        <v>1.0046181296574885</v>
      </c>
      <c r="Q16" s="459">
        <v>6.6000000000000005</v>
      </c>
      <c r="R16" s="461">
        <v>2.8863310359304481E-3</v>
      </c>
      <c r="S16" s="462">
        <v>10.560000000000059</v>
      </c>
      <c r="T16" s="461">
        <v>4.6181296574887426E-3</v>
      </c>
      <c r="U16" s="463">
        <v>1445.5584000000081</v>
      </c>
      <c r="V16" s="348" t="s">
        <v>328</v>
      </c>
      <c r="W16" s="348" t="s">
        <v>194</v>
      </c>
      <c r="X16" s="348" t="s">
        <v>621</v>
      </c>
      <c r="Y16" s="348" t="s">
        <v>622</v>
      </c>
      <c r="Z16" s="348">
        <v>1</v>
      </c>
      <c r="AA16" s="464" t="s">
        <v>334</v>
      </c>
    </row>
    <row r="17" spans="2:27" s="433" customFormat="1" ht="27" customHeight="1">
      <c r="B17" s="861"/>
      <c r="C17" s="862"/>
      <c r="D17" s="346">
        <v>13</v>
      </c>
      <c r="E17" s="457" t="s">
        <v>629</v>
      </c>
      <c r="F17" s="458">
        <v>899.81199999999978</v>
      </c>
      <c r="G17" s="347">
        <v>310.27999999999997</v>
      </c>
      <c r="H17" s="459">
        <v>475.88000000000005</v>
      </c>
      <c r="I17" s="460">
        <v>478.58031351929787</v>
      </c>
      <c r="J17" s="461">
        <v>1.0056626077630162</v>
      </c>
      <c r="K17" s="460">
        <v>479.49999999999994</v>
      </c>
      <c r="L17" s="461">
        <v>1.0076069597377488</v>
      </c>
      <c r="M17" s="460">
        <v>1.6</v>
      </c>
      <c r="N17" s="461">
        <v>3.3621921492813312E-3</v>
      </c>
      <c r="O17" s="462">
        <v>481.09999999999997</v>
      </c>
      <c r="P17" s="461">
        <v>1.0109691518870301</v>
      </c>
      <c r="Q17" s="459">
        <v>2.9</v>
      </c>
      <c r="R17" s="461">
        <v>6.0939732705724125E-3</v>
      </c>
      <c r="S17" s="462">
        <v>5.219999999999942</v>
      </c>
      <c r="T17" s="461">
        <v>1.096915188703022E-2</v>
      </c>
      <c r="U17" s="463">
        <v>1619.6615999999819</v>
      </c>
      <c r="V17" s="348" t="s">
        <v>328</v>
      </c>
      <c r="W17" s="348" t="s">
        <v>194</v>
      </c>
      <c r="X17" s="348" t="s">
        <v>626</v>
      </c>
      <c r="Y17" s="348" t="s">
        <v>539</v>
      </c>
      <c r="Z17" s="348">
        <v>1</v>
      </c>
      <c r="AA17" s="464" t="s">
        <v>628</v>
      </c>
    </row>
    <row r="18" spans="2:27" s="433" customFormat="1" ht="27" customHeight="1">
      <c r="B18" s="861"/>
      <c r="C18" s="862"/>
      <c r="D18" s="346">
        <v>14</v>
      </c>
      <c r="E18" s="457" t="s">
        <v>680</v>
      </c>
      <c r="F18" s="458">
        <v>878.66100000000017</v>
      </c>
      <c r="G18" s="347">
        <v>418.41</v>
      </c>
      <c r="H18" s="459">
        <v>86.94</v>
      </c>
      <c r="I18" s="460">
        <v>88.242304380921311</v>
      </c>
      <c r="J18" s="461">
        <v>1.0149262470206242</v>
      </c>
      <c r="K18" s="460">
        <v>89.899999999999991</v>
      </c>
      <c r="L18" s="461">
        <v>1.0340464688290774</v>
      </c>
      <c r="M18" s="460">
        <v>0.4</v>
      </c>
      <c r="N18" s="461">
        <v>4.6008741660915576E-3</v>
      </c>
      <c r="O18" s="462">
        <v>90.3</v>
      </c>
      <c r="P18" s="461">
        <v>1.038647342995169</v>
      </c>
      <c r="Q18" s="459">
        <v>2.1</v>
      </c>
      <c r="R18" s="461">
        <v>2.415458937198068E-2</v>
      </c>
      <c r="S18" s="462">
        <v>3.3599999999999994</v>
      </c>
      <c r="T18" s="461">
        <v>3.8647342995169073E-2</v>
      </c>
      <c r="U18" s="463">
        <v>1405.8575999999996</v>
      </c>
      <c r="V18" s="348" t="s">
        <v>332</v>
      </c>
      <c r="W18" s="348" t="s">
        <v>372</v>
      </c>
      <c r="X18" s="348" t="s">
        <v>692</v>
      </c>
      <c r="Y18" s="348" t="s">
        <v>693</v>
      </c>
      <c r="Z18" s="348">
        <v>1</v>
      </c>
      <c r="AA18" s="464" t="s">
        <v>348</v>
      </c>
    </row>
    <row r="19" spans="2:27" s="433" customFormat="1" ht="27" customHeight="1">
      <c r="B19" s="861"/>
      <c r="C19" s="862"/>
      <c r="D19" s="346">
        <v>15</v>
      </c>
      <c r="E19" s="457" t="s">
        <v>681</v>
      </c>
      <c r="F19" s="458">
        <v>876.3</v>
      </c>
      <c r="G19" s="347">
        <v>116.84</v>
      </c>
      <c r="H19" s="459">
        <v>134.256</v>
      </c>
      <c r="I19" s="460">
        <v>136.5322909876561</v>
      </c>
      <c r="J19" s="461">
        <v>1.0170484835893441</v>
      </c>
      <c r="K19" s="460">
        <v>143.9</v>
      </c>
      <c r="L19" s="461">
        <v>1.0718329162197593</v>
      </c>
      <c r="M19" s="460">
        <v>0</v>
      </c>
      <c r="N19" s="461">
        <v>0</v>
      </c>
      <c r="O19" s="462">
        <v>143.9</v>
      </c>
      <c r="P19" s="461">
        <v>1.0718329162197593</v>
      </c>
      <c r="Q19" s="459">
        <v>7.5</v>
      </c>
      <c r="R19" s="461">
        <v>5.5863425098319631E-2</v>
      </c>
      <c r="S19" s="462">
        <v>9.6439999999999966</v>
      </c>
      <c r="T19" s="461">
        <v>7.1832916219759235E-2</v>
      </c>
      <c r="U19" s="463">
        <v>1126.8049599999997</v>
      </c>
      <c r="V19" s="348" t="s">
        <v>332</v>
      </c>
      <c r="W19" s="348" t="s">
        <v>333</v>
      </c>
      <c r="X19" s="348" t="s">
        <v>662</v>
      </c>
      <c r="Y19" s="348" t="s">
        <v>663</v>
      </c>
      <c r="Z19" s="348">
        <v>1</v>
      </c>
      <c r="AA19" s="464" t="s">
        <v>673</v>
      </c>
    </row>
    <row r="20" spans="2:27" s="433" customFormat="1" ht="27" customHeight="1">
      <c r="B20" s="861"/>
      <c r="C20" s="862"/>
      <c r="D20" s="346">
        <v>16</v>
      </c>
      <c r="E20" s="457" t="s">
        <v>672</v>
      </c>
      <c r="F20" s="458">
        <v>873.34800000000007</v>
      </c>
      <c r="G20" s="347">
        <v>103.97</v>
      </c>
      <c r="H20" s="459">
        <v>690.79499999999996</v>
      </c>
      <c r="I20" s="460">
        <v>694.95094011795959</v>
      </c>
      <c r="J20" s="461">
        <v>1.005935769949639</v>
      </c>
      <c r="K20" s="460">
        <v>703.5</v>
      </c>
      <c r="L20" s="461">
        <v>1.0183918528651772</v>
      </c>
      <c r="M20" s="460">
        <v>0</v>
      </c>
      <c r="N20" s="461">
        <v>0</v>
      </c>
      <c r="O20" s="462">
        <v>703.5</v>
      </c>
      <c r="P20" s="461">
        <v>1.0183918528651772</v>
      </c>
      <c r="Q20" s="459">
        <v>8.4</v>
      </c>
      <c r="R20" s="461">
        <v>1.2159902720778234E-2</v>
      </c>
      <c r="S20" s="462">
        <v>12.704999999999998</v>
      </c>
      <c r="T20" s="461">
        <v>1.8391852865177076E-2</v>
      </c>
      <c r="U20" s="463">
        <v>1320.9388499999998</v>
      </c>
      <c r="V20" s="348" t="s">
        <v>332</v>
      </c>
      <c r="W20" s="348" t="s">
        <v>508</v>
      </c>
      <c r="X20" s="348" t="s">
        <v>596</v>
      </c>
      <c r="Y20" s="348" t="s">
        <v>538</v>
      </c>
      <c r="Z20" s="348">
        <v>1</v>
      </c>
      <c r="AA20" s="464" t="s">
        <v>530</v>
      </c>
    </row>
    <row r="21" spans="2:27" s="433" customFormat="1" ht="27" customHeight="1">
      <c r="B21" s="861"/>
      <c r="C21" s="862"/>
      <c r="D21" s="346">
        <v>17</v>
      </c>
      <c r="E21" s="457" t="s">
        <v>694</v>
      </c>
      <c r="F21" s="458">
        <v>859.1400000000001</v>
      </c>
      <c r="G21" s="347">
        <v>238.65</v>
      </c>
      <c r="H21" s="459">
        <v>102</v>
      </c>
      <c r="I21" s="460">
        <v>103.26193238815883</v>
      </c>
      <c r="J21" s="461">
        <v>1.0127113318707073</v>
      </c>
      <c r="K21" s="460">
        <v>106.9</v>
      </c>
      <c r="L21" s="461">
        <v>1.0480392156862746</v>
      </c>
      <c r="M21" s="460">
        <v>0</v>
      </c>
      <c r="N21" s="461">
        <v>0</v>
      </c>
      <c r="O21" s="462">
        <v>106.9</v>
      </c>
      <c r="P21" s="461">
        <v>1.0480392156862746</v>
      </c>
      <c r="Q21" s="459">
        <v>3.6</v>
      </c>
      <c r="R21" s="461">
        <v>3.5294117647058823E-2</v>
      </c>
      <c r="S21" s="462">
        <v>4.9000000000000039</v>
      </c>
      <c r="T21" s="461">
        <v>4.8039215686274547E-2</v>
      </c>
      <c r="U21" s="463">
        <v>1169.3850000000009</v>
      </c>
      <c r="V21" s="348" t="s">
        <v>332</v>
      </c>
      <c r="W21" s="348" t="s">
        <v>372</v>
      </c>
      <c r="X21" s="348" t="s">
        <v>692</v>
      </c>
      <c r="Y21" s="348" t="s">
        <v>693</v>
      </c>
      <c r="Z21" s="348">
        <v>1</v>
      </c>
      <c r="AA21" s="464" t="s">
        <v>654</v>
      </c>
    </row>
    <row r="22" spans="2:27" s="433" customFormat="1" ht="27" customHeight="1">
      <c r="B22" s="861"/>
      <c r="C22" s="862"/>
      <c r="D22" s="346">
        <v>18</v>
      </c>
      <c r="E22" s="457" t="s">
        <v>695</v>
      </c>
      <c r="F22" s="458">
        <v>848.84699999999998</v>
      </c>
      <c r="G22" s="347">
        <v>87.51</v>
      </c>
      <c r="H22" s="459">
        <v>2711.2000000000003</v>
      </c>
      <c r="I22" s="460">
        <v>2715.9740581908732</v>
      </c>
      <c r="J22" s="461">
        <v>1.0017408814636866</v>
      </c>
      <c r="K22" s="460">
        <v>2726.3</v>
      </c>
      <c r="L22" s="461">
        <v>1.0055694895249336</v>
      </c>
      <c r="M22" s="460">
        <v>0</v>
      </c>
      <c r="N22" s="461">
        <v>0</v>
      </c>
      <c r="O22" s="462">
        <v>2726.3</v>
      </c>
      <c r="P22" s="461">
        <v>1.0055694895249336</v>
      </c>
      <c r="Q22" s="459">
        <v>9.6999999999999993</v>
      </c>
      <c r="R22" s="461">
        <v>3.5777515491295362E-3</v>
      </c>
      <c r="S22" s="462">
        <v>15.100000000000051</v>
      </c>
      <c r="T22" s="461">
        <v>5.5694895249336273E-3</v>
      </c>
      <c r="U22" s="463">
        <v>1321.4010000000044</v>
      </c>
      <c r="V22" s="348" t="s">
        <v>332</v>
      </c>
      <c r="W22" s="348" t="s">
        <v>508</v>
      </c>
      <c r="X22" s="348" t="s">
        <v>696</v>
      </c>
      <c r="Y22" s="348" t="s">
        <v>541</v>
      </c>
      <c r="Z22" s="348">
        <v>1</v>
      </c>
      <c r="AA22" s="464" t="s">
        <v>666</v>
      </c>
    </row>
    <row r="23" spans="2:27" s="433" customFormat="1" ht="27" customHeight="1">
      <c r="B23" s="861"/>
      <c r="C23" s="862"/>
      <c r="D23" s="346">
        <v>19</v>
      </c>
      <c r="E23" s="457" t="s">
        <v>683</v>
      </c>
      <c r="F23" s="458">
        <v>844.02600000000007</v>
      </c>
      <c r="G23" s="347">
        <v>68.62</v>
      </c>
      <c r="H23" s="459">
        <v>6906.8720000000003</v>
      </c>
      <c r="I23" s="460">
        <v>6916.6630177971383</v>
      </c>
      <c r="J23" s="461">
        <v>1.0014091834262195</v>
      </c>
      <c r="K23" s="460">
        <v>6928.9</v>
      </c>
      <c r="L23" s="461">
        <v>1.0031892874227291</v>
      </c>
      <c r="M23" s="460">
        <v>0</v>
      </c>
      <c r="N23" s="461">
        <v>0</v>
      </c>
      <c r="O23" s="462">
        <v>6928.9</v>
      </c>
      <c r="P23" s="461">
        <v>1.0031892874227291</v>
      </c>
      <c r="Q23" s="459">
        <v>12.299999999999999</v>
      </c>
      <c r="R23" s="461">
        <v>1.7808350871421966E-3</v>
      </c>
      <c r="S23" s="462">
        <v>22.028000000000134</v>
      </c>
      <c r="T23" s="461">
        <v>3.1892874227291506E-3</v>
      </c>
      <c r="U23" s="463">
        <v>1511.5613600000092</v>
      </c>
      <c r="V23" s="348" t="s">
        <v>328</v>
      </c>
      <c r="W23" s="348" t="s">
        <v>523</v>
      </c>
      <c r="X23" s="348" t="s">
        <v>697</v>
      </c>
      <c r="Y23" s="348" t="s">
        <v>539</v>
      </c>
      <c r="Z23" s="348">
        <v>1</v>
      </c>
      <c r="AA23" s="464" t="s">
        <v>642</v>
      </c>
    </row>
    <row r="24" spans="2:27" s="433" customFormat="1" ht="27" customHeight="1">
      <c r="B24" s="863"/>
      <c r="C24" s="864"/>
      <c r="D24" s="346">
        <v>20</v>
      </c>
      <c r="E24" s="457" t="s">
        <v>373</v>
      </c>
      <c r="F24" s="458">
        <v>840.66000000000008</v>
      </c>
      <c r="G24" s="347">
        <v>420.33</v>
      </c>
      <c r="H24" s="459">
        <v>566.65</v>
      </c>
      <c r="I24" s="460">
        <v>569.18569699652471</v>
      </c>
      <c r="J24" s="461">
        <v>1.004365164353296</v>
      </c>
      <c r="K24" s="460">
        <v>571.1</v>
      </c>
      <c r="L24" s="461">
        <v>1.0078531721521222</v>
      </c>
      <c r="M24" s="460">
        <v>0</v>
      </c>
      <c r="N24" s="461">
        <v>0</v>
      </c>
      <c r="O24" s="462">
        <v>571.1</v>
      </c>
      <c r="P24" s="461">
        <v>1.0078531721521222</v>
      </c>
      <c r="Q24" s="459">
        <v>2</v>
      </c>
      <c r="R24" s="461">
        <v>3.5295155739874704E-3</v>
      </c>
      <c r="S24" s="462">
        <v>4.4499999999999673</v>
      </c>
      <c r="T24" s="461">
        <v>7.8531721521220635E-3</v>
      </c>
      <c r="U24" s="463">
        <v>1870.4684999999863</v>
      </c>
      <c r="V24" s="348" t="s">
        <v>328</v>
      </c>
      <c r="W24" s="348" t="s">
        <v>194</v>
      </c>
      <c r="X24" s="348" t="s">
        <v>626</v>
      </c>
      <c r="Y24" s="348" t="s">
        <v>539</v>
      </c>
      <c r="Z24" s="348">
        <v>1</v>
      </c>
      <c r="AA24" s="464" t="s">
        <v>355</v>
      </c>
    </row>
    <row r="25" spans="2:27" ht="27" customHeight="1"/>
    <row r="26" spans="2:27" ht="27" customHeight="1"/>
    <row r="27" spans="2:27" ht="29.25" customHeight="1"/>
    <row r="28" spans="2:27" ht="27.95" customHeight="1"/>
    <row r="29" spans="2:27" ht="27.95" customHeight="1"/>
    <row r="30" spans="2:27" ht="27.95" customHeight="1"/>
    <row r="31" spans="2:27" ht="27.95" customHeight="1"/>
    <row r="32" spans="2:27" ht="27.95" customHeight="1"/>
    <row r="42" ht="14.1" customHeight="1"/>
    <row r="52" ht="14.1" customHeight="1"/>
    <row r="62" ht="14.1" customHeight="1"/>
    <row r="87" spans="26:26">
      <c r="Z87" s="344" t="s">
        <v>524</v>
      </c>
    </row>
    <row r="88" spans="26:26">
      <c r="Z88" s="344" t="s">
        <v>525</v>
      </c>
    </row>
    <row r="91" spans="26:26" ht="18.75" customHeight="1"/>
    <row r="92" spans="26:26" ht="14.1" customHeight="1"/>
    <row r="102" ht="14.1" customHeight="1"/>
    <row r="112" ht="14.1" customHeight="1"/>
    <row r="122" ht="14.1" customHeight="1"/>
    <row r="142" ht="14.1" customHeight="1"/>
    <row r="162" ht="14.1" customHeight="1"/>
    <row r="172" ht="14.1" customHeight="1"/>
    <row r="182" ht="14.1" customHeight="1"/>
    <row r="192" ht="14.1" customHeight="1"/>
    <row r="202" ht="14.1" customHeight="1"/>
    <row r="212" ht="14.1" customHeight="1"/>
    <row r="222" ht="14.1" customHeight="1"/>
    <row r="232" ht="14.1" customHeight="1"/>
    <row r="242" ht="14.1" customHeight="1"/>
    <row r="252" ht="14.1" customHeight="1"/>
    <row r="262" ht="14.1" customHeight="1"/>
    <row r="272" ht="14.1" customHeight="1"/>
  </sheetData>
  <mergeCells count="21">
    <mergeCell ref="AC3:AJ5"/>
    <mergeCell ref="B5:C24"/>
    <mergeCell ref="W3:W4"/>
    <mergeCell ref="X3:X4"/>
    <mergeCell ref="Y3:Y4"/>
    <mergeCell ref="Z3:Z4"/>
    <mergeCell ref="AA3:AA4"/>
    <mergeCell ref="M3:N3"/>
    <mergeCell ref="O3:P3"/>
    <mergeCell ref="Q3:R3"/>
    <mergeCell ref="S3:U3"/>
    <mergeCell ref="V3:V4"/>
    <mergeCell ref="F3:F4"/>
    <mergeCell ref="G3:G4"/>
    <mergeCell ref="H3:H4"/>
    <mergeCell ref="I3:J3"/>
    <mergeCell ref="K3:L3"/>
    <mergeCell ref="B2:AA2"/>
    <mergeCell ref="B3:C4"/>
    <mergeCell ref="D3:D4"/>
    <mergeCell ref="E3:E4"/>
  </mergeCells>
  <phoneticPr fontId="12" type="noConversion"/>
  <dataValidations disablePrompts="1" count="4">
    <dataValidation type="list" allowBlank="1" showInputMessage="1" showErrorMessage="1" sqref="T1 T25:T1048576">
      <formula1>$AC$2:$AC$2</formula1>
    </dataValidation>
    <dataValidation type="list" allowBlank="1" showInputMessage="1" showErrorMessage="1" sqref="U1 U25:U1048576">
      <formula1>#REF!</formula1>
    </dataValidation>
    <dataValidation type="list" allowBlank="1" showInputMessage="1" showErrorMessage="1" sqref="W5:W24">
      <formula1>$AO$7:$AO$13</formula1>
    </dataValidation>
    <dataValidation type="list" allowBlank="1" showInputMessage="1" showErrorMessage="1" sqref="V5:V24">
      <formula1>$AP$7:$AP$13</formula1>
    </dataValidation>
  </dataValidations>
  <pageMargins left="0" right="0" top="0" bottom="0" header="0" footer="0"/>
  <pageSetup paperSize="9" scale="20" orientation="landscape" horizontalDpi="300"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pageSetUpPr fitToPage="1"/>
  </sheetPr>
  <dimension ref="B1:AP271"/>
  <sheetViews>
    <sheetView zoomScale="55" zoomScaleNormal="55" workbookViewId="0">
      <pane xSplit="4" ySplit="1" topLeftCell="E2" activePane="bottomRight" state="frozen"/>
      <selection activeCell="M12" sqref="M12:Q12"/>
      <selection pane="topRight" activeCell="M12" sqref="M12:Q12"/>
      <selection pane="bottomLeft" activeCell="M12" sqref="M12:Q12"/>
      <selection pane="bottomRight" activeCell="D5" sqref="D5:AA24"/>
    </sheetView>
  </sheetViews>
  <sheetFormatPr defaultColWidth="8.85546875" defaultRowHeight="16.5"/>
  <cols>
    <col min="1" max="1" width="8.85546875" style="344"/>
    <col min="2" max="2" width="12.42578125" style="344" customWidth="1"/>
    <col min="3" max="3" width="8.85546875" style="344"/>
    <col min="4" max="4" width="11.5703125" style="344" customWidth="1"/>
    <col min="5" max="5" width="39.28515625" style="344" bestFit="1" customWidth="1"/>
    <col min="6" max="21" width="15.7109375" style="344" customWidth="1"/>
    <col min="22" max="22" width="12.42578125" style="344" bestFit="1" customWidth="1"/>
    <col min="23" max="23" width="25.28515625" style="344" bestFit="1" customWidth="1"/>
    <col min="24" max="24" width="88.28515625" style="344" customWidth="1"/>
    <col min="25" max="25" width="117.7109375" style="344" bestFit="1" customWidth="1"/>
    <col min="26" max="26" width="7.42578125" style="344" bestFit="1" customWidth="1"/>
    <col min="27" max="27" width="69.5703125" style="344" bestFit="1" customWidth="1"/>
    <col min="28" max="28" width="11.42578125" style="344" bestFit="1" customWidth="1"/>
    <col min="29" max="29" width="21.5703125" style="344" customWidth="1"/>
    <col min="30" max="30" width="19.42578125" style="344" bestFit="1" customWidth="1"/>
    <col min="31" max="36" width="14.42578125" style="344" customWidth="1"/>
    <col min="37" max="40" width="8.85546875" style="344"/>
    <col min="41" max="41" width="20.85546875" style="344" bestFit="1" customWidth="1"/>
    <col min="42" max="16384" width="8.85546875" style="344"/>
  </cols>
  <sheetData>
    <row r="1" spans="2:42" ht="21">
      <c r="B1" s="344" t="s">
        <v>719</v>
      </c>
    </row>
    <row r="2" spans="2:42" ht="41.1" customHeight="1">
      <c r="B2" s="842" t="s">
        <v>699</v>
      </c>
      <c r="C2" s="843"/>
      <c r="D2" s="843" t="s">
        <v>720</v>
      </c>
      <c r="E2" s="843" t="s">
        <v>721</v>
      </c>
      <c r="F2" s="843" t="s">
        <v>722</v>
      </c>
      <c r="G2" s="843" t="s">
        <v>723</v>
      </c>
      <c r="H2" s="843" t="s">
        <v>724</v>
      </c>
      <c r="I2" s="843" t="s">
        <v>725</v>
      </c>
      <c r="J2" s="843"/>
      <c r="K2" s="843" t="s">
        <v>726</v>
      </c>
      <c r="L2" s="843"/>
      <c r="M2" s="843" t="s">
        <v>727</v>
      </c>
      <c r="N2" s="843"/>
      <c r="O2" s="843" t="s">
        <v>728</v>
      </c>
      <c r="P2" s="843"/>
      <c r="Q2" s="843" t="s">
        <v>729</v>
      </c>
      <c r="R2" s="843"/>
      <c r="S2" s="843"/>
      <c r="T2" s="843" t="s">
        <v>730</v>
      </c>
      <c r="U2" s="843"/>
      <c r="V2" s="843" t="s">
        <v>166</v>
      </c>
      <c r="W2" s="843" t="s">
        <v>731</v>
      </c>
      <c r="X2" s="843" t="s">
        <v>732</v>
      </c>
      <c r="Y2" s="843" t="s">
        <v>733</v>
      </c>
      <c r="Z2" s="843" t="s">
        <v>734</v>
      </c>
      <c r="AA2" s="843" t="s">
        <v>167</v>
      </c>
      <c r="AC2" s="345" t="s">
        <v>735</v>
      </c>
      <c r="AD2" s="345"/>
    </row>
    <row r="3" spans="2:42" ht="17.100000000000001" customHeight="1">
      <c r="B3" s="844" t="s">
        <v>699</v>
      </c>
      <c r="C3" s="845"/>
      <c r="D3" s="848" t="s">
        <v>700</v>
      </c>
      <c r="E3" s="849" t="s">
        <v>701</v>
      </c>
      <c r="F3" s="874" t="s">
        <v>736</v>
      </c>
      <c r="G3" s="867" t="s">
        <v>703</v>
      </c>
      <c r="H3" s="873" t="s">
        <v>704</v>
      </c>
      <c r="I3" s="840" t="s">
        <v>705</v>
      </c>
      <c r="J3" s="841"/>
      <c r="K3" s="840" t="s">
        <v>706</v>
      </c>
      <c r="L3" s="841"/>
      <c r="M3" s="840" t="s">
        <v>707</v>
      </c>
      <c r="N3" s="841"/>
      <c r="O3" s="840" t="s">
        <v>708</v>
      </c>
      <c r="P3" s="841"/>
      <c r="Q3" s="840" t="s">
        <v>709</v>
      </c>
      <c r="R3" s="875"/>
      <c r="S3" s="841"/>
      <c r="T3" s="869" t="s">
        <v>710</v>
      </c>
      <c r="U3" s="870"/>
      <c r="V3" s="865" t="s">
        <v>166</v>
      </c>
      <c r="W3" s="865" t="s">
        <v>711</v>
      </c>
      <c r="X3" s="865" t="s">
        <v>712</v>
      </c>
      <c r="Y3" s="865" t="s">
        <v>713</v>
      </c>
      <c r="Z3" s="865" t="s">
        <v>714</v>
      </c>
      <c r="AA3" s="867" t="s">
        <v>167</v>
      </c>
      <c r="AC3" s="850" t="s">
        <v>715</v>
      </c>
      <c r="AD3" s="851"/>
      <c r="AE3" s="851"/>
      <c r="AF3" s="851"/>
      <c r="AG3" s="851"/>
      <c r="AH3" s="851"/>
      <c r="AI3" s="851"/>
      <c r="AJ3" s="852"/>
    </row>
    <row r="4" spans="2:42">
      <c r="B4" s="846"/>
      <c r="C4" s="847"/>
      <c r="D4" s="848"/>
      <c r="E4" s="848"/>
      <c r="F4" s="872"/>
      <c r="G4" s="868"/>
      <c r="H4" s="868"/>
      <c r="I4" s="455" t="s">
        <v>716</v>
      </c>
      <c r="J4" s="456" t="s">
        <v>687</v>
      </c>
      <c r="K4" s="455" t="s">
        <v>716</v>
      </c>
      <c r="L4" s="456" t="s">
        <v>687</v>
      </c>
      <c r="M4" s="455" t="s">
        <v>716</v>
      </c>
      <c r="N4" s="456" t="s">
        <v>687</v>
      </c>
      <c r="O4" s="455" t="s">
        <v>716</v>
      </c>
      <c r="P4" s="456" t="s">
        <v>687</v>
      </c>
      <c r="Q4" s="455" t="s">
        <v>716</v>
      </c>
      <c r="R4" s="456" t="s">
        <v>687</v>
      </c>
      <c r="S4" s="456" t="s">
        <v>688</v>
      </c>
      <c r="T4" s="455" t="s">
        <v>716</v>
      </c>
      <c r="U4" s="456" t="s">
        <v>687</v>
      </c>
      <c r="V4" s="866"/>
      <c r="W4" s="866"/>
      <c r="X4" s="866"/>
      <c r="Y4" s="866"/>
      <c r="Z4" s="866"/>
      <c r="AA4" s="868"/>
      <c r="AC4" s="853"/>
      <c r="AD4" s="854"/>
      <c r="AE4" s="854"/>
      <c r="AF4" s="854"/>
      <c r="AG4" s="854"/>
      <c r="AH4" s="854"/>
      <c r="AI4" s="854"/>
      <c r="AJ4" s="855"/>
    </row>
    <row r="5" spans="2:42" s="433" customFormat="1" ht="27" customHeight="1">
      <c r="B5" s="859" t="s">
        <v>798</v>
      </c>
      <c r="C5" s="860"/>
      <c r="D5" s="346">
        <v>1</v>
      </c>
      <c r="E5" s="457" t="s">
        <v>646</v>
      </c>
      <c r="F5" s="471">
        <v>2369.2888000000162</v>
      </c>
      <c r="G5" s="347">
        <v>114.68</v>
      </c>
      <c r="H5" s="459">
        <v>3273.14</v>
      </c>
      <c r="I5" s="460">
        <v>3281.804005486787</v>
      </c>
      <c r="J5" s="461">
        <v>1.0026844121533856</v>
      </c>
      <c r="K5" s="460">
        <v>3293.8</v>
      </c>
      <c r="L5" s="461">
        <v>1.0063119817667439</v>
      </c>
      <c r="M5" s="460">
        <v>0</v>
      </c>
      <c r="N5" s="461">
        <v>0</v>
      </c>
      <c r="O5" s="462">
        <v>3293.8</v>
      </c>
      <c r="P5" s="461">
        <v>1.0063119817667439</v>
      </c>
      <c r="Q5" s="459">
        <v>10.8</v>
      </c>
      <c r="R5" s="461">
        <v>3.2995838858099567E-3</v>
      </c>
      <c r="S5" s="472">
        <v>1238.5440000000001</v>
      </c>
      <c r="T5" s="462">
        <v>20.660000000000139</v>
      </c>
      <c r="U5" s="461">
        <v>6.2953180523453167E-3</v>
      </c>
      <c r="V5" s="348" t="s">
        <v>326</v>
      </c>
      <c r="W5" s="348" t="s">
        <v>508</v>
      </c>
      <c r="X5" s="348" t="s">
        <v>596</v>
      </c>
      <c r="Y5" s="348" t="s">
        <v>538</v>
      </c>
      <c r="Z5" s="348">
        <v>1</v>
      </c>
      <c r="AA5" s="464" t="s">
        <v>645</v>
      </c>
      <c r="AC5" s="856"/>
      <c r="AD5" s="857"/>
      <c r="AE5" s="857"/>
      <c r="AF5" s="857"/>
      <c r="AG5" s="857"/>
      <c r="AH5" s="857"/>
      <c r="AI5" s="857"/>
      <c r="AJ5" s="858"/>
    </row>
    <row r="6" spans="2:42" s="433" customFormat="1" ht="27" customHeight="1">
      <c r="B6" s="861"/>
      <c r="C6" s="862"/>
      <c r="D6" s="346">
        <v>2</v>
      </c>
      <c r="E6" s="457" t="s">
        <v>625</v>
      </c>
      <c r="F6" s="471">
        <v>2209.6620000000053</v>
      </c>
      <c r="G6" s="347">
        <v>447.3</v>
      </c>
      <c r="H6" s="459">
        <v>817.16</v>
      </c>
      <c r="I6" s="460">
        <v>819.56061150943731</v>
      </c>
      <c r="J6" s="461">
        <v>1.0030138161767588</v>
      </c>
      <c r="K6" s="460">
        <v>821.3</v>
      </c>
      <c r="L6" s="461">
        <v>1.0050663272798472</v>
      </c>
      <c r="M6" s="460">
        <v>0.8</v>
      </c>
      <c r="N6" s="461">
        <v>9.7900044055019837E-4</v>
      </c>
      <c r="O6" s="462">
        <v>822.09999999999991</v>
      </c>
      <c r="P6" s="461">
        <v>1.0060453277203973</v>
      </c>
      <c r="Q6" s="459">
        <v>2.5</v>
      </c>
      <c r="R6" s="461">
        <v>3.0593763767193696E-3</v>
      </c>
      <c r="S6" s="472">
        <v>1118.2500000000002</v>
      </c>
      <c r="T6" s="462">
        <v>4.9400000000000119</v>
      </c>
      <c r="U6" s="461">
        <v>6.0276200815723652E-3</v>
      </c>
      <c r="V6" s="348" t="s">
        <v>328</v>
      </c>
      <c r="W6" s="348" t="s">
        <v>194</v>
      </c>
      <c r="X6" s="348" t="s">
        <v>627</v>
      </c>
      <c r="Y6" s="348" t="s">
        <v>539</v>
      </c>
      <c r="Z6" s="348">
        <v>1</v>
      </c>
      <c r="AA6" s="464" t="s">
        <v>624</v>
      </c>
      <c r="AC6" s="223" t="s">
        <v>718</v>
      </c>
      <c r="AD6" s="223" t="s">
        <v>689</v>
      </c>
      <c r="AE6" s="434" t="s">
        <v>690</v>
      </c>
      <c r="AF6" s="434" t="s">
        <v>372</v>
      </c>
      <c r="AG6" s="434" t="s">
        <v>508</v>
      </c>
      <c r="AH6" s="434" t="s">
        <v>194</v>
      </c>
      <c r="AI6" s="434" t="s">
        <v>195</v>
      </c>
      <c r="AJ6" s="434" t="s">
        <v>523</v>
      </c>
      <c r="AO6" s="465"/>
      <c r="AP6" s="465"/>
    </row>
    <row r="7" spans="2:42" s="433" customFormat="1" ht="27" customHeight="1">
      <c r="B7" s="861"/>
      <c r="C7" s="862"/>
      <c r="D7" s="346">
        <v>3</v>
      </c>
      <c r="E7" s="457" t="s">
        <v>336</v>
      </c>
      <c r="F7" s="471">
        <v>2067.4240000000045</v>
      </c>
      <c r="G7" s="347">
        <v>487.6</v>
      </c>
      <c r="H7" s="459">
        <v>232.55999999999997</v>
      </c>
      <c r="I7" s="460">
        <v>234.71778973403445</v>
      </c>
      <c r="J7" s="461">
        <v>1.0093133537175329</v>
      </c>
      <c r="K7" s="460">
        <v>236.8</v>
      </c>
      <c r="L7" s="461">
        <v>1.0182318541451669</v>
      </c>
      <c r="M7" s="460">
        <v>0</v>
      </c>
      <c r="N7" s="461">
        <v>0</v>
      </c>
      <c r="O7" s="462">
        <v>236.8</v>
      </c>
      <c r="P7" s="461">
        <v>1.0182318541451669</v>
      </c>
      <c r="Q7" s="459">
        <v>2</v>
      </c>
      <c r="R7" s="461">
        <v>8.5999312005503974E-3</v>
      </c>
      <c r="S7" s="472">
        <v>975.2</v>
      </c>
      <c r="T7" s="462">
        <v>4.2400000000000091</v>
      </c>
      <c r="U7" s="461">
        <v>1.8064246450192278E-2</v>
      </c>
      <c r="V7" s="348" t="s">
        <v>328</v>
      </c>
      <c r="W7" s="348" t="s">
        <v>195</v>
      </c>
      <c r="X7" s="348" t="s">
        <v>627</v>
      </c>
      <c r="Y7" s="348" t="s">
        <v>539</v>
      </c>
      <c r="Z7" s="348">
        <v>1</v>
      </c>
      <c r="AA7" s="464" t="s">
        <v>583</v>
      </c>
      <c r="AC7" s="466">
        <f>SUM(Z5:Z24)</f>
        <v>20</v>
      </c>
      <c r="AD7" s="349">
        <f>SUMIF($W$5:$W$24,TRIM(AD6),$Z$5:$Z$24)</f>
        <v>0</v>
      </c>
      <c r="AE7" s="349">
        <f t="shared" ref="AE7:AI7" si="0">SUMIF($W$5:$W$24,TRIM(AE6),$Z$5:$Z$24)</f>
        <v>0</v>
      </c>
      <c r="AF7" s="349">
        <f>SUMIF($W$5:$W$24,TRIM(AF6),$Z$5:$Z$24)</f>
        <v>0</v>
      </c>
      <c r="AG7" s="349">
        <f>SUMIF($W$5:$W$24,TRIM(AG6),$Z$5:$Z$24)</f>
        <v>9</v>
      </c>
      <c r="AH7" s="349">
        <f t="shared" si="0"/>
        <v>6</v>
      </c>
      <c r="AI7" s="349">
        <f t="shared" si="0"/>
        <v>2</v>
      </c>
      <c r="AJ7" s="349">
        <f>SUMIF($W$5:$W$24,TRIM(AJ6),$Z$5:$Z$24)</f>
        <v>3</v>
      </c>
      <c r="AO7" s="467"/>
      <c r="AP7" s="209"/>
    </row>
    <row r="8" spans="2:42" s="433" customFormat="1" ht="27" customHeight="1">
      <c r="B8" s="861"/>
      <c r="C8" s="862"/>
      <c r="D8" s="346">
        <v>4</v>
      </c>
      <c r="E8" s="457" t="s">
        <v>586</v>
      </c>
      <c r="F8" s="471">
        <v>2062.9063999999998</v>
      </c>
      <c r="G8" s="347">
        <v>581.91999999999996</v>
      </c>
      <c r="H8" s="459">
        <v>120.55499999999999</v>
      </c>
      <c r="I8" s="460">
        <v>122.41877572082575</v>
      </c>
      <c r="J8" s="461">
        <v>1.015651699955652</v>
      </c>
      <c r="K8" s="460">
        <v>123.5</v>
      </c>
      <c r="L8" s="461">
        <v>1.0244286840031522</v>
      </c>
      <c r="M8" s="460">
        <v>0.6</v>
      </c>
      <c r="N8" s="461">
        <v>4.9769814607440585E-3</v>
      </c>
      <c r="O8" s="462">
        <v>124.1</v>
      </c>
      <c r="P8" s="461">
        <v>1.0294056654638961</v>
      </c>
      <c r="Q8" s="459">
        <v>1.7</v>
      </c>
      <c r="R8" s="461">
        <v>1.4101447472108166E-2</v>
      </c>
      <c r="S8" s="472">
        <v>989.26400000000001</v>
      </c>
      <c r="T8" s="462">
        <v>3.5449999999999999</v>
      </c>
      <c r="U8" s="461">
        <v>2.8957976250998631E-2</v>
      </c>
      <c r="V8" s="348" t="s">
        <v>328</v>
      </c>
      <c r="W8" s="348" t="s">
        <v>194</v>
      </c>
      <c r="X8" s="348" t="s">
        <v>626</v>
      </c>
      <c r="Y8" s="348" t="s">
        <v>539</v>
      </c>
      <c r="Z8" s="348">
        <v>1</v>
      </c>
      <c r="AA8" s="464" t="s">
        <v>337</v>
      </c>
      <c r="AC8" s="468" t="s">
        <v>11</v>
      </c>
      <c r="AD8" s="469">
        <f>SUMIF($W5:$W$24,TRIM(AD6),$F$5:$F$24)</f>
        <v>0</v>
      </c>
      <c r="AE8" s="469">
        <f>SUMIF($W5:$W$24,TRIM(AE6),$F$5:$F$24)</f>
        <v>0</v>
      </c>
      <c r="AF8" s="469">
        <f>SUMIF($W5:$W$24,TRIM(AF6),$F$5:$F$24)</f>
        <v>0</v>
      </c>
      <c r="AG8" s="469">
        <f>SUMIF($W5:$W$24,TRIM(AG6),$F$5:$F$24)</f>
        <v>15021.542890000088</v>
      </c>
      <c r="AH8" s="469">
        <f>SUMIF($W5:$W$24,TRIM(AH6),$F$5:$F$24)</f>
        <v>11375.55769999997</v>
      </c>
      <c r="AI8" s="469">
        <f>SUMIF($W5:$W$24,TRIM(AI6),$F$5:$F$24)</f>
        <v>3923.4633600000052</v>
      </c>
      <c r="AJ8" s="469">
        <f>SUMIF($W5:$W$24,TRIM(AJ6),$F$5:$F$24)</f>
        <v>4872.4163599999847</v>
      </c>
      <c r="AO8" s="209"/>
      <c r="AP8" s="209"/>
    </row>
    <row r="9" spans="2:42" s="433" customFormat="1" ht="27" customHeight="1">
      <c r="B9" s="861"/>
      <c r="C9" s="862"/>
      <c r="D9" s="346">
        <v>5</v>
      </c>
      <c r="E9" s="457" t="s">
        <v>540</v>
      </c>
      <c r="F9" s="471">
        <v>1975.4909000000141</v>
      </c>
      <c r="G9" s="347">
        <v>111.17</v>
      </c>
      <c r="H9" s="459">
        <v>2134.4300000000003</v>
      </c>
      <c r="I9" s="460">
        <v>2142.7251714252939</v>
      </c>
      <c r="J9" s="461">
        <v>1.0038833417615196</v>
      </c>
      <c r="K9" s="460">
        <v>2152.2000000000003</v>
      </c>
      <c r="L9" s="461">
        <v>1.0083254077200938</v>
      </c>
      <c r="M9" s="460">
        <v>0</v>
      </c>
      <c r="N9" s="461">
        <v>0</v>
      </c>
      <c r="O9" s="462">
        <v>2152.2000000000003</v>
      </c>
      <c r="P9" s="461">
        <v>1.0083254077200938</v>
      </c>
      <c r="Q9" s="459">
        <v>9.6999999999999993</v>
      </c>
      <c r="R9" s="461">
        <v>4.5445388230112944E-3</v>
      </c>
      <c r="S9" s="472">
        <v>1078.3489999999999</v>
      </c>
      <c r="T9" s="462">
        <v>17.770000000000124</v>
      </c>
      <c r="U9" s="461">
        <v>8.2931774158325252E-3</v>
      </c>
      <c r="V9" s="348" t="s">
        <v>326</v>
      </c>
      <c r="W9" s="348" t="s">
        <v>508</v>
      </c>
      <c r="X9" s="348" t="s">
        <v>597</v>
      </c>
      <c r="Y9" s="348" t="s">
        <v>541</v>
      </c>
      <c r="Z9" s="348">
        <v>1</v>
      </c>
      <c r="AA9" s="464" t="s">
        <v>334</v>
      </c>
      <c r="AC9" s="346" t="s">
        <v>691</v>
      </c>
      <c r="AD9" s="470">
        <f t="shared" ref="AD9:AJ9" si="1">AD7/$AC7</f>
        <v>0</v>
      </c>
      <c r="AE9" s="470">
        <f t="shared" si="1"/>
        <v>0</v>
      </c>
      <c r="AF9" s="470">
        <f t="shared" si="1"/>
        <v>0</v>
      </c>
      <c r="AG9" s="470">
        <f t="shared" si="1"/>
        <v>0.45</v>
      </c>
      <c r="AH9" s="470">
        <f t="shared" si="1"/>
        <v>0.3</v>
      </c>
      <c r="AI9" s="470">
        <f t="shared" si="1"/>
        <v>0.1</v>
      </c>
      <c r="AJ9" s="470">
        <f t="shared" si="1"/>
        <v>0.15</v>
      </c>
      <c r="AO9" s="209"/>
      <c r="AP9" s="209"/>
    </row>
    <row r="10" spans="2:42" s="433" customFormat="1" ht="27" customHeight="1">
      <c r="B10" s="861"/>
      <c r="C10" s="862"/>
      <c r="D10" s="346">
        <v>6</v>
      </c>
      <c r="E10" s="457" t="s">
        <v>655</v>
      </c>
      <c r="F10" s="471">
        <v>1966.3104999999896</v>
      </c>
      <c r="G10" s="347">
        <v>325.01</v>
      </c>
      <c r="H10" s="459">
        <v>443.35</v>
      </c>
      <c r="I10" s="460">
        <v>446.10775995644764</v>
      </c>
      <c r="J10" s="461">
        <v>1.0062605075186932</v>
      </c>
      <c r="K10" s="460">
        <v>449.4</v>
      </c>
      <c r="L10" s="461">
        <v>1.0136461035299424</v>
      </c>
      <c r="M10" s="460">
        <v>0</v>
      </c>
      <c r="N10" s="461">
        <v>0</v>
      </c>
      <c r="O10" s="462">
        <v>449.4</v>
      </c>
      <c r="P10" s="461">
        <v>1.0136461035299424</v>
      </c>
      <c r="Q10" s="459">
        <v>3.4</v>
      </c>
      <c r="R10" s="461">
        <v>7.6688846283974278E-3</v>
      </c>
      <c r="S10" s="472">
        <v>1105.0340000000001</v>
      </c>
      <c r="T10" s="462">
        <v>6.0499999999999687</v>
      </c>
      <c r="U10" s="461">
        <v>1.356174571047725E-2</v>
      </c>
      <c r="V10" s="348" t="s">
        <v>328</v>
      </c>
      <c r="W10" s="348" t="s">
        <v>194</v>
      </c>
      <c r="X10" s="348" t="s">
        <v>626</v>
      </c>
      <c r="Y10" s="348" t="s">
        <v>539</v>
      </c>
      <c r="Z10" s="348">
        <v>1</v>
      </c>
      <c r="AA10" s="464" t="s">
        <v>654</v>
      </c>
      <c r="AO10" s="209"/>
      <c r="AP10" s="209"/>
    </row>
    <row r="11" spans="2:42" s="433" customFormat="1" ht="27" customHeight="1">
      <c r="B11" s="861"/>
      <c r="C11" s="862"/>
      <c r="D11" s="346">
        <v>7</v>
      </c>
      <c r="E11" s="457" t="s">
        <v>373</v>
      </c>
      <c r="F11" s="471">
        <v>1866.26519999999</v>
      </c>
      <c r="G11" s="347">
        <v>420.33</v>
      </c>
      <c r="H11" s="459">
        <v>559.86</v>
      </c>
      <c r="I11" s="460">
        <v>561.70642976586896</v>
      </c>
      <c r="J11" s="461">
        <v>1.0033307229064263</v>
      </c>
      <c r="K11" s="460">
        <v>564.29999999999995</v>
      </c>
      <c r="L11" s="461">
        <v>1.0079305540670882</v>
      </c>
      <c r="M11" s="460">
        <v>0</v>
      </c>
      <c r="N11" s="461">
        <v>0</v>
      </c>
      <c r="O11" s="462">
        <v>564.29999999999995</v>
      </c>
      <c r="P11" s="461">
        <v>1.0079305540670882</v>
      </c>
      <c r="Q11" s="459">
        <v>2.6</v>
      </c>
      <c r="R11" s="461">
        <v>4.6440181473939917E-3</v>
      </c>
      <c r="S11" s="472">
        <v>1092.8580000000002</v>
      </c>
      <c r="T11" s="462">
        <v>4.4399999999999764</v>
      </c>
      <c r="U11" s="461">
        <v>7.9044849136775258E-3</v>
      </c>
      <c r="V11" s="348" t="s">
        <v>328</v>
      </c>
      <c r="W11" s="348" t="s">
        <v>194</v>
      </c>
      <c r="X11" s="348" t="s">
        <v>626</v>
      </c>
      <c r="Y11" s="348" t="s">
        <v>539</v>
      </c>
      <c r="Z11" s="348">
        <v>1</v>
      </c>
      <c r="AA11" s="464" t="s">
        <v>355</v>
      </c>
      <c r="AO11" s="209"/>
      <c r="AP11" s="209"/>
    </row>
    <row r="12" spans="2:42" s="433" customFormat="1" ht="27" customHeight="1">
      <c r="B12" s="861"/>
      <c r="C12" s="862"/>
      <c r="D12" s="346">
        <v>8</v>
      </c>
      <c r="E12" s="457" t="s">
        <v>682</v>
      </c>
      <c r="F12" s="471">
        <v>1856.0393600000009</v>
      </c>
      <c r="G12" s="347">
        <v>444.88</v>
      </c>
      <c r="H12" s="459">
        <v>112.42800000000001</v>
      </c>
      <c r="I12" s="460">
        <v>113.87120943153639</v>
      </c>
      <c r="J12" s="461">
        <v>1.0130617539791342</v>
      </c>
      <c r="K12" s="460">
        <v>116.60000000000001</v>
      </c>
      <c r="L12" s="461">
        <v>1.037108193688405</v>
      </c>
      <c r="M12" s="460">
        <v>0</v>
      </c>
      <c r="N12" s="461">
        <v>0</v>
      </c>
      <c r="O12" s="462">
        <v>116.60000000000001</v>
      </c>
      <c r="P12" s="461">
        <v>1.037108193688405</v>
      </c>
      <c r="Q12" s="459">
        <v>2.6</v>
      </c>
      <c r="R12" s="461">
        <v>2.3125911694595651E-2</v>
      </c>
      <c r="S12" s="472">
        <v>1156.6879999999999</v>
      </c>
      <c r="T12" s="462">
        <v>4.1720000000000024</v>
      </c>
      <c r="U12" s="461">
        <v>3.6637882576529272E-2</v>
      </c>
      <c r="V12" s="348" t="s">
        <v>328</v>
      </c>
      <c r="W12" s="348" t="s">
        <v>195</v>
      </c>
      <c r="X12" s="348" t="s">
        <v>627</v>
      </c>
      <c r="Y12" s="348" t="s">
        <v>539</v>
      </c>
      <c r="Z12" s="348">
        <v>1</v>
      </c>
      <c r="AA12" s="464" t="s">
        <v>582</v>
      </c>
      <c r="AO12" s="209"/>
      <c r="AP12" s="209"/>
    </row>
    <row r="13" spans="2:42" s="433" customFormat="1" ht="27" customHeight="1">
      <c r="B13" s="861"/>
      <c r="C13" s="862"/>
      <c r="D13" s="346">
        <v>9</v>
      </c>
      <c r="E13" s="457" t="s">
        <v>629</v>
      </c>
      <c r="F13" s="471">
        <v>1762.3903999999911</v>
      </c>
      <c r="G13" s="347">
        <v>310.27999999999997</v>
      </c>
      <c r="H13" s="459">
        <v>443.32</v>
      </c>
      <c r="I13" s="460">
        <v>445.51529523830749</v>
      </c>
      <c r="J13" s="461">
        <v>1.0049220338448259</v>
      </c>
      <c r="K13" s="460">
        <v>446.99999999999994</v>
      </c>
      <c r="L13" s="461">
        <v>1.0083010015338807</v>
      </c>
      <c r="M13" s="460">
        <v>2</v>
      </c>
      <c r="N13" s="461">
        <v>4.5114138771090865E-3</v>
      </c>
      <c r="O13" s="462">
        <v>448.99999999999994</v>
      </c>
      <c r="P13" s="461">
        <v>1.0128124154109897</v>
      </c>
      <c r="Q13" s="459">
        <v>3.2000000000000006</v>
      </c>
      <c r="R13" s="461">
        <v>7.218262203374539E-3</v>
      </c>
      <c r="S13" s="472">
        <v>992.89600000000007</v>
      </c>
      <c r="T13" s="462">
        <v>5.6799999999999713</v>
      </c>
      <c r="U13" s="461">
        <v>1.2749281698536797E-2</v>
      </c>
      <c r="V13" s="348" t="s">
        <v>328</v>
      </c>
      <c r="W13" s="348" t="s">
        <v>194</v>
      </c>
      <c r="X13" s="348" t="s">
        <v>626</v>
      </c>
      <c r="Y13" s="348" t="s">
        <v>539</v>
      </c>
      <c r="Z13" s="348">
        <v>1</v>
      </c>
      <c r="AA13" s="464" t="s">
        <v>628</v>
      </c>
      <c r="AO13" s="209"/>
      <c r="AP13" s="209"/>
    </row>
    <row r="14" spans="2:42" s="433" customFormat="1" ht="27" customHeight="1">
      <c r="B14" s="861"/>
      <c r="C14" s="862"/>
      <c r="D14" s="346">
        <v>10</v>
      </c>
      <c r="E14" s="457" t="s">
        <v>685</v>
      </c>
      <c r="F14" s="471">
        <v>1670.059999999999</v>
      </c>
      <c r="G14" s="347">
        <v>790</v>
      </c>
      <c r="H14" s="459">
        <v>55.085999999999999</v>
      </c>
      <c r="I14" s="460">
        <v>55.085999999999999</v>
      </c>
      <c r="J14" s="461">
        <v>1</v>
      </c>
      <c r="K14" s="460">
        <v>57.2</v>
      </c>
      <c r="L14" s="461">
        <v>1.0383763569691029</v>
      </c>
      <c r="M14" s="460">
        <v>0</v>
      </c>
      <c r="N14" s="461">
        <v>0</v>
      </c>
      <c r="O14" s="462">
        <v>57.2</v>
      </c>
      <c r="P14" s="461">
        <v>1.0383763569691029</v>
      </c>
      <c r="Q14" s="459">
        <v>1</v>
      </c>
      <c r="R14" s="461">
        <v>1.8153432814145155E-2</v>
      </c>
      <c r="S14" s="472">
        <v>790</v>
      </c>
      <c r="T14" s="462">
        <v>2.113999999999999</v>
      </c>
      <c r="U14" s="461">
        <v>3.837635696910284E-2</v>
      </c>
      <c r="V14" s="348" t="s">
        <v>328</v>
      </c>
      <c r="W14" s="348" t="s">
        <v>523</v>
      </c>
      <c r="X14" s="352" t="s">
        <v>799</v>
      </c>
      <c r="Y14" s="348" t="s">
        <v>541</v>
      </c>
      <c r="Z14" s="348">
        <v>1</v>
      </c>
      <c r="AA14" s="464" t="s">
        <v>656</v>
      </c>
    </row>
    <row r="15" spans="2:42" s="433" customFormat="1" ht="27" customHeight="1">
      <c r="B15" s="861"/>
      <c r="C15" s="862"/>
      <c r="D15" s="346">
        <v>11</v>
      </c>
      <c r="E15" s="457" t="s">
        <v>668</v>
      </c>
      <c r="F15" s="471">
        <v>1649.3806000000072</v>
      </c>
      <c r="G15" s="347">
        <v>416.3</v>
      </c>
      <c r="H15" s="459">
        <v>334.13800000000003</v>
      </c>
      <c r="I15" s="460">
        <v>336.12217067929225</v>
      </c>
      <c r="J15" s="461">
        <v>1.0062804659415312</v>
      </c>
      <c r="K15" s="460">
        <v>337.2</v>
      </c>
      <c r="L15" s="461">
        <v>1.0091638783975483</v>
      </c>
      <c r="M15" s="460">
        <v>0.9</v>
      </c>
      <c r="N15" s="461">
        <v>2.6934978960788656E-3</v>
      </c>
      <c r="O15" s="462">
        <v>338.09999999999997</v>
      </c>
      <c r="P15" s="461">
        <v>1.0118573762936269</v>
      </c>
      <c r="Q15" s="459">
        <v>2</v>
      </c>
      <c r="R15" s="461">
        <v>5.9855508801752565E-3</v>
      </c>
      <c r="S15" s="472">
        <v>832.6</v>
      </c>
      <c r="T15" s="462">
        <v>3.9620000000000175</v>
      </c>
      <c r="U15" s="461">
        <v>1.1787380737167504E-2</v>
      </c>
      <c r="V15" s="348" t="s">
        <v>326</v>
      </c>
      <c r="W15" s="348" t="s">
        <v>508</v>
      </c>
      <c r="X15" s="348" t="s">
        <v>674</v>
      </c>
      <c r="Y15" s="348" t="s">
        <v>800</v>
      </c>
      <c r="Z15" s="348">
        <v>1</v>
      </c>
      <c r="AA15" s="464" t="s">
        <v>667</v>
      </c>
      <c r="AE15" s="350"/>
    </row>
    <row r="16" spans="2:42" s="433" customFormat="1" ht="27" customHeight="1">
      <c r="B16" s="861"/>
      <c r="C16" s="862"/>
      <c r="D16" s="346">
        <v>12</v>
      </c>
      <c r="E16" s="457" t="s">
        <v>672</v>
      </c>
      <c r="F16" s="471">
        <v>1635.9679499999984</v>
      </c>
      <c r="G16" s="347">
        <v>103.97</v>
      </c>
      <c r="H16" s="459">
        <v>715.36500000000001</v>
      </c>
      <c r="I16" s="460">
        <v>719.97231702398392</v>
      </c>
      <c r="J16" s="461">
        <v>1.006548803176738</v>
      </c>
      <c r="K16" s="460">
        <v>731.09999999999991</v>
      </c>
      <c r="L16" s="461">
        <v>1.0219957643999915</v>
      </c>
      <c r="M16" s="460">
        <v>0</v>
      </c>
      <c r="N16" s="461">
        <v>0</v>
      </c>
      <c r="O16" s="462">
        <v>731.09999999999991</v>
      </c>
      <c r="P16" s="461">
        <v>1.0219957643999915</v>
      </c>
      <c r="Q16" s="459">
        <v>10.5</v>
      </c>
      <c r="R16" s="461">
        <v>1.4677821811243212E-2</v>
      </c>
      <c r="S16" s="472">
        <v>1091.6849999999999</v>
      </c>
      <c r="T16" s="462">
        <v>15.734999999999985</v>
      </c>
      <c r="U16" s="461">
        <v>2.1855006960602094E-2</v>
      </c>
      <c r="V16" s="348" t="s">
        <v>326</v>
      </c>
      <c r="W16" s="348" t="s">
        <v>508</v>
      </c>
      <c r="X16" s="348" t="s">
        <v>801</v>
      </c>
      <c r="Y16" s="348" t="s">
        <v>802</v>
      </c>
      <c r="Z16" s="348">
        <v>1</v>
      </c>
      <c r="AA16" s="464" t="s">
        <v>530</v>
      </c>
    </row>
    <row r="17" spans="2:27" s="433" customFormat="1" ht="27" customHeight="1">
      <c r="B17" s="861"/>
      <c r="C17" s="862"/>
      <c r="D17" s="346">
        <v>13</v>
      </c>
      <c r="E17" s="457" t="s">
        <v>683</v>
      </c>
      <c r="F17" s="471">
        <v>1614.7658399999873</v>
      </c>
      <c r="G17" s="347">
        <v>68.62</v>
      </c>
      <c r="H17" s="459">
        <v>6779.9680000000008</v>
      </c>
      <c r="I17" s="460">
        <v>6787.586913300489</v>
      </c>
      <c r="J17" s="461">
        <v>1.001136886376343</v>
      </c>
      <c r="K17" s="460">
        <v>6803.5000000000009</v>
      </c>
      <c r="L17" s="461">
        <v>1.0034708128415946</v>
      </c>
      <c r="M17" s="460">
        <v>0</v>
      </c>
      <c r="N17" s="461">
        <v>0</v>
      </c>
      <c r="O17" s="462">
        <v>6803.5000000000009</v>
      </c>
      <c r="P17" s="461">
        <v>1.0034708128415946</v>
      </c>
      <c r="Q17" s="459">
        <v>15.3</v>
      </c>
      <c r="R17" s="461">
        <v>2.2566478189867561E-3</v>
      </c>
      <c r="S17" s="472">
        <v>1049.886</v>
      </c>
      <c r="T17" s="462">
        <v>23.531999999999812</v>
      </c>
      <c r="U17" s="461">
        <v>3.4669169324208758E-3</v>
      </c>
      <c r="V17" s="348" t="s">
        <v>328</v>
      </c>
      <c r="W17" s="348" t="s">
        <v>523</v>
      </c>
      <c r="X17" s="348" t="s">
        <v>803</v>
      </c>
      <c r="Y17" s="348" t="s">
        <v>804</v>
      </c>
      <c r="Z17" s="348">
        <v>1</v>
      </c>
      <c r="AA17" s="464" t="s">
        <v>642</v>
      </c>
    </row>
    <row r="18" spans="2:27" s="433" customFormat="1" ht="27" customHeight="1">
      <c r="B18" s="861"/>
      <c r="C18" s="862"/>
      <c r="D18" s="346">
        <v>14</v>
      </c>
      <c r="E18" s="457" t="s">
        <v>661</v>
      </c>
      <c r="F18" s="471">
        <v>1592.7195200000008</v>
      </c>
      <c r="G18" s="347">
        <v>109.27</v>
      </c>
      <c r="H18" s="459">
        <v>954.82399999999996</v>
      </c>
      <c r="I18" s="460">
        <v>959.72218086833402</v>
      </c>
      <c r="J18" s="461">
        <v>1.0051713795538482</v>
      </c>
      <c r="K18" s="460">
        <v>969.40000000000009</v>
      </c>
      <c r="L18" s="461">
        <v>1.0152656405787874</v>
      </c>
      <c r="M18" s="460">
        <v>0</v>
      </c>
      <c r="N18" s="461">
        <v>0</v>
      </c>
      <c r="O18" s="462">
        <v>969.40000000000009</v>
      </c>
      <c r="P18" s="461">
        <v>1.0152656405787874</v>
      </c>
      <c r="Q18" s="459">
        <v>9.4999999999999982</v>
      </c>
      <c r="R18" s="461">
        <v>9.9494776000603243E-3</v>
      </c>
      <c r="S18" s="472">
        <v>1038.0649999999998</v>
      </c>
      <c r="T18" s="462">
        <v>14.576000000000008</v>
      </c>
      <c r="U18" s="461">
        <v>1.5187728584966106E-2</v>
      </c>
      <c r="V18" s="348" t="s">
        <v>326</v>
      </c>
      <c r="W18" s="348" t="s">
        <v>508</v>
      </c>
      <c r="X18" s="352" t="s">
        <v>637</v>
      </c>
      <c r="Y18" s="348" t="s">
        <v>638</v>
      </c>
      <c r="Z18" s="348">
        <v>1</v>
      </c>
      <c r="AA18" s="464" t="s">
        <v>656</v>
      </c>
    </row>
    <row r="19" spans="2:27" s="433" customFormat="1" ht="27" customHeight="1">
      <c r="B19" s="861"/>
      <c r="C19" s="862"/>
      <c r="D19" s="346">
        <v>15</v>
      </c>
      <c r="E19" s="457" t="s">
        <v>660</v>
      </c>
      <c r="F19" s="471">
        <v>1587.5905199999988</v>
      </c>
      <c r="G19" s="347">
        <v>593.27</v>
      </c>
      <c r="H19" s="459">
        <v>167.024</v>
      </c>
      <c r="I19" s="460">
        <v>167.024</v>
      </c>
      <c r="J19" s="461">
        <v>1</v>
      </c>
      <c r="K19" s="460">
        <v>169.70000000000002</v>
      </c>
      <c r="L19" s="461">
        <v>1.0160216495832934</v>
      </c>
      <c r="M19" s="460">
        <v>0</v>
      </c>
      <c r="N19" s="461">
        <v>0</v>
      </c>
      <c r="O19" s="462">
        <v>169.70000000000002</v>
      </c>
      <c r="P19" s="461">
        <v>1.0160216495832934</v>
      </c>
      <c r="Q19" s="459">
        <v>1.4000000000000001</v>
      </c>
      <c r="R19" s="461">
        <v>8.3820289299741356E-3</v>
      </c>
      <c r="S19" s="472">
        <v>830.57799999999997</v>
      </c>
      <c r="T19" s="462">
        <v>2.6759999999999984</v>
      </c>
      <c r="U19" s="461">
        <v>1.6021649583293409E-2</v>
      </c>
      <c r="V19" s="348" t="s">
        <v>328</v>
      </c>
      <c r="W19" s="348" t="s">
        <v>523</v>
      </c>
      <c r="X19" s="348" t="s">
        <v>805</v>
      </c>
      <c r="Y19" s="348" t="s">
        <v>541</v>
      </c>
      <c r="Z19" s="348">
        <v>1</v>
      </c>
      <c r="AA19" s="464" t="s">
        <v>659</v>
      </c>
    </row>
    <row r="20" spans="2:27" s="433" customFormat="1" ht="27" customHeight="1">
      <c r="B20" s="861"/>
      <c r="C20" s="862"/>
      <c r="D20" s="346">
        <v>16</v>
      </c>
      <c r="E20" s="457" t="s">
        <v>806</v>
      </c>
      <c r="F20" s="471">
        <v>1508.0231999999946</v>
      </c>
      <c r="G20" s="347">
        <v>221.28</v>
      </c>
      <c r="H20" s="459">
        <v>572.28499999999997</v>
      </c>
      <c r="I20" s="460">
        <v>574.02012831136585</v>
      </c>
      <c r="J20" s="461">
        <v>1.0033165638113781</v>
      </c>
      <c r="K20" s="460">
        <v>579.09999999999991</v>
      </c>
      <c r="L20" s="461">
        <v>1.0119084022820797</v>
      </c>
      <c r="M20" s="460">
        <v>0</v>
      </c>
      <c r="N20" s="461">
        <v>0</v>
      </c>
      <c r="O20" s="462">
        <v>579.09999999999991</v>
      </c>
      <c r="P20" s="461">
        <v>1.0119084022820797</v>
      </c>
      <c r="Q20" s="459">
        <v>4.4000000000000004</v>
      </c>
      <c r="R20" s="461">
        <v>7.6884768952532401E-3</v>
      </c>
      <c r="S20" s="472">
        <v>973.63200000000006</v>
      </c>
      <c r="T20" s="462">
        <v>6.8149999999999764</v>
      </c>
      <c r="U20" s="461">
        <v>1.1872405973024198E-2</v>
      </c>
      <c r="V20" s="348" t="s">
        <v>328</v>
      </c>
      <c r="W20" s="348" t="s">
        <v>194</v>
      </c>
      <c r="X20" s="348" t="s">
        <v>626</v>
      </c>
      <c r="Y20" s="348" t="s">
        <v>539</v>
      </c>
      <c r="Z20" s="348">
        <v>1</v>
      </c>
      <c r="AA20" s="464" t="s">
        <v>807</v>
      </c>
    </row>
    <row r="21" spans="2:27" s="433" customFormat="1" ht="27" customHeight="1">
      <c r="B21" s="861"/>
      <c r="C21" s="862"/>
      <c r="D21" s="346">
        <v>17</v>
      </c>
      <c r="E21" s="457" t="s">
        <v>808</v>
      </c>
      <c r="F21" s="471">
        <v>1477.1489199999942</v>
      </c>
      <c r="G21" s="347">
        <v>116.66</v>
      </c>
      <c r="H21" s="459">
        <v>1500.1379999999999</v>
      </c>
      <c r="I21" s="460">
        <v>1504.5509747027509</v>
      </c>
      <c r="J21" s="461">
        <v>1.0029038693575931</v>
      </c>
      <c r="K21" s="460">
        <v>1511.6999999999998</v>
      </c>
      <c r="L21" s="461">
        <v>1.0077072909292344</v>
      </c>
      <c r="M21" s="460">
        <v>1.1000000000000001</v>
      </c>
      <c r="N21" s="461">
        <v>7.3326587287302915E-4</v>
      </c>
      <c r="O21" s="462">
        <v>1512.7999999999997</v>
      </c>
      <c r="P21" s="461">
        <v>1.0084405568021073</v>
      </c>
      <c r="Q21" s="459">
        <v>8.2000000000000011</v>
      </c>
      <c r="R21" s="461">
        <v>5.4661637795989449E-3</v>
      </c>
      <c r="S21" s="472">
        <v>956.61199999999997</v>
      </c>
      <c r="T21" s="462">
        <v>12.661999999999949</v>
      </c>
      <c r="U21" s="461">
        <v>8.4157999382517019E-3</v>
      </c>
      <c r="V21" s="348" t="s">
        <v>326</v>
      </c>
      <c r="W21" s="348" t="s">
        <v>508</v>
      </c>
      <c r="X21" s="348" t="s">
        <v>809</v>
      </c>
      <c r="Y21" s="348" t="s">
        <v>541</v>
      </c>
      <c r="Z21" s="348">
        <v>1</v>
      </c>
      <c r="AA21" s="464" t="s">
        <v>334</v>
      </c>
    </row>
    <row r="22" spans="2:27" s="433" customFormat="1" ht="27" customHeight="1">
      <c r="B22" s="861"/>
      <c r="C22" s="862"/>
      <c r="D22" s="346">
        <v>18</v>
      </c>
      <c r="E22" s="457" t="s">
        <v>649</v>
      </c>
      <c r="F22" s="471">
        <v>1460.920800000001</v>
      </c>
      <c r="G22" s="347">
        <v>127.48</v>
      </c>
      <c r="H22" s="459">
        <v>1143.04</v>
      </c>
      <c r="I22" s="460">
        <v>1145.9129109324012</v>
      </c>
      <c r="J22" s="461">
        <v>1.002491541669674</v>
      </c>
      <c r="K22" s="460">
        <v>1154.5</v>
      </c>
      <c r="L22" s="461">
        <v>1.010025895856663</v>
      </c>
      <c r="M22" s="460">
        <v>0</v>
      </c>
      <c r="N22" s="461">
        <v>0</v>
      </c>
      <c r="O22" s="462">
        <v>1154.5</v>
      </c>
      <c r="P22" s="461">
        <v>1.010025895856663</v>
      </c>
      <c r="Q22" s="459">
        <v>8.6000000000000014</v>
      </c>
      <c r="R22" s="461">
        <v>7.5237961926091839E-3</v>
      </c>
      <c r="S22" s="472">
        <v>1096.328</v>
      </c>
      <c r="T22" s="462">
        <v>11.460000000000008</v>
      </c>
      <c r="U22" s="461">
        <v>1.0000759997263044E-2</v>
      </c>
      <c r="V22" s="348" t="s">
        <v>326</v>
      </c>
      <c r="W22" s="348" t="s">
        <v>508</v>
      </c>
      <c r="X22" s="348" t="s">
        <v>596</v>
      </c>
      <c r="Y22" s="348" t="s">
        <v>538</v>
      </c>
      <c r="Z22" s="348">
        <v>1</v>
      </c>
      <c r="AA22" s="464" t="s">
        <v>331</v>
      </c>
    </row>
    <row r="23" spans="2:27" s="433" customFormat="1" ht="27" customHeight="1">
      <c r="B23" s="861"/>
      <c r="C23" s="862"/>
      <c r="D23" s="346">
        <v>19</v>
      </c>
      <c r="E23" s="457" t="s">
        <v>665</v>
      </c>
      <c r="F23" s="471">
        <v>1430.9454000000001</v>
      </c>
      <c r="G23" s="347">
        <v>238.65</v>
      </c>
      <c r="H23" s="459">
        <v>106.404</v>
      </c>
      <c r="I23" s="460">
        <v>108.19740582852317</v>
      </c>
      <c r="J23" s="461">
        <v>1.0167424374590852</v>
      </c>
      <c r="K23" s="460">
        <v>112.4</v>
      </c>
      <c r="L23" s="461">
        <v>1.056351264990038</v>
      </c>
      <c r="M23" s="460">
        <v>0</v>
      </c>
      <c r="N23" s="461">
        <v>0</v>
      </c>
      <c r="O23" s="462">
        <v>112.4</v>
      </c>
      <c r="P23" s="461">
        <v>1.056351264990038</v>
      </c>
      <c r="Q23" s="459">
        <v>4.2</v>
      </c>
      <c r="R23" s="461">
        <v>3.9472200293222064E-2</v>
      </c>
      <c r="S23" s="472">
        <v>1002.3300000000002</v>
      </c>
      <c r="T23" s="462">
        <v>5.9960000000000004</v>
      </c>
      <c r="U23" s="461">
        <v>5.5417225155127751E-2</v>
      </c>
      <c r="V23" s="348" t="s">
        <v>326</v>
      </c>
      <c r="W23" s="348" t="s">
        <v>508</v>
      </c>
      <c r="X23" s="348" t="s">
        <v>621</v>
      </c>
      <c r="Y23" s="348" t="s">
        <v>622</v>
      </c>
      <c r="Z23" s="348">
        <v>1</v>
      </c>
      <c r="AA23" s="464" t="s">
        <v>654</v>
      </c>
    </row>
    <row r="24" spans="2:27" s="433" customFormat="1" ht="27" customHeight="1">
      <c r="B24" s="863"/>
      <c r="C24" s="864"/>
      <c r="D24" s="346">
        <v>20</v>
      </c>
      <c r="E24" s="457" t="s">
        <v>670</v>
      </c>
      <c r="F24" s="471">
        <v>1429.6800000000553</v>
      </c>
      <c r="G24" s="347">
        <v>102.12</v>
      </c>
      <c r="H24" s="459">
        <v>2379.3000000000002</v>
      </c>
      <c r="I24" s="460">
        <v>2384.2698977395958</v>
      </c>
      <c r="J24" s="461">
        <v>1.0020942314855816</v>
      </c>
      <c r="K24" s="460">
        <v>2393.3000000000002</v>
      </c>
      <c r="L24" s="461">
        <v>1.0058840835539864</v>
      </c>
      <c r="M24" s="460">
        <v>0</v>
      </c>
      <c r="N24" s="461">
        <v>0</v>
      </c>
      <c r="O24" s="462">
        <v>2393.3000000000002</v>
      </c>
      <c r="P24" s="461">
        <v>1.0058840835539864</v>
      </c>
      <c r="Q24" s="459">
        <v>10</v>
      </c>
      <c r="R24" s="461">
        <v>4.2029168242760468E-3</v>
      </c>
      <c r="S24" s="472">
        <v>1021.2</v>
      </c>
      <c r="T24" s="462">
        <v>14.00000000000054</v>
      </c>
      <c r="U24" s="461">
        <v>5.8718184603484798E-3</v>
      </c>
      <c r="V24" s="348" t="s">
        <v>326</v>
      </c>
      <c r="W24" s="348" t="s">
        <v>508</v>
      </c>
      <c r="X24" s="348" t="s">
        <v>597</v>
      </c>
      <c r="Y24" s="348" t="s">
        <v>541</v>
      </c>
      <c r="Z24" s="348">
        <v>1</v>
      </c>
      <c r="AA24" s="464" t="s">
        <v>666</v>
      </c>
    </row>
    <row r="25" spans="2:27" ht="27" customHeight="1"/>
    <row r="26" spans="2:27" ht="27" customHeight="1"/>
    <row r="27" spans="2:27" ht="29.25" customHeight="1"/>
    <row r="28" spans="2:27" ht="28.5" customHeight="1"/>
    <row r="29" spans="2:27" ht="28.5" customHeight="1"/>
    <row r="30" spans="2:27" ht="28.5" customHeight="1"/>
    <row r="31" spans="2:27" ht="28.5" customHeight="1"/>
    <row r="32" spans="2:27" ht="28.5" customHeight="1"/>
    <row r="41" ht="14.1" customHeight="1"/>
    <row r="51" ht="14.1" customHeight="1"/>
    <row r="61" ht="14.1" customHeight="1"/>
    <row r="86" spans="26:26">
      <c r="Z86" s="344" t="s">
        <v>524</v>
      </c>
    </row>
    <row r="87" spans="26:26">
      <c r="Z87" s="344" t="s">
        <v>525</v>
      </c>
    </row>
    <row r="90" spans="26:26" ht="18.75" customHeight="1"/>
    <row r="91" spans="26:26" ht="14.1" customHeight="1"/>
    <row r="101" ht="14.1" customHeight="1"/>
    <row r="111" ht="14.1" customHeight="1"/>
    <row r="121" ht="14.1" customHeight="1"/>
    <row r="141" ht="14.1" customHeight="1"/>
    <row r="161" ht="14.1" customHeight="1"/>
    <row r="171" ht="14.1" customHeight="1"/>
    <row r="181" ht="14.1" customHeight="1"/>
    <row r="191" ht="14.1" customHeight="1"/>
    <row r="201" ht="14.1" customHeight="1"/>
    <row r="211" ht="14.1" customHeight="1"/>
    <row r="221" ht="14.1" customHeight="1"/>
    <row r="231" ht="14.1" customHeight="1"/>
    <row r="241" ht="14.1" customHeight="1"/>
    <row r="251" ht="14.1" customHeight="1"/>
    <row r="261" ht="14.1" customHeight="1"/>
    <row r="271" ht="14.1" customHeight="1"/>
  </sheetData>
  <mergeCells count="21">
    <mergeCell ref="B5:C24"/>
    <mergeCell ref="B2:AA2"/>
    <mergeCell ref="B3:C4"/>
    <mergeCell ref="D3:D4"/>
    <mergeCell ref="E3:E4"/>
    <mergeCell ref="F3:F4"/>
    <mergeCell ref="G3:G4"/>
    <mergeCell ref="H3:H4"/>
    <mergeCell ref="I3:J3"/>
    <mergeCell ref="K3:L3"/>
    <mergeCell ref="M3:N3"/>
    <mergeCell ref="O3:P3"/>
    <mergeCell ref="Q3:S3"/>
    <mergeCell ref="T3:U3"/>
    <mergeCell ref="V3:V4"/>
    <mergeCell ref="W3:W4"/>
    <mergeCell ref="X3:X4"/>
    <mergeCell ref="Y3:Y4"/>
    <mergeCell ref="Z3:Z4"/>
    <mergeCell ref="AA3:AA4"/>
    <mergeCell ref="AC3:AJ5"/>
  </mergeCells>
  <phoneticPr fontId="83" type="noConversion"/>
  <dataValidations count="4">
    <dataValidation type="list" allowBlank="1" showInputMessage="1" showErrorMessage="1" sqref="U25:U1048576">
      <formula1>#REF!</formula1>
    </dataValidation>
    <dataValidation type="list" allowBlank="1" showInputMessage="1" showErrorMessage="1" sqref="T25:T1048576">
      <formula1>$AC$1:$AC$1</formula1>
    </dataValidation>
    <dataValidation type="list" allowBlank="1" showInputMessage="1" showErrorMessage="1" sqref="V5:V24">
      <formula1>$AP$7:$AP$13</formula1>
    </dataValidation>
    <dataValidation type="list" allowBlank="1" showInputMessage="1" showErrorMessage="1" sqref="W5:W24">
      <formula1>$AO$7:$AO$13</formula1>
    </dataValidation>
  </dataValidations>
  <pageMargins left="0" right="0" top="0" bottom="0" header="0" footer="0"/>
  <pageSetup paperSize="9" scale="20" orientation="landscape" horizontalDpi="300" verticalDpi="3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I55"/>
  <sheetViews>
    <sheetView zoomScale="70" zoomScaleNormal="70" workbookViewId="0">
      <selection activeCell="R18" sqref="R18"/>
    </sheetView>
  </sheetViews>
  <sheetFormatPr defaultColWidth="8.28515625" defaultRowHeight="15"/>
  <cols>
    <col min="1" max="9" width="25.7109375" style="488" customWidth="1"/>
    <col min="10" max="16384" width="8.28515625" style="351"/>
  </cols>
  <sheetData>
    <row r="1" spans="1:9" ht="27" customHeight="1">
      <c r="A1" s="878" t="s">
        <v>737</v>
      </c>
      <c r="B1" s="879"/>
      <c r="C1" s="879"/>
      <c r="D1" s="879"/>
      <c r="E1" s="879"/>
      <c r="F1" s="879"/>
      <c r="G1" s="879"/>
      <c r="H1" s="879"/>
      <c r="I1" s="879"/>
    </row>
    <row r="2" spans="1:9" ht="16.5" customHeight="1">
      <c r="A2" s="473" t="s">
        <v>738</v>
      </c>
      <c r="B2" s="474">
        <f>SUM(C7:C37)</f>
        <v>391334.44300000014</v>
      </c>
      <c r="C2" s="473" t="s">
        <v>739</v>
      </c>
      <c r="D2" s="475">
        <f>B2/B54</f>
        <v>2.4227997910149192E-3</v>
      </c>
      <c r="E2" s="473" t="s">
        <v>740</v>
      </c>
      <c r="F2" s="474">
        <f>SUM(E7:E37)</f>
        <v>679277.88743776269</v>
      </c>
      <c r="G2" s="876" t="s">
        <v>741</v>
      </c>
      <c r="H2" s="877"/>
      <c r="I2" s="476">
        <f>F2/B54</f>
        <v>4.2054931610639411E-3</v>
      </c>
    </row>
    <row r="3" spans="1:9" ht="37.5" customHeight="1">
      <c r="A3" s="477" t="s">
        <v>742</v>
      </c>
      <c r="B3" s="477" t="s">
        <v>743</v>
      </c>
      <c r="C3" s="477" t="s">
        <v>744</v>
      </c>
      <c r="D3" s="477" t="s">
        <v>745</v>
      </c>
      <c r="E3" s="477" t="s">
        <v>746</v>
      </c>
      <c r="F3" s="477" t="s">
        <v>747</v>
      </c>
      <c r="G3" s="478" t="s">
        <v>748</v>
      </c>
      <c r="H3" s="479" t="s">
        <v>749</v>
      </c>
      <c r="I3" s="479" t="s">
        <v>750</v>
      </c>
    </row>
    <row r="4" spans="1:9" ht="18">
      <c r="A4" s="480">
        <v>46140</v>
      </c>
      <c r="B4" s="481"/>
      <c r="C4" s="482"/>
      <c r="D4" s="483" t="e">
        <f t="shared" ref="D4:D52" si="0">C4/B4</f>
        <v>#DIV/0!</v>
      </c>
      <c r="E4" s="482"/>
      <c r="F4" s="484" t="e">
        <f t="shared" ref="F4:F52" si="1">E4/B4</f>
        <v>#DIV/0!</v>
      </c>
      <c r="G4" s="880">
        <f>SUM(B4:B10)</f>
        <v>34730507</v>
      </c>
      <c r="H4" s="880">
        <f>SUM(C4:C10)</f>
        <v>84051.657000000036</v>
      </c>
      <c r="I4" s="880">
        <f>SUM(E4:E10)</f>
        <v>151698.32177130505</v>
      </c>
    </row>
    <row r="5" spans="1:9" ht="18">
      <c r="A5" s="480">
        <f>A4+1</f>
        <v>46141</v>
      </c>
      <c r="B5" s="481"/>
      <c r="C5" s="482"/>
      <c r="D5" s="483" t="e">
        <f t="shared" si="0"/>
        <v>#DIV/0!</v>
      </c>
      <c r="E5" s="482"/>
      <c r="F5" s="484" t="e">
        <f t="shared" si="1"/>
        <v>#DIV/0!</v>
      </c>
      <c r="G5" s="880"/>
      <c r="H5" s="880"/>
      <c r="I5" s="880"/>
    </row>
    <row r="6" spans="1:9" ht="18">
      <c r="A6" s="480">
        <f t="shared" ref="A6:A52" si="2">A5+1</f>
        <v>46142</v>
      </c>
      <c r="B6" s="481"/>
      <c r="C6" s="482"/>
      <c r="D6" s="483" t="e">
        <f t="shared" si="0"/>
        <v>#DIV/0!</v>
      </c>
      <c r="E6" s="482"/>
      <c r="F6" s="484" t="e">
        <f t="shared" si="1"/>
        <v>#DIV/0!</v>
      </c>
      <c r="G6" s="880"/>
      <c r="H6" s="880"/>
      <c r="I6" s="880"/>
    </row>
    <row r="7" spans="1:9" ht="18">
      <c r="A7" s="480">
        <f t="shared" si="2"/>
        <v>46143</v>
      </c>
      <c r="B7" s="481">
        <v>7354476</v>
      </c>
      <c r="C7" s="482">
        <v>17796.568000000017</v>
      </c>
      <c r="D7" s="483">
        <f t="shared" si="0"/>
        <v>2.4198281427527967E-3</v>
      </c>
      <c r="E7" s="482">
        <v>34480.459860120849</v>
      </c>
      <c r="F7" s="484">
        <f t="shared" si="1"/>
        <v>4.6883639106471827E-3</v>
      </c>
      <c r="G7" s="880"/>
      <c r="H7" s="880"/>
      <c r="I7" s="880"/>
    </row>
    <row r="8" spans="1:9" ht="18">
      <c r="A8" s="480">
        <f t="shared" si="2"/>
        <v>46144</v>
      </c>
      <c r="B8" s="481">
        <v>7703936</v>
      </c>
      <c r="C8" s="482">
        <v>18697.218000000012</v>
      </c>
      <c r="D8" s="483">
        <f t="shared" si="0"/>
        <v>2.4269695386877582E-3</v>
      </c>
      <c r="E8" s="482">
        <v>34958.657183982148</v>
      </c>
      <c r="F8" s="484">
        <f t="shared" si="1"/>
        <v>4.5377657841371146E-3</v>
      </c>
      <c r="G8" s="880"/>
      <c r="H8" s="880"/>
      <c r="I8" s="880"/>
    </row>
    <row r="9" spans="1:9" ht="18">
      <c r="A9" s="480">
        <f t="shared" si="2"/>
        <v>46145</v>
      </c>
      <c r="B9" s="481">
        <v>10123968</v>
      </c>
      <c r="C9" s="482">
        <v>24620.215</v>
      </c>
      <c r="D9" s="483">
        <f t="shared" si="0"/>
        <v>2.4318740438531612E-3</v>
      </c>
      <c r="E9" s="482">
        <v>42892.230002855948</v>
      </c>
      <c r="F9" s="484">
        <f t="shared" si="1"/>
        <v>4.2367014596308428E-3</v>
      </c>
      <c r="G9" s="880"/>
      <c r="H9" s="880"/>
      <c r="I9" s="880"/>
    </row>
    <row r="10" spans="1:9" ht="18">
      <c r="A10" s="480">
        <f t="shared" si="2"/>
        <v>46146</v>
      </c>
      <c r="B10" s="481">
        <v>9548127</v>
      </c>
      <c r="C10" s="482">
        <v>22937.656000000006</v>
      </c>
      <c r="D10" s="483">
        <f t="shared" si="0"/>
        <v>2.4023199523843792E-3</v>
      </c>
      <c r="E10" s="482">
        <v>39366.974724346102</v>
      </c>
      <c r="F10" s="484">
        <f t="shared" si="1"/>
        <v>4.1230049332550882E-3</v>
      </c>
      <c r="G10" s="880"/>
      <c r="H10" s="880"/>
      <c r="I10" s="880"/>
    </row>
    <row r="11" spans="1:9" ht="18">
      <c r="A11" s="485">
        <f t="shared" si="2"/>
        <v>46147</v>
      </c>
      <c r="B11" s="481">
        <v>9809562</v>
      </c>
      <c r="C11" s="482">
        <v>23718.027000000009</v>
      </c>
      <c r="D11" s="483">
        <f t="shared" si="0"/>
        <v>2.4178477081851371E-3</v>
      </c>
      <c r="E11" s="482">
        <v>39048.724990381736</v>
      </c>
      <c r="F11" s="484">
        <f t="shared" si="1"/>
        <v>3.980679768411855E-3</v>
      </c>
      <c r="G11" s="881">
        <f>SUM(B11:B17)</f>
        <v>62847274</v>
      </c>
      <c r="H11" s="881">
        <f>SUM(C11:C17)</f>
        <v>152678.99800000005</v>
      </c>
      <c r="I11" s="881">
        <f>SUM(E11:E17)</f>
        <v>265832.52842719236</v>
      </c>
    </row>
    <row r="12" spans="1:9" ht="18">
      <c r="A12" s="485">
        <f t="shared" si="2"/>
        <v>46148</v>
      </c>
      <c r="B12" s="481">
        <v>9009158</v>
      </c>
      <c r="C12" s="482">
        <v>21889.303000000022</v>
      </c>
      <c r="D12" s="483">
        <f t="shared" si="0"/>
        <v>2.4296724510770064E-3</v>
      </c>
      <c r="E12" s="482">
        <v>37538.407030464725</v>
      </c>
      <c r="F12" s="484">
        <f t="shared" si="1"/>
        <v>4.1666942715917208E-3</v>
      </c>
      <c r="G12" s="881"/>
      <c r="H12" s="881"/>
      <c r="I12" s="881"/>
    </row>
    <row r="13" spans="1:9" ht="18">
      <c r="A13" s="485">
        <f>A12+1</f>
        <v>46149</v>
      </c>
      <c r="B13" s="481">
        <v>8524326</v>
      </c>
      <c r="C13" s="482">
        <v>20757.306000000015</v>
      </c>
      <c r="D13" s="483">
        <f t="shared" si="0"/>
        <v>2.4350671243685441E-3</v>
      </c>
      <c r="E13" s="482">
        <v>35735.075560689198</v>
      </c>
      <c r="F13" s="484">
        <f t="shared" si="1"/>
        <v>4.1921291560985813E-3</v>
      </c>
      <c r="G13" s="881"/>
      <c r="H13" s="881"/>
      <c r="I13" s="881"/>
    </row>
    <row r="14" spans="1:9" ht="18">
      <c r="A14" s="485">
        <f t="shared" si="2"/>
        <v>46150</v>
      </c>
      <c r="B14" s="481">
        <v>7943685</v>
      </c>
      <c r="C14" s="482">
        <v>19234.794000000013</v>
      </c>
      <c r="D14" s="483">
        <f t="shared" si="0"/>
        <v>2.4213943528727552E-3</v>
      </c>
      <c r="E14" s="482">
        <v>35294.536100233687</v>
      </c>
      <c r="F14" s="484">
        <f t="shared" si="1"/>
        <v>4.4430936146427867E-3</v>
      </c>
      <c r="G14" s="881"/>
      <c r="H14" s="881"/>
      <c r="I14" s="881"/>
    </row>
    <row r="15" spans="1:9" ht="18">
      <c r="A15" s="485">
        <f t="shared" si="2"/>
        <v>46151</v>
      </c>
      <c r="B15" s="481">
        <v>8070561</v>
      </c>
      <c r="C15" s="482">
        <v>19720.489000000005</v>
      </c>
      <c r="D15" s="483">
        <f t="shared" si="0"/>
        <v>2.443509069567779E-3</v>
      </c>
      <c r="E15" s="482">
        <v>35656.35975830043</v>
      </c>
      <c r="F15" s="484">
        <f t="shared" si="1"/>
        <v>4.4180769785768835E-3</v>
      </c>
      <c r="G15" s="881"/>
      <c r="H15" s="881"/>
      <c r="I15" s="881"/>
    </row>
    <row r="16" spans="1:9" ht="18">
      <c r="A16" s="485">
        <f t="shared" si="2"/>
        <v>46152</v>
      </c>
      <c r="B16" s="481">
        <v>9698095</v>
      </c>
      <c r="C16" s="482">
        <v>23541.26400000001</v>
      </c>
      <c r="D16" s="483">
        <f t="shared" si="0"/>
        <v>2.4274111565209468E-3</v>
      </c>
      <c r="E16" s="482">
        <v>42167.852972408618</v>
      </c>
      <c r="F16" s="484">
        <f t="shared" si="1"/>
        <v>4.3480552595544404E-3</v>
      </c>
      <c r="G16" s="881"/>
      <c r="H16" s="881"/>
      <c r="I16" s="881"/>
    </row>
    <row r="17" spans="1:9" ht="18">
      <c r="A17" s="485">
        <f t="shared" si="2"/>
        <v>46153</v>
      </c>
      <c r="B17" s="481">
        <v>9791887</v>
      </c>
      <c r="C17" s="482">
        <v>23817.814999999995</v>
      </c>
      <c r="D17" s="483">
        <f t="shared" si="0"/>
        <v>2.4324029678855562E-3</v>
      </c>
      <c r="E17" s="482">
        <v>40391.572014713951</v>
      </c>
      <c r="F17" s="484">
        <f t="shared" si="1"/>
        <v>4.1250038950320757E-3</v>
      </c>
      <c r="G17" s="881"/>
      <c r="H17" s="881"/>
      <c r="I17" s="881"/>
    </row>
    <row r="18" spans="1:9" ht="18">
      <c r="A18" s="480">
        <f t="shared" si="2"/>
        <v>46154</v>
      </c>
      <c r="B18" s="481">
        <v>10338215</v>
      </c>
      <c r="C18" s="482">
        <v>25028.496999999999</v>
      </c>
      <c r="D18" s="483">
        <f t="shared" si="0"/>
        <v>2.4209689003372439E-3</v>
      </c>
      <c r="E18" s="482">
        <v>41478.928042053209</v>
      </c>
      <c r="F18" s="484">
        <f t="shared" si="1"/>
        <v>4.0121943722444551E-3</v>
      </c>
      <c r="G18" s="880">
        <f>SUM(B18:B24)</f>
        <v>63943796</v>
      </c>
      <c r="H18" s="880">
        <f>SUM(C18:C24)</f>
        <v>154603.788</v>
      </c>
      <c r="I18" s="880">
        <f>SUM(E18:E24)</f>
        <v>261747.03723926519</v>
      </c>
    </row>
    <row r="19" spans="1:9" ht="18">
      <c r="A19" s="480">
        <f t="shared" si="2"/>
        <v>46155</v>
      </c>
      <c r="B19" s="481">
        <v>9489109</v>
      </c>
      <c r="C19" s="482">
        <v>22856.741999999998</v>
      </c>
      <c r="D19" s="483">
        <f t="shared" si="0"/>
        <v>2.4087342657777458E-3</v>
      </c>
      <c r="E19" s="482">
        <v>38219.261057228228</v>
      </c>
      <c r="F19" s="484">
        <f t="shared" si="1"/>
        <v>4.0276975485504726E-3</v>
      </c>
      <c r="G19" s="880"/>
      <c r="H19" s="880"/>
      <c r="I19" s="880"/>
    </row>
    <row r="20" spans="1:9" ht="18">
      <c r="A20" s="480">
        <f t="shared" si="2"/>
        <v>46156</v>
      </c>
      <c r="B20" s="481">
        <v>8697323</v>
      </c>
      <c r="C20" s="482">
        <v>20935.635999999995</v>
      </c>
      <c r="D20" s="483">
        <f t="shared" si="0"/>
        <v>2.4071356209261164E-3</v>
      </c>
      <c r="E20" s="482">
        <v>37888.130193800876</v>
      </c>
      <c r="F20" s="484">
        <f t="shared" si="1"/>
        <v>4.3562979314210682E-3</v>
      </c>
      <c r="G20" s="880"/>
      <c r="H20" s="880"/>
      <c r="I20" s="880"/>
    </row>
    <row r="21" spans="1:9" ht="18">
      <c r="A21" s="480">
        <f t="shared" si="2"/>
        <v>46157</v>
      </c>
      <c r="B21" s="481">
        <v>7747013</v>
      </c>
      <c r="C21" s="482">
        <v>18766.38900000001</v>
      </c>
      <c r="D21" s="483">
        <f t="shared" si="0"/>
        <v>2.4224031894615394E-3</v>
      </c>
      <c r="E21" s="482">
        <v>31739.180837239597</v>
      </c>
      <c r="F21" s="484">
        <f t="shared" si="1"/>
        <v>4.096957219155253E-3</v>
      </c>
      <c r="G21" s="880"/>
      <c r="H21" s="880"/>
      <c r="I21" s="880"/>
    </row>
    <row r="22" spans="1:9" ht="18">
      <c r="A22" s="480">
        <f t="shared" si="2"/>
        <v>46158</v>
      </c>
      <c r="B22" s="481">
        <v>8066990</v>
      </c>
      <c r="C22" s="482">
        <v>19618.128999999994</v>
      </c>
      <c r="D22" s="483">
        <f t="shared" si="0"/>
        <v>2.4319019857468515E-3</v>
      </c>
      <c r="E22" s="482">
        <v>32752.259427987949</v>
      </c>
      <c r="F22" s="484">
        <f t="shared" si="1"/>
        <v>4.0600347128220008E-3</v>
      </c>
      <c r="G22" s="880"/>
      <c r="H22" s="880"/>
      <c r="I22" s="880"/>
    </row>
    <row r="23" spans="1:9" ht="18">
      <c r="A23" s="480">
        <f t="shared" si="2"/>
        <v>46159</v>
      </c>
      <c r="B23" s="481">
        <v>9834074</v>
      </c>
      <c r="C23" s="482">
        <v>23786.340000000004</v>
      </c>
      <c r="D23" s="483">
        <f t="shared" si="0"/>
        <v>2.4187676440100008E-3</v>
      </c>
      <c r="E23" s="482">
        <v>38965.774766202114</v>
      </c>
      <c r="F23" s="484">
        <f t="shared" si="1"/>
        <v>3.962322712458958E-3</v>
      </c>
      <c r="G23" s="880"/>
      <c r="H23" s="880"/>
      <c r="I23" s="880"/>
    </row>
    <row r="24" spans="1:9" ht="18">
      <c r="A24" s="480">
        <f t="shared" si="2"/>
        <v>46160</v>
      </c>
      <c r="B24" s="481">
        <v>9771072</v>
      </c>
      <c r="C24" s="482">
        <v>23612.054999999997</v>
      </c>
      <c r="D24" s="483">
        <f t="shared" si="0"/>
        <v>2.4165265592147921E-3</v>
      </c>
      <c r="E24" s="482">
        <v>40703.502914753219</v>
      </c>
      <c r="F24" s="484">
        <f t="shared" si="1"/>
        <v>4.1657151758530912E-3</v>
      </c>
      <c r="G24" s="880"/>
      <c r="H24" s="880"/>
      <c r="I24" s="880"/>
    </row>
    <row r="25" spans="1:9" ht="18">
      <c r="A25" s="485">
        <f t="shared" si="2"/>
        <v>46161</v>
      </c>
      <c r="B25" s="481"/>
      <c r="C25" s="482"/>
      <c r="D25" s="483" t="e">
        <f t="shared" si="0"/>
        <v>#DIV/0!</v>
      </c>
      <c r="E25" s="482"/>
      <c r="F25" s="484" t="e">
        <f t="shared" si="1"/>
        <v>#DIV/0!</v>
      </c>
      <c r="G25" s="881">
        <f>SUM(B25:B31)</f>
        <v>0</v>
      </c>
      <c r="H25" s="881">
        <f>SUM(C25:C31)</f>
        <v>0</v>
      </c>
      <c r="I25" s="881">
        <f>SUM(E25:E31)</f>
        <v>0</v>
      </c>
    </row>
    <row r="26" spans="1:9" ht="18">
      <c r="A26" s="485">
        <f t="shared" si="2"/>
        <v>46162</v>
      </c>
      <c r="B26" s="481"/>
      <c r="C26" s="482"/>
      <c r="D26" s="483" t="e">
        <f t="shared" si="0"/>
        <v>#DIV/0!</v>
      </c>
      <c r="E26" s="482"/>
      <c r="F26" s="484" t="e">
        <f t="shared" si="1"/>
        <v>#DIV/0!</v>
      </c>
      <c r="G26" s="881"/>
      <c r="H26" s="881"/>
      <c r="I26" s="881"/>
    </row>
    <row r="27" spans="1:9" ht="18">
      <c r="A27" s="485">
        <f t="shared" si="2"/>
        <v>46163</v>
      </c>
      <c r="B27" s="481"/>
      <c r="C27" s="482"/>
      <c r="D27" s="483" t="e">
        <f t="shared" si="0"/>
        <v>#DIV/0!</v>
      </c>
      <c r="E27" s="482"/>
      <c r="F27" s="484" t="e">
        <f t="shared" si="1"/>
        <v>#DIV/0!</v>
      </c>
      <c r="G27" s="881"/>
      <c r="H27" s="881"/>
      <c r="I27" s="881"/>
    </row>
    <row r="28" spans="1:9" ht="18">
      <c r="A28" s="485">
        <f t="shared" si="2"/>
        <v>46164</v>
      </c>
      <c r="B28" s="481"/>
      <c r="C28" s="482"/>
      <c r="D28" s="483" t="e">
        <f t="shared" si="0"/>
        <v>#DIV/0!</v>
      </c>
      <c r="E28" s="482"/>
      <c r="F28" s="484" t="e">
        <f t="shared" si="1"/>
        <v>#DIV/0!</v>
      </c>
      <c r="G28" s="881"/>
      <c r="H28" s="881"/>
      <c r="I28" s="881"/>
    </row>
    <row r="29" spans="1:9" ht="18">
      <c r="A29" s="485">
        <f t="shared" si="2"/>
        <v>46165</v>
      </c>
      <c r="B29" s="481"/>
      <c r="C29" s="482"/>
      <c r="D29" s="483" t="e">
        <f t="shared" si="0"/>
        <v>#DIV/0!</v>
      </c>
      <c r="E29" s="482"/>
      <c r="F29" s="484" t="e">
        <f t="shared" si="1"/>
        <v>#DIV/0!</v>
      </c>
      <c r="G29" s="881"/>
      <c r="H29" s="881"/>
      <c r="I29" s="881"/>
    </row>
    <row r="30" spans="1:9" ht="18">
      <c r="A30" s="485">
        <f t="shared" si="2"/>
        <v>46166</v>
      </c>
      <c r="B30" s="481"/>
      <c r="C30" s="482"/>
      <c r="D30" s="483" t="e">
        <f t="shared" si="0"/>
        <v>#DIV/0!</v>
      </c>
      <c r="E30" s="482"/>
      <c r="F30" s="484" t="e">
        <f t="shared" si="1"/>
        <v>#DIV/0!</v>
      </c>
      <c r="G30" s="881"/>
      <c r="H30" s="881"/>
      <c r="I30" s="881"/>
    </row>
    <row r="31" spans="1:9" ht="18">
      <c r="A31" s="485">
        <f t="shared" si="2"/>
        <v>46167</v>
      </c>
      <c r="B31" s="481"/>
      <c r="C31" s="482"/>
      <c r="D31" s="483" t="e">
        <f t="shared" si="0"/>
        <v>#DIV/0!</v>
      </c>
      <c r="E31" s="482"/>
      <c r="F31" s="484" t="e">
        <f t="shared" si="1"/>
        <v>#DIV/0!</v>
      </c>
      <c r="G31" s="881"/>
      <c r="H31" s="881"/>
      <c r="I31" s="881"/>
    </row>
    <row r="32" spans="1:9" ht="18">
      <c r="A32" s="480">
        <f t="shared" si="2"/>
        <v>46168</v>
      </c>
      <c r="B32" s="481"/>
      <c r="C32" s="482"/>
      <c r="D32" s="483" t="e">
        <f t="shared" si="0"/>
        <v>#DIV/0!</v>
      </c>
      <c r="E32" s="482"/>
      <c r="F32" s="484" t="e">
        <f t="shared" si="1"/>
        <v>#DIV/0!</v>
      </c>
      <c r="G32" s="880">
        <f>SUM(B32:B38)</f>
        <v>0</v>
      </c>
      <c r="H32" s="880">
        <f>SUM(C32:C38)</f>
        <v>0</v>
      </c>
      <c r="I32" s="880">
        <f>SUM(E32:E38)</f>
        <v>0</v>
      </c>
    </row>
    <row r="33" spans="1:9" ht="18">
      <c r="A33" s="480">
        <f t="shared" si="2"/>
        <v>46169</v>
      </c>
      <c r="B33" s="481"/>
      <c r="C33" s="482"/>
      <c r="D33" s="483" t="e">
        <f t="shared" si="0"/>
        <v>#DIV/0!</v>
      </c>
      <c r="E33" s="482"/>
      <c r="F33" s="484" t="e">
        <f t="shared" si="1"/>
        <v>#DIV/0!</v>
      </c>
      <c r="G33" s="880"/>
      <c r="H33" s="880"/>
      <c r="I33" s="880"/>
    </row>
    <row r="34" spans="1:9" ht="18">
      <c r="A34" s="480">
        <f t="shared" si="2"/>
        <v>46170</v>
      </c>
      <c r="B34" s="481"/>
      <c r="C34" s="482"/>
      <c r="D34" s="483" t="e">
        <f t="shared" si="0"/>
        <v>#DIV/0!</v>
      </c>
      <c r="E34" s="482"/>
      <c r="F34" s="484" t="e">
        <f t="shared" si="1"/>
        <v>#DIV/0!</v>
      </c>
      <c r="G34" s="880"/>
      <c r="H34" s="880"/>
      <c r="I34" s="880"/>
    </row>
    <row r="35" spans="1:9" ht="18">
      <c r="A35" s="480">
        <f t="shared" si="2"/>
        <v>46171</v>
      </c>
      <c r="B35" s="481"/>
      <c r="C35" s="482"/>
      <c r="D35" s="483" t="e">
        <f t="shared" si="0"/>
        <v>#DIV/0!</v>
      </c>
      <c r="E35" s="482"/>
      <c r="F35" s="484" t="e">
        <f t="shared" si="1"/>
        <v>#DIV/0!</v>
      </c>
      <c r="G35" s="880"/>
      <c r="H35" s="880"/>
      <c r="I35" s="880"/>
    </row>
    <row r="36" spans="1:9" ht="18">
      <c r="A36" s="480">
        <f t="shared" si="2"/>
        <v>46172</v>
      </c>
      <c r="B36" s="481"/>
      <c r="C36" s="482"/>
      <c r="D36" s="483" t="e">
        <f t="shared" si="0"/>
        <v>#DIV/0!</v>
      </c>
      <c r="E36" s="482"/>
      <c r="F36" s="484" t="e">
        <f t="shared" si="1"/>
        <v>#DIV/0!</v>
      </c>
      <c r="G36" s="880"/>
      <c r="H36" s="880"/>
      <c r="I36" s="880"/>
    </row>
    <row r="37" spans="1:9" ht="18">
      <c r="A37" s="480">
        <f t="shared" si="2"/>
        <v>46173</v>
      </c>
      <c r="B37" s="481"/>
      <c r="C37" s="482"/>
      <c r="D37" s="483" t="e">
        <f t="shared" si="0"/>
        <v>#DIV/0!</v>
      </c>
      <c r="E37" s="482"/>
      <c r="F37" s="484" t="e">
        <f t="shared" si="1"/>
        <v>#DIV/0!</v>
      </c>
      <c r="G37" s="880"/>
      <c r="H37" s="880"/>
      <c r="I37" s="880"/>
    </row>
    <row r="38" spans="1:9" ht="18">
      <c r="A38" s="480">
        <f t="shared" si="2"/>
        <v>46174</v>
      </c>
      <c r="B38" s="481"/>
      <c r="C38" s="482"/>
      <c r="D38" s="483" t="e">
        <f t="shared" si="0"/>
        <v>#DIV/0!</v>
      </c>
      <c r="E38" s="482"/>
      <c r="F38" s="484" t="e">
        <f t="shared" si="1"/>
        <v>#DIV/0!</v>
      </c>
      <c r="G38" s="880"/>
      <c r="H38" s="880"/>
      <c r="I38" s="880"/>
    </row>
    <row r="39" spans="1:9" ht="18">
      <c r="A39" s="485">
        <f t="shared" si="2"/>
        <v>46175</v>
      </c>
      <c r="B39" s="481"/>
      <c r="C39" s="482"/>
      <c r="D39" s="483" t="e">
        <f t="shared" si="0"/>
        <v>#DIV/0!</v>
      </c>
      <c r="E39" s="482"/>
      <c r="F39" s="484" t="e">
        <f t="shared" si="1"/>
        <v>#DIV/0!</v>
      </c>
      <c r="G39" s="881">
        <f>SUM(B39:B45)</f>
        <v>0</v>
      </c>
      <c r="H39" s="881">
        <f>SUM(C39:C45)</f>
        <v>0</v>
      </c>
      <c r="I39" s="881">
        <f>SUM(E39:E45)</f>
        <v>0</v>
      </c>
    </row>
    <row r="40" spans="1:9" ht="18">
      <c r="A40" s="485">
        <f t="shared" si="2"/>
        <v>46176</v>
      </c>
      <c r="B40" s="481"/>
      <c r="C40" s="482"/>
      <c r="D40" s="483" t="e">
        <f t="shared" si="0"/>
        <v>#DIV/0!</v>
      </c>
      <c r="E40" s="482"/>
      <c r="F40" s="484" t="e">
        <f t="shared" si="1"/>
        <v>#DIV/0!</v>
      </c>
      <c r="G40" s="881"/>
      <c r="H40" s="881"/>
      <c r="I40" s="881"/>
    </row>
    <row r="41" spans="1:9" ht="18">
      <c r="A41" s="485">
        <f t="shared" si="2"/>
        <v>46177</v>
      </c>
      <c r="B41" s="481"/>
      <c r="C41" s="482"/>
      <c r="D41" s="483" t="e">
        <f t="shared" si="0"/>
        <v>#DIV/0!</v>
      </c>
      <c r="E41" s="482"/>
      <c r="F41" s="484" t="e">
        <f t="shared" si="1"/>
        <v>#DIV/0!</v>
      </c>
      <c r="G41" s="881"/>
      <c r="H41" s="881"/>
      <c r="I41" s="881"/>
    </row>
    <row r="42" spans="1:9" ht="18">
      <c r="A42" s="485">
        <f t="shared" si="2"/>
        <v>46178</v>
      </c>
      <c r="B42" s="481"/>
      <c r="C42" s="482"/>
      <c r="D42" s="483" t="e">
        <f t="shared" si="0"/>
        <v>#DIV/0!</v>
      </c>
      <c r="E42" s="482"/>
      <c r="F42" s="484" t="e">
        <f t="shared" si="1"/>
        <v>#DIV/0!</v>
      </c>
      <c r="G42" s="881"/>
      <c r="H42" s="881"/>
      <c r="I42" s="881"/>
    </row>
    <row r="43" spans="1:9" ht="18">
      <c r="A43" s="485">
        <f t="shared" si="2"/>
        <v>46179</v>
      </c>
      <c r="B43" s="481"/>
      <c r="C43" s="482"/>
      <c r="D43" s="483" t="e">
        <f t="shared" si="0"/>
        <v>#DIV/0!</v>
      </c>
      <c r="E43" s="482"/>
      <c r="F43" s="484" t="e">
        <f t="shared" si="1"/>
        <v>#DIV/0!</v>
      </c>
      <c r="G43" s="881"/>
      <c r="H43" s="881"/>
      <c r="I43" s="881"/>
    </row>
    <row r="44" spans="1:9" ht="18">
      <c r="A44" s="485">
        <f t="shared" si="2"/>
        <v>46180</v>
      </c>
      <c r="B44" s="481"/>
      <c r="C44" s="482"/>
      <c r="D44" s="483" t="e">
        <f t="shared" si="0"/>
        <v>#DIV/0!</v>
      </c>
      <c r="E44" s="482"/>
      <c r="F44" s="484" t="e">
        <f t="shared" si="1"/>
        <v>#DIV/0!</v>
      </c>
      <c r="G44" s="881"/>
      <c r="H44" s="881"/>
      <c r="I44" s="881"/>
    </row>
    <row r="45" spans="1:9" ht="18">
      <c r="A45" s="485">
        <f t="shared" si="2"/>
        <v>46181</v>
      </c>
      <c r="B45" s="481"/>
      <c r="C45" s="482"/>
      <c r="D45" s="483" t="e">
        <f t="shared" si="0"/>
        <v>#DIV/0!</v>
      </c>
      <c r="E45" s="482"/>
      <c r="F45" s="484" t="e">
        <f t="shared" si="1"/>
        <v>#DIV/0!</v>
      </c>
      <c r="G45" s="881"/>
      <c r="H45" s="881"/>
      <c r="I45" s="881"/>
    </row>
    <row r="46" spans="1:9" ht="18">
      <c r="A46" s="480">
        <f t="shared" si="2"/>
        <v>46182</v>
      </c>
      <c r="B46" s="481"/>
      <c r="C46" s="482"/>
      <c r="D46" s="483" t="e">
        <f t="shared" si="0"/>
        <v>#DIV/0!</v>
      </c>
      <c r="E46" s="482"/>
      <c r="F46" s="484" t="e">
        <f t="shared" si="1"/>
        <v>#DIV/0!</v>
      </c>
      <c r="G46" s="880">
        <f>SUM(B46:B52)</f>
        <v>0</v>
      </c>
      <c r="H46" s="880">
        <f>SUM(C46:C52)</f>
        <v>0</v>
      </c>
      <c r="I46" s="880">
        <f>SUM(E46:E52)</f>
        <v>0</v>
      </c>
    </row>
    <row r="47" spans="1:9" ht="18">
      <c r="A47" s="480">
        <f t="shared" si="2"/>
        <v>46183</v>
      </c>
      <c r="B47" s="481"/>
      <c r="C47" s="482"/>
      <c r="D47" s="483" t="e">
        <f t="shared" si="0"/>
        <v>#DIV/0!</v>
      </c>
      <c r="E47" s="482"/>
      <c r="F47" s="484" t="e">
        <f t="shared" si="1"/>
        <v>#DIV/0!</v>
      </c>
      <c r="G47" s="880"/>
      <c r="H47" s="880"/>
      <c r="I47" s="880"/>
    </row>
    <row r="48" spans="1:9" ht="18">
      <c r="A48" s="480">
        <f t="shared" si="2"/>
        <v>46184</v>
      </c>
      <c r="B48" s="481"/>
      <c r="C48" s="482"/>
      <c r="D48" s="483" t="e">
        <f t="shared" si="0"/>
        <v>#DIV/0!</v>
      </c>
      <c r="E48" s="482"/>
      <c r="F48" s="484" t="e">
        <f t="shared" si="1"/>
        <v>#DIV/0!</v>
      </c>
      <c r="G48" s="880"/>
      <c r="H48" s="880"/>
      <c r="I48" s="880"/>
    </row>
    <row r="49" spans="1:9" ht="18">
      <c r="A49" s="480">
        <f t="shared" si="2"/>
        <v>46185</v>
      </c>
      <c r="B49" s="481"/>
      <c r="C49" s="482"/>
      <c r="D49" s="483" t="e">
        <f t="shared" si="0"/>
        <v>#DIV/0!</v>
      </c>
      <c r="E49" s="482"/>
      <c r="F49" s="484" t="e">
        <f t="shared" si="1"/>
        <v>#DIV/0!</v>
      </c>
      <c r="G49" s="880"/>
      <c r="H49" s="880"/>
      <c r="I49" s="880"/>
    </row>
    <row r="50" spans="1:9" ht="18">
      <c r="A50" s="480">
        <f t="shared" si="2"/>
        <v>46186</v>
      </c>
      <c r="B50" s="481"/>
      <c r="C50" s="482"/>
      <c r="D50" s="483" t="e">
        <f t="shared" si="0"/>
        <v>#DIV/0!</v>
      </c>
      <c r="E50" s="482"/>
      <c r="F50" s="484" t="e">
        <f t="shared" si="1"/>
        <v>#DIV/0!</v>
      </c>
      <c r="G50" s="880"/>
      <c r="H50" s="880"/>
      <c r="I50" s="880"/>
    </row>
    <row r="51" spans="1:9" ht="18">
      <c r="A51" s="480">
        <f t="shared" si="2"/>
        <v>46187</v>
      </c>
      <c r="B51" s="481"/>
      <c r="C51" s="482"/>
      <c r="D51" s="483" t="e">
        <f t="shared" si="0"/>
        <v>#DIV/0!</v>
      </c>
      <c r="E51" s="482"/>
      <c r="F51" s="484" t="e">
        <f t="shared" si="1"/>
        <v>#DIV/0!</v>
      </c>
      <c r="G51" s="880"/>
      <c r="H51" s="880"/>
      <c r="I51" s="880"/>
    </row>
    <row r="52" spans="1:9" ht="18">
      <c r="A52" s="480">
        <f t="shared" si="2"/>
        <v>46188</v>
      </c>
      <c r="B52" s="481"/>
      <c r="C52" s="482"/>
      <c r="D52" s="483" t="e">
        <f t="shared" si="0"/>
        <v>#DIV/0!</v>
      </c>
      <c r="E52" s="482"/>
      <c r="F52" s="484" t="e">
        <f t="shared" si="1"/>
        <v>#DIV/0!</v>
      </c>
      <c r="G52" s="880"/>
      <c r="H52" s="880"/>
      <c r="I52" s="880"/>
    </row>
    <row r="53" spans="1:9" ht="18">
      <c r="A53" s="486"/>
      <c r="B53" s="486"/>
      <c r="C53" s="486"/>
      <c r="D53" s="486"/>
      <c r="E53" s="486"/>
      <c r="F53" s="486"/>
      <c r="G53" s="486"/>
      <c r="H53" s="486"/>
      <c r="I53" s="486"/>
    </row>
    <row r="54" spans="1:9" ht="18.75">
      <c r="A54" s="487" t="s">
        <v>751</v>
      </c>
      <c r="B54" s="481">
        <f>SUM(B7:B37)</f>
        <v>161521577</v>
      </c>
      <c r="C54" s="486"/>
      <c r="D54" s="486"/>
      <c r="E54" s="486"/>
      <c r="F54" s="486"/>
      <c r="G54" s="486"/>
      <c r="H54" s="486"/>
      <c r="I54" s="486"/>
    </row>
    <row r="55" spans="1:9" ht="18">
      <c r="A55" s="486"/>
      <c r="B55" s="486"/>
      <c r="C55" s="486"/>
      <c r="D55" s="486"/>
      <c r="E55" s="486"/>
      <c r="F55" s="486"/>
      <c r="G55" s="486"/>
      <c r="H55" s="486"/>
      <c r="I55" s="486"/>
    </row>
  </sheetData>
  <mergeCells count="23">
    <mergeCell ref="G25:G31"/>
    <mergeCell ref="H25:H31"/>
    <mergeCell ref="I25:I31"/>
    <mergeCell ref="G46:G52"/>
    <mergeCell ref="H46:H52"/>
    <mergeCell ref="I46:I52"/>
    <mergeCell ref="G32:G38"/>
    <mergeCell ref="H32:H38"/>
    <mergeCell ref="I32:I38"/>
    <mergeCell ref="G39:G45"/>
    <mergeCell ref="H39:H45"/>
    <mergeCell ref="I39:I45"/>
    <mergeCell ref="G11:G17"/>
    <mergeCell ref="H11:H17"/>
    <mergeCell ref="I11:I17"/>
    <mergeCell ref="G18:G24"/>
    <mergeCell ref="H18:H24"/>
    <mergeCell ref="I18:I24"/>
    <mergeCell ref="G2:H2"/>
    <mergeCell ref="A1:I1"/>
    <mergeCell ref="G4:G10"/>
    <mergeCell ref="H4:H10"/>
    <mergeCell ref="I4:I10"/>
  </mergeCells>
  <phoneticPr fontId="12" type="noConversion"/>
  <conditionalFormatting sqref="D54">
    <cfRule type="cellIs" dxfId="7" priority="8" operator="greaterThan">
      <formula>0.0025</formula>
    </cfRule>
  </conditionalFormatting>
  <conditionalFormatting sqref="D10">
    <cfRule type="cellIs" dxfId="6" priority="4" operator="greaterThan">
      <formula>0.0025</formula>
    </cfRule>
  </conditionalFormatting>
  <conditionalFormatting sqref="A4:A52">
    <cfRule type="timePeriod" dxfId="5" priority="6" timePeriod="yesterday">
      <formula>FLOOR(A4,1)=TODAY()-1</formula>
    </cfRule>
  </conditionalFormatting>
  <conditionalFormatting sqref="D7:D9 D11:D14 D18:D52">
    <cfRule type="cellIs" dxfId="4" priority="7" operator="greaterThan">
      <formula>0.0025</formula>
    </cfRule>
  </conditionalFormatting>
  <conditionalFormatting sqref="D4:D6">
    <cfRule type="cellIs" dxfId="3" priority="5" operator="greaterThan">
      <formula>0.0025</formula>
    </cfRule>
  </conditionalFormatting>
  <conditionalFormatting sqref="D15">
    <cfRule type="cellIs" dxfId="2" priority="3" operator="greaterThan">
      <formula>0.0025</formula>
    </cfRule>
  </conditionalFormatting>
  <conditionalFormatting sqref="D16">
    <cfRule type="cellIs" dxfId="1" priority="2" operator="greaterThan">
      <formula>0.0025</formula>
    </cfRule>
  </conditionalFormatting>
  <conditionalFormatting sqref="D17">
    <cfRule type="cellIs" dxfId="0" priority="1" operator="greaterThan">
      <formula>0.0025</formula>
    </cfRule>
  </conditionalFormatting>
  <pageMargins left="0.7" right="0.7" top="0.75" bottom="0.75" header="0.3" footer="0.3"/>
  <pageSetup paperSize="9" orientation="portrait" horizontalDpi="300" verticalDpi="3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3"/>
  <sheetViews>
    <sheetView view="pageBreakPreview" zoomScale="115" zoomScaleNormal="100" zoomScaleSheetLayoutView="115" workbookViewId="0">
      <selection activeCell="Q19" sqref="Q19"/>
    </sheetView>
  </sheetViews>
  <sheetFormatPr defaultColWidth="8.7109375" defaultRowHeight="14.25"/>
  <cols>
    <col min="1" max="2" width="8.7109375" style="209"/>
    <col min="3" max="3" width="14" style="209" bestFit="1" customWidth="1"/>
    <col min="4" max="4" width="0.28515625" style="209" customWidth="1"/>
    <col min="5" max="5" width="8.7109375" style="209"/>
    <col min="6" max="6" width="16.28515625" style="209" bestFit="1" customWidth="1"/>
    <col min="7" max="16384" width="8.7109375" style="209"/>
  </cols>
  <sheetData>
    <row r="2" spans="2:7" ht="15.75">
      <c r="B2" s="882" t="s">
        <v>234</v>
      </c>
      <c r="C2" s="882"/>
      <c r="D2" s="882"/>
      <c r="E2" s="882"/>
      <c r="F2" s="882"/>
    </row>
    <row r="3" spans="2:7" ht="15">
      <c r="B3" s="210" t="s">
        <v>235</v>
      </c>
      <c r="C3" s="210" t="s">
        <v>236</v>
      </c>
      <c r="D3" s="211"/>
      <c r="E3" s="210" t="s">
        <v>237</v>
      </c>
      <c r="F3" s="210" t="s">
        <v>238</v>
      </c>
      <c r="G3" s="211"/>
    </row>
    <row r="4" spans="2:7" ht="15">
      <c r="B4" s="212" t="s">
        <v>239</v>
      </c>
      <c r="C4" s="212" t="s">
        <v>240</v>
      </c>
      <c r="D4" s="211"/>
      <c r="E4" s="212" t="s">
        <v>241</v>
      </c>
      <c r="F4" s="212" t="s">
        <v>242</v>
      </c>
      <c r="G4" s="211"/>
    </row>
    <row r="5" spans="2:7" ht="15">
      <c r="B5" s="212" t="s">
        <v>243</v>
      </c>
      <c r="C5" s="212" t="s">
        <v>244</v>
      </c>
      <c r="D5" s="211"/>
      <c r="E5" s="212" t="s">
        <v>245</v>
      </c>
      <c r="F5" s="212" t="s">
        <v>246</v>
      </c>
      <c r="G5" s="211"/>
    </row>
    <row r="6" spans="2:7" ht="15">
      <c r="B6" s="212" t="s">
        <v>247</v>
      </c>
      <c r="C6" s="212" t="s">
        <v>248</v>
      </c>
      <c r="D6" s="211"/>
      <c r="E6" s="213" t="s">
        <v>249</v>
      </c>
      <c r="F6" s="213" t="s">
        <v>136</v>
      </c>
      <c r="G6" s="211"/>
    </row>
    <row r="7" spans="2:7" ht="15">
      <c r="B7" s="213" t="s">
        <v>250</v>
      </c>
      <c r="C7" s="213" t="s">
        <v>251</v>
      </c>
      <c r="D7" s="211"/>
      <c r="E7" s="212" t="s">
        <v>252</v>
      </c>
      <c r="F7" s="212" t="s">
        <v>253</v>
      </c>
      <c r="G7" s="211"/>
    </row>
    <row r="8" spans="2:7" ht="15">
      <c r="B8" s="212" t="s">
        <v>254</v>
      </c>
      <c r="C8" s="212" t="s">
        <v>255</v>
      </c>
      <c r="D8" s="211"/>
      <c r="E8" s="212" t="s">
        <v>256</v>
      </c>
      <c r="F8" s="212" t="s">
        <v>257</v>
      </c>
      <c r="G8" s="211"/>
    </row>
    <row r="9" spans="2:7" ht="15">
      <c r="B9" s="212" t="s">
        <v>258</v>
      </c>
      <c r="C9" s="212" t="s">
        <v>259</v>
      </c>
      <c r="D9" s="211"/>
      <c r="E9" s="213" t="s">
        <v>260</v>
      </c>
      <c r="F9" s="213" t="s">
        <v>135</v>
      </c>
      <c r="G9" s="211"/>
    </row>
    <row r="10" spans="2:7" ht="15">
      <c r="B10" s="212" t="s">
        <v>261</v>
      </c>
      <c r="C10" s="212" t="s">
        <v>262</v>
      </c>
      <c r="D10" s="211"/>
      <c r="E10" s="212" t="s">
        <v>263</v>
      </c>
      <c r="F10" s="212" t="s">
        <v>264</v>
      </c>
      <c r="G10" s="211"/>
    </row>
    <row r="11" spans="2:7" ht="15">
      <c r="B11" s="212" t="s">
        <v>265</v>
      </c>
      <c r="C11" s="212" t="s">
        <v>266</v>
      </c>
      <c r="D11" s="211"/>
      <c r="E11" s="212" t="s">
        <v>267</v>
      </c>
      <c r="F11" s="212" t="s">
        <v>257</v>
      </c>
      <c r="G11" s="211"/>
    </row>
    <row r="12" spans="2:7" ht="15">
      <c r="B12" s="212" t="s">
        <v>268</v>
      </c>
      <c r="C12" s="212" t="s">
        <v>269</v>
      </c>
      <c r="D12" s="211"/>
      <c r="E12" s="212" t="s">
        <v>270</v>
      </c>
      <c r="F12" s="212" t="s">
        <v>271</v>
      </c>
      <c r="G12" s="211"/>
    </row>
    <row r="13" spans="2:7" ht="15">
      <c r="B13" s="213" t="s">
        <v>272</v>
      </c>
      <c r="C13" s="213" t="s">
        <v>131</v>
      </c>
      <c r="D13" s="211"/>
      <c r="E13" s="212" t="s">
        <v>273</v>
      </c>
      <c r="F13" s="212" t="s">
        <v>274</v>
      </c>
      <c r="G13" s="211"/>
    </row>
    <row r="14" spans="2:7" ht="15">
      <c r="B14" s="212" t="s">
        <v>275</v>
      </c>
      <c r="C14" s="212" t="s">
        <v>276</v>
      </c>
      <c r="D14" s="211"/>
      <c r="E14" s="213" t="s">
        <v>277</v>
      </c>
      <c r="F14" s="213" t="s">
        <v>278</v>
      </c>
      <c r="G14" s="211"/>
    </row>
    <row r="15" spans="2:7" ht="15">
      <c r="B15" s="213" t="s">
        <v>279</v>
      </c>
      <c r="C15" s="213" t="s">
        <v>280</v>
      </c>
      <c r="D15" s="211"/>
      <c r="E15" s="212" t="s">
        <v>281</v>
      </c>
      <c r="F15" s="212" t="s">
        <v>278</v>
      </c>
      <c r="G15" s="211"/>
    </row>
    <row r="16" spans="2:7" ht="15">
      <c r="B16" s="212" t="s">
        <v>282</v>
      </c>
      <c r="C16" s="212" t="s">
        <v>283</v>
      </c>
      <c r="D16" s="211"/>
      <c r="E16" s="213" t="s">
        <v>284</v>
      </c>
      <c r="F16" s="213" t="s">
        <v>285</v>
      </c>
      <c r="G16" s="211"/>
    </row>
    <row r="17" spans="2:7" ht="15">
      <c r="B17" s="212" t="s">
        <v>286</v>
      </c>
      <c r="C17" s="212" t="s">
        <v>287</v>
      </c>
      <c r="D17" s="211"/>
      <c r="E17" s="212" t="s">
        <v>288</v>
      </c>
      <c r="F17" s="212" t="s">
        <v>289</v>
      </c>
      <c r="G17" s="211"/>
    </row>
    <row r="18" spans="2:7" ht="15">
      <c r="B18" s="212" t="s">
        <v>290</v>
      </c>
      <c r="C18" s="212" t="s">
        <v>291</v>
      </c>
      <c r="D18" s="211"/>
      <c r="E18" s="212" t="s">
        <v>292</v>
      </c>
      <c r="F18" s="212" t="s">
        <v>293</v>
      </c>
      <c r="G18" s="211"/>
    </row>
    <row r="19" spans="2:7" ht="15">
      <c r="B19" s="212" t="s">
        <v>294</v>
      </c>
      <c r="C19" s="212" t="s">
        <v>295</v>
      </c>
      <c r="D19" s="211"/>
      <c r="E19" s="212" t="s">
        <v>296</v>
      </c>
      <c r="F19" s="212" t="s">
        <v>297</v>
      </c>
      <c r="G19" s="211"/>
    </row>
    <row r="20" spans="2:7" ht="15">
      <c r="B20" s="212" t="s">
        <v>298</v>
      </c>
      <c r="C20" s="212" t="s">
        <v>299</v>
      </c>
      <c r="D20" s="211"/>
      <c r="G20" s="211"/>
    </row>
    <row r="21" spans="2:7" ht="15">
      <c r="D21" s="211"/>
      <c r="G21" s="211"/>
    </row>
    <row r="22" spans="2:7" ht="15">
      <c r="D22" s="211"/>
      <c r="G22" s="211"/>
    </row>
    <row r="23" spans="2:7" ht="15">
      <c r="D23" s="211"/>
      <c r="G23" s="211"/>
    </row>
  </sheetData>
  <mergeCells count="1">
    <mergeCell ref="B2:F2"/>
  </mergeCells>
  <phoneticPr fontId="12" type="noConversion"/>
  <pageMargins left="0" right="0" top="0" bottom="0" header="0" footer="0"/>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件" ma:contentTypeID="0x010100FDA62899FCF77541A2830A96A559C8DA" ma:contentTypeVersion="11" ma:contentTypeDescription="建立新的文件。" ma:contentTypeScope="" ma:versionID="d02586461ad3ed0e5a8730ab5eb20d51">
  <xsd:schema xmlns:xsd="http://www.w3.org/2001/XMLSchema" xmlns:xs="http://www.w3.org/2001/XMLSchema" xmlns:p="http://schemas.microsoft.com/office/2006/metadata/properties" xmlns:ns2="d017f4fe-1359-4419-afdf-e2560bdfb30b" xmlns:ns3="85de06e7-71af-4d71-a190-84eae70d6c46" targetNamespace="http://schemas.microsoft.com/office/2006/metadata/properties" ma:root="true" ma:fieldsID="eb7a66f808bf71e5a949a7b74ccbfe17" ns2:_="" ns3:_="">
    <xsd:import namespace="d017f4fe-1359-4419-afdf-e2560bdfb30b"/>
    <xsd:import namespace="85de06e7-71af-4d71-a190-84eae70d6c4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17f4fe-1359-4419-afdf-e2560bdfb3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影像標籤" ma:readOnly="false" ma:fieldId="{5cf76f15-5ced-4ddc-b409-7134ff3c332f}" ma:taxonomyMulti="true" ma:sspId="ecabee93-cc04-4b29-9ac7-5286c815f7a8"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de06e7-71af-4d71-a190-84eae70d6c4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797b0fa-71ef-4af6-bbc5-b4c66286d822}" ma:internalName="TaxCatchAll" ma:showField="CatchAllData" ma:web="85de06e7-71af-4d71-a190-84eae70d6c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5de06e7-71af-4d71-a190-84eae70d6c46" xsi:nil="true"/>
    <lcf76f155ced4ddcb4097134ff3c332f xmlns="d017f4fe-1359-4419-afdf-e2560bdfb30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6A26F0E-7160-4ED9-A335-A129DB218B79}"/>
</file>

<file path=customXml/itemProps2.xml><?xml version="1.0" encoding="utf-8"?>
<ds:datastoreItem xmlns:ds="http://schemas.openxmlformats.org/officeDocument/2006/customXml" ds:itemID="{C994098A-FE0B-4D2E-AC8C-A397FF247460}"/>
</file>

<file path=customXml/itemProps3.xml><?xml version="1.0" encoding="utf-8"?>
<ds:datastoreItem xmlns:ds="http://schemas.openxmlformats.org/officeDocument/2006/customXml" ds:itemID="{B6E2910A-166E-438C-BD13-FAFFD23BB16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32</vt:i4>
      </vt:variant>
      <vt:variant>
        <vt:lpstr>已命名的範圍</vt:lpstr>
      </vt:variant>
      <vt:variant>
        <vt:i4>12</vt:i4>
      </vt:variant>
    </vt:vector>
  </HeadingPairs>
  <TitlesOfParts>
    <vt:vector size="44" baseType="lpstr">
      <vt:lpstr>填寫舉例</vt:lpstr>
      <vt:lpstr>生產管理報表(月)</vt:lpstr>
      <vt:lpstr>生產管理報表(週) </vt:lpstr>
      <vt:lpstr>（１）收支狀況</vt:lpstr>
      <vt:lpstr>（２）ＫＰＩ達成進度</vt:lpstr>
      <vt:lpstr>（３）業績構成比</vt:lpstr>
      <vt:lpstr>（４）訂單數量構成比</vt:lpstr>
      <vt:lpstr>（５-1）品群別人時生產性（18℃-飯糰）</vt:lpstr>
      <vt:lpstr>（５-2）品群別人時生產性（18-壽司手卷)</vt:lpstr>
      <vt:lpstr>（５-3）品群別人時生產性（4℃-飯糰)</vt:lpstr>
      <vt:lpstr>（５-4）品群別人時生產性（4℃-壽司手卷)</vt:lpstr>
      <vt:lpstr>（５-5）品群別人時生產性(主食) </vt:lpstr>
      <vt:lpstr>（５-6）品群別人時生產性(便當)</vt:lpstr>
      <vt:lpstr>（５-7）品群別人時生產性(熱食義麵) </vt:lpstr>
      <vt:lpstr>（５-8）品群別人時生產性(季節調理麵) </vt:lpstr>
      <vt:lpstr>（５-9）品群別人時生產性(微波小吃)</vt:lpstr>
      <vt:lpstr>生產管理報表 6-1</vt:lpstr>
      <vt:lpstr>生產管理報表 6-2</vt:lpstr>
      <vt:lpstr>生產管理報表 6-3</vt:lpstr>
      <vt:lpstr>生產管理報表 6-4</vt:lpstr>
      <vt:lpstr>生產管理報表 6-5</vt:lpstr>
      <vt:lpstr>生產管理報表 7-1(月)</vt:lpstr>
      <vt:lpstr>生產管理報表 7-1 (週)</vt:lpstr>
      <vt:lpstr>生產管理報表 8-1(報廢)</vt:lpstr>
      <vt:lpstr>生產管理報表 8-2(報廢)</vt:lpstr>
      <vt:lpstr>生產管理報表 8-3(超用)</vt:lpstr>
      <vt:lpstr>生產管理報表 8-4(超用)</vt:lpstr>
      <vt:lpstr>生產管理報表 9</vt:lpstr>
      <vt:lpstr>報廢20大－原因別分析</vt:lpstr>
      <vt:lpstr>超用20大－原因別分析</vt:lpstr>
      <vt:lpstr>日別報廢率總表  </vt:lpstr>
      <vt:lpstr>鮮食品群番</vt:lpstr>
      <vt:lpstr>'生產管理報表 6-1'!Print_Area</vt:lpstr>
      <vt:lpstr>'生產管理報表 6-2'!Print_Area</vt:lpstr>
      <vt:lpstr>'生產管理報表 6-3'!Print_Area</vt:lpstr>
      <vt:lpstr>'生產管理報表 6-4'!Print_Area</vt:lpstr>
      <vt:lpstr>'生產管理報表 6-5'!Print_Area</vt:lpstr>
      <vt:lpstr>'生產管理報表 7-1 (週)'!Print_Area</vt:lpstr>
      <vt:lpstr>'生產管理報表 7-1(月)'!Print_Area</vt:lpstr>
      <vt:lpstr>'生產管理報表 8-3(超用)'!Print_Area</vt:lpstr>
      <vt:lpstr>'生產管理報表 8-4(超用)'!Print_Area</vt:lpstr>
      <vt:lpstr>'生產管理報表(月)'!Print_Area</vt:lpstr>
      <vt:lpstr>'生產管理報表(週) '!Print_Area</vt:lpstr>
      <vt:lpstr>鮮食品群番!Print_Area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丁珮心</dc:creator>
  <cp:lastModifiedBy>林宗翰</cp:lastModifiedBy>
  <cp:lastPrinted>2025-07-28T04:42:39Z</cp:lastPrinted>
  <dcterms:created xsi:type="dcterms:W3CDTF">2025-07-03T16:36:59Z</dcterms:created>
  <dcterms:modified xsi:type="dcterms:W3CDTF">2026-05-20T11:28:40Z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0x010100FDA62899FCF77541A2830A96A559C8DA</vt:lpwstr>
  </property>
</Properties>
</file>