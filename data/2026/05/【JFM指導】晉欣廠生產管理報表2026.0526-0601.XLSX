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tfmmvlsfamilycom-my.sharepoint.com/personal/a5733724_family_com_tw/Documents/桌面/晉欣廠/晉欣-【JFM指導】生產管理報表/115.05/"/>
    </mc:Choice>
  </mc:AlternateContent>
  <xr:revisionPtr revIDLastSave="0" documentId="11_4C791A6690D5EA567B30E7E4609C60CF9EDC2447" xr6:coauthVersionLast="47" xr6:coauthVersionMax="47" xr10:uidLastSave="{00000000-0000-0000-0000-000000000000}"/>
  <bookViews>
    <workbookView xWindow="-110" yWindow="-110" windowWidth="19420" windowHeight="10420" tabRatio="877" firstSheet="2" activeTab="2" xr2:uid="{00000000-000D-0000-FFFF-FFFF00000000}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'報廢20大－原因別分析'!#REF!</definedName>
    <definedName name="_xlnm._FilterDatabase" localSheetId="29" hidden="1">'超用20大－原因別分析'!#REF!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5" i="8" l="1"/>
  <c r="K156" i="8"/>
  <c r="H23" i="39"/>
  <c r="H22" i="39"/>
  <c r="H21" i="39"/>
  <c r="H20" i="39"/>
  <c r="H19" i="39"/>
  <c r="H18" i="39"/>
  <c r="H17" i="39"/>
  <c r="H16" i="39"/>
  <c r="H15" i="39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S21" i="6"/>
  <c r="M21" i="6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S101" i="37" l="1"/>
  <c r="S100" i="37"/>
  <c r="S99" i="37"/>
  <c r="S98" i="37"/>
  <c r="S97" i="37"/>
  <c r="S96" i="37"/>
  <c r="S95" i="37"/>
  <c r="S94" i="37"/>
  <c r="S93" i="37"/>
  <c r="S92" i="37"/>
  <c r="S91" i="37"/>
  <c r="S90" i="37"/>
  <c r="S89" i="37"/>
  <c r="S88" i="37"/>
  <c r="T87" i="37"/>
  <c r="S87" i="37"/>
  <c r="X101" i="37"/>
  <c r="X100" i="37"/>
  <c r="X99" i="37"/>
  <c r="X98" i="37"/>
  <c r="X97" i="37"/>
  <c r="X96" i="37"/>
  <c r="X95" i="37"/>
  <c r="X94" i="37"/>
  <c r="X93" i="37"/>
  <c r="X92" i="37"/>
  <c r="X91" i="37"/>
  <c r="X90" i="37"/>
  <c r="X89" i="37"/>
  <c r="X88" i="37"/>
  <c r="Y87" i="37"/>
  <c r="X87" i="37"/>
  <c r="AC101" i="37"/>
  <c r="AC100" i="37"/>
  <c r="AC99" i="37"/>
  <c r="AC98" i="37"/>
  <c r="AC97" i="37"/>
  <c r="AC96" i="37"/>
  <c r="AC95" i="37"/>
  <c r="AC94" i="37"/>
  <c r="AC93" i="37"/>
  <c r="AC92" i="37"/>
  <c r="AC91" i="37"/>
  <c r="AC90" i="37"/>
  <c r="AC89" i="37"/>
  <c r="AC88" i="37"/>
  <c r="AD87" i="37"/>
  <c r="AC87" i="37"/>
  <c r="AH101" i="37"/>
  <c r="AH100" i="37"/>
  <c r="AH99" i="37"/>
  <c r="AH98" i="37"/>
  <c r="AH97" i="37"/>
  <c r="AH96" i="37"/>
  <c r="AH95" i="37"/>
  <c r="AH94" i="37"/>
  <c r="AH93" i="37"/>
  <c r="AH92" i="37"/>
  <c r="AH91" i="37"/>
  <c r="AH90" i="37"/>
  <c r="AH89" i="37"/>
  <c r="AH88" i="37"/>
  <c r="AI87" i="37"/>
  <c r="AH87" i="37"/>
  <c r="AM101" i="37"/>
  <c r="AM100" i="37"/>
  <c r="AM99" i="37"/>
  <c r="AM98" i="37"/>
  <c r="AM97" i="37"/>
  <c r="AM96" i="37"/>
  <c r="AM95" i="37"/>
  <c r="AM94" i="37"/>
  <c r="AM93" i="37"/>
  <c r="AM92" i="37"/>
  <c r="AM91" i="37"/>
  <c r="AM90" i="37"/>
  <c r="AM89" i="37"/>
  <c r="AM88" i="37"/>
  <c r="AN87" i="37"/>
  <c r="AM87" i="37"/>
  <c r="AR101" i="37"/>
  <c r="AR100" i="37"/>
  <c r="AR99" i="37"/>
  <c r="AR98" i="37"/>
  <c r="AR97" i="37"/>
  <c r="AR96" i="37"/>
  <c r="AR95" i="37"/>
  <c r="AR94" i="37"/>
  <c r="AR93" i="37"/>
  <c r="AR92" i="37"/>
  <c r="AR91" i="37"/>
  <c r="AR90" i="37"/>
  <c r="AR89" i="37"/>
  <c r="AR88" i="37"/>
  <c r="AS87" i="37"/>
  <c r="AR87" i="37"/>
  <c r="AW101" i="37"/>
  <c r="AW100" i="37"/>
  <c r="AW99" i="37"/>
  <c r="AW98" i="37"/>
  <c r="AW97" i="37"/>
  <c r="AW96" i="37"/>
  <c r="AW95" i="37"/>
  <c r="AW94" i="37"/>
  <c r="AW93" i="37"/>
  <c r="AW92" i="37"/>
  <c r="AW91" i="37"/>
  <c r="AW90" i="37"/>
  <c r="AW89" i="37"/>
  <c r="AW88" i="37"/>
  <c r="AX87" i="37"/>
  <c r="AW87" i="37"/>
  <c r="AH101" i="36"/>
  <c r="AH100" i="36"/>
  <c r="AH99" i="36"/>
  <c r="AH98" i="36"/>
  <c r="AH97" i="36"/>
  <c r="AH96" i="36"/>
  <c r="AH95" i="36"/>
  <c r="AH94" i="36"/>
  <c r="AH93" i="36"/>
  <c r="AH92" i="36"/>
  <c r="AH91" i="36"/>
  <c r="AH90" i="36"/>
  <c r="AH89" i="36"/>
  <c r="AH88" i="36"/>
  <c r="AI87" i="36"/>
  <c r="AH87" i="36"/>
  <c r="AC101" i="36"/>
  <c r="AC100" i="36"/>
  <c r="AC99" i="36"/>
  <c r="AC98" i="36"/>
  <c r="AC97" i="36"/>
  <c r="AC96" i="36"/>
  <c r="AC95" i="36"/>
  <c r="AC94" i="36"/>
  <c r="AC93" i="36"/>
  <c r="AC92" i="36"/>
  <c r="AC91" i="36"/>
  <c r="AC90" i="36"/>
  <c r="AC89" i="36"/>
  <c r="AC88" i="36"/>
  <c r="AD87" i="36"/>
  <c r="AC87" i="36"/>
  <c r="X101" i="36"/>
  <c r="X100" i="36"/>
  <c r="X99" i="36"/>
  <c r="X98" i="36"/>
  <c r="X97" i="36"/>
  <c r="X96" i="36"/>
  <c r="X95" i="36"/>
  <c r="X94" i="36"/>
  <c r="X93" i="36"/>
  <c r="X92" i="36"/>
  <c r="X91" i="36"/>
  <c r="X90" i="36"/>
  <c r="X89" i="36"/>
  <c r="X88" i="36"/>
  <c r="Y87" i="36"/>
  <c r="X87" i="36"/>
  <c r="S101" i="36"/>
  <c r="S100" i="36"/>
  <c r="S99" i="36"/>
  <c r="S98" i="36"/>
  <c r="S97" i="36"/>
  <c r="S96" i="36"/>
  <c r="S95" i="36"/>
  <c r="S94" i="36"/>
  <c r="S93" i="36"/>
  <c r="S92" i="36"/>
  <c r="S91" i="36"/>
  <c r="S90" i="36"/>
  <c r="S89" i="36"/>
  <c r="S88" i="36"/>
  <c r="T87" i="36"/>
  <c r="S87" i="36"/>
  <c r="AM101" i="36"/>
  <c r="AM100" i="36"/>
  <c r="AM99" i="36"/>
  <c r="AM98" i="36"/>
  <c r="AM97" i="36"/>
  <c r="AM96" i="36"/>
  <c r="AM95" i="36"/>
  <c r="AM94" i="36"/>
  <c r="AM93" i="36"/>
  <c r="AM92" i="36"/>
  <c r="AM91" i="36"/>
  <c r="AM90" i="36"/>
  <c r="AM89" i="36"/>
  <c r="AM88" i="36"/>
  <c r="AN87" i="36"/>
  <c r="AM87" i="36"/>
  <c r="AR101" i="36"/>
  <c r="AR100" i="36"/>
  <c r="AR99" i="36"/>
  <c r="AR98" i="36"/>
  <c r="AR97" i="36"/>
  <c r="AR96" i="36"/>
  <c r="AR95" i="36"/>
  <c r="AR94" i="36"/>
  <c r="AR93" i="36"/>
  <c r="AR92" i="36"/>
  <c r="AR91" i="36"/>
  <c r="AR90" i="36"/>
  <c r="AR89" i="36"/>
  <c r="AR88" i="36"/>
  <c r="AS87" i="36"/>
  <c r="AR87" i="36"/>
  <c r="AW101" i="36"/>
  <c r="AW100" i="36"/>
  <c r="AW99" i="36"/>
  <c r="AW98" i="36"/>
  <c r="AW97" i="36"/>
  <c r="AW96" i="36"/>
  <c r="AW95" i="36"/>
  <c r="AW94" i="36"/>
  <c r="AW93" i="36"/>
  <c r="AW92" i="36"/>
  <c r="AW91" i="36"/>
  <c r="AW90" i="36"/>
  <c r="AW89" i="36"/>
  <c r="AW88" i="36"/>
  <c r="AX87" i="36"/>
  <c r="AW87" i="36"/>
  <c r="S101" i="35"/>
  <c r="S100" i="35"/>
  <c r="S99" i="35"/>
  <c r="S98" i="35"/>
  <c r="S97" i="35"/>
  <c r="S96" i="35"/>
  <c r="S95" i="35"/>
  <c r="S94" i="35"/>
  <c r="S93" i="35"/>
  <c r="S92" i="35"/>
  <c r="S91" i="35"/>
  <c r="S90" i="35"/>
  <c r="S89" i="35"/>
  <c r="S88" i="35"/>
  <c r="T87" i="35"/>
  <c r="S87" i="35"/>
  <c r="X101" i="35"/>
  <c r="X100" i="35"/>
  <c r="X99" i="35"/>
  <c r="X98" i="35"/>
  <c r="X97" i="35"/>
  <c r="X96" i="35"/>
  <c r="X95" i="35"/>
  <c r="X94" i="35"/>
  <c r="X93" i="35"/>
  <c r="X92" i="35"/>
  <c r="X91" i="35"/>
  <c r="X90" i="35"/>
  <c r="X89" i="35"/>
  <c r="X88" i="35"/>
  <c r="Y87" i="35"/>
  <c r="X87" i="35"/>
  <c r="AC101" i="35"/>
  <c r="AC100" i="35"/>
  <c r="AC99" i="35"/>
  <c r="AC98" i="35"/>
  <c r="AC97" i="35"/>
  <c r="AC96" i="35"/>
  <c r="AC95" i="35"/>
  <c r="AC94" i="35"/>
  <c r="AC93" i="35"/>
  <c r="AC92" i="35"/>
  <c r="AC91" i="35"/>
  <c r="AC90" i="35"/>
  <c r="AC89" i="35"/>
  <c r="AC88" i="35"/>
  <c r="AD87" i="35"/>
  <c r="AC87" i="35"/>
  <c r="AH101" i="35"/>
  <c r="AH100" i="35"/>
  <c r="AH99" i="35"/>
  <c r="AH98" i="35"/>
  <c r="AH97" i="35"/>
  <c r="AH96" i="35"/>
  <c r="AH95" i="35"/>
  <c r="AH94" i="35"/>
  <c r="AH93" i="35"/>
  <c r="AH92" i="35"/>
  <c r="AH91" i="35"/>
  <c r="AH90" i="35"/>
  <c r="AH89" i="35"/>
  <c r="AH88" i="35"/>
  <c r="AI87" i="35"/>
  <c r="AH87" i="35"/>
  <c r="AM101" i="35"/>
  <c r="AM100" i="35"/>
  <c r="AM99" i="35"/>
  <c r="AM98" i="35"/>
  <c r="AM97" i="35"/>
  <c r="AM96" i="35"/>
  <c r="AM95" i="35"/>
  <c r="AM94" i="35"/>
  <c r="AM93" i="35"/>
  <c r="AM92" i="35"/>
  <c r="AM91" i="35"/>
  <c r="AM90" i="35"/>
  <c r="AM89" i="35"/>
  <c r="AM88" i="35"/>
  <c r="AN87" i="35"/>
  <c r="AM87" i="35"/>
  <c r="AR101" i="35"/>
  <c r="AR100" i="35"/>
  <c r="AR99" i="35"/>
  <c r="AR98" i="35"/>
  <c r="AR97" i="35"/>
  <c r="AR96" i="35"/>
  <c r="AR95" i="35"/>
  <c r="AR94" i="35"/>
  <c r="AR93" i="35"/>
  <c r="AR92" i="35"/>
  <c r="AR91" i="35"/>
  <c r="AR90" i="35"/>
  <c r="AR89" i="35"/>
  <c r="AR88" i="35"/>
  <c r="AS87" i="35"/>
  <c r="AR87" i="35"/>
  <c r="AW101" i="35"/>
  <c r="AW100" i="35"/>
  <c r="AW99" i="35"/>
  <c r="AW98" i="35"/>
  <c r="AW97" i="35"/>
  <c r="AW96" i="35"/>
  <c r="AW95" i="35"/>
  <c r="AW94" i="35"/>
  <c r="AW93" i="35"/>
  <c r="AW92" i="35"/>
  <c r="AW91" i="35"/>
  <c r="AW90" i="35"/>
  <c r="AW89" i="35"/>
  <c r="AW88" i="35"/>
  <c r="AX87" i="35"/>
  <c r="AW87" i="35"/>
  <c r="S101" i="34"/>
  <c r="S100" i="34"/>
  <c r="S99" i="34"/>
  <c r="S98" i="34"/>
  <c r="S97" i="34"/>
  <c r="S96" i="34"/>
  <c r="S95" i="34"/>
  <c r="S94" i="34"/>
  <c r="S93" i="34"/>
  <c r="S92" i="34"/>
  <c r="S91" i="34"/>
  <c r="S90" i="34"/>
  <c r="S89" i="34"/>
  <c r="S88" i="34"/>
  <c r="T87" i="34"/>
  <c r="S87" i="34"/>
  <c r="X101" i="34"/>
  <c r="X100" i="34"/>
  <c r="X99" i="34"/>
  <c r="X98" i="34"/>
  <c r="X97" i="34"/>
  <c r="X96" i="34"/>
  <c r="X95" i="34"/>
  <c r="X94" i="34"/>
  <c r="X93" i="34"/>
  <c r="X92" i="34"/>
  <c r="X91" i="34"/>
  <c r="X90" i="34"/>
  <c r="X89" i="34"/>
  <c r="X88" i="34"/>
  <c r="Y87" i="34"/>
  <c r="X87" i="34"/>
  <c r="AC101" i="34"/>
  <c r="AC100" i="34"/>
  <c r="AC99" i="34"/>
  <c r="AC98" i="34"/>
  <c r="AC97" i="34"/>
  <c r="AC96" i="34"/>
  <c r="AC95" i="34"/>
  <c r="AC94" i="34"/>
  <c r="AC93" i="34"/>
  <c r="AC92" i="34"/>
  <c r="AC91" i="34"/>
  <c r="AC90" i="34"/>
  <c r="AC89" i="34"/>
  <c r="AC88" i="34"/>
  <c r="AD87" i="34"/>
  <c r="AC87" i="34"/>
  <c r="AH101" i="34"/>
  <c r="AH100" i="34"/>
  <c r="AH99" i="34"/>
  <c r="AH98" i="34"/>
  <c r="AH97" i="34"/>
  <c r="AH96" i="34"/>
  <c r="AH95" i="34"/>
  <c r="AH94" i="34"/>
  <c r="AH93" i="34"/>
  <c r="AH92" i="34"/>
  <c r="AH91" i="34"/>
  <c r="AH90" i="34"/>
  <c r="AH89" i="34"/>
  <c r="AH88" i="34"/>
  <c r="AI87" i="34"/>
  <c r="AH87" i="34"/>
  <c r="AM101" i="34"/>
  <c r="AM100" i="34"/>
  <c r="AM99" i="34"/>
  <c r="AM98" i="34"/>
  <c r="AM97" i="34"/>
  <c r="AM96" i="34"/>
  <c r="AM95" i="34"/>
  <c r="AM94" i="34"/>
  <c r="AM93" i="34"/>
  <c r="AM92" i="34"/>
  <c r="AM91" i="34"/>
  <c r="AM90" i="34"/>
  <c r="AM89" i="34"/>
  <c r="AM88" i="34"/>
  <c r="AN87" i="34"/>
  <c r="AM87" i="34"/>
  <c r="AR101" i="34"/>
  <c r="AR100" i="34"/>
  <c r="AR99" i="34"/>
  <c r="AR98" i="34"/>
  <c r="AR97" i="34"/>
  <c r="AR96" i="34"/>
  <c r="AR95" i="34"/>
  <c r="AR94" i="34"/>
  <c r="AR93" i="34"/>
  <c r="AR92" i="34"/>
  <c r="AR91" i="34"/>
  <c r="AR90" i="34"/>
  <c r="AR89" i="34"/>
  <c r="AR88" i="34"/>
  <c r="AS87" i="34"/>
  <c r="AR87" i="34"/>
  <c r="AW101" i="34"/>
  <c r="AW100" i="34"/>
  <c r="AW99" i="34"/>
  <c r="AW98" i="34"/>
  <c r="AW97" i="34"/>
  <c r="AW96" i="34"/>
  <c r="AW95" i="34"/>
  <c r="AW94" i="34"/>
  <c r="AW93" i="34"/>
  <c r="AW92" i="34"/>
  <c r="AW91" i="34"/>
  <c r="AW90" i="34"/>
  <c r="AW89" i="34"/>
  <c r="AW88" i="34"/>
  <c r="AX87" i="34"/>
  <c r="AW87" i="34"/>
  <c r="AZ87" i="34"/>
  <c r="BA87" i="34"/>
  <c r="AZ88" i="34"/>
  <c r="AZ89" i="34"/>
  <c r="AZ90" i="34"/>
  <c r="AZ91" i="34"/>
  <c r="AZ92" i="34"/>
  <c r="AZ93" i="34"/>
  <c r="AZ94" i="34"/>
  <c r="AZ95" i="34"/>
  <c r="AZ96" i="34"/>
  <c r="AZ97" i="34"/>
  <c r="AZ98" i="34"/>
  <c r="AZ99" i="34"/>
  <c r="AZ100" i="34"/>
  <c r="AZ101" i="34"/>
  <c r="S176" i="33"/>
  <c r="S175" i="33"/>
  <c r="S174" i="33"/>
  <c r="S173" i="33"/>
  <c r="S172" i="33"/>
  <c r="S171" i="33"/>
  <c r="S170" i="33"/>
  <c r="S169" i="33"/>
  <c r="S168" i="33"/>
  <c r="S167" i="33"/>
  <c r="S166" i="33"/>
  <c r="S165" i="33"/>
  <c r="S164" i="33"/>
  <c r="S163" i="33"/>
  <c r="S162" i="33"/>
  <c r="S161" i="33"/>
  <c r="S160" i="33"/>
  <c r="S159" i="33"/>
  <c r="S158" i="33"/>
  <c r="S157" i="33"/>
  <c r="S156" i="33"/>
  <c r="S155" i="33"/>
  <c r="S154" i="33"/>
  <c r="S153" i="33"/>
  <c r="S152" i="33"/>
  <c r="S151" i="33"/>
  <c r="S150" i="33"/>
  <c r="S149" i="33"/>
  <c r="S148" i="33"/>
  <c r="T147" i="33"/>
  <c r="S147" i="33"/>
  <c r="X176" i="33"/>
  <c r="X175" i="33"/>
  <c r="X174" i="33"/>
  <c r="X173" i="33"/>
  <c r="X172" i="33"/>
  <c r="X171" i="33"/>
  <c r="X170" i="33"/>
  <c r="X169" i="33"/>
  <c r="X168" i="33"/>
  <c r="X167" i="33"/>
  <c r="X166" i="33"/>
  <c r="X165" i="33"/>
  <c r="X164" i="33"/>
  <c r="X163" i="33"/>
  <c r="X162" i="33"/>
  <c r="X161" i="33"/>
  <c r="X160" i="33"/>
  <c r="X159" i="33"/>
  <c r="X158" i="33"/>
  <c r="X157" i="33"/>
  <c r="X156" i="33"/>
  <c r="X155" i="33"/>
  <c r="X154" i="33"/>
  <c r="X153" i="33"/>
  <c r="X152" i="33"/>
  <c r="X151" i="33"/>
  <c r="X150" i="33"/>
  <c r="X149" i="33"/>
  <c r="X148" i="33"/>
  <c r="Y147" i="33"/>
  <c r="X147" i="33"/>
  <c r="AC176" i="33"/>
  <c r="AC175" i="33"/>
  <c r="AC174" i="33"/>
  <c r="AC173" i="33"/>
  <c r="AC172" i="33"/>
  <c r="AC171" i="33"/>
  <c r="AC170" i="33"/>
  <c r="AC169" i="33"/>
  <c r="AC168" i="33"/>
  <c r="AC167" i="33"/>
  <c r="AC166" i="33"/>
  <c r="AC165" i="33"/>
  <c r="AC164" i="33"/>
  <c r="AC163" i="33"/>
  <c r="AC162" i="33"/>
  <c r="AC161" i="33"/>
  <c r="AC160" i="33"/>
  <c r="AC159" i="33"/>
  <c r="AC158" i="33"/>
  <c r="AC157" i="33"/>
  <c r="AC156" i="33"/>
  <c r="AC155" i="33"/>
  <c r="AC154" i="33"/>
  <c r="AC153" i="33"/>
  <c r="AC152" i="33"/>
  <c r="AC151" i="33"/>
  <c r="AC150" i="33"/>
  <c r="AC149" i="33"/>
  <c r="AC148" i="33"/>
  <c r="AD147" i="33"/>
  <c r="AC147" i="33"/>
  <c r="AH176" i="33"/>
  <c r="AH175" i="33"/>
  <c r="AH174" i="33"/>
  <c r="AH173" i="33"/>
  <c r="AH172" i="33"/>
  <c r="AH171" i="33"/>
  <c r="AH170" i="33"/>
  <c r="AH169" i="33"/>
  <c r="AH168" i="33"/>
  <c r="AH167" i="33"/>
  <c r="AH166" i="33"/>
  <c r="AH165" i="33"/>
  <c r="AH164" i="33"/>
  <c r="AH163" i="33"/>
  <c r="AH162" i="33"/>
  <c r="AH161" i="33"/>
  <c r="AH160" i="33"/>
  <c r="AH159" i="33"/>
  <c r="AH158" i="33"/>
  <c r="AH157" i="33"/>
  <c r="AH156" i="33"/>
  <c r="AH155" i="33"/>
  <c r="AH154" i="33"/>
  <c r="AH153" i="33"/>
  <c r="AH152" i="33"/>
  <c r="AH151" i="33"/>
  <c r="AH150" i="33"/>
  <c r="AH149" i="33"/>
  <c r="AH148" i="33"/>
  <c r="AI147" i="33"/>
  <c r="AH147" i="33"/>
  <c r="AM176" i="33"/>
  <c r="AM175" i="33"/>
  <c r="AM174" i="33"/>
  <c r="AM173" i="33"/>
  <c r="AM172" i="33"/>
  <c r="AM171" i="33"/>
  <c r="AM170" i="33"/>
  <c r="AM169" i="33"/>
  <c r="AM168" i="33"/>
  <c r="AM167" i="33"/>
  <c r="AM166" i="33"/>
  <c r="AM165" i="33"/>
  <c r="AM164" i="33"/>
  <c r="AM163" i="33"/>
  <c r="AM162" i="33"/>
  <c r="AM161" i="33"/>
  <c r="AM160" i="33"/>
  <c r="AM159" i="33"/>
  <c r="AM158" i="33"/>
  <c r="AM157" i="33"/>
  <c r="AM156" i="33"/>
  <c r="AM155" i="33"/>
  <c r="AM154" i="33"/>
  <c r="AM153" i="33"/>
  <c r="AM152" i="33"/>
  <c r="AM151" i="33"/>
  <c r="AM150" i="33"/>
  <c r="AM149" i="33"/>
  <c r="AM148" i="33"/>
  <c r="AN147" i="33"/>
  <c r="AM147" i="33"/>
  <c r="AR176" i="33"/>
  <c r="AR175" i="33"/>
  <c r="AR174" i="33"/>
  <c r="AR173" i="33"/>
  <c r="AR172" i="33"/>
  <c r="AR171" i="33"/>
  <c r="AR170" i="33"/>
  <c r="AR169" i="33"/>
  <c r="AR168" i="33"/>
  <c r="AR167" i="33"/>
  <c r="AR166" i="33"/>
  <c r="AR165" i="33"/>
  <c r="AR164" i="33"/>
  <c r="AR163" i="33"/>
  <c r="AR162" i="33"/>
  <c r="AR161" i="33"/>
  <c r="AR160" i="33"/>
  <c r="AR159" i="33"/>
  <c r="AR158" i="33"/>
  <c r="AR157" i="33"/>
  <c r="AR156" i="33"/>
  <c r="AR155" i="33"/>
  <c r="AR154" i="33"/>
  <c r="AR153" i="33"/>
  <c r="AR152" i="33"/>
  <c r="AR151" i="33"/>
  <c r="AR150" i="33"/>
  <c r="AR149" i="33"/>
  <c r="AR148" i="33"/>
  <c r="AS147" i="33"/>
  <c r="AR147" i="33"/>
  <c r="AW176" i="33"/>
  <c r="AW175" i="33"/>
  <c r="AW174" i="33"/>
  <c r="AW173" i="33"/>
  <c r="AW172" i="33"/>
  <c r="AW171" i="33"/>
  <c r="AW170" i="33"/>
  <c r="AW169" i="33"/>
  <c r="AW168" i="33"/>
  <c r="AW167" i="33"/>
  <c r="AW166" i="33"/>
  <c r="AW165" i="33"/>
  <c r="AW164" i="33"/>
  <c r="AW163" i="33"/>
  <c r="AW162" i="33"/>
  <c r="AW161" i="33"/>
  <c r="AW160" i="33"/>
  <c r="AW159" i="33"/>
  <c r="AW158" i="33"/>
  <c r="AW157" i="33"/>
  <c r="AW156" i="33"/>
  <c r="AW155" i="33"/>
  <c r="AW154" i="33"/>
  <c r="AW153" i="33"/>
  <c r="AW152" i="33"/>
  <c r="AW151" i="33"/>
  <c r="AW150" i="33"/>
  <c r="AW149" i="33"/>
  <c r="AW148" i="33"/>
  <c r="AX147" i="33"/>
  <c r="AW147" i="33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X101" i="31"/>
  <c r="X100" i="31"/>
  <c r="X99" i="31"/>
  <c r="X98" i="31"/>
  <c r="X97" i="31"/>
  <c r="X96" i="31"/>
  <c r="X95" i="31"/>
  <c r="X94" i="31"/>
  <c r="X93" i="31"/>
  <c r="X92" i="31"/>
  <c r="X91" i="31"/>
  <c r="X90" i="31"/>
  <c r="X89" i="31"/>
  <c r="X88" i="31"/>
  <c r="Y87" i="31"/>
  <c r="X87" i="31"/>
  <c r="AC101" i="31"/>
  <c r="AC100" i="31"/>
  <c r="AC99" i="31"/>
  <c r="AC98" i="31"/>
  <c r="AC97" i="31"/>
  <c r="AC96" i="31"/>
  <c r="AC95" i="31"/>
  <c r="AC94" i="31"/>
  <c r="AC93" i="31"/>
  <c r="AC92" i="31"/>
  <c r="AC91" i="31"/>
  <c r="AC90" i="31"/>
  <c r="AC89" i="31"/>
  <c r="AC88" i="31"/>
  <c r="AD87" i="31"/>
  <c r="AC87" i="31"/>
  <c r="AH101" i="31"/>
  <c r="AH100" i="31"/>
  <c r="AH99" i="31"/>
  <c r="AH98" i="31"/>
  <c r="AH97" i="31"/>
  <c r="AH96" i="31"/>
  <c r="AH95" i="31"/>
  <c r="AH94" i="31"/>
  <c r="AH93" i="31"/>
  <c r="AH92" i="31"/>
  <c r="AH91" i="31"/>
  <c r="AH90" i="31"/>
  <c r="AH89" i="31"/>
  <c r="AH88" i="31"/>
  <c r="AI87" i="31"/>
  <c r="AH87" i="31"/>
  <c r="AR101" i="31"/>
  <c r="AR100" i="31"/>
  <c r="AR99" i="31"/>
  <c r="AR98" i="31"/>
  <c r="AR97" i="31"/>
  <c r="AR96" i="31"/>
  <c r="AR95" i="31"/>
  <c r="AR94" i="31"/>
  <c r="AR93" i="31"/>
  <c r="AR92" i="31"/>
  <c r="AR91" i="31"/>
  <c r="AR90" i="31"/>
  <c r="AR89" i="31"/>
  <c r="AR88" i="31"/>
  <c r="AS87" i="31"/>
  <c r="AR87" i="31"/>
  <c r="AW101" i="31"/>
  <c r="AW100" i="31"/>
  <c r="AW99" i="31"/>
  <c r="AW98" i="31"/>
  <c r="AW97" i="31"/>
  <c r="AW96" i="31"/>
  <c r="AW95" i="31"/>
  <c r="AW94" i="31"/>
  <c r="AW93" i="31"/>
  <c r="AW92" i="31"/>
  <c r="AW91" i="31"/>
  <c r="AW90" i="31"/>
  <c r="AW89" i="31"/>
  <c r="AW88" i="31"/>
  <c r="AX87" i="31"/>
  <c r="AW87" i="31"/>
  <c r="AM101" i="31"/>
  <c r="AM100" i="31"/>
  <c r="AM99" i="31"/>
  <c r="AM98" i="31"/>
  <c r="AM97" i="31"/>
  <c r="AM96" i="31"/>
  <c r="AM95" i="31"/>
  <c r="AM94" i="31"/>
  <c r="AM93" i="31"/>
  <c r="AM92" i="31"/>
  <c r="AM91" i="31"/>
  <c r="AM90" i="31"/>
  <c r="AM89" i="31"/>
  <c r="AM88" i="31"/>
  <c r="AN87" i="31"/>
  <c r="AM87" i="31"/>
  <c r="S101" i="32"/>
  <c r="S100" i="32"/>
  <c r="S99" i="32"/>
  <c r="S98" i="32"/>
  <c r="S97" i="32"/>
  <c r="S96" i="32"/>
  <c r="S95" i="32"/>
  <c r="S94" i="32"/>
  <c r="S93" i="32"/>
  <c r="S92" i="32"/>
  <c r="S91" i="32"/>
  <c r="S90" i="32"/>
  <c r="S89" i="32"/>
  <c r="S88" i="32"/>
  <c r="T87" i="32"/>
  <c r="S87" i="32"/>
  <c r="X101" i="32"/>
  <c r="X100" i="32"/>
  <c r="X99" i="32"/>
  <c r="X98" i="32"/>
  <c r="X97" i="32"/>
  <c r="X96" i="32"/>
  <c r="X95" i="32"/>
  <c r="X94" i="32"/>
  <c r="X93" i="32"/>
  <c r="X92" i="32"/>
  <c r="X91" i="32"/>
  <c r="X90" i="32"/>
  <c r="X89" i="32"/>
  <c r="X88" i="32"/>
  <c r="Y87" i="32"/>
  <c r="X87" i="32"/>
  <c r="AC101" i="32"/>
  <c r="AC100" i="32"/>
  <c r="AC99" i="32"/>
  <c r="AC98" i="32"/>
  <c r="AC97" i="32"/>
  <c r="AC96" i="32"/>
  <c r="AC95" i="32"/>
  <c r="AC94" i="32"/>
  <c r="AC93" i="32"/>
  <c r="AC92" i="32"/>
  <c r="AC91" i="32"/>
  <c r="AC90" i="32"/>
  <c r="AC89" i="32"/>
  <c r="AC88" i="32"/>
  <c r="AD87" i="32"/>
  <c r="AC87" i="32"/>
  <c r="AH101" i="32"/>
  <c r="AH100" i="32"/>
  <c r="AH99" i="32"/>
  <c r="AH98" i="32"/>
  <c r="AH97" i="32"/>
  <c r="AH96" i="32"/>
  <c r="AH95" i="32"/>
  <c r="AH94" i="32"/>
  <c r="AH93" i="32"/>
  <c r="AH92" i="32"/>
  <c r="AH91" i="32"/>
  <c r="AH90" i="32"/>
  <c r="AH89" i="32"/>
  <c r="AH88" i="32"/>
  <c r="AI87" i="32"/>
  <c r="AH87" i="32"/>
  <c r="AM101" i="32"/>
  <c r="AM100" i="32"/>
  <c r="AM99" i="32"/>
  <c r="AM98" i="32"/>
  <c r="AM97" i="32"/>
  <c r="AM96" i="32"/>
  <c r="AM95" i="32"/>
  <c r="AM94" i="32"/>
  <c r="AM93" i="32"/>
  <c r="AM92" i="32"/>
  <c r="AM91" i="32"/>
  <c r="AM90" i="32"/>
  <c r="AM89" i="32"/>
  <c r="AM88" i="32"/>
  <c r="AN87" i="32"/>
  <c r="AM87" i="32"/>
  <c r="AR101" i="32"/>
  <c r="AR100" i="32"/>
  <c r="AR99" i="32"/>
  <c r="AR98" i="32"/>
  <c r="AR97" i="32"/>
  <c r="AR96" i="32"/>
  <c r="AR95" i="32"/>
  <c r="AR94" i="32"/>
  <c r="AR93" i="32"/>
  <c r="AR92" i="32"/>
  <c r="AR91" i="32"/>
  <c r="AR90" i="32"/>
  <c r="AR89" i="32"/>
  <c r="AR88" i="32"/>
  <c r="AS87" i="32"/>
  <c r="AR87" i="32"/>
  <c r="AW101" i="32"/>
  <c r="AW100" i="32"/>
  <c r="AW99" i="32"/>
  <c r="AW98" i="32"/>
  <c r="AW97" i="32"/>
  <c r="AW96" i="32"/>
  <c r="AW95" i="32"/>
  <c r="AW94" i="32"/>
  <c r="AW93" i="32"/>
  <c r="AW92" i="32"/>
  <c r="AW91" i="32"/>
  <c r="AW90" i="32"/>
  <c r="AW89" i="32"/>
  <c r="AW88" i="32"/>
  <c r="AX87" i="32"/>
  <c r="AW87" i="32"/>
  <c r="AZ87" i="32"/>
  <c r="BA87" i="32"/>
  <c r="AZ88" i="32"/>
  <c r="AZ89" i="32"/>
  <c r="AZ90" i="32"/>
  <c r="AZ91" i="32"/>
  <c r="AZ92" i="32"/>
  <c r="AZ93" i="32"/>
  <c r="AZ94" i="32"/>
  <c r="AZ95" i="32"/>
  <c r="AZ96" i="32"/>
  <c r="AZ97" i="32"/>
  <c r="AZ98" i="32"/>
  <c r="AZ99" i="32"/>
  <c r="AZ100" i="32"/>
  <c r="AZ101" i="32"/>
  <c r="AW101" i="30"/>
  <c r="AW100" i="30"/>
  <c r="AW99" i="30"/>
  <c r="AW98" i="30"/>
  <c r="AW97" i="30"/>
  <c r="AW96" i="30"/>
  <c r="AW95" i="30"/>
  <c r="AW94" i="30"/>
  <c r="AW93" i="30"/>
  <c r="AW92" i="30"/>
  <c r="AW91" i="30"/>
  <c r="AW90" i="30"/>
  <c r="AW89" i="30"/>
  <c r="AW88" i="30"/>
  <c r="AX87" i="30"/>
  <c r="AW87" i="30"/>
  <c r="AR101" i="30"/>
  <c r="AR100" i="30"/>
  <c r="AR99" i="30"/>
  <c r="AR98" i="30"/>
  <c r="AR97" i="30"/>
  <c r="AR96" i="30"/>
  <c r="AR95" i="30"/>
  <c r="AR94" i="30"/>
  <c r="AR93" i="30"/>
  <c r="AR92" i="30"/>
  <c r="AR91" i="30"/>
  <c r="AR90" i="30"/>
  <c r="AR89" i="30"/>
  <c r="AR88" i="30"/>
  <c r="AS87" i="30"/>
  <c r="AR87" i="30"/>
  <c r="AM101" i="30"/>
  <c r="AM100" i="30"/>
  <c r="AM99" i="30"/>
  <c r="AM98" i="30"/>
  <c r="AM97" i="30"/>
  <c r="AM96" i="30"/>
  <c r="AM95" i="30"/>
  <c r="AM94" i="30"/>
  <c r="AM93" i="30"/>
  <c r="AM92" i="30"/>
  <c r="AM91" i="30"/>
  <c r="AM90" i="30"/>
  <c r="AM89" i="30"/>
  <c r="AM88" i="30"/>
  <c r="AN87" i="30"/>
  <c r="AM87" i="30"/>
  <c r="AH101" i="30"/>
  <c r="AH100" i="30"/>
  <c r="AH99" i="30"/>
  <c r="AH98" i="30"/>
  <c r="AH97" i="30"/>
  <c r="AH96" i="30"/>
  <c r="AH95" i="30"/>
  <c r="AH94" i="30"/>
  <c r="AH93" i="30"/>
  <c r="AH92" i="30"/>
  <c r="AH91" i="30"/>
  <c r="AH90" i="30"/>
  <c r="AH89" i="30"/>
  <c r="AH88" i="30"/>
  <c r="AI87" i="30"/>
  <c r="AH87" i="30"/>
  <c r="AC101" i="30"/>
  <c r="AC100" i="30"/>
  <c r="AC99" i="30"/>
  <c r="AC98" i="30"/>
  <c r="AC97" i="30"/>
  <c r="AC96" i="30"/>
  <c r="AC95" i="30"/>
  <c r="AC94" i="30"/>
  <c r="AC93" i="30"/>
  <c r="AC92" i="30"/>
  <c r="AC91" i="30"/>
  <c r="AC90" i="30"/>
  <c r="AC89" i="30"/>
  <c r="AC88" i="30"/>
  <c r="AD87" i="30"/>
  <c r="AC87" i="30"/>
  <c r="X101" i="30"/>
  <c r="X100" i="30"/>
  <c r="X99" i="30"/>
  <c r="X98" i="30"/>
  <c r="X97" i="30"/>
  <c r="X96" i="30"/>
  <c r="X95" i="30"/>
  <c r="X94" i="30"/>
  <c r="X93" i="30"/>
  <c r="X92" i="30"/>
  <c r="X91" i="30"/>
  <c r="X90" i="30"/>
  <c r="X89" i="30"/>
  <c r="X88" i="30"/>
  <c r="Y87" i="30"/>
  <c r="X87" i="30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T87" i="30"/>
  <c r="S87" i="30"/>
  <c r="S176" i="8"/>
  <c r="S175" i="8"/>
  <c r="S174" i="8"/>
  <c r="S173" i="8"/>
  <c r="S172" i="8"/>
  <c r="S171" i="8"/>
  <c r="S170" i="8"/>
  <c r="S169" i="8"/>
  <c r="S168" i="8"/>
  <c r="S167" i="8"/>
  <c r="S166" i="8"/>
  <c r="S165" i="8"/>
  <c r="S164" i="8"/>
  <c r="S163" i="8"/>
  <c r="S162" i="8"/>
  <c r="S161" i="8"/>
  <c r="S160" i="8"/>
  <c r="S159" i="8"/>
  <c r="S158" i="8"/>
  <c r="S157" i="8"/>
  <c r="S156" i="8"/>
  <c r="S155" i="8"/>
  <c r="S154" i="8"/>
  <c r="S153" i="8"/>
  <c r="S152" i="8"/>
  <c r="S151" i="8"/>
  <c r="S150" i="8"/>
  <c r="S149" i="8"/>
  <c r="S148" i="8"/>
  <c r="T147" i="8"/>
  <c r="S147" i="8"/>
  <c r="X176" i="8"/>
  <c r="X175" i="8"/>
  <c r="X174" i="8"/>
  <c r="X173" i="8"/>
  <c r="X172" i="8"/>
  <c r="X171" i="8"/>
  <c r="X170" i="8"/>
  <c r="X169" i="8"/>
  <c r="X168" i="8"/>
  <c r="X167" i="8"/>
  <c r="X166" i="8"/>
  <c r="X165" i="8"/>
  <c r="X164" i="8"/>
  <c r="X163" i="8"/>
  <c r="X162" i="8"/>
  <c r="X161" i="8"/>
  <c r="X160" i="8"/>
  <c r="X159" i="8"/>
  <c r="X158" i="8"/>
  <c r="X157" i="8"/>
  <c r="X156" i="8"/>
  <c r="X155" i="8"/>
  <c r="X154" i="8"/>
  <c r="X153" i="8"/>
  <c r="X152" i="8"/>
  <c r="X151" i="8"/>
  <c r="X150" i="8"/>
  <c r="X149" i="8"/>
  <c r="X148" i="8"/>
  <c r="Y147" i="8"/>
  <c r="X147" i="8"/>
  <c r="AC176" i="8"/>
  <c r="AC175" i="8"/>
  <c r="AC174" i="8"/>
  <c r="AC173" i="8"/>
  <c r="AC172" i="8"/>
  <c r="AC171" i="8"/>
  <c r="AC170" i="8"/>
  <c r="AC169" i="8"/>
  <c r="AC168" i="8"/>
  <c r="AC167" i="8"/>
  <c r="AC166" i="8"/>
  <c r="AC165" i="8"/>
  <c r="AC164" i="8"/>
  <c r="AC163" i="8"/>
  <c r="AC162" i="8"/>
  <c r="AC161" i="8"/>
  <c r="AC160" i="8"/>
  <c r="AC159" i="8"/>
  <c r="AC158" i="8"/>
  <c r="AC157" i="8"/>
  <c r="AC156" i="8"/>
  <c r="AC155" i="8"/>
  <c r="AC154" i="8"/>
  <c r="AC153" i="8"/>
  <c r="AC152" i="8"/>
  <c r="AC151" i="8"/>
  <c r="AC150" i="8"/>
  <c r="AC149" i="8"/>
  <c r="AC148" i="8"/>
  <c r="AD147" i="8"/>
  <c r="AC147" i="8"/>
  <c r="AH176" i="8"/>
  <c r="AH175" i="8"/>
  <c r="AH174" i="8"/>
  <c r="AH173" i="8"/>
  <c r="AH172" i="8"/>
  <c r="AH171" i="8"/>
  <c r="AH170" i="8"/>
  <c r="AH169" i="8"/>
  <c r="AH168" i="8"/>
  <c r="AH167" i="8"/>
  <c r="AH166" i="8"/>
  <c r="AH165" i="8"/>
  <c r="AH164" i="8"/>
  <c r="AH163" i="8"/>
  <c r="AH162" i="8"/>
  <c r="AH161" i="8"/>
  <c r="AH160" i="8"/>
  <c r="AH159" i="8"/>
  <c r="AH158" i="8"/>
  <c r="AH157" i="8"/>
  <c r="AH156" i="8"/>
  <c r="AH155" i="8"/>
  <c r="AH154" i="8"/>
  <c r="AH153" i="8"/>
  <c r="AH152" i="8"/>
  <c r="AH151" i="8"/>
  <c r="AH150" i="8"/>
  <c r="AH149" i="8"/>
  <c r="AH148" i="8"/>
  <c r="AI147" i="8"/>
  <c r="AH147" i="8"/>
  <c r="AM176" i="8"/>
  <c r="AM175" i="8"/>
  <c r="AM174" i="8"/>
  <c r="AM173" i="8"/>
  <c r="AM172" i="8"/>
  <c r="AM171" i="8"/>
  <c r="AM170" i="8"/>
  <c r="AM169" i="8"/>
  <c r="AM168" i="8"/>
  <c r="AM167" i="8"/>
  <c r="AM166" i="8"/>
  <c r="AM165" i="8"/>
  <c r="AM164" i="8"/>
  <c r="AM163" i="8"/>
  <c r="AM162" i="8"/>
  <c r="AM161" i="8"/>
  <c r="AM160" i="8"/>
  <c r="AM159" i="8"/>
  <c r="AM158" i="8"/>
  <c r="AM157" i="8"/>
  <c r="AM156" i="8"/>
  <c r="AM155" i="8"/>
  <c r="AM154" i="8"/>
  <c r="AM153" i="8"/>
  <c r="AM152" i="8"/>
  <c r="AM151" i="8"/>
  <c r="AM150" i="8"/>
  <c r="AM149" i="8"/>
  <c r="AM148" i="8"/>
  <c r="AN147" i="8"/>
  <c r="AM147" i="8"/>
  <c r="AR176" i="8"/>
  <c r="AR175" i="8"/>
  <c r="AR174" i="8"/>
  <c r="AR173" i="8"/>
  <c r="AR172" i="8"/>
  <c r="AR171" i="8"/>
  <c r="AR170" i="8"/>
  <c r="AR169" i="8"/>
  <c r="AR168" i="8"/>
  <c r="AR167" i="8"/>
  <c r="AR166" i="8"/>
  <c r="AR165" i="8"/>
  <c r="AR164" i="8"/>
  <c r="AR163" i="8"/>
  <c r="AR162" i="8"/>
  <c r="AR161" i="8"/>
  <c r="AR160" i="8"/>
  <c r="AR159" i="8"/>
  <c r="AR158" i="8"/>
  <c r="AR157" i="8"/>
  <c r="AR156" i="8"/>
  <c r="AR155" i="8"/>
  <c r="AR154" i="8"/>
  <c r="AR153" i="8"/>
  <c r="AR152" i="8"/>
  <c r="AR151" i="8"/>
  <c r="AR150" i="8"/>
  <c r="AR149" i="8"/>
  <c r="AR148" i="8"/>
  <c r="AS147" i="8"/>
  <c r="AR147" i="8"/>
  <c r="AW176" i="8"/>
  <c r="AW175" i="8"/>
  <c r="AW174" i="8"/>
  <c r="AW173" i="8"/>
  <c r="AW172" i="8"/>
  <c r="AW171" i="8"/>
  <c r="AW170" i="8"/>
  <c r="AW169" i="8"/>
  <c r="AW168" i="8"/>
  <c r="AW167" i="8"/>
  <c r="AW166" i="8"/>
  <c r="AW165" i="8"/>
  <c r="AW164" i="8"/>
  <c r="AW163" i="8"/>
  <c r="AW162" i="8"/>
  <c r="AW161" i="8"/>
  <c r="AW160" i="8"/>
  <c r="AW159" i="8"/>
  <c r="AW158" i="8"/>
  <c r="AW157" i="8"/>
  <c r="AW156" i="8"/>
  <c r="AW155" i="8"/>
  <c r="AW154" i="8"/>
  <c r="AW153" i="8"/>
  <c r="AW152" i="8"/>
  <c r="AW151" i="8"/>
  <c r="AW150" i="8"/>
  <c r="AW149" i="8"/>
  <c r="AW148" i="8"/>
  <c r="AX147" i="8"/>
  <c r="AW147" i="8"/>
  <c r="G33" i="5"/>
  <c r="I33" i="5"/>
  <c r="M33" i="5"/>
  <c r="P33" i="5"/>
  <c r="V33" i="5"/>
  <c r="I34" i="5"/>
  <c r="I35" i="5"/>
  <c r="I36" i="5"/>
  <c r="I37" i="5"/>
  <c r="I38" i="5"/>
  <c r="I39" i="5"/>
  <c r="J33" i="5" l="1"/>
  <c r="B23" i="39"/>
  <c r="B22" i="39"/>
  <c r="B21" i="39"/>
  <c r="B20" i="39"/>
  <c r="B19" i="39"/>
  <c r="B18" i="39"/>
  <c r="B17" i="39"/>
  <c r="B16" i="39"/>
  <c r="B15" i="39"/>
  <c r="I11" i="39"/>
  <c r="I9" i="39"/>
  <c r="I8" i="39"/>
  <c r="M32" i="6"/>
  <c r="S32" i="6"/>
  <c r="AC32" i="6"/>
  <c r="M33" i="6"/>
  <c r="S33" i="6"/>
  <c r="AC33" i="6"/>
  <c r="M34" i="6"/>
  <c r="S34" i="6"/>
  <c r="AC34" i="6"/>
  <c r="I7" i="39" l="1"/>
  <c r="AC37" i="6"/>
  <c r="S37" i="6"/>
  <c r="M37" i="6"/>
  <c r="AC36" i="6"/>
  <c r="S36" i="6"/>
  <c r="M36" i="6"/>
  <c r="AC35" i="6"/>
  <c r="S35" i="6"/>
  <c r="M35" i="6"/>
  <c r="AC40" i="7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R37" i="6" l="1"/>
  <c r="AB37" i="6"/>
  <c r="K81" i="36"/>
  <c r="J81" i="36"/>
  <c r="I81" i="36"/>
  <c r="K61" i="34"/>
  <c r="J61" i="34"/>
  <c r="I61" i="34"/>
  <c r="K101" i="34"/>
  <c r="J101" i="34"/>
  <c r="I101" i="34"/>
  <c r="K81" i="34"/>
  <c r="M81" i="34" s="1"/>
  <c r="J81" i="34"/>
  <c r="I81" i="34"/>
  <c r="K80" i="34"/>
  <c r="J80" i="34"/>
  <c r="I80" i="34"/>
  <c r="M80" i="34" l="1"/>
  <c r="S81" i="37"/>
  <c r="S80" i="37"/>
  <c r="S79" i="37"/>
  <c r="S78" i="37"/>
  <c r="S77" i="37"/>
  <c r="S76" i="37"/>
  <c r="S75" i="37"/>
  <c r="S74" i="37"/>
  <c r="S73" i="37"/>
  <c r="S72" i="37"/>
  <c r="S71" i="37"/>
  <c r="S70" i="37"/>
  <c r="S69" i="37"/>
  <c r="S68" i="37"/>
  <c r="T67" i="37"/>
  <c r="S67" i="37"/>
  <c r="X81" i="37"/>
  <c r="X80" i="37"/>
  <c r="X79" i="37"/>
  <c r="X78" i="37"/>
  <c r="X77" i="37"/>
  <c r="X76" i="37"/>
  <c r="X75" i="37"/>
  <c r="X74" i="37"/>
  <c r="X73" i="37"/>
  <c r="X72" i="37"/>
  <c r="X71" i="37"/>
  <c r="X70" i="37"/>
  <c r="X69" i="37"/>
  <c r="X68" i="37"/>
  <c r="Y67" i="37"/>
  <c r="X67" i="37"/>
  <c r="AC81" i="37"/>
  <c r="AC80" i="37"/>
  <c r="AC79" i="37"/>
  <c r="AC78" i="37"/>
  <c r="AC77" i="37"/>
  <c r="AC76" i="37"/>
  <c r="AC75" i="37"/>
  <c r="AC74" i="37"/>
  <c r="AC73" i="37"/>
  <c r="AC72" i="37"/>
  <c r="AC71" i="37"/>
  <c r="AC70" i="37"/>
  <c r="AC69" i="37"/>
  <c r="AC68" i="37"/>
  <c r="AD67" i="37"/>
  <c r="AC67" i="37"/>
  <c r="AH81" i="37"/>
  <c r="AH80" i="37"/>
  <c r="AH79" i="37"/>
  <c r="AH78" i="37"/>
  <c r="AH77" i="37"/>
  <c r="AH76" i="37"/>
  <c r="AH75" i="37"/>
  <c r="AH74" i="37"/>
  <c r="AH73" i="37"/>
  <c r="AH72" i="37"/>
  <c r="AH71" i="37"/>
  <c r="AH70" i="37"/>
  <c r="AH69" i="37"/>
  <c r="AH68" i="37"/>
  <c r="AI67" i="37"/>
  <c r="AH67" i="37"/>
  <c r="AM81" i="37"/>
  <c r="AM80" i="37"/>
  <c r="AM79" i="37"/>
  <c r="AM78" i="37"/>
  <c r="AM77" i="37"/>
  <c r="AM76" i="37"/>
  <c r="AM75" i="37"/>
  <c r="AM74" i="37"/>
  <c r="AM73" i="37"/>
  <c r="AM72" i="37"/>
  <c r="AM71" i="37"/>
  <c r="AM70" i="37"/>
  <c r="AM69" i="37"/>
  <c r="AM68" i="37"/>
  <c r="AN67" i="37"/>
  <c r="AM67" i="37"/>
  <c r="AR81" i="37"/>
  <c r="AR80" i="37"/>
  <c r="AR79" i="37"/>
  <c r="AR78" i="37"/>
  <c r="AR77" i="37"/>
  <c r="AR76" i="37"/>
  <c r="AR75" i="37"/>
  <c r="AR74" i="37"/>
  <c r="AR73" i="37"/>
  <c r="AR72" i="37"/>
  <c r="AR71" i="37"/>
  <c r="AR70" i="37"/>
  <c r="AR69" i="37"/>
  <c r="AR68" i="37"/>
  <c r="AS67" i="37"/>
  <c r="AR67" i="37"/>
  <c r="AW81" i="37"/>
  <c r="AW80" i="37"/>
  <c r="AW79" i="37"/>
  <c r="AW78" i="37"/>
  <c r="AW77" i="37"/>
  <c r="AW76" i="37"/>
  <c r="AW75" i="37"/>
  <c r="AW74" i="37"/>
  <c r="AW73" i="37"/>
  <c r="AW72" i="37"/>
  <c r="AW71" i="37"/>
  <c r="AW70" i="37"/>
  <c r="AW69" i="37"/>
  <c r="AW68" i="37"/>
  <c r="AX67" i="37"/>
  <c r="AW67" i="37"/>
  <c r="S81" i="36"/>
  <c r="S80" i="36"/>
  <c r="S79" i="36"/>
  <c r="S78" i="36"/>
  <c r="S77" i="36"/>
  <c r="S76" i="36"/>
  <c r="S75" i="36"/>
  <c r="S74" i="36"/>
  <c r="S73" i="36"/>
  <c r="S72" i="36"/>
  <c r="S71" i="36"/>
  <c r="S70" i="36"/>
  <c r="S69" i="36"/>
  <c r="S68" i="36"/>
  <c r="T67" i="36"/>
  <c r="S67" i="36"/>
  <c r="X81" i="36"/>
  <c r="X80" i="36"/>
  <c r="X79" i="36"/>
  <c r="X78" i="36"/>
  <c r="X77" i="36"/>
  <c r="X76" i="36"/>
  <c r="X75" i="36"/>
  <c r="X74" i="36"/>
  <c r="X73" i="36"/>
  <c r="X72" i="36"/>
  <c r="X71" i="36"/>
  <c r="X70" i="36"/>
  <c r="X69" i="36"/>
  <c r="X68" i="36"/>
  <c r="Y67" i="36"/>
  <c r="X67" i="36"/>
  <c r="AC81" i="36"/>
  <c r="AC80" i="36"/>
  <c r="AC79" i="36"/>
  <c r="AC78" i="36"/>
  <c r="AC77" i="36"/>
  <c r="AC76" i="36"/>
  <c r="AC75" i="36"/>
  <c r="AC74" i="36"/>
  <c r="AC73" i="36"/>
  <c r="AC72" i="36"/>
  <c r="AC71" i="36"/>
  <c r="AC70" i="36"/>
  <c r="AC69" i="36"/>
  <c r="AC68" i="36"/>
  <c r="AD67" i="36"/>
  <c r="AC67" i="36"/>
  <c r="AH81" i="36"/>
  <c r="AH80" i="36"/>
  <c r="AH79" i="36"/>
  <c r="AH78" i="36"/>
  <c r="AH77" i="36"/>
  <c r="AH76" i="36"/>
  <c r="AH75" i="36"/>
  <c r="AH74" i="36"/>
  <c r="AH73" i="36"/>
  <c r="AH72" i="36"/>
  <c r="AH71" i="36"/>
  <c r="AH70" i="36"/>
  <c r="AH69" i="36"/>
  <c r="AH68" i="36"/>
  <c r="AI67" i="36"/>
  <c r="AH67" i="36"/>
  <c r="AM81" i="36"/>
  <c r="AM80" i="36"/>
  <c r="AM79" i="36"/>
  <c r="AM78" i="36"/>
  <c r="AM77" i="36"/>
  <c r="AM76" i="36"/>
  <c r="AM75" i="36"/>
  <c r="AM74" i="36"/>
  <c r="AM73" i="36"/>
  <c r="AM72" i="36"/>
  <c r="AM71" i="36"/>
  <c r="AM70" i="36"/>
  <c r="AM69" i="36"/>
  <c r="AM68" i="36"/>
  <c r="AN67" i="36"/>
  <c r="AM67" i="36"/>
  <c r="AR81" i="36"/>
  <c r="AR80" i="36"/>
  <c r="AR79" i="36"/>
  <c r="AR78" i="36"/>
  <c r="AR77" i="36"/>
  <c r="AR76" i="36"/>
  <c r="AR75" i="36"/>
  <c r="AR74" i="36"/>
  <c r="AR73" i="36"/>
  <c r="AR72" i="36"/>
  <c r="AR71" i="36"/>
  <c r="AR70" i="36"/>
  <c r="AR69" i="36"/>
  <c r="AR68" i="36"/>
  <c r="AS67" i="36"/>
  <c r="AR67" i="36"/>
  <c r="AW81" i="36"/>
  <c r="AW80" i="36"/>
  <c r="AW79" i="36"/>
  <c r="AW78" i="36"/>
  <c r="AW77" i="36"/>
  <c r="AW76" i="36"/>
  <c r="AW75" i="36"/>
  <c r="AW74" i="36"/>
  <c r="AW73" i="36"/>
  <c r="AW72" i="36"/>
  <c r="AW71" i="36"/>
  <c r="AW70" i="36"/>
  <c r="AW69" i="36"/>
  <c r="AW68" i="36"/>
  <c r="AX67" i="36"/>
  <c r="AW67" i="36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T67" i="35"/>
  <c r="S67" i="35"/>
  <c r="X81" i="35"/>
  <c r="X80" i="35"/>
  <c r="X79" i="35"/>
  <c r="X78" i="35"/>
  <c r="X77" i="35"/>
  <c r="X76" i="35"/>
  <c r="X75" i="35"/>
  <c r="X74" i="35"/>
  <c r="X73" i="35"/>
  <c r="X72" i="35"/>
  <c r="X71" i="35"/>
  <c r="X70" i="35"/>
  <c r="X69" i="35"/>
  <c r="X68" i="35"/>
  <c r="Y67" i="35"/>
  <c r="X67" i="35"/>
  <c r="AC81" i="35"/>
  <c r="AC80" i="35"/>
  <c r="AC79" i="35"/>
  <c r="AC78" i="35"/>
  <c r="AC77" i="35"/>
  <c r="AC76" i="35"/>
  <c r="AC75" i="35"/>
  <c r="AC74" i="35"/>
  <c r="AC73" i="35"/>
  <c r="AC72" i="35"/>
  <c r="AC71" i="35"/>
  <c r="AC70" i="35"/>
  <c r="AC69" i="35"/>
  <c r="AC68" i="35"/>
  <c r="AD67" i="35"/>
  <c r="AC67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I67" i="35"/>
  <c r="AH67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N67" i="35"/>
  <c r="AM67" i="35"/>
  <c r="AR81" i="35"/>
  <c r="AR80" i="35"/>
  <c r="AR79" i="35"/>
  <c r="AR78" i="35"/>
  <c r="AR77" i="35"/>
  <c r="AR76" i="35"/>
  <c r="AR75" i="35"/>
  <c r="AR74" i="35"/>
  <c r="AR73" i="35"/>
  <c r="AR72" i="35"/>
  <c r="AR71" i="35"/>
  <c r="AR70" i="35"/>
  <c r="AR69" i="35"/>
  <c r="AR68" i="35"/>
  <c r="AS67" i="35"/>
  <c r="AR67" i="35"/>
  <c r="AW81" i="35"/>
  <c r="AW80" i="35"/>
  <c r="AW79" i="35"/>
  <c r="AW78" i="35"/>
  <c r="AW77" i="35"/>
  <c r="AW76" i="35"/>
  <c r="AW75" i="35"/>
  <c r="AW74" i="35"/>
  <c r="AW73" i="35"/>
  <c r="AW72" i="35"/>
  <c r="AW71" i="35"/>
  <c r="AW70" i="35"/>
  <c r="AW69" i="35"/>
  <c r="AW68" i="35"/>
  <c r="AX67" i="35"/>
  <c r="AW67" i="35"/>
  <c r="S81" i="34"/>
  <c r="S80" i="34"/>
  <c r="S79" i="34"/>
  <c r="S78" i="34"/>
  <c r="S77" i="34"/>
  <c r="S76" i="34"/>
  <c r="S75" i="34"/>
  <c r="S74" i="34"/>
  <c r="S73" i="34"/>
  <c r="S72" i="34"/>
  <c r="S71" i="34"/>
  <c r="S70" i="34"/>
  <c r="S69" i="34"/>
  <c r="S68" i="34"/>
  <c r="T67" i="34"/>
  <c r="S67" i="34"/>
  <c r="X81" i="34"/>
  <c r="X80" i="34"/>
  <c r="X79" i="34"/>
  <c r="X78" i="34"/>
  <c r="X77" i="34"/>
  <c r="X76" i="34"/>
  <c r="X75" i="34"/>
  <c r="X74" i="34"/>
  <c r="X73" i="34"/>
  <c r="X72" i="34"/>
  <c r="X71" i="34"/>
  <c r="X70" i="34"/>
  <c r="X69" i="34"/>
  <c r="X68" i="34"/>
  <c r="Y67" i="34"/>
  <c r="X67" i="34"/>
  <c r="AC81" i="34"/>
  <c r="AC80" i="34"/>
  <c r="AC79" i="34"/>
  <c r="AC78" i="34"/>
  <c r="AC77" i="34"/>
  <c r="AC76" i="34"/>
  <c r="AC75" i="34"/>
  <c r="AC74" i="34"/>
  <c r="AC73" i="34"/>
  <c r="AC72" i="34"/>
  <c r="AC71" i="34"/>
  <c r="AC70" i="34"/>
  <c r="AC69" i="34"/>
  <c r="AC68" i="34"/>
  <c r="AD67" i="34"/>
  <c r="AC67" i="34"/>
  <c r="AH81" i="34"/>
  <c r="AH80" i="34"/>
  <c r="AH79" i="34"/>
  <c r="AH78" i="34"/>
  <c r="AH77" i="34"/>
  <c r="AH76" i="34"/>
  <c r="AH75" i="34"/>
  <c r="AH74" i="34"/>
  <c r="AH73" i="34"/>
  <c r="AH72" i="34"/>
  <c r="AH71" i="34"/>
  <c r="AH70" i="34"/>
  <c r="AH69" i="34"/>
  <c r="AH68" i="34"/>
  <c r="AI67" i="34"/>
  <c r="AH67" i="34"/>
  <c r="AM81" i="34"/>
  <c r="AM80" i="34"/>
  <c r="AM79" i="34"/>
  <c r="AM78" i="34"/>
  <c r="AM77" i="34"/>
  <c r="AM76" i="34"/>
  <c r="AM75" i="34"/>
  <c r="AM74" i="34"/>
  <c r="AM73" i="34"/>
  <c r="AM72" i="34"/>
  <c r="AM71" i="34"/>
  <c r="AM70" i="34"/>
  <c r="AM69" i="34"/>
  <c r="AM68" i="34"/>
  <c r="AN67" i="34"/>
  <c r="AM67" i="34"/>
  <c r="AR81" i="34"/>
  <c r="AR80" i="34"/>
  <c r="AR79" i="34"/>
  <c r="AR78" i="34"/>
  <c r="AR77" i="34"/>
  <c r="AR76" i="34"/>
  <c r="AR75" i="34"/>
  <c r="AR74" i="34"/>
  <c r="AR73" i="34"/>
  <c r="AR72" i="34"/>
  <c r="AR71" i="34"/>
  <c r="AR70" i="34"/>
  <c r="AR69" i="34"/>
  <c r="AR68" i="34"/>
  <c r="AS67" i="34"/>
  <c r="AR67" i="34"/>
  <c r="AW81" i="34"/>
  <c r="AW80" i="34"/>
  <c r="AW79" i="34"/>
  <c r="AW78" i="34"/>
  <c r="AW77" i="34"/>
  <c r="AW76" i="34"/>
  <c r="AW75" i="34"/>
  <c r="AW74" i="34"/>
  <c r="AW73" i="34"/>
  <c r="AW72" i="34"/>
  <c r="AW71" i="34"/>
  <c r="AW70" i="34"/>
  <c r="AW69" i="34"/>
  <c r="AW68" i="34"/>
  <c r="AX67" i="34"/>
  <c r="AW67" i="34"/>
  <c r="S141" i="33"/>
  <c r="S140" i="33"/>
  <c r="S139" i="33"/>
  <c r="S138" i="33"/>
  <c r="S137" i="33"/>
  <c r="S136" i="33"/>
  <c r="S135" i="33"/>
  <c r="S134" i="33"/>
  <c r="S133" i="33"/>
  <c r="S132" i="33"/>
  <c r="S131" i="33"/>
  <c r="S130" i="33"/>
  <c r="S129" i="33"/>
  <c r="S128" i="33"/>
  <c r="S127" i="33"/>
  <c r="S126" i="33"/>
  <c r="S125" i="33"/>
  <c r="S124" i="33"/>
  <c r="S123" i="33"/>
  <c r="S122" i="33"/>
  <c r="S121" i="33"/>
  <c r="S120" i="33"/>
  <c r="S119" i="33"/>
  <c r="S118" i="33"/>
  <c r="S117" i="33"/>
  <c r="S116" i="33"/>
  <c r="S115" i="33"/>
  <c r="S114" i="33"/>
  <c r="S113" i="33"/>
  <c r="T112" i="33"/>
  <c r="S112" i="33"/>
  <c r="X141" i="33"/>
  <c r="X140" i="33"/>
  <c r="X139" i="33"/>
  <c r="X138" i="33"/>
  <c r="X137" i="33"/>
  <c r="X136" i="33"/>
  <c r="X135" i="33"/>
  <c r="X134" i="33"/>
  <c r="X133" i="33"/>
  <c r="X132" i="33"/>
  <c r="X131" i="33"/>
  <c r="X130" i="33"/>
  <c r="X129" i="33"/>
  <c r="X128" i="33"/>
  <c r="X127" i="33"/>
  <c r="X126" i="33"/>
  <c r="X125" i="33"/>
  <c r="X124" i="33"/>
  <c r="X123" i="33"/>
  <c r="X122" i="33"/>
  <c r="X121" i="33"/>
  <c r="X120" i="33"/>
  <c r="X119" i="33"/>
  <c r="X118" i="33"/>
  <c r="X117" i="33"/>
  <c r="X116" i="33"/>
  <c r="X115" i="33"/>
  <c r="X114" i="33"/>
  <c r="X113" i="33"/>
  <c r="Y112" i="33"/>
  <c r="X112" i="33"/>
  <c r="AC141" i="33"/>
  <c r="AC140" i="33"/>
  <c r="AC139" i="33"/>
  <c r="AC138" i="33"/>
  <c r="AC137" i="33"/>
  <c r="AC136" i="33"/>
  <c r="AC135" i="33"/>
  <c r="AC134" i="33"/>
  <c r="AC133" i="33"/>
  <c r="AC132" i="33"/>
  <c r="AC131" i="33"/>
  <c r="AC130" i="33"/>
  <c r="AC129" i="33"/>
  <c r="AC128" i="33"/>
  <c r="AC127" i="33"/>
  <c r="AC126" i="33"/>
  <c r="AC125" i="33"/>
  <c r="AC124" i="33"/>
  <c r="AC123" i="33"/>
  <c r="AC122" i="33"/>
  <c r="AC121" i="33"/>
  <c r="AC120" i="33"/>
  <c r="AC119" i="33"/>
  <c r="AC118" i="33"/>
  <c r="AC117" i="33"/>
  <c r="AC116" i="33"/>
  <c r="AC115" i="33"/>
  <c r="AC114" i="33"/>
  <c r="AC113" i="33"/>
  <c r="AD112" i="33"/>
  <c r="AC112" i="33"/>
  <c r="AH141" i="33"/>
  <c r="AH140" i="33"/>
  <c r="AH139" i="33"/>
  <c r="AH138" i="33"/>
  <c r="AH137" i="33"/>
  <c r="AH136" i="33"/>
  <c r="AH135" i="33"/>
  <c r="AH134" i="33"/>
  <c r="AH133" i="33"/>
  <c r="AH132" i="33"/>
  <c r="AH131" i="33"/>
  <c r="AH130" i="33"/>
  <c r="AH129" i="33"/>
  <c r="AH128" i="33"/>
  <c r="AH127" i="33"/>
  <c r="AH126" i="33"/>
  <c r="AH125" i="33"/>
  <c r="AH124" i="33"/>
  <c r="AH123" i="33"/>
  <c r="AH122" i="33"/>
  <c r="AH121" i="33"/>
  <c r="AH120" i="33"/>
  <c r="AH119" i="33"/>
  <c r="AH118" i="33"/>
  <c r="AH117" i="33"/>
  <c r="AH116" i="33"/>
  <c r="AH115" i="33"/>
  <c r="AH114" i="33"/>
  <c r="AH113" i="33"/>
  <c r="AI112" i="33"/>
  <c r="AH112" i="33"/>
  <c r="AM141" i="33"/>
  <c r="AM140" i="33"/>
  <c r="AM139" i="33"/>
  <c r="AM138" i="33"/>
  <c r="AM137" i="33"/>
  <c r="AM136" i="33"/>
  <c r="AM135" i="33"/>
  <c r="AM134" i="33"/>
  <c r="AM133" i="33"/>
  <c r="AM132" i="33"/>
  <c r="AM131" i="33"/>
  <c r="AM130" i="33"/>
  <c r="AM129" i="33"/>
  <c r="AM128" i="33"/>
  <c r="AM127" i="33"/>
  <c r="AM126" i="33"/>
  <c r="AM125" i="33"/>
  <c r="AM124" i="33"/>
  <c r="AM123" i="33"/>
  <c r="AM122" i="33"/>
  <c r="AM121" i="33"/>
  <c r="AM120" i="33"/>
  <c r="AM119" i="33"/>
  <c r="AM118" i="33"/>
  <c r="AM117" i="33"/>
  <c r="AM116" i="33"/>
  <c r="AM115" i="33"/>
  <c r="AM114" i="33"/>
  <c r="AM113" i="33"/>
  <c r="AN112" i="33"/>
  <c r="AM112" i="33"/>
  <c r="AR141" i="33"/>
  <c r="AR140" i="33"/>
  <c r="AR139" i="33"/>
  <c r="AR138" i="33"/>
  <c r="AR137" i="33"/>
  <c r="AR136" i="33"/>
  <c r="AR135" i="33"/>
  <c r="AR134" i="33"/>
  <c r="AR133" i="33"/>
  <c r="AR132" i="33"/>
  <c r="AR131" i="33"/>
  <c r="AR130" i="33"/>
  <c r="AR129" i="33"/>
  <c r="AR128" i="33"/>
  <c r="AR127" i="33"/>
  <c r="AR126" i="33"/>
  <c r="AR125" i="33"/>
  <c r="AR124" i="33"/>
  <c r="AR123" i="33"/>
  <c r="AR122" i="33"/>
  <c r="AR121" i="33"/>
  <c r="AR120" i="33"/>
  <c r="AR119" i="33"/>
  <c r="AR118" i="33"/>
  <c r="AR117" i="33"/>
  <c r="AR116" i="33"/>
  <c r="AR115" i="33"/>
  <c r="AR114" i="33"/>
  <c r="AR113" i="33"/>
  <c r="AS112" i="33"/>
  <c r="AR112" i="33"/>
  <c r="AW141" i="33"/>
  <c r="AW140" i="33"/>
  <c r="AW139" i="33"/>
  <c r="AW138" i="33"/>
  <c r="AW137" i="33"/>
  <c r="AW136" i="33"/>
  <c r="AW135" i="33"/>
  <c r="AW134" i="33"/>
  <c r="AW133" i="33"/>
  <c r="AW132" i="33"/>
  <c r="AW131" i="33"/>
  <c r="AW130" i="33"/>
  <c r="AW129" i="33"/>
  <c r="AW128" i="33"/>
  <c r="AW127" i="33"/>
  <c r="AW126" i="33"/>
  <c r="AW125" i="33"/>
  <c r="AW124" i="33"/>
  <c r="AW123" i="33"/>
  <c r="AW122" i="33"/>
  <c r="AW121" i="33"/>
  <c r="AW120" i="33"/>
  <c r="AW119" i="33"/>
  <c r="AW118" i="33"/>
  <c r="AW117" i="33"/>
  <c r="AW116" i="33"/>
  <c r="AW115" i="33"/>
  <c r="AW114" i="33"/>
  <c r="AW113" i="33"/>
  <c r="AX112" i="33"/>
  <c r="AW112" i="33"/>
  <c r="I81" i="31"/>
  <c r="J81" i="31"/>
  <c r="K81" i="31"/>
  <c r="M81" i="31" s="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X81" i="31"/>
  <c r="X80" i="31"/>
  <c r="X79" i="31"/>
  <c r="X78" i="31"/>
  <c r="X77" i="31"/>
  <c r="X76" i="31"/>
  <c r="X75" i="31"/>
  <c r="X74" i="31"/>
  <c r="X73" i="31"/>
  <c r="X72" i="31"/>
  <c r="X71" i="31"/>
  <c r="X70" i="31"/>
  <c r="X69" i="31"/>
  <c r="X68" i="31"/>
  <c r="Y67" i="31"/>
  <c r="X67" i="31"/>
  <c r="AC81" i="31"/>
  <c r="AC80" i="31"/>
  <c r="AC79" i="31"/>
  <c r="AC78" i="31"/>
  <c r="AC77" i="31"/>
  <c r="AC76" i="31"/>
  <c r="AC75" i="31"/>
  <c r="AC74" i="31"/>
  <c r="AC73" i="31"/>
  <c r="AC72" i="31"/>
  <c r="AC71" i="31"/>
  <c r="AC70" i="31"/>
  <c r="AC69" i="31"/>
  <c r="AC68" i="31"/>
  <c r="AD67" i="31"/>
  <c r="AC67" i="31"/>
  <c r="AH81" i="31"/>
  <c r="AH80" i="31"/>
  <c r="AH79" i="31"/>
  <c r="AH78" i="31"/>
  <c r="AH77" i="31"/>
  <c r="AH76" i="31"/>
  <c r="AH75" i="31"/>
  <c r="AH74" i="31"/>
  <c r="AH73" i="31"/>
  <c r="AH72" i="31"/>
  <c r="AH71" i="31"/>
  <c r="AH70" i="31"/>
  <c r="AH69" i="31"/>
  <c r="AH68" i="31"/>
  <c r="AI67" i="31"/>
  <c r="AH67" i="31"/>
  <c r="AM81" i="31"/>
  <c r="AM80" i="31"/>
  <c r="AM79" i="31"/>
  <c r="AM78" i="31"/>
  <c r="AM77" i="31"/>
  <c r="AM76" i="31"/>
  <c r="AM75" i="31"/>
  <c r="AM74" i="31"/>
  <c r="AM73" i="31"/>
  <c r="AM72" i="31"/>
  <c r="AM71" i="31"/>
  <c r="AM70" i="31"/>
  <c r="AM69" i="31"/>
  <c r="AM68" i="31"/>
  <c r="AN67" i="31"/>
  <c r="AM67" i="31"/>
  <c r="AR81" i="31"/>
  <c r="AR80" i="31"/>
  <c r="AR79" i="31"/>
  <c r="AR78" i="31"/>
  <c r="AR77" i="31"/>
  <c r="AR76" i="31"/>
  <c r="AR75" i="31"/>
  <c r="AR74" i="31"/>
  <c r="AR73" i="31"/>
  <c r="AR72" i="31"/>
  <c r="AR71" i="31"/>
  <c r="AR70" i="31"/>
  <c r="AR69" i="31"/>
  <c r="AR68" i="31"/>
  <c r="AS67" i="31"/>
  <c r="AR67" i="31"/>
  <c r="AW81" i="31"/>
  <c r="AW80" i="31"/>
  <c r="AW79" i="31"/>
  <c r="AW78" i="31"/>
  <c r="AW77" i="31"/>
  <c r="AW76" i="31"/>
  <c r="AW75" i="31"/>
  <c r="AW74" i="31"/>
  <c r="AW73" i="31"/>
  <c r="AW72" i="31"/>
  <c r="AW71" i="31"/>
  <c r="AW70" i="31"/>
  <c r="AW69" i="31"/>
  <c r="AW68" i="31"/>
  <c r="AX67" i="31"/>
  <c r="AW67" i="31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T67" i="32"/>
  <c r="S67" i="32"/>
  <c r="X81" i="32"/>
  <c r="X80" i="32"/>
  <c r="X79" i="32"/>
  <c r="X78" i="32"/>
  <c r="X77" i="32"/>
  <c r="X76" i="32"/>
  <c r="X75" i="32"/>
  <c r="X74" i="32"/>
  <c r="X73" i="32"/>
  <c r="X72" i="32"/>
  <c r="X71" i="32"/>
  <c r="X70" i="32"/>
  <c r="X69" i="32"/>
  <c r="X68" i="32"/>
  <c r="Y67" i="32"/>
  <c r="X67" i="32"/>
  <c r="AC81" i="32"/>
  <c r="AC80" i="32"/>
  <c r="AC79" i="32"/>
  <c r="AC78" i="32"/>
  <c r="AC77" i="32"/>
  <c r="AC76" i="32"/>
  <c r="AC75" i="32"/>
  <c r="AC74" i="32"/>
  <c r="AC73" i="32"/>
  <c r="AC72" i="32"/>
  <c r="AC71" i="32"/>
  <c r="AC70" i="32"/>
  <c r="AC69" i="32"/>
  <c r="AC68" i="32"/>
  <c r="AD67" i="32"/>
  <c r="AC67" i="32"/>
  <c r="AH81" i="32"/>
  <c r="AH80" i="32"/>
  <c r="AH79" i="32"/>
  <c r="AH78" i="32"/>
  <c r="AH77" i="32"/>
  <c r="AH76" i="32"/>
  <c r="AH75" i="32"/>
  <c r="AH74" i="32"/>
  <c r="AH73" i="32"/>
  <c r="AH72" i="32"/>
  <c r="AH71" i="32"/>
  <c r="AH70" i="32"/>
  <c r="AH69" i="32"/>
  <c r="AH68" i="32"/>
  <c r="AI67" i="32"/>
  <c r="AH67" i="32"/>
  <c r="AM81" i="32"/>
  <c r="AM80" i="32"/>
  <c r="AM79" i="32"/>
  <c r="AM78" i="32"/>
  <c r="AM77" i="32"/>
  <c r="AM76" i="32"/>
  <c r="AM75" i="32"/>
  <c r="AM74" i="32"/>
  <c r="AM73" i="32"/>
  <c r="AM72" i="32"/>
  <c r="AM71" i="32"/>
  <c r="AM70" i="32"/>
  <c r="AM69" i="32"/>
  <c r="AM68" i="32"/>
  <c r="AN67" i="32"/>
  <c r="AM67" i="32"/>
  <c r="AR81" i="32"/>
  <c r="AR80" i="32"/>
  <c r="AR79" i="32"/>
  <c r="AR78" i="32"/>
  <c r="AR77" i="32"/>
  <c r="AR76" i="32"/>
  <c r="AR75" i="32"/>
  <c r="AR74" i="32"/>
  <c r="AR73" i="32"/>
  <c r="AR72" i="32"/>
  <c r="AR71" i="32"/>
  <c r="AR70" i="32"/>
  <c r="AR69" i="32"/>
  <c r="AR68" i="32"/>
  <c r="AS67" i="32"/>
  <c r="AR67" i="32"/>
  <c r="AW81" i="32"/>
  <c r="AW80" i="32"/>
  <c r="AW79" i="32"/>
  <c r="AW78" i="32"/>
  <c r="AW77" i="32"/>
  <c r="AW76" i="32"/>
  <c r="AW75" i="32"/>
  <c r="AW74" i="32"/>
  <c r="AW73" i="32"/>
  <c r="AW72" i="32"/>
  <c r="AW71" i="32"/>
  <c r="AW70" i="32"/>
  <c r="AW69" i="32"/>
  <c r="AW68" i="32"/>
  <c r="AX67" i="32"/>
  <c r="AW67" i="32"/>
  <c r="S81" i="30"/>
  <c r="S80" i="30"/>
  <c r="S79" i="30"/>
  <c r="S78" i="30"/>
  <c r="S77" i="30"/>
  <c r="S76" i="30"/>
  <c r="S75" i="30"/>
  <c r="S74" i="30"/>
  <c r="S73" i="30"/>
  <c r="S72" i="30"/>
  <c r="S71" i="30"/>
  <c r="S70" i="30"/>
  <c r="S69" i="30"/>
  <c r="S68" i="30"/>
  <c r="T67" i="30"/>
  <c r="S67" i="30"/>
  <c r="X81" i="30"/>
  <c r="X80" i="30"/>
  <c r="X79" i="30"/>
  <c r="X78" i="30"/>
  <c r="X77" i="30"/>
  <c r="X76" i="30"/>
  <c r="X75" i="30"/>
  <c r="X74" i="30"/>
  <c r="X73" i="30"/>
  <c r="X72" i="30"/>
  <c r="X71" i="30"/>
  <c r="X70" i="30"/>
  <c r="X69" i="30"/>
  <c r="X68" i="30"/>
  <c r="Y67" i="30"/>
  <c r="X67" i="30"/>
  <c r="AC81" i="30"/>
  <c r="AC80" i="30"/>
  <c r="AC79" i="30"/>
  <c r="AC78" i="30"/>
  <c r="AC77" i="30"/>
  <c r="AC76" i="30"/>
  <c r="AC75" i="30"/>
  <c r="AC74" i="30"/>
  <c r="AC73" i="30"/>
  <c r="AC72" i="30"/>
  <c r="AC71" i="30"/>
  <c r="AC70" i="30"/>
  <c r="AC69" i="30"/>
  <c r="AC68" i="30"/>
  <c r="AD67" i="30"/>
  <c r="AC67" i="30"/>
  <c r="AH81" i="30"/>
  <c r="AH80" i="30"/>
  <c r="AH79" i="30"/>
  <c r="AH78" i="30"/>
  <c r="AH77" i="30"/>
  <c r="AH76" i="30"/>
  <c r="AH75" i="30"/>
  <c r="AH74" i="30"/>
  <c r="AH73" i="30"/>
  <c r="AH72" i="30"/>
  <c r="AH71" i="30"/>
  <c r="AH70" i="30"/>
  <c r="AH69" i="30"/>
  <c r="AH68" i="30"/>
  <c r="AI67" i="30"/>
  <c r="AH67" i="30"/>
  <c r="AM81" i="30"/>
  <c r="AM80" i="30"/>
  <c r="AM79" i="30"/>
  <c r="AM78" i="30"/>
  <c r="AM77" i="30"/>
  <c r="AM76" i="30"/>
  <c r="AM75" i="30"/>
  <c r="AM74" i="30"/>
  <c r="AM73" i="30"/>
  <c r="AM72" i="30"/>
  <c r="AM71" i="30"/>
  <c r="AM70" i="30"/>
  <c r="AM69" i="30"/>
  <c r="AM68" i="30"/>
  <c r="AN67" i="30"/>
  <c r="AM67" i="30"/>
  <c r="AR81" i="30"/>
  <c r="AR80" i="30"/>
  <c r="AR79" i="30"/>
  <c r="AR78" i="30"/>
  <c r="AR77" i="30"/>
  <c r="AR76" i="30"/>
  <c r="AR75" i="30"/>
  <c r="AR74" i="30"/>
  <c r="AR73" i="30"/>
  <c r="AR72" i="30"/>
  <c r="AR71" i="30"/>
  <c r="AR70" i="30"/>
  <c r="AR69" i="30"/>
  <c r="AR68" i="30"/>
  <c r="AS67" i="30"/>
  <c r="AR67" i="30"/>
  <c r="AW81" i="30"/>
  <c r="AW80" i="30"/>
  <c r="AW79" i="30"/>
  <c r="AW78" i="30"/>
  <c r="AW77" i="30"/>
  <c r="AW76" i="30"/>
  <c r="AW75" i="30"/>
  <c r="AW74" i="30"/>
  <c r="AW73" i="30"/>
  <c r="AW72" i="30"/>
  <c r="AW71" i="30"/>
  <c r="AW70" i="30"/>
  <c r="AW69" i="30"/>
  <c r="AW68" i="30"/>
  <c r="AX67" i="30"/>
  <c r="AW67" i="30"/>
  <c r="S112" i="8"/>
  <c r="T112" i="8"/>
  <c r="X112" i="8"/>
  <c r="Y112" i="8"/>
  <c r="AC112" i="8"/>
  <c r="AD112" i="8"/>
  <c r="AH112" i="8"/>
  <c r="AI112" i="8"/>
  <c r="AM112" i="8"/>
  <c r="AN112" i="8"/>
  <c r="AR112" i="8"/>
  <c r="AS112" i="8"/>
  <c r="AW112" i="8"/>
  <c r="AX112" i="8"/>
  <c r="S113" i="8"/>
  <c r="X113" i="8"/>
  <c r="AC113" i="8"/>
  <c r="AH113" i="8"/>
  <c r="AM113" i="8"/>
  <c r="AR113" i="8"/>
  <c r="AW113" i="8"/>
  <c r="S114" i="8"/>
  <c r="X114" i="8"/>
  <c r="AC114" i="8"/>
  <c r="AH114" i="8"/>
  <c r="AM114" i="8"/>
  <c r="AR114" i="8"/>
  <c r="AW114" i="8"/>
  <c r="S115" i="8"/>
  <c r="X115" i="8"/>
  <c r="AC115" i="8"/>
  <c r="AH115" i="8"/>
  <c r="AM115" i="8"/>
  <c r="AR115" i="8"/>
  <c r="AW115" i="8"/>
  <c r="S116" i="8"/>
  <c r="X116" i="8"/>
  <c r="AC116" i="8"/>
  <c r="AH116" i="8"/>
  <c r="AM116" i="8"/>
  <c r="AR116" i="8"/>
  <c r="AW116" i="8"/>
  <c r="S117" i="8"/>
  <c r="X117" i="8"/>
  <c r="AC117" i="8"/>
  <c r="AH117" i="8"/>
  <c r="AM117" i="8"/>
  <c r="AR117" i="8"/>
  <c r="AW117" i="8"/>
  <c r="S118" i="8"/>
  <c r="X118" i="8"/>
  <c r="AC118" i="8"/>
  <c r="AH118" i="8"/>
  <c r="AM118" i="8"/>
  <c r="AR118" i="8"/>
  <c r="AW118" i="8"/>
  <c r="S119" i="8"/>
  <c r="X119" i="8"/>
  <c r="AC119" i="8"/>
  <c r="AH119" i="8"/>
  <c r="AM119" i="8"/>
  <c r="AR119" i="8"/>
  <c r="AW119" i="8"/>
  <c r="S120" i="8"/>
  <c r="X120" i="8"/>
  <c r="AC120" i="8"/>
  <c r="AH120" i="8"/>
  <c r="AM120" i="8"/>
  <c r="AR120" i="8"/>
  <c r="AW120" i="8"/>
  <c r="S121" i="8"/>
  <c r="X121" i="8"/>
  <c r="AC121" i="8"/>
  <c r="AH121" i="8"/>
  <c r="AM121" i="8"/>
  <c r="AR121" i="8"/>
  <c r="AW121" i="8"/>
  <c r="S122" i="8"/>
  <c r="X122" i="8"/>
  <c r="AC122" i="8"/>
  <c r="AH122" i="8"/>
  <c r="AM122" i="8"/>
  <c r="AR122" i="8"/>
  <c r="AW122" i="8"/>
  <c r="S123" i="8"/>
  <c r="X123" i="8"/>
  <c r="AC123" i="8"/>
  <c r="AH123" i="8"/>
  <c r="AM123" i="8"/>
  <c r="AR123" i="8"/>
  <c r="AW123" i="8"/>
  <c r="S124" i="8"/>
  <c r="X124" i="8"/>
  <c r="AC124" i="8"/>
  <c r="AH124" i="8"/>
  <c r="AM124" i="8"/>
  <c r="AR124" i="8"/>
  <c r="AW124" i="8"/>
  <c r="S125" i="8"/>
  <c r="X125" i="8"/>
  <c r="AC125" i="8"/>
  <c r="AH125" i="8"/>
  <c r="AM125" i="8"/>
  <c r="AR125" i="8"/>
  <c r="AW125" i="8"/>
  <c r="S126" i="8"/>
  <c r="X126" i="8"/>
  <c r="AC126" i="8"/>
  <c r="AH126" i="8"/>
  <c r="AM126" i="8"/>
  <c r="AR126" i="8"/>
  <c r="AW126" i="8"/>
  <c r="S127" i="8"/>
  <c r="X127" i="8"/>
  <c r="AC127" i="8"/>
  <c r="AH127" i="8"/>
  <c r="AM127" i="8"/>
  <c r="AR127" i="8"/>
  <c r="AW127" i="8"/>
  <c r="S128" i="8"/>
  <c r="X128" i="8"/>
  <c r="AC128" i="8"/>
  <c r="AH128" i="8"/>
  <c r="AM128" i="8"/>
  <c r="AR128" i="8"/>
  <c r="AW128" i="8"/>
  <c r="S129" i="8"/>
  <c r="X129" i="8"/>
  <c r="AC129" i="8"/>
  <c r="AH129" i="8"/>
  <c r="AM129" i="8"/>
  <c r="AR129" i="8"/>
  <c r="AW129" i="8"/>
  <c r="S130" i="8"/>
  <c r="X130" i="8"/>
  <c r="AC130" i="8"/>
  <c r="AH130" i="8"/>
  <c r="AM130" i="8"/>
  <c r="AR130" i="8"/>
  <c r="AW130" i="8"/>
  <c r="S131" i="8"/>
  <c r="X131" i="8"/>
  <c r="AC131" i="8"/>
  <c r="AH131" i="8"/>
  <c r="AM131" i="8"/>
  <c r="AR131" i="8"/>
  <c r="AW131" i="8"/>
  <c r="S132" i="8"/>
  <c r="X132" i="8"/>
  <c r="AC132" i="8"/>
  <c r="AH132" i="8"/>
  <c r="AM132" i="8"/>
  <c r="AR132" i="8"/>
  <c r="AW132" i="8"/>
  <c r="S133" i="8"/>
  <c r="X133" i="8"/>
  <c r="AC133" i="8"/>
  <c r="AH133" i="8"/>
  <c r="AM133" i="8"/>
  <c r="AR133" i="8"/>
  <c r="AW133" i="8"/>
  <c r="S134" i="8"/>
  <c r="X134" i="8"/>
  <c r="AC134" i="8"/>
  <c r="AH134" i="8"/>
  <c r="AM134" i="8"/>
  <c r="AR134" i="8"/>
  <c r="AW134" i="8"/>
  <c r="S135" i="8"/>
  <c r="X135" i="8"/>
  <c r="AC135" i="8"/>
  <c r="AH135" i="8"/>
  <c r="AM135" i="8"/>
  <c r="AR135" i="8"/>
  <c r="AW135" i="8"/>
  <c r="S136" i="8"/>
  <c r="X136" i="8"/>
  <c r="AC136" i="8"/>
  <c r="AH136" i="8"/>
  <c r="AM136" i="8"/>
  <c r="AR136" i="8"/>
  <c r="AW136" i="8"/>
  <c r="S137" i="8"/>
  <c r="X137" i="8"/>
  <c r="AC137" i="8"/>
  <c r="AH137" i="8"/>
  <c r="AM137" i="8"/>
  <c r="AR137" i="8"/>
  <c r="AW137" i="8"/>
  <c r="S138" i="8"/>
  <c r="X138" i="8"/>
  <c r="AC138" i="8"/>
  <c r="AH138" i="8"/>
  <c r="AM138" i="8"/>
  <c r="AR138" i="8"/>
  <c r="AW138" i="8"/>
  <c r="S139" i="8"/>
  <c r="X139" i="8"/>
  <c r="AC139" i="8"/>
  <c r="AH139" i="8"/>
  <c r="AM139" i="8"/>
  <c r="AR139" i="8"/>
  <c r="AW139" i="8"/>
  <c r="S140" i="8"/>
  <c r="X140" i="8"/>
  <c r="AC140" i="8"/>
  <c r="AH140" i="8"/>
  <c r="AM140" i="8"/>
  <c r="AR140" i="8"/>
  <c r="AW140" i="8"/>
  <c r="S141" i="8"/>
  <c r="X141" i="8"/>
  <c r="AC141" i="8"/>
  <c r="AH141" i="8"/>
  <c r="AM141" i="8"/>
  <c r="AR141" i="8"/>
  <c r="AW141" i="8"/>
  <c r="AC55" i="37" l="1"/>
  <c r="AH55" i="37"/>
  <c r="AM55" i="37"/>
  <c r="AZ61" i="37"/>
  <c r="AZ60" i="37"/>
  <c r="AZ59" i="37"/>
  <c r="AZ58" i="37"/>
  <c r="AZ57" i="37"/>
  <c r="AZ56" i="37"/>
  <c r="AZ55" i="37"/>
  <c r="AR55" i="37"/>
  <c r="AW55" i="37"/>
  <c r="I35" i="32" l="1"/>
  <c r="J35" i="32"/>
  <c r="K35" i="32"/>
  <c r="I30" i="30"/>
  <c r="J30" i="30"/>
  <c r="K30" i="30"/>
  <c r="I31" i="30"/>
  <c r="J31" i="30"/>
  <c r="K31" i="30"/>
  <c r="I54" i="37"/>
  <c r="J54" i="37"/>
  <c r="K54" i="37"/>
  <c r="I55" i="37"/>
  <c r="J55" i="37"/>
  <c r="K55" i="37"/>
  <c r="S54" i="37"/>
  <c r="S53" i="37"/>
  <c r="S52" i="37"/>
  <c r="S51" i="37"/>
  <c r="S50" i="37"/>
  <c r="S49" i="37"/>
  <c r="S48" i="37"/>
  <c r="T47" i="37"/>
  <c r="S47" i="37"/>
  <c r="X54" i="37"/>
  <c r="X53" i="37"/>
  <c r="X52" i="37"/>
  <c r="X51" i="37"/>
  <c r="X50" i="37"/>
  <c r="X49" i="37"/>
  <c r="X48" i="37"/>
  <c r="Y47" i="37"/>
  <c r="X47" i="37"/>
  <c r="AC54" i="37"/>
  <c r="AC53" i="37"/>
  <c r="AC52" i="37"/>
  <c r="AC51" i="37"/>
  <c r="AC50" i="37"/>
  <c r="AC49" i="37"/>
  <c r="AC48" i="37"/>
  <c r="AD47" i="37"/>
  <c r="AC47" i="37"/>
  <c r="AH54" i="37"/>
  <c r="AH53" i="37"/>
  <c r="AH52" i="37"/>
  <c r="AH51" i="37"/>
  <c r="AH50" i="37"/>
  <c r="AH49" i="37"/>
  <c r="AH48" i="37"/>
  <c r="AI47" i="37"/>
  <c r="AH47" i="37"/>
  <c r="AM54" i="37"/>
  <c r="AM53" i="37"/>
  <c r="AM52" i="37"/>
  <c r="AM51" i="37"/>
  <c r="AM50" i="37"/>
  <c r="AM49" i="37"/>
  <c r="AM48" i="37"/>
  <c r="AN47" i="37"/>
  <c r="AM47" i="37"/>
  <c r="AR54" i="37"/>
  <c r="AR53" i="37"/>
  <c r="AR52" i="37"/>
  <c r="AR51" i="37"/>
  <c r="AR50" i="37"/>
  <c r="AR49" i="37"/>
  <c r="AR48" i="37"/>
  <c r="AS47" i="37"/>
  <c r="AR47" i="37"/>
  <c r="AW54" i="37"/>
  <c r="AW53" i="37"/>
  <c r="AW52" i="37"/>
  <c r="AW51" i="37"/>
  <c r="AW50" i="37"/>
  <c r="AW49" i="37"/>
  <c r="AW48" i="37"/>
  <c r="AX47" i="37"/>
  <c r="AW47" i="37"/>
  <c r="S61" i="36"/>
  <c r="S60" i="36"/>
  <c r="S59" i="36"/>
  <c r="S58" i="36"/>
  <c r="S57" i="36"/>
  <c r="S56" i="36"/>
  <c r="S55" i="36"/>
  <c r="S54" i="36"/>
  <c r="S53" i="36"/>
  <c r="S52" i="36"/>
  <c r="S51" i="36"/>
  <c r="S50" i="36"/>
  <c r="S49" i="36"/>
  <c r="S48" i="36"/>
  <c r="T47" i="36"/>
  <c r="S47" i="36"/>
  <c r="X61" i="36"/>
  <c r="X60" i="36"/>
  <c r="X59" i="36"/>
  <c r="X58" i="36"/>
  <c r="X57" i="36"/>
  <c r="X56" i="36"/>
  <c r="X55" i="36"/>
  <c r="X54" i="36"/>
  <c r="X53" i="36"/>
  <c r="X52" i="36"/>
  <c r="X51" i="36"/>
  <c r="X50" i="36"/>
  <c r="X49" i="36"/>
  <c r="X48" i="36"/>
  <c r="Y47" i="36"/>
  <c r="X47" i="36"/>
  <c r="AC61" i="36"/>
  <c r="AC60" i="36"/>
  <c r="AC59" i="36"/>
  <c r="AC58" i="36"/>
  <c r="AC57" i="36"/>
  <c r="AC56" i="36"/>
  <c r="AC55" i="36"/>
  <c r="AC54" i="36"/>
  <c r="AC53" i="36"/>
  <c r="AC52" i="36"/>
  <c r="AC51" i="36"/>
  <c r="AC50" i="36"/>
  <c r="AC49" i="36"/>
  <c r="AC48" i="36"/>
  <c r="AD47" i="36"/>
  <c r="AC47" i="36"/>
  <c r="AH61" i="36"/>
  <c r="AH60" i="36"/>
  <c r="AH59" i="36"/>
  <c r="AH58" i="36"/>
  <c r="AH57" i="36"/>
  <c r="AH56" i="36"/>
  <c r="AH55" i="36"/>
  <c r="AH54" i="36"/>
  <c r="AH53" i="36"/>
  <c r="AH52" i="36"/>
  <c r="AH51" i="36"/>
  <c r="AH50" i="36"/>
  <c r="AH49" i="36"/>
  <c r="AH48" i="36"/>
  <c r="AI47" i="36"/>
  <c r="AH47" i="36"/>
  <c r="AM61" i="36"/>
  <c r="AM60" i="36"/>
  <c r="AM59" i="36"/>
  <c r="AM58" i="36"/>
  <c r="AM57" i="36"/>
  <c r="AM56" i="36"/>
  <c r="AM55" i="36"/>
  <c r="AM54" i="36"/>
  <c r="AM53" i="36"/>
  <c r="AM52" i="36"/>
  <c r="AM51" i="36"/>
  <c r="AM50" i="36"/>
  <c r="AM49" i="36"/>
  <c r="AM48" i="36"/>
  <c r="AN47" i="36"/>
  <c r="AM47" i="36"/>
  <c r="AR61" i="36"/>
  <c r="AR60" i="36"/>
  <c r="AR59" i="36"/>
  <c r="AR58" i="36"/>
  <c r="AR57" i="36"/>
  <c r="AR56" i="36"/>
  <c r="AR55" i="36"/>
  <c r="AR54" i="36"/>
  <c r="AR53" i="36"/>
  <c r="AR52" i="36"/>
  <c r="AR51" i="36"/>
  <c r="AR50" i="36"/>
  <c r="AR49" i="36"/>
  <c r="AR48" i="36"/>
  <c r="AS47" i="36"/>
  <c r="AR47" i="36"/>
  <c r="AW61" i="36"/>
  <c r="AW60" i="36"/>
  <c r="AW59" i="36"/>
  <c r="AW58" i="36"/>
  <c r="AW57" i="36"/>
  <c r="AW56" i="36"/>
  <c r="AW55" i="36"/>
  <c r="AW54" i="36"/>
  <c r="AW53" i="36"/>
  <c r="AW52" i="36"/>
  <c r="AW51" i="36"/>
  <c r="AW50" i="36"/>
  <c r="AW49" i="36"/>
  <c r="AW48" i="36"/>
  <c r="AX47" i="36"/>
  <c r="AW47" i="36"/>
  <c r="AZ57" i="36"/>
  <c r="AZ51" i="36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T47" i="35"/>
  <c r="S47" i="35"/>
  <c r="X61" i="35"/>
  <c r="X60" i="35"/>
  <c r="X59" i="35"/>
  <c r="X58" i="35"/>
  <c r="X57" i="35"/>
  <c r="X56" i="35"/>
  <c r="X55" i="35"/>
  <c r="X54" i="35"/>
  <c r="X53" i="35"/>
  <c r="X52" i="35"/>
  <c r="X51" i="35"/>
  <c r="X50" i="35"/>
  <c r="X49" i="35"/>
  <c r="X48" i="35"/>
  <c r="Y47" i="35"/>
  <c r="X47" i="35"/>
  <c r="AC61" i="35"/>
  <c r="AC60" i="35"/>
  <c r="AC59" i="35"/>
  <c r="AC58" i="35"/>
  <c r="AC57" i="35"/>
  <c r="AC56" i="35"/>
  <c r="AC55" i="35"/>
  <c r="AC54" i="35"/>
  <c r="AC53" i="35"/>
  <c r="AC52" i="35"/>
  <c r="AC51" i="35"/>
  <c r="AC50" i="35"/>
  <c r="AC49" i="35"/>
  <c r="AC48" i="35"/>
  <c r="AD47" i="35"/>
  <c r="AC47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I47" i="35"/>
  <c r="AH47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N47" i="35"/>
  <c r="AM47" i="35"/>
  <c r="AR61" i="35"/>
  <c r="AR60" i="35"/>
  <c r="AR59" i="35"/>
  <c r="AR58" i="35"/>
  <c r="AR57" i="35"/>
  <c r="AR56" i="35"/>
  <c r="AR55" i="35"/>
  <c r="AR54" i="35"/>
  <c r="AR53" i="35"/>
  <c r="AR52" i="35"/>
  <c r="AR51" i="35"/>
  <c r="AR50" i="35"/>
  <c r="AR49" i="35"/>
  <c r="AR48" i="35"/>
  <c r="AS47" i="35"/>
  <c r="AR47" i="35"/>
  <c r="AW61" i="35"/>
  <c r="AW60" i="35"/>
  <c r="AW59" i="35"/>
  <c r="AW58" i="35"/>
  <c r="AW57" i="35"/>
  <c r="AW56" i="35"/>
  <c r="AW55" i="35"/>
  <c r="AW54" i="35"/>
  <c r="AW53" i="35"/>
  <c r="AW52" i="35"/>
  <c r="AW51" i="35"/>
  <c r="AW50" i="35"/>
  <c r="AW49" i="35"/>
  <c r="AW48" i="35"/>
  <c r="AX47" i="35"/>
  <c r="AW47" i="35"/>
  <c r="S61" i="34"/>
  <c r="S60" i="34"/>
  <c r="S59" i="34"/>
  <c r="S58" i="34"/>
  <c r="S57" i="34"/>
  <c r="S56" i="34"/>
  <c r="S55" i="34"/>
  <c r="S54" i="34"/>
  <c r="S53" i="34"/>
  <c r="S52" i="34"/>
  <c r="S51" i="34"/>
  <c r="S50" i="34"/>
  <c r="S49" i="34"/>
  <c r="S48" i="34"/>
  <c r="T47" i="34"/>
  <c r="S47" i="34"/>
  <c r="X61" i="34"/>
  <c r="X60" i="34"/>
  <c r="X59" i="34"/>
  <c r="X58" i="34"/>
  <c r="X57" i="34"/>
  <c r="X56" i="34"/>
  <c r="X55" i="34"/>
  <c r="X54" i="34"/>
  <c r="X53" i="34"/>
  <c r="X52" i="34"/>
  <c r="X51" i="34"/>
  <c r="X50" i="34"/>
  <c r="X49" i="34"/>
  <c r="X48" i="34"/>
  <c r="Y47" i="34"/>
  <c r="X47" i="34"/>
  <c r="AC61" i="34"/>
  <c r="AC60" i="34"/>
  <c r="AC59" i="34"/>
  <c r="AC58" i="34"/>
  <c r="AC57" i="34"/>
  <c r="AC56" i="34"/>
  <c r="AC55" i="34"/>
  <c r="AC54" i="34"/>
  <c r="AC53" i="34"/>
  <c r="AC52" i="34"/>
  <c r="AC51" i="34"/>
  <c r="AC50" i="34"/>
  <c r="AC49" i="34"/>
  <c r="AC48" i="34"/>
  <c r="AD47" i="34"/>
  <c r="AC47" i="34"/>
  <c r="AH61" i="34"/>
  <c r="AH60" i="34"/>
  <c r="AH59" i="34"/>
  <c r="AH58" i="34"/>
  <c r="AH57" i="34"/>
  <c r="AH56" i="34"/>
  <c r="AH55" i="34"/>
  <c r="AH54" i="34"/>
  <c r="AH53" i="34"/>
  <c r="AH52" i="34"/>
  <c r="AH51" i="34"/>
  <c r="AH50" i="34"/>
  <c r="AH49" i="34"/>
  <c r="AH48" i="34"/>
  <c r="AI47" i="34"/>
  <c r="AH47" i="34"/>
  <c r="AM61" i="34"/>
  <c r="AM60" i="34"/>
  <c r="AM59" i="34"/>
  <c r="AM58" i="34"/>
  <c r="AM57" i="34"/>
  <c r="AM56" i="34"/>
  <c r="AM55" i="34"/>
  <c r="AM54" i="34"/>
  <c r="AM53" i="34"/>
  <c r="AM52" i="34"/>
  <c r="AM51" i="34"/>
  <c r="AM50" i="34"/>
  <c r="AM49" i="34"/>
  <c r="AM48" i="34"/>
  <c r="AN47" i="34"/>
  <c r="AM47" i="34"/>
  <c r="AR61" i="34"/>
  <c r="AR60" i="34"/>
  <c r="AR59" i="34"/>
  <c r="AR58" i="34"/>
  <c r="AR57" i="34"/>
  <c r="AR56" i="34"/>
  <c r="AR55" i="34"/>
  <c r="AR54" i="34"/>
  <c r="AR53" i="34"/>
  <c r="AR52" i="34"/>
  <c r="AR51" i="34"/>
  <c r="AR50" i="34"/>
  <c r="AR49" i="34"/>
  <c r="AR48" i="34"/>
  <c r="AS47" i="34"/>
  <c r="AR47" i="34"/>
  <c r="AW61" i="34"/>
  <c r="AW60" i="34"/>
  <c r="AW59" i="34"/>
  <c r="AW58" i="34"/>
  <c r="AW57" i="34"/>
  <c r="AW56" i="34"/>
  <c r="AW55" i="34"/>
  <c r="AW54" i="34"/>
  <c r="AW53" i="34"/>
  <c r="AW52" i="34"/>
  <c r="AW51" i="34"/>
  <c r="AW50" i="34"/>
  <c r="AW49" i="34"/>
  <c r="AW48" i="34"/>
  <c r="AX47" i="34"/>
  <c r="AW47" i="34"/>
  <c r="S106" i="33"/>
  <c r="S105" i="33"/>
  <c r="S104" i="33"/>
  <c r="S103" i="33"/>
  <c r="S102" i="33"/>
  <c r="S101" i="33"/>
  <c r="S100" i="33"/>
  <c r="S99" i="33"/>
  <c r="S98" i="33"/>
  <c r="S97" i="33"/>
  <c r="S96" i="33"/>
  <c r="S95" i="33"/>
  <c r="S94" i="33"/>
  <c r="S93" i="33"/>
  <c r="S92" i="33"/>
  <c r="S91" i="33"/>
  <c r="S90" i="33"/>
  <c r="S89" i="33"/>
  <c r="S88" i="33"/>
  <c r="S87" i="33"/>
  <c r="S86" i="33"/>
  <c r="S85" i="33"/>
  <c r="S84" i="33"/>
  <c r="S83" i="33"/>
  <c r="S82" i="33"/>
  <c r="S81" i="33"/>
  <c r="S80" i="33"/>
  <c r="S79" i="33"/>
  <c r="S78" i="33"/>
  <c r="T77" i="33"/>
  <c r="S77" i="33"/>
  <c r="X106" i="33"/>
  <c r="X105" i="33"/>
  <c r="X104" i="33"/>
  <c r="X103" i="33"/>
  <c r="X102" i="33"/>
  <c r="X101" i="33"/>
  <c r="X100" i="33"/>
  <c r="X99" i="33"/>
  <c r="X98" i="33"/>
  <c r="X97" i="33"/>
  <c r="X96" i="33"/>
  <c r="X95" i="33"/>
  <c r="X94" i="33"/>
  <c r="X93" i="33"/>
  <c r="X92" i="33"/>
  <c r="X91" i="33"/>
  <c r="X90" i="33"/>
  <c r="X89" i="33"/>
  <c r="X88" i="33"/>
  <c r="X87" i="33"/>
  <c r="X86" i="33"/>
  <c r="X85" i="33"/>
  <c r="X84" i="33"/>
  <c r="X83" i="33"/>
  <c r="X82" i="33"/>
  <c r="X81" i="33"/>
  <c r="X80" i="33"/>
  <c r="X79" i="33"/>
  <c r="X78" i="33"/>
  <c r="Y77" i="33"/>
  <c r="X77" i="33"/>
  <c r="AC106" i="33"/>
  <c r="AC105" i="33"/>
  <c r="AC104" i="33"/>
  <c r="AC103" i="33"/>
  <c r="AC102" i="33"/>
  <c r="AC101" i="33"/>
  <c r="AC100" i="33"/>
  <c r="AC99" i="33"/>
  <c r="AC98" i="33"/>
  <c r="AC97" i="33"/>
  <c r="AC96" i="33"/>
  <c r="AC95" i="33"/>
  <c r="AC94" i="33"/>
  <c r="AC93" i="33"/>
  <c r="AC92" i="33"/>
  <c r="AC91" i="33"/>
  <c r="AC90" i="33"/>
  <c r="AC89" i="33"/>
  <c r="AC88" i="33"/>
  <c r="AC87" i="33"/>
  <c r="AC86" i="33"/>
  <c r="AC85" i="33"/>
  <c r="AC84" i="33"/>
  <c r="AC83" i="33"/>
  <c r="AC82" i="33"/>
  <c r="AC81" i="33"/>
  <c r="AC80" i="33"/>
  <c r="AC79" i="33"/>
  <c r="AC78" i="33"/>
  <c r="AD77" i="33"/>
  <c r="AC77" i="33"/>
  <c r="AH106" i="33"/>
  <c r="AH105" i="33"/>
  <c r="AH104" i="33"/>
  <c r="AH103" i="33"/>
  <c r="AH102" i="33"/>
  <c r="AH101" i="33"/>
  <c r="AH100" i="33"/>
  <c r="AH99" i="33"/>
  <c r="AH98" i="33"/>
  <c r="AH97" i="33"/>
  <c r="AH96" i="33"/>
  <c r="AH95" i="33"/>
  <c r="AH94" i="33"/>
  <c r="AH93" i="33"/>
  <c r="AH92" i="33"/>
  <c r="AH91" i="33"/>
  <c r="AH90" i="33"/>
  <c r="AH89" i="33"/>
  <c r="AH88" i="33"/>
  <c r="AH87" i="33"/>
  <c r="AH86" i="33"/>
  <c r="AH85" i="33"/>
  <c r="AH84" i="33"/>
  <c r="AH83" i="33"/>
  <c r="AH82" i="33"/>
  <c r="AH81" i="33"/>
  <c r="AH80" i="33"/>
  <c r="AH79" i="33"/>
  <c r="AH78" i="33"/>
  <c r="AI77" i="33"/>
  <c r="AH77" i="33"/>
  <c r="AM106" i="33"/>
  <c r="AM105" i="33"/>
  <c r="AM104" i="33"/>
  <c r="AM103" i="33"/>
  <c r="AM102" i="33"/>
  <c r="AM101" i="33"/>
  <c r="AM100" i="33"/>
  <c r="AM99" i="33"/>
  <c r="AM98" i="33"/>
  <c r="AM97" i="33"/>
  <c r="AM96" i="33"/>
  <c r="AM95" i="33"/>
  <c r="AM94" i="33"/>
  <c r="AM93" i="33"/>
  <c r="AM92" i="33"/>
  <c r="AM91" i="33"/>
  <c r="AM90" i="33"/>
  <c r="AM89" i="33"/>
  <c r="AM88" i="33"/>
  <c r="AM87" i="33"/>
  <c r="AM86" i="33"/>
  <c r="AM85" i="33"/>
  <c r="AM84" i="33"/>
  <c r="AM83" i="33"/>
  <c r="AM82" i="33"/>
  <c r="AM81" i="33"/>
  <c r="AM80" i="33"/>
  <c r="AM79" i="33"/>
  <c r="AM78" i="33"/>
  <c r="AN77" i="33"/>
  <c r="AM77" i="33"/>
  <c r="AR106" i="33"/>
  <c r="AR105" i="33"/>
  <c r="AR104" i="33"/>
  <c r="AR103" i="33"/>
  <c r="AR102" i="33"/>
  <c r="AR101" i="33"/>
  <c r="AR100" i="33"/>
  <c r="AR99" i="33"/>
  <c r="AR98" i="33"/>
  <c r="AR97" i="33"/>
  <c r="AR96" i="33"/>
  <c r="AR95" i="33"/>
  <c r="AR94" i="33"/>
  <c r="AR93" i="33"/>
  <c r="AR92" i="33"/>
  <c r="AR91" i="33"/>
  <c r="AR90" i="33"/>
  <c r="AR89" i="33"/>
  <c r="AR88" i="33"/>
  <c r="AR87" i="33"/>
  <c r="AR86" i="33"/>
  <c r="AR85" i="33"/>
  <c r="AR84" i="33"/>
  <c r="AR83" i="33"/>
  <c r="AR82" i="33"/>
  <c r="AR81" i="33"/>
  <c r="AR80" i="33"/>
  <c r="AR79" i="33"/>
  <c r="AR78" i="33"/>
  <c r="AS77" i="33"/>
  <c r="AR77" i="33"/>
  <c r="AW106" i="33"/>
  <c r="AW105" i="33"/>
  <c r="AW104" i="33"/>
  <c r="AW103" i="33"/>
  <c r="AW102" i="33"/>
  <c r="AW101" i="33"/>
  <c r="AW100" i="33"/>
  <c r="AW99" i="33"/>
  <c r="AW98" i="33"/>
  <c r="AW97" i="33"/>
  <c r="AW96" i="33"/>
  <c r="AW95" i="33"/>
  <c r="AW94" i="33"/>
  <c r="AW93" i="33"/>
  <c r="AW92" i="33"/>
  <c r="AW91" i="33"/>
  <c r="AW90" i="33"/>
  <c r="AW89" i="33"/>
  <c r="AW88" i="33"/>
  <c r="AW87" i="33"/>
  <c r="AW86" i="33"/>
  <c r="AW85" i="33"/>
  <c r="AW84" i="33"/>
  <c r="AW83" i="33"/>
  <c r="AW82" i="33"/>
  <c r="AW81" i="33"/>
  <c r="AW80" i="33"/>
  <c r="AW79" i="33"/>
  <c r="AW78" i="33"/>
  <c r="AX77" i="33"/>
  <c r="AW77" i="33"/>
  <c r="S61" i="31"/>
  <c r="S60" i="31"/>
  <c r="S59" i="31"/>
  <c r="S58" i="31"/>
  <c r="S57" i="31"/>
  <c r="S56" i="31"/>
  <c r="S55" i="31"/>
  <c r="S54" i="31"/>
  <c r="S53" i="31"/>
  <c r="S52" i="31"/>
  <c r="S51" i="31"/>
  <c r="S50" i="31"/>
  <c r="S49" i="31"/>
  <c r="S48" i="31"/>
  <c r="T47" i="31"/>
  <c r="S47" i="31"/>
  <c r="X61" i="31"/>
  <c r="X60" i="31"/>
  <c r="X59" i="31"/>
  <c r="X58" i="31"/>
  <c r="X57" i="31"/>
  <c r="X56" i="31"/>
  <c r="X55" i="31"/>
  <c r="X54" i="31"/>
  <c r="X53" i="31"/>
  <c r="X52" i="31"/>
  <c r="X51" i="31"/>
  <c r="X50" i="31"/>
  <c r="X49" i="31"/>
  <c r="X48" i="31"/>
  <c r="Y47" i="31"/>
  <c r="X47" i="31"/>
  <c r="AC61" i="31"/>
  <c r="AC60" i="31"/>
  <c r="AC59" i="31"/>
  <c r="AC58" i="31"/>
  <c r="AC57" i="31"/>
  <c r="AC56" i="31"/>
  <c r="AC55" i="31"/>
  <c r="AC54" i="31"/>
  <c r="AC53" i="31"/>
  <c r="AC52" i="31"/>
  <c r="AC51" i="31"/>
  <c r="AC50" i="31"/>
  <c r="AC49" i="31"/>
  <c r="AC48" i="31"/>
  <c r="AD47" i="31"/>
  <c r="AC47" i="31"/>
  <c r="AH61" i="31"/>
  <c r="AH60" i="31"/>
  <c r="AH59" i="31"/>
  <c r="AH58" i="31"/>
  <c r="AH57" i="31"/>
  <c r="AH56" i="31"/>
  <c r="AH55" i="31"/>
  <c r="AH54" i="31"/>
  <c r="AH53" i="31"/>
  <c r="AH52" i="31"/>
  <c r="AH51" i="31"/>
  <c r="AH50" i="31"/>
  <c r="AH49" i="31"/>
  <c r="AH48" i="31"/>
  <c r="AI47" i="31"/>
  <c r="AH47" i="31"/>
  <c r="AM61" i="31"/>
  <c r="AM60" i="31"/>
  <c r="AM59" i="31"/>
  <c r="AM58" i="31"/>
  <c r="AM57" i="31"/>
  <c r="AM56" i="31"/>
  <c r="AM55" i="31"/>
  <c r="AM54" i="31"/>
  <c r="AM53" i="31"/>
  <c r="AM52" i="31"/>
  <c r="AM51" i="31"/>
  <c r="AM50" i="31"/>
  <c r="AM49" i="31"/>
  <c r="AM48" i="31"/>
  <c r="AN47" i="31"/>
  <c r="AM47" i="31"/>
  <c r="AR61" i="31"/>
  <c r="AR60" i="31"/>
  <c r="AR59" i="31"/>
  <c r="AR58" i="31"/>
  <c r="AR57" i="31"/>
  <c r="AR56" i="31"/>
  <c r="AR55" i="31"/>
  <c r="AR54" i="31"/>
  <c r="AR53" i="31"/>
  <c r="AR52" i="31"/>
  <c r="AR51" i="31"/>
  <c r="AR50" i="31"/>
  <c r="AR49" i="31"/>
  <c r="AR48" i="31"/>
  <c r="AS47" i="31"/>
  <c r="AR47" i="31"/>
  <c r="AW61" i="31"/>
  <c r="AW60" i="31"/>
  <c r="AW59" i="31"/>
  <c r="AW58" i="31"/>
  <c r="AW57" i="31"/>
  <c r="AW56" i="31"/>
  <c r="AW55" i="31"/>
  <c r="AW54" i="31"/>
  <c r="AW53" i="31"/>
  <c r="AW52" i="31"/>
  <c r="AW51" i="31"/>
  <c r="AW50" i="31"/>
  <c r="AW49" i="31"/>
  <c r="AW48" i="31"/>
  <c r="AX47" i="31"/>
  <c r="AW47" i="31"/>
  <c r="S61" i="32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T47" i="32"/>
  <c r="S47" i="32"/>
  <c r="X61" i="32"/>
  <c r="X60" i="32"/>
  <c r="X59" i="32"/>
  <c r="X58" i="32"/>
  <c r="X57" i="32"/>
  <c r="X56" i="32"/>
  <c r="X55" i="32"/>
  <c r="X54" i="32"/>
  <c r="X53" i="32"/>
  <c r="X52" i="32"/>
  <c r="X51" i="32"/>
  <c r="X50" i="32"/>
  <c r="X49" i="32"/>
  <c r="X48" i="32"/>
  <c r="Y47" i="32"/>
  <c r="X47" i="32"/>
  <c r="AC61" i="32"/>
  <c r="AC60" i="32"/>
  <c r="AC59" i="32"/>
  <c r="AC58" i="32"/>
  <c r="AC57" i="32"/>
  <c r="AC56" i="32"/>
  <c r="AC55" i="32"/>
  <c r="AC54" i="32"/>
  <c r="AC53" i="32"/>
  <c r="AC52" i="32"/>
  <c r="AC51" i="32"/>
  <c r="AC50" i="32"/>
  <c r="AC49" i="32"/>
  <c r="AC48" i="32"/>
  <c r="AD47" i="32"/>
  <c r="AC47" i="32"/>
  <c r="AH61" i="32"/>
  <c r="AH60" i="32"/>
  <c r="AH59" i="32"/>
  <c r="AH58" i="32"/>
  <c r="AH57" i="32"/>
  <c r="AH56" i="32"/>
  <c r="AH55" i="32"/>
  <c r="AH54" i="32"/>
  <c r="AH53" i="32"/>
  <c r="AH52" i="32"/>
  <c r="AH51" i="32"/>
  <c r="AH50" i="32"/>
  <c r="AH49" i="32"/>
  <c r="AH48" i="32"/>
  <c r="AI47" i="32"/>
  <c r="AH47" i="32"/>
  <c r="AM61" i="32"/>
  <c r="AM60" i="32"/>
  <c r="AM59" i="32"/>
  <c r="AM58" i="32"/>
  <c r="AM57" i="32"/>
  <c r="AM56" i="32"/>
  <c r="AM55" i="32"/>
  <c r="AM54" i="32"/>
  <c r="AM53" i="32"/>
  <c r="AM52" i="32"/>
  <c r="AM51" i="32"/>
  <c r="AM50" i="32"/>
  <c r="AM49" i="32"/>
  <c r="AM48" i="32"/>
  <c r="AN47" i="32"/>
  <c r="AM47" i="32"/>
  <c r="AR61" i="32"/>
  <c r="AR60" i="32"/>
  <c r="AR59" i="32"/>
  <c r="AR58" i="32"/>
  <c r="AR57" i="32"/>
  <c r="AR56" i="32"/>
  <c r="AR55" i="32"/>
  <c r="AR54" i="32"/>
  <c r="AR53" i="32"/>
  <c r="AR52" i="32"/>
  <c r="AR51" i="32"/>
  <c r="AR50" i="32"/>
  <c r="AR49" i="32"/>
  <c r="AR48" i="32"/>
  <c r="AS47" i="32"/>
  <c r="AR47" i="32"/>
  <c r="AW61" i="32"/>
  <c r="AW60" i="32"/>
  <c r="AW59" i="32"/>
  <c r="AW58" i="32"/>
  <c r="AW57" i="32"/>
  <c r="AW56" i="32"/>
  <c r="AW55" i="32"/>
  <c r="AW54" i="32"/>
  <c r="AW53" i="32"/>
  <c r="AW52" i="32"/>
  <c r="AW51" i="32"/>
  <c r="AW50" i="32"/>
  <c r="AW49" i="32"/>
  <c r="AW48" i="32"/>
  <c r="AX47" i="32"/>
  <c r="AW47" i="32"/>
  <c r="S53" i="30"/>
  <c r="S52" i="30"/>
  <c r="S51" i="30"/>
  <c r="S50" i="30"/>
  <c r="S49" i="30"/>
  <c r="S48" i="30"/>
  <c r="T47" i="30"/>
  <c r="S47" i="30"/>
  <c r="X53" i="30"/>
  <c r="X52" i="30"/>
  <c r="X51" i="30"/>
  <c r="X50" i="30"/>
  <c r="X49" i="30"/>
  <c r="X48" i="30"/>
  <c r="Y47" i="30"/>
  <c r="X47" i="30"/>
  <c r="AC53" i="30"/>
  <c r="AC52" i="30"/>
  <c r="AC51" i="30"/>
  <c r="AC50" i="30"/>
  <c r="AC49" i="30"/>
  <c r="AC48" i="30"/>
  <c r="AD47" i="30"/>
  <c r="AC47" i="30"/>
  <c r="AH53" i="30"/>
  <c r="AH52" i="30"/>
  <c r="AH51" i="30"/>
  <c r="AH50" i="30"/>
  <c r="AH49" i="30"/>
  <c r="AH48" i="30"/>
  <c r="AI47" i="30"/>
  <c r="AH47" i="30"/>
  <c r="AM53" i="30"/>
  <c r="AM52" i="30"/>
  <c r="AM51" i="30"/>
  <c r="AM50" i="30"/>
  <c r="AM49" i="30"/>
  <c r="AM48" i="30"/>
  <c r="AN47" i="30"/>
  <c r="AM47" i="30"/>
  <c r="AR53" i="30"/>
  <c r="AR52" i="30"/>
  <c r="AR51" i="30"/>
  <c r="AR50" i="30"/>
  <c r="AR49" i="30"/>
  <c r="AR48" i="30"/>
  <c r="AS47" i="30"/>
  <c r="AR47" i="30"/>
  <c r="AW53" i="30"/>
  <c r="AW52" i="30"/>
  <c r="AW51" i="30"/>
  <c r="AW50" i="30"/>
  <c r="AW49" i="30"/>
  <c r="AW48" i="30"/>
  <c r="AX47" i="30"/>
  <c r="AW47" i="30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X106" i="8"/>
  <c r="X105" i="8"/>
  <c r="X104" i="8"/>
  <c r="X103" i="8"/>
  <c r="X102" i="8"/>
  <c r="X101" i="8"/>
  <c r="X100" i="8"/>
  <c r="X99" i="8"/>
  <c r="X98" i="8"/>
  <c r="X97" i="8"/>
  <c r="X96" i="8"/>
  <c r="X95" i="8"/>
  <c r="X94" i="8"/>
  <c r="X93" i="8"/>
  <c r="X92" i="8"/>
  <c r="X91" i="8"/>
  <c r="X90" i="8"/>
  <c r="X89" i="8"/>
  <c r="X88" i="8"/>
  <c r="X87" i="8"/>
  <c r="X86" i="8"/>
  <c r="X85" i="8"/>
  <c r="X84" i="8"/>
  <c r="X83" i="8"/>
  <c r="X82" i="8"/>
  <c r="X81" i="8"/>
  <c r="X80" i="8"/>
  <c r="X79" i="8"/>
  <c r="X78" i="8"/>
  <c r="Y77" i="8"/>
  <c r="X77" i="8"/>
  <c r="AC106" i="8"/>
  <c r="AC105" i="8"/>
  <c r="AC104" i="8"/>
  <c r="AC103" i="8"/>
  <c r="AC102" i="8"/>
  <c r="AC101" i="8"/>
  <c r="AC100" i="8"/>
  <c r="AC99" i="8"/>
  <c r="AC98" i="8"/>
  <c r="AC97" i="8"/>
  <c r="AC96" i="8"/>
  <c r="AC95" i="8"/>
  <c r="AC94" i="8"/>
  <c r="AC93" i="8"/>
  <c r="AC92" i="8"/>
  <c r="AC91" i="8"/>
  <c r="AC90" i="8"/>
  <c r="AC89" i="8"/>
  <c r="AC88" i="8"/>
  <c r="AC87" i="8"/>
  <c r="AC86" i="8"/>
  <c r="AC85" i="8"/>
  <c r="AC84" i="8"/>
  <c r="AC83" i="8"/>
  <c r="AC82" i="8"/>
  <c r="AC81" i="8"/>
  <c r="AC80" i="8"/>
  <c r="AC79" i="8"/>
  <c r="AC78" i="8"/>
  <c r="AD77" i="8"/>
  <c r="AC77" i="8"/>
  <c r="AH106" i="8"/>
  <c r="AH105" i="8"/>
  <c r="AH104" i="8"/>
  <c r="AH103" i="8"/>
  <c r="AH102" i="8"/>
  <c r="AH101" i="8"/>
  <c r="AH100" i="8"/>
  <c r="AH99" i="8"/>
  <c r="AH98" i="8"/>
  <c r="AH97" i="8"/>
  <c r="AH96" i="8"/>
  <c r="AH95" i="8"/>
  <c r="AH94" i="8"/>
  <c r="AH93" i="8"/>
  <c r="AH92" i="8"/>
  <c r="AH91" i="8"/>
  <c r="AH90" i="8"/>
  <c r="AH89" i="8"/>
  <c r="AH88" i="8"/>
  <c r="AH87" i="8"/>
  <c r="AH86" i="8"/>
  <c r="AH85" i="8"/>
  <c r="AH84" i="8"/>
  <c r="AH83" i="8"/>
  <c r="AH82" i="8"/>
  <c r="AH81" i="8"/>
  <c r="AH80" i="8"/>
  <c r="AH79" i="8"/>
  <c r="AH78" i="8"/>
  <c r="AI77" i="8"/>
  <c r="AH77" i="8"/>
  <c r="AM106" i="8"/>
  <c r="AM105" i="8"/>
  <c r="AM104" i="8"/>
  <c r="AM103" i="8"/>
  <c r="AM102" i="8"/>
  <c r="AM101" i="8"/>
  <c r="AM100" i="8"/>
  <c r="AM99" i="8"/>
  <c r="AM98" i="8"/>
  <c r="AM97" i="8"/>
  <c r="AM96" i="8"/>
  <c r="AM95" i="8"/>
  <c r="AM94" i="8"/>
  <c r="AM93" i="8"/>
  <c r="AM92" i="8"/>
  <c r="AM91" i="8"/>
  <c r="AM90" i="8"/>
  <c r="AM89" i="8"/>
  <c r="AM88" i="8"/>
  <c r="AM87" i="8"/>
  <c r="AM86" i="8"/>
  <c r="AM85" i="8"/>
  <c r="AM84" i="8"/>
  <c r="AM83" i="8"/>
  <c r="AM82" i="8"/>
  <c r="AM81" i="8"/>
  <c r="AM80" i="8"/>
  <c r="AM79" i="8"/>
  <c r="AM78" i="8"/>
  <c r="AN77" i="8"/>
  <c r="AM77" i="8"/>
  <c r="AR106" i="8"/>
  <c r="AR105" i="8"/>
  <c r="AR104" i="8"/>
  <c r="AR103" i="8"/>
  <c r="AR102" i="8"/>
  <c r="AR101" i="8"/>
  <c r="AR100" i="8"/>
  <c r="AR99" i="8"/>
  <c r="AR98" i="8"/>
  <c r="AR97" i="8"/>
  <c r="AR96" i="8"/>
  <c r="AR95" i="8"/>
  <c r="AR94" i="8"/>
  <c r="AR93" i="8"/>
  <c r="AR92" i="8"/>
  <c r="AR91" i="8"/>
  <c r="AR90" i="8"/>
  <c r="AR89" i="8"/>
  <c r="AR88" i="8"/>
  <c r="AR87" i="8"/>
  <c r="AR86" i="8"/>
  <c r="AR85" i="8"/>
  <c r="AR84" i="8"/>
  <c r="AR83" i="8"/>
  <c r="AR82" i="8"/>
  <c r="AR81" i="8"/>
  <c r="AR80" i="8"/>
  <c r="AR79" i="8"/>
  <c r="AR78" i="8"/>
  <c r="AS77" i="8"/>
  <c r="AR77" i="8"/>
  <c r="AW106" i="8"/>
  <c r="AW105" i="8"/>
  <c r="AW104" i="8"/>
  <c r="AW103" i="8"/>
  <c r="AW102" i="8"/>
  <c r="AW101" i="8"/>
  <c r="AW100" i="8"/>
  <c r="AW99" i="8"/>
  <c r="AW98" i="8"/>
  <c r="AW97" i="8"/>
  <c r="AW96" i="8"/>
  <c r="AW95" i="8"/>
  <c r="AW94" i="8"/>
  <c r="AW93" i="8"/>
  <c r="AW92" i="8"/>
  <c r="AW91" i="8"/>
  <c r="AW90" i="8"/>
  <c r="AW89" i="8"/>
  <c r="AW88" i="8"/>
  <c r="AW87" i="8"/>
  <c r="AW86" i="8"/>
  <c r="AW85" i="8"/>
  <c r="AW84" i="8"/>
  <c r="AW83" i="8"/>
  <c r="AW82" i="8"/>
  <c r="AW81" i="8"/>
  <c r="AW80" i="8"/>
  <c r="AW79" i="8"/>
  <c r="AW78" i="8"/>
  <c r="AX77" i="8"/>
  <c r="AW77" i="8"/>
  <c r="AT47" i="32" l="1"/>
  <c r="AZ49" i="36"/>
  <c r="AZ53" i="36"/>
  <c r="AZ61" i="36"/>
  <c r="AZ50" i="36"/>
  <c r="AZ54" i="36"/>
  <c r="AZ58" i="36"/>
  <c r="AZ55" i="36"/>
  <c r="AZ59" i="36"/>
  <c r="AZ48" i="36"/>
  <c r="AZ52" i="36"/>
  <c r="AZ56" i="36"/>
  <c r="AZ60" i="36"/>
  <c r="B54" i="48" l="1"/>
  <c r="F52" i="48"/>
  <c r="D52" i="48"/>
  <c r="F51" i="48"/>
  <c r="D51" i="48"/>
  <c r="F50" i="48"/>
  <c r="D50" i="48"/>
  <c r="F49" i="48"/>
  <c r="D49" i="48"/>
  <c r="F48" i="48"/>
  <c r="D48" i="48"/>
  <c r="F47" i="48"/>
  <c r="D47" i="48"/>
  <c r="I46" i="48"/>
  <c r="H46" i="48"/>
  <c r="G46" i="48"/>
  <c r="F46" i="48"/>
  <c r="D46" i="48"/>
  <c r="F45" i="48"/>
  <c r="D45" i="48"/>
  <c r="F44" i="48"/>
  <c r="D44" i="48"/>
  <c r="F43" i="48"/>
  <c r="D43" i="48"/>
  <c r="F42" i="48"/>
  <c r="D42" i="48"/>
  <c r="F41" i="48"/>
  <c r="D41" i="48"/>
  <c r="F40" i="48"/>
  <c r="D40" i="48"/>
  <c r="I39" i="48"/>
  <c r="H39" i="48"/>
  <c r="G39" i="48"/>
  <c r="F39" i="48"/>
  <c r="D39" i="48"/>
  <c r="F38" i="48"/>
  <c r="D38" i="48"/>
  <c r="F37" i="48"/>
  <c r="D37" i="48"/>
  <c r="F36" i="48"/>
  <c r="D36" i="48"/>
  <c r="F35" i="48"/>
  <c r="D35" i="48"/>
  <c r="F34" i="48"/>
  <c r="D34" i="48"/>
  <c r="F33" i="48"/>
  <c r="D33" i="48"/>
  <c r="I32" i="48"/>
  <c r="H32" i="48"/>
  <c r="G32" i="48"/>
  <c r="F32" i="48"/>
  <c r="D32" i="48"/>
  <c r="F31" i="48"/>
  <c r="D31" i="48"/>
  <c r="F30" i="48"/>
  <c r="D30" i="48"/>
  <c r="F29" i="48"/>
  <c r="D29" i="48"/>
  <c r="F28" i="48"/>
  <c r="D28" i="48"/>
  <c r="F27" i="48"/>
  <c r="D27" i="48"/>
  <c r="F26" i="48"/>
  <c r="D26" i="48"/>
  <c r="I25" i="48"/>
  <c r="H25" i="48"/>
  <c r="G25" i="48"/>
  <c r="F25" i="48"/>
  <c r="D25" i="48"/>
  <c r="F24" i="48"/>
  <c r="D24" i="48"/>
  <c r="F23" i="48"/>
  <c r="D23" i="48"/>
  <c r="F22" i="48"/>
  <c r="D22" i="48"/>
  <c r="F21" i="48"/>
  <c r="D21" i="48"/>
  <c r="F20" i="48"/>
  <c r="D20" i="48"/>
  <c r="F19" i="48"/>
  <c r="D19" i="48"/>
  <c r="I18" i="48"/>
  <c r="H18" i="48"/>
  <c r="G18" i="48"/>
  <c r="F18" i="48"/>
  <c r="D18" i="48"/>
  <c r="F17" i="48"/>
  <c r="D17" i="48"/>
  <c r="F16" i="48"/>
  <c r="D16" i="48"/>
  <c r="F15" i="48"/>
  <c r="D15" i="48"/>
  <c r="F14" i="48"/>
  <c r="D14" i="48"/>
  <c r="F13" i="48"/>
  <c r="D13" i="48"/>
  <c r="F12" i="48"/>
  <c r="D12" i="48"/>
  <c r="G11" i="48"/>
  <c r="F11" i="48"/>
  <c r="H11" i="48"/>
  <c r="F10" i="48"/>
  <c r="D10" i="48"/>
  <c r="F9" i="48"/>
  <c r="D9" i="48"/>
  <c r="F8" i="48"/>
  <c r="D8" i="48"/>
  <c r="F7" i="48"/>
  <c r="H4" i="48"/>
  <c r="F6" i="48"/>
  <c r="D6" i="48"/>
  <c r="F5" i="48"/>
  <c r="D5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43" i="48" s="1"/>
  <c r="A44" i="48" s="1"/>
  <c r="A45" i="48" s="1"/>
  <c r="A46" i="48" s="1"/>
  <c r="A47" i="48" s="1"/>
  <c r="A48" i="48" s="1"/>
  <c r="A49" i="48" s="1"/>
  <c r="A50" i="48" s="1"/>
  <c r="A51" i="48" s="1"/>
  <c r="A52" i="48" s="1"/>
  <c r="I4" i="48"/>
  <c r="G4" i="48"/>
  <c r="F4" i="48"/>
  <c r="D4" i="48"/>
  <c r="AJ8" i="47"/>
  <c r="AI8" i="47"/>
  <c r="AH8" i="47"/>
  <c r="AG8" i="47"/>
  <c r="AF8" i="47"/>
  <c r="AE8" i="47"/>
  <c r="AD8" i="47"/>
  <c r="AJ7" i="47"/>
  <c r="AI7" i="47"/>
  <c r="AH7" i="47"/>
  <c r="AG7" i="47"/>
  <c r="AF7" i="47"/>
  <c r="AE7" i="47"/>
  <c r="AD7" i="47"/>
  <c r="AC7" i="47"/>
  <c r="AJ8" i="46"/>
  <c r="AI8" i="46"/>
  <c r="AH8" i="46"/>
  <c r="AG8" i="46"/>
  <c r="AF8" i="46"/>
  <c r="AE8" i="46"/>
  <c r="AD8" i="46"/>
  <c r="AJ7" i="46"/>
  <c r="AI7" i="46"/>
  <c r="AH7" i="46"/>
  <c r="AG7" i="46"/>
  <c r="AF7" i="46"/>
  <c r="AE7" i="46"/>
  <c r="AD7" i="46"/>
  <c r="AC7" i="46"/>
  <c r="AD9" i="47" l="1"/>
  <c r="AE9" i="47"/>
  <c r="AD9" i="46"/>
  <c r="AI9" i="47"/>
  <c r="AE9" i="46"/>
  <c r="AF9" i="47"/>
  <c r="AJ9" i="47"/>
  <c r="AG9" i="47"/>
  <c r="AH9" i="47"/>
  <c r="B2" i="48"/>
  <c r="D2" i="48" s="1"/>
  <c r="D7" i="48"/>
  <c r="D11" i="48"/>
  <c r="F2" i="48"/>
  <c r="I2" i="48" s="1"/>
  <c r="I11" i="48"/>
  <c r="AF9" i="46"/>
  <c r="AJ9" i="46"/>
  <c r="AG9" i="46"/>
  <c r="AH9" i="46"/>
  <c r="AI9" i="46"/>
  <c r="AW41" i="37" l="1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W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R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M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H27" i="37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C27" i="37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X27" i="37"/>
  <c r="S28" i="37"/>
  <c r="S29" i="37"/>
  <c r="S30" i="37"/>
  <c r="S31" i="37"/>
  <c r="S32" i="37"/>
  <c r="S33" i="37"/>
  <c r="S34" i="37"/>
  <c r="S35" i="37"/>
  <c r="S36" i="37"/>
  <c r="S37" i="37"/>
  <c r="S38" i="37"/>
  <c r="S39" i="37"/>
  <c r="S40" i="37"/>
  <c r="S41" i="37"/>
  <c r="S27" i="37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W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R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M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H27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C27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X27" i="36"/>
  <c r="S28" i="36"/>
  <c r="S29" i="36"/>
  <c r="S30" i="36"/>
  <c r="S31" i="36"/>
  <c r="S32" i="36"/>
  <c r="S33" i="36"/>
  <c r="S34" i="36"/>
  <c r="S35" i="36"/>
  <c r="S36" i="36"/>
  <c r="S37" i="36"/>
  <c r="S38" i="36"/>
  <c r="S39" i="36"/>
  <c r="S40" i="36"/>
  <c r="S41" i="36"/>
  <c r="S27" i="36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W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R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M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H27" i="35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C27" i="35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X27" i="35"/>
  <c r="S28" i="35"/>
  <c r="S29" i="35"/>
  <c r="S30" i="35"/>
  <c r="S31" i="35"/>
  <c r="S32" i="35"/>
  <c r="S33" i="35"/>
  <c r="S34" i="35"/>
  <c r="S35" i="35"/>
  <c r="S36" i="35"/>
  <c r="S37" i="35"/>
  <c r="S38" i="35"/>
  <c r="S39" i="35"/>
  <c r="S40" i="35"/>
  <c r="S41" i="35"/>
  <c r="S27" i="35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W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R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M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H27" i="34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C27" i="34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X27" i="34"/>
  <c r="S28" i="34"/>
  <c r="S29" i="34"/>
  <c r="S30" i="34"/>
  <c r="S31" i="34"/>
  <c r="S32" i="34"/>
  <c r="S33" i="34"/>
  <c r="S34" i="34"/>
  <c r="S35" i="34"/>
  <c r="S36" i="34"/>
  <c r="S37" i="34"/>
  <c r="S38" i="34"/>
  <c r="S39" i="34"/>
  <c r="S40" i="34"/>
  <c r="S41" i="34"/>
  <c r="S27" i="34"/>
  <c r="AW41" i="31"/>
  <c r="AW40" i="31"/>
  <c r="AW39" i="31"/>
  <c r="AW38" i="31"/>
  <c r="AW37" i="31"/>
  <c r="AW36" i="31"/>
  <c r="AW35" i="31"/>
  <c r="AW34" i="31"/>
  <c r="AW33" i="31"/>
  <c r="AW32" i="31"/>
  <c r="AW31" i="31"/>
  <c r="AW30" i="31"/>
  <c r="AW29" i="31"/>
  <c r="AW28" i="31"/>
  <c r="AW27" i="31"/>
  <c r="AR41" i="31"/>
  <c r="AR40" i="31"/>
  <c r="AR39" i="31"/>
  <c r="AR38" i="31"/>
  <c r="AR37" i="31"/>
  <c r="AR36" i="31"/>
  <c r="AR35" i="31"/>
  <c r="AR34" i="31"/>
  <c r="AR33" i="31"/>
  <c r="AR32" i="31"/>
  <c r="AR31" i="31"/>
  <c r="AR30" i="31"/>
  <c r="AR29" i="31"/>
  <c r="AR28" i="31"/>
  <c r="AR27" i="31"/>
  <c r="AM41" i="31"/>
  <c r="AM40" i="31"/>
  <c r="AM39" i="31"/>
  <c r="AM38" i="31"/>
  <c r="AM37" i="31"/>
  <c r="AM36" i="31"/>
  <c r="AM35" i="31"/>
  <c r="AM34" i="31"/>
  <c r="AM33" i="31"/>
  <c r="AM32" i="31"/>
  <c r="AM31" i="31"/>
  <c r="AM30" i="31"/>
  <c r="AM29" i="31"/>
  <c r="AM28" i="31"/>
  <c r="AM27" i="31"/>
  <c r="AH41" i="31"/>
  <c r="AH40" i="31"/>
  <c r="AH39" i="31"/>
  <c r="AH38" i="31"/>
  <c r="AH37" i="31"/>
  <c r="AH36" i="31"/>
  <c r="AH35" i="31"/>
  <c r="AH34" i="31"/>
  <c r="AH33" i="31"/>
  <c r="AH32" i="31"/>
  <c r="AH31" i="31"/>
  <c r="AH30" i="31"/>
  <c r="AH29" i="31"/>
  <c r="AH28" i="31"/>
  <c r="AH27" i="31"/>
  <c r="AC41" i="3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28" i="31"/>
  <c r="AC27" i="31"/>
  <c r="X41" i="31"/>
  <c r="X40" i="31"/>
  <c r="X39" i="31"/>
  <c r="X38" i="31"/>
  <c r="X37" i="31"/>
  <c r="X36" i="31"/>
  <c r="X35" i="31"/>
  <c r="X34" i="31"/>
  <c r="X33" i="31"/>
  <c r="X32" i="31"/>
  <c r="X31" i="31"/>
  <c r="X30" i="31"/>
  <c r="X29" i="31"/>
  <c r="X28" i="31"/>
  <c r="X27" i="31"/>
  <c r="S28" i="31"/>
  <c r="S29" i="31"/>
  <c r="S30" i="31"/>
  <c r="S31" i="31"/>
  <c r="S32" i="31"/>
  <c r="S33" i="31"/>
  <c r="S34" i="31"/>
  <c r="S35" i="31"/>
  <c r="S36" i="31"/>
  <c r="S37" i="31"/>
  <c r="S38" i="31"/>
  <c r="S39" i="31"/>
  <c r="S40" i="31"/>
  <c r="S41" i="31"/>
  <c r="S27" i="31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W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R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M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H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C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X27" i="32"/>
  <c r="S28" i="32"/>
  <c r="S29" i="32"/>
  <c r="S30" i="32"/>
  <c r="S31" i="32"/>
  <c r="S32" i="32"/>
  <c r="S33" i="32"/>
  <c r="S34" i="32"/>
  <c r="S35" i="32"/>
  <c r="S36" i="32"/>
  <c r="S37" i="32"/>
  <c r="S38" i="32"/>
  <c r="S39" i="32"/>
  <c r="S40" i="32"/>
  <c r="S41" i="32"/>
  <c r="S27" i="32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W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R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M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H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C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X27" i="30"/>
  <c r="S28" i="30"/>
  <c r="S29" i="30"/>
  <c r="S30" i="30"/>
  <c r="S31" i="30"/>
  <c r="S32" i="30"/>
  <c r="S33" i="30"/>
  <c r="S34" i="30"/>
  <c r="S35" i="30"/>
  <c r="S36" i="30"/>
  <c r="S37" i="30"/>
  <c r="S38" i="30"/>
  <c r="S39" i="30"/>
  <c r="S40" i="30"/>
  <c r="S41" i="30"/>
  <c r="S27" i="30"/>
  <c r="M14" i="7" l="1"/>
  <c r="S21" i="35" l="1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T7" i="35"/>
  <c r="S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Y7" i="35"/>
  <c r="X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D7" i="35"/>
  <c r="AC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I7" i="35"/>
  <c r="AH7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N7" i="35"/>
  <c r="AM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S7" i="35"/>
  <c r="AR7" i="35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X7" i="35"/>
  <c r="AW7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T7" i="36"/>
  <c r="S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Y7" i="36"/>
  <c r="X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D7" i="36"/>
  <c r="AC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I7" i="36"/>
  <c r="AH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N7" i="36"/>
  <c r="AM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S7" i="36"/>
  <c r="AR7" i="36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X7" i="36"/>
  <c r="AW7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Y7" i="37"/>
  <c r="X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D7" i="37"/>
  <c r="AC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I7" i="37"/>
  <c r="AH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N7" i="37"/>
  <c r="AM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S7" i="37"/>
  <c r="AR7" i="37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X7" i="37"/>
  <c r="AW7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T7" i="34"/>
  <c r="S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Y7" i="34"/>
  <c r="X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D7" i="34"/>
  <c r="AC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I7" i="34"/>
  <c r="AH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N7" i="34"/>
  <c r="AM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S7" i="34"/>
  <c r="AR7" i="34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X7" i="34"/>
  <c r="AW7" i="34"/>
  <c r="K40" i="35"/>
  <c r="M40" i="35" s="1"/>
  <c r="J40" i="35"/>
  <c r="I40" i="35"/>
  <c r="K39" i="35"/>
  <c r="M39" i="35" s="1"/>
  <c r="J39" i="35"/>
  <c r="I39" i="35"/>
  <c r="K38" i="35"/>
  <c r="M38" i="35" s="1"/>
  <c r="J38" i="35"/>
  <c r="I38" i="35"/>
  <c r="K37" i="35"/>
  <c r="M37" i="35" s="1"/>
  <c r="J37" i="35"/>
  <c r="I37" i="35"/>
  <c r="K36" i="35"/>
  <c r="M36" i="35" s="1"/>
  <c r="J36" i="35"/>
  <c r="I36" i="35"/>
  <c r="K35" i="35"/>
  <c r="M35" i="35" s="1"/>
  <c r="J35" i="35"/>
  <c r="I35" i="35"/>
  <c r="K34" i="35"/>
  <c r="M34" i="35" s="1"/>
  <c r="J34" i="35"/>
  <c r="I34" i="35"/>
  <c r="K33" i="35"/>
  <c r="M33" i="35" s="1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AX27" i="35"/>
  <c r="AS27" i="35"/>
  <c r="AN27" i="35"/>
  <c r="AI27" i="35"/>
  <c r="AD27" i="35"/>
  <c r="Y27" i="35"/>
  <c r="T27" i="35"/>
  <c r="K27" i="35"/>
  <c r="J27" i="35"/>
  <c r="I27" i="35"/>
  <c r="H27" i="35"/>
  <c r="K40" i="36"/>
  <c r="M40" i="36" s="1"/>
  <c r="J40" i="36"/>
  <c r="I40" i="36"/>
  <c r="K39" i="36"/>
  <c r="M39" i="36" s="1"/>
  <c r="J39" i="36"/>
  <c r="I39" i="36"/>
  <c r="K38" i="36"/>
  <c r="M38" i="36" s="1"/>
  <c r="J38" i="36"/>
  <c r="I38" i="36"/>
  <c r="K37" i="36"/>
  <c r="M37" i="36" s="1"/>
  <c r="J37" i="36"/>
  <c r="I37" i="36"/>
  <c r="K36" i="36"/>
  <c r="M36" i="36" s="1"/>
  <c r="J36" i="36"/>
  <c r="I36" i="36"/>
  <c r="K35" i="36"/>
  <c r="M35" i="36" s="1"/>
  <c r="J35" i="36"/>
  <c r="I35" i="36"/>
  <c r="K34" i="36"/>
  <c r="M34" i="36" s="1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AX27" i="36"/>
  <c r="AS27" i="36"/>
  <c r="AN27" i="36"/>
  <c r="AI27" i="36"/>
  <c r="AD27" i="36"/>
  <c r="Y27" i="36"/>
  <c r="T27" i="36"/>
  <c r="K27" i="36"/>
  <c r="J27" i="36"/>
  <c r="I27" i="36"/>
  <c r="H27" i="36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M37" i="37" s="1"/>
  <c r="J37" i="37"/>
  <c r="I37" i="37"/>
  <c r="K36" i="37"/>
  <c r="M36" i="37" s="1"/>
  <c r="J36" i="37"/>
  <c r="I36" i="37"/>
  <c r="K35" i="37"/>
  <c r="M35" i="37" s="1"/>
  <c r="J35" i="37"/>
  <c r="I35" i="37"/>
  <c r="K34" i="37"/>
  <c r="M34" i="37" s="1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AX27" i="37"/>
  <c r="AS27" i="37"/>
  <c r="AN27" i="37"/>
  <c r="AI27" i="37"/>
  <c r="AD27" i="37"/>
  <c r="Y27" i="37"/>
  <c r="T27" i="37"/>
  <c r="K27" i="37"/>
  <c r="J27" i="37"/>
  <c r="I27" i="37"/>
  <c r="H27" i="37"/>
  <c r="K40" i="34"/>
  <c r="M40" i="34" s="1"/>
  <c r="J40" i="34"/>
  <c r="I40" i="34"/>
  <c r="K39" i="34"/>
  <c r="M39" i="34" s="1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AX27" i="34"/>
  <c r="AS27" i="34"/>
  <c r="AN27" i="34"/>
  <c r="AI27" i="34"/>
  <c r="AD27" i="34"/>
  <c r="Y27" i="34"/>
  <c r="T27" i="34"/>
  <c r="K27" i="34"/>
  <c r="J27" i="34"/>
  <c r="I27" i="34"/>
  <c r="H27" i="34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M53" i="35" s="1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K60" i="36"/>
  <c r="M60" i="36" s="1"/>
  <c r="J60" i="36"/>
  <c r="I60" i="36"/>
  <c r="K59" i="36"/>
  <c r="M59" i="36" s="1"/>
  <c r="J59" i="36"/>
  <c r="I59" i="36"/>
  <c r="K58" i="36"/>
  <c r="M58" i="36" s="1"/>
  <c r="J58" i="36"/>
  <c r="I58" i="36"/>
  <c r="K57" i="36"/>
  <c r="M57" i="36" s="1"/>
  <c r="J57" i="36"/>
  <c r="I57" i="36"/>
  <c r="K56" i="36"/>
  <c r="M56" i="36" s="1"/>
  <c r="J56" i="36"/>
  <c r="I56" i="36"/>
  <c r="K55" i="36"/>
  <c r="M55" i="36" s="1"/>
  <c r="J55" i="36"/>
  <c r="I55" i="36"/>
  <c r="K54" i="36"/>
  <c r="M54" i="36" s="1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M57" i="37" s="1"/>
  <c r="J57" i="37"/>
  <c r="I57" i="37"/>
  <c r="K56" i="37"/>
  <c r="M56" i="37" s="1"/>
  <c r="J56" i="37"/>
  <c r="I56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K60" i="34"/>
  <c r="M60" i="34" s="1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80" i="35"/>
  <c r="M80" i="35" s="1"/>
  <c r="J80" i="35"/>
  <c r="I80" i="35"/>
  <c r="K79" i="35"/>
  <c r="M79" i="35" s="1"/>
  <c r="J79" i="35"/>
  <c r="I79" i="35"/>
  <c r="K78" i="35"/>
  <c r="M78" i="35" s="1"/>
  <c r="J78" i="35"/>
  <c r="I78" i="35"/>
  <c r="K77" i="35"/>
  <c r="M77" i="35" s="1"/>
  <c r="J77" i="35"/>
  <c r="I77" i="35"/>
  <c r="K76" i="35"/>
  <c r="M76" i="35" s="1"/>
  <c r="J76" i="35"/>
  <c r="I76" i="35"/>
  <c r="K75" i="35"/>
  <c r="M75" i="35" s="1"/>
  <c r="J75" i="35"/>
  <c r="I75" i="35"/>
  <c r="K74" i="35"/>
  <c r="M74" i="35" s="1"/>
  <c r="J74" i="35"/>
  <c r="I74" i="35"/>
  <c r="K73" i="35"/>
  <c r="M73" i="35" s="1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80" i="36"/>
  <c r="M80" i="36" s="1"/>
  <c r="J80" i="36"/>
  <c r="I80" i="36"/>
  <c r="K79" i="36"/>
  <c r="M79" i="36" s="1"/>
  <c r="J79" i="36"/>
  <c r="I79" i="36"/>
  <c r="K78" i="36"/>
  <c r="M78" i="36" s="1"/>
  <c r="J78" i="36"/>
  <c r="I78" i="36"/>
  <c r="K77" i="36"/>
  <c r="M77" i="36" s="1"/>
  <c r="J77" i="36"/>
  <c r="I77" i="36"/>
  <c r="K76" i="36"/>
  <c r="M76" i="36" s="1"/>
  <c r="J76" i="36"/>
  <c r="I76" i="36"/>
  <c r="K75" i="36"/>
  <c r="M75" i="36" s="1"/>
  <c r="J75" i="36"/>
  <c r="I75" i="36"/>
  <c r="K74" i="36"/>
  <c r="M74" i="36" s="1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M77" i="37" s="1"/>
  <c r="J77" i="37"/>
  <c r="I77" i="37"/>
  <c r="K76" i="37"/>
  <c r="M76" i="37" s="1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H67" i="37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H67" i="34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100" i="36"/>
  <c r="M100" i="36" s="1"/>
  <c r="J100" i="36"/>
  <c r="I100" i="36"/>
  <c r="K99" i="36"/>
  <c r="M99" i="36" s="1"/>
  <c r="J99" i="36"/>
  <c r="I99" i="36"/>
  <c r="K98" i="36"/>
  <c r="M98" i="36" s="1"/>
  <c r="J98" i="36"/>
  <c r="I98" i="36"/>
  <c r="K97" i="36"/>
  <c r="M97" i="36" s="1"/>
  <c r="J97" i="36"/>
  <c r="I97" i="36"/>
  <c r="K96" i="36"/>
  <c r="M96" i="36" s="1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100" i="37"/>
  <c r="M100" i="37" s="1"/>
  <c r="J100" i="37"/>
  <c r="I100" i="37"/>
  <c r="K99" i="37"/>
  <c r="M99" i="37" s="1"/>
  <c r="J99" i="37"/>
  <c r="I99" i="37"/>
  <c r="K98" i="37"/>
  <c r="M98" i="37" s="1"/>
  <c r="J98" i="37"/>
  <c r="I98" i="37"/>
  <c r="K97" i="37"/>
  <c r="M97" i="37" s="1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H87" i="37"/>
  <c r="K100" i="34"/>
  <c r="M100" i="34" s="1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H87" i="34"/>
  <c r="K20" i="35"/>
  <c r="M20" i="35" s="1"/>
  <c r="J20" i="35"/>
  <c r="I20" i="35"/>
  <c r="K19" i="35"/>
  <c r="M19" i="35" s="1"/>
  <c r="J19" i="35"/>
  <c r="I19" i="35"/>
  <c r="K18" i="35"/>
  <c r="M18" i="35" s="1"/>
  <c r="J18" i="35"/>
  <c r="I18" i="35"/>
  <c r="K17" i="35"/>
  <c r="M17" i="35" s="1"/>
  <c r="J17" i="35"/>
  <c r="I17" i="35"/>
  <c r="K16" i="35"/>
  <c r="M16" i="35" s="1"/>
  <c r="J16" i="35"/>
  <c r="I16" i="35"/>
  <c r="K15" i="35"/>
  <c r="M15" i="35" s="1"/>
  <c r="J15" i="35"/>
  <c r="I15" i="35"/>
  <c r="K14" i="35"/>
  <c r="M14" i="35" s="1"/>
  <c r="J14" i="35"/>
  <c r="I14" i="35"/>
  <c r="K13" i="35"/>
  <c r="M13" i="35" s="1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K7" i="35"/>
  <c r="J7" i="35"/>
  <c r="I7" i="35"/>
  <c r="H7" i="35"/>
  <c r="K20" i="36"/>
  <c r="M20" i="36" s="1"/>
  <c r="J20" i="36"/>
  <c r="I20" i="36"/>
  <c r="K19" i="36"/>
  <c r="M19" i="36" s="1"/>
  <c r="J19" i="36"/>
  <c r="I19" i="36"/>
  <c r="K18" i="36"/>
  <c r="M18" i="36" s="1"/>
  <c r="J18" i="36"/>
  <c r="I18" i="36"/>
  <c r="K17" i="36"/>
  <c r="M17" i="36" s="1"/>
  <c r="J17" i="36"/>
  <c r="I17" i="36"/>
  <c r="K16" i="36"/>
  <c r="M16" i="36" s="1"/>
  <c r="J16" i="36"/>
  <c r="I16" i="36"/>
  <c r="K15" i="36"/>
  <c r="M15" i="36" s="1"/>
  <c r="J15" i="36"/>
  <c r="I15" i="36"/>
  <c r="K14" i="36"/>
  <c r="M14" i="36" s="1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J8" i="36"/>
  <c r="I8" i="36"/>
  <c r="K7" i="36"/>
  <c r="J7" i="36"/>
  <c r="I7" i="36"/>
  <c r="H7" i="36"/>
  <c r="K20" i="37"/>
  <c r="M20" i="37" s="1"/>
  <c r="J20" i="37"/>
  <c r="I20" i="37"/>
  <c r="K19" i="37"/>
  <c r="M19" i="37" s="1"/>
  <c r="J19" i="37"/>
  <c r="I19" i="37"/>
  <c r="K18" i="37"/>
  <c r="M18" i="37" s="1"/>
  <c r="J18" i="37"/>
  <c r="I18" i="37"/>
  <c r="K17" i="37"/>
  <c r="M17" i="37" s="1"/>
  <c r="J17" i="37"/>
  <c r="I17" i="37"/>
  <c r="K16" i="37"/>
  <c r="M16" i="37" s="1"/>
  <c r="J16" i="37"/>
  <c r="I16" i="37"/>
  <c r="K15" i="37"/>
  <c r="M15" i="37" s="1"/>
  <c r="J15" i="37"/>
  <c r="I15" i="37"/>
  <c r="K14" i="37"/>
  <c r="M14" i="37" s="1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J7" i="37"/>
  <c r="I7" i="37"/>
  <c r="H7" i="37"/>
  <c r="K20" i="34"/>
  <c r="M20" i="34" s="1"/>
  <c r="J20" i="34"/>
  <c r="I20" i="34"/>
  <c r="K19" i="34"/>
  <c r="M19" i="34" s="1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K7" i="34"/>
  <c r="J7" i="34"/>
  <c r="I7" i="34"/>
  <c r="H7" i="34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T7" i="33"/>
  <c r="S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Y7" i="33"/>
  <c r="X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D7" i="33"/>
  <c r="AC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I7" i="33"/>
  <c r="AH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N7" i="33"/>
  <c r="AM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S7" i="33"/>
  <c r="AR7" i="33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X7" i="33"/>
  <c r="AW7" i="33"/>
  <c r="K40" i="32"/>
  <c r="M40" i="32" s="1"/>
  <c r="J40" i="32"/>
  <c r="I40" i="32"/>
  <c r="K39" i="32"/>
  <c r="M39" i="32" s="1"/>
  <c r="J39" i="32"/>
  <c r="I39" i="32"/>
  <c r="K38" i="32"/>
  <c r="M38" i="32" s="1"/>
  <c r="J38" i="32"/>
  <c r="I38" i="32"/>
  <c r="K37" i="32"/>
  <c r="M37" i="32" s="1"/>
  <c r="J37" i="32"/>
  <c r="I37" i="32"/>
  <c r="K36" i="32"/>
  <c r="M36" i="32" s="1"/>
  <c r="J36" i="32"/>
  <c r="I36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AX27" i="32"/>
  <c r="AS27" i="32"/>
  <c r="AN27" i="32"/>
  <c r="AI27" i="32"/>
  <c r="AD27" i="32"/>
  <c r="Y27" i="32"/>
  <c r="T27" i="32"/>
  <c r="K27" i="32"/>
  <c r="J27" i="32"/>
  <c r="I27" i="32"/>
  <c r="H27" i="32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J29" i="31"/>
  <c r="I29" i="31"/>
  <c r="K28" i="31"/>
  <c r="J28" i="31"/>
  <c r="I28" i="31"/>
  <c r="AX27" i="31"/>
  <c r="AS27" i="31"/>
  <c r="AN27" i="31"/>
  <c r="AI27" i="31"/>
  <c r="AD27" i="31"/>
  <c r="Y27" i="31"/>
  <c r="T27" i="31"/>
  <c r="K27" i="31"/>
  <c r="J27" i="31"/>
  <c r="I27" i="31"/>
  <c r="H27" i="31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29" i="30"/>
  <c r="J29" i="30"/>
  <c r="I29" i="30"/>
  <c r="K28" i="30"/>
  <c r="J28" i="30"/>
  <c r="I28" i="30"/>
  <c r="AX27" i="30"/>
  <c r="AS27" i="30"/>
  <c r="AN27" i="30"/>
  <c r="AI27" i="30"/>
  <c r="AD27" i="30"/>
  <c r="Y27" i="30"/>
  <c r="T27" i="30"/>
  <c r="K27" i="30"/>
  <c r="J27" i="30"/>
  <c r="I27" i="30"/>
  <c r="H27" i="30"/>
  <c r="K60" i="32"/>
  <c r="M60" i="32" s="1"/>
  <c r="J60" i="32"/>
  <c r="I60" i="32"/>
  <c r="K59" i="32"/>
  <c r="M59" i="32" s="1"/>
  <c r="J59" i="32"/>
  <c r="I59" i="32"/>
  <c r="K58" i="32"/>
  <c r="M58" i="32" s="1"/>
  <c r="J58" i="32"/>
  <c r="I58" i="32"/>
  <c r="K57" i="32"/>
  <c r="M57" i="32" s="1"/>
  <c r="J57" i="32"/>
  <c r="I57" i="32"/>
  <c r="K56" i="32"/>
  <c r="M56" i="32" s="1"/>
  <c r="J56" i="32"/>
  <c r="I56" i="32"/>
  <c r="K55" i="32"/>
  <c r="M55" i="32" s="1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J49" i="31"/>
  <c r="I49" i="31"/>
  <c r="K48" i="31"/>
  <c r="J48" i="31"/>
  <c r="I48" i="31"/>
  <c r="K47" i="31"/>
  <c r="J47" i="31"/>
  <c r="I47" i="31"/>
  <c r="H47" i="31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80" i="32"/>
  <c r="M80" i="32" s="1"/>
  <c r="J80" i="32"/>
  <c r="I80" i="32"/>
  <c r="K79" i="32"/>
  <c r="M79" i="32" s="1"/>
  <c r="J79" i="32"/>
  <c r="I79" i="32"/>
  <c r="K78" i="32"/>
  <c r="M78" i="32" s="1"/>
  <c r="J78" i="32"/>
  <c r="I78" i="32"/>
  <c r="K77" i="32"/>
  <c r="M77" i="32" s="1"/>
  <c r="J77" i="32"/>
  <c r="I77" i="32"/>
  <c r="K76" i="32"/>
  <c r="M76" i="32" s="1"/>
  <c r="J76" i="32"/>
  <c r="I76" i="32"/>
  <c r="K75" i="32"/>
  <c r="M75" i="32" s="1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80" i="31"/>
  <c r="M80" i="31" s="1"/>
  <c r="J80" i="31"/>
  <c r="I80" i="31"/>
  <c r="K79" i="31"/>
  <c r="M79" i="31" s="1"/>
  <c r="J79" i="31"/>
  <c r="I79" i="31"/>
  <c r="K78" i="31"/>
  <c r="M78" i="31" s="1"/>
  <c r="J78" i="31"/>
  <c r="I78" i="31"/>
  <c r="K77" i="31"/>
  <c r="M77" i="31" s="1"/>
  <c r="J77" i="31"/>
  <c r="I77" i="31"/>
  <c r="K76" i="31"/>
  <c r="M76" i="31" s="1"/>
  <c r="J76" i="31"/>
  <c r="I76" i="31"/>
  <c r="K75" i="31"/>
  <c r="M75" i="31" s="1"/>
  <c r="J75" i="31"/>
  <c r="I75" i="31"/>
  <c r="K74" i="31"/>
  <c r="M74" i="31" s="1"/>
  <c r="J74" i="31"/>
  <c r="I74" i="31"/>
  <c r="K73" i="31"/>
  <c r="M73" i="31" s="1"/>
  <c r="J73" i="31"/>
  <c r="I73" i="31"/>
  <c r="K72" i="31"/>
  <c r="M72" i="31" s="1"/>
  <c r="J72" i="31"/>
  <c r="I72" i="31"/>
  <c r="K71" i="31"/>
  <c r="M71" i="31" s="1"/>
  <c r="J71" i="31"/>
  <c r="I71" i="31"/>
  <c r="K70" i="31"/>
  <c r="M70" i="31" s="1"/>
  <c r="J70" i="31"/>
  <c r="I70" i="31"/>
  <c r="K69" i="31"/>
  <c r="M69" i="31" s="1"/>
  <c r="J69" i="31"/>
  <c r="I69" i="31"/>
  <c r="K68" i="31"/>
  <c r="M68" i="31" s="1"/>
  <c r="J68" i="31"/>
  <c r="I68" i="31"/>
  <c r="K67" i="31"/>
  <c r="J67" i="31"/>
  <c r="I67" i="31"/>
  <c r="H67" i="31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M70" i="30" s="1"/>
  <c r="J70" i="30"/>
  <c r="I70" i="30"/>
  <c r="K69" i="30"/>
  <c r="J69" i="30"/>
  <c r="I69" i="30"/>
  <c r="K68" i="30"/>
  <c r="J68" i="30"/>
  <c r="I68" i="30"/>
  <c r="K67" i="30"/>
  <c r="J67" i="30"/>
  <c r="I67" i="30"/>
  <c r="H67" i="30"/>
  <c r="K100" i="32"/>
  <c r="M100" i="32" s="1"/>
  <c r="J100" i="32"/>
  <c r="I100" i="32"/>
  <c r="K99" i="32"/>
  <c r="M99" i="32" s="1"/>
  <c r="J99" i="32"/>
  <c r="I99" i="32"/>
  <c r="K98" i="32"/>
  <c r="M98" i="32" s="1"/>
  <c r="J98" i="32"/>
  <c r="I98" i="32"/>
  <c r="K97" i="32"/>
  <c r="M97" i="32" s="1"/>
  <c r="J97" i="32"/>
  <c r="I97" i="32"/>
  <c r="K96" i="32"/>
  <c r="M96" i="32" s="1"/>
  <c r="J96" i="32"/>
  <c r="I96" i="32"/>
  <c r="K95" i="32"/>
  <c r="M95" i="32" s="1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H87" i="31"/>
  <c r="K101" i="30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M90" i="30" s="1"/>
  <c r="J90" i="30"/>
  <c r="I90" i="30"/>
  <c r="K89" i="30"/>
  <c r="J89" i="30"/>
  <c r="I89" i="30"/>
  <c r="K88" i="30"/>
  <c r="J88" i="30"/>
  <c r="I88" i="30"/>
  <c r="K87" i="30"/>
  <c r="J87" i="30"/>
  <c r="I87" i="30"/>
  <c r="H87" i="30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T7" i="32"/>
  <c r="S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Y7" i="32"/>
  <c r="X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D7" i="32"/>
  <c r="AC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I7" i="32"/>
  <c r="AH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N7" i="32"/>
  <c r="AM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S7" i="32"/>
  <c r="AR7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X7" i="32"/>
  <c r="AW7" i="32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T7" i="31"/>
  <c r="S7" i="31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Y7" i="31"/>
  <c r="X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D7" i="31"/>
  <c r="AC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I7" i="31"/>
  <c r="AH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N7" i="31"/>
  <c r="AM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S7" i="31"/>
  <c r="AR7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X7" i="31"/>
  <c r="AW7" i="31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T7" i="30"/>
  <c r="S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Y7" i="30"/>
  <c r="X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D7" i="30"/>
  <c r="AC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I7" i="30"/>
  <c r="AH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N7" i="30"/>
  <c r="AM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S7" i="30"/>
  <c r="AR7" i="30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X7" i="30"/>
  <c r="AW7" i="30"/>
  <c r="K20" i="32"/>
  <c r="M20" i="32" s="1"/>
  <c r="J20" i="32"/>
  <c r="I20" i="32"/>
  <c r="K19" i="32"/>
  <c r="M19" i="32" s="1"/>
  <c r="J19" i="32"/>
  <c r="I19" i="32"/>
  <c r="K18" i="32"/>
  <c r="M18" i="32" s="1"/>
  <c r="J18" i="32"/>
  <c r="I18" i="32"/>
  <c r="K17" i="32"/>
  <c r="M17" i="32" s="1"/>
  <c r="J17" i="32"/>
  <c r="I17" i="32"/>
  <c r="K16" i="32"/>
  <c r="M16" i="32" s="1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K7" i="32"/>
  <c r="J7" i="32"/>
  <c r="H7" i="32"/>
  <c r="K20" i="31"/>
  <c r="M20" i="31" s="1"/>
  <c r="J20" i="31"/>
  <c r="I20" i="31"/>
  <c r="K19" i="31"/>
  <c r="M19" i="31" s="1"/>
  <c r="J19" i="31"/>
  <c r="I19" i="31"/>
  <c r="K18" i="31"/>
  <c r="M18" i="31" s="1"/>
  <c r="J18" i="31"/>
  <c r="I18" i="31"/>
  <c r="K17" i="31"/>
  <c r="M17" i="31" s="1"/>
  <c r="J17" i="31"/>
  <c r="I17" i="31"/>
  <c r="K16" i="31"/>
  <c r="M16" i="31" s="1"/>
  <c r="J16" i="31"/>
  <c r="I16" i="31"/>
  <c r="K15" i="31"/>
  <c r="M15" i="31" s="1"/>
  <c r="J15" i="31"/>
  <c r="I15" i="31"/>
  <c r="K14" i="31"/>
  <c r="M14" i="31" s="1"/>
  <c r="J14" i="31"/>
  <c r="I14" i="31"/>
  <c r="K13" i="31"/>
  <c r="M13" i="31" s="1"/>
  <c r="J13" i="31"/>
  <c r="I13" i="31"/>
  <c r="K12" i="31"/>
  <c r="M12" i="31" s="1"/>
  <c r="J12" i="31"/>
  <c r="I12" i="31"/>
  <c r="K11" i="31"/>
  <c r="M11" i="31" s="1"/>
  <c r="J11" i="31"/>
  <c r="I11" i="31"/>
  <c r="K10" i="31"/>
  <c r="M10" i="31" s="1"/>
  <c r="J10" i="31"/>
  <c r="I10" i="31"/>
  <c r="K9" i="31"/>
  <c r="J9" i="31"/>
  <c r="I9" i="31"/>
  <c r="K8" i="31"/>
  <c r="J8" i="31"/>
  <c r="I8" i="31"/>
  <c r="K7" i="31"/>
  <c r="J7" i="31"/>
  <c r="H7" i="31"/>
  <c r="K21" i="30"/>
  <c r="M21" i="30" s="1"/>
  <c r="J21" i="30"/>
  <c r="I21" i="30"/>
  <c r="K20" i="30"/>
  <c r="M20" i="30" s="1"/>
  <c r="J20" i="30"/>
  <c r="I20" i="30"/>
  <c r="K19" i="30"/>
  <c r="M19" i="30" s="1"/>
  <c r="J19" i="30"/>
  <c r="I19" i="30"/>
  <c r="K18" i="30"/>
  <c r="M18" i="30" s="1"/>
  <c r="J18" i="30"/>
  <c r="I18" i="30"/>
  <c r="K17" i="30"/>
  <c r="M17" i="30" s="1"/>
  <c r="J17" i="30"/>
  <c r="I17" i="30"/>
  <c r="K16" i="30"/>
  <c r="M16" i="30" s="1"/>
  <c r="J16" i="30"/>
  <c r="I16" i="30"/>
  <c r="K15" i="30"/>
  <c r="M15" i="30" s="1"/>
  <c r="J15" i="30"/>
  <c r="I15" i="30"/>
  <c r="K14" i="30"/>
  <c r="M14" i="30" s="1"/>
  <c r="J14" i="30"/>
  <c r="I14" i="30"/>
  <c r="K13" i="30"/>
  <c r="M13" i="30" s="1"/>
  <c r="J13" i="30"/>
  <c r="I13" i="30"/>
  <c r="K12" i="30"/>
  <c r="M12" i="30" s="1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H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K36" i="8"/>
  <c r="M36" i="8" s="1"/>
  <c r="J36" i="8"/>
  <c r="I36" i="8"/>
  <c r="K35" i="8"/>
  <c r="M35" i="8" s="1"/>
  <c r="J35" i="8"/>
  <c r="I35" i="8"/>
  <c r="K34" i="8"/>
  <c r="M34" i="8" s="1"/>
  <c r="J34" i="8"/>
  <c r="I34" i="8"/>
  <c r="K33" i="8"/>
  <c r="M33" i="8" s="1"/>
  <c r="J33" i="8"/>
  <c r="I33" i="8"/>
  <c r="K32" i="8"/>
  <c r="M32" i="8" s="1"/>
  <c r="J32" i="8"/>
  <c r="I32" i="8"/>
  <c r="K31" i="8"/>
  <c r="M31" i="8" s="1"/>
  <c r="J31" i="8"/>
  <c r="I31" i="8"/>
  <c r="K30" i="8"/>
  <c r="M30" i="8" s="1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K36" i="33"/>
  <c r="J36" i="33"/>
  <c r="I36" i="33"/>
  <c r="K35" i="33"/>
  <c r="M35" i="33" s="1"/>
  <c r="J35" i="33"/>
  <c r="I35" i="33"/>
  <c r="K34" i="33"/>
  <c r="M34" i="33" s="1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7" i="33"/>
  <c r="J7" i="33"/>
  <c r="I7" i="33"/>
  <c r="H7" i="33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S13" i="7"/>
  <c r="M13" i="7"/>
  <c r="S12" i="7"/>
  <c r="M12" i="7"/>
  <c r="S11" i="7"/>
  <c r="M11" i="7"/>
  <c r="S10" i="7"/>
  <c r="M10" i="7"/>
  <c r="AC9" i="7"/>
  <c r="S9" i="7"/>
  <c r="M9" i="7"/>
  <c r="AC8" i="7"/>
  <c r="S8" i="7"/>
  <c r="M8" i="7"/>
  <c r="AC7" i="7"/>
  <c r="S7" i="7"/>
  <c r="M7" i="7"/>
  <c r="W10" i="5"/>
  <c r="V12" i="5"/>
  <c r="V19" i="5"/>
  <c r="V26" i="5"/>
  <c r="V6" i="5"/>
  <c r="P26" i="5"/>
  <c r="P19" i="5"/>
  <c r="P12" i="5"/>
  <c r="Q10" i="5"/>
  <c r="P6" i="5"/>
  <c r="N10" i="5"/>
  <c r="M12" i="5"/>
  <c r="M19" i="5"/>
  <c r="M26" i="5"/>
  <c r="M6" i="5"/>
  <c r="H10" i="5"/>
  <c r="G12" i="5"/>
  <c r="G19" i="5"/>
  <c r="G26" i="5"/>
  <c r="I6" i="39"/>
  <c r="G6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S33" i="3"/>
  <c r="B10" i="39" s="1"/>
  <c r="S26" i="3"/>
  <c r="S19" i="3"/>
  <c r="S12" i="3"/>
  <c r="T10" i="3"/>
  <c r="S6" i="3"/>
  <c r="M33" i="3"/>
  <c r="B8" i="39" s="1"/>
  <c r="M26" i="3"/>
  <c r="M19" i="3"/>
  <c r="M12" i="3"/>
  <c r="N10" i="3"/>
  <c r="M6" i="3"/>
  <c r="K10" i="3"/>
  <c r="H10" i="3"/>
  <c r="J12" i="3"/>
  <c r="J19" i="3"/>
  <c r="J26" i="3"/>
  <c r="J33" i="3"/>
  <c r="B7" i="39" s="1"/>
  <c r="J6" i="3"/>
  <c r="G19" i="3"/>
  <c r="G26" i="3"/>
  <c r="G33" i="3"/>
  <c r="B6" i="39" s="1"/>
  <c r="G12" i="3"/>
  <c r="G6" i="3"/>
  <c r="D6" i="3"/>
  <c r="D7" i="3" s="1"/>
  <c r="D8" i="3" s="1"/>
  <c r="D9" i="3" s="1"/>
  <c r="D10" i="3" s="1"/>
  <c r="D11" i="3" s="1"/>
  <c r="M96" i="37" l="1"/>
  <c r="M95" i="37"/>
  <c r="M94" i="37"/>
  <c r="M93" i="37"/>
  <c r="M92" i="37"/>
  <c r="M91" i="37"/>
  <c r="M90" i="37"/>
  <c r="M89" i="37"/>
  <c r="M88" i="37"/>
  <c r="M50" i="37"/>
  <c r="M68" i="34"/>
  <c r="M88" i="36"/>
  <c r="L7" i="37"/>
  <c r="M7" i="34"/>
  <c r="M68" i="30"/>
  <c r="M13" i="36"/>
  <c r="M88" i="32"/>
  <c r="M92" i="32"/>
  <c r="M67" i="30"/>
  <c r="M49" i="32"/>
  <c r="M89" i="36"/>
  <c r="M93" i="36"/>
  <c r="M88" i="35"/>
  <c r="M92" i="35"/>
  <c r="M71" i="34"/>
  <c r="M75" i="34"/>
  <c r="M79" i="34"/>
  <c r="M67" i="37"/>
  <c r="L7" i="33"/>
  <c r="AE7" i="32"/>
  <c r="I7" i="32" s="1"/>
  <c r="M101" i="32"/>
  <c r="M87" i="32"/>
  <c r="M91" i="32"/>
  <c r="M11" i="35"/>
  <c r="M92" i="36"/>
  <c r="M87" i="35"/>
  <c r="M101" i="35"/>
  <c r="M91" i="35"/>
  <c r="M70" i="34"/>
  <c r="M74" i="34"/>
  <c r="M78" i="34"/>
  <c r="M90" i="32"/>
  <c r="M94" i="32"/>
  <c r="M69" i="30"/>
  <c r="M48" i="31"/>
  <c r="M101" i="36"/>
  <c r="M87" i="36"/>
  <c r="M91" i="36"/>
  <c r="M95" i="36"/>
  <c r="M90" i="35"/>
  <c r="M69" i="34"/>
  <c r="M73" i="34"/>
  <c r="M77" i="34"/>
  <c r="M89" i="32"/>
  <c r="M93" i="32"/>
  <c r="M90" i="36"/>
  <c r="M94" i="36"/>
  <c r="M89" i="35"/>
  <c r="M93" i="35"/>
  <c r="M72" i="34"/>
  <c r="M76" i="34"/>
  <c r="M48" i="37"/>
  <c r="M48" i="35"/>
  <c r="M99" i="31"/>
  <c r="M91" i="31"/>
  <c r="M95" i="31"/>
  <c r="M100" i="31"/>
  <c r="M89" i="31"/>
  <c r="M94" i="31"/>
  <c r="M98" i="31"/>
  <c r="M88" i="31"/>
  <c r="M93" i="31"/>
  <c r="M97" i="31"/>
  <c r="M90" i="31"/>
  <c r="M87" i="31"/>
  <c r="M92" i="31"/>
  <c r="M96" i="31"/>
  <c r="P33" i="3"/>
  <c r="B9" i="39" s="1"/>
  <c r="V33" i="3"/>
  <c r="B11" i="39" s="1"/>
  <c r="M9" i="33"/>
  <c r="M17" i="33"/>
  <c r="M25" i="33"/>
  <c r="M7" i="8"/>
  <c r="M11" i="8"/>
  <c r="M15" i="8"/>
  <c r="M19" i="8"/>
  <c r="M23" i="8"/>
  <c r="M27" i="8"/>
  <c r="M21" i="31"/>
  <c r="M9" i="32"/>
  <c r="M13" i="32"/>
  <c r="L87" i="31"/>
  <c r="B31" i="39" s="1"/>
  <c r="M69" i="32"/>
  <c r="M71" i="32"/>
  <c r="M49" i="31"/>
  <c r="M48" i="32"/>
  <c r="M52" i="32"/>
  <c r="M27" i="30"/>
  <c r="M67" i="34"/>
  <c r="M48" i="34"/>
  <c r="M52" i="34"/>
  <c r="M56" i="34"/>
  <c r="M54" i="37"/>
  <c r="M55" i="37"/>
  <c r="M47" i="37"/>
  <c r="M61" i="37"/>
  <c r="M51" i="37"/>
  <c r="M48" i="36"/>
  <c r="M52" i="36"/>
  <c r="M47" i="35"/>
  <c r="M61" i="35"/>
  <c r="M51" i="35"/>
  <c r="M11" i="33"/>
  <c r="M19" i="33"/>
  <c r="M23" i="33"/>
  <c r="M67" i="31"/>
  <c r="M47" i="32"/>
  <c r="M61" i="32"/>
  <c r="M51" i="32"/>
  <c r="M11" i="37"/>
  <c r="M10" i="36"/>
  <c r="M9" i="35"/>
  <c r="M47" i="34"/>
  <c r="M61" i="34"/>
  <c r="M51" i="34"/>
  <c r="M55" i="34"/>
  <c r="M59" i="34"/>
  <c r="M61" i="36"/>
  <c r="M47" i="36"/>
  <c r="M51" i="36"/>
  <c r="M50" i="35"/>
  <c r="M28" i="34"/>
  <c r="M28" i="36"/>
  <c r="M15" i="33"/>
  <c r="M27" i="33"/>
  <c r="M31" i="33"/>
  <c r="P12" i="3"/>
  <c r="V26" i="3"/>
  <c r="M10" i="33"/>
  <c r="M9" i="8"/>
  <c r="M13" i="8"/>
  <c r="M17" i="8"/>
  <c r="M21" i="8"/>
  <c r="M25" i="8"/>
  <c r="M29" i="8"/>
  <c r="M8" i="30"/>
  <c r="M9" i="31"/>
  <c r="M7" i="32"/>
  <c r="M11" i="32"/>
  <c r="M15" i="32"/>
  <c r="M73" i="32"/>
  <c r="M61" i="31"/>
  <c r="M47" i="31"/>
  <c r="M50" i="32"/>
  <c r="M54" i="32"/>
  <c r="M29" i="32"/>
  <c r="M8" i="35"/>
  <c r="M70" i="36"/>
  <c r="M71" i="35"/>
  <c r="M50" i="34"/>
  <c r="M54" i="34"/>
  <c r="M58" i="34"/>
  <c r="M49" i="37"/>
  <c r="M53" i="37"/>
  <c r="M50" i="36"/>
  <c r="M49" i="35"/>
  <c r="M33" i="33"/>
  <c r="M7" i="30"/>
  <c r="M11" i="30"/>
  <c r="M53" i="32"/>
  <c r="M9" i="34"/>
  <c r="M13" i="34"/>
  <c r="M17" i="34"/>
  <c r="M71" i="37"/>
  <c r="M75" i="37"/>
  <c r="M49" i="34"/>
  <c r="M53" i="34"/>
  <c r="M57" i="34"/>
  <c r="M52" i="37"/>
  <c r="M49" i="36"/>
  <c r="M53" i="36"/>
  <c r="M52" i="35"/>
  <c r="M70" i="37"/>
  <c r="M74" i="37"/>
  <c r="M72" i="37"/>
  <c r="M68" i="37"/>
  <c r="M73" i="37"/>
  <c r="M72" i="36"/>
  <c r="M71" i="36"/>
  <c r="M69" i="36"/>
  <c r="M68" i="36"/>
  <c r="M73" i="36"/>
  <c r="M70" i="35"/>
  <c r="M68" i="35"/>
  <c r="M69" i="35"/>
  <c r="M67" i="35"/>
  <c r="M72" i="35"/>
  <c r="M70" i="32"/>
  <c r="M68" i="32"/>
  <c r="M74" i="32"/>
  <c r="L67" i="32"/>
  <c r="M72" i="32"/>
  <c r="P26" i="3"/>
  <c r="M51" i="30"/>
  <c r="M53" i="30"/>
  <c r="M47" i="30"/>
  <c r="M50" i="30"/>
  <c r="M49" i="30"/>
  <c r="M48" i="30"/>
  <c r="M54" i="30"/>
  <c r="M52" i="30"/>
  <c r="V19" i="3"/>
  <c r="P19" i="3"/>
  <c r="V12" i="3"/>
  <c r="M14" i="33"/>
  <c r="M30" i="30"/>
  <c r="M33" i="32"/>
  <c r="M21" i="33"/>
  <c r="M9" i="30"/>
  <c r="M21" i="32"/>
  <c r="M11" i="34"/>
  <c r="M15" i="34"/>
  <c r="L87" i="36"/>
  <c r="B35" i="39" s="1"/>
  <c r="L67" i="34"/>
  <c r="L47" i="35"/>
  <c r="M7" i="37"/>
  <c r="M21" i="34"/>
  <c r="M9" i="36"/>
  <c r="M22" i="33"/>
  <c r="M30" i="33"/>
  <c r="M13" i="33"/>
  <c r="M29" i="33"/>
  <c r="M8" i="8"/>
  <c r="M12" i="8"/>
  <c r="M16" i="8"/>
  <c r="M20" i="8"/>
  <c r="M24" i="8"/>
  <c r="M28" i="8"/>
  <c r="M8" i="31"/>
  <c r="M8" i="32"/>
  <c r="M12" i="32"/>
  <c r="L87" i="32"/>
  <c r="B30" i="39" s="1"/>
  <c r="L47" i="30"/>
  <c r="M7" i="33"/>
  <c r="M10" i="34"/>
  <c r="M14" i="34"/>
  <c r="M18" i="34"/>
  <c r="M10" i="37"/>
  <c r="M12" i="35"/>
  <c r="L87" i="34"/>
  <c r="B33" i="39" s="1"/>
  <c r="L67" i="37"/>
  <c r="M81" i="36"/>
  <c r="M32" i="34"/>
  <c r="M36" i="34"/>
  <c r="M27" i="37"/>
  <c r="M41" i="37"/>
  <c r="M30" i="37"/>
  <c r="M32" i="36"/>
  <c r="M27" i="35"/>
  <c r="M41" i="35"/>
  <c r="M30" i="35"/>
  <c r="M18" i="33"/>
  <c r="M8" i="33"/>
  <c r="M16" i="33"/>
  <c r="M24" i="33"/>
  <c r="M28" i="33"/>
  <c r="M32" i="33"/>
  <c r="M10" i="30"/>
  <c r="M7" i="31"/>
  <c r="L7" i="32"/>
  <c r="AE7" i="31"/>
  <c r="I7" i="31" s="1"/>
  <c r="L67" i="30"/>
  <c r="L47" i="32"/>
  <c r="M28" i="30"/>
  <c r="M29" i="31"/>
  <c r="M31" i="32"/>
  <c r="M35" i="32"/>
  <c r="M9" i="37"/>
  <c r="M13" i="37"/>
  <c r="M8" i="36"/>
  <c r="M12" i="36"/>
  <c r="M21" i="35"/>
  <c r="M7" i="35"/>
  <c r="L7" i="35"/>
  <c r="M26" i="33"/>
  <c r="M12" i="33"/>
  <c r="M20" i="33"/>
  <c r="M36" i="33"/>
  <c r="M10" i="8"/>
  <c r="M14" i="8"/>
  <c r="M18" i="8"/>
  <c r="M22" i="8"/>
  <c r="M26" i="8"/>
  <c r="M10" i="32"/>
  <c r="M14" i="32"/>
  <c r="M101" i="31"/>
  <c r="M67" i="32"/>
  <c r="M8" i="34"/>
  <c r="M12" i="34"/>
  <c r="M16" i="34"/>
  <c r="M21" i="37"/>
  <c r="M8" i="37"/>
  <c r="M12" i="37"/>
  <c r="M7" i="36"/>
  <c r="M11" i="36"/>
  <c r="M10" i="35"/>
  <c r="M21" i="36"/>
  <c r="M31" i="30"/>
  <c r="M28" i="31"/>
  <c r="M27" i="32"/>
  <c r="M41" i="32"/>
  <c r="M30" i="32"/>
  <c r="M34" i="32"/>
  <c r="M31" i="34"/>
  <c r="M35" i="34"/>
  <c r="M29" i="37"/>
  <c r="M33" i="37"/>
  <c r="M31" i="36"/>
  <c r="M29" i="35"/>
  <c r="L67" i="36"/>
  <c r="L47" i="34"/>
  <c r="M27" i="34"/>
  <c r="M41" i="34"/>
  <c r="M30" i="34"/>
  <c r="M34" i="34"/>
  <c r="M38" i="34"/>
  <c r="M28" i="37"/>
  <c r="M32" i="37"/>
  <c r="M27" i="36"/>
  <c r="M41" i="36"/>
  <c r="M30" i="36"/>
  <c r="M28" i="35"/>
  <c r="M32" i="35"/>
  <c r="M29" i="30"/>
  <c r="M27" i="31"/>
  <c r="M41" i="31"/>
  <c r="M28" i="32"/>
  <c r="M32" i="32"/>
  <c r="L87" i="37"/>
  <c r="B36" i="39" s="1"/>
  <c r="M67" i="36"/>
  <c r="L47" i="37"/>
  <c r="M29" i="34"/>
  <c r="M33" i="34"/>
  <c r="M37" i="34"/>
  <c r="M31" i="37"/>
  <c r="M29" i="36"/>
  <c r="M33" i="36"/>
  <c r="M31" i="35"/>
  <c r="L27" i="37"/>
  <c r="L27" i="35"/>
  <c r="L27" i="32"/>
  <c r="L27" i="30"/>
  <c r="L27" i="34"/>
  <c r="L27" i="36"/>
  <c r="M81" i="37"/>
  <c r="M101" i="37"/>
  <c r="L47" i="36"/>
  <c r="M81" i="35"/>
  <c r="M69" i="37"/>
  <c r="L67" i="35"/>
  <c r="M87" i="37"/>
  <c r="L87" i="35"/>
  <c r="B34" i="39" s="1"/>
  <c r="L7" i="34"/>
  <c r="L7" i="36"/>
  <c r="L27" i="31"/>
  <c r="L47" i="31"/>
  <c r="M81" i="32"/>
  <c r="L67" i="31"/>
  <c r="L87" i="30"/>
  <c r="B29" i="39" s="1"/>
  <c r="L7" i="30"/>
  <c r="L7" i="31"/>
  <c r="L7" i="8"/>
  <c r="AZ121" i="30" l="1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AZ53" i="30"/>
  <c r="AZ52" i="30"/>
  <c r="AZ51" i="30"/>
  <c r="AZ50" i="30"/>
  <c r="AZ49" i="30"/>
  <c r="AZ48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S32" i="5" l="1"/>
  <c r="S25" i="5"/>
  <c r="S18" i="5"/>
  <c r="S11" i="5"/>
  <c r="S6" i="5"/>
  <c r="T10" i="5"/>
  <c r="O40" i="3"/>
  <c r="U40" i="3"/>
  <c r="O41" i="3"/>
  <c r="U41" i="3"/>
  <c r="V6" i="3" l="1"/>
  <c r="AZ121" i="37" l="1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0" i="31"/>
  <c r="J120" i="31"/>
  <c r="I120" i="31"/>
  <c r="K119" i="31"/>
  <c r="J119" i="31"/>
  <c r="I119" i="31"/>
  <c r="K118" i="31"/>
  <c r="J118" i="31"/>
  <c r="I118" i="31"/>
  <c r="K117" i="31"/>
  <c r="J117" i="31"/>
  <c r="I117" i="31"/>
  <c r="K116" i="31"/>
  <c r="J116" i="31"/>
  <c r="I116" i="31"/>
  <c r="K115" i="31"/>
  <c r="J115" i="31"/>
  <c r="I115" i="31"/>
  <c r="K114" i="31"/>
  <c r="J114" i="31"/>
  <c r="I114" i="31"/>
  <c r="K113" i="31"/>
  <c r="J113" i="31"/>
  <c r="I113" i="31"/>
  <c r="K112" i="31"/>
  <c r="J112" i="31"/>
  <c r="I112" i="31"/>
  <c r="K111" i="31"/>
  <c r="J111" i="31"/>
  <c r="I111" i="31"/>
  <c r="K110" i="31"/>
  <c r="J110" i="31"/>
  <c r="I110" i="31"/>
  <c r="K109" i="31"/>
  <c r="J109" i="31"/>
  <c r="I109" i="31"/>
  <c r="K108" i="31"/>
  <c r="J108" i="31"/>
  <c r="I108" i="31"/>
  <c r="K107" i="31"/>
  <c r="J107" i="31"/>
  <c r="I107" i="31"/>
  <c r="K120" i="32"/>
  <c r="J120" i="32"/>
  <c r="I120" i="32"/>
  <c r="K119" i="32"/>
  <c r="J119" i="32"/>
  <c r="I119" i="32"/>
  <c r="K118" i="32"/>
  <c r="J118" i="32"/>
  <c r="I118" i="32"/>
  <c r="K117" i="32"/>
  <c r="J117" i="32"/>
  <c r="I117" i="32"/>
  <c r="K116" i="32"/>
  <c r="J116" i="32"/>
  <c r="I116" i="32"/>
  <c r="K115" i="32"/>
  <c r="J115" i="32"/>
  <c r="I115" i="32"/>
  <c r="K114" i="32"/>
  <c r="J114" i="32"/>
  <c r="I114" i="32"/>
  <c r="K113" i="32"/>
  <c r="J113" i="32"/>
  <c r="I113" i="32"/>
  <c r="K112" i="32"/>
  <c r="J112" i="32"/>
  <c r="I112" i="32"/>
  <c r="K111" i="32"/>
  <c r="J111" i="32"/>
  <c r="I111" i="32"/>
  <c r="K110" i="32"/>
  <c r="J110" i="32"/>
  <c r="I110" i="32"/>
  <c r="K109" i="32"/>
  <c r="J109" i="32"/>
  <c r="I109" i="32"/>
  <c r="K108" i="32"/>
  <c r="J108" i="32"/>
  <c r="I108" i="32"/>
  <c r="K107" i="32"/>
  <c r="J107" i="32"/>
  <c r="I10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J156" i="8"/>
  <c r="I156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U35" i="3"/>
  <c r="O35" i="3"/>
  <c r="L107" i="37" l="1"/>
  <c r="L107" i="35"/>
  <c r="L107" i="36"/>
  <c r="L107" i="32"/>
  <c r="M88" i="30"/>
  <c r="M87" i="30"/>
  <c r="M89" i="30"/>
  <c r="M91" i="34"/>
  <c r="M98" i="34"/>
  <c r="M92" i="34"/>
  <c r="M94" i="34"/>
  <c r="M97" i="34"/>
  <c r="M95" i="34"/>
  <c r="M89" i="34"/>
  <c r="M96" i="34"/>
  <c r="M87" i="34"/>
  <c r="M88" i="34"/>
  <c r="M99" i="34"/>
  <c r="M90" i="34"/>
  <c r="M93" i="34"/>
  <c r="M101" i="34"/>
  <c r="L42" i="8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4"/>
  <c r="Z2" i="34" s="1"/>
  <c r="AE2" i="34" s="1"/>
  <c r="AJ2" i="34" s="1"/>
  <c r="AO2" i="34" s="1"/>
  <c r="AT2" i="34" s="1"/>
  <c r="U2" i="35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0"/>
  <c r="Z2" i="30" s="1"/>
  <c r="AE2" i="30" s="1"/>
  <c r="AJ2" i="30" s="1"/>
  <c r="AO2" i="30" s="1"/>
  <c r="AT2" i="30" s="1"/>
  <c r="U2" i="33"/>
  <c r="Z2" i="33" s="1"/>
  <c r="AE2" i="33" s="1"/>
  <c r="AJ2" i="33" s="1"/>
  <c r="AO2" i="33" s="1"/>
  <c r="AT2" i="33" s="1"/>
  <c r="P37" i="8"/>
  <c r="U2" i="8"/>
  <c r="Z2" i="8" s="1"/>
  <c r="AE2" i="8" s="1"/>
  <c r="AJ2" i="8" s="1"/>
  <c r="AO2" i="8" s="1"/>
  <c r="U5" i="3" l="1"/>
  <c r="P6" i="3" l="1"/>
  <c r="AW121" i="30" l="1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AW112" i="30"/>
  <c r="AR112" i="30"/>
  <c r="AM112" i="30"/>
  <c r="AH112" i="30"/>
  <c r="AC112" i="30"/>
  <c r="X112" i="30"/>
  <c r="S112" i="30"/>
  <c r="AW111" i="30"/>
  <c r="AR111" i="30"/>
  <c r="AM111" i="30"/>
  <c r="AH111" i="30"/>
  <c r="AC111" i="30"/>
  <c r="X111" i="30"/>
  <c r="S111" i="30"/>
  <c r="AW110" i="30"/>
  <c r="AR110" i="30"/>
  <c r="AM110" i="30"/>
  <c r="AH110" i="30"/>
  <c r="AC110" i="30"/>
  <c r="X110" i="30"/>
  <c r="S110" i="30"/>
  <c r="AW109" i="30"/>
  <c r="AR109" i="30"/>
  <c r="AM109" i="30"/>
  <c r="AH109" i="30"/>
  <c r="AC109" i="30"/>
  <c r="X109" i="30"/>
  <c r="S109" i="30"/>
  <c r="AW108" i="30"/>
  <c r="AR108" i="30"/>
  <c r="AM108" i="30"/>
  <c r="AH108" i="30"/>
  <c r="AC108" i="30"/>
  <c r="X108" i="30"/>
  <c r="S108" i="30"/>
  <c r="AW107" i="30"/>
  <c r="AR107" i="30"/>
  <c r="AM107" i="30"/>
  <c r="AH107" i="30"/>
  <c r="AC107" i="30"/>
  <c r="X107" i="30"/>
  <c r="S107" i="30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AW113" i="37"/>
  <c r="AR113" i="37"/>
  <c r="AM113" i="37"/>
  <c r="AH113" i="37"/>
  <c r="AC113" i="37"/>
  <c r="X113" i="37"/>
  <c r="S113" i="37"/>
  <c r="AW112" i="37"/>
  <c r="AR112" i="37"/>
  <c r="AM112" i="37"/>
  <c r="AH112" i="37"/>
  <c r="AC112" i="37"/>
  <c r="X112" i="37"/>
  <c r="S112" i="37"/>
  <c r="AW111" i="37"/>
  <c r="AR111" i="37"/>
  <c r="AM111" i="37"/>
  <c r="AH111" i="37"/>
  <c r="AC111" i="37"/>
  <c r="X111" i="37"/>
  <c r="S111" i="37"/>
  <c r="AW110" i="37"/>
  <c r="AR110" i="37"/>
  <c r="AM110" i="37"/>
  <c r="AH110" i="37"/>
  <c r="AC110" i="37"/>
  <c r="X110" i="37"/>
  <c r="S110" i="37"/>
  <c r="AW109" i="37"/>
  <c r="AR109" i="37"/>
  <c r="AM109" i="37"/>
  <c r="AH109" i="37"/>
  <c r="AC109" i="37"/>
  <c r="X109" i="37"/>
  <c r="S109" i="37"/>
  <c r="AW108" i="37"/>
  <c r="AR108" i="37"/>
  <c r="AM108" i="37"/>
  <c r="AH108" i="37"/>
  <c r="AC108" i="37"/>
  <c r="X108" i="37"/>
  <c r="S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AW110" i="36"/>
  <c r="AR110" i="36"/>
  <c r="AM110" i="36"/>
  <c r="AH110" i="36"/>
  <c r="AC110" i="36"/>
  <c r="X110" i="36"/>
  <c r="S110" i="36"/>
  <c r="AW109" i="36"/>
  <c r="AR109" i="36"/>
  <c r="AM109" i="36"/>
  <c r="AH109" i="36"/>
  <c r="AC109" i="36"/>
  <c r="X109" i="36"/>
  <c r="S109" i="36"/>
  <c r="AW108" i="36"/>
  <c r="AR108" i="36"/>
  <c r="AM108" i="36"/>
  <c r="AH108" i="36"/>
  <c r="AC108" i="36"/>
  <c r="X108" i="36"/>
  <c r="S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AW114" i="35"/>
  <c r="AR114" i="35"/>
  <c r="AM114" i="35"/>
  <c r="AH114" i="35"/>
  <c r="AC114" i="35"/>
  <c r="X114" i="35"/>
  <c r="S114" i="35"/>
  <c r="AW113" i="35"/>
  <c r="AR113" i="35"/>
  <c r="AM113" i="35"/>
  <c r="AH113" i="35"/>
  <c r="AC113" i="35"/>
  <c r="X113" i="35"/>
  <c r="S113" i="35"/>
  <c r="AW112" i="35"/>
  <c r="AR112" i="35"/>
  <c r="AM112" i="35"/>
  <c r="AH112" i="35"/>
  <c r="AC112" i="35"/>
  <c r="X112" i="35"/>
  <c r="S112" i="35"/>
  <c r="AW111" i="35"/>
  <c r="AR111" i="35"/>
  <c r="AM111" i="35"/>
  <c r="AH111" i="35"/>
  <c r="AC111" i="35"/>
  <c r="X111" i="35"/>
  <c r="S111" i="35"/>
  <c r="AW110" i="35"/>
  <c r="AR110" i="35"/>
  <c r="AM110" i="35"/>
  <c r="AH110" i="35"/>
  <c r="AC110" i="35"/>
  <c r="X110" i="35"/>
  <c r="S110" i="35"/>
  <c r="AW109" i="35"/>
  <c r="AR109" i="35"/>
  <c r="AM109" i="35"/>
  <c r="AH109" i="35"/>
  <c r="AC109" i="35"/>
  <c r="X109" i="35"/>
  <c r="S109" i="35"/>
  <c r="AW108" i="35"/>
  <c r="AR108" i="35"/>
  <c r="AM108" i="35"/>
  <c r="AH108" i="35"/>
  <c r="AC108" i="35"/>
  <c r="X108" i="35"/>
  <c r="S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AW116" i="32"/>
  <c r="AR116" i="32"/>
  <c r="AM116" i="32"/>
  <c r="AH116" i="32"/>
  <c r="AC116" i="32"/>
  <c r="X116" i="32"/>
  <c r="S116" i="32"/>
  <c r="AW115" i="32"/>
  <c r="AR115" i="32"/>
  <c r="AM115" i="32"/>
  <c r="AH115" i="32"/>
  <c r="AC115" i="32"/>
  <c r="X115" i="32"/>
  <c r="S115" i="32"/>
  <c r="AW114" i="32"/>
  <c r="AR114" i="32"/>
  <c r="AM114" i="32"/>
  <c r="AH114" i="32"/>
  <c r="AC114" i="32"/>
  <c r="X114" i="32"/>
  <c r="S114" i="32"/>
  <c r="AW113" i="32"/>
  <c r="AR113" i="32"/>
  <c r="AM113" i="32"/>
  <c r="AH113" i="32"/>
  <c r="AC113" i="32"/>
  <c r="X113" i="32"/>
  <c r="S113" i="32"/>
  <c r="AW112" i="32"/>
  <c r="AR112" i="32"/>
  <c r="AM112" i="32"/>
  <c r="AH112" i="32"/>
  <c r="AC112" i="32"/>
  <c r="X112" i="32"/>
  <c r="S112" i="32"/>
  <c r="AW111" i="32"/>
  <c r="AR111" i="32"/>
  <c r="AM111" i="32"/>
  <c r="AH111" i="32"/>
  <c r="AC111" i="32"/>
  <c r="X111" i="32"/>
  <c r="S111" i="32"/>
  <c r="AW110" i="32"/>
  <c r="AR110" i="32"/>
  <c r="AM110" i="32"/>
  <c r="AH110" i="32"/>
  <c r="AC110" i="32"/>
  <c r="X110" i="32"/>
  <c r="S110" i="32"/>
  <c r="AW109" i="32"/>
  <c r="AR109" i="32"/>
  <c r="AM109" i="32"/>
  <c r="AH109" i="32"/>
  <c r="AC109" i="32"/>
  <c r="X109" i="32"/>
  <c r="S109" i="32"/>
  <c r="AW108" i="32"/>
  <c r="AR108" i="32"/>
  <c r="AM108" i="32"/>
  <c r="AH108" i="32"/>
  <c r="AC108" i="32"/>
  <c r="X108" i="32"/>
  <c r="S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H107" i="32"/>
  <c r="M113" i="30"/>
  <c r="M112" i="30"/>
  <c r="M111" i="30"/>
  <c r="M110" i="30"/>
  <c r="M109" i="30"/>
  <c r="M108" i="30"/>
  <c r="AX107" i="30"/>
  <c r="AS107" i="30"/>
  <c r="AN107" i="30"/>
  <c r="AI107" i="30"/>
  <c r="AD107" i="30"/>
  <c r="Y107" i="30"/>
  <c r="T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AW201" i="8"/>
  <c r="AR201" i="8"/>
  <c r="AM201" i="8"/>
  <c r="AH201" i="8"/>
  <c r="AC201" i="8"/>
  <c r="X201" i="8"/>
  <c r="S201" i="8"/>
  <c r="AW200" i="8"/>
  <c r="AR200" i="8"/>
  <c r="AM200" i="8"/>
  <c r="AH200" i="8"/>
  <c r="AC200" i="8"/>
  <c r="X200" i="8"/>
  <c r="S200" i="8"/>
  <c r="AW199" i="8"/>
  <c r="AR199" i="8"/>
  <c r="AM199" i="8"/>
  <c r="AH199" i="8"/>
  <c r="AC199" i="8"/>
  <c r="X199" i="8"/>
  <c r="S199" i="8"/>
  <c r="AW198" i="8"/>
  <c r="AR198" i="8"/>
  <c r="AM198" i="8"/>
  <c r="AH198" i="8"/>
  <c r="AC198" i="8"/>
  <c r="X198" i="8"/>
  <c r="S198" i="8"/>
  <c r="AW197" i="8"/>
  <c r="AR197" i="8"/>
  <c r="AM197" i="8"/>
  <c r="AH197" i="8"/>
  <c r="AC197" i="8"/>
  <c r="X197" i="8"/>
  <c r="S197" i="8"/>
  <c r="AW196" i="8"/>
  <c r="AR196" i="8"/>
  <c r="AM196" i="8"/>
  <c r="AH196" i="8"/>
  <c r="AC196" i="8"/>
  <c r="X196" i="8"/>
  <c r="S196" i="8"/>
  <c r="AW195" i="8"/>
  <c r="AR195" i="8"/>
  <c r="AM195" i="8"/>
  <c r="AH195" i="8"/>
  <c r="AC195" i="8"/>
  <c r="X195" i="8"/>
  <c r="S195" i="8"/>
  <c r="AW194" i="8"/>
  <c r="AR194" i="8"/>
  <c r="AM194" i="8"/>
  <c r="AH194" i="8"/>
  <c r="AC194" i="8"/>
  <c r="X194" i="8"/>
  <c r="S194" i="8"/>
  <c r="AW193" i="8"/>
  <c r="AR193" i="8"/>
  <c r="AM193" i="8"/>
  <c r="AH193" i="8"/>
  <c r="AC193" i="8"/>
  <c r="X193" i="8"/>
  <c r="S193" i="8"/>
  <c r="AW192" i="8"/>
  <c r="AR192" i="8"/>
  <c r="AM192" i="8"/>
  <c r="AH192" i="8"/>
  <c r="AC192" i="8"/>
  <c r="X192" i="8"/>
  <c r="S192" i="8"/>
  <c r="AW191" i="8"/>
  <c r="AR191" i="8"/>
  <c r="AM191" i="8"/>
  <c r="AH191" i="8"/>
  <c r="AC191" i="8"/>
  <c r="X191" i="8"/>
  <c r="S191" i="8"/>
  <c r="AW190" i="8"/>
  <c r="AR190" i="8"/>
  <c r="AM190" i="8"/>
  <c r="AH190" i="8"/>
  <c r="AC190" i="8"/>
  <c r="X190" i="8"/>
  <c r="S190" i="8"/>
  <c r="AW189" i="8"/>
  <c r="AR189" i="8"/>
  <c r="AM189" i="8"/>
  <c r="AH189" i="8"/>
  <c r="AC189" i="8"/>
  <c r="X189" i="8"/>
  <c r="S189" i="8"/>
  <c r="AW188" i="8"/>
  <c r="AR188" i="8"/>
  <c r="AM188" i="8"/>
  <c r="AH188" i="8"/>
  <c r="AC188" i="8"/>
  <c r="X188" i="8"/>
  <c r="S188" i="8"/>
  <c r="AW187" i="8"/>
  <c r="AR187" i="8"/>
  <c r="AM187" i="8"/>
  <c r="AH187" i="8"/>
  <c r="AC187" i="8"/>
  <c r="X187" i="8"/>
  <c r="S187" i="8"/>
  <c r="AW186" i="8"/>
  <c r="AR186" i="8"/>
  <c r="AM186" i="8"/>
  <c r="AH186" i="8"/>
  <c r="AC186" i="8"/>
  <c r="X186" i="8"/>
  <c r="S186" i="8"/>
  <c r="AW185" i="8"/>
  <c r="AR185" i="8"/>
  <c r="AM185" i="8"/>
  <c r="AH185" i="8"/>
  <c r="AC185" i="8"/>
  <c r="X185" i="8"/>
  <c r="S185" i="8"/>
  <c r="AW184" i="8"/>
  <c r="AR184" i="8"/>
  <c r="AM184" i="8"/>
  <c r="AH184" i="8"/>
  <c r="AC184" i="8"/>
  <c r="X184" i="8"/>
  <c r="S184" i="8"/>
  <c r="AW183" i="8"/>
  <c r="AR183" i="8"/>
  <c r="AM183" i="8"/>
  <c r="AH183" i="8"/>
  <c r="AC183" i="8"/>
  <c r="X183" i="8"/>
  <c r="S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C43" i="6" l="1"/>
  <c r="S43" i="6"/>
  <c r="M43" i="6"/>
  <c r="AK46" i="6"/>
  <c r="AI46" i="6"/>
  <c r="AG46" i="6"/>
  <c r="AE46" i="6"/>
  <c r="AA46" i="6"/>
  <c r="Y46" i="6"/>
  <c r="W46" i="6"/>
  <c r="U46" i="6"/>
  <c r="Q46" i="6"/>
  <c r="O46" i="6"/>
  <c r="K46" i="6"/>
  <c r="I46" i="6"/>
  <c r="F43" i="6" l="1"/>
  <c r="AJ43" i="6" s="1"/>
  <c r="AK46" i="7"/>
  <c r="AI46" i="7"/>
  <c r="AG46" i="7"/>
  <c r="AE46" i="7"/>
  <c r="AA46" i="7"/>
  <c r="Y46" i="7"/>
  <c r="W46" i="7"/>
  <c r="U46" i="7"/>
  <c r="Q46" i="7"/>
  <c r="O46" i="7"/>
  <c r="K46" i="7"/>
  <c r="I46" i="7"/>
  <c r="I5" i="5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AH43" i="6" l="1"/>
  <c r="Z43" i="6"/>
  <c r="L43" i="6"/>
  <c r="V43" i="6"/>
  <c r="T43" i="6"/>
  <c r="AL43" i="6"/>
  <c r="AB43" i="6"/>
  <c r="P43" i="6"/>
  <c r="N43" i="6"/>
  <c r="AD43" i="6"/>
  <c r="R43" i="6"/>
  <c r="J43" i="6"/>
  <c r="AF43" i="6"/>
  <c r="X43" i="6"/>
  <c r="F7" i="7"/>
  <c r="F7" i="6"/>
  <c r="AH7" i="6" l="1"/>
  <c r="AF7" i="6"/>
  <c r="X7" i="6"/>
  <c r="R7" i="6"/>
  <c r="L7" i="6"/>
  <c r="AB7" i="6"/>
  <c r="AJ7" i="6"/>
  <c r="P7" i="6"/>
  <c r="Z7" i="6"/>
  <c r="V7" i="6"/>
  <c r="J7" i="6"/>
  <c r="N7" i="6"/>
  <c r="T7" i="6"/>
  <c r="AD7" i="6"/>
  <c r="AL7" i="6"/>
  <c r="AJ7" i="7"/>
  <c r="V7" i="7"/>
  <c r="P7" i="7"/>
  <c r="J7" i="7"/>
  <c r="AH7" i="7"/>
  <c r="AB7" i="7"/>
  <c r="T7" i="7"/>
  <c r="N7" i="7"/>
  <c r="AF7" i="7"/>
  <c r="Z7" i="7"/>
  <c r="AL7" i="7"/>
  <c r="AD7" i="7"/>
  <c r="X7" i="7"/>
  <c r="R7" i="7"/>
  <c r="L7" i="7"/>
  <c r="B8" i="13" l="1"/>
  <c r="S14" i="7" l="1"/>
  <c r="B10" i="13"/>
  <c r="B7" i="13"/>
  <c r="B6" i="13"/>
  <c r="H128" i="37" l="1"/>
  <c r="E10" i="39" l="1"/>
  <c r="E8" i="39"/>
  <c r="E7" i="39"/>
  <c r="E6" i="39"/>
  <c r="K11" i="39"/>
  <c r="K9" i="39"/>
  <c r="K8" i="39"/>
  <c r="K6" i="39"/>
  <c r="Q10" i="3" l="1"/>
  <c r="W10" i="3"/>
  <c r="AT2" i="8"/>
  <c r="E9" i="39" l="1"/>
  <c r="B9" i="13"/>
  <c r="E11" i="39"/>
  <c r="B11" i="13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AM119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AH115" i="34" l="1"/>
  <c r="AM119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AX107" i="34"/>
  <c r="AS107" i="34"/>
  <c r="AN107" i="34"/>
  <c r="AI107" i="34"/>
  <c r="AD107" i="34"/>
  <c r="Y107" i="34"/>
  <c r="T107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AX182" i="33"/>
  <c r="AS182" i="33"/>
  <c r="AN182" i="33"/>
  <c r="AI182" i="33"/>
  <c r="AD182" i="33"/>
  <c r="Y182" i="33"/>
  <c r="T182" i="33"/>
  <c r="M182" i="33"/>
  <c r="H182" i="33"/>
  <c r="H128" i="31"/>
  <c r="M108" i="31"/>
  <c r="AX107" i="31"/>
  <c r="AS107" i="31"/>
  <c r="AN107" i="31"/>
  <c r="AI107" i="31"/>
  <c r="AD107" i="31"/>
  <c r="Y107" i="31"/>
  <c r="T107" i="31"/>
  <c r="M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H112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S45" i="6"/>
  <c r="M45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F14" i="6"/>
  <c r="F13" i="6"/>
  <c r="F12" i="6"/>
  <c r="F11" i="6"/>
  <c r="F10" i="6"/>
  <c r="F9" i="6"/>
  <c r="F8" i="6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S40" i="7"/>
  <c r="M40" i="7"/>
  <c r="S39" i="7"/>
  <c r="M39" i="7"/>
  <c r="S38" i="7"/>
  <c r="M38" i="7"/>
  <c r="S37" i="7"/>
  <c r="M37" i="7"/>
  <c r="S36" i="7"/>
  <c r="M36" i="7"/>
  <c r="S35" i="7"/>
  <c r="M35" i="7"/>
  <c r="S34" i="7"/>
  <c r="M34" i="7"/>
  <c r="S33" i="7"/>
  <c r="M33" i="7"/>
  <c r="S32" i="7"/>
  <c r="M32" i="7"/>
  <c r="S31" i="7"/>
  <c r="M31" i="7"/>
  <c r="S30" i="7"/>
  <c r="M30" i="7"/>
  <c r="S29" i="7"/>
  <c r="M29" i="7"/>
  <c r="S28" i="7"/>
  <c r="M28" i="7"/>
  <c r="S27" i="7"/>
  <c r="M27" i="7"/>
  <c r="S26" i="7"/>
  <c r="M26" i="7"/>
  <c r="S25" i="7"/>
  <c r="M25" i="7"/>
  <c r="S24" i="7"/>
  <c r="M24" i="7"/>
  <c r="S23" i="7"/>
  <c r="M23" i="7"/>
  <c r="S22" i="7"/>
  <c r="M22" i="7"/>
  <c r="S21" i="7"/>
  <c r="M21" i="7"/>
  <c r="S20" i="7"/>
  <c r="M20" i="7"/>
  <c r="S19" i="7"/>
  <c r="M19" i="7"/>
  <c r="S18" i="7"/>
  <c r="M18" i="7"/>
  <c r="S17" i="7"/>
  <c r="M17" i="7"/>
  <c r="S16" i="7"/>
  <c r="M16" i="7"/>
  <c r="S15" i="7"/>
  <c r="M15" i="7"/>
  <c r="F13" i="7"/>
  <c r="F11" i="7"/>
  <c r="F9" i="7"/>
  <c r="I27" i="5"/>
  <c r="I26" i="5"/>
  <c r="J26" i="5" s="1"/>
  <c r="I25" i="5"/>
  <c r="I24" i="5"/>
  <c r="I23" i="5"/>
  <c r="I22" i="5"/>
  <c r="I21" i="5"/>
  <c r="I20" i="5"/>
  <c r="I19" i="5"/>
  <c r="J19" i="5" s="1"/>
  <c r="I18" i="5"/>
  <c r="I17" i="5"/>
  <c r="I16" i="5"/>
  <c r="I15" i="5"/>
  <c r="I14" i="5"/>
  <c r="I13" i="5"/>
  <c r="I12" i="5"/>
  <c r="J12" i="5" s="1"/>
  <c r="I11" i="5"/>
  <c r="I10" i="5"/>
  <c r="I9" i="5"/>
  <c r="I8" i="5"/>
  <c r="I7" i="5"/>
  <c r="I10" i="13"/>
  <c r="K10" i="13" s="1"/>
  <c r="I6" i="5"/>
  <c r="J6" i="5" s="1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AH11" i="6" l="1"/>
  <c r="AB11" i="6"/>
  <c r="X11" i="6"/>
  <c r="R11" i="6"/>
  <c r="L11" i="6"/>
  <c r="AF11" i="6"/>
  <c r="Z11" i="6"/>
  <c r="AJ11" i="6"/>
  <c r="P11" i="6"/>
  <c r="V11" i="6"/>
  <c r="J11" i="6"/>
  <c r="AD11" i="6"/>
  <c r="N11" i="6"/>
  <c r="T11" i="6"/>
  <c r="AF8" i="6"/>
  <c r="Z8" i="6"/>
  <c r="AJ8" i="6"/>
  <c r="V8" i="6"/>
  <c r="P8" i="6"/>
  <c r="J8" i="6"/>
  <c r="AH8" i="6"/>
  <c r="X8" i="6"/>
  <c r="N8" i="6"/>
  <c r="L8" i="6"/>
  <c r="T8" i="6"/>
  <c r="AD8" i="6"/>
  <c r="R8" i="6"/>
  <c r="AB8" i="6"/>
  <c r="AF12" i="6"/>
  <c r="Z12" i="6"/>
  <c r="AJ12" i="6"/>
  <c r="V12" i="6"/>
  <c r="P12" i="6"/>
  <c r="J12" i="6"/>
  <c r="AH12" i="6"/>
  <c r="X12" i="6"/>
  <c r="N12" i="6"/>
  <c r="L12" i="6"/>
  <c r="T12" i="6"/>
  <c r="AD12" i="6"/>
  <c r="R12" i="6"/>
  <c r="AB12" i="6"/>
  <c r="X9" i="6"/>
  <c r="R9" i="6"/>
  <c r="L9" i="6"/>
  <c r="AH9" i="6"/>
  <c r="AB9" i="6"/>
  <c r="AF9" i="6"/>
  <c r="Z9" i="6"/>
  <c r="V9" i="6"/>
  <c r="J9" i="6"/>
  <c r="AJ9" i="6"/>
  <c r="P9" i="6"/>
  <c r="N9" i="6"/>
  <c r="T9" i="6"/>
  <c r="AD9" i="6"/>
  <c r="X13" i="6"/>
  <c r="R13" i="6"/>
  <c r="L13" i="6"/>
  <c r="AH13" i="6"/>
  <c r="AB13" i="6"/>
  <c r="AF13" i="6"/>
  <c r="Z13" i="6"/>
  <c r="AJ13" i="6"/>
  <c r="V13" i="6"/>
  <c r="J13" i="6"/>
  <c r="P13" i="6"/>
  <c r="AD13" i="6"/>
  <c r="T13" i="6"/>
  <c r="N13" i="6"/>
  <c r="AJ10" i="6"/>
  <c r="V10" i="6"/>
  <c r="P10" i="6"/>
  <c r="J10" i="6"/>
  <c r="AF10" i="6"/>
  <c r="Z10" i="6"/>
  <c r="AH10" i="6"/>
  <c r="X10" i="6"/>
  <c r="N10" i="6"/>
  <c r="L10" i="6"/>
  <c r="R10" i="6"/>
  <c r="AB10" i="6"/>
  <c r="T10" i="6"/>
  <c r="AD10" i="6"/>
  <c r="AJ14" i="6"/>
  <c r="V14" i="6"/>
  <c r="P14" i="6"/>
  <c r="J14" i="6"/>
  <c r="AF14" i="6"/>
  <c r="Z14" i="6"/>
  <c r="AH14" i="6"/>
  <c r="X14" i="6"/>
  <c r="N14" i="6"/>
  <c r="L14" i="6"/>
  <c r="AB14" i="6"/>
  <c r="R14" i="6"/>
  <c r="T14" i="6"/>
  <c r="AD14" i="6"/>
  <c r="AJ11" i="7"/>
  <c r="AH11" i="7"/>
  <c r="AB11" i="7"/>
  <c r="Z11" i="7"/>
  <c r="AF11" i="7"/>
  <c r="AD11" i="7"/>
  <c r="AH13" i="7"/>
  <c r="AB13" i="7"/>
  <c r="AF13" i="7"/>
  <c r="Z13" i="7"/>
  <c r="AJ13" i="7"/>
  <c r="AD13" i="7"/>
  <c r="E9" i="1"/>
  <c r="U72" i="33"/>
  <c r="Z72" i="33" s="1"/>
  <c r="AE72" i="33" s="1"/>
  <c r="AJ72" i="33" s="1"/>
  <c r="AO72" i="33" s="1"/>
  <c r="AT72" i="33" s="1"/>
  <c r="P107" i="33"/>
  <c r="U107" i="33" s="1"/>
  <c r="Z107" i="33" s="1"/>
  <c r="AE107" i="33" s="1"/>
  <c r="AJ107" i="33" s="1"/>
  <c r="AO107" i="33" s="1"/>
  <c r="AT107" i="33" s="1"/>
  <c r="E11" i="1"/>
  <c r="AL8" i="6"/>
  <c r="G8" i="6"/>
  <c r="AL12" i="6"/>
  <c r="AL9" i="6"/>
  <c r="AL13" i="6"/>
  <c r="AL10" i="6"/>
  <c r="AL11" i="6"/>
  <c r="V11" i="7"/>
  <c r="P11" i="7"/>
  <c r="J11" i="7"/>
  <c r="T11" i="7"/>
  <c r="N11" i="7"/>
  <c r="AL11" i="7"/>
  <c r="X11" i="7"/>
  <c r="R11" i="7"/>
  <c r="L11" i="7"/>
  <c r="V13" i="7"/>
  <c r="P13" i="7"/>
  <c r="J13" i="7"/>
  <c r="T13" i="7"/>
  <c r="N13" i="7"/>
  <c r="AL13" i="7"/>
  <c r="X13" i="7"/>
  <c r="R13" i="7"/>
  <c r="L13" i="7"/>
  <c r="AJ9" i="7"/>
  <c r="V9" i="7"/>
  <c r="P9" i="7"/>
  <c r="J9" i="7"/>
  <c r="AH9" i="7"/>
  <c r="AB9" i="7"/>
  <c r="T9" i="7"/>
  <c r="N9" i="7"/>
  <c r="AF9" i="7"/>
  <c r="Z9" i="7"/>
  <c r="AL9" i="7"/>
  <c r="AD9" i="7"/>
  <c r="X9" i="7"/>
  <c r="R9" i="7"/>
  <c r="L9" i="7"/>
  <c r="K10" i="5"/>
  <c r="K7" i="39" s="1"/>
  <c r="X48" i="1"/>
  <c r="V48" i="1" s="1"/>
  <c r="X34" i="1"/>
  <c r="V34" i="1" s="1"/>
  <c r="X42" i="1"/>
  <c r="V42" i="1" s="1"/>
  <c r="M121" i="37"/>
  <c r="D9" i="39"/>
  <c r="AC46" i="6"/>
  <c r="AC47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F23" i="6"/>
  <c r="S46" i="6"/>
  <c r="S47" i="6" s="1"/>
  <c r="H16" i="13" s="1"/>
  <c r="M46" i="6"/>
  <c r="M47" i="6" s="1"/>
  <c r="F26" i="6"/>
  <c r="F20" i="6"/>
  <c r="AL14" i="6"/>
  <c r="F23" i="7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F28" i="6"/>
  <c r="F31" i="6"/>
  <c r="U14" i="1"/>
  <c r="F35" i="6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F45" i="6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J130" i="30"/>
  <c r="K221" i="33"/>
  <c r="K225" i="33"/>
  <c r="K229" i="33"/>
  <c r="K233" i="33"/>
  <c r="K237" i="33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5" i="7"/>
  <c r="F25" i="7"/>
  <c r="F29" i="7"/>
  <c r="D9" i="1"/>
  <c r="F33" i="7"/>
  <c r="K128" i="32"/>
  <c r="K132" i="32"/>
  <c r="K222" i="33"/>
  <c r="K226" i="33"/>
  <c r="K230" i="33"/>
  <c r="K234" i="33"/>
  <c r="K238" i="33"/>
  <c r="I241" i="33"/>
  <c r="I137" i="32"/>
  <c r="J241" i="33"/>
  <c r="F19" i="7"/>
  <c r="I131" i="32"/>
  <c r="F45" i="7"/>
  <c r="AH45" i="7" s="1"/>
  <c r="F18" i="6"/>
  <c r="F24" i="6"/>
  <c r="F27" i="6"/>
  <c r="F41" i="6"/>
  <c r="M135" i="8"/>
  <c r="M138" i="8"/>
  <c r="M141" i="8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M134" i="35" s="1"/>
  <c r="K132" i="34"/>
  <c r="K134" i="34"/>
  <c r="K128" i="34"/>
  <c r="K130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F21" i="7"/>
  <c r="F27" i="7"/>
  <c r="F16" i="6"/>
  <c r="F19" i="6"/>
  <c r="B17" i="13"/>
  <c r="C17" i="13" s="1"/>
  <c r="E17" i="13" s="1"/>
  <c r="F15" i="7"/>
  <c r="F10" i="7"/>
  <c r="F14" i="7"/>
  <c r="F8" i="7"/>
  <c r="F12" i="7"/>
  <c r="F16" i="7"/>
  <c r="F20" i="7"/>
  <c r="F24" i="7"/>
  <c r="F28" i="7"/>
  <c r="F32" i="7"/>
  <c r="F36" i="7"/>
  <c r="F18" i="7"/>
  <c r="F22" i="7"/>
  <c r="F26" i="7"/>
  <c r="F30" i="7"/>
  <c r="F34" i="7"/>
  <c r="AC46" i="7"/>
  <c r="B19" i="13" s="1"/>
  <c r="C19" i="13" s="1"/>
  <c r="E19" i="13" s="1"/>
  <c r="F44" i="7"/>
  <c r="N44" i="7" s="1"/>
  <c r="H23" i="13"/>
  <c r="F22" i="6"/>
  <c r="F32" i="6"/>
  <c r="F21" i="6"/>
  <c r="F25" i="6"/>
  <c r="F15" i="6"/>
  <c r="F30" i="6"/>
  <c r="F17" i="6"/>
  <c r="F34" i="6"/>
  <c r="F44" i="6"/>
  <c r="F29" i="6"/>
  <c r="F33" i="6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D10" i="39"/>
  <c r="I11" i="13"/>
  <c r="K11" i="13" s="1"/>
  <c r="F39" i="6"/>
  <c r="F38" i="6"/>
  <c r="F42" i="6"/>
  <c r="F40" i="6"/>
  <c r="F43" i="7"/>
  <c r="AH43" i="7" s="1"/>
  <c r="S46" i="7"/>
  <c r="S47" i="7" s="1"/>
  <c r="F39" i="7"/>
  <c r="F38" i="7"/>
  <c r="F42" i="7"/>
  <c r="N42" i="7" s="1"/>
  <c r="M46" i="7"/>
  <c r="B15" i="13" s="1"/>
  <c r="C15" i="13" s="1"/>
  <c r="F41" i="7"/>
  <c r="N41" i="7" s="1"/>
  <c r="F40" i="7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47" i="6"/>
  <c r="F37" i="6"/>
  <c r="B20" i="13"/>
  <c r="C20" i="13" s="1"/>
  <c r="E20" i="13" s="1"/>
  <c r="F37" i="7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B32" i="39" s="1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159" i="8"/>
  <c r="M163" i="8"/>
  <c r="M165" i="8"/>
  <c r="M148" i="8"/>
  <c r="M152" i="8"/>
  <c r="M156" i="8"/>
  <c r="M160" i="8"/>
  <c r="M164" i="8"/>
  <c r="L147" i="8"/>
  <c r="B28" i="39" s="1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N45" i="6" l="1"/>
  <c r="AH45" i="6"/>
  <c r="J45" i="6"/>
  <c r="P45" i="6"/>
  <c r="V45" i="6"/>
  <c r="AJ45" i="6"/>
  <c r="L45" i="6"/>
  <c r="X45" i="6"/>
  <c r="AD45" i="6"/>
  <c r="AL45" i="6"/>
  <c r="Z45" i="6"/>
  <c r="AJ30" i="6"/>
  <c r="V30" i="6"/>
  <c r="P30" i="6"/>
  <c r="J30" i="6"/>
  <c r="AF30" i="6"/>
  <c r="Z30" i="6"/>
  <c r="AH30" i="6"/>
  <c r="X30" i="6"/>
  <c r="N30" i="6"/>
  <c r="AD30" i="6"/>
  <c r="T30" i="6"/>
  <c r="L30" i="6"/>
  <c r="AB30" i="6"/>
  <c r="R30" i="6"/>
  <c r="AH23" i="6"/>
  <c r="AB23" i="6"/>
  <c r="X23" i="6"/>
  <c r="R23" i="6"/>
  <c r="L23" i="6"/>
  <c r="AF23" i="6"/>
  <c r="P23" i="6"/>
  <c r="Z23" i="6"/>
  <c r="AJ23" i="6"/>
  <c r="V23" i="6"/>
  <c r="J23" i="6"/>
  <c r="AD23" i="6"/>
  <c r="T23" i="6"/>
  <c r="N23" i="6"/>
  <c r="AH15" i="6"/>
  <c r="AB15" i="6"/>
  <c r="X15" i="6"/>
  <c r="R15" i="6"/>
  <c r="L15" i="6"/>
  <c r="AF15" i="6"/>
  <c r="Z15" i="6"/>
  <c r="AJ15" i="6"/>
  <c r="V15" i="6"/>
  <c r="J15" i="6"/>
  <c r="P15" i="6"/>
  <c r="T15" i="6"/>
  <c r="AD15" i="6"/>
  <c r="N15" i="6"/>
  <c r="AJ22" i="6"/>
  <c r="V22" i="6"/>
  <c r="P22" i="6"/>
  <c r="J22" i="6"/>
  <c r="AF22" i="6"/>
  <c r="Z22" i="6"/>
  <c r="AH22" i="6"/>
  <c r="X22" i="6"/>
  <c r="N22" i="6"/>
  <c r="AD22" i="6"/>
  <c r="T22" i="6"/>
  <c r="L22" i="6"/>
  <c r="AB22" i="6"/>
  <c r="R22" i="6"/>
  <c r="AH27" i="6"/>
  <c r="AB27" i="6"/>
  <c r="X27" i="6"/>
  <c r="R27" i="6"/>
  <c r="L27" i="6"/>
  <c r="AF27" i="6"/>
  <c r="P27" i="6"/>
  <c r="Z27" i="6"/>
  <c r="AJ27" i="6"/>
  <c r="V27" i="6"/>
  <c r="J27" i="6"/>
  <c r="N27" i="6"/>
  <c r="AD27" i="6"/>
  <c r="T27" i="6"/>
  <c r="AJ26" i="6"/>
  <c r="V26" i="6"/>
  <c r="P26" i="6"/>
  <c r="J26" i="6"/>
  <c r="AF26" i="6"/>
  <c r="Z26" i="6"/>
  <c r="AH26" i="6"/>
  <c r="X26" i="6"/>
  <c r="N26" i="6"/>
  <c r="AD26" i="6"/>
  <c r="T26" i="6"/>
  <c r="L26" i="6"/>
  <c r="AB26" i="6"/>
  <c r="R26" i="6"/>
  <c r="X25" i="6"/>
  <c r="R25" i="6"/>
  <c r="L25" i="6"/>
  <c r="AH25" i="6"/>
  <c r="AB25" i="6"/>
  <c r="AF25" i="6"/>
  <c r="P25" i="6"/>
  <c r="Z25" i="6"/>
  <c r="AJ25" i="6"/>
  <c r="V25" i="6"/>
  <c r="J25" i="6"/>
  <c r="N25" i="6"/>
  <c r="AD25" i="6"/>
  <c r="T25" i="6"/>
  <c r="X29" i="6"/>
  <c r="R29" i="6"/>
  <c r="L29" i="6"/>
  <c r="AH29" i="6"/>
  <c r="AB29" i="6"/>
  <c r="AF29" i="6"/>
  <c r="P29" i="6"/>
  <c r="Z29" i="6"/>
  <c r="AJ29" i="6"/>
  <c r="V29" i="6"/>
  <c r="J29" i="6"/>
  <c r="AD29" i="6"/>
  <c r="T29" i="6"/>
  <c r="N29" i="6"/>
  <c r="AH19" i="6"/>
  <c r="AB19" i="6"/>
  <c r="X19" i="6"/>
  <c r="R19" i="6"/>
  <c r="L19" i="6"/>
  <c r="AF19" i="6"/>
  <c r="Z19" i="6"/>
  <c r="AJ19" i="6"/>
  <c r="V19" i="6"/>
  <c r="J19" i="6"/>
  <c r="P19" i="6"/>
  <c r="N19" i="6"/>
  <c r="AD19" i="6"/>
  <c r="T19" i="6"/>
  <c r="AF24" i="6"/>
  <c r="Z24" i="6"/>
  <c r="AJ24" i="6"/>
  <c r="V24" i="6"/>
  <c r="P24" i="6"/>
  <c r="J24" i="6"/>
  <c r="AH24" i="6"/>
  <c r="X24" i="6"/>
  <c r="N24" i="6"/>
  <c r="AD24" i="6"/>
  <c r="T24" i="6"/>
  <c r="L24" i="6"/>
  <c r="AB24" i="6"/>
  <c r="R24" i="6"/>
  <c r="AH31" i="6"/>
  <c r="AB31" i="6"/>
  <c r="X31" i="6"/>
  <c r="R31" i="6"/>
  <c r="L31" i="6"/>
  <c r="AF31" i="6"/>
  <c r="P31" i="6"/>
  <c r="Z31" i="6"/>
  <c r="AJ31" i="6"/>
  <c r="V31" i="6"/>
  <c r="J31" i="6"/>
  <c r="AD31" i="6"/>
  <c r="T31" i="6"/>
  <c r="N31" i="6"/>
  <c r="X17" i="6"/>
  <c r="R17" i="6"/>
  <c r="L17" i="6"/>
  <c r="AH17" i="6"/>
  <c r="AB17" i="6"/>
  <c r="AF17" i="6"/>
  <c r="Z17" i="6"/>
  <c r="AJ17" i="6"/>
  <c r="V17" i="6"/>
  <c r="J17" i="6"/>
  <c r="P17" i="6"/>
  <c r="N17" i="6"/>
  <c r="AD17" i="6"/>
  <c r="T17" i="6"/>
  <c r="X21" i="6"/>
  <c r="R21" i="6"/>
  <c r="L21" i="6"/>
  <c r="AH21" i="6"/>
  <c r="AB21" i="6"/>
  <c r="AF21" i="6"/>
  <c r="P21" i="6"/>
  <c r="Z21" i="6"/>
  <c r="AJ21" i="6"/>
  <c r="V21" i="6"/>
  <c r="J21" i="6"/>
  <c r="AD21" i="6"/>
  <c r="T21" i="6"/>
  <c r="N21" i="6"/>
  <c r="AF16" i="6"/>
  <c r="Z16" i="6"/>
  <c r="AJ16" i="6"/>
  <c r="V16" i="6"/>
  <c r="P16" i="6"/>
  <c r="J16" i="6"/>
  <c r="AH16" i="6"/>
  <c r="X16" i="6"/>
  <c r="N16" i="6"/>
  <c r="L16" i="6"/>
  <c r="AB16" i="6"/>
  <c r="R16" i="6"/>
  <c r="AD16" i="6"/>
  <c r="T16" i="6"/>
  <c r="AJ18" i="6"/>
  <c r="V18" i="6"/>
  <c r="P18" i="6"/>
  <c r="J18" i="6"/>
  <c r="AF18" i="6"/>
  <c r="Z18" i="6"/>
  <c r="AH18" i="6"/>
  <c r="X18" i="6"/>
  <c r="N18" i="6"/>
  <c r="L18" i="6"/>
  <c r="AB18" i="6"/>
  <c r="R18" i="6"/>
  <c r="AD18" i="6"/>
  <c r="T18" i="6"/>
  <c r="AF28" i="6"/>
  <c r="Z28" i="6"/>
  <c r="AJ28" i="6"/>
  <c r="V28" i="6"/>
  <c r="P28" i="6"/>
  <c r="J28" i="6"/>
  <c r="AH28" i="6"/>
  <c r="X28" i="6"/>
  <c r="N28" i="6"/>
  <c r="AD28" i="6"/>
  <c r="T28" i="6"/>
  <c r="L28" i="6"/>
  <c r="AB28" i="6"/>
  <c r="R28" i="6"/>
  <c r="AF20" i="6"/>
  <c r="Z20" i="6"/>
  <c r="AJ20" i="6"/>
  <c r="V20" i="6"/>
  <c r="P20" i="6"/>
  <c r="J20" i="6"/>
  <c r="AH20" i="6"/>
  <c r="X20" i="6"/>
  <c r="N20" i="6"/>
  <c r="AD20" i="6"/>
  <c r="L20" i="6"/>
  <c r="AB20" i="6"/>
  <c r="R20" i="6"/>
  <c r="T20" i="6"/>
  <c r="Z33" i="6"/>
  <c r="AF33" i="6"/>
  <c r="J33" i="6"/>
  <c r="P33" i="6"/>
  <c r="V33" i="6"/>
  <c r="AJ33" i="6"/>
  <c r="L33" i="6"/>
  <c r="N33" i="6"/>
  <c r="X33" i="6"/>
  <c r="AH33" i="6"/>
  <c r="T33" i="6"/>
  <c r="AB33" i="6"/>
  <c r="R33" i="6"/>
  <c r="AD33" i="6"/>
  <c r="G13" i="6"/>
  <c r="L34" i="6"/>
  <c r="AB34" i="6"/>
  <c r="AH34" i="6"/>
  <c r="R34" i="6"/>
  <c r="X34" i="6"/>
  <c r="J34" i="6"/>
  <c r="V34" i="6"/>
  <c r="AJ34" i="6"/>
  <c r="Z34" i="6"/>
  <c r="AF34" i="6"/>
  <c r="P34" i="6"/>
  <c r="N34" i="6"/>
  <c r="AD34" i="6"/>
  <c r="T34" i="6"/>
  <c r="AB32" i="6"/>
  <c r="AH32" i="6"/>
  <c r="L32" i="6"/>
  <c r="R32" i="6"/>
  <c r="X32" i="6"/>
  <c r="Z32" i="6"/>
  <c r="AF32" i="6"/>
  <c r="P32" i="6"/>
  <c r="AJ32" i="6"/>
  <c r="J32" i="6"/>
  <c r="V32" i="6"/>
  <c r="T32" i="6"/>
  <c r="N32" i="6"/>
  <c r="AD32" i="6"/>
  <c r="G20" i="6"/>
  <c r="H12" i="6"/>
  <c r="G34" i="6"/>
  <c r="G27" i="6"/>
  <c r="AH36" i="6"/>
  <c r="AB36" i="6"/>
  <c r="T36" i="6"/>
  <c r="N36" i="6"/>
  <c r="AF36" i="6"/>
  <c r="Z36" i="6"/>
  <c r="L36" i="6"/>
  <c r="R36" i="6"/>
  <c r="J36" i="6"/>
  <c r="X36" i="6"/>
  <c r="P36" i="6"/>
  <c r="AJ36" i="6"/>
  <c r="V36" i="6"/>
  <c r="AD36" i="6"/>
  <c r="AF37" i="6"/>
  <c r="Z37" i="6"/>
  <c r="X37" i="6"/>
  <c r="L37" i="6"/>
  <c r="AH37" i="6"/>
  <c r="T37" i="6"/>
  <c r="N37" i="6"/>
  <c r="J37" i="6"/>
  <c r="AJ37" i="6"/>
  <c r="V37" i="6"/>
  <c r="P37" i="6"/>
  <c r="AD37" i="6"/>
  <c r="AJ35" i="6"/>
  <c r="V35" i="6"/>
  <c r="P35" i="6"/>
  <c r="J35" i="6"/>
  <c r="AH35" i="6"/>
  <c r="AB35" i="6"/>
  <c r="R35" i="6"/>
  <c r="Z35" i="6"/>
  <c r="AF35" i="6"/>
  <c r="X35" i="6"/>
  <c r="L35" i="6"/>
  <c r="AD35" i="6"/>
  <c r="T35" i="6"/>
  <c r="N35" i="6"/>
  <c r="N40" i="7"/>
  <c r="AH40" i="7"/>
  <c r="AF40" i="7"/>
  <c r="Z40" i="7"/>
  <c r="AB40" i="7"/>
  <c r="AJ40" i="7"/>
  <c r="AD40" i="7"/>
  <c r="AB39" i="7"/>
  <c r="AJ39" i="7"/>
  <c r="AH39" i="7"/>
  <c r="AF39" i="7"/>
  <c r="Z39" i="7"/>
  <c r="AD39" i="7"/>
  <c r="N34" i="7"/>
  <c r="AJ34" i="7"/>
  <c r="AF34" i="7"/>
  <c r="AH34" i="7"/>
  <c r="AB34" i="7"/>
  <c r="Z34" i="7"/>
  <c r="AD34" i="7"/>
  <c r="T18" i="7"/>
  <c r="AJ18" i="7"/>
  <c r="AF18" i="7"/>
  <c r="AH18" i="7"/>
  <c r="AB18" i="7"/>
  <c r="Z18" i="7"/>
  <c r="AD18" i="7"/>
  <c r="N24" i="7"/>
  <c r="AF24" i="7"/>
  <c r="Z24" i="7"/>
  <c r="AB24" i="7"/>
  <c r="AJ24" i="7"/>
  <c r="AH24" i="7"/>
  <c r="AD24" i="7"/>
  <c r="AH21" i="7"/>
  <c r="AB21" i="7"/>
  <c r="AF21" i="7"/>
  <c r="Z21" i="7"/>
  <c r="AJ21" i="7"/>
  <c r="AD21" i="7"/>
  <c r="N33" i="7"/>
  <c r="AH33" i="7"/>
  <c r="AB33" i="7"/>
  <c r="AJ33" i="7"/>
  <c r="AF33" i="7"/>
  <c r="Z33" i="7"/>
  <c r="AD33" i="7"/>
  <c r="AH35" i="7"/>
  <c r="Z35" i="7"/>
  <c r="AJ35" i="7"/>
  <c r="AB35" i="7"/>
  <c r="AF35" i="7"/>
  <c r="AD35" i="7"/>
  <c r="AJ30" i="7"/>
  <c r="Z30" i="7"/>
  <c r="AD30" i="7"/>
  <c r="AH30" i="7"/>
  <c r="AB30" i="7"/>
  <c r="AF30" i="7"/>
  <c r="AF36" i="7"/>
  <c r="Z36" i="7"/>
  <c r="AJ36" i="7"/>
  <c r="AB36" i="7"/>
  <c r="AH36" i="7"/>
  <c r="AD36" i="7"/>
  <c r="AF20" i="7"/>
  <c r="Z20" i="7"/>
  <c r="AJ20" i="7"/>
  <c r="AH20" i="7"/>
  <c r="AB20" i="7"/>
  <c r="AD20" i="7"/>
  <c r="AJ14" i="7"/>
  <c r="Z14" i="7"/>
  <c r="AH14" i="7"/>
  <c r="AB14" i="7"/>
  <c r="AF14" i="7"/>
  <c r="AD14" i="7"/>
  <c r="AH17" i="7"/>
  <c r="AB17" i="7"/>
  <c r="AF17" i="7"/>
  <c r="Z17" i="7"/>
  <c r="AJ17" i="7"/>
  <c r="AD17" i="7"/>
  <c r="AH19" i="7"/>
  <c r="AJ19" i="7"/>
  <c r="AB19" i="7"/>
  <c r="Z19" i="7"/>
  <c r="AF19" i="7"/>
  <c r="AD19" i="7"/>
  <c r="AB23" i="7"/>
  <c r="AJ23" i="7"/>
  <c r="AH23" i="7"/>
  <c r="AF23" i="7"/>
  <c r="Z23" i="7"/>
  <c r="AD23" i="7"/>
  <c r="AD26" i="7"/>
  <c r="AJ26" i="7"/>
  <c r="AF26" i="7"/>
  <c r="AH26" i="7"/>
  <c r="AB26" i="7"/>
  <c r="Z26" i="7"/>
  <c r="AF32" i="7"/>
  <c r="Z32" i="7"/>
  <c r="AH32" i="7"/>
  <c r="AJ32" i="7"/>
  <c r="AB32" i="7"/>
  <c r="AD32" i="7"/>
  <c r="AF16" i="7"/>
  <c r="Z16" i="7"/>
  <c r="AJ16" i="7"/>
  <c r="AB16" i="7"/>
  <c r="AH16" i="7"/>
  <c r="AD16" i="7"/>
  <c r="AJ10" i="7"/>
  <c r="AF10" i="7"/>
  <c r="AH10" i="7"/>
  <c r="AB10" i="7"/>
  <c r="Z10" i="7"/>
  <c r="AD10" i="7"/>
  <c r="AH29" i="7"/>
  <c r="AB29" i="7"/>
  <c r="AF29" i="7"/>
  <c r="Z29" i="7"/>
  <c r="AJ29" i="7"/>
  <c r="AD29" i="7"/>
  <c r="AH37" i="7"/>
  <c r="AB37" i="7"/>
  <c r="AF37" i="7"/>
  <c r="Z37" i="7"/>
  <c r="AJ37" i="7"/>
  <c r="AD37" i="7"/>
  <c r="N38" i="7"/>
  <c r="AJ38" i="7"/>
  <c r="Z38" i="7"/>
  <c r="AD38" i="7"/>
  <c r="AH38" i="7"/>
  <c r="AB38" i="7"/>
  <c r="AF38" i="7"/>
  <c r="T22" i="7"/>
  <c r="AJ22" i="7"/>
  <c r="Z22" i="7"/>
  <c r="AD22" i="7"/>
  <c r="AH22" i="7"/>
  <c r="AB22" i="7"/>
  <c r="AF22" i="7"/>
  <c r="AF28" i="7"/>
  <c r="Z28" i="7"/>
  <c r="AJ28" i="7"/>
  <c r="AH28" i="7"/>
  <c r="AB28" i="7"/>
  <c r="AD28" i="7"/>
  <c r="AF12" i="7"/>
  <c r="Z12" i="7"/>
  <c r="AJ12" i="7"/>
  <c r="AH12" i="7"/>
  <c r="AB12" i="7"/>
  <c r="AD12" i="7"/>
  <c r="AB15" i="7"/>
  <c r="AJ15" i="7"/>
  <c r="AH15" i="7"/>
  <c r="AF15" i="7"/>
  <c r="Z15" i="7"/>
  <c r="AD15" i="7"/>
  <c r="AH27" i="7"/>
  <c r="AJ27" i="7"/>
  <c r="AB27" i="7"/>
  <c r="AF27" i="7"/>
  <c r="Z27" i="7"/>
  <c r="AD27" i="7"/>
  <c r="AJ25" i="7"/>
  <c r="AH25" i="7"/>
  <c r="AB25" i="7"/>
  <c r="AF25" i="7"/>
  <c r="Z25" i="7"/>
  <c r="AD25" i="7"/>
  <c r="AB31" i="7"/>
  <c r="AF31" i="7"/>
  <c r="AJ31" i="7"/>
  <c r="AH31" i="7"/>
  <c r="Z31" i="7"/>
  <c r="AD31" i="7"/>
  <c r="N28" i="7"/>
  <c r="G28" i="7"/>
  <c r="G35" i="7"/>
  <c r="G8" i="7"/>
  <c r="T21" i="7"/>
  <c r="G21" i="7"/>
  <c r="L14" i="7"/>
  <c r="J14" i="7"/>
  <c r="N14" i="7"/>
  <c r="H12" i="7"/>
  <c r="G14" i="7"/>
  <c r="AL23" i="6"/>
  <c r="N39" i="7"/>
  <c r="T36" i="7"/>
  <c r="N36" i="7"/>
  <c r="N35" i="7"/>
  <c r="N32" i="7"/>
  <c r="AL37" i="7"/>
  <c r="N37" i="7"/>
  <c r="AF8" i="7"/>
  <c r="Z8" i="7"/>
  <c r="AL8" i="7"/>
  <c r="AD8" i="7"/>
  <c r="X8" i="7"/>
  <c r="R8" i="7"/>
  <c r="L8" i="7"/>
  <c r="AJ8" i="7"/>
  <c r="V8" i="7"/>
  <c r="P8" i="7"/>
  <c r="J8" i="7"/>
  <c r="AH8" i="7"/>
  <c r="AB8" i="7"/>
  <c r="T8" i="7"/>
  <c r="N8" i="7"/>
  <c r="AL10" i="7"/>
  <c r="X10" i="7"/>
  <c r="R10" i="7"/>
  <c r="L10" i="7"/>
  <c r="V10" i="7"/>
  <c r="P10" i="7"/>
  <c r="J10" i="7"/>
  <c r="T10" i="7"/>
  <c r="N10" i="7"/>
  <c r="AL12" i="7"/>
  <c r="X12" i="7"/>
  <c r="R12" i="7"/>
  <c r="L12" i="7"/>
  <c r="V12" i="7"/>
  <c r="P12" i="7"/>
  <c r="J12" i="7"/>
  <c r="T12" i="7"/>
  <c r="N12" i="7"/>
  <c r="N20" i="7"/>
  <c r="AH46" i="7"/>
  <c r="N40" i="6"/>
  <c r="AB40" i="6"/>
  <c r="R40" i="6"/>
  <c r="R42" i="6"/>
  <c r="AB42" i="6"/>
  <c r="AB44" i="6"/>
  <c r="R44" i="6"/>
  <c r="AJ41" i="6"/>
  <c r="AB41" i="6"/>
  <c r="R41" i="6"/>
  <c r="AF45" i="6"/>
  <c r="AB45" i="6"/>
  <c r="R45" i="6"/>
  <c r="C1" i="30"/>
  <c r="AH39" i="6"/>
  <c r="R39" i="6"/>
  <c r="AB39" i="6"/>
  <c r="N38" i="6"/>
  <c r="R38" i="6"/>
  <c r="AB38" i="6"/>
  <c r="AL37" i="6"/>
  <c r="D11" i="39"/>
  <c r="AL20" i="6"/>
  <c r="AL28" i="6"/>
  <c r="T45" i="6"/>
  <c r="AL26" i="6"/>
  <c r="V23" i="7"/>
  <c r="AL18" i="6"/>
  <c r="AL41" i="6"/>
  <c r="J23" i="7"/>
  <c r="N23" i="7"/>
  <c r="AL23" i="7"/>
  <c r="P23" i="7"/>
  <c r="L23" i="7"/>
  <c r="R23" i="7"/>
  <c r="X23" i="7"/>
  <c r="P19" i="7"/>
  <c r="V19" i="7"/>
  <c r="AL19" i="7"/>
  <c r="AL31" i="6"/>
  <c r="T19" i="7"/>
  <c r="R35" i="7"/>
  <c r="J19" i="7"/>
  <c r="T23" i="7"/>
  <c r="N19" i="7"/>
  <c r="R19" i="7"/>
  <c r="N31" i="7"/>
  <c r="X19" i="7"/>
  <c r="L19" i="7"/>
  <c r="J35" i="7"/>
  <c r="AL14" i="7"/>
  <c r="X14" i="7"/>
  <c r="R14" i="7"/>
  <c r="V14" i="7"/>
  <c r="P14" i="7"/>
  <c r="T14" i="7"/>
  <c r="AL35" i="7"/>
  <c r="J31" i="7"/>
  <c r="L31" i="7"/>
  <c r="X31" i="7"/>
  <c r="V35" i="7"/>
  <c r="L29" i="7"/>
  <c r="AL31" i="7"/>
  <c r="X29" i="7"/>
  <c r="R31" i="7"/>
  <c r="P31" i="7"/>
  <c r="V31" i="7"/>
  <c r="L35" i="7"/>
  <c r="P35" i="7"/>
  <c r="X35" i="7"/>
  <c r="N29" i="7"/>
  <c r="T35" i="7"/>
  <c r="T29" i="7"/>
  <c r="R33" i="7"/>
  <c r="T31" i="7"/>
  <c r="AL29" i="7"/>
  <c r="R29" i="7"/>
  <c r="L33" i="7"/>
  <c r="T33" i="7"/>
  <c r="J29" i="7"/>
  <c r="J33" i="7"/>
  <c r="P29" i="7"/>
  <c r="X33" i="7"/>
  <c r="P33" i="7"/>
  <c r="V29" i="7"/>
  <c r="V33" i="7"/>
  <c r="AD43" i="7"/>
  <c r="AH41" i="6"/>
  <c r="R45" i="7"/>
  <c r="AF41" i="6"/>
  <c r="L45" i="7"/>
  <c r="Z45" i="7"/>
  <c r="Z41" i="6"/>
  <c r="V45" i="7"/>
  <c r="T32" i="7"/>
  <c r="AL27" i="6"/>
  <c r="P41" i="6"/>
  <c r="L41" i="6"/>
  <c r="V41" i="6"/>
  <c r="X41" i="6"/>
  <c r="J41" i="6"/>
  <c r="AD41" i="6"/>
  <c r="T41" i="6"/>
  <c r="N41" i="6"/>
  <c r="AL36" i="6"/>
  <c r="AB45" i="7"/>
  <c r="AL35" i="6"/>
  <c r="C1" i="37"/>
  <c r="B36" i="13" s="1"/>
  <c r="L128" i="30"/>
  <c r="X27" i="7"/>
  <c r="T25" i="7"/>
  <c r="X25" i="7"/>
  <c r="L25" i="7"/>
  <c r="N25" i="7"/>
  <c r="J27" i="7"/>
  <c r="R25" i="7"/>
  <c r="AL25" i="7"/>
  <c r="J25" i="7"/>
  <c r="P25" i="7"/>
  <c r="V25" i="7"/>
  <c r="L17" i="7"/>
  <c r="AD44" i="7"/>
  <c r="AJ45" i="7"/>
  <c r="T27" i="7"/>
  <c r="N43" i="7"/>
  <c r="M140" i="30"/>
  <c r="M133" i="30"/>
  <c r="V27" i="7"/>
  <c r="AL33" i="7"/>
  <c r="AB43" i="7"/>
  <c r="M134" i="30"/>
  <c r="T39" i="7"/>
  <c r="M138" i="30"/>
  <c r="M131" i="30"/>
  <c r="X45" i="7"/>
  <c r="M141" i="30"/>
  <c r="M142" i="30"/>
  <c r="M129" i="30"/>
  <c r="AL45" i="7"/>
  <c r="N45" i="7"/>
  <c r="X39" i="7"/>
  <c r="M128" i="30"/>
  <c r="M135" i="30"/>
  <c r="AF45" i="7"/>
  <c r="M139" i="30"/>
  <c r="M137" i="30"/>
  <c r="M130" i="30"/>
  <c r="AL24" i="6"/>
  <c r="J45" i="7"/>
  <c r="AD45" i="7"/>
  <c r="C1" i="34"/>
  <c r="L27" i="7"/>
  <c r="P45" i="7"/>
  <c r="T45" i="7"/>
  <c r="K15" i="39"/>
  <c r="I24" i="39"/>
  <c r="AL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X17" i="7"/>
  <c r="AL17" i="7"/>
  <c r="X21" i="7"/>
  <c r="P17" i="7"/>
  <c r="J21" i="7"/>
  <c r="AC47" i="7"/>
  <c r="L21" i="7"/>
  <c r="V21" i="7"/>
  <c r="N15" i="7"/>
  <c r="J15" i="7"/>
  <c r="R21" i="7"/>
  <c r="P21" i="7"/>
  <c r="AL15" i="7"/>
  <c r="P15" i="7"/>
  <c r="X15" i="7"/>
  <c r="N21" i="7"/>
  <c r="AL21" i="7"/>
  <c r="T15" i="7"/>
  <c r="L15" i="7"/>
  <c r="R15" i="7"/>
  <c r="B16" i="13"/>
  <c r="C16" i="13" s="1"/>
  <c r="E16" i="13" s="1"/>
  <c r="R17" i="7"/>
  <c r="V17" i="7"/>
  <c r="N17" i="7"/>
  <c r="T17" i="7"/>
  <c r="J17" i="7"/>
  <c r="AL27" i="7"/>
  <c r="P27" i="7"/>
  <c r="R27" i="7"/>
  <c r="T24" i="7"/>
  <c r="N27" i="7"/>
  <c r="V15" i="7"/>
  <c r="AL19" i="6"/>
  <c r="AL16" i="6"/>
  <c r="H15" i="13"/>
  <c r="I7" i="13"/>
  <c r="K7" i="13" s="1"/>
  <c r="T28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AL24" i="7"/>
  <c r="X24" i="7"/>
  <c r="R24" i="7"/>
  <c r="L24" i="7"/>
  <c r="V24" i="7"/>
  <c r="J24" i="7"/>
  <c r="P24" i="7"/>
  <c r="N18" i="7"/>
  <c r="AL34" i="7"/>
  <c r="X34" i="7"/>
  <c r="R34" i="7"/>
  <c r="L34" i="7"/>
  <c r="P34" i="7"/>
  <c r="V34" i="7"/>
  <c r="J34" i="7"/>
  <c r="AL30" i="7"/>
  <c r="X30" i="7"/>
  <c r="R30" i="7"/>
  <c r="L30" i="7"/>
  <c r="P30" i="7"/>
  <c r="V30" i="7"/>
  <c r="J30" i="7"/>
  <c r="AL26" i="7"/>
  <c r="X26" i="7"/>
  <c r="R26" i="7"/>
  <c r="L26" i="7"/>
  <c r="P26" i="7"/>
  <c r="V26" i="7"/>
  <c r="J26" i="7"/>
  <c r="AL22" i="7"/>
  <c r="X22" i="7"/>
  <c r="R22" i="7"/>
  <c r="L22" i="7"/>
  <c r="P22" i="7"/>
  <c r="V22" i="7"/>
  <c r="J22" i="7"/>
  <c r="AL36" i="7"/>
  <c r="X36" i="7"/>
  <c r="R36" i="7"/>
  <c r="L36" i="7"/>
  <c r="V36" i="7"/>
  <c r="J36" i="7"/>
  <c r="P36" i="7"/>
  <c r="T34" i="7"/>
  <c r="N30" i="7"/>
  <c r="N26" i="7"/>
  <c r="N22" i="7"/>
  <c r="AL28" i="7"/>
  <c r="X28" i="7"/>
  <c r="R28" i="7"/>
  <c r="L28" i="7"/>
  <c r="V28" i="7"/>
  <c r="J28" i="7"/>
  <c r="P28" i="7"/>
  <c r="T26" i="7"/>
  <c r="AL20" i="7"/>
  <c r="X20" i="7"/>
  <c r="R20" i="7"/>
  <c r="L20" i="7"/>
  <c r="V20" i="7"/>
  <c r="J20" i="7"/>
  <c r="P20" i="7"/>
  <c r="AL16" i="7"/>
  <c r="X16" i="7"/>
  <c r="R16" i="7"/>
  <c r="L16" i="7"/>
  <c r="V16" i="7"/>
  <c r="J16" i="7"/>
  <c r="P16" i="7"/>
  <c r="T16" i="7"/>
  <c r="AL18" i="7"/>
  <c r="X18" i="7"/>
  <c r="R18" i="7"/>
  <c r="L18" i="7"/>
  <c r="V18" i="7"/>
  <c r="J18" i="7"/>
  <c r="P18" i="7"/>
  <c r="AL32" i="7"/>
  <c r="X32" i="7"/>
  <c r="R32" i="7"/>
  <c r="L32" i="7"/>
  <c r="V32" i="7"/>
  <c r="J32" i="7"/>
  <c r="P32" i="7"/>
  <c r="T30" i="7"/>
  <c r="AL32" i="6"/>
  <c r="AL17" i="6"/>
  <c r="AL29" i="6"/>
  <c r="AL15" i="6"/>
  <c r="A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N44" i="6"/>
  <c r="AL25" i="6"/>
  <c r="AL34" i="6"/>
  <c r="AL21" i="6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P82" i="30" s="1"/>
  <c r="U82" i="30" s="1"/>
  <c r="Z82" i="30" s="1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43" i="7"/>
  <c r="R43" i="7"/>
  <c r="AJ43" i="7"/>
  <c r="X43" i="7"/>
  <c r="T43" i="7"/>
  <c r="AF43" i="7"/>
  <c r="AL43" i="7"/>
  <c r="V43" i="7"/>
  <c r="R39" i="7"/>
  <c r="P43" i="7"/>
  <c r="L43" i="7"/>
  <c r="J43" i="7"/>
  <c r="P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V40" i="7"/>
  <c r="P40" i="7"/>
  <c r="J40" i="7"/>
  <c r="T40" i="7"/>
  <c r="AL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L38" i="7"/>
  <c r="X38" i="7"/>
  <c r="R38" i="7"/>
  <c r="L38" i="7"/>
  <c r="V38" i="7"/>
  <c r="P38" i="7"/>
  <c r="J38" i="7"/>
  <c r="T38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9" i="13"/>
  <c r="J37" i="7"/>
  <c r="R37" i="7"/>
  <c r="V37" i="7"/>
  <c r="L37" i="7"/>
  <c r="P37" i="7"/>
  <c r="T37" i="7"/>
  <c r="X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F46" i="6" l="1"/>
  <c r="AD46" i="6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AE82" i="30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<sst xmlns="http://schemas.openxmlformats.org/spreadsheetml/2006/main" count="10274" uniqueCount="861">
  <si>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</si>
  <si>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</si>
  <si>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</si>
  <si>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</si>
  <si>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</si>
  <si>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</si>
  <si>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</si>
  <si>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</si>
  <si>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</si>
  <si>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</si>
  <si>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</si>
  <si>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</si>
  <si>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</si>
  <si>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</si>
  <si>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</si>
  <si>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</si>
  <si>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</si>
  <si>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</si>
  <si>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</si>
  <si>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</si>
  <si>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9"/>
  </si>
  <si>
    <t>（１）收支狀況</t>
    <phoneticPr fontId="9"/>
  </si>
  <si>
    <t>當月</t>
    <phoneticPr fontId="9"/>
  </si>
  <si>
    <t>※單位：千元</t>
    <phoneticPr fontId="9"/>
  </si>
  <si>
    <t>業績金額</t>
    <phoneticPr fontId="9"/>
  </si>
  <si>
    <t>訂單數量</t>
    <phoneticPr fontId="9"/>
  </si>
  <si>
    <t>半成品報廢</t>
    <phoneticPr fontId="9"/>
  </si>
  <si>
    <t>半成品超用</t>
    <phoneticPr fontId="9"/>
  </si>
  <si>
    <t>固定產線</t>
    <phoneticPr fontId="9"/>
  </si>
  <si>
    <t>教育訓練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</si>
  <si>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</si>
  <si>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</si>
  <si>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（３）業績構成比</t>
    <phoneticPr fontId="9"/>
  </si>
  <si>
    <t>（４）訂單數量構成比</t>
    <phoneticPr fontId="9"/>
  </si>
  <si>
    <t>飯糰</t>
    <phoneticPr fontId="9"/>
  </si>
  <si>
    <t>大口飯糰</t>
    <phoneticPr fontId="9"/>
  </si>
  <si>
    <t>便當</t>
    <phoneticPr fontId="9"/>
  </si>
  <si>
    <t>調理麵包</t>
    <phoneticPr fontId="9"/>
  </si>
  <si>
    <t>袋裝調理麵包</t>
    <phoneticPr fontId="9"/>
  </si>
  <si>
    <t>義大利麵</t>
    <phoneticPr fontId="9"/>
  </si>
  <si>
    <t>調理包</t>
    <phoneticPr fontId="9"/>
  </si>
  <si>
    <t>比例</t>
    <phoneticPr fontId="9"/>
  </si>
  <si>
    <t>作業原因</t>
    <phoneticPr fontId="9"/>
  </si>
  <si>
    <t>規格原因</t>
    <phoneticPr fontId="9"/>
  </si>
  <si>
    <t>調理麵</t>
    <phoneticPr fontId="9"/>
  </si>
  <si>
    <t>（６）人時生產性前幾名品項</t>
    <phoneticPr fontId="9"/>
  </si>
  <si>
    <t>人數</t>
    <phoneticPr fontId="9"/>
  </si>
  <si>
    <t>排名</t>
    <phoneticPr fontId="9"/>
  </si>
  <si>
    <t>產能</t>
    <phoneticPr fontId="9"/>
  </si>
  <si>
    <t>人時生產性</t>
    <phoneticPr fontId="9"/>
  </si>
  <si>
    <t>主要原因&amp;對策</t>
  </si>
  <si>
    <t>主要原因&amp;對策</t>
    <phoneticPr fontId="9"/>
  </si>
  <si>
    <t>（８）報廢原因別前幾名品項</t>
    <phoneticPr fontId="9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</si>
  <si>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</si>
  <si>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</si>
  <si>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</si>
  <si>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</si>
  <si>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實績</t>
    <phoneticPr fontId="9"/>
  </si>
  <si>
    <t>前幾名合計比例</t>
    <phoneticPr fontId="9"/>
  </si>
  <si>
    <t>前幾名合計金額</t>
    <phoneticPr fontId="9"/>
  </si>
  <si>
    <t>※補充</t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</si>
  <si>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</si>
  <si>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實施率</t>
    <phoneticPr fontId="9"/>
  </si>
  <si>
    <t>（５）品群別人時生產性</t>
    <phoneticPr fontId="9"/>
  </si>
  <si>
    <t>勞務成本</t>
    <phoneticPr fontId="9"/>
  </si>
  <si>
    <t>勞務費率</t>
    <phoneticPr fontId="9"/>
  </si>
  <si>
    <t>比例</t>
    <phoneticPr fontId="9"/>
  </si>
  <si>
    <t>前月</t>
    <phoneticPr fontId="9"/>
  </si>
  <si>
    <t>差異</t>
    <phoneticPr fontId="9"/>
  </si>
  <si>
    <t>KPI</t>
    <phoneticPr fontId="9"/>
  </si>
  <si>
    <t>當月</t>
    <phoneticPr fontId="9"/>
  </si>
  <si>
    <t>（２）ＫＰＩ達成進度</t>
    <phoneticPr fontId="9"/>
  </si>
  <si>
    <t>（７）原因別分析</t>
    <phoneticPr fontId="9"/>
  </si>
  <si>
    <t>月別</t>
    <phoneticPr fontId="9"/>
  </si>
  <si>
    <t>工廠名</t>
    <phoneticPr fontId="9"/>
  </si>
  <si>
    <t>手巻卵黄雞絞肉</t>
    <phoneticPr fontId="9"/>
  </si>
  <si>
    <t>減少暫時停止生產,人時UP</t>
    <phoneticPr fontId="9"/>
  </si>
  <si>
    <t>因組裝2食材,人員增加,產速減少</t>
    <phoneticPr fontId="9"/>
  </si>
  <si>
    <t>透由調整速度提升。</t>
    <phoneticPr fontId="9"/>
  </si>
  <si>
    <t>直巻明太子美奶茲</t>
    <phoneticPr fontId="9"/>
  </si>
  <si>
    <t>大口飯糰燒肉美奶滋</t>
    <phoneticPr fontId="9"/>
  </si>
  <si>
    <t>因摺疊增員。實施教育訓練。</t>
    <phoneticPr fontId="9"/>
  </si>
  <si>
    <t>明太子海苔便當</t>
    <phoneticPr fontId="9"/>
  </si>
  <si>
    <t>指導鋪開炒柴魚片</t>
    <phoneticPr fontId="9"/>
  </si>
  <si>
    <t>肉狀態不良，已連動開發</t>
    <phoneticPr fontId="9"/>
  </si>
  <si>
    <t>油炸白身魚</t>
    <phoneticPr fontId="9"/>
  </si>
  <si>
    <t>油調過多報廢。變更條件。</t>
    <phoneticPr fontId="9"/>
  </si>
  <si>
    <t>川燙蝦子拌醬</t>
    <phoneticPr fontId="9"/>
  </si>
  <si>
    <t>蝦子入數不足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</si>
  <si>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</si>
  <si>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</si>
  <si>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</si>
  <si>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因原料變更。</t>
    <phoneticPr fontId="9"/>
  </si>
  <si>
    <t>牛五花燒成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</si>
  <si>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</si>
  <si>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</si>
  <si>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</si>
  <si>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t>燒成過多，調整調理條件。</t>
    <phoneticPr fontId="9"/>
  </si>
  <si>
    <t>超用率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</si>
  <si>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</si>
  <si>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</si>
  <si>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</si>
  <si>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</si>
  <si>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</si>
  <si>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超用率</t>
    <phoneticPr fontId="9"/>
  </si>
  <si>
    <t>日期</t>
    <phoneticPr fontId="12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</si>
  <si>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</si>
  <si>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</si>
  <si>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</si>
  <si>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</si>
  <si>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</si>
  <si>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2" type="noConversion"/>
  </si>
  <si>
    <t>業績(元)</t>
    <phoneticPr fontId="12" type="noConversion"/>
  </si>
  <si>
    <t>比例(%)</t>
    <phoneticPr fontId="12" type="noConversion"/>
  </si>
  <si>
    <t>三</t>
    <phoneticPr fontId="12" type="noConversion"/>
  </si>
  <si>
    <t>日</t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</si>
  <si>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</si>
  <si>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週累積</t>
    <phoneticPr fontId="12" type="noConversion"/>
  </si>
  <si>
    <t>月累積</t>
    <phoneticPr fontId="12" type="noConversion"/>
  </si>
  <si>
    <t>訂單數量(個)</t>
    <phoneticPr fontId="12" type="noConversion"/>
  </si>
  <si>
    <t>材料費(元)</t>
    <phoneticPr fontId="12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</si>
  <si>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</si>
  <si>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</si>
  <si>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</si>
  <si>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</si>
  <si>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（２）ＫＰＩ達成進度</t>
    <phoneticPr fontId="9"/>
  </si>
  <si>
    <t>（２）ＫＰＩ達成進度</t>
    <phoneticPr fontId="12" type="noConversion"/>
  </si>
  <si>
    <t>週平均</t>
    <phoneticPr fontId="12" type="noConversion"/>
  </si>
  <si>
    <t>月平均</t>
    <phoneticPr fontId="12" type="noConversion"/>
  </si>
  <si>
    <t>一配</t>
    <phoneticPr fontId="12" type="noConversion"/>
  </si>
  <si>
    <t>二配</t>
    <phoneticPr fontId="12" type="noConversion"/>
  </si>
  <si>
    <t>便當</t>
  </si>
  <si>
    <t>便當</t>
    <phoneticPr fontId="12" type="noConversion"/>
  </si>
  <si>
    <t>主食</t>
  </si>
  <si>
    <t>主食</t>
    <phoneticPr fontId="12" type="noConversion"/>
  </si>
  <si>
    <t>熱食義麵</t>
  </si>
  <si>
    <t>季節調理麵</t>
  </si>
  <si>
    <t>微波小吃</t>
  </si>
  <si>
    <t>微波小吃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</si>
  <si>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</si>
  <si>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</si>
  <si>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</si>
  <si>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</si>
  <si>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</si>
  <si>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</si>
  <si>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</si>
  <si>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t>合計</t>
    <phoneticPr fontId="12" type="noConversion"/>
  </si>
  <si>
    <t>（４）訂單數量構成比</t>
    <phoneticPr fontId="9"/>
  </si>
  <si>
    <t>訂單量</t>
    <phoneticPr fontId="12" type="noConversion"/>
  </si>
  <si>
    <t>訂單數</t>
    <phoneticPr fontId="12" type="noConversion"/>
  </si>
  <si>
    <t>18℃-飯糰</t>
  </si>
  <si>
    <t>18℃-壽司手卷</t>
  </si>
  <si>
    <t>4℃-飯糰</t>
  </si>
  <si>
    <t>4℃-壽司手卷</t>
  </si>
  <si>
    <t>品群</t>
    <phoneticPr fontId="12" type="noConversion"/>
  </si>
  <si>
    <t>日期</t>
    <phoneticPr fontId="12" type="noConversion"/>
  </si>
  <si>
    <t>資料繳交</t>
    <phoneticPr fontId="12" type="noConversion"/>
  </si>
  <si>
    <t>五</t>
    <phoneticPr fontId="12" type="noConversion"/>
  </si>
  <si>
    <t>二</t>
    <phoneticPr fontId="12" type="noConversion"/>
  </si>
  <si>
    <t>四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</si>
  <si>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</si>
  <si>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</si>
  <si>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</si>
  <si>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產線配置圖－每週更新</t>
    <phoneticPr fontId="12" type="noConversion"/>
  </si>
  <si>
    <t>製程不穩</t>
    <phoneticPr fontId="9"/>
  </si>
  <si>
    <t>研發設定</t>
    <phoneticPr fontId="9"/>
  </si>
  <si>
    <t>類別</t>
  </si>
  <si>
    <t>備註-商品名稱</t>
  </si>
  <si>
    <t>品群</t>
    <phoneticPr fontId="9"/>
  </si>
  <si>
    <t>品群</t>
    <phoneticPr fontId="9"/>
  </si>
  <si>
    <t>原物料規格</t>
    <phoneticPr fontId="9"/>
  </si>
  <si>
    <t>其他原因</t>
    <phoneticPr fontId="9"/>
  </si>
  <si>
    <t>類型</t>
    <phoneticPr fontId="12" type="noConversion"/>
  </si>
  <si>
    <t>作業原因</t>
    <phoneticPr fontId="9"/>
  </si>
  <si>
    <t>類型</t>
    <phoneticPr fontId="12" type="noConversion"/>
  </si>
  <si>
    <t>原料原因</t>
    <phoneticPr fontId="9"/>
  </si>
  <si>
    <t>個／MH</t>
    <phoneticPr fontId="9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</si>
  <si>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</si>
  <si>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</si>
  <si>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項目</t>
    <phoneticPr fontId="12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</si>
  <si>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</si>
  <si>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</si>
  <si>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t>半成品-報廢(%)</t>
    <phoneticPr fontId="9"/>
  </si>
  <si>
    <t>半成品-超用(%)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</si>
  <si>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9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</si>
  <si>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</si>
  <si>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</si>
  <si>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2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</si>
  <si>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</si>
  <si>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</si>
  <si>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</si>
  <si>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</si>
  <si>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</si>
  <si>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</si>
  <si>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</si>
  <si>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</si>
  <si>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</si>
  <si>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</si>
  <si>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</si>
  <si>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</si>
  <si>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2" type="noConversion"/>
  </si>
  <si>
    <t>4℃-壽司手卷(077)</t>
  </si>
  <si>
    <t>4℃-壽司手卷(077)</t>
    <phoneticPr fontId="12" type="noConversion"/>
  </si>
  <si>
    <t>18℃-壽司手卷(071,072,075,076)</t>
  </si>
  <si>
    <t>18℃-壽司手卷(071,072,075,076)</t>
    <phoneticPr fontId="12" type="noConversion"/>
  </si>
  <si>
    <t>主食(091,092,093,094,095)</t>
  </si>
  <si>
    <t>主食(091,092,093,094,095)</t>
    <phoneticPr fontId="12" type="noConversion"/>
  </si>
  <si>
    <t>便當(083)</t>
  </si>
  <si>
    <t>便當(083)</t>
    <phoneticPr fontId="12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</si>
  <si>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</si>
  <si>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</si>
  <si>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</si>
  <si>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微波小吃(153,154,155)</t>
  </si>
  <si>
    <t>微波小吃(153,154,155)</t>
    <phoneticPr fontId="12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</si>
  <si>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</si>
  <si>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</si>
  <si>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</si>
  <si>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</si>
  <si>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</si>
  <si>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</si>
  <si>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</si>
  <si>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項目</t>
    <phoneticPr fontId="12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</si>
  <si>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</si>
  <si>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</si>
  <si>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</si>
  <si>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</si>
  <si>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</si>
  <si>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</si>
  <si>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</si>
  <si>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</si>
  <si>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</si>
  <si>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</si>
  <si>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t>展開量高於１０5％</t>
    <phoneticPr fontId="9"/>
  </si>
  <si>
    <t>18℃-壽司手卷(071,072,075,076)</t>
    <phoneticPr fontId="12" type="noConversion"/>
  </si>
  <si>
    <t>鮮食品群番</t>
    <phoneticPr fontId="12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</si>
  <si>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</si>
  <si>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</si>
  <si>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</si>
  <si>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</si>
  <si>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</si>
  <si>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</si>
  <si>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</si>
  <si>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</si>
  <si>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</si>
  <si>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</si>
  <si>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</si>
  <si>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</si>
  <si>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</si>
  <si>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</si>
  <si>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</si>
  <si>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</si>
  <si>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</si>
  <si>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</si>
  <si>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</si>
  <si>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</si>
  <si>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</si>
  <si>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</si>
  <si>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</si>
  <si>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</si>
  <si>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</si>
  <si>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</si>
  <si>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</si>
  <si>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</si>
  <si>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</si>
  <si>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</si>
  <si>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</si>
  <si>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</si>
  <si>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</si>
  <si>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</si>
  <si>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</si>
  <si>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</si>
  <si>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</si>
  <si>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</si>
  <si>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</si>
  <si>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</si>
  <si>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</si>
  <si>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</si>
  <si>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</si>
  <si>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</si>
  <si>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</si>
  <si>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</si>
  <si>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</si>
  <si>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</si>
  <si>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</si>
  <si>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</si>
  <si>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</si>
  <si>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</si>
  <si>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</si>
  <si>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</si>
  <si>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</si>
  <si>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</si>
  <si>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</si>
  <si>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</si>
  <si>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</si>
  <si>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</si>
  <si>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</si>
  <si>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</si>
  <si>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</si>
  <si>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</si>
  <si>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</si>
  <si>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2" type="noConversion"/>
  </si>
  <si>
    <t>（3）業績構成比</t>
    <phoneticPr fontId="12" type="noConversion"/>
  </si>
  <si>
    <t>（4）訂單數量構成比</t>
    <phoneticPr fontId="12" type="noConversion"/>
  </si>
  <si>
    <t>展開量高於１０5％</t>
    <phoneticPr fontId="9"/>
  </si>
  <si>
    <t>展開量高於１０5％</t>
    <phoneticPr fontId="9"/>
  </si>
  <si>
    <t>展開量高於１０5％</t>
    <phoneticPr fontId="9"/>
  </si>
  <si>
    <t xml:space="preserve">半成品報廢(%) </t>
    <phoneticPr fontId="12" type="noConversion"/>
  </si>
  <si>
    <t>月別</t>
    <phoneticPr fontId="9"/>
  </si>
  <si>
    <t>週別</t>
    <phoneticPr fontId="12" type="noConversion"/>
  </si>
  <si>
    <t>當週</t>
  </si>
  <si>
    <t>當週</t>
    <phoneticPr fontId="9"/>
  </si>
  <si>
    <t>前週</t>
  </si>
  <si>
    <t>前週</t>
    <phoneticPr fontId="12" type="noConversion"/>
  </si>
  <si>
    <t>前週</t>
    <phoneticPr fontId="9"/>
  </si>
  <si>
    <t>月平均人時性</t>
  </si>
  <si>
    <t>月平均人時性</t>
    <phoneticPr fontId="12" type="noConversion"/>
  </si>
  <si>
    <t>KPI</t>
    <phoneticPr fontId="12" type="noConversion"/>
  </si>
  <si>
    <t>18℃-飯糰(061,063)</t>
  </si>
  <si>
    <t>二</t>
    <phoneticPr fontId="12" type="noConversion"/>
  </si>
  <si>
    <t>三</t>
    <phoneticPr fontId="12" type="noConversion"/>
  </si>
  <si>
    <t>四</t>
    <phoneticPr fontId="12" type="noConversion"/>
  </si>
  <si>
    <t>五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</si>
  <si>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</si>
  <si>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</si>
  <si>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</si>
  <si>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</si>
  <si>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</si>
  <si>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</si>
  <si>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</si>
  <si>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</si>
  <si>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</si>
  <si>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香辣醬粉絲煲</t>
  </si>
  <si>
    <t>調配課</t>
  </si>
  <si>
    <t>共用類</t>
  </si>
  <si>
    <t>極上炙烤親子丼</t>
  </si>
  <si>
    <t>切-炙燒炭火燒肉片</t>
  </si>
  <si>
    <t>二配港式香滑嫩蛋牛肉燴飯</t>
  </si>
  <si>
    <t>營業額(元)</t>
    <phoneticPr fontId="12" type="noConversion"/>
  </si>
  <si>
    <t>營業額</t>
    <phoneticPr fontId="12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</si>
  <si>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</si>
  <si>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</si>
  <si>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</si>
  <si>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</si>
  <si>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</si>
  <si>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</si>
  <si>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</si>
  <si>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優質池上飯</t>
  </si>
  <si>
    <t>二配哞哞培根奶香海陸焗飯</t>
  </si>
  <si>
    <t>鐵板滑蛋炸豬排丼</t>
  </si>
  <si>
    <t>二配川味麻婆燒豆腐燴飯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</si>
  <si>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</si>
  <si>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</si>
  <si>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</si>
  <si>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</si>
  <si>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</si>
  <si>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</si>
  <si>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</si>
  <si>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</si>
  <si>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</si>
  <si>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</si>
  <si>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</si>
  <si>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</si>
  <si>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</si>
  <si>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</si>
  <si>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</si>
  <si>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大口日式塔塔醬蝦排飯糰</t>
  </si>
  <si>
    <t>大口蒜味香腸燒肉雙拼飯糰</t>
  </si>
  <si>
    <t>大口義式香草雞腿排飯糰</t>
  </si>
  <si>
    <t>晉欣廠</t>
    <phoneticPr fontId="12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</si>
  <si>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</si>
  <si>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t>累計</t>
    <phoneticPr fontId="12" type="noConversion"/>
  </si>
  <si>
    <t>製程不穩</t>
  </si>
  <si>
    <t>切烤雞胸肉</t>
  </si>
  <si>
    <t>平均人時性</t>
    <phoneticPr fontId="12" type="noConversion"/>
  </si>
  <si>
    <t>排名</t>
    <phoneticPr fontId="12" type="noConversion"/>
  </si>
  <si>
    <t>實際</t>
    <phoneticPr fontId="12" type="noConversion"/>
  </si>
  <si>
    <t>品群</t>
    <phoneticPr fontId="12" type="noConversion"/>
  </si>
  <si>
    <t>計畫</t>
    <phoneticPr fontId="12" type="noConversion"/>
  </si>
  <si>
    <t>實績</t>
    <phoneticPr fontId="12" type="noConversion"/>
  </si>
  <si>
    <t>日報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</si>
  <si>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</si>
  <si>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</si>
  <si>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</si>
  <si>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</si>
  <si>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</si>
  <si>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</si>
  <si>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t>商品名稱</t>
    <phoneticPr fontId="12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</si>
  <si>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</si>
  <si>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熱食義麵</t>
    <phoneticPr fontId="12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</si>
  <si>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</si>
  <si>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</si>
  <si>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主要原因&amp;對策</t>
    <phoneticPr fontId="9"/>
  </si>
  <si>
    <t>排名</t>
    <phoneticPr fontId="9"/>
  </si>
  <si>
    <t>▼1</t>
    <phoneticPr fontId="9"/>
  </si>
  <si>
    <t>▼2</t>
    <phoneticPr fontId="9"/>
  </si>
  <si>
    <t>▼3</t>
    <phoneticPr fontId="9"/>
  </si>
  <si>
    <t>▼4</t>
    <phoneticPr fontId="9"/>
  </si>
  <si>
    <t>▼5</t>
    <phoneticPr fontId="9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</si>
  <si>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</si>
  <si>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便當</t>
    <phoneticPr fontId="12" type="noConversion"/>
  </si>
  <si>
    <t>燻之味-糖燻雞胗</t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</si>
  <si>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</si>
  <si>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</si>
  <si>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</si>
  <si>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</si>
  <si>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</si>
  <si>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</si>
  <si>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</si>
  <si>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</si>
  <si>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</si>
  <si>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</si>
  <si>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</si>
  <si>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</si>
  <si>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</si>
  <si>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</si>
  <si>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</si>
  <si>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</si>
  <si>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便當</t>
    <phoneticPr fontId="12" type="noConversion"/>
  </si>
  <si>
    <t>熱食義麵</t>
    <phoneticPr fontId="12" type="noConversion"/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</si>
  <si>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</si>
  <si>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</si>
  <si>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</si>
  <si>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</si>
  <si>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</si>
  <si>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</si>
  <si>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</si>
  <si>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</si>
  <si>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</si>
  <si>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</si>
  <si>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</si>
  <si>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</si>
  <si>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</si>
  <si>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t>主食</t>
    <phoneticPr fontId="12" type="noConversion"/>
  </si>
  <si>
    <t>微波小吃</t>
    <phoneticPr fontId="12" type="noConversion"/>
  </si>
  <si>
    <t>▼3</t>
    <phoneticPr fontId="9"/>
  </si>
  <si>
    <t>▼5</t>
    <phoneticPr fontId="9"/>
  </si>
  <si>
    <t>季節調理麵</t>
    <phoneticPr fontId="12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</si>
  <si>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2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</si>
  <si>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2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</si>
  <si>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</si>
  <si>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</si>
  <si>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</si>
  <si>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</si>
  <si>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2" type="noConversion"/>
  </si>
  <si>
    <t>商品名稱</t>
    <phoneticPr fontId="12" type="noConversion"/>
  </si>
  <si>
    <t>計畫</t>
    <phoneticPr fontId="12" type="noConversion"/>
  </si>
  <si>
    <t>日報</t>
    <phoneticPr fontId="12" type="noConversion"/>
  </si>
  <si>
    <t>實際</t>
    <phoneticPr fontId="12" type="noConversion"/>
  </si>
  <si>
    <t>平均人時性</t>
    <phoneticPr fontId="12" type="noConversion"/>
  </si>
  <si>
    <t>生產實績</t>
    <phoneticPr fontId="12" type="noConversion"/>
  </si>
  <si>
    <t>人時性</t>
    <phoneticPr fontId="12" type="noConversion"/>
  </si>
  <si>
    <t>產能／時</t>
    <phoneticPr fontId="12" type="noConversion"/>
  </si>
  <si>
    <t>排名</t>
    <phoneticPr fontId="12" type="noConversion"/>
  </si>
  <si>
    <t>人數</t>
    <phoneticPr fontId="12" type="noConversion"/>
  </si>
  <si>
    <t>季節調理麵</t>
    <phoneticPr fontId="12" type="noConversion"/>
  </si>
  <si>
    <t>品群</t>
    <phoneticPr fontId="12" type="noConversion"/>
  </si>
  <si>
    <t>微波小吃</t>
    <phoneticPr fontId="12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</si>
  <si>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</si>
  <si>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</si>
  <si>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</si>
  <si>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</si>
  <si>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</si>
  <si>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</si>
  <si>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</si>
  <si>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</si>
  <si>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</si>
  <si>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2" type="noConversion"/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</si>
  <si>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</si>
  <si>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</si>
  <si>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</si>
  <si>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</si>
  <si>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</si>
  <si>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</si>
  <si>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</si>
  <si>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</si>
  <si>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</si>
  <si>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</si>
  <si>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</si>
  <si>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</si>
  <si>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</si>
  <si>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</si>
  <si>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便當</t>
    <phoneticPr fontId="12" type="noConversion"/>
  </si>
  <si>
    <t>季節調理麵</t>
    <phoneticPr fontId="12" type="noConversion"/>
  </si>
  <si>
    <t>微波小吃</t>
    <phoneticPr fontId="12" type="noConversion"/>
  </si>
  <si>
    <t>品群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</si>
  <si>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</si>
  <si>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產線配置圖－月表</t>
    <phoneticPr fontId="12" type="noConversion"/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</si>
  <si>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</si>
  <si>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</si>
  <si>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</si>
  <si>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</si>
  <si>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</si>
  <si>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</si>
  <si>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產線配置圖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</si>
  <si>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</si>
  <si>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</si>
  <si>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</si>
  <si>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</si>
  <si>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</si>
  <si>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產線配置圖－月表</t>
    <phoneticPr fontId="12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</si>
  <si>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</si>
  <si>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主食</t>
    <phoneticPr fontId="12" type="noConversion"/>
  </si>
  <si>
    <t>便當</t>
    <phoneticPr fontId="12" type="noConversion"/>
  </si>
  <si>
    <t>季節調理麵</t>
    <phoneticPr fontId="12" type="noConversion"/>
  </si>
  <si>
    <t>微波小吃</t>
    <phoneticPr fontId="12" type="noConversion"/>
  </si>
  <si>
    <t>海陸雙拼肉肉餐盒</t>
  </si>
  <si>
    <t>經典鮪魚沙拉細卷</t>
  </si>
  <si>
    <t>取樣不穩</t>
  </si>
  <si>
    <t>蔬活腿排補力餐盒</t>
  </si>
  <si>
    <t>類型</t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</si>
  <si>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</si>
  <si>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（８）超用原因別前幾名品項</t>
    <phoneticPr fontId="12" type="noConversion"/>
  </si>
  <si>
    <t>展開量高於１０5％</t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</si>
  <si>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</si>
  <si>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製程不穩</t>
    <phoneticPr fontId="9"/>
  </si>
  <si>
    <t>取樣不穩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</si>
  <si>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</si>
  <si>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</si>
  <si>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</si>
  <si>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</si>
  <si>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原物料大小、厚薄差異</t>
  </si>
  <si>
    <t>其他原因</t>
  </si>
  <si>
    <t>占比</t>
    <phoneticPr fontId="12" type="noConversion"/>
  </si>
  <si>
    <t>金額</t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</si>
  <si>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</si>
  <si>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t>雙鬆細卷</t>
  </si>
  <si>
    <t>蕃茄起司手工千層麵(區2)</t>
  </si>
  <si>
    <t>兩粒飯糰(鮪魚.焦糖鮭魚)</t>
  </si>
  <si>
    <t>二配泰式綠咖哩雞</t>
  </si>
  <si>
    <t>香腸腿排雙拼便當</t>
  </si>
  <si>
    <t>日式蕎麥沾麵</t>
  </si>
  <si>
    <t>二配金咖哩濃厚辛口咖哩飯</t>
  </si>
  <si>
    <t>二配厚香料咖哩雞排飯</t>
  </si>
  <si>
    <t>二配起司控培根白醬焗烤飯</t>
  </si>
  <si>
    <t>確認備料量是否正確，調整出料率</t>
  </si>
  <si>
    <t>回饋研發，後續開發列入考量，設定放料量範圍。</t>
  </si>
  <si>
    <t>蒜炒紅K高麗菜(111年)</t>
  </si>
  <si>
    <t>增加線上抽秤頻率，維持人員放料手感</t>
  </si>
  <si>
    <t>大口起司熔岩白醬炸魚飯糰</t>
  </si>
  <si>
    <t>愛恨椒芝麵</t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</si>
  <si>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</si>
  <si>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</si>
  <si>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</si>
  <si>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</si>
  <si>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</si>
  <si>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</si>
  <si>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</si>
  <si>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</si>
  <si>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</si>
  <si>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</si>
  <si>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</si>
  <si>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</si>
  <si>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</si>
  <si>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</si>
  <si>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</si>
  <si>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</si>
  <si>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</si>
  <si>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</si>
  <si>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</si>
  <si>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</si>
  <si>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</si>
  <si>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</si>
  <si>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</si>
  <si>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</si>
  <si>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</si>
  <si>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</si>
  <si>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9"/>
  </si>
  <si>
    <t>排名</t>
    <phoneticPr fontId="9"/>
  </si>
  <si>
    <t>▼1</t>
    <phoneticPr fontId="9"/>
  </si>
  <si>
    <t>▼2</t>
    <phoneticPr fontId="9"/>
  </si>
  <si>
    <t>▼3</t>
    <phoneticPr fontId="9"/>
  </si>
  <si>
    <t>▼4</t>
    <phoneticPr fontId="9"/>
  </si>
  <si>
    <t>▼5</t>
    <phoneticPr fontId="9"/>
  </si>
  <si>
    <t>品群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</si>
  <si>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</si>
  <si>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品群</t>
    <phoneticPr fontId="12" type="noConversion"/>
  </si>
  <si>
    <t>平均人時性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</si>
  <si>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</si>
  <si>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壹號醬雞豚雙拼</t>
  </si>
  <si>
    <t>好多蒜燒豚飯</t>
  </si>
  <si>
    <t>烤飯糰1</t>
    <phoneticPr fontId="12" type="noConversion"/>
  </si>
  <si>
    <t>烤飯糰2</t>
    <phoneticPr fontId="12" type="noConversion"/>
  </si>
  <si>
    <t>二配川燙醃嫩化淨零碳排牛肉片</t>
  </si>
  <si>
    <t>人數</t>
    <phoneticPr fontId="9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</si>
  <si>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</si>
  <si>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</si>
  <si>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</si>
  <si>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主要原因&amp;對策</t>
    <phoneticPr fontId="9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</si>
  <si>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</si>
  <si>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</si>
  <si>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</si>
  <si>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排名</t>
    <phoneticPr fontId="12" type="noConversion"/>
  </si>
  <si>
    <t>菜梗、葉差異及均勻度，影響人員放料手感</t>
  </si>
  <si>
    <t>好吃雞肉便當</t>
  </si>
  <si>
    <t>媽媽煮藝-鹹酥雞</t>
  </si>
  <si>
    <t>蟹味可樂餅風炸飯糰</t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</si>
  <si>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</si>
  <si>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</si>
  <si>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</si>
  <si>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</si>
  <si>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</si>
  <si>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</si>
  <si>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</si>
  <si>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煙燻培根飯糰(區)</t>
  </si>
  <si>
    <t>長野稻荷壽司</t>
  </si>
  <si>
    <t>大口歐風焙煎咖哩漢堡排飯糰</t>
  </si>
  <si>
    <t>二配香辣醬蒜味香腸蛋炒飯</t>
  </si>
  <si>
    <t>二配里肌豬排可可咖哩歐姆蛋飯</t>
  </si>
  <si>
    <t>二配黃金雞排蘑菇白醬歐姆蛋飯</t>
  </si>
  <si>
    <t>二配美味蟹煲</t>
  </si>
  <si>
    <t>二配失控起司薯餅焗飯</t>
  </si>
  <si>
    <t>二配鮭魚蛋炒飯</t>
  </si>
  <si>
    <t>二配鐵板豆腐燴蛋蓋飯</t>
  </si>
  <si>
    <t>日式中濃醬炭火漢堡排飯</t>
  </si>
  <si>
    <t>賣相要求</t>
  </si>
  <si>
    <t>媽媽煮藝-香滷牛肚絲</t>
  </si>
  <si>
    <t>1.農產品原物料大小重量差異，造成放料差。2.原物料個體重量差異造成放料重量的差異，有多一個超用，少一個不足重的狀況。未降低因半成品不足的補單工時而有提高展開量。</t>
  </si>
  <si>
    <t>1.反應研發單位半成品狀況。2.協調研發單位下次有同類型商品放料量設定使用範圍值。</t>
  </si>
  <si>
    <t>二配鮮蝦旬彩炊飯飯糰</t>
  </si>
  <si>
    <t>壹號醬壽喜燒牛丼</t>
  </si>
  <si>
    <t>炒壽喜燒牛五花</t>
  </si>
  <si>
    <t>原物料的大小、長短差異導致取樣易有不穩定的狀況</t>
  </si>
  <si>
    <t>原物料的大小長短、油花分布不同導致相同賣相的需求下用量不一樣。</t>
  </si>
  <si>
    <t>韓式泡菜豬肉豆腐丼飯</t>
  </si>
  <si>
    <t>炒韓式燒肉(115年)</t>
  </si>
  <si>
    <t>二配溏心蛋五目飯糰</t>
  </si>
  <si>
    <t>人數</t>
    <phoneticPr fontId="9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</si>
  <si>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</si>
  <si>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</si>
  <si>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</si>
  <si>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主要原因&amp;對策</t>
    <phoneticPr fontId="9"/>
  </si>
  <si>
    <t>香檸奶油魚排蔬滿盒</t>
  </si>
  <si>
    <t>冰杓放料，冰杓滿度差異、半成品均勻度影響放料量</t>
  </si>
  <si>
    <t>半成品使用前先攪拌均勻。生產前及生產中確認設定及實際放料狀況</t>
  </si>
  <si>
    <t/>
  </si>
  <si>
    <t>Q彈燕麥飯</t>
  </si>
  <si>
    <t>二配鹽水G絲飯糰</t>
  </si>
  <si>
    <t>炸醬炒泡麵</t>
  </si>
  <si>
    <t>鐵道滷排便當</t>
  </si>
  <si>
    <t>單價高</t>
  </si>
  <si>
    <t>韓式黑嚕嚕炸醬麵</t>
  </si>
  <si>
    <t>柚檸海灣貝飯糰</t>
  </si>
  <si>
    <t>山葵生鮪魚泥脆卷</t>
  </si>
  <si>
    <t>鹽蔥生鮭飯糰</t>
  </si>
  <si>
    <t>鮭鮪海饌雙手卷</t>
  </si>
  <si>
    <t>經典人氣雙手卷</t>
  </si>
  <si>
    <t>和風涓絲冷麵</t>
  </si>
  <si>
    <t>二配蔥爆牛肉燴飯</t>
  </si>
  <si>
    <t>二配炒蔥爆牛肉</t>
  </si>
  <si>
    <t>蔥蔥玉子拌麵</t>
  </si>
  <si>
    <t>煮無敵家日式肉燥</t>
  </si>
  <si>
    <t>山葵章魚飯糰</t>
  </si>
  <si>
    <t>拌芥末章魚</t>
  </si>
  <si>
    <t>煮無敵家拌麵醬</t>
  </si>
  <si>
    <t>二配打拋風味豆腐飯</t>
  </si>
  <si>
    <t>滿滿高麗菜豆芽鐵板麵</t>
  </si>
  <si>
    <t>鐵板牛套餐包手卷</t>
  </si>
  <si>
    <t>18切烤千層麵</t>
  </si>
  <si>
    <t>炒大埔高麗菜</t>
  </si>
  <si>
    <t>醬油生鮭脆卷</t>
  </si>
  <si>
    <t>韓式燒肉拌飯</t>
  </si>
  <si>
    <t>二配兩粒飯糰(鮪魚.焦糖鮭魚)</t>
  </si>
  <si>
    <t>鰹魚烏龍冷麵</t>
  </si>
  <si>
    <t>蕃茄起司手工千層麵(區)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</si>
  <si>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</si>
  <si>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切-究極燒肉片</t>
  </si>
  <si>
    <t>二配蒸果香甘口咖哩腿丁</t>
  </si>
  <si>
    <t>煌輝洋蔥絲</t>
  </si>
  <si>
    <t>%</t>
  </si>
  <si>
    <t>元</t>
  </si>
  <si>
    <t>展開量高於需求量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</si>
  <si>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</si>
  <si>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</si>
  <si>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</si>
  <si>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月別</t>
    <phoneticPr fontId="12" type="noConversion"/>
  </si>
  <si>
    <t>排序</t>
    <phoneticPr fontId="12" type="noConversion"/>
  </si>
  <si>
    <t>半成品名稱</t>
    <phoneticPr fontId="12" type="noConversion"/>
  </si>
  <si>
    <t>報廢金額
(元)</t>
    <phoneticPr fontId="12" type="noConversion"/>
  </si>
  <si>
    <t>半成品單價
(元/kg)</t>
    <phoneticPr fontId="12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</si>
  <si>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2" type="noConversion"/>
  </si>
  <si>
    <t>生管展開</t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</si>
  <si>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</si>
  <si>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2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</si>
  <si>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</si>
  <si>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t>報廢</t>
    <phoneticPr fontId="12" type="noConversion"/>
  </si>
  <si>
    <t>超用</t>
    <phoneticPr fontId="12" type="noConversion"/>
  </si>
  <si>
    <t>分析原因</t>
    <phoneticPr fontId="12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</si>
  <si>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</si>
  <si>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後續對策</t>
    <phoneticPr fontId="12" type="noConversion"/>
  </si>
  <si>
    <t>次數</t>
    <phoneticPr fontId="12" type="noConversion"/>
  </si>
  <si>
    <t>分析原因（件）</t>
    <phoneticPr fontId="12" type="noConversion"/>
  </si>
  <si>
    <r>
      <t>kg/</t>
    </r>
    <r>
      <rPr>
        <sz val="12"/>
        <color theme="1"/>
        <rFont val="Meiryo UI"/>
        <family val="2"/>
      </rPr>
      <t>個</t>
    </r>
    <phoneticPr fontId="12" type="noConversion"/>
  </si>
  <si>
    <t>總件數</t>
    <phoneticPr fontId="12" type="noConversion"/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</si>
  <si>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</si>
  <si>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排序</t>
    <phoneticPr fontId="12" type="noConversion"/>
  </si>
  <si>
    <t>半成品名稱</t>
    <phoneticPr fontId="12" type="noConversion"/>
  </si>
  <si>
    <r>
      <rPr>
        <sz val="12"/>
        <color theme="1"/>
        <rFont val="Meiryo UI"/>
        <family val="2"/>
      </rPr>
      <t>超用金額
(元)</t>
    </r>
    <phoneticPr fontId="12" type="noConversion"/>
  </si>
  <si>
    <t>半成品單價
(元/kg)</t>
    <phoneticPr fontId="12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</si>
  <si>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2" type="noConversion"/>
  </si>
  <si>
    <t>生管展開</t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</si>
  <si>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</si>
  <si>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2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</si>
  <si>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</si>
  <si>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t>報廢</t>
    <phoneticPr fontId="12" type="noConversion"/>
  </si>
  <si>
    <t>超用</t>
    <phoneticPr fontId="12" type="noConversion"/>
  </si>
  <si>
    <t>分析原因</t>
    <phoneticPr fontId="12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</si>
  <si>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</si>
  <si>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後續對策</t>
    <phoneticPr fontId="12" type="noConversion"/>
  </si>
  <si>
    <t>次數</t>
    <phoneticPr fontId="12" type="noConversion"/>
  </si>
  <si>
    <t>分析原因（件）</t>
    <phoneticPr fontId="12" type="noConversion"/>
  </si>
  <si>
    <r>
      <rPr>
        <sz val="12"/>
        <color theme="1"/>
        <rFont val="Meiryo UI"/>
        <family val="2"/>
      </rPr>
      <t>超用金額
(元)</t>
    </r>
    <phoneticPr fontId="12" type="noConversion"/>
  </si>
  <si>
    <t>晉欣廠半成品管理日別總表</t>
    <phoneticPr fontId="12" type="noConversion"/>
  </si>
  <si>
    <r>
      <t>5</t>
    </r>
    <r>
      <rPr>
        <b/>
        <sz val="18"/>
        <color theme="1"/>
        <rFont val="微軟正黑體"/>
        <family val="2"/>
        <charset val="136"/>
      </rPr>
      <t>月總報廢合計</t>
    </r>
    <phoneticPr fontId="12" type="noConversion"/>
  </si>
  <si>
    <r>
      <t>5</t>
    </r>
    <r>
      <rPr>
        <b/>
        <sz val="18"/>
        <color theme="1"/>
        <rFont val="微軟正黑體"/>
        <family val="2"/>
        <charset val="136"/>
      </rPr>
      <t>月總報廢率</t>
    </r>
    <phoneticPr fontId="12" type="noConversion"/>
  </si>
  <si>
    <r>
      <t>5</t>
    </r>
    <r>
      <rPr>
        <b/>
        <sz val="18"/>
        <color theme="1"/>
        <rFont val="微軟正黑體"/>
        <family val="2"/>
        <charset val="136"/>
      </rPr>
      <t>月總超用合計</t>
    </r>
    <phoneticPr fontId="12" type="noConversion"/>
  </si>
  <si>
    <r>
      <t>5</t>
    </r>
    <r>
      <rPr>
        <b/>
        <sz val="18"/>
        <color theme="1"/>
        <rFont val="微軟正黑體"/>
        <family val="2"/>
        <charset val="136"/>
      </rPr>
      <t>月總超用率</t>
    </r>
    <phoneticPr fontId="12" type="noConversion"/>
  </si>
  <si>
    <r>
      <rPr>
        <b/>
        <sz val="16"/>
        <color theme="1"/>
        <rFont val="微軟正黑體"/>
        <family val="2"/>
        <charset val="136"/>
      </rPr>
      <t>日期</t>
    </r>
    <phoneticPr fontId="83" type="noConversion"/>
  </si>
  <si>
    <r>
      <rPr>
        <b/>
        <sz val="16"/>
        <color theme="1"/>
        <rFont val="微軟正黑體"/>
        <family val="2"/>
        <charset val="136"/>
      </rPr>
      <t>營業額</t>
    </r>
    <phoneticPr fontId="12" type="noConversion"/>
  </si>
  <si>
    <r>
      <rPr>
        <b/>
        <sz val="16"/>
        <color theme="1"/>
        <rFont val="微軟正黑體"/>
        <family val="2"/>
        <charset val="136"/>
      </rPr>
      <t>報廢額</t>
    </r>
    <phoneticPr fontId="83" type="noConversion"/>
  </si>
  <si>
    <r>
      <rPr>
        <b/>
        <sz val="16"/>
        <color theme="1"/>
        <rFont val="微軟正黑體"/>
        <family val="2"/>
        <charset val="136"/>
      </rPr>
      <t xml:space="preserve">報廢率
</t>
    </r>
    <r>
      <rPr>
        <b/>
        <sz val="16"/>
        <color theme="1"/>
        <rFont val="Noto Sans CJK SC"/>
        <family val="2"/>
      </rPr>
      <t xml:space="preserve">KPI </t>
    </r>
    <r>
      <rPr>
        <b/>
        <sz val="16"/>
        <color rgb="FFFF0000"/>
        <rFont val="Noto Sans CJK SC"/>
        <family val="2"/>
      </rPr>
      <t>0.25%</t>
    </r>
    <phoneticPr fontId="12" type="noConversion"/>
  </si>
  <si>
    <r>
      <rPr>
        <b/>
        <sz val="16"/>
        <color theme="1"/>
        <rFont val="微軟正黑體"/>
        <family val="2"/>
        <charset val="136"/>
      </rPr>
      <t>超用額</t>
    </r>
    <phoneticPr fontId="83" type="noConversion"/>
  </si>
  <si>
    <r>
      <rPr>
        <b/>
        <sz val="16"/>
        <color theme="1"/>
        <rFont val="微軟正黑體"/>
        <family val="2"/>
        <charset val="136"/>
      </rPr>
      <t>超用率</t>
    </r>
    <phoneticPr fontId="12" type="noConversion"/>
  </si>
  <si>
    <t>營業額合計</t>
    <phoneticPr fontId="12" type="noConversion"/>
  </si>
  <si>
    <r>
      <rPr>
        <b/>
        <sz val="16"/>
        <color rgb="FF000000"/>
        <rFont val="微軟正黑體"/>
        <family val="2"/>
        <charset val="136"/>
      </rPr>
      <t>廢棄週合計</t>
    </r>
    <phoneticPr fontId="12" type="noConversion"/>
  </si>
  <si>
    <r>
      <rPr>
        <b/>
        <sz val="16"/>
        <color rgb="FF000000"/>
        <rFont val="微軟正黑體"/>
        <family val="2"/>
        <charset val="136"/>
      </rPr>
      <t>超用週合計</t>
    </r>
    <phoneticPr fontId="12" type="noConversion"/>
  </si>
  <si>
    <r>
      <rPr>
        <sz val="14"/>
        <rFont val="微軟正黑體"/>
        <family val="2"/>
        <charset val="136"/>
      </rPr>
      <t>營業額合計</t>
    </r>
    <phoneticPr fontId="83" type="noConversion"/>
  </si>
  <si>
    <t>炙燒焦糖培根</t>
  </si>
  <si>
    <t>烤照燒雞腿丁</t>
  </si>
  <si>
    <t>解凍-醬油漬鮭魚卵</t>
  </si>
  <si>
    <t>賣相設定</t>
  </si>
  <si>
    <t>日式炙烤親子丼</t>
  </si>
  <si>
    <t>黑胡椒洋蔥豬飯糰</t>
  </si>
  <si>
    <t>二配香烤魚排青醬燉飯</t>
  </si>
  <si>
    <t>懷舊滷雙拼便當</t>
  </si>
  <si>
    <t>黑胡椒毛豆</t>
  </si>
  <si>
    <t>毛豆三兄弟</t>
  </si>
  <si>
    <t>椒鹽檸檬鯖魚飯糰</t>
  </si>
  <si>
    <t>皮蛋辣拌麵</t>
  </si>
  <si>
    <t>切皮蛋丁</t>
  </si>
  <si>
    <t>煮愛恨芝麻醬</t>
  </si>
  <si>
    <t>煮皮蛋拌麵醬</t>
  </si>
  <si>
    <t>炒泡麵豬肉片</t>
  </si>
  <si>
    <t>炒泡麵炒蛋</t>
  </si>
  <si>
    <t>日式胡麻雞絲冷麵</t>
  </si>
  <si>
    <t>蒸手撕雞</t>
  </si>
  <si>
    <t>二配打拋風味豬肉飯</t>
  </si>
  <si>
    <t>二配炒打拋肉醬</t>
  </si>
  <si>
    <t>蒸鼎泰豐香辣醬</t>
  </si>
  <si>
    <t>0519-0525</t>
    <phoneticPr fontId="12" type="noConversion"/>
  </si>
  <si>
    <t>半成品糾結影響人員放料手感</t>
  </si>
  <si>
    <t>生產前先行撥散半成品，便於人員放樣</t>
  </si>
  <si>
    <t>蒸-醬香雞肉絲CL(全)</t>
  </si>
  <si>
    <t>W4</t>
    <phoneticPr fontId="12" type="noConversion"/>
  </si>
  <si>
    <t>明太子生鮭飯糰(區)</t>
  </si>
  <si>
    <t>二配厚香料優格咖哩雞排飯</t>
  </si>
  <si>
    <t>慢燉滷肉油蔥粄條</t>
  </si>
  <si>
    <t>嘉義崇文白醋涼麵</t>
  </si>
  <si>
    <t>雞汁油蔥手工麵線</t>
  </si>
  <si>
    <t>▲</t>
    <phoneticPr fontId="12" type="noConversion"/>
  </si>
  <si>
    <t>飯糰排名前面品項，皆是使用GKK生產的單餡飯糰，產能及人時生產性相近，對比上週差異小。</t>
    <phoneticPr fontId="12" type="noConversion"/>
  </si>
  <si>
    <t>－</t>
    <phoneticPr fontId="12" type="noConversion"/>
  </si>
  <si>
    <t>▲</t>
    <phoneticPr fontId="12" type="noConversion"/>
  </si>
  <si>
    <t>▼</t>
    <phoneticPr fontId="12" type="noConversion"/>
  </si>
  <si>
    <t>對比上週差異小</t>
    <phoneticPr fontId="12" type="noConversion"/>
  </si>
  <si>
    <t>人數</t>
    <phoneticPr fontId="9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</si>
  <si>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</si>
  <si>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</si>
  <si>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</si>
  <si>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主要原因&amp;對策</t>
    <phoneticPr fontId="9"/>
  </si>
  <si>
    <t>雙手卷為同性質商品，產能及人時生產性差異小，對比上週產能及人時生產性提升。</t>
    <phoneticPr fontId="12" type="noConversion"/>
  </si>
  <si>
    <t>▲</t>
    <phoneticPr fontId="12" type="noConversion"/>
  </si>
  <si>
    <r>
      <rPr>
        <sz val="11"/>
        <color theme="1"/>
        <rFont val="細明體"/>
        <family val="3"/>
        <charset val="136"/>
      </rPr>
      <t>烤飯糰都為同性質商品，直接入機台包裝，產能及人時生產性差異小，</t>
    </r>
    <r>
      <rPr>
        <sz val="11"/>
        <color theme="1"/>
        <rFont val="Meiryo UI"/>
        <family val="2"/>
      </rPr>
      <t>對比上週差異小</t>
    </r>
    <phoneticPr fontId="12" type="noConversion"/>
  </si>
  <si>
    <t>▼</t>
    <phoneticPr fontId="12" type="noConversion"/>
  </si>
  <si>
    <t>－</t>
    <phoneticPr fontId="12" type="noConversion"/>
  </si>
  <si>
    <t>兩支大口商品性質相近，產能及人時生產性相近。對比上週差異小。</t>
    <phoneticPr fontId="12" type="noConversion"/>
  </si>
  <si>
    <t>人數</t>
    <phoneticPr fontId="9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</si>
  <si>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</si>
  <si>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</si>
  <si>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</si>
  <si>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主要原因&amp;對策</t>
    <phoneticPr fontId="9"/>
  </si>
  <si>
    <t>為八爪機包裝商品，只有單一半成品，產能及人時生產性相近，對比上週差異小。</t>
    <phoneticPr fontId="12" type="noConversion"/>
  </si>
  <si>
    <t>對比上週差異小</t>
    <phoneticPr fontId="12" type="noConversion"/>
  </si>
  <si>
    <t>人員熟悉度提升，產能及人時生產性對比上週提升。</t>
    <phoneticPr fontId="12" type="noConversion"/>
  </si>
  <si>
    <t>慢燉滷肉油蔥粄條</t>
    <phoneticPr fontId="12" type="noConversion"/>
  </si>
  <si>
    <t>5/26上市新品，半成品數對比其他商品少，產能及人時生產性較高。</t>
    <phoneticPr fontId="12" type="noConversion"/>
  </si>
  <si>
    <t>半成品數相同，使用人數較其他品項少，人時生產性較高</t>
    <phoneticPr fontId="12" type="noConversion"/>
  </si>
  <si>
    <t>5/26上市新品，半成品數少，使用人數較其他品項少，人時生產性較高</t>
    <phoneticPr fontId="12" type="noConversion"/>
  </si>
  <si>
    <r>
      <t>5/19上市新品，有需過秤種主菜，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能對比其他涼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品項較低，人時生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性較低</t>
    </r>
    <phoneticPr fontId="12" type="noConversion"/>
  </si>
  <si>
    <t>品項皆為八爪機作業，產能平均，產能及人時生產性差異小。</t>
    <phoneticPr fontId="12" type="noConversion"/>
  </si>
  <si>
    <t>毛豆三兄弟</t>
    <phoneticPr fontId="12" type="noConversion"/>
  </si>
  <si>
    <t>香滷牛肚絲、黑胡椒毛豆、毛豆三兄弟為僅需擦拭打印貼標，產能及人時生產性相近，對比上週差異小</t>
    <phoneticPr fontId="12" type="noConversion"/>
  </si>
  <si>
    <t>香辣醬粉絲煲</t>
    <phoneticPr fontId="12" type="noConversion"/>
  </si>
  <si>
    <t>5/26上市新品，為L型封膜商品，產能較低。
半成品數少，使用人數對比其他品項少，人時生產性對比香辣醬粉絲煲高。</t>
    <phoneticPr fontId="12" type="noConversion"/>
  </si>
  <si>
    <t>黑胡椒毛豆</t>
    <phoneticPr fontId="12" type="noConversion"/>
  </si>
  <si>
    <r>
      <rPr>
        <sz val="10"/>
        <color rgb="FF000000"/>
        <rFont val="Arial"/>
        <family val="3"/>
        <charset val="136"/>
        <scheme val="minor"/>
      </rPr>
      <t>媽媽煮藝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香滷牛肚絲</t>
    </r>
    <phoneticPr fontId="12" type="noConversion"/>
  </si>
  <si>
    <t>業績金額</t>
    <phoneticPr fontId="12" type="noConversion"/>
  </si>
  <si>
    <t>5/26-6/1</t>
    <phoneticPr fontId="12" type="noConversion"/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</si>
  <si>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  <phoneticPr fontId="12" type="noConversion"/>
  </si>
  <si>
    <t>項目</t>
    <phoneticPr fontId="12" type="noConversion"/>
  </si>
  <si>
    <t>展開量高於需求量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</si>
  <si>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</si>
  <si>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</si>
  <si>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取樣不穩</t>
    <phoneticPr fontId="9"/>
  </si>
  <si>
    <t>原物料規格</t>
    <phoneticPr fontId="9"/>
  </si>
  <si>
    <t>研發設定</t>
    <phoneticPr fontId="9"/>
  </si>
  <si>
    <t>其他原因</t>
    <phoneticPr fontId="9"/>
  </si>
  <si>
    <t>比例</t>
    <phoneticPr fontId="9"/>
  </si>
  <si>
    <t>報廢</t>
    <phoneticPr fontId="9"/>
  </si>
  <si>
    <t>超用</t>
    <phoneticPr fontId="9"/>
  </si>
  <si>
    <t>類型</t>
    <phoneticPr fontId="12" type="noConversion"/>
  </si>
  <si>
    <t>排名</t>
    <phoneticPr fontId="9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</si>
  <si>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</si>
  <si>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</si>
  <si>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</si>
  <si>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</si>
  <si>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前月比</t>
    <phoneticPr fontId="12" type="noConversion"/>
  </si>
  <si>
    <t>主要原因&amp;對策</t>
    <phoneticPr fontId="9"/>
  </si>
  <si>
    <t>展開量高於需求量</t>
    <phoneticPr fontId="12" type="noConversion"/>
  </si>
  <si>
    <t>前幾名合計比例</t>
    <phoneticPr fontId="9"/>
  </si>
  <si>
    <t>前幾名合計金額</t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</si>
  <si>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</si>
  <si>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二配炒培根片</t>
  </si>
  <si>
    <t>確認備料量</t>
    <phoneticPr fontId="12" type="noConversion"/>
  </si>
  <si>
    <t>二配炒鹽洋蔥絲</t>
  </si>
  <si>
    <t>製程不穩</t>
    <phoneticPr fontId="12" type="noConversion"/>
  </si>
  <si>
    <t>確認備料量是否正確，調整出料率</t>
    <phoneticPr fontId="12" type="noConversion"/>
  </si>
  <si>
    <t>二配辛口咖哩豬肉(114年)</t>
  </si>
  <si>
    <t>二配燉飯青醬(115年)</t>
  </si>
  <si>
    <t>二配鼎泰豐-煮麻婆豆腐(113年)</t>
  </si>
  <si>
    <t>增加放料抽秤頻率</t>
    <phoneticPr fontId="12" type="noConversion"/>
  </si>
  <si>
    <t>川燙毛豆玉米</t>
  </si>
  <si>
    <t>數量</t>
    <phoneticPr fontId="9"/>
  </si>
  <si>
    <t>單價</t>
    <phoneticPr fontId="9"/>
  </si>
  <si>
    <t>數量</t>
    <phoneticPr fontId="9"/>
  </si>
  <si>
    <t>其他原因</t>
    <phoneticPr fontId="12" type="noConversion"/>
  </si>
  <si>
    <t>二配蒸鼎泰豐香辣醬</t>
  </si>
  <si>
    <t>製程報廢</t>
    <phoneticPr fontId="12" type="noConversion"/>
  </si>
  <si>
    <t>超用率</t>
    <phoneticPr fontId="9"/>
  </si>
  <si>
    <t>備料異常</t>
    <phoneticPr fontId="12" type="noConversion"/>
  </si>
  <si>
    <t>煮慢燉滷肉</t>
  </si>
  <si>
    <t>賣相設定</t>
    <phoneticPr fontId="12" type="noConversion"/>
  </si>
  <si>
    <t>單價高</t>
    <phoneticPr fontId="12" type="noConversion"/>
  </si>
  <si>
    <t>二配北海道秋鮭親子飯糰</t>
  </si>
  <si>
    <t>二配解凍-醬油漬鮭魚卵</t>
  </si>
  <si>
    <t>明太子鮭魚丁-和NAGOMI</t>
  </si>
  <si>
    <t>二配蒸-全熟雞肉絲CL(升)</t>
  </si>
  <si>
    <t>二配雞肉飯飯糰</t>
  </si>
  <si>
    <t>二配(V)煮鹽水G雞肉</t>
  </si>
  <si>
    <t>調理多產</t>
  </si>
  <si>
    <t>回饋調理課級，連續確認備料量</t>
    <phoneticPr fontId="12" type="noConversion"/>
  </si>
  <si>
    <t>粉絲煲湯凍</t>
  </si>
  <si>
    <t>半成品結凍強度影響擠醬機出料量</t>
  </si>
  <si>
    <t>生產前及生產中確認設定及實際出料狀況</t>
  </si>
  <si>
    <t>半成品相互沾黏影響放料手感</t>
    <phoneticPr fontId="12" type="noConversion"/>
  </si>
  <si>
    <t>113年拌清酒蛤蜊</t>
  </si>
  <si>
    <t>半成品相互沾黏影響放料手感</t>
  </si>
  <si>
    <t>生產前先行撥散半成品，便於人員放樣</t>
    <phoneticPr fontId="12" type="noConversion"/>
  </si>
  <si>
    <t>加熱時間長短影響最終出料量</t>
  </si>
  <si>
    <t>中心溫度達設定標準後，穩定加熱時間</t>
  </si>
  <si>
    <t>單價高，少量報廢就會產生較多的報廢金額</t>
  </si>
  <si>
    <t>穩定拆包量。統計用料率反應生產課穩定用料量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</si>
</sst>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2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  <font>
      <b/>
      <sz val="10"/>
      <color rgb="FFFF0000"/>
      <name val="Meiryo UI"/>
      <family val="2"/>
      <charset val="128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20"/>
      <color theme="0"/>
      <name val="Noto Sans CJK SC"/>
    </font>
    <font>
      <b/>
      <sz val="18"/>
      <color theme="1"/>
      <name val="Noto Sans CJK SC"/>
      <family val="2"/>
    </font>
    <font>
      <b/>
      <sz val="18"/>
      <color theme="1"/>
      <name val="微軟正黑體"/>
      <family val="2"/>
      <charset val="136"/>
    </font>
    <font>
      <b/>
      <sz val="16"/>
      <color theme="1"/>
      <name val="Noto Sans CJK SC"/>
      <family val="2"/>
    </font>
    <font>
      <b/>
      <sz val="16"/>
      <color theme="1"/>
      <name val="微軟正黑體"/>
      <family val="2"/>
      <charset val="136"/>
    </font>
    <font>
      <b/>
      <sz val="16"/>
      <color rgb="FFFF0000"/>
      <name val="Noto Sans CJK SC"/>
      <family val="2"/>
    </font>
    <font>
      <b/>
      <sz val="16"/>
      <color rgb="FF000000"/>
      <name val="微軟正黑體"/>
      <family val="2"/>
      <charset val="136"/>
    </font>
    <font>
      <b/>
      <sz val="16"/>
      <color rgb="FF000000"/>
      <name val="Noto Sans CJK SC"/>
      <family val="2"/>
    </font>
    <font>
      <sz val="14"/>
      <name val="Noto Sans CJK SC"/>
      <family val="2"/>
    </font>
    <font>
      <sz val="14"/>
      <color theme="1"/>
      <name val="Noto Sans CJK SC"/>
      <family val="2"/>
    </font>
    <font>
      <sz val="14"/>
      <color theme="1"/>
      <name val="Arial"/>
      <family val="2"/>
      <charset val="136"/>
      <scheme val="minor"/>
    </font>
    <font>
      <sz val="14"/>
      <name val="Noto Sans CJK SC"/>
    </font>
    <font>
      <sz val="6"/>
      <color theme="1"/>
      <name val="細明體"/>
      <family val="3"/>
      <charset val="136"/>
    </font>
    <font>
      <sz val="6"/>
      <color theme="1"/>
      <name val="Meiryo UI"/>
      <family val="2"/>
    </font>
    <font>
      <sz val="8"/>
      <color theme="1"/>
      <name val="細明體"/>
      <family val="3"/>
      <charset val="136"/>
    </font>
    <font>
      <sz val="8"/>
      <color theme="1"/>
      <name val="Meiryo UI"/>
      <family val="2"/>
    </font>
    <font>
      <sz val="11"/>
      <color theme="1"/>
      <name val="Microsoft JhengHei"/>
      <family val="3"/>
    </font>
    <font>
      <sz val="12"/>
      <color theme="1"/>
      <name val="Microsoft JhengHei"/>
      <family val="2"/>
    </font>
    <font>
      <sz val="12"/>
      <color theme="1"/>
      <name val="細明體"/>
      <family val="2"/>
      <charset val="136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80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43" fontId="7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85" fillId="0" borderId="0"/>
    <xf numFmtId="9" fontId="85" fillId="0" borderId="0" applyFont="0" applyFill="0" applyBorder="0" applyAlignment="0" applyProtection="0"/>
    <xf numFmtId="0" fontId="86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96" fontId="87" fillId="0" borderId="0"/>
    <xf numFmtId="0" fontId="8" fillId="0" borderId="0"/>
    <xf numFmtId="0" fontId="85" fillId="0" borderId="0">
      <alignment vertical="center"/>
    </xf>
    <xf numFmtId="0" fontId="88" fillId="0" borderId="0"/>
    <xf numFmtId="42" fontId="86" fillId="0" borderId="0" applyFon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>
      <alignment vertical="top"/>
    </xf>
    <xf numFmtId="0" fontId="8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91" fillId="0" borderId="0"/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2" fillId="0" borderId="0">
      <alignment vertical="center"/>
    </xf>
    <xf numFmtId="0" fontId="85" fillId="0" borderId="0"/>
    <xf numFmtId="0" fontId="85" fillId="0" borderId="0"/>
    <xf numFmtId="0" fontId="91" fillId="0" borderId="0"/>
    <xf numFmtId="0" fontId="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88" fillId="0" borderId="0"/>
    <xf numFmtId="0" fontId="85" fillId="0" borderId="0"/>
    <xf numFmtId="0" fontId="2" fillId="0" borderId="0">
      <alignment vertical="center"/>
    </xf>
    <xf numFmtId="0" fontId="88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8" fillId="0" borderId="0" applyFont="0" applyFill="0" applyBorder="0" applyAlignment="0" applyProtection="0">
      <alignment vertical="center"/>
    </xf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92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44" fontId="91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7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7" fillId="1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20">
    <xf numFmtId="0" fontId="0" fillId="0" borderId="0" xfId="0"/>
    <xf numFmtId="0" fontId="6" fillId="0" borderId="0" xfId="0" applyFont="1" applyAlignment="1">
      <alignment shrinkToFit="1"/>
    </xf>
    <xf numFmtId="0" fontId="0" fillId="0" borderId="0" xfId="0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3" fillId="0" borderId="0" xfId="0" applyFont="1" applyAlignment="1">
      <alignment horizontal="center"/>
    </xf>
    <xf numFmtId="10" fontId="13" fillId="0" borderId="0" xfId="0" applyNumberFormat="1" applyFont="1"/>
    <xf numFmtId="0" fontId="13" fillId="0" borderId="0" xfId="0" applyFont="1"/>
    <xf numFmtId="0" fontId="17" fillId="0" borderId="0" xfId="0" applyFont="1" applyAlignment="1">
      <alignment horizontal="left" vertical="center"/>
    </xf>
    <xf numFmtId="0" fontId="25" fillId="0" borderId="0" xfId="0" applyFo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76" fontId="26" fillId="0" borderId="0" xfId="0" applyNumberFormat="1" applyFont="1" applyAlignment="1">
      <alignment horizontal="center" vertical="center"/>
    </xf>
    <xf numFmtId="179" fontId="25" fillId="0" borderId="0" xfId="0" applyNumberFormat="1" applyFont="1" applyAlignment="1">
      <alignment horizontal="center"/>
    </xf>
    <xf numFmtId="176" fontId="25" fillId="0" borderId="0" xfId="0" applyNumberFormat="1" applyFont="1"/>
    <xf numFmtId="177" fontId="25" fillId="0" borderId="0" xfId="0" applyNumberFormat="1" applyFont="1"/>
    <xf numFmtId="178" fontId="25" fillId="0" borderId="0" xfId="0" applyNumberFormat="1" applyFont="1"/>
    <xf numFmtId="10" fontId="25" fillId="0" borderId="0" xfId="0" applyNumberFormat="1" applyFont="1"/>
    <xf numFmtId="176" fontId="26" fillId="6" borderId="0" xfId="0" applyNumberFormat="1" applyFont="1" applyFill="1" applyAlignment="1">
      <alignment horizontal="center" vertical="center"/>
    </xf>
    <xf numFmtId="176" fontId="26" fillId="7" borderId="0" xfId="0" applyNumberFormat="1" applyFont="1" applyFill="1" applyAlignment="1">
      <alignment horizontal="center" vertical="center"/>
    </xf>
    <xf numFmtId="180" fontId="25" fillId="0" borderId="0" xfId="0" applyNumberFormat="1" applyFont="1"/>
    <xf numFmtId="180" fontId="13" fillId="0" borderId="0" xfId="0" applyNumberFormat="1" applyFont="1"/>
    <xf numFmtId="176" fontId="16" fillId="0" borderId="0" xfId="0" applyNumberFormat="1" applyFont="1" applyAlignment="1">
      <alignment horizontal="center" vertical="center"/>
    </xf>
    <xf numFmtId="180" fontId="16" fillId="0" borderId="0" xfId="0" applyNumberFormat="1" applyFont="1" applyAlignment="1">
      <alignment horizontal="center" vertical="center"/>
    </xf>
    <xf numFmtId="182" fontId="25" fillId="0" borderId="0" xfId="0" applyNumberFormat="1" applyFont="1"/>
    <xf numFmtId="182" fontId="26" fillId="0" borderId="22" xfId="0" applyNumberFormat="1" applyFont="1" applyBorder="1" applyAlignment="1">
      <alignment horizontal="center" vertical="center"/>
    </xf>
    <xf numFmtId="10" fontId="26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/>
    <xf numFmtId="182" fontId="25" fillId="0" borderId="0" xfId="0" applyNumberFormat="1" applyFont="1" applyAlignment="1">
      <alignment horizontal="center"/>
    </xf>
    <xf numFmtId="0" fontId="28" fillId="0" borderId="0" xfId="0" applyFont="1"/>
    <xf numFmtId="177" fontId="25" fillId="0" borderId="0" xfId="0" applyNumberFormat="1" applyFont="1" applyAlignment="1">
      <alignment horizontal="center"/>
    </xf>
    <xf numFmtId="177" fontId="16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6" fillId="0" borderId="3" xfId="0" applyFont="1" applyBorder="1" applyAlignment="1">
      <alignment vertical="center" shrinkToFit="1"/>
    </xf>
    <xf numFmtId="0" fontId="6" fillId="0" borderId="8" xfId="0" applyFont="1" applyBorder="1" applyAlignment="1">
      <alignment vertical="center" shrinkToFit="1"/>
    </xf>
    <xf numFmtId="0" fontId="10" fillId="2" borderId="1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10" fillId="2" borderId="16" xfId="0" applyFont="1" applyFill="1" applyBorder="1" applyAlignment="1">
      <alignment horizontal="center" shrinkToFit="1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7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5" fillId="0" borderId="22" xfId="0" applyFont="1" applyBorder="1" applyAlignment="1">
      <alignment shrinkToFit="1"/>
    </xf>
    <xf numFmtId="0" fontId="25" fillId="0" borderId="0" xfId="0" applyFont="1" applyAlignment="1">
      <alignment horizontal="center" shrinkToFit="1"/>
    </xf>
    <xf numFmtId="0" fontId="27" fillId="0" borderId="0" xfId="0" applyFont="1" applyAlignment="1">
      <alignment horizontal="center" shrinkToFit="1"/>
    </xf>
    <xf numFmtId="0" fontId="25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4" fontId="27" fillId="0" borderId="22" xfId="0" applyNumberFormat="1" applyFont="1" applyBorder="1" applyAlignment="1">
      <alignment shrinkToFit="1"/>
    </xf>
    <xf numFmtId="0" fontId="27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7" fillId="0" borderId="22" xfId="0" applyNumberFormat="1" applyFont="1" applyBorder="1" applyAlignment="1">
      <alignment shrinkToFit="1"/>
    </xf>
    <xf numFmtId="10" fontId="27" fillId="0" borderId="22" xfId="0" applyNumberFormat="1" applyFont="1" applyBorder="1" applyAlignment="1">
      <alignment shrinkToFit="1"/>
    </xf>
    <xf numFmtId="4" fontId="27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right" shrinkToFit="1"/>
    </xf>
    <xf numFmtId="0" fontId="10" fillId="0" borderId="0" xfId="0" applyFont="1" applyAlignment="1">
      <alignment shrinkToFit="1"/>
    </xf>
    <xf numFmtId="0" fontId="25" fillId="4" borderId="0" xfId="0" applyFont="1" applyFill="1" applyAlignment="1">
      <alignment horizontal="center" vertical="center" shrinkToFit="1"/>
    </xf>
    <xf numFmtId="0" fontId="25" fillId="4" borderId="0" xfId="0" applyFont="1" applyFill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27" fillId="0" borderId="22" xfId="0" applyFont="1" applyBorder="1" applyAlignment="1">
      <alignment horizontal="center" shrinkToFit="1"/>
    </xf>
    <xf numFmtId="0" fontId="25" fillId="4" borderId="22" xfId="0" applyFont="1" applyFill="1" applyBorder="1" applyAlignment="1">
      <alignment horizontal="center" shrinkToFit="1"/>
    </xf>
    <xf numFmtId="0" fontId="27" fillId="4" borderId="22" xfId="0" applyFont="1" applyFill="1" applyBorder="1" applyAlignment="1">
      <alignment horizontal="center" shrinkToFit="1"/>
    </xf>
    <xf numFmtId="0" fontId="25" fillId="0" borderId="0" xfId="0" applyFont="1" applyAlignment="1">
      <alignment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7" fillId="5" borderId="22" xfId="0" applyFont="1" applyFill="1" applyBorder="1" applyAlignment="1">
      <alignment horizontal="center" vertical="center" shrinkToFit="1"/>
    </xf>
    <xf numFmtId="0" fontId="27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5" fillId="5" borderId="22" xfId="0" applyFont="1" applyFill="1" applyBorder="1" applyAlignment="1">
      <alignment horizontal="center" shrinkToFit="1"/>
    </xf>
    <xf numFmtId="0" fontId="27" fillId="2" borderId="1" xfId="0" applyFont="1" applyFill="1" applyBorder="1" applyAlignment="1">
      <alignment horizontal="center" vertical="center" shrinkToFit="1"/>
    </xf>
    <xf numFmtId="0" fontId="27" fillId="0" borderId="3" xfId="0" applyFont="1" applyBorder="1" applyAlignment="1">
      <alignment vertical="center" shrinkToFit="1"/>
    </xf>
    <xf numFmtId="0" fontId="27" fillId="0" borderId="1" xfId="0" applyFont="1" applyBorder="1" applyAlignment="1">
      <alignment shrinkToFit="1"/>
    </xf>
    <xf numFmtId="0" fontId="27" fillId="0" borderId="8" xfId="0" applyFont="1" applyBorder="1" applyAlignment="1">
      <alignment vertical="center" shrinkToFit="1"/>
    </xf>
    <xf numFmtId="0" fontId="27" fillId="0" borderId="5" xfId="0" applyFont="1" applyBorder="1" applyAlignment="1">
      <alignment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3" borderId="22" xfId="0" applyNumberFormat="1" applyFont="1" applyFill="1" applyBorder="1" applyAlignment="1">
      <alignment shrinkToFit="1"/>
    </xf>
    <xf numFmtId="0" fontId="27" fillId="2" borderId="23" xfId="0" applyFont="1" applyFill="1" applyBorder="1" applyAlignment="1">
      <alignment horizontal="center" vertical="center" shrinkToFit="1"/>
    </xf>
    <xf numFmtId="10" fontId="27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Border="1" applyAlignment="1">
      <alignment horizontal="center" vertical="center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5" fillId="0" borderId="6" xfId="11" applyNumberFormat="1" applyFont="1" applyBorder="1" applyAlignment="1">
      <alignment shrinkToFit="1"/>
    </xf>
    <xf numFmtId="10" fontId="35" fillId="0" borderId="6" xfId="11" applyNumberFormat="1" applyFont="1" applyBorder="1" applyAlignment="1">
      <alignment shrinkToFit="1"/>
    </xf>
    <xf numFmtId="3" fontId="27" fillId="0" borderId="22" xfId="11" applyNumberFormat="1" applyFont="1" applyBorder="1" applyAlignment="1">
      <alignment shrinkToFit="1"/>
    </xf>
    <xf numFmtId="10" fontId="27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5" fillId="0" borderId="1" xfId="11" applyNumberFormat="1" applyFont="1" applyBorder="1" applyAlignment="1">
      <alignment shrinkToFit="1"/>
    </xf>
    <xf numFmtId="0" fontId="34" fillId="0" borderId="34" xfId="0" applyFont="1" applyBorder="1" applyAlignment="1">
      <alignment horizontal="left" vertical="center"/>
    </xf>
    <xf numFmtId="0" fontId="34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4" fillId="0" borderId="32" xfId="0" applyFont="1" applyBorder="1" applyAlignment="1">
      <alignment horizontal="left" vertical="center"/>
    </xf>
    <xf numFmtId="0" fontId="34" fillId="0" borderId="37" xfId="0" applyFont="1" applyBorder="1" applyAlignment="1">
      <alignment horizontal="left" vertical="center"/>
    </xf>
    <xf numFmtId="0" fontId="6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5" fillId="0" borderId="0" xfId="0" applyNumberFormat="1" applyFont="1"/>
    <xf numFmtId="0" fontId="27" fillId="0" borderId="22" xfId="11" applyFont="1" applyBorder="1" applyAlignment="1">
      <alignment horizontal="center" vertical="center" shrinkToFit="1"/>
    </xf>
    <xf numFmtId="0" fontId="69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183" fontId="0" fillId="0" borderId="0" xfId="0" applyNumberForma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8" fillId="5" borderId="23" xfId="11" applyFont="1" applyFill="1" applyBorder="1" applyAlignment="1">
      <alignment horizontal="center" vertical="center"/>
    </xf>
    <xf numFmtId="3" fontId="27" fillId="5" borderId="22" xfId="0" applyNumberFormat="1" applyFont="1" applyFill="1" applyBorder="1" applyAlignment="1">
      <alignment shrinkToFit="1"/>
    </xf>
    <xf numFmtId="10" fontId="27" fillId="5" borderId="22" xfId="0" applyNumberFormat="1" applyFont="1" applyFill="1" applyBorder="1" applyAlignment="1">
      <alignment shrinkToFit="1"/>
    </xf>
    <xf numFmtId="0" fontId="0" fillId="5" borderId="22" xfId="0" applyFill="1" applyBorder="1" applyAlignment="1">
      <alignment horizontal="center" vertical="center"/>
    </xf>
    <xf numFmtId="186" fontId="72" fillId="0" borderId="22" xfId="0" applyNumberFormat="1" applyFont="1" applyBorder="1"/>
    <xf numFmtId="186" fontId="25" fillId="0" borderId="0" xfId="0" applyNumberFormat="1" applyFont="1"/>
    <xf numFmtId="180" fontId="25" fillId="9" borderId="0" xfId="0" applyNumberFormat="1" applyFont="1" applyFill="1"/>
    <xf numFmtId="187" fontId="25" fillId="9" borderId="0" xfId="0" applyNumberFormat="1" applyFont="1" applyFill="1"/>
    <xf numFmtId="177" fontId="25" fillId="9" borderId="0" xfId="0" applyNumberFormat="1" applyFont="1" applyFill="1"/>
    <xf numFmtId="186" fontId="25" fillId="9" borderId="0" xfId="0" applyNumberFormat="1" applyFont="1" applyFill="1"/>
    <xf numFmtId="185" fontId="25" fillId="9" borderId="0" xfId="0" applyNumberFormat="1" applyFont="1" applyFill="1"/>
    <xf numFmtId="186" fontId="72" fillId="9" borderId="22" xfId="0" applyNumberFormat="1" applyFont="1" applyFill="1" applyBorder="1"/>
    <xf numFmtId="177" fontId="25" fillId="9" borderId="22" xfId="0" applyNumberFormat="1" applyFont="1" applyFill="1" applyBorder="1"/>
    <xf numFmtId="188" fontId="27" fillId="0" borderId="22" xfId="14" applyNumberFormat="1" applyFont="1" applyFill="1" applyBorder="1" applyAlignment="1">
      <alignment shrinkToFit="1"/>
    </xf>
    <xf numFmtId="189" fontId="27" fillId="5" borderId="22" xfId="0" applyNumberFormat="1" applyFont="1" applyFill="1" applyBorder="1" applyAlignment="1">
      <alignment shrinkToFit="1"/>
    </xf>
    <xf numFmtId="3" fontId="27" fillId="5" borderId="22" xfId="0" applyNumberFormat="1" applyFont="1" applyFill="1" applyBorder="1" applyAlignment="1">
      <alignment horizontal="right" shrinkToFit="1"/>
    </xf>
    <xf numFmtId="188" fontId="27" fillId="5" borderId="22" xfId="14" applyNumberFormat="1" applyFont="1" applyFill="1" applyBorder="1" applyAlignment="1">
      <alignment shrinkToFit="1"/>
    </xf>
    <xf numFmtId="0" fontId="75" fillId="0" borderId="22" xfId="0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190" fontId="27" fillId="5" borderId="22" xfId="14" applyNumberFormat="1" applyFont="1" applyFill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10" fontId="27" fillId="3" borderId="22" xfId="0" applyNumberFormat="1" applyFont="1" applyFill="1" applyBorder="1" applyAlignment="1">
      <alignment horizontal="center" shrinkToFit="1"/>
    </xf>
    <xf numFmtId="0" fontId="10" fillId="2" borderId="22" xfId="0" applyFont="1" applyFill="1" applyBorder="1" applyAlignment="1">
      <alignment horizontal="center" shrinkToFit="1"/>
    </xf>
    <xf numFmtId="189" fontId="25" fillId="9" borderId="0" xfId="0" applyNumberFormat="1" applyFont="1" applyFill="1"/>
    <xf numFmtId="189" fontId="27" fillId="0" borderId="22" xfId="0" applyNumberFormat="1" applyFont="1" applyBorder="1" applyAlignment="1">
      <alignment shrinkToFit="1"/>
    </xf>
    <xf numFmtId="185" fontId="27" fillId="5" borderId="22" xfId="0" applyNumberFormat="1" applyFont="1" applyFill="1" applyBorder="1" applyAlignment="1">
      <alignment shrinkToFit="1"/>
    </xf>
    <xf numFmtId="185" fontId="27" fillId="0" borderId="22" xfId="0" applyNumberFormat="1" applyFont="1" applyBorder="1" applyAlignment="1">
      <alignment shrinkToFit="1"/>
    </xf>
    <xf numFmtId="183" fontId="25" fillId="0" borderId="0" xfId="0" applyNumberFormat="1" applyFont="1" applyAlignment="1">
      <alignment shrinkToFit="1"/>
    </xf>
    <xf numFmtId="9" fontId="27" fillId="5" borderId="22" xfId="0" applyNumberFormat="1" applyFont="1" applyFill="1" applyBorder="1" applyAlignment="1">
      <alignment shrinkToFit="1"/>
    </xf>
    <xf numFmtId="9" fontId="27" fillId="0" borderId="22" xfId="0" applyNumberFormat="1" applyFont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7" fillId="0" borderId="22" xfId="0" applyNumberFormat="1" applyFont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7" fillId="0" borderId="22" xfId="14" applyNumberFormat="1" applyFont="1" applyFill="1" applyBorder="1" applyAlignment="1">
      <alignment horizontal="right" shrinkToFit="1"/>
    </xf>
    <xf numFmtId="0" fontId="44" fillId="0" borderId="44" xfId="11" applyFont="1" applyBorder="1" applyAlignment="1">
      <alignment horizontal="center" shrinkToFit="1"/>
    </xf>
    <xf numFmtId="3" fontId="35" fillId="7" borderId="6" xfId="11" applyNumberFormat="1" applyFont="1" applyFill="1" applyBorder="1" applyAlignment="1">
      <alignment shrinkToFit="1"/>
    </xf>
    <xf numFmtId="3" fontId="27" fillId="7" borderId="22" xfId="11" applyNumberFormat="1" applyFont="1" applyFill="1" applyBorder="1" applyAlignment="1">
      <alignment shrinkToFit="1"/>
    </xf>
    <xf numFmtId="10" fontId="27" fillId="0" borderId="43" xfId="11" applyNumberFormat="1" applyFont="1" applyBorder="1" applyAlignment="1">
      <alignment shrinkToFit="1"/>
    </xf>
    <xf numFmtId="10" fontId="27" fillId="0" borderId="46" xfId="11" applyNumberFormat="1" applyFont="1" applyBorder="1" applyAlignment="1">
      <alignment shrinkToFit="1"/>
    </xf>
    <xf numFmtId="10" fontId="27" fillId="0" borderId="47" xfId="11" applyNumberFormat="1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5" fillId="11" borderId="22" xfId="0" applyNumberFormat="1" applyFont="1" applyFill="1" applyBorder="1"/>
    <xf numFmtId="177" fontId="73" fillId="11" borderId="0" xfId="0" applyNumberFormat="1" applyFont="1" applyFill="1"/>
    <xf numFmtId="177" fontId="73" fillId="0" borderId="0" xfId="0" applyNumberFormat="1" applyFont="1"/>
    <xf numFmtId="10" fontId="78" fillId="11" borderId="22" xfId="0" applyNumberFormat="1" applyFont="1" applyFill="1" applyBorder="1"/>
    <xf numFmtId="177" fontId="78" fillId="0" borderId="0" xfId="0" applyNumberFormat="1" applyFont="1"/>
    <xf numFmtId="10" fontId="78" fillId="0" borderId="0" xfId="0" applyNumberFormat="1" applyFont="1"/>
    <xf numFmtId="3" fontId="78" fillId="0" borderId="0" xfId="0" applyNumberFormat="1" applyFont="1"/>
    <xf numFmtId="186" fontId="72" fillId="11" borderId="22" xfId="0" applyNumberFormat="1" applyFont="1" applyFill="1" applyBorder="1"/>
    <xf numFmtId="3" fontId="27" fillId="12" borderId="22" xfId="0" applyNumberFormat="1" applyFont="1" applyFill="1" applyBorder="1" applyAlignment="1">
      <alignment shrinkToFit="1"/>
    </xf>
    <xf numFmtId="10" fontId="27" fillId="12" borderId="22" xfId="0" applyNumberFormat="1" applyFont="1" applyFill="1" applyBorder="1" applyAlignment="1">
      <alignment shrinkToFit="1"/>
    </xf>
    <xf numFmtId="183" fontId="27" fillId="0" borderId="22" xfId="0" applyNumberFormat="1" applyFont="1" applyBorder="1" applyAlignment="1">
      <alignment shrinkToFit="1"/>
    </xf>
    <xf numFmtId="3" fontId="27" fillId="0" borderId="22" xfId="0" applyNumberFormat="1" applyFont="1" applyBorder="1" applyAlignment="1">
      <alignment horizontal="right" shrinkToFit="1"/>
    </xf>
    <xf numFmtId="0" fontId="32" fillId="0" borderId="22" xfId="0" applyFont="1" applyBorder="1" applyAlignment="1">
      <alignment horizontal="center" vertical="center"/>
    </xf>
    <xf numFmtId="180" fontId="25" fillId="10" borderId="0" xfId="0" applyNumberFormat="1" applyFont="1" applyFill="1"/>
    <xf numFmtId="4" fontId="27" fillId="12" borderId="22" xfId="0" applyNumberFormat="1" applyFont="1" applyFill="1" applyBorder="1" applyAlignment="1">
      <alignment horizontal="right" shrinkToFit="1"/>
    </xf>
    <xf numFmtId="189" fontId="27" fillId="12" borderId="22" xfId="0" applyNumberFormat="1" applyFont="1" applyFill="1" applyBorder="1" applyAlignment="1">
      <alignment shrinkToFit="1"/>
    </xf>
    <xf numFmtId="185" fontId="27" fillId="12" borderId="22" xfId="0" applyNumberFormat="1" applyFont="1" applyFill="1" applyBorder="1" applyAlignment="1">
      <alignment shrinkToFit="1"/>
    </xf>
    <xf numFmtId="183" fontId="6" fillId="0" borderId="0" xfId="0" applyNumberFormat="1" applyFont="1" applyAlignment="1">
      <alignment horizontal="right" vertical="center" shrinkToFit="1"/>
    </xf>
    <xf numFmtId="185" fontId="25" fillId="10" borderId="0" xfId="0" applyNumberFormat="1" applyFont="1" applyFill="1"/>
    <xf numFmtId="189" fontId="25" fillId="10" borderId="0" xfId="0" applyNumberFormat="1" applyFont="1" applyFill="1"/>
    <xf numFmtId="191" fontId="25" fillId="0" borderId="0" xfId="0" applyNumberFormat="1" applyFont="1" applyAlignment="1">
      <alignment shrinkToFit="1"/>
    </xf>
    <xf numFmtId="187" fontId="25" fillId="0" borderId="0" xfId="0" applyNumberFormat="1" applyFont="1"/>
    <xf numFmtId="189" fontId="25" fillId="0" borderId="0" xfId="0" applyNumberFormat="1" applyFont="1"/>
    <xf numFmtId="179" fontId="63" fillId="0" borderId="0" xfId="0" applyNumberFormat="1" applyFont="1" applyAlignment="1">
      <alignment horizontal="center"/>
    </xf>
    <xf numFmtId="176" fontId="45" fillId="0" borderId="0" xfId="0" applyNumberFormat="1" applyFont="1" applyAlignment="1">
      <alignment horizontal="center" vertical="center"/>
    </xf>
    <xf numFmtId="177" fontId="25" fillId="0" borderId="0" xfId="0" applyNumberFormat="1" applyFont="1" applyAlignment="1">
      <alignment horizontal="right"/>
    </xf>
    <xf numFmtId="183" fontId="27" fillId="12" borderId="22" xfId="0" applyNumberFormat="1" applyFont="1" applyFill="1" applyBorder="1" applyAlignment="1">
      <alignment shrinkToFit="1"/>
    </xf>
    <xf numFmtId="0" fontId="34" fillId="13" borderId="37" xfId="0" applyFont="1" applyFill="1" applyBorder="1" applyAlignment="1">
      <alignment horizontal="left" vertical="center"/>
    </xf>
    <xf numFmtId="0" fontId="34" fillId="13" borderId="32" xfId="0" applyFont="1" applyFill="1" applyBorder="1" applyAlignment="1">
      <alignment horizontal="left" vertical="center"/>
    </xf>
    <xf numFmtId="0" fontId="34" fillId="13" borderId="26" xfId="0" applyFont="1" applyFill="1" applyBorder="1" applyAlignment="1">
      <alignment horizontal="left" vertical="center"/>
    </xf>
    <xf numFmtId="0" fontId="34" fillId="13" borderId="36" xfId="0" applyFont="1" applyFill="1" applyBorder="1" applyAlignment="1">
      <alignment horizontal="left" vertical="center"/>
    </xf>
    <xf numFmtId="1" fontId="32" fillId="0" borderId="22" xfId="0" applyNumberFormat="1" applyFont="1" applyBorder="1" applyAlignment="1">
      <alignment horizontal="center" vertical="center"/>
    </xf>
    <xf numFmtId="0" fontId="32" fillId="5" borderId="22" xfId="0" applyFont="1" applyFill="1" applyBorder="1" applyAlignment="1">
      <alignment horizontal="center" vertical="center"/>
    </xf>
    <xf numFmtId="186" fontId="73" fillId="0" borderId="34" xfId="0" applyNumberFormat="1" applyFont="1" applyBorder="1" applyAlignment="1">
      <alignment vertical="center"/>
    </xf>
    <xf numFmtId="10" fontId="25" fillId="0" borderId="0" xfId="0" applyNumberFormat="1" applyFont="1" applyAlignment="1">
      <alignment vertical="center"/>
    </xf>
    <xf numFmtId="187" fontId="25" fillId="0" borderId="0" xfId="0" applyNumberFormat="1" applyFont="1" applyAlignment="1">
      <alignment vertical="center"/>
    </xf>
    <xf numFmtId="177" fontId="25" fillId="0" borderId="0" xfId="0" applyNumberFormat="1" applyFont="1" applyAlignment="1">
      <alignment vertical="center"/>
    </xf>
    <xf numFmtId="0" fontId="27" fillId="2" borderId="22" xfId="0" applyFont="1" applyFill="1" applyBorder="1" applyAlignment="1">
      <alignment horizontal="center" shrinkToFit="1"/>
    </xf>
    <xf numFmtId="0" fontId="62" fillId="2" borderId="1" xfId="0" applyFont="1" applyFill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3" fillId="0" borderId="0" xfId="11" applyAlignment="1">
      <alignment horizontal="center" vertical="center" shrinkToFit="1"/>
    </xf>
    <xf numFmtId="0" fontId="23" fillId="0" borderId="0" xfId="11" applyAlignment="1">
      <alignment shrinkToFit="1"/>
    </xf>
    <xf numFmtId="0" fontId="23" fillId="0" borderId="0" xfId="11" applyAlignment="1">
      <alignment wrapText="1" shrinkToFit="1"/>
    </xf>
    <xf numFmtId="0" fontId="23" fillId="0" borderId="0" xfId="11" applyAlignment="1">
      <alignment vertical="center" shrinkToFit="1"/>
    </xf>
    <xf numFmtId="0" fontId="28" fillId="0" borderId="0" xfId="11" applyFont="1"/>
    <xf numFmtId="0" fontId="28" fillId="0" borderId="0" xfId="11" applyFont="1" applyAlignment="1">
      <alignment vertical="center"/>
    </xf>
    <xf numFmtId="0" fontId="28" fillId="0" borderId="22" xfId="11" applyFont="1" applyBorder="1" applyAlignment="1">
      <alignment horizontal="center" vertical="center"/>
    </xf>
    <xf numFmtId="192" fontId="35" fillId="8" borderId="22" xfId="11" applyNumberFormat="1" applyFont="1" applyFill="1" applyBorder="1" applyAlignment="1">
      <alignment horizontal="center" vertical="center"/>
    </xf>
    <xf numFmtId="0" fontId="35" fillId="0" borderId="22" xfId="11" applyFont="1" applyBorder="1" applyAlignment="1">
      <alignment horizontal="center" vertical="center"/>
    </xf>
    <xf numFmtId="0" fontId="28" fillId="0" borderId="41" xfId="11" applyFont="1" applyBorder="1" applyAlignment="1">
      <alignment horizontal="center" vertical="center"/>
    </xf>
    <xf numFmtId="0" fontId="28" fillId="0" borderId="0" xfId="11" applyFont="1" applyAlignment="1">
      <alignment horizontal="left" vertical="center"/>
    </xf>
    <xf numFmtId="0" fontId="3" fillId="0" borderId="0" xfId="15">
      <alignment vertical="center"/>
    </xf>
    <xf numFmtId="0" fontId="55" fillId="0" borderId="0" xfId="0" applyFont="1" applyAlignment="1">
      <alignment vertical="center"/>
    </xf>
    <xf numFmtId="0" fontId="55" fillId="0" borderId="0" xfId="0" applyFont="1"/>
    <xf numFmtId="177" fontId="55" fillId="0" borderId="0" xfId="0" applyNumberFormat="1" applyFont="1"/>
    <xf numFmtId="177" fontId="55" fillId="0" borderId="0" xfId="0" applyNumberFormat="1" applyFont="1" applyAlignment="1">
      <alignment horizontal="right"/>
    </xf>
    <xf numFmtId="177" fontId="55" fillId="9" borderId="22" xfId="0" applyNumberFormat="1" applyFont="1" applyFill="1" applyBorder="1"/>
    <xf numFmtId="10" fontId="55" fillId="0" borderId="22" xfId="0" applyNumberFormat="1" applyFont="1" applyBorder="1"/>
    <xf numFmtId="177" fontId="55" fillId="0" borderId="22" xfId="0" applyNumberFormat="1" applyFont="1" applyBorder="1"/>
    <xf numFmtId="0" fontId="25" fillId="0" borderId="37" xfId="0" applyFont="1" applyBorder="1" applyAlignment="1">
      <alignment vertical="center"/>
    </xf>
    <xf numFmtId="177" fontId="25" fillId="0" borderId="34" xfId="0" applyNumberFormat="1" applyFon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44" fillId="2" borderId="22" xfId="0" applyFont="1" applyFill="1" applyBorder="1" applyAlignment="1">
      <alignment horizontal="center" vertical="center" shrinkToFit="1"/>
    </xf>
    <xf numFmtId="0" fontId="32" fillId="4" borderId="22" xfId="0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179" fontId="55" fillId="0" borderId="0" xfId="0" applyNumberFormat="1" applyFont="1" applyAlignment="1">
      <alignment horizontal="center"/>
    </xf>
    <xf numFmtId="0" fontId="0" fillId="0" borderId="27" xfId="0" applyBorder="1" applyAlignment="1">
      <alignment horizontal="left" vertical="center"/>
    </xf>
    <xf numFmtId="1" fontId="27" fillId="0" borderId="22" xfId="0" applyNumberFormat="1" applyFont="1" applyBorder="1" applyAlignment="1">
      <alignment shrinkToFit="1"/>
    </xf>
    <xf numFmtId="0" fontId="32" fillId="0" borderId="27" xfId="0" applyFont="1" applyBorder="1" applyAlignment="1">
      <alignment vertical="center"/>
    </xf>
    <xf numFmtId="0" fontId="32" fillId="0" borderId="27" xfId="0" applyFont="1" applyBorder="1" applyAlignment="1">
      <alignment horizontal="left" vertical="center"/>
    </xf>
    <xf numFmtId="179" fontId="98" fillId="0" borderId="0" xfId="0" applyNumberFormat="1" applyFont="1" applyAlignment="1">
      <alignment horizontal="center"/>
    </xf>
    <xf numFmtId="0" fontId="23" fillId="0" borderId="27" xfId="0" applyFont="1" applyBorder="1" applyAlignment="1">
      <alignment vertical="center"/>
    </xf>
    <xf numFmtId="0" fontId="99" fillId="0" borderId="22" xfId="0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/>
    </xf>
    <xf numFmtId="0" fontId="35" fillId="5" borderId="23" xfId="5" applyFont="1" applyFill="1" applyBorder="1" applyAlignment="1">
      <alignment horizontal="center" vertical="center"/>
    </xf>
    <xf numFmtId="0" fontId="45" fillId="0" borderId="51" xfId="11" applyFont="1" applyBorder="1" applyAlignment="1">
      <alignment shrinkToFit="1"/>
    </xf>
    <xf numFmtId="184" fontId="63" fillId="14" borderId="52" xfId="11" applyNumberFormat="1" applyFont="1" applyFill="1" applyBorder="1" applyAlignment="1">
      <alignment shrinkToFit="1"/>
    </xf>
    <xf numFmtId="0" fontId="25" fillId="0" borderId="53" xfId="11" applyFont="1" applyBorder="1" applyAlignment="1">
      <alignment shrinkToFit="1"/>
    </xf>
    <xf numFmtId="0" fontId="27" fillId="0" borderId="42" xfId="11" applyFont="1" applyBorder="1" applyAlignment="1">
      <alignment horizontal="center" vertical="center" shrinkToFit="1"/>
    </xf>
    <xf numFmtId="0" fontId="27" fillId="0" borderId="25" xfId="11" applyFont="1" applyBorder="1" applyAlignment="1">
      <alignment horizontal="center" vertical="center" shrinkToFit="1"/>
    </xf>
    <xf numFmtId="0" fontId="27" fillId="0" borderId="27" xfId="11" applyFont="1" applyBorder="1" applyAlignment="1">
      <alignment horizontal="center" vertical="center" shrinkToFit="1"/>
    </xf>
    <xf numFmtId="10" fontId="35" fillId="0" borderId="60" xfId="11" applyNumberFormat="1" applyFont="1" applyBorder="1" applyAlignment="1">
      <alignment shrinkToFit="1"/>
    </xf>
    <xf numFmtId="0" fontId="44" fillId="0" borderId="61" xfId="11" applyFont="1" applyBorder="1" applyAlignment="1">
      <alignment horizontal="center" shrinkToFit="1"/>
    </xf>
    <xf numFmtId="3" fontId="27" fillId="7" borderId="42" xfId="11" applyNumberFormat="1" applyFont="1" applyFill="1" applyBorder="1" applyAlignment="1">
      <alignment shrinkToFit="1"/>
    </xf>
    <xf numFmtId="3" fontId="27" fillId="7" borderId="25" xfId="11" applyNumberFormat="1" applyFont="1" applyFill="1" applyBorder="1" applyAlignment="1">
      <alignment shrinkToFit="1"/>
    </xf>
    <xf numFmtId="10" fontId="27" fillId="0" borderId="27" xfId="11" applyNumberFormat="1" applyFont="1" applyBorder="1" applyAlignment="1">
      <alignment shrinkToFit="1"/>
    </xf>
    <xf numFmtId="0" fontId="44" fillId="0" borderId="62" xfId="11" applyFont="1" applyBorder="1" applyAlignment="1">
      <alignment horizontal="center" shrinkToFit="1"/>
    </xf>
    <xf numFmtId="3" fontId="35" fillId="7" borderId="45" xfId="11" applyNumberFormat="1" applyFont="1" applyFill="1" applyBorder="1" applyAlignment="1">
      <alignment shrinkToFit="1"/>
    </xf>
    <xf numFmtId="10" fontId="35" fillId="0" borderId="63" xfId="11" applyNumberFormat="1" applyFont="1" applyBorder="1" applyAlignment="1">
      <alignment shrinkToFit="1"/>
    </xf>
    <xf numFmtId="0" fontId="44" fillId="0" borderId="64" xfId="11" applyFont="1" applyBorder="1" applyAlignment="1">
      <alignment horizontal="center" shrinkToFit="1"/>
    </xf>
    <xf numFmtId="3" fontId="27" fillId="7" borderId="65" xfId="11" applyNumberFormat="1" applyFont="1" applyFill="1" applyBorder="1" applyAlignment="1">
      <alignment shrinkToFit="1"/>
    </xf>
    <xf numFmtId="10" fontId="27" fillId="0" borderId="66" xfId="11" applyNumberFormat="1" applyFont="1" applyBorder="1" applyAlignment="1">
      <alignment shrinkToFit="1"/>
    </xf>
    <xf numFmtId="1" fontId="6" fillId="3" borderId="1" xfId="0" applyNumberFormat="1" applyFont="1" applyFill="1" applyBorder="1" applyAlignment="1">
      <alignment shrinkToFit="1"/>
    </xf>
    <xf numFmtId="1" fontId="27" fillId="3" borderId="18" xfId="0" applyNumberFormat="1" applyFont="1" applyFill="1" applyBorder="1" applyAlignment="1">
      <alignment shrinkToFit="1"/>
    </xf>
    <xf numFmtId="0" fontId="82" fillId="5" borderId="22" xfId="577" applyFont="1" applyFill="1" applyBorder="1" applyAlignment="1">
      <alignment horizontal="center" vertical="center" wrapText="1"/>
    </xf>
    <xf numFmtId="0" fontId="35" fillId="5" borderId="22" xfId="577" applyFont="1" applyFill="1" applyBorder="1" applyAlignment="1">
      <alignment horizontal="center" vertical="center" wrapText="1"/>
    </xf>
    <xf numFmtId="0" fontId="28" fillId="8" borderId="22" xfId="11" applyFont="1" applyFill="1" applyBorder="1" applyAlignment="1">
      <alignment horizontal="left" vertical="center"/>
    </xf>
    <xf numFmtId="197" fontId="35" fillId="4" borderId="22" xfId="11" applyNumberFormat="1" applyFont="1" applyFill="1" applyBorder="1" applyAlignment="1">
      <alignment horizontal="center" vertical="center"/>
    </xf>
    <xf numFmtId="198" fontId="35" fillId="8" borderId="22" xfId="11" applyNumberFormat="1" applyFont="1" applyFill="1" applyBorder="1" applyAlignment="1">
      <alignment horizontal="center" vertical="center"/>
    </xf>
    <xf numFmtId="198" fontId="35" fillId="8" borderId="22" xfId="13" applyNumberFormat="1" applyFont="1" applyFill="1" applyBorder="1" applyAlignment="1">
      <alignment horizontal="center" vertical="center"/>
    </xf>
    <xf numFmtId="185" fontId="35" fillId="0" borderId="22" xfId="13" applyNumberFormat="1" applyFont="1" applyFill="1" applyBorder="1" applyAlignment="1">
      <alignment horizontal="center" vertical="center"/>
    </xf>
    <xf numFmtId="198" fontId="35" fillId="0" borderId="22" xfId="11" applyNumberFormat="1" applyFont="1" applyBorder="1" applyAlignment="1">
      <alignment horizontal="center" vertical="center"/>
    </xf>
    <xf numFmtId="197" fontId="35" fillId="0" borderId="22" xfId="11" applyNumberFormat="1" applyFont="1" applyBorder="1" applyAlignment="1">
      <alignment horizontal="center" vertical="center"/>
    </xf>
    <xf numFmtId="0" fontId="35" fillId="0" borderId="22" xfId="11" applyFont="1" applyBorder="1" applyAlignment="1">
      <alignment horizontal="left" vertical="center"/>
    </xf>
    <xf numFmtId="1" fontId="28" fillId="0" borderId="67" xfId="11" applyNumberFormat="1" applyFont="1" applyBorder="1" applyAlignment="1">
      <alignment horizontal="center" vertical="center"/>
    </xf>
    <xf numFmtId="0" fontId="0" fillId="0" borderId="0" xfId="5" applyFont="1"/>
    <xf numFmtId="1" fontId="28" fillId="0" borderId="22" xfId="11" applyNumberFormat="1" applyFont="1" applyBorder="1" applyAlignment="1">
      <alignment horizontal="center" vertical="center"/>
    </xf>
    <xf numFmtId="1" fontId="66" fillId="0" borderId="68" xfId="11" applyNumberFormat="1" applyFont="1" applyBorder="1" applyAlignment="1">
      <alignment horizontal="center" vertical="center"/>
    </xf>
    <xf numFmtId="9" fontId="28" fillId="0" borderId="68" xfId="13" applyFont="1" applyBorder="1" applyAlignment="1">
      <alignment horizontal="center" vertical="center"/>
    </xf>
    <xf numFmtId="197" fontId="35" fillId="0" borderId="22" xfId="13" applyNumberFormat="1" applyFont="1" applyFill="1" applyBorder="1" applyAlignment="1">
      <alignment horizontal="center" vertical="center"/>
    </xf>
    <xf numFmtId="0" fontId="104" fillId="0" borderId="23" xfId="578" applyFont="1" applyBorder="1" applyAlignment="1">
      <alignment horizontal="center" vertical="center"/>
    </xf>
    <xf numFmtId="194" fontId="104" fillId="0" borderId="23" xfId="578" applyNumberFormat="1" applyFont="1" applyBorder="1" applyAlignment="1">
      <alignment horizontal="center" vertical="center"/>
    </xf>
    <xf numFmtId="189" fontId="104" fillId="0" borderId="23" xfId="578" applyNumberFormat="1" applyFont="1" applyBorder="1" applyAlignment="1">
      <alignment horizontal="center" vertical="center"/>
    </xf>
    <xf numFmtId="10" fontId="104" fillId="0" borderId="23" xfId="3" applyNumberFormat="1" applyFont="1" applyFill="1" applyBorder="1" applyAlignment="1">
      <alignment horizontal="center" vertical="center"/>
    </xf>
    <xf numFmtId="0" fontId="106" fillId="0" borderId="23" xfId="578" applyFont="1" applyBorder="1" applyAlignment="1">
      <alignment horizontal="center" vertical="center" wrapText="1"/>
    </xf>
    <xf numFmtId="0" fontId="109" fillId="0" borderId="23" xfId="11" applyFont="1" applyBorder="1" applyAlignment="1">
      <alignment horizontal="center" vertical="center"/>
    </xf>
    <xf numFmtId="0" fontId="110" fillId="0" borderId="23" xfId="11" applyFont="1" applyBorder="1" applyAlignment="1">
      <alignment horizontal="center" vertical="center"/>
    </xf>
    <xf numFmtId="193" fontId="111" fillId="5" borderId="22" xfId="5" applyNumberFormat="1" applyFont="1" applyFill="1" applyBorder="1" applyAlignment="1">
      <alignment horizontal="center" vertical="center"/>
    </xf>
    <xf numFmtId="194" fontId="112" fillId="8" borderId="22" xfId="577" applyNumberFormat="1" applyFont="1" applyFill="1" applyBorder="1" applyAlignment="1">
      <alignment horizontal="center" vertical="center"/>
    </xf>
    <xf numFmtId="194" fontId="112" fillId="8" borderId="22" xfId="579" applyNumberFormat="1" applyFont="1" applyFill="1" applyBorder="1" applyAlignment="1">
      <alignment horizontal="center" vertical="center"/>
    </xf>
    <xf numFmtId="189" fontId="112" fillId="0" borderId="22" xfId="577" applyNumberFormat="1" applyFont="1" applyBorder="1" applyAlignment="1">
      <alignment horizontal="center" vertical="center"/>
    </xf>
    <xf numFmtId="10" fontId="112" fillId="0" borderId="22" xfId="3" applyNumberFormat="1" applyFont="1" applyBorder="1" applyAlignment="1">
      <alignment horizontal="center" vertical="center"/>
    </xf>
    <xf numFmtId="193" fontId="111" fillId="15" borderId="22" xfId="5" applyNumberFormat="1" applyFont="1" applyFill="1" applyBorder="1" applyAlignment="1">
      <alignment horizontal="center" vertical="center"/>
    </xf>
    <xf numFmtId="0" fontId="113" fillId="0" borderId="0" xfId="578" applyFont="1">
      <alignment vertical="center"/>
    </xf>
    <xf numFmtId="193" fontId="114" fillId="0" borderId="22" xfId="5" applyNumberFormat="1" applyFont="1" applyBorder="1" applyAlignment="1">
      <alignment horizontal="center" vertical="center"/>
    </xf>
    <xf numFmtId="0" fontId="1" fillId="0" borderId="0" xfId="578">
      <alignment vertical="center"/>
    </xf>
    <xf numFmtId="0" fontId="25" fillId="0" borderId="69" xfId="11" applyFont="1" applyBorder="1" applyAlignment="1">
      <alignment shrinkToFit="1"/>
    </xf>
    <xf numFmtId="0" fontId="27" fillId="0" borderId="43" xfId="11" applyFont="1" applyBorder="1" applyAlignment="1">
      <alignment horizontal="center" vertical="center" shrinkToFit="1"/>
    </xf>
    <xf numFmtId="1" fontId="26" fillId="0" borderId="22" xfId="0" applyNumberFormat="1" applyFont="1" applyBorder="1" applyAlignment="1">
      <alignment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120" fillId="0" borderId="22" xfId="11" applyFont="1" applyBorder="1" applyAlignment="1">
      <alignment horizontal="center" vertical="center"/>
    </xf>
    <xf numFmtId="0" fontId="121" fillId="0" borderId="22" xfId="11" applyFont="1" applyBorder="1" applyAlignment="1">
      <alignment horizontal="center" vertical="center"/>
    </xf>
    <xf numFmtId="183" fontId="0" fillId="0" borderId="23" xfId="0" applyNumberFormat="1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30" xfId="0" applyNumberFormat="1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13" borderId="0" xfId="0" applyFont="1" applyFill="1" applyAlignment="1">
      <alignment horizontal="left" vertical="center"/>
    </xf>
    <xf numFmtId="0" fontId="34" fillId="13" borderId="0" xfId="0" applyFont="1" applyFill="1" applyAlignment="1">
      <alignment horizontal="left" vertical="center"/>
    </xf>
    <xf numFmtId="0" fontId="34" fillId="13" borderId="26" xfId="0" applyFont="1" applyFill="1" applyBorder="1" applyAlignment="1">
      <alignment horizontal="left" vertical="center"/>
    </xf>
    <xf numFmtId="1" fontId="32" fillId="0" borderId="22" xfId="0" applyNumberFormat="1" applyFon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4" borderId="27" xfId="0" applyFont="1" applyFill="1" applyBorder="1" applyAlignment="1">
      <alignment horizontal="center" vertical="center"/>
    </xf>
    <xf numFmtId="0" fontId="32" fillId="4" borderId="28" xfId="0" applyFont="1" applyFill="1" applyBorder="1" applyAlignment="1">
      <alignment horizontal="center" vertical="center"/>
    </xf>
    <xf numFmtId="0" fontId="32" fillId="4" borderId="25" xfId="0" applyFont="1" applyFill="1" applyBorder="1" applyAlignment="1">
      <alignment horizontal="center" vertical="center"/>
    </xf>
    <xf numFmtId="179" fontId="32" fillId="0" borderId="27" xfId="0" applyNumberFormat="1" applyFont="1" applyBorder="1" applyAlignment="1">
      <alignment horizontal="center" vertical="center"/>
    </xf>
    <xf numFmtId="179" fontId="32" fillId="0" borderId="28" xfId="0" applyNumberFormat="1" applyFont="1" applyBorder="1" applyAlignment="1">
      <alignment horizontal="center" vertical="center"/>
    </xf>
    <xf numFmtId="179" fontId="32" fillId="0" borderId="25" xfId="0" applyNumberFormat="1" applyFont="1" applyBorder="1" applyAlignment="1">
      <alignment horizontal="center" vertical="center"/>
    </xf>
    <xf numFmtId="179" fontId="32" fillId="0" borderId="22" xfId="0" applyNumberFormat="1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0" fontId="33" fillId="0" borderId="26" xfId="0" applyFont="1" applyBorder="1" applyAlignment="1">
      <alignment horizontal="left" vertical="center"/>
    </xf>
    <xf numFmtId="179" fontId="71" fillId="5" borderId="27" xfId="0" applyNumberFormat="1" applyFont="1" applyFill="1" applyBorder="1" applyAlignment="1">
      <alignment horizontal="center" vertical="center"/>
    </xf>
    <xf numFmtId="179" fontId="71" fillId="5" borderId="28" xfId="0" applyNumberFormat="1" applyFont="1" applyFill="1" applyBorder="1" applyAlignment="1">
      <alignment horizontal="center" vertical="center"/>
    </xf>
    <xf numFmtId="179" fontId="71" fillId="5" borderId="25" xfId="0" applyNumberFormat="1" applyFont="1" applyFill="1" applyBorder="1" applyAlignment="1">
      <alignment horizontal="center" vertical="center"/>
    </xf>
    <xf numFmtId="0" fontId="33" fillId="0" borderId="37" xfId="0" applyFont="1" applyBorder="1" applyAlignment="1">
      <alignment horizontal="left" vertical="center"/>
    </xf>
    <xf numFmtId="0" fontId="34" fillId="0" borderId="37" xfId="0" applyFon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7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0" fillId="0" borderId="4" xfId="0" applyFont="1" applyBorder="1" applyAlignment="1">
      <alignment shrinkToFit="1"/>
    </xf>
    <xf numFmtId="0" fontId="6" fillId="0" borderId="4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Alignment="1">
      <alignment shrinkToFit="1"/>
    </xf>
    <xf numFmtId="0" fontId="6" fillId="0" borderId="19" xfId="0" applyFont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41" fillId="0" borderId="0" xfId="0" applyFont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6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26" fillId="7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178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81" fontId="14" fillId="0" borderId="0" xfId="0" applyNumberFormat="1" applyFont="1" applyAlignment="1">
      <alignment horizontal="center" vertical="center"/>
    </xf>
    <xf numFmtId="10" fontId="14" fillId="5" borderId="0" xfId="0" applyNumberFormat="1" applyFont="1" applyFill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shrinkToFit="1"/>
    </xf>
    <xf numFmtId="182" fontId="27" fillId="0" borderId="22" xfId="0" applyNumberFormat="1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2" fontId="26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 applyAlignment="1">
      <alignment horizontal="center" vertical="center"/>
    </xf>
    <xf numFmtId="177" fontId="17" fillId="0" borderId="22" xfId="0" applyNumberFormat="1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/>
    </xf>
    <xf numFmtId="177" fontId="21" fillId="0" borderId="22" xfId="0" applyNumberFormat="1" applyFont="1" applyBorder="1" applyAlignment="1">
      <alignment horizontal="center" vertical="center" shrinkToFit="1"/>
    </xf>
    <xf numFmtId="177" fontId="27" fillId="0" borderId="22" xfId="0" applyNumberFormat="1" applyFont="1" applyBorder="1" applyAlignment="1">
      <alignment horizontal="center" vertical="center" shrinkToFit="1"/>
    </xf>
    <xf numFmtId="177" fontId="22" fillId="0" borderId="22" xfId="0" applyNumberFormat="1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" fontId="32" fillId="0" borderId="31" xfId="0" applyNumberFormat="1" applyFont="1" applyBorder="1" applyAlignment="1">
      <alignment horizontal="center" vertical="center"/>
    </xf>
    <xf numFmtId="1" fontId="32" fillId="0" borderId="33" xfId="0" applyNumberFormat="1" applyFont="1" applyBorder="1" applyAlignment="1">
      <alignment horizontal="center" vertical="center"/>
    </xf>
    <xf numFmtId="1" fontId="32" fillId="0" borderId="35" xfId="0" applyNumberFormat="1" applyFont="1" applyBorder="1" applyAlignment="1">
      <alignment horizontal="center" vertical="center"/>
    </xf>
    <xf numFmtId="1" fontId="32" fillId="0" borderId="23" xfId="0" applyNumberFormat="1" applyFont="1" applyBorder="1" applyAlignment="1">
      <alignment horizontal="center" vertical="center"/>
    </xf>
    <xf numFmtId="1" fontId="32" fillId="0" borderId="29" xfId="0" applyNumberFormat="1" applyFont="1" applyBorder="1" applyAlignment="1">
      <alignment horizontal="center" vertical="center"/>
    </xf>
    <xf numFmtId="1" fontId="32" fillId="0" borderId="30" xfId="0" applyNumberFormat="1" applyFont="1" applyBorder="1" applyAlignment="1">
      <alignment horizontal="center" vertical="center"/>
    </xf>
    <xf numFmtId="179" fontId="70" fillId="5" borderId="27" xfId="0" applyNumberFormat="1" applyFont="1" applyFill="1" applyBorder="1" applyAlignment="1">
      <alignment horizontal="center" vertical="center"/>
    </xf>
    <xf numFmtId="179" fontId="70" fillId="5" borderId="28" xfId="0" applyNumberFormat="1" applyFont="1" applyFill="1" applyBorder="1" applyAlignment="1">
      <alignment horizontal="center" vertical="center"/>
    </xf>
    <xf numFmtId="179" fontId="70" fillId="5" borderId="25" xfId="0" applyNumberFormat="1" applyFont="1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5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Alignment="1">
      <alignment horizontal="left" vertical="center" shrinkToFit="1"/>
    </xf>
    <xf numFmtId="0" fontId="54" fillId="0" borderId="0" xfId="0" applyFont="1" applyAlignment="1">
      <alignment horizontal="left" vertical="center" shrinkToFit="1"/>
    </xf>
    <xf numFmtId="0" fontId="21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0" fontId="21" fillId="0" borderId="31" xfId="0" applyFont="1" applyBorder="1" applyAlignment="1">
      <alignment horizontal="center" vertical="center" wrapText="1" shrinkToFit="1"/>
    </xf>
    <xf numFmtId="0" fontId="21" fillId="0" borderId="32" xfId="0" applyFont="1" applyBorder="1" applyAlignment="1">
      <alignment horizontal="center" vertical="center" wrapText="1" shrinkToFit="1"/>
    </xf>
    <xf numFmtId="0" fontId="21" fillId="0" borderId="33" xfId="0" applyFont="1" applyBorder="1" applyAlignment="1">
      <alignment horizontal="center" vertical="center" wrapText="1" shrinkToFit="1"/>
    </xf>
    <xf numFmtId="0" fontId="21" fillId="0" borderId="34" xfId="0" applyFont="1" applyBorder="1" applyAlignment="1">
      <alignment horizontal="center" vertical="center" wrapText="1" shrinkToFit="1"/>
    </xf>
    <xf numFmtId="0" fontId="21" fillId="0" borderId="35" xfId="0" applyFont="1" applyBorder="1" applyAlignment="1">
      <alignment horizontal="center" vertical="center" wrapText="1" shrinkToFit="1"/>
    </xf>
    <xf numFmtId="0" fontId="21" fillId="0" borderId="36" xfId="0" applyFont="1" applyBorder="1" applyAlignment="1">
      <alignment horizontal="center" vertical="center" wrapText="1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52" fillId="0" borderId="22" xfId="0" applyFont="1" applyBorder="1" applyAlignment="1">
      <alignment shrinkToFit="1"/>
    </xf>
    <xf numFmtId="0" fontId="115" fillId="0" borderId="31" xfId="0" applyFont="1" applyBorder="1" applyAlignment="1">
      <alignment horizontal="center" vertical="center" wrapText="1" shrinkToFit="1"/>
    </xf>
    <xf numFmtId="0" fontId="116" fillId="0" borderId="32" xfId="0" applyFont="1" applyBorder="1" applyAlignment="1">
      <alignment horizontal="center" vertical="center" wrapText="1" shrinkToFit="1"/>
    </xf>
    <xf numFmtId="0" fontId="116" fillId="0" borderId="35" xfId="0" applyFont="1" applyBorder="1" applyAlignment="1">
      <alignment horizontal="center" vertical="center" wrapText="1" shrinkToFit="1"/>
    </xf>
    <xf numFmtId="0" fontId="116" fillId="0" borderId="36" xfId="0" applyFont="1" applyBorder="1" applyAlignment="1">
      <alignment horizontal="center" vertical="center" wrapText="1" shrinkToFit="1"/>
    </xf>
    <xf numFmtId="0" fontId="21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0" fontId="27" fillId="0" borderId="22" xfId="0" applyFont="1" applyBorder="1" applyAlignment="1">
      <alignment horizontal="center" shrinkToFit="1"/>
    </xf>
    <xf numFmtId="0" fontId="27" fillId="0" borderId="31" xfId="0" applyFont="1" applyBorder="1" applyAlignment="1">
      <alignment horizontal="center" vertical="center" shrinkToFit="1"/>
    </xf>
    <xf numFmtId="0" fontId="27" fillId="0" borderId="32" xfId="0" applyFont="1" applyBorder="1" applyAlignment="1">
      <alignment horizontal="center" vertical="center" shrinkToFit="1"/>
    </xf>
    <xf numFmtId="0" fontId="27" fillId="0" borderId="35" xfId="0" applyFont="1" applyBorder="1" applyAlignment="1">
      <alignment horizontal="center" vertical="center" shrinkToFit="1"/>
    </xf>
    <xf numFmtId="0" fontId="27" fillId="0" borderId="36" xfId="0" applyFont="1" applyBorder="1" applyAlignment="1">
      <alignment horizontal="center" vertical="center" shrinkToFit="1"/>
    </xf>
    <xf numFmtId="0" fontId="117" fillId="0" borderId="31" xfId="0" applyFont="1" applyBorder="1" applyAlignment="1">
      <alignment horizontal="center" wrapText="1" shrinkToFit="1"/>
    </xf>
    <xf numFmtId="0" fontId="118" fillId="0" borderId="32" xfId="0" applyFont="1" applyBorder="1" applyAlignment="1">
      <alignment horizontal="center" wrapText="1" shrinkToFit="1"/>
    </xf>
    <xf numFmtId="0" fontId="118" fillId="0" borderId="35" xfId="0" applyFont="1" applyBorder="1" applyAlignment="1">
      <alignment horizontal="center" wrapText="1" shrinkToFit="1"/>
    </xf>
    <xf numFmtId="0" fontId="118" fillId="0" borderId="36" xfId="0" applyFont="1" applyBorder="1" applyAlignment="1">
      <alignment horizontal="center" wrapText="1" shrinkToFit="1"/>
    </xf>
    <xf numFmtId="0" fontId="21" fillId="0" borderId="22" xfId="0" applyFont="1" applyBorder="1" applyAlignment="1">
      <alignment horizont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33" xfId="0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21" fillId="0" borderId="31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 shrinkToFit="1"/>
    </xf>
    <xf numFmtId="0" fontId="21" fillId="0" borderId="35" xfId="0" applyFont="1" applyBorder="1" applyAlignment="1">
      <alignment horizontal="center" vertical="center" shrinkToFit="1"/>
    </xf>
    <xf numFmtId="0" fontId="21" fillId="0" borderId="36" xfId="0" applyFont="1" applyBorder="1" applyAlignment="1">
      <alignment horizontal="center" vertical="center" shrinkToFit="1"/>
    </xf>
    <xf numFmtId="0" fontId="21" fillId="0" borderId="27" xfId="0" applyFont="1" applyBorder="1" applyAlignment="1">
      <alignment vertical="center" shrinkToFit="1"/>
    </xf>
    <xf numFmtId="0" fontId="27" fillId="0" borderId="25" xfId="0" applyFont="1" applyBorder="1" applyAlignment="1">
      <alignment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5" fillId="0" borderId="23" xfId="0" applyFont="1" applyBorder="1" applyAlignment="1">
      <alignment horizontal="center" vertical="center" shrinkToFit="1"/>
    </xf>
    <xf numFmtId="0" fontId="25" fillId="0" borderId="29" xfId="0" applyFont="1" applyBorder="1" applyAlignment="1">
      <alignment horizontal="center" vertical="center" shrinkToFit="1"/>
    </xf>
    <xf numFmtId="0" fontId="25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27" fillId="0" borderId="27" xfId="0" applyFont="1" applyBorder="1" applyAlignment="1">
      <alignment horizontal="center" vertical="center" shrinkToFit="1"/>
    </xf>
    <xf numFmtId="0" fontId="27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27" fillId="0" borderId="27" xfId="0" applyFont="1" applyBorder="1" applyAlignment="1">
      <alignment shrinkToFit="1"/>
    </xf>
    <xf numFmtId="0" fontId="27" fillId="0" borderId="25" xfId="0" applyFont="1" applyBorder="1" applyAlignment="1">
      <alignment shrinkToFit="1"/>
    </xf>
    <xf numFmtId="0" fontId="27" fillId="0" borderId="28" xfId="0" applyFont="1" applyBorder="1" applyAlignment="1">
      <alignment shrinkToFit="1"/>
    </xf>
    <xf numFmtId="0" fontId="21" fillId="0" borderId="27" xfId="0" applyFont="1" applyBorder="1" applyAlignment="1">
      <alignment horizontal="center" vertical="center" wrapText="1" shrinkToFit="1"/>
    </xf>
    <xf numFmtId="0" fontId="21" fillId="0" borderId="25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wrapText="1" shrinkToFit="1"/>
    </xf>
    <xf numFmtId="0" fontId="21" fillId="0" borderId="27" xfId="0" applyFont="1" applyBorder="1" applyAlignment="1">
      <alignment horizontal="center" vertical="center" shrinkToFit="1"/>
    </xf>
    <xf numFmtId="0" fontId="21" fillId="0" borderId="25" xfId="0" applyFont="1" applyBorder="1" applyAlignment="1">
      <alignment horizontal="center" vertical="center" wrapText="1" shrinkToFit="1"/>
    </xf>
    <xf numFmtId="0" fontId="115" fillId="0" borderId="32" xfId="0" applyFont="1" applyBorder="1" applyAlignment="1">
      <alignment horizontal="center" vertical="center" wrapText="1" shrinkToFit="1"/>
    </xf>
    <xf numFmtId="0" fontId="115" fillId="0" borderId="35" xfId="0" applyFont="1" applyBorder="1" applyAlignment="1">
      <alignment horizontal="center" vertical="center" wrapText="1" shrinkToFit="1"/>
    </xf>
    <xf numFmtId="0" fontId="115" fillId="0" borderId="36" xfId="0" applyFont="1" applyBorder="1" applyAlignment="1">
      <alignment horizontal="center" vertical="center" wrapText="1" shrinkToFit="1"/>
    </xf>
    <xf numFmtId="0" fontId="41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 shrinkToFit="1"/>
    </xf>
    <xf numFmtId="0" fontId="27" fillId="0" borderId="37" xfId="11" applyFont="1" applyBorder="1" applyAlignment="1">
      <alignment horizontal="center" vertical="center" shrinkToFit="1"/>
    </xf>
    <xf numFmtId="0" fontId="27" fillId="0" borderId="0" xfId="11" applyFont="1" applyAlignment="1">
      <alignment horizontal="center" vertical="center" shrinkToFit="1"/>
    </xf>
    <xf numFmtId="0" fontId="25" fillId="0" borderId="22" xfId="11" applyFont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60" fillId="0" borderId="22" xfId="11" applyFont="1" applyBorder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42" xfId="11" applyFont="1" applyBorder="1" applyAlignment="1">
      <alignment horizontal="center" vertical="center" shrinkToFit="1"/>
    </xf>
    <xf numFmtId="0" fontId="60" fillId="0" borderId="43" xfId="11" applyFont="1" applyBorder="1" applyAlignment="1">
      <alignment horizontal="center" vertical="center" shrinkToFit="1"/>
    </xf>
    <xf numFmtId="0" fontId="60" fillId="0" borderId="59" xfId="11" applyFont="1" applyBorder="1" applyAlignment="1">
      <alignment horizontal="center" vertical="center" shrinkToFit="1"/>
    </xf>
    <xf numFmtId="0" fontId="60" fillId="0" borderId="50" xfId="11" applyFont="1" applyBorder="1" applyAlignment="1">
      <alignment horizontal="center" vertical="center" shrinkToFit="1"/>
    </xf>
    <xf numFmtId="0" fontId="60" fillId="0" borderId="28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13" fillId="18" borderId="54" xfId="11" applyFont="1" applyFill="1" applyBorder="1" applyAlignment="1">
      <alignment horizontal="center" vertical="center" shrinkToFit="1"/>
    </xf>
    <xf numFmtId="0" fontId="13" fillId="18" borderId="55" xfId="11" applyFont="1" applyFill="1" applyBorder="1" applyAlignment="1">
      <alignment horizontal="center" vertical="center" shrinkToFit="1"/>
    </xf>
    <xf numFmtId="0" fontId="13" fillId="18" borderId="56" xfId="11" applyFont="1" applyFill="1" applyBorder="1" applyAlignment="1">
      <alignment horizontal="center" vertical="center" shrinkToFit="1"/>
    </xf>
    <xf numFmtId="0" fontId="45" fillId="0" borderId="42" xfId="11" applyFont="1" applyBorder="1" applyAlignment="1">
      <alignment horizontal="center" vertical="center"/>
    </xf>
    <xf numFmtId="0" fontId="27" fillId="0" borderId="43" xfId="11" applyFont="1" applyBorder="1" applyAlignment="1">
      <alignment horizontal="center" vertical="center" shrinkToFit="1"/>
    </xf>
    <xf numFmtId="0" fontId="45" fillId="0" borderId="70" xfId="11" applyFont="1" applyBorder="1" applyAlignment="1">
      <alignment horizontal="center" vertical="center"/>
    </xf>
    <xf numFmtId="0" fontId="45" fillId="0" borderId="59" xfId="11" applyFont="1" applyBorder="1" applyAlignment="1">
      <alignment horizontal="center" vertical="center"/>
    </xf>
    <xf numFmtId="0" fontId="25" fillId="0" borderId="57" xfId="11" applyFont="1" applyBorder="1" applyAlignment="1">
      <alignment horizontal="center" vertical="center" shrinkToFit="1"/>
    </xf>
    <xf numFmtId="0" fontId="25" fillId="0" borderId="71" xfId="11" applyFont="1" applyBorder="1" applyAlignment="1">
      <alignment horizontal="center" vertical="center" shrinkToFit="1"/>
    </xf>
    <xf numFmtId="0" fontId="25" fillId="0" borderId="36" xfId="11" applyFont="1" applyBorder="1" applyAlignment="1">
      <alignment horizontal="center" vertical="center" shrinkToFit="1"/>
    </xf>
    <xf numFmtId="0" fontId="25" fillId="0" borderId="30" xfId="11" applyFont="1" applyBorder="1" applyAlignment="1">
      <alignment horizontal="center" vertical="center" shrinkToFit="1"/>
    </xf>
    <xf numFmtId="0" fontId="25" fillId="0" borderId="35" xfId="11" applyFont="1" applyBorder="1" applyAlignment="1">
      <alignment horizontal="center" vertical="center" shrinkToFit="1"/>
    </xf>
    <xf numFmtId="0" fontId="25" fillId="0" borderId="70" xfId="11" applyFont="1" applyBorder="1" applyAlignment="1">
      <alignment horizontal="center" vertical="center" shrinkToFit="1"/>
    </xf>
    <xf numFmtId="0" fontId="25" fillId="0" borderId="58" xfId="11" applyFont="1" applyBorder="1" applyAlignment="1">
      <alignment horizontal="center" vertical="center" shrinkToFit="1"/>
    </xf>
    <xf numFmtId="0" fontId="25" fillId="0" borderId="26" xfId="11" applyFont="1" applyBorder="1" applyAlignment="1">
      <alignment horizontal="center" vertical="center" shrinkToFit="1"/>
    </xf>
    <xf numFmtId="0" fontId="119" fillId="0" borderId="4" xfId="0" applyFont="1" applyBorder="1" applyAlignment="1">
      <alignment horizontal="center" shrinkToFit="1"/>
    </xf>
    <xf numFmtId="0" fontId="10" fillId="0" borderId="3" xfId="0" applyFont="1" applyBorder="1" applyAlignment="1">
      <alignment horizontal="center" shrinkToFit="1"/>
    </xf>
    <xf numFmtId="0" fontId="10" fillId="0" borderId="4" xfId="0" applyFont="1" applyBorder="1" applyAlignment="1">
      <alignment horizontal="center" shrinkToFit="1"/>
    </xf>
    <xf numFmtId="0" fontId="62" fillId="0" borderId="22" xfId="0" applyFont="1" applyBorder="1" applyAlignment="1">
      <alignment horizontal="center" vertical="center" shrinkToFit="1"/>
    </xf>
    <xf numFmtId="0" fontId="25" fillId="8" borderId="22" xfId="0" applyFont="1" applyFill="1" applyBorder="1" applyAlignment="1">
      <alignment horizontal="center" vertical="center" shrinkToFit="1"/>
    </xf>
    <xf numFmtId="0" fontId="27" fillId="8" borderId="22" xfId="0" applyFont="1" applyFill="1" applyBorder="1" applyAlignment="1">
      <alignment horizontal="center" vertical="center" shrinkToFit="1"/>
    </xf>
    <xf numFmtId="0" fontId="27" fillId="2" borderId="27" xfId="0" applyFont="1" applyFill="1" applyBorder="1" applyAlignment="1">
      <alignment horizontal="center" shrinkToFit="1"/>
    </xf>
    <xf numFmtId="0" fontId="27" fillId="2" borderId="28" xfId="0" applyFont="1" applyFill="1" applyBorder="1" applyAlignment="1">
      <alignment horizontal="center" shrinkToFit="1"/>
    </xf>
    <xf numFmtId="0" fontId="27" fillId="2" borderId="25" xfId="0" applyFont="1" applyFill="1" applyBorder="1" applyAlignment="1">
      <alignment horizontal="center" shrinkToFit="1"/>
    </xf>
    <xf numFmtId="0" fontId="6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5" fillId="0" borderId="27" xfId="0" applyFont="1" applyBorder="1" applyAlignment="1">
      <alignment horizontal="center" vertical="center" shrinkToFit="1"/>
    </xf>
    <xf numFmtId="0" fontId="25" fillId="0" borderId="25" xfId="0" applyFont="1" applyBorder="1" applyAlignment="1">
      <alignment horizontal="center" vertical="center" shrinkToFit="1"/>
    </xf>
    <xf numFmtId="0" fontId="25" fillId="0" borderId="23" xfId="0" applyFont="1" applyBorder="1" applyAlignment="1">
      <alignment horizontal="center" vertical="center" wrapText="1" shrinkToFit="1"/>
    </xf>
    <xf numFmtId="0" fontId="25" fillId="0" borderId="29" xfId="0" applyFont="1" applyBorder="1" applyAlignment="1">
      <alignment horizontal="center" vertical="center" wrapText="1" shrinkToFit="1"/>
    </xf>
    <xf numFmtId="0" fontId="25" fillId="0" borderId="30" xfId="0" applyFont="1" applyBorder="1" applyAlignment="1">
      <alignment horizontal="center" vertical="center" wrapText="1"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27" fillId="2" borderId="27" xfId="0" applyFont="1" applyFill="1" applyBorder="1" applyAlignment="1">
      <alignment horizontal="center" vertical="center" shrinkToFit="1"/>
    </xf>
    <xf numFmtId="0" fontId="27" fillId="2" borderId="28" xfId="0" applyFont="1" applyFill="1" applyBorder="1" applyAlignment="1">
      <alignment horizontal="center" vertical="center" shrinkToFit="1"/>
    </xf>
    <xf numFmtId="0" fontId="27" fillId="2" borderId="25" xfId="0" applyFont="1" applyFill="1" applyBorder="1" applyAlignment="1">
      <alignment horizontal="center" vertical="center" shrinkToFit="1"/>
    </xf>
    <xf numFmtId="0" fontId="27" fillId="2" borderId="35" xfId="0" applyFont="1" applyFill="1" applyBorder="1" applyAlignment="1">
      <alignment horizontal="center" vertical="center" shrinkToFit="1"/>
    </xf>
    <xf numFmtId="0" fontId="27" fillId="2" borderId="26" xfId="0" applyFont="1" applyFill="1" applyBorder="1" applyAlignment="1">
      <alignment horizontal="center" vertical="center" shrinkToFit="1"/>
    </xf>
    <xf numFmtId="0" fontId="27" fillId="2" borderId="36" xfId="0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shrinkToFit="1"/>
    </xf>
    <xf numFmtId="0" fontId="32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6" fillId="2" borderId="4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wrapText="1" shrinkToFit="1"/>
    </xf>
    <xf numFmtId="0" fontId="6" fillId="2" borderId="22" xfId="0" applyFont="1" applyFill="1" applyBorder="1" applyAlignment="1">
      <alignment horizontal="center" shrinkToFit="1"/>
    </xf>
    <xf numFmtId="0" fontId="6" fillId="2" borderId="22" xfId="0" applyFont="1" applyFill="1" applyBorder="1" applyAlignment="1">
      <alignment horizontal="center" vertical="center" shrinkToFit="1"/>
    </xf>
    <xf numFmtId="0" fontId="32" fillId="0" borderId="22" xfId="0" applyFont="1" applyBorder="1" applyAlignment="1">
      <alignment horizontal="center" vertical="center" wrapText="1" shrinkToFit="1"/>
    </xf>
    <xf numFmtId="0" fontId="6" fillId="2" borderId="39" xfId="0" applyFont="1" applyFill="1" applyBorder="1" applyAlignment="1">
      <alignment horizontal="center" shrinkToFit="1"/>
    </xf>
    <xf numFmtId="0" fontId="6" fillId="2" borderId="2" xfId="0" applyFont="1" applyFill="1" applyBorder="1" applyAlignment="1">
      <alignment horizontal="center" shrinkToFit="1"/>
    </xf>
    <xf numFmtId="0" fontId="6" fillId="2" borderId="3" xfId="0" applyFont="1" applyFill="1" applyBorder="1" applyAlignment="1">
      <alignment horizontal="center" shrinkToFit="1"/>
    </xf>
    <xf numFmtId="0" fontId="6" fillId="2" borderId="0" xfId="0" applyFont="1" applyFill="1" applyAlignment="1">
      <alignment horizontal="center" vertical="center" shrinkToFit="1"/>
    </xf>
    <xf numFmtId="0" fontId="6" fillId="2" borderId="40" xfId="0" applyFont="1" applyFill="1" applyBorder="1" applyAlignment="1">
      <alignment horizontal="center" vertical="center" shrinkToFit="1"/>
    </xf>
    <xf numFmtId="0" fontId="25" fillId="8" borderId="22" xfId="11" applyFont="1" applyFill="1" applyBorder="1" applyAlignment="1">
      <alignment horizontal="center" vertical="center" shrinkToFit="1"/>
    </xf>
    <xf numFmtId="0" fontId="27" fillId="8" borderId="22" xfId="11" applyFont="1" applyFill="1" applyBorder="1" applyAlignment="1">
      <alignment horizontal="center" vertical="center" shrinkToFit="1"/>
    </xf>
    <xf numFmtId="0" fontId="62" fillId="0" borderId="22" xfId="11" applyFont="1" applyBorder="1" applyAlignment="1">
      <alignment horizontal="center" vertical="center" shrinkToFit="1"/>
    </xf>
    <xf numFmtId="0" fontId="10" fillId="0" borderId="48" xfId="0" applyFont="1" applyBorder="1" applyAlignment="1">
      <alignment horizontal="center" shrinkToFit="1"/>
    </xf>
    <xf numFmtId="0" fontId="10" fillId="0" borderId="49" xfId="0" applyFont="1" applyBorder="1" applyAlignment="1">
      <alignment horizont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7" fillId="2" borderId="23" xfId="0" applyFont="1" applyFill="1" applyBorder="1" applyAlignment="1">
      <alignment horizontal="center" vertical="center" shrinkToFit="1"/>
    </xf>
    <xf numFmtId="0" fontId="27" fillId="2" borderId="33" xfId="0" applyFont="1" applyFill="1" applyBorder="1" applyAlignment="1">
      <alignment horizontal="center" vertical="center" shrinkToFit="1"/>
    </xf>
    <xf numFmtId="0" fontId="27" fillId="2" borderId="0" xfId="0" applyFont="1" applyFill="1" applyAlignment="1">
      <alignment horizontal="center" vertical="center" shrinkToFit="1"/>
    </xf>
    <xf numFmtId="0" fontId="27" fillId="0" borderId="0" xfId="0" applyFont="1" applyAlignment="1">
      <alignment horizontal="center" shrinkToFit="1"/>
    </xf>
    <xf numFmtId="0" fontId="27" fillId="0" borderId="38" xfId="0" applyFont="1" applyBorder="1" applyAlignment="1">
      <alignment horizontal="center" shrinkToFit="1"/>
    </xf>
    <xf numFmtId="0" fontId="27" fillId="2" borderId="29" xfId="0" applyFont="1" applyFill="1" applyBorder="1" applyAlignment="1">
      <alignment horizontal="center" vertical="center" shrinkToFit="1"/>
    </xf>
    <xf numFmtId="0" fontId="37" fillId="5" borderId="27" xfId="577" applyFont="1" applyFill="1" applyBorder="1" applyAlignment="1">
      <alignment horizontal="center" vertical="center"/>
    </xf>
    <xf numFmtId="0" fontId="37" fillId="5" borderId="25" xfId="577" applyFont="1" applyFill="1" applyBorder="1" applyAlignment="1">
      <alignment horizontal="center" vertical="center"/>
    </xf>
    <xf numFmtId="0" fontId="38" fillId="0" borderId="26" xfId="11" applyFont="1" applyBorder="1" applyAlignment="1">
      <alignment horizontal="center" vertical="center"/>
    </xf>
    <xf numFmtId="0" fontId="31" fillId="0" borderId="26" xfId="11" applyFont="1" applyBorder="1" applyAlignment="1">
      <alignment horizontal="center" vertical="center"/>
    </xf>
    <xf numFmtId="0" fontId="28" fillId="5" borderId="33" xfId="11" applyFont="1" applyFill="1" applyBorder="1" applyAlignment="1">
      <alignment horizontal="center" vertical="center"/>
    </xf>
    <xf numFmtId="0" fontId="28" fillId="5" borderId="34" xfId="11" applyFont="1" applyFill="1" applyBorder="1" applyAlignment="1">
      <alignment horizontal="center" vertical="center"/>
    </xf>
    <xf numFmtId="0" fontId="28" fillId="5" borderId="35" xfId="11" applyFont="1" applyFill="1" applyBorder="1" applyAlignment="1">
      <alignment horizontal="center" vertical="center"/>
    </xf>
    <xf numFmtId="0" fontId="28" fillId="5" borderId="36" xfId="11" applyFont="1" applyFill="1" applyBorder="1" applyAlignment="1">
      <alignment horizontal="center" vertical="center"/>
    </xf>
    <xf numFmtId="0" fontId="35" fillId="5" borderId="22" xfId="577" applyFont="1" applyFill="1" applyBorder="1" applyAlignment="1">
      <alignment horizontal="center" vertical="center"/>
    </xf>
    <xf numFmtId="0" fontId="82" fillId="5" borderId="22" xfId="577" applyFont="1" applyFill="1" applyBorder="1" applyAlignment="1">
      <alignment horizontal="center" vertical="center"/>
    </xf>
    <xf numFmtId="0" fontId="51" fillId="5" borderId="31" xfId="5" applyFont="1" applyFill="1" applyBorder="1" applyAlignment="1">
      <alignment horizontal="center" vertical="center"/>
    </xf>
    <xf numFmtId="0" fontId="51" fillId="5" borderId="37" xfId="5" applyFont="1" applyFill="1" applyBorder="1" applyAlignment="1">
      <alignment horizontal="center" vertical="center"/>
    </xf>
    <xf numFmtId="0" fontId="51" fillId="5" borderId="32" xfId="5" applyFont="1" applyFill="1" applyBorder="1" applyAlignment="1">
      <alignment horizontal="center" vertical="center"/>
    </xf>
    <xf numFmtId="0" fontId="51" fillId="5" borderId="33" xfId="5" applyFont="1" applyFill="1" applyBorder="1" applyAlignment="1">
      <alignment horizontal="center" vertical="center"/>
    </xf>
    <xf numFmtId="0" fontId="51" fillId="5" borderId="0" xfId="5" applyFont="1" applyFill="1" applyAlignment="1">
      <alignment horizontal="center" vertical="center"/>
    </xf>
    <xf numFmtId="0" fontId="51" fillId="5" borderId="34" xfId="5" applyFont="1" applyFill="1" applyBorder="1" applyAlignment="1">
      <alignment horizontal="center" vertical="center"/>
    </xf>
    <xf numFmtId="0" fontId="51" fillId="5" borderId="35" xfId="5" applyFont="1" applyFill="1" applyBorder="1" applyAlignment="1">
      <alignment horizontal="center" vertical="center"/>
    </xf>
    <xf numFmtId="0" fontId="51" fillId="5" borderId="26" xfId="5" applyFont="1" applyFill="1" applyBorder="1" applyAlignment="1">
      <alignment horizontal="center" vertical="center"/>
    </xf>
    <xf numFmtId="0" fontId="51" fillId="5" borderId="36" xfId="5" applyFont="1" applyFill="1" applyBorder="1" applyAlignment="1">
      <alignment horizontal="center" vertical="center"/>
    </xf>
    <xf numFmtId="0" fontId="28" fillId="0" borderId="31" xfId="11" applyFont="1" applyBorder="1" applyAlignment="1">
      <alignment horizontal="center" vertical="center"/>
    </xf>
    <xf numFmtId="0" fontId="28" fillId="0" borderId="32" xfId="11" applyFont="1" applyBorder="1" applyAlignment="1">
      <alignment horizontal="center" vertical="center"/>
    </xf>
    <xf numFmtId="0" fontId="28" fillId="0" borderId="33" xfId="11" applyFont="1" applyBorder="1" applyAlignment="1">
      <alignment horizontal="center" vertical="center"/>
    </xf>
    <xf numFmtId="0" fontId="28" fillId="0" borderId="34" xfId="11" applyFont="1" applyBorder="1" applyAlignment="1">
      <alignment horizontal="center" vertical="center"/>
    </xf>
    <xf numFmtId="0" fontId="28" fillId="0" borderId="35" xfId="11" applyFont="1" applyBorder="1" applyAlignment="1">
      <alignment horizontal="center" vertical="center"/>
    </xf>
    <xf numFmtId="0" fontId="28" fillId="0" borderId="36" xfId="11" applyFont="1" applyBorder="1" applyAlignment="1">
      <alignment horizontal="center" vertical="center"/>
    </xf>
    <xf numFmtId="0" fontId="35" fillId="5" borderId="23" xfId="5" applyFont="1" applyFill="1" applyBorder="1" applyAlignment="1">
      <alignment horizontal="center" vertical="center"/>
    </xf>
    <xf numFmtId="0" fontId="35" fillId="5" borderId="30" xfId="5" applyFont="1" applyFill="1" applyBorder="1" applyAlignment="1">
      <alignment horizontal="center" vertical="center"/>
    </xf>
    <xf numFmtId="0" fontId="35" fillId="5" borderId="23" xfId="577" applyFont="1" applyFill="1" applyBorder="1" applyAlignment="1">
      <alignment horizontal="center" vertical="center" wrapText="1"/>
    </xf>
    <xf numFmtId="0" fontId="35" fillId="5" borderId="30" xfId="577" applyFont="1" applyFill="1" applyBorder="1" applyAlignment="1">
      <alignment horizontal="center" vertical="center" wrapText="1"/>
    </xf>
    <xf numFmtId="0" fontId="37" fillId="5" borderId="27" xfId="577" applyFont="1" applyFill="1" applyBorder="1" applyAlignment="1">
      <alignment horizontal="center" vertical="center" wrapText="1"/>
    </xf>
    <xf numFmtId="0" fontId="37" fillId="5" borderId="28" xfId="577" applyFont="1" applyFill="1" applyBorder="1" applyAlignment="1">
      <alignment horizontal="center" vertical="center" wrapText="1"/>
    </xf>
    <xf numFmtId="0" fontId="37" fillId="5" borderId="25" xfId="577" applyFont="1" applyFill="1" applyBorder="1" applyAlignment="1">
      <alignment horizontal="center" vertical="center" wrapText="1"/>
    </xf>
    <xf numFmtId="0" fontId="35" fillId="5" borderId="22" xfId="577" applyFont="1" applyFill="1" applyBorder="1" applyAlignment="1">
      <alignment horizontal="center" vertical="center" wrapText="1"/>
    </xf>
    <xf numFmtId="0" fontId="82" fillId="5" borderId="23" xfId="577" applyFont="1" applyFill="1" applyBorder="1" applyAlignment="1">
      <alignment horizontal="center" vertical="center" wrapText="1"/>
    </xf>
    <xf numFmtId="0" fontId="82" fillId="5" borderId="22" xfId="577" applyFont="1" applyFill="1" applyBorder="1" applyAlignment="1">
      <alignment horizontal="center" vertical="center" wrapText="1"/>
    </xf>
    <xf numFmtId="0" fontId="37" fillId="5" borderId="28" xfId="577" applyFont="1" applyFill="1" applyBorder="1" applyAlignment="1">
      <alignment horizontal="center" vertical="center"/>
    </xf>
    <xf numFmtId="0" fontId="104" fillId="0" borderId="27" xfId="578" applyFont="1" applyBorder="1" applyAlignment="1">
      <alignment horizontal="center" vertical="center"/>
    </xf>
    <xf numFmtId="0" fontId="104" fillId="0" borderId="25" xfId="578" applyFont="1" applyBorder="1" applyAlignment="1">
      <alignment horizontal="center" vertical="center"/>
    </xf>
    <xf numFmtId="0" fontId="102" fillId="19" borderId="22" xfId="578" applyFont="1" applyFill="1" applyBorder="1" applyAlignment="1">
      <alignment horizontal="center" vertical="center"/>
    </xf>
    <xf numFmtId="0" fontId="103" fillId="19" borderId="22" xfId="578" applyFont="1" applyFill="1" applyBorder="1" applyAlignment="1">
      <alignment horizontal="center" vertical="center"/>
    </xf>
    <xf numFmtId="195" fontId="112" fillId="5" borderId="22" xfId="578" applyNumberFormat="1" applyFont="1" applyFill="1" applyBorder="1" applyAlignment="1">
      <alignment horizontal="center" vertical="center"/>
    </xf>
    <xf numFmtId="195" fontId="112" fillId="15" borderId="22" xfId="578" applyNumberFormat="1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/>
    </xf>
  </cellXfs>
  <cellStyles count="580">
    <cellStyle name="??_x000c_鞜_x0007__x000d_槉U_x0001_??_x0007__x0001__x0001_" xfId="25" xr:uid="{00000000-0005-0000-0000-000000000000}"/>
    <cellStyle name="_98-春節暫停營業明細-ToDC" xfId="26" xr:uid="{00000000-0005-0000-0000-000001000000}"/>
    <cellStyle name="_98-春節暫停營業明細-ToDC_1-晉欣鮮食廠-2012年春節作業體制" xfId="27" xr:uid="{00000000-0005-0000-0000-000002000000}"/>
    <cellStyle name="_excel報告書" xfId="28" xr:uid="{00000000-0005-0000-0000-000003000000}"/>
    <cellStyle name="_excel報告書_1-晉欣鮮食廠-2012年春節作業體制" xfId="29" xr:uid="{00000000-0005-0000-0000-000004000000}"/>
    <cellStyle name="_excel報告書_96年月餅預購競賽獎勵案" xfId="30" xr:uid="{00000000-0005-0000-0000-000005000000}"/>
    <cellStyle name="_excel報告書_96年月餅預購競賽獎勵案_1-晉欣鮮食廠-2012年春節作業體制" xfId="31" xr:uid="{00000000-0005-0000-0000-000006000000}"/>
    <cellStyle name="_excel報告書_96年月餅預購競賽獎勵案_97年春節保全回收報告書" xfId="32" xr:uid="{00000000-0005-0000-0000-000007000000}"/>
    <cellStyle name="_excel報告書_96年月餅預購競賽獎勵案_97年春節保全回收報告書_1-晉欣鮮食廠-2012年春節作業體制" xfId="33" xr:uid="{00000000-0005-0000-0000-000008000000}"/>
    <cellStyle name="_excel報告書_96年月餅預購競賽獎勵案_97年春節保全回收報告書_Book1" xfId="34" xr:uid="{00000000-0005-0000-0000-000009000000}"/>
    <cellStyle name="_excel報告書_96年月餅預購競賽獎勵案_97年春節保全回收報告書_Book1_1-晉欣鮮食廠-2012年春節作業體制" xfId="35" xr:uid="{00000000-0005-0000-0000-00000A000000}"/>
    <cellStyle name="_excel報告書_96年月餅預購競賽獎勵案_97年春節保全回收報告書_春節作業手冊-981217" xfId="36" xr:uid="{00000000-0005-0000-0000-00000B000000}"/>
    <cellStyle name="_excel報告書_96年月餅預購競賽獎勵案_97年春節保全回收報告書_春節作業手冊-981217_1-晉欣鮮食廠-2012年春節作業體制" xfId="37" xr:uid="{00000000-0005-0000-0000-00000C000000}"/>
    <cellStyle name="_excel報告書_96年月餅預購競賽獎勵案_97年營業競賽提案報告書" xfId="38" xr:uid="{00000000-0005-0000-0000-00000D000000}"/>
    <cellStyle name="_excel報告書_96年月餅預購競賽獎勵案_97年營業競賽提案報告書_1-晉欣鮮食廠-2012年春節作業體制" xfId="39" xr:uid="{00000000-0005-0000-0000-00000E000000}"/>
    <cellStyle name="_excel報告書_96年月餅預購競賽獎勵案_97年營業競賽提案報告書_97年春節保全回收報告書" xfId="40" xr:uid="{00000000-0005-0000-0000-00000F000000}"/>
    <cellStyle name="_excel報告書_96年月餅預購競賽獎勵案_97年營業競賽提案報告書_97年春節保全回收報告書_1-晉欣鮮食廠-2012年春節作業體制" xfId="41" xr:uid="{00000000-0005-0000-0000-000010000000}"/>
    <cellStyle name="_excel報告書_96年月餅預購競賽獎勵案_97年營業競賽提案報告書_97年春節保全回收報告書_Book1" xfId="42" xr:uid="{00000000-0005-0000-0000-000011000000}"/>
    <cellStyle name="_excel報告書_96年月餅預購競賽獎勵案_97年營業競賽提案報告書_97年春節保全回收報告書_Book1_1-晉欣鮮食廠-2012年春節作業體制" xfId="43" xr:uid="{00000000-0005-0000-0000-000012000000}"/>
    <cellStyle name="_excel報告書_96年月餅預購競賽獎勵案_97年營業競賽提案報告書_97年春節保全回收報告書_春節作業手冊-981217" xfId="44" xr:uid="{00000000-0005-0000-0000-000013000000}"/>
    <cellStyle name="_excel報告書_96年月餅預購競賽獎勵案_97年營業競賽提案報告書_97年春節保全回收報告書_春節作業手冊-981217_1-晉欣鮮食廠-2012年春節作業體制" xfId="45" xr:uid="{00000000-0005-0000-0000-000014000000}"/>
    <cellStyle name="_excel報告書_96年月餅預購競賽獎勵案_97年營業競賽提案報告書_97年營業競賽提案報告書" xfId="46" xr:uid="{00000000-0005-0000-0000-000015000000}"/>
    <cellStyle name="_excel報告書_96年月餅預購競賽獎勵案_97年營業競賽提案報告書_97年營業競賽提案報告書_1-晉欣鮮食廠-2012年春節作業體制" xfId="47" xr:uid="{00000000-0005-0000-0000-000016000000}"/>
    <cellStyle name="_excel報告書_96年月餅預購競賽獎勵案_97年營業競賽提案報告書_97年營業競賽提案報告書_97年春節保全回收報告書" xfId="48" xr:uid="{00000000-0005-0000-0000-000017000000}"/>
    <cellStyle name="_excel報告書_96年月餅預購競賽獎勵案_97年營業競賽提案報告書_97年營業競賽提案報告書_97年春節保全回收報告書_1-晉欣鮮食廠-2012年春節作業體制" xfId="49" xr:uid="{00000000-0005-0000-0000-000018000000}"/>
    <cellStyle name="_excel報告書_96年月餅預購競賽獎勵案_97年營業競賽提案報告書_97年營業競賽提案報告書_97年春節保全回收報告書_Book1" xfId="50" xr:uid="{00000000-0005-0000-0000-000019000000}"/>
    <cellStyle name="_excel報告書_96年月餅預購競賽獎勵案_97年營業競賽提案報告書_97年營業競賽提案報告書_97年春節保全回收報告書_Book1_1-晉欣鮮食廠-2012年春節作業體制" xfId="51" xr:uid="{00000000-0005-0000-0000-00001A000000}"/>
    <cellStyle name="_excel報告書_96年月餅預購競賽獎勵案_97年營業競賽提案報告書_97年營業競賽提案報告書_97年春節保全回收報告書_春節作業手冊-981217" xfId="52" xr:uid="{00000000-0005-0000-0000-00001B000000}"/>
    <cellStyle name="_excel報告書_96年月餅預購競賽獎勵案_97年營業競賽提案報告書_97年營業競賽提案報告書_97年春節保全回收報告書_春節作業手冊-981217_1-晉欣鮮食廠-2012年春節作業體制" xfId="53" xr:uid="{00000000-0005-0000-0000-00001C000000}"/>
    <cellStyle name="_excel報告書_96年月餅預購競賽獎勵案_97年營業競賽提案報告書_97年營業競賽提案報告書_97年營業競賽提案報告書" xfId="54" xr:uid="{00000000-0005-0000-0000-00001D000000}"/>
    <cellStyle name="_excel報告書_96年月餅預購競賽獎勵案_97年營業競賽提案報告書_97年營業競賽提案報告書_97年營業競賽提案報告書_1-晉欣鮮食廠-2012年春節作業體制" xfId="55" xr:uid="{00000000-0005-0000-0000-00001E000000}"/>
    <cellStyle name="_excel報告書_96年月餅預購競賽獎勵案_97年營業競賽提案報告書_97年營業競賽提案報告書_97年營業競賽提案報告書_97年春節保全回收報告書" xfId="56" xr:uid="{00000000-0005-0000-0000-00001F000000}"/>
    <cellStyle name="_excel報告書_96年月餅預購競賽獎勵案_97年營業競賽提案報告書_97年營業競賽提案報告書_97年營業競賽提案報告書_97年春節保全回收報告書_1-晉欣鮮食廠-2012年春節作業體制" xfId="57" xr:uid="{00000000-0005-0000-0000-000020000000}"/>
    <cellStyle name="_excel報告書_96年月餅預購競賽獎勵案_97年營業競賽提案報告書_97年營業競賽提案報告書_97年營業競賽提案報告書_97年春節保全回收報告書_Book1" xfId="58" xr:uid="{00000000-0005-0000-0000-000021000000}"/>
    <cellStyle name="_excel報告書_96年月餅預購競賽獎勵案_97年營業競賽提案報告書_97年營業競賽提案報告書_97年營業競賽提案報告書_97年春節保全回收報告書_Book1_1-晉欣鮮食廠-2012年春節作業體制" xfId="59" xr:uid="{00000000-0005-0000-0000-000022000000}"/>
    <cellStyle name="_excel報告書_96年月餅預購競賽獎勵案_97年營業競賽提案報告書_97年營業競賽提案報告書_97年營業競賽提案報告書_97年春節保全回收報告書_春節作業手冊-981217" xfId="60" xr:uid="{00000000-0005-0000-0000-000023000000}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 xr:uid="{00000000-0005-0000-0000-000024000000}"/>
    <cellStyle name="_excel報告書_96年月餅預購競賽獎勵案_97年營業競賽提案報告書_97年營業競賽提案報告書_97年營業競賽提案報告書_Book1" xfId="62" xr:uid="{00000000-0005-0000-0000-000025000000}"/>
    <cellStyle name="_excel報告書_96年月餅預購競賽獎勵案_97年營業競賽提案報告書_97年營業競賽提案報告書_97年營業競賽提案報告書_Book1_1-晉欣鮮食廠-2012年春節作業體制" xfId="63" xr:uid="{00000000-0005-0000-0000-000026000000}"/>
    <cellStyle name="_excel報告書_96年月餅預購競賽獎勵案_97年營業競賽提案報告書_97年營業競賽提案報告書_97年營業競賽提案報告書_春節作業手冊-981217" xfId="64" xr:uid="{00000000-0005-0000-0000-000027000000}"/>
    <cellStyle name="_excel報告書_96年月餅預購競賽獎勵案_97年營業競賽提案報告書_97年營業競賽提案報告書_97年營業競賽提案報告書_春節作業手冊-981217_1-晉欣鮮食廠-2012年春節作業體制" xfId="65" xr:uid="{00000000-0005-0000-0000-000028000000}"/>
    <cellStyle name="_excel報告書_96年月餅預購競賽獎勵案_97年營業競賽提案報告書_97年營業競賽提案報告書_Book1" xfId="66" xr:uid="{00000000-0005-0000-0000-000029000000}"/>
    <cellStyle name="_excel報告書_96年月餅預購競賽獎勵案_97年營業競賽提案報告書_97年營業競賽提案報告書_Book1_1-晉欣鮮食廠-2012年春節作業體制" xfId="67" xr:uid="{00000000-0005-0000-0000-00002A000000}"/>
    <cellStyle name="_excel報告書_96年月餅預購競賽獎勵案_97年營業競賽提案報告書_97年營業競賽提案報告書_春節作業手冊-981217" xfId="68" xr:uid="{00000000-0005-0000-0000-00002B000000}"/>
    <cellStyle name="_excel報告書_96年月餅預購競賽獎勵案_97年營業競賽提案報告書_97年營業競賽提案報告書_春節作業手冊-981217_1-晉欣鮮食廠-2012年春節作業體制" xfId="69" xr:uid="{00000000-0005-0000-0000-00002C000000}"/>
    <cellStyle name="_excel報告書_96年月餅預購競賽獎勵案_97年營業競賽提案報告書_Book1" xfId="70" xr:uid="{00000000-0005-0000-0000-00002D000000}"/>
    <cellStyle name="_excel報告書_96年月餅預購競賽獎勵案_97年營業競賽提案報告書_Book1_1-晉欣鮮食廠-2012年春節作業體制" xfId="71" xr:uid="{00000000-0005-0000-0000-00002E000000}"/>
    <cellStyle name="_excel報告書_96年月餅預購競賽獎勵案_97年營業競賽提案報告書_春節作業手冊-981217" xfId="72" xr:uid="{00000000-0005-0000-0000-00002F000000}"/>
    <cellStyle name="_excel報告書_96年月餅預購競賽獎勵案_97年營業競賽提案報告書_春節作業手冊-981217_1-晉欣鮮食廠-2012年春節作業體制" xfId="73" xr:uid="{00000000-0005-0000-0000-000030000000}"/>
    <cellStyle name="_excel報告書_96年月餅預購競賽獎勵案_Book1" xfId="74" xr:uid="{00000000-0005-0000-0000-000031000000}"/>
    <cellStyle name="_excel報告書_96年月餅預購競賽獎勵案_Book1_1-晉欣鮮食廠-2012年春節作業體制" xfId="75" xr:uid="{00000000-0005-0000-0000-000032000000}"/>
    <cellStyle name="_excel報告書_96年月餅預購競賽獎勵案_春節作業手冊-981217" xfId="76" xr:uid="{00000000-0005-0000-0000-000033000000}"/>
    <cellStyle name="_excel報告書_96年月餅預購競賽獎勵案_春節作業手冊-981217_1-晉欣鮮食廠-2012年春節作業體制" xfId="77" xr:uid="{00000000-0005-0000-0000-000034000000}"/>
    <cellStyle name="_excel報告書_97年春節保全回收報告書" xfId="78" xr:uid="{00000000-0005-0000-0000-000035000000}"/>
    <cellStyle name="_excel報告書_97年春節保全回收報告書_1-晉欣鮮食廠-2012年春節作業體制" xfId="79" xr:uid="{00000000-0005-0000-0000-000036000000}"/>
    <cellStyle name="_excel報告書_97年春節保全回收報告書_Book1" xfId="80" xr:uid="{00000000-0005-0000-0000-000037000000}"/>
    <cellStyle name="_excel報告書_97年春節保全回收報告書_Book1_1-晉欣鮮食廠-2012年春節作業體制" xfId="81" xr:uid="{00000000-0005-0000-0000-000038000000}"/>
    <cellStyle name="_excel報告書_97年春節保全回收報告書_春節作業手冊-981217" xfId="82" xr:uid="{00000000-0005-0000-0000-000039000000}"/>
    <cellStyle name="_excel報告書_97年春節保全回收報告書_春節作業手冊-981217_1-晉欣鮮食廠-2012年春節作業體制" xfId="83" xr:uid="{00000000-0005-0000-0000-00003A000000}"/>
    <cellStyle name="_excel報告書_97年營業競賽提案報告書" xfId="84" xr:uid="{00000000-0005-0000-0000-00003B000000}"/>
    <cellStyle name="_excel報告書_97年營業競賽提案報告書_1-晉欣鮮食廠-2012年春節作業體制" xfId="85" xr:uid="{00000000-0005-0000-0000-00003C000000}"/>
    <cellStyle name="_excel報告書_97年營業競賽提案報告書_97年春節保全回收報告書" xfId="86" xr:uid="{00000000-0005-0000-0000-00003D000000}"/>
    <cellStyle name="_excel報告書_97年營業競賽提案報告書_97年春節保全回收報告書_1-晉欣鮮食廠-2012年春節作業體制" xfId="87" xr:uid="{00000000-0005-0000-0000-00003E000000}"/>
    <cellStyle name="_excel報告書_97年營業競賽提案報告書_97年春節保全回收報告書_Book1" xfId="88" xr:uid="{00000000-0005-0000-0000-00003F000000}"/>
    <cellStyle name="_excel報告書_97年營業競賽提案報告書_97年春節保全回收報告書_Book1_1-晉欣鮮食廠-2012年春節作業體制" xfId="89" xr:uid="{00000000-0005-0000-0000-000040000000}"/>
    <cellStyle name="_excel報告書_97年營業競賽提案報告書_97年春節保全回收報告書_春節作業手冊-981217" xfId="90" xr:uid="{00000000-0005-0000-0000-000041000000}"/>
    <cellStyle name="_excel報告書_97年營業競賽提案報告書_97年春節保全回收報告書_春節作業手冊-981217_1-晉欣鮮食廠-2012年春節作業體制" xfId="91" xr:uid="{00000000-0005-0000-0000-000042000000}"/>
    <cellStyle name="_excel報告書_97年營業競賽提案報告書_97年營業競賽提案報告書" xfId="92" xr:uid="{00000000-0005-0000-0000-000043000000}"/>
    <cellStyle name="_excel報告書_97年營業競賽提案報告書_97年營業競賽提案報告書_1-晉欣鮮食廠-2012年春節作業體制" xfId="93" xr:uid="{00000000-0005-0000-0000-000044000000}"/>
    <cellStyle name="_excel報告書_97年營業競賽提案報告書_97年營業競賽提案報告書_97年春節保全回收報告書" xfId="94" xr:uid="{00000000-0005-0000-0000-000045000000}"/>
    <cellStyle name="_excel報告書_97年營業競賽提案報告書_97年營業競賽提案報告書_97年春節保全回收報告書_1-晉欣鮮食廠-2012年春節作業體制" xfId="95" xr:uid="{00000000-0005-0000-0000-000046000000}"/>
    <cellStyle name="_excel報告書_97年營業競賽提案報告書_97年營業競賽提案報告書_97年春節保全回收報告書_Book1" xfId="96" xr:uid="{00000000-0005-0000-0000-000047000000}"/>
    <cellStyle name="_excel報告書_97年營業競賽提案報告書_97年營業競賽提案報告書_97年春節保全回收報告書_Book1_1-晉欣鮮食廠-2012年春節作業體制" xfId="97" xr:uid="{00000000-0005-0000-0000-000048000000}"/>
    <cellStyle name="_excel報告書_97年營業競賽提案報告書_97年營業競賽提案報告書_97年春節保全回收報告書_春節作業手冊-981217" xfId="98" xr:uid="{00000000-0005-0000-0000-000049000000}"/>
    <cellStyle name="_excel報告書_97年營業競賽提案報告書_97年營業競賽提案報告書_97年春節保全回收報告書_春節作業手冊-981217_1-晉欣鮮食廠-2012年春節作業體制" xfId="99" xr:uid="{00000000-0005-0000-0000-00004A000000}"/>
    <cellStyle name="_excel報告書_97年營業競賽提案報告書_97年營業競賽提案報告書_97年營業競賽提案報告書" xfId="100" xr:uid="{00000000-0005-0000-0000-00004B000000}"/>
    <cellStyle name="_excel報告書_97年營業競賽提案報告書_97年營業競賽提案報告書_97年營業競賽提案報告書_1-晉欣鮮食廠-2012年春節作業體制" xfId="101" xr:uid="{00000000-0005-0000-0000-00004C000000}"/>
    <cellStyle name="_excel報告書_97年營業競賽提案報告書_97年營業競賽提案報告書_97年營業競賽提案報告書_97年春節保全回收報告書" xfId="102" xr:uid="{00000000-0005-0000-0000-00004D000000}"/>
    <cellStyle name="_excel報告書_97年營業競賽提案報告書_97年營業競賽提案報告書_97年營業競賽提案報告書_97年春節保全回收報告書_1-晉欣鮮食廠-2012年春節作業體制" xfId="103" xr:uid="{00000000-0005-0000-0000-00004E000000}"/>
    <cellStyle name="_excel報告書_97年營業競賽提案報告書_97年營業競賽提案報告書_97年營業競賽提案報告書_97年春節保全回收報告書_Book1" xfId="104" xr:uid="{00000000-0005-0000-0000-00004F000000}"/>
    <cellStyle name="_excel報告書_97年營業競賽提案報告書_97年營業競賽提案報告書_97年營業競賽提案報告書_97年春節保全回收報告書_Book1_1-晉欣鮮食廠-2012年春節作業體制" xfId="105" xr:uid="{00000000-0005-0000-0000-000050000000}"/>
    <cellStyle name="_excel報告書_97年營業競賽提案報告書_97年營業競賽提案報告書_97年營業競賽提案報告書_97年春節保全回收報告書_春節作業手冊-981217" xfId="106" xr:uid="{00000000-0005-0000-0000-000051000000}"/>
    <cellStyle name="_excel報告書_97年營業競賽提案報告書_97年營業競賽提案報告書_97年營業競賽提案報告書_97年春節保全回收報告書_春節作業手冊-981217_1-晉欣鮮食廠-2012年春節作業體制" xfId="107" xr:uid="{00000000-0005-0000-0000-000052000000}"/>
    <cellStyle name="_excel報告書_97年營業競賽提案報告書_97年營業競賽提案報告書_97年營業競賽提案報告書_Book1" xfId="108" xr:uid="{00000000-0005-0000-0000-000053000000}"/>
    <cellStyle name="_excel報告書_97年營業競賽提案報告書_97年營業競賽提案報告書_97年營業競賽提案報告書_Book1_1-晉欣鮮食廠-2012年春節作業體制" xfId="109" xr:uid="{00000000-0005-0000-0000-000054000000}"/>
    <cellStyle name="_excel報告書_97年營業競賽提案報告書_97年營業競賽提案報告書_97年營業競賽提案報告書_春節作業手冊-981217" xfId="110" xr:uid="{00000000-0005-0000-0000-000055000000}"/>
    <cellStyle name="_excel報告書_97年營業競賽提案報告書_97年營業競賽提案報告書_97年營業競賽提案報告書_春節作業手冊-981217_1-晉欣鮮食廠-2012年春節作業體制" xfId="111" xr:uid="{00000000-0005-0000-0000-000056000000}"/>
    <cellStyle name="_excel報告書_97年營業競賽提案報告書_97年營業競賽提案報告書_Book1" xfId="112" xr:uid="{00000000-0005-0000-0000-000057000000}"/>
    <cellStyle name="_excel報告書_97年營業競賽提案報告書_97年營業競賽提案報告書_Book1_1-晉欣鮮食廠-2012年春節作業體制" xfId="113" xr:uid="{00000000-0005-0000-0000-000058000000}"/>
    <cellStyle name="_excel報告書_97年營業競賽提案報告書_97年營業競賽提案報告書_春節作業手冊-981217" xfId="114" xr:uid="{00000000-0005-0000-0000-000059000000}"/>
    <cellStyle name="_excel報告書_97年營業競賽提案報告書_97年營業競賽提案報告書_春節作業手冊-981217_1-晉欣鮮食廠-2012年春節作業體制" xfId="115" xr:uid="{00000000-0005-0000-0000-00005A000000}"/>
    <cellStyle name="_excel報告書_97年營業競賽提案報告書_Book1" xfId="116" xr:uid="{00000000-0005-0000-0000-00005B000000}"/>
    <cellStyle name="_excel報告書_97年營業競賽提案報告書_Book1_1-晉欣鮮食廠-2012年春節作業體制" xfId="117" xr:uid="{00000000-0005-0000-0000-00005C000000}"/>
    <cellStyle name="_excel報告書_97年營業競賽提案報告書_春節作業手冊-981217" xfId="118" xr:uid="{00000000-0005-0000-0000-00005D000000}"/>
    <cellStyle name="_excel報告書_97年營業競賽提案報告書_春節作業手冊-981217_1-晉欣鮮食廠-2012年春節作業體制" xfId="119" xr:uid="{00000000-0005-0000-0000-00005E000000}"/>
    <cellStyle name="_excel報告書_Book1" xfId="120" xr:uid="{00000000-0005-0000-0000-00005F000000}"/>
    <cellStyle name="_excel報告書_Book1_1-晉欣鮮食廠-2012年春節作業體制" xfId="121" xr:uid="{00000000-0005-0000-0000-000060000000}"/>
    <cellStyle name="_excel報告書_春節作業手冊-981217" xfId="122" xr:uid="{00000000-0005-0000-0000-000061000000}"/>
    <cellStyle name="_excel報告書_春節作業手冊-981217_1-晉欣鮮食廠-2012年春節作業體制" xfId="123" xr:uid="{00000000-0005-0000-0000-000062000000}"/>
    <cellStyle name="_日翊98年春節作業-To毓琦" xfId="124" xr:uid="{00000000-0005-0000-0000-000063000000}"/>
    <cellStyle name="_封閉型商圈日商" xfId="125" xr:uid="{00000000-0005-0000-0000-000064000000}"/>
    <cellStyle name="_封閉型商圈日商_1-晉欣鮮食廠-2012年春節作業體制" xfId="126" xr:uid="{00000000-0005-0000-0000-000065000000}"/>
    <cellStyle name="_封閉型商圈日商_97年春節保全回收報告書" xfId="127" xr:uid="{00000000-0005-0000-0000-000066000000}"/>
    <cellStyle name="_封閉型商圈日商_97年春節保全回收報告書_1-晉欣鮮食廠-2012年春節作業體制" xfId="128" xr:uid="{00000000-0005-0000-0000-000067000000}"/>
    <cellStyle name="_封閉型商圈日商_97年春節保全回收報告書_Book1" xfId="129" xr:uid="{00000000-0005-0000-0000-000068000000}"/>
    <cellStyle name="_封閉型商圈日商_97年春節保全回收報告書_Book1_1-晉欣鮮食廠-2012年春節作業體制" xfId="130" xr:uid="{00000000-0005-0000-0000-000069000000}"/>
    <cellStyle name="_封閉型商圈日商_97年春節保全回收報告書_春節作業手冊-981217" xfId="131" xr:uid="{00000000-0005-0000-0000-00006A000000}"/>
    <cellStyle name="_封閉型商圈日商_97年春節保全回收報告書_春節作業手冊-981217_1-晉欣鮮食廠-2012年春節作業體制" xfId="132" xr:uid="{00000000-0005-0000-0000-00006B000000}"/>
    <cellStyle name="_封閉型商圈日商_97年營業競賽提案報告書" xfId="133" xr:uid="{00000000-0005-0000-0000-00006C000000}"/>
    <cellStyle name="_封閉型商圈日商_97年營業競賽提案報告書_1-晉欣鮮食廠-2012年春節作業體制" xfId="134" xr:uid="{00000000-0005-0000-0000-00006D000000}"/>
    <cellStyle name="_封閉型商圈日商_97年營業競賽提案報告書_97年春節保全回收報告書" xfId="135" xr:uid="{00000000-0005-0000-0000-00006E000000}"/>
    <cellStyle name="_封閉型商圈日商_97年營業競賽提案報告書_97年春節保全回收報告書_1-晉欣鮮食廠-2012年春節作業體制" xfId="136" xr:uid="{00000000-0005-0000-0000-00006F000000}"/>
    <cellStyle name="_封閉型商圈日商_97年營業競賽提案報告書_97年春節保全回收報告書_Book1" xfId="137" xr:uid="{00000000-0005-0000-0000-000070000000}"/>
    <cellStyle name="_封閉型商圈日商_97年營業競賽提案報告書_97年春節保全回收報告書_Book1_1-晉欣鮮食廠-2012年春節作業體制" xfId="138" xr:uid="{00000000-0005-0000-0000-000071000000}"/>
    <cellStyle name="_封閉型商圈日商_97年營業競賽提案報告書_97年春節保全回收報告書_春節作業手冊-981217" xfId="139" xr:uid="{00000000-0005-0000-0000-000072000000}"/>
    <cellStyle name="_封閉型商圈日商_97年營業競賽提案報告書_97年春節保全回收報告書_春節作業手冊-981217_1-晉欣鮮食廠-2012年春節作業體制" xfId="140" xr:uid="{00000000-0005-0000-0000-000073000000}"/>
    <cellStyle name="_封閉型商圈日商_97年營業競賽提案報告書_97年營業競賽提案報告書" xfId="141" xr:uid="{00000000-0005-0000-0000-000074000000}"/>
    <cellStyle name="_封閉型商圈日商_97年營業競賽提案報告書_97年營業競賽提案報告書_1-晉欣鮮食廠-2012年春節作業體制" xfId="142" xr:uid="{00000000-0005-0000-0000-000075000000}"/>
    <cellStyle name="_封閉型商圈日商_97年營業競賽提案報告書_97年營業競賽提案報告書_97年春節保全回收報告書" xfId="143" xr:uid="{00000000-0005-0000-0000-000076000000}"/>
    <cellStyle name="_封閉型商圈日商_97年營業競賽提案報告書_97年營業競賽提案報告書_97年春節保全回收報告書_1-晉欣鮮食廠-2012年春節作業體制" xfId="144" xr:uid="{00000000-0005-0000-0000-000077000000}"/>
    <cellStyle name="_封閉型商圈日商_97年營業競賽提案報告書_97年營業競賽提案報告書_97年春節保全回收報告書_Book1" xfId="145" xr:uid="{00000000-0005-0000-0000-000078000000}"/>
    <cellStyle name="_封閉型商圈日商_97年營業競賽提案報告書_97年營業競賽提案報告書_97年春節保全回收報告書_Book1_1-晉欣鮮食廠-2012年春節作業體制" xfId="146" xr:uid="{00000000-0005-0000-0000-000079000000}"/>
    <cellStyle name="_封閉型商圈日商_97年營業競賽提案報告書_97年營業競賽提案報告書_97年春節保全回收報告書_春節作業手冊-981217" xfId="147" xr:uid="{00000000-0005-0000-0000-00007A000000}"/>
    <cellStyle name="_封閉型商圈日商_97年營業競賽提案報告書_97年營業競賽提案報告書_97年春節保全回收報告書_春節作業手冊-981217_1-晉欣鮮食廠-2012年春節作業體制" xfId="148" xr:uid="{00000000-0005-0000-0000-00007B000000}"/>
    <cellStyle name="_封閉型商圈日商_97年營業競賽提案報告書_97年營業競賽提案報告書_97年營業競賽提案報告書" xfId="149" xr:uid="{00000000-0005-0000-0000-00007C000000}"/>
    <cellStyle name="_封閉型商圈日商_97年營業競賽提案報告書_97年營業競賽提案報告書_97年營業競賽提案報告書_1-晉欣鮮食廠-2012年春節作業體制" xfId="150" xr:uid="{00000000-0005-0000-0000-00007D000000}"/>
    <cellStyle name="_封閉型商圈日商_97年營業競賽提案報告書_97年營業競賽提案報告書_97年營業競賽提案報告書_97年春節保全回收報告書" xfId="151" xr:uid="{00000000-0005-0000-0000-00007E000000}"/>
    <cellStyle name="_封閉型商圈日商_97年營業競賽提案報告書_97年營業競賽提案報告書_97年營業競賽提案報告書_97年春節保全回收報告書_1-晉欣鮮食廠-2012年春節作業體制" xfId="152" xr:uid="{00000000-0005-0000-0000-00007F000000}"/>
    <cellStyle name="_封閉型商圈日商_97年營業競賽提案報告書_97年營業競賽提案報告書_97年營業競賽提案報告書_97年春節保全回收報告書_Book1" xfId="153" xr:uid="{00000000-0005-0000-0000-000080000000}"/>
    <cellStyle name="_封閉型商圈日商_97年營業競賽提案報告書_97年營業競賽提案報告書_97年營業競賽提案報告書_97年春節保全回收報告書_Book1_1-晉欣鮮食廠-2012年春節作業體制" xfId="154" xr:uid="{00000000-0005-0000-0000-000081000000}"/>
    <cellStyle name="_封閉型商圈日商_97年營業競賽提案報告書_97年營業競賽提案報告書_97年營業競賽提案報告書_97年春節保全回收報告書_春節作業手冊-981217" xfId="155" xr:uid="{00000000-0005-0000-0000-000082000000}"/>
    <cellStyle name="_封閉型商圈日商_97年營業競賽提案報告書_97年營業競賽提案報告書_97年營業競賽提案報告書_97年春節保全回收報告書_春節作業手冊-981217_1-晉欣鮮食廠-2012年春節作業體制" xfId="156" xr:uid="{00000000-0005-0000-0000-000083000000}"/>
    <cellStyle name="_封閉型商圈日商_97年營業競賽提案報告書_97年營業競賽提案報告書_97年營業競賽提案報告書_Book1" xfId="157" xr:uid="{00000000-0005-0000-0000-000084000000}"/>
    <cellStyle name="_封閉型商圈日商_97年營業競賽提案報告書_97年營業競賽提案報告書_97年營業競賽提案報告書_Book1_1-晉欣鮮食廠-2012年春節作業體制" xfId="158" xr:uid="{00000000-0005-0000-0000-000085000000}"/>
    <cellStyle name="_封閉型商圈日商_97年營業競賽提案報告書_97年營業競賽提案報告書_97年營業競賽提案報告書_春節作業手冊-981217" xfId="159" xr:uid="{00000000-0005-0000-0000-000086000000}"/>
    <cellStyle name="_封閉型商圈日商_97年營業競賽提案報告書_97年營業競賽提案報告書_97年營業競賽提案報告書_春節作業手冊-981217_1-晉欣鮮食廠-2012年春節作業體制" xfId="160" xr:uid="{00000000-0005-0000-0000-000087000000}"/>
    <cellStyle name="_封閉型商圈日商_97年營業競賽提案報告書_97年營業競賽提案報告書_Book1" xfId="161" xr:uid="{00000000-0005-0000-0000-000088000000}"/>
    <cellStyle name="_封閉型商圈日商_97年營業競賽提案報告書_97年營業競賽提案報告書_Book1_1-晉欣鮮食廠-2012年春節作業體制" xfId="162" xr:uid="{00000000-0005-0000-0000-000089000000}"/>
    <cellStyle name="_封閉型商圈日商_97年營業競賽提案報告書_97年營業競賽提案報告書_春節作業手冊-981217" xfId="163" xr:uid="{00000000-0005-0000-0000-00008A000000}"/>
    <cellStyle name="_封閉型商圈日商_97年營業競賽提案報告書_97年營業競賽提案報告書_春節作業手冊-981217_1-晉欣鮮食廠-2012年春節作業體制" xfId="164" xr:uid="{00000000-0005-0000-0000-00008B000000}"/>
    <cellStyle name="_封閉型商圈日商_97年營業競賽提案報告書_Book1" xfId="165" xr:uid="{00000000-0005-0000-0000-00008C000000}"/>
    <cellStyle name="_封閉型商圈日商_97年營業競賽提案報告書_Book1_1-晉欣鮮食廠-2012年春節作業體制" xfId="166" xr:uid="{00000000-0005-0000-0000-00008D000000}"/>
    <cellStyle name="_封閉型商圈日商_97年營業競賽提案報告書_春節作業手冊-981217" xfId="167" xr:uid="{00000000-0005-0000-0000-00008E000000}"/>
    <cellStyle name="_封閉型商圈日商_97年營業競賽提案報告書_春節作業手冊-981217_1-晉欣鮮食廠-2012年春節作業體制" xfId="168" xr:uid="{00000000-0005-0000-0000-00008F000000}"/>
    <cellStyle name="_封閉型商圈日商_Book1" xfId="169" xr:uid="{00000000-0005-0000-0000-000090000000}"/>
    <cellStyle name="_封閉型商圈日商_Book1_1-晉欣鮮食廠-2012年春節作業體制" xfId="170" xr:uid="{00000000-0005-0000-0000-000091000000}"/>
    <cellStyle name="_封閉型商圈日商_春節作業手冊-981217" xfId="171" xr:uid="{00000000-0005-0000-0000-000092000000}"/>
    <cellStyle name="_封閉型商圈日商_春節作業手冊-981217_1-晉欣鮮食廠-2012年春節作業體制" xfId="172" xr:uid="{00000000-0005-0000-0000-000093000000}"/>
    <cellStyle name="_封閉型商圈日商-1" xfId="173" xr:uid="{00000000-0005-0000-0000-000094000000}"/>
    <cellStyle name="_封閉型商圈日商-1_1-晉欣鮮食廠-2012年春節作業體制" xfId="174" xr:uid="{00000000-0005-0000-0000-000095000000}"/>
    <cellStyle name="_封閉型商圈日商-1_97年春節保全回收報告書" xfId="175" xr:uid="{00000000-0005-0000-0000-000096000000}"/>
    <cellStyle name="_封閉型商圈日商-1_97年春節保全回收報告書_1-晉欣鮮食廠-2012年春節作業體制" xfId="176" xr:uid="{00000000-0005-0000-0000-000097000000}"/>
    <cellStyle name="_封閉型商圈日商-1_97年春節保全回收報告書_Book1" xfId="177" xr:uid="{00000000-0005-0000-0000-000098000000}"/>
    <cellStyle name="_封閉型商圈日商-1_97年春節保全回收報告書_Book1_1-晉欣鮮食廠-2012年春節作業體制" xfId="178" xr:uid="{00000000-0005-0000-0000-000099000000}"/>
    <cellStyle name="_封閉型商圈日商-1_97年春節保全回收報告書_春節作業手冊-981217" xfId="179" xr:uid="{00000000-0005-0000-0000-00009A000000}"/>
    <cellStyle name="_封閉型商圈日商-1_97年春節保全回收報告書_春節作業手冊-981217_1-晉欣鮮食廠-2012年春節作業體制" xfId="180" xr:uid="{00000000-0005-0000-0000-00009B000000}"/>
    <cellStyle name="_封閉型商圈日商-1_97年營業競賽提案報告書" xfId="181" xr:uid="{00000000-0005-0000-0000-00009C000000}"/>
    <cellStyle name="_封閉型商圈日商-1_97年營業競賽提案報告書_1-晉欣鮮食廠-2012年春節作業體制" xfId="182" xr:uid="{00000000-0005-0000-0000-00009D000000}"/>
    <cellStyle name="_封閉型商圈日商-1_97年營業競賽提案報告書_97年春節保全回收報告書" xfId="183" xr:uid="{00000000-0005-0000-0000-00009E000000}"/>
    <cellStyle name="_封閉型商圈日商-1_97年營業競賽提案報告書_97年春節保全回收報告書_1-晉欣鮮食廠-2012年春節作業體制" xfId="184" xr:uid="{00000000-0005-0000-0000-00009F000000}"/>
    <cellStyle name="_封閉型商圈日商-1_97年營業競賽提案報告書_97年春節保全回收報告書_Book1" xfId="185" xr:uid="{00000000-0005-0000-0000-0000A0000000}"/>
    <cellStyle name="_封閉型商圈日商-1_97年營業競賽提案報告書_97年春節保全回收報告書_Book1_1-晉欣鮮食廠-2012年春節作業體制" xfId="186" xr:uid="{00000000-0005-0000-0000-0000A1000000}"/>
    <cellStyle name="_封閉型商圈日商-1_97年營業競賽提案報告書_97年春節保全回收報告書_春節作業手冊-981217" xfId="187" xr:uid="{00000000-0005-0000-0000-0000A2000000}"/>
    <cellStyle name="_封閉型商圈日商-1_97年營業競賽提案報告書_97年春節保全回收報告書_春節作業手冊-981217_1-晉欣鮮食廠-2012年春節作業體制" xfId="188" xr:uid="{00000000-0005-0000-0000-0000A3000000}"/>
    <cellStyle name="_封閉型商圈日商-1_97年營業競賽提案報告書_97年營業競賽提案報告書" xfId="189" xr:uid="{00000000-0005-0000-0000-0000A4000000}"/>
    <cellStyle name="_封閉型商圈日商-1_97年營業競賽提案報告書_97年營業競賽提案報告書_1-晉欣鮮食廠-2012年春節作業體制" xfId="190" xr:uid="{00000000-0005-0000-0000-0000A5000000}"/>
    <cellStyle name="_封閉型商圈日商-1_97年營業競賽提案報告書_97年營業競賽提案報告書_97年春節保全回收報告書" xfId="191" xr:uid="{00000000-0005-0000-0000-0000A6000000}"/>
    <cellStyle name="_封閉型商圈日商-1_97年營業競賽提案報告書_97年營業競賽提案報告書_97年春節保全回收報告書_1-晉欣鮮食廠-2012年春節作業體制" xfId="192" xr:uid="{00000000-0005-0000-0000-0000A7000000}"/>
    <cellStyle name="_封閉型商圈日商-1_97年營業競賽提案報告書_97年營業競賽提案報告書_97年春節保全回收報告書_Book1" xfId="193" xr:uid="{00000000-0005-0000-0000-0000A8000000}"/>
    <cellStyle name="_封閉型商圈日商-1_97年營業競賽提案報告書_97年營業競賽提案報告書_97年春節保全回收報告書_Book1_1-晉欣鮮食廠-2012年春節作業體制" xfId="194" xr:uid="{00000000-0005-0000-0000-0000A9000000}"/>
    <cellStyle name="_封閉型商圈日商-1_97年營業競賽提案報告書_97年營業競賽提案報告書_97年春節保全回收報告書_春節作業手冊-981217" xfId="195" xr:uid="{00000000-0005-0000-0000-0000AA000000}"/>
    <cellStyle name="_封閉型商圈日商-1_97年營業競賽提案報告書_97年營業競賽提案報告書_97年春節保全回收報告書_春節作業手冊-981217_1-晉欣鮮食廠-2012年春節作業體制" xfId="196" xr:uid="{00000000-0005-0000-0000-0000AB000000}"/>
    <cellStyle name="_封閉型商圈日商-1_97年營業競賽提案報告書_97年營業競賽提案報告書_97年營業競賽提案報告書" xfId="197" xr:uid="{00000000-0005-0000-0000-0000AC000000}"/>
    <cellStyle name="_封閉型商圈日商-1_97年營業競賽提案報告書_97年營業競賽提案報告書_97年營業競賽提案報告書_1-晉欣鮮食廠-2012年春節作業體制" xfId="198" xr:uid="{00000000-0005-0000-0000-0000AD000000}"/>
    <cellStyle name="_封閉型商圈日商-1_97年營業競賽提案報告書_97年營業競賽提案報告書_97年營業競賽提案報告書_97年春節保全回收報告書" xfId="199" xr:uid="{00000000-0005-0000-0000-0000AE000000}"/>
    <cellStyle name="_封閉型商圈日商-1_97年營業競賽提案報告書_97年營業競賽提案報告書_97年營業競賽提案報告書_97年春節保全回收報告書_1-晉欣鮮食廠-2012年春節作業體制" xfId="200" xr:uid="{00000000-0005-0000-0000-0000AF000000}"/>
    <cellStyle name="_封閉型商圈日商-1_97年營業競賽提案報告書_97年營業競賽提案報告書_97年營業競賽提案報告書_97年春節保全回收報告書_Book1" xfId="201" xr:uid="{00000000-0005-0000-0000-0000B0000000}"/>
    <cellStyle name="_封閉型商圈日商-1_97年營業競賽提案報告書_97年營業競賽提案報告書_97年營業競賽提案報告書_97年春節保全回收報告書_Book1_1-晉欣鮮食廠-2012年春節作業體制" xfId="202" xr:uid="{00000000-0005-0000-0000-0000B1000000}"/>
    <cellStyle name="_封閉型商圈日商-1_97年營業競賽提案報告書_97年營業競賽提案報告書_97年營業競賽提案報告書_97年春節保全回收報告書_春節作業手冊-981217" xfId="203" xr:uid="{00000000-0005-0000-0000-0000B2000000}"/>
    <cellStyle name="_封閉型商圈日商-1_97年營業競賽提案報告書_97年營業競賽提案報告書_97年營業競賽提案報告書_97年春節保全回收報告書_春節作業手冊-981217_1-晉欣鮮食廠-2012年春節作業體制" xfId="204" xr:uid="{00000000-0005-0000-0000-0000B3000000}"/>
    <cellStyle name="_封閉型商圈日商-1_97年營業競賽提案報告書_97年營業競賽提案報告書_97年營業競賽提案報告書_Book1" xfId="205" xr:uid="{00000000-0005-0000-0000-0000B4000000}"/>
    <cellStyle name="_封閉型商圈日商-1_97年營業競賽提案報告書_97年營業競賽提案報告書_97年營業競賽提案報告書_Book1_1-晉欣鮮食廠-2012年春節作業體制" xfId="206" xr:uid="{00000000-0005-0000-0000-0000B5000000}"/>
    <cellStyle name="_封閉型商圈日商-1_97年營業競賽提案報告書_97年營業競賽提案報告書_97年營業競賽提案報告書_春節作業手冊-981217" xfId="207" xr:uid="{00000000-0005-0000-0000-0000B6000000}"/>
    <cellStyle name="_封閉型商圈日商-1_97年營業競賽提案報告書_97年營業競賽提案報告書_97年營業競賽提案報告書_春節作業手冊-981217_1-晉欣鮮食廠-2012年春節作業體制" xfId="208" xr:uid="{00000000-0005-0000-0000-0000B7000000}"/>
    <cellStyle name="_封閉型商圈日商-1_97年營業競賽提案報告書_97年營業競賽提案報告書_Book1" xfId="209" xr:uid="{00000000-0005-0000-0000-0000B8000000}"/>
    <cellStyle name="_封閉型商圈日商-1_97年營業競賽提案報告書_97年營業競賽提案報告書_Book1_1-晉欣鮮食廠-2012年春節作業體制" xfId="210" xr:uid="{00000000-0005-0000-0000-0000B9000000}"/>
    <cellStyle name="_封閉型商圈日商-1_97年營業競賽提案報告書_97年營業競賽提案報告書_春節作業手冊-981217" xfId="211" xr:uid="{00000000-0005-0000-0000-0000BA000000}"/>
    <cellStyle name="_封閉型商圈日商-1_97年營業競賽提案報告書_97年營業競賽提案報告書_春節作業手冊-981217_1-晉欣鮮食廠-2012年春節作業體制" xfId="212" xr:uid="{00000000-0005-0000-0000-0000BB000000}"/>
    <cellStyle name="_封閉型商圈日商-1_97年營業競賽提案報告書_Book1" xfId="213" xr:uid="{00000000-0005-0000-0000-0000BC000000}"/>
    <cellStyle name="_封閉型商圈日商-1_97年營業競賽提案報告書_Book1_1-晉欣鮮食廠-2012年春節作業體制" xfId="214" xr:uid="{00000000-0005-0000-0000-0000BD000000}"/>
    <cellStyle name="_封閉型商圈日商-1_97年營業競賽提案報告書_春節作業手冊-981217" xfId="215" xr:uid="{00000000-0005-0000-0000-0000BE000000}"/>
    <cellStyle name="_封閉型商圈日商-1_97年營業競賽提案報告書_春節作業手冊-981217_1-晉欣鮮食廠-2012年春節作業體制" xfId="216" xr:uid="{00000000-0005-0000-0000-0000BF000000}"/>
    <cellStyle name="_封閉型商圈日商-1_Book1" xfId="217" xr:uid="{00000000-0005-0000-0000-0000C0000000}"/>
    <cellStyle name="_封閉型商圈日商-1_Book1_1-晉欣鮮食廠-2012年春節作業體制" xfId="218" xr:uid="{00000000-0005-0000-0000-0000C1000000}"/>
    <cellStyle name="_封閉型商圈日商-1_春節作業手冊-981217" xfId="219" xr:uid="{00000000-0005-0000-0000-0000C2000000}"/>
    <cellStyle name="_封閉型商圈日商-1_春節作業手冊-981217_1-晉欣鮮食廠-2012年春節作業體制" xfId="220" xr:uid="{00000000-0005-0000-0000-0000C3000000}"/>
    <cellStyle name="_封閉型商圈店舖明細" xfId="221" xr:uid="{00000000-0005-0000-0000-0000C4000000}"/>
    <cellStyle name="_封閉型商圈店舖明細_1-晉欣鮮食廠-2012年春節作業體制" xfId="222" xr:uid="{00000000-0005-0000-0000-0000C5000000}"/>
    <cellStyle name="_封閉型商圈店舖明細_97年春節保全回收報告書" xfId="223" xr:uid="{00000000-0005-0000-0000-0000C6000000}"/>
    <cellStyle name="_封閉型商圈店舖明細_97年春節保全回收報告書_1-晉欣鮮食廠-2012年春節作業體制" xfId="224" xr:uid="{00000000-0005-0000-0000-0000C7000000}"/>
    <cellStyle name="_封閉型商圈店舖明細_97年春節保全回收報告書_Book1" xfId="225" xr:uid="{00000000-0005-0000-0000-0000C8000000}"/>
    <cellStyle name="_封閉型商圈店舖明細_97年春節保全回收報告書_Book1_1-晉欣鮮食廠-2012年春節作業體制" xfId="226" xr:uid="{00000000-0005-0000-0000-0000C9000000}"/>
    <cellStyle name="_封閉型商圈店舖明細_97年春節保全回收報告書_春節作業手冊-981217" xfId="227" xr:uid="{00000000-0005-0000-0000-0000CA000000}"/>
    <cellStyle name="_封閉型商圈店舖明細_97年春節保全回收報告書_春節作業手冊-981217_1-晉欣鮮食廠-2012年春節作業體制" xfId="228" xr:uid="{00000000-0005-0000-0000-0000CB000000}"/>
    <cellStyle name="_封閉型商圈店舖明細_97年營業競賽提案報告書" xfId="229" xr:uid="{00000000-0005-0000-0000-0000CC000000}"/>
    <cellStyle name="_封閉型商圈店舖明細_97年營業競賽提案報告書_1-晉欣鮮食廠-2012年春節作業體制" xfId="230" xr:uid="{00000000-0005-0000-0000-0000CD000000}"/>
    <cellStyle name="_封閉型商圈店舖明細_97年營業競賽提案報告書_97年春節保全回收報告書" xfId="231" xr:uid="{00000000-0005-0000-0000-0000CE000000}"/>
    <cellStyle name="_封閉型商圈店舖明細_97年營業競賽提案報告書_97年春節保全回收報告書_1-晉欣鮮食廠-2012年春節作業體制" xfId="232" xr:uid="{00000000-0005-0000-0000-0000CF000000}"/>
    <cellStyle name="_封閉型商圈店舖明細_97年營業競賽提案報告書_97年春節保全回收報告書_Book1" xfId="233" xr:uid="{00000000-0005-0000-0000-0000D0000000}"/>
    <cellStyle name="_封閉型商圈店舖明細_97年營業競賽提案報告書_97年春節保全回收報告書_Book1_1-晉欣鮮食廠-2012年春節作業體制" xfId="234" xr:uid="{00000000-0005-0000-0000-0000D1000000}"/>
    <cellStyle name="_封閉型商圈店舖明細_97年營業競賽提案報告書_97年春節保全回收報告書_春節作業手冊-981217" xfId="235" xr:uid="{00000000-0005-0000-0000-0000D2000000}"/>
    <cellStyle name="_封閉型商圈店舖明細_97年營業競賽提案報告書_97年春節保全回收報告書_春節作業手冊-981217_1-晉欣鮮食廠-2012年春節作業體制" xfId="236" xr:uid="{00000000-0005-0000-0000-0000D3000000}"/>
    <cellStyle name="_封閉型商圈店舖明細_97年營業競賽提案報告書_97年營業競賽提案報告書" xfId="237" xr:uid="{00000000-0005-0000-0000-0000D4000000}"/>
    <cellStyle name="_封閉型商圈店舖明細_97年營業競賽提案報告書_97年營業競賽提案報告書_1-晉欣鮮食廠-2012年春節作業體制" xfId="238" xr:uid="{00000000-0005-0000-0000-0000D5000000}"/>
    <cellStyle name="_封閉型商圈店舖明細_97年營業競賽提案報告書_97年營業競賽提案報告書_97年春節保全回收報告書" xfId="239" xr:uid="{00000000-0005-0000-0000-0000D6000000}"/>
    <cellStyle name="_封閉型商圈店舖明細_97年營業競賽提案報告書_97年營業競賽提案報告書_97年春節保全回收報告書_1-晉欣鮮食廠-2012年春節作業體制" xfId="240" xr:uid="{00000000-0005-0000-0000-0000D7000000}"/>
    <cellStyle name="_封閉型商圈店舖明細_97年營業競賽提案報告書_97年營業競賽提案報告書_97年春節保全回收報告書_Book1" xfId="241" xr:uid="{00000000-0005-0000-0000-0000D8000000}"/>
    <cellStyle name="_封閉型商圈店舖明細_97年營業競賽提案報告書_97年營業競賽提案報告書_97年春節保全回收報告書_Book1_1-晉欣鮮食廠-2012年春節作業體制" xfId="242" xr:uid="{00000000-0005-0000-0000-0000D9000000}"/>
    <cellStyle name="_封閉型商圈店舖明細_97年營業競賽提案報告書_97年營業競賽提案報告書_97年春節保全回收報告書_春節作業手冊-981217" xfId="243" xr:uid="{00000000-0005-0000-0000-0000DA000000}"/>
    <cellStyle name="_封閉型商圈店舖明細_97年營業競賽提案報告書_97年營業競賽提案報告書_97年春節保全回收報告書_春節作業手冊-981217_1-晉欣鮮食廠-2012年春節作業體制" xfId="244" xr:uid="{00000000-0005-0000-0000-0000DB000000}"/>
    <cellStyle name="_封閉型商圈店舖明細_97年營業競賽提案報告書_97年營業競賽提案報告書_97年營業競賽提案報告書" xfId="245" xr:uid="{00000000-0005-0000-0000-0000DC000000}"/>
    <cellStyle name="_封閉型商圈店舖明細_97年營業競賽提案報告書_97年營業競賽提案報告書_97年營業競賽提案報告書_1-晉欣鮮食廠-2012年春節作業體制" xfId="246" xr:uid="{00000000-0005-0000-0000-0000DD000000}"/>
    <cellStyle name="_封閉型商圈店舖明細_97年營業競賽提案報告書_97年營業競賽提案報告書_97年營業競賽提案報告書_97年春節保全回收報告書" xfId="247" xr:uid="{00000000-0005-0000-0000-0000DE000000}"/>
    <cellStyle name="_封閉型商圈店舖明細_97年營業競賽提案報告書_97年營業競賽提案報告書_97年營業競賽提案報告書_97年春節保全回收報告書_1-晉欣鮮食廠-2012年春節作業體制" xfId="248" xr:uid="{00000000-0005-0000-0000-0000DF000000}"/>
    <cellStyle name="_封閉型商圈店舖明細_97年營業競賽提案報告書_97年營業競賽提案報告書_97年營業競賽提案報告書_97年春節保全回收報告書_Book1" xfId="249" xr:uid="{00000000-0005-0000-0000-0000E0000000}"/>
    <cellStyle name="_封閉型商圈店舖明細_97年營業競賽提案報告書_97年營業競賽提案報告書_97年營業競賽提案報告書_97年春節保全回收報告書_Book1_1-晉欣鮮食廠-2012年春節作業體制" xfId="250" xr:uid="{00000000-0005-0000-0000-0000E1000000}"/>
    <cellStyle name="_封閉型商圈店舖明細_97年營業競賽提案報告書_97年營業競賽提案報告書_97年營業競賽提案報告書_97年春節保全回收報告書_春節作業手冊-981217" xfId="251" xr:uid="{00000000-0005-0000-0000-0000E2000000}"/>
    <cellStyle name="_封閉型商圈店舖明細_97年營業競賽提案報告書_97年營業競賽提案報告書_97年營業競賽提案報告書_97年春節保全回收報告書_春節作業手冊-981217_1-晉欣鮮食廠-2012年春節作業體制" xfId="252" xr:uid="{00000000-0005-0000-0000-0000E3000000}"/>
    <cellStyle name="_封閉型商圈店舖明細_97年營業競賽提案報告書_97年營業競賽提案報告書_97年營業競賽提案報告書_Book1" xfId="253" xr:uid="{00000000-0005-0000-0000-0000E4000000}"/>
    <cellStyle name="_封閉型商圈店舖明細_97年營業競賽提案報告書_97年營業競賽提案報告書_97年營業競賽提案報告書_Book1_1-晉欣鮮食廠-2012年春節作業體制" xfId="254" xr:uid="{00000000-0005-0000-0000-0000E5000000}"/>
    <cellStyle name="_封閉型商圈店舖明細_97年營業競賽提案報告書_97年營業競賽提案報告書_97年營業競賽提案報告書_春節作業手冊-981217" xfId="255" xr:uid="{00000000-0005-0000-0000-0000E6000000}"/>
    <cellStyle name="_封閉型商圈店舖明細_97年營業競賽提案報告書_97年營業競賽提案報告書_97年營業競賽提案報告書_春節作業手冊-981217_1-晉欣鮮食廠-2012年春節作業體制" xfId="256" xr:uid="{00000000-0005-0000-0000-0000E7000000}"/>
    <cellStyle name="_封閉型商圈店舖明細_97年營業競賽提案報告書_97年營業競賽提案報告書_Book1" xfId="257" xr:uid="{00000000-0005-0000-0000-0000E8000000}"/>
    <cellStyle name="_封閉型商圈店舖明細_97年營業競賽提案報告書_97年營業競賽提案報告書_Book1_1-晉欣鮮食廠-2012年春節作業體制" xfId="258" xr:uid="{00000000-0005-0000-0000-0000E9000000}"/>
    <cellStyle name="_封閉型商圈店舖明細_97年營業競賽提案報告書_97年營業競賽提案報告書_春節作業手冊-981217" xfId="259" xr:uid="{00000000-0005-0000-0000-0000EA000000}"/>
    <cellStyle name="_封閉型商圈店舖明細_97年營業競賽提案報告書_97年營業競賽提案報告書_春節作業手冊-981217_1-晉欣鮮食廠-2012年春節作業體制" xfId="260" xr:uid="{00000000-0005-0000-0000-0000EB000000}"/>
    <cellStyle name="_封閉型商圈店舖明細_97年營業競賽提案報告書_Book1" xfId="261" xr:uid="{00000000-0005-0000-0000-0000EC000000}"/>
    <cellStyle name="_封閉型商圈店舖明細_97年營業競賽提案報告書_Book1_1-晉欣鮮食廠-2012年春節作業體制" xfId="262" xr:uid="{00000000-0005-0000-0000-0000ED000000}"/>
    <cellStyle name="_封閉型商圈店舖明細_97年營業競賽提案報告書_春節作業手冊-981217" xfId="263" xr:uid="{00000000-0005-0000-0000-0000EE000000}"/>
    <cellStyle name="_封閉型商圈店舖明細_97年營業競賽提案報告書_春節作業手冊-981217_1-晉欣鮮食廠-2012年春節作業體制" xfId="264" xr:uid="{00000000-0005-0000-0000-0000EF000000}"/>
    <cellStyle name="_封閉型商圈店舖明細_Book1" xfId="265" xr:uid="{00000000-0005-0000-0000-0000F0000000}"/>
    <cellStyle name="_封閉型商圈店舖明細_Book1_1-晉欣鮮食廠-2012年春節作業體制" xfId="266" xr:uid="{00000000-0005-0000-0000-0000F1000000}"/>
    <cellStyle name="_封閉型商圈店舖明細_春節作業手冊-981217" xfId="267" xr:uid="{00000000-0005-0000-0000-0000F2000000}"/>
    <cellStyle name="_封閉型商圈店舖明細_春節作業手冊-981217_1-晉欣鮮食廠-2012年春節作業體制" xfId="268" xr:uid="{00000000-0005-0000-0000-0000F3000000}"/>
    <cellStyle name="_封閉型商圈建議台整品項" xfId="269" xr:uid="{00000000-0005-0000-0000-0000F4000000}"/>
    <cellStyle name="_封閉型商圈建議台整品項_1-晉欣鮮食廠-2012年春節作業體制" xfId="270" xr:uid="{00000000-0005-0000-0000-0000F5000000}"/>
    <cellStyle name="_封閉型商圈建議台整品項_97年春節保全回收報告書" xfId="271" xr:uid="{00000000-0005-0000-0000-0000F6000000}"/>
    <cellStyle name="_封閉型商圈建議台整品項_97年春節保全回收報告書_1-晉欣鮮食廠-2012年春節作業體制" xfId="272" xr:uid="{00000000-0005-0000-0000-0000F7000000}"/>
    <cellStyle name="_封閉型商圈建議台整品項_97年春節保全回收報告書_Book1" xfId="273" xr:uid="{00000000-0005-0000-0000-0000F8000000}"/>
    <cellStyle name="_封閉型商圈建議台整品項_97年春節保全回收報告書_Book1_1-晉欣鮮食廠-2012年春節作業體制" xfId="274" xr:uid="{00000000-0005-0000-0000-0000F9000000}"/>
    <cellStyle name="_封閉型商圈建議台整品項_97年春節保全回收報告書_春節作業手冊-981217" xfId="275" xr:uid="{00000000-0005-0000-0000-0000FA000000}"/>
    <cellStyle name="_封閉型商圈建議台整品項_97年春節保全回收報告書_春節作業手冊-981217_1-晉欣鮮食廠-2012年春節作業體制" xfId="276" xr:uid="{00000000-0005-0000-0000-0000FB000000}"/>
    <cellStyle name="_封閉型商圈建議台整品項_97年營業競賽提案報告書" xfId="277" xr:uid="{00000000-0005-0000-0000-0000FC000000}"/>
    <cellStyle name="_封閉型商圈建議台整品項_97年營業競賽提案報告書_1-晉欣鮮食廠-2012年春節作業體制" xfId="278" xr:uid="{00000000-0005-0000-0000-0000FD000000}"/>
    <cellStyle name="_封閉型商圈建議台整品項_97年營業競賽提案報告書_97年春節保全回收報告書" xfId="279" xr:uid="{00000000-0005-0000-0000-0000FE000000}"/>
    <cellStyle name="_封閉型商圈建議台整品項_97年營業競賽提案報告書_97年春節保全回收報告書_1-晉欣鮮食廠-2012年春節作業體制" xfId="280" xr:uid="{00000000-0005-0000-0000-0000FF000000}"/>
    <cellStyle name="_封閉型商圈建議台整品項_97年營業競賽提案報告書_97年春節保全回收報告書_Book1" xfId="281" xr:uid="{00000000-0005-0000-0000-000000010000}"/>
    <cellStyle name="_封閉型商圈建議台整品項_97年營業競賽提案報告書_97年春節保全回收報告書_Book1_1-晉欣鮮食廠-2012年春節作業體制" xfId="282" xr:uid="{00000000-0005-0000-0000-000001010000}"/>
    <cellStyle name="_封閉型商圈建議台整品項_97年營業競賽提案報告書_97年春節保全回收報告書_春節作業手冊-981217" xfId="283" xr:uid="{00000000-0005-0000-0000-000002010000}"/>
    <cellStyle name="_封閉型商圈建議台整品項_97年營業競賽提案報告書_97年春節保全回收報告書_春節作業手冊-981217_1-晉欣鮮食廠-2012年春節作業體制" xfId="284" xr:uid="{00000000-0005-0000-0000-000003010000}"/>
    <cellStyle name="_封閉型商圈建議台整品項_97年營業競賽提案報告書_97年營業競賽提案報告書" xfId="285" xr:uid="{00000000-0005-0000-0000-000004010000}"/>
    <cellStyle name="_封閉型商圈建議台整品項_97年營業競賽提案報告書_97年營業競賽提案報告書_1-晉欣鮮食廠-2012年春節作業體制" xfId="286" xr:uid="{00000000-0005-0000-0000-000005010000}"/>
    <cellStyle name="_封閉型商圈建議台整品項_97年營業競賽提案報告書_97年營業競賽提案報告書_97年春節保全回收報告書" xfId="287" xr:uid="{00000000-0005-0000-0000-000006010000}"/>
    <cellStyle name="_封閉型商圈建議台整品項_97年營業競賽提案報告書_97年營業競賽提案報告書_97年春節保全回收報告書_1-晉欣鮮食廠-2012年春節作業體制" xfId="288" xr:uid="{00000000-0005-0000-0000-000007010000}"/>
    <cellStyle name="_封閉型商圈建議台整品項_97年營業競賽提案報告書_97年營業競賽提案報告書_97年春節保全回收報告書_Book1" xfId="289" xr:uid="{00000000-0005-0000-0000-000008010000}"/>
    <cellStyle name="_封閉型商圈建議台整品項_97年營業競賽提案報告書_97年營業競賽提案報告書_97年春節保全回收報告書_Book1_1-晉欣鮮食廠-2012年春節作業體制" xfId="290" xr:uid="{00000000-0005-0000-0000-000009010000}"/>
    <cellStyle name="_封閉型商圈建議台整品項_97年營業競賽提案報告書_97年營業競賽提案報告書_97年春節保全回收報告書_春節作業手冊-981217" xfId="291" xr:uid="{00000000-0005-0000-0000-00000A010000}"/>
    <cellStyle name="_封閉型商圈建議台整品項_97年營業競賽提案報告書_97年營業競賽提案報告書_97年春節保全回收報告書_春節作業手冊-981217_1-晉欣鮮食廠-2012年春節作業體制" xfId="292" xr:uid="{00000000-0005-0000-0000-00000B010000}"/>
    <cellStyle name="_封閉型商圈建議台整品項_97年營業競賽提案報告書_97年營業競賽提案報告書_97年營業競賽提案報告書" xfId="293" xr:uid="{00000000-0005-0000-0000-00000C010000}"/>
    <cellStyle name="_封閉型商圈建議台整品項_97年營業競賽提案報告書_97年營業競賽提案報告書_97年營業競賽提案報告書_1-晉欣鮮食廠-2012年春節作業體制" xfId="294" xr:uid="{00000000-0005-0000-0000-00000D010000}"/>
    <cellStyle name="_封閉型商圈建議台整品項_97年營業競賽提案報告書_97年營業競賽提案報告書_97年營業競賽提案報告書_97年春節保全回收報告書" xfId="295" xr:uid="{00000000-0005-0000-0000-00000E010000}"/>
    <cellStyle name="_封閉型商圈建議台整品項_97年營業競賽提案報告書_97年營業競賽提案報告書_97年營業競賽提案報告書_97年春節保全回收報告書_1-晉欣鮮食廠-2012年春節作業體制" xfId="296" xr:uid="{00000000-0005-0000-0000-00000F010000}"/>
    <cellStyle name="_封閉型商圈建議台整品項_97年營業競賽提案報告書_97年營業競賽提案報告書_97年營業競賽提案報告書_97年春節保全回收報告書_Book1" xfId="297" xr:uid="{00000000-0005-0000-0000-000010010000}"/>
    <cellStyle name="_封閉型商圈建議台整品項_97年營業競賽提案報告書_97年營業競賽提案報告書_97年營業競賽提案報告書_97年春節保全回收報告書_Book1_1-晉欣鮮食廠-2012年春節作業體制" xfId="298" xr:uid="{00000000-0005-0000-0000-000011010000}"/>
    <cellStyle name="_封閉型商圈建議台整品項_97年營業競賽提案報告書_97年營業競賽提案報告書_97年營業競賽提案報告書_97年春節保全回收報告書_春節作業手冊-981217" xfId="299" xr:uid="{00000000-0005-0000-0000-000012010000}"/>
    <cellStyle name="_封閉型商圈建議台整品項_97年營業競賽提案報告書_97年營業競賽提案報告書_97年營業競賽提案報告書_97年春節保全回收報告書_春節作業手冊-981217_1-晉欣鮮食廠-2012年春節作業體制" xfId="300" xr:uid="{00000000-0005-0000-0000-000013010000}"/>
    <cellStyle name="_封閉型商圈建議台整品項_97年營業競賽提案報告書_97年營業競賽提案報告書_97年營業競賽提案報告書_Book1" xfId="301" xr:uid="{00000000-0005-0000-0000-000014010000}"/>
    <cellStyle name="_封閉型商圈建議台整品項_97年營業競賽提案報告書_97年營業競賽提案報告書_97年營業競賽提案報告書_Book1_1-晉欣鮮食廠-2012年春節作業體制" xfId="302" xr:uid="{00000000-0005-0000-0000-000015010000}"/>
    <cellStyle name="_封閉型商圈建議台整品項_97年營業競賽提案報告書_97年營業競賽提案報告書_97年營業競賽提案報告書_春節作業手冊-981217" xfId="303" xr:uid="{00000000-0005-0000-0000-000016010000}"/>
    <cellStyle name="_封閉型商圈建議台整品項_97年營業競賽提案報告書_97年營業競賽提案報告書_97年營業競賽提案報告書_春節作業手冊-981217_1-晉欣鮮食廠-2012年春節作業體制" xfId="304" xr:uid="{00000000-0005-0000-0000-000017010000}"/>
    <cellStyle name="_封閉型商圈建議台整品項_97年營業競賽提案報告書_97年營業競賽提案報告書_Book1" xfId="305" xr:uid="{00000000-0005-0000-0000-000018010000}"/>
    <cellStyle name="_封閉型商圈建議台整品項_97年營業競賽提案報告書_97年營業競賽提案報告書_Book1_1-晉欣鮮食廠-2012年春節作業體制" xfId="306" xr:uid="{00000000-0005-0000-0000-000019010000}"/>
    <cellStyle name="_封閉型商圈建議台整品項_97年營業競賽提案報告書_97年營業競賽提案報告書_春節作業手冊-981217" xfId="307" xr:uid="{00000000-0005-0000-0000-00001A010000}"/>
    <cellStyle name="_封閉型商圈建議台整品項_97年營業競賽提案報告書_97年營業競賽提案報告書_春節作業手冊-981217_1-晉欣鮮食廠-2012年春節作業體制" xfId="308" xr:uid="{00000000-0005-0000-0000-00001B010000}"/>
    <cellStyle name="_封閉型商圈建議台整品項_97年營業競賽提案報告書_Book1" xfId="309" xr:uid="{00000000-0005-0000-0000-00001C010000}"/>
    <cellStyle name="_封閉型商圈建議台整品項_97年營業競賽提案報告書_Book1_1-晉欣鮮食廠-2012年春節作業體制" xfId="310" xr:uid="{00000000-0005-0000-0000-00001D010000}"/>
    <cellStyle name="_封閉型商圈建議台整品項_97年營業競賽提案報告書_春節作業手冊-981217" xfId="311" xr:uid="{00000000-0005-0000-0000-00001E010000}"/>
    <cellStyle name="_封閉型商圈建議台整品項_97年營業競賽提案報告書_春節作業手冊-981217_1-晉欣鮮食廠-2012年春節作業體制" xfId="312" xr:uid="{00000000-0005-0000-0000-00001F010000}"/>
    <cellStyle name="_封閉型商圈建議台整品項_Book1" xfId="313" xr:uid="{00000000-0005-0000-0000-000020010000}"/>
    <cellStyle name="_封閉型商圈建議台整品項_Book1_1-晉欣鮮食廠-2012年春節作業體制" xfId="314" xr:uid="{00000000-0005-0000-0000-000021010000}"/>
    <cellStyle name="_封閉型商圈建議台整品項_春節作業手冊-981217" xfId="315" xr:uid="{00000000-0005-0000-0000-000022010000}"/>
    <cellStyle name="_封閉型商圈建議台整品項_春節作業手冊-981217_1-晉欣鮮食廠-2012年春節作業體制" xfId="316" xr:uid="{00000000-0005-0000-0000-000023010000}"/>
    <cellStyle name="_樂清9507租賃用品申請" xfId="317" xr:uid="{00000000-0005-0000-0000-000024010000}"/>
    <cellStyle name="_樂清9507租賃用品申請_1-晉欣鮮食廠-2012年春節作業體制" xfId="318" xr:uid="{00000000-0005-0000-0000-000025010000}"/>
    <cellStyle name="_樂清9507租賃用品申請_96年月餅預購競賽獎勵案" xfId="319" xr:uid="{00000000-0005-0000-0000-000026010000}"/>
    <cellStyle name="_樂清9507租賃用品申請_96年月餅預購競賽獎勵案_1-晉欣鮮食廠-2012年春節作業體制" xfId="320" xr:uid="{00000000-0005-0000-0000-000027010000}"/>
    <cellStyle name="_樂清9507租賃用品申請_96年月餅預購競賽獎勵案_96年月餅預購競賽獎勵案" xfId="321" xr:uid="{00000000-0005-0000-0000-000028010000}"/>
    <cellStyle name="_樂清9507租賃用品申請_96年月餅預購競賽獎勵案_96年月餅預購競賽獎勵案_1-晉欣鮮食廠-2012年春節作業體制" xfId="322" xr:uid="{00000000-0005-0000-0000-000029010000}"/>
    <cellStyle name="_樂清9507租賃用品申請_96年月餅預購競賽獎勵案_96年月餅預購競賽獎勵案_97年春節保全回收報告書" xfId="323" xr:uid="{00000000-0005-0000-0000-00002A010000}"/>
    <cellStyle name="_樂清9507租賃用品申請_96年月餅預購競賽獎勵案_96年月餅預購競賽獎勵案_97年春節保全回收報告書_1-晉欣鮮食廠-2012年春節作業體制" xfId="324" xr:uid="{00000000-0005-0000-0000-00002B010000}"/>
    <cellStyle name="_樂清9507租賃用品申請_96年月餅預購競賽獎勵案_96年月餅預購競賽獎勵案_97年春節保全回收報告書_Book1" xfId="325" xr:uid="{00000000-0005-0000-0000-00002C010000}"/>
    <cellStyle name="_樂清9507租賃用品申請_96年月餅預購競賽獎勵案_96年月餅預購競賽獎勵案_97年春節保全回收報告書_Book1_1-晉欣鮮食廠-2012年春節作業體制" xfId="326" xr:uid="{00000000-0005-0000-0000-00002D010000}"/>
    <cellStyle name="_樂清9507租賃用品申請_96年月餅預購競賽獎勵案_96年月餅預購競賽獎勵案_97年春節保全回收報告書_春節作業手冊-981217" xfId="327" xr:uid="{00000000-0005-0000-0000-00002E010000}"/>
    <cellStyle name="_樂清9507租賃用品申請_96年月餅預購競賽獎勵案_96年月餅預購競賽獎勵案_97年春節保全回收報告書_春節作業手冊-981217_1-晉欣鮮食廠-2012年春節作業體制" xfId="328" xr:uid="{00000000-0005-0000-0000-00002F010000}"/>
    <cellStyle name="_樂清9507租賃用品申請_96年月餅預購競賽獎勵案_96年月餅預購競賽獎勵案_97年營業競賽提案報告書" xfId="329" xr:uid="{00000000-0005-0000-0000-000030010000}"/>
    <cellStyle name="_樂清9507租賃用品申請_96年月餅預購競賽獎勵案_96年月餅預購競賽獎勵案_97年營業競賽提案報告書_1-晉欣鮮食廠-2012年春節作業體制" xfId="330" xr:uid="{00000000-0005-0000-0000-000031010000}"/>
    <cellStyle name="_樂清9507租賃用品申請_96年月餅預購競賽獎勵案_96年月餅預購競賽獎勵案_97年營業競賽提案報告書_97年春節保全回收報告書" xfId="331" xr:uid="{00000000-0005-0000-0000-000032010000}"/>
    <cellStyle name="_樂清9507租賃用品申請_96年月餅預購競賽獎勵案_96年月餅預購競賽獎勵案_97年營業競賽提案報告書_97年春節保全回收報告書_1-晉欣鮮食廠-2012年春節作業體制" xfId="332" xr:uid="{00000000-0005-0000-0000-000033010000}"/>
    <cellStyle name="_樂清9507租賃用品申請_96年月餅預購競賽獎勵案_96年月餅預購競賽獎勵案_97年營業競賽提案報告書_97年春節保全回收報告書_Book1" xfId="333" xr:uid="{00000000-0005-0000-0000-000034010000}"/>
    <cellStyle name="_樂清9507租賃用品申請_96年月餅預購競賽獎勵案_96年月餅預購競賽獎勵案_97年營業競賽提案報告書_97年春節保全回收報告書_Book1_1-晉欣鮮食廠-2012年春節作業體制" xfId="334" xr:uid="{00000000-0005-0000-0000-000035010000}"/>
    <cellStyle name="_樂清9507租賃用品申請_96年月餅預購競賽獎勵案_96年月餅預購競賽獎勵案_97年營業競賽提案報告書_97年春節保全回收報告書_春節作業手冊-981217" xfId="335" xr:uid="{00000000-0005-0000-0000-000036010000}"/>
    <cellStyle name="_樂清9507租賃用品申請_96年月餅預購競賽獎勵案_96年月餅預購競賽獎勵案_97年營業競賽提案報告書_97年春節保全回收報告書_春節作業手冊-981217_1-晉欣鮮食廠-2012年春節作業體制" xfId="336" xr:uid="{00000000-0005-0000-0000-000037010000}"/>
    <cellStyle name="_樂清9507租賃用品申請_96年月餅預購競賽獎勵案_96年月餅預購競賽獎勵案_97年營業競賽提案報告書_97年營業競賽提案報告書" xfId="337" xr:uid="{00000000-0005-0000-0000-000038010000}"/>
    <cellStyle name="_樂清9507租賃用品申請_96年月餅預購競賽獎勵案_96年月餅預購競賽獎勵案_97年營業競賽提案報告書_97年營業競賽提案報告書_1-晉欣鮮食廠-2012年春節作業體制" xfId="338" xr:uid="{00000000-0005-0000-0000-000039010000}"/>
    <cellStyle name="_樂清9507租賃用品申請_96年月餅預購競賽獎勵案_96年月餅預購競賽獎勵案_97年營業競賽提案報告書_97年營業競賽提案報告書_97年春節保全回收報告書" xfId="339" xr:uid="{00000000-0005-0000-0000-00003A010000}"/>
    <cellStyle name="_樂清9507租賃用品申請_96年月餅預購競賽獎勵案_96年月餅預購競賽獎勵案_97年營業競賽提案報告書_97年營業競賽提案報告書_97年春節保全回收報告書_1-晉欣鮮食廠-2012年春節作業體制" xfId="340" xr:uid="{00000000-0005-0000-0000-00003B010000}"/>
    <cellStyle name="_樂清9507租賃用品申請_96年月餅預購競賽獎勵案_96年月餅預購競賽獎勵案_97年營業競賽提案報告書_97年營業競賽提案報告書_97年春節保全回收報告書_Book1" xfId="341" xr:uid="{00000000-0005-0000-0000-00003C010000}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 xr:uid="{00000000-0005-0000-0000-00003D010000}"/>
    <cellStyle name="_樂清9507租賃用品申請_96年月餅預購競賽獎勵案_96年月餅預購競賽獎勵案_97年營業競賽提案報告書_97年營業競賽提案報告書_97年春節保全回收報告書_春節作業手冊-981217" xfId="343" xr:uid="{00000000-0005-0000-0000-00003E010000}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 xr:uid="{00000000-0005-0000-0000-00003F010000}"/>
    <cellStyle name="_樂清9507租賃用品申請_96年月餅預購競賽獎勵案_96年月餅預購競賽獎勵案_97年營業競賽提案報告書_97年營業競賽提案報告書_97年營業競賽提案報告書" xfId="345" xr:uid="{00000000-0005-0000-0000-000040010000}"/>
    <cellStyle name="_樂清9507租賃用品申請_96年月餅預購競賽獎勵案_96年月餅預購競賽獎勵案_97年營業競賽提案報告書_97年營業競賽提案報告書_97年營業競賽提案報告書_1-晉欣鮮食廠-2012年春節作業體制" xfId="346" xr:uid="{00000000-0005-0000-0000-000041010000}"/>
    <cellStyle name="_樂清9507租賃用品申請_96年月餅預購競賽獎勵案_96年月餅預購競賽獎勵案_97年營業競賽提案報告書_97年營業競賽提案報告書_97年營業競賽提案報告書_97年春節保全回收報告書" xfId="347" xr:uid="{00000000-0005-0000-0000-000042010000}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 xr:uid="{00000000-0005-0000-0000-000043010000}"/>
    <cellStyle name="_樂清9507租賃用品申請_96年月餅預購競賽獎勵案_96年月餅預購競賽獎勵案_97年營業競賽提案報告書_97年營業競賽提案報告書_97年營業競賽提案報告書_97年春節保全回收報告書_Book1" xfId="349" xr:uid="{00000000-0005-0000-0000-000044010000}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 xr:uid="{00000000-0005-0000-0000-000045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 xr:uid="{00000000-0005-0000-0000-000046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 xr:uid="{00000000-0005-0000-0000-000047010000}"/>
    <cellStyle name="_樂清9507租賃用品申請_96年月餅預購競賽獎勵案_96年月餅預購競賽獎勵案_97年營業競賽提案報告書_97年營業競賽提案報告書_97年營業競賽提案報告書_Book1" xfId="353" xr:uid="{00000000-0005-0000-0000-000048010000}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 xr:uid="{00000000-0005-0000-0000-000049010000}"/>
    <cellStyle name="_樂清9507租賃用品申請_96年月餅預購競賽獎勵案_96年月餅預購競賽獎勵案_97年營業競賽提案報告書_97年營業競賽提案報告書_97年營業競賽提案報告書_春節作業手冊-981217" xfId="355" xr:uid="{00000000-0005-0000-0000-00004A010000}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 xr:uid="{00000000-0005-0000-0000-00004B010000}"/>
    <cellStyle name="_樂清9507租賃用品申請_96年月餅預購競賽獎勵案_96年月餅預購競賽獎勵案_97年營業競賽提案報告書_97年營業競賽提案報告書_Book1" xfId="357" xr:uid="{00000000-0005-0000-0000-00004C010000}"/>
    <cellStyle name="_樂清9507租賃用品申請_96年月餅預購競賽獎勵案_96年月餅預購競賽獎勵案_97年營業競賽提案報告書_97年營業競賽提案報告書_Book1_1-晉欣鮮食廠-2012年春節作業體制" xfId="358" xr:uid="{00000000-0005-0000-0000-00004D010000}"/>
    <cellStyle name="_樂清9507租賃用品申請_96年月餅預購競賽獎勵案_96年月餅預購競賽獎勵案_97年營業競賽提案報告書_97年營業競賽提案報告書_春節作業手冊-981217" xfId="359" xr:uid="{00000000-0005-0000-0000-00004E010000}"/>
    <cellStyle name="_樂清9507租賃用品申請_96年月餅預購競賽獎勵案_96年月餅預購競賽獎勵案_97年營業競賽提案報告書_97年營業競賽提案報告書_春節作業手冊-981217_1-晉欣鮮食廠-2012年春節作業體制" xfId="360" xr:uid="{00000000-0005-0000-0000-00004F010000}"/>
    <cellStyle name="_樂清9507租賃用品申請_96年月餅預購競賽獎勵案_96年月餅預購競賽獎勵案_97年營業競賽提案報告書_Book1" xfId="361" xr:uid="{00000000-0005-0000-0000-000050010000}"/>
    <cellStyle name="_樂清9507租賃用品申請_96年月餅預購競賽獎勵案_96年月餅預購競賽獎勵案_97年營業競賽提案報告書_Book1_1-晉欣鮮食廠-2012年春節作業體制" xfId="362" xr:uid="{00000000-0005-0000-0000-000051010000}"/>
    <cellStyle name="_樂清9507租賃用品申請_96年月餅預購競賽獎勵案_96年月餅預購競賽獎勵案_97年營業競賽提案報告書_春節作業手冊-981217" xfId="363" xr:uid="{00000000-0005-0000-0000-000052010000}"/>
    <cellStyle name="_樂清9507租賃用品申請_96年月餅預購競賽獎勵案_96年月餅預購競賽獎勵案_97年營業競賽提案報告書_春節作業手冊-981217_1-晉欣鮮食廠-2012年春節作業體制" xfId="364" xr:uid="{00000000-0005-0000-0000-000053010000}"/>
    <cellStyle name="_樂清9507租賃用品申請_96年月餅預購競賽獎勵案_96年月餅預購競賽獎勵案_Book1" xfId="365" xr:uid="{00000000-0005-0000-0000-000054010000}"/>
    <cellStyle name="_樂清9507租賃用品申請_96年月餅預購競賽獎勵案_96年月餅預購競賽獎勵案_Book1_1-晉欣鮮食廠-2012年春節作業體制" xfId="366" xr:uid="{00000000-0005-0000-0000-000055010000}"/>
    <cellStyle name="_樂清9507租賃用品申請_96年月餅預購競賽獎勵案_96年月餅預購競賽獎勵案_春節作業手冊-981217" xfId="367" xr:uid="{00000000-0005-0000-0000-000056010000}"/>
    <cellStyle name="_樂清9507租賃用品申請_96年月餅預購競賽獎勵案_96年月餅預購競賽獎勵案_春節作業手冊-981217_1-晉欣鮮食廠-2012年春節作業體制" xfId="368" xr:uid="{00000000-0005-0000-0000-000057010000}"/>
    <cellStyle name="_樂清9507租賃用品申請_96年月餅預購競賽獎勵案_97年春節保全回收報告書" xfId="369" xr:uid="{00000000-0005-0000-0000-000058010000}"/>
    <cellStyle name="_樂清9507租賃用品申請_96年月餅預購競賽獎勵案_97年春節保全回收報告書_1-晉欣鮮食廠-2012年春節作業體制" xfId="370" xr:uid="{00000000-0005-0000-0000-000059010000}"/>
    <cellStyle name="_樂清9507租賃用品申請_96年月餅預購競賽獎勵案_97年春節保全回收報告書_Book1" xfId="371" xr:uid="{00000000-0005-0000-0000-00005A010000}"/>
    <cellStyle name="_樂清9507租賃用品申請_96年月餅預購競賽獎勵案_97年春節保全回收報告書_Book1_1-晉欣鮮食廠-2012年春節作業體制" xfId="372" xr:uid="{00000000-0005-0000-0000-00005B010000}"/>
    <cellStyle name="_樂清9507租賃用品申請_96年月餅預購競賽獎勵案_97年春節保全回收報告書_春節作業手冊-981217" xfId="373" xr:uid="{00000000-0005-0000-0000-00005C010000}"/>
    <cellStyle name="_樂清9507租賃用品申請_96年月餅預購競賽獎勵案_97年春節保全回收報告書_春節作業手冊-981217_1-晉欣鮮食廠-2012年春節作業體制" xfId="374" xr:uid="{00000000-0005-0000-0000-00005D010000}"/>
    <cellStyle name="_樂清9507租賃用品申請_96年月餅預購競賽獎勵案_97年營業競賽提案報告書" xfId="375" xr:uid="{00000000-0005-0000-0000-00005E010000}"/>
    <cellStyle name="_樂清9507租賃用品申請_96年月餅預購競賽獎勵案_97年營業競賽提案報告書_1-晉欣鮮食廠-2012年春節作業體制" xfId="376" xr:uid="{00000000-0005-0000-0000-00005F010000}"/>
    <cellStyle name="_樂清9507租賃用品申請_96年月餅預購競賽獎勵案_97年營業競賽提案報告書_97年春節保全回收報告書" xfId="377" xr:uid="{00000000-0005-0000-0000-000060010000}"/>
    <cellStyle name="_樂清9507租賃用品申請_96年月餅預購競賽獎勵案_97年營業競賽提案報告書_97年春節保全回收報告書_1-晉欣鮮食廠-2012年春節作業體制" xfId="378" xr:uid="{00000000-0005-0000-0000-000061010000}"/>
    <cellStyle name="_樂清9507租賃用品申請_96年月餅預購競賽獎勵案_97年營業競賽提案報告書_97年春節保全回收報告書_Book1" xfId="379" xr:uid="{00000000-0005-0000-0000-000062010000}"/>
    <cellStyle name="_樂清9507租賃用品申請_96年月餅預購競賽獎勵案_97年營業競賽提案報告書_97年春節保全回收報告書_Book1_1-晉欣鮮食廠-2012年春節作業體制" xfId="380" xr:uid="{00000000-0005-0000-0000-000063010000}"/>
    <cellStyle name="_樂清9507租賃用品申請_96年月餅預購競賽獎勵案_97年營業競賽提案報告書_97年春節保全回收報告書_春節作業手冊-981217" xfId="381" xr:uid="{00000000-0005-0000-0000-000064010000}"/>
    <cellStyle name="_樂清9507租賃用品申請_96年月餅預購競賽獎勵案_97年營業競賽提案報告書_97年春節保全回收報告書_春節作業手冊-981217_1-晉欣鮮食廠-2012年春節作業體制" xfId="382" xr:uid="{00000000-0005-0000-0000-000065010000}"/>
    <cellStyle name="_樂清9507租賃用品申請_96年月餅預購競賽獎勵案_97年營業競賽提案報告書_97年營業競賽提案報告書" xfId="383" xr:uid="{00000000-0005-0000-0000-000066010000}"/>
    <cellStyle name="_樂清9507租賃用品申請_96年月餅預購競賽獎勵案_97年營業競賽提案報告書_97年營業競賽提案報告書_1-晉欣鮮食廠-2012年春節作業體制" xfId="384" xr:uid="{00000000-0005-0000-0000-000067010000}"/>
    <cellStyle name="_樂清9507租賃用品申請_96年月餅預購競賽獎勵案_97年營業競賽提案報告書_97年營業競賽提案報告書_97年春節保全回收報告書" xfId="385" xr:uid="{00000000-0005-0000-0000-000068010000}"/>
    <cellStyle name="_樂清9507租賃用品申請_96年月餅預購競賽獎勵案_97年營業競賽提案報告書_97年營業競賽提案報告書_97年春節保全回收報告書_1-晉欣鮮食廠-2012年春節作業體制" xfId="386" xr:uid="{00000000-0005-0000-0000-000069010000}"/>
    <cellStyle name="_樂清9507租賃用品申請_96年月餅預購競賽獎勵案_97年營業競賽提案報告書_97年營業競賽提案報告書_97年春節保全回收報告書_Book1" xfId="387" xr:uid="{00000000-0005-0000-0000-00006A010000}"/>
    <cellStyle name="_樂清9507租賃用品申請_96年月餅預購競賽獎勵案_97年營業競賽提案報告書_97年營業競賽提案報告書_97年春節保全回收報告書_Book1_1-晉欣鮮食廠-2012年春節作業體制" xfId="388" xr:uid="{00000000-0005-0000-0000-00006B010000}"/>
    <cellStyle name="_樂清9507租賃用品申請_96年月餅預購競賽獎勵案_97年營業競賽提案報告書_97年營業競賽提案報告書_97年春節保全回收報告書_春節作業手冊-981217" xfId="389" xr:uid="{00000000-0005-0000-0000-00006C010000}"/>
    <cellStyle name="_樂清9507租賃用品申請_96年月餅預購競賽獎勵案_97年營業競賽提案報告書_97年營業競賽提案報告書_97年春節保全回收報告書_春節作業手冊-981217_1-晉欣鮮食廠-2012年春節作業體制" xfId="390" xr:uid="{00000000-0005-0000-0000-00006D010000}"/>
    <cellStyle name="_樂清9507租賃用品申請_96年月餅預購競賽獎勵案_97年營業競賽提案報告書_97年營業競賽提案報告書_97年營業競賽提案報告書" xfId="391" xr:uid="{00000000-0005-0000-0000-00006E010000}"/>
    <cellStyle name="_樂清9507租賃用品申請_96年月餅預購競賽獎勵案_97年營業競賽提案報告書_97年營業競賽提案報告書_97年營業競賽提案報告書_1-晉欣鮮食廠-2012年春節作業體制" xfId="392" xr:uid="{00000000-0005-0000-0000-00006F010000}"/>
    <cellStyle name="_樂清9507租賃用品申請_96年月餅預購競賽獎勵案_97年營業競賽提案報告書_97年營業競賽提案報告書_97年營業競賽提案報告書_97年春節保全回收報告書" xfId="393" xr:uid="{00000000-0005-0000-0000-000070010000}"/>
    <cellStyle name="_樂清9507租賃用品申請_96年月餅預購競賽獎勵案_97年營業競賽提案報告書_97年營業競賽提案報告書_97年營業競賽提案報告書_97年春節保全回收報告書_1-晉欣鮮食廠-2012年春節作業體制" xfId="394" xr:uid="{00000000-0005-0000-0000-000071010000}"/>
    <cellStyle name="_樂清9507租賃用品申請_96年月餅預購競賽獎勵案_97年營業競賽提案報告書_97年營業競賽提案報告書_97年營業競賽提案報告書_97年春節保全回收報告書_Book1" xfId="395" xr:uid="{00000000-0005-0000-0000-000072010000}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 xr:uid="{00000000-0005-0000-0000-000073010000}"/>
    <cellStyle name="_樂清9507租賃用品申請_96年月餅預購競賽獎勵案_97年營業競賽提案報告書_97年營業競賽提案報告書_97年營業競賽提案報告書_97年春節保全回收報告書_春節作業手冊-981217" xfId="397" xr:uid="{00000000-0005-0000-0000-000074010000}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 xr:uid="{00000000-0005-0000-0000-000075010000}"/>
    <cellStyle name="_樂清9507租賃用品申請_96年月餅預購競賽獎勵案_97年營業競賽提案報告書_97年營業競賽提案報告書_97年營業競賽提案報告書_Book1" xfId="399" xr:uid="{00000000-0005-0000-0000-000076010000}"/>
    <cellStyle name="_樂清9507租賃用品申請_96年月餅預購競賽獎勵案_97年營業競賽提案報告書_97年營業競賽提案報告書_97年營業競賽提案報告書_Book1_1-晉欣鮮食廠-2012年春節作業體制" xfId="400" xr:uid="{00000000-0005-0000-0000-000077010000}"/>
    <cellStyle name="_樂清9507租賃用品申請_96年月餅預購競賽獎勵案_97年營業競賽提案報告書_97年營業競賽提案報告書_97年營業競賽提案報告書_春節作業手冊-981217" xfId="401" xr:uid="{00000000-0005-0000-0000-000078010000}"/>
    <cellStyle name="_樂清9507租賃用品申請_96年月餅預購競賽獎勵案_97年營業競賽提案報告書_97年營業競賽提案報告書_97年營業競賽提案報告書_春節作業手冊-981217_1-晉欣鮮食廠-2012年春節作業體制" xfId="402" xr:uid="{00000000-0005-0000-0000-000079010000}"/>
    <cellStyle name="_樂清9507租賃用品申請_96年月餅預購競賽獎勵案_97年營業競賽提案報告書_97年營業競賽提案報告書_Book1" xfId="403" xr:uid="{00000000-0005-0000-0000-00007A010000}"/>
    <cellStyle name="_樂清9507租賃用品申請_96年月餅預購競賽獎勵案_97年營業競賽提案報告書_97年營業競賽提案報告書_Book1_1-晉欣鮮食廠-2012年春節作業體制" xfId="404" xr:uid="{00000000-0005-0000-0000-00007B010000}"/>
    <cellStyle name="_樂清9507租賃用品申請_96年月餅預購競賽獎勵案_97年營業競賽提案報告書_97年營業競賽提案報告書_春節作業手冊-981217" xfId="405" xr:uid="{00000000-0005-0000-0000-00007C010000}"/>
    <cellStyle name="_樂清9507租賃用品申請_96年月餅預購競賽獎勵案_97年營業競賽提案報告書_97年營業競賽提案報告書_春節作業手冊-981217_1-晉欣鮮食廠-2012年春節作業體制" xfId="406" xr:uid="{00000000-0005-0000-0000-00007D010000}"/>
    <cellStyle name="_樂清9507租賃用品申請_96年月餅預購競賽獎勵案_97年營業競賽提案報告書_Book1" xfId="407" xr:uid="{00000000-0005-0000-0000-00007E010000}"/>
    <cellStyle name="_樂清9507租賃用品申請_96年月餅預購競賽獎勵案_97年營業競賽提案報告書_Book1_1-晉欣鮮食廠-2012年春節作業體制" xfId="408" xr:uid="{00000000-0005-0000-0000-00007F010000}"/>
    <cellStyle name="_樂清9507租賃用品申請_96年月餅預購競賽獎勵案_97年營業競賽提案報告書_春節作業手冊-981217" xfId="409" xr:uid="{00000000-0005-0000-0000-000080010000}"/>
    <cellStyle name="_樂清9507租賃用品申請_96年月餅預購競賽獎勵案_97年營業競賽提案報告書_春節作業手冊-981217_1-晉欣鮮食廠-2012年春節作業體制" xfId="410" xr:uid="{00000000-0005-0000-0000-000081010000}"/>
    <cellStyle name="_樂清9507租賃用品申請_96年月餅預購競賽獎勵案_Book1" xfId="411" xr:uid="{00000000-0005-0000-0000-000082010000}"/>
    <cellStyle name="_樂清9507租賃用品申請_96年月餅預購競賽獎勵案_Book1_1-晉欣鮮食廠-2012年春節作業體制" xfId="412" xr:uid="{00000000-0005-0000-0000-000083010000}"/>
    <cellStyle name="_樂清9507租賃用品申請_96年月餅預購競賽獎勵案_春節作業手冊-981217" xfId="413" xr:uid="{00000000-0005-0000-0000-000084010000}"/>
    <cellStyle name="_樂清9507租賃用品申請_96年月餅預購競賽獎勵案_春節作業手冊-981217_1-晉欣鮮食廠-2012年春節作業體制" xfId="414" xr:uid="{00000000-0005-0000-0000-000085010000}"/>
    <cellStyle name="_樂清9507租賃用品申請_97年春節保全回收報告書" xfId="415" xr:uid="{00000000-0005-0000-0000-000086010000}"/>
    <cellStyle name="_樂清9507租賃用品申請_97年春節保全回收報告書_1-晉欣鮮食廠-2012年春節作業體制" xfId="416" xr:uid="{00000000-0005-0000-0000-000087010000}"/>
    <cellStyle name="_樂清9507租賃用品申請_97年春節保全回收報告書_Book1" xfId="417" xr:uid="{00000000-0005-0000-0000-000088010000}"/>
    <cellStyle name="_樂清9507租賃用品申請_97年春節保全回收報告書_Book1_1-晉欣鮮食廠-2012年春節作業體制" xfId="418" xr:uid="{00000000-0005-0000-0000-000089010000}"/>
    <cellStyle name="_樂清9507租賃用品申請_97年春節保全回收報告書_春節作業手冊-981217" xfId="419" xr:uid="{00000000-0005-0000-0000-00008A010000}"/>
    <cellStyle name="_樂清9507租賃用品申請_97年春節保全回收報告書_春節作業手冊-981217_1-晉欣鮮食廠-2012年春節作業體制" xfId="420" xr:uid="{00000000-0005-0000-0000-00008B010000}"/>
    <cellStyle name="_樂清9507租賃用品申請_97年營業競賽提案報告書" xfId="421" xr:uid="{00000000-0005-0000-0000-00008C010000}"/>
    <cellStyle name="_樂清9507租賃用品申請_97年營業競賽提案報告書_1-晉欣鮮食廠-2012年春節作業體制" xfId="422" xr:uid="{00000000-0005-0000-0000-00008D010000}"/>
    <cellStyle name="_樂清9507租賃用品申請_97年營業競賽提案報告書_97年春節保全回收報告書" xfId="423" xr:uid="{00000000-0005-0000-0000-00008E010000}"/>
    <cellStyle name="_樂清9507租賃用品申請_97年營業競賽提案報告書_97年春節保全回收報告書_1-晉欣鮮食廠-2012年春節作業體制" xfId="424" xr:uid="{00000000-0005-0000-0000-00008F010000}"/>
    <cellStyle name="_樂清9507租賃用品申請_97年營業競賽提案報告書_97年春節保全回收報告書_Book1" xfId="425" xr:uid="{00000000-0005-0000-0000-000090010000}"/>
    <cellStyle name="_樂清9507租賃用品申請_97年營業競賽提案報告書_97年春節保全回收報告書_Book1_1-晉欣鮮食廠-2012年春節作業體制" xfId="426" xr:uid="{00000000-0005-0000-0000-000091010000}"/>
    <cellStyle name="_樂清9507租賃用品申請_97年營業競賽提案報告書_97年春節保全回收報告書_春節作業手冊-981217" xfId="427" xr:uid="{00000000-0005-0000-0000-000092010000}"/>
    <cellStyle name="_樂清9507租賃用品申請_97年營業競賽提案報告書_97年春節保全回收報告書_春節作業手冊-981217_1-晉欣鮮食廠-2012年春節作業體制" xfId="428" xr:uid="{00000000-0005-0000-0000-000093010000}"/>
    <cellStyle name="_樂清9507租賃用品申請_97年營業競賽提案報告書_97年營業競賽提案報告書" xfId="429" xr:uid="{00000000-0005-0000-0000-000094010000}"/>
    <cellStyle name="_樂清9507租賃用品申請_97年營業競賽提案報告書_97年營業競賽提案報告書_1-晉欣鮮食廠-2012年春節作業體制" xfId="430" xr:uid="{00000000-0005-0000-0000-000095010000}"/>
    <cellStyle name="_樂清9507租賃用品申請_97年營業競賽提案報告書_97年營業競賽提案報告書_97年春節保全回收報告書" xfId="431" xr:uid="{00000000-0005-0000-0000-000096010000}"/>
    <cellStyle name="_樂清9507租賃用品申請_97年營業競賽提案報告書_97年營業競賽提案報告書_97年春節保全回收報告書_1-晉欣鮮食廠-2012年春節作業體制" xfId="432" xr:uid="{00000000-0005-0000-0000-000097010000}"/>
    <cellStyle name="_樂清9507租賃用品申請_97年營業競賽提案報告書_97年營業競賽提案報告書_97年春節保全回收報告書_Book1" xfId="433" xr:uid="{00000000-0005-0000-0000-000098010000}"/>
    <cellStyle name="_樂清9507租賃用品申請_97年營業競賽提案報告書_97年營業競賽提案報告書_97年春節保全回收報告書_Book1_1-晉欣鮮食廠-2012年春節作業體制" xfId="434" xr:uid="{00000000-0005-0000-0000-000099010000}"/>
    <cellStyle name="_樂清9507租賃用品申請_97年營業競賽提案報告書_97年營業競賽提案報告書_97年春節保全回收報告書_春節作業手冊-981217" xfId="435" xr:uid="{00000000-0005-0000-0000-00009A010000}"/>
    <cellStyle name="_樂清9507租賃用品申請_97年營業競賽提案報告書_97年營業競賽提案報告書_97年春節保全回收報告書_春節作業手冊-981217_1-晉欣鮮食廠-2012年春節作業體制" xfId="436" xr:uid="{00000000-0005-0000-0000-00009B010000}"/>
    <cellStyle name="_樂清9507租賃用品申請_97年營業競賽提案報告書_97年營業競賽提案報告書_97年營業競賽提案報告書" xfId="437" xr:uid="{00000000-0005-0000-0000-00009C010000}"/>
    <cellStyle name="_樂清9507租賃用品申請_97年營業競賽提案報告書_97年營業競賽提案報告書_97年營業競賽提案報告書_1-晉欣鮮食廠-2012年春節作業體制" xfId="438" xr:uid="{00000000-0005-0000-0000-00009D010000}"/>
    <cellStyle name="_樂清9507租賃用品申請_97年營業競賽提案報告書_97年營業競賽提案報告書_97年營業競賽提案報告書_97年春節保全回收報告書" xfId="439" xr:uid="{00000000-0005-0000-0000-00009E010000}"/>
    <cellStyle name="_樂清9507租賃用品申請_97年營業競賽提案報告書_97年營業競賽提案報告書_97年營業競賽提案報告書_97年春節保全回收報告書_1-晉欣鮮食廠-2012年春節作業體制" xfId="440" xr:uid="{00000000-0005-0000-0000-00009F010000}"/>
    <cellStyle name="_樂清9507租賃用品申請_97年營業競賽提案報告書_97年營業競賽提案報告書_97年營業競賽提案報告書_97年春節保全回收報告書_Book1" xfId="441" xr:uid="{00000000-0005-0000-0000-0000A0010000}"/>
    <cellStyle name="_樂清9507租賃用品申請_97年營業競賽提案報告書_97年營業競賽提案報告書_97年營業競賽提案報告書_97年春節保全回收報告書_Book1_1-晉欣鮮食廠-2012年春節作業體制" xfId="442" xr:uid="{00000000-0005-0000-0000-0000A1010000}"/>
    <cellStyle name="_樂清9507租賃用品申請_97年營業競賽提案報告書_97年營業競賽提案報告書_97年營業競賽提案報告書_97年春節保全回收報告書_春節作業手冊-981217" xfId="443" xr:uid="{00000000-0005-0000-0000-0000A2010000}"/>
    <cellStyle name="_樂清9507租賃用品申請_97年營業競賽提案報告書_97年營業競賽提案報告書_97年營業競賽提案報告書_97年春節保全回收報告書_春節作業手冊-981217_1-晉欣鮮食廠-2012年春節作業體制" xfId="444" xr:uid="{00000000-0005-0000-0000-0000A3010000}"/>
    <cellStyle name="_樂清9507租賃用品申請_97年營業競賽提案報告書_97年營業競賽提案報告書_97年營業競賽提案報告書_Book1" xfId="445" xr:uid="{00000000-0005-0000-0000-0000A4010000}"/>
    <cellStyle name="_樂清9507租賃用品申請_97年營業競賽提案報告書_97年營業競賽提案報告書_97年營業競賽提案報告書_Book1_1-晉欣鮮食廠-2012年春節作業體制" xfId="446" xr:uid="{00000000-0005-0000-0000-0000A5010000}"/>
    <cellStyle name="_樂清9507租賃用品申請_97年營業競賽提案報告書_97年營業競賽提案報告書_97年營業競賽提案報告書_春節作業手冊-981217" xfId="447" xr:uid="{00000000-0005-0000-0000-0000A6010000}"/>
    <cellStyle name="_樂清9507租賃用品申請_97年營業競賽提案報告書_97年營業競賽提案報告書_97年營業競賽提案報告書_春節作業手冊-981217_1-晉欣鮮食廠-2012年春節作業體制" xfId="448" xr:uid="{00000000-0005-0000-0000-0000A7010000}"/>
    <cellStyle name="_樂清9507租賃用品申請_97年營業競賽提案報告書_97年營業競賽提案報告書_Book1" xfId="449" xr:uid="{00000000-0005-0000-0000-0000A8010000}"/>
    <cellStyle name="_樂清9507租賃用品申請_97年營業競賽提案報告書_97年營業競賽提案報告書_Book1_1-晉欣鮮食廠-2012年春節作業體制" xfId="450" xr:uid="{00000000-0005-0000-0000-0000A9010000}"/>
    <cellStyle name="_樂清9507租賃用品申請_97年營業競賽提案報告書_97年營業競賽提案報告書_春節作業手冊-981217" xfId="451" xr:uid="{00000000-0005-0000-0000-0000AA010000}"/>
    <cellStyle name="_樂清9507租賃用品申請_97年營業競賽提案報告書_97年營業競賽提案報告書_春節作業手冊-981217_1-晉欣鮮食廠-2012年春節作業體制" xfId="452" xr:uid="{00000000-0005-0000-0000-0000AB010000}"/>
    <cellStyle name="_樂清9507租賃用品申請_97年營業競賽提案報告書_Book1" xfId="453" xr:uid="{00000000-0005-0000-0000-0000AC010000}"/>
    <cellStyle name="_樂清9507租賃用品申請_97年營業競賽提案報告書_Book1_1-晉欣鮮食廠-2012年春節作業體制" xfId="454" xr:uid="{00000000-0005-0000-0000-0000AD010000}"/>
    <cellStyle name="_樂清9507租賃用品申請_97年營業競賽提案報告書_春節作業手冊-981217" xfId="455" xr:uid="{00000000-0005-0000-0000-0000AE010000}"/>
    <cellStyle name="_樂清9507租賃用品申請_97年營業競賽提案報告書_春節作業手冊-981217_1-晉欣鮮食廠-2012年春節作業體制" xfId="456" xr:uid="{00000000-0005-0000-0000-0000AF010000}"/>
    <cellStyle name="_樂清9507租賃用品申請_Book1" xfId="457" xr:uid="{00000000-0005-0000-0000-0000B0010000}"/>
    <cellStyle name="_樂清9507租賃用品申請_Book1_1-晉欣鮮食廠-2012年春節作業體制" xfId="458" xr:uid="{00000000-0005-0000-0000-0000B1010000}"/>
    <cellStyle name="_樂清9507租賃用品申請_春節作業手冊-981217" xfId="459" xr:uid="{00000000-0005-0000-0000-0000B2010000}"/>
    <cellStyle name="_樂清9507租賃用品申請_春節作業手冊-981217_1-晉欣鮮食廠-2012年春節作業體制" xfId="460" xr:uid="{00000000-0005-0000-0000-0000B3010000}"/>
    <cellStyle name="Normal - Style1" xfId="461" xr:uid="{00000000-0005-0000-0000-0000B4010000}"/>
    <cellStyle name="Normal_Co-wide Monthly" xfId="462" xr:uid="{00000000-0005-0000-0000-0000B5010000}"/>
    <cellStyle name="一般" xfId="0" builtinId="0"/>
    <cellStyle name="一般 10" xfId="469" xr:uid="{00000000-0005-0000-0000-0000B7010000}"/>
    <cellStyle name="一般 10 2" xfId="470" xr:uid="{00000000-0005-0000-0000-0000B8010000}"/>
    <cellStyle name="一般 11" xfId="471" xr:uid="{00000000-0005-0000-0000-0000B9010000}"/>
    <cellStyle name="一般 12" xfId="472" xr:uid="{00000000-0005-0000-0000-0000BA010000}"/>
    <cellStyle name="一般 13" xfId="473" xr:uid="{00000000-0005-0000-0000-0000BB010000}"/>
    <cellStyle name="一般 14" xfId="474" xr:uid="{00000000-0005-0000-0000-0000BC010000}"/>
    <cellStyle name="一般 15" xfId="475" xr:uid="{00000000-0005-0000-0000-0000BD010000}"/>
    <cellStyle name="一般 15 2" xfId="476" xr:uid="{00000000-0005-0000-0000-0000BE010000}"/>
    <cellStyle name="一般 16" xfId="477" xr:uid="{00000000-0005-0000-0000-0000BF010000}"/>
    <cellStyle name="一般 17" xfId="478" xr:uid="{00000000-0005-0000-0000-0000C0010000}"/>
    <cellStyle name="一般 18" xfId="479" xr:uid="{00000000-0005-0000-0000-0000C1010000}"/>
    <cellStyle name="一般 19" xfId="480" xr:uid="{00000000-0005-0000-0000-0000C2010000}"/>
    <cellStyle name="一般 2" xfId="1" xr:uid="{00000000-0005-0000-0000-0000C3010000}"/>
    <cellStyle name="一般 2 2" xfId="481" xr:uid="{00000000-0005-0000-0000-0000C4010000}"/>
    <cellStyle name="一般 2 2 2" xfId="9" xr:uid="{00000000-0005-0000-0000-0000C5010000}"/>
    <cellStyle name="一般 2 2 2 2" xfId="482" xr:uid="{00000000-0005-0000-0000-0000C6010000}"/>
    <cellStyle name="一般 2 2 3" xfId="483" xr:uid="{00000000-0005-0000-0000-0000C7010000}"/>
    <cellStyle name="一般 2 2 30 2 2 30 2" xfId="4" xr:uid="{00000000-0005-0000-0000-0000C8010000}"/>
    <cellStyle name="一般 2 2 30 2 2 30 2 2" xfId="12" xr:uid="{00000000-0005-0000-0000-0000C9010000}"/>
    <cellStyle name="一般 2 2 30 2 2 30 2 2 2" xfId="15" xr:uid="{00000000-0005-0000-0000-0000CA010000}"/>
    <cellStyle name="一般 2 2 30 2 2 30 2 2 2 2 2" xfId="577" xr:uid="{00000000-0005-0000-0000-0000CB010000}"/>
    <cellStyle name="一般 2 2 30 2 2 30 2 2 3" xfId="16" xr:uid="{00000000-0005-0000-0000-0000CC010000}"/>
    <cellStyle name="一般 2 2 30 2 2 30 2 2 4" xfId="17" xr:uid="{00000000-0005-0000-0000-0000CD010000}"/>
    <cellStyle name="一般 2 2 30 2 2 30 2 3 2" xfId="578" xr:uid="{00000000-0005-0000-0000-0000CE010000}"/>
    <cellStyle name="一般 2 2 30 2 3 2" xfId="6" xr:uid="{00000000-0005-0000-0000-0000CF010000}"/>
    <cellStyle name="一般 2 2 30 2 3 2 2 2" xfId="18" xr:uid="{00000000-0005-0000-0000-0000D0010000}"/>
    <cellStyle name="一般 2 2 30 2 3 2 3" xfId="579" xr:uid="{00000000-0005-0000-0000-0000D1010000}"/>
    <cellStyle name="一般 2 2 30 3 30" xfId="7" xr:uid="{00000000-0005-0000-0000-0000D2010000}"/>
    <cellStyle name="一般 2 3" xfId="484" xr:uid="{00000000-0005-0000-0000-0000D3010000}"/>
    <cellStyle name="一般 2 4" xfId="485" xr:uid="{00000000-0005-0000-0000-0000D4010000}"/>
    <cellStyle name="一般 2 5" xfId="486" xr:uid="{00000000-0005-0000-0000-0000D5010000}"/>
    <cellStyle name="一般 2 6" xfId="487" xr:uid="{00000000-0005-0000-0000-0000D6010000}"/>
    <cellStyle name="一般 2 7" xfId="488" xr:uid="{00000000-0005-0000-0000-0000D7010000}"/>
    <cellStyle name="一般 2 8" xfId="489" xr:uid="{00000000-0005-0000-0000-0000D8010000}"/>
    <cellStyle name="一般 2 9" xfId="23" xr:uid="{00000000-0005-0000-0000-0000D9010000}"/>
    <cellStyle name="一般 20" xfId="490" xr:uid="{00000000-0005-0000-0000-0000DA010000}"/>
    <cellStyle name="一般 21" xfId="491" xr:uid="{00000000-0005-0000-0000-0000DB010000}"/>
    <cellStyle name="一般 22" xfId="492" xr:uid="{00000000-0005-0000-0000-0000DC010000}"/>
    <cellStyle name="一般 23" xfId="493" xr:uid="{00000000-0005-0000-0000-0000DD010000}"/>
    <cellStyle name="一般 24" xfId="21" xr:uid="{00000000-0005-0000-0000-0000DE010000}"/>
    <cellStyle name="一般 3" xfId="11" xr:uid="{00000000-0005-0000-0000-0000DF010000}"/>
    <cellStyle name="一般 3 2" xfId="494" xr:uid="{00000000-0005-0000-0000-0000E0010000}"/>
    <cellStyle name="一般 3 2 2" xfId="495" xr:uid="{00000000-0005-0000-0000-0000E1010000}"/>
    <cellStyle name="一般 3 3" xfId="496" xr:uid="{00000000-0005-0000-0000-0000E2010000}"/>
    <cellStyle name="一般 3 4" xfId="497" xr:uid="{00000000-0005-0000-0000-0000E3010000}"/>
    <cellStyle name="一般 3 5" xfId="498" xr:uid="{00000000-0005-0000-0000-0000E4010000}"/>
    <cellStyle name="一般 3 5 2" xfId="499" xr:uid="{00000000-0005-0000-0000-0000E5010000}"/>
    <cellStyle name="一般 3 6" xfId="500" xr:uid="{00000000-0005-0000-0000-0000E6010000}"/>
    <cellStyle name="一般 3 7" xfId="501" xr:uid="{00000000-0005-0000-0000-0000E7010000}"/>
    <cellStyle name="一般 3 8" xfId="463" xr:uid="{00000000-0005-0000-0000-0000E8010000}"/>
    <cellStyle name="一般 4" xfId="5" xr:uid="{00000000-0005-0000-0000-0000E9010000}"/>
    <cellStyle name="一般 4 2" xfId="502" xr:uid="{00000000-0005-0000-0000-0000EA010000}"/>
    <cellStyle name="一般 4 3" xfId="503" xr:uid="{00000000-0005-0000-0000-0000EB010000}"/>
    <cellStyle name="一般 4 4" xfId="464" xr:uid="{00000000-0005-0000-0000-0000EC010000}"/>
    <cellStyle name="一般 5" xfId="504" xr:uid="{00000000-0005-0000-0000-0000ED010000}"/>
    <cellStyle name="一般 5 2" xfId="505" xr:uid="{00000000-0005-0000-0000-0000EE010000}"/>
    <cellStyle name="一般 6" xfId="506" xr:uid="{00000000-0005-0000-0000-0000EF010000}"/>
    <cellStyle name="一般 6 2" xfId="507" xr:uid="{00000000-0005-0000-0000-0000F0010000}"/>
    <cellStyle name="一般 7" xfId="508" xr:uid="{00000000-0005-0000-0000-0000F1010000}"/>
    <cellStyle name="一般 8" xfId="509" xr:uid="{00000000-0005-0000-0000-0000F2010000}"/>
    <cellStyle name="一般 8 2" xfId="510" xr:uid="{00000000-0005-0000-0000-0000F3010000}"/>
    <cellStyle name="一般 9" xfId="511" xr:uid="{00000000-0005-0000-0000-0000F4010000}"/>
    <cellStyle name="一般 9 2" xfId="512" xr:uid="{00000000-0005-0000-0000-0000F5010000}"/>
    <cellStyle name="千分位" xfId="14" builtinId="3"/>
    <cellStyle name="千分位 2" xfId="2" xr:uid="{00000000-0005-0000-0000-0000F7010000}"/>
    <cellStyle name="千分位 2 2" xfId="514" xr:uid="{00000000-0005-0000-0000-0000F8010000}"/>
    <cellStyle name="千分位 2 3" xfId="515" xr:uid="{00000000-0005-0000-0000-0000F9010000}"/>
    <cellStyle name="千分位 2 4" xfId="516" xr:uid="{00000000-0005-0000-0000-0000FA010000}"/>
    <cellStyle name="千分位 2 5" xfId="517" xr:uid="{00000000-0005-0000-0000-0000FB010000}"/>
    <cellStyle name="千分位 2 6" xfId="518" xr:uid="{00000000-0005-0000-0000-0000FC010000}"/>
    <cellStyle name="千分位 2 7" xfId="519" xr:uid="{00000000-0005-0000-0000-0000FD010000}"/>
    <cellStyle name="千分位 2 8" xfId="513" xr:uid="{00000000-0005-0000-0000-0000FE010000}"/>
    <cellStyle name="千分位 3" xfId="19" xr:uid="{00000000-0005-0000-0000-0000FF010000}"/>
    <cellStyle name="千分位 3 2" xfId="520" xr:uid="{00000000-0005-0000-0000-000000020000}"/>
    <cellStyle name="千分位 4" xfId="521" xr:uid="{00000000-0005-0000-0000-000001020000}"/>
    <cellStyle name="千分位 5" xfId="522" xr:uid="{00000000-0005-0000-0000-000002020000}"/>
    <cellStyle name="千分位 5 2" xfId="523" xr:uid="{00000000-0005-0000-0000-000003020000}"/>
    <cellStyle name="千分位 6" xfId="524" xr:uid="{00000000-0005-0000-0000-000004020000}"/>
    <cellStyle name="千分位 7" xfId="525" xr:uid="{00000000-0005-0000-0000-000005020000}"/>
    <cellStyle name="千分位 8" xfId="526" xr:uid="{00000000-0005-0000-0000-000006020000}"/>
    <cellStyle name="千分位 9" xfId="576" xr:uid="{00000000-0005-0000-0000-000007020000}"/>
    <cellStyle name="好_1001024-晉欣重要管制流程 (3)" xfId="527" xr:uid="{00000000-0005-0000-0000-000008020000}"/>
    <cellStyle name="好_Sheet1" xfId="528" xr:uid="{00000000-0005-0000-0000-000009020000}"/>
    <cellStyle name="好_工作日報表---" xfId="529" xr:uid="{00000000-0005-0000-0000-00000A020000}"/>
    <cellStyle name="好_晉欣重要管制流程-油炸作業" xfId="530" xr:uid="{00000000-0005-0000-0000-00000B020000}"/>
    <cellStyle name="好_晉欣重要管制流程-原物料驗收" xfId="531" xr:uid="{00000000-0005-0000-0000-00000C020000}"/>
    <cellStyle name="好_晉欣重要管制流程-烤箱作業" xfId="532" xr:uid="{00000000-0005-0000-0000-00000D020000}"/>
    <cellStyle name="好_晉欣重要管制流程-理貨作業" xfId="533" xr:uid="{00000000-0005-0000-0000-00000E020000}"/>
    <cellStyle name="好_晉欣重要管制流程-煮麵作業" xfId="534" xr:uid="{00000000-0005-0000-0000-00000F020000}"/>
    <cellStyle name="好_晉欣重要管制流程-飯糰機操作&amp;丼飯作業&amp;三明治&amp;標籤&amp;炊飯&amp;美生菜" xfId="535" xr:uid="{00000000-0005-0000-0000-000010020000}"/>
    <cellStyle name="好_晉欣重要管制流程-準備室作業" xfId="536" xr:uid="{00000000-0005-0000-0000-000011020000}"/>
    <cellStyle name="好_晉欣重要管制流程-補料作業" xfId="537" xr:uid="{00000000-0005-0000-0000-000012020000}"/>
    <cellStyle name="好_配料相關一、二--------" xfId="538" xr:uid="{00000000-0005-0000-0000-000013020000}"/>
    <cellStyle name="百分比 2" xfId="8" xr:uid="{00000000-0005-0000-0000-000014020000}"/>
    <cellStyle name="百分比 2 2" xfId="10" xr:uid="{00000000-0005-0000-0000-000015020000}"/>
    <cellStyle name="百分比 2 2 2" xfId="20" xr:uid="{00000000-0005-0000-0000-000016020000}"/>
    <cellStyle name="百分比 2 2 2 2" xfId="540" xr:uid="{00000000-0005-0000-0000-000017020000}"/>
    <cellStyle name="百分比 2 2 3" xfId="539" xr:uid="{00000000-0005-0000-0000-000018020000}"/>
    <cellStyle name="百分比 2 3" xfId="541" xr:uid="{00000000-0005-0000-0000-000019020000}"/>
    <cellStyle name="百分比 2 4" xfId="542" xr:uid="{00000000-0005-0000-0000-00001A020000}"/>
    <cellStyle name="百分比 2 5" xfId="24" xr:uid="{00000000-0005-0000-0000-00001B020000}"/>
    <cellStyle name="百分比 3" xfId="3" xr:uid="{00000000-0005-0000-0000-00001C020000}"/>
    <cellStyle name="百分比 3 2" xfId="544" xr:uid="{00000000-0005-0000-0000-00001D020000}"/>
    <cellStyle name="百分比 3 3" xfId="545" xr:uid="{00000000-0005-0000-0000-00001E020000}"/>
    <cellStyle name="百分比 3 4" xfId="543" xr:uid="{00000000-0005-0000-0000-00001F020000}"/>
    <cellStyle name="百分比 4" xfId="13" xr:uid="{00000000-0005-0000-0000-000020020000}"/>
    <cellStyle name="百分比 4 2" xfId="547" xr:uid="{00000000-0005-0000-0000-000021020000}"/>
    <cellStyle name="百分比 4 2 2" xfId="548" xr:uid="{00000000-0005-0000-0000-000022020000}"/>
    <cellStyle name="百分比 4 2 2 2" xfId="549" xr:uid="{00000000-0005-0000-0000-000023020000}"/>
    <cellStyle name="百分比 4 2 3" xfId="550" xr:uid="{00000000-0005-0000-0000-000024020000}"/>
    <cellStyle name="百分比 4 3" xfId="551" xr:uid="{00000000-0005-0000-0000-000025020000}"/>
    <cellStyle name="百分比 4 3 2" xfId="552" xr:uid="{00000000-0005-0000-0000-000026020000}"/>
    <cellStyle name="百分比 4 3 2 2" xfId="553" xr:uid="{00000000-0005-0000-0000-000027020000}"/>
    <cellStyle name="百分比 4 3 2 2 2" xfId="554" xr:uid="{00000000-0005-0000-0000-000028020000}"/>
    <cellStyle name="百分比 4 3 2 2 2 2" xfId="555" xr:uid="{00000000-0005-0000-0000-000029020000}"/>
    <cellStyle name="百分比 4 3 2 2 2 2 2" xfId="556" xr:uid="{00000000-0005-0000-0000-00002A020000}"/>
    <cellStyle name="百分比 4 4" xfId="557" xr:uid="{00000000-0005-0000-0000-00002B020000}"/>
    <cellStyle name="百分比 4 5" xfId="546" xr:uid="{00000000-0005-0000-0000-00002C020000}"/>
    <cellStyle name="百分比 5" xfId="558" xr:uid="{00000000-0005-0000-0000-00002D020000}"/>
    <cellStyle name="百分比 5 2" xfId="559" xr:uid="{00000000-0005-0000-0000-00002E020000}"/>
    <cellStyle name="百分比 5 3" xfId="560" xr:uid="{00000000-0005-0000-0000-00002F020000}"/>
    <cellStyle name="百分比 6" xfId="561" xr:uid="{00000000-0005-0000-0000-000030020000}"/>
    <cellStyle name="百分比 7" xfId="22" xr:uid="{00000000-0005-0000-0000-000031020000}"/>
    <cellStyle name="貨幣 2" xfId="562" xr:uid="{00000000-0005-0000-0000-000032020000}"/>
    <cellStyle name="貨幣[0]_ AUDIT" xfId="465" xr:uid="{00000000-0005-0000-0000-000033020000}"/>
    <cellStyle name="超連結 2" xfId="466" xr:uid="{00000000-0005-0000-0000-000034020000}"/>
    <cellStyle name="標準 2_關所SOP" xfId="563" xr:uid="{00000000-0005-0000-0000-000035020000}"/>
    <cellStyle name="樣式 1" xfId="467" xr:uid="{00000000-0005-0000-0000-000036020000}"/>
    <cellStyle name="樣式 2" xfId="468" xr:uid="{00000000-0005-0000-0000-000037020000}"/>
    <cellStyle name="壞_1001024-晉欣重要管制流程 (3)" xfId="564" xr:uid="{00000000-0005-0000-0000-000038020000}"/>
    <cellStyle name="壞_Sheet1" xfId="565" xr:uid="{00000000-0005-0000-0000-000039020000}"/>
    <cellStyle name="壞_工作日報表---" xfId="566" xr:uid="{00000000-0005-0000-0000-00003A020000}"/>
    <cellStyle name="壞_晉欣重要管制流程-油炸作業" xfId="567" xr:uid="{00000000-0005-0000-0000-00003B020000}"/>
    <cellStyle name="壞_晉欣重要管制流程-原物料驗收" xfId="568" xr:uid="{00000000-0005-0000-0000-00003C020000}"/>
    <cellStyle name="壞_晉欣重要管制流程-烤箱作業" xfId="569" xr:uid="{00000000-0005-0000-0000-00003D020000}"/>
    <cellStyle name="壞_晉欣重要管制流程-理貨作業" xfId="570" xr:uid="{00000000-0005-0000-0000-00003E020000}"/>
    <cellStyle name="壞_晉欣重要管制流程-煮麵作業" xfId="571" xr:uid="{00000000-0005-0000-0000-00003F020000}"/>
    <cellStyle name="壞_晉欣重要管制流程-飯糰機操作&amp;丼飯作業&amp;三明治&amp;標籤&amp;炊飯&amp;美生菜" xfId="572" xr:uid="{00000000-0005-0000-0000-000040020000}"/>
    <cellStyle name="壞_晉欣重要管制流程-準備室作業" xfId="573" xr:uid="{00000000-0005-0000-0000-000041020000}"/>
    <cellStyle name="壞_晉欣重要管制流程-補料作業" xfId="574" xr:uid="{00000000-0005-0000-0000-000042020000}"/>
    <cellStyle name="壞_配料相關一、二--------" xfId="575" xr:uid="{00000000-0005-0000-0000-000043020000}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49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49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49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49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49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49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37</v>
      </c>
      <c r="H15" s="4"/>
      <c r="I15" s="4"/>
      <c r="J15" s="16">
        <f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40</v>
      </c>
      <c r="H18" s="4"/>
      <c r="I18" s="4"/>
      <c r="J18" s="16">
        <f>H18-I18</f>
        <v>0</v>
      </c>
      <c r="K18" s="17"/>
      <c r="M18" s="49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435" t="s">
        <v>12</v>
      </c>
      <c r="D21" s="433"/>
      <c r="E21" s="434"/>
      <c r="F21" s="49" t="s">
        <v>46</v>
      </c>
      <c r="G21" s="49" t="s">
        <v>48</v>
      </c>
      <c r="H21" s="49" t="s">
        <v>49</v>
      </c>
      <c r="I21" s="8" t="s">
        <v>13</v>
      </c>
      <c r="J21" s="448" t="s">
        <v>51</v>
      </c>
      <c r="K21" s="434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437" t="s">
        <v>14</v>
      </c>
      <c r="D22" s="433"/>
      <c r="E22" s="434"/>
      <c r="F22" s="4">
        <v>3</v>
      </c>
      <c r="G22" s="4">
        <v>3000</v>
      </c>
      <c r="H22" s="4">
        <v>1000</v>
      </c>
      <c r="I22" s="4">
        <v>10</v>
      </c>
      <c r="J22" s="436" t="s">
        <v>76</v>
      </c>
      <c r="K22" s="434"/>
      <c r="M22" s="52" t="s">
        <v>26</v>
      </c>
      <c r="N22" s="57" t="s">
        <v>47</v>
      </c>
      <c r="O22" s="443" t="s">
        <v>12</v>
      </c>
      <c r="P22" s="433"/>
      <c r="Q22" s="434"/>
      <c r="R22" s="449" t="s">
        <v>53</v>
      </c>
      <c r="S22" s="433"/>
      <c r="T22" s="434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448" t="s">
        <v>51</v>
      </c>
      <c r="AA22" s="434"/>
    </row>
    <row r="23" spans="1:27" ht="15.75" customHeight="1">
      <c r="A23" s="23"/>
      <c r="B23" s="6">
        <v>2</v>
      </c>
      <c r="C23" s="432"/>
      <c r="D23" s="433"/>
      <c r="E23" s="434"/>
      <c r="F23" s="4"/>
      <c r="G23" s="4"/>
      <c r="H23" s="4"/>
      <c r="I23" s="4"/>
      <c r="J23" s="432"/>
      <c r="K23" s="434"/>
      <c r="M23" s="56" t="s">
        <v>42</v>
      </c>
      <c r="N23" s="24">
        <v>1</v>
      </c>
      <c r="O23" s="436" t="s">
        <v>82</v>
      </c>
      <c r="P23" s="433"/>
      <c r="Q23" s="434"/>
      <c r="R23" s="436" t="s">
        <v>85</v>
      </c>
      <c r="S23" s="433"/>
      <c r="T23" s="434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436" t="s">
        <v>86</v>
      </c>
      <c r="AA23" s="434"/>
    </row>
    <row r="24" spans="1:27" ht="15.75" customHeight="1">
      <c r="A24" s="23"/>
      <c r="B24" s="6">
        <v>3</v>
      </c>
      <c r="C24" s="432"/>
      <c r="D24" s="433"/>
      <c r="E24" s="434"/>
      <c r="F24" s="4"/>
      <c r="G24" s="4"/>
      <c r="H24" s="4"/>
      <c r="I24" s="4"/>
      <c r="J24" s="432"/>
      <c r="K24" s="434"/>
      <c r="M24" s="25"/>
      <c r="N24" s="24">
        <v>2</v>
      </c>
      <c r="O24" s="437"/>
      <c r="P24" s="433"/>
      <c r="Q24" s="434"/>
      <c r="R24" s="437"/>
      <c r="S24" s="433"/>
      <c r="T24" s="434"/>
      <c r="U24" s="4"/>
      <c r="V24" s="14"/>
      <c r="W24" s="4"/>
      <c r="X24" s="16">
        <f>W24*U24</f>
        <v>0</v>
      </c>
      <c r="Y24" s="4"/>
      <c r="Z24" s="437"/>
      <c r="AA24" s="434"/>
    </row>
    <row r="25" spans="1:27" ht="15.75" customHeight="1">
      <c r="A25" s="23"/>
      <c r="B25" s="6">
        <v>4</v>
      </c>
      <c r="C25" s="432"/>
      <c r="D25" s="433"/>
      <c r="E25" s="434"/>
      <c r="F25" s="4"/>
      <c r="G25" s="4"/>
      <c r="H25" s="4"/>
      <c r="I25" s="4"/>
      <c r="J25" s="432"/>
      <c r="K25" s="434"/>
      <c r="M25" s="25"/>
      <c r="N25" s="24">
        <v>3</v>
      </c>
      <c r="O25" s="437"/>
      <c r="P25" s="433"/>
      <c r="Q25" s="434"/>
      <c r="R25" s="437"/>
      <c r="S25" s="433"/>
      <c r="T25" s="434"/>
      <c r="U25" s="4"/>
      <c r="V25" s="14"/>
      <c r="W25" s="4"/>
      <c r="X25" s="16">
        <f>W25*U25</f>
        <v>0</v>
      </c>
      <c r="Y25" s="4"/>
      <c r="Z25" s="437"/>
      <c r="AA25" s="434"/>
    </row>
    <row r="26" spans="1:27" ht="15.75" customHeight="1">
      <c r="A26" s="23"/>
      <c r="B26" s="26">
        <v>5</v>
      </c>
      <c r="C26" s="446"/>
      <c r="D26" s="442"/>
      <c r="E26" s="439"/>
      <c r="F26" s="27"/>
      <c r="G26" s="27"/>
      <c r="H26" s="27"/>
      <c r="I26" s="27"/>
      <c r="J26" s="446"/>
      <c r="K26" s="439"/>
      <c r="M26" s="25"/>
      <c r="N26" s="24">
        <v>4</v>
      </c>
      <c r="O26" s="437"/>
      <c r="P26" s="433"/>
      <c r="Q26" s="434"/>
      <c r="R26" s="437"/>
      <c r="S26" s="433"/>
      <c r="T26" s="434"/>
      <c r="U26" s="4"/>
      <c r="V26" s="14"/>
      <c r="W26" s="4"/>
      <c r="X26" s="16">
        <f>W26*U26</f>
        <v>0</v>
      </c>
      <c r="Y26" s="4"/>
      <c r="Z26" s="437"/>
      <c r="AA26" s="434"/>
    </row>
    <row r="27" spans="1:27" ht="15.75" customHeight="1">
      <c r="A27" s="23"/>
      <c r="B27" s="69" t="s">
        <v>101</v>
      </c>
      <c r="C27" s="440" t="s">
        <v>75</v>
      </c>
      <c r="D27" s="447"/>
      <c r="E27" s="441"/>
      <c r="F27" s="28">
        <v>4</v>
      </c>
      <c r="G27" s="28">
        <v>2800</v>
      </c>
      <c r="H27" s="28">
        <v>700</v>
      </c>
      <c r="I27" s="28" t="s">
        <v>15</v>
      </c>
      <c r="J27" s="440" t="s">
        <v>77</v>
      </c>
      <c r="K27" s="441"/>
      <c r="M27" s="25"/>
      <c r="N27" s="29">
        <v>5</v>
      </c>
      <c r="O27" s="438"/>
      <c r="P27" s="442"/>
      <c r="Q27" s="439"/>
      <c r="R27" s="438"/>
      <c r="S27" s="442"/>
      <c r="T27" s="439"/>
      <c r="U27" s="27"/>
      <c r="V27" s="30"/>
      <c r="W27" s="27"/>
      <c r="X27" s="31">
        <f>W27*U27</f>
        <v>0</v>
      </c>
      <c r="Y27" s="4"/>
      <c r="Z27" s="438"/>
      <c r="AA27" s="439"/>
    </row>
    <row r="28" spans="1:27" ht="15.75" customHeight="1">
      <c r="A28" s="23"/>
      <c r="B28" s="70" t="s">
        <v>102</v>
      </c>
      <c r="C28" s="432"/>
      <c r="D28" s="433"/>
      <c r="E28" s="434"/>
      <c r="F28" s="4"/>
      <c r="G28" s="4"/>
      <c r="H28" s="4"/>
      <c r="I28" s="4"/>
      <c r="J28" s="432"/>
      <c r="K28" s="434"/>
      <c r="M28" s="32"/>
      <c r="N28" s="55"/>
      <c r="O28" s="444"/>
      <c r="P28" s="433"/>
      <c r="Q28" s="433"/>
      <c r="R28" s="444"/>
      <c r="S28" s="433"/>
      <c r="T28" s="433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444"/>
      <c r="AA28" s="434"/>
    </row>
    <row r="29" spans="1:27" ht="15.75" customHeight="1">
      <c r="A29" s="23"/>
      <c r="B29" s="70" t="s">
        <v>100</v>
      </c>
      <c r="C29" s="432"/>
      <c r="D29" s="433"/>
      <c r="E29" s="434"/>
      <c r="F29" s="4"/>
      <c r="G29" s="4"/>
      <c r="H29" s="4"/>
      <c r="I29" s="4"/>
      <c r="J29" s="432"/>
      <c r="K29" s="434"/>
      <c r="M29" s="56" t="s">
        <v>43</v>
      </c>
      <c r="N29" s="24">
        <v>1</v>
      </c>
      <c r="O29" s="457" t="s">
        <v>16</v>
      </c>
      <c r="P29" s="453"/>
      <c r="Q29" s="454"/>
      <c r="R29" s="452" t="s">
        <v>87</v>
      </c>
      <c r="S29" s="453"/>
      <c r="T29" s="454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452" t="s">
        <v>88</v>
      </c>
      <c r="AA29" s="454"/>
    </row>
    <row r="30" spans="1:27" ht="15.75" customHeight="1">
      <c r="A30" s="23"/>
      <c r="B30" s="70" t="s">
        <v>99</v>
      </c>
      <c r="C30" s="432"/>
      <c r="D30" s="433"/>
      <c r="E30" s="434"/>
      <c r="F30" s="4"/>
      <c r="G30" s="4"/>
      <c r="H30" s="4"/>
      <c r="I30" s="4"/>
      <c r="J30" s="432"/>
      <c r="K30" s="434"/>
      <c r="M30" s="25"/>
      <c r="N30" s="24">
        <v>2</v>
      </c>
      <c r="O30" s="437"/>
      <c r="P30" s="433"/>
      <c r="Q30" s="434"/>
      <c r="R30" s="437"/>
      <c r="S30" s="433"/>
      <c r="T30" s="434"/>
      <c r="U30" s="4"/>
      <c r="V30" s="14"/>
      <c r="W30" s="4"/>
      <c r="X30" s="16">
        <f>W30*U30</f>
        <v>0</v>
      </c>
      <c r="Y30" s="4"/>
      <c r="Z30" s="437"/>
      <c r="AA30" s="434"/>
    </row>
    <row r="31" spans="1:27" ht="15.75" customHeight="1">
      <c r="A31" s="20"/>
      <c r="B31" s="70" t="s">
        <v>103</v>
      </c>
      <c r="C31" s="432"/>
      <c r="D31" s="433"/>
      <c r="E31" s="434"/>
      <c r="F31" s="4"/>
      <c r="G31" s="4"/>
      <c r="H31" s="4"/>
      <c r="I31" s="4"/>
      <c r="J31" s="432"/>
      <c r="K31" s="434"/>
      <c r="M31" s="25"/>
      <c r="N31" s="24">
        <v>3</v>
      </c>
      <c r="O31" s="437"/>
      <c r="P31" s="433"/>
      <c r="Q31" s="434"/>
      <c r="R31" s="437"/>
      <c r="S31" s="433"/>
      <c r="T31" s="434"/>
      <c r="U31" s="4"/>
      <c r="V31" s="14"/>
      <c r="W31" s="4"/>
      <c r="X31" s="16">
        <f>W31*U31</f>
        <v>0</v>
      </c>
      <c r="Y31" s="4"/>
      <c r="Z31" s="437"/>
      <c r="AA31" s="434"/>
    </row>
    <row r="32" spans="1:27" ht="15.75" customHeight="1">
      <c r="A32" s="67"/>
      <c r="M32" s="25"/>
      <c r="N32" s="24">
        <v>4</v>
      </c>
      <c r="O32" s="437"/>
      <c r="P32" s="433"/>
      <c r="Q32" s="434"/>
      <c r="R32" s="437"/>
      <c r="S32" s="433"/>
      <c r="T32" s="434"/>
      <c r="U32" s="4"/>
      <c r="V32" s="14"/>
      <c r="W32" s="4"/>
      <c r="X32" s="16">
        <f>W32*U32</f>
        <v>0</v>
      </c>
      <c r="Y32" s="4"/>
      <c r="Z32" s="437"/>
      <c r="AA32" s="434"/>
    </row>
    <row r="33" spans="1:27" ht="15.75" customHeight="1">
      <c r="A33" s="18"/>
      <c r="B33" s="49" t="s">
        <v>47</v>
      </c>
      <c r="C33" s="435" t="s">
        <v>12</v>
      </c>
      <c r="D33" s="433"/>
      <c r="E33" s="434"/>
      <c r="F33" s="49" t="s">
        <v>46</v>
      </c>
      <c r="G33" s="49" t="s">
        <v>48</v>
      </c>
      <c r="H33" s="49" t="s">
        <v>49</v>
      </c>
      <c r="I33" s="8" t="s">
        <v>13</v>
      </c>
      <c r="J33" s="448" t="s">
        <v>51</v>
      </c>
      <c r="K33" s="434"/>
      <c r="M33" s="25"/>
      <c r="N33" s="29">
        <v>5</v>
      </c>
      <c r="O33" s="437"/>
      <c r="P33" s="433"/>
      <c r="Q33" s="434"/>
      <c r="R33" s="437"/>
      <c r="S33" s="433"/>
      <c r="T33" s="434"/>
      <c r="U33" s="27"/>
      <c r="V33" s="30"/>
      <c r="W33" s="27"/>
      <c r="X33" s="31">
        <f>W33*U33</f>
        <v>0</v>
      </c>
      <c r="Y33" s="4"/>
      <c r="Z33" s="437"/>
      <c r="AA33" s="434"/>
    </row>
    <row r="34" spans="1:27" ht="15.75" customHeight="1">
      <c r="A34" s="52" t="s">
        <v>35</v>
      </c>
      <c r="B34" s="6">
        <v>1</v>
      </c>
      <c r="C34" s="436" t="s">
        <v>79</v>
      </c>
      <c r="D34" s="433"/>
      <c r="E34" s="434"/>
      <c r="F34" s="4">
        <v>3</v>
      </c>
      <c r="G34" s="4">
        <v>2500</v>
      </c>
      <c r="H34" s="4">
        <v>833.33</v>
      </c>
      <c r="I34" s="4">
        <v>20</v>
      </c>
      <c r="J34" s="436" t="s">
        <v>78</v>
      </c>
      <c r="K34" s="434"/>
      <c r="M34" s="68"/>
      <c r="N34" s="45"/>
      <c r="O34" s="444"/>
      <c r="P34" s="433"/>
      <c r="Q34" s="433"/>
      <c r="R34" s="444"/>
      <c r="S34" s="433"/>
      <c r="T34" s="433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444"/>
      <c r="AA34" s="434"/>
    </row>
    <row r="35" spans="1:27" ht="15.75" customHeight="1">
      <c r="A35" s="23"/>
      <c r="B35" s="6">
        <v>2</v>
      </c>
      <c r="C35" s="437"/>
      <c r="D35" s="433"/>
      <c r="E35" s="434"/>
      <c r="F35" s="4"/>
      <c r="G35" s="4"/>
      <c r="H35" s="4"/>
      <c r="I35" s="4"/>
      <c r="J35" s="437"/>
      <c r="K35" s="434"/>
      <c r="M35" s="1"/>
      <c r="N35" s="1"/>
      <c r="O35" s="455"/>
      <c r="P35" s="456"/>
      <c r="Q35" s="456"/>
      <c r="R35" s="455"/>
      <c r="S35" s="456"/>
      <c r="T35" s="456"/>
      <c r="U35" s="1"/>
      <c r="V35" s="38"/>
      <c r="W35" s="1"/>
      <c r="X35" s="1"/>
      <c r="Y35" s="455"/>
      <c r="Z35" s="456"/>
      <c r="AA35" s="456"/>
    </row>
    <row r="36" spans="1:27" ht="15.75" customHeight="1">
      <c r="A36" s="23"/>
      <c r="B36" s="6">
        <v>3</v>
      </c>
      <c r="C36" s="437"/>
      <c r="D36" s="433"/>
      <c r="E36" s="434"/>
      <c r="F36" s="4"/>
      <c r="G36" s="4"/>
      <c r="H36" s="4"/>
      <c r="I36" s="4"/>
      <c r="J36" s="437"/>
      <c r="K36" s="434"/>
      <c r="M36" s="52" t="s">
        <v>27</v>
      </c>
      <c r="N36" s="57" t="s">
        <v>47</v>
      </c>
      <c r="O36" s="443" t="s">
        <v>12</v>
      </c>
      <c r="P36" s="444"/>
      <c r="Q36" s="445"/>
      <c r="R36" s="449" t="s">
        <v>53</v>
      </c>
      <c r="S36" s="450"/>
      <c r="T36" s="451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448" t="s">
        <v>51</v>
      </c>
      <c r="AA36" s="458"/>
    </row>
    <row r="37" spans="1:27" ht="15.75" customHeight="1">
      <c r="A37" s="23"/>
      <c r="B37" s="6">
        <v>4</v>
      </c>
      <c r="C37" s="437"/>
      <c r="D37" s="433"/>
      <c r="E37" s="434"/>
      <c r="F37" s="4"/>
      <c r="G37" s="4"/>
      <c r="H37" s="4"/>
      <c r="I37" s="4"/>
      <c r="J37" s="437"/>
      <c r="K37" s="434"/>
      <c r="M37" s="56" t="s">
        <v>42</v>
      </c>
      <c r="N37" s="24">
        <v>1</v>
      </c>
      <c r="O37" s="436" t="s">
        <v>89</v>
      </c>
      <c r="P37" s="433"/>
      <c r="Q37" s="434"/>
      <c r="R37" s="436" t="s">
        <v>90</v>
      </c>
      <c r="S37" s="433"/>
      <c r="T37" s="434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436" t="s">
        <v>91</v>
      </c>
      <c r="AA37" s="434"/>
    </row>
    <row r="38" spans="1:27" ht="15.75" customHeight="1">
      <c r="A38" s="23"/>
      <c r="B38" s="26">
        <v>5</v>
      </c>
      <c r="C38" s="438"/>
      <c r="D38" s="442"/>
      <c r="E38" s="439"/>
      <c r="F38" s="27"/>
      <c r="G38" s="27"/>
      <c r="H38" s="27"/>
      <c r="I38" s="27"/>
      <c r="J38" s="438"/>
      <c r="K38" s="439"/>
      <c r="M38" s="25"/>
      <c r="N38" s="24">
        <v>2</v>
      </c>
      <c r="O38" s="437"/>
      <c r="P38" s="433"/>
      <c r="Q38" s="434"/>
      <c r="R38" s="437"/>
      <c r="S38" s="433"/>
      <c r="T38" s="434"/>
      <c r="U38" s="4"/>
      <c r="V38" s="14"/>
      <c r="W38" s="4"/>
      <c r="X38" s="16">
        <f>W38*U38</f>
        <v>0</v>
      </c>
      <c r="Y38" s="4"/>
      <c r="Z38" s="437"/>
      <c r="AA38" s="434"/>
    </row>
    <row r="39" spans="1:27" ht="14.25">
      <c r="A39" s="23"/>
      <c r="B39" s="69" t="s">
        <v>101</v>
      </c>
      <c r="C39" s="440" t="s">
        <v>80</v>
      </c>
      <c r="D39" s="447"/>
      <c r="E39" s="441"/>
      <c r="F39" s="28">
        <v>7</v>
      </c>
      <c r="G39" s="28">
        <v>2200</v>
      </c>
      <c r="H39" s="28">
        <v>314.29000000000002</v>
      </c>
      <c r="I39" s="28">
        <v>-15</v>
      </c>
      <c r="J39" s="440" t="s">
        <v>81</v>
      </c>
      <c r="K39" s="441"/>
      <c r="M39" s="25"/>
      <c r="N39" s="24">
        <v>3</v>
      </c>
      <c r="O39" s="437"/>
      <c r="P39" s="433"/>
      <c r="Q39" s="434"/>
      <c r="R39" s="437"/>
      <c r="S39" s="433"/>
      <c r="T39" s="434"/>
      <c r="U39" s="4"/>
      <c r="V39" s="14"/>
      <c r="W39" s="4"/>
      <c r="X39" s="16">
        <f>W39*U39</f>
        <v>0</v>
      </c>
      <c r="Y39" s="4"/>
      <c r="Z39" s="437"/>
      <c r="AA39" s="434"/>
    </row>
    <row r="40" spans="1:27" ht="14.25">
      <c r="A40" s="23"/>
      <c r="B40" s="70" t="s">
        <v>102</v>
      </c>
      <c r="C40" s="437"/>
      <c r="D40" s="433"/>
      <c r="E40" s="434"/>
      <c r="F40" s="4"/>
      <c r="G40" s="4"/>
      <c r="H40" s="4"/>
      <c r="I40" s="4"/>
      <c r="J40" s="437"/>
      <c r="K40" s="434"/>
      <c r="M40" s="25"/>
      <c r="N40" s="24">
        <v>4</v>
      </c>
      <c r="O40" s="437"/>
      <c r="P40" s="433"/>
      <c r="Q40" s="434"/>
      <c r="R40" s="437"/>
      <c r="S40" s="433"/>
      <c r="T40" s="434"/>
      <c r="U40" s="4"/>
      <c r="V40" s="14"/>
      <c r="W40" s="4"/>
      <c r="X40" s="16">
        <f>W40*U40</f>
        <v>0</v>
      </c>
      <c r="Y40" s="4"/>
      <c r="Z40" s="437"/>
      <c r="AA40" s="434"/>
    </row>
    <row r="41" spans="1:27" ht="14.25">
      <c r="A41" s="23"/>
      <c r="B41" s="70" t="s">
        <v>100</v>
      </c>
      <c r="C41" s="437"/>
      <c r="D41" s="433"/>
      <c r="E41" s="434"/>
      <c r="F41" s="4"/>
      <c r="G41" s="4"/>
      <c r="H41" s="4"/>
      <c r="I41" s="4"/>
      <c r="J41" s="437"/>
      <c r="K41" s="434"/>
      <c r="M41" s="25"/>
      <c r="N41" s="29">
        <v>5</v>
      </c>
      <c r="O41" s="438"/>
      <c r="P41" s="442"/>
      <c r="Q41" s="439"/>
      <c r="R41" s="438"/>
      <c r="S41" s="442"/>
      <c r="T41" s="439"/>
      <c r="U41" s="27"/>
      <c r="V41" s="30"/>
      <c r="W41" s="27"/>
      <c r="X41" s="31">
        <f>W41*U41</f>
        <v>0</v>
      </c>
      <c r="Y41" s="4"/>
      <c r="Z41" s="437"/>
      <c r="AA41" s="434"/>
    </row>
    <row r="42" spans="1:27" ht="14.25">
      <c r="A42" s="23"/>
      <c r="B42" s="70" t="s">
        <v>99</v>
      </c>
      <c r="C42" s="437"/>
      <c r="D42" s="433"/>
      <c r="E42" s="434"/>
      <c r="F42" s="4"/>
      <c r="G42" s="4"/>
      <c r="H42" s="4"/>
      <c r="I42" s="4"/>
      <c r="J42" s="437"/>
      <c r="K42" s="434"/>
      <c r="M42" s="32"/>
      <c r="N42" s="54"/>
      <c r="O42" s="444"/>
      <c r="P42" s="433"/>
      <c r="Q42" s="433"/>
      <c r="R42" s="444"/>
      <c r="S42" s="433"/>
      <c r="T42" s="433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444"/>
      <c r="AA42" s="434"/>
    </row>
    <row r="43" spans="1:27" ht="14.25">
      <c r="A43" s="20"/>
      <c r="B43" s="70" t="s">
        <v>103</v>
      </c>
      <c r="C43" s="437"/>
      <c r="D43" s="433"/>
      <c r="E43" s="434"/>
      <c r="F43" s="4"/>
      <c r="G43" s="4"/>
      <c r="H43" s="4"/>
      <c r="I43" s="4"/>
      <c r="J43" s="437"/>
      <c r="K43" s="434"/>
      <c r="M43" s="56" t="s">
        <v>43</v>
      </c>
      <c r="N43" s="24">
        <v>1</v>
      </c>
      <c r="O43" s="436" t="s">
        <v>89</v>
      </c>
      <c r="P43" s="433"/>
      <c r="Q43" s="434"/>
      <c r="R43" s="452" t="s">
        <v>93</v>
      </c>
      <c r="S43" s="453"/>
      <c r="T43" s="454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436" t="s">
        <v>92</v>
      </c>
      <c r="AA43" s="434"/>
    </row>
    <row r="44" spans="1:27" ht="14.25">
      <c r="A44" s="67"/>
      <c r="M44" s="25"/>
      <c r="N44" s="24">
        <v>2</v>
      </c>
      <c r="O44" s="437"/>
      <c r="P44" s="433"/>
      <c r="Q44" s="434"/>
      <c r="R44" s="437"/>
      <c r="S44" s="433"/>
      <c r="T44" s="434"/>
      <c r="U44" s="4"/>
      <c r="V44" s="14"/>
      <c r="W44" s="4"/>
      <c r="X44" s="37">
        <f>W44*U44</f>
        <v>0</v>
      </c>
      <c r="Y44" s="4"/>
      <c r="Z44" s="437"/>
      <c r="AA44" s="434"/>
    </row>
    <row r="45" spans="1:27" ht="14.25">
      <c r="A45" s="18"/>
      <c r="B45" s="49" t="s">
        <v>47</v>
      </c>
      <c r="C45" s="435" t="s">
        <v>12</v>
      </c>
      <c r="D45" s="433"/>
      <c r="E45" s="434"/>
      <c r="F45" s="49" t="s">
        <v>46</v>
      </c>
      <c r="G45" s="49" t="s">
        <v>48</v>
      </c>
      <c r="H45" s="49" t="s">
        <v>49</v>
      </c>
      <c r="I45" s="8" t="s">
        <v>13</v>
      </c>
      <c r="J45" s="448" t="s">
        <v>51</v>
      </c>
      <c r="K45" s="434"/>
      <c r="M45" s="25"/>
      <c r="N45" s="24">
        <v>3</v>
      </c>
      <c r="O45" s="437"/>
      <c r="P45" s="433"/>
      <c r="Q45" s="434"/>
      <c r="R45" s="437"/>
      <c r="S45" s="433"/>
      <c r="T45" s="434"/>
      <c r="U45" s="4"/>
      <c r="V45" s="14"/>
      <c r="W45" s="4"/>
      <c r="X45" s="37">
        <f>W45*U45</f>
        <v>0</v>
      </c>
      <c r="Y45" s="4"/>
      <c r="Z45" s="437"/>
      <c r="AA45" s="434"/>
    </row>
    <row r="46" spans="1:27" ht="14.25">
      <c r="A46" s="52" t="s">
        <v>36</v>
      </c>
      <c r="B46" s="6">
        <v>1</v>
      </c>
      <c r="C46" s="436" t="s">
        <v>82</v>
      </c>
      <c r="D46" s="433"/>
      <c r="E46" s="434"/>
      <c r="F46" s="4">
        <v>15</v>
      </c>
      <c r="G46" s="4">
        <v>1200</v>
      </c>
      <c r="H46" s="4">
        <v>80</v>
      </c>
      <c r="I46" s="4">
        <v>5</v>
      </c>
      <c r="J46" s="436" t="s">
        <v>83</v>
      </c>
      <c r="K46" s="434"/>
      <c r="M46" s="25"/>
      <c r="N46" s="24">
        <v>4</v>
      </c>
      <c r="O46" s="437"/>
      <c r="P46" s="433"/>
      <c r="Q46" s="434"/>
      <c r="R46" s="437"/>
      <c r="S46" s="433"/>
      <c r="T46" s="434"/>
      <c r="U46" s="4"/>
      <c r="V46" s="14"/>
      <c r="W46" s="4"/>
      <c r="X46" s="37">
        <f>W46*U46</f>
        <v>0</v>
      </c>
      <c r="Y46" s="4"/>
      <c r="Z46" s="437"/>
      <c r="AA46" s="434"/>
    </row>
    <row r="47" spans="1:27" ht="14.25">
      <c r="A47" s="23"/>
      <c r="B47" s="6">
        <v>2</v>
      </c>
      <c r="C47" s="437"/>
      <c r="D47" s="433"/>
      <c r="E47" s="434"/>
      <c r="F47" s="4"/>
      <c r="G47" s="4"/>
      <c r="H47" s="4"/>
      <c r="I47" s="4"/>
      <c r="J47" s="437"/>
      <c r="K47" s="434"/>
      <c r="M47" s="25"/>
      <c r="N47" s="29">
        <v>5</v>
      </c>
      <c r="O47" s="437"/>
      <c r="P47" s="433"/>
      <c r="Q47" s="434"/>
      <c r="R47" s="437"/>
      <c r="S47" s="433"/>
      <c r="T47" s="434"/>
      <c r="U47" s="27"/>
      <c r="V47" s="30"/>
      <c r="W47" s="27"/>
      <c r="X47" s="40">
        <f>W47*U47</f>
        <v>0</v>
      </c>
      <c r="Y47" s="4"/>
      <c r="Z47" s="437"/>
      <c r="AA47" s="434"/>
    </row>
    <row r="48" spans="1:27" ht="14.25">
      <c r="A48" s="23"/>
      <c r="B48" s="6">
        <v>3</v>
      </c>
      <c r="C48" s="437"/>
      <c r="D48" s="433"/>
      <c r="E48" s="434"/>
      <c r="F48" s="4"/>
      <c r="G48" s="4"/>
      <c r="H48" s="4"/>
      <c r="I48" s="4"/>
      <c r="J48" s="437"/>
      <c r="K48" s="434"/>
      <c r="M48" s="68"/>
      <c r="N48" s="45"/>
      <c r="O48" s="444"/>
      <c r="P48" s="433"/>
      <c r="Q48" s="433"/>
      <c r="R48" s="444"/>
      <c r="S48" s="433"/>
      <c r="T48" s="433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444"/>
      <c r="AA48" s="434"/>
    </row>
    <row r="49" spans="1:27" ht="14.25">
      <c r="A49" s="23"/>
      <c r="B49" s="6">
        <v>4</v>
      </c>
      <c r="C49" s="437"/>
      <c r="D49" s="433"/>
      <c r="E49" s="434"/>
      <c r="F49" s="4"/>
      <c r="G49" s="4"/>
      <c r="H49" s="4"/>
      <c r="I49" s="4"/>
      <c r="J49" s="437"/>
      <c r="K49" s="434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438"/>
      <c r="D50" s="442"/>
      <c r="E50" s="439"/>
      <c r="F50" s="27"/>
      <c r="G50" s="27"/>
      <c r="H50" s="27"/>
      <c r="I50" s="27"/>
      <c r="J50" s="438"/>
      <c r="K50" s="439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440" t="s">
        <v>89</v>
      </c>
      <c r="D51" s="447"/>
      <c r="E51" s="441"/>
      <c r="F51" s="28">
        <v>18</v>
      </c>
      <c r="G51" s="28">
        <v>800</v>
      </c>
      <c r="H51" s="28">
        <v>44.44</v>
      </c>
      <c r="I51" s="28">
        <v>-15</v>
      </c>
      <c r="J51" s="440" t="s">
        <v>84</v>
      </c>
      <c r="K51" s="441"/>
      <c r="M51" s="8"/>
      <c r="N51" s="8" t="s">
        <v>18</v>
      </c>
      <c r="O51" s="443" t="s">
        <v>12</v>
      </c>
      <c r="P51" s="444"/>
      <c r="Q51" s="445"/>
      <c r="R51" s="449" t="s">
        <v>53</v>
      </c>
      <c r="S51" s="450"/>
      <c r="T51" s="451"/>
      <c r="U51" s="57" t="s">
        <v>54</v>
      </c>
      <c r="V51" s="39" t="s">
        <v>19</v>
      </c>
      <c r="W51" s="57" t="s">
        <v>57</v>
      </c>
      <c r="X51" s="8" t="s">
        <v>2</v>
      </c>
      <c r="Y51" s="443" t="s">
        <v>50</v>
      </c>
      <c r="Z51" s="444"/>
      <c r="AA51" s="445"/>
    </row>
    <row r="52" spans="1:27" ht="14.25">
      <c r="A52" s="23"/>
      <c r="B52" s="70" t="s">
        <v>102</v>
      </c>
      <c r="C52" s="437"/>
      <c r="D52" s="433"/>
      <c r="E52" s="434"/>
      <c r="F52" s="4"/>
      <c r="G52" s="4"/>
      <c r="H52" s="4"/>
      <c r="I52" s="4"/>
      <c r="J52" s="437"/>
      <c r="K52" s="434"/>
      <c r="M52" s="56" t="s">
        <v>42</v>
      </c>
      <c r="N52" s="24">
        <v>1</v>
      </c>
      <c r="O52" s="436" t="s">
        <v>89</v>
      </c>
      <c r="P52" s="433"/>
      <c r="Q52" s="434"/>
      <c r="R52" s="452" t="s">
        <v>93</v>
      </c>
      <c r="S52" s="453"/>
      <c r="T52" s="454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436" t="s">
        <v>97</v>
      </c>
      <c r="Z52" s="433"/>
      <c r="AA52" s="434"/>
    </row>
    <row r="53" spans="1:27" ht="14.25">
      <c r="A53" s="23"/>
      <c r="B53" s="70" t="s">
        <v>100</v>
      </c>
      <c r="C53" s="437"/>
      <c r="D53" s="433"/>
      <c r="E53" s="434"/>
      <c r="F53" s="4"/>
      <c r="G53" s="4"/>
      <c r="H53" s="4"/>
      <c r="I53" s="4"/>
      <c r="J53" s="437"/>
      <c r="K53" s="434"/>
      <c r="M53" s="25"/>
      <c r="N53" s="29">
        <v>2</v>
      </c>
      <c r="O53" s="438"/>
      <c r="P53" s="442"/>
      <c r="Q53" s="439"/>
      <c r="R53" s="438"/>
      <c r="S53" s="442"/>
      <c r="T53" s="439"/>
      <c r="U53" s="27"/>
      <c r="V53" s="30"/>
      <c r="W53" s="30"/>
      <c r="X53" s="41">
        <f>W53-V53</f>
        <v>0</v>
      </c>
      <c r="Y53" s="438"/>
      <c r="Z53" s="442"/>
      <c r="AA53" s="439"/>
    </row>
    <row r="54" spans="1:27" ht="14.25">
      <c r="A54" s="23"/>
      <c r="B54" s="70" t="s">
        <v>99</v>
      </c>
      <c r="C54" s="437"/>
      <c r="D54" s="433"/>
      <c r="E54" s="434"/>
      <c r="F54" s="4"/>
      <c r="G54" s="4"/>
      <c r="H54" s="4"/>
      <c r="I54" s="4"/>
      <c r="J54" s="437"/>
      <c r="K54" s="434"/>
      <c r="M54" s="56" t="s">
        <v>43</v>
      </c>
      <c r="N54" s="42">
        <v>1</v>
      </c>
      <c r="O54" s="440" t="s">
        <v>94</v>
      </c>
      <c r="P54" s="447"/>
      <c r="Q54" s="441"/>
      <c r="R54" s="440" t="s">
        <v>95</v>
      </c>
      <c r="S54" s="447"/>
      <c r="T54" s="441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440" t="s">
        <v>96</v>
      </c>
      <c r="Z54" s="447"/>
      <c r="AA54" s="441"/>
    </row>
    <row r="55" spans="1:27" ht="14.25">
      <c r="A55" s="20"/>
      <c r="B55" s="70" t="s">
        <v>103</v>
      </c>
      <c r="C55" s="437"/>
      <c r="D55" s="433"/>
      <c r="E55" s="434"/>
      <c r="F55" s="4"/>
      <c r="G55" s="4"/>
      <c r="H55" s="4"/>
      <c r="I55" s="4"/>
      <c r="J55" s="437"/>
      <c r="K55" s="434"/>
      <c r="M55" s="22"/>
      <c r="N55" s="24">
        <v>2</v>
      </c>
      <c r="O55" s="437"/>
      <c r="P55" s="433"/>
      <c r="Q55" s="434"/>
      <c r="R55" s="437"/>
      <c r="S55" s="433"/>
      <c r="T55" s="434"/>
      <c r="U55" s="4"/>
      <c r="V55" s="14"/>
      <c r="W55" s="14"/>
      <c r="X55" s="13">
        <f>W55-V55</f>
        <v>0</v>
      </c>
      <c r="Y55" s="437"/>
      <c r="Z55" s="433"/>
      <c r="AA55" s="434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2" ht="15.75" customHeight="1">
      <c r="A1" s="459" t="s">
        <v>369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115"/>
    </row>
    <row r="2" spans="1:12" s="116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</row>
    <row r="3" spans="1:12" ht="21.6" customHeight="1">
      <c r="A3" s="130" t="s">
        <v>307</v>
      </c>
      <c r="B3" s="131">
        <v>10</v>
      </c>
      <c r="C3" s="130" t="s">
        <v>20</v>
      </c>
      <c r="D3" s="460" t="s">
        <v>368</v>
      </c>
      <c r="E3" s="460"/>
      <c r="F3" s="116"/>
      <c r="G3" s="125"/>
      <c r="H3" s="116"/>
      <c r="I3" s="116"/>
      <c r="J3" s="116"/>
      <c r="K3" s="116"/>
    </row>
    <row r="4" spans="1:12" ht="15.75" customHeight="1">
      <c r="A4" s="126" t="s">
        <v>177</v>
      </c>
      <c r="E4" s="118" t="s">
        <v>23</v>
      </c>
      <c r="G4" s="127" t="s">
        <v>125</v>
      </c>
      <c r="L4" s="115"/>
    </row>
    <row r="5" spans="1:12" s="120" customFormat="1" ht="15.75" customHeight="1">
      <c r="A5" s="137" t="s">
        <v>179</v>
      </c>
      <c r="B5" s="132" t="s">
        <v>22</v>
      </c>
      <c r="C5" s="132" t="s">
        <v>1</v>
      </c>
      <c r="D5" s="132" t="s">
        <v>2</v>
      </c>
      <c r="E5" s="132" t="s">
        <v>3</v>
      </c>
      <c r="G5" s="137" t="s">
        <v>179</v>
      </c>
      <c r="H5" s="132" t="s">
        <v>69</v>
      </c>
      <c r="I5" s="132" t="s">
        <v>22</v>
      </c>
      <c r="J5" s="132" t="s">
        <v>67</v>
      </c>
      <c r="K5" s="132" t="s">
        <v>3</v>
      </c>
      <c r="L5" s="121" t="s">
        <v>60</v>
      </c>
    </row>
    <row r="6" spans="1:12" ht="18" customHeight="1">
      <c r="A6" s="123" t="s">
        <v>24</v>
      </c>
      <c r="B6" s="133">
        <f>'（１）收支狀況'!H10/1000</f>
        <v>279180.38400000002</v>
      </c>
      <c r="C6" s="254">
        <v>224463.48699999999</v>
      </c>
      <c r="D6" s="133">
        <f t="shared" ref="D6:D11" si="0">B6-C6</f>
        <v>54716.897000000026</v>
      </c>
      <c r="E6" s="133">
        <f t="shared" ref="E6:E11" si="1">B6</f>
        <v>279180.38400000002</v>
      </c>
      <c r="G6" s="123" t="s">
        <v>180</v>
      </c>
      <c r="H6" s="257">
        <v>266</v>
      </c>
      <c r="I6" s="135">
        <f>'（２）ＫＰＩ達成進度'!H6</f>
        <v>0</v>
      </c>
      <c r="J6" s="260">
        <v>330.21457859125206</v>
      </c>
      <c r="K6" s="135">
        <f t="shared" ref="K6:K11" si="2">I6</f>
        <v>0</v>
      </c>
      <c r="L6" s="117" t="s">
        <v>176</v>
      </c>
    </row>
    <row r="7" spans="1:12" ht="18" customHeight="1">
      <c r="A7" s="123" t="s">
        <v>25</v>
      </c>
      <c r="B7" s="133">
        <f>'（１）收支狀況'!K10</f>
        <v>8276948</v>
      </c>
      <c r="C7" s="254">
        <v>6964636</v>
      </c>
      <c r="D7" s="133">
        <f t="shared" si="0"/>
        <v>1312312</v>
      </c>
      <c r="E7" s="133">
        <f t="shared" si="1"/>
        <v>8276948</v>
      </c>
      <c r="G7" s="123" t="s">
        <v>181</v>
      </c>
      <c r="H7" s="230">
        <v>0.8</v>
      </c>
      <c r="I7" s="134">
        <f>'（２）ＫＰＩ達成進度'!K6</f>
        <v>0</v>
      </c>
      <c r="J7" s="255">
        <v>0.90222562456626254</v>
      </c>
      <c r="K7" s="134">
        <f t="shared" si="2"/>
        <v>0</v>
      </c>
      <c r="L7" s="117" t="s">
        <v>4</v>
      </c>
    </row>
    <row r="8" spans="1:12" ht="18" customHeight="1">
      <c r="A8" s="123" t="s">
        <v>5</v>
      </c>
      <c r="B8" s="133">
        <f>'（１）收支狀況'!N10/1000</f>
        <v>183449.29699999999</v>
      </c>
      <c r="C8" s="254">
        <v>150244.29199999999</v>
      </c>
      <c r="D8" s="133">
        <f>B8-C8</f>
        <v>33205.005000000005</v>
      </c>
      <c r="E8" s="133">
        <f t="shared" si="1"/>
        <v>183449.29699999999</v>
      </c>
      <c r="G8" s="123" t="s">
        <v>182</v>
      </c>
      <c r="H8" s="225">
        <v>2.5000000000000001E-3</v>
      </c>
      <c r="I8" s="225">
        <f>'（２）ＫＰＩ達成進度'!N6</f>
        <v>0</v>
      </c>
      <c r="J8" s="261">
        <v>2.4646256819628254E-3</v>
      </c>
      <c r="K8" s="225">
        <f t="shared" si="2"/>
        <v>0</v>
      </c>
      <c r="L8" s="117" t="s">
        <v>55</v>
      </c>
    </row>
    <row r="9" spans="1:12" ht="18" customHeight="1">
      <c r="A9" s="123" t="s">
        <v>6</v>
      </c>
      <c r="B9" s="134">
        <f>'（１）收支狀況'!Q10</f>
        <v>0.65709952243636138</v>
      </c>
      <c r="C9" s="255">
        <v>0.66934847180735457</v>
      </c>
      <c r="D9" s="134">
        <f t="shared" si="0"/>
        <v>-1.224894937099319E-2</v>
      </c>
      <c r="E9" s="134">
        <f t="shared" si="1"/>
        <v>0.65709952243636138</v>
      </c>
      <c r="G9" s="123" t="s">
        <v>183</v>
      </c>
      <c r="H9" s="225">
        <v>2.5999999999999999E-3</v>
      </c>
      <c r="I9" s="225">
        <f>'（２）ＫＰＩ達成進度'!Q6</f>
        <v>0</v>
      </c>
      <c r="J9" s="261">
        <v>2.3405370745029669E-3</v>
      </c>
      <c r="K9" s="225">
        <f t="shared" si="2"/>
        <v>0</v>
      </c>
      <c r="L9" s="117" t="s">
        <v>98</v>
      </c>
    </row>
    <row r="10" spans="1:12" ht="18" customHeight="1">
      <c r="A10" s="123" t="s">
        <v>64</v>
      </c>
      <c r="B10" s="133">
        <f>'（１）收支狀況'!T10/1000</f>
        <v>33544.634317976546</v>
      </c>
      <c r="C10" s="254">
        <v>32105.786706827967</v>
      </c>
      <c r="D10" s="133">
        <f t="shared" si="0"/>
        <v>1438.8476111485797</v>
      </c>
      <c r="E10" s="133">
        <f t="shared" si="1"/>
        <v>33544.634317976546</v>
      </c>
      <c r="G10" s="123" t="s">
        <v>184</v>
      </c>
      <c r="H10" s="227">
        <v>0.8</v>
      </c>
      <c r="I10" s="227">
        <f>'（２）ＫＰＩ達成進度'!T6</f>
        <v>0</v>
      </c>
      <c r="J10" s="262">
        <v>0.91666666666666707</v>
      </c>
      <c r="K10" s="227">
        <f t="shared" si="2"/>
        <v>0</v>
      </c>
      <c r="L10" s="117" t="s">
        <v>7</v>
      </c>
    </row>
    <row r="11" spans="1:12" ht="18" customHeight="1">
      <c r="A11" s="123" t="s">
        <v>65</v>
      </c>
      <c r="B11" s="134">
        <f>'（１）收支狀況'!W10</f>
        <v>0.12015398015204587</v>
      </c>
      <c r="C11" s="255">
        <v>0.14303344894053066</v>
      </c>
      <c r="D11" s="134">
        <f t="shared" si="0"/>
        <v>-2.2879468788484791E-2</v>
      </c>
      <c r="E11" s="134">
        <f t="shared" si="1"/>
        <v>0.12015398015204587</v>
      </c>
      <c r="G11" s="123" t="s">
        <v>185</v>
      </c>
      <c r="H11" s="227">
        <v>1</v>
      </c>
      <c r="I11" s="134">
        <f>'（２）ＫＰＩ達成進度'!W6</f>
        <v>0</v>
      </c>
      <c r="J11" s="255">
        <v>0.84941935483870945</v>
      </c>
      <c r="K11" s="134">
        <f t="shared" si="2"/>
        <v>0</v>
      </c>
      <c r="L11" s="117" t="s">
        <v>62</v>
      </c>
    </row>
    <row r="12" spans="1:12" ht="9.6" customHeight="1">
      <c r="L12" s="115"/>
    </row>
    <row r="13" spans="1:12" ht="15.75" customHeight="1">
      <c r="A13" s="126" t="s">
        <v>32</v>
      </c>
      <c r="G13" s="126" t="s">
        <v>147</v>
      </c>
      <c r="L13" s="115"/>
    </row>
    <row r="14" spans="1:12" s="122" customFormat="1" ht="14.25">
      <c r="A14" s="136"/>
      <c r="B14" s="136" t="s">
        <v>22</v>
      </c>
      <c r="C14" s="136" t="s">
        <v>66</v>
      </c>
      <c r="D14" s="136" t="s">
        <v>67</v>
      </c>
      <c r="E14" s="136" t="s">
        <v>68</v>
      </c>
      <c r="G14" s="136"/>
      <c r="H14" s="136" t="s">
        <v>22</v>
      </c>
      <c r="I14" s="136" t="s">
        <v>66</v>
      </c>
      <c r="J14" s="136" t="s">
        <v>67</v>
      </c>
      <c r="K14" s="136" t="s">
        <v>68</v>
      </c>
    </row>
    <row r="15" spans="1:12" ht="18" customHeight="1">
      <c r="A15" s="123" t="s">
        <v>209</v>
      </c>
      <c r="B15" s="133">
        <f>'（３）業績構成比'!M46/1000</f>
        <v>53577.231035477089</v>
      </c>
      <c r="C15" s="134">
        <f>IFERROR(B15/$B$6,"")</f>
        <v>0.19190900975147698</v>
      </c>
      <c r="D15" s="255">
        <v>0.19061185820038584</v>
      </c>
      <c r="E15" s="134">
        <f>IFERROR(C15-D15,"")</f>
        <v>1.2971515510911413E-3</v>
      </c>
      <c r="G15" s="123" t="s">
        <v>214</v>
      </c>
      <c r="H15" s="133">
        <f>'（４）訂單數量構成比'!M46</f>
        <v>2603280</v>
      </c>
      <c r="I15" s="134">
        <f t="shared" ref="I15:I23" si="3">IFERROR(H15/$B$7,"")</f>
        <v>0.31452172950705987</v>
      </c>
      <c r="J15" s="255">
        <v>0.33067557299476957</v>
      </c>
      <c r="K15" s="134">
        <f t="shared" ref="K15:K23" si="4">IFERROR(I15-J15,"")</f>
        <v>-1.6153843487709707E-2</v>
      </c>
      <c r="L15" s="115"/>
    </row>
    <row r="16" spans="1:12" ht="18" customHeight="1">
      <c r="A16" s="123" t="s">
        <v>204</v>
      </c>
      <c r="B16" s="133">
        <f>'（３）業績構成比'!S46/1000</f>
        <v>5215.5321775152634</v>
      </c>
      <c r="C16" s="134">
        <f t="shared" ref="C16:C23" si="5">IFERROR(B16/$B$6,"")</f>
        <v>1.8681585370680136E-2</v>
      </c>
      <c r="D16" s="255">
        <v>4.2789233591899609E-2</v>
      </c>
      <c r="E16" s="134">
        <f t="shared" ref="E16:E23" si="6">IFERROR(C16-D16,"")</f>
        <v>-2.4107648221219472E-2</v>
      </c>
      <c r="G16" s="123" t="s">
        <v>233</v>
      </c>
      <c r="H16" s="133">
        <f>'（４）訂單數量構成比'!S47</f>
        <v>174202</v>
      </c>
      <c r="I16" s="134">
        <f t="shared" si="3"/>
        <v>2.1046646662513768E-2</v>
      </c>
      <c r="J16" s="255">
        <v>6.1681041191528174E-2</v>
      </c>
      <c r="K16" s="134">
        <f t="shared" si="4"/>
        <v>-4.0634394529014406E-2</v>
      </c>
      <c r="L16" s="115"/>
    </row>
    <row r="17" spans="1:18" ht="18" customHeight="1">
      <c r="A17" s="123" t="s">
        <v>200</v>
      </c>
      <c r="B17" s="133">
        <f>'（３）業績構成比'!U46/1000</f>
        <v>34880.065973965444</v>
      </c>
      <c r="C17" s="134">
        <f t="shared" si="5"/>
        <v>0.12493738089408689</v>
      </c>
      <c r="D17" s="255">
        <v>8.6938303169141445E-2</v>
      </c>
      <c r="E17" s="134">
        <f t="shared" si="6"/>
        <v>3.7999077724945443E-2</v>
      </c>
      <c r="G17" s="123" t="s">
        <v>215</v>
      </c>
      <c r="H17" s="133">
        <f>'（４）訂單數量構成比'!U46</f>
        <v>958623</v>
      </c>
      <c r="I17" s="134">
        <f t="shared" si="3"/>
        <v>0.11581841519361968</v>
      </c>
      <c r="J17" s="255">
        <v>8.2530228428305513E-2</v>
      </c>
      <c r="K17" s="134">
        <f t="shared" si="4"/>
        <v>3.3288186765314171E-2</v>
      </c>
      <c r="L17" s="115"/>
    </row>
    <row r="18" spans="1:18" ht="18" customHeight="1">
      <c r="A18" s="123" t="s">
        <v>202</v>
      </c>
      <c r="B18" s="133">
        <f>'（３）業績構成比'!W46/1000</f>
        <v>4874.7662480179979</v>
      </c>
      <c r="C18" s="134">
        <f t="shared" si="5"/>
        <v>1.7460991270855181E-2</v>
      </c>
      <c r="D18" s="255">
        <v>1.4659145993880142E-2</v>
      </c>
      <c r="E18" s="134">
        <f t="shared" si="6"/>
        <v>2.8018452769750391E-3</v>
      </c>
      <c r="G18" s="123" t="s">
        <v>201</v>
      </c>
      <c r="H18" s="133">
        <f>'（４）訂單數量構成比'!W46</f>
        <v>118492</v>
      </c>
      <c r="I18" s="134">
        <f t="shared" si="3"/>
        <v>1.4315904848018859E-2</v>
      </c>
      <c r="J18" s="255">
        <v>1.6773740939224964E-2</v>
      </c>
      <c r="K18" s="134">
        <f t="shared" si="4"/>
        <v>-2.4578360912061049E-3</v>
      </c>
      <c r="L18" s="115"/>
    </row>
    <row r="19" spans="1:18" ht="18" customHeight="1">
      <c r="A19" s="123" t="s">
        <v>206</v>
      </c>
      <c r="B19" s="133">
        <f>'（３）業績構成比'!AC46/1000</f>
        <v>61380.567747141373</v>
      </c>
      <c r="C19" s="134">
        <f t="shared" si="5"/>
        <v>0.2198598872445901</v>
      </c>
      <c r="D19" s="255">
        <v>0.24409177848792188</v>
      </c>
      <c r="E19" s="134">
        <f t="shared" si="6"/>
        <v>-2.4231891243331777E-2</v>
      </c>
      <c r="G19" s="123" t="s">
        <v>205</v>
      </c>
      <c r="H19" s="133">
        <f>'（４）訂單數量構成比'!AC46</f>
        <v>1467998</v>
      </c>
      <c r="I19" s="134">
        <f t="shared" si="3"/>
        <v>0.17735981910240345</v>
      </c>
      <c r="J19" s="255">
        <v>0.19673059726308739</v>
      </c>
      <c r="K19" s="134">
        <f t="shared" si="4"/>
        <v>-1.9370778160683944E-2</v>
      </c>
      <c r="L19" s="115"/>
    </row>
    <row r="20" spans="1:18" ht="18" customHeight="1">
      <c r="A20" s="123" t="s">
        <v>208</v>
      </c>
      <c r="B20" s="133">
        <f>'（３）業績構成比'!AE46/1000</f>
        <v>50722.32817766376</v>
      </c>
      <c r="C20" s="134">
        <f t="shared" si="5"/>
        <v>0.18168299452465742</v>
      </c>
      <c r="D20" s="255">
        <v>0.1397972381723295</v>
      </c>
      <c r="E20" s="134">
        <f t="shared" si="6"/>
        <v>4.1885756352327913E-2</v>
      </c>
      <c r="G20" s="123" t="s">
        <v>207</v>
      </c>
      <c r="H20" s="133">
        <f>'（４）訂單數量構成比'!AE46</f>
        <v>815769</v>
      </c>
      <c r="I20" s="134">
        <f t="shared" si="3"/>
        <v>9.8559154896225035E-2</v>
      </c>
      <c r="J20" s="255">
        <v>7.9797709456746913E-2</v>
      </c>
      <c r="K20" s="134">
        <f t="shared" si="4"/>
        <v>1.8761445439478122E-2</v>
      </c>
      <c r="L20" s="115"/>
    </row>
    <row r="21" spans="1:18" ht="18" customHeight="1">
      <c r="A21" s="123" t="s">
        <v>210</v>
      </c>
      <c r="B21" s="133">
        <f>'（３）業績構成比'!AG46/1000</f>
        <v>35206.145492917552</v>
      </c>
      <c r="C21" s="134">
        <f>IFERROR(B21/$B$6,"")</f>
        <v>0.12610536954099738</v>
      </c>
      <c r="D21" s="255">
        <v>0.13619626613806221</v>
      </c>
      <c r="E21" s="134">
        <f>IFERROR(C21-D21,"")</f>
        <v>-1.009089659706483E-2</v>
      </c>
      <c r="G21" s="123" t="s">
        <v>216</v>
      </c>
      <c r="H21" s="133">
        <f>'（４）訂單數量構成比'!AG46</f>
        <v>618651</v>
      </c>
      <c r="I21" s="134">
        <f>IFERROR(H21/$B$7,"")</f>
        <v>7.4743854860511383E-2</v>
      </c>
      <c r="J21" s="255">
        <v>9.0009011239065476E-2</v>
      </c>
      <c r="K21" s="134">
        <f>IFERROR(I21-J21,"")</f>
        <v>-1.5265156378554093E-2</v>
      </c>
      <c r="L21" s="115"/>
    </row>
    <row r="22" spans="1:18" ht="18" customHeight="1">
      <c r="A22" s="123" t="s">
        <v>211</v>
      </c>
      <c r="B22" s="133">
        <f>'（３）業績構成比'!AI46/1000</f>
        <v>40199.172224885115</v>
      </c>
      <c r="C22" s="134">
        <f t="shared" si="5"/>
        <v>0.14398995964159542</v>
      </c>
      <c r="D22" s="255">
        <v>6.8175373790099608E-2</v>
      </c>
      <c r="E22" s="134">
        <f t="shared" si="6"/>
        <v>7.5814585851495808E-2</v>
      </c>
      <c r="G22" s="123" t="s">
        <v>217</v>
      </c>
      <c r="H22" s="133">
        <f>'（４）訂單數量構成比'!AI46</f>
        <v>1013669</v>
      </c>
      <c r="I22" s="134">
        <f t="shared" si="3"/>
        <v>0.12246893420135055</v>
      </c>
      <c r="J22" s="255">
        <v>5.972113976954431E-2</v>
      </c>
      <c r="K22" s="134">
        <f t="shared" si="4"/>
        <v>6.2747794431806239E-2</v>
      </c>
      <c r="L22" s="115"/>
    </row>
    <row r="23" spans="1:18" ht="18" customHeight="1">
      <c r="A23" s="123" t="s">
        <v>213</v>
      </c>
      <c r="B23" s="133">
        <f>'（３）業績構成比'!AK46/1000</f>
        <v>25531.812709579812</v>
      </c>
      <c r="C23" s="134">
        <f t="shared" si="5"/>
        <v>9.1452745869064392E-2</v>
      </c>
      <c r="D23" s="255">
        <v>7.674080245627983E-2</v>
      </c>
      <c r="E23" s="134">
        <f t="shared" si="6"/>
        <v>1.4711943412784562E-2</v>
      </c>
      <c r="G23" s="123" t="s">
        <v>212</v>
      </c>
      <c r="H23" s="133">
        <f>'（４）訂單數量構成比'!AK46</f>
        <v>804351</v>
      </c>
      <c r="I23" s="134">
        <f t="shared" si="3"/>
        <v>9.717966090882775E-2</v>
      </c>
      <c r="J23" s="255">
        <v>8.2080958717727678E-2</v>
      </c>
      <c r="K23" s="134">
        <f t="shared" si="4"/>
        <v>1.5098702191100072E-2</v>
      </c>
      <c r="L23" s="115"/>
    </row>
    <row r="24" spans="1:18" ht="15.75" customHeight="1">
      <c r="C24" s="128">
        <f>SUM(C15:C23)</f>
        <v>1.1160799241080037</v>
      </c>
      <c r="D24" s="128">
        <f>SUM(D15:D23)</f>
        <v>1.0000000000000002</v>
      </c>
      <c r="I24" s="128">
        <f>SUM(I15:I23)</f>
        <v>1.0360141201805302</v>
      </c>
      <c r="J24" s="128">
        <f>SUM(J15:J23)</f>
        <v>1</v>
      </c>
      <c r="L24" s="115"/>
    </row>
    <row r="25" spans="1:18" ht="9.6" customHeight="1">
      <c r="A25" s="129"/>
      <c r="L25" s="115"/>
    </row>
    <row r="26" spans="1:18" ht="15.75" customHeight="1">
      <c r="A26" s="126" t="s">
        <v>178</v>
      </c>
      <c r="L26" s="115"/>
    </row>
    <row r="27" spans="1:18" ht="15.75" customHeight="1">
      <c r="A27" s="123" t="s">
        <v>168</v>
      </c>
      <c r="B27" s="123" t="s">
        <v>22</v>
      </c>
      <c r="C27" s="123" t="s">
        <v>1</v>
      </c>
      <c r="D27" s="123" t="s">
        <v>2</v>
      </c>
      <c r="E27" s="123" t="s">
        <v>3</v>
      </c>
      <c r="L27" s="115"/>
      <c r="M27" s="120" t="s">
        <v>437</v>
      </c>
      <c r="N27" s="120" t="s">
        <v>438</v>
      </c>
      <c r="O27" s="120" t="s">
        <v>439</v>
      </c>
      <c r="P27" s="120" t="s">
        <v>440</v>
      </c>
      <c r="Q27" s="120" t="s">
        <v>441</v>
      </c>
    </row>
    <row r="28" spans="1:18" ht="18" customHeight="1">
      <c r="A28" s="123" t="s">
        <v>214</v>
      </c>
      <c r="B28" s="256">
        <f>'（５-1）品群別人時生產性（18℃-飯糰）'!$C$1</f>
        <v>802.16305005754816</v>
      </c>
      <c r="C28" s="272">
        <v>756.20246993670457</v>
      </c>
      <c r="D28" s="221">
        <f t="shared" ref="D28:D36" si="7">B28-C28</f>
        <v>45.960580120843588</v>
      </c>
      <c r="E28" s="256">
        <f>R28</f>
        <v>759.84529249275386</v>
      </c>
      <c r="G28" s="138"/>
      <c r="H28" s="138"/>
      <c r="I28" s="138"/>
      <c r="L28" s="115"/>
      <c r="M28" s="256">
        <v>717.52753492795955</v>
      </c>
      <c r="N28" s="256">
        <f>B28</f>
        <v>802.16305005754816</v>
      </c>
      <c r="O28" s="256"/>
      <c r="P28" s="256"/>
      <c r="Q28" s="256"/>
      <c r="R28" s="263">
        <f>AVERAGE(M28:Q28)</f>
        <v>759.84529249275386</v>
      </c>
    </row>
    <row r="29" spans="1:18" ht="18" customHeight="1">
      <c r="A29" s="123" t="s">
        <v>203</v>
      </c>
      <c r="B29" s="256">
        <f>'（５-2）品群別人時生產性（18-壽司手卷)'!$C$1</f>
        <v>166.56349963275667</v>
      </c>
      <c r="C29" s="272">
        <v>198.82982221081653</v>
      </c>
      <c r="D29" s="221">
        <f t="shared" si="7"/>
        <v>-32.266322578059857</v>
      </c>
      <c r="E29" s="256">
        <f t="shared" ref="E29:E36" si="8">R29</f>
        <v>182.09810825953238</v>
      </c>
      <c r="G29" s="139"/>
      <c r="H29" s="139"/>
      <c r="I29" s="139"/>
      <c r="L29" s="115"/>
      <c r="M29" s="256">
        <v>197.63271688630809</v>
      </c>
      <c r="N29" s="256">
        <f t="shared" ref="N29:N36" si="9">B29</f>
        <v>166.56349963275667</v>
      </c>
      <c r="O29" s="256"/>
      <c r="P29" s="256"/>
      <c r="Q29" s="256"/>
      <c r="R29" s="263">
        <f t="shared" ref="R29:R36" si="10">AVERAGE(M29:Q29)</f>
        <v>182.09810825953238</v>
      </c>
    </row>
    <row r="30" spans="1:18" ht="18" customHeight="1">
      <c r="A30" s="123" t="s">
        <v>215</v>
      </c>
      <c r="B30" s="256">
        <f>'（５-3）品群別人時生產性（4℃-飯糰)'!$C$1</f>
        <v>236.27201225575021</v>
      </c>
      <c r="C30" s="272">
        <v>253.36933201602551</v>
      </c>
      <c r="D30" s="221">
        <f t="shared" si="7"/>
        <v>-17.097319760275298</v>
      </c>
      <c r="E30" s="256">
        <f t="shared" si="8"/>
        <v>238.36529181702673</v>
      </c>
      <c r="L30" s="115"/>
      <c r="M30" s="256">
        <v>240.45857137830325</v>
      </c>
      <c r="N30" s="256">
        <f t="shared" si="9"/>
        <v>236.27201225575021</v>
      </c>
      <c r="O30" s="256"/>
      <c r="P30" s="256"/>
      <c r="Q30" s="256"/>
      <c r="R30" s="263">
        <f t="shared" si="10"/>
        <v>238.36529181702673</v>
      </c>
    </row>
    <row r="31" spans="1:18" ht="18" customHeight="1">
      <c r="A31" s="123" t="s">
        <v>201</v>
      </c>
      <c r="B31" s="256">
        <f>'（５-4）品群別人時生產性（4℃-壽司手卷)'!$C$1</f>
        <v>102.50970556821407</v>
      </c>
      <c r="C31" s="272">
        <v>112.99131142028241</v>
      </c>
      <c r="D31" s="221">
        <f t="shared" si="7"/>
        <v>-10.481605852068341</v>
      </c>
      <c r="E31" s="256">
        <f t="shared" si="8"/>
        <v>104.68741423817583</v>
      </c>
      <c r="L31" s="115"/>
      <c r="M31" s="256">
        <v>106.86512290813759</v>
      </c>
      <c r="N31" s="256">
        <f t="shared" si="9"/>
        <v>102.50970556821407</v>
      </c>
      <c r="O31" s="256"/>
      <c r="P31" s="256"/>
      <c r="Q31" s="256"/>
      <c r="R31" s="263">
        <f t="shared" si="10"/>
        <v>104.68741423817583</v>
      </c>
    </row>
    <row r="32" spans="1:18" ht="18" customHeight="1">
      <c r="A32" s="123" t="s">
        <v>205</v>
      </c>
      <c r="B32" s="256">
        <f>'（５-5）品群別人時生產性(主食) '!$C$1</f>
        <v>88.002950992743735</v>
      </c>
      <c r="C32" s="272">
        <v>85.495684450909806</v>
      </c>
      <c r="D32" s="221">
        <f t="shared" si="7"/>
        <v>2.5072665418339284</v>
      </c>
      <c r="E32" s="256">
        <f t="shared" si="8"/>
        <v>88.656689698738518</v>
      </c>
      <c r="L32" s="115"/>
      <c r="M32" s="256">
        <v>89.310428404733287</v>
      </c>
      <c r="N32" s="256">
        <f t="shared" si="9"/>
        <v>88.002950992743735</v>
      </c>
      <c r="O32" s="256"/>
      <c r="P32" s="256"/>
      <c r="Q32" s="256"/>
      <c r="R32" s="263">
        <f t="shared" si="10"/>
        <v>88.656689698738518</v>
      </c>
    </row>
    <row r="33" spans="1:18" ht="18" customHeight="1">
      <c r="A33" s="123" t="s">
        <v>207</v>
      </c>
      <c r="B33" s="256">
        <f>'（５-6）品群別人時生產性(便當)'!$C$1</f>
        <v>72.830724924037057</v>
      </c>
      <c r="C33" s="272">
        <v>66.943613625537381</v>
      </c>
      <c r="D33" s="221">
        <f t="shared" si="7"/>
        <v>5.8871112984996756</v>
      </c>
      <c r="E33" s="256">
        <f t="shared" si="8"/>
        <v>69.251733691658416</v>
      </c>
      <c r="L33" s="115"/>
      <c r="M33" s="256">
        <v>65.67274245927976</v>
      </c>
      <c r="N33" s="256">
        <f t="shared" si="9"/>
        <v>72.830724924037057</v>
      </c>
      <c r="O33" s="256"/>
      <c r="P33" s="256"/>
      <c r="Q33" s="256"/>
      <c r="R33" s="263">
        <f t="shared" si="10"/>
        <v>69.251733691658416</v>
      </c>
    </row>
    <row r="34" spans="1:18" ht="18" customHeight="1">
      <c r="A34" s="123" t="s">
        <v>216</v>
      </c>
      <c r="B34" s="256">
        <f>'（５-7）品群別人時生產性(熱食義麵) '!$C$1</f>
        <v>85.811320900999178</v>
      </c>
      <c r="C34" s="272">
        <v>80.555861357885718</v>
      </c>
      <c r="D34" s="221">
        <f t="shared" si="7"/>
        <v>5.2554595431134601</v>
      </c>
      <c r="E34" s="256">
        <f t="shared" si="8"/>
        <v>80.644944961475971</v>
      </c>
      <c r="L34" s="115"/>
      <c r="M34" s="256">
        <v>75.478569021952779</v>
      </c>
      <c r="N34" s="256">
        <f t="shared" si="9"/>
        <v>85.811320900999178</v>
      </c>
      <c r="O34" s="256"/>
      <c r="P34" s="256"/>
      <c r="Q34" s="256"/>
      <c r="R34" s="263">
        <f t="shared" si="10"/>
        <v>80.644944961475971</v>
      </c>
    </row>
    <row r="35" spans="1:18" ht="18" customHeight="1">
      <c r="A35" s="123" t="s">
        <v>217</v>
      </c>
      <c r="B35" s="256">
        <f>'（５-8）品群別人時生產性(季節調理麵) '!$C$1</f>
        <v>130.93130587907257</v>
      </c>
      <c r="C35" s="272">
        <v>121.13262609451999</v>
      </c>
      <c r="D35" s="221">
        <f t="shared" si="7"/>
        <v>9.7986797845525757</v>
      </c>
      <c r="E35" s="256">
        <f t="shared" si="8"/>
        <v>122.7184389528378</v>
      </c>
      <c r="L35" s="115"/>
      <c r="M35" s="256">
        <v>114.50557202660302</v>
      </c>
      <c r="N35" s="256">
        <f t="shared" si="9"/>
        <v>130.93130587907257</v>
      </c>
      <c r="O35" s="256"/>
      <c r="P35" s="256"/>
      <c r="Q35" s="256"/>
      <c r="R35" s="263">
        <f t="shared" si="10"/>
        <v>122.7184389528378</v>
      </c>
    </row>
    <row r="36" spans="1:18" ht="18" customHeight="1">
      <c r="A36" s="119" t="s">
        <v>212</v>
      </c>
      <c r="B36" s="256">
        <f>'（５-9）品群別人時生產性(微波小吃)'!$C$1</f>
        <v>161.91154317883633</v>
      </c>
      <c r="C36" s="272">
        <v>115.3662253913358</v>
      </c>
      <c r="D36" s="221">
        <f t="shared" si="7"/>
        <v>46.545317787500522</v>
      </c>
      <c r="E36" s="256">
        <f t="shared" si="8"/>
        <v>130.77994261035104</v>
      </c>
      <c r="L36" s="115"/>
      <c r="M36" s="256">
        <v>99.648342041865732</v>
      </c>
      <c r="N36" s="256">
        <f t="shared" si="9"/>
        <v>161.91154317883633</v>
      </c>
      <c r="O36" s="256"/>
      <c r="P36" s="256"/>
      <c r="Q36" s="256"/>
      <c r="R36" s="263">
        <f t="shared" si="10"/>
        <v>130.77994261035104</v>
      </c>
    </row>
    <row r="37" spans="1:18" ht="15.75" customHeight="1">
      <c r="L37" s="115"/>
    </row>
    <row r="38" spans="1:18" ht="15.75" customHeight="1">
      <c r="L38" s="115"/>
    </row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R38"/>
  <sheetViews>
    <sheetView tabSelected="1" topLeftCell="A9" zoomScale="85" zoomScaleNormal="85" zoomScaleSheetLayoutView="100" workbookViewId="0">
      <selection activeCell="C19" sqref="C19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8" ht="15.75" customHeight="1">
      <c r="A1" s="459" t="s">
        <v>369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115"/>
    </row>
    <row r="2" spans="1:18" s="116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</row>
    <row r="3" spans="1:18" ht="21.6" customHeight="1">
      <c r="A3" s="130" t="s">
        <v>307</v>
      </c>
      <c r="B3" s="131">
        <v>5</v>
      </c>
      <c r="C3" s="194" t="s">
        <v>308</v>
      </c>
      <c r="D3" s="131" t="s">
        <v>752</v>
      </c>
      <c r="E3" s="130" t="s">
        <v>20</v>
      </c>
      <c r="F3" s="460" t="s">
        <v>368</v>
      </c>
      <c r="G3" s="460"/>
      <c r="H3" s="116"/>
      <c r="I3" s="125"/>
      <c r="J3" s="116"/>
      <c r="K3" s="116"/>
      <c r="M3" s="116"/>
      <c r="N3" s="116"/>
    </row>
    <row r="4" spans="1:18" ht="15.75" customHeight="1">
      <c r="A4" s="126" t="s">
        <v>177</v>
      </c>
      <c r="E4" s="118" t="s">
        <v>23</v>
      </c>
      <c r="G4" s="127" t="s">
        <v>125</v>
      </c>
      <c r="L4" s="115"/>
    </row>
    <row r="5" spans="1:18" s="120" customFormat="1" ht="15.75" customHeight="1">
      <c r="A5" s="137" t="s">
        <v>179</v>
      </c>
      <c r="B5" s="137" t="s">
        <v>310</v>
      </c>
      <c r="C5" s="137" t="s">
        <v>312</v>
      </c>
      <c r="D5" s="132" t="s">
        <v>2</v>
      </c>
      <c r="E5" s="132" t="s">
        <v>3</v>
      </c>
      <c r="G5" s="137" t="s">
        <v>179</v>
      </c>
      <c r="H5" s="132" t="s">
        <v>69</v>
      </c>
      <c r="I5" s="132" t="s">
        <v>309</v>
      </c>
      <c r="J5" s="132" t="s">
        <v>311</v>
      </c>
      <c r="K5" s="132" t="s">
        <v>3</v>
      </c>
      <c r="L5" s="121" t="s">
        <v>60</v>
      </c>
    </row>
    <row r="6" spans="1:18" ht="18" customHeight="1">
      <c r="A6" s="123" t="s">
        <v>24</v>
      </c>
      <c r="B6" s="201">
        <f>'（１）收支狀況'!G33/1000</f>
        <v>65939.024999999994</v>
      </c>
      <c r="C6" s="231">
        <v>61296.171000000002</v>
      </c>
      <c r="D6" s="133">
        <f t="shared" ref="D6:D11" si="0">B6-C6</f>
        <v>4642.8539999999921</v>
      </c>
      <c r="E6" s="213">
        <f>'（１）收支狀況'!H10/1000</f>
        <v>279180.38400000002</v>
      </c>
      <c r="G6" s="123" t="s">
        <v>180</v>
      </c>
      <c r="H6" s="215">
        <v>366</v>
      </c>
      <c r="I6" s="236">
        <f>'（２）ＫＰＩ達成進度'!G33</f>
        <v>367.41015788179351</v>
      </c>
      <c r="J6" s="237">
        <v>355.88224262090489</v>
      </c>
      <c r="K6" s="238">
        <f>'（２）ＫＰＩ達成進度'!H10</f>
        <v>362.12961133092892</v>
      </c>
      <c r="L6" s="117" t="s">
        <v>176</v>
      </c>
    </row>
    <row r="7" spans="1:18" ht="18" customHeight="1">
      <c r="A7" s="123" t="s">
        <v>25</v>
      </c>
      <c r="B7" s="201">
        <f>'（１）收支狀況'!J33</f>
        <v>1972816</v>
      </c>
      <c r="C7" s="231">
        <v>1829782</v>
      </c>
      <c r="D7" s="133">
        <f t="shared" si="0"/>
        <v>143034</v>
      </c>
      <c r="E7" s="213">
        <f>'（１）收支狀況'!K10</f>
        <v>8276948</v>
      </c>
      <c r="G7" s="123" t="s">
        <v>181</v>
      </c>
      <c r="H7" s="229">
        <v>0.8</v>
      </c>
      <c r="I7" s="227">
        <f>'（２）ＫＰＩ達成進度'!J33</f>
        <v>1.003852890387414</v>
      </c>
      <c r="J7" s="234">
        <v>0.97235585415547765</v>
      </c>
      <c r="K7" s="230">
        <f>'（２）ＫＰＩ達成進度'!K10</f>
        <v>0.98917348144801565</v>
      </c>
      <c r="L7" s="117" t="s">
        <v>4</v>
      </c>
    </row>
    <row r="8" spans="1:18" ht="18" customHeight="1">
      <c r="A8" s="123" t="s">
        <v>5</v>
      </c>
      <c r="B8" s="201">
        <f>'（１）收支狀況'!M33/1000</f>
        <v>43853.226000000002</v>
      </c>
      <c r="C8" s="231">
        <v>40737.055999999997</v>
      </c>
      <c r="D8" s="133">
        <f>B8-C8</f>
        <v>3116.1700000000055</v>
      </c>
      <c r="E8" s="213">
        <f>'（１）收支狀況'!N10/1000</f>
        <v>183449.29699999999</v>
      </c>
      <c r="G8" s="123" t="s">
        <v>182</v>
      </c>
      <c r="H8" s="214">
        <v>2.5000000000000001E-3</v>
      </c>
      <c r="I8" s="225">
        <f>'（２）ＫＰＩ達成進度'!M33</f>
        <v>2.423079576054621E-3</v>
      </c>
      <c r="J8" s="233">
        <v>2.4230132209561153E-3</v>
      </c>
      <c r="K8" s="225">
        <f>'（２）ＫＰＩ達成進度'!N10</f>
        <v>2.4235378310697958E-3</v>
      </c>
      <c r="L8" s="117" t="s">
        <v>55</v>
      </c>
    </row>
    <row r="9" spans="1:18" ht="18" customHeight="1">
      <c r="A9" s="123" t="s">
        <v>6</v>
      </c>
      <c r="B9" s="202">
        <f>'（１）收支狀況'!P33</f>
        <v>0.66505724038230773</v>
      </c>
      <c r="C9" s="232">
        <v>0.66459381288270025</v>
      </c>
      <c r="D9" s="134">
        <f t="shared" si="0"/>
        <v>4.6342749960748275E-4</v>
      </c>
      <c r="E9" s="134">
        <f>'（１）收支狀況'!Q10</f>
        <v>0.65709952243636138</v>
      </c>
      <c r="G9" s="123" t="s">
        <v>183</v>
      </c>
      <c r="H9" s="214">
        <v>2.5999999999999999E-3</v>
      </c>
      <c r="I9" s="225">
        <f>'（２）ＫＰＩ達成進度'!P33</f>
        <v>4.2109245020056866E-3</v>
      </c>
      <c r="J9" s="233">
        <v>4.1957909493905805E-3</v>
      </c>
      <c r="K9" s="225">
        <f>'（２）ＫＰＩ達成進度'!Q10</f>
        <v>3.9070494349342337E-3</v>
      </c>
      <c r="L9" s="117" t="s">
        <v>98</v>
      </c>
    </row>
    <row r="10" spans="1:18" ht="18" customHeight="1">
      <c r="A10" s="123" t="s">
        <v>64</v>
      </c>
      <c r="B10" s="201">
        <f>'（１）收支狀況'!S33/1000</f>
        <v>7722.861623816837</v>
      </c>
      <c r="C10" s="231">
        <v>7272.6412585617991</v>
      </c>
      <c r="D10" s="133">
        <f t="shared" si="0"/>
        <v>450.2203652550379</v>
      </c>
      <c r="E10" s="213">
        <f>'（１）收支狀況'!T10/1000</f>
        <v>33544.634317976546</v>
      </c>
      <c r="G10" s="123" t="s">
        <v>184</v>
      </c>
      <c r="H10" s="226">
        <v>0.8</v>
      </c>
      <c r="I10" s="227">
        <v>0.9133</v>
      </c>
      <c r="J10" s="234">
        <v>0.91259999999999997</v>
      </c>
      <c r="K10" s="227">
        <v>0.91700000000000004</v>
      </c>
      <c r="L10" s="117" t="s">
        <v>7</v>
      </c>
    </row>
    <row r="11" spans="1:18" ht="18" customHeight="1">
      <c r="A11" s="123" t="s">
        <v>65</v>
      </c>
      <c r="B11" s="202">
        <f>'（１）收支狀況'!V33</f>
        <v>0.1171212589785311</v>
      </c>
      <c r="C11" s="232">
        <v>0.11864756215460505</v>
      </c>
      <c r="D11" s="134">
        <f t="shared" si="0"/>
        <v>-1.5263031760739537E-3</v>
      </c>
      <c r="E11" s="134">
        <f>'（１）收支狀況'!W10</f>
        <v>0.12015398015204587</v>
      </c>
      <c r="G11" s="123" t="s">
        <v>185</v>
      </c>
      <c r="H11" s="226">
        <v>1</v>
      </c>
      <c r="I11" s="227">
        <f>'（２）ＫＰＩ達成進度'!V33</f>
        <v>0.39885714285714291</v>
      </c>
      <c r="J11" s="234">
        <v>0.374</v>
      </c>
      <c r="K11" s="227">
        <f>'（２）ＫＰＩ達成進度'!W10</f>
        <v>0.35270967741935499</v>
      </c>
      <c r="L11" s="117" t="s">
        <v>62</v>
      </c>
    </row>
    <row r="12" spans="1:18" ht="9.6" customHeight="1">
      <c r="L12" s="115"/>
    </row>
    <row r="13" spans="1:18" ht="15.75" customHeight="1">
      <c r="A13" s="126" t="s">
        <v>32</v>
      </c>
      <c r="G13" s="126" t="s">
        <v>147</v>
      </c>
      <c r="L13" s="115"/>
    </row>
    <row r="14" spans="1:18" s="122" customFormat="1" ht="14.25">
      <c r="A14" s="136"/>
      <c r="B14" s="195" t="s">
        <v>310</v>
      </c>
      <c r="C14" s="136" t="s">
        <v>66</v>
      </c>
      <c r="D14" s="195" t="s">
        <v>313</v>
      </c>
      <c r="E14" s="136" t="s">
        <v>68</v>
      </c>
      <c r="G14" s="136"/>
      <c r="H14" s="195" t="s">
        <v>310</v>
      </c>
      <c r="I14" s="136" t="s">
        <v>66</v>
      </c>
      <c r="J14" s="195" t="s">
        <v>313</v>
      </c>
      <c r="K14" s="136" t="s">
        <v>68</v>
      </c>
      <c r="M14" s="115"/>
      <c r="N14" s="115"/>
      <c r="O14" s="115"/>
      <c r="P14" s="115"/>
      <c r="Q14" s="115"/>
      <c r="R14" s="115"/>
    </row>
    <row r="15" spans="1:18" ht="18" customHeight="1">
      <c r="A15" s="123" t="s">
        <v>317</v>
      </c>
      <c r="B15" s="216">
        <f>SUM('（３）業績構成比'!I35:I41,'（３）業績構成比'!K35:K41)/1000</f>
        <v>11388.472314202543</v>
      </c>
      <c r="C15" s="134">
        <f>IFERROR(B15/$B$6,"")</f>
        <v>0.17271217331773625</v>
      </c>
      <c r="D15" s="232">
        <v>0.18161993801022008</v>
      </c>
      <c r="E15" s="134">
        <f>IFERROR(C15-D15,"")</f>
        <v>-8.9077646924838327E-3</v>
      </c>
      <c r="G15" s="123" t="s">
        <v>317</v>
      </c>
      <c r="H15" s="216">
        <f>SUM(,'（４）訂單數量構成比'!I32:I38,'（４）訂單數量構成比'!K32:K38)</f>
        <v>590137</v>
      </c>
      <c r="I15" s="134">
        <f t="shared" ref="I15:I23" si="1">IFERROR(H15/$B$7,"")</f>
        <v>0.29913433386590538</v>
      </c>
      <c r="J15" s="232">
        <v>0.31520093650500441</v>
      </c>
      <c r="K15" s="134">
        <f t="shared" ref="K15:K23" si="2">IFERROR(I15-J15,"")</f>
        <v>-1.6066602639099037E-2</v>
      </c>
      <c r="L15" s="115"/>
    </row>
    <row r="16" spans="1:18" ht="18" customHeight="1">
      <c r="A16" s="123" t="s">
        <v>204</v>
      </c>
      <c r="B16" s="216">
        <f>SUM('（３）業績構成比'!O35:O41,'（３）業績構成比'!Q35:Q41)/1000</f>
        <v>1043.1261203614101</v>
      </c>
      <c r="C16" s="134">
        <f t="shared" ref="C16:C23" si="3">IFERROR(B16/$B$6,"")</f>
        <v>1.581955633043422E-2</v>
      </c>
      <c r="D16" s="232">
        <v>1.6945629260388E-2</v>
      </c>
      <c r="E16" s="134">
        <f t="shared" ref="E16:E23" si="4">IFERROR(C16-D16,"")</f>
        <v>-1.1260729299537794E-3</v>
      </c>
      <c r="G16" s="123" t="s">
        <v>233</v>
      </c>
      <c r="H16" s="216">
        <f>SUM('（４）訂單數量構成比'!O32:O38,'（４）訂單數量構成比'!Q32:Q38)</f>
        <v>36149</v>
      </c>
      <c r="I16" s="134">
        <f t="shared" si="1"/>
        <v>1.8323553742467621E-2</v>
      </c>
      <c r="J16" s="232">
        <v>1.9561346652224143E-2</v>
      </c>
      <c r="K16" s="134">
        <f t="shared" si="2"/>
        <v>-1.2377929097565216E-3</v>
      </c>
      <c r="L16" s="115"/>
    </row>
    <row r="17" spans="1:11" s="115" customFormat="1" ht="18" customHeight="1">
      <c r="A17" s="123" t="s">
        <v>200</v>
      </c>
      <c r="B17" s="216">
        <f>SUM('（３）業績構成比'!U35:U41)/1000</f>
        <v>6882.1572857315887</v>
      </c>
      <c r="C17" s="134">
        <f t="shared" si="3"/>
        <v>0.10437153545615194</v>
      </c>
      <c r="D17" s="232">
        <v>0.10918296583841773</v>
      </c>
      <c r="E17" s="134">
        <f t="shared" si="4"/>
        <v>-4.8114303822657939E-3</v>
      </c>
      <c r="G17" s="123" t="s">
        <v>215</v>
      </c>
      <c r="H17" s="216">
        <f>SUM('（４）訂單數量構成比'!U32:U38)</f>
        <v>206971</v>
      </c>
      <c r="I17" s="134">
        <f t="shared" si="1"/>
        <v>0.10491145651697878</v>
      </c>
      <c r="J17" s="232">
        <v>0.10957808088613835</v>
      </c>
      <c r="K17" s="134">
        <f t="shared" si="2"/>
        <v>-4.6666243691595721E-3</v>
      </c>
    </row>
    <row r="18" spans="1:11" s="115" customFormat="1" ht="18" customHeight="1">
      <c r="A18" s="123" t="s">
        <v>202</v>
      </c>
      <c r="B18" s="216">
        <f>SUM('（３）業績構成比'!W35:W41)/1000</f>
        <v>545.51529942412833</v>
      </c>
      <c r="C18" s="134">
        <f t="shared" si="3"/>
        <v>8.2730264729290182E-3</v>
      </c>
      <c r="D18" s="232">
        <v>1.0080432035947523E-2</v>
      </c>
      <c r="E18" s="134">
        <f t="shared" si="4"/>
        <v>-1.8074055630185049E-3</v>
      </c>
      <c r="G18" s="123" t="s">
        <v>201</v>
      </c>
      <c r="H18" s="216">
        <f>SUM('（４）訂單數量構成比'!W32:W38)</f>
        <v>15093</v>
      </c>
      <c r="I18" s="134">
        <f t="shared" si="1"/>
        <v>7.6504853975231345E-3</v>
      </c>
      <c r="J18" s="232">
        <v>9.3000149744614392E-3</v>
      </c>
      <c r="K18" s="134">
        <f t="shared" si="2"/>
        <v>-1.6495295769383047E-3</v>
      </c>
    </row>
    <row r="19" spans="1:11" s="115" customFormat="1" ht="18" customHeight="1">
      <c r="A19" s="123" t="s">
        <v>206</v>
      </c>
      <c r="B19" s="216">
        <f>SUM('（３）業績構成比'!Y35:Y41,'（３）業績構成比'!AA35:AA41)/1000</f>
        <v>12391.663184463239</v>
      </c>
      <c r="C19" s="134">
        <f t="shared" si="3"/>
        <v>0.18792609057327189</v>
      </c>
      <c r="D19" s="232">
        <v>0.19931274791571243</v>
      </c>
      <c r="E19" s="134">
        <f t="shared" si="4"/>
        <v>-1.1386657342440543E-2</v>
      </c>
      <c r="G19" s="123" t="s">
        <v>205</v>
      </c>
      <c r="H19" s="216">
        <f>SUM('（４）訂單數量構成比'!Y32:Y38,'（４）訂單數量構成比'!AA32:AA38)</f>
        <v>319011</v>
      </c>
      <c r="I19" s="134">
        <f t="shared" si="1"/>
        <v>0.16170337223542389</v>
      </c>
      <c r="J19" s="232">
        <v>0.1683009232793852</v>
      </c>
      <c r="K19" s="134">
        <f t="shared" si="2"/>
        <v>-6.5975510439613139E-3</v>
      </c>
    </row>
    <row r="20" spans="1:11" s="115" customFormat="1" ht="18" customHeight="1">
      <c r="A20" s="123" t="s">
        <v>208</v>
      </c>
      <c r="B20" s="216">
        <f>SUM('（３）業績構成比'!AE35:AE41)/1000</f>
        <v>10016.366760587167</v>
      </c>
      <c r="C20" s="134">
        <f t="shared" si="3"/>
        <v>0.15190347082910566</v>
      </c>
      <c r="D20" s="232">
        <v>0.16166280106281194</v>
      </c>
      <c r="E20" s="134">
        <f t="shared" si="4"/>
        <v>-9.759330233706287E-3</v>
      </c>
      <c r="G20" s="123" t="s">
        <v>207</v>
      </c>
      <c r="H20" s="216">
        <f>SUM('（４）訂單數量構成比'!AE32:AE38)</f>
        <v>176324</v>
      </c>
      <c r="I20" s="134">
        <f t="shared" si="1"/>
        <v>8.9376809596029227E-2</v>
      </c>
      <c r="J20" s="232">
        <v>9.474953846961004E-2</v>
      </c>
      <c r="K20" s="134">
        <f t="shared" si="2"/>
        <v>-5.3727288735808121E-3</v>
      </c>
    </row>
    <row r="21" spans="1:11" s="115" customFormat="1" ht="18" customHeight="1">
      <c r="A21" s="123" t="s">
        <v>210</v>
      </c>
      <c r="B21" s="216">
        <f>SUM('（３）業績構成比'!AG35:AG41)/1000</f>
        <v>7447.0868265214694</v>
      </c>
      <c r="C21" s="134">
        <f t="shared" si="3"/>
        <v>0.11293898911185705</v>
      </c>
      <c r="D21" s="232">
        <v>9.831451149133151E-2</v>
      </c>
      <c r="E21" s="134">
        <f t="shared" si="4"/>
        <v>1.4624477620525544E-2</v>
      </c>
      <c r="G21" s="123" t="s">
        <v>216</v>
      </c>
      <c r="H21" s="216">
        <f>SUM('（４）訂單數量構成比'!AG32:AG38)</f>
        <v>151474</v>
      </c>
      <c r="I21" s="134">
        <f t="shared" si="1"/>
        <v>7.6780601941590088E-2</v>
      </c>
      <c r="J21" s="232">
        <v>6.307800601383115E-2</v>
      </c>
      <c r="K21" s="134">
        <f t="shared" si="2"/>
        <v>1.3702595927758937E-2</v>
      </c>
    </row>
    <row r="22" spans="1:11" s="115" customFormat="1" ht="18" customHeight="1">
      <c r="A22" s="123" t="s">
        <v>211</v>
      </c>
      <c r="B22" s="216">
        <f>SUM('（３）業績構成比'!AI35:AI41)/1000</f>
        <v>10966.51357201678</v>
      </c>
      <c r="C22" s="134">
        <f t="shared" si="3"/>
        <v>0.16631294702972604</v>
      </c>
      <c r="D22" s="232">
        <v>0.1404660722704178</v>
      </c>
      <c r="E22" s="134">
        <f t="shared" si="4"/>
        <v>2.5846874759308247E-2</v>
      </c>
      <c r="G22" s="123" t="s">
        <v>217</v>
      </c>
      <c r="H22" s="216">
        <f>SUM('（４）訂單數量構成比'!AI32:AI38)</f>
        <v>298148</v>
      </c>
      <c r="I22" s="134">
        <f t="shared" si="1"/>
        <v>0.15112813359177946</v>
      </c>
      <c r="J22" s="232">
        <v>0.12616147715957421</v>
      </c>
      <c r="K22" s="134">
        <f t="shared" si="2"/>
        <v>2.4966656432205248E-2</v>
      </c>
    </row>
    <row r="23" spans="1:11" s="115" customFormat="1" ht="18" customHeight="1">
      <c r="A23" s="123" t="s">
        <v>213</v>
      </c>
      <c r="B23" s="216">
        <f>SUM('（３）業績構成比'!AK35:AK41)/1000</f>
        <v>5258.1236366916773</v>
      </c>
      <c r="C23" s="134">
        <f t="shared" si="3"/>
        <v>7.9742210878788064E-2</v>
      </c>
      <c r="D23" s="232">
        <v>8.2414902114752997E-2</v>
      </c>
      <c r="E23" s="134">
        <f t="shared" si="4"/>
        <v>-2.672691235964933E-3</v>
      </c>
      <c r="G23" s="123" t="s">
        <v>212</v>
      </c>
      <c r="H23" s="216">
        <f>SUM('（４）訂單數量構成比'!AK32:AK38)</f>
        <v>179509</v>
      </c>
      <c r="I23" s="134">
        <f t="shared" si="1"/>
        <v>9.0991253112302412E-2</v>
      </c>
      <c r="J23" s="232">
        <v>9.4069676059771054E-2</v>
      </c>
      <c r="K23" s="134">
        <f t="shared" si="2"/>
        <v>-3.0784229474686425E-3</v>
      </c>
    </row>
    <row r="24" spans="1:11" s="115" customFormat="1" ht="15.75" customHeight="1">
      <c r="C24" s="128">
        <f>SUM(C15:C23)</f>
        <v>1</v>
      </c>
      <c r="D24" s="128">
        <f>SUM(D15:D23)</f>
        <v>1</v>
      </c>
      <c r="I24" s="128">
        <f>SUM(I15:I23)</f>
        <v>0.99999999999999989</v>
      </c>
      <c r="J24" s="128">
        <f>SUM(J15:J23)</f>
        <v>1</v>
      </c>
    </row>
    <row r="25" spans="1:11" s="115" customFormat="1" ht="9.6" customHeight="1">
      <c r="A25" s="129"/>
    </row>
    <row r="26" spans="1:11" s="115" customFormat="1" ht="15.75" customHeight="1">
      <c r="A26" s="126" t="s">
        <v>458</v>
      </c>
    </row>
    <row r="27" spans="1:11" s="115" customFormat="1" ht="15.75" customHeight="1">
      <c r="A27" s="123" t="s">
        <v>168</v>
      </c>
      <c r="B27" s="196" t="s">
        <v>310</v>
      </c>
      <c r="C27" s="196" t="s">
        <v>312</v>
      </c>
      <c r="D27" s="123" t="s">
        <v>2</v>
      </c>
      <c r="E27" s="123" t="s">
        <v>370</v>
      </c>
    </row>
    <row r="28" spans="1:11" s="115" customFormat="1" ht="18" customHeight="1">
      <c r="A28" s="123" t="s">
        <v>317</v>
      </c>
      <c r="B28" s="220">
        <f>'（５-1）品群別人時生產性（18℃-飯糰）'!L147</f>
        <v>839.83389252746474</v>
      </c>
      <c r="C28" s="235">
        <v>803.62057416112805</v>
      </c>
      <c r="D28" s="221">
        <f t="shared" ref="D28:D36" si="5">B28-C28</f>
        <v>36.213318366336694</v>
      </c>
      <c r="E28" s="124">
        <f>'（５-1）品群別人時生產性（18℃-飯糰）'!C1</f>
        <v>802.16305005754816</v>
      </c>
      <c r="G28" s="138"/>
      <c r="H28" s="138"/>
      <c r="I28" s="138"/>
      <c r="J28" s="138"/>
    </row>
    <row r="29" spans="1:11" s="115" customFormat="1" ht="18" customHeight="1">
      <c r="A29" s="123" t="s">
        <v>203</v>
      </c>
      <c r="B29" s="220">
        <f>'（５-2）品群別人時生產性（18-壽司手卷)'!L87</f>
        <v>151.08659907552763</v>
      </c>
      <c r="C29" s="235">
        <v>147.24354418690555</v>
      </c>
      <c r="D29" s="221">
        <f t="shared" si="5"/>
        <v>3.8430548886220777</v>
      </c>
      <c r="E29" s="124">
        <f>'（５-2）品群別人時生產性（18-壽司手卷)'!C1</f>
        <v>166.56349963275667</v>
      </c>
      <c r="G29" s="139"/>
      <c r="H29" s="139"/>
      <c r="I29" s="140"/>
      <c r="J29" s="1"/>
    </row>
    <row r="30" spans="1:11" s="115" customFormat="1" ht="18" customHeight="1">
      <c r="A30" s="123" t="s">
        <v>215</v>
      </c>
      <c r="B30" s="220">
        <f>'（５-3）品群別人時生產性（4℃-飯糰)'!L87</f>
        <v>231.90977469766676</v>
      </c>
      <c r="C30" s="235">
        <v>232.11227224812541</v>
      </c>
      <c r="D30" s="221">
        <f t="shared" si="5"/>
        <v>-0.20249755045864504</v>
      </c>
      <c r="E30" s="124">
        <f>'（５-3）品群別人時生產性（4℃-飯糰)'!C1</f>
        <v>236.27201225575021</v>
      </c>
    </row>
    <row r="31" spans="1:11" s="115" customFormat="1" ht="18" customHeight="1">
      <c r="A31" s="123" t="s">
        <v>201</v>
      </c>
      <c r="B31" s="220">
        <f>'（５-4）品群別人時生產性（4℃-壽司手卷)'!L87</f>
        <v>117.71034259857785</v>
      </c>
      <c r="C31" s="235">
        <v>116.15358337314856</v>
      </c>
      <c r="D31" s="221">
        <f t="shared" si="5"/>
        <v>1.556759225429289</v>
      </c>
      <c r="E31" s="124">
        <f>'（５-4）品群別人時生產性（4℃-壽司手卷)'!C1</f>
        <v>102.50970556821407</v>
      </c>
    </row>
    <row r="32" spans="1:11" s="115" customFormat="1" ht="18" customHeight="1">
      <c r="A32" s="123" t="s">
        <v>205</v>
      </c>
      <c r="B32" s="220">
        <f>'（５-5）品群別人時生產性(主食) '!L147</f>
        <v>89.243376399784552</v>
      </c>
      <c r="C32" s="235">
        <v>90.211004878582841</v>
      </c>
      <c r="D32" s="221">
        <f t="shared" si="5"/>
        <v>-0.96762847879828939</v>
      </c>
      <c r="E32" s="124">
        <f>'（５-5）品群別人時生產性(主食) '!C1</f>
        <v>88.002950992743735</v>
      </c>
    </row>
    <row r="33" spans="1:5" s="115" customFormat="1" ht="18" customHeight="1">
      <c r="A33" s="123" t="s">
        <v>207</v>
      </c>
      <c r="B33" s="220">
        <f>'（５-6）品群別人時生產性(便當)'!L87</f>
        <v>72.468349889814732</v>
      </c>
      <c r="C33" s="235">
        <v>72.518554728044791</v>
      </c>
      <c r="D33" s="221">
        <f t="shared" si="5"/>
        <v>-5.0204838230058613E-2</v>
      </c>
      <c r="E33" s="124">
        <f>'（５-6）品群別人時生產性(便當)'!C1</f>
        <v>72.830724924037057</v>
      </c>
    </row>
    <row r="34" spans="1:5" s="115" customFormat="1" ht="18" customHeight="1">
      <c r="A34" s="123" t="s">
        <v>216</v>
      </c>
      <c r="B34" s="220">
        <f>'（５-7）品群別人時生產性(熱食義麵) '!L87</f>
        <v>85.520419309778418</v>
      </c>
      <c r="C34" s="235">
        <v>87.162355592295171</v>
      </c>
      <c r="D34" s="221">
        <f t="shared" si="5"/>
        <v>-1.6419362825167525</v>
      </c>
      <c r="E34" s="124">
        <f>'（５-7）品群別人時生產性(熱食義麵) '!C1</f>
        <v>85.811320900999178</v>
      </c>
    </row>
    <row r="35" spans="1:5" s="115" customFormat="1" ht="18" customHeight="1">
      <c r="A35" s="123" t="s">
        <v>217</v>
      </c>
      <c r="B35" s="220">
        <f>'（５-8）品群別人時生產性(季節調理麵) '!L87</f>
        <v>129.9474276931152</v>
      </c>
      <c r="C35" s="235">
        <v>132.61485441196803</v>
      </c>
      <c r="D35" s="221">
        <f t="shared" si="5"/>
        <v>-2.6674267188528233</v>
      </c>
      <c r="E35" s="124">
        <f>'（５-8）品群別人時生產性(季節調理麵) '!C1</f>
        <v>130.93130587907257</v>
      </c>
    </row>
    <row r="36" spans="1:5" s="115" customFormat="1" ht="18" customHeight="1">
      <c r="A36" s="119" t="s">
        <v>212</v>
      </c>
      <c r="B36" s="220">
        <f>'（５-9）品群別人時生產性(微波小吃)'!L87</f>
        <v>143.41592809295065</v>
      </c>
      <c r="C36" s="235">
        <v>153.91805033268773</v>
      </c>
      <c r="D36" s="221">
        <f t="shared" si="5"/>
        <v>-10.502122239737076</v>
      </c>
      <c r="E36" s="124">
        <f>'（５-9）品群別人時生產性(微波小吃)'!C1</f>
        <v>161.91154317883633</v>
      </c>
    </row>
    <row r="37" spans="1:5" s="115" customFormat="1" ht="15.75" customHeight="1">
      <c r="D37" s="266"/>
    </row>
    <row r="38" spans="1:5" s="115" customFormat="1" ht="15.75" customHeight="1"/>
  </sheetData>
  <mergeCells count="2">
    <mergeCell ref="A1:K2"/>
    <mergeCell ref="F3:G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I53" sqref="I53"/>
    </sheetView>
  </sheetViews>
  <sheetFormatPr defaultColWidth="8.85546875" defaultRowHeight="14.25"/>
  <cols>
    <col min="1" max="1" width="10.42578125" style="75" bestFit="1" customWidth="1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19.5703125" style="83" customWidth="1"/>
    <col min="9" max="13" width="19.5703125" style="84" customWidth="1"/>
    <col min="14" max="14" width="19.5703125" style="85" customWidth="1"/>
    <col min="15" max="17" width="19.5703125" style="86" customWidth="1"/>
    <col min="18" max="20" width="19.5703125" style="85" customWidth="1"/>
    <col min="21" max="21" width="19.5703125" style="86" customWidth="1"/>
    <col min="22" max="23" width="19.5703125" style="75" customWidth="1"/>
    <col min="24" max="16384" width="8.85546875" style="75"/>
  </cols>
  <sheetData>
    <row r="2" spans="1:23" ht="38.1" customHeight="1">
      <c r="B2" s="462" t="s">
        <v>121</v>
      </c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</row>
    <row r="3" spans="1:23" s="78" customFormat="1" ht="23.45" customHeight="1">
      <c r="B3" s="79"/>
      <c r="C3" s="466" t="s">
        <v>116</v>
      </c>
      <c r="D3" s="467" t="s">
        <v>105</v>
      </c>
      <c r="E3" s="467"/>
      <c r="F3" s="465" t="s">
        <v>337</v>
      </c>
      <c r="G3" s="465"/>
      <c r="H3" s="465"/>
      <c r="I3" s="463" t="s">
        <v>119</v>
      </c>
      <c r="J3" s="463"/>
      <c r="K3" s="463"/>
      <c r="L3" s="464" t="s">
        <v>120</v>
      </c>
      <c r="M3" s="464"/>
      <c r="N3" s="464"/>
      <c r="O3" s="461" t="s">
        <v>122</v>
      </c>
      <c r="P3" s="461"/>
      <c r="Q3" s="461"/>
      <c r="R3" s="468" t="s">
        <v>123</v>
      </c>
      <c r="S3" s="468"/>
      <c r="T3" s="468"/>
      <c r="U3" s="461" t="s">
        <v>124</v>
      </c>
      <c r="V3" s="461"/>
      <c r="W3" s="461"/>
    </row>
    <row r="4" spans="1:23" s="78" customFormat="1" ht="23.45" customHeight="1">
      <c r="A4" s="79"/>
      <c r="B4" s="79"/>
      <c r="C4" s="466"/>
      <c r="D4" s="467"/>
      <c r="E4" s="467"/>
      <c r="F4" s="76" t="s">
        <v>115</v>
      </c>
      <c r="G4" s="76" t="s">
        <v>117</v>
      </c>
      <c r="H4" s="76" t="s">
        <v>118</v>
      </c>
      <c r="I4" s="88" t="s">
        <v>115</v>
      </c>
      <c r="J4" s="88" t="s">
        <v>117</v>
      </c>
      <c r="K4" s="88" t="s">
        <v>118</v>
      </c>
      <c r="L4" s="87" t="s">
        <v>115</v>
      </c>
      <c r="M4" s="87" t="s">
        <v>117</v>
      </c>
      <c r="N4" s="87" t="s">
        <v>118</v>
      </c>
      <c r="O4" s="81" t="s">
        <v>115</v>
      </c>
      <c r="P4" s="81" t="s">
        <v>117</v>
      </c>
      <c r="Q4" s="270" t="s">
        <v>466</v>
      </c>
      <c r="R4" s="81" t="s">
        <v>115</v>
      </c>
      <c r="S4" s="81" t="s">
        <v>117</v>
      </c>
      <c r="T4" s="81" t="s">
        <v>118</v>
      </c>
      <c r="U4" s="81" t="s">
        <v>115</v>
      </c>
      <c r="V4" s="81" t="s">
        <v>117</v>
      </c>
      <c r="W4" s="270" t="s">
        <v>466</v>
      </c>
    </row>
    <row r="5" spans="1:23">
      <c r="A5" s="79"/>
      <c r="B5" s="79"/>
      <c r="C5" s="79"/>
      <c r="D5" s="269">
        <v>46140</v>
      </c>
      <c r="E5" s="269" t="s">
        <v>460</v>
      </c>
      <c r="F5" s="207">
        <v>10402035</v>
      </c>
      <c r="H5" s="281"/>
      <c r="I5" s="208">
        <v>301935</v>
      </c>
      <c r="K5" s="282"/>
      <c r="L5" s="207">
        <v>6999163</v>
      </c>
      <c r="M5" s="267"/>
      <c r="N5" s="281"/>
      <c r="O5" s="86">
        <f t="shared" ref="O5:O39" si="0">L5/F5</f>
        <v>0.67286478078568279</v>
      </c>
      <c r="P5" s="268"/>
      <c r="Q5" s="280"/>
      <c r="R5" s="207">
        <v>1211941.2052291639</v>
      </c>
      <c r="S5" s="267"/>
      <c r="T5" s="281"/>
      <c r="U5" s="86">
        <f t="shared" ref="U5:U41" si="1">R5/F5</f>
        <v>0.11651001032289969</v>
      </c>
      <c r="V5" s="268"/>
      <c r="W5" s="280"/>
    </row>
    <row r="6" spans="1:23">
      <c r="A6" s="79"/>
      <c r="B6" s="79"/>
      <c r="C6" s="79"/>
      <c r="D6" s="269">
        <f t="shared" ref="D6:D7" si="2">D5+1</f>
        <v>46141</v>
      </c>
      <c r="E6" s="269" t="s">
        <v>461</v>
      </c>
      <c r="F6" s="207">
        <v>9121131</v>
      </c>
      <c r="G6" s="267">
        <f>SUM(F5:F11)</f>
        <v>61819588</v>
      </c>
      <c r="H6" s="281"/>
      <c r="I6" s="208">
        <v>269684</v>
      </c>
      <c r="J6" s="84">
        <f>SUM(I5:I11)</f>
        <v>1823149</v>
      </c>
      <c r="K6" s="282"/>
      <c r="L6" s="207">
        <v>6223418</v>
      </c>
      <c r="M6" s="267">
        <f>SUM(L5:L11)</f>
        <v>41241747</v>
      </c>
      <c r="N6" s="281"/>
      <c r="O6" s="86">
        <f t="shared" si="0"/>
        <v>0.68230770942770147</v>
      </c>
      <c r="P6" s="86">
        <f>M6/G6</f>
        <v>0.66713073209093532</v>
      </c>
      <c r="Q6" s="280"/>
      <c r="R6" s="207">
        <v>1160533.0978541642</v>
      </c>
      <c r="S6" s="267">
        <f>SUM(R5:R11)</f>
        <v>7669858.918677073</v>
      </c>
      <c r="T6" s="281"/>
      <c r="U6" s="86">
        <f t="shared" si="1"/>
        <v>0.12723565727256458</v>
      </c>
      <c r="V6" s="86">
        <f>S6/G6</f>
        <v>0.12406842502213171</v>
      </c>
      <c r="W6" s="280"/>
    </row>
    <row r="7" spans="1:23" ht="16.5" customHeight="1">
      <c r="A7" s="79"/>
      <c r="B7" s="79"/>
      <c r="C7" s="79"/>
      <c r="D7" s="269">
        <f t="shared" si="2"/>
        <v>46142</v>
      </c>
      <c r="E7" s="269" t="s">
        <v>462</v>
      </c>
      <c r="F7" s="207">
        <v>7565915</v>
      </c>
      <c r="I7" s="208">
        <v>227306</v>
      </c>
      <c r="L7" s="207">
        <v>5412196</v>
      </c>
      <c r="M7" s="83"/>
      <c r="N7" s="83"/>
      <c r="O7" s="86">
        <f t="shared" si="0"/>
        <v>0.71533925506696816</v>
      </c>
      <c r="R7" s="207">
        <v>1104431.9446597199</v>
      </c>
      <c r="S7" s="83"/>
      <c r="T7" s="83"/>
      <c r="U7" s="86">
        <f t="shared" si="1"/>
        <v>0.14597466990571795</v>
      </c>
      <c r="V7" s="86"/>
    </row>
    <row r="8" spans="1:23" ht="16.5" customHeight="1">
      <c r="A8" s="79"/>
      <c r="B8" s="79"/>
      <c r="C8" s="79"/>
      <c r="D8" s="269">
        <f>D7+1</f>
        <v>46143</v>
      </c>
      <c r="E8" s="269" t="s">
        <v>463</v>
      </c>
      <c r="F8" s="207">
        <v>7354476</v>
      </c>
      <c r="G8" s="267"/>
      <c r="H8" s="281"/>
      <c r="I8" s="208">
        <v>219331</v>
      </c>
      <c r="K8" s="282"/>
      <c r="L8" s="207">
        <v>4926131</v>
      </c>
      <c r="M8" s="267"/>
      <c r="N8" s="281"/>
      <c r="O8" s="86">
        <f t="shared" si="0"/>
        <v>0.6698140017045402</v>
      </c>
      <c r="P8" s="268"/>
      <c r="Q8" s="280"/>
      <c r="R8" s="207">
        <v>1028235.8679539926</v>
      </c>
      <c r="S8" s="267"/>
      <c r="T8" s="281"/>
      <c r="U8" s="86">
        <f t="shared" si="1"/>
        <v>0.13981089447487388</v>
      </c>
      <c r="V8" s="268"/>
      <c r="W8" s="280"/>
    </row>
    <row r="9" spans="1:23" ht="16.5" customHeight="1">
      <c r="A9" s="79"/>
      <c r="B9" s="79"/>
      <c r="C9" s="79"/>
      <c r="D9" s="269">
        <f t="shared" ref="D9:D11" si="3">D8+1</f>
        <v>46144</v>
      </c>
      <c r="E9" s="269" t="s">
        <v>464</v>
      </c>
      <c r="F9" s="207">
        <v>7703936</v>
      </c>
      <c r="G9" s="267"/>
      <c r="H9" s="281"/>
      <c r="I9" s="208">
        <v>229419</v>
      </c>
      <c r="K9" s="282"/>
      <c r="L9" s="207">
        <v>4971375</v>
      </c>
      <c r="M9" s="267"/>
      <c r="N9" s="281"/>
      <c r="O9" s="86">
        <f t="shared" si="0"/>
        <v>0.64530325797099042</v>
      </c>
      <c r="P9" s="268"/>
      <c r="Q9" s="280"/>
      <c r="R9" s="207">
        <v>1028382.8998498255</v>
      </c>
      <c r="S9" s="267"/>
      <c r="T9" s="281"/>
      <c r="U9" s="86">
        <f t="shared" si="1"/>
        <v>0.13348798586200944</v>
      </c>
      <c r="V9" s="268"/>
      <c r="W9" s="280"/>
    </row>
    <row r="10" spans="1:23" ht="16.5" customHeight="1">
      <c r="A10" s="79"/>
      <c r="B10" s="79"/>
      <c r="C10" s="79"/>
      <c r="D10" s="269">
        <f t="shared" si="3"/>
        <v>46145</v>
      </c>
      <c r="E10" s="269" t="s">
        <v>465</v>
      </c>
      <c r="F10" s="207">
        <v>10123968</v>
      </c>
      <c r="H10" s="281">
        <f>SUM(F8:F38)</f>
        <v>279180384</v>
      </c>
      <c r="I10" s="208">
        <v>295799</v>
      </c>
      <c r="K10" s="282">
        <f>SUM(I8:I38)</f>
        <v>8276948</v>
      </c>
      <c r="L10" s="207">
        <v>6389761</v>
      </c>
      <c r="M10" s="83"/>
      <c r="N10" s="281">
        <f>SUM(L8:L38)</f>
        <v>183449297</v>
      </c>
      <c r="O10" s="86">
        <f t="shared" si="0"/>
        <v>0.63115183690821619</v>
      </c>
      <c r="P10" s="268"/>
      <c r="Q10" s="280">
        <f>N10/H10</f>
        <v>0.65709952243636138</v>
      </c>
      <c r="R10" s="207">
        <v>1106885.9236241314</v>
      </c>
      <c r="S10" s="83"/>
      <c r="T10" s="281">
        <f>SUM(R8:R38)</f>
        <v>33544634.317976546</v>
      </c>
      <c r="U10" s="86">
        <f t="shared" si="1"/>
        <v>0.10933321041948486</v>
      </c>
      <c r="V10" s="268"/>
      <c r="W10" s="280">
        <f>T10/H10</f>
        <v>0.12015398015204587</v>
      </c>
    </row>
    <row r="11" spans="1:23" ht="16.5" customHeight="1">
      <c r="A11" s="79"/>
      <c r="B11" s="79"/>
      <c r="C11" s="79"/>
      <c r="D11" s="269">
        <f t="shared" si="3"/>
        <v>46146</v>
      </c>
      <c r="E11" s="269" t="s">
        <v>459</v>
      </c>
      <c r="F11" s="207">
        <v>9548127</v>
      </c>
      <c r="G11" s="267"/>
      <c r="H11" s="281"/>
      <c r="I11" s="208">
        <v>279675</v>
      </c>
      <c r="K11" s="282"/>
      <c r="L11" s="207">
        <v>6319703</v>
      </c>
      <c r="M11" s="267"/>
      <c r="N11" s="281"/>
      <c r="O11" s="86">
        <f t="shared" si="0"/>
        <v>0.66187881665168469</v>
      </c>
      <c r="Q11" s="280"/>
      <c r="R11" s="207">
        <v>1029447.9795060755</v>
      </c>
      <c r="S11" s="267"/>
      <c r="T11" s="281"/>
      <c r="U11" s="86">
        <f t="shared" si="1"/>
        <v>0.10781674557806735</v>
      </c>
      <c r="V11" s="86"/>
      <c r="W11" s="280"/>
    </row>
    <row r="12" spans="1:23" ht="16.5" customHeight="1">
      <c r="A12" s="79"/>
      <c r="B12" s="79"/>
      <c r="C12" s="79"/>
      <c r="D12" s="315">
        <f t="shared" ref="D12:D34" si="4">D11+1</f>
        <v>46147</v>
      </c>
      <c r="E12" s="315" t="s">
        <v>460</v>
      </c>
      <c r="F12" s="207">
        <v>9809562</v>
      </c>
      <c r="G12" s="267">
        <f>SUM(F12:F18)</f>
        <v>62847274</v>
      </c>
      <c r="H12" s="281"/>
      <c r="I12" s="208">
        <v>282734</v>
      </c>
      <c r="J12" s="84">
        <f>SUM(I12:I18)</f>
        <v>1843252</v>
      </c>
      <c r="K12" s="282"/>
      <c r="L12" s="207">
        <v>6178189</v>
      </c>
      <c r="M12" s="267">
        <f>SUM(L12:L18)</f>
        <v>41171699</v>
      </c>
      <c r="N12" s="281"/>
      <c r="O12" s="86">
        <f t="shared" si="0"/>
        <v>0.62981293150499484</v>
      </c>
      <c r="P12" s="86">
        <f>M12/G12</f>
        <v>0.65510715707414768</v>
      </c>
      <c r="Q12" s="280"/>
      <c r="R12" s="209">
        <v>1064975.5441831592</v>
      </c>
      <c r="S12" s="267">
        <f>SUM(R12:R18)</f>
        <v>7541472.9613897521</v>
      </c>
      <c r="T12" s="281"/>
      <c r="U12" s="86">
        <f t="shared" si="1"/>
        <v>0.10856504543048499</v>
      </c>
      <c r="V12" s="86">
        <f>S12/G12</f>
        <v>0.11999681897722012</v>
      </c>
      <c r="W12" s="280"/>
    </row>
    <row r="13" spans="1:23" ht="16.5" customHeight="1">
      <c r="A13" s="79"/>
      <c r="B13" s="79"/>
      <c r="C13" s="79"/>
      <c r="D13" s="315">
        <f t="shared" si="4"/>
        <v>46148</v>
      </c>
      <c r="E13" s="315" t="s">
        <v>461</v>
      </c>
      <c r="F13" s="207">
        <v>9009158</v>
      </c>
      <c r="H13" s="281"/>
      <c r="I13" s="208">
        <v>266574</v>
      </c>
      <c r="K13" s="282"/>
      <c r="L13" s="207">
        <v>5931042</v>
      </c>
      <c r="M13" s="83"/>
      <c r="N13" s="281"/>
      <c r="O13" s="86">
        <f t="shared" si="0"/>
        <v>0.65833477445949995</v>
      </c>
      <c r="P13" s="268"/>
      <c r="Q13" s="280"/>
      <c r="R13" s="207">
        <v>1067844.140089409</v>
      </c>
      <c r="S13" s="83"/>
      <c r="T13" s="281"/>
      <c r="U13" s="86">
        <f t="shared" si="1"/>
        <v>0.11852873932163349</v>
      </c>
      <c r="V13" s="268"/>
      <c r="W13" s="280"/>
    </row>
    <row r="14" spans="1:23" ht="16.5" customHeight="1">
      <c r="A14" s="79"/>
      <c r="B14" s="79"/>
      <c r="C14" s="79"/>
      <c r="D14" s="315">
        <f t="shared" si="4"/>
        <v>46149</v>
      </c>
      <c r="E14" s="315" t="s">
        <v>462</v>
      </c>
      <c r="F14" s="207">
        <v>8524326</v>
      </c>
      <c r="G14" s="267"/>
      <c r="H14" s="281"/>
      <c r="I14" s="208">
        <v>252974</v>
      </c>
      <c r="K14" s="282"/>
      <c r="L14" s="207">
        <v>5739832</v>
      </c>
      <c r="M14" s="267"/>
      <c r="N14" s="281"/>
      <c r="O14" s="86">
        <f t="shared" si="0"/>
        <v>0.67334731215113075</v>
      </c>
      <c r="P14" s="268"/>
      <c r="Q14" s="280"/>
      <c r="R14" s="207">
        <v>1082687.0153463539</v>
      </c>
      <c r="S14" s="267"/>
      <c r="T14" s="281"/>
      <c r="U14" s="86">
        <f t="shared" si="1"/>
        <v>0.12701145115125276</v>
      </c>
      <c r="V14" s="268"/>
      <c r="W14" s="280"/>
    </row>
    <row r="15" spans="1:23" ht="16.5" customHeight="1">
      <c r="A15" s="79"/>
      <c r="B15" s="79"/>
      <c r="C15" s="79"/>
      <c r="D15" s="315">
        <f t="shared" si="4"/>
        <v>46150</v>
      </c>
      <c r="E15" s="315" t="s">
        <v>463</v>
      </c>
      <c r="F15" s="207">
        <v>7943685</v>
      </c>
      <c r="G15" s="267"/>
      <c r="H15" s="281"/>
      <c r="I15" s="208">
        <v>235549</v>
      </c>
      <c r="K15" s="282"/>
      <c r="L15" s="207">
        <v>5319972</v>
      </c>
      <c r="M15" s="267"/>
      <c r="N15" s="281"/>
      <c r="O15" s="86">
        <f t="shared" si="0"/>
        <v>0.66971084578504814</v>
      </c>
      <c r="Q15" s="280"/>
      <c r="R15" s="207">
        <v>1062334.2245824644</v>
      </c>
      <c r="S15" s="267"/>
      <c r="T15" s="281"/>
      <c r="U15" s="86">
        <f t="shared" si="1"/>
        <v>0.13373317604895768</v>
      </c>
      <c r="V15" s="86"/>
      <c r="W15" s="280"/>
    </row>
    <row r="16" spans="1:23" ht="16.5" customHeight="1">
      <c r="A16" s="79"/>
      <c r="B16" s="79"/>
      <c r="C16" s="79"/>
      <c r="D16" s="315">
        <f t="shared" si="4"/>
        <v>46151</v>
      </c>
      <c r="E16" s="315" t="s">
        <v>464</v>
      </c>
      <c r="F16" s="207">
        <v>8070561</v>
      </c>
      <c r="G16" s="267"/>
      <c r="H16" s="281"/>
      <c r="I16" s="208">
        <v>240874</v>
      </c>
      <c r="K16" s="282"/>
      <c r="L16" s="207">
        <v>5360905</v>
      </c>
      <c r="M16" s="267"/>
      <c r="N16" s="281"/>
      <c r="O16" s="86">
        <f t="shared" si="0"/>
        <v>0.66425431887572628</v>
      </c>
      <c r="P16" s="268"/>
      <c r="Q16" s="280"/>
      <c r="R16" s="207">
        <v>1053111.12623177</v>
      </c>
      <c r="S16" s="267"/>
      <c r="T16" s="281"/>
      <c r="U16" s="86">
        <f t="shared" si="1"/>
        <v>0.13048797056756897</v>
      </c>
      <c r="V16" s="268"/>
      <c r="W16" s="280"/>
    </row>
    <row r="17" spans="1:23" ht="16.5" customHeight="1">
      <c r="A17" s="79"/>
      <c r="B17" s="79"/>
      <c r="C17" s="79"/>
      <c r="D17" s="315">
        <f t="shared" si="4"/>
        <v>46152</v>
      </c>
      <c r="E17" s="315" t="s">
        <v>465</v>
      </c>
      <c r="F17" s="207">
        <v>9698095</v>
      </c>
      <c r="H17" s="281"/>
      <c r="I17" s="208">
        <v>285334</v>
      </c>
      <c r="K17" s="282"/>
      <c r="L17" s="207">
        <v>6249118</v>
      </c>
      <c r="M17" s="83"/>
      <c r="N17" s="281"/>
      <c r="O17" s="86">
        <f t="shared" si="0"/>
        <v>0.64436551714537749</v>
      </c>
      <c r="P17" s="268"/>
      <c r="Q17" s="280"/>
      <c r="R17" s="207">
        <v>1088791.8914435757</v>
      </c>
      <c r="S17" s="83"/>
      <c r="T17" s="281"/>
      <c r="U17" s="86">
        <f t="shared" si="1"/>
        <v>0.11226863538082228</v>
      </c>
      <c r="V17" s="268"/>
      <c r="W17" s="280"/>
    </row>
    <row r="18" spans="1:23" ht="16.5" customHeight="1">
      <c r="A18" s="79"/>
      <c r="B18" s="79"/>
      <c r="C18" s="79"/>
      <c r="D18" s="315">
        <f t="shared" si="4"/>
        <v>46153</v>
      </c>
      <c r="E18" s="315" t="s">
        <v>459</v>
      </c>
      <c r="F18" s="207">
        <v>9791887</v>
      </c>
      <c r="G18" s="267"/>
      <c r="H18" s="281"/>
      <c r="I18" s="208">
        <v>279213</v>
      </c>
      <c r="K18" s="282"/>
      <c r="L18" s="207">
        <v>6392641</v>
      </c>
      <c r="M18" s="267"/>
      <c r="N18" s="281"/>
      <c r="O18" s="86">
        <f t="shared" si="0"/>
        <v>0.65285077329834384</v>
      </c>
      <c r="P18" s="268"/>
      <c r="Q18" s="280"/>
      <c r="R18" s="207">
        <v>1121729.0195130203</v>
      </c>
      <c r="S18" s="267"/>
      <c r="T18" s="281"/>
      <c r="U18" s="86">
        <f t="shared" si="1"/>
        <v>0.1145569816638019</v>
      </c>
      <c r="V18" s="268"/>
      <c r="W18" s="280"/>
    </row>
    <row r="19" spans="1:23" ht="16.5" customHeight="1">
      <c r="A19" s="79"/>
      <c r="B19" s="79"/>
      <c r="C19" s="79"/>
      <c r="D19" s="269">
        <f t="shared" si="4"/>
        <v>46154</v>
      </c>
      <c r="E19" s="269" t="s">
        <v>460</v>
      </c>
      <c r="F19" s="207">
        <v>10338215</v>
      </c>
      <c r="G19" s="267">
        <f>SUM(F19:F25)</f>
        <v>63943796</v>
      </c>
      <c r="H19" s="281"/>
      <c r="I19" s="208">
        <v>303421</v>
      </c>
      <c r="J19" s="84">
        <f>SUM(I19:I25)</f>
        <v>1900260</v>
      </c>
      <c r="K19" s="282"/>
      <c r="L19" s="207">
        <v>6258161</v>
      </c>
      <c r="M19" s="267">
        <f>SUM(L19:L25)</f>
        <v>41365626</v>
      </c>
      <c r="N19" s="281"/>
      <c r="O19" s="86">
        <f t="shared" si="0"/>
        <v>0.60534250835371484</v>
      </c>
      <c r="P19" s="86">
        <f>M19/G19</f>
        <v>0.64690601102255485</v>
      </c>
      <c r="Q19" s="280"/>
      <c r="R19" s="207">
        <v>1113373.0545303815</v>
      </c>
      <c r="S19" s="267">
        <f>SUM(R19:R25)</f>
        <v>7634069.7606987804</v>
      </c>
      <c r="T19" s="281"/>
      <c r="U19" s="86">
        <f t="shared" si="1"/>
        <v>0.10769490231441128</v>
      </c>
      <c r="V19" s="86">
        <f>S19/G19</f>
        <v>0.11938718434386943</v>
      </c>
      <c r="W19" s="280"/>
    </row>
    <row r="20" spans="1:23" ht="16.5" customHeight="1">
      <c r="A20" s="79"/>
      <c r="B20" s="79"/>
      <c r="C20" s="79"/>
      <c r="D20" s="269">
        <f t="shared" si="4"/>
        <v>46155</v>
      </c>
      <c r="E20" s="269" t="s">
        <v>461</v>
      </c>
      <c r="F20" s="207">
        <v>9489109</v>
      </c>
      <c r="G20" s="267"/>
      <c r="H20" s="281"/>
      <c r="I20" s="208">
        <v>283533</v>
      </c>
      <c r="K20" s="282"/>
      <c r="L20" s="207">
        <v>6169365</v>
      </c>
      <c r="M20" s="267"/>
      <c r="N20" s="281"/>
      <c r="O20" s="86">
        <f t="shared" si="0"/>
        <v>0.65015219026359583</v>
      </c>
      <c r="P20" s="268"/>
      <c r="Q20" s="280"/>
      <c r="R20" s="207">
        <v>1118888.0082039922</v>
      </c>
      <c r="S20" s="267"/>
      <c r="T20" s="281"/>
      <c r="U20" s="86">
        <f t="shared" si="1"/>
        <v>0.11791286286246602</v>
      </c>
      <c r="V20" s="268"/>
      <c r="W20" s="280"/>
    </row>
    <row r="21" spans="1:23" ht="16.5" customHeight="1">
      <c r="A21" s="79"/>
      <c r="B21" s="79"/>
      <c r="C21" s="79"/>
      <c r="D21" s="269">
        <f t="shared" si="4"/>
        <v>46156</v>
      </c>
      <c r="E21" s="269" t="s">
        <v>462</v>
      </c>
      <c r="F21" s="207">
        <v>8697323</v>
      </c>
      <c r="H21" s="281"/>
      <c r="I21" s="208">
        <v>262582</v>
      </c>
      <c r="K21" s="282"/>
      <c r="L21" s="207">
        <v>5802506</v>
      </c>
      <c r="M21" s="83"/>
      <c r="N21" s="281"/>
      <c r="O21" s="86">
        <f t="shared" si="0"/>
        <v>0.66715999854208008</v>
      </c>
      <c r="P21" s="268"/>
      <c r="Q21" s="280"/>
      <c r="R21" s="207">
        <v>1072051.0918324648</v>
      </c>
      <c r="S21" s="83"/>
      <c r="T21" s="281"/>
      <c r="U21" s="86">
        <f t="shared" si="1"/>
        <v>0.12326219134697709</v>
      </c>
      <c r="V21" s="268"/>
      <c r="W21" s="280"/>
    </row>
    <row r="22" spans="1:23" ht="16.5" customHeight="1">
      <c r="A22" s="79"/>
      <c r="B22" s="79"/>
      <c r="C22" s="79"/>
      <c r="D22" s="269">
        <f t="shared" si="4"/>
        <v>46157</v>
      </c>
      <c r="E22" s="269" t="s">
        <v>463</v>
      </c>
      <c r="F22" s="207">
        <v>7747013</v>
      </c>
      <c r="G22" s="267"/>
      <c r="H22" s="281"/>
      <c r="I22" s="208">
        <v>233211</v>
      </c>
      <c r="K22" s="282"/>
      <c r="L22" s="207">
        <v>5406496</v>
      </c>
      <c r="M22" s="267"/>
      <c r="N22" s="281"/>
      <c r="O22" s="86">
        <f t="shared" si="0"/>
        <v>0.69788136408187262</v>
      </c>
      <c r="Q22" s="280"/>
      <c r="R22" s="207">
        <v>1046990.496728298</v>
      </c>
      <c r="S22" s="267"/>
      <c r="T22" s="281"/>
      <c r="U22" s="86">
        <f t="shared" si="1"/>
        <v>0.13514763647980171</v>
      </c>
      <c r="V22" s="86"/>
      <c r="W22" s="280"/>
    </row>
    <row r="23" spans="1:23" ht="16.5" customHeight="1">
      <c r="A23" s="79"/>
      <c r="B23" s="79"/>
      <c r="C23" s="79"/>
      <c r="D23" s="269">
        <f t="shared" si="4"/>
        <v>46158</v>
      </c>
      <c r="E23" s="269" t="s">
        <v>464</v>
      </c>
      <c r="F23" s="207">
        <v>8066990</v>
      </c>
      <c r="G23" s="267"/>
      <c r="H23" s="281"/>
      <c r="I23" s="208">
        <v>241676</v>
      </c>
      <c r="K23" s="282"/>
      <c r="L23" s="207">
        <v>5144922</v>
      </c>
      <c r="M23" s="267"/>
      <c r="N23" s="281"/>
      <c r="O23" s="86">
        <f t="shared" si="0"/>
        <v>0.63777468423786321</v>
      </c>
      <c r="P23" s="268"/>
      <c r="Q23" s="280"/>
      <c r="R23" s="207">
        <v>1072449.4758324646</v>
      </c>
      <c r="S23" s="267"/>
      <c r="T23" s="281"/>
      <c r="U23" s="86">
        <f t="shared" si="1"/>
        <v>0.13294295342283363</v>
      </c>
      <c r="V23" s="268"/>
      <c r="W23" s="280"/>
    </row>
    <row r="24" spans="1:23" ht="16.5" customHeight="1">
      <c r="A24" s="79"/>
      <c r="B24" s="79"/>
      <c r="C24" s="79"/>
      <c r="D24" s="269">
        <f t="shared" si="4"/>
        <v>46159</v>
      </c>
      <c r="E24" s="269" t="s">
        <v>465</v>
      </c>
      <c r="F24" s="207">
        <v>9834074</v>
      </c>
      <c r="G24" s="267"/>
      <c r="H24" s="281"/>
      <c r="I24" s="208">
        <v>289853</v>
      </c>
      <c r="K24" s="282"/>
      <c r="L24" s="207">
        <v>6380872</v>
      </c>
      <c r="M24" s="267"/>
      <c r="N24" s="281"/>
      <c r="O24" s="86">
        <f t="shared" si="0"/>
        <v>0.64885336433303231</v>
      </c>
      <c r="P24" s="268"/>
      <c r="Q24" s="280"/>
      <c r="R24" s="207">
        <v>1098516.3966206594</v>
      </c>
      <c r="S24" s="267"/>
      <c r="T24" s="281"/>
      <c r="U24" s="86">
        <f t="shared" si="1"/>
        <v>0.11170511800304324</v>
      </c>
      <c r="V24" s="268"/>
      <c r="W24" s="280"/>
    </row>
    <row r="25" spans="1:23" ht="16.5" customHeight="1">
      <c r="A25" s="79"/>
      <c r="B25" s="79"/>
      <c r="C25" s="79"/>
      <c r="D25" s="269">
        <f t="shared" si="4"/>
        <v>46160</v>
      </c>
      <c r="E25" s="269" t="s">
        <v>459</v>
      </c>
      <c r="F25" s="207">
        <v>9771072</v>
      </c>
      <c r="H25" s="281"/>
      <c r="I25" s="208">
        <v>285984</v>
      </c>
      <c r="K25" s="282"/>
      <c r="L25" s="207">
        <v>6203304</v>
      </c>
      <c r="M25" s="83"/>
      <c r="N25" s="281"/>
      <c r="O25" s="86">
        <f t="shared" si="0"/>
        <v>0.63486421960661021</v>
      </c>
      <c r="P25" s="268"/>
      <c r="Q25" s="280"/>
      <c r="R25" s="207">
        <v>1111801.2369505204</v>
      </c>
      <c r="S25" s="83"/>
      <c r="T25" s="281"/>
      <c r="U25" s="86">
        <f t="shared" si="1"/>
        <v>0.11378498049656378</v>
      </c>
      <c r="V25" s="268"/>
      <c r="W25" s="280"/>
    </row>
    <row r="26" spans="1:23" ht="16.5" customHeight="1">
      <c r="A26" s="79"/>
      <c r="B26" s="79"/>
      <c r="C26" s="79"/>
      <c r="D26" s="315">
        <f t="shared" si="4"/>
        <v>46161</v>
      </c>
      <c r="E26" s="315" t="s">
        <v>460</v>
      </c>
      <c r="F26" s="207">
        <v>9682132</v>
      </c>
      <c r="G26" s="267">
        <f>SUM(F26:F32)</f>
        <v>61296171</v>
      </c>
      <c r="H26" s="281"/>
      <c r="I26" s="208">
        <v>285514</v>
      </c>
      <c r="J26" s="84">
        <f>SUM(I26:I32)</f>
        <v>1829782</v>
      </c>
      <c r="K26" s="282"/>
      <c r="L26" s="207">
        <v>6260536</v>
      </c>
      <c r="M26" s="267">
        <f>SUM(L26:L32)</f>
        <v>40766115</v>
      </c>
      <c r="N26" s="281"/>
      <c r="O26" s="86">
        <f t="shared" si="0"/>
        <v>0.64660717288299729</v>
      </c>
      <c r="P26" s="86">
        <f>M26/G26</f>
        <v>0.66506788817200346</v>
      </c>
      <c r="Q26" s="280"/>
      <c r="R26" s="207">
        <v>1132913.3155789925</v>
      </c>
      <c r="S26" s="267">
        <f>SUM(R26:R32)</f>
        <v>7535964.3164835032</v>
      </c>
      <c r="T26" s="281"/>
      <c r="U26" s="86">
        <f t="shared" si="1"/>
        <v>0.11701072817216213</v>
      </c>
      <c r="V26" s="86">
        <f>S26/G26</f>
        <v>0.12294347580835846</v>
      </c>
      <c r="W26" s="280"/>
    </row>
    <row r="27" spans="1:23">
      <c r="A27" s="79"/>
      <c r="B27" s="79"/>
      <c r="C27" s="79"/>
      <c r="D27" s="315">
        <f t="shared" si="4"/>
        <v>46162</v>
      </c>
      <c r="E27" s="315" t="s">
        <v>461</v>
      </c>
      <c r="F27" s="207">
        <v>8920843</v>
      </c>
      <c r="G27" s="267"/>
      <c r="H27" s="281"/>
      <c r="I27" s="208">
        <v>267291</v>
      </c>
      <c r="K27" s="282"/>
      <c r="L27" s="207">
        <v>6169226</v>
      </c>
      <c r="M27" s="267"/>
      <c r="N27" s="281"/>
      <c r="O27" s="86">
        <f t="shared" si="0"/>
        <v>0.69155190826696533</v>
      </c>
      <c r="P27" s="268"/>
      <c r="Q27" s="280"/>
      <c r="R27" s="207">
        <v>1080949.5306727425</v>
      </c>
      <c r="S27" s="267"/>
      <c r="T27" s="281"/>
      <c r="U27" s="86">
        <f t="shared" si="1"/>
        <v>0.12117123131443323</v>
      </c>
      <c r="V27" s="268"/>
      <c r="W27" s="280"/>
    </row>
    <row r="28" spans="1:23">
      <c r="A28" s="79"/>
      <c r="B28" s="79"/>
      <c r="C28" s="79"/>
      <c r="D28" s="315">
        <f t="shared" si="4"/>
        <v>46163</v>
      </c>
      <c r="E28" s="315" t="s">
        <v>462</v>
      </c>
      <c r="F28" s="207">
        <v>8302357</v>
      </c>
      <c r="H28" s="281"/>
      <c r="I28" s="208">
        <v>251603</v>
      </c>
      <c r="K28" s="282"/>
      <c r="L28" s="207">
        <v>5619159</v>
      </c>
      <c r="M28" s="83"/>
      <c r="N28" s="281"/>
      <c r="O28" s="86">
        <f t="shared" si="0"/>
        <v>0.67681490930828436</v>
      </c>
      <c r="P28" s="268"/>
      <c r="Q28" s="280"/>
      <c r="R28" s="207">
        <v>1059709.0412491313</v>
      </c>
      <c r="S28" s="83"/>
      <c r="T28" s="281"/>
      <c r="U28" s="86">
        <f t="shared" si="1"/>
        <v>0.1276395415481569</v>
      </c>
      <c r="V28" s="268"/>
      <c r="W28" s="280"/>
    </row>
    <row r="29" spans="1:23">
      <c r="A29" s="79"/>
      <c r="B29" s="79"/>
      <c r="C29" s="79"/>
      <c r="D29" s="315">
        <f t="shared" si="4"/>
        <v>46164</v>
      </c>
      <c r="E29" s="315" t="s">
        <v>463</v>
      </c>
      <c r="F29" s="207">
        <v>7688338</v>
      </c>
      <c r="G29" s="267"/>
      <c r="H29" s="281"/>
      <c r="I29" s="208">
        <v>231983</v>
      </c>
      <c r="K29" s="282"/>
      <c r="L29" s="207">
        <v>5453833</v>
      </c>
      <c r="M29" s="267"/>
      <c r="N29" s="281"/>
      <c r="O29" s="86">
        <f t="shared" si="0"/>
        <v>0.709364364573982</v>
      </c>
      <c r="Q29" s="280"/>
      <c r="R29" s="207">
        <v>1043142.7678151035</v>
      </c>
      <c r="S29" s="267"/>
      <c r="T29" s="281"/>
      <c r="U29" s="86">
        <f t="shared" si="1"/>
        <v>0.13567857810297929</v>
      </c>
      <c r="V29" s="86"/>
      <c r="W29" s="280"/>
    </row>
    <row r="30" spans="1:23">
      <c r="A30" s="79"/>
      <c r="B30" s="79"/>
      <c r="C30" s="79"/>
      <c r="D30" s="315">
        <f t="shared" si="4"/>
        <v>46165</v>
      </c>
      <c r="E30" s="315" t="s">
        <v>464</v>
      </c>
      <c r="F30" s="207">
        <v>8159526</v>
      </c>
      <c r="G30" s="267"/>
      <c r="H30" s="281"/>
      <c r="I30" s="208">
        <v>243182</v>
      </c>
      <c r="K30" s="282"/>
      <c r="L30" s="207">
        <v>5286043</v>
      </c>
      <c r="M30" s="267"/>
      <c r="N30" s="281"/>
      <c r="O30" s="86">
        <f t="shared" si="0"/>
        <v>0.64783701896409174</v>
      </c>
      <c r="P30" s="268"/>
      <c r="Q30" s="280"/>
      <c r="R30" s="207">
        <v>1062211.998429687</v>
      </c>
      <c r="S30" s="267"/>
      <c r="T30" s="281"/>
      <c r="U30" s="86">
        <f t="shared" si="1"/>
        <v>0.13018060098462669</v>
      </c>
      <c r="V30" s="268"/>
      <c r="W30" s="280"/>
    </row>
    <row r="31" spans="1:23">
      <c r="A31" s="79"/>
      <c r="B31" s="79"/>
      <c r="C31" s="79"/>
      <c r="D31" s="315">
        <f t="shared" si="4"/>
        <v>46166</v>
      </c>
      <c r="E31" s="315" t="s">
        <v>465</v>
      </c>
      <c r="F31" s="207">
        <v>9019023</v>
      </c>
      <c r="G31" s="267"/>
      <c r="H31" s="281"/>
      <c r="I31" s="208">
        <v>269664</v>
      </c>
      <c r="K31" s="282"/>
      <c r="L31" s="207">
        <v>5767232</v>
      </c>
      <c r="M31" s="267"/>
      <c r="N31" s="281"/>
      <c r="O31" s="86">
        <f t="shared" si="0"/>
        <v>0.63945196724745024</v>
      </c>
      <c r="P31" s="268"/>
      <c r="Q31" s="280"/>
      <c r="R31" s="207">
        <v>1090057.1882769093</v>
      </c>
      <c r="S31" s="267"/>
      <c r="T31" s="281"/>
      <c r="U31" s="86">
        <f t="shared" si="1"/>
        <v>0.120862003376298</v>
      </c>
      <c r="V31" s="268"/>
      <c r="W31" s="280"/>
    </row>
    <row r="32" spans="1:23">
      <c r="A32" s="79"/>
      <c r="B32" s="79"/>
      <c r="C32" s="79"/>
      <c r="D32" s="315">
        <f t="shared" si="4"/>
        <v>46167</v>
      </c>
      <c r="E32" s="315" t="s">
        <v>459</v>
      </c>
      <c r="F32" s="207">
        <v>9523952</v>
      </c>
      <c r="H32" s="281"/>
      <c r="I32" s="208">
        <v>280545</v>
      </c>
      <c r="K32" s="282"/>
      <c r="L32" s="207">
        <v>6210086</v>
      </c>
      <c r="M32" s="83"/>
      <c r="N32" s="281"/>
      <c r="O32" s="86">
        <f t="shared" si="0"/>
        <v>0.65204927534284085</v>
      </c>
      <c r="P32" s="268"/>
      <c r="Q32" s="280"/>
      <c r="R32" s="207">
        <v>1066980.4744609371</v>
      </c>
      <c r="S32" s="83"/>
      <c r="T32" s="281"/>
      <c r="U32" s="86">
        <f t="shared" si="1"/>
        <v>0.11203127383054189</v>
      </c>
      <c r="V32" s="268"/>
      <c r="W32" s="280"/>
    </row>
    <row r="33" spans="1:23">
      <c r="A33" s="79"/>
      <c r="B33" s="79"/>
      <c r="C33" s="79"/>
      <c r="D33" s="269">
        <f t="shared" si="4"/>
        <v>46168</v>
      </c>
      <c r="E33" s="269" t="s">
        <v>460</v>
      </c>
      <c r="F33" s="207">
        <v>9911969</v>
      </c>
      <c r="G33" s="267">
        <f>SUM(F33:F39)</f>
        <v>65939025</v>
      </c>
      <c r="H33" s="281"/>
      <c r="I33" s="208">
        <v>293602</v>
      </c>
      <c r="J33" s="84">
        <f>SUM(I33:I39)</f>
        <v>1972816</v>
      </c>
      <c r="K33" s="282"/>
      <c r="L33" s="207">
        <v>6374930</v>
      </c>
      <c r="M33" s="267">
        <f>SUM(L33:L39)</f>
        <v>43853226</v>
      </c>
      <c r="N33" s="281"/>
      <c r="O33" s="86">
        <f t="shared" si="0"/>
        <v>0.64315475562928015</v>
      </c>
      <c r="P33" s="86">
        <f>M33/G33</f>
        <v>0.66505724038230773</v>
      </c>
      <c r="Q33" s="280"/>
      <c r="R33" s="207">
        <v>1112117.709822048</v>
      </c>
      <c r="S33" s="267">
        <f>SUM(R33:R39)</f>
        <v>7722861.6238168366</v>
      </c>
      <c r="T33" s="281"/>
      <c r="U33" s="86">
        <f t="shared" si="1"/>
        <v>0.11219947417329977</v>
      </c>
      <c r="V33" s="86">
        <f>S33/G33</f>
        <v>0.1171212589785311</v>
      </c>
      <c r="W33" s="280"/>
    </row>
    <row r="34" spans="1:23">
      <c r="A34" s="79"/>
      <c r="B34" s="79"/>
      <c r="C34" s="79"/>
      <c r="D34" s="269">
        <f t="shared" si="4"/>
        <v>46169</v>
      </c>
      <c r="E34" s="269" t="s">
        <v>461</v>
      </c>
      <c r="F34" s="207">
        <v>9723654</v>
      </c>
      <c r="H34" s="281"/>
      <c r="I34" s="208">
        <v>289569</v>
      </c>
      <c r="K34" s="282"/>
      <c r="L34" s="207">
        <v>6417155</v>
      </c>
      <c r="M34" s="267"/>
      <c r="N34" s="281"/>
      <c r="O34" s="86">
        <f t="shared" si="0"/>
        <v>0.6599530382302784</v>
      </c>
      <c r="Q34" s="280"/>
      <c r="R34" s="207">
        <v>1109096.6216519091</v>
      </c>
      <c r="S34" s="267"/>
      <c r="T34" s="281"/>
      <c r="U34" s="86">
        <f t="shared" si="1"/>
        <v>0.11406171195025132</v>
      </c>
      <c r="V34" s="86"/>
      <c r="W34" s="280"/>
    </row>
    <row r="35" spans="1:23">
      <c r="A35" s="79"/>
      <c r="B35" s="79"/>
      <c r="D35" s="269">
        <f>D34+1</f>
        <v>46170</v>
      </c>
      <c r="E35" s="269" t="s">
        <v>462</v>
      </c>
      <c r="F35" s="207">
        <v>9072400</v>
      </c>
      <c r="G35" s="267"/>
      <c r="I35" s="208">
        <v>272954</v>
      </c>
      <c r="L35" s="207">
        <v>6318977</v>
      </c>
      <c r="M35" s="267"/>
      <c r="N35" s="83"/>
      <c r="O35" s="86">
        <f t="shared" si="0"/>
        <v>0.69650555531061242</v>
      </c>
      <c r="Q35" s="83"/>
      <c r="R35" s="207">
        <v>1092100.0396727426</v>
      </c>
      <c r="S35" s="267"/>
      <c r="T35" s="83"/>
      <c r="U35" s="86">
        <f t="shared" si="1"/>
        <v>0.1203760900834115</v>
      </c>
      <c r="V35" s="86"/>
      <c r="W35" s="83"/>
    </row>
    <row r="36" spans="1:23">
      <c r="A36" s="79"/>
      <c r="B36" s="79"/>
      <c r="C36" s="79"/>
      <c r="D36" s="269">
        <f t="shared" ref="D36:D39" si="5">D35+1</f>
        <v>46171</v>
      </c>
      <c r="E36" s="269" t="s">
        <v>463</v>
      </c>
      <c r="F36" s="207">
        <v>8447568.0000000019</v>
      </c>
      <c r="G36" s="267"/>
      <c r="H36" s="281"/>
      <c r="I36" s="208">
        <v>253473</v>
      </c>
      <c r="K36" s="282"/>
      <c r="L36" s="207">
        <v>5651856</v>
      </c>
      <c r="M36" s="267"/>
      <c r="N36" s="281"/>
      <c r="O36" s="86">
        <f t="shared" si="0"/>
        <v>0.66905125830298129</v>
      </c>
      <c r="Q36" s="280"/>
      <c r="R36" s="207">
        <v>1098880.0247352428</v>
      </c>
      <c r="S36" s="267"/>
      <c r="T36" s="281"/>
      <c r="U36" s="86">
        <f t="shared" si="1"/>
        <v>0.13008241244524371</v>
      </c>
      <c r="V36" s="86"/>
      <c r="W36" s="280"/>
    </row>
    <row r="37" spans="1:23">
      <c r="A37" s="79"/>
      <c r="B37" s="79"/>
      <c r="D37" s="269">
        <f t="shared" si="5"/>
        <v>46172</v>
      </c>
      <c r="E37" s="269" t="s">
        <v>464</v>
      </c>
      <c r="F37" s="207">
        <v>8820596</v>
      </c>
      <c r="G37" s="267"/>
      <c r="I37" s="208">
        <v>262061</v>
      </c>
      <c r="L37" s="207">
        <v>6178518</v>
      </c>
      <c r="M37" s="267"/>
      <c r="N37" s="83"/>
      <c r="O37" s="86">
        <f t="shared" si="0"/>
        <v>0.7004649118948425</v>
      </c>
      <c r="Q37" s="83"/>
      <c r="R37" s="207">
        <v>1087933.1205581594</v>
      </c>
      <c r="S37" s="267"/>
      <c r="T37" s="83"/>
      <c r="U37" s="86">
        <f t="shared" si="1"/>
        <v>0.12334009182125101</v>
      </c>
      <c r="V37" s="86"/>
      <c r="W37" s="83"/>
    </row>
    <row r="38" spans="1:23">
      <c r="A38" s="79"/>
      <c r="B38" s="79"/>
      <c r="D38" s="269">
        <f t="shared" si="5"/>
        <v>46173</v>
      </c>
      <c r="E38" s="269" t="s">
        <v>465</v>
      </c>
      <c r="F38" s="207">
        <v>10386449</v>
      </c>
      <c r="G38" s="267"/>
      <c r="I38" s="208">
        <v>307771</v>
      </c>
      <c r="L38" s="207">
        <v>6597451</v>
      </c>
      <c r="M38" s="267"/>
      <c r="N38" s="83"/>
      <c r="O38" s="86">
        <f t="shared" si="0"/>
        <v>0.63519793916092016</v>
      </c>
      <c r="Q38" s="83"/>
      <c r="R38" s="207">
        <v>1140047.0920303811</v>
      </c>
      <c r="S38" s="267"/>
      <c r="T38" s="83"/>
      <c r="U38" s="86">
        <f t="shared" si="1"/>
        <v>0.1097629316843881</v>
      </c>
      <c r="V38" s="86"/>
      <c r="W38" s="83"/>
    </row>
    <row r="39" spans="1:23">
      <c r="A39" s="79"/>
      <c r="B39" s="79"/>
      <c r="D39" s="269">
        <f t="shared" si="5"/>
        <v>46174</v>
      </c>
      <c r="E39" s="269" t="s">
        <v>459</v>
      </c>
      <c r="F39" s="207">
        <v>9576389</v>
      </c>
      <c r="G39" s="267"/>
      <c r="I39" s="208">
        <v>293386</v>
      </c>
      <c r="L39" s="207">
        <v>6314339</v>
      </c>
      <c r="M39" s="267"/>
      <c r="N39" s="83"/>
      <c r="O39" s="86">
        <f t="shared" si="0"/>
        <v>0.65936534115312151</v>
      </c>
      <c r="Q39" s="83"/>
      <c r="R39" s="207">
        <v>1082687.0153463539</v>
      </c>
      <c r="S39" s="267"/>
      <c r="T39" s="83"/>
      <c r="U39" s="86">
        <f t="shared" si="1"/>
        <v>0.11305796113194168</v>
      </c>
      <c r="V39" s="86"/>
      <c r="W39" s="83"/>
    </row>
    <row r="40" spans="1:23">
      <c r="A40" s="79"/>
      <c r="B40" s="79"/>
      <c r="D40" s="269"/>
      <c r="E40" s="269"/>
      <c r="F40" s="207"/>
      <c r="G40" s="267"/>
      <c r="I40" s="208"/>
      <c r="L40" s="207"/>
      <c r="M40" s="267"/>
      <c r="N40" s="83"/>
      <c r="O40" s="86" t="e">
        <f>L40/F40</f>
        <v>#DIV/0!</v>
      </c>
      <c r="Q40" s="83"/>
      <c r="R40" s="207"/>
      <c r="S40" s="267"/>
      <c r="T40" s="83"/>
      <c r="U40" s="86" t="e">
        <f t="shared" si="1"/>
        <v>#DIV/0!</v>
      </c>
      <c r="V40" s="86"/>
      <c r="W40" s="83"/>
    </row>
    <row r="41" spans="1:23">
      <c r="A41" s="79"/>
      <c r="B41" s="79"/>
      <c r="D41" s="269"/>
      <c r="E41" s="269"/>
      <c r="F41" s="207"/>
      <c r="G41" s="267"/>
      <c r="I41" s="208"/>
      <c r="L41" s="207"/>
      <c r="M41" s="267"/>
      <c r="N41" s="83"/>
      <c r="O41" s="86" t="e">
        <f>L41/F41</f>
        <v>#DIV/0!</v>
      </c>
      <c r="Q41" s="83"/>
      <c r="R41" s="209"/>
      <c r="S41" s="267"/>
      <c r="T41" s="83"/>
      <c r="U41" s="86" t="e">
        <f t="shared" si="1"/>
        <v>#DIV/0!</v>
      </c>
      <c r="V41" s="86"/>
      <c r="W41" s="83"/>
    </row>
    <row r="42" spans="1:23">
      <c r="A42" s="79"/>
      <c r="B42" s="79"/>
      <c r="D42" s="82"/>
      <c r="E42" s="82"/>
      <c r="G42" s="267"/>
      <c r="M42" s="267"/>
      <c r="N42" s="83"/>
      <c r="Q42" s="83"/>
      <c r="S42" s="267"/>
      <c r="T42" s="83"/>
      <c r="V42" s="86"/>
      <c r="W42" s="83"/>
    </row>
    <row r="43" spans="1:23">
      <c r="A43" s="79"/>
      <c r="B43" s="79"/>
      <c r="D43" s="82"/>
      <c r="E43" s="82"/>
      <c r="G43" s="267"/>
      <c r="M43" s="267"/>
      <c r="N43" s="83"/>
      <c r="Q43" s="83"/>
      <c r="S43" s="267"/>
      <c r="T43" s="83"/>
      <c r="V43" s="86"/>
      <c r="W43" s="83"/>
    </row>
    <row r="44" spans="1:23">
      <c r="A44" s="79"/>
      <c r="B44" s="79"/>
      <c r="D44" s="82"/>
      <c r="E44" s="82"/>
      <c r="G44" s="267"/>
      <c r="M44" s="267"/>
      <c r="N44" s="83"/>
      <c r="Q44" s="83"/>
      <c r="S44" s="267"/>
      <c r="T44" s="83"/>
      <c r="V44" s="86"/>
      <c r="W44" s="83"/>
    </row>
    <row r="45" spans="1:23">
      <c r="A45" s="79"/>
      <c r="B45" s="79"/>
      <c r="M45" s="83"/>
      <c r="S45" s="83"/>
    </row>
    <row r="46" spans="1:23">
      <c r="A46" s="79"/>
      <c r="B46" s="79"/>
      <c r="M46" s="83"/>
    </row>
    <row r="47" spans="1:23">
      <c r="A47" s="79"/>
      <c r="B47" s="79"/>
      <c r="M47" s="83"/>
    </row>
    <row r="48" spans="1:23">
      <c r="A48" s="79"/>
      <c r="B48" s="79"/>
      <c r="M48" s="83"/>
    </row>
    <row r="49" spans="1:13">
      <c r="A49" s="79"/>
      <c r="B49" s="79"/>
      <c r="M49" s="83"/>
    </row>
    <row r="50" spans="1:13">
      <c r="B50" s="79"/>
      <c r="M50" s="83"/>
    </row>
    <row r="51" spans="1:13">
      <c r="M51" s="83"/>
    </row>
    <row r="52" spans="1:13">
      <c r="M52" s="83"/>
    </row>
    <row r="53" spans="1:13">
      <c r="M53" s="83"/>
    </row>
    <row r="54" spans="1:13">
      <c r="M54" s="83"/>
    </row>
    <row r="55" spans="1:13">
      <c r="M55" s="83"/>
    </row>
    <row r="56" spans="1:13">
      <c r="M56" s="83"/>
    </row>
    <row r="57" spans="1:13">
      <c r="M57" s="83"/>
    </row>
    <row r="58" spans="1:13">
      <c r="M58" s="83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50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P51" sqref="P51"/>
    </sheetView>
  </sheetViews>
  <sheetFormatPr defaultColWidth="8.85546875" defaultRowHeight="14.25"/>
  <cols>
    <col min="1" max="1" width="4.42578125" style="73" customWidth="1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25.5703125" style="90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80" t="s">
        <v>316</v>
      </c>
      <c r="C1" s="75">
        <v>366</v>
      </c>
    </row>
    <row r="2" spans="2:23" ht="38.1" customHeight="1">
      <c r="B2" s="462" t="s">
        <v>126</v>
      </c>
      <c r="C2" s="469"/>
      <c r="D2" s="469"/>
      <c r="E2" s="469"/>
      <c r="F2" s="469"/>
      <c r="G2" s="469"/>
      <c r="H2" s="469"/>
      <c r="I2" s="469"/>
      <c r="J2" s="469"/>
      <c r="K2" s="469"/>
      <c r="L2" s="469"/>
      <c r="M2" s="469"/>
      <c r="N2" s="469"/>
      <c r="O2" s="469"/>
      <c r="P2" s="469"/>
      <c r="Q2" s="469"/>
      <c r="R2" s="469"/>
      <c r="S2" s="469"/>
      <c r="T2" s="469"/>
      <c r="U2" s="469"/>
    </row>
    <row r="3" spans="2:23" s="71" customFormat="1" ht="23.45" customHeight="1">
      <c r="B3" s="79"/>
      <c r="C3" s="466" t="s">
        <v>116</v>
      </c>
      <c r="D3" s="467" t="s">
        <v>105</v>
      </c>
      <c r="E3" s="467"/>
      <c r="F3" s="470" t="s">
        <v>107</v>
      </c>
      <c r="G3" s="470"/>
      <c r="H3" s="470"/>
      <c r="I3" s="472" t="s">
        <v>108</v>
      </c>
      <c r="J3" s="472"/>
      <c r="K3" s="472"/>
      <c r="L3" s="471" t="s">
        <v>306</v>
      </c>
      <c r="M3" s="471"/>
      <c r="N3" s="471"/>
      <c r="O3" s="471" t="s">
        <v>106</v>
      </c>
      <c r="P3" s="471"/>
      <c r="Q3" s="471"/>
      <c r="R3" s="471" t="s">
        <v>109</v>
      </c>
      <c r="S3" s="471"/>
      <c r="T3" s="471"/>
      <c r="U3" s="471" t="s">
        <v>110</v>
      </c>
      <c r="V3" s="471"/>
      <c r="W3" s="471"/>
    </row>
    <row r="4" spans="2:23" ht="15.75">
      <c r="B4" s="79"/>
      <c r="C4" s="466"/>
      <c r="D4" s="467"/>
      <c r="E4" s="467"/>
      <c r="F4" s="81" t="s">
        <v>115</v>
      </c>
      <c r="G4" s="92" t="s">
        <v>127</v>
      </c>
      <c r="H4" s="92" t="s">
        <v>128</v>
      </c>
      <c r="I4" s="81" t="s">
        <v>115</v>
      </c>
      <c r="J4" s="91" t="s">
        <v>127</v>
      </c>
      <c r="K4" s="91" t="s">
        <v>128</v>
      </c>
      <c r="L4" s="81" t="s">
        <v>115</v>
      </c>
      <c r="M4" s="91" t="s">
        <v>127</v>
      </c>
      <c r="N4" s="91" t="s">
        <v>128</v>
      </c>
      <c r="O4" s="81" t="s">
        <v>115</v>
      </c>
      <c r="P4" s="91" t="s">
        <v>127</v>
      </c>
      <c r="Q4" s="91" t="s">
        <v>128</v>
      </c>
      <c r="R4" s="81" t="s">
        <v>115</v>
      </c>
      <c r="S4" s="91" t="s">
        <v>127</v>
      </c>
      <c r="T4" s="91" t="s">
        <v>128</v>
      </c>
      <c r="U4" s="81" t="s">
        <v>115</v>
      </c>
      <c r="V4" s="91" t="s">
        <v>127</v>
      </c>
      <c r="W4" s="91" t="s">
        <v>128</v>
      </c>
    </row>
    <row r="5" spans="2:23" ht="14.45" customHeight="1">
      <c r="B5" s="79"/>
      <c r="C5" s="79"/>
      <c r="D5" s="269">
        <v>46140</v>
      </c>
      <c r="E5" s="269" t="s">
        <v>460</v>
      </c>
      <c r="F5" s="206">
        <v>364.12600139047453</v>
      </c>
      <c r="G5" s="89"/>
      <c r="H5" s="89"/>
      <c r="I5" s="86">
        <f>F5/$C$1</f>
        <v>0.99487978521987575</v>
      </c>
      <c r="J5" s="192"/>
      <c r="K5" s="192"/>
      <c r="L5" s="224">
        <v>2.4384651657103633E-3</v>
      </c>
      <c r="M5" s="268"/>
      <c r="N5" s="268"/>
      <c r="O5" s="224">
        <v>1.6988921132521874E-3</v>
      </c>
      <c r="P5" s="268"/>
      <c r="Q5" s="268"/>
      <c r="R5" s="210">
        <v>0.91700000000000004</v>
      </c>
      <c r="S5" s="192"/>
      <c r="T5" s="268"/>
      <c r="U5" s="210">
        <v>0.29599999999999999</v>
      </c>
      <c r="V5" s="192"/>
      <c r="W5" s="268"/>
    </row>
    <row r="6" spans="2:23" ht="14.45" customHeight="1">
      <c r="B6" s="79"/>
      <c r="C6" s="79"/>
      <c r="D6" s="269">
        <f t="shared" ref="D6:D7" si="0">D5+1</f>
        <v>46141</v>
      </c>
      <c r="E6" s="269" t="s">
        <v>461</v>
      </c>
      <c r="F6" s="206">
        <v>366.14001188573252</v>
      </c>
      <c r="G6" s="90">
        <f>AVERAGE(F5:F11)</f>
        <v>365.47352465785218</v>
      </c>
      <c r="H6" s="89"/>
      <c r="I6" s="86">
        <f>F6/$C$1</f>
        <v>1.0003825461358813</v>
      </c>
      <c r="J6" s="192">
        <f>AVERAGE(I5:I11)</f>
        <v>0.99856154278101705</v>
      </c>
      <c r="K6" s="192"/>
      <c r="L6" s="224">
        <v>2.4386230172552068E-3</v>
      </c>
      <c r="M6" s="268">
        <f>AVERAGE(L5:L10)</f>
        <v>2.4295698950813726E-3</v>
      </c>
      <c r="N6" s="268"/>
      <c r="O6" s="224">
        <v>1.8154656447203715E-3</v>
      </c>
      <c r="P6" s="268">
        <f>AVERAGE(O5:O10)</f>
        <v>1.9340624191095193E-3</v>
      </c>
      <c r="Q6" s="268"/>
      <c r="R6" s="210">
        <v>0.91700000000000004</v>
      </c>
      <c r="S6" s="192">
        <f>AVERAGE(R5:R10)</f>
        <v>0.91699999999999993</v>
      </c>
      <c r="T6" s="268"/>
      <c r="U6" s="210">
        <v>0.29799999999999999</v>
      </c>
      <c r="V6" s="192">
        <f>AVERAGE(U5:U11)</f>
        <v>0.30171428571428571</v>
      </c>
      <c r="W6" s="268"/>
    </row>
    <row r="7" spans="2:23" ht="14.45" customHeight="1">
      <c r="B7" s="79"/>
      <c r="C7" s="79"/>
      <c r="D7" s="269">
        <f t="shared" si="0"/>
        <v>46142</v>
      </c>
      <c r="E7" s="269" t="s">
        <v>462</v>
      </c>
      <c r="F7" s="206">
        <v>373.24265782533877</v>
      </c>
      <c r="I7" s="86">
        <f t="shared" ref="I7:I40" si="1">F7/$C$1</f>
        <v>1.0197886825828928</v>
      </c>
      <c r="J7" s="192"/>
      <c r="L7" s="224">
        <v>2.4216502564461798E-3</v>
      </c>
      <c r="M7" s="268"/>
      <c r="O7" s="224">
        <v>1.9058573275631372E-3</v>
      </c>
      <c r="P7" s="268"/>
      <c r="R7" s="210">
        <v>0.91700000000000004</v>
      </c>
      <c r="S7" s="192"/>
      <c r="U7" s="210">
        <v>0.3</v>
      </c>
      <c r="V7" s="192"/>
    </row>
    <row r="8" spans="2:23" ht="14.45" customHeight="1">
      <c r="B8" s="79"/>
      <c r="C8" s="79"/>
      <c r="D8" s="269">
        <f>D7+1</f>
        <v>46143</v>
      </c>
      <c r="E8" s="269" t="s">
        <v>463</v>
      </c>
      <c r="F8" s="206">
        <v>368.48133990495876</v>
      </c>
      <c r="G8" s="89"/>
      <c r="H8" s="89"/>
      <c r="I8" s="86">
        <f t="shared" si="1"/>
        <v>1.0067796172266632</v>
      </c>
      <c r="J8" s="192"/>
      <c r="K8" s="192"/>
      <c r="L8" s="224">
        <v>2.419886882491696E-3</v>
      </c>
      <c r="M8" s="268"/>
      <c r="N8" s="268"/>
      <c r="O8" s="224">
        <v>2.2685357678943873E-3</v>
      </c>
      <c r="P8" s="268"/>
      <c r="Q8" s="268"/>
      <c r="R8" s="210">
        <v>0.91700000000000004</v>
      </c>
      <c r="S8" s="192"/>
      <c r="T8" s="268"/>
      <c r="U8" s="210">
        <v>0.3</v>
      </c>
      <c r="V8" s="192"/>
      <c r="W8" s="268"/>
    </row>
    <row r="9" spans="2:23" ht="14.45" customHeight="1">
      <c r="B9" s="79"/>
      <c r="C9" s="79"/>
      <c r="D9" s="269">
        <f t="shared" ref="D9:D34" si="2">D8+1</f>
        <v>46144</v>
      </c>
      <c r="E9" s="269" t="s">
        <v>464</v>
      </c>
      <c r="F9" s="206">
        <v>364.66302978027329</v>
      </c>
      <c r="G9" s="89"/>
      <c r="H9" s="89"/>
      <c r="I9" s="86">
        <f t="shared" si="1"/>
        <v>0.99634707590238603</v>
      </c>
      <c r="J9" s="192"/>
      <c r="K9" s="192"/>
      <c r="L9" s="224">
        <v>2.4269412414641037E-3</v>
      </c>
      <c r="M9" s="268"/>
      <c r="N9" s="268"/>
      <c r="O9" s="224">
        <v>2.1107962454493564E-3</v>
      </c>
      <c r="P9" s="268"/>
      <c r="Q9" s="268"/>
      <c r="R9" s="210">
        <v>0.91700000000000004</v>
      </c>
      <c r="S9" s="192"/>
      <c r="T9" s="268"/>
      <c r="U9" s="210">
        <v>0.30199999999999999</v>
      </c>
      <c r="V9" s="192"/>
      <c r="W9" s="268"/>
    </row>
    <row r="10" spans="2:23" ht="14.45" customHeight="1">
      <c r="B10" s="79"/>
      <c r="C10" s="79"/>
      <c r="D10" s="269">
        <f t="shared" si="2"/>
        <v>46145</v>
      </c>
      <c r="E10" s="269" t="s">
        <v>465</v>
      </c>
      <c r="F10" s="206">
        <v>367.33603961666574</v>
      </c>
      <c r="G10" s="89"/>
      <c r="H10" s="89">
        <f>AVERAGE(F8:F38)</f>
        <v>362.12961133092892</v>
      </c>
      <c r="I10" s="86">
        <f t="shared" si="1"/>
        <v>1.0036503814662998</v>
      </c>
      <c r="J10" s="192"/>
      <c r="K10" s="192">
        <f>AVERAGE(I5:I34)</f>
        <v>0.98917348144801565</v>
      </c>
      <c r="L10" s="224">
        <v>2.4318528071206862E-3</v>
      </c>
      <c r="M10" s="268"/>
      <c r="N10" s="268">
        <f>AVERAGE(L8:L38)</f>
        <v>2.4235378310697958E-3</v>
      </c>
      <c r="O10" s="224">
        <v>1.8048274157776766E-3</v>
      </c>
      <c r="P10" s="268"/>
      <c r="Q10" s="268">
        <f>AVERAGE(O8:O38)</f>
        <v>3.9070494349342337E-3</v>
      </c>
      <c r="R10" s="210">
        <v>0.91700000000000004</v>
      </c>
      <c r="S10" s="192"/>
      <c r="T10" s="192">
        <f>AVERAGE(R5:R34)</f>
        <v>0.91700000000000059</v>
      </c>
      <c r="U10" s="210">
        <v>0.30599999999999999</v>
      </c>
      <c r="V10" s="192"/>
      <c r="W10" s="192">
        <f>AVERAGE(U8:U38)</f>
        <v>0.35270967741935499</v>
      </c>
    </row>
    <row r="11" spans="2:23" ht="14.45" customHeight="1">
      <c r="B11" s="79"/>
      <c r="C11" s="79"/>
      <c r="D11" s="269">
        <f t="shared" si="2"/>
        <v>46146</v>
      </c>
      <c r="E11" s="269" t="s">
        <v>459</v>
      </c>
      <c r="F11" s="206">
        <v>354.32559220152206</v>
      </c>
      <c r="G11" s="89"/>
      <c r="H11" s="89"/>
      <c r="I11" s="86">
        <f t="shared" si="1"/>
        <v>0.96810271093312039</v>
      </c>
      <c r="J11" s="192"/>
      <c r="K11" s="192"/>
      <c r="L11" s="224">
        <v>2.4023559803928039E-3</v>
      </c>
      <c r="M11" s="268"/>
      <c r="N11" s="268"/>
      <c r="O11" s="224">
        <v>1.7206849808707036E-3</v>
      </c>
      <c r="P11" s="268"/>
      <c r="Q11" s="268"/>
      <c r="R11" s="210">
        <v>0.91700000000000004</v>
      </c>
      <c r="S11" s="192">
        <f>AVERAGE(R11:R17)</f>
        <v>0.91699999999999993</v>
      </c>
      <c r="T11" s="268"/>
      <c r="U11" s="210">
        <v>0.31</v>
      </c>
      <c r="V11" s="192"/>
      <c r="W11" s="192"/>
    </row>
    <row r="12" spans="2:23" ht="14.45" customHeight="1">
      <c r="B12" s="79"/>
      <c r="C12" s="79"/>
      <c r="D12" s="315">
        <f t="shared" si="2"/>
        <v>46147</v>
      </c>
      <c r="E12" s="315" t="s">
        <v>460</v>
      </c>
      <c r="F12" s="206">
        <v>370.20968052028508</v>
      </c>
      <c r="G12" s="89">
        <f>AVERAGE(F12:F18)</f>
        <v>368.79730713342616</v>
      </c>
      <c r="H12" s="89"/>
      <c r="I12" s="86">
        <f t="shared" si="1"/>
        <v>1.0115018593450411</v>
      </c>
      <c r="J12" s="192">
        <f>AVERAGE(I12:I18)</f>
        <v>1.0076429156650986</v>
      </c>
      <c r="K12" s="192"/>
      <c r="L12" s="224">
        <v>2.4178477081851371E-3</v>
      </c>
      <c r="M12" s="268">
        <f>AVERAGE(L12:L18)</f>
        <v>2.4296149757825317E-3</v>
      </c>
      <c r="N12" s="268"/>
      <c r="O12" s="224">
        <v>3.980679768411855E-3</v>
      </c>
      <c r="P12" s="268">
        <f>AVERAGE(O12:O18)</f>
        <v>4.2391047062726199E-3</v>
      </c>
      <c r="Q12" s="268"/>
      <c r="R12" s="210">
        <v>0.91700000000000004</v>
      </c>
      <c r="S12" s="192"/>
      <c r="T12" s="268"/>
      <c r="U12" s="210">
        <v>0.312</v>
      </c>
      <c r="V12" s="192">
        <f>AVERAGE(U12:U18)</f>
        <v>0.32371428571428573</v>
      </c>
      <c r="W12" s="268"/>
    </row>
    <row r="13" spans="2:23" ht="14.45" customHeight="1">
      <c r="B13" s="79"/>
      <c r="C13" s="79"/>
      <c r="D13" s="315">
        <f t="shared" si="2"/>
        <v>46148</v>
      </c>
      <c r="E13" s="315" t="s">
        <v>461</v>
      </c>
      <c r="F13" s="206">
        <v>367.37309895316281</v>
      </c>
      <c r="G13" s="89"/>
      <c r="H13" s="89"/>
      <c r="I13" s="86">
        <f t="shared" si="1"/>
        <v>1.0037516364840513</v>
      </c>
      <c r="J13" s="192"/>
      <c r="K13" s="192"/>
      <c r="L13" s="224">
        <v>2.4296724510770064E-3</v>
      </c>
      <c r="M13" s="268"/>
      <c r="N13" s="268"/>
      <c r="O13" s="224">
        <v>4.1666942715917208E-3</v>
      </c>
      <c r="P13" s="268"/>
      <c r="Q13" s="268"/>
      <c r="R13" s="210">
        <v>0.91700000000000004</v>
      </c>
      <c r="S13" s="192"/>
      <c r="T13" s="268"/>
      <c r="U13" s="210">
        <v>0.316</v>
      </c>
      <c r="V13" s="192"/>
      <c r="W13" s="268"/>
    </row>
    <row r="14" spans="2:23" ht="14.45" customHeight="1">
      <c r="B14" s="79"/>
      <c r="C14" s="79"/>
      <c r="D14" s="315">
        <f t="shared" si="2"/>
        <v>46149</v>
      </c>
      <c r="E14" s="315" t="s">
        <v>462</v>
      </c>
      <c r="F14" s="206">
        <v>366.09249523950655</v>
      </c>
      <c r="H14" s="89"/>
      <c r="I14" s="86">
        <f t="shared" si="1"/>
        <v>1.0002527192336244</v>
      </c>
      <c r="J14" s="192"/>
      <c r="K14" s="192"/>
      <c r="L14" s="224">
        <v>2.4350671243685441E-3</v>
      </c>
      <c r="M14" s="268"/>
      <c r="N14" s="268"/>
      <c r="O14" s="224">
        <v>4.1921291560985813E-3</v>
      </c>
      <c r="P14" s="268"/>
      <c r="Q14" s="268"/>
      <c r="R14" s="210">
        <v>0.91700000000000004</v>
      </c>
      <c r="S14" s="192"/>
      <c r="T14" s="268"/>
      <c r="U14" s="210">
        <v>0.32</v>
      </c>
      <c r="V14" s="192"/>
      <c r="W14" s="268"/>
    </row>
    <row r="15" spans="2:23" ht="14.45" customHeight="1">
      <c r="B15" s="79"/>
      <c r="C15" s="79"/>
      <c r="D15" s="315">
        <f t="shared" si="2"/>
        <v>46150</v>
      </c>
      <c r="E15" s="315" t="s">
        <v>463</v>
      </c>
      <c r="F15" s="206">
        <v>368.54888079581184</v>
      </c>
      <c r="G15" s="89"/>
      <c r="H15" s="89"/>
      <c r="I15" s="86">
        <f t="shared" si="1"/>
        <v>1.0069641551798139</v>
      </c>
      <c r="J15" s="192"/>
      <c r="K15" s="192"/>
      <c r="L15" s="224">
        <v>2.4213943528727552E-3</v>
      </c>
      <c r="M15" s="268"/>
      <c r="N15" s="268"/>
      <c r="O15" s="224">
        <v>4.4430936146427867E-3</v>
      </c>
      <c r="P15" s="268"/>
      <c r="Q15" s="268"/>
      <c r="R15" s="210">
        <v>0.91700000000000004</v>
      </c>
      <c r="S15" s="192"/>
      <c r="T15" s="268"/>
      <c r="U15" s="210">
        <v>0.32600000000000001</v>
      </c>
      <c r="V15" s="192"/>
      <c r="W15" s="268"/>
    </row>
    <row r="16" spans="2:23" ht="14.45" customHeight="1">
      <c r="B16" s="79"/>
      <c r="C16" s="79"/>
      <c r="D16" s="315">
        <f t="shared" si="2"/>
        <v>46151</v>
      </c>
      <c r="E16" s="315" t="s">
        <v>464</v>
      </c>
      <c r="F16" s="206">
        <v>368.0464833661274</v>
      </c>
      <c r="G16" s="89"/>
      <c r="H16" s="89"/>
      <c r="I16" s="86">
        <f t="shared" si="1"/>
        <v>1.0055914846069054</v>
      </c>
      <c r="J16" s="192"/>
      <c r="K16" s="192"/>
      <c r="L16" s="224">
        <v>2.443509069567779E-3</v>
      </c>
      <c r="M16" s="268"/>
      <c r="N16" s="268"/>
      <c r="O16" s="224">
        <v>4.4180769785768835E-3</v>
      </c>
      <c r="P16" s="268"/>
      <c r="Q16" s="268"/>
      <c r="R16" s="210">
        <v>0.91700000000000004</v>
      </c>
      <c r="S16" s="192"/>
      <c r="T16" s="268"/>
      <c r="U16" s="210">
        <v>0.33</v>
      </c>
      <c r="V16" s="192"/>
      <c r="W16" s="268"/>
    </row>
    <row r="17" spans="2:23" ht="14.45" customHeight="1">
      <c r="B17" s="79"/>
      <c r="C17" s="79"/>
      <c r="D17" s="315">
        <f t="shared" si="2"/>
        <v>46152</v>
      </c>
      <c r="E17" s="315" t="s">
        <v>465</v>
      </c>
      <c r="F17" s="206">
        <v>376.52114776385594</v>
      </c>
      <c r="G17" s="89"/>
      <c r="H17" s="89"/>
      <c r="I17" s="86">
        <f t="shared" si="1"/>
        <v>1.0287463053657266</v>
      </c>
      <c r="J17" s="192"/>
      <c r="K17" s="192"/>
      <c r="L17" s="224">
        <v>2.4274111565209468E-3</v>
      </c>
      <c r="M17" s="268"/>
      <c r="N17" s="268"/>
      <c r="O17" s="224">
        <v>4.3480552595544404E-3</v>
      </c>
      <c r="P17" s="268"/>
      <c r="Q17" s="268"/>
      <c r="R17" s="210">
        <v>0.91700000000000004</v>
      </c>
      <c r="S17" s="192"/>
      <c r="T17" s="268"/>
      <c r="U17" s="210">
        <v>0.33</v>
      </c>
      <c r="V17" s="192"/>
      <c r="W17" s="268"/>
    </row>
    <row r="18" spans="2:23" ht="14.45" customHeight="1">
      <c r="B18" s="79"/>
      <c r="C18" s="79"/>
      <c r="D18" s="315">
        <f t="shared" si="2"/>
        <v>46153</v>
      </c>
      <c r="E18" s="315" t="s">
        <v>459</v>
      </c>
      <c r="F18" s="206">
        <v>364.78936329523304</v>
      </c>
      <c r="G18" s="89"/>
      <c r="H18" s="89"/>
      <c r="I18" s="86">
        <f t="shared" si="1"/>
        <v>0.99669224944052748</v>
      </c>
      <c r="J18" s="192"/>
      <c r="K18" s="192"/>
      <c r="L18" s="224">
        <v>2.4324029678855562E-3</v>
      </c>
      <c r="M18" s="268"/>
      <c r="N18" s="268"/>
      <c r="O18" s="224">
        <v>4.1250038950320757E-3</v>
      </c>
      <c r="P18" s="268"/>
      <c r="Q18" s="268"/>
      <c r="R18" s="210">
        <v>0.91700000000000004</v>
      </c>
      <c r="S18" s="192">
        <f>AVERAGE(R18:R24)</f>
        <v>0.91699999999999993</v>
      </c>
      <c r="T18" s="268"/>
      <c r="U18" s="210">
        <v>0.33200000000000002</v>
      </c>
      <c r="V18" s="192"/>
      <c r="W18" s="268"/>
    </row>
    <row r="19" spans="2:23" ht="14.45" customHeight="1">
      <c r="B19" s="79"/>
      <c r="C19" s="79"/>
      <c r="D19" s="269">
        <f t="shared" si="2"/>
        <v>46154</v>
      </c>
      <c r="E19" s="269" t="s">
        <v>460</v>
      </c>
      <c r="F19" s="206">
        <v>365.48134604564126</v>
      </c>
      <c r="G19" s="89">
        <f>AVERAGE(F19:F25)</f>
        <v>356.8929026437649</v>
      </c>
      <c r="H19" s="89"/>
      <c r="I19" s="86">
        <f t="shared" si="1"/>
        <v>0.99858291269300892</v>
      </c>
      <c r="J19" s="192">
        <f>AVERAGE(I19:I25)</f>
        <v>0.9751172203381554</v>
      </c>
      <c r="K19" s="192"/>
      <c r="L19" s="224">
        <v>2.4209689003372439E-3</v>
      </c>
      <c r="M19" s="268">
        <f>AVERAGE(L19:L25)</f>
        <v>2.4180625950677554E-3</v>
      </c>
      <c r="N19" s="268"/>
      <c r="O19" s="224">
        <v>4.0121943722444551E-3</v>
      </c>
      <c r="P19" s="268">
        <f>AVERAGE(O19:O25)</f>
        <v>4.0973170960721854E-3</v>
      </c>
      <c r="Q19" s="268"/>
      <c r="R19" s="210">
        <v>0.91700000000000004</v>
      </c>
      <c r="S19" s="192"/>
      <c r="T19" s="268"/>
      <c r="U19" s="210">
        <v>0.33400000000000002</v>
      </c>
      <c r="V19" s="192">
        <f>AVERAGE(U19:U25)</f>
        <v>0.34942857142857137</v>
      </c>
      <c r="W19" s="268"/>
    </row>
    <row r="20" spans="2:23" ht="14.45" customHeight="1">
      <c r="B20" s="79"/>
      <c r="C20" s="79"/>
      <c r="D20" s="269">
        <f t="shared" si="2"/>
        <v>46155</v>
      </c>
      <c r="E20" s="269" t="s">
        <v>461</v>
      </c>
      <c r="F20" s="206">
        <v>357.70995699967028</v>
      </c>
      <c r="G20" s="89"/>
      <c r="H20" s="89"/>
      <c r="I20" s="86">
        <f t="shared" si="1"/>
        <v>0.97734960928871661</v>
      </c>
      <c r="J20" s="192"/>
      <c r="K20" s="192"/>
      <c r="L20" s="224">
        <v>2.4087342657777458E-3</v>
      </c>
      <c r="M20" s="268"/>
      <c r="N20" s="268"/>
      <c r="O20" s="224">
        <v>4.0276975485504726E-3</v>
      </c>
      <c r="P20" s="268"/>
      <c r="Q20" s="268"/>
      <c r="R20" s="210">
        <v>0.91700000000000004</v>
      </c>
      <c r="S20" s="192"/>
      <c r="T20" s="268"/>
      <c r="U20" s="210">
        <v>0.33600000000000002</v>
      </c>
      <c r="V20" s="192"/>
      <c r="W20" s="268"/>
    </row>
    <row r="21" spans="2:23" ht="14.45" customHeight="1">
      <c r="B21" s="79"/>
      <c r="C21" s="79"/>
      <c r="D21" s="269">
        <f t="shared" si="2"/>
        <v>46156</v>
      </c>
      <c r="E21" s="269" t="s">
        <v>462</v>
      </c>
      <c r="F21" s="206">
        <v>354.97458665007719</v>
      </c>
      <c r="G21" s="89"/>
      <c r="H21" s="89"/>
      <c r="I21" s="86">
        <f t="shared" si="1"/>
        <v>0.96987591980895405</v>
      </c>
      <c r="J21" s="192"/>
      <c r="K21" s="192"/>
      <c r="L21" s="224">
        <v>2.4071356209261164E-3</v>
      </c>
      <c r="M21" s="268"/>
      <c r="N21" s="268"/>
      <c r="O21" s="224">
        <v>4.3562979314210682E-3</v>
      </c>
      <c r="P21" s="268"/>
      <c r="Q21" s="268"/>
      <c r="R21" s="210">
        <v>0.91700000000000004</v>
      </c>
      <c r="S21" s="192"/>
      <c r="T21" s="268"/>
      <c r="U21" s="210">
        <v>0.34</v>
      </c>
      <c r="V21" s="192"/>
      <c r="W21" s="268"/>
    </row>
    <row r="22" spans="2:23" ht="14.45" customHeight="1">
      <c r="B22" s="79"/>
      <c r="C22" s="79"/>
      <c r="D22" s="269">
        <f t="shared" si="2"/>
        <v>46157</v>
      </c>
      <c r="E22" s="269" t="s">
        <v>463</v>
      </c>
      <c r="F22" s="206">
        <v>354.06821870854833</v>
      </c>
      <c r="G22" s="89"/>
      <c r="H22" s="89"/>
      <c r="I22" s="86">
        <f t="shared" si="1"/>
        <v>0.96739950466816482</v>
      </c>
      <c r="J22" s="192"/>
      <c r="K22" s="192"/>
      <c r="L22" s="224">
        <v>2.4224031894615394E-3</v>
      </c>
      <c r="M22" s="268"/>
      <c r="N22" s="268"/>
      <c r="O22" s="224">
        <v>4.096957219155253E-3</v>
      </c>
      <c r="P22" s="268"/>
      <c r="Q22" s="268"/>
      <c r="R22" s="210">
        <v>0.91700000000000004</v>
      </c>
      <c r="S22" s="192"/>
      <c r="T22" s="268"/>
      <c r="U22" s="210">
        <v>0.35</v>
      </c>
      <c r="V22" s="192"/>
      <c r="W22" s="268"/>
    </row>
    <row r="23" spans="2:23" ht="14.45" customHeight="1">
      <c r="B23" s="79"/>
      <c r="C23" s="79"/>
      <c r="D23" s="269">
        <f t="shared" si="2"/>
        <v>46158</v>
      </c>
      <c r="E23" s="269" t="s">
        <v>464</v>
      </c>
      <c r="F23" s="206">
        <v>353.92954415097023</v>
      </c>
      <c r="G23" s="89"/>
      <c r="H23" s="89"/>
      <c r="I23" s="86">
        <f t="shared" si="1"/>
        <v>0.9670206124343449</v>
      </c>
      <c r="J23" s="192"/>
      <c r="K23" s="192"/>
      <c r="L23" s="224">
        <v>2.4319019857468515E-3</v>
      </c>
      <c r="M23" s="268"/>
      <c r="N23" s="268"/>
      <c r="O23" s="224">
        <v>4.0600347128220008E-3</v>
      </c>
      <c r="P23" s="268"/>
      <c r="Q23" s="268"/>
      <c r="R23" s="210">
        <v>0.91700000000000004</v>
      </c>
      <c r="S23" s="192"/>
      <c r="T23" s="268"/>
      <c r="U23" s="210">
        <v>0.36</v>
      </c>
      <c r="V23" s="192"/>
      <c r="W23" s="268"/>
    </row>
    <row r="24" spans="2:23" ht="14.45" customHeight="1">
      <c r="B24" s="79"/>
      <c r="C24" s="79"/>
      <c r="D24" s="269">
        <f t="shared" si="2"/>
        <v>46159</v>
      </c>
      <c r="E24" s="269" t="s">
        <v>465</v>
      </c>
      <c r="F24" s="206">
        <v>355.6715284860245</v>
      </c>
      <c r="G24" s="89"/>
      <c r="H24" s="89"/>
      <c r="I24" s="86">
        <f t="shared" si="1"/>
        <v>0.97178013247547679</v>
      </c>
      <c r="J24" s="192"/>
      <c r="K24" s="192"/>
      <c r="L24" s="224">
        <v>2.4187676440100008E-3</v>
      </c>
      <c r="M24" s="268"/>
      <c r="N24" s="268"/>
      <c r="O24" s="224">
        <v>3.962322712458958E-3</v>
      </c>
      <c r="P24" s="268"/>
      <c r="Q24" s="268"/>
      <c r="R24" s="210">
        <v>0.91700000000000004</v>
      </c>
      <c r="S24" s="192"/>
      <c r="T24" s="268"/>
      <c r="U24" s="210">
        <v>0.36199999999999999</v>
      </c>
      <c r="V24" s="192"/>
      <c r="W24" s="268"/>
    </row>
    <row r="25" spans="2:23" ht="14.45" customHeight="1">
      <c r="B25" s="79"/>
      <c r="C25" s="79"/>
      <c r="D25" s="269">
        <f t="shared" si="2"/>
        <v>46160</v>
      </c>
      <c r="E25" s="269" t="s">
        <v>459</v>
      </c>
      <c r="F25" s="206">
        <v>356.41513746542233</v>
      </c>
      <c r="G25" s="89"/>
      <c r="H25" s="89"/>
      <c r="I25" s="86">
        <f t="shared" si="1"/>
        <v>0.97381185099842171</v>
      </c>
      <c r="J25" s="192"/>
      <c r="K25" s="192"/>
      <c r="L25" s="224">
        <v>2.4165265592147921E-3</v>
      </c>
      <c r="M25" s="268"/>
      <c r="N25" s="268"/>
      <c r="O25" s="224">
        <v>4.1657151758530912E-3</v>
      </c>
      <c r="P25" s="268"/>
      <c r="Q25" s="268"/>
      <c r="R25" s="210">
        <v>0.91700000000000004</v>
      </c>
      <c r="S25" s="192">
        <f>AVERAGE(R25:R31)</f>
        <v>0.91699999999999993</v>
      </c>
      <c r="T25" s="268"/>
      <c r="U25" s="210">
        <v>0.36399999999999999</v>
      </c>
      <c r="V25" s="192"/>
      <c r="W25" s="268"/>
    </row>
    <row r="26" spans="2:23" ht="14.45" customHeight="1">
      <c r="B26" s="79"/>
      <c r="C26" s="79"/>
      <c r="D26" s="315">
        <f t="shared" si="2"/>
        <v>46161</v>
      </c>
      <c r="E26" s="315" t="s">
        <v>460</v>
      </c>
      <c r="F26" s="206">
        <v>355.64985340384334</v>
      </c>
      <c r="G26" s="89">
        <f>AVERAGE(F26:F32)</f>
        <v>355.88224262090489</v>
      </c>
      <c r="H26" s="89"/>
      <c r="I26" s="86">
        <f t="shared" si="1"/>
        <v>0.97172091093946267</v>
      </c>
      <c r="J26" s="192">
        <f>AVERAGE(I26:I32)</f>
        <v>0.97235585415547765</v>
      </c>
      <c r="K26" s="192"/>
      <c r="L26" s="224">
        <v>2.4306698152844835E-3</v>
      </c>
      <c r="M26" s="268">
        <f>AVERAGE(L26:L32)</f>
        <v>2.4230132209561153E-3</v>
      </c>
      <c r="N26" s="268"/>
      <c r="O26" s="224">
        <v>4.0612133759818326E-3</v>
      </c>
      <c r="P26" s="268">
        <f>AVERAGE(O26:O32)</f>
        <v>4.1957909493905805E-3</v>
      </c>
      <c r="Q26" s="268"/>
      <c r="R26" s="210">
        <v>0.91700000000000004</v>
      </c>
      <c r="S26" s="192"/>
      <c r="T26" s="268"/>
      <c r="U26" s="210">
        <v>0.36599999999999999</v>
      </c>
      <c r="V26" s="192">
        <f>AVERAGE(U26:U32)</f>
        <v>0.374</v>
      </c>
      <c r="W26" s="268"/>
    </row>
    <row r="27" spans="2:23" ht="14.45" customHeight="1">
      <c r="B27" s="79"/>
      <c r="C27" s="79"/>
      <c r="D27" s="315">
        <f t="shared" si="2"/>
        <v>46162</v>
      </c>
      <c r="E27" s="315" t="s">
        <v>461</v>
      </c>
      <c r="F27" s="206">
        <v>352.3529639272848</v>
      </c>
      <c r="G27" s="89"/>
      <c r="H27" s="89"/>
      <c r="I27" s="86">
        <f t="shared" si="1"/>
        <v>0.96271301619476723</v>
      </c>
      <c r="J27" s="192"/>
      <c r="K27" s="192"/>
      <c r="L27" s="224">
        <v>2.4082454987718097E-3</v>
      </c>
      <c r="M27" s="268"/>
      <c r="N27" s="268"/>
      <c r="O27" s="224">
        <v>4.1968563830174724E-3</v>
      </c>
      <c r="P27" s="268"/>
      <c r="Q27" s="268"/>
      <c r="R27" s="210">
        <v>0.91700000000000004</v>
      </c>
      <c r="S27" s="192"/>
      <c r="T27" s="268"/>
      <c r="U27" s="210">
        <v>0.36799999999999999</v>
      </c>
      <c r="V27" s="192"/>
      <c r="W27" s="268"/>
    </row>
    <row r="28" spans="2:23" ht="14.45" customHeight="1">
      <c r="B28" s="79"/>
      <c r="C28" s="79"/>
      <c r="D28" s="315">
        <f t="shared" si="2"/>
        <v>46163</v>
      </c>
      <c r="E28" s="315" t="s">
        <v>462</v>
      </c>
      <c r="F28" s="206">
        <v>359.22192633345406</v>
      </c>
      <c r="G28" s="89"/>
      <c r="H28" s="89"/>
      <c r="I28" s="86">
        <f t="shared" si="1"/>
        <v>0.98148067304222419</v>
      </c>
      <c r="J28" s="192"/>
      <c r="K28" s="192"/>
      <c r="L28" s="224">
        <v>2.4108335741284078E-3</v>
      </c>
      <c r="M28" s="268"/>
      <c r="N28" s="268"/>
      <c r="O28" s="224">
        <v>4.4187126694631707E-3</v>
      </c>
      <c r="P28" s="268"/>
      <c r="Q28" s="268"/>
      <c r="R28" s="210">
        <v>0.91700000000000004</v>
      </c>
      <c r="S28" s="192"/>
      <c r="T28" s="268"/>
      <c r="U28" s="210">
        <v>0.37</v>
      </c>
      <c r="V28" s="192"/>
      <c r="W28" s="268"/>
    </row>
    <row r="29" spans="2:23" ht="14.45" customHeight="1">
      <c r="B29" s="79"/>
      <c r="C29" s="79"/>
      <c r="D29" s="315">
        <f t="shared" si="2"/>
        <v>46164</v>
      </c>
      <c r="E29" s="315" t="s">
        <v>463</v>
      </c>
      <c r="F29" s="206">
        <v>353.08217358148562</v>
      </c>
      <c r="G29" s="89"/>
      <c r="H29" s="89"/>
      <c r="I29" s="86">
        <f t="shared" si="1"/>
        <v>0.96470539229914098</v>
      </c>
      <c r="J29" s="192"/>
      <c r="K29" s="192"/>
      <c r="L29" s="224">
        <v>2.4318662889170578E-3</v>
      </c>
      <c r="M29" s="268"/>
      <c r="N29" s="268"/>
      <c r="O29" s="224">
        <v>4.2474062499087374E-3</v>
      </c>
      <c r="P29" s="268"/>
      <c r="Q29" s="268"/>
      <c r="R29" s="210">
        <v>0.91700000000000004</v>
      </c>
      <c r="S29" s="192"/>
      <c r="T29" s="268"/>
      <c r="U29" s="210">
        <v>0.376</v>
      </c>
      <c r="V29" s="192"/>
      <c r="W29" s="268"/>
    </row>
    <row r="30" spans="2:23" ht="14.45" customHeight="1">
      <c r="B30" s="79"/>
      <c r="C30" s="79"/>
      <c r="D30" s="315">
        <f t="shared" si="2"/>
        <v>46165</v>
      </c>
      <c r="E30" s="315" t="s">
        <v>464</v>
      </c>
      <c r="F30" s="206">
        <v>360.23253437327571</v>
      </c>
      <c r="G30" s="89"/>
      <c r="H30" s="89"/>
      <c r="I30" s="86">
        <f t="shared" si="1"/>
        <v>0.98424189719474242</v>
      </c>
      <c r="J30" s="192"/>
      <c r="K30" s="192"/>
      <c r="L30" s="224">
        <v>2.4345546542777112E-3</v>
      </c>
      <c r="M30" s="268"/>
      <c r="N30" s="268"/>
      <c r="O30" s="224">
        <v>4.0764640494481011E-3</v>
      </c>
      <c r="P30" s="268"/>
      <c r="Q30" s="268"/>
      <c r="R30" s="210">
        <v>0.91700000000000004</v>
      </c>
      <c r="S30" s="192"/>
      <c r="T30" s="268"/>
      <c r="U30" s="210">
        <v>0.378</v>
      </c>
      <c r="V30" s="192"/>
      <c r="W30" s="268"/>
    </row>
    <row r="31" spans="2:23" ht="14.45" customHeight="1">
      <c r="B31" s="79"/>
      <c r="C31" s="79"/>
      <c r="D31" s="315">
        <f t="shared" si="2"/>
        <v>46166</v>
      </c>
      <c r="E31" s="315" t="s">
        <v>465</v>
      </c>
      <c r="F31" s="206">
        <v>349.18840018296538</v>
      </c>
      <c r="G31" s="89"/>
      <c r="H31" s="89"/>
      <c r="I31" s="86">
        <f t="shared" si="1"/>
        <v>0.95406666716657207</v>
      </c>
      <c r="J31" s="192"/>
      <c r="K31" s="192"/>
      <c r="L31" s="224">
        <v>2.4071352296141189E-3</v>
      </c>
      <c r="M31" s="268"/>
      <c r="N31" s="268"/>
      <c r="O31" s="224">
        <v>4.0856052917401841E-3</v>
      </c>
      <c r="P31" s="268"/>
      <c r="Q31" s="268"/>
      <c r="R31" s="210">
        <v>0.91700000000000004</v>
      </c>
      <c r="S31" s="192"/>
      <c r="T31" s="268"/>
      <c r="U31" s="210">
        <v>0.38</v>
      </c>
      <c r="V31" s="192"/>
      <c r="W31" s="268"/>
    </row>
    <row r="32" spans="2:23" ht="14.45" customHeight="1">
      <c r="B32" s="79"/>
      <c r="C32" s="79"/>
      <c r="D32" s="315">
        <f t="shared" si="2"/>
        <v>46167</v>
      </c>
      <c r="E32" s="315" t="s">
        <v>459</v>
      </c>
      <c r="F32" s="206">
        <v>361.44784654402503</v>
      </c>
      <c r="G32" s="89"/>
      <c r="H32" s="89"/>
      <c r="I32" s="86">
        <f t="shared" si="1"/>
        <v>0.98756242225143454</v>
      </c>
      <c r="J32" s="192"/>
      <c r="K32" s="192"/>
      <c r="L32" s="224">
        <v>2.4377874856992159E-3</v>
      </c>
      <c r="M32" s="268"/>
      <c r="N32" s="268"/>
      <c r="O32" s="224">
        <v>4.2842786261745687E-3</v>
      </c>
      <c r="P32" s="268"/>
      <c r="Q32" s="268"/>
      <c r="R32" s="210">
        <v>0.91700000000000004</v>
      </c>
      <c r="S32" s="192">
        <f>AVERAGE(R32:R38)</f>
        <v>0.91699999999999993</v>
      </c>
      <c r="T32" s="268"/>
      <c r="U32" s="210">
        <v>0.38</v>
      </c>
      <c r="V32" s="192"/>
      <c r="W32" s="268"/>
    </row>
    <row r="33" spans="2:23" ht="14.45" customHeight="1">
      <c r="B33" s="79"/>
      <c r="C33" s="79"/>
      <c r="D33" s="269">
        <f t="shared" si="2"/>
        <v>46168</v>
      </c>
      <c r="E33" s="269" t="s">
        <v>460</v>
      </c>
      <c r="F33" s="206">
        <v>365.46905058336091</v>
      </c>
      <c r="G33" s="89">
        <f>AVERAGE(F33:F39)</f>
        <v>367.41015788179351</v>
      </c>
      <c r="H33" s="89"/>
      <c r="I33" s="86">
        <f t="shared" si="1"/>
        <v>0.99854931853377293</v>
      </c>
      <c r="J33" s="192">
        <f>AVERAGE(I33:I39)</f>
        <v>1.003852890387414</v>
      </c>
      <c r="K33" s="192"/>
      <c r="L33" s="224">
        <v>2.4291591307438539E-3</v>
      </c>
      <c r="M33" s="268">
        <f>AVERAGE(L33:L39)</f>
        <v>2.423079576054621E-3</v>
      </c>
      <c r="N33" s="268"/>
      <c r="O33" s="224">
        <v>4.1233462339200768E-3</v>
      </c>
      <c r="P33" s="268">
        <f>AVERAGE(O33:O39)</f>
        <v>4.2109245020056866E-3</v>
      </c>
      <c r="Q33" s="268"/>
      <c r="R33" s="210">
        <v>0.91700000000000004</v>
      </c>
      <c r="S33" s="192"/>
      <c r="T33" s="268"/>
      <c r="U33" s="210">
        <v>0.39</v>
      </c>
      <c r="V33" s="192">
        <f>AVERAGE(U33:U39)</f>
        <v>0.39885714285714291</v>
      </c>
      <c r="W33" s="268"/>
    </row>
    <row r="34" spans="2:23" ht="14.45" customHeight="1">
      <c r="B34" s="79"/>
      <c r="C34" s="79"/>
      <c r="D34" s="269">
        <f t="shared" si="2"/>
        <v>46169</v>
      </c>
      <c r="E34" s="269" t="s">
        <v>461</v>
      </c>
      <c r="F34" s="206">
        <v>366.33393632421536</v>
      </c>
      <c r="G34" s="89"/>
      <c r="H34" s="89"/>
      <c r="I34" s="86">
        <f t="shared" si="1"/>
        <v>1.0009123943284572</v>
      </c>
      <c r="J34" s="192"/>
      <c r="K34" s="192"/>
      <c r="L34" s="224">
        <v>2.4428816574509973E-3</v>
      </c>
      <c r="M34" s="268"/>
      <c r="N34" s="268"/>
      <c r="O34" s="224">
        <v>4.2721648534914764E-3</v>
      </c>
      <c r="P34" s="268"/>
      <c r="Q34" s="268"/>
      <c r="R34" s="210">
        <v>0.91700000000000004</v>
      </c>
      <c r="S34" s="192"/>
      <c r="T34" s="268"/>
      <c r="U34" s="210">
        <v>0.39</v>
      </c>
      <c r="V34" s="192"/>
      <c r="W34" s="268"/>
    </row>
    <row r="35" spans="2:23">
      <c r="B35" s="79"/>
      <c r="D35" s="269">
        <f>D34+1</f>
        <v>46170</v>
      </c>
      <c r="E35" s="269" t="s">
        <v>462</v>
      </c>
      <c r="F35" s="206">
        <v>364.47071363318878</v>
      </c>
      <c r="G35" s="89"/>
      <c r="I35" s="86">
        <f t="shared" si="1"/>
        <v>0.99582162194860324</v>
      </c>
      <c r="J35" s="192"/>
      <c r="L35" s="224">
        <v>2.4289742515762086E-3</v>
      </c>
      <c r="M35" s="268"/>
      <c r="O35" s="224">
        <v>4.2996410084721959E-3</v>
      </c>
      <c r="P35" s="268"/>
      <c r="R35" s="210">
        <v>0.91700000000000004</v>
      </c>
      <c r="S35" s="192"/>
      <c r="U35" s="210">
        <v>0.39400000000000002</v>
      </c>
      <c r="V35" s="192"/>
    </row>
    <row r="36" spans="2:23">
      <c r="B36" s="79"/>
      <c r="C36" s="79"/>
      <c r="D36" s="269">
        <f t="shared" ref="D36:D39" si="3">D35+1</f>
        <v>46171</v>
      </c>
      <c r="E36" s="269" t="s">
        <v>463</v>
      </c>
      <c r="F36" s="206">
        <v>368.63145321602957</v>
      </c>
      <c r="G36" s="89"/>
      <c r="H36" s="89"/>
      <c r="I36" s="86">
        <f t="shared" si="1"/>
        <v>1.0071897628853268</v>
      </c>
      <c r="J36" s="192"/>
      <c r="K36" s="192"/>
      <c r="L36" s="224">
        <v>2.4027455002433853E-3</v>
      </c>
      <c r="M36" s="192"/>
      <c r="N36" s="268"/>
      <c r="O36" s="224">
        <v>4.3797813812339898E-3</v>
      </c>
      <c r="P36" s="192"/>
      <c r="Q36" s="268"/>
      <c r="R36" s="210">
        <v>0.91700000000000004</v>
      </c>
      <c r="S36" s="192"/>
      <c r="T36" s="192"/>
      <c r="U36" s="210">
        <v>0.4</v>
      </c>
      <c r="V36" s="192"/>
      <c r="W36" s="192"/>
    </row>
    <row r="37" spans="2:23">
      <c r="B37" s="79"/>
      <c r="D37" s="269">
        <f t="shared" si="3"/>
        <v>46172</v>
      </c>
      <c r="E37" s="269" t="s">
        <v>464</v>
      </c>
      <c r="F37" s="206">
        <v>368.64391449436005</v>
      </c>
      <c r="G37" s="89"/>
      <c r="H37" s="89"/>
      <c r="I37" s="86">
        <f t="shared" si="1"/>
        <v>1.00722381009388</v>
      </c>
      <c r="J37" s="192"/>
      <c r="K37" s="83"/>
      <c r="L37" s="224">
        <v>2.4216396488400587E-3</v>
      </c>
      <c r="M37" s="192"/>
      <c r="N37" s="86"/>
      <c r="O37" s="224">
        <v>4.3383675572087289E-3</v>
      </c>
      <c r="P37" s="192"/>
      <c r="Q37" s="86"/>
      <c r="R37" s="210">
        <v>0.91700000000000004</v>
      </c>
      <c r="S37" s="192"/>
      <c r="T37" s="192"/>
      <c r="U37" s="210">
        <v>0.40600000000000003</v>
      </c>
      <c r="V37" s="192"/>
      <c r="W37" s="192"/>
    </row>
    <row r="38" spans="2:23">
      <c r="B38" s="79"/>
      <c r="D38" s="269">
        <f t="shared" si="3"/>
        <v>46173</v>
      </c>
      <c r="E38" s="269" t="s">
        <v>465</v>
      </c>
      <c r="F38" s="206">
        <v>366.65571471755152</v>
      </c>
      <c r="G38" s="89"/>
      <c r="H38" s="89"/>
      <c r="I38" s="86">
        <f t="shared" si="1"/>
        <v>1.0017915702665341</v>
      </c>
      <c r="J38" s="192"/>
      <c r="K38" s="83"/>
      <c r="L38" s="224">
        <v>2.4284001201950716E-3</v>
      </c>
      <c r="M38" s="192"/>
      <c r="N38" s="86"/>
      <c r="O38" s="224">
        <v>4.074897776494924E-3</v>
      </c>
      <c r="P38" s="192"/>
      <c r="Q38" s="86"/>
      <c r="R38" s="210">
        <v>0.91700000000000004</v>
      </c>
      <c r="S38" s="192"/>
      <c r="T38" s="192"/>
      <c r="U38" s="210">
        <v>0.40600000000000003</v>
      </c>
      <c r="V38" s="192"/>
      <c r="W38" s="192"/>
    </row>
    <row r="39" spans="2:23">
      <c r="B39" s="79"/>
      <c r="D39" s="269">
        <f t="shared" si="3"/>
        <v>46174</v>
      </c>
      <c r="E39" s="269" t="s">
        <v>459</v>
      </c>
      <c r="F39" s="206">
        <v>371.66632220384838</v>
      </c>
      <c r="G39" s="89"/>
      <c r="H39" s="89"/>
      <c r="I39" s="86">
        <f t="shared" si="1"/>
        <v>1.0154817546553234</v>
      </c>
      <c r="J39" s="192"/>
      <c r="K39" s="83"/>
      <c r="L39" s="224">
        <v>2.4077567233327713E-3</v>
      </c>
      <c r="M39" s="192"/>
      <c r="N39" s="86"/>
      <c r="O39" s="224">
        <v>3.9882727032184108E-3</v>
      </c>
      <c r="P39" s="192"/>
      <c r="Q39" s="86"/>
      <c r="R39" s="210">
        <v>0.91700000000000004</v>
      </c>
      <c r="S39" s="192"/>
      <c r="T39" s="192"/>
      <c r="U39" s="210">
        <v>0.40600000000000003</v>
      </c>
      <c r="V39" s="192"/>
      <c r="W39" s="192"/>
    </row>
    <row r="40" spans="2:23">
      <c r="B40" s="79"/>
      <c r="D40" s="269"/>
      <c r="E40" s="320"/>
      <c r="F40" s="206"/>
      <c r="G40" s="89"/>
      <c r="H40" s="89"/>
      <c r="I40" s="86">
        <f t="shared" si="1"/>
        <v>0</v>
      </c>
      <c r="J40" s="192"/>
      <c r="K40" s="83"/>
      <c r="L40" s="224"/>
      <c r="M40" s="192"/>
      <c r="N40" s="86"/>
      <c r="O40" s="224"/>
      <c r="P40" s="192"/>
      <c r="Q40" s="86"/>
      <c r="R40" s="210"/>
      <c r="S40" s="192"/>
      <c r="T40" s="192"/>
      <c r="U40" s="210"/>
      <c r="V40" s="192"/>
      <c r="W40" s="192"/>
    </row>
    <row r="41" spans="2:23">
      <c r="B41" s="79"/>
      <c r="D41" s="269"/>
      <c r="E41" s="320"/>
      <c r="F41" s="206"/>
      <c r="L41" s="224"/>
      <c r="O41" s="224"/>
      <c r="R41" s="210"/>
      <c r="U41" s="210"/>
    </row>
    <row r="42" spans="2:23">
      <c r="B42" s="79"/>
      <c r="D42" s="82"/>
      <c r="E42" s="82"/>
      <c r="F42" s="259"/>
      <c r="G42" s="89"/>
      <c r="H42" s="89"/>
      <c r="I42" s="86"/>
      <c r="J42" s="192"/>
      <c r="K42" s="83"/>
      <c r="L42" s="265"/>
      <c r="M42" s="86"/>
      <c r="N42" s="86"/>
      <c r="O42" s="265"/>
      <c r="P42" s="86"/>
      <c r="Q42" s="86"/>
      <c r="R42" s="264"/>
      <c r="S42" s="192"/>
      <c r="T42" s="192"/>
      <c r="U42" s="264"/>
      <c r="V42" s="192"/>
      <c r="W42" s="192"/>
    </row>
    <row r="43" spans="2:23">
      <c r="B43" s="79"/>
      <c r="D43" s="82"/>
      <c r="E43" s="82"/>
      <c r="F43" s="259"/>
      <c r="G43" s="89"/>
      <c r="H43" s="89"/>
      <c r="I43" s="86"/>
      <c r="J43" s="192"/>
      <c r="K43" s="83"/>
      <c r="L43" s="265"/>
      <c r="M43" s="86"/>
      <c r="N43" s="86"/>
      <c r="O43" s="265"/>
      <c r="P43" s="86"/>
      <c r="Q43" s="86"/>
      <c r="R43" s="264"/>
      <c r="S43" s="192"/>
      <c r="T43" s="192"/>
      <c r="U43" s="264"/>
      <c r="V43" s="192"/>
      <c r="W43" s="192"/>
    </row>
    <row r="44" spans="2:23">
      <c r="B44" s="79"/>
      <c r="D44" s="82"/>
      <c r="E44" s="82"/>
      <c r="F44" s="259"/>
      <c r="G44" s="89"/>
      <c r="H44" s="89"/>
      <c r="I44" s="86"/>
      <c r="J44" s="192"/>
      <c r="K44" s="83"/>
      <c r="L44" s="265"/>
      <c r="M44" s="86"/>
      <c r="N44" s="86"/>
      <c r="O44" s="265"/>
      <c r="P44" s="86"/>
      <c r="Q44" s="86"/>
      <c r="R44" s="264"/>
      <c r="S44" s="192"/>
      <c r="T44" s="192"/>
      <c r="U44" s="264"/>
      <c r="V44" s="192"/>
      <c r="W44" s="192"/>
    </row>
    <row r="45" spans="2:23">
      <c r="B45" s="79"/>
    </row>
    <row r="46" spans="2:23">
      <c r="B46" s="79"/>
    </row>
    <row r="47" spans="2:23">
      <c r="B47" s="79"/>
    </row>
    <row r="48" spans="2:23">
      <c r="B48" s="79"/>
    </row>
    <row r="49" spans="2:2">
      <c r="B49" s="79"/>
    </row>
    <row r="50" spans="2:2">
      <c r="B50" s="79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D10" sqref="D10:E41"/>
    </sheetView>
  </sheetViews>
  <sheetFormatPr defaultColWidth="8.85546875" defaultRowHeight="16.5"/>
  <cols>
    <col min="1" max="1" width="0" style="75" hidden="1" customWidth="1"/>
    <col min="2" max="2" width="13.140625" style="75" hidden="1" customWidth="1"/>
    <col min="3" max="3" width="0" style="98" hidden="1" customWidth="1"/>
    <col min="4" max="4" width="11" style="98" bestFit="1" customWidth="1"/>
    <col min="5" max="5" width="8.5703125" style="78" customWidth="1"/>
    <col min="6" max="8" width="17.42578125" style="97" customWidth="1"/>
    <col min="9" max="9" width="10.5703125" style="93" customWidth="1"/>
    <col min="10" max="10" width="10.5703125" style="86" customWidth="1"/>
    <col min="11" max="11" width="10.5703125" style="93" customWidth="1"/>
    <col min="12" max="14" width="10.5703125" style="86" customWidth="1"/>
    <col min="15" max="15" width="10.5703125" style="93" customWidth="1"/>
    <col min="16" max="16" width="10.5703125" style="86" customWidth="1"/>
    <col min="17" max="17" width="10.5703125" style="93" customWidth="1"/>
    <col min="18" max="18" width="10.5703125" style="86" customWidth="1"/>
    <col min="19" max="19" width="10.5703125" style="93" customWidth="1"/>
    <col min="20" max="20" width="10.5703125" style="86" customWidth="1"/>
    <col min="21" max="21" width="10.5703125" style="93" customWidth="1"/>
    <col min="22" max="22" width="10.5703125" style="86" customWidth="1"/>
    <col min="23" max="23" width="10.5703125" style="93" customWidth="1"/>
    <col min="24" max="24" width="10.5703125" style="86" customWidth="1"/>
    <col min="25" max="25" width="10.5703125" style="93" customWidth="1"/>
    <col min="26" max="26" width="10.5703125" style="86" customWidth="1"/>
    <col min="27" max="27" width="10.5703125" style="93" customWidth="1"/>
    <col min="28" max="28" width="10.5703125" style="86" customWidth="1"/>
    <col min="29" max="29" width="10.5703125" style="93" customWidth="1"/>
    <col min="30" max="30" width="10.5703125" style="86" customWidth="1"/>
    <col min="31" max="31" width="10.5703125" style="93" customWidth="1"/>
    <col min="32" max="32" width="10.5703125" style="86" customWidth="1"/>
    <col min="33" max="33" width="10.42578125" style="93" customWidth="1"/>
    <col min="34" max="34" width="10.42578125" style="86" customWidth="1"/>
    <col min="35" max="35" width="10.42578125" style="93" customWidth="1"/>
    <col min="36" max="36" width="10.42578125" style="86" customWidth="1"/>
    <col min="37" max="37" width="10.42578125" style="93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462" t="s">
        <v>301</v>
      </c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462"/>
      <c r="AA2" s="462"/>
      <c r="AB2" s="462"/>
      <c r="AC2" s="462"/>
      <c r="AD2" s="462"/>
      <c r="AE2" s="462"/>
      <c r="AF2" s="462"/>
      <c r="AG2" s="462"/>
      <c r="AH2" s="462"/>
      <c r="AI2" s="462"/>
      <c r="AJ2" s="462"/>
      <c r="AK2" s="462"/>
      <c r="AL2" s="462"/>
    </row>
    <row r="3" spans="1:38" ht="25.35" customHeight="1">
      <c r="B3" s="79"/>
      <c r="C3" s="474" t="s">
        <v>139</v>
      </c>
      <c r="D3" s="475" t="s">
        <v>105</v>
      </c>
      <c r="E3" s="475"/>
      <c r="F3" s="476" t="s">
        <v>338</v>
      </c>
      <c r="G3" s="476"/>
      <c r="H3" s="476"/>
      <c r="I3" s="477" t="s">
        <v>111</v>
      </c>
      <c r="J3" s="477"/>
      <c r="K3" s="477"/>
      <c r="L3" s="477"/>
      <c r="M3" s="477"/>
      <c r="N3" s="477"/>
      <c r="O3" s="477"/>
      <c r="P3" s="477"/>
      <c r="Q3" s="477"/>
      <c r="R3" s="477"/>
      <c r="S3" s="477"/>
      <c r="T3" s="477"/>
      <c r="U3" s="477"/>
      <c r="V3" s="477"/>
      <c r="W3" s="477"/>
      <c r="X3" s="477"/>
      <c r="Y3" s="477"/>
      <c r="Z3" s="477"/>
      <c r="AA3" s="477"/>
      <c r="AB3" s="477"/>
      <c r="AC3" s="477"/>
      <c r="AD3" s="477"/>
      <c r="AE3" s="477"/>
      <c r="AF3" s="477"/>
      <c r="AG3" s="477"/>
      <c r="AH3" s="477"/>
      <c r="AI3" s="477"/>
      <c r="AJ3" s="477"/>
      <c r="AK3" s="477"/>
      <c r="AL3" s="477"/>
    </row>
    <row r="4" spans="1:38" ht="25.35" customHeight="1">
      <c r="B4" s="79"/>
      <c r="C4" s="474"/>
      <c r="D4" s="475"/>
      <c r="E4" s="475"/>
      <c r="F4" s="476"/>
      <c r="G4" s="476"/>
      <c r="H4" s="476"/>
      <c r="I4" s="473" t="s">
        <v>140</v>
      </c>
      <c r="J4" s="473"/>
      <c r="K4" s="473"/>
      <c r="L4" s="473"/>
      <c r="M4" s="473"/>
      <c r="N4" s="473"/>
      <c r="O4" s="473" t="s">
        <v>141</v>
      </c>
      <c r="P4" s="473"/>
      <c r="Q4" s="473"/>
      <c r="R4" s="473"/>
      <c r="S4" s="473"/>
      <c r="T4" s="473"/>
      <c r="U4" s="473" t="s">
        <v>325</v>
      </c>
      <c r="V4" s="473"/>
      <c r="W4" s="473" t="s">
        <v>143</v>
      </c>
      <c r="X4" s="473"/>
      <c r="Y4" s="473" t="s">
        <v>134</v>
      </c>
      <c r="Z4" s="473"/>
      <c r="AA4" s="473"/>
      <c r="AB4" s="473"/>
      <c r="AC4" s="473"/>
      <c r="AD4" s="473"/>
      <c r="AE4" s="473" t="s">
        <v>132</v>
      </c>
      <c r="AF4" s="473"/>
      <c r="AG4" s="473" t="s">
        <v>144</v>
      </c>
      <c r="AH4" s="473"/>
      <c r="AI4" s="473" t="s">
        <v>145</v>
      </c>
      <c r="AJ4" s="473"/>
      <c r="AK4" s="473" t="s">
        <v>138</v>
      </c>
      <c r="AL4" s="473"/>
    </row>
    <row r="5" spans="1:38" ht="25.35" customHeight="1">
      <c r="B5" s="79"/>
      <c r="C5" s="474"/>
      <c r="D5" s="475"/>
      <c r="E5" s="475"/>
      <c r="F5" s="479" t="s">
        <v>115</v>
      </c>
      <c r="G5" s="479" t="s">
        <v>117</v>
      </c>
      <c r="H5" s="479" t="s">
        <v>118</v>
      </c>
      <c r="I5" s="473" t="s">
        <v>129</v>
      </c>
      <c r="J5" s="473"/>
      <c r="K5" s="473" t="s">
        <v>130</v>
      </c>
      <c r="L5" s="473"/>
      <c r="M5" s="478" t="s">
        <v>146</v>
      </c>
      <c r="N5" s="473"/>
      <c r="O5" s="473" t="s">
        <v>129</v>
      </c>
      <c r="P5" s="473"/>
      <c r="Q5" s="473" t="s">
        <v>130</v>
      </c>
      <c r="R5" s="473"/>
      <c r="S5" s="478" t="s">
        <v>146</v>
      </c>
      <c r="T5" s="473"/>
      <c r="U5" s="473" t="s">
        <v>129</v>
      </c>
      <c r="V5" s="473"/>
      <c r="W5" s="473" t="s">
        <v>129</v>
      </c>
      <c r="X5" s="473"/>
      <c r="Y5" s="473" t="s">
        <v>129</v>
      </c>
      <c r="Z5" s="473"/>
      <c r="AA5" s="473" t="s">
        <v>130</v>
      </c>
      <c r="AB5" s="473"/>
      <c r="AC5" s="478" t="s">
        <v>146</v>
      </c>
      <c r="AD5" s="473"/>
      <c r="AE5" s="473" t="s">
        <v>129</v>
      </c>
      <c r="AF5" s="473"/>
      <c r="AG5" s="473" t="s">
        <v>129</v>
      </c>
      <c r="AH5" s="473"/>
      <c r="AI5" s="473" t="s">
        <v>129</v>
      </c>
      <c r="AJ5" s="473"/>
      <c r="AK5" s="473" t="s">
        <v>129</v>
      </c>
      <c r="AL5" s="473"/>
    </row>
    <row r="6" spans="1:38" s="78" customFormat="1" ht="23.45" customHeight="1">
      <c r="B6" s="79"/>
      <c r="C6" s="474"/>
      <c r="D6" s="475"/>
      <c r="E6" s="475"/>
      <c r="F6" s="479"/>
      <c r="G6" s="479"/>
      <c r="H6" s="479"/>
      <c r="I6" s="94" t="s">
        <v>112</v>
      </c>
      <c r="J6" s="95" t="s">
        <v>113</v>
      </c>
      <c r="K6" s="94" t="s">
        <v>112</v>
      </c>
      <c r="L6" s="95" t="s">
        <v>113</v>
      </c>
      <c r="M6" s="94" t="s">
        <v>112</v>
      </c>
      <c r="N6" s="95" t="s">
        <v>113</v>
      </c>
      <c r="O6" s="94" t="s">
        <v>112</v>
      </c>
      <c r="P6" s="95" t="s">
        <v>113</v>
      </c>
      <c r="Q6" s="94" t="s">
        <v>112</v>
      </c>
      <c r="R6" s="95" t="s">
        <v>113</v>
      </c>
      <c r="S6" s="94" t="s">
        <v>112</v>
      </c>
      <c r="T6" s="95" t="s">
        <v>113</v>
      </c>
      <c r="U6" s="94" t="s">
        <v>112</v>
      </c>
      <c r="V6" s="95" t="s">
        <v>113</v>
      </c>
      <c r="W6" s="94" t="s">
        <v>112</v>
      </c>
      <c r="X6" s="95" t="s">
        <v>113</v>
      </c>
      <c r="Y6" s="94" t="s">
        <v>112</v>
      </c>
      <c r="Z6" s="95" t="s">
        <v>113</v>
      </c>
      <c r="AA6" s="94" t="s">
        <v>112</v>
      </c>
      <c r="AB6" s="95" t="s">
        <v>113</v>
      </c>
      <c r="AC6" s="94" t="s">
        <v>112</v>
      </c>
      <c r="AD6" s="95" t="s">
        <v>113</v>
      </c>
      <c r="AE6" s="94" t="s">
        <v>112</v>
      </c>
      <c r="AF6" s="95" t="s">
        <v>113</v>
      </c>
      <c r="AG6" s="94" t="s">
        <v>112</v>
      </c>
      <c r="AH6" s="95" t="s">
        <v>113</v>
      </c>
      <c r="AI6" s="94" t="s">
        <v>112</v>
      </c>
      <c r="AJ6" s="95" t="s">
        <v>113</v>
      </c>
      <c r="AK6" s="94" t="s">
        <v>112</v>
      </c>
      <c r="AL6" s="95" t="s">
        <v>113</v>
      </c>
    </row>
    <row r="7" spans="1:38" ht="14.25">
      <c r="B7" s="79"/>
      <c r="C7" s="75"/>
      <c r="D7" s="269">
        <v>46140</v>
      </c>
      <c r="E7" s="269" t="s">
        <v>460</v>
      </c>
      <c r="F7" s="205">
        <f t="shared" ref="F7" si="0">SUM(M7,S7,U7,W7,AC7,AE7,AG7,AI7,AK7)</f>
        <v>10381548.709708763</v>
      </c>
      <c r="G7" s="267"/>
      <c r="I7" s="211">
        <v>827461.61744477972</v>
      </c>
      <c r="J7" s="96">
        <f t="shared" ref="J7:J13" si="1">I7/F7</f>
        <v>7.9705026733722539E-2</v>
      </c>
      <c r="K7" s="211">
        <v>933529.25224939384</v>
      </c>
      <c r="L7" s="96">
        <f t="shared" ref="L7:L13" si="2">K7/F7</f>
        <v>8.9921964280373967E-2</v>
      </c>
      <c r="M7" s="204">
        <f t="shared" ref="M7:M13" si="3">SUM(I7+K7)</f>
        <v>1760990.8696941736</v>
      </c>
      <c r="N7" s="96">
        <f t="shared" ref="N7:N13" si="4">M7/F7</f>
        <v>0.16962699101409651</v>
      </c>
      <c r="O7" s="211">
        <v>178690.67403907375</v>
      </c>
      <c r="P7" s="96">
        <f t="shared" ref="P7:P13" si="5">O7/F7</f>
        <v>1.7212333057009432E-2</v>
      </c>
      <c r="Q7" s="211"/>
      <c r="R7" s="96">
        <f t="shared" ref="R7:R13" si="6">Q7/$F7</f>
        <v>0</v>
      </c>
      <c r="S7" s="204">
        <f t="shared" ref="S7:S13" si="7">SUM(O7+Q7)</f>
        <v>178690.67403907375</v>
      </c>
      <c r="T7" s="96">
        <f t="shared" ref="T7:T13" si="8">S7/F7</f>
        <v>1.7212333057009432E-2</v>
      </c>
      <c r="U7" s="211">
        <v>1126607.6638776746</v>
      </c>
      <c r="V7" s="96">
        <f t="shared" ref="V7:V13" si="9">U7/F7</f>
        <v>0.10852019244720952</v>
      </c>
      <c r="W7" s="211">
        <v>374546.87330965803</v>
      </c>
      <c r="X7" s="96">
        <f t="shared" ref="X7:X13" si="10">W7/F7</f>
        <v>3.6078130901546893E-2</v>
      </c>
      <c r="Y7" s="211">
        <v>1010236.1064336635</v>
      </c>
      <c r="Z7" s="96">
        <f t="shared" ref="Z7:Z16" si="11">Y7/F7</f>
        <v>9.7310732211745701E-2</v>
      </c>
      <c r="AA7" s="211">
        <v>1256193.5118433875</v>
      </c>
      <c r="AB7" s="96">
        <f t="shared" ref="AB7:AB40" si="12">AA7/$F7</f>
        <v>0.121002515806587</v>
      </c>
      <c r="AC7" s="204">
        <f t="shared" ref="AC7:AC16" si="13">SUM(Y7+AA7)</f>
        <v>2266429.618277051</v>
      </c>
      <c r="AD7" s="96">
        <f t="shared" ref="AD7:AD16" si="14">AC7/F7</f>
        <v>0.21831324801833268</v>
      </c>
      <c r="AE7" s="211">
        <v>1621643.8920457854</v>
      </c>
      <c r="AF7" s="96">
        <f t="shared" ref="AF7:AF16" si="15">AE7/F7</f>
        <v>0.15620442935736878</v>
      </c>
      <c r="AG7" s="211">
        <v>1267904.583688217</v>
      </c>
      <c r="AH7" s="96">
        <f t="shared" ref="AH7:AH16" si="16">AG7/F7</f>
        <v>0.12213058177942951</v>
      </c>
      <c r="AI7" s="211">
        <v>1125528.4112981944</v>
      </c>
      <c r="AJ7" s="96">
        <f t="shared" ref="AJ7:AJ16" si="17">AI7/F7</f>
        <v>0.10841623372104461</v>
      </c>
      <c r="AK7" s="211">
        <v>659206.12347893487</v>
      </c>
      <c r="AL7" s="96">
        <f t="shared" ref="AL7:AL13" si="18">AK7/F7</f>
        <v>6.3497859703962004E-2</v>
      </c>
    </row>
    <row r="8" spans="1:38" ht="14.25">
      <c r="B8" s="79"/>
      <c r="C8" s="307"/>
      <c r="D8" s="269">
        <f t="shared" ref="D8:D9" si="19">D7+1</f>
        <v>46141</v>
      </c>
      <c r="E8" s="269" t="s">
        <v>461</v>
      </c>
      <c r="F8" s="205">
        <f>SUM(M8,S8,U8,W8,AC8,AE8,AG8,AI8,AK8)</f>
        <v>9103900.8269723188</v>
      </c>
      <c r="G8" s="267">
        <f>SUM(F7:F13)</f>
        <v>61767466.949173734</v>
      </c>
      <c r="H8" s="281"/>
      <c r="I8" s="211">
        <v>815032.05194339063</v>
      </c>
      <c r="J8" s="96">
        <f t="shared" si="1"/>
        <v>8.9525585508211825E-2</v>
      </c>
      <c r="K8" s="211">
        <v>832338.79576348956</v>
      </c>
      <c r="L8" s="96">
        <f t="shared" si="2"/>
        <v>9.1426610590649438E-2</v>
      </c>
      <c r="M8" s="204">
        <f t="shared" si="3"/>
        <v>1647370.8477068802</v>
      </c>
      <c r="N8" s="96">
        <f t="shared" si="4"/>
        <v>0.18095219609886126</v>
      </c>
      <c r="O8" s="211">
        <v>173378.6285469491</v>
      </c>
      <c r="P8" s="96">
        <f t="shared" si="5"/>
        <v>1.9044432913117484E-2</v>
      </c>
      <c r="Q8" s="211"/>
      <c r="R8" s="96">
        <f t="shared" si="6"/>
        <v>0</v>
      </c>
      <c r="S8" s="204">
        <f t="shared" si="7"/>
        <v>173378.6285469491</v>
      </c>
      <c r="T8" s="96">
        <f t="shared" si="8"/>
        <v>1.9044432913117484E-2</v>
      </c>
      <c r="U8" s="211">
        <v>985958.78901089716</v>
      </c>
      <c r="V8" s="96">
        <f t="shared" si="9"/>
        <v>0.10830069524590781</v>
      </c>
      <c r="W8" s="211">
        <v>234889.66745840313</v>
      </c>
      <c r="X8" s="96">
        <f t="shared" si="10"/>
        <v>2.580099145659524E-2</v>
      </c>
      <c r="Y8" s="211">
        <v>822764.60766919027</v>
      </c>
      <c r="Z8" s="96">
        <f t="shared" si="11"/>
        <v>9.0374952814904166E-2</v>
      </c>
      <c r="AA8" s="211">
        <v>1060611.368363098</v>
      </c>
      <c r="AB8" s="96">
        <f t="shared" si="12"/>
        <v>0.11650076033570163</v>
      </c>
      <c r="AC8" s="204">
        <f t="shared" si="13"/>
        <v>1883375.9760322883</v>
      </c>
      <c r="AD8" s="96">
        <f t="shared" si="14"/>
        <v>0.20687571315060579</v>
      </c>
      <c r="AE8" s="211">
        <v>1461635.8342309967</v>
      </c>
      <c r="AF8" s="96">
        <f t="shared" si="15"/>
        <v>0.16055050049541153</v>
      </c>
      <c r="AG8" s="211">
        <v>1168513.7928788587</v>
      </c>
      <c r="AH8" s="96">
        <f t="shared" si="16"/>
        <v>0.12835308897663716</v>
      </c>
      <c r="AI8" s="211">
        <v>945924.33826392179</v>
      </c>
      <c r="AJ8" s="96">
        <f t="shared" si="17"/>
        <v>0.10390319009862364</v>
      </c>
      <c r="AK8" s="211">
        <v>602852.95284312451</v>
      </c>
      <c r="AL8" s="96">
        <f t="shared" si="18"/>
        <v>6.6219191564240179E-2</v>
      </c>
    </row>
    <row r="9" spans="1:38" ht="14.25">
      <c r="B9" s="79"/>
      <c r="C9" s="79"/>
      <c r="D9" s="269">
        <f t="shared" si="19"/>
        <v>46142</v>
      </c>
      <c r="E9" s="269" t="s">
        <v>462</v>
      </c>
      <c r="F9" s="205">
        <f t="shared" ref="F9:F45" si="20">SUM(M9,S9,U9,W9,AC9,AE9,AG9,AI9,AK9)</f>
        <v>7551510.4124926496</v>
      </c>
      <c r="G9" s="83"/>
      <c r="H9" s="83"/>
      <c r="I9" s="211">
        <v>598969.17811019684</v>
      </c>
      <c r="J9" s="96">
        <f t="shared" si="1"/>
        <v>7.9317798081733074E-2</v>
      </c>
      <c r="K9" s="211">
        <v>765434.71271596302</v>
      </c>
      <c r="L9" s="96">
        <f t="shared" si="2"/>
        <v>0.10136180325590037</v>
      </c>
      <c r="M9" s="204">
        <f t="shared" si="3"/>
        <v>1364403.8908261599</v>
      </c>
      <c r="N9" s="96">
        <f t="shared" si="4"/>
        <v>0.18067960133763344</v>
      </c>
      <c r="O9" s="211">
        <v>131893.76244485431</v>
      </c>
      <c r="P9" s="96">
        <f t="shared" si="5"/>
        <v>1.7465878379331796E-2</v>
      </c>
      <c r="Q9" s="211"/>
      <c r="R9" s="96">
        <f t="shared" si="6"/>
        <v>0</v>
      </c>
      <c r="S9" s="204">
        <f t="shared" si="7"/>
        <v>131893.76244485431</v>
      </c>
      <c r="T9" s="96">
        <f t="shared" si="8"/>
        <v>1.7465878379331796E-2</v>
      </c>
      <c r="U9" s="211">
        <v>838892.59862840641</v>
      </c>
      <c r="V9" s="96">
        <f t="shared" si="9"/>
        <v>0.11108937852228949</v>
      </c>
      <c r="W9" s="211">
        <v>203407.94231179683</v>
      </c>
      <c r="X9" s="96">
        <f t="shared" si="10"/>
        <v>2.6936060629048998E-2</v>
      </c>
      <c r="Y9" s="211">
        <v>735021.40799747733</v>
      </c>
      <c r="Z9" s="96">
        <f t="shared" si="11"/>
        <v>9.7334356684659173E-2</v>
      </c>
      <c r="AA9" s="211">
        <v>854105.99383668881</v>
      </c>
      <c r="AB9" s="96">
        <f t="shared" si="12"/>
        <v>0.11310399472186654</v>
      </c>
      <c r="AC9" s="204">
        <f t="shared" si="13"/>
        <v>1589127.4018341661</v>
      </c>
      <c r="AD9" s="96">
        <f t="shared" si="14"/>
        <v>0.21043835140652573</v>
      </c>
      <c r="AE9" s="211">
        <v>1183515.3293373003</v>
      </c>
      <c r="AF9" s="96">
        <f t="shared" si="15"/>
        <v>0.15672564357183189</v>
      </c>
      <c r="AG9" s="211">
        <v>818208.1777625829</v>
      </c>
      <c r="AH9" s="96">
        <f t="shared" si="16"/>
        <v>0.10835026810120012</v>
      </c>
      <c r="AI9" s="211">
        <v>899360.71371221635</v>
      </c>
      <c r="AJ9" s="96">
        <f t="shared" si="17"/>
        <v>0.1190967984662223</v>
      </c>
      <c r="AK9" s="211">
        <v>522700.59563516773</v>
      </c>
      <c r="AL9" s="96">
        <f t="shared" si="18"/>
        <v>6.9218019585916377E-2</v>
      </c>
    </row>
    <row r="10" spans="1:38" ht="14.25">
      <c r="B10" s="79"/>
      <c r="C10" s="79"/>
      <c r="D10" s="269">
        <f>D9+1</f>
        <v>46143</v>
      </c>
      <c r="E10" s="269" t="s">
        <v>463</v>
      </c>
      <c r="F10" s="205">
        <f t="shared" si="20"/>
        <v>7354476</v>
      </c>
      <c r="G10" s="267"/>
      <c r="H10" s="281"/>
      <c r="I10" s="211">
        <v>578231.44240092137</v>
      </c>
      <c r="J10" s="96">
        <f t="shared" si="1"/>
        <v>7.8623064702491571E-2</v>
      </c>
      <c r="K10" s="211">
        <v>749517.9234558997</v>
      </c>
      <c r="L10" s="96">
        <f t="shared" si="2"/>
        <v>0.1019131646436673</v>
      </c>
      <c r="M10" s="204">
        <f t="shared" si="3"/>
        <v>1327749.3658568212</v>
      </c>
      <c r="N10" s="96">
        <f t="shared" si="4"/>
        <v>0.18053622934615887</v>
      </c>
      <c r="O10" s="211">
        <v>130947.7788947697</v>
      </c>
      <c r="P10" s="96">
        <f t="shared" si="5"/>
        <v>1.7805181347354957E-2</v>
      </c>
      <c r="Q10" s="211"/>
      <c r="R10" s="96">
        <f t="shared" si="6"/>
        <v>0</v>
      </c>
      <c r="S10" s="204">
        <f t="shared" si="7"/>
        <v>130947.7788947697</v>
      </c>
      <c r="T10" s="96">
        <f t="shared" si="8"/>
        <v>1.7805181347354957E-2</v>
      </c>
      <c r="U10" s="211">
        <v>828545.43491501792</v>
      </c>
      <c r="V10" s="96">
        <f t="shared" si="9"/>
        <v>0.11265866322971452</v>
      </c>
      <c r="W10" s="211">
        <v>135647.43607614801</v>
      </c>
      <c r="X10" s="96">
        <f t="shared" si="10"/>
        <v>1.8444201337545735E-2</v>
      </c>
      <c r="Y10" s="211">
        <v>709685.95981741021</v>
      </c>
      <c r="Z10" s="96">
        <f t="shared" si="11"/>
        <v>9.6497148106460637E-2</v>
      </c>
      <c r="AA10" s="211">
        <v>972139.32107312698</v>
      </c>
      <c r="AB10" s="96">
        <f t="shared" si="12"/>
        <v>0.13218335624089697</v>
      </c>
      <c r="AC10" s="204">
        <f t="shared" si="13"/>
        <v>1681825.2808905372</v>
      </c>
      <c r="AD10" s="96">
        <f t="shared" si="14"/>
        <v>0.22868050434735762</v>
      </c>
      <c r="AE10" s="211">
        <v>1091931.6282749141</v>
      </c>
      <c r="AF10" s="96">
        <f t="shared" si="15"/>
        <v>0.14847171005451837</v>
      </c>
      <c r="AG10" s="211">
        <v>847871.00996763341</v>
      </c>
      <c r="AH10" s="96">
        <f t="shared" si="16"/>
        <v>0.11528639293508244</v>
      </c>
      <c r="AI10" s="211">
        <v>792562.89109972445</v>
      </c>
      <c r="AJ10" s="96">
        <f t="shared" si="17"/>
        <v>0.10776605853356847</v>
      </c>
      <c r="AK10" s="211">
        <v>517395.17402443488</v>
      </c>
      <c r="AL10" s="96">
        <f t="shared" si="18"/>
        <v>7.0351058868699121E-2</v>
      </c>
    </row>
    <row r="11" spans="1:38" ht="14.25">
      <c r="B11" s="79"/>
      <c r="C11" s="79"/>
      <c r="D11" s="269">
        <f t="shared" ref="D11:D36" si="21">D10+1</f>
        <v>46144</v>
      </c>
      <c r="E11" s="269" t="s">
        <v>464</v>
      </c>
      <c r="F11" s="205">
        <f t="shared" si="20"/>
        <v>7703935.9999999981</v>
      </c>
      <c r="G11" s="267"/>
      <c r="H11" s="281"/>
      <c r="I11" s="211">
        <v>552937.42553657037</v>
      </c>
      <c r="J11" s="96">
        <f t="shared" si="1"/>
        <v>7.1773366956393525E-2</v>
      </c>
      <c r="K11" s="211">
        <v>843355.62434184831</v>
      </c>
      <c r="L11" s="96">
        <f t="shared" si="2"/>
        <v>0.10947074642648232</v>
      </c>
      <c r="M11" s="204">
        <f t="shared" si="3"/>
        <v>1396293.0498784187</v>
      </c>
      <c r="N11" s="96">
        <f t="shared" si="4"/>
        <v>0.18124411338287585</v>
      </c>
      <c r="O11" s="211">
        <v>125073.20193635016</v>
      </c>
      <c r="P11" s="96">
        <f t="shared" si="5"/>
        <v>1.62349741659783E-2</v>
      </c>
      <c r="Q11" s="211"/>
      <c r="R11" s="96">
        <f t="shared" si="6"/>
        <v>0</v>
      </c>
      <c r="S11" s="204">
        <f t="shared" si="7"/>
        <v>125073.20193635016</v>
      </c>
      <c r="T11" s="96">
        <f t="shared" si="8"/>
        <v>1.62349741659783E-2</v>
      </c>
      <c r="U11" s="211">
        <v>906412.64263562008</v>
      </c>
      <c r="V11" s="96">
        <f t="shared" si="9"/>
        <v>0.11765578564458742</v>
      </c>
      <c r="W11" s="211">
        <v>146209.25289134844</v>
      </c>
      <c r="X11" s="96">
        <f t="shared" si="10"/>
        <v>1.8978513436683338E-2</v>
      </c>
      <c r="Y11" s="211">
        <v>781352.78110394534</v>
      </c>
      <c r="Z11" s="96">
        <f t="shared" si="11"/>
        <v>0.10142254311353904</v>
      </c>
      <c r="AA11" s="211">
        <v>1035084.2638179495</v>
      </c>
      <c r="AB11" s="96">
        <f t="shared" si="12"/>
        <v>0.1343578482243297</v>
      </c>
      <c r="AC11" s="204">
        <f t="shared" si="13"/>
        <v>1816437.0449218948</v>
      </c>
      <c r="AD11" s="96">
        <f t="shared" si="14"/>
        <v>0.23578039133786874</v>
      </c>
      <c r="AE11" s="211">
        <v>1177402.7814892132</v>
      </c>
      <c r="AF11" s="96">
        <f t="shared" si="15"/>
        <v>0.15283132952937478</v>
      </c>
      <c r="AG11" s="211">
        <v>805878.75768773002</v>
      </c>
      <c r="AH11" s="96">
        <f t="shared" si="16"/>
        <v>0.10460610753876073</v>
      </c>
      <c r="AI11" s="211">
        <v>786585.72745743836</v>
      </c>
      <c r="AJ11" s="96">
        <f t="shared" si="17"/>
        <v>0.10210179932146873</v>
      </c>
      <c r="AK11" s="211">
        <v>543643.54110198503</v>
      </c>
      <c r="AL11" s="96">
        <f t="shared" si="18"/>
        <v>7.0566985642402158E-2</v>
      </c>
    </row>
    <row r="12" spans="1:38" ht="14.25">
      <c r="B12" s="79"/>
      <c r="C12" s="79"/>
      <c r="D12" s="269">
        <f t="shared" si="21"/>
        <v>46145</v>
      </c>
      <c r="E12" s="269" t="s">
        <v>465</v>
      </c>
      <c r="F12" s="205">
        <f t="shared" si="20"/>
        <v>10123968.000000002</v>
      </c>
      <c r="G12" s="83"/>
      <c r="H12" s="281">
        <f>SUM(F10:F40)</f>
        <v>279180384</v>
      </c>
      <c r="I12" s="211">
        <v>784231.38093392143</v>
      </c>
      <c r="J12" s="96">
        <f t="shared" si="1"/>
        <v>7.7462846675722535E-2</v>
      </c>
      <c r="K12" s="211">
        <v>956027.17951240041</v>
      </c>
      <c r="L12" s="96">
        <f t="shared" si="2"/>
        <v>9.4432062558119534E-2</v>
      </c>
      <c r="M12" s="204">
        <f t="shared" si="3"/>
        <v>1740258.560446322</v>
      </c>
      <c r="N12" s="96">
        <f t="shared" si="4"/>
        <v>0.17189490923384207</v>
      </c>
      <c r="O12" s="211">
        <v>179812.91552134368</v>
      </c>
      <c r="P12" s="96">
        <f t="shared" si="5"/>
        <v>1.7761110616049323E-2</v>
      </c>
      <c r="Q12" s="211"/>
      <c r="R12" s="96">
        <f t="shared" si="6"/>
        <v>0</v>
      </c>
      <c r="S12" s="204">
        <f t="shared" si="7"/>
        <v>179812.91552134368</v>
      </c>
      <c r="T12" s="96">
        <f t="shared" si="8"/>
        <v>1.7761110616049323E-2</v>
      </c>
      <c r="U12" s="211">
        <v>1163901.4506712905</v>
      </c>
      <c r="V12" s="96">
        <f t="shared" si="9"/>
        <v>0.11496494760466354</v>
      </c>
      <c r="W12" s="211">
        <v>236935.88488784412</v>
      </c>
      <c r="X12" s="96">
        <f t="shared" si="10"/>
        <v>2.3403460470029544E-2</v>
      </c>
      <c r="Y12" s="211">
        <v>962083.24932991411</v>
      </c>
      <c r="Z12" s="96">
        <f t="shared" si="11"/>
        <v>9.5030253881671092E-2</v>
      </c>
      <c r="AA12" s="211">
        <v>1191979.6977606735</v>
      </c>
      <c r="AB12" s="96">
        <f t="shared" si="12"/>
        <v>0.11773839049675712</v>
      </c>
      <c r="AC12" s="204">
        <f t="shared" si="13"/>
        <v>2154062.9470905876</v>
      </c>
      <c r="AD12" s="96">
        <f t="shared" si="14"/>
        <v>0.21276864437842821</v>
      </c>
      <c r="AE12" s="211">
        <v>1738651.7633227755</v>
      </c>
      <c r="AF12" s="96">
        <f t="shared" si="15"/>
        <v>0.17173619704475312</v>
      </c>
      <c r="AG12" s="211">
        <v>1216178.8476928135</v>
      </c>
      <c r="AH12" s="96">
        <f t="shared" si="16"/>
        <v>0.12012867362804913</v>
      </c>
      <c r="AI12" s="211">
        <v>1027839.7539875183</v>
      </c>
      <c r="AJ12" s="96">
        <f t="shared" si="17"/>
        <v>0.10152538549978804</v>
      </c>
      <c r="AK12" s="211">
        <v>666325.87637950655</v>
      </c>
      <c r="AL12" s="96">
        <f t="shared" si="18"/>
        <v>6.5816671524396991E-2</v>
      </c>
    </row>
    <row r="13" spans="1:38" ht="14.25">
      <c r="B13" s="79"/>
      <c r="C13" s="79"/>
      <c r="D13" s="269">
        <f t="shared" si="21"/>
        <v>46146</v>
      </c>
      <c r="E13" s="269" t="s">
        <v>459</v>
      </c>
      <c r="F13" s="205">
        <f t="shared" si="20"/>
        <v>9548126.9999999981</v>
      </c>
      <c r="G13" s="267"/>
      <c r="H13" s="281"/>
      <c r="I13" s="211">
        <v>757375.91017923784</v>
      </c>
      <c r="J13" s="96">
        <f t="shared" si="1"/>
        <v>7.932193509567248E-2</v>
      </c>
      <c r="K13" s="211">
        <v>939102.00594209519</v>
      </c>
      <c r="L13" s="96">
        <f t="shared" si="2"/>
        <v>9.8354578436388132E-2</v>
      </c>
      <c r="M13" s="204">
        <f t="shared" si="3"/>
        <v>1696477.9161213329</v>
      </c>
      <c r="N13" s="96">
        <f t="shared" si="4"/>
        <v>0.1776765135320606</v>
      </c>
      <c r="O13" s="211">
        <v>169918.76450864342</v>
      </c>
      <c r="P13" s="96">
        <f t="shared" si="5"/>
        <v>1.7796031044480604E-2</v>
      </c>
      <c r="Q13" s="211"/>
      <c r="R13" s="96">
        <f t="shared" si="6"/>
        <v>0</v>
      </c>
      <c r="S13" s="204">
        <f t="shared" si="7"/>
        <v>169918.76450864342</v>
      </c>
      <c r="T13" s="96">
        <f t="shared" si="8"/>
        <v>1.7796031044480604E-2</v>
      </c>
      <c r="U13" s="211">
        <v>1123353.1586849887</v>
      </c>
      <c r="V13" s="96">
        <f t="shared" si="9"/>
        <v>0.11765167751591374</v>
      </c>
      <c r="W13" s="211">
        <v>215647.17751500156</v>
      </c>
      <c r="X13" s="96">
        <f t="shared" si="10"/>
        <v>2.2585285838259337E-2</v>
      </c>
      <c r="Y13" s="211">
        <v>867557.78803249262</v>
      </c>
      <c r="Z13" s="96">
        <f t="shared" si="11"/>
        <v>9.086156772239129E-2</v>
      </c>
      <c r="AA13" s="211">
        <v>1201833.4213070464</v>
      </c>
      <c r="AB13" s="96">
        <f t="shared" si="12"/>
        <v>0.12587111810589099</v>
      </c>
      <c r="AC13" s="204">
        <f t="shared" si="13"/>
        <v>2069391.2093395391</v>
      </c>
      <c r="AD13" s="96">
        <f t="shared" si="14"/>
        <v>0.21673268582828228</v>
      </c>
      <c r="AE13" s="211">
        <v>1619563.3537726724</v>
      </c>
      <c r="AF13" s="96">
        <f t="shared" si="15"/>
        <v>0.16962105277534251</v>
      </c>
      <c r="AG13" s="211">
        <v>1005785.6636362718</v>
      </c>
      <c r="AH13" s="96">
        <f t="shared" si="16"/>
        <v>0.10533853012598932</v>
      </c>
      <c r="AI13" s="211">
        <v>967950.52200524486</v>
      </c>
      <c r="AJ13" s="96">
        <f t="shared" si="17"/>
        <v>0.10137595802875737</v>
      </c>
      <c r="AK13" s="211">
        <v>680039.23441630474</v>
      </c>
      <c r="AL13" s="96">
        <f t="shared" si="18"/>
        <v>7.1222265310914371E-2</v>
      </c>
    </row>
    <row r="14" spans="1:38" ht="14.25">
      <c r="B14" s="79"/>
      <c r="C14" s="79"/>
      <c r="D14" s="315">
        <f t="shared" si="21"/>
        <v>46147</v>
      </c>
      <c r="E14" s="315" t="s">
        <v>460</v>
      </c>
      <c r="F14" s="205">
        <f t="shared" si="20"/>
        <v>9809562.0000000019</v>
      </c>
      <c r="G14" s="267">
        <f>SUM(F14:F20)</f>
        <v>62847274</v>
      </c>
      <c r="H14" s="281"/>
      <c r="I14" s="211">
        <v>716548.76445870881</v>
      </c>
      <c r="J14" s="96">
        <f>I14/F14</f>
        <v>7.3045948887290657E-2</v>
      </c>
      <c r="K14" s="211">
        <v>900603.86355168594</v>
      </c>
      <c r="L14" s="96">
        <f>K14/F14</f>
        <v>9.1808774291011752E-2</v>
      </c>
      <c r="M14" s="204">
        <f>SUM(I14+K14)</f>
        <v>1617152.6280103948</v>
      </c>
      <c r="N14" s="96">
        <f>M14/F14</f>
        <v>0.16485472317830241</v>
      </c>
      <c r="O14" s="211">
        <v>173377.18477590641</v>
      </c>
      <c r="P14" s="96">
        <f>O14/F14</f>
        <v>1.7674304395640335E-2</v>
      </c>
      <c r="Q14" s="211"/>
      <c r="R14" s="96">
        <f t="shared" ref="R14" si="22">Q14/$F14</f>
        <v>0</v>
      </c>
      <c r="S14" s="204">
        <f t="shared" ref="S14" si="23">SUM(O14+Q14)</f>
        <v>173377.18477590641</v>
      </c>
      <c r="T14" s="96">
        <f>S14/F14</f>
        <v>1.7674304395640335E-2</v>
      </c>
      <c r="U14" s="211">
        <v>1108233.7939054011</v>
      </c>
      <c r="V14" s="96">
        <f>U14/F14</f>
        <v>0.11297484983584394</v>
      </c>
      <c r="W14" s="211">
        <v>180436.85643683356</v>
      </c>
      <c r="X14" s="96">
        <f>W14/F14</f>
        <v>1.8393976860213896E-2</v>
      </c>
      <c r="Y14" s="211">
        <v>869837.74229184911</v>
      </c>
      <c r="Z14" s="96">
        <f t="shared" si="11"/>
        <v>8.8672434334157724E-2</v>
      </c>
      <c r="AA14" s="211">
        <v>1176499.8306389214</v>
      </c>
      <c r="AB14" s="96">
        <f t="shared" si="12"/>
        <v>0.11993398182700932</v>
      </c>
      <c r="AC14" s="204">
        <f t="shared" si="13"/>
        <v>2046337.5729307705</v>
      </c>
      <c r="AD14" s="96">
        <f t="shared" si="14"/>
        <v>0.20860641616116704</v>
      </c>
      <c r="AE14" s="211">
        <v>1643023.7259391299</v>
      </c>
      <c r="AF14" s="96">
        <f t="shared" si="15"/>
        <v>0.16749205784510354</v>
      </c>
      <c r="AG14" s="211">
        <v>1359199.1524676576</v>
      </c>
      <c r="AH14" s="96">
        <f t="shared" si="16"/>
        <v>0.13855859746517299</v>
      </c>
      <c r="AI14" s="211">
        <v>996680.82551176485</v>
      </c>
      <c r="AJ14" s="96">
        <f t="shared" si="17"/>
        <v>0.10160298956383218</v>
      </c>
      <c r="AK14" s="211">
        <v>685120.26002214174</v>
      </c>
      <c r="AL14" s="96">
        <f>AK14/F14</f>
        <v>6.9842084694723541E-2</v>
      </c>
    </row>
    <row r="15" spans="1:38" ht="14.25">
      <c r="B15" s="79"/>
      <c r="C15" s="79"/>
      <c r="D15" s="315">
        <f t="shared" si="21"/>
        <v>46148</v>
      </c>
      <c r="E15" s="315" t="s">
        <v>461</v>
      </c>
      <c r="F15" s="205">
        <f t="shared" si="20"/>
        <v>9009158</v>
      </c>
      <c r="G15" s="83"/>
      <c r="H15" s="281"/>
      <c r="I15" s="211">
        <v>718364.3350010463</v>
      </c>
      <c r="J15" s="96">
        <f t="shared" ref="J15" si="24">I15/F15</f>
        <v>7.9737122492584356E-2</v>
      </c>
      <c r="K15" s="211">
        <v>885615.75333680178</v>
      </c>
      <c r="L15" s="96">
        <f t="shared" ref="L15" si="25">K15/F15</f>
        <v>9.830172290649157E-2</v>
      </c>
      <c r="M15" s="204">
        <f t="shared" ref="M15" si="26">SUM(I15+K15)</f>
        <v>1603980.088337848</v>
      </c>
      <c r="N15" s="96">
        <f t="shared" ref="N15" si="27">M15/F15</f>
        <v>0.17803884539907591</v>
      </c>
      <c r="O15" s="211">
        <v>174407.74784814203</v>
      </c>
      <c r="P15" s="96">
        <f t="shared" ref="P15" si="28">O15/F15</f>
        <v>1.9358939852996478E-2</v>
      </c>
      <c r="Q15" s="211"/>
      <c r="R15" s="96">
        <f t="shared" ref="R15" si="29">Q15/$F15</f>
        <v>0</v>
      </c>
      <c r="S15" s="204">
        <f t="shared" ref="S15" si="30">SUM(O15+Q15)</f>
        <v>174407.74784814203</v>
      </c>
      <c r="T15" s="96">
        <f t="shared" ref="T15" si="31">S15/F15</f>
        <v>1.9358939852996478E-2</v>
      </c>
      <c r="U15" s="211">
        <v>968760.77844443929</v>
      </c>
      <c r="V15" s="96">
        <f t="shared" ref="V15" si="32">U15/F15</f>
        <v>0.1075306680651443</v>
      </c>
      <c r="W15" s="211">
        <v>184649.97631223276</v>
      </c>
      <c r="X15" s="96">
        <f t="shared" ref="X15" si="33">W15/F15</f>
        <v>2.0495808410978335E-2</v>
      </c>
      <c r="Y15" s="211">
        <v>812037.50749171071</v>
      </c>
      <c r="Z15" s="96">
        <f t="shared" si="11"/>
        <v>9.0134672684363037E-2</v>
      </c>
      <c r="AA15" s="211">
        <v>1084510.5151928707</v>
      </c>
      <c r="AB15" s="96">
        <f t="shared" si="12"/>
        <v>0.12037867636385895</v>
      </c>
      <c r="AC15" s="204">
        <f t="shared" si="13"/>
        <v>1896548.0226845816</v>
      </c>
      <c r="AD15" s="96">
        <f t="shared" si="14"/>
        <v>0.210513349048222</v>
      </c>
      <c r="AE15" s="211">
        <v>1397193.4627869651</v>
      </c>
      <c r="AF15" s="96">
        <f t="shared" si="15"/>
        <v>0.15508590955858084</v>
      </c>
      <c r="AG15" s="211">
        <v>1153170.4277895351</v>
      </c>
      <c r="AH15" s="96">
        <f t="shared" si="16"/>
        <v>0.12799980062393568</v>
      </c>
      <c r="AI15" s="211">
        <v>959019.52441030834</v>
      </c>
      <c r="AJ15" s="96">
        <f t="shared" si="17"/>
        <v>0.1064494067492554</v>
      </c>
      <c r="AK15" s="211">
        <v>671427.97138594789</v>
      </c>
      <c r="AL15" s="96">
        <f t="shared" ref="AL15" si="34">AK15/F15</f>
        <v>7.4527272291811053E-2</v>
      </c>
    </row>
    <row r="16" spans="1:38" ht="14.25">
      <c r="B16" s="79"/>
      <c r="C16" s="79"/>
      <c r="D16" s="315">
        <f t="shared" si="21"/>
        <v>46149</v>
      </c>
      <c r="E16" s="315" t="s">
        <v>462</v>
      </c>
      <c r="F16" s="205">
        <f t="shared" si="20"/>
        <v>8524326</v>
      </c>
      <c r="G16" s="267"/>
      <c r="H16" s="281"/>
      <c r="I16" s="211">
        <v>689971.68208360916</v>
      </c>
      <c r="J16" s="96">
        <f t="shared" ref="J16:J41" si="35">I16/F16</f>
        <v>8.0941494035259701E-2</v>
      </c>
      <c r="K16" s="211">
        <v>820146.9298255532</v>
      </c>
      <c r="L16" s="96">
        <f t="shared" ref="L16:L41" si="36">K16/F16</f>
        <v>9.6212525169210236E-2</v>
      </c>
      <c r="M16" s="204">
        <f t="shared" ref="M16:M41" si="37">SUM(I16+K16)</f>
        <v>1510118.6119091623</v>
      </c>
      <c r="N16" s="96">
        <f t="shared" ref="N16:N41" si="38">M16/F16</f>
        <v>0.17715401920446991</v>
      </c>
      <c r="O16" s="211">
        <v>173699.74320540132</v>
      </c>
      <c r="P16" s="96">
        <f t="shared" ref="P16:P41" si="39">O16/F16</f>
        <v>2.0376947480117643E-2</v>
      </c>
      <c r="Q16" s="211"/>
      <c r="R16" s="96">
        <f t="shared" ref="R16:R45" si="40">Q16/$F16</f>
        <v>0</v>
      </c>
      <c r="S16" s="204">
        <f t="shared" ref="S16:S45" si="41">SUM(O16+Q16)</f>
        <v>173699.74320540132</v>
      </c>
      <c r="T16" s="96">
        <f t="shared" ref="T16:T41" si="42">S16/F16</f>
        <v>2.0376947480117643E-2</v>
      </c>
      <c r="U16" s="211">
        <v>949591.36762819823</v>
      </c>
      <c r="V16" s="96">
        <f t="shared" ref="V16:V41" si="43">U16/F16</f>
        <v>0.11139782401895448</v>
      </c>
      <c r="W16" s="211">
        <v>183853.18570109783</v>
      </c>
      <c r="X16" s="96">
        <f t="shared" ref="X16:X41" si="44">W16/F16</f>
        <v>2.1568061299051425E-2</v>
      </c>
      <c r="Y16" s="211">
        <v>803680.9898777596</v>
      </c>
      <c r="Z16" s="96">
        <f t="shared" si="11"/>
        <v>9.4280883893666151E-2</v>
      </c>
      <c r="AA16" s="211">
        <v>960702.2388795648</v>
      </c>
      <c r="AB16" s="96">
        <f t="shared" si="12"/>
        <v>0.11270125507630337</v>
      </c>
      <c r="AC16" s="204">
        <f t="shared" si="13"/>
        <v>1764383.2287573244</v>
      </c>
      <c r="AD16" s="96">
        <f t="shared" si="14"/>
        <v>0.20698213896996953</v>
      </c>
      <c r="AE16" s="211">
        <v>1296678.7687120643</v>
      </c>
      <c r="AF16" s="96">
        <f t="shared" si="15"/>
        <v>0.15211510783516072</v>
      </c>
      <c r="AG16" s="211">
        <v>1092619.8255432432</v>
      </c>
      <c r="AH16" s="96">
        <f t="shared" si="16"/>
        <v>0.12817668230230087</v>
      </c>
      <c r="AI16" s="211">
        <v>909917.24190554046</v>
      </c>
      <c r="AJ16" s="96">
        <f t="shared" si="17"/>
        <v>0.10674359965885168</v>
      </c>
      <c r="AK16" s="211">
        <v>643464.02663796756</v>
      </c>
      <c r="AL16" s="96">
        <f t="shared" ref="AL16:AL41" si="45">AK16/F16</f>
        <v>7.548561923112368E-2</v>
      </c>
    </row>
    <row r="17" spans="2:38" ht="14.25">
      <c r="B17" s="79"/>
      <c r="C17" s="79"/>
      <c r="D17" s="315">
        <f t="shared" si="21"/>
        <v>46150</v>
      </c>
      <c r="E17" s="315" t="s">
        <v>463</v>
      </c>
      <c r="F17" s="205">
        <f t="shared" si="20"/>
        <v>7943684.9999999991</v>
      </c>
      <c r="G17" s="267"/>
      <c r="H17" s="281"/>
      <c r="I17" s="211">
        <v>616622.68468155118</v>
      </c>
      <c r="J17" s="96">
        <f t="shared" si="35"/>
        <v>7.7624261873620523E-2</v>
      </c>
      <c r="K17" s="211">
        <v>779429.28954347828</v>
      </c>
      <c r="L17" s="96">
        <f t="shared" si="36"/>
        <v>9.8119360163888475E-2</v>
      </c>
      <c r="M17" s="204">
        <f t="shared" si="37"/>
        <v>1396051.9742250293</v>
      </c>
      <c r="N17" s="96">
        <f t="shared" si="38"/>
        <v>0.17574362203750898</v>
      </c>
      <c r="O17" s="211">
        <v>147584.50541002213</v>
      </c>
      <c r="P17" s="96">
        <f t="shared" si="39"/>
        <v>1.8578846644853382E-2</v>
      </c>
      <c r="Q17" s="211"/>
      <c r="R17" s="96">
        <f t="shared" si="40"/>
        <v>0</v>
      </c>
      <c r="S17" s="204">
        <f t="shared" si="41"/>
        <v>147584.50541002213</v>
      </c>
      <c r="T17" s="96">
        <f t="shared" si="42"/>
        <v>1.8578846644853382E-2</v>
      </c>
      <c r="U17" s="211">
        <v>864535.14968540333</v>
      </c>
      <c r="V17" s="96">
        <f t="shared" si="43"/>
        <v>0.10883301008101447</v>
      </c>
      <c r="W17" s="211">
        <v>177511.62192278472</v>
      </c>
      <c r="X17" s="96">
        <f t="shared" si="44"/>
        <v>2.2346256419128494E-2</v>
      </c>
      <c r="Y17" s="211">
        <v>738454.31269724644</v>
      </c>
      <c r="Z17" s="96">
        <f>Y17/F17</f>
        <v>9.2961177677267734E-2</v>
      </c>
      <c r="AA17" s="211">
        <v>979870.82637103309</v>
      </c>
      <c r="AB17" s="96">
        <f t="shared" si="12"/>
        <v>0.12335217551690848</v>
      </c>
      <c r="AC17" s="204">
        <f>SUM(Y17+AA17)</f>
        <v>1718325.1390682794</v>
      </c>
      <c r="AD17" s="96">
        <f>AC17/F17</f>
        <v>0.21631335319417622</v>
      </c>
      <c r="AE17" s="211">
        <v>1186136.2983096514</v>
      </c>
      <c r="AF17" s="96">
        <f>AE17/F17</f>
        <v>0.14931814369648994</v>
      </c>
      <c r="AG17" s="211">
        <v>923612.5877695604</v>
      </c>
      <c r="AH17" s="96">
        <f>AG17/F17</f>
        <v>0.11627004189737641</v>
      </c>
      <c r="AI17" s="211">
        <v>968085.50531372777</v>
      </c>
      <c r="AJ17" s="96">
        <f>AI17/F17</f>
        <v>0.12186856670597183</v>
      </c>
      <c r="AK17" s="211">
        <v>561842.21829554101</v>
      </c>
      <c r="AL17" s="96">
        <f t="shared" si="45"/>
        <v>7.0728159323480352E-2</v>
      </c>
    </row>
    <row r="18" spans="2:38" ht="14.25">
      <c r="B18" s="79"/>
      <c r="C18" s="79"/>
      <c r="D18" s="315">
        <f t="shared" si="21"/>
        <v>46151</v>
      </c>
      <c r="E18" s="315" t="s">
        <v>464</v>
      </c>
      <c r="F18" s="205">
        <f t="shared" si="20"/>
        <v>8070560.9999999991</v>
      </c>
      <c r="G18" s="267"/>
      <c r="H18" s="281"/>
      <c r="I18" s="211">
        <v>569962.05369913206</v>
      </c>
      <c r="J18" s="96">
        <f t="shared" si="35"/>
        <v>7.0622358681029992E-2</v>
      </c>
      <c r="K18" s="211">
        <v>852756.66219834064</v>
      </c>
      <c r="L18" s="96">
        <f t="shared" si="36"/>
        <v>0.1056626252125894</v>
      </c>
      <c r="M18" s="204">
        <f t="shared" si="37"/>
        <v>1422718.7158974726</v>
      </c>
      <c r="N18" s="96">
        <f t="shared" si="38"/>
        <v>0.17628498389361938</v>
      </c>
      <c r="O18" s="211">
        <v>149035.94081986992</v>
      </c>
      <c r="P18" s="96">
        <f t="shared" si="39"/>
        <v>1.8466614752043871E-2</v>
      </c>
      <c r="Q18" s="211"/>
      <c r="R18" s="96">
        <f t="shared" si="40"/>
        <v>0</v>
      </c>
      <c r="S18" s="204">
        <f t="shared" si="41"/>
        <v>149035.94081986992</v>
      </c>
      <c r="T18" s="96">
        <f t="shared" si="42"/>
        <v>1.8466614752043871E-2</v>
      </c>
      <c r="U18" s="211">
        <v>938585.81187648594</v>
      </c>
      <c r="V18" s="96">
        <f t="shared" si="43"/>
        <v>0.11629746827717256</v>
      </c>
      <c r="W18" s="211">
        <v>131117.55211575283</v>
      </c>
      <c r="X18" s="96">
        <f t="shared" si="44"/>
        <v>1.6246398746723165E-2</v>
      </c>
      <c r="Y18" s="211">
        <v>666687.98566529329</v>
      </c>
      <c r="Z18" s="96">
        <f t="shared" ref="Z18:Z40" si="46">Y18/F18</f>
        <v>8.2607390696296495E-2</v>
      </c>
      <c r="AA18" s="211">
        <v>999504.25811207888</v>
      </c>
      <c r="AB18" s="96">
        <f t="shared" si="12"/>
        <v>0.12384569772932501</v>
      </c>
      <c r="AC18" s="204">
        <f t="shared" ref="AC18:AC40" si="47">SUM(Y18+AA18)</f>
        <v>1666192.2437773722</v>
      </c>
      <c r="AD18" s="96">
        <f t="shared" ref="AD18:AD40" si="48">AC18/F18</f>
        <v>0.20645308842562152</v>
      </c>
      <c r="AE18" s="211">
        <v>1306472.6755704535</v>
      </c>
      <c r="AF18" s="96">
        <f t="shared" ref="AF18:AF40" si="49">AE18/F18</f>
        <v>0.1618812713974225</v>
      </c>
      <c r="AG18" s="211">
        <v>869407.8050718446</v>
      </c>
      <c r="AH18" s="96">
        <f t="shared" ref="AH18:AH40" si="50">AG18/F18</f>
        <v>0.10772582043204242</v>
      </c>
      <c r="AI18" s="211">
        <v>999595.61688284052</v>
      </c>
      <c r="AJ18" s="96">
        <f t="shared" ref="AJ18:AJ40" si="51">AI18/F18</f>
        <v>0.12385701773183309</v>
      </c>
      <c r="AK18" s="211">
        <v>587434.63798790728</v>
      </c>
      <c r="AL18" s="96">
        <f t="shared" si="45"/>
        <v>7.2787336343521511E-2</v>
      </c>
    </row>
    <row r="19" spans="2:38" ht="14.25">
      <c r="B19" s="79"/>
      <c r="C19" s="79"/>
      <c r="D19" s="315">
        <f t="shared" si="21"/>
        <v>46152</v>
      </c>
      <c r="E19" s="315" t="s">
        <v>465</v>
      </c>
      <c r="F19" s="205">
        <f t="shared" si="20"/>
        <v>9698095</v>
      </c>
      <c r="G19" s="83"/>
      <c r="H19" s="281"/>
      <c r="I19" s="211">
        <v>710396.89184778207</v>
      </c>
      <c r="J19" s="96">
        <f t="shared" si="35"/>
        <v>7.3251178901400954E-2</v>
      </c>
      <c r="K19" s="211">
        <v>917906.2679441676</v>
      </c>
      <c r="L19" s="96">
        <f t="shared" si="36"/>
        <v>9.4648100265481788E-2</v>
      </c>
      <c r="M19" s="204">
        <f t="shared" si="37"/>
        <v>1628303.1597919497</v>
      </c>
      <c r="N19" s="96">
        <f t="shared" si="38"/>
        <v>0.16789927916688274</v>
      </c>
      <c r="O19" s="211">
        <v>177149.89766841193</v>
      </c>
      <c r="P19" s="96">
        <f t="shared" si="39"/>
        <v>1.8266463431056503E-2</v>
      </c>
      <c r="Q19" s="211"/>
      <c r="R19" s="96">
        <f t="shared" si="40"/>
        <v>0</v>
      </c>
      <c r="S19" s="204">
        <f t="shared" si="41"/>
        <v>177149.89766841193</v>
      </c>
      <c r="T19" s="96">
        <f t="shared" si="42"/>
        <v>1.8266463431056503E-2</v>
      </c>
      <c r="U19" s="211">
        <v>1157669.0663688439</v>
      </c>
      <c r="V19" s="96">
        <f t="shared" si="43"/>
        <v>0.11937076986447791</v>
      </c>
      <c r="W19" s="211">
        <v>184109.54580913595</v>
      </c>
      <c r="X19" s="96">
        <f t="shared" si="44"/>
        <v>1.8984093866799195E-2</v>
      </c>
      <c r="Y19" s="211">
        <v>777957.46135179093</v>
      </c>
      <c r="Z19" s="96">
        <f t="shared" si="46"/>
        <v>8.0217554205417763E-2</v>
      </c>
      <c r="AA19" s="211">
        <v>1104235.0595485393</v>
      </c>
      <c r="AB19" s="96">
        <f t="shared" si="12"/>
        <v>0.11386102729954072</v>
      </c>
      <c r="AC19" s="204">
        <f t="shared" si="47"/>
        <v>1882192.5209003303</v>
      </c>
      <c r="AD19" s="96">
        <f t="shared" si="48"/>
        <v>0.19407858150495846</v>
      </c>
      <c r="AE19" s="211">
        <v>1600548.7037380536</v>
      </c>
      <c r="AF19" s="96">
        <f t="shared" si="49"/>
        <v>0.16503743299462972</v>
      </c>
      <c r="AG19" s="211">
        <v>1219579.9114174012</v>
      </c>
      <c r="AH19" s="96">
        <f t="shared" si="50"/>
        <v>0.12575458493832048</v>
      </c>
      <c r="AI19" s="211">
        <v>1199325.522446278</v>
      </c>
      <c r="AJ19" s="96">
        <f t="shared" si="51"/>
        <v>0.12366609343858541</v>
      </c>
      <c r="AK19" s="211">
        <v>649216.67185959569</v>
      </c>
      <c r="AL19" s="96">
        <f t="shared" si="45"/>
        <v>6.6942700794289572E-2</v>
      </c>
    </row>
    <row r="20" spans="2:38" ht="14.25">
      <c r="B20" s="79"/>
      <c r="C20" s="79"/>
      <c r="D20" s="315">
        <f t="shared" si="21"/>
        <v>46153</v>
      </c>
      <c r="E20" s="315" t="s">
        <v>459</v>
      </c>
      <c r="F20" s="205">
        <f t="shared" si="20"/>
        <v>9791886.9999999981</v>
      </c>
      <c r="G20" s="267"/>
      <c r="H20" s="281"/>
      <c r="I20" s="211">
        <v>699934.4711159172</v>
      </c>
      <c r="J20" s="96">
        <f t="shared" si="35"/>
        <v>7.1481060914603822E-2</v>
      </c>
      <c r="K20" s="211">
        <v>913960.21828075149</v>
      </c>
      <c r="L20" s="96">
        <f t="shared" si="36"/>
        <v>9.3338517721941808E-2</v>
      </c>
      <c r="M20" s="204">
        <f t="shared" si="37"/>
        <v>1613894.6893966687</v>
      </c>
      <c r="N20" s="96">
        <f t="shared" si="38"/>
        <v>0.16481957863654564</v>
      </c>
      <c r="O20" s="211">
        <v>169883.30809694299</v>
      </c>
      <c r="P20" s="96">
        <f t="shared" si="39"/>
        <v>1.7349394258424654E-2</v>
      </c>
      <c r="Q20" s="211"/>
      <c r="R20" s="96">
        <f t="shared" si="40"/>
        <v>0</v>
      </c>
      <c r="S20" s="204">
        <f t="shared" si="41"/>
        <v>169883.30809694299</v>
      </c>
      <c r="T20" s="96">
        <f t="shared" si="42"/>
        <v>1.7349394258424654E-2</v>
      </c>
      <c r="U20" s="211">
        <v>1121991.9606797632</v>
      </c>
      <c r="V20" s="96">
        <f t="shared" si="43"/>
        <v>0.1145838346255184</v>
      </c>
      <c r="W20" s="211">
        <v>181234.19658483085</v>
      </c>
      <c r="X20" s="96">
        <f t="shared" si="44"/>
        <v>1.8508607849011215E-2</v>
      </c>
      <c r="Y20" s="211">
        <v>733520.81088141724</v>
      </c>
      <c r="Z20" s="96">
        <f t="shared" si="46"/>
        <v>7.4911078005844775E-2</v>
      </c>
      <c r="AA20" s="211">
        <v>1326820.0389109182</v>
      </c>
      <c r="AB20" s="96">
        <f t="shared" si="12"/>
        <v>0.13550197616771092</v>
      </c>
      <c r="AC20" s="204">
        <f t="shared" si="47"/>
        <v>2060340.8497923354</v>
      </c>
      <c r="AD20" s="96">
        <f t="shared" si="48"/>
        <v>0.21041305417355571</v>
      </c>
      <c r="AE20" s="211">
        <v>1550623.6417438195</v>
      </c>
      <c r="AF20" s="96">
        <f t="shared" si="49"/>
        <v>0.15835800002020242</v>
      </c>
      <c r="AG20" s="211">
        <v>1101954.542352743</v>
      </c>
      <c r="AH20" s="96">
        <f t="shared" si="50"/>
        <v>0.11253750603461245</v>
      </c>
      <c r="AI20" s="211">
        <v>1060810.9081232219</v>
      </c>
      <c r="AJ20" s="96">
        <f t="shared" si="51"/>
        <v>0.10833569751399523</v>
      </c>
      <c r="AK20" s="211">
        <v>931152.90322967444</v>
      </c>
      <c r="AL20" s="96">
        <f t="shared" si="45"/>
        <v>9.5094326888134489E-2</v>
      </c>
    </row>
    <row r="21" spans="2:38" ht="14.25">
      <c r="B21" s="79"/>
      <c r="C21" s="79"/>
      <c r="D21" s="269">
        <f t="shared" si="21"/>
        <v>46154</v>
      </c>
      <c r="E21" s="269" t="s">
        <v>460</v>
      </c>
      <c r="F21" s="205">
        <f t="shared" si="20"/>
        <v>10338215.000000002</v>
      </c>
      <c r="G21" s="267">
        <f>SUM(F21:F27)</f>
        <v>63943796</v>
      </c>
      <c r="H21" s="281"/>
      <c r="I21" s="211">
        <v>755917.68090405571</v>
      </c>
      <c r="J21" s="96">
        <f t="shared" si="35"/>
        <v>7.3118781231001254E-2</v>
      </c>
      <c r="K21" s="211">
        <v>909352.82033752708</v>
      </c>
      <c r="L21" s="96">
        <f t="shared" si="36"/>
        <v>8.7960331675973752E-2</v>
      </c>
      <c r="M21" s="204">
        <f t="shared" si="37"/>
        <v>1665270.5012415829</v>
      </c>
      <c r="N21" s="96">
        <f t="shared" si="38"/>
        <v>0.16107911290697502</v>
      </c>
      <c r="O21" s="211">
        <v>155823.96749012606</v>
      </c>
      <c r="P21" s="96">
        <f t="shared" si="39"/>
        <v>1.5072618192804661E-2</v>
      </c>
      <c r="Q21" s="211"/>
      <c r="R21" s="96">
        <f t="shared" si="40"/>
        <v>0</v>
      </c>
      <c r="S21" s="204">
        <f t="shared" si="41"/>
        <v>155823.96749012606</v>
      </c>
      <c r="T21" s="96">
        <f t="shared" si="42"/>
        <v>1.5072618192804661E-2</v>
      </c>
      <c r="U21" s="211">
        <v>1108891.2601962592</v>
      </c>
      <c r="V21" s="96">
        <f t="shared" si="43"/>
        <v>0.10726138508400716</v>
      </c>
      <c r="W21" s="211">
        <v>181776.27037398398</v>
      </c>
      <c r="X21" s="96">
        <f t="shared" si="44"/>
        <v>1.7582945447931191E-2</v>
      </c>
      <c r="Y21" s="211">
        <v>878385.24664260307</v>
      </c>
      <c r="Z21" s="96">
        <f t="shared" si="46"/>
        <v>8.4964884812571889E-2</v>
      </c>
      <c r="AA21" s="211">
        <v>1226019.6852001748</v>
      </c>
      <c r="AB21" s="96">
        <f t="shared" si="12"/>
        <v>0.118591041606329</v>
      </c>
      <c r="AC21" s="204">
        <f t="shared" si="47"/>
        <v>2104404.9318427779</v>
      </c>
      <c r="AD21" s="96">
        <f t="shared" si="48"/>
        <v>0.20355592641890088</v>
      </c>
      <c r="AE21" s="211">
        <v>1710943.3814809262</v>
      </c>
      <c r="AF21" s="96">
        <f t="shared" si="49"/>
        <v>0.16549698197231591</v>
      </c>
      <c r="AG21" s="211">
        <v>1017295.1661008195</v>
      </c>
      <c r="AH21" s="96">
        <f t="shared" si="50"/>
        <v>9.840143255879466E-2</v>
      </c>
      <c r="AI21" s="211">
        <v>996100.20923241647</v>
      </c>
      <c r="AJ21" s="96">
        <f t="shared" si="51"/>
        <v>9.6351276234090344E-2</v>
      </c>
      <c r="AK21" s="211">
        <v>1397709.3120411087</v>
      </c>
      <c r="AL21" s="96">
        <f t="shared" si="45"/>
        <v>0.1351983211841801</v>
      </c>
    </row>
    <row r="22" spans="2:38" ht="14.25">
      <c r="B22" s="79"/>
      <c r="C22" s="79"/>
      <c r="D22" s="269">
        <f t="shared" si="21"/>
        <v>46155</v>
      </c>
      <c r="E22" s="269" t="s">
        <v>461</v>
      </c>
      <c r="F22" s="205">
        <f t="shared" si="20"/>
        <v>9489108.9999999981</v>
      </c>
      <c r="G22" s="267"/>
      <c r="H22" s="281"/>
      <c r="I22" s="211">
        <v>741561.45723455469</v>
      </c>
      <c r="J22" s="96">
        <f t="shared" si="35"/>
        <v>7.8148692067353726E-2</v>
      </c>
      <c r="K22" s="211">
        <v>902717.8708379399</v>
      </c>
      <c r="L22" s="96">
        <f t="shared" si="36"/>
        <v>9.5131995094369773E-2</v>
      </c>
      <c r="M22" s="204">
        <f t="shared" si="37"/>
        <v>1644279.3280724946</v>
      </c>
      <c r="N22" s="96">
        <f t="shared" si="38"/>
        <v>0.17328068716172351</v>
      </c>
      <c r="O22" s="211">
        <v>160927.69370798356</v>
      </c>
      <c r="P22" s="96">
        <f t="shared" si="39"/>
        <v>1.695919961589477E-2</v>
      </c>
      <c r="Q22" s="211"/>
      <c r="R22" s="96">
        <f t="shared" si="40"/>
        <v>0</v>
      </c>
      <c r="S22" s="204">
        <f t="shared" si="41"/>
        <v>160927.69370798356</v>
      </c>
      <c r="T22" s="96">
        <f t="shared" si="42"/>
        <v>1.695919961589477E-2</v>
      </c>
      <c r="U22" s="211">
        <v>1019396.9466459607</v>
      </c>
      <c r="V22" s="96">
        <f t="shared" si="43"/>
        <v>0.1074280995872174</v>
      </c>
      <c r="W22" s="211">
        <v>184177.20582325035</v>
      </c>
      <c r="X22" s="96">
        <f t="shared" si="44"/>
        <v>1.9409325556619741E-2</v>
      </c>
      <c r="Y22" s="211">
        <v>797268.51418401313</v>
      </c>
      <c r="Z22" s="96">
        <f t="shared" si="46"/>
        <v>8.4019323013784883E-2</v>
      </c>
      <c r="AA22" s="211">
        <v>1062507.3965131375</v>
      </c>
      <c r="AB22" s="96">
        <f t="shared" si="12"/>
        <v>0.11197125004182561</v>
      </c>
      <c r="AC22" s="204">
        <f t="shared" si="47"/>
        <v>1859775.9106971505</v>
      </c>
      <c r="AD22" s="96">
        <f t="shared" si="48"/>
        <v>0.19599057305561049</v>
      </c>
      <c r="AE22" s="211">
        <v>1626664.3977459637</v>
      </c>
      <c r="AF22" s="96">
        <f t="shared" si="49"/>
        <v>0.17142435583214019</v>
      </c>
      <c r="AG22" s="211">
        <v>1047211.1913261812</v>
      </c>
      <c r="AH22" s="96">
        <f t="shared" si="50"/>
        <v>0.11035927517812066</v>
      </c>
      <c r="AI22" s="211">
        <v>1018045.3860407377</v>
      </c>
      <c r="AJ22" s="96">
        <f t="shared" si="51"/>
        <v>0.1072856667618359</v>
      </c>
      <c r="AK22" s="211">
        <v>928630.9399402776</v>
      </c>
      <c r="AL22" s="96">
        <f t="shared" si="45"/>
        <v>9.7862817250837536E-2</v>
      </c>
    </row>
    <row r="23" spans="2:38" ht="14.25">
      <c r="B23" s="79"/>
      <c r="C23" s="79"/>
      <c r="D23" s="269">
        <f t="shared" si="21"/>
        <v>46156</v>
      </c>
      <c r="E23" s="269" t="s">
        <v>462</v>
      </c>
      <c r="F23" s="205">
        <f t="shared" si="20"/>
        <v>8697323</v>
      </c>
      <c r="G23" s="83"/>
      <c r="H23" s="281"/>
      <c r="I23" s="211">
        <v>723519.98376708338</v>
      </c>
      <c r="J23" s="96">
        <f t="shared" si="35"/>
        <v>8.3188813818583424E-2</v>
      </c>
      <c r="K23" s="211">
        <v>827247.60960755637</v>
      </c>
      <c r="L23" s="96">
        <f t="shared" si="36"/>
        <v>9.5115199194919675E-2</v>
      </c>
      <c r="M23" s="204">
        <f t="shared" si="37"/>
        <v>1550767.5933746397</v>
      </c>
      <c r="N23" s="96">
        <f t="shared" si="38"/>
        <v>0.1783040130135031</v>
      </c>
      <c r="O23" s="211">
        <v>158168.57570358325</v>
      </c>
      <c r="P23" s="96">
        <f t="shared" si="39"/>
        <v>1.8185891877717231E-2</v>
      </c>
      <c r="Q23" s="211"/>
      <c r="R23" s="96">
        <f t="shared" si="40"/>
        <v>0</v>
      </c>
      <c r="S23" s="204">
        <f t="shared" si="41"/>
        <v>158168.57570358325</v>
      </c>
      <c r="T23" s="96">
        <f t="shared" si="42"/>
        <v>1.8185891877717231E-2</v>
      </c>
      <c r="U23" s="211">
        <v>975020.25910573185</v>
      </c>
      <c r="V23" s="96">
        <f t="shared" si="43"/>
        <v>0.11210578923028751</v>
      </c>
      <c r="W23" s="211">
        <v>165487.61600097505</v>
      </c>
      <c r="X23" s="96">
        <f t="shared" si="44"/>
        <v>1.9027419816531482E-2</v>
      </c>
      <c r="Y23" s="211">
        <v>741726.72279581032</v>
      </c>
      <c r="Z23" s="96">
        <f t="shared" si="46"/>
        <v>8.5282186575778587E-2</v>
      </c>
      <c r="AA23" s="211">
        <v>787022.14626930072</v>
      </c>
      <c r="AB23" s="96">
        <f t="shared" si="12"/>
        <v>9.0490159589255312E-2</v>
      </c>
      <c r="AC23" s="204">
        <f t="shared" si="47"/>
        <v>1528748.869065111</v>
      </c>
      <c r="AD23" s="96">
        <f t="shared" si="48"/>
        <v>0.1757723461650339</v>
      </c>
      <c r="AE23" s="211">
        <v>1514053.1034657576</v>
      </c>
      <c r="AF23" s="96">
        <f t="shared" si="49"/>
        <v>0.17408265778628176</v>
      </c>
      <c r="AG23" s="211">
        <v>989601.53907555155</v>
      </c>
      <c r="AH23" s="96">
        <f t="shared" si="50"/>
        <v>0.113782314290909</v>
      </c>
      <c r="AI23" s="211">
        <v>941801.11762333894</v>
      </c>
      <c r="AJ23" s="96">
        <f t="shared" si="51"/>
        <v>0.10828632185137185</v>
      </c>
      <c r="AK23" s="211">
        <v>873674.32658531074</v>
      </c>
      <c r="AL23" s="96">
        <f t="shared" si="45"/>
        <v>0.10045324596836415</v>
      </c>
    </row>
    <row r="24" spans="2:38" ht="14.25">
      <c r="B24" s="79"/>
      <c r="C24" s="79"/>
      <c r="D24" s="269">
        <f t="shared" si="21"/>
        <v>46157</v>
      </c>
      <c r="E24" s="269" t="s">
        <v>463</v>
      </c>
      <c r="F24" s="205">
        <f t="shared" si="20"/>
        <v>7747012.9999999991</v>
      </c>
      <c r="G24" s="267"/>
      <c r="H24" s="281"/>
      <c r="I24" s="211">
        <v>619431.84362458915</v>
      </c>
      <c r="J24" s="96">
        <f t="shared" si="35"/>
        <v>7.995750667058249E-2</v>
      </c>
      <c r="K24" s="211">
        <v>754873.07487088989</v>
      </c>
      <c r="L24" s="96">
        <f t="shared" si="36"/>
        <v>9.744053287000938E-2</v>
      </c>
      <c r="M24" s="204">
        <f t="shared" si="37"/>
        <v>1374304.918495479</v>
      </c>
      <c r="N24" s="96">
        <f t="shared" si="38"/>
        <v>0.17739803954059186</v>
      </c>
      <c r="O24" s="211">
        <v>128815.30768129948</v>
      </c>
      <c r="P24" s="96">
        <f t="shared" si="39"/>
        <v>1.6627738675706299E-2</v>
      </c>
      <c r="Q24" s="211"/>
      <c r="R24" s="96">
        <f t="shared" si="40"/>
        <v>0</v>
      </c>
      <c r="S24" s="204">
        <f t="shared" si="41"/>
        <v>128815.30768129948</v>
      </c>
      <c r="T24" s="96">
        <f t="shared" si="42"/>
        <v>1.6627738675706299E-2</v>
      </c>
      <c r="U24" s="211">
        <v>861988.6900672334</v>
      </c>
      <c r="V24" s="96">
        <f t="shared" si="43"/>
        <v>0.11126723165008676</v>
      </c>
      <c r="W24" s="211">
        <v>115144.57454408445</v>
      </c>
      <c r="X24" s="96">
        <f t="shared" si="44"/>
        <v>1.4863092981008869E-2</v>
      </c>
      <c r="Y24" s="211">
        <v>680257.00307410362</v>
      </c>
      <c r="Z24" s="96">
        <f t="shared" si="46"/>
        <v>8.7808940436024011E-2</v>
      </c>
      <c r="AA24" s="211">
        <v>848637.38960713905</v>
      </c>
      <c r="AB24" s="96">
        <f t="shared" si="12"/>
        <v>0.10954381896701854</v>
      </c>
      <c r="AC24" s="204">
        <f t="shared" si="47"/>
        <v>1528894.3926812427</v>
      </c>
      <c r="AD24" s="96">
        <f t="shared" si="48"/>
        <v>0.19735275940304256</v>
      </c>
      <c r="AE24" s="211">
        <v>1234623.6626187912</v>
      </c>
      <c r="AF24" s="96">
        <f t="shared" si="49"/>
        <v>0.15936770244464432</v>
      </c>
      <c r="AG24" s="211">
        <v>836619.07542308292</v>
      </c>
      <c r="AH24" s="96">
        <f t="shared" si="50"/>
        <v>0.10799247083012292</v>
      </c>
      <c r="AI24" s="211">
        <v>918199.91296146263</v>
      </c>
      <c r="AJ24" s="96">
        <f t="shared" si="51"/>
        <v>0.11852308921663908</v>
      </c>
      <c r="AK24" s="211">
        <v>748422.46552732389</v>
      </c>
      <c r="AL24" s="96">
        <f t="shared" si="45"/>
        <v>9.6607875258157436E-2</v>
      </c>
    </row>
    <row r="25" spans="2:38" ht="14.25">
      <c r="B25" s="79"/>
      <c r="C25" s="79"/>
      <c r="D25" s="269">
        <f t="shared" si="21"/>
        <v>46158</v>
      </c>
      <c r="E25" s="269" t="s">
        <v>464</v>
      </c>
      <c r="F25" s="205">
        <f t="shared" si="20"/>
        <v>8066990</v>
      </c>
      <c r="G25" s="267"/>
      <c r="H25" s="281"/>
      <c r="I25" s="211">
        <v>606947.61339113757</v>
      </c>
      <c r="J25" s="96">
        <f t="shared" si="35"/>
        <v>7.5238423921578881E-2</v>
      </c>
      <c r="K25" s="211">
        <v>854895.64572511893</v>
      </c>
      <c r="L25" s="96">
        <f t="shared" si="36"/>
        <v>0.10597455131655288</v>
      </c>
      <c r="M25" s="204">
        <f t="shared" si="37"/>
        <v>1461843.2591162566</v>
      </c>
      <c r="N25" s="96">
        <f t="shared" si="38"/>
        <v>0.18121297523813176</v>
      </c>
      <c r="O25" s="211">
        <v>130627.90274483411</v>
      </c>
      <c r="P25" s="96">
        <f t="shared" si="39"/>
        <v>1.6192892608622809E-2</v>
      </c>
      <c r="Q25" s="211"/>
      <c r="R25" s="96">
        <f t="shared" si="40"/>
        <v>0</v>
      </c>
      <c r="S25" s="204">
        <f t="shared" si="41"/>
        <v>130627.90274483411</v>
      </c>
      <c r="T25" s="96">
        <f t="shared" si="42"/>
        <v>1.6192892608622809E-2</v>
      </c>
      <c r="U25" s="211">
        <v>937375.86277051386</v>
      </c>
      <c r="V25" s="96">
        <f t="shared" si="43"/>
        <v>0.11619896179002501</v>
      </c>
      <c r="W25" s="211">
        <v>77822.072366451248</v>
      </c>
      <c r="X25" s="96">
        <f t="shared" si="44"/>
        <v>9.6469776665709574E-3</v>
      </c>
      <c r="Y25" s="211">
        <v>713787.72869103367</v>
      </c>
      <c r="Z25" s="96">
        <f t="shared" si="46"/>
        <v>8.8482535455111963E-2</v>
      </c>
      <c r="AA25" s="211">
        <v>937469.6142581047</v>
      </c>
      <c r="AB25" s="96">
        <f t="shared" si="12"/>
        <v>0.11621058340943831</v>
      </c>
      <c r="AC25" s="204">
        <f t="shared" si="47"/>
        <v>1651257.3429491385</v>
      </c>
      <c r="AD25" s="96">
        <f t="shared" si="48"/>
        <v>0.20469311886455027</v>
      </c>
      <c r="AE25" s="211">
        <v>1370478.5625779631</v>
      </c>
      <c r="AF25" s="96">
        <f t="shared" si="49"/>
        <v>0.1698872271538657</v>
      </c>
      <c r="AG25" s="211">
        <v>861376.06487309688</v>
      </c>
      <c r="AH25" s="96">
        <f t="shared" si="50"/>
        <v>0.1067778768627576</v>
      </c>
      <c r="AI25" s="211">
        <v>888853.01583814784</v>
      </c>
      <c r="AJ25" s="96">
        <f t="shared" si="51"/>
        <v>0.11018397392808815</v>
      </c>
      <c r="AK25" s="211">
        <v>687355.91676359798</v>
      </c>
      <c r="AL25" s="96">
        <f t="shared" si="45"/>
        <v>8.5205995887387739E-2</v>
      </c>
    </row>
    <row r="26" spans="2:38" ht="14.25">
      <c r="B26" s="79"/>
      <c r="C26" s="79"/>
      <c r="D26" s="269">
        <f t="shared" si="21"/>
        <v>46159</v>
      </c>
      <c r="E26" s="269" t="s">
        <v>465</v>
      </c>
      <c r="F26" s="205">
        <f t="shared" si="20"/>
        <v>9834074.0000000019</v>
      </c>
      <c r="G26" s="267"/>
      <c r="H26" s="281"/>
      <c r="I26" s="211">
        <v>765366.08879907092</v>
      </c>
      <c r="J26" s="96">
        <f t="shared" si="35"/>
        <v>7.7827977377338306E-2</v>
      </c>
      <c r="K26" s="211">
        <v>937961.56607195863</v>
      </c>
      <c r="L26" s="96">
        <f t="shared" si="36"/>
        <v>9.5378737852893775E-2</v>
      </c>
      <c r="M26" s="204">
        <f t="shared" si="37"/>
        <v>1703327.6548710295</v>
      </c>
      <c r="N26" s="96">
        <f t="shared" si="38"/>
        <v>0.17320671523023207</v>
      </c>
      <c r="O26" s="211">
        <v>162741.26613283812</v>
      </c>
      <c r="P26" s="96">
        <f t="shared" si="39"/>
        <v>1.654871278504088E-2</v>
      </c>
      <c r="Q26" s="211"/>
      <c r="R26" s="96">
        <f t="shared" si="40"/>
        <v>0</v>
      </c>
      <c r="S26" s="204">
        <f t="shared" si="41"/>
        <v>162741.26613283812</v>
      </c>
      <c r="T26" s="96">
        <f t="shared" si="42"/>
        <v>1.654871278504088E-2</v>
      </c>
      <c r="U26" s="211">
        <v>1154246.5555551087</v>
      </c>
      <c r="V26" s="96">
        <f t="shared" si="43"/>
        <v>0.11737216493948575</v>
      </c>
      <c r="W26" s="211">
        <v>100186.85484301006</v>
      </c>
      <c r="X26" s="96">
        <f t="shared" si="44"/>
        <v>1.0187726352578804E-2</v>
      </c>
      <c r="Y26" s="211">
        <v>804464.54359039397</v>
      </c>
      <c r="Z26" s="96">
        <f t="shared" si="46"/>
        <v>8.1803791957472949E-2</v>
      </c>
      <c r="AA26" s="211">
        <v>1016720.6491429667</v>
      </c>
      <c r="AB26" s="96">
        <f t="shared" si="12"/>
        <v>0.10338753289256991</v>
      </c>
      <c r="AC26" s="204">
        <f t="shared" si="47"/>
        <v>1821185.1927333607</v>
      </c>
      <c r="AD26" s="96">
        <f t="shared" si="48"/>
        <v>0.18519132485004286</v>
      </c>
      <c r="AE26" s="211">
        <v>1785560.6595027107</v>
      </c>
      <c r="AF26" s="96">
        <f t="shared" si="49"/>
        <v>0.18156876382084478</v>
      </c>
      <c r="AG26" s="211">
        <v>1066920.3697879212</v>
      </c>
      <c r="AH26" s="96">
        <f t="shared" si="50"/>
        <v>0.10849220473507938</v>
      </c>
      <c r="AI26" s="211">
        <v>1117070.5078495205</v>
      </c>
      <c r="AJ26" s="96">
        <f t="shared" si="51"/>
        <v>0.11359183466074389</v>
      </c>
      <c r="AK26" s="211">
        <v>922834.93872450024</v>
      </c>
      <c r="AL26" s="96">
        <f t="shared" si="45"/>
        <v>9.3840552625951368E-2</v>
      </c>
    </row>
    <row r="27" spans="2:38" ht="14.25">
      <c r="B27" s="79"/>
      <c r="C27" s="79"/>
      <c r="D27" s="269">
        <f t="shared" si="21"/>
        <v>46160</v>
      </c>
      <c r="E27" s="269" t="s">
        <v>459</v>
      </c>
      <c r="F27" s="205">
        <f t="shared" si="20"/>
        <v>9771071.9999999981</v>
      </c>
      <c r="G27" s="83"/>
      <c r="H27" s="281"/>
      <c r="I27" s="211">
        <v>756696.51388844487</v>
      </c>
      <c r="J27" s="96">
        <f t="shared" si="35"/>
        <v>7.7442527686669899E-2</v>
      </c>
      <c r="K27" s="211">
        <v>934888.67652631318</v>
      </c>
      <c r="L27" s="96">
        <f t="shared" si="36"/>
        <v>9.5679233202489278E-2</v>
      </c>
      <c r="M27" s="204">
        <f t="shared" si="37"/>
        <v>1691585.1904147579</v>
      </c>
      <c r="N27" s="96">
        <f t="shared" si="38"/>
        <v>0.17312176088915918</v>
      </c>
      <c r="O27" s="211">
        <v>160435.77516823655</v>
      </c>
      <c r="P27" s="96">
        <f t="shared" si="39"/>
        <v>1.6419465046234087E-2</v>
      </c>
      <c r="Q27" s="211"/>
      <c r="R27" s="96">
        <f t="shared" si="40"/>
        <v>0</v>
      </c>
      <c r="S27" s="204">
        <f t="shared" si="41"/>
        <v>160435.77516823655</v>
      </c>
      <c r="T27" s="96">
        <f t="shared" si="42"/>
        <v>1.6419465046234087E-2</v>
      </c>
      <c r="U27" s="211">
        <v>1165451.7025618129</v>
      </c>
      <c r="V27" s="96">
        <f t="shared" si="43"/>
        <v>0.11927572558689703</v>
      </c>
      <c r="W27" s="211">
        <v>116567.29947992822</v>
      </c>
      <c r="X27" s="96">
        <f t="shared" si="44"/>
        <v>1.1929837327974683E-2</v>
      </c>
      <c r="Y27" s="211">
        <v>792072.13745221007</v>
      </c>
      <c r="Z27" s="96">
        <f t="shared" si="46"/>
        <v>8.1062972154151577E-2</v>
      </c>
      <c r="AA27" s="211">
        <v>1256918.0685157464</v>
      </c>
      <c r="AB27" s="96">
        <f t="shared" si="12"/>
        <v>0.12863666018587794</v>
      </c>
      <c r="AC27" s="204">
        <f t="shared" si="47"/>
        <v>2048990.2059679565</v>
      </c>
      <c r="AD27" s="96">
        <f t="shared" si="48"/>
        <v>0.2096996323400295</v>
      </c>
      <c r="AE27" s="211">
        <v>1679305.0921255776</v>
      </c>
      <c r="AF27" s="96">
        <f t="shared" si="49"/>
        <v>0.17186497982264157</v>
      </c>
      <c r="AG27" s="211">
        <v>1063847.0659292249</v>
      </c>
      <c r="AH27" s="96">
        <f t="shared" si="50"/>
        <v>0.10887721080442608</v>
      </c>
      <c r="AI27" s="211">
        <v>1103368.6153188883</v>
      </c>
      <c r="AJ27" s="96">
        <f t="shared" si="51"/>
        <v>0.112921961410057</v>
      </c>
      <c r="AK27" s="211">
        <v>741521.053033615</v>
      </c>
      <c r="AL27" s="96">
        <f t="shared" si="45"/>
        <v>7.5889426772580856E-2</v>
      </c>
    </row>
    <row r="28" spans="2:38" ht="14.25">
      <c r="B28" s="79"/>
      <c r="C28" s="79"/>
      <c r="D28" s="315">
        <f t="shared" si="21"/>
        <v>46161</v>
      </c>
      <c r="E28" s="315" t="s">
        <v>460</v>
      </c>
      <c r="F28" s="205">
        <f t="shared" si="20"/>
        <v>9682131.9999999981</v>
      </c>
      <c r="G28" s="267">
        <f>SUM(F28:F34)</f>
        <v>61296171</v>
      </c>
      <c r="H28" s="281"/>
      <c r="I28" s="211">
        <v>826456.47375794523</v>
      </c>
      <c r="J28" s="96">
        <f t="shared" si="35"/>
        <v>8.5358934763329536E-2</v>
      </c>
      <c r="K28" s="211">
        <v>904265.71164917736</v>
      </c>
      <c r="L28" s="96">
        <f t="shared" si="36"/>
        <v>9.3395309178719882E-2</v>
      </c>
      <c r="M28" s="204">
        <f t="shared" si="37"/>
        <v>1730722.1854071226</v>
      </c>
      <c r="N28" s="96">
        <f t="shared" si="38"/>
        <v>0.17875424394204942</v>
      </c>
      <c r="O28" s="211">
        <v>158047.54006607726</v>
      </c>
      <c r="P28" s="96">
        <f t="shared" si="39"/>
        <v>1.6323629967663865E-2</v>
      </c>
      <c r="Q28" s="211"/>
      <c r="R28" s="96">
        <f t="shared" si="40"/>
        <v>0</v>
      </c>
      <c r="S28" s="204">
        <f t="shared" si="41"/>
        <v>158047.54006607726</v>
      </c>
      <c r="T28" s="96">
        <f t="shared" si="42"/>
        <v>1.6323629967663865E-2</v>
      </c>
      <c r="U28" s="211">
        <v>1100449.9908128239</v>
      </c>
      <c r="V28" s="96">
        <f t="shared" si="43"/>
        <v>0.1136578173911308</v>
      </c>
      <c r="W28" s="211">
        <v>91297.669589134704</v>
      </c>
      <c r="X28" s="96">
        <f t="shared" si="44"/>
        <v>9.4295006088674187E-3</v>
      </c>
      <c r="Y28" s="211">
        <v>763457.51187831559</v>
      </c>
      <c r="Z28" s="96">
        <f t="shared" si="46"/>
        <v>7.8852210636904743E-2</v>
      </c>
      <c r="AA28" s="211">
        <v>1158229.8186052833</v>
      </c>
      <c r="AB28" s="96">
        <f t="shared" si="12"/>
        <v>0.11962549349722597</v>
      </c>
      <c r="AC28" s="204">
        <f t="shared" si="47"/>
        <v>1921687.3304835989</v>
      </c>
      <c r="AD28" s="96">
        <f t="shared" si="48"/>
        <v>0.19847770413413071</v>
      </c>
      <c r="AE28" s="211">
        <v>1640739.8948851491</v>
      </c>
      <c r="AF28" s="96">
        <f t="shared" si="49"/>
        <v>0.1694605996783714</v>
      </c>
      <c r="AG28" s="211">
        <v>1016219.5705905056</v>
      </c>
      <c r="AH28" s="96">
        <f t="shared" si="50"/>
        <v>0.10495824376186007</v>
      </c>
      <c r="AI28" s="211">
        <v>1304464.1653648727</v>
      </c>
      <c r="AJ28" s="96">
        <f t="shared" si="51"/>
        <v>0.13472902098059322</v>
      </c>
      <c r="AK28" s="211">
        <v>718503.65280071495</v>
      </c>
      <c r="AL28" s="96">
        <f t="shared" si="45"/>
        <v>7.4209239535333232E-2</v>
      </c>
    </row>
    <row r="29" spans="2:38" ht="14.25">
      <c r="B29" s="79"/>
      <c r="C29" s="79"/>
      <c r="D29" s="315">
        <f t="shared" si="21"/>
        <v>46162</v>
      </c>
      <c r="E29" s="315" t="s">
        <v>461</v>
      </c>
      <c r="F29" s="205">
        <f t="shared" si="20"/>
        <v>8920843</v>
      </c>
      <c r="G29" s="267"/>
      <c r="H29" s="281"/>
      <c r="I29" s="211">
        <v>787047.21051427117</v>
      </c>
      <c r="J29" s="96">
        <f t="shared" si="35"/>
        <v>8.8225654292343358E-2</v>
      </c>
      <c r="K29" s="211">
        <v>876400.13791428984</v>
      </c>
      <c r="L29" s="96">
        <f t="shared" si="36"/>
        <v>9.8241852021640763E-2</v>
      </c>
      <c r="M29" s="204">
        <f t="shared" si="37"/>
        <v>1663447.3484285609</v>
      </c>
      <c r="N29" s="96">
        <f t="shared" si="38"/>
        <v>0.18646750631398409</v>
      </c>
      <c r="O29" s="211">
        <v>156159.22176303924</v>
      </c>
      <c r="P29" s="96">
        <f t="shared" si="39"/>
        <v>1.7504984872286088E-2</v>
      </c>
      <c r="Q29" s="211"/>
      <c r="R29" s="96">
        <f t="shared" si="40"/>
        <v>0</v>
      </c>
      <c r="S29" s="204">
        <f t="shared" si="41"/>
        <v>156159.22176303924</v>
      </c>
      <c r="T29" s="96">
        <f t="shared" si="42"/>
        <v>1.7504984872286088E-2</v>
      </c>
      <c r="U29" s="211">
        <v>933608.35656184319</v>
      </c>
      <c r="V29" s="96">
        <f t="shared" si="43"/>
        <v>0.10465472338901639</v>
      </c>
      <c r="W29" s="211">
        <v>102348.52284265652</v>
      </c>
      <c r="X29" s="96">
        <f t="shared" si="44"/>
        <v>1.1472965373637505E-2</v>
      </c>
      <c r="Y29" s="211">
        <v>711785.97062633652</v>
      </c>
      <c r="Z29" s="96">
        <f t="shared" si="46"/>
        <v>7.9789092872314477E-2</v>
      </c>
      <c r="AA29" s="211">
        <v>1045992.3900068655</v>
      </c>
      <c r="AB29" s="96">
        <f t="shared" si="12"/>
        <v>0.11725263968964206</v>
      </c>
      <c r="AC29" s="204">
        <f t="shared" si="47"/>
        <v>1757778.3606332019</v>
      </c>
      <c r="AD29" s="96">
        <f t="shared" si="48"/>
        <v>0.19704173256195653</v>
      </c>
      <c r="AE29" s="211">
        <v>1449389.9530459088</v>
      </c>
      <c r="AF29" s="96">
        <f t="shared" si="49"/>
        <v>0.16247230817153815</v>
      </c>
      <c r="AG29" s="211">
        <v>947169.57919675275</v>
      </c>
      <c r="AH29" s="96">
        <f t="shared" si="50"/>
        <v>0.10617489616135524</v>
      </c>
      <c r="AI29" s="211">
        <v>1213723.4810962686</v>
      </c>
      <c r="AJ29" s="96">
        <f t="shared" si="51"/>
        <v>0.13605479673796173</v>
      </c>
      <c r="AK29" s="211">
        <v>697218.17643176846</v>
      </c>
      <c r="AL29" s="96">
        <f t="shared" si="45"/>
        <v>7.8156086418264339E-2</v>
      </c>
    </row>
    <row r="30" spans="2:38" ht="14.25">
      <c r="B30" s="79"/>
      <c r="C30" s="79"/>
      <c r="D30" s="315">
        <f t="shared" si="21"/>
        <v>46163</v>
      </c>
      <c r="E30" s="315" t="s">
        <v>462</v>
      </c>
      <c r="F30" s="205">
        <f t="shared" si="20"/>
        <v>8302356.9999999981</v>
      </c>
      <c r="G30" s="83"/>
      <c r="H30" s="281"/>
      <c r="I30" s="211">
        <v>760834.55058612896</v>
      </c>
      <c r="J30" s="96">
        <f t="shared" si="35"/>
        <v>9.1640789547610291E-2</v>
      </c>
      <c r="K30" s="211">
        <v>798430.24401973339</v>
      </c>
      <c r="L30" s="96">
        <f t="shared" si="36"/>
        <v>9.6169105233578078E-2</v>
      </c>
      <c r="M30" s="204">
        <f t="shared" si="37"/>
        <v>1559264.7946058623</v>
      </c>
      <c r="N30" s="96">
        <f t="shared" si="38"/>
        <v>0.18780989478118837</v>
      </c>
      <c r="O30" s="211">
        <v>154916.45759698428</v>
      </c>
      <c r="P30" s="96">
        <f t="shared" si="39"/>
        <v>1.8659334644003423E-2</v>
      </c>
      <c r="Q30" s="211"/>
      <c r="R30" s="96">
        <f t="shared" si="40"/>
        <v>0</v>
      </c>
      <c r="S30" s="204">
        <f t="shared" si="41"/>
        <v>154916.45759698428</v>
      </c>
      <c r="T30" s="96">
        <f t="shared" si="42"/>
        <v>1.8659334644003423E-2</v>
      </c>
      <c r="U30" s="211">
        <v>890222.87377829652</v>
      </c>
      <c r="V30" s="96">
        <f t="shared" si="43"/>
        <v>0.10722531851837938</v>
      </c>
      <c r="W30" s="211">
        <v>102399.49861610505</v>
      </c>
      <c r="X30" s="96">
        <f t="shared" si="44"/>
        <v>1.2333786491728201E-2</v>
      </c>
      <c r="Y30" s="211">
        <v>671912.77642866806</v>
      </c>
      <c r="Z30" s="96">
        <f t="shared" si="46"/>
        <v>8.0930364284343373E-2</v>
      </c>
      <c r="AA30" s="211">
        <v>840653.131471453</v>
      </c>
      <c r="AB30" s="96">
        <f t="shared" si="12"/>
        <v>0.10125475590503434</v>
      </c>
      <c r="AC30" s="204">
        <f t="shared" si="47"/>
        <v>1512565.9079001211</v>
      </c>
      <c r="AD30" s="96">
        <f t="shared" si="48"/>
        <v>0.18218512018937771</v>
      </c>
      <c r="AE30" s="211">
        <v>1265229.8307909861</v>
      </c>
      <c r="AF30" s="96">
        <f t="shared" si="49"/>
        <v>0.15239405277212079</v>
      </c>
      <c r="AG30" s="211">
        <v>870462.8429876616</v>
      </c>
      <c r="AH30" s="96">
        <f t="shared" si="50"/>
        <v>0.10484526779415312</v>
      </c>
      <c r="AI30" s="211">
        <v>1241693.5168820622</v>
      </c>
      <c r="AJ30" s="96">
        <f t="shared" si="51"/>
        <v>0.1495591573431572</v>
      </c>
      <c r="AK30" s="211">
        <v>705601.2768419201</v>
      </c>
      <c r="AL30" s="96">
        <f t="shared" si="45"/>
        <v>8.498806746589195E-2</v>
      </c>
    </row>
    <row r="31" spans="2:38" ht="14.25">
      <c r="B31" s="79"/>
      <c r="C31" s="79"/>
      <c r="D31" s="315">
        <f t="shared" si="21"/>
        <v>46164</v>
      </c>
      <c r="E31" s="315" t="s">
        <v>463</v>
      </c>
      <c r="F31" s="205">
        <f t="shared" si="20"/>
        <v>7688338</v>
      </c>
      <c r="G31" s="267"/>
      <c r="H31" s="281"/>
      <c r="I31" s="211">
        <v>674340.31315153465</v>
      </c>
      <c r="J31" s="96">
        <f t="shared" si="35"/>
        <v>8.7709504076373151E-2</v>
      </c>
      <c r="K31" s="211">
        <v>744643.87335888261</v>
      </c>
      <c r="L31" s="96">
        <f t="shared" si="36"/>
        <v>9.6853685849774371E-2</v>
      </c>
      <c r="M31" s="204">
        <f t="shared" si="37"/>
        <v>1418984.1865104171</v>
      </c>
      <c r="N31" s="96">
        <f t="shared" si="38"/>
        <v>0.18456318992614751</v>
      </c>
      <c r="O31" s="211">
        <v>132640.03236376386</v>
      </c>
      <c r="P31" s="96">
        <f t="shared" si="39"/>
        <v>1.7252107329797917E-2</v>
      </c>
      <c r="Q31" s="211"/>
      <c r="R31" s="96">
        <f t="shared" si="40"/>
        <v>0</v>
      </c>
      <c r="S31" s="204">
        <f t="shared" si="41"/>
        <v>132640.03236376386</v>
      </c>
      <c r="T31" s="96">
        <f t="shared" si="42"/>
        <v>1.7252107329797917E-2</v>
      </c>
      <c r="U31" s="211">
        <v>799017.80971678288</v>
      </c>
      <c r="V31" s="96">
        <f t="shared" si="43"/>
        <v>0.10392594728753898</v>
      </c>
      <c r="W31" s="211">
        <v>67384.776369366591</v>
      </c>
      <c r="X31" s="96">
        <f t="shared" si="44"/>
        <v>8.7645439585729186E-3</v>
      </c>
      <c r="Y31" s="211">
        <v>625288.94887956639</v>
      </c>
      <c r="Z31" s="96">
        <f t="shared" si="46"/>
        <v>8.1329534273800963E-2</v>
      </c>
      <c r="AA31" s="211">
        <v>900942.55405665678</v>
      </c>
      <c r="AB31" s="96">
        <f t="shared" si="12"/>
        <v>0.11718300548917812</v>
      </c>
      <c r="AC31" s="204">
        <f t="shared" si="47"/>
        <v>1526231.5029362231</v>
      </c>
      <c r="AD31" s="96">
        <f t="shared" si="48"/>
        <v>0.19851253976297908</v>
      </c>
      <c r="AE31" s="211">
        <v>1169654.3505202867</v>
      </c>
      <c r="AF31" s="96">
        <f t="shared" si="49"/>
        <v>0.15213357562067206</v>
      </c>
      <c r="AG31" s="211">
        <v>728669.10295220185</v>
      </c>
      <c r="AH31" s="96">
        <f t="shared" si="50"/>
        <v>9.4775893431350428E-2</v>
      </c>
      <c r="AI31" s="211">
        <v>1196740.1097691355</v>
      </c>
      <c r="AJ31" s="96">
        <f t="shared" si="51"/>
        <v>0.15565654238525095</v>
      </c>
      <c r="AK31" s="211">
        <v>649016.12886182207</v>
      </c>
      <c r="AL31" s="96">
        <f t="shared" si="45"/>
        <v>8.4415660297690098E-2</v>
      </c>
    </row>
    <row r="32" spans="2:38" ht="14.25">
      <c r="B32" s="79"/>
      <c r="C32" s="79"/>
      <c r="D32" s="315">
        <f t="shared" si="21"/>
        <v>46165</v>
      </c>
      <c r="E32" s="315" t="s">
        <v>464</v>
      </c>
      <c r="F32" s="205">
        <f t="shared" si="20"/>
        <v>8159525.9999999991</v>
      </c>
      <c r="G32" s="267"/>
      <c r="H32" s="281"/>
      <c r="I32" s="211">
        <v>636175.50235438265</v>
      </c>
      <c r="J32" s="96">
        <f t="shared" si="35"/>
        <v>7.7967213089875892E-2</v>
      </c>
      <c r="K32" s="211">
        <v>808208.06849128089</v>
      </c>
      <c r="L32" s="96">
        <f t="shared" si="36"/>
        <v>9.9050860122423895E-2</v>
      </c>
      <c r="M32" s="204">
        <f t="shared" si="37"/>
        <v>1444383.5708456635</v>
      </c>
      <c r="N32" s="96">
        <f t="shared" si="38"/>
        <v>0.17701807321229979</v>
      </c>
      <c r="O32" s="211">
        <v>128288.81798457357</v>
      </c>
      <c r="P32" s="96">
        <f t="shared" si="39"/>
        <v>1.5722582167710917E-2</v>
      </c>
      <c r="Q32" s="211"/>
      <c r="R32" s="96">
        <f t="shared" si="40"/>
        <v>0</v>
      </c>
      <c r="S32" s="204">
        <f t="shared" si="41"/>
        <v>128288.81798457357</v>
      </c>
      <c r="T32" s="96">
        <f t="shared" si="42"/>
        <v>1.5722582167710917E-2</v>
      </c>
      <c r="U32" s="211">
        <v>860663.92828441586</v>
      </c>
      <c r="V32" s="96">
        <f t="shared" si="43"/>
        <v>0.10547964774968742</v>
      </c>
      <c r="W32" s="211">
        <v>72755.748635426382</v>
      </c>
      <c r="X32" s="96">
        <f t="shared" si="44"/>
        <v>8.9166636193605351E-3</v>
      </c>
      <c r="Y32" s="211">
        <v>655209.50708699564</v>
      </c>
      <c r="Z32" s="96">
        <f t="shared" si="46"/>
        <v>8.0299947213477316E-2</v>
      </c>
      <c r="AA32" s="211">
        <v>953019.46939543798</v>
      </c>
      <c r="AB32" s="96">
        <f t="shared" si="12"/>
        <v>0.11679838625374049</v>
      </c>
      <c r="AC32" s="204">
        <f t="shared" si="47"/>
        <v>1608228.9764824337</v>
      </c>
      <c r="AD32" s="96">
        <f t="shared" si="48"/>
        <v>0.19709833346721781</v>
      </c>
      <c r="AE32" s="211">
        <v>1294576.4030454536</v>
      </c>
      <c r="AF32" s="96">
        <f t="shared" si="49"/>
        <v>0.15865828518046929</v>
      </c>
      <c r="AG32" s="211">
        <v>810700.59427245089</v>
      </c>
      <c r="AH32" s="96">
        <f t="shared" si="50"/>
        <v>9.9356334457718617E-2</v>
      </c>
      <c r="AI32" s="211">
        <v>1241387.0800110372</v>
      </c>
      <c r="AJ32" s="96">
        <f t="shared" si="51"/>
        <v>0.15213960713049229</v>
      </c>
      <c r="AK32" s="211">
        <v>698540.88043854514</v>
      </c>
      <c r="AL32" s="96">
        <f t="shared" si="45"/>
        <v>8.5610473015043431E-2</v>
      </c>
    </row>
    <row r="33" spans="2:38" ht="14.25">
      <c r="B33" s="79"/>
      <c r="C33" s="79"/>
      <c r="D33" s="315">
        <f t="shared" si="21"/>
        <v>46166</v>
      </c>
      <c r="E33" s="315" t="s">
        <v>465</v>
      </c>
      <c r="F33" s="205">
        <f t="shared" si="20"/>
        <v>9019023.0000000019</v>
      </c>
      <c r="G33" s="267"/>
      <c r="H33" s="281"/>
      <c r="I33" s="211">
        <v>776188.24068280309</v>
      </c>
      <c r="J33" s="96">
        <f t="shared" si="35"/>
        <v>8.6061233093961839E-2</v>
      </c>
      <c r="K33" s="211">
        <v>884745.91865296662</v>
      </c>
      <c r="L33" s="96">
        <f t="shared" si="36"/>
        <v>9.8097756115375953E-2</v>
      </c>
      <c r="M33" s="204">
        <f t="shared" si="37"/>
        <v>1660934.1593357697</v>
      </c>
      <c r="N33" s="96">
        <f t="shared" si="38"/>
        <v>0.18415898920933779</v>
      </c>
      <c r="O33" s="211">
        <v>152962.58206511542</v>
      </c>
      <c r="P33" s="96">
        <f t="shared" si="39"/>
        <v>1.6959994676265421E-2</v>
      </c>
      <c r="Q33" s="211"/>
      <c r="R33" s="96">
        <f t="shared" si="40"/>
        <v>0</v>
      </c>
      <c r="S33" s="204">
        <f t="shared" si="41"/>
        <v>152962.58206511542</v>
      </c>
      <c r="T33" s="96">
        <f t="shared" si="42"/>
        <v>1.6959994676265421E-2</v>
      </c>
      <c r="U33" s="211">
        <v>1040182.6258930604</v>
      </c>
      <c r="V33" s="96">
        <f t="shared" si="43"/>
        <v>0.11533207376154381</v>
      </c>
      <c r="W33" s="211">
        <v>88957.366866649929</v>
      </c>
      <c r="X33" s="96">
        <f t="shared" si="44"/>
        <v>9.8633041368948616E-3</v>
      </c>
      <c r="Y33" s="211">
        <v>709470.88404305326</v>
      </c>
      <c r="Z33" s="96">
        <f t="shared" si="46"/>
        <v>7.8663829113536254E-2</v>
      </c>
      <c r="AA33" s="211">
        <v>1084661.9830479119</v>
      </c>
      <c r="AB33" s="96">
        <f t="shared" si="12"/>
        <v>0.12026380053004762</v>
      </c>
      <c r="AC33" s="204">
        <f t="shared" si="47"/>
        <v>1794132.8670909652</v>
      </c>
      <c r="AD33" s="96">
        <f t="shared" si="48"/>
        <v>0.19892762964358388</v>
      </c>
      <c r="AE33" s="211">
        <v>1490891.2115943048</v>
      </c>
      <c r="AF33" s="96">
        <f t="shared" si="49"/>
        <v>0.16530517901931335</v>
      </c>
      <c r="AG33" s="211">
        <v>807975.87841717247</v>
      </c>
      <c r="AH33" s="96">
        <f t="shared" si="50"/>
        <v>8.9585743202691942E-2</v>
      </c>
      <c r="AI33" s="211">
        <v>1225711.7539478382</v>
      </c>
      <c r="AJ33" s="96">
        <f t="shared" si="51"/>
        <v>0.13590294136602579</v>
      </c>
      <c r="AK33" s="211">
        <v>757274.55478912545</v>
      </c>
      <c r="AL33" s="96">
        <f t="shared" si="45"/>
        <v>8.3964144984343125E-2</v>
      </c>
    </row>
    <row r="34" spans="2:38" ht="14.25">
      <c r="B34" s="79"/>
      <c r="C34" s="79"/>
      <c r="D34" s="315">
        <f t="shared" si="21"/>
        <v>46167</v>
      </c>
      <c r="E34" s="315" t="s">
        <v>459</v>
      </c>
      <c r="F34" s="205">
        <f t="shared" si="20"/>
        <v>9523952</v>
      </c>
      <c r="G34" s="83"/>
      <c r="H34" s="281"/>
      <c r="I34" s="211">
        <v>773239.15881900291</v>
      </c>
      <c r="J34" s="96">
        <f t="shared" si="35"/>
        <v>8.1188897090094844E-2</v>
      </c>
      <c r="K34" s="211">
        <v>881631.37333145121</v>
      </c>
      <c r="L34" s="96">
        <f t="shared" si="36"/>
        <v>9.2569909353958438E-2</v>
      </c>
      <c r="M34" s="204">
        <f t="shared" si="37"/>
        <v>1654870.5321504541</v>
      </c>
      <c r="N34" s="96">
        <f t="shared" si="38"/>
        <v>0.17375880644405328</v>
      </c>
      <c r="O34" s="211">
        <v>155687.53700779282</v>
      </c>
      <c r="P34" s="96">
        <f t="shared" si="39"/>
        <v>1.6346946835493589E-2</v>
      </c>
      <c r="Q34" s="211"/>
      <c r="R34" s="96">
        <f t="shared" si="40"/>
        <v>0</v>
      </c>
      <c r="S34" s="204">
        <f t="shared" si="41"/>
        <v>155687.53700779282</v>
      </c>
      <c r="T34" s="96">
        <f t="shared" si="42"/>
        <v>1.6346946835493589E-2</v>
      </c>
      <c r="U34" s="211">
        <v>1068352.1592715897</v>
      </c>
      <c r="V34" s="96">
        <f t="shared" si="43"/>
        <v>0.11217529858105015</v>
      </c>
      <c r="W34" s="211">
        <v>92748.302909978287</v>
      </c>
      <c r="X34" s="96">
        <f t="shared" si="44"/>
        <v>9.7384261186929839E-3</v>
      </c>
      <c r="Y34" s="211">
        <v>762538.80431603896</v>
      </c>
      <c r="Z34" s="96">
        <f t="shared" si="46"/>
        <v>8.0065376675149028E-2</v>
      </c>
      <c r="AA34" s="211">
        <v>1333944.5288788194</v>
      </c>
      <c r="AB34" s="96">
        <f t="shared" si="12"/>
        <v>0.14006208020355621</v>
      </c>
      <c r="AC34" s="204">
        <f t="shared" si="47"/>
        <v>2096483.3331948584</v>
      </c>
      <c r="AD34" s="96">
        <f t="shared" si="48"/>
        <v>0.22012745687870522</v>
      </c>
      <c r="AE34" s="211">
        <v>1598829.0544030131</v>
      </c>
      <c r="AF34" s="96">
        <f t="shared" si="49"/>
        <v>0.16787453930920831</v>
      </c>
      <c r="AG34" s="211">
        <v>845105.53973737569</v>
      </c>
      <c r="AH34" s="96">
        <f t="shared" si="50"/>
        <v>8.8734754200501614E-2</v>
      </c>
      <c r="AI34" s="211">
        <v>1186312.2785146723</v>
      </c>
      <c r="AJ34" s="96">
        <f t="shared" si="51"/>
        <v>0.12456092581259044</v>
      </c>
      <c r="AK34" s="211">
        <v>825563.26281026576</v>
      </c>
      <c r="AL34" s="96">
        <f t="shared" si="45"/>
        <v>8.6682845819704438E-2</v>
      </c>
    </row>
    <row r="35" spans="2:38" ht="14.25">
      <c r="B35" s="79"/>
      <c r="C35" s="79"/>
      <c r="D35" s="269">
        <f t="shared" si="21"/>
        <v>46168</v>
      </c>
      <c r="E35" s="269" t="s">
        <v>460</v>
      </c>
      <c r="F35" s="205">
        <f t="shared" si="20"/>
        <v>9911969</v>
      </c>
      <c r="G35" s="267">
        <f>SUM(F35:F41)</f>
        <v>65939025</v>
      </c>
      <c r="H35" s="281"/>
      <c r="I35" s="211">
        <v>871356.86261280871</v>
      </c>
      <c r="J35" s="96">
        <f t="shared" si="35"/>
        <v>8.7909562934751787E-2</v>
      </c>
      <c r="K35" s="211">
        <v>893565.50574186875</v>
      </c>
      <c r="L35" s="96">
        <f t="shared" si="36"/>
        <v>9.0150151371727327E-2</v>
      </c>
      <c r="M35" s="204">
        <f t="shared" si="37"/>
        <v>1764922.3683546775</v>
      </c>
      <c r="N35" s="96">
        <f t="shared" si="38"/>
        <v>0.1780597143064791</v>
      </c>
      <c r="O35" s="211">
        <v>155000.81282695747</v>
      </c>
      <c r="P35" s="96">
        <f t="shared" si="39"/>
        <v>1.5637741888312753E-2</v>
      </c>
      <c r="Q35" s="211"/>
      <c r="R35" s="96">
        <f t="shared" si="40"/>
        <v>0</v>
      </c>
      <c r="S35" s="204">
        <f t="shared" si="41"/>
        <v>155000.81282695747</v>
      </c>
      <c r="T35" s="96">
        <f t="shared" si="42"/>
        <v>1.5637741888312753E-2</v>
      </c>
      <c r="U35" s="211">
        <v>1032613.8715824983</v>
      </c>
      <c r="V35" s="96">
        <f t="shared" si="43"/>
        <v>0.10417848074207035</v>
      </c>
      <c r="W35" s="211">
        <v>90946.692815278613</v>
      </c>
      <c r="X35" s="96">
        <f t="shared" si="44"/>
        <v>9.1754416115787506E-3</v>
      </c>
      <c r="Y35" s="211">
        <v>715867.98766669852</v>
      </c>
      <c r="Z35" s="96">
        <f t="shared" si="46"/>
        <v>7.2222581372752323E-2</v>
      </c>
      <c r="AA35" s="211">
        <v>1241839.0818438851</v>
      </c>
      <c r="AB35" s="96">
        <f t="shared" si="12"/>
        <v>0.12528682059476631</v>
      </c>
      <c r="AC35" s="204">
        <f t="shared" si="47"/>
        <v>1957707.0695105838</v>
      </c>
      <c r="AD35" s="96">
        <f t="shared" si="48"/>
        <v>0.19750940196751865</v>
      </c>
      <c r="AE35" s="211">
        <v>1474753.2942983359</v>
      </c>
      <c r="AF35" s="96">
        <f t="shared" si="49"/>
        <v>0.14878509953959057</v>
      </c>
      <c r="AG35" s="211">
        <v>1325583.4416493857</v>
      </c>
      <c r="AH35" s="96">
        <f t="shared" si="50"/>
        <v>0.13373563230972429</v>
      </c>
      <c r="AI35" s="211">
        <v>1340614.1865086448</v>
      </c>
      <c r="AJ35" s="96">
        <f t="shared" si="51"/>
        <v>0.13525205602526044</v>
      </c>
      <c r="AK35" s="211">
        <v>769827.26245363872</v>
      </c>
      <c r="AL35" s="96">
        <f t="shared" si="45"/>
        <v>7.7666431609465153E-2</v>
      </c>
    </row>
    <row r="36" spans="2:38" ht="14.25">
      <c r="B36" s="79"/>
      <c r="C36" s="79"/>
      <c r="D36" s="269">
        <f t="shared" si="21"/>
        <v>46169</v>
      </c>
      <c r="E36" s="269" t="s">
        <v>461</v>
      </c>
      <c r="F36" s="205">
        <f t="shared" si="20"/>
        <v>9723654</v>
      </c>
      <c r="G36" s="267"/>
      <c r="H36" s="279"/>
      <c r="I36" s="211">
        <v>834226.3956515824</v>
      </c>
      <c r="J36" s="96">
        <f t="shared" si="35"/>
        <v>8.5793508865245754E-2</v>
      </c>
      <c r="K36" s="211">
        <v>880855.4378574302</v>
      </c>
      <c r="L36" s="96">
        <f t="shared" si="36"/>
        <v>9.0588932705486042E-2</v>
      </c>
      <c r="M36" s="204">
        <f t="shared" si="37"/>
        <v>1715081.8335090126</v>
      </c>
      <c r="N36" s="96">
        <f t="shared" si="38"/>
        <v>0.1763824415707318</v>
      </c>
      <c r="O36" s="211">
        <v>155740.60490622802</v>
      </c>
      <c r="P36" s="96">
        <f t="shared" si="39"/>
        <v>1.6016674894666967E-2</v>
      </c>
      <c r="Q36" s="211"/>
      <c r="R36" s="96">
        <f t="shared" si="40"/>
        <v>0</v>
      </c>
      <c r="S36" s="204">
        <f t="shared" si="41"/>
        <v>155740.60490622802</v>
      </c>
      <c r="T36" s="96">
        <f t="shared" si="42"/>
        <v>1.6016674894666967E-2</v>
      </c>
      <c r="U36" s="211">
        <v>1021176.416535186</v>
      </c>
      <c r="V36" s="96">
        <f t="shared" si="43"/>
        <v>0.10501982243868262</v>
      </c>
      <c r="W36" s="211">
        <v>91019.33888209032</v>
      </c>
      <c r="X36" s="96">
        <f t="shared" si="44"/>
        <v>9.3606106184043903E-3</v>
      </c>
      <c r="Y36" s="211">
        <v>712653.0236537056</v>
      </c>
      <c r="Z36" s="96">
        <f t="shared" si="46"/>
        <v>7.3290660450660378E-2</v>
      </c>
      <c r="AA36" s="211">
        <v>1161243.7729789983</v>
      </c>
      <c r="AB36" s="96">
        <f t="shared" si="12"/>
        <v>0.11942462915473939</v>
      </c>
      <c r="AC36" s="204">
        <f t="shared" si="47"/>
        <v>1873896.7966327039</v>
      </c>
      <c r="AD36" s="96">
        <f t="shared" si="48"/>
        <v>0.19271528960539977</v>
      </c>
      <c r="AE36" s="211">
        <v>1479080.3943255865</v>
      </c>
      <c r="AF36" s="96">
        <f t="shared" si="49"/>
        <v>0.15211158216094345</v>
      </c>
      <c r="AG36" s="211">
        <v>1013065.1896702752</v>
      </c>
      <c r="AH36" s="96">
        <f t="shared" si="50"/>
        <v>0.10418564766601889</v>
      </c>
      <c r="AI36" s="211">
        <v>1617802.7563027462</v>
      </c>
      <c r="AJ36" s="96">
        <f t="shared" si="51"/>
        <v>0.16637806695947288</v>
      </c>
      <c r="AK36" s="211">
        <v>756790.66923617048</v>
      </c>
      <c r="AL36" s="96">
        <f t="shared" si="45"/>
        <v>7.7829864085679157E-2</v>
      </c>
    </row>
    <row r="37" spans="2:38" ht="14.25">
      <c r="B37" s="79"/>
      <c r="C37" s="79"/>
      <c r="D37" s="269">
        <f>D36+1</f>
        <v>46170</v>
      </c>
      <c r="E37" s="269" t="s">
        <v>462</v>
      </c>
      <c r="F37" s="205">
        <f t="shared" si="20"/>
        <v>9072400</v>
      </c>
      <c r="G37" s="267"/>
      <c r="H37" s="279"/>
      <c r="I37" s="211">
        <v>796967.55440973805</v>
      </c>
      <c r="J37" s="96">
        <f t="shared" si="35"/>
        <v>8.7845283983261108E-2</v>
      </c>
      <c r="K37" s="211">
        <v>802490.73208411667</v>
      </c>
      <c r="L37" s="96">
        <f t="shared" si="36"/>
        <v>8.8454073021925469E-2</v>
      </c>
      <c r="M37" s="204">
        <f t="shared" si="37"/>
        <v>1599458.2864938546</v>
      </c>
      <c r="N37" s="96">
        <f t="shared" si="38"/>
        <v>0.17629935700518656</v>
      </c>
      <c r="O37" s="211">
        <v>156572.68974813298</v>
      </c>
      <c r="P37" s="96">
        <f t="shared" si="39"/>
        <v>1.7258133431962103E-2</v>
      </c>
      <c r="Q37" s="211"/>
      <c r="R37" s="96">
        <f t="shared" si="40"/>
        <v>0</v>
      </c>
      <c r="S37" s="204">
        <f t="shared" si="41"/>
        <v>156572.68974813298</v>
      </c>
      <c r="T37" s="96">
        <f t="shared" si="42"/>
        <v>1.7258133431962103E-2</v>
      </c>
      <c r="U37" s="211">
        <v>919622.63002488343</v>
      </c>
      <c r="V37" s="96">
        <f t="shared" si="43"/>
        <v>0.10136486817434014</v>
      </c>
      <c r="W37" s="211">
        <v>80701.49904316591</v>
      </c>
      <c r="X37" s="96">
        <f t="shared" si="44"/>
        <v>8.8952756760246367E-3</v>
      </c>
      <c r="Y37" s="211">
        <v>684780.20716838562</v>
      </c>
      <c r="Z37" s="96">
        <f t="shared" si="46"/>
        <v>7.5479499048585336E-2</v>
      </c>
      <c r="AA37" s="211">
        <v>910019.21405658184</v>
      </c>
      <c r="AB37" s="96">
        <f t="shared" si="12"/>
        <v>0.10030633724886269</v>
      </c>
      <c r="AC37" s="204">
        <f t="shared" si="47"/>
        <v>1594799.4212249676</v>
      </c>
      <c r="AD37" s="96">
        <f t="shared" si="48"/>
        <v>0.17578583629744804</v>
      </c>
      <c r="AE37" s="211">
        <v>1371164.7213054858</v>
      </c>
      <c r="AF37" s="96">
        <f t="shared" si="49"/>
        <v>0.15113583189734645</v>
      </c>
      <c r="AG37" s="211">
        <v>953952.60160560557</v>
      </c>
      <c r="AH37" s="96">
        <f t="shared" si="50"/>
        <v>0.10514886927445941</v>
      </c>
      <c r="AI37" s="211">
        <v>1655180.1736219691</v>
      </c>
      <c r="AJ37" s="96">
        <f t="shared" si="51"/>
        <v>0.18244126952316575</v>
      </c>
      <c r="AK37" s="211">
        <v>740947.97693193483</v>
      </c>
      <c r="AL37" s="96">
        <f t="shared" si="45"/>
        <v>8.1670558720066885E-2</v>
      </c>
    </row>
    <row r="38" spans="2:38" ht="14.25">
      <c r="B38" s="79"/>
      <c r="C38" s="79"/>
      <c r="D38" s="269">
        <f t="shared" ref="D38:D41" si="52">D37+1</f>
        <v>46171</v>
      </c>
      <c r="E38" s="269" t="s">
        <v>463</v>
      </c>
      <c r="F38" s="205">
        <f t="shared" si="20"/>
        <v>8447568.0000000019</v>
      </c>
      <c r="G38" s="267"/>
      <c r="H38" s="279"/>
      <c r="I38" s="211">
        <v>717668.83110199892</v>
      </c>
      <c r="J38" s="96">
        <f t="shared" si="35"/>
        <v>8.4955673763383588E-2</v>
      </c>
      <c r="K38" s="211">
        <v>754001.25866710825</v>
      </c>
      <c r="L38" s="96">
        <f t="shared" si="36"/>
        <v>8.9256607187667272E-2</v>
      </c>
      <c r="M38" s="204">
        <f t="shared" si="37"/>
        <v>1471670.0897691073</v>
      </c>
      <c r="N38" s="96">
        <f t="shared" si="38"/>
        <v>0.17421228095105087</v>
      </c>
      <c r="O38" s="211">
        <v>131174.99331250542</v>
      </c>
      <c r="P38" s="96">
        <f t="shared" si="39"/>
        <v>1.552813701085394E-2</v>
      </c>
      <c r="Q38" s="211"/>
      <c r="R38" s="96">
        <f t="shared" si="40"/>
        <v>0</v>
      </c>
      <c r="S38" s="204">
        <f t="shared" si="41"/>
        <v>131174.99331250542</v>
      </c>
      <c r="T38" s="96">
        <f t="shared" si="42"/>
        <v>1.552813701085394E-2</v>
      </c>
      <c r="U38" s="211">
        <v>827052.81841553969</v>
      </c>
      <c r="V38" s="96">
        <f t="shared" si="43"/>
        <v>9.7904251071496501E-2</v>
      </c>
      <c r="W38" s="211">
        <v>57382.900659552128</v>
      </c>
      <c r="X38" s="96">
        <f t="shared" si="44"/>
        <v>6.7928308667716099E-3</v>
      </c>
      <c r="Y38" s="211">
        <v>602253.05167162046</v>
      </c>
      <c r="Z38" s="96">
        <f t="shared" si="46"/>
        <v>7.1293069398390196E-2</v>
      </c>
      <c r="AA38" s="211">
        <v>925631.31398767326</v>
      </c>
      <c r="AB38" s="96">
        <f t="shared" si="12"/>
        <v>0.1095737038148344</v>
      </c>
      <c r="AC38" s="204">
        <f t="shared" si="47"/>
        <v>1527884.3656592937</v>
      </c>
      <c r="AD38" s="96">
        <f t="shared" si="48"/>
        <v>0.18086677321322461</v>
      </c>
      <c r="AE38" s="211">
        <v>1186754.4398286883</v>
      </c>
      <c r="AF38" s="96">
        <f t="shared" si="49"/>
        <v>0.14048474541177863</v>
      </c>
      <c r="AG38" s="211">
        <v>870174.14963696664</v>
      </c>
      <c r="AH38" s="96">
        <f t="shared" si="50"/>
        <v>0.1030088363463859</v>
      </c>
      <c r="AI38" s="211">
        <v>1740638.118244169</v>
      </c>
      <c r="AJ38" s="96">
        <f t="shared" si="51"/>
        <v>0.20605198066995953</v>
      </c>
      <c r="AK38" s="211">
        <v>634836.12447417818</v>
      </c>
      <c r="AL38" s="96">
        <f t="shared" si="45"/>
        <v>7.5150164458478233E-2</v>
      </c>
    </row>
    <row r="39" spans="2:38" ht="14.25">
      <c r="B39" s="79"/>
      <c r="C39" s="75"/>
      <c r="D39" s="269">
        <f t="shared" si="52"/>
        <v>46172</v>
      </c>
      <c r="E39" s="269" t="s">
        <v>464</v>
      </c>
      <c r="F39" s="205">
        <f t="shared" si="20"/>
        <v>8820596</v>
      </c>
      <c r="G39" s="267"/>
      <c r="H39" s="93"/>
      <c r="I39" s="211">
        <v>648392.83706877509</v>
      </c>
      <c r="J39" s="96">
        <f t="shared" si="35"/>
        <v>7.3508959833187587E-2</v>
      </c>
      <c r="K39" s="211">
        <v>833488.45598268241</v>
      </c>
      <c r="L39" s="96">
        <f t="shared" si="36"/>
        <v>9.4493439670367219E-2</v>
      </c>
      <c r="M39" s="204">
        <f t="shared" si="37"/>
        <v>1481881.2930514575</v>
      </c>
      <c r="N39" s="96">
        <f t="shared" si="38"/>
        <v>0.16800239950355481</v>
      </c>
      <c r="O39" s="211">
        <v>131347.19742287829</v>
      </c>
      <c r="P39" s="96">
        <f t="shared" si="39"/>
        <v>1.4890966259295663E-2</v>
      </c>
      <c r="Q39" s="211"/>
      <c r="R39" s="96">
        <f t="shared" si="40"/>
        <v>0</v>
      </c>
      <c r="S39" s="204">
        <f t="shared" si="41"/>
        <v>131347.19742287829</v>
      </c>
      <c r="T39" s="96">
        <f t="shared" si="42"/>
        <v>1.4890966259295663E-2</v>
      </c>
      <c r="U39" s="211">
        <v>890786.35354303638</v>
      </c>
      <c r="V39" s="96">
        <f t="shared" si="43"/>
        <v>0.10098936098456798</v>
      </c>
      <c r="W39" s="211">
        <v>66013.287798413949</v>
      </c>
      <c r="X39" s="96">
        <f t="shared" si="44"/>
        <v>7.4839940292485843E-3</v>
      </c>
      <c r="Y39" s="211">
        <v>662404.94660462544</v>
      </c>
      <c r="Z39" s="96">
        <f t="shared" si="46"/>
        <v>7.509752703837988E-2</v>
      </c>
      <c r="AA39" s="211">
        <v>1013745.5615263516</v>
      </c>
      <c r="AB39" s="96">
        <f t="shared" si="12"/>
        <v>0.11492937229256975</v>
      </c>
      <c r="AC39" s="204">
        <f t="shared" si="47"/>
        <v>1676150.5081309769</v>
      </c>
      <c r="AD39" s="96">
        <f t="shared" si="48"/>
        <v>0.19002689933094963</v>
      </c>
      <c r="AE39" s="211">
        <v>1325867.2139701014</v>
      </c>
      <c r="AF39" s="96">
        <f t="shared" si="49"/>
        <v>0.15031492361401672</v>
      </c>
      <c r="AG39" s="211">
        <v>1014306.5630493577</v>
      </c>
      <c r="AH39" s="96">
        <f t="shared" si="50"/>
        <v>0.11499297360964698</v>
      </c>
      <c r="AI39" s="211">
        <v>1536567.1927081044</v>
      </c>
      <c r="AJ39" s="96">
        <f t="shared" si="51"/>
        <v>0.17420219594096639</v>
      </c>
      <c r="AK39" s="211">
        <v>697676.39032567362</v>
      </c>
      <c r="AL39" s="96">
        <f t="shared" si="45"/>
        <v>7.9096286727753276E-2</v>
      </c>
    </row>
    <row r="40" spans="2:38" ht="14.25">
      <c r="B40" s="79"/>
      <c r="C40" s="75"/>
      <c r="D40" s="269">
        <f t="shared" si="52"/>
        <v>46173</v>
      </c>
      <c r="E40" s="269" t="s">
        <v>465</v>
      </c>
      <c r="F40" s="205">
        <f t="shared" si="20"/>
        <v>10386449</v>
      </c>
      <c r="G40" s="267"/>
      <c r="H40" s="93"/>
      <c r="I40" s="211">
        <v>803405.44308915967</v>
      </c>
      <c r="J40" s="96">
        <f t="shared" si="35"/>
        <v>7.7351310644201851E-2</v>
      </c>
      <c r="K40" s="211">
        <v>920092.34586502786</v>
      </c>
      <c r="L40" s="96">
        <f t="shared" si="36"/>
        <v>8.8585843522172775E-2</v>
      </c>
      <c r="M40" s="204">
        <f t="shared" si="37"/>
        <v>1723497.7889541877</v>
      </c>
      <c r="N40" s="96">
        <f t="shared" si="38"/>
        <v>0.16593715416637464</v>
      </c>
      <c r="O40" s="211">
        <v>159681.46041312834</v>
      </c>
      <c r="P40" s="96">
        <f t="shared" si="39"/>
        <v>1.5374018628804545E-2</v>
      </c>
      <c r="Q40" s="211"/>
      <c r="R40" s="96">
        <f t="shared" si="40"/>
        <v>0</v>
      </c>
      <c r="S40" s="204">
        <f t="shared" si="41"/>
        <v>159681.46041312834</v>
      </c>
      <c r="T40" s="96">
        <f t="shared" si="42"/>
        <v>1.5374018628804545E-2</v>
      </c>
      <c r="U40" s="211">
        <v>1123376.7130661339</v>
      </c>
      <c r="V40" s="96">
        <f t="shared" si="43"/>
        <v>0.10815791932990129</v>
      </c>
      <c r="W40" s="211">
        <v>78012.345440771693</v>
      </c>
      <c r="X40" s="96">
        <f t="shared" si="44"/>
        <v>7.5109737159227081E-3</v>
      </c>
      <c r="Y40" s="211">
        <v>760064.25510615727</v>
      </c>
      <c r="Z40" s="96">
        <f t="shared" si="46"/>
        <v>7.3178451567629824E-2</v>
      </c>
      <c r="AA40" s="211">
        <v>1143849.685426282</v>
      </c>
      <c r="AB40" s="96">
        <f t="shared" si="12"/>
        <v>0.11012904270037642</v>
      </c>
      <c r="AC40" s="204">
        <f t="shared" si="47"/>
        <v>1903913.9405324394</v>
      </c>
      <c r="AD40" s="96">
        <f t="shared" si="48"/>
        <v>0.18330749426800627</v>
      </c>
      <c r="AE40" s="211">
        <v>1637466.4028524798</v>
      </c>
      <c r="AF40" s="96">
        <f t="shared" si="49"/>
        <v>0.15765411285921491</v>
      </c>
      <c r="AG40" s="211">
        <v>1228518.6766198454</v>
      </c>
      <c r="AH40" s="96">
        <f t="shared" si="50"/>
        <v>0.11828091358459907</v>
      </c>
      <c r="AI40" s="211">
        <v>1703467.5158396543</v>
      </c>
      <c r="AJ40" s="96">
        <f t="shared" si="51"/>
        <v>0.16400865356770675</v>
      </c>
      <c r="AK40" s="211">
        <v>828514.15628135926</v>
      </c>
      <c r="AL40" s="96">
        <f t="shared" si="45"/>
        <v>7.9768759879469797E-2</v>
      </c>
    </row>
    <row r="41" spans="2:38" ht="14.25">
      <c r="B41" s="79"/>
      <c r="C41" s="75"/>
      <c r="D41" s="269">
        <f t="shared" si="52"/>
        <v>46174</v>
      </c>
      <c r="E41" s="269" t="s">
        <v>459</v>
      </c>
      <c r="F41" s="205">
        <f t="shared" si="20"/>
        <v>9576389.0000000019</v>
      </c>
      <c r="G41" s="267"/>
      <c r="H41" s="93"/>
      <c r="I41" s="211">
        <v>758567.62376426673</v>
      </c>
      <c r="J41" s="96">
        <f t="shared" si="35"/>
        <v>7.9212281765524209E-2</v>
      </c>
      <c r="K41" s="211">
        <v>873393.03030597779</v>
      </c>
      <c r="L41" s="96">
        <f t="shared" si="36"/>
        <v>9.120275192517531E-2</v>
      </c>
      <c r="M41" s="204">
        <f t="shared" si="37"/>
        <v>1631960.6540702446</v>
      </c>
      <c r="N41" s="96">
        <f t="shared" si="38"/>
        <v>0.17041503369069952</v>
      </c>
      <c r="O41" s="211">
        <v>153608.36173157959</v>
      </c>
      <c r="P41" s="96">
        <f t="shared" si="39"/>
        <v>1.6040321851125677E-2</v>
      </c>
      <c r="Q41" s="211"/>
      <c r="R41" s="96">
        <f t="shared" si="40"/>
        <v>0</v>
      </c>
      <c r="S41" s="204">
        <f t="shared" si="41"/>
        <v>153608.36173157959</v>
      </c>
      <c r="T41" s="96">
        <f t="shared" si="42"/>
        <v>1.6040321851125677E-2</v>
      </c>
      <c r="U41" s="211">
        <v>1067528.4825643103</v>
      </c>
      <c r="V41" s="96">
        <f t="shared" si="43"/>
        <v>0.11147505417379244</v>
      </c>
      <c r="W41" s="211">
        <v>81439.234784855682</v>
      </c>
      <c r="X41" s="96">
        <f t="shared" si="44"/>
        <v>8.5041694510170456E-3</v>
      </c>
      <c r="Y41" s="211">
        <v>738854.27567746351</v>
      </c>
      <c r="Z41" s="96">
        <f t="shared" ref="Z41" si="53">Y41/F41</f>
        <v>7.7153745078386363E-2</v>
      </c>
      <c r="AA41" s="211">
        <v>1118456.8070948101</v>
      </c>
      <c r="AB41" s="96">
        <f t="shared" ref="AB41:AB45" si="54">AA41/$F41</f>
        <v>0.11679316776864535</v>
      </c>
      <c r="AC41" s="204">
        <f t="shared" ref="AC41" si="55">SUM(Y41+AA41)</f>
        <v>1857311.0827722736</v>
      </c>
      <c r="AD41" s="96">
        <f t="shared" ref="AD41" si="56">AC41/F41</f>
        <v>0.19394691284703172</v>
      </c>
      <c r="AE41" s="211">
        <v>1541280.2940064897</v>
      </c>
      <c r="AF41" s="96">
        <f t="shared" ref="AF41" si="57">AE41/F41</f>
        <v>0.16094587364887636</v>
      </c>
      <c r="AG41" s="211">
        <v>1041486.2042900332</v>
      </c>
      <c r="AH41" s="96">
        <f t="shared" ref="AH41" si="58">AG41/F41</f>
        <v>0.10875562848272277</v>
      </c>
      <c r="AI41" s="211">
        <v>1372243.6287914908</v>
      </c>
      <c r="AJ41" s="96">
        <f t="shared" ref="AJ41" si="59">AI41/F41</f>
        <v>0.14329447444036478</v>
      </c>
      <c r="AK41" s="211">
        <v>829531.05698872299</v>
      </c>
      <c r="AL41" s="96">
        <f t="shared" si="45"/>
        <v>8.6622531414369527E-2</v>
      </c>
    </row>
    <row r="42" spans="2:38" ht="14.25">
      <c r="B42" s="79"/>
      <c r="C42" s="75"/>
      <c r="D42" s="269"/>
      <c r="E42" s="320"/>
      <c r="F42" s="205">
        <f t="shared" si="20"/>
        <v>0</v>
      </c>
      <c r="G42" s="267"/>
      <c r="H42" s="93"/>
      <c r="I42" s="211"/>
      <c r="J42" s="96" t="e">
        <f>I42/F42</f>
        <v>#DIV/0!</v>
      </c>
      <c r="K42" s="211"/>
      <c r="L42" s="96" t="e">
        <f>K42/F42</f>
        <v>#DIV/0!</v>
      </c>
      <c r="M42" s="204">
        <f>SUM(I42+K42)</f>
        <v>0</v>
      </c>
      <c r="N42" s="96" t="e">
        <f>M42/F42</f>
        <v>#DIV/0!</v>
      </c>
      <c r="O42" s="211"/>
      <c r="P42" s="96" t="e">
        <f>O42/F42</f>
        <v>#DIV/0!</v>
      </c>
      <c r="Q42" s="211"/>
      <c r="R42" s="96" t="e">
        <f t="shared" si="40"/>
        <v>#DIV/0!</v>
      </c>
      <c r="S42" s="204">
        <f t="shared" si="41"/>
        <v>0</v>
      </c>
      <c r="T42" s="96" t="e">
        <f>S42/F42</f>
        <v>#DIV/0!</v>
      </c>
      <c r="U42" s="211"/>
      <c r="V42" s="96" t="e">
        <f>U42/F42</f>
        <v>#DIV/0!</v>
      </c>
      <c r="W42" s="211"/>
      <c r="X42" s="96" t="e">
        <f>W42/F42</f>
        <v>#DIV/0!</v>
      </c>
      <c r="Y42" s="211"/>
      <c r="Z42" s="96" t="e">
        <f>Y42/F42</f>
        <v>#DIV/0!</v>
      </c>
      <c r="AA42" s="211"/>
      <c r="AB42" s="96" t="e">
        <f t="shared" si="54"/>
        <v>#DIV/0!</v>
      </c>
      <c r="AC42" s="204">
        <f>SUM(Y42+AA42)</f>
        <v>0</v>
      </c>
      <c r="AD42" s="96" t="e">
        <f>AC42/F42</f>
        <v>#DIV/0!</v>
      </c>
      <c r="AE42" s="211"/>
      <c r="AF42" s="96" t="e">
        <f>AE42/F42</f>
        <v>#DIV/0!</v>
      </c>
      <c r="AG42" s="211"/>
      <c r="AH42" s="96" t="e">
        <f>AG42/F42</f>
        <v>#DIV/0!</v>
      </c>
      <c r="AI42" s="211"/>
      <c r="AJ42" s="96" t="e">
        <f>AI42/F42</f>
        <v>#DIV/0!</v>
      </c>
      <c r="AK42" s="211"/>
      <c r="AL42" s="96" t="e">
        <f>AK42/F42</f>
        <v>#DIV/0!</v>
      </c>
    </row>
    <row r="43" spans="2:38" ht="14.25">
      <c r="B43" s="79"/>
      <c r="C43" s="75"/>
      <c r="D43" s="269"/>
      <c r="E43" s="320"/>
      <c r="F43" s="205">
        <f t="shared" si="20"/>
        <v>0</v>
      </c>
      <c r="G43" s="267"/>
      <c r="H43" s="93"/>
      <c r="I43" s="211"/>
      <c r="J43" s="96" t="e">
        <f>I43/F43</f>
        <v>#DIV/0!</v>
      </c>
      <c r="K43" s="211"/>
      <c r="L43" s="96" t="e">
        <f>K43/F43</f>
        <v>#DIV/0!</v>
      </c>
      <c r="M43" s="204">
        <f>SUM(I43+K43)</f>
        <v>0</v>
      </c>
      <c r="N43" s="96" t="e">
        <f>M43/F43</f>
        <v>#DIV/0!</v>
      </c>
      <c r="O43" s="211"/>
      <c r="P43" s="96" t="e">
        <f>O43/F43</f>
        <v>#DIV/0!</v>
      </c>
      <c r="Q43" s="211"/>
      <c r="R43" s="96" t="e">
        <f t="shared" si="40"/>
        <v>#DIV/0!</v>
      </c>
      <c r="S43" s="204">
        <f t="shared" si="41"/>
        <v>0</v>
      </c>
      <c r="T43" s="96" t="e">
        <f>S43/F43</f>
        <v>#DIV/0!</v>
      </c>
      <c r="U43" s="211"/>
      <c r="V43" s="96" t="e">
        <f>U43/F43</f>
        <v>#DIV/0!</v>
      </c>
      <c r="W43" s="211"/>
      <c r="X43" s="96" t="e">
        <f>W43/F43</f>
        <v>#DIV/0!</v>
      </c>
      <c r="Y43" s="211"/>
      <c r="Z43" s="96" t="e">
        <f>Y43/F43</f>
        <v>#DIV/0!</v>
      </c>
      <c r="AA43" s="211"/>
      <c r="AB43" s="96" t="e">
        <f t="shared" si="54"/>
        <v>#DIV/0!</v>
      </c>
      <c r="AC43" s="204">
        <f>SUM(Y43+AA43)</f>
        <v>0</v>
      </c>
      <c r="AD43" s="96" t="e">
        <f>AC43/F43</f>
        <v>#DIV/0!</v>
      </c>
      <c r="AE43" s="211"/>
      <c r="AF43" s="96" t="e">
        <f>AE43/F43</f>
        <v>#DIV/0!</v>
      </c>
      <c r="AG43" s="211"/>
      <c r="AH43" s="96" t="e">
        <f>AG43/F43</f>
        <v>#DIV/0!</v>
      </c>
      <c r="AI43" s="211"/>
      <c r="AJ43" s="96" t="e">
        <f>AI43/F43</f>
        <v>#DIV/0!</v>
      </c>
      <c r="AK43" s="211"/>
      <c r="AL43" s="96" t="e">
        <f>AK43/F43</f>
        <v>#DIV/0!</v>
      </c>
    </row>
    <row r="44" spans="2:38" ht="14.25">
      <c r="B44" s="79"/>
      <c r="C44" s="75"/>
      <c r="D44" s="82"/>
      <c r="E44" s="82"/>
      <c r="F44" s="205">
        <f t="shared" si="20"/>
        <v>0</v>
      </c>
      <c r="G44" s="205"/>
      <c r="H44" s="93"/>
      <c r="I44" s="211"/>
      <c r="J44" s="96" t="e">
        <f>I44/F44</f>
        <v>#DIV/0!</v>
      </c>
      <c r="K44" s="211"/>
      <c r="L44" s="96" t="e">
        <f>K44/F44</f>
        <v>#DIV/0!</v>
      </c>
      <c r="M44" s="204">
        <f>SUM(I44+K44)</f>
        <v>0</v>
      </c>
      <c r="N44" s="96" t="e">
        <f>M44/F44</f>
        <v>#DIV/0!</v>
      </c>
      <c r="O44" s="211"/>
      <c r="P44" s="96" t="e">
        <f>O44/F44</f>
        <v>#DIV/0!</v>
      </c>
      <c r="Q44" s="211"/>
      <c r="R44" s="96" t="e">
        <f t="shared" si="40"/>
        <v>#DIV/0!</v>
      </c>
      <c r="S44" s="204">
        <f t="shared" si="41"/>
        <v>0</v>
      </c>
      <c r="T44" s="96" t="e">
        <f>S44/F44</f>
        <v>#DIV/0!</v>
      </c>
      <c r="U44" s="211"/>
      <c r="V44" s="96" t="e">
        <f>U44/F44</f>
        <v>#DIV/0!</v>
      </c>
      <c r="W44" s="211"/>
      <c r="X44" s="96" t="e">
        <f>W44/F44</f>
        <v>#DIV/0!</v>
      </c>
      <c r="Y44" s="211"/>
      <c r="Z44" s="96" t="e">
        <f>Y44/F44</f>
        <v>#DIV/0!</v>
      </c>
      <c r="AA44" s="211"/>
      <c r="AB44" s="96" t="e">
        <f t="shared" si="54"/>
        <v>#DIV/0!</v>
      </c>
      <c r="AC44" s="204">
        <f>SUM(Y44+AA44)</f>
        <v>0</v>
      </c>
      <c r="AD44" s="96" t="e">
        <f>AC44/F44</f>
        <v>#DIV/0!</v>
      </c>
      <c r="AE44" s="211"/>
      <c r="AF44" s="96" t="e">
        <f>AE44/F44</f>
        <v>#DIV/0!</v>
      </c>
      <c r="AG44" s="211"/>
      <c r="AH44" s="96" t="e">
        <f>AG44/F44</f>
        <v>#DIV/0!</v>
      </c>
      <c r="AI44" s="211"/>
      <c r="AJ44" s="96" t="e">
        <f>AI44/F44</f>
        <v>#DIV/0!</v>
      </c>
      <c r="AK44" s="211"/>
      <c r="AL44" s="96" t="e">
        <f>AK44/F44</f>
        <v>#DIV/0!</v>
      </c>
    </row>
    <row r="45" spans="2:38" ht="14.25">
      <c r="B45" s="79"/>
      <c r="C45" s="75"/>
      <c r="D45" s="82"/>
      <c r="E45" s="82"/>
      <c r="F45" s="205">
        <f t="shared" si="20"/>
        <v>0</v>
      </c>
      <c r="G45" s="205"/>
      <c r="H45" s="93"/>
      <c r="I45" s="211"/>
      <c r="J45" s="96" t="e">
        <f>I45/F45</f>
        <v>#DIV/0!</v>
      </c>
      <c r="K45" s="211"/>
      <c r="L45" s="96" t="e">
        <f>K45/F45</f>
        <v>#DIV/0!</v>
      </c>
      <c r="M45" s="204">
        <f>SUM(I45+K45)</f>
        <v>0</v>
      </c>
      <c r="N45" s="96" t="e">
        <f>M45/F45</f>
        <v>#DIV/0!</v>
      </c>
      <c r="O45" s="211"/>
      <c r="P45" s="96" t="e">
        <f>O45/F45</f>
        <v>#DIV/0!</v>
      </c>
      <c r="Q45" s="211"/>
      <c r="R45" s="96" t="e">
        <f t="shared" si="40"/>
        <v>#DIV/0!</v>
      </c>
      <c r="S45" s="204">
        <f t="shared" si="41"/>
        <v>0</v>
      </c>
      <c r="T45" s="96" t="e">
        <f>S45/F45</f>
        <v>#DIV/0!</v>
      </c>
      <c r="U45" s="211"/>
      <c r="V45" s="96" t="e">
        <f>U45/F45</f>
        <v>#DIV/0!</v>
      </c>
      <c r="W45" s="211"/>
      <c r="X45" s="96" t="e">
        <f>W45/F45</f>
        <v>#DIV/0!</v>
      </c>
      <c r="Y45" s="211"/>
      <c r="Z45" s="96" t="e">
        <f>Y45/F45</f>
        <v>#DIV/0!</v>
      </c>
      <c r="AA45" s="211"/>
      <c r="AB45" s="96" t="e">
        <f t="shared" si="54"/>
        <v>#DIV/0!</v>
      </c>
      <c r="AC45" s="204">
        <f>SUM(Y45+AA45)</f>
        <v>0</v>
      </c>
      <c r="AD45" s="96" t="e">
        <f>AC45/F45</f>
        <v>#DIV/0!</v>
      </c>
      <c r="AE45" s="211"/>
      <c r="AF45" s="96" t="e">
        <f>AE45/F45</f>
        <v>#DIV/0!</v>
      </c>
      <c r="AG45" s="211"/>
      <c r="AH45" s="96" t="e">
        <f>AG45/F45</f>
        <v>#DIV/0!</v>
      </c>
      <c r="AI45" s="211"/>
      <c r="AJ45" s="96" t="e">
        <f>AI45/F45</f>
        <v>#DIV/0!</v>
      </c>
      <c r="AK45" s="211"/>
      <c r="AL45" s="96" t="e">
        <f>AK45/F45</f>
        <v>#DIV/0!</v>
      </c>
    </row>
    <row r="46" spans="2:38" ht="14.25">
      <c r="B46" s="79"/>
      <c r="C46" s="75"/>
      <c r="D46" s="78"/>
      <c r="F46" s="93"/>
      <c r="G46" s="93"/>
      <c r="H46" s="93"/>
      <c r="I46" s="253">
        <f>SUM(I7:I45)</f>
        <v>25270348.068610098</v>
      </c>
      <c r="J46" s="249">
        <f>I46/$H$12</f>
        <v>9.0516202129051079E-2</v>
      </c>
      <c r="K46" s="253">
        <f>SUM(K7:K45)</f>
        <v>30067873.836561155</v>
      </c>
      <c r="L46" s="249">
        <f>K46/$H$12</f>
        <v>0.10770052467784109</v>
      </c>
      <c r="M46" s="253">
        <f>SUM(M8:M45)</f>
        <v>53577231.035477087</v>
      </c>
      <c r="N46" s="249" t="e">
        <f>M46/$H$8</f>
        <v>#DIV/0!</v>
      </c>
      <c r="O46" s="253">
        <f>SUM(O7:O45)</f>
        <v>5394222.851554337</v>
      </c>
      <c r="P46" s="249">
        <f>O46/$H$12</f>
        <v>1.9321639917059277E-2</v>
      </c>
      <c r="Q46" s="253">
        <f>SUM(Q7:Q45)</f>
        <v>0</v>
      </c>
      <c r="R46" s="249">
        <f>Q46/$H$12</f>
        <v>0</v>
      </c>
      <c r="S46" s="253">
        <f>SUM(S8:S45)</f>
        <v>5215532.1775152637</v>
      </c>
      <c r="T46" s="249" t="e">
        <f>S46/$H$8</f>
        <v>#DIV/0!</v>
      </c>
      <c r="U46" s="253">
        <f>SUM(U7:U45)</f>
        <v>34880065.973965444</v>
      </c>
      <c r="V46" s="249">
        <f>U46/$H$12</f>
        <v>0.1249373808940869</v>
      </c>
      <c r="W46" s="253">
        <f>SUM(W7:W45)</f>
        <v>4874766.2480179975</v>
      </c>
      <c r="X46" s="249">
        <f>W46/$H$12</f>
        <v>1.7460991270855181E-2</v>
      </c>
      <c r="Y46" s="253">
        <f>SUM(Y7:Y45)</f>
        <v>26475382.757878963</v>
      </c>
      <c r="Z46" s="249">
        <f>Y46/$H$12</f>
        <v>9.4832532209279299E-2</v>
      </c>
      <c r="AA46" s="253">
        <f>SUM(AA7:AA45)</f>
        <v>37171614.607539468</v>
      </c>
      <c r="AB46" s="249">
        <f>AA46/$H$12</f>
        <v>0.1331455099923477</v>
      </c>
      <c r="AC46" s="253">
        <f>SUM(AC8:AC45)</f>
        <v>61380567.747141376</v>
      </c>
      <c r="AD46" s="249" t="e">
        <f>AC46/$H$8</f>
        <v>#DIV/0!</v>
      </c>
      <c r="AE46" s="253">
        <f>SUM(AE7:AE45)</f>
        <v>50722328.177663758</v>
      </c>
      <c r="AF46" s="249">
        <f>AE46/$H$12</f>
        <v>0.18168299452465742</v>
      </c>
      <c r="AG46" s="253">
        <f>SUM(AG7:AG45)</f>
        <v>35206145.492917553</v>
      </c>
      <c r="AH46" s="249">
        <f>AG46/$H$12</f>
        <v>0.12610536954099738</v>
      </c>
      <c r="AI46" s="253">
        <f>SUM(AI7:AI45)</f>
        <v>40199172.224885114</v>
      </c>
      <c r="AJ46" s="249">
        <f>AI46/$H$12</f>
        <v>0.14398995964159542</v>
      </c>
      <c r="AK46" s="253">
        <f>SUM(AK7:AK45)</f>
        <v>25531812.709579811</v>
      </c>
      <c r="AL46" s="249">
        <f>AK46/$H$12</f>
        <v>9.1452745869064392E-2</v>
      </c>
    </row>
    <row r="47" spans="2:38" ht="14.25">
      <c r="B47" s="79"/>
      <c r="C47" s="75"/>
      <c r="D47" s="78"/>
      <c r="F47" s="93"/>
      <c r="G47" s="93"/>
      <c r="H47" s="93"/>
      <c r="I47" s="250"/>
      <c r="J47" s="251"/>
      <c r="K47" s="250"/>
      <c r="L47" s="251"/>
      <c r="M47" s="252">
        <f>M46</f>
        <v>53577231.035477087</v>
      </c>
      <c r="N47" s="251"/>
      <c r="O47" s="250"/>
      <c r="P47" s="251"/>
      <c r="Q47" s="250"/>
      <c r="R47" s="251"/>
      <c r="S47" s="252">
        <f>S46</f>
        <v>5215532.1775152637</v>
      </c>
      <c r="T47" s="251"/>
      <c r="U47" s="252">
        <f>U46</f>
        <v>34880065.973965444</v>
      </c>
      <c r="V47" s="251"/>
      <c r="W47" s="252">
        <f>W46</f>
        <v>4874766.2480179975</v>
      </c>
      <c r="X47" s="251"/>
      <c r="Y47" s="250"/>
      <c r="Z47" s="251"/>
      <c r="AA47" s="250"/>
      <c r="AB47" s="251"/>
      <c r="AC47" s="252">
        <f>AC46</f>
        <v>61380567.747141376</v>
      </c>
      <c r="AD47" s="251"/>
      <c r="AE47" s="252">
        <f>AE46</f>
        <v>50722328.177663758</v>
      </c>
      <c r="AF47" s="251"/>
      <c r="AG47" s="252">
        <f>AG46</f>
        <v>35206145.492917553</v>
      </c>
      <c r="AH47" s="251"/>
      <c r="AI47" s="252">
        <f>AI46</f>
        <v>40199172.224885114</v>
      </c>
      <c r="AJ47" s="251"/>
      <c r="AK47" s="252">
        <f>AK46</f>
        <v>25531812.709579811</v>
      </c>
      <c r="AL47" s="251"/>
    </row>
    <row r="48" spans="2:38" ht="14.25">
      <c r="B48" s="79"/>
      <c r="C48" s="75"/>
      <c r="D48" s="78"/>
      <c r="F48" s="93"/>
      <c r="G48" s="93"/>
      <c r="H48" s="93"/>
    </row>
    <row r="49" spans="1:46" ht="14.25">
      <c r="B49" s="79"/>
      <c r="C49" s="75"/>
      <c r="D49" s="78"/>
      <c r="F49" s="93"/>
      <c r="G49" s="93"/>
      <c r="H49" s="93"/>
    </row>
    <row r="50" spans="1:46" s="78" customFormat="1" ht="14.25">
      <c r="A50" s="75"/>
      <c r="B50" s="79"/>
      <c r="C50" s="75"/>
      <c r="F50" s="97"/>
      <c r="G50" s="97"/>
      <c r="H50" s="97"/>
      <c r="I50" s="93"/>
      <c r="J50" s="86"/>
      <c r="K50" s="93"/>
      <c r="L50" s="86"/>
      <c r="M50" s="86"/>
      <c r="N50" s="86"/>
      <c r="O50" s="93"/>
      <c r="P50" s="86"/>
      <c r="Q50" s="93"/>
      <c r="R50" s="86"/>
      <c r="S50" s="93"/>
      <c r="T50" s="86"/>
      <c r="U50" s="93"/>
      <c r="V50" s="86"/>
      <c r="W50" s="93"/>
      <c r="X50" s="86"/>
      <c r="Y50" s="93"/>
      <c r="Z50" s="86"/>
      <c r="AA50" s="93"/>
      <c r="AB50" s="86"/>
      <c r="AC50" s="93"/>
      <c r="AD50" s="86"/>
      <c r="AE50" s="93"/>
      <c r="AF50" s="86"/>
      <c r="AG50" s="93"/>
      <c r="AH50" s="86"/>
      <c r="AI50" s="93"/>
      <c r="AJ50" s="86"/>
      <c r="AK50" s="93"/>
      <c r="AL50" s="86"/>
      <c r="AM50" s="75"/>
      <c r="AN50" s="75"/>
      <c r="AO50" s="75"/>
      <c r="AP50" s="75"/>
      <c r="AQ50" s="75"/>
      <c r="AR50" s="75"/>
      <c r="AS50" s="75"/>
      <c r="AT50" s="75"/>
    </row>
    <row r="51" spans="1:46" s="78" customFormat="1" ht="14.25">
      <c r="A51" s="75"/>
      <c r="B51" s="79"/>
      <c r="C51" s="75"/>
      <c r="F51" s="97"/>
      <c r="G51" s="97"/>
      <c r="H51" s="97"/>
      <c r="I51" s="93"/>
      <c r="J51" s="86"/>
      <c r="K51" s="93"/>
      <c r="L51" s="86"/>
      <c r="M51" s="86"/>
      <c r="N51" s="86"/>
      <c r="O51" s="93"/>
      <c r="P51" s="86"/>
      <c r="Q51" s="93"/>
      <c r="R51" s="86"/>
      <c r="S51" s="93"/>
      <c r="T51" s="86"/>
      <c r="U51" s="93"/>
      <c r="V51" s="86"/>
      <c r="W51" s="93"/>
      <c r="X51" s="86"/>
      <c r="Y51" s="93"/>
      <c r="Z51" s="86"/>
      <c r="AA51" s="93"/>
      <c r="AB51" s="86"/>
      <c r="AC51" s="93"/>
      <c r="AD51" s="86"/>
      <c r="AE51" s="93"/>
      <c r="AF51" s="86"/>
      <c r="AG51" s="93"/>
      <c r="AH51" s="86"/>
      <c r="AI51" s="93"/>
      <c r="AJ51" s="86"/>
      <c r="AK51" s="93"/>
      <c r="AL51" s="86"/>
      <c r="AM51" s="75"/>
      <c r="AN51" s="75"/>
      <c r="AO51" s="75"/>
      <c r="AP51" s="75"/>
      <c r="AQ51" s="75"/>
      <c r="AR51" s="75"/>
      <c r="AS51" s="75"/>
      <c r="AT51" s="75"/>
    </row>
    <row r="52" spans="1:46" s="78" customFormat="1" ht="14.25">
      <c r="A52" s="75"/>
      <c r="B52" s="79"/>
      <c r="C52" s="75"/>
      <c r="F52" s="97"/>
      <c r="G52" s="97"/>
      <c r="H52" s="97"/>
      <c r="I52" s="93"/>
      <c r="J52" s="86"/>
      <c r="K52" s="93"/>
      <c r="L52" s="86"/>
      <c r="M52" s="86"/>
      <c r="N52" s="86"/>
      <c r="O52" s="93"/>
      <c r="P52" s="86"/>
      <c r="Q52" s="93"/>
      <c r="R52" s="86"/>
      <c r="S52" s="93"/>
      <c r="T52" s="86"/>
      <c r="U52" s="93"/>
      <c r="V52" s="86"/>
      <c r="W52" s="93"/>
      <c r="X52" s="86"/>
      <c r="Y52" s="93"/>
      <c r="Z52" s="86"/>
      <c r="AA52" s="93"/>
      <c r="AB52" s="86"/>
      <c r="AC52" s="93"/>
      <c r="AD52" s="86"/>
      <c r="AE52" s="93"/>
      <c r="AF52" s="86"/>
      <c r="AG52" s="93"/>
      <c r="AH52" s="86"/>
      <c r="AI52" s="93"/>
      <c r="AJ52" s="86"/>
      <c r="AK52" s="93"/>
      <c r="AL52" s="86"/>
      <c r="AM52" s="75"/>
      <c r="AN52" s="75"/>
      <c r="AO52" s="75"/>
      <c r="AP52" s="75"/>
      <c r="AQ52" s="75"/>
      <c r="AR52" s="75"/>
      <c r="AS52" s="75"/>
      <c r="AT52" s="75"/>
    </row>
    <row r="53" spans="1:46" s="78" customFormat="1" ht="14.25">
      <c r="A53" s="75"/>
      <c r="B53" s="79"/>
      <c r="C53" s="75"/>
      <c r="F53" s="97"/>
      <c r="G53" s="97"/>
      <c r="H53" s="97"/>
      <c r="I53" s="93"/>
      <c r="J53" s="86"/>
      <c r="K53" s="93"/>
      <c r="L53" s="86"/>
      <c r="M53" s="86"/>
      <c r="N53" s="86"/>
      <c r="O53" s="93"/>
      <c r="P53" s="86"/>
      <c r="Q53" s="93"/>
      <c r="R53" s="86"/>
      <c r="S53" s="93"/>
      <c r="T53" s="86"/>
      <c r="U53" s="93"/>
      <c r="V53" s="86"/>
      <c r="W53" s="93"/>
      <c r="X53" s="86"/>
      <c r="Y53" s="93"/>
      <c r="Z53" s="86"/>
      <c r="AA53" s="93"/>
      <c r="AB53" s="86"/>
      <c r="AC53" s="93"/>
      <c r="AD53" s="86"/>
      <c r="AE53" s="93"/>
      <c r="AF53" s="86"/>
      <c r="AG53" s="93"/>
      <c r="AH53" s="86"/>
      <c r="AI53" s="93"/>
      <c r="AJ53" s="86"/>
      <c r="AK53" s="93"/>
      <c r="AL53" s="86"/>
      <c r="AM53" s="75"/>
      <c r="AN53" s="75"/>
      <c r="AO53" s="75"/>
      <c r="AP53" s="75"/>
      <c r="AQ53" s="75"/>
      <c r="AR53" s="75"/>
      <c r="AS53" s="75"/>
      <c r="AT53" s="75"/>
    </row>
    <row r="54" spans="1:46" s="78" customFormat="1" ht="14.25">
      <c r="A54" s="75"/>
      <c r="B54" s="79"/>
      <c r="C54" s="75"/>
      <c r="F54" s="97"/>
      <c r="G54" s="97"/>
      <c r="H54" s="97"/>
      <c r="I54" s="93"/>
      <c r="J54" s="86"/>
      <c r="K54" s="93"/>
      <c r="L54" s="86"/>
      <c r="M54" s="86"/>
      <c r="N54" s="86"/>
      <c r="O54" s="93"/>
      <c r="P54" s="86"/>
      <c r="Q54" s="93"/>
      <c r="R54" s="86"/>
      <c r="S54" s="93"/>
      <c r="T54" s="86"/>
      <c r="U54" s="93"/>
      <c r="V54" s="86"/>
      <c r="W54" s="93"/>
      <c r="X54" s="86"/>
      <c r="Y54" s="93"/>
      <c r="Z54" s="86"/>
      <c r="AA54" s="93"/>
      <c r="AB54" s="86"/>
      <c r="AC54" s="93"/>
      <c r="AD54" s="86"/>
      <c r="AE54" s="93"/>
      <c r="AF54" s="86"/>
      <c r="AG54" s="93"/>
      <c r="AH54" s="86"/>
      <c r="AI54" s="93"/>
      <c r="AJ54" s="86"/>
      <c r="AK54" s="93"/>
      <c r="AL54" s="86"/>
      <c r="AM54" s="75"/>
      <c r="AN54" s="75"/>
      <c r="AO54" s="75"/>
      <c r="AP54" s="75"/>
      <c r="AQ54" s="75"/>
      <c r="AR54" s="75"/>
      <c r="AS54" s="75"/>
      <c r="AT54" s="75"/>
    </row>
    <row r="55" spans="1:46" s="78" customFormat="1" ht="14.25">
      <c r="A55" s="75"/>
      <c r="B55" s="79"/>
      <c r="C55" s="75"/>
      <c r="F55" s="97"/>
      <c r="G55" s="97"/>
      <c r="H55" s="97"/>
      <c r="I55" s="93"/>
      <c r="J55" s="86"/>
      <c r="K55" s="93"/>
      <c r="L55" s="86"/>
      <c r="M55" s="86"/>
      <c r="N55" s="86"/>
      <c r="O55" s="93"/>
      <c r="P55" s="86"/>
      <c r="Q55" s="93"/>
      <c r="R55" s="86"/>
      <c r="S55" s="93"/>
      <c r="T55" s="86"/>
      <c r="U55" s="93"/>
      <c r="V55" s="86"/>
      <c r="W55" s="93"/>
      <c r="X55" s="86"/>
      <c r="Y55" s="93"/>
      <c r="Z55" s="86"/>
      <c r="AA55" s="93"/>
      <c r="AB55" s="86"/>
      <c r="AC55" s="93"/>
      <c r="AD55" s="86"/>
      <c r="AE55" s="93"/>
      <c r="AF55" s="86"/>
      <c r="AG55" s="93"/>
      <c r="AH55" s="86"/>
      <c r="AI55" s="93"/>
      <c r="AJ55" s="86"/>
      <c r="AK55" s="93"/>
      <c r="AL55" s="86"/>
      <c r="AM55" s="75"/>
      <c r="AN55" s="75"/>
      <c r="AO55" s="75"/>
      <c r="AP55" s="75"/>
      <c r="AQ55" s="75"/>
      <c r="AR55" s="75"/>
      <c r="AS55" s="75"/>
      <c r="AT55" s="75"/>
    </row>
    <row r="56" spans="1:46" s="78" customFormat="1" ht="14.25">
      <c r="A56" s="75"/>
      <c r="B56" s="79"/>
      <c r="C56" s="75"/>
      <c r="F56" s="97"/>
      <c r="G56" s="97"/>
      <c r="H56" s="97"/>
      <c r="I56" s="93"/>
      <c r="J56" s="86"/>
      <c r="K56" s="93"/>
      <c r="L56" s="86"/>
      <c r="M56" s="86"/>
      <c r="N56" s="86"/>
      <c r="O56" s="93"/>
      <c r="P56" s="86"/>
      <c r="Q56" s="93"/>
      <c r="R56" s="86"/>
      <c r="S56" s="93"/>
      <c r="T56" s="86"/>
      <c r="U56" s="93"/>
      <c r="V56" s="86"/>
      <c r="W56" s="93"/>
      <c r="X56" s="86"/>
      <c r="Y56" s="93"/>
      <c r="Z56" s="86"/>
      <c r="AA56" s="93"/>
      <c r="AB56" s="86"/>
      <c r="AC56" s="93"/>
      <c r="AD56" s="86"/>
      <c r="AE56" s="93"/>
      <c r="AF56" s="86"/>
      <c r="AG56" s="93"/>
      <c r="AH56" s="86"/>
      <c r="AI56" s="93"/>
      <c r="AJ56" s="86"/>
      <c r="AK56" s="93"/>
      <c r="AL56" s="86"/>
      <c r="AM56" s="75"/>
      <c r="AN56" s="75"/>
      <c r="AO56" s="75"/>
      <c r="AP56" s="75"/>
      <c r="AQ56" s="75"/>
      <c r="AR56" s="75"/>
      <c r="AS56" s="75"/>
      <c r="AT56" s="75"/>
    </row>
    <row r="57" spans="1:46" s="78" customFormat="1" ht="14.25">
      <c r="A57" s="75"/>
      <c r="B57" s="79"/>
      <c r="C57" s="75"/>
      <c r="F57" s="97"/>
      <c r="G57" s="97"/>
      <c r="H57" s="97"/>
      <c r="I57" s="93"/>
      <c r="J57" s="86"/>
      <c r="K57" s="93"/>
      <c r="L57" s="86"/>
      <c r="M57" s="86"/>
      <c r="N57" s="86"/>
      <c r="O57" s="93"/>
      <c r="P57" s="86"/>
      <c r="Q57" s="93"/>
      <c r="R57" s="86"/>
      <c r="S57" s="93"/>
      <c r="T57" s="86"/>
      <c r="U57" s="93"/>
      <c r="V57" s="86"/>
      <c r="W57" s="93"/>
      <c r="X57" s="86"/>
      <c r="Y57" s="93"/>
      <c r="Z57" s="86"/>
      <c r="AA57" s="93"/>
      <c r="AB57" s="86"/>
      <c r="AC57" s="93"/>
      <c r="AD57" s="86"/>
      <c r="AE57" s="93"/>
      <c r="AF57" s="86"/>
      <c r="AG57" s="93"/>
      <c r="AH57" s="86"/>
      <c r="AI57" s="93"/>
      <c r="AJ57" s="86"/>
      <c r="AK57" s="93"/>
      <c r="AL57" s="86"/>
      <c r="AM57" s="75"/>
      <c r="AN57" s="75"/>
      <c r="AO57" s="75"/>
      <c r="AP57" s="75"/>
      <c r="AQ57" s="75"/>
      <c r="AR57" s="75"/>
      <c r="AS57" s="75"/>
      <c r="AT57" s="75"/>
    </row>
    <row r="58" spans="1:46" s="78" customFormat="1" ht="14.25">
      <c r="A58" s="75"/>
      <c r="B58" s="79"/>
      <c r="C58" s="75"/>
      <c r="F58" s="97"/>
      <c r="G58" s="97"/>
      <c r="H58" s="97"/>
      <c r="I58" s="93"/>
      <c r="J58" s="86"/>
      <c r="K58" s="93"/>
      <c r="L58" s="86"/>
      <c r="M58" s="86"/>
      <c r="N58" s="86"/>
      <c r="O58" s="93"/>
      <c r="P58" s="86"/>
      <c r="Q58" s="93"/>
      <c r="R58" s="86"/>
      <c r="S58" s="93"/>
      <c r="T58" s="86"/>
      <c r="U58" s="93"/>
      <c r="V58" s="86"/>
      <c r="W58" s="93"/>
      <c r="X58" s="86"/>
      <c r="Y58" s="93"/>
      <c r="Z58" s="86"/>
      <c r="AA58" s="93"/>
      <c r="AB58" s="86"/>
      <c r="AC58" s="93"/>
      <c r="AD58" s="86"/>
      <c r="AE58" s="93"/>
      <c r="AF58" s="86"/>
      <c r="AG58" s="93"/>
      <c r="AH58" s="86"/>
      <c r="AI58" s="93"/>
      <c r="AJ58" s="86"/>
      <c r="AK58" s="93"/>
      <c r="AL58" s="86"/>
      <c r="AM58" s="75"/>
      <c r="AN58" s="75"/>
      <c r="AO58" s="75"/>
      <c r="AP58" s="75"/>
      <c r="AQ58" s="75"/>
      <c r="AR58" s="75"/>
      <c r="AS58" s="75"/>
      <c r="AT58" s="75"/>
    </row>
    <row r="59" spans="1:46" s="78" customFormat="1" ht="14.25">
      <c r="A59" s="75"/>
      <c r="B59" s="79"/>
      <c r="C59" s="75"/>
      <c r="F59" s="97"/>
      <c r="G59" s="97"/>
      <c r="H59" s="97"/>
      <c r="I59" s="93"/>
      <c r="J59" s="86"/>
      <c r="K59" s="93"/>
      <c r="L59" s="86"/>
      <c r="M59" s="86"/>
      <c r="N59" s="86"/>
      <c r="O59" s="93"/>
      <c r="P59" s="86"/>
      <c r="Q59" s="93"/>
      <c r="R59" s="86"/>
      <c r="S59" s="93"/>
      <c r="T59" s="86"/>
      <c r="U59" s="93"/>
      <c r="V59" s="86"/>
      <c r="W59" s="93"/>
      <c r="X59" s="86"/>
      <c r="Y59" s="93"/>
      <c r="Z59" s="86"/>
      <c r="AA59" s="93"/>
      <c r="AB59" s="86"/>
      <c r="AC59" s="93"/>
      <c r="AD59" s="86"/>
      <c r="AE59" s="93"/>
      <c r="AF59" s="86"/>
      <c r="AG59" s="93"/>
      <c r="AH59" s="86"/>
      <c r="AI59" s="93"/>
      <c r="AJ59" s="86"/>
      <c r="AK59" s="93"/>
      <c r="AL59" s="86"/>
      <c r="AM59" s="75"/>
      <c r="AN59" s="75"/>
      <c r="AO59" s="75"/>
      <c r="AP59" s="75"/>
      <c r="AQ59" s="75"/>
      <c r="AR59" s="75"/>
      <c r="AS59" s="75"/>
      <c r="AT59" s="75"/>
    </row>
    <row r="60" spans="1:46" s="78" customFormat="1" ht="14.25">
      <c r="A60" s="75"/>
      <c r="B60" s="79"/>
      <c r="C60" s="75"/>
      <c r="F60" s="97"/>
      <c r="G60" s="97"/>
      <c r="H60" s="97"/>
      <c r="I60" s="93"/>
      <c r="J60" s="86"/>
      <c r="K60" s="93"/>
      <c r="L60" s="86"/>
      <c r="M60" s="86"/>
      <c r="N60" s="86"/>
      <c r="O60" s="93"/>
      <c r="P60" s="86"/>
      <c r="Q60" s="93"/>
      <c r="R60" s="86"/>
      <c r="S60" s="93"/>
      <c r="T60" s="86"/>
      <c r="U60" s="93"/>
      <c r="V60" s="86"/>
      <c r="W60" s="93"/>
      <c r="X60" s="86"/>
      <c r="Y60" s="93"/>
      <c r="Z60" s="86"/>
      <c r="AA60" s="93"/>
      <c r="AB60" s="86"/>
      <c r="AC60" s="93"/>
      <c r="AD60" s="86"/>
      <c r="AE60" s="93"/>
      <c r="AF60" s="86"/>
      <c r="AG60" s="93"/>
      <c r="AH60" s="86"/>
      <c r="AI60" s="93"/>
      <c r="AJ60" s="86"/>
      <c r="AK60" s="93"/>
      <c r="AL60" s="86"/>
      <c r="AM60" s="75"/>
      <c r="AN60" s="75"/>
      <c r="AO60" s="75"/>
      <c r="AP60" s="75"/>
      <c r="AQ60" s="75"/>
      <c r="AR60" s="75"/>
      <c r="AS60" s="75"/>
      <c r="AT60" s="75"/>
    </row>
    <row r="61" spans="1:46" s="78" customFormat="1" ht="14.25">
      <c r="A61" s="75"/>
      <c r="B61" s="79"/>
      <c r="C61" s="75"/>
      <c r="F61" s="97"/>
      <c r="G61" s="97"/>
      <c r="H61" s="97"/>
      <c r="I61" s="93"/>
      <c r="J61" s="86"/>
      <c r="K61" s="93"/>
      <c r="L61" s="86"/>
      <c r="M61" s="86"/>
      <c r="N61" s="86"/>
      <c r="O61" s="93"/>
      <c r="P61" s="86"/>
      <c r="Q61" s="93"/>
      <c r="R61" s="86"/>
      <c r="S61" s="93"/>
      <c r="T61" s="86"/>
      <c r="U61" s="93"/>
      <c r="V61" s="86"/>
      <c r="W61" s="93"/>
      <c r="X61" s="86"/>
      <c r="Y61" s="93"/>
      <c r="Z61" s="86"/>
      <c r="AA61" s="93"/>
      <c r="AB61" s="86"/>
      <c r="AC61" s="93"/>
      <c r="AD61" s="86"/>
      <c r="AE61" s="93"/>
      <c r="AF61" s="86"/>
      <c r="AG61" s="93"/>
      <c r="AH61" s="86"/>
      <c r="AI61" s="93"/>
      <c r="AJ61" s="86"/>
      <c r="AK61" s="93"/>
      <c r="AL61" s="86"/>
      <c r="AM61" s="75"/>
      <c r="AN61" s="75"/>
      <c r="AO61" s="75"/>
      <c r="AP61" s="75"/>
      <c r="AQ61" s="75"/>
      <c r="AR61" s="75"/>
      <c r="AS61" s="75"/>
      <c r="AT61" s="75"/>
    </row>
    <row r="62" spans="1:46" s="78" customFormat="1" ht="14.25">
      <c r="A62" s="75"/>
      <c r="B62" s="79"/>
      <c r="C62" s="75"/>
      <c r="F62" s="97"/>
      <c r="G62" s="97"/>
      <c r="H62" s="97"/>
      <c r="I62" s="93"/>
      <c r="J62" s="86"/>
      <c r="K62" s="93"/>
      <c r="L62" s="86"/>
      <c r="M62" s="86"/>
      <c r="N62" s="86"/>
      <c r="O62" s="93"/>
      <c r="P62" s="86"/>
      <c r="Q62" s="93"/>
      <c r="R62" s="86"/>
      <c r="S62" s="93"/>
      <c r="T62" s="86"/>
      <c r="U62" s="93"/>
      <c r="V62" s="86"/>
      <c r="W62" s="93"/>
      <c r="X62" s="86"/>
      <c r="Y62" s="93"/>
      <c r="Z62" s="86"/>
      <c r="AA62" s="93"/>
      <c r="AB62" s="86"/>
      <c r="AC62" s="93"/>
      <c r="AD62" s="86"/>
      <c r="AE62" s="93"/>
      <c r="AF62" s="86"/>
      <c r="AG62" s="93"/>
      <c r="AH62" s="86"/>
      <c r="AI62" s="93"/>
      <c r="AJ62" s="86"/>
      <c r="AK62" s="93"/>
      <c r="AL62" s="86"/>
      <c r="AM62" s="75"/>
      <c r="AN62" s="75"/>
      <c r="AO62" s="75"/>
      <c r="AP62" s="75"/>
      <c r="AQ62" s="75"/>
      <c r="AR62" s="75"/>
      <c r="AS62" s="75"/>
      <c r="AT62" s="75"/>
    </row>
    <row r="63" spans="1:46" s="78" customFormat="1" ht="14.25">
      <c r="A63" s="75"/>
      <c r="B63" s="79"/>
      <c r="C63" s="75"/>
      <c r="F63" s="97"/>
      <c r="G63" s="97"/>
      <c r="H63" s="97"/>
      <c r="I63" s="93"/>
      <c r="J63" s="86"/>
      <c r="K63" s="93"/>
      <c r="L63" s="86"/>
      <c r="M63" s="86"/>
      <c r="N63" s="86"/>
      <c r="O63" s="93"/>
      <c r="P63" s="86"/>
      <c r="Q63" s="93"/>
      <c r="R63" s="86"/>
      <c r="S63" s="93"/>
      <c r="T63" s="86"/>
      <c r="U63" s="93"/>
      <c r="V63" s="86"/>
      <c r="W63" s="93"/>
      <c r="X63" s="86"/>
      <c r="Y63" s="93"/>
      <c r="Z63" s="86"/>
      <c r="AA63" s="93"/>
      <c r="AB63" s="86"/>
      <c r="AC63" s="93"/>
      <c r="AD63" s="86"/>
      <c r="AE63" s="93"/>
      <c r="AF63" s="86"/>
      <c r="AG63" s="93"/>
      <c r="AH63" s="86"/>
      <c r="AI63" s="93"/>
      <c r="AJ63" s="86"/>
      <c r="AK63" s="93"/>
      <c r="AL63" s="86"/>
      <c r="AM63" s="75"/>
      <c r="AN63" s="75"/>
      <c r="AO63" s="75"/>
      <c r="AP63" s="75"/>
      <c r="AQ63" s="75"/>
      <c r="AR63" s="75"/>
      <c r="AS63" s="75"/>
      <c r="AT63" s="75"/>
    </row>
    <row r="64" spans="1:46" s="78" customFormat="1" ht="14.25">
      <c r="A64" s="75"/>
      <c r="B64" s="79"/>
      <c r="C64" s="75"/>
      <c r="F64" s="97"/>
      <c r="G64" s="97"/>
      <c r="H64" s="97"/>
      <c r="I64" s="93"/>
      <c r="J64" s="86"/>
      <c r="K64" s="93"/>
      <c r="L64" s="86"/>
      <c r="M64" s="86"/>
      <c r="N64" s="86"/>
      <c r="O64" s="93"/>
      <c r="P64" s="86"/>
      <c r="Q64" s="93"/>
      <c r="R64" s="86"/>
      <c r="S64" s="93"/>
      <c r="T64" s="86"/>
      <c r="U64" s="93"/>
      <c r="V64" s="86"/>
      <c r="W64" s="93"/>
      <c r="X64" s="86"/>
      <c r="Y64" s="93"/>
      <c r="Z64" s="86"/>
      <c r="AA64" s="93"/>
      <c r="AB64" s="86"/>
      <c r="AC64" s="93"/>
      <c r="AD64" s="86"/>
      <c r="AE64" s="93"/>
      <c r="AF64" s="86"/>
      <c r="AG64" s="93"/>
      <c r="AH64" s="86"/>
      <c r="AI64" s="93"/>
      <c r="AJ64" s="86"/>
      <c r="AK64" s="93"/>
      <c r="AL64" s="86"/>
      <c r="AM64" s="75"/>
      <c r="AN64" s="75"/>
      <c r="AO64" s="75"/>
      <c r="AP64" s="75"/>
      <c r="AQ64" s="75"/>
      <c r="AR64" s="75"/>
      <c r="AS64" s="75"/>
      <c r="AT64" s="75"/>
    </row>
    <row r="65" spans="1:46" s="78" customFormat="1" ht="14.25">
      <c r="A65" s="75"/>
      <c r="B65" s="79"/>
      <c r="C65" s="75"/>
      <c r="F65" s="97"/>
      <c r="G65" s="97"/>
      <c r="H65" s="97"/>
      <c r="I65" s="93"/>
      <c r="J65" s="86"/>
      <c r="K65" s="93"/>
      <c r="L65" s="86"/>
      <c r="M65" s="86"/>
      <c r="N65" s="86"/>
      <c r="O65" s="93"/>
      <c r="P65" s="86"/>
      <c r="Q65" s="93"/>
      <c r="R65" s="86"/>
      <c r="S65" s="93"/>
      <c r="T65" s="86"/>
      <c r="U65" s="93"/>
      <c r="V65" s="86"/>
      <c r="W65" s="93"/>
      <c r="X65" s="86"/>
      <c r="Y65" s="93"/>
      <c r="Z65" s="86"/>
      <c r="AA65" s="93"/>
      <c r="AB65" s="86"/>
      <c r="AC65" s="93"/>
      <c r="AD65" s="86"/>
      <c r="AE65" s="93"/>
      <c r="AF65" s="86"/>
      <c r="AG65" s="93"/>
      <c r="AH65" s="86"/>
      <c r="AI65" s="93"/>
      <c r="AJ65" s="86"/>
      <c r="AK65" s="93"/>
      <c r="AL65" s="86"/>
      <c r="AM65" s="75"/>
      <c r="AN65" s="75"/>
      <c r="AO65" s="75"/>
      <c r="AP65" s="75"/>
      <c r="AQ65" s="75"/>
      <c r="AR65" s="75"/>
      <c r="AS65" s="75"/>
      <c r="AT65" s="75"/>
    </row>
    <row r="66" spans="1:46" s="78" customFormat="1" ht="14.25">
      <c r="A66" s="75"/>
      <c r="B66" s="79"/>
      <c r="C66" s="75"/>
      <c r="F66" s="97"/>
      <c r="G66" s="97"/>
      <c r="H66" s="97"/>
      <c r="I66" s="93"/>
      <c r="J66" s="86"/>
      <c r="K66" s="93"/>
      <c r="L66" s="86"/>
      <c r="M66" s="86"/>
      <c r="N66" s="86"/>
      <c r="O66" s="93"/>
      <c r="P66" s="86"/>
      <c r="Q66" s="93"/>
      <c r="R66" s="86"/>
      <c r="S66" s="93"/>
      <c r="T66" s="86"/>
      <c r="U66" s="93"/>
      <c r="V66" s="86"/>
      <c r="W66" s="93"/>
      <c r="X66" s="86"/>
      <c r="Y66" s="93"/>
      <c r="Z66" s="86"/>
      <c r="AA66" s="93"/>
      <c r="AB66" s="86"/>
      <c r="AC66" s="93"/>
      <c r="AD66" s="86"/>
      <c r="AE66" s="93"/>
      <c r="AF66" s="86"/>
      <c r="AG66" s="93"/>
      <c r="AH66" s="86"/>
      <c r="AI66" s="93"/>
      <c r="AJ66" s="86"/>
      <c r="AK66" s="93"/>
      <c r="AL66" s="86"/>
      <c r="AM66" s="75"/>
      <c r="AN66" s="75"/>
      <c r="AO66" s="75"/>
      <c r="AP66" s="75"/>
      <c r="AQ66" s="75"/>
      <c r="AR66" s="75"/>
      <c r="AS66" s="75"/>
      <c r="AT66" s="75"/>
    </row>
    <row r="67" spans="1:46" s="78" customFormat="1" ht="14.25">
      <c r="A67" s="75"/>
      <c r="B67" s="79"/>
      <c r="C67" s="75"/>
      <c r="F67" s="97"/>
      <c r="G67" s="97"/>
      <c r="H67" s="97"/>
      <c r="I67" s="93"/>
      <c r="J67" s="86"/>
      <c r="K67" s="93"/>
      <c r="L67" s="86"/>
      <c r="M67" s="86"/>
      <c r="N67" s="86"/>
      <c r="O67" s="93"/>
      <c r="P67" s="86"/>
      <c r="Q67" s="93"/>
      <c r="R67" s="86"/>
      <c r="S67" s="93"/>
      <c r="T67" s="86"/>
      <c r="U67" s="93"/>
      <c r="V67" s="86"/>
      <c r="W67" s="93"/>
      <c r="X67" s="86"/>
      <c r="Y67" s="93"/>
      <c r="Z67" s="86"/>
      <c r="AA67" s="93"/>
      <c r="AB67" s="86"/>
      <c r="AC67" s="93"/>
      <c r="AD67" s="86"/>
      <c r="AE67" s="93"/>
      <c r="AF67" s="86"/>
      <c r="AG67" s="93"/>
      <c r="AH67" s="86"/>
      <c r="AI67" s="93"/>
      <c r="AJ67" s="86"/>
      <c r="AK67" s="93"/>
      <c r="AL67" s="86"/>
      <c r="AM67" s="75"/>
      <c r="AN67" s="75"/>
      <c r="AO67" s="75"/>
      <c r="AP67" s="75"/>
      <c r="AQ67" s="75"/>
      <c r="AR67" s="75"/>
      <c r="AS67" s="75"/>
      <c r="AT67" s="75"/>
    </row>
    <row r="68" spans="1:46" s="78" customFormat="1" ht="14.25">
      <c r="A68" s="75"/>
      <c r="B68" s="79"/>
      <c r="C68" s="75"/>
      <c r="F68" s="97"/>
      <c r="G68" s="97"/>
      <c r="H68" s="97"/>
      <c r="I68" s="93"/>
      <c r="J68" s="86"/>
      <c r="K68" s="93"/>
      <c r="L68" s="86"/>
      <c r="M68" s="86"/>
      <c r="N68" s="86"/>
      <c r="O68" s="93"/>
      <c r="P68" s="86"/>
      <c r="Q68" s="93"/>
      <c r="R68" s="86"/>
      <c r="S68" s="93"/>
      <c r="T68" s="86"/>
      <c r="U68" s="93"/>
      <c r="V68" s="86"/>
      <c r="W68" s="93"/>
      <c r="X68" s="86"/>
      <c r="Y68" s="93"/>
      <c r="Z68" s="86"/>
      <c r="AA68" s="93"/>
      <c r="AB68" s="86"/>
      <c r="AC68" s="93"/>
      <c r="AD68" s="86"/>
      <c r="AE68" s="93"/>
      <c r="AF68" s="86"/>
      <c r="AG68" s="93"/>
      <c r="AH68" s="86"/>
      <c r="AI68" s="93"/>
      <c r="AJ68" s="86"/>
      <c r="AK68" s="93"/>
      <c r="AL68" s="86"/>
      <c r="AM68" s="75"/>
      <c r="AN68" s="75"/>
      <c r="AO68" s="75"/>
      <c r="AP68" s="75"/>
      <c r="AQ68" s="75"/>
      <c r="AR68" s="75"/>
      <c r="AS68" s="75"/>
      <c r="AT68" s="75"/>
    </row>
    <row r="69" spans="1:46" s="78" customFormat="1" ht="14.25">
      <c r="A69" s="75"/>
      <c r="B69" s="79"/>
      <c r="C69" s="75"/>
      <c r="F69" s="97"/>
      <c r="G69" s="97"/>
      <c r="H69" s="97"/>
      <c r="I69" s="93"/>
      <c r="J69" s="86"/>
      <c r="K69" s="93"/>
      <c r="L69" s="86"/>
      <c r="M69" s="86"/>
      <c r="N69" s="86"/>
      <c r="O69" s="93"/>
      <c r="P69" s="86"/>
      <c r="Q69" s="93"/>
      <c r="R69" s="86"/>
      <c r="S69" s="93"/>
      <c r="T69" s="86"/>
      <c r="U69" s="93"/>
      <c r="V69" s="86"/>
      <c r="W69" s="93"/>
      <c r="X69" s="86"/>
      <c r="Y69" s="93"/>
      <c r="Z69" s="86"/>
      <c r="AA69" s="93"/>
      <c r="AB69" s="86"/>
      <c r="AC69" s="93"/>
      <c r="AD69" s="86"/>
      <c r="AE69" s="93"/>
      <c r="AF69" s="86"/>
      <c r="AG69" s="93"/>
      <c r="AH69" s="86"/>
      <c r="AI69" s="93"/>
      <c r="AJ69" s="86"/>
      <c r="AK69" s="93"/>
      <c r="AL69" s="86"/>
      <c r="AM69" s="75"/>
      <c r="AN69" s="75"/>
      <c r="AO69" s="75"/>
      <c r="AP69" s="75"/>
      <c r="AQ69" s="75"/>
      <c r="AR69" s="75"/>
      <c r="AS69" s="75"/>
      <c r="AT69" s="75"/>
    </row>
    <row r="70" spans="1:46" s="78" customFormat="1" ht="14.25">
      <c r="A70" s="75"/>
      <c r="B70" s="79"/>
      <c r="C70" s="75"/>
      <c r="F70" s="97"/>
      <c r="G70" s="97"/>
      <c r="H70" s="97"/>
      <c r="I70" s="93"/>
      <c r="J70" s="86"/>
      <c r="K70" s="93"/>
      <c r="L70" s="86"/>
      <c r="M70" s="86"/>
      <c r="N70" s="86"/>
      <c r="O70" s="93"/>
      <c r="P70" s="86"/>
      <c r="Q70" s="93"/>
      <c r="R70" s="86"/>
      <c r="S70" s="93"/>
      <c r="T70" s="86"/>
      <c r="U70" s="93"/>
      <c r="V70" s="86"/>
      <c r="W70" s="93"/>
      <c r="X70" s="86"/>
      <c r="Y70" s="93"/>
      <c r="Z70" s="86"/>
      <c r="AA70" s="93"/>
      <c r="AB70" s="86"/>
      <c r="AC70" s="93"/>
      <c r="AD70" s="86"/>
      <c r="AE70" s="93"/>
      <c r="AF70" s="86"/>
      <c r="AG70" s="93"/>
      <c r="AH70" s="86"/>
      <c r="AI70" s="93"/>
      <c r="AJ70" s="86"/>
      <c r="AK70" s="93"/>
      <c r="AL70" s="86"/>
      <c r="AM70" s="75"/>
      <c r="AN70" s="75"/>
      <c r="AO70" s="75"/>
      <c r="AP70" s="75"/>
      <c r="AQ70" s="75"/>
      <c r="AR70" s="75"/>
      <c r="AS70" s="75"/>
      <c r="AT70" s="75"/>
    </row>
    <row r="71" spans="1:46" s="78" customFormat="1" ht="14.25">
      <c r="A71" s="75"/>
      <c r="B71" s="79"/>
      <c r="C71" s="75"/>
      <c r="F71" s="97"/>
      <c r="G71" s="97"/>
      <c r="H71" s="97"/>
      <c r="I71" s="93"/>
      <c r="J71" s="86"/>
      <c r="K71" s="93"/>
      <c r="L71" s="86"/>
      <c r="M71" s="86"/>
      <c r="N71" s="86"/>
      <c r="O71" s="93"/>
      <c r="P71" s="86"/>
      <c r="Q71" s="93"/>
      <c r="R71" s="86"/>
      <c r="S71" s="93"/>
      <c r="T71" s="86"/>
      <c r="U71" s="93"/>
      <c r="V71" s="86"/>
      <c r="W71" s="93"/>
      <c r="X71" s="86"/>
      <c r="Y71" s="93"/>
      <c r="Z71" s="86"/>
      <c r="AA71" s="93"/>
      <c r="AB71" s="86"/>
      <c r="AC71" s="93"/>
      <c r="AD71" s="86"/>
      <c r="AE71" s="93"/>
      <c r="AF71" s="86"/>
      <c r="AG71" s="93"/>
      <c r="AH71" s="86"/>
      <c r="AI71" s="93"/>
      <c r="AJ71" s="86"/>
      <c r="AK71" s="93"/>
      <c r="AL71" s="86"/>
      <c r="AM71" s="75"/>
      <c r="AN71" s="75"/>
      <c r="AO71" s="75"/>
      <c r="AP71" s="75"/>
      <c r="AQ71" s="75"/>
      <c r="AR71" s="75"/>
      <c r="AS71" s="75"/>
      <c r="AT71" s="75"/>
    </row>
    <row r="72" spans="1:46" s="78" customFormat="1" ht="14.25">
      <c r="A72" s="75"/>
      <c r="B72" s="79"/>
      <c r="C72" s="75"/>
      <c r="F72" s="97"/>
      <c r="G72" s="97"/>
      <c r="H72" s="97"/>
      <c r="I72" s="93"/>
      <c r="J72" s="86"/>
      <c r="K72" s="93"/>
      <c r="L72" s="86"/>
      <c r="M72" s="86"/>
      <c r="N72" s="86"/>
      <c r="O72" s="93"/>
      <c r="P72" s="86"/>
      <c r="Q72" s="93"/>
      <c r="R72" s="86"/>
      <c r="S72" s="93"/>
      <c r="T72" s="86"/>
      <c r="U72" s="93"/>
      <c r="V72" s="86"/>
      <c r="W72" s="93"/>
      <c r="X72" s="86"/>
      <c r="Y72" s="93"/>
      <c r="Z72" s="86"/>
      <c r="AA72" s="93"/>
      <c r="AB72" s="86"/>
      <c r="AC72" s="93"/>
      <c r="AD72" s="86"/>
      <c r="AE72" s="93"/>
      <c r="AF72" s="86"/>
      <c r="AG72" s="93"/>
      <c r="AH72" s="86"/>
      <c r="AI72" s="93"/>
      <c r="AJ72" s="86"/>
      <c r="AK72" s="93"/>
      <c r="AL72" s="86"/>
      <c r="AM72" s="75"/>
      <c r="AN72" s="75"/>
      <c r="AO72" s="75"/>
      <c r="AP72" s="75"/>
      <c r="AQ72" s="75"/>
      <c r="AR72" s="75"/>
      <c r="AS72" s="75"/>
      <c r="AT72" s="75"/>
    </row>
    <row r="73" spans="1:46" s="78" customFormat="1" ht="14.25">
      <c r="A73" s="75"/>
      <c r="B73" s="79"/>
      <c r="C73" s="75"/>
      <c r="F73" s="97"/>
      <c r="G73" s="97"/>
      <c r="H73" s="97"/>
      <c r="I73" s="93"/>
      <c r="J73" s="86"/>
      <c r="K73" s="93"/>
      <c r="L73" s="86"/>
      <c r="M73" s="86"/>
      <c r="N73" s="86"/>
      <c r="O73" s="93"/>
      <c r="P73" s="86"/>
      <c r="Q73" s="93"/>
      <c r="R73" s="86"/>
      <c r="S73" s="93"/>
      <c r="T73" s="86"/>
      <c r="U73" s="93"/>
      <c r="V73" s="86"/>
      <c r="W73" s="93"/>
      <c r="X73" s="86"/>
      <c r="Y73" s="93"/>
      <c r="Z73" s="86"/>
      <c r="AA73" s="93"/>
      <c r="AB73" s="86"/>
      <c r="AC73" s="93"/>
      <c r="AD73" s="86"/>
      <c r="AE73" s="93"/>
      <c r="AF73" s="86"/>
      <c r="AG73" s="93"/>
      <c r="AH73" s="86"/>
      <c r="AI73" s="93"/>
      <c r="AJ73" s="86"/>
      <c r="AK73" s="93"/>
      <c r="AL73" s="86"/>
      <c r="AM73" s="75"/>
      <c r="AN73" s="75"/>
      <c r="AO73" s="75"/>
      <c r="AP73" s="75"/>
      <c r="AQ73" s="75"/>
      <c r="AR73" s="75"/>
      <c r="AS73" s="75"/>
      <c r="AT73" s="75"/>
    </row>
    <row r="74" spans="1:46" s="78" customFormat="1" ht="14.25">
      <c r="A74" s="75"/>
      <c r="B74" s="79"/>
      <c r="C74" s="75"/>
      <c r="F74" s="97"/>
      <c r="G74" s="97"/>
      <c r="H74" s="97"/>
      <c r="I74" s="93"/>
      <c r="J74" s="86"/>
      <c r="K74" s="93"/>
      <c r="L74" s="86"/>
      <c r="M74" s="86"/>
      <c r="N74" s="86"/>
      <c r="O74" s="93"/>
      <c r="P74" s="86"/>
      <c r="Q74" s="93"/>
      <c r="R74" s="86"/>
      <c r="S74" s="93"/>
      <c r="T74" s="86"/>
      <c r="U74" s="93"/>
      <c r="V74" s="86"/>
      <c r="W74" s="93"/>
      <c r="X74" s="86"/>
      <c r="Y74" s="93"/>
      <c r="Z74" s="86"/>
      <c r="AA74" s="93"/>
      <c r="AB74" s="86"/>
      <c r="AC74" s="93"/>
      <c r="AD74" s="86"/>
      <c r="AE74" s="93"/>
      <c r="AF74" s="86"/>
      <c r="AG74" s="93"/>
      <c r="AH74" s="86"/>
      <c r="AI74" s="93"/>
      <c r="AJ74" s="86"/>
      <c r="AK74" s="93"/>
      <c r="AL74" s="86"/>
      <c r="AM74" s="75"/>
      <c r="AN74" s="75"/>
      <c r="AO74" s="75"/>
      <c r="AP74" s="75"/>
      <c r="AQ74" s="75"/>
      <c r="AR74" s="75"/>
      <c r="AS74" s="75"/>
      <c r="AT74" s="75"/>
    </row>
    <row r="75" spans="1:46" s="78" customFormat="1" ht="14.25">
      <c r="A75" s="75"/>
      <c r="B75" s="79"/>
      <c r="C75" s="75"/>
      <c r="F75" s="97"/>
      <c r="G75" s="97"/>
      <c r="H75" s="97"/>
      <c r="I75" s="93"/>
      <c r="J75" s="86"/>
      <c r="K75" s="93"/>
      <c r="L75" s="86"/>
      <c r="M75" s="86"/>
      <c r="N75" s="86"/>
      <c r="O75" s="93"/>
      <c r="P75" s="86"/>
      <c r="Q75" s="93"/>
      <c r="R75" s="86"/>
      <c r="S75" s="93"/>
      <c r="T75" s="86"/>
      <c r="U75" s="93"/>
      <c r="V75" s="86"/>
      <c r="W75" s="93"/>
      <c r="X75" s="86"/>
      <c r="Y75" s="93"/>
      <c r="Z75" s="86"/>
      <c r="AA75" s="93"/>
      <c r="AB75" s="86"/>
      <c r="AC75" s="93"/>
      <c r="AD75" s="86"/>
      <c r="AE75" s="93"/>
      <c r="AF75" s="86"/>
      <c r="AG75" s="93"/>
      <c r="AH75" s="86"/>
      <c r="AI75" s="93"/>
      <c r="AJ75" s="86"/>
      <c r="AK75" s="93"/>
      <c r="AL75" s="86"/>
      <c r="AM75" s="75"/>
      <c r="AN75" s="75"/>
      <c r="AO75" s="75"/>
      <c r="AP75" s="75"/>
      <c r="AQ75" s="75"/>
      <c r="AR75" s="75"/>
      <c r="AS75" s="75"/>
      <c r="AT75" s="75"/>
    </row>
    <row r="76" spans="1:46" s="78" customFormat="1" ht="14.25">
      <c r="A76" s="75"/>
      <c r="B76" s="79"/>
      <c r="C76" s="75"/>
      <c r="F76" s="97"/>
      <c r="G76" s="97"/>
      <c r="H76" s="97"/>
      <c r="I76" s="93"/>
      <c r="J76" s="86"/>
      <c r="K76" s="93"/>
      <c r="L76" s="86"/>
      <c r="M76" s="86"/>
      <c r="N76" s="86"/>
      <c r="O76" s="93"/>
      <c r="P76" s="86"/>
      <c r="Q76" s="93"/>
      <c r="R76" s="86"/>
      <c r="S76" s="93"/>
      <c r="T76" s="86"/>
      <c r="U76" s="93"/>
      <c r="V76" s="86"/>
      <c r="W76" s="93"/>
      <c r="X76" s="86"/>
      <c r="Y76" s="93"/>
      <c r="Z76" s="86"/>
      <c r="AA76" s="93"/>
      <c r="AB76" s="86"/>
      <c r="AC76" s="93"/>
      <c r="AD76" s="86"/>
      <c r="AE76" s="93"/>
      <c r="AF76" s="86"/>
      <c r="AG76" s="93"/>
      <c r="AH76" s="86"/>
      <c r="AI76" s="93"/>
      <c r="AJ76" s="86"/>
      <c r="AK76" s="93"/>
      <c r="AL76" s="86"/>
      <c r="AM76" s="75"/>
      <c r="AN76" s="75"/>
      <c r="AO76" s="75"/>
      <c r="AP76" s="75"/>
      <c r="AQ76" s="75"/>
      <c r="AR76" s="75"/>
      <c r="AS76" s="75"/>
      <c r="AT76" s="75"/>
    </row>
    <row r="77" spans="1:46" s="78" customFormat="1" ht="14.25">
      <c r="A77" s="75"/>
      <c r="B77" s="79"/>
      <c r="C77" s="75"/>
      <c r="F77" s="97"/>
      <c r="G77" s="97"/>
      <c r="H77" s="97"/>
      <c r="I77" s="93"/>
      <c r="J77" s="86"/>
      <c r="K77" s="93"/>
      <c r="L77" s="86"/>
      <c r="M77" s="86"/>
      <c r="N77" s="86"/>
      <c r="O77" s="93"/>
      <c r="P77" s="86"/>
      <c r="Q77" s="93"/>
      <c r="R77" s="86"/>
      <c r="S77" s="93"/>
      <c r="T77" s="86"/>
      <c r="U77" s="93"/>
      <c r="V77" s="86"/>
      <c r="W77" s="93"/>
      <c r="X77" s="86"/>
      <c r="Y77" s="93"/>
      <c r="Z77" s="86"/>
      <c r="AA77" s="93"/>
      <c r="AB77" s="86"/>
      <c r="AC77" s="93"/>
      <c r="AD77" s="86"/>
      <c r="AE77" s="93"/>
      <c r="AF77" s="86"/>
      <c r="AG77" s="93"/>
      <c r="AH77" s="86"/>
      <c r="AI77" s="93"/>
      <c r="AJ77" s="86"/>
      <c r="AK77" s="93"/>
      <c r="AL77" s="86"/>
      <c r="AM77" s="75"/>
      <c r="AN77" s="75"/>
      <c r="AO77" s="75"/>
      <c r="AP77" s="75"/>
      <c r="AQ77" s="75"/>
      <c r="AR77" s="75"/>
      <c r="AS77" s="75"/>
      <c r="AT77" s="75"/>
    </row>
    <row r="78" spans="1:46" s="78" customFormat="1" ht="14.25">
      <c r="A78" s="75"/>
      <c r="B78" s="79"/>
      <c r="C78" s="75"/>
      <c r="F78" s="97"/>
      <c r="G78" s="97"/>
      <c r="H78" s="97"/>
      <c r="I78" s="93"/>
      <c r="J78" s="86"/>
      <c r="K78" s="93"/>
      <c r="L78" s="86"/>
      <c r="M78" s="86"/>
      <c r="N78" s="86"/>
      <c r="O78" s="93"/>
      <c r="P78" s="86"/>
      <c r="Q78" s="93"/>
      <c r="R78" s="86"/>
      <c r="S78" s="93"/>
      <c r="T78" s="86"/>
      <c r="U78" s="93"/>
      <c r="V78" s="86"/>
      <c r="W78" s="93"/>
      <c r="X78" s="86"/>
      <c r="Y78" s="93"/>
      <c r="Z78" s="86"/>
      <c r="AA78" s="93"/>
      <c r="AB78" s="86"/>
      <c r="AC78" s="93"/>
      <c r="AD78" s="86"/>
      <c r="AE78" s="93"/>
      <c r="AF78" s="86"/>
      <c r="AG78" s="93"/>
      <c r="AH78" s="86"/>
      <c r="AI78" s="93"/>
      <c r="AJ78" s="86"/>
      <c r="AK78" s="93"/>
      <c r="AL78" s="86"/>
      <c r="AM78" s="75"/>
      <c r="AN78" s="75"/>
      <c r="AO78" s="75"/>
      <c r="AP78" s="75"/>
      <c r="AQ78" s="75"/>
      <c r="AR78" s="75"/>
      <c r="AS78" s="75"/>
      <c r="AT78" s="75"/>
    </row>
    <row r="79" spans="1:46" s="78" customFormat="1" ht="14.25">
      <c r="A79" s="75"/>
      <c r="B79" s="79"/>
      <c r="C79" s="75"/>
      <c r="F79" s="97"/>
      <c r="G79" s="97"/>
      <c r="H79" s="97"/>
      <c r="I79" s="93"/>
      <c r="J79" s="86"/>
      <c r="K79" s="93"/>
      <c r="L79" s="86"/>
      <c r="M79" s="86"/>
      <c r="N79" s="86"/>
      <c r="O79" s="93"/>
      <c r="P79" s="86"/>
      <c r="Q79" s="93"/>
      <c r="R79" s="86"/>
      <c r="S79" s="93"/>
      <c r="T79" s="86"/>
      <c r="U79" s="93"/>
      <c r="V79" s="86"/>
      <c r="W79" s="93"/>
      <c r="X79" s="86"/>
      <c r="Y79" s="93"/>
      <c r="Z79" s="86"/>
      <c r="AA79" s="93"/>
      <c r="AB79" s="86"/>
      <c r="AC79" s="93"/>
      <c r="AD79" s="86"/>
      <c r="AE79" s="93"/>
      <c r="AF79" s="86"/>
      <c r="AG79" s="93"/>
      <c r="AH79" s="86"/>
      <c r="AI79" s="93"/>
      <c r="AJ79" s="86"/>
      <c r="AK79" s="93"/>
      <c r="AL79" s="86"/>
      <c r="AM79" s="75"/>
      <c r="AN79" s="75"/>
      <c r="AO79" s="75"/>
      <c r="AP79" s="75"/>
      <c r="AQ79" s="75"/>
      <c r="AR79" s="75"/>
      <c r="AS79" s="75"/>
      <c r="AT79" s="75"/>
    </row>
    <row r="80" spans="1:46" s="78" customFormat="1" ht="14.25">
      <c r="A80" s="75"/>
      <c r="B80" s="79"/>
      <c r="C80" s="75"/>
      <c r="F80" s="97"/>
      <c r="G80" s="97"/>
      <c r="H80" s="97"/>
      <c r="I80" s="93"/>
      <c r="J80" s="86"/>
      <c r="K80" s="93"/>
      <c r="L80" s="86"/>
      <c r="M80" s="86"/>
      <c r="N80" s="86"/>
      <c r="O80" s="93"/>
      <c r="P80" s="86"/>
      <c r="Q80" s="93"/>
      <c r="R80" s="86"/>
      <c r="S80" s="93"/>
      <c r="T80" s="86"/>
      <c r="U80" s="93"/>
      <c r="V80" s="86"/>
      <c r="W80" s="93"/>
      <c r="X80" s="86"/>
      <c r="Y80" s="93"/>
      <c r="Z80" s="86"/>
      <c r="AA80" s="93"/>
      <c r="AB80" s="86"/>
      <c r="AC80" s="93"/>
      <c r="AD80" s="86"/>
      <c r="AE80" s="93"/>
      <c r="AF80" s="86"/>
      <c r="AG80" s="93"/>
      <c r="AH80" s="86"/>
      <c r="AI80" s="93"/>
      <c r="AJ80" s="86"/>
      <c r="AK80" s="93"/>
      <c r="AL80" s="86"/>
      <c r="AM80" s="75"/>
      <c r="AN80" s="75"/>
      <c r="AO80" s="75"/>
      <c r="AP80" s="75"/>
      <c r="AQ80" s="75"/>
      <c r="AR80" s="75"/>
      <c r="AS80" s="75"/>
      <c r="AT80" s="75"/>
    </row>
    <row r="81" spans="1:46" s="78" customFormat="1" ht="14.25">
      <c r="A81" s="75"/>
      <c r="B81" s="79"/>
      <c r="C81" s="75"/>
      <c r="F81" s="97"/>
      <c r="G81" s="97"/>
      <c r="H81" s="97"/>
      <c r="I81" s="93"/>
      <c r="J81" s="86"/>
      <c r="K81" s="93"/>
      <c r="L81" s="86"/>
      <c r="M81" s="86"/>
      <c r="N81" s="86"/>
      <c r="O81" s="93"/>
      <c r="P81" s="86"/>
      <c r="Q81" s="93"/>
      <c r="R81" s="86"/>
      <c r="S81" s="93"/>
      <c r="T81" s="86"/>
      <c r="U81" s="93"/>
      <c r="V81" s="86"/>
      <c r="W81" s="93"/>
      <c r="X81" s="86"/>
      <c r="Y81" s="93"/>
      <c r="Z81" s="86"/>
      <c r="AA81" s="93"/>
      <c r="AB81" s="86"/>
      <c r="AC81" s="93"/>
      <c r="AD81" s="86"/>
      <c r="AE81" s="93"/>
      <c r="AF81" s="86"/>
      <c r="AG81" s="93"/>
      <c r="AH81" s="86"/>
      <c r="AI81" s="93"/>
      <c r="AJ81" s="86"/>
      <c r="AK81" s="93"/>
      <c r="AL81" s="86"/>
      <c r="AM81" s="75"/>
      <c r="AN81" s="75"/>
      <c r="AO81" s="75"/>
      <c r="AP81" s="75"/>
      <c r="AQ81" s="75"/>
      <c r="AR81" s="75"/>
      <c r="AS81" s="75"/>
      <c r="AT81" s="75"/>
    </row>
    <row r="82" spans="1:46" s="78" customFormat="1" ht="14.25">
      <c r="A82" s="75"/>
      <c r="B82" s="79"/>
      <c r="C82" s="75"/>
      <c r="F82" s="97"/>
      <c r="G82" s="97"/>
      <c r="H82" s="97"/>
      <c r="I82" s="93"/>
      <c r="J82" s="86"/>
      <c r="K82" s="93"/>
      <c r="L82" s="86"/>
      <c r="M82" s="86"/>
      <c r="N82" s="86"/>
      <c r="O82" s="93"/>
      <c r="P82" s="86"/>
      <c r="Q82" s="93"/>
      <c r="R82" s="86"/>
      <c r="S82" s="93"/>
      <c r="T82" s="86"/>
      <c r="U82" s="93"/>
      <c r="V82" s="86"/>
      <c r="W82" s="93"/>
      <c r="X82" s="86"/>
      <c r="Y82" s="93"/>
      <c r="Z82" s="86"/>
      <c r="AA82" s="93"/>
      <c r="AB82" s="86"/>
      <c r="AC82" s="93"/>
      <c r="AD82" s="86"/>
      <c r="AE82" s="93"/>
      <c r="AF82" s="86"/>
      <c r="AG82" s="93"/>
      <c r="AH82" s="86"/>
      <c r="AI82" s="93"/>
      <c r="AJ82" s="86"/>
      <c r="AK82" s="93"/>
      <c r="AL82" s="86"/>
      <c r="AM82" s="75"/>
      <c r="AN82" s="75"/>
      <c r="AO82" s="75"/>
      <c r="AP82" s="75"/>
      <c r="AQ82" s="75"/>
      <c r="AR82" s="75"/>
      <c r="AS82" s="75"/>
      <c r="AT82" s="75"/>
    </row>
    <row r="83" spans="1:46" s="78" customFormat="1" ht="14.25">
      <c r="A83" s="75"/>
      <c r="B83" s="79"/>
      <c r="C83" s="75"/>
      <c r="F83" s="97"/>
      <c r="G83" s="97"/>
      <c r="H83" s="97"/>
      <c r="I83" s="93"/>
      <c r="J83" s="86"/>
      <c r="K83" s="93"/>
      <c r="L83" s="86"/>
      <c r="M83" s="86"/>
      <c r="N83" s="86"/>
      <c r="O83" s="93"/>
      <c r="P83" s="86"/>
      <c r="Q83" s="93"/>
      <c r="R83" s="86"/>
      <c r="S83" s="93"/>
      <c r="T83" s="86"/>
      <c r="U83" s="93"/>
      <c r="V83" s="86"/>
      <c r="W83" s="93"/>
      <c r="X83" s="86"/>
      <c r="Y83" s="93"/>
      <c r="Z83" s="86"/>
      <c r="AA83" s="93"/>
      <c r="AB83" s="86"/>
      <c r="AC83" s="93"/>
      <c r="AD83" s="86"/>
      <c r="AE83" s="93"/>
      <c r="AF83" s="86"/>
      <c r="AG83" s="93"/>
      <c r="AH83" s="86"/>
      <c r="AI83" s="93"/>
      <c r="AJ83" s="86"/>
      <c r="AK83" s="93"/>
      <c r="AL83" s="86"/>
      <c r="AM83" s="75"/>
      <c r="AN83" s="75"/>
      <c r="AO83" s="75"/>
      <c r="AP83" s="75"/>
      <c r="AQ83" s="75"/>
      <c r="AR83" s="75"/>
      <c r="AS83" s="75"/>
      <c r="AT83" s="75"/>
    </row>
    <row r="84" spans="1:46" s="78" customFormat="1" ht="14.25">
      <c r="A84" s="75"/>
      <c r="B84" s="79"/>
      <c r="C84" s="75"/>
      <c r="F84" s="97"/>
      <c r="G84" s="97"/>
      <c r="H84" s="97"/>
      <c r="I84" s="93"/>
      <c r="J84" s="86"/>
      <c r="K84" s="93"/>
      <c r="L84" s="86"/>
      <c r="M84" s="86"/>
      <c r="N84" s="86"/>
      <c r="O84" s="93"/>
      <c r="P84" s="86"/>
      <c r="Q84" s="93"/>
      <c r="R84" s="86"/>
      <c r="S84" s="93"/>
      <c r="T84" s="86"/>
      <c r="U84" s="93"/>
      <c r="V84" s="86"/>
      <c r="W84" s="93"/>
      <c r="X84" s="86"/>
      <c r="Y84" s="93"/>
      <c r="Z84" s="86"/>
      <c r="AA84" s="93"/>
      <c r="AB84" s="86"/>
      <c r="AC84" s="93"/>
      <c r="AD84" s="86"/>
      <c r="AE84" s="93"/>
      <c r="AF84" s="86"/>
      <c r="AG84" s="93"/>
      <c r="AH84" s="86"/>
      <c r="AI84" s="93"/>
      <c r="AJ84" s="86"/>
      <c r="AK84" s="93"/>
      <c r="AL84" s="86"/>
      <c r="AM84" s="75"/>
      <c r="AN84" s="75"/>
      <c r="AO84" s="75"/>
      <c r="AP84" s="75"/>
      <c r="AQ84" s="75"/>
      <c r="AR84" s="75"/>
      <c r="AS84" s="75"/>
      <c r="AT84" s="75"/>
    </row>
    <row r="85" spans="1:46" s="78" customFormat="1" ht="14.25">
      <c r="A85" s="75"/>
      <c r="B85" s="79"/>
      <c r="C85" s="75"/>
      <c r="F85" s="97"/>
      <c r="G85" s="97"/>
      <c r="H85" s="97"/>
      <c r="I85" s="93"/>
      <c r="J85" s="86"/>
      <c r="K85" s="93"/>
      <c r="L85" s="86"/>
      <c r="M85" s="86"/>
      <c r="N85" s="86"/>
      <c r="O85" s="93"/>
      <c r="P85" s="86"/>
      <c r="Q85" s="93"/>
      <c r="R85" s="86"/>
      <c r="S85" s="93"/>
      <c r="T85" s="86"/>
      <c r="U85" s="93"/>
      <c r="V85" s="86"/>
      <c r="W85" s="93"/>
      <c r="X85" s="86"/>
      <c r="Y85" s="93"/>
      <c r="Z85" s="86"/>
      <c r="AA85" s="93"/>
      <c r="AB85" s="86"/>
      <c r="AC85" s="93"/>
      <c r="AD85" s="86"/>
      <c r="AE85" s="93"/>
      <c r="AF85" s="86"/>
      <c r="AG85" s="93"/>
      <c r="AH85" s="86"/>
      <c r="AI85" s="93"/>
      <c r="AJ85" s="86"/>
      <c r="AK85" s="93"/>
      <c r="AL85" s="86"/>
      <c r="AM85" s="75"/>
      <c r="AN85" s="75"/>
      <c r="AO85" s="75"/>
      <c r="AP85" s="75"/>
      <c r="AQ85" s="75"/>
      <c r="AR85" s="75"/>
      <c r="AS85" s="75"/>
      <c r="AT85" s="75"/>
    </row>
    <row r="86" spans="1:46" s="78" customFormat="1" ht="14.25">
      <c r="A86" s="75"/>
      <c r="B86" s="79"/>
      <c r="C86" s="75"/>
      <c r="F86" s="97"/>
      <c r="G86" s="97"/>
      <c r="H86" s="97"/>
      <c r="I86" s="93"/>
      <c r="J86" s="86"/>
      <c r="K86" s="93"/>
      <c r="L86" s="86"/>
      <c r="M86" s="86"/>
      <c r="N86" s="86"/>
      <c r="O86" s="93"/>
      <c r="P86" s="86"/>
      <c r="Q86" s="93"/>
      <c r="R86" s="86"/>
      <c r="S86" s="93"/>
      <c r="T86" s="86"/>
      <c r="U86" s="93"/>
      <c r="V86" s="86"/>
      <c r="W86" s="93"/>
      <c r="X86" s="86"/>
      <c r="Y86" s="93"/>
      <c r="Z86" s="86"/>
      <c r="AA86" s="93"/>
      <c r="AB86" s="86"/>
      <c r="AC86" s="93"/>
      <c r="AD86" s="86"/>
      <c r="AE86" s="93"/>
      <c r="AF86" s="86"/>
      <c r="AG86" s="93"/>
      <c r="AH86" s="86"/>
      <c r="AI86" s="93"/>
      <c r="AJ86" s="86"/>
      <c r="AK86" s="93"/>
      <c r="AL86" s="86"/>
      <c r="AM86" s="75"/>
      <c r="AN86" s="75"/>
      <c r="AO86" s="75"/>
      <c r="AP86" s="75"/>
      <c r="AQ86" s="75"/>
      <c r="AR86" s="75"/>
      <c r="AS86" s="75"/>
      <c r="AT86" s="75"/>
    </row>
    <row r="87" spans="1:46" s="78" customFormat="1" ht="14.25">
      <c r="A87" s="75"/>
      <c r="B87" s="79"/>
      <c r="C87" s="75"/>
      <c r="F87" s="97"/>
      <c r="G87" s="97"/>
      <c r="H87" s="97"/>
      <c r="I87" s="93"/>
      <c r="J87" s="86"/>
      <c r="K87" s="93"/>
      <c r="L87" s="86"/>
      <c r="M87" s="86"/>
      <c r="N87" s="86"/>
      <c r="O87" s="93"/>
      <c r="P87" s="86"/>
      <c r="Q87" s="93"/>
      <c r="R87" s="86"/>
      <c r="S87" s="93"/>
      <c r="T87" s="86"/>
      <c r="U87" s="93"/>
      <c r="V87" s="86"/>
      <c r="W87" s="93"/>
      <c r="X87" s="86"/>
      <c r="Y87" s="93"/>
      <c r="Z87" s="86"/>
      <c r="AA87" s="93"/>
      <c r="AB87" s="86"/>
      <c r="AC87" s="93"/>
      <c r="AD87" s="86"/>
      <c r="AE87" s="93"/>
      <c r="AF87" s="86"/>
      <c r="AG87" s="93"/>
      <c r="AH87" s="86"/>
      <c r="AI87" s="93"/>
      <c r="AJ87" s="86"/>
      <c r="AK87" s="93"/>
      <c r="AL87" s="86"/>
      <c r="AM87" s="75"/>
      <c r="AN87" s="75"/>
      <c r="AO87" s="75"/>
      <c r="AP87" s="75"/>
      <c r="AQ87" s="75"/>
      <c r="AR87" s="75"/>
      <c r="AS87" s="75"/>
      <c r="AT87" s="75"/>
    </row>
    <row r="88" spans="1:46" s="78" customFormat="1" ht="14.25">
      <c r="A88" s="75"/>
      <c r="B88" s="79"/>
      <c r="C88" s="75"/>
      <c r="F88" s="97"/>
      <c r="G88" s="97"/>
      <c r="H88" s="97"/>
      <c r="I88" s="93"/>
      <c r="J88" s="86"/>
      <c r="K88" s="93"/>
      <c r="L88" s="86"/>
      <c r="M88" s="86"/>
      <c r="N88" s="86"/>
      <c r="O88" s="93"/>
      <c r="P88" s="86"/>
      <c r="Q88" s="93"/>
      <c r="R88" s="86"/>
      <c r="S88" s="93"/>
      <c r="T88" s="86"/>
      <c r="U88" s="93"/>
      <c r="V88" s="86"/>
      <c r="W88" s="93"/>
      <c r="X88" s="86"/>
      <c r="Y88" s="93"/>
      <c r="Z88" s="86"/>
      <c r="AA88" s="93"/>
      <c r="AB88" s="86"/>
      <c r="AC88" s="93"/>
      <c r="AD88" s="86"/>
      <c r="AE88" s="93"/>
      <c r="AF88" s="86"/>
      <c r="AG88" s="93"/>
      <c r="AH88" s="86"/>
      <c r="AI88" s="93"/>
      <c r="AJ88" s="86"/>
      <c r="AK88" s="93"/>
      <c r="AL88" s="86"/>
      <c r="AM88" s="75"/>
      <c r="AN88" s="75"/>
      <c r="AO88" s="75"/>
      <c r="AP88" s="75"/>
      <c r="AQ88" s="75"/>
      <c r="AR88" s="75"/>
      <c r="AS88" s="75"/>
      <c r="AT88" s="75"/>
    </row>
    <row r="89" spans="1:46" s="78" customFormat="1" ht="14.25">
      <c r="A89" s="75"/>
      <c r="B89" s="79"/>
      <c r="C89" s="75"/>
      <c r="F89" s="97"/>
      <c r="G89" s="97"/>
      <c r="H89" s="97"/>
      <c r="I89" s="93"/>
      <c r="J89" s="86"/>
      <c r="K89" s="93"/>
      <c r="L89" s="86"/>
      <c r="M89" s="86"/>
      <c r="N89" s="86"/>
      <c r="O89" s="93"/>
      <c r="P89" s="86"/>
      <c r="Q89" s="93"/>
      <c r="R89" s="86"/>
      <c r="S89" s="93"/>
      <c r="T89" s="86"/>
      <c r="U89" s="93"/>
      <c r="V89" s="86"/>
      <c r="W89" s="93"/>
      <c r="X89" s="86"/>
      <c r="Y89" s="93"/>
      <c r="Z89" s="86"/>
      <c r="AA89" s="93"/>
      <c r="AB89" s="86"/>
      <c r="AC89" s="93"/>
      <c r="AD89" s="86"/>
      <c r="AE89" s="93"/>
      <c r="AF89" s="86"/>
      <c r="AG89" s="93"/>
      <c r="AH89" s="86"/>
      <c r="AI89" s="93"/>
      <c r="AJ89" s="86"/>
      <c r="AK89" s="93"/>
      <c r="AL89" s="86"/>
      <c r="AM89" s="75"/>
      <c r="AN89" s="75"/>
      <c r="AO89" s="75"/>
      <c r="AP89" s="75"/>
      <c r="AQ89" s="75"/>
      <c r="AR89" s="75"/>
      <c r="AS89" s="75"/>
      <c r="AT89" s="75"/>
    </row>
    <row r="90" spans="1:46" s="78" customFormat="1" ht="14.25">
      <c r="A90" s="75"/>
      <c r="B90" s="79"/>
      <c r="C90" s="75"/>
      <c r="F90" s="97"/>
      <c r="G90" s="97"/>
      <c r="H90" s="97"/>
      <c r="I90" s="93"/>
      <c r="J90" s="86"/>
      <c r="K90" s="93"/>
      <c r="L90" s="86"/>
      <c r="M90" s="86"/>
      <c r="N90" s="86"/>
      <c r="O90" s="93"/>
      <c r="P90" s="86"/>
      <c r="Q90" s="93"/>
      <c r="R90" s="86"/>
      <c r="S90" s="93"/>
      <c r="T90" s="86"/>
      <c r="U90" s="93"/>
      <c r="V90" s="86"/>
      <c r="W90" s="93"/>
      <c r="X90" s="86"/>
      <c r="Y90" s="93"/>
      <c r="Z90" s="86"/>
      <c r="AA90" s="93"/>
      <c r="AB90" s="86"/>
      <c r="AC90" s="93"/>
      <c r="AD90" s="86"/>
      <c r="AE90" s="93"/>
      <c r="AF90" s="86"/>
      <c r="AG90" s="93"/>
      <c r="AH90" s="86"/>
      <c r="AI90" s="93"/>
      <c r="AJ90" s="86"/>
      <c r="AK90" s="93"/>
      <c r="AL90" s="86"/>
      <c r="AM90" s="75"/>
      <c r="AN90" s="75"/>
      <c r="AO90" s="75"/>
      <c r="AP90" s="75"/>
      <c r="AQ90" s="75"/>
      <c r="AR90" s="75"/>
      <c r="AS90" s="75"/>
      <c r="AT90" s="75"/>
    </row>
    <row r="91" spans="1:46" s="78" customFormat="1" ht="14.25">
      <c r="A91" s="75"/>
      <c r="B91" s="79"/>
      <c r="C91" s="75"/>
      <c r="F91" s="97"/>
      <c r="G91" s="97"/>
      <c r="H91" s="97"/>
      <c r="I91" s="93"/>
      <c r="J91" s="86"/>
      <c r="K91" s="93"/>
      <c r="L91" s="86"/>
      <c r="M91" s="86"/>
      <c r="N91" s="86"/>
      <c r="O91" s="93"/>
      <c r="P91" s="86"/>
      <c r="Q91" s="93"/>
      <c r="R91" s="86"/>
      <c r="S91" s="93"/>
      <c r="T91" s="86"/>
      <c r="U91" s="93"/>
      <c r="V91" s="86"/>
      <c r="W91" s="93"/>
      <c r="X91" s="86"/>
      <c r="Y91" s="93"/>
      <c r="Z91" s="86"/>
      <c r="AA91" s="93"/>
      <c r="AB91" s="86"/>
      <c r="AC91" s="93"/>
      <c r="AD91" s="86"/>
      <c r="AE91" s="93"/>
      <c r="AF91" s="86"/>
      <c r="AG91" s="93"/>
      <c r="AH91" s="86"/>
      <c r="AI91" s="93"/>
      <c r="AJ91" s="86"/>
      <c r="AK91" s="93"/>
      <c r="AL91" s="86"/>
      <c r="AM91" s="75"/>
      <c r="AN91" s="75"/>
      <c r="AO91" s="75"/>
      <c r="AP91" s="75"/>
      <c r="AQ91" s="75"/>
      <c r="AR91" s="75"/>
      <c r="AS91" s="75"/>
      <c r="AT91" s="75"/>
    </row>
    <row r="92" spans="1:46" s="78" customFormat="1" ht="14.25">
      <c r="A92" s="75"/>
      <c r="B92" s="79"/>
      <c r="C92" s="75"/>
      <c r="F92" s="97"/>
      <c r="G92" s="97"/>
      <c r="H92" s="97"/>
      <c r="I92" s="93"/>
      <c r="J92" s="86"/>
      <c r="K92" s="93"/>
      <c r="L92" s="86"/>
      <c r="M92" s="86"/>
      <c r="N92" s="86"/>
      <c r="O92" s="93"/>
      <c r="P92" s="86"/>
      <c r="Q92" s="93"/>
      <c r="R92" s="86"/>
      <c r="S92" s="93"/>
      <c r="T92" s="86"/>
      <c r="U92" s="93"/>
      <c r="V92" s="86"/>
      <c r="W92" s="93"/>
      <c r="X92" s="86"/>
      <c r="Y92" s="93"/>
      <c r="Z92" s="86"/>
      <c r="AA92" s="93"/>
      <c r="AB92" s="86"/>
      <c r="AC92" s="93"/>
      <c r="AD92" s="86"/>
      <c r="AE92" s="93"/>
      <c r="AF92" s="86"/>
      <c r="AG92" s="93"/>
      <c r="AH92" s="86"/>
      <c r="AI92" s="93"/>
      <c r="AJ92" s="86"/>
      <c r="AK92" s="93"/>
      <c r="AL92" s="86"/>
      <c r="AM92" s="75"/>
      <c r="AN92" s="75"/>
      <c r="AO92" s="75"/>
      <c r="AP92" s="75"/>
      <c r="AQ92" s="75"/>
      <c r="AR92" s="75"/>
      <c r="AS92" s="75"/>
      <c r="AT92" s="75"/>
    </row>
    <row r="93" spans="1:46" s="78" customFormat="1" ht="14.25">
      <c r="A93" s="75"/>
      <c r="B93" s="79"/>
      <c r="C93" s="75"/>
      <c r="F93" s="97"/>
      <c r="G93" s="97"/>
      <c r="H93" s="97"/>
      <c r="I93" s="93"/>
      <c r="J93" s="86"/>
      <c r="K93" s="93"/>
      <c r="L93" s="86"/>
      <c r="M93" s="86"/>
      <c r="N93" s="86"/>
      <c r="O93" s="93"/>
      <c r="P93" s="86"/>
      <c r="Q93" s="93"/>
      <c r="R93" s="86"/>
      <c r="S93" s="93"/>
      <c r="T93" s="86"/>
      <c r="U93" s="93"/>
      <c r="V93" s="86"/>
      <c r="W93" s="93"/>
      <c r="X93" s="86"/>
      <c r="Y93" s="93"/>
      <c r="Z93" s="86"/>
      <c r="AA93" s="93"/>
      <c r="AB93" s="86"/>
      <c r="AC93" s="93"/>
      <c r="AD93" s="86"/>
      <c r="AE93" s="93"/>
      <c r="AF93" s="86"/>
      <c r="AG93" s="93"/>
      <c r="AH93" s="86"/>
      <c r="AI93" s="93"/>
      <c r="AJ93" s="86"/>
      <c r="AK93" s="93"/>
      <c r="AL93" s="86"/>
      <c r="AM93" s="75"/>
      <c r="AN93" s="75"/>
      <c r="AO93" s="75"/>
      <c r="AP93" s="75"/>
      <c r="AQ93" s="75"/>
      <c r="AR93" s="75"/>
      <c r="AS93" s="75"/>
      <c r="AT93" s="75"/>
    </row>
    <row r="94" spans="1:46" s="78" customFormat="1" ht="14.25">
      <c r="A94" s="75"/>
      <c r="B94" s="79"/>
      <c r="C94" s="75"/>
      <c r="F94" s="97"/>
      <c r="G94" s="97"/>
      <c r="H94" s="97"/>
      <c r="I94" s="93"/>
      <c r="J94" s="86"/>
      <c r="K94" s="93"/>
      <c r="L94" s="86"/>
      <c r="M94" s="86"/>
      <c r="N94" s="86"/>
      <c r="O94" s="93"/>
      <c r="P94" s="86"/>
      <c r="Q94" s="93"/>
      <c r="R94" s="86"/>
      <c r="S94" s="93"/>
      <c r="T94" s="86"/>
      <c r="U94" s="93"/>
      <c r="V94" s="86"/>
      <c r="W94" s="93"/>
      <c r="X94" s="86"/>
      <c r="Y94" s="93"/>
      <c r="Z94" s="86"/>
      <c r="AA94" s="93"/>
      <c r="AB94" s="86"/>
      <c r="AC94" s="93"/>
      <c r="AD94" s="86"/>
      <c r="AE94" s="93"/>
      <c r="AF94" s="86"/>
      <c r="AG94" s="93"/>
      <c r="AH94" s="86"/>
      <c r="AI94" s="93"/>
      <c r="AJ94" s="86"/>
      <c r="AK94" s="93"/>
      <c r="AL94" s="86"/>
      <c r="AM94" s="75"/>
      <c r="AN94" s="75"/>
      <c r="AO94" s="75"/>
      <c r="AP94" s="75"/>
      <c r="AQ94" s="75"/>
      <c r="AR94" s="75"/>
      <c r="AS94" s="75"/>
      <c r="AT94" s="75"/>
    </row>
    <row r="95" spans="1:46" s="78" customFormat="1" ht="14.25">
      <c r="A95" s="75"/>
      <c r="B95" s="79"/>
      <c r="C95" s="75"/>
      <c r="F95" s="97"/>
      <c r="G95" s="97"/>
      <c r="H95" s="97"/>
      <c r="I95" s="93"/>
      <c r="J95" s="86"/>
      <c r="K95" s="93"/>
      <c r="L95" s="86"/>
      <c r="M95" s="86"/>
      <c r="N95" s="86"/>
      <c r="O95" s="93"/>
      <c r="P95" s="86"/>
      <c r="Q95" s="93"/>
      <c r="R95" s="86"/>
      <c r="S95" s="93"/>
      <c r="T95" s="86"/>
      <c r="U95" s="93"/>
      <c r="V95" s="86"/>
      <c r="W95" s="93"/>
      <c r="X95" s="86"/>
      <c r="Y95" s="93"/>
      <c r="Z95" s="86"/>
      <c r="AA95" s="93"/>
      <c r="AB95" s="86"/>
      <c r="AC95" s="93"/>
      <c r="AD95" s="86"/>
      <c r="AE95" s="93"/>
      <c r="AF95" s="86"/>
      <c r="AG95" s="93"/>
      <c r="AH95" s="86"/>
      <c r="AI95" s="93"/>
      <c r="AJ95" s="86"/>
      <c r="AK95" s="93"/>
      <c r="AL95" s="86"/>
      <c r="AM95" s="75"/>
      <c r="AN95" s="75"/>
      <c r="AO95" s="75"/>
      <c r="AP95" s="75"/>
      <c r="AQ95" s="75"/>
      <c r="AR95" s="75"/>
      <c r="AS95" s="75"/>
      <c r="AT95" s="75"/>
    </row>
    <row r="96" spans="1:46" s="78" customFormat="1" ht="14.25">
      <c r="A96" s="75"/>
      <c r="B96" s="79"/>
      <c r="C96" s="75"/>
      <c r="F96" s="97"/>
      <c r="G96" s="97"/>
      <c r="H96" s="97"/>
      <c r="I96" s="93"/>
      <c r="J96" s="86"/>
      <c r="K96" s="93"/>
      <c r="L96" s="86"/>
      <c r="M96" s="86"/>
      <c r="N96" s="86"/>
      <c r="O96" s="93"/>
      <c r="P96" s="86"/>
      <c r="Q96" s="93"/>
      <c r="R96" s="86"/>
      <c r="S96" s="93"/>
      <c r="T96" s="86"/>
      <c r="U96" s="93"/>
      <c r="V96" s="86"/>
      <c r="W96" s="93"/>
      <c r="X96" s="86"/>
      <c r="Y96" s="93"/>
      <c r="Z96" s="86"/>
      <c r="AA96" s="93"/>
      <c r="AB96" s="86"/>
      <c r="AC96" s="93"/>
      <c r="AD96" s="86"/>
      <c r="AE96" s="93"/>
      <c r="AF96" s="86"/>
      <c r="AG96" s="93"/>
      <c r="AH96" s="86"/>
      <c r="AI96" s="93"/>
      <c r="AJ96" s="86"/>
      <c r="AK96" s="93"/>
      <c r="AL96" s="86"/>
      <c r="AM96" s="75"/>
      <c r="AN96" s="75"/>
      <c r="AO96" s="75"/>
      <c r="AP96" s="75"/>
      <c r="AQ96" s="75"/>
      <c r="AR96" s="75"/>
      <c r="AS96" s="75"/>
      <c r="AT96" s="75"/>
    </row>
    <row r="97" spans="1:46" s="78" customFormat="1" ht="14.25">
      <c r="A97" s="75"/>
      <c r="B97" s="79"/>
      <c r="C97" s="75"/>
      <c r="F97" s="97"/>
      <c r="G97" s="97"/>
      <c r="H97" s="97"/>
      <c r="I97" s="93"/>
      <c r="J97" s="86"/>
      <c r="K97" s="93"/>
      <c r="L97" s="86"/>
      <c r="M97" s="86"/>
      <c r="N97" s="86"/>
      <c r="O97" s="93"/>
      <c r="P97" s="86"/>
      <c r="Q97" s="93"/>
      <c r="R97" s="86"/>
      <c r="S97" s="93"/>
      <c r="T97" s="86"/>
      <c r="U97" s="93"/>
      <c r="V97" s="86"/>
      <c r="W97" s="93"/>
      <c r="X97" s="86"/>
      <c r="Y97" s="93"/>
      <c r="Z97" s="86"/>
      <c r="AA97" s="93"/>
      <c r="AB97" s="86"/>
      <c r="AC97" s="93"/>
      <c r="AD97" s="86"/>
      <c r="AE97" s="93"/>
      <c r="AF97" s="86"/>
      <c r="AG97" s="93"/>
      <c r="AH97" s="86"/>
      <c r="AI97" s="93"/>
      <c r="AJ97" s="86"/>
      <c r="AK97" s="93"/>
      <c r="AL97" s="86"/>
      <c r="AM97" s="75"/>
      <c r="AN97" s="75"/>
      <c r="AO97" s="75"/>
      <c r="AP97" s="75"/>
      <c r="AQ97" s="75"/>
      <c r="AR97" s="75"/>
      <c r="AS97" s="75"/>
      <c r="AT97" s="75"/>
    </row>
    <row r="98" spans="1:46" s="78" customFormat="1" ht="14.25">
      <c r="A98" s="75"/>
      <c r="B98" s="79"/>
      <c r="C98" s="75"/>
      <c r="F98" s="97"/>
      <c r="G98" s="97"/>
      <c r="H98" s="97"/>
      <c r="I98" s="93"/>
      <c r="J98" s="86"/>
      <c r="K98" s="93"/>
      <c r="L98" s="86"/>
      <c r="M98" s="86"/>
      <c r="N98" s="86"/>
      <c r="O98" s="93"/>
      <c r="P98" s="86"/>
      <c r="Q98" s="93"/>
      <c r="R98" s="86"/>
      <c r="S98" s="93"/>
      <c r="T98" s="86"/>
      <c r="U98" s="93"/>
      <c r="V98" s="86"/>
      <c r="W98" s="93"/>
      <c r="X98" s="86"/>
      <c r="Y98" s="93"/>
      <c r="Z98" s="86"/>
      <c r="AA98" s="93"/>
      <c r="AB98" s="86"/>
      <c r="AC98" s="93"/>
      <c r="AD98" s="86"/>
      <c r="AE98" s="93"/>
      <c r="AF98" s="86"/>
      <c r="AG98" s="93"/>
      <c r="AH98" s="86"/>
      <c r="AI98" s="93"/>
      <c r="AJ98" s="86"/>
      <c r="AK98" s="93"/>
      <c r="AL98" s="86"/>
      <c r="AM98" s="75"/>
      <c r="AN98" s="75"/>
      <c r="AO98" s="75"/>
      <c r="AP98" s="75"/>
      <c r="AQ98" s="75"/>
      <c r="AR98" s="75"/>
      <c r="AS98" s="75"/>
      <c r="AT98" s="75"/>
    </row>
    <row r="99" spans="1:46" s="78" customFormat="1" ht="14.25">
      <c r="A99" s="75"/>
      <c r="B99" s="79"/>
      <c r="C99" s="75"/>
      <c r="F99" s="97"/>
      <c r="G99" s="97"/>
      <c r="H99" s="97"/>
      <c r="I99" s="93"/>
      <c r="J99" s="86"/>
      <c r="K99" s="93"/>
      <c r="L99" s="86"/>
      <c r="M99" s="86"/>
      <c r="N99" s="86"/>
      <c r="O99" s="93"/>
      <c r="P99" s="86"/>
      <c r="Q99" s="93"/>
      <c r="R99" s="86"/>
      <c r="S99" s="93"/>
      <c r="T99" s="86"/>
      <c r="U99" s="93"/>
      <c r="V99" s="86"/>
      <c r="W99" s="93"/>
      <c r="X99" s="86"/>
      <c r="Y99" s="93"/>
      <c r="Z99" s="86"/>
      <c r="AA99" s="93"/>
      <c r="AB99" s="86"/>
      <c r="AC99" s="93"/>
      <c r="AD99" s="86"/>
      <c r="AE99" s="93"/>
      <c r="AF99" s="86"/>
      <c r="AG99" s="93"/>
      <c r="AH99" s="86"/>
      <c r="AI99" s="93"/>
      <c r="AJ99" s="86"/>
      <c r="AK99" s="93"/>
      <c r="AL99" s="86"/>
      <c r="AM99" s="75"/>
      <c r="AN99" s="75"/>
      <c r="AO99" s="75"/>
      <c r="AP99" s="75"/>
      <c r="AQ99" s="75"/>
      <c r="AR99" s="75"/>
      <c r="AS99" s="75"/>
      <c r="AT99" s="75"/>
    </row>
    <row r="100" spans="1:46" s="78" customFormat="1" ht="14.25">
      <c r="A100" s="75"/>
      <c r="B100" s="79"/>
      <c r="C100" s="75"/>
      <c r="F100" s="97"/>
      <c r="G100" s="97"/>
      <c r="H100" s="97"/>
      <c r="I100" s="93"/>
      <c r="J100" s="86"/>
      <c r="K100" s="93"/>
      <c r="L100" s="86"/>
      <c r="M100" s="86"/>
      <c r="N100" s="86"/>
      <c r="O100" s="93"/>
      <c r="P100" s="86"/>
      <c r="Q100" s="93"/>
      <c r="R100" s="86"/>
      <c r="S100" s="93"/>
      <c r="T100" s="86"/>
      <c r="U100" s="93"/>
      <c r="V100" s="86"/>
      <c r="W100" s="93"/>
      <c r="X100" s="86"/>
      <c r="Y100" s="93"/>
      <c r="Z100" s="86"/>
      <c r="AA100" s="93"/>
      <c r="AB100" s="86"/>
      <c r="AC100" s="93"/>
      <c r="AD100" s="86"/>
      <c r="AE100" s="93"/>
      <c r="AF100" s="86"/>
      <c r="AG100" s="93"/>
      <c r="AH100" s="86"/>
      <c r="AI100" s="93"/>
      <c r="AJ100" s="86"/>
      <c r="AK100" s="93"/>
      <c r="AL100" s="86"/>
      <c r="AM100" s="75"/>
      <c r="AN100" s="75"/>
      <c r="AO100" s="75"/>
      <c r="AP100" s="75"/>
      <c r="AQ100" s="75"/>
      <c r="AR100" s="75"/>
      <c r="AS100" s="75"/>
      <c r="AT100" s="75"/>
    </row>
    <row r="101" spans="1:46" s="78" customFormat="1" ht="14.25">
      <c r="A101" s="75"/>
      <c r="B101" s="79"/>
      <c r="C101" s="75"/>
      <c r="F101" s="97"/>
      <c r="G101" s="97"/>
      <c r="H101" s="97"/>
      <c r="I101" s="93"/>
      <c r="J101" s="86"/>
      <c r="K101" s="93"/>
      <c r="L101" s="86"/>
      <c r="M101" s="86"/>
      <c r="N101" s="86"/>
      <c r="O101" s="93"/>
      <c r="P101" s="86"/>
      <c r="Q101" s="93"/>
      <c r="R101" s="86"/>
      <c r="S101" s="93"/>
      <c r="T101" s="86"/>
      <c r="U101" s="93"/>
      <c r="V101" s="86"/>
      <c r="W101" s="93"/>
      <c r="X101" s="86"/>
      <c r="Y101" s="93"/>
      <c r="Z101" s="86"/>
      <c r="AA101" s="93"/>
      <c r="AB101" s="86"/>
      <c r="AC101" s="93"/>
      <c r="AD101" s="86"/>
      <c r="AE101" s="93"/>
      <c r="AF101" s="86"/>
      <c r="AG101" s="93"/>
      <c r="AH101" s="86"/>
      <c r="AI101" s="93"/>
      <c r="AJ101" s="86"/>
      <c r="AK101" s="93"/>
      <c r="AL101" s="86"/>
      <c r="AM101" s="75"/>
      <c r="AN101" s="75"/>
      <c r="AO101" s="75"/>
      <c r="AP101" s="75"/>
      <c r="AQ101" s="75"/>
      <c r="AR101" s="75"/>
      <c r="AS101" s="75"/>
      <c r="AT101" s="75"/>
    </row>
    <row r="102" spans="1:46" s="78" customFormat="1" ht="14.25">
      <c r="A102" s="75"/>
      <c r="B102" s="79"/>
      <c r="C102" s="75"/>
      <c r="F102" s="97"/>
      <c r="G102" s="97"/>
      <c r="H102" s="97"/>
      <c r="I102" s="93"/>
      <c r="J102" s="86"/>
      <c r="K102" s="93"/>
      <c r="L102" s="86"/>
      <c r="M102" s="86"/>
      <c r="N102" s="86"/>
      <c r="O102" s="93"/>
      <c r="P102" s="86"/>
      <c r="Q102" s="93"/>
      <c r="R102" s="86"/>
      <c r="S102" s="93"/>
      <c r="T102" s="86"/>
      <c r="U102" s="93"/>
      <c r="V102" s="86"/>
      <c r="W102" s="93"/>
      <c r="X102" s="86"/>
      <c r="Y102" s="93"/>
      <c r="Z102" s="86"/>
      <c r="AA102" s="93"/>
      <c r="AB102" s="86"/>
      <c r="AC102" s="93"/>
      <c r="AD102" s="86"/>
      <c r="AE102" s="93"/>
      <c r="AF102" s="86"/>
      <c r="AG102" s="93"/>
      <c r="AH102" s="86"/>
      <c r="AI102" s="93"/>
      <c r="AJ102" s="86"/>
      <c r="AK102" s="93"/>
      <c r="AL102" s="86"/>
      <c r="AM102" s="75"/>
      <c r="AN102" s="75"/>
      <c r="AO102" s="75"/>
      <c r="AP102" s="75"/>
      <c r="AQ102" s="75"/>
      <c r="AR102" s="75"/>
      <c r="AS102" s="75"/>
      <c r="AT102" s="75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I38" sqref="I38"/>
    </sheetView>
  </sheetViews>
  <sheetFormatPr defaultColWidth="8.85546875" defaultRowHeight="16.5"/>
  <cols>
    <col min="1" max="1" width="0" style="75" hidden="1" customWidth="1"/>
    <col min="2" max="2" width="13.140625" style="75" hidden="1" customWidth="1"/>
    <col min="3" max="3" width="0" style="98" hidden="1" customWidth="1"/>
    <col min="4" max="4" width="17" style="98" customWidth="1"/>
    <col min="5" max="5" width="8.5703125" style="78" customWidth="1"/>
    <col min="6" max="8" width="17.42578125" style="99" customWidth="1"/>
    <col min="9" max="9" width="10.5703125" style="84" customWidth="1"/>
    <col min="10" max="10" width="10.5703125" style="86" customWidth="1"/>
    <col min="11" max="11" width="10.5703125" style="84" customWidth="1"/>
    <col min="12" max="12" width="10.5703125" style="86" customWidth="1"/>
    <col min="13" max="13" width="10.5703125" style="84" customWidth="1"/>
    <col min="14" max="14" width="10.5703125" style="86" customWidth="1"/>
    <col min="15" max="15" width="10.5703125" style="84" customWidth="1"/>
    <col min="16" max="16" width="10.5703125" style="86" customWidth="1"/>
    <col min="17" max="17" width="10.5703125" style="84" customWidth="1"/>
    <col min="18" max="18" width="10.5703125" style="86" customWidth="1"/>
    <col min="19" max="19" width="10.5703125" style="84" customWidth="1"/>
    <col min="20" max="20" width="10.5703125" style="86" customWidth="1"/>
    <col min="21" max="21" width="10.5703125" style="84" customWidth="1"/>
    <col min="22" max="22" width="10.5703125" style="86" customWidth="1"/>
    <col min="23" max="23" width="10.5703125" style="84" customWidth="1"/>
    <col min="24" max="24" width="10.5703125" style="86" customWidth="1"/>
    <col min="25" max="25" width="10.5703125" style="84" customWidth="1"/>
    <col min="26" max="26" width="10.5703125" style="86" customWidth="1"/>
    <col min="27" max="27" width="10.5703125" style="84" customWidth="1"/>
    <col min="28" max="28" width="10.5703125" style="86" customWidth="1"/>
    <col min="29" max="29" width="10.5703125" style="84" customWidth="1"/>
    <col min="30" max="30" width="10.5703125" style="86" customWidth="1"/>
    <col min="31" max="31" width="10.5703125" style="84" customWidth="1"/>
    <col min="32" max="32" width="10.5703125" style="86" customWidth="1"/>
    <col min="33" max="33" width="10.42578125" style="84" customWidth="1"/>
    <col min="34" max="34" width="10.42578125" style="86" customWidth="1"/>
    <col min="35" max="35" width="10.42578125" style="84" customWidth="1"/>
    <col min="36" max="36" width="10.42578125" style="86" customWidth="1"/>
    <col min="37" max="37" width="10.42578125" style="84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462" t="s">
        <v>302</v>
      </c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462"/>
      <c r="AA2" s="462"/>
      <c r="AB2" s="462"/>
      <c r="AC2" s="462"/>
      <c r="AD2" s="462"/>
      <c r="AE2" s="462"/>
      <c r="AF2" s="462"/>
      <c r="AG2" s="462"/>
      <c r="AH2" s="462"/>
      <c r="AI2" s="462"/>
      <c r="AJ2" s="462"/>
      <c r="AK2" s="462"/>
      <c r="AL2" s="462"/>
    </row>
    <row r="3" spans="1:38" ht="25.35" customHeight="1">
      <c r="B3" s="79"/>
      <c r="C3" s="474" t="s">
        <v>139</v>
      </c>
      <c r="D3" s="475" t="s">
        <v>105</v>
      </c>
      <c r="E3" s="475"/>
      <c r="F3" s="483" t="s">
        <v>148</v>
      </c>
      <c r="G3" s="484"/>
      <c r="H3" s="484"/>
      <c r="I3" s="481" t="s">
        <v>300</v>
      </c>
      <c r="J3" s="481"/>
      <c r="K3" s="481"/>
      <c r="L3" s="481"/>
      <c r="M3" s="481"/>
      <c r="N3" s="481"/>
      <c r="O3" s="481"/>
      <c r="P3" s="481"/>
      <c r="Q3" s="481"/>
      <c r="R3" s="481"/>
      <c r="S3" s="481"/>
      <c r="T3" s="481"/>
      <c r="U3" s="481"/>
      <c r="V3" s="481"/>
      <c r="W3" s="481"/>
      <c r="X3" s="481"/>
      <c r="Y3" s="481"/>
      <c r="Z3" s="481"/>
      <c r="AA3" s="481"/>
      <c r="AB3" s="481"/>
      <c r="AC3" s="481"/>
      <c r="AD3" s="481"/>
      <c r="AE3" s="481"/>
      <c r="AF3" s="481"/>
      <c r="AG3" s="481"/>
      <c r="AH3" s="481"/>
      <c r="AI3" s="481"/>
      <c r="AJ3" s="481"/>
      <c r="AK3" s="481"/>
      <c r="AL3" s="481"/>
    </row>
    <row r="4" spans="1:38" ht="25.35" customHeight="1">
      <c r="B4" s="79"/>
      <c r="C4" s="474"/>
      <c r="D4" s="475"/>
      <c r="E4" s="475"/>
      <c r="F4" s="484"/>
      <c r="G4" s="484"/>
      <c r="H4" s="484"/>
      <c r="I4" s="482" t="s">
        <v>140</v>
      </c>
      <c r="J4" s="482"/>
      <c r="K4" s="482"/>
      <c r="L4" s="482"/>
      <c r="M4" s="482"/>
      <c r="N4" s="482"/>
      <c r="O4" s="482" t="s">
        <v>141</v>
      </c>
      <c r="P4" s="482"/>
      <c r="Q4" s="482"/>
      <c r="R4" s="482"/>
      <c r="S4" s="482"/>
      <c r="T4" s="482"/>
      <c r="U4" s="482" t="s">
        <v>142</v>
      </c>
      <c r="V4" s="482"/>
      <c r="W4" s="482" t="s">
        <v>143</v>
      </c>
      <c r="X4" s="482"/>
      <c r="Y4" s="482" t="s">
        <v>134</v>
      </c>
      <c r="Z4" s="482"/>
      <c r="AA4" s="482"/>
      <c r="AB4" s="482"/>
      <c r="AC4" s="482"/>
      <c r="AD4" s="482"/>
      <c r="AE4" s="482" t="s">
        <v>132</v>
      </c>
      <c r="AF4" s="482"/>
      <c r="AG4" s="482" t="s">
        <v>144</v>
      </c>
      <c r="AH4" s="482"/>
      <c r="AI4" s="482" t="s">
        <v>145</v>
      </c>
      <c r="AJ4" s="482"/>
      <c r="AK4" s="482" t="s">
        <v>138</v>
      </c>
      <c r="AL4" s="482"/>
    </row>
    <row r="5" spans="1:38" ht="25.35" customHeight="1">
      <c r="B5" s="79"/>
      <c r="C5" s="474"/>
      <c r="D5" s="475"/>
      <c r="E5" s="475"/>
      <c r="F5" s="480" t="s">
        <v>115</v>
      </c>
      <c r="G5" s="480" t="s">
        <v>117</v>
      </c>
      <c r="H5" s="480" t="s">
        <v>118</v>
      </c>
      <c r="I5" s="482" t="s">
        <v>129</v>
      </c>
      <c r="J5" s="482"/>
      <c r="K5" s="482" t="s">
        <v>130</v>
      </c>
      <c r="L5" s="482"/>
      <c r="M5" s="485" t="s">
        <v>146</v>
      </c>
      <c r="N5" s="482"/>
      <c r="O5" s="482" t="s">
        <v>129</v>
      </c>
      <c r="P5" s="482"/>
      <c r="Q5" s="482" t="s">
        <v>130</v>
      </c>
      <c r="R5" s="482"/>
      <c r="S5" s="485" t="s">
        <v>146</v>
      </c>
      <c r="T5" s="482"/>
      <c r="U5" s="482" t="s">
        <v>129</v>
      </c>
      <c r="V5" s="482"/>
      <c r="W5" s="482" t="s">
        <v>129</v>
      </c>
      <c r="X5" s="482"/>
      <c r="Y5" s="482" t="s">
        <v>129</v>
      </c>
      <c r="Z5" s="482"/>
      <c r="AA5" s="482" t="s">
        <v>130</v>
      </c>
      <c r="AB5" s="482"/>
      <c r="AC5" s="485" t="s">
        <v>146</v>
      </c>
      <c r="AD5" s="482"/>
      <c r="AE5" s="482" t="s">
        <v>129</v>
      </c>
      <c r="AF5" s="482"/>
      <c r="AG5" s="482" t="s">
        <v>129</v>
      </c>
      <c r="AH5" s="482"/>
      <c r="AI5" s="482" t="s">
        <v>129</v>
      </c>
      <c r="AJ5" s="482"/>
      <c r="AK5" s="482" t="s">
        <v>129</v>
      </c>
      <c r="AL5" s="482"/>
    </row>
    <row r="6" spans="1:38" s="78" customFormat="1" ht="23.45" customHeight="1">
      <c r="B6" s="79"/>
      <c r="C6" s="474"/>
      <c r="D6" s="475"/>
      <c r="E6" s="475"/>
      <c r="F6" s="480"/>
      <c r="G6" s="480"/>
      <c r="H6" s="480"/>
      <c r="I6" s="100" t="s">
        <v>149</v>
      </c>
      <c r="J6" s="95" t="s">
        <v>113</v>
      </c>
      <c r="K6" s="100" t="s">
        <v>149</v>
      </c>
      <c r="L6" s="95" t="s">
        <v>113</v>
      </c>
      <c r="M6" s="100" t="s">
        <v>149</v>
      </c>
      <c r="N6" s="95" t="s">
        <v>113</v>
      </c>
      <c r="O6" s="100" t="s">
        <v>149</v>
      </c>
      <c r="P6" s="95" t="s">
        <v>113</v>
      </c>
      <c r="Q6" s="100" t="s">
        <v>149</v>
      </c>
      <c r="R6" s="95" t="s">
        <v>113</v>
      </c>
      <c r="S6" s="100" t="s">
        <v>149</v>
      </c>
      <c r="T6" s="95" t="s">
        <v>113</v>
      </c>
      <c r="U6" s="100" t="s">
        <v>149</v>
      </c>
      <c r="V6" s="95" t="s">
        <v>113</v>
      </c>
      <c r="W6" s="100" t="s">
        <v>149</v>
      </c>
      <c r="X6" s="95" t="s">
        <v>113</v>
      </c>
      <c r="Y6" s="100" t="s">
        <v>149</v>
      </c>
      <c r="Z6" s="95" t="s">
        <v>113</v>
      </c>
      <c r="AA6" s="100" t="s">
        <v>149</v>
      </c>
      <c r="AB6" s="95" t="s">
        <v>113</v>
      </c>
      <c r="AC6" s="100" t="s">
        <v>149</v>
      </c>
      <c r="AD6" s="95" t="s">
        <v>113</v>
      </c>
      <c r="AE6" s="100" t="s">
        <v>149</v>
      </c>
      <c r="AF6" s="95" t="s">
        <v>113</v>
      </c>
      <c r="AG6" s="100" t="s">
        <v>149</v>
      </c>
      <c r="AH6" s="95" t="s">
        <v>113</v>
      </c>
      <c r="AI6" s="100" t="s">
        <v>149</v>
      </c>
      <c r="AJ6" s="95" t="s">
        <v>113</v>
      </c>
      <c r="AK6" s="100" t="s">
        <v>149</v>
      </c>
      <c r="AL6" s="95" t="s">
        <v>113</v>
      </c>
    </row>
    <row r="7" spans="1:38" ht="14.25">
      <c r="B7" s="79"/>
      <c r="C7" s="75"/>
      <c r="D7" s="269">
        <v>46143</v>
      </c>
      <c r="E7" s="269" t="s">
        <v>463</v>
      </c>
      <c r="F7" s="84">
        <f t="shared" ref="F7" si="0">SUM(M7,S7,U7,W7,AC7,AE7,AG7,AI7,AK7)</f>
        <v>219331</v>
      </c>
      <c r="G7" s="271"/>
      <c r="H7" s="84"/>
      <c r="I7" s="212">
        <v>28471</v>
      </c>
      <c r="J7" s="96">
        <f t="shared" ref="J7:J13" si="1">I7/F7</f>
        <v>0.12980837182158472</v>
      </c>
      <c r="K7" s="212">
        <v>38831</v>
      </c>
      <c r="L7" s="96">
        <f t="shared" ref="L7:L13" si="2">K7/F7</f>
        <v>0.17704291686993631</v>
      </c>
      <c r="M7" s="101">
        <f t="shared" ref="M7:M13" si="3">SUM(I7+K7)</f>
        <v>67302</v>
      </c>
      <c r="N7" s="96">
        <f t="shared" ref="N7:N13" si="4">M7/F7</f>
        <v>0.30685128869152101</v>
      </c>
      <c r="O7" s="212">
        <v>4903</v>
      </c>
      <c r="P7" s="96">
        <f t="shared" ref="P7:P13" si="5">O7/F7</f>
        <v>2.2354341155604997E-2</v>
      </c>
      <c r="Q7" s="212"/>
      <c r="R7" s="96">
        <f t="shared" ref="R7:R31" si="6">Q7/F7</f>
        <v>0</v>
      </c>
      <c r="S7" s="101">
        <f t="shared" ref="S7:S31" si="7">SUM(O7+Q7)</f>
        <v>4903</v>
      </c>
      <c r="T7" s="96">
        <f t="shared" ref="T7:T13" si="8">S7/F7</f>
        <v>2.2354341155604997E-2</v>
      </c>
      <c r="U7" s="212">
        <v>24854</v>
      </c>
      <c r="V7" s="96">
        <f t="shared" ref="V7:V13" si="9">U7/F7</f>
        <v>0.11331731492584268</v>
      </c>
      <c r="W7" s="212">
        <v>4292</v>
      </c>
      <c r="X7" s="96">
        <f t="shared" ref="X7:X13" si="10">W7/F7</f>
        <v>1.9568597234317083E-2</v>
      </c>
      <c r="Y7" s="212">
        <v>23756</v>
      </c>
      <c r="Z7" s="96">
        <f t="shared" ref="Z7:Z13" si="11">Y7/F7</f>
        <v>0.10831118264176062</v>
      </c>
      <c r="AA7" s="212">
        <v>19038</v>
      </c>
      <c r="AB7" s="96">
        <f t="shared" ref="AB7:AB31" si="12">AA7/F7</f>
        <v>8.6800315504876185E-2</v>
      </c>
      <c r="AC7" s="101">
        <f t="shared" ref="AC7:AC13" si="13">SUM(Y7+AA7)</f>
        <v>42794</v>
      </c>
      <c r="AD7" s="96">
        <f t="shared" ref="AD7:AD13" si="14">AC7/F7</f>
        <v>0.19511149814663681</v>
      </c>
      <c r="AE7" s="212">
        <v>19290</v>
      </c>
      <c r="AF7" s="96">
        <f t="shared" ref="AF7:AF13" si="15">AE7/F7</f>
        <v>8.7949263897944205E-2</v>
      </c>
      <c r="AG7" s="212">
        <v>16304</v>
      </c>
      <c r="AH7" s="96">
        <f t="shared" ref="AH7:AH13" si="16">AG7/F7</f>
        <v>7.4335137303892296E-2</v>
      </c>
      <c r="AI7" s="212">
        <v>21819</v>
      </c>
      <c r="AJ7" s="96">
        <f t="shared" ref="AJ7:AJ13" si="17">AI7/F7</f>
        <v>9.9479781699805314E-2</v>
      </c>
      <c r="AK7" s="212">
        <v>17773</v>
      </c>
      <c r="AL7" s="96">
        <f t="shared" ref="AL7:AL13" si="18">AK7/F7</f>
        <v>8.1032776944435572E-2</v>
      </c>
    </row>
    <row r="8" spans="1:38" ht="14.25">
      <c r="B8" s="79"/>
      <c r="C8" s="75"/>
      <c r="D8" s="269">
        <f t="shared" ref="D8:D33" si="19">D7+1</f>
        <v>46144</v>
      </c>
      <c r="E8" s="269" t="s">
        <v>464</v>
      </c>
      <c r="F8" s="84">
        <f>SUM(M8,S8,U8,W8,AC8,AE8,AG8,AI8,AK8)</f>
        <v>229419</v>
      </c>
      <c r="G8" s="271">
        <f>SUM(F7:F12)</f>
        <v>1573532</v>
      </c>
      <c r="H8" s="84"/>
      <c r="I8" s="212">
        <v>27609</v>
      </c>
      <c r="J8" s="96">
        <f t="shared" si="1"/>
        <v>0.12034312763982059</v>
      </c>
      <c r="K8" s="212">
        <v>43552</v>
      </c>
      <c r="L8" s="96">
        <f t="shared" si="2"/>
        <v>0.18983606414464366</v>
      </c>
      <c r="M8" s="101">
        <f t="shared" si="3"/>
        <v>71161</v>
      </c>
      <c r="N8" s="96">
        <f t="shared" si="4"/>
        <v>0.31017919178446424</v>
      </c>
      <c r="O8" s="212">
        <v>4631</v>
      </c>
      <c r="P8" s="96">
        <f t="shared" si="5"/>
        <v>2.0185773628165059E-2</v>
      </c>
      <c r="Q8" s="212"/>
      <c r="R8" s="96">
        <f t="shared" si="6"/>
        <v>0</v>
      </c>
      <c r="S8" s="101">
        <f t="shared" si="7"/>
        <v>4631</v>
      </c>
      <c r="T8" s="96">
        <f t="shared" si="8"/>
        <v>2.0185773628165059E-2</v>
      </c>
      <c r="U8" s="212">
        <v>27239</v>
      </c>
      <c r="V8" s="96">
        <f t="shared" si="9"/>
        <v>0.11873035799127361</v>
      </c>
      <c r="W8" s="212">
        <v>4492</v>
      </c>
      <c r="X8" s="96">
        <f t="shared" si="10"/>
        <v>1.9579895300737952E-2</v>
      </c>
      <c r="Y8" s="212">
        <v>25045</v>
      </c>
      <c r="Z8" s="96">
        <f t="shared" si="11"/>
        <v>0.1091670698590788</v>
      </c>
      <c r="AA8" s="212">
        <v>20188</v>
      </c>
      <c r="AB8" s="96">
        <f t="shared" si="12"/>
        <v>8.7996199094233701E-2</v>
      </c>
      <c r="AC8" s="101">
        <f t="shared" si="13"/>
        <v>45233</v>
      </c>
      <c r="AD8" s="96">
        <f t="shared" si="14"/>
        <v>0.19716326895331249</v>
      </c>
      <c r="AE8" s="212">
        <v>20743</v>
      </c>
      <c r="AF8" s="96">
        <f t="shared" si="15"/>
        <v>9.0415353567054171E-2</v>
      </c>
      <c r="AG8" s="212">
        <v>15638</v>
      </c>
      <c r="AH8" s="96">
        <f t="shared" si="16"/>
        <v>6.8163491253993791E-2</v>
      </c>
      <c r="AI8" s="212">
        <v>21664</v>
      </c>
      <c r="AJ8" s="96">
        <f t="shared" si="17"/>
        <v>9.4429842340869763E-2</v>
      </c>
      <c r="AK8" s="212">
        <v>18618</v>
      </c>
      <c r="AL8" s="96">
        <f t="shared" si="18"/>
        <v>8.1152825180128937E-2</v>
      </c>
    </row>
    <row r="9" spans="1:38" ht="14.25">
      <c r="B9" s="79"/>
      <c r="C9" s="75"/>
      <c r="D9" s="269">
        <f t="shared" si="19"/>
        <v>46145</v>
      </c>
      <c r="E9" s="269" t="s">
        <v>465</v>
      </c>
      <c r="F9" s="84">
        <f t="shared" ref="F9:F45" si="20">SUM(M9,S9,U9,W9,AC9,AE9,AG9,AI9,AK9)</f>
        <v>295799</v>
      </c>
      <c r="G9" s="271"/>
      <c r="I9" s="212">
        <v>38373</v>
      </c>
      <c r="J9" s="96">
        <f t="shared" si="1"/>
        <v>0.12972660489048307</v>
      </c>
      <c r="K9" s="212">
        <v>49307</v>
      </c>
      <c r="L9" s="96">
        <f t="shared" si="2"/>
        <v>0.16669089483061134</v>
      </c>
      <c r="M9" s="101">
        <f t="shared" si="3"/>
        <v>87680</v>
      </c>
      <c r="N9" s="96">
        <f t="shared" si="4"/>
        <v>0.29641749972109438</v>
      </c>
      <c r="O9" s="212">
        <v>6712</v>
      </c>
      <c r="P9" s="96">
        <f t="shared" si="5"/>
        <v>2.26910841483575E-2</v>
      </c>
      <c r="Q9" s="212"/>
      <c r="R9" s="96">
        <f t="shared" si="6"/>
        <v>0</v>
      </c>
      <c r="S9" s="101">
        <f t="shared" si="7"/>
        <v>6712</v>
      </c>
      <c r="T9" s="96">
        <f t="shared" si="8"/>
        <v>2.26910841483575E-2</v>
      </c>
      <c r="U9" s="212">
        <v>34951</v>
      </c>
      <c r="V9" s="96">
        <f t="shared" si="9"/>
        <v>0.11815793832974418</v>
      </c>
      <c r="W9" s="212">
        <v>7135</v>
      </c>
      <c r="X9" s="96">
        <f t="shared" si="10"/>
        <v>2.4121109266765608E-2</v>
      </c>
      <c r="Y9" s="212">
        <v>31311</v>
      </c>
      <c r="Z9" s="96">
        <f t="shared" si="11"/>
        <v>0.10585228482854912</v>
      </c>
      <c r="AA9" s="212">
        <v>23240</v>
      </c>
      <c r="AB9" s="96">
        <f t="shared" si="12"/>
        <v>7.8566864661476207E-2</v>
      </c>
      <c r="AC9" s="101">
        <f t="shared" si="13"/>
        <v>54551</v>
      </c>
      <c r="AD9" s="96">
        <f t="shared" si="14"/>
        <v>0.18441914949002533</v>
      </c>
      <c r="AE9" s="212">
        <v>30578</v>
      </c>
      <c r="AF9" s="96">
        <f t="shared" si="15"/>
        <v>0.10337425075811615</v>
      </c>
      <c r="AG9" s="212">
        <v>23463</v>
      </c>
      <c r="AH9" s="96">
        <f t="shared" si="16"/>
        <v>7.9320754972126345E-2</v>
      </c>
      <c r="AI9" s="212">
        <v>28134</v>
      </c>
      <c r="AJ9" s="96">
        <f t="shared" si="17"/>
        <v>9.5111883407313746E-2</v>
      </c>
      <c r="AK9" s="212">
        <v>22595</v>
      </c>
      <c r="AL9" s="96">
        <f t="shared" si="18"/>
        <v>7.6386329906456746E-2</v>
      </c>
    </row>
    <row r="10" spans="1:38" ht="14.25">
      <c r="B10" s="79"/>
      <c r="C10" s="75"/>
      <c r="D10" s="269">
        <f t="shared" si="19"/>
        <v>46146</v>
      </c>
      <c r="E10" s="269" t="s">
        <v>459</v>
      </c>
      <c r="F10" s="84">
        <f t="shared" si="20"/>
        <v>279675</v>
      </c>
      <c r="G10" s="271"/>
      <c r="H10" s="308"/>
      <c r="I10" s="212">
        <v>37151</v>
      </c>
      <c r="J10" s="96">
        <f t="shared" si="1"/>
        <v>0.13283632788057567</v>
      </c>
      <c r="K10" s="212">
        <v>48657</v>
      </c>
      <c r="L10" s="96">
        <f t="shared" si="2"/>
        <v>0.17397693751676052</v>
      </c>
      <c r="M10" s="101">
        <f t="shared" si="3"/>
        <v>85808</v>
      </c>
      <c r="N10" s="96">
        <f t="shared" si="4"/>
        <v>0.30681326539733622</v>
      </c>
      <c r="O10" s="212">
        <v>6348</v>
      </c>
      <c r="P10" s="96">
        <f t="shared" si="5"/>
        <v>2.269777420219898E-2</v>
      </c>
      <c r="Q10" s="212"/>
      <c r="R10" s="96">
        <f t="shared" si="6"/>
        <v>0</v>
      </c>
      <c r="S10" s="101">
        <f t="shared" si="7"/>
        <v>6348</v>
      </c>
      <c r="T10" s="96">
        <f t="shared" si="8"/>
        <v>2.269777420219898E-2</v>
      </c>
      <c r="U10" s="212">
        <v>33798</v>
      </c>
      <c r="V10" s="96">
        <f t="shared" si="9"/>
        <v>0.12084741217484581</v>
      </c>
      <c r="W10" s="212">
        <v>6535</v>
      </c>
      <c r="X10" s="96">
        <f t="shared" si="10"/>
        <v>2.3366407437203897E-2</v>
      </c>
      <c r="Y10" s="212">
        <v>25855</v>
      </c>
      <c r="Z10" s="96">
        <f t="shared" si="11"/>
        <v>9.244658979172253E-2</v>
      </c>
      <c r="AA10" s="212">
        <v>23455</v>
      </c>
      <c r="AB10" s="96">
        <f t="shared" si="12"/>
        <v>8.3865200679359972E-2</v>
      </c>
      <c r="AC10" s="101">
        <f t="shared" si="13"/>
        <v>49310</v>
      </c>
      <c r="AD10" s="96">
        <f t="shared" si="14"/>
        <v>0.1763117904710825</v>
      </c>
      <c r="AE10" s="212">
        <v>28518</v>
      </c>
      <c r="AF10" s="96">
        <f t="shared" si="15"/>
        <v>0.10196835612764817</v>
      </c>
      <c r="AG10" s="212">
        <v>19700</v>
      </c>
      <c r="AH10" s="96">
        <f t="shared" si="16"/>
        <v>7.0438902297309383E-2</v>
      </c>
      <c r="AI10" s="212">
        <v>26592</v>
      </c>
      <c r="AJ10" s="96">
        <f t="shared" si="17"/>
        <v>9.50817913649772E-2</v>
      </c>
      <c r="AK10" s="212">
        <v>23066</v>
      </c>
      <c r="AL10" s="96">
        <f t="shared" si="18"/>
        <v>8.2474300527397876E-2</v>
      </c>
    </row>
    <row r="11" spans="1:38" ht="14.25">
      <c r="B11" s="79"/>
      <c r="C11" s="75"/>
      <c r="D11" s="315">
        <f t="shared" si="19"/>
        <v>46147</v>
      </c>
      <c r="E11" s="315" t="s">
        <v>460</v>
      </c>
      <c r="F11" s="84">
        <f t="shared" si="20"/>
        <v>282734</v>
      </c>
      <c r="G11" s="271"/>
      <c r="H11" s="308"/>
      <c r="I11" s="304">
        <v>35585</v>
      </c>
      <c r="J11" s="305">
        <f t="shared" si="1"/>
        <v>0.12586034930358569</v>
      </c>
      <c r="K11" s="304">
        <v>46807</v>
      </c>
      <c r="L11" s="305">
        <f t="shared" si="2"/>
        <v>0.16555136630189507</v>
      </c>
      <c r="M11" s="306">
        <f t="shared" si="3"/>
        <v>82392</v>
      </c>
      <c r="N11" s="305">
        <f t="shared" si="4"/>
        <v>0.29141171560548079</v>
      </c>
      <c r="O11" s="304">
        <v>6452</v>
      </c>
      <c r="P11" s="305">
        <f t="shared" si="5"/>
        <v>2.2820035793360543E-2</v>
      </c>
      <c r="Q11" s="304"/>
      <c r="R11" s="305">
        <f t="shared" si="6"/>
        <v>0</v>
      </c>
      <c r="S11" s="306">
        <f t="shared" si="7"/>
        <v>6452</v>
      </c>
      <c r="T11" s="305">
        <f t="shared" si="8"/>
        <v>2.2820035793360543E-2</v>
      </c>
      <c r="U11" s="304">
        <v>33290</v>
      </c>
      <c r="V11" s="305">
        <f t="shared" si="9"/>
        <v>0.11774317910120466</v>
      </c>
      <c r="W11" s="304">
        <v>5466</v>
      </c>
      <c r="X11" s="305">
        <f t="shared" si="10"/>
        <v>1.9332658965670914E-2</v>
      </c>
      <c r="Y11" s="304">
        <v>27412</v>
      </c>
      <c r="Z11" s="305">
        <f t="shared" si="11"/>
        <v>9.6953320081772973E-2</v>
      </c>
      <c r="AA11" s="304">
        <v>22943</v>
      </c>
      <c r="AB11" s="305">
        <f t="shared" si="12"/>
        <v>8.114694377046977E-2</v>
      </c>
      <c r="AC11" s="306">
        <f t="shared" si="13"/>
        <v>50355</v>
      </c>
      <c r="AD11" s="305">
        <f t="shared" si="14"/>
        <v>0.17810026385224276</v>
      </c>
      <c r="AE11" s="304">
        <v>28858</v>
      </c>
      <c r="AF11" s="305">
        <f t="shared" si="15"/>
        <v>0.10206766784327319</v>
      </c>
      <c r="AG11" s="304">
        <v>25239</v>
      </c>
      <c r="AH11" s="305">
        <f t="shared" si="16"/>
        <v>8.9267650866185183E-2</v>
      </c>
      <c r="AI11" s="304">
        <v>27375</v>
      </c>
      <c r="AJ11" s="305">
        <f t="shared" si="17"/>
        <v>9.6822455028401255E-2</v>
      </c>
      <c r="AK11" s="304">
        <v>23307</v>
      </c>
      <c r="AL11" s="96">
        <f t="shared" si="18"/>
        <v>8.2434372944180753E-2</v>
      </c>
    </row>
    <row r="12" spans="1:38" ht="14.25">
      <c r="B12" s="79"/>
      <c r="C12" s="75"/>
      <c r="D12" s="315">
        <f t="shared" si="19"/>
        <v>46148</v>
      </c>
      <c r="E12" s="315" t="s">
        <v>461</v>
      </c>
      <c r="F12" s="84">
        <f t="shared" si="20"/>
        <v>266574</v>
      </c>
      <c r="G12" s="271"/>
      <c r="H12" s="308">
        <f>SUM(F7:F37)</f>
        <v>8281649</v>
      </c>
      <c r="I12" s="212">
        <v>35549</v>
      </c>
      <c r="J12" s="96">
        <f t="shared" si="1"/>
        <v>0.1333550908940857</v>
      </c>
      <c r="K12" s="212">
        <v>45934</v>
      </c>
      <c r="L12" s="96">
        <f t="shared" si="2"/>
        <v>0.17231237855154666</v>
      </c>
      <c r="M12" s="101">
        <f t="shared" si="3"/>
        <v>81483</v>
      </c>
      <c r="N12" s="96">
        <f t="shared" si="4"/>
        <v>0.30566746944563233</v>
      </c>
      <c r="O12" s="212">
        <v>6490</v>
      </c>
      <c r="P12" s="96">
        <f t="shared" si="5"/>
        <v>2.4345960221176858E-2</v>
      </c>
      <c r="Q12" s="212"/>
      <c r="R12" s="96">
        <f t="shared" si="6"/>
        <v>0</v>
      </c>
      <c r="S12" s="101">
        <f t="shared" si="7"/>
        <v>6490</v>
      </c>
      <c r="T12" s="96">
        <f t="shared" si="8"/>
        <v>2.4345960221176858E-2</v>
      </c>
      <c r="U12" s="212">
        <v>29309</v>
      </c>
      <c r="V12" s="96">
        <f t="shared" si="9"/>
        <v>0.10994695656740718</v>
      </c>
      <c r="W12" s="212">
        <v>5687</v>
      </c>
      <c r="X12" s="96">
        <f t="shared" si="10"/>
        <v>2.1333663448048198E-2</v>
      </c>
      <c r="Y12" s="212">
        <v>26796</v>
      </c>
      <c r="Z12" s="96">
        <f t="shared" si="11"/>
        <v>0.10051993067590988</v>
      </c>
      <c r="AA12" s="212">
        <v>21197</v>
      </c>
      <c r="AB12" s="96">
        <f t="shared" si="12"/>
        <v>7.9516381942725103E-2</v>
      </c>
      <c r="AC12" s="101">
        <f t="shared" si="13"/>
        <v>47993</v>
      </c>
      <c r="AD12" s="96">
        <f t="shared" si="14"/>
        <v>0.18003631261863498</v>
      </c>
      <c r="AE12" s="212">
        <v>24638</v>
      </c>
      <c r="AF12" s="96">
        <f t="shared" si="15"/>
        <v>9.2424617554600227E-2</v>
      </c>
      <c r="AG12" s="212">
        <v>21677</v>
      </c>
      <c r="AH12" s="96">
        <f t="shared" si="16"/>
        <v>8.1317007660161908E-2</v>
      </c>
      <c r="AI12" s="212">
        <v>26375</v>
      </c>
      <c r="AJ12" s="96">
        <f t="shared" si="17"/>
        <v>9.8940631869574677E-2</v>
      </c>
      <c r="AK12" s="212">
        <v>22922</v>
      </c>
      <c r="AL12" s="305">
        <f t="shared" si="18"/>
        <v>8.5987380614763631E-2</v>
      </c>
    </row>
    <row r="13" spans="1:38" ht="14.25">
      <c r="B13" s="79"/>
      <c r="C13" s="75"/>
      <c r="D13" s="315">
        <f t="shared" si="19"/>
        <v>46149</v>
      </c>
      <c r="E13" s="315" t="s">
        <v>462</v>
      </c>
      <c r="F13" s="84">
        <f t="shared" si="20"/>
        <v>252974</v>
      </c>
      <c r="G13" s="271">
        <f>SUM(F11:F17)</f>
        <v>1847953</v>
      </c>
      <c r="H13" s="308"/>
      <c r="I13" s="212">
        <v>34191</v>
      </c>
      <c r="J13" s="96">
        <f t="shared" si="1"/>
        <v>0.13515618205823524</v>
      </c>
      <c r="K13" s="212">
        <v>42537</v>
      </c>
      <c r="L13" s="96">
        <f t="shared" si="2"/>
        <v>0.16814771478491861</v>
      </c>
      <c r="M13" s="101">
        <f t="shared" si="3"/>
        <v>76728</v>
      </c>
      <c r="N13" s="96">
        <f t="shared" si="4"/>
        <v>0.30330389684315384</v>
      </c>
      <c r="O13" s="212">
        <v>6454</v>
      </c>
      <c r="P13" s="96">
        <f t="shared" si="5"/>
        <v>2.551250326120471E-2</v>
      </c>
      <c r="Q13" s="212"/>
      <c r="R13" s="96">
        <f t="shared" si="6"/>
        <v>0</v>
      </c>
      <c r="S13" s="101">
        <f t="shared" si="7"/>
        <v>6454</v>
      </c>
      <c r="T13" s="96">
        <f t="shared" si="8"/>
        <v>2.551250326120471E-2</v>
      </c>
      <c r="U13" s="212">
        <v>28692</v>
      </c>
      <c r="V13" s="96">
        <f t="shared" si="9"/>
        <v>0.11341877030841115</v>
      </c>
      <c r="W13" s="212">
        <v>5622</v>
      </c>
      <c r="X13" s="96">
        <f t="shared" si="10"/>
        <v>2.2223627724588298E-2</v>
      </c>
      <c r="Y13" s="212">
        <v>26371</v>
      </c>
      <c r="Z13" s="96">
        <f t="shared" si="11"/>
        <v>0.10424391439436465</v>
      </c>
      <c r="AA13" s="212">
        <v>18802</v>
      </c>
      <c r="AB13" s="96">
        <f t="shared" si="12"/>
        <v>7.4323843557045383E-2</v>
      </c>
      <c r="AC13" s="101">
        <f t="shared" si="13"/>
        <v>45173</v>
      </c>
      <c r="AD13" s="96">
        <f t="shared" si="14"/>
        <v>0.17856775795141003</v>
      </c>
      <c r="AE13" s="212">
        <v>22793</v>
      </c>
      <c r="AF13" s="96">
        <f t="shared" si="15"/>
        <v>9.0100168396752237E-2</v>
      </c>
      <c r="AG13" s="212">
        <v>20562</v>
      </c>
      <c r="AH13" s="96">
        <f t="shared" si="16"/>
        <v>8.1281080269118566E-2</v>
      </c>
      <c r="AI13" s="212">
        <v>24977</v>
      </c>
      <c r="AJ13" s="96">
        <f t="shared" si="17"/>
        <v>9.8733466680370321E-2</v>
      </c>
      <c r="AK13" s="212">
        <v>21973</v>
      </c>
      <c r="AL13" s="96">
        <f t="shared" si="18"/>
        <v>8.685872856499087E-2</v>
      </c>
    </row>
    <row r="14" spans="1:38" ht="14.25">
      <c r="B14" s="79"/>
      <c r="C14" s="75"/>
      <c r="D14" s="315">
        <f t="shared" si="19"/>
        <v>46150</v>
      </c>
      <c r="E14" s="315" t="s">
        <v>463</v>
      </c>
      <c r="F14" s="84">
        <f t="shared" si="20"/>
        <v>235604</v>
      </c>
      <c r="G14" s="271"/>
      <c r="H14" s="308"/>
      <c r="I14" s="212">
        <v>30930</v>
      </c>
      <c r="J14" s="96">
        <f>I14/F14</f>
        <v>0.13127960476053038</v>
      </c>
      <c r="K14" s="212">
        <v>40532</v>
      </c>
      <c r="L14" s="96">
        <f>K14/F14</f>
        <v>0.1720344306548276</v>
      </c>
      <c r="M14" s="101">
        <f>SUM(I14+K14)</f>
        <v>71462</v>
      </c>
      <c r="N14" s="96">
        <f>M14/F14</f>
        <v>0.30331403541535795</v>
      </c>
      <c r="O14" s="212">
        <v>5469</v>
      </c>
      <c r="P14" s="96">
        <f>O14/F14</f>
        <v>2.3212678901886215E-2</v>
      </c>
      <c r="Q14" s="212"/>
      <c r="R14" s="96">
        <f t="shared" si="6"/>
        <v>0</v>
      </c>
      <c r="S14" s="101">
        <f t="shared" si="7"/>
        <v>5469</v>
      </c>
      <c r="T14" s="96">
        <f>S14/F14</f>
        <v>2.3212678901886215E-2</v>
      </c>
      <c r="U14" s="212">
        <v>25961</v>
      </c>
      <c r="V14" s="96">
        <f>U14/F14</f>
        <v>0.11018913091458549</v>
      </c>
      <c r="W14" s="212">
        <v>5266</v>
      </c>
      <c r="X14" s="96">
        <f>W14/F14</f>
        <v>2.2351063649174038E-2</v>
      </c>
      <c r="Y14" s="212">
        <v>24143</v>
      </c>
      <c r="Z14" s="96">
        <f>Y14/F14</f>
        <v>0.10247279333118284</v>
      </c>
      <c r="AA14" s="212">
        <v>19100</v>
      </c>
      <c r="AB14" s="96">
        <f t="shared" si="12"/>
        <v>8.1068233136958628E-2</v>
      </c>
      <c r="AC14" s="101">
        <f>SUM(Y14+AA14)</f>
        <v>43243</v>
      </c>
      <c r="AD14" s="96">
        <f>AC14/F14</f>
        <v>0.18354102646814147</v>
      </c>
      <c r="AE14" s="212">
        <v>20900</v>
      </c>
      <c r="AF14" s="96">
        <f>AE14/F14</f>
        <v>8.8708171338347394E-2</v>
      </c>
      <c r="AG14" s="212">
        <v>17516</v>
      </c>
      <c r="AH14" s="96">
        <f>AG14/F14</f>
        <v>7.4345087519736508E-2</v>
      </c>
      <c r="AI14" s="212">
        <v>26557</v>
      </c>
      <c r="AJ14" s="96">
        <f>AI14/F14</f>
        <v>0.11271879934126755</v>
      </c>
      <c r="AK14" s="212">
        <v>19230</v>
      </c>
      <c r="AL14" s="96">
        <f>AK14/F14</f>
        <v>8.1620006451503371E-2</v>
      </c>
    </row>
    <row r="15" spans="1:38" ht="14.25">
      <c r="B15" s="79"/>
      <c r="C15" s="75"/>
      <c r="D15" s="315">
        <f t="shared" si="19"/>
        <v>46151</v>
      </c>
      <c r="E15" s="315" t="s">
        <v>464</v>
      </c>
      <c r="F15" s="84">
        <f t="shared" si="20"/>
        <v>240874</v>
      </c>
      <c r="G15" s="271"/>
      <c r="H15" s="308"/>
      <c r="I15" s="212">
        <v>28378</v>
      </c>
      <c r="J15" s="96">
        <f t="shared" ref="J15:J31" si="21">I15/F15</f>
        <v>0.11781263233059608</v>
      </c>
      <c r="K15" s="212">
        <v>44496</v>
      </c>
      <c r="L15" s="96">
        <f t="shared" ref="L15:L31" si="22">K15/F15</f>
        <v>0.18472728480450359</v>
      </c>
      <c r="M15" s="101">
        <f t="shared" ref="M15:M31" si="23">SUM(I15+K15)</f>
        <v>72874</v>
      </c>
      <c r="N15" s="96">
        <f t="shared" ref="N15:N31" si="24">M15/F15</f>
        <v>0.3025399171350997</v>
      </c>
      <c r="O15" s="212">
        <v>5489</v>
      </c>
      <c r="P15" s="96">
        <f t="shared" ref="P15:P31" si="25">O15/F15</f>
        <v>2.27878475883657E-2</v>
      </c>
      <c r="Q15" s="212"/>
      <c r="R15" s="96">
        <f t="shared" si="6"/>
        <v>0</v>
      </c>
      <c r="S15" s="101">
        <f t="shared" si="7"/>
        <v>5489</v>
      </c>
      <c r="T15" s="96">
        <f t="shared" ref="T15:T31" si="26">S15/F15</f>
        <v>2.27878475883657E-2</v>
      </c>
      <c r="U15" s="212">
        <v>28245</v>
      </c>
      <c r="V15" s="96">
        <f t="shared" ref="V15:V31" si="27">U15/F15</f>
        <v>0.11726047643166136</v>
      </c>
      <c r="W15" s="212">
        <v>3977</v>
      </c>
      <c r="X15" s="96">
        <f t="shared" ref="X15:X31" si="28">W15/F15</f>
        <v>1.6510706842581598E-2</v>
      </c>
      <c r="Y15" s="212">
        <v>23988</v>
      </c>
      <c r="Z15" s="96">
        <f t="shared" ref="Z15:Z31" si="29">Y15/F15</f>
        <v>9.9587336117638273E-2</v>
      </c>
      <c r="AA15" s="212">
        <v>19285</v>
      </c>
      <c r="AB15" s="96">
        <f t="shared" si="12"/>
        <v>8.0062605345533347E-2</v>
      </c>
      <c r="AC15" s="101">
        <f t="shared" ref="AC15:AC31" si="30">SUM(Y15+AA15)</f>
        <v>43273</v>
      </c>
      <c r="AD15" s="96">
        <f t="shared" ref="AD15:AD31" si="31">AC15/F15</f>
        <v>0.17964994146317162</v>
      </c>
      <c r="AE15" s="212">
        <v>23009</v>
      </c>
      <c r="AF15" s="96">
        <f t="shared" ref="AF15:AF31" si="32">AE15/F15</f>
        <v>9.5522970515705311E-2</v>
      </c>
      <c r="AG15" s="212">
        <v>16592</v>
      </c>
      <c r="AH15" s="96">
        <f t="shared" ref="AH15:AH31" si="33">AG15/F15</f>
        <v>6.8882486279133487E-2</v>
      </c>
      <c r="AI15" s="212">
        <v>27456</v>
      </c>
      <c r="AJ15" s="96">
        <f t="shared" ref="AJ15:AJ31" si="34">AI15/F15</f>
        <v>0.11398490497106371</v>
      </c>
      <c r="AK15" s="212">
        <v>19959</v>
      </c>
      <c r="AL15" s="96">
        <f t="shared" ref="AL15" si="35">AK15/F15</f>
        <v>8.286074877321753E-2</v>
      </c>
    </row>
    <row r="16" spans="1:38" ht="14.25">
      <c r="B16" s="79"/>
      <c r="C16" s="75"/>
      <c r="D16" s="315">
        <f t="shared" si="19"/>
        <v>46152</v>
      </c>
      <c r="E16" s="315" t="s">
        <v>465</v>
      </c>
      <c r="F16" s="84">
        <f t="shared" si="20"/>
        <v>285334</v>
      </c>
      <c r="G16" s="271"/>
      <c r="H16" s="308"/>
      <c r="I16" s="212">
        <v>35476</v>
      </c>
      <c r="J16" s="96">
        <f t="shared" si="21"/>
        <v>0.12433148520681027</v>
      </c>
      <c r="K16" s="212">
        <v>47910</v>
      </c>
      <c r="L16" s="96">
        <f t="shared" si="22"/>
        <v>0.16790848619512572</v>
      </c>
      <c r="M16" s="101">
        <f t="shared" si="23"/>
        <v>83386</v>
      </c>
      <c r="N16" s="96">
        <f t="shared" si="24"/>
        <v>0.29223997140193597</v>
      </c>
      <c r="O16" s="212">
        <v>6568</v>
      </c>
      <c r="P16" s="96">
        <f t="shared" si="25"/>
        <v>2.3018637806921011E-2</v>
      </c>
      <c r="Q16" s="212"/>
      <c r="R16" s="96">
        <f t="shared" si="6"/>
        <v>0</v>
      </c>
      <c r="S16" s="101">
        <f t="shared" si="7"/>
        <v>6568</v>
      </c>
      <c r="T16" s="96">
        <f t="shared" si="26"/>
        <v>2.3018637806921011E-2</v>
      </c>
      <c r="U16" s="212">
        <v>34850</v>
      </c>
      <c r="V16" s="96">
        <f t="shared" si="27"/>
        <v>0.12213756509914696</v>
      </c>
      <c r="W16" s="212">
        <v>5430</v>
      </c>
      <c r="X16" s="96">
        <f t="shared" si="28"/>
        <v>1.9030329368389325E-2</v>
      </c>
      <c r="Y16" s="212">
        <v>27630</v>
      </c>
      <c r="Z16" s="96">
        <f t="shared" si="29"/>
        <v>9.683388590213575E-2</v>
      </c>
      <c r="AA16" s="212">
        <v>21199</v>
      </c>
      <c r="AB16" s="96">
        <f t="shared" si="12"/>
        <v>7.4295387160310367E-2</v>
      </c>
      <c r="AC16" s="101">
        <f t="shared" si="30"/>
        <v>48829</v>
      </c>
      <c r="AD16" s="96">
        <f t="shared" si="31"/>
        <v>0.1711292730624461</v>
      </c>
      <c r="AE16" s="212">
        <v>28296</v>
      </c>
      <c r="AF16" s="96">
        <f t="shared" si="32"/>
        <v>9.9167992598148139E-2</v>
      </c>
      <c r="AG16" s="212">
        <v>23035</v>
      </c>
      <c r="AH16" s="96">
        <f t="shared" si="33"/>
        <v>8.0729951565533725E-2</v>
      </c>
      <c r="AI16" s="212">
        <v>32873</v>
      </c>
      <c r="AJ16" s="96">
        <f t="shared" si="34"/>
        <v>0.11520884296999306</v>
      </c>
      <c r="AK16" s="212">
        <v>22067</v>
      </c>
      <c r="AL16" s="96">
        <f t="shared" ref="AL16:AL41" si="36">AK16/F16</f>
        <v>7.7337436127485684E-2</v>
      </c>
    </row>
    <row r="17" spans="2:38" ht="14.25">
      <c r="B17" s="79"/>
      <c r="C17" s="75"/>
      <c r="D17" s="315">
        <f t="shared" si="19"/>
        <v>46153</v>
      </c>
      <c r="E17" s="315" t="s">
        <v>459</v>
      </c>
      <c r="F17" s="84">
        <f t="shared" si="20"/>
        <v>283859</v>
      </c>
      <c r="G17" s="271"/>
      <c r="H17" s="308"/>
      <c r="I17" s="212">
        <v>35092</v>
      </c>
      <c r="J17" s="96">
        <f t="shared" si="21"/>
        <v>0.1236247573619297</v>
      </c>
      <c r="K17" s="212">
        <v>47671</v>
      </c>
      <c r="L17" s="96">
        <f t="shared" si="22"/>
        <v>0.16793901197425481</v>
      </c>
      <c r="M17" s="101">
        <f t="shared" si="23"/>
        <v>82763</v>
      </c>
      <c r="N17" s="96">
        <f t="shared" si="24"/>
        <v>0.2915637693361845</v>
      </c>
      <c r="O17" s="212">
        <v>6302</v>
      </c>
      <c r="P17" s="96">
        <f t="shared" si="25"/>
        <v>2.2201163253587168E-2</v>
      </c>
      <c r="Q17" s="212"/>
      <c r="R17" s="96">
        <f t="shared" si="6"/>
        <v>0</v>
      </c>
      <c r="S17" s="101">
        <f t="shared" si="7"/>
        <v>6302</v>
      </c>
      <c r="T17" s="96">
        <f t="shared" si="26"/>
        <v>2.2201163253587168E-2</v>
      </c>
      <c r="U17" s="212">
        <v>33788</v>
      </c>
      <c r="V17" s="96">
        <f t="shared" si="27"/>
        <v>0.11903092732659525</v>
      </c>
      <c r="W17" s="212">
        <v>5415</v>
      </c>
      <c r="X17" s="96">
        <f t="shared" si="28"/>
        <v>1.9076372424337434E-2</v>
      </c>
      <c r="Y17" s="212">
        <v>25499</v>
      </c>
      <c r="Z17" s="96">
        <f t="shared" si="29"/>
        <v>8.9829809870393393E-2</v>
      </c>
      <c r="AA17" s="212">
        <v>25029</v>
      </c>
      <c r="AB17" s="96">
        <f t="shared" si="12"/>
        <v>8.8174058247228376E-2</v>
      </c>
      <c r="AC17" s="101">
        <f t="shared" si="30"/>
        <v>50528</v>
      </c>
      <c r="AD17" s="96">
        <f t="shared" si="31"/>
        <v>0.17800386811762178</v>
      </c>
      <c r="AE17" s="212">
        <v>27405</v>
      </c>
      <c r="AF17" s="96">
        <f t="shared" si="32"/>
        <v>9.6544411133696661E-2</v>
      </c>
      <c r="AG17" s="212">
        <v>21043</v>
      </c>
      <c r="AH17" s="96">
        <f t="shared" si="33"/>
        <v>7.4131875332471397E-2</v>
      </c>
      <c r="AI17" s="212">
        <v>29116</v>
      </c>
      <c r="AJ17" s="96">
        <f t="shared" si="34"/>
        <v>0.10257205161717613</v>
      </c>
      <c r="AK17" s="212">
        <v>27499</v>
      </c>
      <c r="AL17" s="96">
        <f t="shared" si="36"/>
        <v>9.6875561458329665E-2</v>
      </c>
    </row>
    <row r="18" spans="2:38" ht="14.25">
      <c r="B18" s="79"/>
      <c r="C18" s="75"/>
      <c r="D18" s="269">
        <f t="shared" si="19"/>
        <v>46154</v>
      </c>
      <c r="E18" s="269" t="s">
        <v>460</v>
      </c>
      <c r="F18" s="84">
        <f t="shared" si="20"/>
        <v>303421</v>
      </c>
      <c r="G18" s="271"/>
      <c r="H18" s="308"/>
      <c r="I18" s="212">
        <v>38530</v>
      </c>
      <c r="J18" s="96">
        <f t="shared" si="21"/>
        <v>0.12698527788122774</v>
      </c>
      <c r="K18" s="212">
        <v>47365</v>
      </c>
      <c r="L18" s="96">
        <f t="shared" si="22"/>
        <v>0.15610323609769924</v>
      </c>
      <c r="M18" s="101">
        <f t="shared" si="23"/>
        <v>85895</v>
      </c>
      <c r="N18" s="96">
        <f t="shared" si="24"/>
        <v>0.28308851397892698</v>
      </c>
      <c r="O18" s="212">
        <v>5371</v>
      </c>
      <c r="P18" s="96">
        <f t="shared" si="25"/>
        <v>1.7701477485078488E-2</v>
      </c>
      <c r="Q18" s="212"/>
      <c r="R18" s="96">
        <f t="shared" si="6"/>
        <v>0</v>
      </c>
      <c r="S18" s="101">
        <f t="shared" si="7"/>
        <v>5371</v>
      </c>
      <c r="T18" s="96">
        <f t="shared" si="26"/>
        <v>1.7701477485078488E-2</v>
      </c>
      <c r="U18" s="212">
        <v>33206</v>
      </c>
      <c r="V18" s="96">
        <f t="shared" si="27"/>
        <v>0.10943870068320914</v>
      </c>
      <c r="W18" s="212">
        <v>5366</v>
      </c>
      <c r="X18" s="96">
        <f t="shared" si="28"/>
        <v>1.7684998731135947E-2</v>
      </c>
      <c r="Y18" s="212">
        <v>28725</v>
      </c>
      <c r="Z18" s="96">
        <f t="shared" si="29"/>
        <v>9.4670441399903105E-2</v>
      </c>
      <c r="AA18" s="212">
        <v>23237</v>
      </c>
      <c r="AB18" s="96">
        <f t="shared" si="12"/>
        <v>7.6583361072569134E-2</v>
      </c>
      <c r="AC18" s="101">
        <f t="shared" si="30"/>
        <v>51962</v>
      </c>
      <c r="AD18" s="96">
        <f t="shared" si="31"/>
        <v>0.17125380247247224</v>
      </c>
      <c r="AE18" s="212">
        <v>29823</v>
      </c>
      <c r="AF18" s="96">
        <f t="shared" si="32"/>
        <v>9.8289175765685299E-2</v>
      </c>
      <c r="AG18" s="212">
        <v>19448</v>
      </c>
      <c r="AH18" s="96">
        <f t="shared" si="33"/>
        <v>6.4095761334910906E-2</v>
      </c>
      <c r="AI18" s="212">
        <v>27315</v>
      </c>
      <c r="AJ18" s="96">
        <f t="shared" si="34"/>
        <v>9.0023432788106289E-2</v>
      </c>
      <c r="AK18" s="212">
        <v>45035</v>
      </c>
      <c r="AL18" s="96">
        <f t="shared" si="36"/>
        <v>0.14842413676047472</v>
      </c>
    </row>
    <row r="19" spans="2:38" ht="14.25">
      <c r="B19" s="79"/>
      <c r="C19" s="75"/>
      <c r="D19" s="269">
        <f t="shared" si="19"/>
        <v>46155</v>
      </c>
      <c r="E19" s="269" t="s">
        <v>461</v>
      </c>
      <c r="F19" s="84">
        <f t="shared" si="20"/>
        <v>283533</v>
      </c>
      <c r="G19" s="271"/>
      <c r="H19" s="308"/>
      <c r="I19" s="212">
        <v>37699</v>
      </c>
      <c r="J19" s="96">
        <f t="shared" si="21"/>
        <v>0.13296159529931259</v>
      </c>
      <c r="K19" s="212">
        <v>47075</v>
      </c>
      <c r="L19" s="96">
        <f t="shared" si="22"/>
        <v>0.16603005646609037</v>
      </c>
      <c r="M19" s="101">
        <f t="shared" si="23"/>
        <v>84774</v>
      </c>
      <c r="N19" s="96">
        <f t="shared" si="24"/>
        <v>0.29899165176540299</v>
      </c>
      <c r="O19" s="212">
        <v>5543</v>
      </c>
      <c r="P19" s="96">
        <f t="shared" si="25"/>
        <v>1.9549752586118723E-2</v>
      </c>
      <c r="Q19" s="212"/>
      <c r="R19" s="96">
        <f t="shared" si="6"/>
        <v>0</v>
      </c>
      <c r="S19" s="101">
        <f t="shared" si="7"/>
        <v>5543</v>
      </c>
      <c r="T19" s="96">
        <f t="shared" si="26"/>
        <v>1.9549752586118723E-2</v>
      </c>
      <c r="U19" s="212">
        <v>30524</v>
      </c>
      <c r="V19" s="96">
        <f t="shared" si="27"/>
        <v>0.10765589896061481</v>
      </c>
      <c r="W19" s="212">
        <v>5452</v>
      </c>
      <c r="X19" s="96">
        <f t="shared" si="28"/>
        <v>1.9228802291091338E-2</v>
      </c>
      <c r="Y19" s="212">
        <v>28245</v>
      </c>
      <c r="Z19" s="96">
        <f t="shared" si="29"/>
        <v>9.9618033879654219E-2</v>
      </c>
      <c r="AA19" s="212">
        <v>20273</v>
      </c>
      <c r="AB19" s="96">
        <f t="shared" si="12"/>
        <v>7.1501377264727564E-2</v>
      </c>
      <c r="AC19" s="101">
        <f t="shared" si="30"/>
        <v>48518</v>
      </c>
      <c r="AD19" s="96">
        <f t="shared" si="31"/>
        <v>0.17111941114438178</v>
      </c>
      <c r="AE19" s="212">
        <v>28483</v>
      </c>
      <c r="AF19" s="96">
        <f t="shared" si="32"/>
        <v>0.100457442343572</v>
      </c>
      <c r="AG19" s="212">
        <v>19922</v>
      </c>
      <c r="AH19" s="96">
        <f t="shared" si="33"/>
        <v>7.0263426126764783E-2</v>
      </c>
      <c r="AI19" s="212">
        <v>27929</v>
      </c>
      <c r="AJ19" s="96">
        <f t="shared" si="34"/>
        <v>9.8503525162855821E-2</v>
      </c>
      <c r="AK19" s="212">
        <v>32388</v>
      </c>
      <c r="AL19" s="96">
        <f t="shared" si="36"/>
        <v>0.11423008961919777</v>
      </c>
    </row>
    <row r="20" spans="2:38" ht="14.25">
      <c r="B20" s="79"/>
      <c r="C20" s="75"/>
      <c r="D20" s="269">
        <f t="shared" si="19"/>
        <v>46156</v>
      </c>
      <c r="E20" s="269" t="s">
        <v>462</v>
      </c>
      <c r="F20" s="84">
        <f t="shared" si="20"/>
        <v>262582</v>
      </c>
      <c r="G20" s="271">
        <f>SUM(F18:F24)</f>
        <v>1900260</v>
      </c>
      <c r="H20" s="308"/>
      <c r="I20" s="212">
        <v>36677</v>
      </c>
      <c r="J20" s="96">
        <f t="shared" si="21"/>
        <v>0.13967827193029225</v>
      </c>
      <c r="K20" s="212">
        <v>43262</v>
      </c>
      <c r="L20" s="96">
        <f t="shared" si="22"/>
        <v>0.16475615236383301</v>
      </c>
      <c r="M20" s="101">
        <f t="shared" si="23"/>
        <v>79939</v>
      </c>
      <c r="N20" s="96">
        <f t="shared" si="24"/>
        <v>0.30443442429412526</v>
      </c>
      <c r="O20" s="212">
        <v>5450</v>
      </c>
      <c r="P20" s="96">
        <f t="shared" si="25"/>
        <v>2.0755421163674584E-2</v>
      </c>
      <c r="Q20" s="212"/>
      <c r="R20" s="96">
        <f t="shared" si="6"/>
        <v>0</v>
      </c>
      <c r="S20" s="101">
        <f t="shared" si="7"/>
        <v>5450</v>
      </c>
      <c r="T20" s="96">
        <f t="shared" si="26"/>
        <v>2.0755421163674584E-2</v>
      </c>
      <c r="U20" s="212">
        <v>29248</v>
      </c>
      <c r="V20" s="96">
        <f t="shared" si="27"/>
        <v>0.11138615746700078</v>
      </c>
      <c r="W20" s="212">
        <v>4963</v>
      </c>
      <c r="X20" s="96">
        <f t="shared" si="28"/>
        <v>1.8900762428498526E-2</v>
      </c>
      <c r="Y20" s="212">
        <v>26549</v>
      </c>
      <c r="Z20" s="96">
        <f t="shared" si="29"/>
        <v>0.10110746357328378</v>
      </c>
      <c r="AA20" s="212">
        <v>15094</v>
      </c>
      <c r="AB20" s="96">
        <f t="shared" si="12"/>
        <v>5.7482995787982417E-2</v>
      </c>
      <c r="AC20" s="101">
        <f t="shared" si="30"/>
        <v>41643</v>
      </c>
      <c r="AD20" s="96">
        <f t="shared" si="31"/>
        <v>0.1585904593612662</v>
      </c>
      <c r="AE20" s="212">
        <v>26356</v>
      </c>
      <c r="AF20" s="96">
        <f t="shared" si="32"/>
        <v>0.1003724550806986</v>
      </c>
      <c r="AG20" s="212">
        <v>18659</v>
      </c>
      <c r="AH20" s="96">
        <f t="shared" si="33"/>
        <v>7.1059707062936531E-2</v>
      </c>
      <c r="AI20" s="212">
        <v>25923</v>
      </c>
      <c r="AJ20" s="96">
        <f t="shared" si="34"/>
        <v>9.8723446390080058E-2</v>
      </c>
      <c r="AK20" s="212">
        <v>30401</v>
      </c>
      <c r="AL20" s="96">
        <f t="shared" si="36"/>
        <v>0.11577716675171947</v>
      </c>
    </row>
    <row r="21" spans="2:38" ht="14.25">
      <c r="B21" s="79"/>
      <c r="C21" s="75"/>
      <c r="D21" s="269">
        <f t="shared" si="19"/>
        <v>46157</v>
      </c>
      <c r="E21" s="269" t="s">
        <v>463</v>
      </c>
      <c r="F21" s="84">
        <f t="shared" si="20"/>
        <v>233211</v>
      </c>
      <c r="G21" s="271"/>
      <c r="H21" s="308"/>
      <c r="I21" s="212">
        <v>31505</v>
      </c>
      <c r="J21" s="96">
        <f t="shared" si="21"/>
        <v>0.13509225551110368</v>
      </c>
      <c r="K21" s="212">
        <v>39418</v>
      </c>
      <c r="L21" s="96">
        <f t="shared" si="22"/>
        <v>0.16902290200719519</v>
      </c>
      <c r="M21" s="101">
        <f t="shared" si="23"/>
        <v>70923</v>
      </c>
      <c r="N21" s="96">
        <f t="shared" si="24"/>
        <v>0.30411515751829887</v>
      </c>
      <c r="O21" s="212">
        <v>4439</v>
      </c>
      <c r="P21" s="96">
        <f t="shared" si="25"/>
        <v>1.9034265107563536E-2</v>
      </c>
      <c r="Q21" s="212"/>
      <c r="R21" s="96">
        <f t="shared" si="6"/>
        <v>0</v>
      </c>
      <c r="S21" s="101">
        <f t="shared" si="7"/>
        <v>4439</v>
      </c>
      <c r="T21" s="96">
        <f t="shared" si="26"/>
        <v>1.9034265107563536E-2</v>
      </c>
      <c r="U21" s="212">
        <v>25752</v>
      </c>
      <c r="V21" s="96">
        <f t="shared" si="27"/>
        <v>0.11042360780580676</v>
      </c>
      <c r="W21" s="212">
        <v>3171</v>
      </c>
      <c r="X21" s="96">
        <f t="shared" si="28"/>
        <v>1.3597128780374853E-2</v>
      </c>
      <c r="Y21" s="212">
        <v>23725</v>
      </c>
      <c r="Z21" s="96">
        <f t="shared" si="29"/>
        <v>0.10173190801463053</v>
      </c>
      <c r="AA21" s="212">
        <v>16355</v>
      </c>
      <c r="AB21" s="96">
        <f t="shared" si="12"/>
        <v>7.0129625103447099E-2</v>
      </c>
      <c r="AC21" s="101">
        <f t="shared" si="30"/>
        <v>40080</v>
      </c>
      <c r="AD21" s="96">
        <f t="shared" si="31"/>
        <v>0.17186153311807761</v>
      </c>
      <c r="AE21" s="212">
        <v>21694</v>
      </c>
      <c r="AF21" s="96">
        <f t="shared" si="32"/>
        <v>9.3023056373841714E-2</v>
      </c>
      <c r="AG21" s="212">
        <v>15895</v>
      </c>
      <c r="AH21" s="96">
        <f t="shared" si="33"/>
        <v>6.8157162398000098E-2</v>
      </c>
      <c r="AI21" s="212">
        <v>25267</v>
      </c>
      <c r="AJ21" s="96">
        <f t="shared" si="34"/>
        <v>0.10834394604028112</v>
      </c>
      <c r="AK21" s="212">
        <v>25990</v>
      </c>
      <c r="AL21" s="96">
        <f t="shared" si="36"/>
        <v>0.11144414285775542</v>
      </c>
    </row>
    <row r="22" spans="2:38" ht="14.25">
      <c r="B22" s="79"/>
      <c r="C22" s="75"/>
      <c r="D22" s="269">
        <f t="shared" si="19"/>
        <v>46158</v>
      </c>
      <c r="E22" s="269" t="s">
        <v>464</v>
      </c>
      <c r="F22" s="84">
        <f t="shared" si="20"/>
        <v>241676</v>
      </c>
      <c r="G22" s="271"/>
      <c r="H22" s="308"/>
      <c r="I22" s="212">
        <v>31082</v>
      </c>
      <c r="J22" s="96">
        <f t="shared" si="21"/>
        <v>0.12861020539896389</v>
      </c>
      <c r="K22" s="212">
        <v>44684</v>
      </c>
      <c r="L22" s="96">
        <f t="shared" si="22"/>
        <v>0.18489216968172265</v>
      </c>
      <c r="M22" s="101">
        <f t="shared" si="23"/>
        <v>75766</v>
      </c>
      <c r="N22" s="96">
        <f t="shared" si="24"/>
        <v>0.31350237508068651</v>
      </c>
      <c r="O22" s="212">
        <v>4501</v>
      </c>
      <c r="P22" s="96">
        <f t="shared" si="25"/>
        <v>1.8624108310299741E-2</v>
      </c>
      <c r="Q22" s="212"/>
      <c r="R22" s="96">
        <f t="shared" si="6"/>
        <v>0</v>
      </c>
      <c r="S22" s="101">
        <f t="shared" si="7"/>
        <v>4501</v>
      </c>
      <c r="T22" s="96">
        <f t="shared" si="26"/>
        <v>1.8624108310299741E-2</v>
      </c>
      <c r="U22" s="212">
        <v>28026</v>
      </c>
      <c r="V22" s="96">
        <f t="shared" si="27"/>
        <v>0.11596517651732072</v>
      </c>
      <c r="W22" s="212">
        <v>2144</v>
      </c>
      <c r="X22" s="96">
        <f t="shared" si="28"/>
        <v>8.871381519058575E-3</v>
      </c>
      <c r="Y22" s="212">
        <v>24799</v>
      </c>
      <c r="Z22" s="96">
        <f t="shared" si="29"/>
        <v>0.1026125887551929</v>
      </c>
      <c r="AA22" s="212">
        <v>18026</v>
      </c>
      <c r="AB22" s="96">
        <f t="shared" si="12"/>
        <v>7.4587464208278859E-2</v>
      </c>
      <c r="AC22" s="101">
        <f t="shared" si="30"/>
        <v>42825</v>
      </c>
      <c r="AD22" s="96">
        <f t="shared" si="31"/>
        <v>0.17720005296347174</v>
      </c>
      <c r="AE22" s="212">
        <v>24036</v>
      </c>
      <c r="AF22" s="96">
        <f t="shared" si="32"/>
        <v>9.9455469306013011E-2</v>
      </c>
      <c r="AG22" s="212">
        <v>16396</v>
      </c>
      <c r="AH22" s="96">
        <f t="shared" si="33"/>
        <v>6.7842897101905025E-2</v>
      </c>
      <c r="AI22" s="212">
        <v>24430</v>
      </c>
      <c r="AJ22" s="96">
        <f t="shared" si="34"/>
        <v>0.10108575117098925</v>
      </c>
      <c r="AK22" s="212">
        <v>23552</v>
      </c>
      <c r="AL22" s="96">
        <f t="shared" si="36"/>
        <v>9.745278803025538E-2</v>
      </c>
    </row>
    <row r="23" spans="2:38" ht="14.25">
      <c r="B23" s="79"/>
      <c r="C23" s="75"/>
      <c r="D23" s="269">
        <f t="shared" si="19"/>
        <v>46159</v>
      </c>
      <c r="E23" s="269" t="s">
        <v>465</v>
      </c>
      <c r="F23" s="84">
        <f t="shared" si="20"/>
        <v>289853</v>
      </c>
      <c r="G23" s="271"/>
      <c r="H23" s="308"/>
      <c r="I23" s="212">
        <v>39251</v>
      </c>
      <c r="J23" s="96">
        <f t="shared" si="21"/>
        <v>0.13541691823096536</v>
      </c>
      <c r="K23" s="212">
        <v>49101</v>
      </c>
      <c r="L23" s="96">
        <f t="shared" si="22"/>
        <v>0.16939966120757763</v>
      </c>
      <c r="M23" s="101">
        <f t="shared" si="23"/>
        <v>88352</v>
      </c>
      <c r="N23" s="96">
        <f t="shared" si="24"/>
        <v>0.30481657943854301</v>
      </c>
      <c r="O23" s="212">
        <v>5608</v>
      </c>
      <c r="P23" s="96">
        <f t="shared" si="25"/>
        <v>1.9347738336329103E-2</v>
      </c>
      <c r="Q23" s="212"/>
      <c r="R23" s="96">
        <f t="shared" si="6"/>
        <v>0</v>
      </c>
      <c r="S23" s="101">
        <f t="shared" si="7"/>
        <v>5608</v>
      </c>
      <c r="T23" s="96">
        <f t="shared" si="26"/>
        <v>1.9347738336329103E-2</v>
      </c>
      <c r="U23" s="212">
        <v>34540</v>
      </c>
      <c r="V23" s="96">
        <f t="shared" si="27"/>
        <v>0.11916385202154195</v>
      </c>
      <c r="W23" s="212">
        <v>2759</v>
      </c>
      <c r="X23" s="96">
        <f t="shared" si="28"/>
        <v>9.5186180581191149E-3</v>
      </c>
      <c r="Y23" s="212">
        <v>25612</v>
      </c>
      <c r="Z23" s="96">
        <f t="shared" si="29"/>
        <v>8.8362031788527293E-2</v>
      </c>
      <c r="AA23" s="212">
        <v>19492</v>
      </c>
      <c r="AB23" s="96">
        <f t="shared" si="12"/>
        <v>6.724788082234788E-2</v>
      </c>
      <c r="AC23" s="101">
        <f t="shared" si="30"/>
        <v>45104</v>
      </c>
      <c r="AD23" s="96">
        <f t="shared" si="31"/>
        <v>0.15560991261087517</v>
      </c>
      <c r="AE23" s="212">
        <v>31187</v>
      </c>
      <c r="AF23" s="96">
        <f t="shared" si="32"/>
        <v>0.10759591931082307</v>
      </c>
      <c r="AG23" s="212">
        <v>20343</v>
      </c>
      <c r="AH23" s="96">
        <f t="shared" si="33"/>
        <v>7.0183851814540468E-2</v>
      </c>
      <c r="AI23" s="212">
        <v>30606</v>
      </c>
      <c r="AJ23" s="96">
        <f t="shared" si="34"/>
        <v>0.1055914549789031</v>
      </c>
      <c r="AK23" s="212">
        <v>31354</v>
      </c>
      <c r="AL23" s="96">
        <f t="shared" si="36"/>
        <v>0.10817207343032503</v>
      </c>
    </row>
    <row r="24" spans="2:38" ht="14.25">
      <c r="B24" s="79"/>
      <c r="C24" s="75"/>
      <c r="D24" s="269">
        <f t="shared" si="19"/>
        <v>46160</v>
      </c>
      <c r="E24" s="269" t="s">
        <v>459</v>
      </c>
      <c r="F24" s="84">
        <f t="shared" si="20"/>
        <v>285984</v>
      </c>
      <c r="G24" s="271"/>
      <c r="H24" s="308"/>
      <c r="I24" s="212">
        <v>38779</v>
      </c>
      <c r="J24" s="96">
        <f t="shared" si="21"/>
        <v>0.13559849502070045</v>
      </c>
      <c r="K24" s="212">
        <v>48927</v>
      </c>
      <c r="L24" s="96">
        <f t="shared" si="22"/>
        <v>0.1710829976502182</v>
      </c>
      <c r="M24" s="101">
        <f t="shared" si="23"/>
        <v>87706</v>
      </c>
      <c r="N24" s="96">
        <f t="shared" si="24"/>
        <v>0.30668149267091865</v>
      </c>
      <c r="O24" s="212">
        <v>5530</v>
      </c>
      <c r="P24" s="96">
        <f t="shared" si="25"/>
        <v>1.9336746111670584E-2</v>
      </c>
      <c r="Q24" s="212"/>
      <c r="R24" s="96">
        <f t="shared" si="6"/>
        <v>0</v>
      </c>
      <c r="S24" s="101">
        <f t="shared" si="7"/>
        <v>5530</v>
      </c>
      <c r="T24" s="96">
        <f t="shared" si="26"/>
        <v>1.9336746111670584E-2</v>
      </c>
      <c r="U24" s="212">
        <v>34875</v>
      </c>
      <c r="V24" s="96">
        <f t="shared" si="27"/>
        <v>0.12194738167170191</v>
      </c>
      <c r="W24" s="212">
        <v>3210</v>
      </c>
      <c r="X24" s="96">
        <f t="shared" si="28"/>
        <v>1.1224404162470628E-2</v>
      </c>
      <c r="Y24" s="212">
        <v>25422</v>
      </c>
      <c r="Z24" s="96">
        <f t="shared" si="29"/>
        <v>8.8893084927828131E-2</v>
      </c>
      <c r="AA24" s="212">
        <v>24197</v>
      </c>
      <c r="AB24" s="96">
        <f t="shared" si="12"/>
        <v>8.4609628510685916E-2</v>
      </c>
      <c r="AC24" s="101">
        <f t="shared" si="30"/>
        <v>49619</v>
      </c>
      <c r="AD24" s="96">
        <f t="shared" si="31"/>
        <v>0.17350271343851403</v>
      </c>
      <c r="AE24" s="212">
        <v>29467</v>
      </c>
      <c r="AF24" s="96">
        <f t="shared" si="32"/>
        <v>0.10303723285218754</v>
      </c>
      <c r="AG24" s="212">
        <v>20326</v>
      </c>
      <c r="AH24" s="96">
        <f t="shared" si="33"/>
        <v>7.1073906232516498E-2</v>
      </c>
      <c r="AI24" s="212">
        <v>30265</v>
      </c>
      <c r="AJ24" s="96">
        <f t="shared" si="34"/>
        <v>0.10582759874678303</v>
      </c>
      <c r="AK24" s="212">
        <v>24986</v>
      </c>
      <c r="AL24" s="96">
        <f t="shared" si="36"/>
        <v>8.7368524113237103E-2</v>
      </c>
    </row>
    <row r="25" spans="2:38" ht="14.25">
      <c r="B25" s="79"/>
      <c r="C25" s="75"/>
      <c r="D25" s="315">
        <f t="shared" si="19"/>
        <v>46161</v>
      </c>
      <c r="E25" s="315" t="s">
        <v>460</v>
      </c>
      <c r="F25" s="84">
        <f t="shared" si="20"/>
        <v>285514</v>
      </c>
      <c r="G25" s="271"/>
      <c r="H25" s="308"/>
      <c r="I25" s="212">
        <v>42198</v>
      </c>
      <c r="J25" s="96">
        <f t="shared" si="21"/>
        <v>0.14779660542039971</v>
      </c>
      <c r="K25" s="212">
        <v>47273</v>
      </c>
      <c r="L25" s="96">
        <f t="shared" si="22"/>
        <v>0.16557156566753295</v>
      </c>
      <c r="M25" s="101">
        <f t="shared" si="23"/>
        <v>89471</v>
      </c>
      <c r="N25" s="96">
        <f t="shared" si="24"/>
        <v>0.31336817108793263</v>
      </c>
      <c r="O25" s="212">
        <v>5447</v>
      </c>
      <c r="P25" s="96">
        <f t="shared" si="25"/>
        <v>1.907787358938616E-2</v>
      </c>
      <c r="Q25" s="212"/>
      <c r="R25" s="96">
        <f t="shared" si="6"/>
        <v>0</v>
      </c>
      <c r="S25" s="101">
        <f t="shared" si="7"/>
        <v>5447</v>
      </c>
      <c r="T25" s="96">
        <f t="shared" si="26"/>
        <v>1.907787358938616E-2</v>
      </c>
      <c r="U25" s="212">
        <v>32928</v>
      </c>
      <c r="V25" s="96">
        <f t="shared" si="27"/>
        <v>0.11532884552071002</v>
      </c>
      <c r="W25" s="212">
        <v>2514</v>
      </c>
      <c r="X25" s="96">
        <f t="shared" si="28"/>
        <v>8.805172425870535E-3</v>
      </c>
      <c r="Y25" s="212">
        <v>25716</v>
      </c>
      <c r="Z25" s="96">
        <f t="shared" si="29"/>
        <v>9.0069138466064708E-2</v>
      </c>
      <c r="AA25" s="212">
        <v>22279</v>
      </c>
      <c r="AB25" s="96">
        <f t="shared" si="12"/>
        <v>7.8031199871109652E-2</v>
      </c>
      <c r="AC25" s="101">
        <f t="shared" si="30"/>
        <v>47995</v>
      </c>
      <c r="AD25" s="96">
        <f t="shared" si="31"/>
        <v>0.16810033833717436</v>
      </c>
      <c r="AE25" s="212">
        <v>28705</v>
      </c>
      <c r="AF25" s="96">
        <f t="shared" si="32"/>
        <v>0.1005379771219625</v>
      </c>
      <c r="AG25" s="212">
        <v>19538</v>
      </c>
      <c r="AH25" s="96">
        <f t="shared" si="33"/>
        <v>6.8430970110047146E-2</v>
      </c>
      <c r="AI25" s="212">
        <v>34635</v>
      </c>
      <c r="AJ25" s="96">
        <f t="shared" si="34"/>
        <v>0.12130753658314479</v>
      </c>
      <c r="AK25" s="212">
        <v>24281</v>
      </c>
      <c r="AL25" s="96">
        <f t="shared" si="36"/>
        <v>8.5043115223771865E-2</v>
      </c>
    </row>
    <row r="26" spans="2:38" ht="14.25">
      <c r="B26" s="79"/>
      <c r="C26" s="75"/>
      <c r="D26" s="315">
        <f t="shared" si="19"/>
        <v>46162</v>
      </c>
      <c r="E26" s="315" t="s">
        <v>461</v>
      </c>
      <c r="F26" s="84">
        <f t="shared" si="20"/>
        <v>267291</v>
      </c>
      <c r="G26" s="271"/>
      <c r="H26" s="308"/>
      <c r="I26" s="212">
        <v>40262</v>
      </c>
      <c r="J26" s="96">
        <f t="shared" si="21"/>
        <v>0.15062983789203527</v>
      </c>
      <c r="K26" s="212">
        <v>45834</v>
      </c>
      <c r="L26" s="96">
        <f t="shared" si="22"/>
        <v>0.17147603174068712</v>
      </c>
      <c r="M26" s="101">
        <f t="shared" si="23"/>
        <v>86096</v>
      </c>
      <c r="N26" s="96">
        <f t="shared" si="24"/>
        <v>0.32210586963272236</v>
      </c>
      <c r="O26" s="212">
        <v>5381</v>
      </c>
      <c r="P26" s="96">
        <f t="shared" si="25"/>
        <v>2.0131616852045148E-2</v>
      </c>
      <c r="Q26" s="212"/>
      <c r="R26" s="96">
        <f t="shared" si="6"/>
        <v>0</v>
      </c>
      <c r="S26" s="101">
        <f t="shared" si="7"/>
        <v>5381</v>
      </c>
      <c r="T26" s="96">
        <f t="shared" si="26"/>
        <v>2.0131616852045148E-2</v>
      </c>
      <c r="U26" s="212">
        <v>28082</v>
      </c>
      <c r="V26" s="96">
        <f t="shared" si="27"/>
        <v>0.10506152470528375</v>
      </c>
      <c r="W26" s="212">
        <v>2819</v>
      </c>
      <c r="X26" s="96">
        <f t="shared" si="28"/>
        <v>1.0546557871383623E-2</v>
      </c>
      <c r="Y26" s="212">
        <v>25056</v>
      </c>
      <c r="Z26" s="96">
        <f t="shared" si="29"/>
        <v>9.374052998417455E-2</v>
      </c>
      <c r="AA26" s="212">
        <v>20106</v>
      </c>
      <c r="AB26" s="96">
        <f t="shared" si="12"/>
        <v>7.5221387925519384E-2</v>
      </c>
      <c r="AC26" s="101">
        <f t="shared" si="30"/>
        <v>45162</v>
      </c>
      <c r="AD26" s="96">
        <f t="shared" si="31"/>
        <v>0.16896191790969392</v>
      </c>
      <c r="AE26" s="212">
        <v>25460</v>
      </c>
      <c r="AF26" s="96">
        <f t="shared" si="32"/>
        <v>9.5251991275426412E-2</v>
      </c>
      <c r="AG26" s="212">
        <v>18145</v>
      </c>
      <c r="AH26" s="96">
        <f t="shared" si="33"/>
        <v>6.7884814677635991E-2</v>
      </c>
      <c r="AI26" s="212">
        <v>32453</v>
      </c>
      <c r="AJ26" s="96">
        <f t="shared" si="34"/>
        <v>0.12141448832919927</v>
      </c>
      <c r="AK26" s="212">
        <v>23693</v>
      </c>
      <c r="AL26" s="96">
        <f t="shared" si="36"/>
        <v>8.8641218746609504E-2</v>
      </c>
    </row>
    <row r="27" spans="2:38" ht="14.25">
      <c r="B27" s="79"/>
      <c r="C27" s="75"/>
      <c r="D27" s="315">
        <f t="shared" si="19"/>
        <v>46163</v>
      </c>
      <c r="E27" s="315" t="s">
        <v>462</v>
      </c>
      <c r="F27" s="84">
        <f t="shared" si="20"/>
        <v>251603</v>
      </c>
      <c r="G27" s="271">
        <f>SUM(F25:F31)</f>
        <v>1829782</v>
      </c>
      <c r="H27" s="308"/>
      <c r="I27" s="212">
        <v>38862</v>
      </c>
      <c r="J27" s="96">
        <f t="shared" si="21"/>
        <v>0.15445761775495523</v>
      </c>
      <c r="K27" s="212">
        <v>41803</v>
      </c>
      <c r="L27" s="96">
        <f t="shared" si="22"/>
        <v>0.16614666756755683</v>
      </c>
      <c r="M27" s="101">
        <f t="shared" si="23"/>
        <v>80665</v>
      </c>
      <c r="N27" s="96">
        <f t="shared" si="24"/>
        <v>0.32060428532251206</v>
      </c>
      <c r="O27" s="212">
        <v>5336</v>
      </c>
      <c r="P27" s="96">
        <f t="shared" si="25"/>
        <v>2.1208014212867096E-2</v>
      </c>
      <c r="Q27" s="212"/>
      <c r="R27" s="96">
        <f t="shared" si="6"/>
        <v>0</v>
      </c>
      <c r="S27" s="101">
        <f t="shared" si="7"/>
        <v>5336</v>
      </c>
      <c r="T27" s="96">
        <f t="shared" si="26"/>
        <v>2.1208014212867096E-2</v>
      </c>
      <c r="U27" s="212">
        <v>26753</v>
      </c>
      <c r="V27" s="96">
        <f t="shared" si="27"/>
        <v>0.10633021068906173</v>
      </c>
      <c r="W27" s="212">
        <v>2820</v>
      </c>
      <c r="X27" s="96">
        <f t="shared" si="28"/>
        <v>1.1208133448329313E-2</v>
      </c>
      <c r="Y27" s="212">
        <v>23948</v>
      </c>
      <c r="Z27" s="96">
        <f t="shared" si="29"/>
        <v>9.5181694971840564E-2</v>
      </c>
      <c r="AA27" s="212">
        <v>16166</v>
      </c>
      <c r="AB27" s="96">
        <f t="shared" si="12"/>
        <v>6.4252016072940302E-2</v>
      </c>
      <c r="AC27" s="101">
        <f t="shared" si="30"/>
        <v>40114</v>
      </c>
      <c r="AD27" s="96">
        <f t="shared" si="31"/>
        <v>0.15943371104478085</v>
      </c>
      <c r="AE27" s="212">
        <v>22015</v>
      </c>
      <c r="AF27" s="96">
        <f t="shared" si="32"/>
        <v>8.7498956689705601E-2</v>
      </c>
      <c r="AG27" s="212">
        <v>16694</v>
      </c>
      <c r="AH27" s="96">
        <f t="shared" si="33"/>
        <v>6.6350560207946649E-2</v>
      </c>
      <c r="AI27" s="212">
        <v>33215</v>
      </c>
      <c r="AJ27" s="96">
        <f t="shared" si="34"/>
        <v>0.13201352925044613</v>
      </c>
      <c r="AK27" s="212">
        <v>23991</v>
      </c>
      <c r="AL27" s="96">
        <f t="shared" si="36"/>
        <v>9.5352599134350541E-2</v>
      </c>
    </row>
    <row r="28" spans="2:38" ht="14.25">
      <c r="B28" s="79"/>
      <c r="C28" s="75"/>
      <c r="D28" s="315">
        <f t="shared" si="19"/>
        <v>46164</v>
      </c>
      <c r="E28" s="315" t="s">
        <v>463</v>
      </c>
      <c r="F28" s="84">
        <f t="shared" si="20"/>
        <v>231983</v>
      </c>
      <c r="G28" s="271"/>
      <c r="H28" s="308"/>
      <c r="I28" s="212">
        <v>34485</v>
      </c>
      <c r="J28" s="96">
        <f t="shared" si="21"/>
        <v>0.14865313406585828</v>
      </c>
      <c r="K28" s="212">
        <v>39040</v>
      </c>
      <c r="L28" s="96">
        <f t="shared" si="22"/>
        <v>0.16828819353142255</v>
      </c>
      <c r="M28" s="101">
        <f t="shared" si="23"/>
        <v>73525</v>
      </c>
      <c r="N28" s="96">
        <f t="shared" si="24"/>
        <v>0.31694132759728083</v>
      </c>
      <c r="O28" s="212">
        <v>4569</v>
      </c>
      <c r="P28" s="96">
        <f t="shared" si="25"/>
        <v>1.9695408715293794E-2</v>
      </c>
      <c r="Q28" s="212"/>
      <c r="R28" s="96">
        <f t="shared" si="6"/>
        <v>0</v>
      </c>
      <c r="S28" s="101">
        <f t="shared" si="7"/>
        <v>4569</v>
      </c>
      <c r="T28" s="96">
        <f t="shared" si="26"/>
        <v>1.9695408715293794E-2</v>
      </c>
      <c r="U28" s="212">
        <v>23864</v>
      </c>
      <c r="V28" s="96">
        <f t="shared" si="27"/>
        <v>0.10286960682463801</v>
      </c>
      <c r="W28" s="212">
        <v>1856</v>
      </c>
      <c r="X28" s="96">
        <f t="shared" si="28"/>
        <v>8.0005862498545161E-3</v>
      </c>
      <c r="Y28" s="212">
        <v>21972</v>
      </c>
      <c r="Z28" s="96">
        <f t="shared" si="29"/>
        <v>9.4713836789764763E-2</v>
      </c>
      <c r="AA28" s="212">
        <v>17300</v>
      </c>
      <c r="AB28" s="96">
        <f t="shared" si="12"/>
        <v>7.4574430022889604E-2</v>
      </c>
      <c r="AC28" s="101">
        <f t="shared" si="30"/>
        <v>39272</v>
      </c>
      <c r="AD28" s="96">
        <f t="shared" si="31"/>
        <v>0.16928826681265438</v>
      </c>
      <c r="AE28" s="212">
        <v>20397</v>
      </c>
      <c r="AF28" s="96">
        <f t="shared" si="32"/>
        <v>8.7924546195195338E-2</v>
      </c>
      <c r="AG28" s="212">
        <v>13955</v>
      </c>
      <c r="AH28" s="96">
        <f t="shared" si="33"/>
        <v>6.0155269998232626E-2</v>
      </c>
      <c r="AI28" s="212">
        <v>32192</v>
      </c>
      <c r="AJ28" s="96">
        <f t="shared" si="34"/>
        <v>0.13876878909230417</v>
      </c>
      <c r="AK28" s="212">
        <v>22353</v>
      </c>
      <c r="AL28" s="96">
        <f t="shared" si="36"/>
        <v>9.6356198514546326E-2</v>
      </c>
    </row>
    <row r="29" spans="2:38" ht="14.25">
      <c r="B29" s="79"/>
      <c r="C29" s="75"/>
      <c r="D29" s="315">
        <f t="shared" si="19"/>
        <v>46165</v>
      </c>
      <c r="E29" s="315" t="s">
        <v>464</v>
      </c>
      <c r="F29" s="84">
        <f t="shared" si="20"/>
        <v>243182</v>
      </c>
      <c r="G29" s="271"/>
      <c r="H29" s="308"/>
      <c r="I29" s="212">
        <v>32582</v>
      </c>
      <c r="J29" s="96">
        <f t="shared" si="21"/>
        <v>0.13398195590134138</v>
      </c>
      <c r="K29" s="212">
        <v>42349</v>
      </c>
      <c r="L29" s="96">
        <f t="shared" si="22"/>
        <v>0.17414529035866141</v>
      </c>
      <c r="M29" s="101">
        <f t="shared" si="23"/>
        <v>74931</v>
      </c>
      <c r="N29" s="96">
        <f t="shared" si="24"/>
        <v>0.30812724626000282</v>
      </c>
      <c r="O29" s="212">
        <v>4422</v>
      </c>
      <c r="P29" s="96">
        <f t="shared" si="25"/>
        <v>1.8183911638196906E-2</v>
      </c>
      <c r="Q29" s="212"/>
      <c r="R29" s="96">
        <f t="shared" si="6"/>
        <v>0</v>
      </c>
      <c r="S29" s="101">
        <f t="shared" si="7"/>
        <v>4422</v>
      </c>
      <c r="T29" s="96">
        <f t="shared" si="26"/>
        <v>1.8183911638196906E-2</v>
      </c>
      <c r="U29" s="212">
        <v>25728</v>
      </c>
      <c r="V29" s="96">
        <f t="shared" si="27"/>
        <v>0.10579730407678199</v>
      </c>
      <c r="W29" s="212">
        <v>2004</v>
      </c>
      <c r="X29" s="96">
        <f t="shared" si="28"/>
        <v>8.2407415022493439E-3</v>
      </c>
      <c r="Y29" s="212">
        <v>22189</v>
      </c>
      <c r="Z29" s="96">
        <f t="shared" si="29"/>
        <v>9.1244417761182986E-2</v>
      </c>
      <c r="AA29" s="212">
        <v>18311</v>
      </c>
      <c r="AB29" s="96">
        <f t="shared" si="12"/>
        <v>7.5297513796251367E-2</v>
      </c>
      <c r="AC29" s="101">
        <f t="shared" si="30"/>
        <v>40500</v>
      </c>
      <c r="AD29" s="96">
        <f t="shared" si="31"/>
        <v>0.16654193155743435</v>
      </c>
      <c r="AE29" s="212">
        <v>22649</v>
      </c>
      <c r="AF29" s="96">
        <f t="shared" si="32"/>
        <v>9.3136005131958785E-2</v>
      </c>
      <c r="AG29" s="212">
        <v>15547</v>
      </c>
      <c r="AH29" s="96">
        <f t="shared" si="33"/>
        <v>6.3931540985763743E-2</v>
      </c>
      <c r="AI29" s="212">
        <v>33515</v>
      </c>
      <c r="AJ29" s="96">
        <f t="shared" si="34"/>
        <v>0.1378185885468497</v>
      </c>
      <c r="AK29" s="212">
        <v>23886</v>
      </c>
      <c r="AL29" s="96">
        <f t="shared" si="36"/>
        <v>9.8222730300762395E-2</v>
      </c>
    </row>
    <row r="30" spans="2:38" ht="14.25">
      <c r="B30" s="79"/>
      <c r="C30" s="75"/>
      <c r="D30" s="315">
        <f t="shared" si="19"/>
        <v>46166</v>
      </c>
      <c r="E30" s="315" t="s">
        <v>465</v>
      </c>
      <c r="F30" s="84">
        <f t="shared" si="20"/>
        <v>269664</v>
      </c>
      <c r="G30" s="271"/>
      <c r="H30" s="308"/>
      <c r="I30" s="212">
        <v>39706</v>
      </c>
      <c r="J30" s="96">
        <f t="shared" si="21"/>
        <v>0.14724249436335587</v>
      </c>
      <c r="K30" s="212">
        <v>46446</v>
      </c>
      <c r="L30" s="96">
        <f t="shared" si="22"/>
        <v>0.17223656105375579</v>
      </c>
      <c r="M30" s="101">
        <f t="shared" si="23"/>
        <v>86152</v>
      </c>
      <c r="N30" s="96">
        <f t="shared" si="24"/>
        <v>0.31947905541711169</v>
      </c>
      <c r="O30" s="212">
        <v>5274</v>
      </c>
      <c r="P30" s="96">
        <f t="shared" si="25"/>
        <v>1.9557671769312921E-2</v>
      </c>
      <c r="Q30" s="212"/>
      <c r="R30" s="96">
        <f t="shared" si="6"/>
        <v>0</v>
      </c>
      <c r="S30" s="101">
        <f t="shared" si="7"/>
        <v>5274</v>
      </c>
      <c r="T30" s="96">
        <f t="shared" si="26"/>
        <v>1.9557671769312921E-2</v>
      </c>
      <c r="U30" s="212">
        <v>31145</v>
      </c>
      <c r="V30" s="96">
        <f t="shared" si="27"/>
        <v>0.11549557968434793</v>
      </c>
      <c r="W30" s="212">
        <v>2450</v>
      </c>
      <c r="X30" s="96">
        <f t="shared" si="28"/>
        <v>9.085380325145366E-3</v>
      </c>
      <c r="Y30" s="212">
        <v>23611</v>
      </c>
      <c r="Z30" s="96">
        <f t="shared" si="29"/>
        <v>8.7557108104900916E-2</v>
      </c>
      <c r="AA30" s="212">
        <v>20831</v>
      </c>
      <c r="AB30" s="96">
        <f t="shared" si="12"/>
        <v>7.7247982674735968E-2</v>
      </c>
      <c r="AC30" s="101">
        <f t="shared" si="30"/>
        <v>44442</v>
      </c>
      <c r="AD30" s="96">
        <f t="shared" si="31"/>
        <v>0.16480509077963687</v>
      </c>
      <c r="AE30" s="212">
        <v>26112</v>
      </c>
      <c r="AF30" s="96">
        <f t="shared" si="32"/>
        <v>9.6831612673549311E-2</v>
      </c>
      <c r="AG30" s="212">
        <v>15397</v>
      </c>
      <c r="AH30" s="96">
        <f t="shared" si="33"/>
        <v>5.7096979945413552E-2</v>
      </c>
      <c r="AI30" s="212">
        <v>32864</v>
      </c>
      <c r="AJ30" s="96">
        <f t="shared" si="34"/>
        <v>0.12187017918594992</v>
      </c>
      <c r="AK30" s="212">
        <v>25828</v>
      </c>
      <c r="AL30" s="96">
        <f t="shared" si="36"/>
        <v>9.5778450219532449E-2</v>
      </c>
    </row>
    <row r="31" spans="2:38" ht="14.25">
      <c r="B31" s="79"/>
      <c r="C31" s="75"/>
      <c r="D31" s="315">
        <f t="shared" si="19"/>
        <v>46167</v>
      </c>
      <c r="E31" s="315" t="s">
        <v>459</v>
      </c>
      <c r="F31" s="84">
        <f t="shared" si="20"/>
        <v>280545</v>
      </c>
      <c r="G31" s="271"/>
      <c r="H31" s="308"/>
      <c r="I31" s="212">
        <v>39688</v>
      </c>
      <c r="J31" s="96">
        <f t="shared" si="21"/>
        <v>0.14146750075745423</v>
      </c>
      <c r="K31" s="212">
        <v>46221</v>
      </c>
      <c r="L31" s="96">
        <f t="shared" si="22"/>
        <v>0.16475431748917285</v>
      </c>
      <c r="M31" s="101">
        <f t="shared" si="23"/>
        <v>85909</v>
      </c>
      <c r="N31" s="96">
        <f t="shared" si="24"/>
        <v>0.30622181824662709</v>
      </c>
      <c r="O31" s="212">
        <v>5364</v>
      </c>
      <c r="P31" s="96">
        <f t="shared" si="25"/>
        <v>1.9119927284392879E-2</v>
      </c>
      <c r="Q31" s="212"/>
      <c r="R31" s="96">
        <f t="shared" si="6"/>
        <v>0</v>
      </c>
      <c r="S31" s="101">
        <f t="shared" si="7"/>
        <v>5364</v>
      </c>
      <c r="T31" s="96">
        <f t="shared" si="26"/>
        <v>1.9119927284392879E-2</v>
      </c>
      <c r="U31" s="212">
        <v>32004</v>
      </c>
      <c r="V31" s="96">
        <f t="shared" si="27"/>
        <v>0.11407795540822328</v>
      </c>
      <c r="W31" s="212">
        <v>2554</v>
      </c>
      <c r="X31" s="96">
        <f t="shared" si="28"/>
        <v>9.1037088524122695E-3</v>
      </c>
      <c r="Y31" s="212">
        <v>25132</v>
      </c>
      <c r="Z31" s="96">
        <f t="shared" si="29"/>
        <v>8.9582776381685644E-2</v>
      </c>
      <c r="AA31" s="212">
        <v>25337</v>
      </c>
      <c r="AB31" s="96">
        <f t="shared" si="12"/>
        <v>9.0313496943449353E-2</v>
      </c>
      <c r="AC31" s="101">
        <f t="shared" si="30"/>
        <v>50469</v>
      </c>
      <c r="AD31" s="96">
        <f t="shared" si="31"/>
        <v>0.179896273325135</v>
      </c>
      <c r="AE31" s="212">
        <v>28033</v>
      </c>
      <c r="AF31" s="96">
        <f t="shared" si="32"/>
        <v>9.9923363453278444E-2</v>
      </c>
      <c r="AG31" s="212">
        <v>16143</v>
      </c>
      <c r="AH31" s="96">
        <f t="shared" si="33"/>
        <v>5.7541570870983265E-2</v>
      </c>
      <c r="AI31" s="212">
        <v>31974</v>
      </c>
      <c r="AJ31" s="96">
        <f t="shared" si="34"/>
        <v>0.11397102069186761</v>
      </c>
      <c r="AK31" s="212">
        <v>28095</v>
      </c>
      <c r="AL31" s="96">
        <f t="shared" si="36"/>
        <v>0.10014436186708014</v>
      </c>
    </row>
    <row r="32" spans="2:38" ht="14.25">
      <c r="B32" s="79"/>
      <c r="C32" s="75"/>
      <c r="D32" s="269">
        <f t="shared" si="19"/>
        <v>46168</v>
      </c>
      <c r="E32" s="269" t="s">
        <v>460</v>
      </c>
      <c r="F32" s="84">
        <f t="shared" si="20"/>
        <v>293602</v>
      </c>
      <c r="G32" s="271"/>
      <c r="H32" s="308"/>
      <c r="I32" s="212">
        <v>43490</v>
      </c>
      <c r="J32" s="96">
        <f t="shared" ref="J32:J37" si="37">I32/F32</f>
        <v>0.14812569396666236</v>
      </c>
      <c r="K32" s="212">
        <v>46868</v>
      </c>
      <c r="L32" s="96">
        <f t="shared" ref="L32:L37" si="38">K32/F32</f>
        <v>0.15963106518347966</v>
      </c>
      <c r="M32" s="101">
        <f t="shared" ref="M32:M37" si="39">SUM(I32+K32)</f>
        <v>90358</v>
      </c>
      <c r="N32" s="96">
        <f t="shared" ref="N32:N37" si="40">M32/F32</f>
        <v>0.30775675915014206</v>
      </c>
      <c r="O32" s="212">
        <v>5346</v>
      </c>
      <c r="P32" s="96">
        <f t="shared" ref="P32:P37" si="41">O32/F32</f>
        <v>1.8208322831588342E-2</v>
      </c>
      <c r="Q32" s="212"/>
      <c r="R32" s="96">
        <f t="shared" ref="R32:R36" si="42">Q32/F32</f>
        <v>0</v>
      </c>
      <c r="S32" s="101">
        <f t="shared" ref="S32:S37" si="43">SUM(O32+Q32)</f>
        <v>5346</v>
      </c>
      <c r="T32" s="96">
        <f t="shared" ref="T32:T37" si="44">S32/F32</f>
        <v>1.8208322831588342E-2</v>
      </c>
      <c r="U32" s="212">
        <v>31003</v>
      </c>
      <c r="V32" s="96">
        <f t="shared" ref="V32:V37" si="45">U32/F32</f>
        <v>0.1055953297320863</v>
      </c>
      <c r="W32" s="212">
        <v>2504</v>
      </c>
      <c r="X32" s="96">
        <f t="shared" ref="X32:X37" si="46">W32/F32</f>
        <v>8.5285522578184073E-3</v>
      </c>
      <c r="Y32" s="212">
        <v>24706</v>
      </c>
      <c r="Z32" s="96">
        <f t="shared" ref="Z32:Z37" si="47">Y32/F32</f>
        <v>8.414792814762842E-2</v>
      </c>
      <c r="AA32" s="212">
        <v>23664</v>
      </c>
      <c r="AB32" s="96">
        <f t="shared" ref="AB32:AB36" si="48">AA32/F32</f>
        <v>8.0598906002002715E-2</v>
      </c>
      <c r="AC32" s="101">
        <f t="shared" ref="AC32:AC37" si="49">SUM(Y32+AA32)</f>
        <v>48370</v>
      </c>
      <c r="AD32" s="96">
        <f t="shared" ref="AD32:AD37" si="50">AC32/F32</f>
        <v>0.16474683414963112</v>
      </c>
      <c r="AE32" s="212">
        <v>25848</v>
      </c>
      <c r="AF32" s="96">
        <f t="shared" ref="AF32:AF37" si="51">AE32/F32</f>
        <v>8.8037547428151036E-2</v>
      </c>
      <c r="AG32" s="212">
        <v>27750</v>
      </c>
      <c r="AH32" s="96">
        <f t="shared" ref="AH32:AH37" si="52">AG32/F32</f>
        <v>9.4515704933890096E-2</v>
      </c>
      <c r="AI32" s="212">
        <v>36353</v>
      </c>
      <c r="AJ32" s="96">
        <f t="shared" ref="AJ32:AJ37" si="53">AI32/F32</f>
        <v>0.12381727644907051</v>
      </c>
      <c r="AK32" s="212">
        <v>26070</v>
      </c>
      <c r="AL32" s="96">
        <f t="shared" si="36"/>
        <v>8.8793673067622161E-2</v>
      </c>
    </row>
    <row r="33" spans="2:38" ht="14.25">
      <c r="B33" s="79"/>
      <c r="C33" s="75"/>
      <c r="D33" s="269">
        <f t="shared" si="19"/>
        <v>46169</v>
      </c>
      <c r="E33" s="269" t="s">
        <v>461</v>
      </c>
      <c r="F33" s="84">
        <f t="shared" si="20"/>
        <v>289569</v>
      </c>
      <c r="G33" s="271"/>
      <c r="H33" s="308"/>
      <c r="I33" s="212">
        <v>42001</v>
      </c>
      <c r="J33" s="96">
        <f t="shared" si="37"/>
        <v>0.14504660374556669</v>
      </c>
      <c r="K33" s="212">
        <v>46176</v>
      </c>
      <c r="L33" s="96">
        <f t="shared" si="38"/>
        <v>0.15946458357075516</v>
      </c>
      <c r="M33" s="101">
        <f t="shared" si="39"/>
        <v>88177</v>
      </c>
      <c r="N33" s="96">
        <f t="shared" si="40"/>
        <v>0.30451118731632182</v>
      </c>
      <c r="O33" s="212">
        <v>5367</v>
      </c>
      <c r="P33" s="96">
        <f t="shared" si="41"/>
        <v>1.8534442568092578E-2</v>
      </c>
      <c r="Q33" s="212"/>
      <c r="R33" s="96">
        <f t="shared" si="42"/>
        <v>0</v>
      </c>
      <c r="S33" s="101">
        <f t="shared" si="43"/>
        <v>5367</v>
      </c>
      <c r="T33" s="96">
        <f t="shared" si="44"/>
        <v>1.8534442568092578E-2</v>
      </c>
      <c r="U33" s="212">
        <v>30526</v>
      </c>
      <c r="V33" s="96">
        <f t="shared" si="45"/>
        <v>0.1054187430284319</v>
      </c>
      <c r="W33" s="212">
        <v>2506</v>
      </c>
      <c r="X33" s="96">
        <f t="shared" si="46"/>
        <v>8.6542413034544439E-3</v>
      </c>
      <c r="Y33" s="212">
        <v>25020</v>
      </c>
      <c r="Z33" s="96">
        <f t="shared" si="47"/>
        <v>8.6404276700889945E-2</v>
      </c>
      <c r="AA33" s="212">
        <v>22141</v>
      </c>
      <c r="AB33" s="96">
        <f t="shared" si="48"/>
        <v>7.646191408610728E-2</v>
      </c>
      <c r="AC33" s="101">
        <f t="shared" si="49"/>
        <v>47161</v>
      </c>
      <c r="AD33" s="96">
        <f t="shared" si="50"/>
        <v>0.16286619078699724</v>
      </c>
      <c r="AE33" s="212">
        <v>25845</v>
      </c>
      <c r="AF33" s="96">
        <f t="shared" si="51"/>
        <v>8.9253338582514011E-2</v>
      </c>
      <c r="AG33" s="212">
        <v>20373</v>
      </c>
      <c r="AH33" s="96">
        <f t="shared" si="52"/>
        <v>7.0356288138578374E-2</v>
      </c>
      <c r="AI33" s="212">
        <v>43870</v>
      </c>
      <c r="AJ33" s="96">
        <f t="shared" si="53"/>
        <v>0.15150102393557321</v>
      </c>
      <c r="AK33" s="212">
        <v>25744</v>
      </c>
      <c r="AL33" s="96">
        <f t="shared" si="36"/>
        <v>8.8904544340036404E-2</v>
      </c>
    </row>
    <row r="34" spans="2:38" ht="14.25">
      <c r="B34" s="79"/>
      <c r="C34" s="75"/>
      <c r="D34" s="269">
        <f>D33+1</f>
        <v>46170</v>
      </c>
      <c r="E34" s="269" t="s">
        <v>462</v>
      </c>
      <c r="F34" s="84">
        <f t="shared" si="20"/>
        <v>272954</v>
      </c>
      <c r="G34" s="271">
        <f>SUM(F32:F38)</f>
        <v>1972816</v>
      </c>
      <c r="H34" s="308"/>
      <c r="I34" s="212">
        <v>40103</v>
      </c>
      <c r="J34" s="96">
        <f t="shared" si="37"/>
        <v>0.14692219201770262</v>
      </c>
      <c r="K34" s="212">
        <v>41987</v>
      </c>
      <c r="L34" s="96">
        <f t="shared" si="38"/>
        <v>0.15382445393729346</v>
      </c>
      <c r="M34" s="101">
        <f t="shared" si="39"/>
        <v>82090</v>
      </c>
      <c r="N34" s="96">
        <f t="shared" si="40"/>
        <v>0.30074664595499606</v>
      </c>
      <c r="O34" s="212">
        <v>5398</v>
      </c>
      <c r="P34" s="96">
        <f t="shared" si="41"/>
        <v>1.977622603075976E-2</v>
      </c>
      <c r="Q34" s="212"/>
      <c r="R34" s="96">
        <f t="shared" si="42"/>
        <v>0</v>
      </c>
      <c r="S34" s="101">
        <f t="shared" si="43"/>
        <v>5398</v>
      </c>
      <c r="T34" s="96">
        <f t="shared" si="44"/>
        <v>1.977622603075976E-2</v>
      </c>
      <c r="U34" s="212">
        <v>27560</v>
      </c>
      <c r="V34" s="96">
        <f t="shared" si="45"/>
        <v>0.10096939411036292</v>
      </c>
      <c r="W34" s="212">
        <v>2222</v>
      </c>
      <c r="X34" s="96">
        <f t="shared" si="46"/>
        <v>8.1405658096235997E-3</v>
      </c>
      <c r="Y34" s="212">
        <v>25312</v>
      </c>
      <c r="Z34" s="96">
        <f t="shared" si="47"/>
        <v>9.2733574155352189E-2</v>
      </c>
      <c r="AA34" s="212">
        <v>17404</v>
      </c>
      <c r="AB34" s="96">
        <f t="shared" si="48"/>
        <v>6.376165947375749E-2</v>
      </c>
      <c r="AC34" s="101">
        <f t="shared" si="49"/>
        <v>42716</v>
      </c>
      <c r="AD34" s="96">
        <f t="shared" si="50"/>
        <v>0.15649523362910966</v>
      </c>
      <c r="AE34" s="212">
        <v>23903</v>
      </c>
      <c r="AF34" s="96">
        <f t="shared" si="51"/>
        <v>8.7571532199564761E-2</v>
      </c>
      <c r="AG34" s="212">
        <v>19104</v>
      </c>
      <c r="AH34" s="96">
        <f t="shared" si="52"/>
        <v>6.9989815133685532E-2</v>
      </c>
      <c r="AI34" s="212">
        <v>44782</v>
      </c>
      <c r="AJ34" s="96">
        <f t="shared" si="53"/>
        <v>0.16406427456641046</v>
      </c>
      <c r="AK34" s="212">
        <v>25179</v>
      </c>
      <c r="AL34" s="96">
        <f t="shared" si="36"/>
        <v>9.2246312565487223E-2</v>
      </c>
    </row>
    <row r="35" spans="2:38" ht="14.25">
      <c r="B35" s="79"/>
      <c r="C35" s="75"/>
      <c r="D35" s="269">
        <f t="shared" ref="D35:D38" si="54">D34+1</f>
        <v>46171</v>
      </c>
      <c r="E35" s="269" t="s">
        <v>463</v>
      </c>
      <c r="F35" s="84">
        <f t="shared" si="20"/>
        <v>253473</v>
      </c>
      <c r="G35" s="271"/>
      <c r="H35" s="308"/>
      <c r="I35" s="212">
        <v>35894</v>
      </c>
      <c r="J35" s="96">
        <f t="shared" si="37"/>
        <v>0.14160877095390831</v>
      </c>
      <c r="K35" s="212">
        <v>39502</v>
      </c>
      <c r="L35" s="96">
        <f t="shared" si="38"/>
        <v>0.1558430286460491</v>
      </c>
      <c r="M35" s="101">
        <f t="shared" si="39"/>
        <v>75396</v>
      </c>
      <c r="N35" s="96">
        <f t="shared" si="40"/>
        <v>0.29745179959995738</v>
      </c>
      <c r="O35" s="212">
        <v>4525</v>
      </c>
      <c r="P35" s="96">
        <f t="shared" si="41"/>
        <v>1.7852000015780772E-2</v>
      </c>
      <c r="Q35" s="212"/>
      <c r="R35" s="96">
        <f t="shared" si="42"/>
        <v>0</v>
      </c>
      <c r="S35" s="101">
        <f t="shared" si="43"/>
        <v>4525</v>
      </c>
      <c r="T35" s="96">
        <f t="shared" si="44"/>
        <v>1.7852000015780772E-2</v>
      </c>
      <c r="U35" s="212">
        <v>24649</v>
      </c>
      <c r="V35" s="96">
        <f t="shared" si="45"/>
        <v>9.7245071467177965E-2</v>
      </c>
      <c r="W35" s="212">
        <v>1580</v>
      </c>
      <c r="X35" s="96">
        <f t="shared" si="46"/>
        <v>6.2334055303720709E-3</v>
      </c>
      <c r="Y35" s="212">
        <v>22730</v>
      </c>
      <c r="Z35" s="96">
        <f t="shared" si="47"/>
        <v>8.9674245383137452E-2</v>
      </c>
      <c r="AA35" s="212">
        <v>17753</v>
      </c>
      <c r="AB35" s="96">
        <f t="shared" si="48"/>
        <v>7.0039017962465436E-2</v>
      </c>
      <c r="AC35" s="101">
        <f t="shared" si="49"/>
        <v>40483</v>
      </c>
      <c r="AD35" s="96">
        <f t="shared" si="50"/>
        <v>0.15971326334560287</v>
      </c>
      <c r="AE35" s="212">
        <v>20732</v>
      </c>
      <c r="AF35" s="96">
        <f t="shared" si="51"/>
        <v>8.1791749022578339E-2</v>
      </c>
      <c r="AG35" s="212">
        <v>17422</v>
      </c>
      <c r="AH35" s="96">
        <f t="shared" si="52"/>
        <v>6.8733158955786217E-2</v>
      </c>
      <c r="AI35" s="212">
        <v>47162</v>
      </c>
      <c r="AJ35" s="96">
        <f t="shared" si="53"/>
        <v>0.18606320988823266</v>
      </c>
      <c r="AK35" s="212">
        <v>21524</v>
      </c>
      <c r="AL35" s="96">
        <f t="shared" si="36"/>
        <v>8.4916342174511689E-2</v>
      </c>
    </row>
    <row r="36" spans="2:38" ht="14.25">
      <c r="B36" s="79"/>
      <c r="C36" s="75"/>
      <c r="D36" s="269">
        <f t="shared" si="54"/>
        <v>46172</v>
      </c>
      <c r="E36" s="269" t="s">
        <v>464</v>
      </c>
      <c r="F36" s="84">
        <f t="shared" si="20"/>
        <v>262061</v>
      </c>
      <c r="G36" s="271"/>
      <c r="H36" s="308"/>
      <c r="I36" s="212">
        <v>33193</v>
      </c>
      <c r="J36" s="96">
        <f t="shared" si="37"/>
        <v>0.12666134983839641</v>
      </c>
      <c r="K36" s="212">
        <v>43858</v>
      </c>
      <c r="L36" s="96">
        <f t="shared" si="38"/>
        <v>0.16735798153864939</v>
      </c>
      <c r="M36" s="101">
        <f t="shared" si="39"/>
        <v>77051</v>
      </c>
      <c r="N36" s="96">
        <f t="shared" si="40"/>
        <v>0.29401933137704578</v>
      </c>
      <c r="O36" s="212">
        <v>4535</v>
      </c>
      <c r="P36" s="96">
        <f t="shared" si="41"/>
        <v>1.7305131248068199E-2</v>
      </c>
      <c r="Q36" s="212"/>
      <c r="R36" s="96">
        <f t="shared" si="42"/>
        <v>0</v>
      </c>
      <c r="S36" s="101">
        <f t="shared" si="43"/>
        <v>4535</v>
      </c>
      <c r="T36" s="96">
        <f t="shared" si="44"/>
        <v>1.7305131248068199E-2</v>
      </c>
      <c r="U36" s="212">
        <v>26605</v>
      </c>
      <c r="V36" s="96">
        <f t="shared" si="45"/>
        <v>0.10152216468684772</v>
      </c>
      <c r="W36" s="212">
        <v>1818</v>
      </c>
      <c r="X36" s="96">
        <f t="shared" si="46"/>
        <v>6.937316121055785E-3</v>
      </c>
      <c r="Y36" s="212">
        <v>23645</v>
      </c>
      <c r="Z36" s="96">
        <f t="shared" si="47"/>
        <v>9.0227084533753596E-2</v>
      </c>
      <c r="AA36" s="212">
        <v>19471</v>
      </c>
      <c r="AB36" s="96">
        <f t="shared" si="48"/>
        <v>7.4299495155708023E-2</v>
      </c>
      <c r="AC36" s="101">
        <f t="shared" si="49"/>
        <v>43116</v>
      </c>
      <c r="AD36" s="96">
        <f t="shared" si="50"/>
        <v>0.16452657968946161</v>
      </c>
      <c r="AE36" s="212">
        <v>23221</v>
      </c>
      <c r="AF36" s="96">
        <f t="shared" si="51"/>
        <v>8.8609140619931998E-2</v>
      </c>
      <c r="AG36" s="212">
        <v>20421</v>
      </c>
      <c r="AH36" s="96">
        <f t="shared" si="52"/>
        <v>7.7924605339978095E-2</v>
      </c>
      <c r="AI36" s="212">
        <v>41617</v>
      </c>
      <c r="AJ36" s="96">
        <f t="shared" si="53"/>
        <v>0.15880653740922915</v>
      </c>
      <c r="AK36" s="212">
        <v>23677</v>
      </c>
      <c r="AL36" s="96">
        <f t="shared" si="36"/>
        <v>9.0349193508381637E-2</v>
      </c>
    </row>
    <row r="37" spans="2:38" ht="14.25">
      <c r="B37" s="79"/>
      <c r="C37" s="75"/>
      <c r="D37" s="269">
        <f t="shared" si="54"/>
        <v>46173</v>
      </c>
      <c r="E37" s="269" t="s">
        <v>465</v>
      </c>
      <c r="F37" s="84">
        <f t="shared" si="20"/>
        <v>307771</v>
      </c>
      <c r="G37" s="271"/>
      <c r="H37" s="308"/>
      <c r="I37" s="212">
        <v>41146</v>
      </c>
      <c r="J37" s="96">
        <f t="shared" si="37"/>
        <v>0.13369030870354906</v>
      </c>
      <c r="K37" s="212">
        <v>48409</v>
      </c>
      <c r="L37" s="96">
        <f t="shared" si="38"/>
        <v>0.15728902333228276</v>
      </c>
      <c r="M37" s="101">
        <f t="shared" si="39"/>
        <v>89555</v>
      </c>
      <c r="N37" s="96">
        <f t="shared" si="40"/>
        <v>0.29097933203583182</v>
      </c>
      <c r="O37" s="212">
        <v>5511</v>
      </c>
      <c r="P37" s="96">
        <f t="shared" si="41"/>
        <v>1.790617049689542E-2</v>
      </c>
      <c r="Q37" s="212"/>
      <c r="R37" s="96">
        <f t="shared" ref="R37" si="55">Q37/D37</f>
        <v>0</v>
      </c>
      <c r="S37" s="101">
        <f t="shared" si="43"/>
        <v>5511</v>
      </c>
      <c r="T37" s="96">
        <f t="shared" si="44"/>
        <v>1.790617049689542E-2</v>
      </c>
      <c r="U37" s="212">
        <v>33597</v>
      </c>
      <c r="V37" s="96">
        <f t="shared" si="45"/>
        <v>0.10916233173365912</v>
      </c>
      <c r="W37" s="212">
        <v>2148</v>
      </c>
      <c r="X37" s="96">
        <f t="shared" si="46"/>
        <v>6.9792150657469352E-3</v>
      </c>
      <c r="Y37" s="212">
        <v>27102</v>
      </c>
      <c r="Z37" s="96">
        <f t="shared" si="47"/>
        <v>8.80589789161422E-2</v>
      </c>
      <c r="AA37" s="212">
        <v>21922</v>
      </c>
      <c r="AB37" s="96">
        <f t="shared" ref="AB37" si="56">AA37/D37</f>
        <v>0.4747796331189223</v>
      </c>
      <c r="AC37" s="101">
        <f t="shared" si="49"/>
        <v>49024</v>
      </c>
      <c r="AD37" s="96">
        <f t="shared" si="50"/>
        <v>0.1592872622826712</v>
      </c>
      <c r="AE37" s="212">
        <v>28798</v>
      </c>
      <c r="AF37" s="96">
        <f t="shared" si="51"/>
        <v>9.3569569582579254E-2</v>
      </c>
      <c r="AG37" s="212">
        <v>24889</v>
      </c>
      <c r="AH37" s="96">
        <f t="shared" si="52"/>
        <v>8.0868567863768837E-2</v>
      </c>
      <c r="AI37" s="212">
        <v>46034</v>
      </c>
      <c r="AJ37" s="96">
        <f t="shared" si="53"/>
        <v>0.14957224689785587</v>
      </c>
      <c r="AK37" s="212">
        <v>28215</v>
      </c>
      <c r="AL37" s="96">
        <f t="shared" si="36"/>
        <v>9.1675304040991515E-2</v>
      </c>
    </row>
    <row r="38" spans="2:38" ht="14.25">
      <c r="B38" s="79"/>
      <c r="C38" s="75"/>
      <c r="D38" s="269">
        <f t="shared" si="54"/>
        <v>46174</v>
      </c>
      <c r="E38" s="269" t="s">
        <v>459</v>
      </c>
      <c r="F38" s="84">
        <f t="shared" si="20"/>
        <v>293386</v>
      </c>
      <c r="G38" s="271"/>
      <c r="H38" s="308"/>
      <c r="I38" s="212">
        <v>40188</v>
      </c>
      <c r="J38" s="96">
        <f t="shared" ref="J38:J41" si="57">I38/F38</f>
        <v>0.13697995132692084</v>
      </c>
      <c r="K38" s="212">
        <v>47322</v>
      </c>
      <c r="L38" s="96">
        <f t="shared" ref="L38:L41" si="58">K38/F38</f>
        <v>0.16129604002917658</v>
      </c>
      <c r="M38" s="101">
        <f t="shared" ref="M38:M41" si="59">SUM(I38+K38)</f>
        <v>87510</v>
      </c>
      <c r="N38" s="96">
        <f t="shared" ref="N38:N41" si="60">M38/F38</f>
        <v>0.29827599135609745</v>
      </c>
      <c r="O38" s="212">
        <v>5467</v>
      </c>
      <c r="P38" s="96">
        <f t="shared" ref="P38:P41" si="61">O38/F38</f>
        <v>1.8634154322292134E-2</v>
      </c>
      <c r="Q38" s="212"/>
      <c r="R38" s="96">
        <f t="shared" ref="R38:R45" si="62">Q38/F38</f>
        <v>0</v>
      </c>
      <c r="S38" s="101">
        <f t="shared" ref="S38:S45" si="63">SUM(O38+Q38)</f>
        <v>5467</v>
      </c>
      <c r="T38" s="96">
        <f t="shared" ref="T38:T41" si="64">S38/F38</f>
        <v>1.8634154322292134E-2</v>
      </c>
      <c r="U38" s="212">
        <v>33031</v>
      </c>
      <c r="V38" s="96">
        <f t="shared" ref="V38:V41" si="65">U38/F38</f>
        <v>0.11258546760922471</v>
      </c>
      <c r="W38" s="212">
        <v>2315</v>
      </c>
      <c r="X38" s="96">
        <f t="shared" ref="X38:X41" si="66">W38/F38</f>
        <v>7.8906287280238324E-3</v>
      </c>
      <c r="Y38" s="212">
        <v>26027</v>
      </c>
      <c r="Z38" s="96">
        <f t="shared" ref="Z38:Z41" si="67">Y38/F38</f>
        <v>8.8712481168153903E-2</v>
      </c>
      <c r="AA38" s="212">
        <v>22114</v>
      </c>
      <c r="AB38" s="96">
        <f t="shared" ref="AB38:AB45" si="68">AA38/F38</f>
        <v>7.5375103106487693E-2</v>
      </c>
      <c r="AC38" s="101">
        <f t="shared" ref="AC38:AC41" si="69">SUM(Y38+AA38)</f>
        <v>48141</v>
      </c>
      <c r="AD38" s="96">
        <f t="shared" ref="AD38:AD41" si="70">AC38/F38</f>
        <v>0.1640875842746416</v>
      </c>
      <c r="AE38" s="212">
        <v>27977</v>
      </c>
      <c r="AF38" s="96">
        <f t="shared" ref="AF38:AF41" si="71">AE38/F38</f>
        <v>9.5359015085927756E-2</v>
      </c>
      <c r="AG38" s="212">
        <v>21515</v>
      </c>
      <c r="AH38" s="96">
        <f t="shared" ref="AH38:AH41" si="72">AG38/F38</f>
        <v>7.3333424226104865E-2</v>
      </c>
      <c r="AI38" s="212">
        <v>38330</v>
      </c>
      <c r="AJ38" s="96">
        <f t="shared" ref="AJ38:AJ41" si="73">AI38/F38</f>
        <v>0.13064699747090863</v>
      </c>
      <c r="AK38" s="212">
        <v>29100</v>
      </c>
      <c r="AL38" s="96">
        <f t="shared" si="36"/>
        <v>9.9186736926779054E-2</v>
      </c>
    </row>
    <row r="39" spans="2:38" s="301" customFormat="1" ht="14.25">
      <c r="B39" s="300"/>
      <c r="D39" s="269"/>
      <c r="E39" s="269"/>
      <c r="F39" s="302">
        <f t="shared" si="20"/>
        <v>0</v>
      </c>
      <c r="G39" s="303"/>
      <c r="H39" s="308"/>
      <c r="I39" s="304"/>
      <c r="J39" s="305" t="e">
        <f t="shared" si="57"/>
        <v>#DIV/0!</v>
      </c>
      <c r="K39" s="304"/>
      <c r="L39" s="305" t="e">
        <f t="shared" si="58"/>
        <v>#DIV/0!</v>
      </c>
      <c r="M39" s="306">
        <f t="shared" si="59"/>
        <v>0</v>
      </c>
      <c r="N39" s="305" t="e">
        <f t="shared" si="60"/>
        <v>#DIV/0!</v>
      </c>
      <c r="O39" s="304"/>
      <c r="P39" s="305" t="e">
        <f t="shared" si="61"/>
        <v>#DIV/0!</v>
      </c>
      <c r="Q39" s="304"/>
      <c r="R39" s="305" t="e">
        <f t="shared" si="62"/>
        <v>#DIV/0!</v>
      </c>
      <c r="S39" s="306">
        <f t="shared" si="63"/>
        <v>0</v>
      </c>
      <c r="T39" s="305" t="e">
        <f t="shared" si="64"/>
        <v>#DIV/0!</v>
      </c>
      <c r="U39" s="304"/>
      <c r="V39" s="305" t="e">
        <f t="shared" si="65"/>
        <v>#DIV/0!</v>
      </c>
      <c r="W39" s="304"/>
      <c r="X39" s="305" t="e">
        <f t="shared" si="66"/>
        <v>#DIV/0!</v>
      </c>
      <c r="Y39" s="304"/>
      <c r="Z39" s="305" t="e">
        <f t="shared" si="67"/>
        <v>#DIV/0!</v>
      </c>
      <c r="AA39" s="304"/>
      <c r="AB39" s="305" t="e">
        <f t="shared" si="68"/>
        <v>#DIV/0!</v>
      </c>
      <c r="AC39" s="306">
        <f t="shared" si="69"/>
        <v>0</v>
      </c>
      <c r="AD39" s="305" t="e">
        <f t="shared" si="70"/>
        <v>#DIV/0!</v>
      </c>
      <c r="AE39" s="304"/>
      <c r="AF39" s="305" t="e">
        <f t="shared" si="71"/>
        <v>#DIV/0!</v>
      </c>
      <c r="AG39" s="304"/>
      <c r="AH39" s="305" t="e">
        <f t="shared" si="72"/>
        <v>#DIV/0!</v>
      </c>
      <c r="AI39" s="304"/>
      <c r="AJ39" s="305" t="e">
        <f t="shared" si="73"/>
        <v>#DIV/0!</v>
      </c>
      <c r="AK39" s="304"/>
      <c r="AL39" s="305" t="e">
        <f t="shared" si="36"/>
        <v>#DIV/0!</v>
      </c>
    </row>
    <row r="40" spans="2:38" ht="14.25">
      <c r="B40" s="79"/>
      <c r="C40" s="75"/>
      <c r="D40" s="269"/>
      <c r="E40" s="269"/>
      <c r="F40" s="84">
        <f t="shared" si="20"/>
        <v>0</v>
      </c>
      <c r="G40" s="271"/>
      <c r="H40" s="84"/>
      <c r="I40" s="212"/>
      <c r="J40" s="96" t="e">
        <f t="shared" si="57"/>
        <v>#DIV/0!</v>
      </c>
      <c r="K40" s="212"/>
      <c r="L40" s="96" t="e">
        <f t="shared" si="58"/>
        <v>#DIV/0!</v>
      </c>
      <c r="M40" s="101">
        <f t="shared" si="59"/>
        <v>0</v>
      </c>
      <c r="N40" s="96" t="e">
        <f t="shared" si="60"/>
        <v>#DIV/0!</v>
      </c>
      <c r="O40" s="212"/>
      <c r="P40" s="96" t="e">
        <f t="shared" si="61"/>
        <v>#DIV/0!</v>
      </c>
      <c r="Q40" s="212"/>
      <c r="R40" s="96" t="e">
        <f t="shared" si="62"/>
        <v>#DIV/0!</v>
      </c>
      <c r="S40" s="101">
        <f t="shared" si="63"/>
        <v>0</v>
      </c>
      <c r="T40" s="96" t="e">
        <f t="shared" si="64"/>
        <v>#DIV/0!</v>
      </c>
      <c r="U40" s="212"/>
      <c r="V40" s="96" t="e">
        <f t="shared" si="65"/>
        <v>#DIV/0!</v>
      </c>
      <c r="W40" s="212"/>
      <c r="X40" s="96" t="e">
        <f t="shared" si="66"/>
        <v>#DIV/0!</v>
      </c>
      <c r="Y40" s="212"/>
      <c r="Z40" s="96" t="e">
        <f t="shared" si="67"/>
        <v>#DIV/0!</v>
      </c>
      <c r="AA40" s="212"/>
      <c r="AB40" s="96" t="e">
        <f t="shared" si="68"/>
        <v>#DIV/0!</v>
      </c>
      <c r="AC40" s="101">
        <f t="shared" si="69"/>
        <v>0</v>
      </c>
      <c r="AD40" s="96" t="e">
        <f t="shared" si="70"/>
        <v>#DIV/0!</v>
      </c>
      <c r="AE40" s="212"/>
      <c r="AF40" s="96" t="e">
        <f t="shared" si="71"/>
        <v>#DIV/0!</v>
      </c>
      <c r="AG40" s="212"/>
      <c r="AH40" s="96" t="e">
        <f t="shared" si="72"/>
        <v>#DIV/0!</v>
      </c>
      <c r="AI40" s="212"/>
      <c r="AJ40" s="96" t="e">
        <f t="shared" si="73"/>
        <v>#DIV/0!</v>
      </c>
      <c r="AK40" s="212"/>
      <c r="AL40" s="96" t="e">
        <f t="shared" si="36"/>
        <v>#DIV/0!</v>
      </c>
    </row>
    <row r="41" spans="2:38" ht="14.25">
      <c r="B41" s="79"/>
      <c r="C41" s="75"/>
      <c r="D41" s="269"/>
      <c r="E41" s="320"/>
      <c r="F41" s="84">
        <f t="shared" si="20"/>
        <v>0</v>
      </c>
      <c r="G41" s="271"/>
      <c r="H41" s="84"/>
      <c r="I41" s="212"/>
      <c r="J41" s="96" t="e">
        <f t="shared" si="57"/>
        <v>#DIV/0!</v>
      </c>
      <c r="K41" s="212"/>
      <c r="L41" s="96" t="e">
        <f t="shared" si="58"/>
        <v>#DIV/0!</v>
      </c>
      <c r="M41" s="101">
        <f t="shared" si="59"/>
        <v>0</v>
      </c>
      <c r="N41" s="96" t="e">
        <f t="shared" si="60"/>
        <v>#DIV/0!</v>
      </c>
      <c r="O41" s="212"/>
      <c r="P41" s="96" t="e">
        <f t="shared" si="61"/>
        <v>#DIV/0!</v>
      </c>
      <c r="Q41" s="212"/>
      <c r="R41" s="96" t="e">
        <f t="shared" si="62"/>
        <v>#DIV/0!</v>
      </c>
      <c r="S41" s="101">
        <f t="shared" si="63"/>
        <v>0</v>
      </c>
      <c r="T41" s="96" t="e">
        <f t="shared" si="64"/>
        <v>#DIV/0!</v>
      </c>
      <c r="U41" s="212"/>
      <c r="V41" s="96" t="e">
        <f t="shared" si="65"/>
        <v>#DIV/0!</v>
      </c>
      <c r="W41" s="212"/>
      <c r="X41" s="96" t="e">
        <f t="shared" si="66"/>
        <v>#DIV/0!</v>
      </c>
      <c r="Y41" s="212"/>
      <c r="Z41" s="96" t="e">
        <f t="shared" si="67"/>
        <v>#DIV/0!</v>
      </c>
      <c r="AA41" s="212"/>
      <c r="AB41" s="96" t="e">
        <f t="shared" si="68"/>
        <v>#DIV/0!</v>
      </c>
      <c r="AC41" s="101">
        <f t="shared" si="69"/>
        <v>0</v>
      </c>
      <c r="AD41" s="96" t="e">
        <f t="shared" si="70"/>
        <v>#DIV/0!</v>
      </c>
      <c r="AE41" s="212"/>
      <c r="AF41" s="96" t="e">
        <f t="shared" si="71"/>
        <v>#DIV/0!</v>
      </c>
      <c r="AG41" s="212"/>
      <c r="AH41" s="96" t="e">
        <f t="shared" si="72"/>
        <v>#DIV/0!</v>
      </c>
      <c r="AI41" s="212"/>
      <c r="AJ41" s="96" t="e">
        <f t="shared" si="73"/>
        <v>#DIV/0!</v>
      </c>
      <c r="AK41" s="212"/>
      <c r="AL41" s="96" t="e">
        <f t="shared" si="36"/>
        <v>#DIV/0!</v>
      </c>
    </row>
    <row r="42" spans="2:38" ht="14.25">
      <c r="B42" s="79"/>
      <c r="C42" s="75"/>
      <c r="D42" s="269"/>
      <c r="E42" s="320"/>
      <c r="F42" s="84">
        <f t="shared" si="20"/>
        <v>0</v>
      </c>
      <c r="G42" s="271"/>
      <c r="H42" s="84"/>
      <c r="I42" s="212"/>
      <c r="J42" s="96" t="e">
        <f>I42/F42</f>
        <v>#DIV/0!</v>
      </c>
      <c r="K42" s="212"/>
      <c r="L42" s="96" t="e">
        <f>K42/F42</f>
        <v>#DIV/0!</v>
      </c>
      <c r="M42" s="101">
        <f>SUM(I42+K42)</f>
        <v>0</v>
      </c>
      <c r="N42" s="96" t="e">
        <f>M42/F42</f>
        <v>#DIV/0!</v>
      </c>
      <c r="O42" s="212"/>
      <c r="P42" s="96" t="e">
        <f>O42/F42</f>
        <v>#DIV/0!</v>
      </c>
      <c r="Q42" s="212"/>
      <c r="R42" s="96" t="e">
        <f t="shared" si="62"/>
        <v>#DIV/0!</v>
      </c>
      <c r="S42" s="101">
        <f t="shared" si="63"/>
        <v>0</v>
      </c>
      <c r="T42" s="96" t="e">
        <f>S42/F42</f>
        <v>#DIV/0!</v>
      </c>
      <c r="U42" s="212"/>
      <c r="V42" s="96" t="e">
        <f>U42/F42</f>
        <v>#DIV/0!</v>
      </c>
      <c r="W42" s="212"/>
      <c r="X42" s="96" t="e">
        <f>W42/F42</f>
        <v>#DIV/0!</v>
      </c>
      <c r="Y42" s="212"/>
      <c r="Z42" s="96" t="e">
        <f>Y42/F42</f>
        <v>#DIV/0!</v>
      </c>
      <c r="AA42" s="212"/>
      <c r="AB42" s="96" t="e">
        <f t="shared" si="68"/>
        <v>#DIV/0!</v>
      </c>
      <c r="AC42" s="101">
        <f>SUM(Y42+AA42)</f>
        <v>0</v>
      </c>
      <c r="AD42" s="96" t="e">
        <f>AC42/F42</f>
        <v>#DIV/0!</v>
      </c>
      <c r="AE42" s="212"/>
      <c r="AF42" s="96" t="e">
        <f>AE42/F42</f>
        <v>#DIV/0!</v>
      </c>
      <c r="AG42" s="212"/>
      <c r="AH42" s="96" t="e">
        <f>AG42/F42</f>
        <v>#DIV/0!</v>
      </c>
      <c r="AI42" s="212"/>
      <c r="AJ42" s="96" t="e">
        <f>AI42/F42</f>
        <v>#DIV/0!</v>
      </c>
      <c r="AK42" s="212"/>
      <c r="AL42" s="96" t="e">
        <f>AK42/F42</f>
        <v>#DIV/0!</v>
      </c>
    </row>
    <row r="43" spans="2:38" ht="14.25">
      <c r="B43" s="79"/>
      <c r="C43" s="75"/>
      <c r="D43" s="269"/>
      <c r="E43" s="320"/>
      <c r="F43" s="84">
        <f t="shared" ref="F43" si="74">SUM(M43,S43,U43,W43,AC43,AE43,AG43,AI43,AK43)</f>
        <v>0</v>
      </c>
      <c r="G43" s="271"/>
      <c r="H43" s="84"/>
      <c r="I43" s="212"/>
      <c r="J43" s="96" t="e">
        <f>I43/F43</f>
        <v>#DIV/0!</v>
      </c>
      <c r="K43" s="212"/>
      <c r="L43" s="96" t="e">
        <f>K43/F43</f>
        <v>#DIV/0!</v>
      </c>
      <c r="M43" s="101">
        <f>SUM(I43+K43)</f>
        <v>0</v>
      </c>
      <c r="N43" s="96" t="e">
        <f>M43/F43</f>
        <v>#DIV/0!</v>
      </c>
      <c r="O43" s="212"/>
      <c r="P43" s="96" t="e">
        <f>O43/F43</f>
        <v>#DIV/0!</v>
      </c>
      <c r="Q43" s="212"/>
      <c r="R43" s="96" t="e">
        <f t="shared" si="62"/>
        <v>#DIV/0!</v>
      </c>
      <c r="S43" s="101">
        <f t="shared" ref="S43" si="75">SUM(O43+Q43)</f>
        <v>0</v>
      </c>
      <c r="T43" s="96" t="e">
        <f>S43/F43</f>
        <v>#DIV/0!</v>
      </c>
      <c r="U43" s="212"/>
      <c r="V43" s="96" t="e">
        <f>U43/F43</f>
        <v>#DIV/0!</v>
      </c>
      <c r="W43" s="212"/>
      <c r="X43" s="96" t="e">
        <f>W43/F43</f>
        <v>#DIV/0!</v>
      </c>
      <c r="Y43" s="212"/>
      <c r="Z43" s="96" t="e">
        <f>Y43/F43</f>
        <v>#DIV/0!</v>
      </c>
      <c r="AA43" s="212"/>
      <c r="AB43" s="96" t="e">
        <f t="shared" si="68"/>
        <v>#DIV/0!</v>
      </c>
      <c r="AC43" s="101">
        <f>SUM(Y43+AA43)</f>
        <v>0</v>
      </c>
      <c r="AD43" s="96" t="e">
        <f>AC43/F43</f>
        <v>#DIV/0!</v>
      </c>
      <c r="AE43" s="212"/>
      <c r="AF43" s="96" t="e">
        <f>AE43/F43</f>
        <v>#DIV/0!</v>
      </c>
      <c r="AG43" s="212"/>
      <c r="AH43" s="96" t="e">
        <f>AG43/F43</f>
        <v>#DIV/0!</v>
      </c>
      <c r="AI43" s="212"/>
      <c r="AJ43" s="96" t="e">
        <f>AI43/F43</f>
        <v>#DIV/0!</v>
      </c>
      <c r="AK43" s="212"/>
      <c r="AL43" s="96" t="e">
        <f>AK43/F43</f>
        <v>#DIV/0!</v>
      </c>
    </row>
    <row r="44" spans="2:38" ht="14.25">
      <c r="B44" s="79"/>
      <c r="C44" s="75"/>
      <c r="D44" s="82"/>
      <c r="E44" s="82"/>
      <c r="F44" s="84">
        <f t="shared" si="20"/>
        <v>0</v>
      </c>
      <c r="G44" s="271"/>
      <c r="H44" s="84"/>
      <c r="I44" s="212"/>
      <c r="J44" s="96" t="e">
        <f>I44/F44</f>
        <v>#DIV/0!</v>
      </c>
      <c r="K44" s="212"/>
      <c r="L44" s="96" t="e">
        <f>K44/F44</f>
        <v>#DIV/0!</v>
      </c>
      <c r="M44" s="101">
        <f>SUM(I44+K44)</f>
        <v>0</v>
      </c>
      <c r="N44" s="96" t="e">
        <f>M44/F44</f>
        <v>#DIV/0!</v>
      </c>
      <c r="O44" s="212"/>
      <c r="P44" s="96" t="e">
        <f>O44/F44</f>
        <v>#DIV/0!</v>
      </c>
      <c r="Q44" s="212"/>
      <c r="R44" s="96" t="e">
        <f t="shared" si="62"/>
        <v>#DIV/0!</v>
      </c>
      <c r="S44" s="101">
        <f t="shared" si="63"/>
        <v>0</v>
      </c>
      <c r="T44" s="96" t="e">
        <f>S44/F44</f>
        <v>#DIV/0!</v>
      </c>
      <c r="U44" s="212"/>
      <c r="V44" s="96" t="e">
        <f>U44/F44</f>
        <v>#DIV/0!</v>
      </c>
      <c r="W44" s="212"/>
      <c r="X44" s="96" t="e">
        <f>W44/F44</f>
        <v>#DIV/0!</v>
      </c>
      <c r="Y44" s="212"/>
      <c r="Z44" s="96" t="e">
        <f>Y44/F44</f>
        <v>#DIV/0!</v>
      </c>
      <c r="AA44" s="212"/>
      <c r="AB44" s="96" t="e">
        <f t="shared" si="68"/>
        <v>#DIV/0!</v>
      </c>
      <c r="AC44" s="101">
        <f>SUM(Y44+AA44)</f>
        <v>0</v>
      </c>
      <c r="AD44" s="96" t="e">
        <f>AC44/F44</f>
        <v>#DIV/0!</v>
      </c>
      <c r="AE44" s="212"/>
      <c r="AF44" s="96" t="e">
        <f>AE44/F44</f>
        <v>#DIV/0!</v>
      </c>
      <c r="AG44" s="212"/>
      <c r="AH44" s="96" t="e">
        <f>AG44/F44</f>
        <v>#DIV/0!</v>
      </c>
      <c r="AI44" s="212"/>
      <c r="AJ44" s="96" t="e">
        <f>AI44/F44</f>
        <v>#DIV/0!</v>
      </c>
      <c r="AK44" s="212"/>
      <c r="AL44" s="96" t="e">
        <f>AK44/F44</f>
        <v>#DIV/0!</v>
      </c>
    </row>
    <row r="45" spans="2:38" ht="14.25">
      <c r="B45" s="79"/>
      <c r="C45" s="75"/>
      <c r="D45" s="82"/>
      <c r="E45" s="82"/>
      <c r="F45" s="84">
        <f t="shared" si="20"/>
        <v>0</v>
      </c>
      <c r="G45" s="271"/>
      <c r="H45" s="84"/>
      <c r="I45" s="212"/>
      <c r="J45" s="96" t="e">
        <f>I45/F45</f>
        <v>#DIV/0!</v>
      </c>
      <c r="K45" s="212"/>
      <c r="L45" s="96" t="e">
        <f>K45/F45</f>
        <v>#DIV/0!</v>
      </c>
      <c r="M45" s="101">
        <f>SUM(I45+K45)</f>
        <v>0</v>
      </c>
      <c r="N45" s="96" t="e">
        <f>M45/F45</f>
        <v>#DIV/0!</v>
      </c>
      <c r="O45" s="212"/>
      <c r="P45" s="96" t="e">
        <f>O45/F45</f>
        <v>#DIV/0!</v>
      </c>
      <c r="Q45" s="212"/>
      <c r="R45" s="96" t="e">
        <f t="shared" si="62"/>
        <v>#DIV/0!</v>
      </c>
      <c r="S45" s="101">
        <f t="shared" si="63"/>
        <v>0</v>
      </c>
      <c r="T45" s="96" t="e">
        <f>S45/F45</f>
        <v>#DIV/0!</v>
      </c>
      <c r="U45" s="212"/>
      <c r="V45" s="96" t="e">
        <f>U45/F45</f>
        <v>#DIV/0!</v>
      </c>
      <c r="W45" s="212"/>
      <c r="X45" s="96" t="e">
        <f>W45/F45</f>
        <v>#DIV/0!</v>
      </c>
      <c r="Y45" s="212"/>
      <c r="Z45" s="96" t="e">
        <f>Y45/F45</f>
        <v>#DIV/0!</v>
      </c>
      <c r="AA45" s="212"/>
      <c r="AB45" s="96" t="e">
        <f t="shared" si="68"/>
        <v>#DIV/0!</v>
      </c>
      <c r="AC45" s="101">
        <f>SUM(Y45+AA45)</f>
        <v>0</v>
      </c>
      <c r="AD45" s="96" t="e">
        <f>AC45/F45</f>
        <v>#DIV/0!</v>
      </c>
      <c r="AE45" s="212"/>
      <c r="AF45" s="96" t="e">
        <f>AE45/F45</f>
        <v>#DIV/0!</v>
      </c>
      <c r="AG45" s="212"/>
      <c r="AH45" s="96" t="e">
        <f>AG45/F45</f>
        <v>#DIV/0!</v>
      </c>
      <c r="AI45" s="212"/>
      <c r="AJ45" s="96" t="e">
        <f>AI45/F45</f>
        <v>#DIV/0!</v>
      </c>
      <c r="AK45" s="212"/>
      <c r="AL45" s="96" t="e">
        <f>AK45/F45</f>
        <v>#DIV/0!</v>
      </c>
    </row>
    <row r="46" spans="2:38" ht="14.25">
      <c r="B46" s="79"/>
      <c r="C46" s="75"/>
      <c r="D46" s="78"/>
      <c r="F46" s="84"/>
      <c r="G46" s="84"/>
      <c r="H46" s="84"/>
      <c r="I46" s="247">
        <f>SUM(I7:I44)</f>
        <v>1164126</v>
      </c>
      <c r="J46" s="246">
        <f>I46/$H$12</f>
        <v>0.14056693298641371</v>
      </c>
      <c r="K46" s="247">
        <f>SUM(K7:K44)</f>
        <v>1439154</v>
      </c>
      <c r="L46" s="246">
        <f>K46/$H$12</f>
        <v>0.17377626122527048</v>
      </c>
      <c r="M46" s="247">
        <f>SUM(M7:M44)</f>
        <v>2603280</v>
      </c>
      <c r="N46" s="246">
        <f>M46/$H$12</f>
        <v>0.31434319421168416</v>
      </c>
      <c r="O46" s="247">
        <f>SUM(O7:O44)</f>
        <v>174202</v>
      </c>
      <c r="P46" s="246">
        <f>O46/$H$12</f>
        <v>2.1034699731901221E-2</v>
      </c>
      <c r="Q46" s="247">
        <f>SUM(Q7:Q44)</f>
        <v>0</v>
      </c>
      <c r="R46" s="246">
        <f>Q46/$H$12</f>
        <v>0</v>
      </c>
      <c r="S46" s="247">
        <f>SUM(S7:S44)</f>
        <v>174202</v>
      </c>
      <c r="T46" s="246">
        <f>S46/$H$12</f>
        <v>2.1034699731901221E-2</v>
      </c>
      <c r="U46" s="247">
        <f>SUM(U7:U44)</f>
        <v>958623</v>
      </c>
      <c r="V46" s="246">
        <f>U46/$H$12</f>
        <v>0.1157526719618279</v>
      </c>
      <c r="W46" s="247">
        <f>SUM(W7:W44)</f>
        <v>118492</v>
      </c>
      <c r="X46" s="246">
        <f>W46/$H$12</f>
        <v>1.4307778559559817E-2</v>
      </c>
      <c r="Y46" s="247">
        <f>SUM(Y7:Y44)</f>
        <v>813049</v>
      </c>
      <c r="Z46" s="246">
        <f>Y46/$H$12</f>
        <v>9.8174771715149961E-2</v>
      </c>
      <c r="AA46" s="247">
        <f>SUM(AA7:AA44)</f>
        <v>654949</v>
      </c>
      <c r="AB46" s="246">
        <f>AA46/$H$12</f>
        <v>7.9084370757562902E-2</v>
      </c>
      <c r="AC46" s="247">
        <f>SUM(AC7:AC44)</f>
        <v>1467998</v>
      </c>
      <c r="AD46" s="246">
        <f>AC46/$H$12</f>
        <v>0.17725914247271285</v>
      </c>
      <c r="AE46" s="247">
        <f>SUM(AE7:AE44)</f>
        <v>815769</v>
      </c>
      <c r="AF46" s="246">
        <f>AE46/$H$12</f>
        <v>9.8503208720871899E-2</v>
      </c>
      <c r="AG46" s="247">
        <f>SUM(AG7:AG44)</f>
        <v>618651</v>
      </c>
      <c r="AH46" s="246">
        <f>AG46/$H$12</f>
        <v>7.4701427215763436E-2</v>
      </c>
      <c r="AI46" s="247">
        <f>SUM(AI7:AI44)</f>
        <v>1013669</v>
      </c>
      <c r="AJ46" s="246">
        <f>AI46/$H$12</f>
        <v>0.12239941586512541</v>
      </c>
      <c r="AK46" s="247">
        <f>SUM(AK7:AK44)</f>
        <v>804351</v>
      </c>
      <c r="AL46" s="246">
        <f>AK46/$H$12</f>
        <v>9.7124497790234771E-2</v>
      </c>
    </row>
    <row r="47" spans="2:38" ht="14.25">
      <c r="B47" s="79"/>
      <c r="C47" s="75"/>
      <c r="D47" s="78"/>
      <c r="F47" s="84"/>
      <c r="G47" s="84"/>
      <c r="H47" s="84"/>
      <c r="M47" s="248">
        <f>M46</f>
        <v>2603280</v>
      </c>
      <c r="S47" s="248">
        <f>S46</f>
        <v>174202</v>
      </c>
      <c r="U47" s="248">
        <f>U46</f>
        <v>958623</v>
      </c>
      <c r="W47" s="248">
        <f>W46</f>
        <v>118492</v>
      </c>
      <c r="Y47" s="248"/>
      <c r="AA47" s="248"/>
      <c r="AC47" s="248">
        <f>AC46</f>
        <v>1467998</v>
      </c>
      <c r="AE47" s="248">
        <f>AE46</f>
        <v>815769</v>
      </c>
      <c r="AG47" s="248">
        <f>AG46</f>
        <v>618651</v>
      </c>
      <c r="AI47" s="248">
        <f>AI46</f>
        <v>1013669</v>
      </c>
      <c r="AK47" s="248">
        <f>AK46</f>
        <v>804351</v>
      </c>
    </row>
    <row r="48" spans="2:38" ht="14.25">
      <c r="B48" s="79"/>
      <c r="C48" s="75"/>
      <c r="D48" s="78"/>
      <c r="F48" s="84"/>
      <c r="G48" s="84"/>
      <c r="H48" s="84"/>
    </row>
    <row r="49" spans="2:8" ht="14.25">
      <c r="B49" s="79"/>
      <c r="C49" s="75"/>
      <c r="D49" s="78"/>
      <c r="F49" s="84"/>
      <c r="G49" s="84"/>
      <c r="H49" s="84"/>
    </row>
    <row r="50" spans="2:8" ht="14.25">
      <c r="B50" s="79"/>
      <c r="C50" s="75"/>
      <c r="D50" s="78"/>
    </row>
    <row r="51" spans="2:8" ht="14.25">
      <c r="B51" s="79"/>
      <c r="C51" s="75"/>
      <c r="D51" s="78"/>
    </row>
    <row r="52" spans="2:8" ht="14.25">
      <c r="B52" s="79"/>
      <c r="C52" s="75"/>
      <c r="D52" s="78"/>
    </row>
    <row r="53" spans="2:8" ht="14.25">
      <c r="B53" s="79"/>
      <c r="C53" s="75"/>
      <c r="D53" s="78"/>
    </row>
    <row r="54" spans="2:8" ht="14.25">
      <c r="B54" s="79"/>
      <c r="C54" s="75"/>
      <c r="D54" s="78"/>
    </row>
    <row r="55" spans="2:8" ht="14.25">
      <c r="B55" s="79"/>
      <c r="C55" s="75"/>
      <c r="D55" s="78"/>
    </row>
    <row r="56" spans="2:8" ht="14.25">
      <c r="B56" s="79"/>
      <c r="C56" s="75"/>
      <c r="D56" s="78"/>
    </row>
    <row r="57" spans="2:8" ht="14.25">
      <c r="B57" s="79"/>
      <c r="C57" s="75"/>
      <c r="D57" s="78"/>
    </row>
    <row r="58" spans="2:8" ht="14.25">
      <c r="B58" s="79"/>
      <c r="C58" s="75"/>
      <c r="D58" s="78"/>
    </row>
    <row r="59" spans="2:8" ht="14.25">
      <c r="B59" s="79"/>
      <c r="C59" s="75"/>
      <c r="D59" s="78"/>
    </row>
    <row r="60" spans="2:8" ht="14.25">
      <c r="B60" s="79"/>
      <c r="C60" s="75"/>
      <c r="D60" s="78"/>
    </row>
    <row r="61" spans="2:8" ht="14.25">
      <c r="B61" s="79"/>
      <c r="C61" s="75"/>
      <c r="D61" s="78"/>
    </row>
    <row r="62" spans="2:8" ht="14.25">
      <c r="B62" s="79"/>
      <c r="C62" s="75"/>
      <c r="D62" s="78"/>
    </row>
    <row r="63" spans="2:8" ht="14.25">
      <c r="B63" s="79"/>
      <c r="C63" s="75"/>
      <c r="D63" s="78"/>
    </row>
    <row r="64" spans="2:8" ht="14.25">
      <c r="B64" s="79"/>
      <c r="C64" s="75"/>
      <c r="D64" s="78"/>
    </row>
    <row r="65" spans="2:4" ht="14.25">
      <c r="B65" s="79"/>
      <c r="C65" s="75"/>
      <c r="D65" s="78"/>
    </row>
    <row r="66" spans="2:4" ht="14.25">
      <c r="B66" s="79"/>
      <c r="C66" s="75"/>
      <c r="D66" s="78"/>
    </row>
    <row r="67" spans="2:4" ht="14.25">
      <c r="B67" s="79"/>
      <c r="C67" s="75"/>
      <c r="D67" s="78"/>
    </row>
    <row r="68" spans="2:4" ht="14.25">
      <c r="B68" s="79"/>
      <c r="C68" s="75"/>
      <c r="D68" s="78"/>
    </row>
    <row r="69" spans="2:4" ht="14.25">
      <c r="B69" s="79"/>
      <c r="C69" s="75"/>
      <c r="D69" s="78"/>
    </row>
    <row r="70" spans="2:4" ht="14.25">
      <c r="B70" s="79"/>
      <c r="C70" s="75"/>
      <c r="D70" s="78"/>
    </row>
    <row r="71" spans="2:4" ht="14.25">
      <c r="B71" s="79"/>
      <c r="C71" s="75"/>
      <c r="D71" s="78"/>
    </row>
    <row r="72" spans="2:4" ht="14.25">
      <c r="B72" s="79"/>
      <c r="C72" s="75"/>
      <c r="D72" s="78"/>
    </row>
    <row r="73" spans="2:4" ht="14.25">
      <c r="B73" s="79"/>
      <c r="C73" s="75"/>
      <c r="D73" s="78"/>
    </row>
    <row r="74" spans="2:4" ht="14.25">
      <c r="B74" s="79"/>
      <c r="C74" s="75"/>
      <c r="D74" s="78"/>
    </row>
    <row r="75" spans="2:4" ht="14.25">
      <c r="B75" s="79"/>
      <c r="C75" s="75"/>
      <c r="D75" s="78"/>
    </row>
    <row r="76" spans="2:4" ht="14.25">
      <c r="B76" s="79"/>
      <c r="C76" s="75"/>
      <c r="D76" s="78"/>
    </row>
    <row r="77" spans="2:4" ht="14.25">
      <c r="B77" s="79"/>
      <c r="C77" s="75"/>
      <c r="D77" s="78"/>
    </row>
    <row r="78" spans="2:4" ht="14.25">
      <c r="B78" s="79"/>
      <c r="C78" s="75"/>
      <c r="D78" s="78"/>
    </row>
    <row r="79" spans="2:4" ht="14.25">
      <c r="B79" s="79"/>
      <c r="C79" s="75"/>
      <c r="D79" s="78"/>
    </row>
    <row r="80" spans="2:4" ht="14.25">
      <c r="B80" s="79"/>
      <c r="C80" s="75"/>
      <c r="D80" s="78"/>
    </row>
    <row r="81" spans="2:4" ht="14.25">
      <c r="B81" s="79"/>
      <c r="C81" s="75"/>
      <c r="D81" s="78"/>
    </row>
    <row r="82" spans="2:4" ht="14.25">
      <c r="B82" s="79"/>
      <c r="C82" s="75"/>
      <c r="D82" s="78"/>
    </row>
    <row r="83" spans="2:4" ht="14.25">
      <c r="B83" s="79"/>
      <c r="C83" s="75"/>
      <c r="D83" s="78"/>
    </row>
    <row r="84" spans="2:4" ht="14.25">
      <c r="B84" s="79"/>
      <c r="C84" s="75"/>
      <c r="D84" s="78"/>
    </row>
    <row r="85" spans="2:4" ht="14.25">
      <c r="B85" s="79"/>
      <c r="C85" s="75"/>
      <c r="D85" s="78"/>
    </row>
    <row r="86" spans="2:4" ht="14.25">
      <c r="B86" s="79"/>
      <c r="C86" s="75"/>
      <c r="D86" s="78"/>
    </row>
    <row r="87" spans="2:4" ht="14.25">
      <c r="B87" s="79"/>
      <c r="C87" s="75"/>
      <c r="D87" s="78"/>
    </row>
    <row r="88" spans="2:4" ht="14.25">
      <c r="B88" s="79"/>
      <c r="C88" s="75"/>
      <c r="D88" s="78"/>
    </row>
    <row r="89" spans="2:4" ht="14.25">
      <c r="B89" s="79"/>
      <c r="C89" s="75"/>
      <c r="D89" s="78"/>
    </row>
    <row r="90" spans="2:4" ht="14.25">
      <c r="B90" s="79"/>
      <c r="C90" s="75"/>
      <c r="D90" s="78"/>
    </row>
    <row r="91" spans="2:4" ht="14.25">
      <c r="B91" s="79"/>
      <c r="C91" s="75"/>
      <c r="D91" s="78"/>
    </row>
    <row r="92" spans="2:4" ht="14.25">
      <c r="B92" s="79"/>
      <c r="C92" s="75"/>
      <c r="D92" s="78"/>
    </row>
    <row r="93" spans="2:4" ht="14.25">
      <c r="B93" s="79"/>
      <c r="C93" s="75"/>
      <c r="D93" s="78"/>
    </row>
    <row r="94" spans="2:4" ht="14.25">
      <c r="B94" s="79"/>
      <c r="C94" s="75"/>
      <c r="D94" s="78"/>
    </row>
    <row r="95" spans="2:4" ht="14.25">
      <c r="B95" s="79"/>
      <c r="C95" s="75"/>
      <c r="D95" s="78"/>
    </row>
    <row r="96" spans="2:4" ht="14.25">
      <c r="B96" s="79"/>
      <c r="C96" s="75"/>
      <c r="D96" s="78"/>
    </row>
    <row r="97" spans="2:4" ht="14.25">
      <c r="B97" s="79"/>
      <c r="C97" s="75"/>
      <c r="D97" s="78"/>
    </row>
    <row r="98" spans="2:4" ht="14.25">
      <c r="B98" s="79"/>
      <c r="C98" s="75"/>
      <c r="D98" s="78"/>
    </row>
    <row r="99" spans="2:4" ht="14.25">
      <c r="B99" s="79"/>
      <c r="C99" s="75"/>
      <c r="D99" s="78"/>
    </row>
    <row r="100" spans="2:4" ht="14.25">
      <c r="B100" s="79"/>
      <c r="C100" s="75"/>
      <c r="D100" s="78"/>
    </row>
    <row r="101" spans="2:4" ht="14.25">
      <c r="B101" s="79"/>
      <c r="C101" s="75"/>
      <c r="D101" s="78"/>
    </row>
    <row r="102" spans="2:4" ht="14.25">
      <c r="B102" s="79"/>
      <c r="C102" s="75"/>
      <c r="D102" s="78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A262"/>
  <sheetViews>
    <sheetView topLeftCell="A2" zoomScale="140" zoomScaleNormal="140" workbookViewId="0">
      <pane xSplit="15" topLeftCell="Y1" activePane="topRight" state="frozen"/>
      <selection activeCell="T147" activeCellId="6" sqref="AW147:AX176 AR147:AS176 AM147:AN176 AH147:AI176 AC147:AD176 X147:Y176 S147:T176"/>
      <selection pane="topRight" activeCell="F16" sqref="F16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51" width="8.85546875" style="103"/>
    <col min="52" max="52" width="5.42578125" style="103" customWidth="1"/>
    <col min="53" max="53" width="13.140625" style="103" customWidth="1"/>
    <col min="54" max="16384" width="8.85546875" style="103"/>
  </cols>
  <sheetData>
    <row r="1" spans="1:53" ht="24">
      <c r="A1" s="74"/>
      <c r="B1" s="198" t="s">
        <v>315</v>
      </c>
      <c r="C1" s="197">
        <f>AVERAGE(L7,L42,L77,L112,L147,L182)</f>
        <v>802.16305005754816</v>
      </c>
    </row>
    <row r="2" spans="1:53" ht="15.75">
      <c r="A2" s="79"/>
      <c r="B2" s="414" t="s">
        <v>163</v>
      </c>
      <c r="C2" s="414"/>
      <c r="D2" s="414"/>
      <c r="E2" s="414"/>
      <c r="F2" s="414"/>
      <c r="G2" s="414"/>
      <c r="H2" s="414"/>
      <c r="I2" s="183"/>
      <c r="J2" s="183"/>
      <c r="K2" s="183"/>
      <c r="L2" s="183"/>
      <c r="M2" s="178"/>
      <c r="N2" s="391" t="s">
        <v>156</v>
      </c>
      <c r="O2" s="391" t="s">
        <v>155</v>
      </c>
      <c r="P2" s="421">
        <v>46140</v>
      </c>
      <c r="Q2" s="422"/>
      <c r="R2" s="422"/>
      <c r="S2" s="422"/>
      <c r="T2" s="423"/>
      <c r="U2" s="413">
        <f>P2+1</f>
        <v>46141</v>
      </c>
      <c r="V2" s="395"/>
      <c r="W2" s="395"/>
      <c r="X2" s="395"/>
      <c r="Y2" s="395"/>
      <c r="Z2" s="413">
        <f>U2+1</f>
        <v>46142</v>
      </c>
      <c r="AA2" s="395"/>
      <c r="AB2" s="395"/>
      <c r="AC2" s="395"/>
      <c r="AD2" s="395"/>
      <c r="AE2" s="413">
        <f>Z2+1</f>
        <v>46143</v>
      </c>
      <c r="AF2" s="395"/>
      <c r="AG2" s="395"/>
      <c r="AH2" s="395"/>
      <c r="AI2" s="395"/>
      <c r="AJ2" s="413">
        <f>AE2+1</f>
        <v>46144</v>
      </c>
      <c r="AK2" s="395"/>
      <c r="AL2" s="395"/>
      <c r="AM2" s="395"/>
      <c r="AN2" s="395"/>
      <c r="AO2" s="413">
        <f>AJ2+1</f>
        <v>46145</v>
      </c>
      <c r="AP2" s="395"/>
      <c r="AQ2" s="395"/>
      <c r="AR2" s="395"/>
      <c r="AS2" s="395"/>
      <c r="AT2" s="410">
        <f>AO2+1</f>
        <v>46146</v>
      </c>
      <c r="AU2" s="411"/>
      <c r="AV2" s="411"/>
      <c r="AW2" s="411"/>
      <c r="AX2" s="412"/>
    </row>
    <row r="3" spans="1:53" ht="15.75">
      <c r="A3" s="79"/>
      <c r="B3" s="420"/>
      <c r="C3" s="420"/>
      <c r="D3" s="420"/>
      <c r="E3" s="420"/>
      <c r="F3" s="420"/>
      <c r="G3" s="420"/>
      <c r="H3" s="420"/>
      <c r="I3" s="184"/>
      <c r="J3" s="184"/>
      <c r="K3" s="184"/>
      <c r="L3" s="184"/>
      <c r="M3" s="179"/>
      <c r="N3" s="393"/>
      <c r="O3" s="393"/>
      <c r="P3" s="413" t="s">
        <v>158</v>
      </c>
      <c r="Q3" s="395"/>
      <c r="R3" s="395"/>
      <c r="S3" s="395"/>
      <c r="T3" s="395"/>
      <c r="U3" s="413" t="s">
        <v>114</v>
      </c>
      <c r="V3" s="395"/>
      <c r="W3" s="395"/>
      <c r="X3" s="395"/>
      <c r="Y3" s="395"/>
      <c r="Z3" s="413" t="s">
        <v>159</v>
      </c>
      <c r="AA3" s="395"/>
      <c r="AB3" s="395"/>
      <c r="AC3" s="395"/>
      <c r="AD3" s="395"/>
      <c r="AE3" s="413" t="s">
        <v>157</v>
      </c>
      <c r="AF3" s="395"/>
      <c r="AG3" s="395"/>
      <c r="AH3" s="395"/>
      <c r="AI3" s="395"/>
      <c r="AJ3" s="413" t="s">
        <v>160</v>
      </c>
      <c r="AK3" s="395"/>
      <c r="AL3" s="395"/>
      <c r="AM3" s="395"/>
      <c r="AN3" s="395"/>
      <c r="AO3" s="413" t="s">
        <v>115</v>
      </c>
      <c r="AP3" s="395"/>
      <c r="AQ3" s="395"/>
      <c r="AR3" s="395"/>
      <c r="AS3" s="395"/>
      <c r="AT3" s="413" t="s">
        <v>162</v>
      </c>
      <c r="AU3" s="395"/>
      <c r="AV3" s="395"/>
      <c r="AW3" s="395"/>
      <c r="AX3" s="395"/>
    </row>
    <row r="4" spans="1:53" ht="14.25">
      <c r="A4" s="79"/>
      <c r="B4" s="389" t="s">
        <v>376</v>
      </c>
      <c r="C4" s="389" t="s">
        <v>386</v>
      </c>
      <c r="D4" s="389"/>
      <c r="E4" s="389" t="s">
        <v>377</v>
      </c>
      <c r="F4" s="389"/>
      <c r="G4" s="389"/>
      <c r="H4" s="417" t="s">
        <v>373</v>
      </c>
      <c r="I4" s="389" t="s">
        <v>378</v>
      </c>
      <c r="J4" s="389"/>
      <c r="K4" s="389"/>
      <c r="L4" s="417" t="s">
        <v>373</v>
      </c>
      <c r="M4" s="391" t="s">
        <v>374</v>
      </c>
      <c r="N4" s="389"/>
      <c r="O4" s="389" t="s">
        <v>379</v>
      </c>
      <c r="P4" s="404" t="s">
        <v>375</v>
      </c>
      <c r="Q4" s="405"/>
      <c r="R4" s="405"/>
      <c r="S4" s="406"/>
      <c r="T4" s="389" t="s">
        <v>373</v>
      </c>
      <c r="U4" s="404" t="s">
        <v>375</v>
      </c>
      <c r="V4" s="405"/>
      <c r="W4" s="405"/>
      <c r="X4" s="406"/>
      <c r="Y4" s="389" t="s">
        <v>373</v>
      </c>
      <c r="Z4" s="404" t="s">
        <v>375</v>
      </c>
      <c r="AA4" s="405"/>
      <c r="AB4" s="405"/>
      <c r="AC4" s="406"/>
      <c r="AD4" s="389" t="s">
        <v>373</v>
      </c>
      <c r="AE4" s="404" t="s">
        <v>375</v>
      </c>
      <c r="AF4" s="405"/>
      <c r="AG4" s="405"/>
      <c r="AH4" s="406"/>
      <c r="AI4" s="389" t="s">
        <v>373</v>
      </c>
      <c r="AJ4" s="404" t="s">
        <v>375</v>
      </c>
      <c r="AK4" s="405"/>
      <c r="AL4" s="405"/>
      <c r="AM4" s="406"/>
      <c r="AN4" s="389" t="s">
        <v>373</v>
      </c>
      <c r="AO4" s="404" t="s">
        <v>375</v>
      </c>
      <c r="AP4" s="405"/>
      <c r="AQ4" s="405"/>
      <c r="AR4" s="406"/>
      <c r="AS4" s="389" t="s">
        <v>373</v>
      </c>
      <c r="AT4" s="404" t="s">
        <v>375</v>
      </c>
      <c r="AU4" s="405"/>
      <c r="AV4" s="405"/>
      <c r="AW4" s="406"/>
      <c r="AX4" s="389" t="s">
        <v>373</v>
      </c>
      <c r="BA4" s="389" t="s">
        <v>373</v>
      </c>
    </row>
    <row r="5" spans="1:53" ht="14.25">
      <c r="A5" s="79"/>
      <c r="B5" s="389"/>
      <c r="C5" s="389"/>
      <c r="D5" s="389"/>
      <c r="E5" s="389" t="s">
        <v>380</v>
      </c>
      <c r="F5" s="389"/>
      <c r="G5" s="389"/>
      <c r="H5" s="418"/>
      <c r="I5" s="389" t="s">
        <v>380</v>
      </c>
      <c r="J5" s="389"/>
      <c r="K5" s="389"/>
      <c r="L5" s="418"/>
      <c r="M5" s="392"/>
      <c r="N5" s="389"/>
      <c r="O5" s="389"/>
      <c r="P5" s="404" t="s">
        <v>381</v>
      </c>
      <c r="Q5" s="405"/>
      <c r="R5" s="405"/>
      <c r="S5" s="406"/>
      <c r="T5" s="389"/>
      <c r="U5" s="404" t="s">
        <v>381</v>
      </c>
      <c r="V5" s="405"/>
      <c r="W5" s="405"/>
      <c r="X5" s="406"/>
      <c r="Y5" s="389"/>
      <c r="Z5" s="404" t="s">
        <v>381</v>
      </c>
      <c r="AA5" s="405"/>
      <c r="AB5" s="405"/>
      <c r="AC5" s="406"/>
      <c r="AD5" s="389"/>
      <c r="AE5" s="404" t="s">
        <v>381</v>
      </c>
      <c r="AF5" s="405"/>
      <c r="AG5" s="405"/>
      <c r="AH5" s="406"/>
      <c r="AI5" s="389"/>
      <c r="AJ5" s="404" t="s">
        <v>381</v>
      </c>
      <c r="AK5" s="405"/>
      <c r="AL5" s="405"/>
      <c r="AM5" s="406"/>
      <c r="AN5" s="389"/>
      <c r="AO5" s="404" t="s">
        <v>381</v>
      </c>
      <c r="AP5" s="405"/>
      <c r="AQ5" s="405"/>
      <c r="AR5" s="406"/>
      <c r="AS5" s="389"/>
      <c r="AT5" s="404" t="s">
        <v>381</v>
      </c>
      <c r="AU5" s="405"/>
      <c r="AV5" s="405"/>
      <c r="AW5" s="406"/>
      <c r="AX5" s="389"/>
      <c r="BA5" s="389"/>
    </row>
    <row r="6" spans="1:53" ht="14.25">
      <c r="A6" s="77"/>
      <c r="B6" s="389"/>
      <c r="C6" s="389"/>
      <c r="D6" s="389"/>
      <c r="E6" s="258" t="s">
        <v>382</v>
      </c>
      <c r="F6" s="258" t="s">
        <v>383</v>
      </c>
      <c r="G6" s="258" t="s">
        <v>384</v>
      </c>
      <c r="H6" s="419"/>
      <c r="I6" s="258" t="s">
        <v>382</v>
      </c>
      <c r="J6" s="258" t="s">
        <v>383</v>
      </c>
      <c r="K6" s="258" t="s">
        <v>384</v>
      </c>
      <c r="L6" s="419"/>
      <c r="M6" s="393"/>
      <c r="N6" s="389"/>
      <c r="O6" s="389"/>
      <c r="P6" s="258" t="s">
        <v>382</v>
      </c>
      <c r="Q6" s="258" t="s">
        <v>383</v>
      </c>
      <c r="R6" s="258" t="s">
        <v>384</v>
      </c>
      <c r="S6" s="258" t="s">
        <v>374</v>
      </c>
      <c r="T6" s="389"/>
      <c r="U6" s="258" t="s">
        <v>382</v>
      </c>
      <c r="V6" s="258" t="s">
        <v>383</v>
      </c>
      <c r="W6" s="258" t="s">
        <v>384</v>
      </c>
      <c r="X6" s="258" t="s">
        <v>374</v>
      </c>
      <c r="Y6" s="389"/>
      <c r="Z6" s="258" t="s">
        <v>382</v>
      </c>
      <c r="AA6" s="258" t="s">
        <v>383</v>
      </c>
      <c r="AB6" s="258" t="s">
        <v>384</v>
      </c>
      <c r="AC6" s="258" t="s">
        <v>374</v>
      </c>
      <c r="AD6" s="389"/>
      <c r="AE6" s="258" t="s">
        <v>382</v>
      </c>
      <c r="AF6" s="258" t="s">
        <v>383</v>
      </c>
      <c r="AG6" s="258" t="s">
        <v>384</v>
      </c>
      <c r="AH6" s="258" t="s">
        <v>374</v>
      </c>
      <c r="AI6" s="389"/>
      <c r="AJ6" s="258" t="s">
        <v>382</v>
      </c>
      <c r="AK6" s="258" t="s">
        <v>383</v>
      </c>
      <c r="AL6" s="258" t="s">
        <v>384</v>
      </c>
      <c r="AM6" s="258" t="s">
        <v>374</v>
      </c>
      <c r="AN6" s="389"/>
      <c r="AO6" s="258" t="s">
        <v>382</v>
      </c>
      <c r="AP6" s="258" t="s">
        <v>383</v>
      </c>
      <c r="AQ6" s="258" t="s">
        <v>384</v>
      </c>
      <c r="AR6" s="258" t="s">
        <v>374</v>
      </c>
      <c r="AS6" s="389"/>
      <c r="AT6" s="258" t="s">
        <v>382</v>
      </c>
      <c r="AU6" s="258" t="s">
        <v>383</v>
      </c>
      <c r="AV6" s="258" t="s">
        <v>384</v>
      </c>
      <c r="AW6" s="258" t="s">
        <v>374</v>
      </c>
      <c r="AX6" s="389"/>
      <c r="AZ6" s="258" t="s">
        <v>374</v>
      </c>
      <c r="BA6" s="389"/>
    </row>
    <row r="7" spans="1:53" ht="14.25">
      <c r="A7" s="79"/>
      <c r="B7" s="395" t="s">
        <v>150</v>
      </c>
      <c r="C7" s="182">
        <v>1</v>
      </c>
      <c r="D7" s="182" t="s">
        <v>339</v>
      </c>
      <c r="E7" s="182">
        <v>3</v>
      </c>
      <c r="F7" s="182">
        <v>3200</v>
      </c>
      <c r="G7" s="166">
        <v>1066.6666666666667</v>
      </c>
      <c r="H7" s="384">
        <f>AVERAGE(G7:G36)</f>
        <v>763.22463768115949</v>
      </c>
      <c r="I7" s="166">
        <f>IFERROR(AVERAGE(P7,U7,Z7,AE7,AJ7,AO7,AT7),"-")</f>
        <v>3</v>
      </c>
      <c r="J7" s="166">
        <f>IFERROR(AVERAGE(Q7,V7,AA7,AF7,AK7,AP7,AU7),"-")</f>
        <v>3241.6194673485297</v>
      </c>
      <c r="K7" s="180">
        <f>IFERROR(AVERAGE(R7,W7,AB7,AG7,AL7,AQ7,AV7),"-")</f>
        <v>1080.5398224495098</v>
      </c>
      <c r="L7" s="401">
        <f>IFERROR(AVERAGE(K7:K36),"-")</f>
        <v>781.67808601402032</v>
      </c>
      <c r="M7" s="166">
        <f>RANK(K7, K$7:$K$36)</f>
        <v>1</v>
      </c>
      <c r="N7" s="389"/>
      <c r="O7" s="389"/>
      <c r="P7" s="182">
        <v>3</v>
      </c>
      <c r="Q7" s="166">
        <v>3253.9285714285738</v>
      </c>
      <c r="R7" s="166">
        <v>1084.642857142858</v>
      </c>
      <c r="S7" s="182">
        <f>RANK(R7, R$7:R$36)</f>
        <v>3</v>
      </c>
      <c r="T7" s="390">
        <f>AVERAGE(R7:R36)</f>
        <v>787.76535131663854</v>
      </c>
      <c r="U7" s="182">
        <v>3</v>
      </c>
      <c r="V7" s="166">
        <v>3232.3636363636388</v>
      </c>
      <c r="W7" s="166">
        <v>1077.4545454545462</v>
      </c>
      <c r="X7" s="182">
        <f>RANK(W7, W$7:W$36)</f>
        <v>2</v>
      </c>
      <c r="Y7" s="390">
        <f>AVERAGE(W7:W36)</f>
        <v>782.11618358526789</v>
      </c>
      <c r="Z7" s="182">
        <v>3</v>
      </c>
      <c r="AA7" s="166">
        <v>3280.4651162790692</v>
      </c>
      <c r="AB7" s="166">
        <v>1093.4883720930231</v>
      </c>
      <c r="AC7" s="182">
        <f>RANK(AB7, AB$7:AB$36)</f>
        <v>2</v>
      </c>
      <c r="AD7" s="390">
        <f>AVERAGE(AB7:AB36)</f>
        <v>803.31907170489728</v>
      </c>
      <c r="AE7" s="182">
        <v>3</v>
      </c>
      <c r="AF7" s="166">
        <v>3498.0000000000059</v>
      </c>
      <c r="AG7" s="166">
        <v>1166.000000000002</v>
      </c>
      <c r="AH7" s="182">
        <f>RANK(AG7, AG$7:AG$36)</f>
        <v>1</v>
      </c>
      <c r="AI7" s="390">
        <f>AVERAGE(AG7:AG36)</f>
        <v>799.83701419692977</v>
      </c>
      <c r="AJ7" s="182">
        <v>3</v>
      </c>
      <c r="AK7" s="166">
        <v>3194.9999999999982</v>
      </c>
      <c r="AL7" s="166">
        <v>1064.9999999999993</v>
      </c>
      <c r="AM7" s="182">
        <f>RANK(AL7, AL$7:AL$36)</f>
        <v>2</v>
      </c>
      <c r="AN7" s="390">
        <f>AVERAGE(AL7:AL36)</f>
        <v>763.58920121215999</v>
      </c>
      <c r="AO7" s="182">
        <v>3</v>
      </c>
      <c r="AP7" s="166">
        <v>3060.0000000000032</v>
      </c>
      <c r="AQ7" s="166">
        <v>1020.000000000001</v>
      </c>
      <c r="AR7" s="182">
        <f>RANK(AQ7, AQ$7:AQ$36)</f>
        <v>6</v>
      </c>
      <c r="AS7" s="390">
        <f>AVERAGE(AQ7:AQ36)</f>
        <v>770.28457623544284</v>
      </c>
      <c r="AT7" s="182">
        <v>3</v>
      </c>
      <c r="AU7" s="166">
        <v>3171.578947368419</v>
      </c>
      <c r="AV7" s="166">
        <v>1057.1929824561396</v>
      </c>
      <c r="AW7" s="182">
        <f>RANK(AV7, AV$7:AV$36)</f>
        <v>3</v>
      </c>
      <c r="AX7" s="390">
        <f>AVERAGE(AV7:AV36)</f>
        <v>764.83520384680787</v>
      </c>
      <c r="AZ7" s="182" t="e">
        <f>RANK(AY7, AY$7:AY$36)</f>
        <v>#N/A</v>
      </c>
      <c r="BA7" s="390" t="e">
        <f>AVERAGE(AY7:AY36)</f>
        <v>#DIV/0!</v>
      </c>
    </row>
    <row r="8" spans="1:53" ht="15" customHeight="1">
      <c r="A8" s="79"/>
      <c r="B8" s="395"/>
      <c r="C8" s="182">
        <v>2</v>
      </c>
      <c r="D8" s="258" t="s">
        <v>340</v>
      </c>
      <c r="E8" s="182">
        <v>3</v>
      </c>
      <c r="F8" s="182">
        <v>3200</v>
      </c>
      <c r="G8" s="166">
        <v>1066.6666666666667</v>
      </c>
      <c r="H8" s="385"/>
      <c r="I8" s="166">
        <f t="shared" ref="I8:I36" si="0">IFERROR(AVERAGE(P8,U8,Z8,AE8,AJ8,AO8,AT8),"-")</f>
        <v>3</v>
      </c>
      <c r="J8" s="166">
        <f t="shared" ref="J8:J36" si="1">IFERROR(AVERAGE(Q8,V8,AA8,AF8,AK8,AP8,AU8),"-")</f>
        <v>3203.9084621702796</v>
      </c>
      <c r="K8" s="180">
        <f t="shared" ref="K8:K36" si="2">IFERROR(AVERAGE(R8,W8,AB8,AG8,AL8,AQ8,AV8),"-")</f>
        <v>1067.9694873900933</v>
      </c>
      <c r="L8" s="402"/>
      <c r="M8" s="166">
        <f>RANK(K8, K$7:$K$36)</f>
        <v>5</v>
      </c>
      <c r="N8" s="389"/>
      <c r="O8" s="389"/>
      <c r="P8" s="182">
        <v>3</v>
      </c>
      <c r="Q8" s="166">
        <v>3388.2352941176273</v>
      </c>
      <c r="R8" s="166">
        <v>1129.4117647058758</v>
      </c>
      <c r="S8" s="182">
        <f t="shared" ref="S8:S36" si="3">RANK(R8, R$7:R$36)</f>
        <v>1</v>
      </c>
      <c r="T8" s="390"/>
      <c r="U8" s="182">
        <v>3</v>
      </c>
      <c r="V8" s="166">
        <v>3303.5294117646863</v>
      </c>
      <c r="W8" s="166">
        <v>1101.1764705882288</v>
      </c>
      <c r="X8" s="182">
        <f t="shared" ref="X8:X36" si="4">RANK(W8, W$7:W$36)</f>
        <v>1</v>
      </c>
      <c r="Y8" s="390"/>
      <c r="Z8" s="182">
        <v>3</v>
      </c>
      <c r="AA8" s="166">
        <v>3205.7142857142785</v>
      </c>
      <c r="AB8" s="166">
        <v>1068.5714285714262</v>
      </c>
      <c r="AC8" s="182">
        <f t="shared" ref="AC8:AC36" si="5">RANK(AB8, AB$7:AB$36)</f>
        <v>6</v>
      </c>
      <c r="AD8" s="390"/>
      <c r="AE8" s="182">
        <v>3</v>
      </c>
      <c r="AF8" s="166">
        <v>3312.8571428571358</v>
      </c>
      <c r="AG8" s="166">
        <v>1104.2857142857119</v>
      </c>
      <c r="AH8" s="182">
        <f t="shared" ref="AH8:AH36" si="6">RANK(AG8, AG$7:AG$36)</f>
        <v>2</v>
      </c>
      <c r="AI8" s="390"/>
      <c r="AJ8" s="182">
        <v>3</v>
      </c>
      <c r="AK8" s="166">
        <v>2990.7692307692232</v>
      </c>
      <c r="AL8" s="166">
        <v>996.9230769230744</v>
      </c>
      <c r="AM8" s="182">
        <f t="shared" ref="AM8:AM36" si="7">RANK(AL8, AL$7:AL$36)</f>
        <v>6</v>
      </c>
      <c r="AN8" s="390"/>
      <c r="AO8" s="182">
        <v>3</v>
      </c>
      <c r="AP8" s="166">
        <v>3056.8421052631429</v>
      </c>
      <c r="AQ8" s="166">
        <v>1018.9473684210476</v>
      </c>
      <c r="AR8" s="182">
        <f t="shared" ref="AR8:AR36" si="8">RANK(AQ8, AQ$7:AQ$36)</f>
        <v>7</v>
      </c>
      <c r="AS8" s="390"/>
      <c r="AT8" s="182">
        <v>3</v>
      </c>
      <c r="AU8" s="166">
        <v>3169.4117647058638</v>
      </c>
      <c r="AV8" s="166">
        <v>1056.470588235288</v>
      </c>
      <c r="AW8" s="182">
        <f t="shared" ref="AW8:AW36" si="9">RANK(AV8, AV$7:AV$36)</f>
        <v>4</v>
      </c>
      <c r="AX8" s="390"/>
      <c r="AZ8" s="182" t="e">
        <f t="shared" ref="AZ8:AZ36" si="10">RANK(AY8, AY$7:AY$36)</f>
        <v>#N/A</v>
      </c>
      <c r="BA8" s="390"/>
    </row>
    <row r="9" spans="1:53" ht="14.25">
      <c r="A9" s="79"/>
      <c r="B9" s="395"/>
      <c r="C9" s="182">
        <v>3</v>
      </c>
      <c r="D9" s="182" t="s">
        <v>330</v>
      </c>
      <c r="E9" s="182">
        <v>4</v>
      </c>
      <c r="F9" s="182">
        <v>3200</v>
      </c>
      <c r="G9" s="166">
        <v>800</v>
      </c>
      <c r="H9" s="385"/>
      <c r="I9" s="166">
        <f t="shared" si="0"/>
        <v>4</v>
      </c>
      <c r="J9" s="166">
        <f t="shared" si="1"/>
        <v>3084.660045836521</v>
      </c>
      <c r="K9" s="180">
        <f t="shared" si="2"/>
        <v>771.16501145913026</v>
      </c>
      <c r="L9" s="402"/>
      <c r="M9" s="166">
        <f>RANK(K9, K$7:$K$36)</f>
        <v>14</v>
      </c>
      <c r="N9" s="389"/>
      <c r="O9" s="389"/>
      <c r="P9" s="182">
        <v>4</v>
      </c>
      <c r="Q9" s="166">
        <v>3226.9565217391305</v>
      </c>
      <c r="R9" s="166">
        <v>806.73913043478262</v>
      </c>
      <c r="S9" s="182">
        <f t="shared" si="3"/>
        <v>13</v>
      </c>
      <c r="T9" s="390"/>
      <c r="U9" s="182">
        <v>4</v>
      </c>
      <c r="V9" s="166">
        <v>3234.5454545454545</v>
      </c>
      <c r="W9" s="166">
        <v>808.63636363636363</v>
      </c>
      <c r="X9" s="182">
        <f t="shared" si="4"/>
        <v>12</v>
      </c>
      <c r="Y9" s="390"/>
      <c r="Z9" s="182">
        <v>4</v>
      </c>
      <c r="AA9" s="166">
        <v>3225.8823529411879</v>
      </c>
      <c r="AB9" s="166">
        <v>806.47058823529699</v>
      </c>
      <c r="AC9" s="182">
        <f t="shared" si="5"/>
        <v>14</v>
      </c>
      <c r="AD9" s="390"/>
      <c r="AE9" s="182">
        <v>4</v>
      </c>
      <c r="AF9" s="166">
        <v>3264.7058823529528</v>
      </c>
      <c r="AG9" s="166">
        <v>816.1764705882382</v>
      </c>
      <c r="AH9" s="182">
        <f t="shared" si="6"/>
        <v>14</v>
      </c>
      <c r="AI9" s="390"/>
      <c r="AJ9" s="182">
        <v>4</v>
      </c>
      <c r="AK9" s="166">
        <v>2452.9411764705851</v>
      </c>
      <c r="AL9" s="166">
        <v>613.23529411764628</v>
      </c>
      <c r="AM9" s="182">
        <f t="shared" si="7"/>
        <v>20</v>
      </c>
      <c r="AN9" s="390"/>
      <c r="AO9" s="182">
        <v>4</v>
      </c>
      <c r="AP9" s="166">
        <v>3073.0434782608804</v>
      </c>
      <c r="AQ9" s="166">
        <v>768.2608695652201</v>
      </c>
      <c r="AR9" s="182">
        <f t="shared" si="8"/>
        <v>14</v>
      </c>
      <c r="AS9" s="390"/>
      <c r="AT9" s="182">
        <v>4</v>
      </c>
      <c r="AU9" s="166">
        <v>3114.5454545454545</v>
      </c>
      <c r="AV9" s="166">
        <v>778.63636363636363</v>
      </c>
      <c r="AW9" s="182">
        <f t="shared" si="9"/>
        <v>12</v>
      </c>
      <c r="AX9" s="390"/>
      <c r="AZ9" s="182" t="e">
        <f t="shared" si="10"/>
        <v>#N/A</v>
      </c>
      <c r="BA9" s="390"/>
    </row>
    <row r="10" spans="1:53" ht="14.25">
      <c r="A10" s="79"/>
      <c r="B10" s="395"/>
      <c r="C10" s="182">
        <v>4</v>
      </c>
      <c r="D10" s="182" t="s">
        <v>341</v>
      </c>
      <c r="E10" s="182">
        <v>3</v>
      </c>
      <c r="F10" s="182">
        <v>3200</v>
      </c>
      <c r="G10" s="166">
        <v>1066.6666666666667</v>
      </c>
      <c r="H10" s="385"/>
      <c r="I10" s="166">
        <f t="shared" si="0"/>
        <v>3</v>
      </c>
      <c r="J10" s="166">
        <f t="shared" si="1"/>
        <v>3184.6230866364717</v>
      </c>
      <c r="K10" s="180">
        <f t="shared" si="2"/>
        <v>1061.5410288788239</v>
      </c>
      <c r="L10" s="402"/>
      <c r="M10" s="166">
        <f>RANK(K10, K$7:$K$36)</f>
        <v>6</v>
      </c>
      <c r="N10" s="389"/>
      <c r="O10" s="389"/>
      <c r="P10" s="182">
        <v>3</v>
      </c>
      <c r="Q10" s="166">
        <v>3211.6853932584295</v>
      </c>
      <c r="R10" s="166">
        <v>1070.5617977528098</v>
      </c>
      <c r="S10" s="182">
        <f t="shared" si="3"/>
        <v>6</v>
      </c>
      <c r="T10" s="390"/>
      <c r="U10" s="182">
        <v>3</v>
      </c>
      <c r="V10" s="166">
        <v>3221.3793103448302</v>
      </c>
      <c r="W10" s="166">
        <v>1073.7931034482767</v>
      </c>
      <c r="X10" s="182">
        <f t="shared" si="4"/>
        <v>4</v>
      </c>
      <c r="Y10" s="390"/>
      <c r="Z10" s="182">
        <v>3</v>
      </c>
      <c r="AA10" s="166">
        <v>3236.3636363636319</v>
      </c>
      <c r="AB10" s="166">
        <v>1078.7878787878774</v>
      </c>
      <c r="AC10" s="182">
        <f t="shared" si="5"/>
        <v>5</v>
      </c>
      <c r="AD10" s="390"/>
      <c r="AE10" s="182">
        <v>3</v>
      </c>
      <c r="AF10" s="166">
        <v>3246.5624999999991</v>
      </c>
      <c r="AG10" s="166">
        <v>1082.1874999999998</v>
      </c>
      <c r="AH10" s="182">
        <f t="shared" si="6"/>
        <v>5</v>
      </c>
      <c r="AI10" s="390"/>
      <c r="AJ10" s="182">
        <v>3</v>
      </c>
      <c r="AK10" s="166">
        <v>2937.2727272727234</v>
      </c>
      <c r="AL10" s="166">
        <v>979.09090909090776</v>
      </c>
      <c r="AM10" s="182">
        <f t="shared" si="7"/>
        <v>7</v>
      </c>
      <c r="AN10" s="390"/>
      <c r="AO10" s="182">
        <v>3</v>
      </c>
      <c r="AP10" s="166">
        <v>3187.3333333333362</v>
      </c>
      <c r="AQ10" s="166">
        <v>1062.4444444444455</v>
      </c>
      <c r="AR10" s="182">
        <f t="shared" si="8"/>
        <v>1</v>
      </c>
      <c r="AS10" s="390"/>
      <c r="AT10" s="182">
        <v>3</v>
      </c>
      <c r="AU10" s="166">
        <v>3251.7647058823541</v>
      </c>
      <c r="AV10" s="166">
        <v>1083.9215686274513</v>
      </c>
      <c r="AW10" s="182">
        <f t="shared" si="9"/>
        <v>1</v>
      </c>
      <c r="AX10" s="390"/>
      <c r="AZ10" s="182" t="e">
        <f t="shared" si="10"/>
        <v>#N/A</v>
      </c>
      <c r="BA10" s="390"/>
    </row>
    <row r="11" spans="1:53" ht="14.25">
      <c r="A11" s="79"/>
      <c r="B11" s="395"/>
      <c r="C11" s="182">
        <v>5</v>
      </c>
      <c r="D11" s="182" t="s">
        <v>596</v>
      </c>
      <c r="E11" s="182">
        <v>4</v>
      </c>
      <c r="F11" s="182">
        <v>3200</v>
      </c>
      <c r="G11" s="166">
        <v>800</v>
      </c>
      <c r="H11" s="385"/>
      <c r="I11" s="166">
        <f t="shared" si="0"/>
        <v>4</v>
      </c>
      <c r="J11" s="166">
        <f t="shared" si="1"/>
        <v>3211.9184076792772</v>
      </c>
      <c r="K11" s="180">
        <f t="shared" si="2"/>
        <v>802.97960191981929</v>
      </c>
      <c r="L11" s="402"/>
      <c r="M11" s="166">
        <f>RANK(K11, K$7:$K$36)</f>
        <v>12</v>
      </c>
      <c r="N11" s="389"/>
      <c r="O11" s="389"/>
      <c r="P11" s="182">
        <v>4</v>
      </c>
      <c r="Q11" s="166">
        <v>3256.3636363636397</v>
      </c>
      <c r="R11" s="166">
        <v>814.09090909090992</v>
      </c>
      <c r="S11" s="182">
        <f t="shared" si="3"/>
        <v>11</v>
      </c>
      <c r="T11" s="390"/>
      <c r="U11" s="182">
        <v>4</v>
      </c>
      <c r="V11" s="166">
        <v>3217.4999999999959</v>
      </c>
      <c r="W11" s="166">
        <v>804.37499999999898</v>
      </c>
      <c r="X11" s="182">
        <f t="shared" si="4"/>
        <v>13</v>
      </c>
      <c r="Y11" s="390"/>
      <c r="Z11" s="182">
        <v>4</v>
      </c>
      <c r="AA11" s="166">
        <v>3229.5652173913159</v>
      </c>
      <c r="AB11" s="166">
        <v>807.39130434782896</v>
      </c>
      <c r="AC11" s="182">
        <f t="shared" si="5"/>
        <v>13</v>
      </c>
      <c r="AD11" s="390"/>
      <c r="AE11" s="182">
        <v>4</v>
      </c>
      <c r="AF11" s="166">
        <v>3299.9999999999877</v>
      </c>
      <c r="AG11" s="166">
        <v>824.99999999999693</v>
      </c>
      <c r="AH11" s="182">
        <f t="shared" si="6"/>
        <v>12</v>
      </c>
      <c r="AI11" s="390"/>
      <c r="AJ11" s="182">
        <v>4</v>
      </c>
      <c r="AK11" s="166">
        <v>3150</v>
      </c>
      <c r="AL11" s="166">
        <v>787.5</v>
      </c>
      <c r="AM11" s="182">
        <f t="shared" si="7"/>
        <v>12</v>
      </c>
      <c r="AN11" s="390"/>
      <c r="AO11" s="182">
        <v>4</v>
      </c>
      <c r="AP11" s="166">
        <v>3198.7500000000036</v>
      </c>
      <c r="AQ11" s="166">
        <v>799.68750000000091</v>
      </c>
      <c r="AR11" s="182">
        <f t="shared" si="8"/>
        <v>10</v>
      </c>
      <c r="AS11" s="390"/>
      <c r="AT11" s="182">
        <v>4</v>
      </c>
      <c r="AU11" s="166">
        <v>3131.2499999999959</v>
      </c>
      <c r="AV11" s="166">
        <v>782.81249999999898</v>
      </c>
      <c r="AW11" s="182">
        <f t="shared" si="9"/>
        <v>11</v>
      </c>
      <c r="AX11" s="390"/>
      <c r="AZ11" s="182" t="e">
        <f t="shared" si="10"/>
        <v>#N/A</v>
      </c>
      <c r="BA11" s="390"/>
    </row>
    <row r="12" spans="1:53" ht="14.25">
      <c r="A12" s="79"/>
      <c r="B12" s="395"/>
      <c r="C12" s="182">
        <v>6</v>
      </c>
      <c r="D12" s="182" t="s">
        <v>597</v>
      </c>
      <c r="E12" s="182">
        <v>4</v>
      </c>
      <c r="F12" s="182">
        <v>3200</v>
      </c>
      <c r="G12" s="166">
        <v>800</v>
      </c>
      <c r="H12" s="385"/>
      <c r="I12" s="166">
        <f t="shared" si="0"/>
        <v>4</v>
      </c>
      <c r="J12" s="166">
        <f t="shared" si="1"/>
        <v>3262.086834733896</v>
      </c>
      <c r="K12" s="180">
        <f t="shared" si="2"/>
        <v>815.521708683474</v>
      </c>
      <c r="L12" s="402"/>
      <c r="M12" s="166">
        <f>RANK(K12, K$7:$K$36)</f>
        <v>11</v>
      </c>
      <c r="N12" s="389"/>
      <c r="O12" s="389"/>
      <c r="P12" s="182">
        <v>4</v>
      </c>
      <c r="Q12" s="166">
        <v>3286.6666666666642</v>
      </c>
      <c r="R12" s="166">
        <v>821.66666666666606</v>
      </c>
      <c r="S12" s="182">
        <f t="shared" si="3"/>
        <v>10</v>
      </c>
      <c r="T12" s="390"/>
      <c r="U12" s="182">
        <v>4</v>
      </c>
      <c r="V12" s="166">
        <v>3352.9411764706001</v>
      </c>
      <c r="W12" s="166">
        <v>838.23529411765003</v>
      </c>
      <c r="X12" s="182">
        <f t="shared" si="4"/>
        <v>10</v>
      </c>
      <c r="Y12" s="390"/>
      <c r="Z12" s="182">
        <v>4</v>
      </c>
      <c r="AA12" s="166">
        <v>3510.0000000000123</v>
      </c>
      <c r="AB12" s="166">
        <v>877.50000000000307</v>
      </c>
      <c r="AC12" s="182">
        <f t="shared" si="5"/>
        <v>10</v>
      </c>
      <c r="AD12" s="390"/>
      <c r="AE12" s="182">
        <v>4</v>
      </c>
      <c r="AF12" s="166">
        <v>3395.0000000000123</v>
      </c>
      <c r="AG12" s="166">
        <v>848.75000000000307</v>
      </c>
      <c r="AH12" s="182">
        <f t="shared" si="6"/>
        <v>11</v>
      </c>
      <c r="AI12" s="390"/>
      <c r="AJ12" s="182">
        <v>4</v>
      </c>
      <c r="AK12" s="166">
        <v>3049.9999999999905</v>
      </c>
      <c r="AL12" s="166">
        <v>762.49999999999761</v>
      </c>
      <c r="AM12" s="182">
        <f t="shared" si="7"/>
        <v>13</v>
      </c>
      <c r="AN12" s="390"/>
      <c r="AO12" s="182">
        <v>4</v>
      </c>
      <c r="AP12" s="166">
        <v>3158.8235294117462</v>
      </c>
      <c r="AQ12" s="166">
        <v>789.70588235293656</v>
      </c>
      <c r="AR12" s="182">
        <f t="shared" si="8"/>
        <v>13</v>
      </c>
      <c r="AS12" s="390"/>
      <c r="AT12" s="182">
        <v>4</v>
      </c>
      <c r="AU12" s="166">
        <v>3081.1764705882465</v>
      </c>
      <c r="AV12" s="166">
        <v>770.29411764706163</v>
      </c>
      <c r="AW12" s="182">
        <f t="shared" si="9"/>
        <v>14</v>
      </c>
      <c r="AX12" s="390"/>
      <c r="AZ12" s="182" t="e">
        <f t="shared" si="10"/>
        <v>#N/A</v>
      </c>
      <c r="BA12" s="390"/>
    </row>
    <row r="13" spans="1:53" ht="14.25">
      <c r="A13" s="79"/>
      <c r="B13" s="395"/>
      <c r="C13" s="182">
        <v>7</v>
      </c>
      <c r="D13" s="182" t="s">
        <v>342</v>
      </c>
      <c r="E13" s="182">
        <v>4</v>
      </c>
      <c r="F13" s="182">
        <v>2800</v>
      </c>
      <c r="G13" s="166">
        <v>700</v>
      </c>
      <c r="H13" s="385"/>
      <c r="I13" s="166">
        <f t="shared" si="0"/>
        <v>4</v>
      </c>
      <c r="J13" s="166">
        <f t="shared" si="1"/>
        <v>3272.2135007849292</v>
      </c>
      <c r="K13" s="180">
        <f t="shared" si="2"/>
        <v>818.05337519623231</v>
      </c>
      <c r="L13" s="402"/>
      <c r="M13" s="166">
        <f>RANK(K13, K$7:$K$36)</f>
        <v>10</v>
      </c>
      <c r="N13" s="389"/>
      <c r="O13" s="389"/>
      <c r="P13" s="182">
        <v>4</v>
      </c>
      <c r="Q13" s="166">
        <v>3248.5714285714307</v>
      </c>
      <c r="R13" s="166">
        <v>812.14285714285768</v>
      </c>
      <c r="S13" s="182">
        <f t="shared" si="3"/>
        <v>12</v>
      </c>
      <c r="T13" s="390"/>
      <c r="U13" s="182">
        <v>4</v>
      </c>
      <c r="V13" s="166">
        <v>3258.4615384615399</v>
      </c>
      <c r="W13" s="166">
        <v>814.61538461538498</v>
      </c>
      <c r="X13" s="182">
        <f t="shared" si="4"/>
        <v>11</v>
      </c>
      <c r="Y13" s="390"/>
      <c r="Z13" s="182">
        <v>4</v>
      </c>
      <c r="AA13" s="166">
        <v>3506.6666666666642</v>
      </c>
      <c r="AB13" s="166">
        <v>876.66666666666606</v>
      </c>
      <c r="AC13" s="182">
        <f t="shared" si="5"/>
        <v>11</v>
      </c>
      <c r="AD13" s="390"/>
      <c r="AE13" s="182">
        <v>4</v>
      </c>
      <c r="AF13" s="166">
        <v>3453.3333333333303</v>
      </c>
      <c r="AG13" s="166">
        <v>863.33333333333258</v>
      </c>
      <c r="AH13" s="182">
        <f t="shared" si="6"/>
        <v>10</v>
      </c>
      <c r="AI13" s="390"/>
      <c r="AJ13" s="182">
        <v>4</v>
      </c>
      <c r="AK13" s="166">
        <v>3179.9999999999973</v>
      </c>
      <c r="AL13" s="166">
        <v>794.99999999999932</v>
      </c>
      <c r="AM13" s="182">
        <f t="shared" si="7"/>
        <v>10</v>
      </c>
      <c r="AN13" s="390"/>
      <c r="AO13" s="182">
        <v>4</v>
      </c>
      <c r="AP13" s="166">
        <v>3166.1538461538476</v>
      </c>
      <c r="AQ13" s="166">
        <v>791.53846153846189</v>
      </c>
      <c r="AR13" s="182">
        <f t="shared" si="8"/>
        <v>12</v>
      </c>
      <c r="AS13" s="390"/>
      <c r="AT13" s="182">
        <v>4</v>
      </c>
      <c r="AU13" s="166">
        <v>3092.3076923076942</v>
      </c>
      <c r="AV13" s="166">
        <v>773.07692307692355</v>
      </c>
      <c r="AW13" s="182">
        <f t="shared" si="9"/>
        <v>13</v>
      </c>
      <c r="AX13" s="390"/>
      <c r="AZ13" s="182" t="e">
        <f t="shared" si="10"/>
        <v>#N/A</v>
      </c>
      <c r="BA13" s="390"/>
    </row>
    <row r="14" spans="1:53" ht="14.25">
      <c r="A14" s="79"/>
      <c r="B14" s="395"/>
      <c r="C14" s="182">
        <v>8</v>
      </c>
      <c r="D14" s="182" t="s">
        <v>343</v>
      </c>
      <c r="E14" s="182">
        <v>3</v>
      </c>
      <c r="F14" s="182">
        <v>3200</v>
      </c>
      <c r="G14" s="166">
        <v>1066.6666666666667</v>
      </c>
      <c r="H14" s="385"/>
      <c r="I14" s="166">
        <f t="shared" si="0"/>
        <v>3</v>
      </c>
      <c r="J14" s="166">
        <f t="shared" si="1"/>
        <v>3207.9861751152034</v>
      </c>
      <c r="K14" s="180">
        <f t="shared" si="2"/>
        <v>1069.3287250384012</v>
      </c>
      <c r="L14" s="402"/>
      <c r="M14" s="166">
        <f>RANK(K14, K$7:$K$36)</f>
        <v>3</v>
      </c>
      <c r="N14" s="389"/>
      <c r="O14" s="389"/>
      <c r="P14" s="182">
        <v>3</v>
      </c>
      <c r="Q14" s="166">
        <v>3220.6451612903256</v>
      </c>
      <c r="R14" s="166">
        <v>1073.5483870967753</v>
      </c>
      <c r="S14" s="182">
        <f t="shared" si="3"/>
        <v>5</v>
      </c>
      <c r="T14" s="390"/>
      <c r="U14" s="182">
        <v>3</v>
      </c>
      <c r="V14" s="166">
        <v>3227.9999999999941</v>
      </c>
      <c r="W14" s="166">
        <v>1075.999999999998</v>
      </c>
      <c r="X14" s="182">
        <f t="shared" si="4"/>
        <v>3</v>
      </c>
      <c r="Y14" s="390"/>
      <c r="Z14" s="182">
        <v>3</v>
      </c>
      <c r="AA14" s="166">
        <v>3282.499999999995</v>
      </c>
      <c r="AB14" s="166">
        <v>1094.1666666666649</v>
      </c>
      <c r="AC14" s="182">
        <f t="shared" si="5"/>
        <v>1</v>
      </c>
      <c r="AD14" s="390"/>
      <c r="AE14" s="182">
        <v>3</v>
      </c>
      <c r="AF14" s="166">
        <v>3267.499999999995</v>
      </c>
      <c r="AG14" s="166">
        <v>1089.1666666666649</v>
      </c>
      <c r="AH14" s="182">
        <f t="shared" si="6"/>
        <v>4</v>
      </c>
      <c r="AI14" s="390"/>
      <c r="AJ14" s="182">
        <v>3</v>
      </c>
      <c r="AK14" s="166">
        <v>3164.9999999999955</v>
      </c>
      <c r="AL14" s="166">
        <v>1054.9999999999984</v>
      </c>
      <c r="AM14" s="182">
        <f t="shared" si="7"/>
        <v>4</v>
      </c>
      <c r="AN14" s="390"/>
      <c r="AO14" s="182">
        <v>3</v>
      </c>
      <c r="AP14" s="166">
        <v>3172.2580645161243</v>
      </c>
      <c r="AQ14" s="166">
        <v>1057.4193548387082</v>
      </c>
      <c r="AR14" s="182">
        <f t="shared" si="8"/>
        <v>2</v>
      </c>
      <c r="AS14" s="390"/>
      <c r="AT14" s="182">
        <v>3</v>
      </c>
      <c r="AU14" s="166">
        <v>3119.999999999995</v>
      </c>
      <c r="AV14" s="166">
        <v>1039.9999999999984</v>
      </c>
      <c r="AW14" s="182">
        <f t="shared" si="9"/>
        <v>6</v>
      </c>
      <c r="AX14" s="390"/>
      <c r="AZ14" s="182" t="e">
        <f t="shared" si="10"/>
        <v>#N/A</v>
      </c>
      <c r="BA14" s="390"/>
    </row>
    <row r="15" spans="1:53" ht="14.25">
      <c r="A15" s="79"/>
      <c r="B15" s="395"/>
      <c r="C15" s="182">
        <v>9</v>
      </c>
      <c r="D15" s="182" t="s">
        <v>344</v>
      </c>
      <c r="E15" s="182">
        <v>3</v>
      </c>
      <c r="F15" s="182">
        <v>2800</v>
      </c>
      <c r="G15" s="166">
        <v>933.33333333333337</v>
      </c>
      <c r="H15" s="385"/>
      <c r="I15" s="166">
        <f t="shared" si="0"/>
        <v>3</v>
      </c>
      <c r="J15" s="166">
        <f t="shared" si="1"/>
        <v>3210.264413457689</v>
      </c>
      <c r="K15" s="180">
        <f t="shared" si="2"/>
        <v>1070.0881378192296</v>
      </c>
      <c r="L15" s="402"/>
      <c r="M15" s="166">
        <f>RANK(K15, K$7:$K$36)</f>
        <v>2</v>
      </c>
      <c r="N15" s="389"/>
      <c r="O15" s="389"/>
      <c r="P15" s="182">
        <v>3</v>
      </c>
      <c r="Q15" s="166">
        <v>3289.411764705882</v>
      </c>
      <c r="R15" s="166">
        <v>1096.4705882352939</v>
      </c>
      <c r="S15" s="182">
        <f t="shared" si="3"/>
        <v>2</v>
      </c>
      <c r="T15" s="390"/>
      <c r="U15" s="182">
        <v>3</v>
      </c>
      <c r="V15" s="166">
        <v>3210</v>
      </c>
      <c r="W15" s="166">
        <v>1070</v>
      </c>
      <c r="X15" s="182">
        <f t="shared" si="4"/>
        <v>5</v>
      </c>
      <c r="Y15" s="390"/>
      <c r="Z15" s="182">
        <v>3</v>
      </c>
      <c r="AA15" s="166">
        <v>3253.3333333333303</v>
      </c>
      <c r="AB15" s="166">
        <v>1084.4444444444434</v>
      </c>
      <c r="AC15" s="182">
        <f t="shared" si="5"/>
        <v>4</v>
      </c>
      <c r="AD15" s="390"/>
      <c r="AE15" s="182">
        <v>3</v>
      </c>
      <c r="AF15" s="166">
        <v>3288.4615384615349</v>
      </c>
      <c r="AG15" s="166">
        <v>1096.1538461538451</v>
      </c>
      <c r="AH15" s="182">
        <f t="shared" si="6"/>
        <v>3</v>
      </c>
      <c r="AI15" s="390"/>
      <c r="AJ15" s="182">
        <v>3</v>
      </c>
      <c r="AK15" s="166">
        <v>3093.3333333333303</v>
      </c>
      <c r="AL15" s="166">
        <v>1031.1111111111102</v>
      </c>
      <c r="AM15" s="182">
        <f t="shared" si="7"/>
        <v>5</v>
      </c>
      <c r="AN15" s="390"/>
      <c r="AO15" s="182">
        <v>3</v>
      </c>
      <c r="AP15" s="166">
        <v>3171.428571428572</v>
      </c>
      <c r="AQ15" s="166">
        <v>1057.1428571428573</v>
      </c>
      <c r="AR15" s="182">
        <f t="shared" si="8"/>
        <v>3</v>
      </c>
      <c r="AS15" s="390"/>
      <c r="AT15" s="182">
        <v>3</v>
      </c>
      <c r="AU15" s="166">
        <v>3165.8823529411766</v>
      </c>
      <c r="AV15" s="166">
        <v>1055.2941176470588</v>
      </c>
      <c r="AW15" s="182">
        <f t="shared" si="9"/>
        <v>5</v>
      </c>
      <c r="AX15" s="390"/>
      <c r="AZ15" s="182" t="e">
        <f t="shared" si="10"/>
        <v>#N/A</v>
      </c>
      <c r="BA15" s="390"/>
    </row>
    <row r="16" spans="1:53" ht="14.25">
      <c r="A16" s="79"/>
      <c r="B16" s="395"/>
      <c r="C16" s="182">
        <v>10</v>
      </c>
      <c r="D16" s="182" t="s">
        <v>345</v>
      </c>
      <c r="E16" s="182">
        <v>4</v>
      </c>
      <c r="F16" s="182">
        <v>2800</v>
      </c>
      <c r="G16" s="166">
        <v>700</v>
      </c>
      <c r="H16" s="385"/>
      <c r="I16" s="166">
        <f t="shared" si="0"/>
        <v>4</v>
      </c>
      <c r="J16" s="166">
        <f t="shared" si="1"/>
        <v>3210.5668182339682</v>
      </c>
      <c r="K16" s="180">
        <f t="shared" si="2"/>
        <v>802.64170455849205</v>
      </c>
      <c r="L16" s="402"/>
      <c r="M16" s="166">
        <f>RANK(K16, K$7:$K$36)</f>
        <v>13</v>
      </c>
      <c r="N16" s="389"/>
      <c r="O16" s="389"/>
      <c r="P16" s="182">
        <v>4</v>
      </c>
      <c r="Q16" s="166">
        <v>3208.9655172413773</v>
      </c>
      <c r="R16" s="166">
        <v>802.24137931034431</v>
      </c>
      <c r="S16" s="182">
        <f t="shared" si="3"/>
        <v>14</v>
      </c>
      <c r="T16" s="390"/>
      <c r="U16" s="182">
        <v>4</v>
      </c>
      <c r="V16" s="166">
        <v>3211.5789473684235</v>
      </c>
      <c r="W16" s="166">
        <v>802.89473684210589</v>
      </c>
      <c r="X16" s="182">
        <f t="shared" si="4"/>
        <v>14</v>
      </c>
      <c r="Y16" s="390"/>
      <c r="Z16" s="182">
        <v>4</v>
      </c>
      <c r="AA16" s="166">
        <v>3234.5454545454604</v>
      </c>
      <c r="AB16" s="166">
        <v>808.6363636363651</v>
      </c>
      <c r="AC16" s="182">
        <f t="shared" si="5"/>
        <v>12</v>
      </c>
      <c r="AD16" s="390"/>
      <c r="AE16" s="182">
        <v>4</v>
      </c>
      <c r="AF16" s="166">
        <v>3274.2857142857133</v>
      </c>
      <c r="AG16" s="166">
        <v>818.57142857142833</v>
      </c>
      <c r="AH16" s="182">
        <f t="shared" si="6"/>
        <v>13</v>
      </c>
      <c r="AI16" s="390"/>
      <c r="AJ16" s="182">
        <v>4</v>
      </c>
      <c r="AK16" s="166">
        <v>3163.9024390243949</v>
      </c>
      <c r="AL16" s="166">
        <v>790.97560975609872</v>
      </c>
      <c r="AM16" s="182">
        <f t="shared" si="7"/>
        <v>11</v>
      </c>
      <c r="AN16" s="390"/>
      <c r="AO16" s="182">
        <v>4</v>
      </c>
      <c r="AP16" s="166">
        <v>3195.5172413793084</v>
      </c>
      <c r="AQ16" s="166">
        <v>798.8793103448271</v>
      </c>
      <c r="AR16" s="182">
        <f t="shared" si="8"/>
        <v>11</v>
      </c>
      <c r="AS16" s="390"/>
      <c r="AT16" s="182">
        <v>4</v>
      </c>
      <c r="AU16" s="166">
        <v>3185.1724137931014</v>
      </c>
      <c r="AV16" s="166">
        <v>796.29310344827536</v>
      </c>
      <c r="AW16" s="182">
        <f t="shared" si="9"/>
        <v>10</v>
      </c>
      <c r="AX16" s="390"/>
      <c r="AZ16" s="182" t="e">
        <f t="shared" si="10"/>
        <v>#N/A</v>
      </c>
      <c r="BA16" s="390"/>
    </row>
    <row r="17" spans="2:53">
      <c r="B17" s="395"/>
      <c r="C17" s="182">
        <v>11</v>
      </c>
      <c r="D17" s="182" t="s">
        <v>598</v>
      </c>
      <c r="E17" s="182">
        <v>4</v>
      </c>
      <c r="F17" s="182">
        <v>2800</v>
      </c>
      <c r="G17" s="166">
        <v>700</v>
      </c>
      <c r="H17" s="385"/>
      <c r="I17" s="166">
        <f t="shared" si="0"/>
        <v>4</v>
      </c>
      <c r="J17" s="166">
        <f t="shared" si="1"/>
        <v>2825.3441799747611</v>
      </c>
      <c r="K17" s="180">
        <f t="shared" si="2"/>
        <v>706.33604499369028</v>
      </c>
      <c r="L17" s="402"/>
      <c r="M17" s="166">
        <f>RANK(K17, K$7:$K$36)</f>
        <v>19</v>
      </c>
      <c r="N17" s="389"/>
      <c r="O17" s="389"/>
      <c r="P17" s="182">
        <v>4</v>
      </c>
      <c r="Q17" s="166">
        <v>2833.2352941176487</v>
      </c>
      <c r="R17" s="166">
        <v>708.30882352941217</v>
      </c>
      <c r="S17" s="182">
        <f t="shared" si="3"/>
        <v>19</v>
      </c>
      <c r="T17" s="390"/>
      <c r="U17" s="182">
        <v>4</v>
      </c>
      <c r="V17" s="166">
        <v>2840.5970149253735</v>
      </c>
      <c r="W17" s="166">
        <v>710.14925373134338</v>
      </c>
      <c r="X17" s="182">
        <f t="shared" si="4"/>
        <v>18</v>
      </c>
      <c r="Y17" s="390"/>
      <c r="Z17" s="182">
        <v>4</v>
      </c>
      <c r="AA17" s="166">
        <v>2879.9999999999968</v>
      </c>
      <c r="AB17" s="166">
        <v>719.9999999999992</v>
      </c>
      <c r="AC17" s="182">
        <f t="shared" si="5"/>
        <v>19</v>
      </c>
      <c r="AD17" s="390"/>
      <c r="AE17" s="182">
        <v>4</v>
      </c>
      <c r="AF17" s="166">
        <v>2851.2000000000007</v>
      </c>
      <c r="AG17" s="166">
        <v>712.80000000000018</v>
      </c>
      <c r="AH17" s="182">
        <f t="shared" si="6"/>
        <v>18</v>
      </c>
      <c r="AI17" s="390"/>
      <c r="AJ17" s="182">
        <v>4</v>
      </c>
      <c r="AK17" s="166">
        <v>2756.326530612243</v>
      </c>
      <c r="AL17" s="166">
        <v>689.08163265306075</v>
      </c>
      <c r="AM17" s="182">
        <f t="shared" si="7"/>
        <v>18</v>
      </c>
      <c r="AN17" s="390"/>
      <c r="AO17" s="182">
        <v>4</v>
      </c>
      <c r="AP17" s="166">
        <v>2824.2857142857151</v>
      </c>
      <c r="AQ17" s="166">
        <v>706.07142857142878</v>
      </c>
      <c r="AR17" s="182">
        <f t="shared" si="8"/>
        <v>18</v>
      </c>
      <c r="AS17" s="390"/>
      <c r="AT17" s="182">
        <v>4</v>
      </c>
      <c r="AU17" s="166">
        <v>2791.7647058823532</v>
      </c>
      <c r="AV17" s="166">
        <v>697.94117647058829</v>
      </c>
      <c r="AW17" s="182">
        <f t="shared" si="9"/>
        <v>18</v>
      </c>
      <c r="AX17" s="390"/>
      <c r="AZ17" s="182" t="e">
        <f t="shared" si="10"/>
        <v>#N/A</v>
      </c>
      <c r="BA17" s="390"/>
    </row>
    <row r="18" spans="2:53">
      <c r="B18" s="395"/>
      <c r="C18" s="182">
        <v>12</v>
      </c>
      <c r="D18" s="182" t="s">
        <v>599</v>
      </c>
      <c r="E18" s="182">
        <v>4</v>
      </c>
      <c r="F18" s="182">
        <v>2800</v>
      </c>
      <c r="G18" s="166">
        <v>700</v>
      </c>
      <c r="H18" s="385"/>
      <c r="I18" s="166">
        <f t="shared" si="0"/>
        <v>4</v>
      </c>
      <c r="J18" s="166">
        <f t="shared" si="1"/>
        <v>2699.0571428571525</v>
      </c>
      <c r="K18" s="180">
        <f t="shared" si="2"/>
        <v>674.76428571428812</v>
      </c>
      <c r="L18" s="402"/>
      <c r="M18" s="166">
        <f>RANK(K18, K$7:$K$36)</f>
        <v>20</v>
      </c>
      <c r="N18" s="389"/>
      <c r="O18" s="389"/>
      <c r="P18" s="182">
        <v>4</v>
      </c>
      <c r="Q18" s="166">
        <v>2654.3999999999924</v>
      </c>
      <c r="R18" s="166">
        <v>663.59999999999809</v>
      </c>
      <c r="S18" s="182">
        <f t="shared" si="3"/>
        <v>20</v>
      </c>
      <c r="T18" s="390"/>
      <c r="U18" s="182">
        <v>4</v>
      </c>
      <c r="V18" s="166">
        <v>2507.9999999999932</v>
      </c>
      <c r="W18" s="166">
        <v>626.99999999999829</v>
      </c>
      <c r="X18" s="182">
        <f t="shared" si="4"/>
        <v>20</v>
      </c>
      <c r="Y18" s="390"/>
      <c r="Z18" s="182">
        <v>4</v>
      </c>
      <c r="AA18" s="166">
        <v>2949.0000000000105</v>
      </c>
      <c r="AB18" s="166">
        <v>737.25000000000261</v>
      </c>
      <c r="AC18" s="182">
        <f t="shared" si="5"/>
        <v>18</v>
      </c>
      <c r="AD18" s="390"/>
      <c r="AE18" s="182">
        <v>4</v>
      </c>
      <c r="AF18" s="166">
        <v>2772.00000000001</v>
      </c>
      <c r="AG18" s="166">
        <v>693.0000000000025</v>
      </c>
      <c r="AH18" s="182">
        <f t="shared" si="6"/>
        <v>19</v>
      </c>
      <c r="AI18" s="390"/>
      <c r="AJ18" s="182">
        <v>4</v>
      </c>
      <c r="AK18" s="166">
        <v>2970.0000000000105</v>
      </c>
      <c r="AL18" s="166">
        <v>742.50000000000261</v>
      </c>
      <c r="AM18" s="182">
        <f t="shared" si="7"/>
        <v>15</v>
      </c>
      <c r="AN18" s="390"/>
      <c r="AO18" s="182">
        <v>4</v>
      </c>
      <c r="AP18" s="166">
        <v>2539.2000000000253</v>
      </c>
      <c r="AQ18" s="166">
        <v>634.80000000000632</v>
      </c>
      <c r="AR18" s="182">
        <f t="shared" si="8"/>
        <v>20</v>
      </c>
      <c r="AS18" s="390"/>
      <c r="AT18" s="182">
        <v>4</v>
      </c>
      <c r="AU18" s="166">
        <v>2500.8000000000247</v>
      </c>
      <c r="AV18" s="166">
        <v>625.20000000000618</v>
      </c>
      <c r="AW18" s="182">
        <f t="shared" si="9"/>
        <v>20</v>
      </c>
      <c r="AX18" s="390"/>
      <c r="AZ18" s="182" t="e">
        <f t="shared" si="10"/>
        <v>#N/A</v>
      </c>
      <c r="BA18" s="390"/>
    </row>
    <row r="19" spans="2:53">
      <c r="B19" s="395"/>
      <c r="C19" s="182">
        <v>13</v>
      </c>
      <c r="D19" s="182" t="s">
        <v>600</v>
      </c>
      <c r="E19" s="182">
        <v>3</v>
      </c>
      <c r="F19" s="182">
        <v>2800</v>
      </c>
      <c r="G19" s="166">
        <v>933.33333333333337</v>
      </c>
      <c r="H19" s="385"/>
      <c r="I19" s="166">
        <f t="shared" si="0"/>
        <v>3</v>
      </c>
      <c r="J19" s="166">
        <f t="shared" si="1"/>
        <v>2942.2285714285608</v>
      </c>
      <c r="K19" s="180">
        <f t="shared" si="2"/>
        <v>980.74285714285361</v>
      </c>
      <c r="L19" s="402"/>
      <c r="M19" s="166">
        <f>RANK(K19, K$7:$K$36)</f>
        <v>8</v>
      </c>
      <c r="N19" s="389"/>
      <c r="O19" s="389"/>
      <c r="P19" s="182">
        <v>3</v>
      </c>
      <c r="Q19" s="166">
        <v>2855.9999999999918</v>
      </c>
      <c r="R19" s="166">
        <v>951.99999999999727</v>
      </c>
      <c r="S19" s="182">
        <f t="shared" si="3"/>
        <v>8</v>
      </c>
      <c r="T19" s="390"/>
      <c r="U19" s="182">
        <v>3</v>
      </c>
      <c r="V19" s="166">
        <v>2697.5999999999922</v>
      </c>
      <c r="W19" s="166">
        <v>899.19999999999743</v>
      </c>
      <c r="X19" s="182">
        <f t="shared" si="4"/>
        <v>9</v>
      </c>
      <c r="Y19" s="390"/>
      <c r="Z19" s="182">
        <v>3</v>
      </c>
      <c r="AA19" s="166">
        <v>3146.9999999999859</v>
      </c>
      <c r="AB19" s="166">
        <v>1048.9999999999952</v>
      </c>
      <c r="AC19" s="182">
        <f t="shared" si="5"/>
        <v>7</v>
      </c>
      <c r="AD19" s="390"/>
      <c r="AE19" s="182">
        <v>3</v>
      </c>
      <c r="AF19" s="166">
        <v>2933.9999999999873</v>
      </c>
      <c r="AG19" s="166">
        <v>977.99999999999579</v>
      </c>
      <c r="AH19" s="182">
        <f t="shared" si="6"/>
        <v>8</v>
      </c>
      <c r="AI19" s="390"/>
      <c r="AJ19" s="182">
        <v>3</v>
      </c>
      <c r="AK19" s="166">
        <v>3248.9999999999854</v>
      </c>
      <c r="AL19" s="166">
        <v>1082.9999999999952</v>
      </c>
      <c r="AM19" s="182">
        <f t="shared" si="7"/>
        <v>1</v>
      </c>
      <c r="AN19" s="390"/>
      <c r="AO19" s="182">
        <v>3</v>
      </c>
      <c r="AP19" s="166">
        <v>2903.9999999999918</v>
      </c>
      <c r="AQ19" s="166">
        <v>967.99999999999727</v>
      </c>
      <c r="AR19" s="182">
        <f t="shared" si="8"/>
        <v>8</v>
      </c>
      <c r="AS19" s="390"/>
      <c r="AT19" s="182">
        <v>3</v>
      </c>
      <c r="AU19" s="166">
        <v>2807.9999999999923</v>
      </c>
      <c r="AV19" s="166">
        <v>935.99999999999739</v>
      </c>
      <c r="AW19" s="182">
        <f t="shared" si="9"/>
        <v>7</v>
      </c>
      <c r="AX19" s="390"/>
      <c r="AZ19" s="182" t="e">
        <f t="shared" si="10"/>
        <v>#N/A</v>
      </c>
      <c r="BA19" s="390"/>
    </row>
    <row r="20" spans="2:53">
      <c r="B20" s="395"/>
      <c r="C20" s="182">
        <v>14</v>
      </c>
      <c r="D20" s="182" t="s">
        <v>601</v>
      </c>
      <c r="E20" s="182">
        <v>4</v>
      </c>
      <c r="F20" s="182">
        <v>2200</v>
      </c>
      <c r="G20" s="166">
        <v>550</v>
      </c>
      <c r="H20" s="385"/>
      <c r="I20" s="166">
        <f t="shared" si="0"/>
        <v>3</v>
      </c>
      <c r="J20" s="166">
        <f t="shared" si="1"/>
        <v>2202.6904761904761</v>
      </c>
      <c r="K20" s="180">
        <f t="shared" si="2"/>
        <v>734.23015873015868</v>
      </c>
      <c r="L20" s="402"/>
      <c r="M20" s="166">
        <f>RANK(K20, K$7:$K$36)</f>
        <v>17</v>
      </c>
      <c r="N20" s="389"/>
      <c r="O20" s="389"/>
      <c r="P20" s="182">
        <v>3</v>
      </c>
      <c r="Q20" s="166">
        <v>2265.333333333333</v>
      </c>
      <c r="R20" s="166">
        <v>755.11111111111097</v>
      </c>
      <c r="S20" s="182">
        <f t="shared" si="3"/>
        <v>17</v>
      </c>
      <c r="T20" s="390"/>
      <c r="U20" s="182">
        <v>3</v>
      </c>
      <c r="V20" s="166">
        <v>2092</v>
      </c>
      <c r="W20" s="166">
        <v>697.33333333333337</v>
      </c>
      <c r="X20" s="182">
        <f t="shared" si="4"/>
        <v>19</v>
      </c>
      <c r="Y20" s="390"/>
      <c r="Z20" s="182">
        <v>3</v>
      </c>
      <c r="AA20" s="166">
        <v>2257.4999999999991</v>
      </c>
      <c r="AB20" s="166">
        <v>752.49999999999966</v>
      </c>
      <c r="AC20" s="182">
        <f t="shared" si="5"/>
        <v>17</v>
      </c>
      <c r="AD20" s="390"/>
      <c r="AE20" s="182">
        <v>3</v>
      </c>
      <c r="AF20" s="166">
        <v>2072.9999999999995</v>
      </c>
      <c r="AG20" s="166">
        <v>690.99999999999989</v>
      </c>
      <c r="AH20" s="182">
        <f t="shared" si="6"/>
        <v>20</v>
      </c>
      <c r="AI20" s="390"/>
      <c r="AJ20" s="182">
        <v>3</v>
      </c>
      <c r="AK20" s="166">
        <v>2270.9999999999991</v>
      </c>
      <c r="AL20" s="166">
        <v>756.99999999999966</v>
      </c>
      <c r="AM20" s="182">
        <f t="shared" si="7"/>
        <v>14</v>
      </c>
      <c r="AN20" s="390"/>
      <c r="AO20" s="182">
        <v>3</v>
      </c>
      <c r="AP20" s="166">
        <v>2269.3333333333335</v>
      </c>
      <c r="AQ20" s="166">
        <v>756.44444444444446</v>
      </c>
      <c r="AR20" s="182">
        <f t="shared" si="8"/>
        <v>15</v>
      </c>
      <c r="AS20" s="390"/>
      <c r="AT20" s="182">
        <v>3</v>
      </c>
      <c r="AU20" s="166">
        <v>2190.666666666667</v>
      </c>
      <c r="AV20" s="166">
        <v>730.22222222222229</v>
      </c>
      <c r="AW20" s="182">
        <f t="shared" si="9"/>
        <v>17</v>
      </c>
      <c r="AX20" s="390"/>
      <c r="AZ20" s="182" t="e">
        <f t="shared" si="10"/>
        <v>#N/A</v>
      </c>
      <c r="BA20" s="390"/>
    </row>
    <row r="21" spans="2:53">
      <c r="B21" s="395"/>
      <c r="C21" s="182">
        <v>15</v>
      </c>
      <c r="D21" s="182" t="s">
        <v>661</v>
      </c>
      <c r="E21" s="182">
        <v>8</v>
      </c>
      <c r="F21" s="182">
        <v>1500</v>
      </c>
      <c r="G21" s="166">
        <v>187.5</v>
      </c>
      <c r="H21" s="385"/>
      <c r="I21" s="166">
        <f t="shared" si="0"/>
        <v>12</v>
      </c>
      <c r="J21" s="166">
        <f t="shared" si="1"/>
        <v>1427.1799033526747</v>
      </c>
      <c r="K21" s="180">
        <f t="shared" si="2"/>
        <v>118.9316586127229</v>
      </c>
      <c r="L21" s="402"/>
      <c r="M21" s="166">
        <f>RANK(K21, K$7:$K$36)</f>
        <v>21</v>
      </c>
      <c r="N21" s="389"/>
      <c r="O21" s="389"/>
      <c r="P21" s="182">
        <v>12</v>
      </c>
      <c r="Q21" s="166">
        <v>1346.9158878504682</v>
      </c>
      <c r="R21" s="166">
        <v>112.24299065420568</v>
      </c>
      <c r="S21" s="182">
        <f t="shared" si="3"/>
        <v>21</v>
      </c>
      <c r="T21" s="390"/>
      <c r="U21" s="182">
        <v>12</v>
      </c>
      <c r="V21" s="166">
        <v>1492.0754716981139</v>
      </c>
      <c r="W21" s="166">
        <v>124.33962264150949</v>
      </c>
      <c r="X21" s="182">
        <f t="shared" si="4"/>
        <v>21</v>
      </c>
      <c r="Y21" s="390"/>
      <c r="Z21" s="182">
        <v>12</v>
      </c>
      <c r="AA21" s="166">
        <v>1433.0000000000014</v>
      </c>
      <c r="AB21" s="166">
        <v>119.41666666666679</v>
      </c>
      <c r="AC21" s="182">
        <f t="shared" si="5"/>
        <v>21</v>
      </c>
      <c r="AD21" s="390"/>
      <c r="AE21" s="182">
        <v>12</v>
      </c>
      <c r="AF21" s="166">
        <v>1427.0769230769247</v>
      </c>
      <c r="AG21" s="166">
        <v>118.92307692307706</v>
      </c>
      <c r="AH21" s="182">
        <f t="shared" si="6"/>
        <v>22</v>
      </c>
      <c r="AI21" s="390"/>
      <c r="AJ21" s="182">
        <v>12</v>
      </c>
      <c r="AK21" s="166">
        <v>1405.3333333333333</v>
      </c>
      <c r="AL21" s="166">
        <v>117.1111111111111</v>
      </c>
      <c r="AM21" s="182">
        <f t="shared" si="7"/>
        <v>22</v>
      </c>
      <c r="AN21" s="390"/>
      <c r="AO21" s="182">
        <v>12</v>
      </c>
      <c r="AP21" s="166">
        <v>1406.7272727272737</v>
      </c>
      <c r="AQ21" s="166">
        <v>117.2272727272728</v>
      </c>
      <c r="AR21" s="182">
        <f t="shared" si="8"/>
        <v>22</v>
      </c>
      <c r="AS21" s="390"/>
      <c r="AT21" s="182">
        <v>12</v>
      </c>
      <c r="AU21" s="166">
        <v>1479.1304347826085</v>
      </c>
      <c r="AV21" s="166">
        <v>123.26086956521738</v>
      </c>
      <c r="AW21" s="182">
        <f t="shared" si="9"/>
        <v>21</v>
      </c>
      <c r="AX21" s="390"/>
      <c r="AZ21" s="182" t="e">
        <f t="shared" si="10"/>
        <v>#N/A</v>
      </c>
      <c r="BA21" s="390"/>
    </row>
    <row r="22" spans="2:53">
      <c r="B22" s="395"/>
      <c r="C22" s="182">
        <v>16</v>
      </c>
      <c r="D22" s="182" t="s">
        <v>602</v>
      </c>
      <c r="E22" s="182">
        <v>3</v>
      </c>
      <c r="F22" s="182">
        <v>2800</v>
      </c>
      <c r="G22" s="166">
        <v>933.33333333333337</v>
      </c>
      <c r="H22" s="385"/>
      <c r="I22" s="166">
        <f t="shared" si="0"/>
        <v>3</v>
      </c>
      <c r="J22" s="166">
        <f t="shared" si="1"/>
        <v>2812.2892461332353</v>
      </c>
      <c r="K22" s="180">
        <f t="shared" si="2"/>
        <v>937.42974871107856</v>
      </c>
      <c r="L22" s="402"/>
      <c r="M22" s="166">
        <f>RANK(K22, K$7:$K$36)</f>
        <v>9</v>
      </c>
      <c r="N22" s="389"/>
      <c r="O22" s="389"/>
      <c r="P22" s="182">
        <v>3</v>
      </c>
      <c r="Q22" s="166">
        <v>2823.913043478261</v>
      </c>
      <c r="R22" s="166">
        <v>941.304347826087</v>
      </c>
      <c r="S22" s="182">
        <f t="shared" si="3"/>
        <v>9</v>
      </c>
      <c r="T22" s="390"/>
      <c r="U22" s="182">
        <v>3</v>
      </c>
      <c r="V22" s="166">
        <v>2801.739130434783</v>
      </c>
      <c r="W22" s="166">
        <v>933.91304347826099</v>
      </c>
      <c r="X22" s="182">
        <f t="shared" si="4"/>
        <v>8</v>
      </c>
      <c r="Y22" s="390"/>
      <c r="Z22" s="182">
        <v>3</v>
      </c>
      <c r="AA22" s="166">
        <v>2806.6666666666647</v>
      </c>
      <c r="AB22" s="166">
        <v>935.55555555555486</v>
      </c>
      <c r="AC22" s="182">
        <f t="shared" si="5"/>
        <v>9</v>
      </c>
      <c r="AD22" s="390"/>
      <c r="AE22" s="182">
        <v>3</v>
      </c>
      <c r="AF22" s="166">
        <v>2958.1818181818144</v>
      </c>
      <c r="AG22" s="166">
        <v>986.06060606060475</v>
      </c>
      <c r="AH22" s="182">
        <f t="shared" si="6"/>
        <v>7</v>
      </c>
      <c r="AI22" s="390"/>
      <c r="AJ22" s="182">
        <v>3</v>
      </c>
      <c r="AK22" s="166">
        <v>2724.7058823529446</v>
      </c>
      <c r="AL22" s="166">
        <v>908.23529411764821</v>
      </c>
      <c r="AM22" s="182">
        <f t="shared" si="7"/>
        <v>9</v>
      </c>
      <c r="AN22" s="390"/>
      <c r="AO22" s="182">
        <v>3</v>
      </c>
      <c r="AP22" s="166">
        <v>2804</v>
      </c>
      <c r="AQ22" s="166">
        <v>934.66666666666663</v>
      </c>
      <c r="AR22" s="182">
        <f t="shared" si="8"/>
        <v>9</v>
      </c>
      <c r="AS22" s="390"/>
      <c r="AT22" s="182">
        <v>3</v>
      </c>
      <c r="AU22" s="166">
        <v>2766.818181818182</v>
      </c>
      <c r="AV22" s="166">
        <v>922.27272727272737</v>
      </c>
      <c r="AW22" s="182">
        <f t="shared" si="9"/>
        <v>8</v>
      </c>
      <c r="AX22" s="390"/>
      <c r="AZ22" s="182" t="e">
        <f t="shared" si="10"/>
        <v>#N/A</v>
      </c>
      <c r="BA22" s="390"/>
    </row>
    <row r="23" spans="2:53">
      <c r="B23" s="395"/>
      <c r="C23" s="182">
        <v>17</v>
      </c>
      <c r="D23" s="182" t="s">
        <v>603</v>
      </c>
      <c r="E23" s="182">
        <v>4</v>
      </c>
      <c r="F23" s="182">
        <v>2800</v>
      </c>
      <c r="G23" s="166">
        <v>700</v>
      </c>
      <c r="H23" s="385"/>
      <c r="I23" s="166">
        <f t="shared" si="0"/>
        <v>4</v>
      </c>
      <c r="J23" s="166">
        <f t="shared" si="1"/>
        <v>2830.7612145897842</v>
      </c>
      <c r="K23" s="180">
        <f t="shared" si="2"/>
        <v>707.69030364744606</v>
      </c>
      <c r="L23" s="402"/>
      <c r="M23" s="166">
        <f>RANK(K23, K$7:$K$36)</f>
        <v>18</v>
      </c>
      <c r="N23" s="389"/>
      <c r="O23" s="389"/>
      <c r="P23" s="182">
        <v>4</v>
      </c>
      <c r="Q23" s="166">
        <v>2868.6486486486497</v>
      </c>
      <c r="R23" s="166">
        <v>717.16216216216242</v>
      </c>
      <c r="S23" s="182">
        <f t="shared" si="3"/>
        <v>18</v>
      </c>
      <c r="T23" s="390"/>
      <c r="U23" s="182">
        <v>4</v>
      </c>
      <c r="V23" s="166">
        <v>2846.6666666666642</v>
      </c>
      <c r="W23" s="166">
        <v>711.66666666666606</v>
      </c>
      <c r="X23" s="182">
        <f t="shared" si="4"/>
        <v>17</v>
      </c>
      <c r="Y23" s="390"/>
      <c r="Z23" s="182">
        <v>4</v>
      </c>
      <c r="AA23" s="166">
        <v>2877.6923076923044</v>
      </c>
      <c r="AB23" s="166">
        <v>719.42307692307611</v>
      </c>
      <c r="AC23" s="182">
        <f t="shared" si="5"/>
        <v>20</v>
      </c>
      <c r="AD23" s="390"/>
      <c r="AE23" s="182">
        <v>4</v>
      </c>
      <c r="AF23" s="166">
        <v>2899.1999999999962</v>
      </c>
      <c r="AG23" s="166">
        <v>724.79999999999905</v>
      </c>
      <c r="AH23" s="182">
        <f t="shared" si="6"/>
        <v>17</v>
      </c>
      <c r="AI23" s="390"/>
      <c r="AJ23" s="182">
        <v>4</v>
      </c>
      <c r="AK23" s="166">
        <v>2697.6923076923094</v>
      </c>
      <c r="AL23" s="166">
        <v>674.42307692307736</v>
      </c>
      <c r="AM23" s="182">
        <f t="shared" si="7"/>
        <v>19</v>
      </c>
      <c r="AN23" s="390"/>
      <c r="AO23" s="182">
        <v>4</v>
      </c>
      <c r="AP23" s="166">
        <v>2835.4285714285688</v>
      </c>
      <c r="AQ23" s="166">
        <v>708.85714285714221</v>
      </c>
      <c r="AR23" s="182">
        <f t="shared" si="8"/>
        <v>17</v>
      </c>
      <c r="AS23" s="390"/>
      <c r="AT23" s="182">
        <v>4</v>
      </c>
      <c r="AU23" s="166">
        <v>2789.9999999999964</v>
      </c>
      <c r="AV23" s="166">
        <v>697.49999999999909</v>
      </c>
      <c r="AW23" s="182">
        <f t="shared" si="9"/>
        <v>19</v>
      </c>
      <c r="AX23" s="390"/>
      <c r="AZ23" s="182" t="e">
        <f t="shared" si="10"/>
        <v>#N/A</v>
      </c>
      <c r="BA23" s="390"/>
    </row>
    <row r="24" spans="2:53">
      <c r="B24" s="395"/>
      <c r="C24" s="182">
        <v>18</v>
      </c>
      <c r="D24" s="182" t="s">
        <v>618</v>
      </c>
      <c r="E24" s="182">
        <v>12</v>
      </c>
      <c r="F24" s="182">
        <v>1500</v>
      </c>
      <c r="G24" s="166">
        <v>125</v>
      </c>
      <c r="H24" s="385"/>
      <c r="I24" s="166">
        <f t="shared" si="0"/>
        <v>11.142857142857142</v>
      </c>
      <c r="J24" s="166">
        <f t="shared" si="1"/>
        <v>994.64285714286063</v>
      </c>
      <c r="K24" s="180">
        <f t="shared" si="2"/>
        <v>89.80399659863977</v>
      </c>
      <c r="L24" s="402"/>
      <c r="M24" s="166">
        <f>RANK(K24, K$7:$K$36)</f>
        <v>23</v>
      </c>
      <c r="N24" s="389"/>
      <c r="O24" s="389"/>
      <c r="P24" s="182">
        <v>10</v>
      </c>
      <c r="Q24" s="166">
        <v>1011.4285714285751</v>
      </c>
      <c r="R24" s="166">
        <v>101.14285714285751</v>
      </c>
      <c r="S24" s="182">
        <f t="shared" si="3"/>
        <v>23</v>
      </c>
      <c r="T24" s="390"/>
      <c r="U24" s="182">
        <v>8</v>
      </c>
      <c r="V24" s="166">
        <v>757.50000000000261</v>
      </c>
      <c r="W24" s="166">
        <v>94.687500000000327</v>
      </c>
      <c r="X24" s="182">
        <f t="shared" si="4"/>
        <v>23</v>
      </c>
      <c r="Y24" s="390"/>
      <c r="Z24" s="182">
        <v>12</v>
      </c>
      <c r="AA24" s="166">
        <v>1005.0000000000036</v>
      </c>
      <c r="AB24" s="166">
        <v>83.750000000000298</v>
      </c>
      <c r="AC24" s="182">
        <f t="shared" si="5"/>
        <v>23</v>
      </c>
      <c r="AD24" s="390"/>
      <c r="AE24" s="182">
        <v>12</v>
      </c>
      <c r="AF24" s="166">
        <v>1050.0000000000039</v>
      </c>
      <c r="AG24" s="166">
        <v>87.500000000000327</v>
      </c>
      <c r="AH24" s="182">
        <f t="shared" si="6"/>
        <v>23</v>
      </c>
      <c r="AI24" s="390"/>
      <c r="AJ24" s="182">
        <v>12</v>
      </c>
      <c r="AK24" s="166">
        <v>1020.0000000000036</v>
      </c>
      <c r="AL24" s="166">
        <v>85.000000000000298</v>
      </c>
      <c r="AM24" s="182">
        <f t="shared" si="7"/>
        <v>23</v>
      </c>
      <c r="AN24" s="390"/>
      <c r="AO24" s="182">
        <v>12</v>
      </c>
      <c r="AP24" s="166">
        <v>1150.0000000000041</v>
      </c>
      <c r="AQ24" s="166">
        <v>95.83333333333367</v>
      </c>
      <c r="AR24" s="182">
        <f t="shared" si="8"/>
        <v>23</v>
      </c>
      <c r="AS24" s="390"/>
      <c r="AT24" s="182">
        <v>12</v>
      </c>
      <c r="AU24" s="166">
        <v>968.57142857143197</v>
      </c>
      <c r="AV24" s="166">
        <v>80.714285714285992</v>
      </c>
      <c r="AW24" s="182">
        <f t="shared" si="9"/>
        <v>23</v>
      </c>
      <c r="AX24" s="390"/>
      <c r="AZ24" s="182" t="e">
        <f t="shared" si="10"/>
        <v>#N/A</v>
      </c>
      <c r="BA24" s="390"/>
    </row>
    <row r="25" spans="2:53">
      <c r="B25" s="395"/>
      <c r="C25" s="182">
        <v>19</v>
      </c>
      <c r="D25" s="182" t="s">
        <v>625</v>
      </c>
      <c r="E25" s="182">
        <v>12</v>
      </c>
      <c r="F25" s="182">
        <v>1500</v>
      </c>
      <c r="G25" s="166">
        <v>125</v>
      </c>
      <c r="H25" s="385"/>
      <c r="I25" s="166">
        <f t="shared" si="0"/>
        <v>12</v>
      </c>
      <c r="J25" s="166">
        <f t="shared" si="1"/>
        <v>1409.9815392838918</v>
      </c>
      <c r="K25" s="180">
        <f t="shared" si="2"/>
        <v>117.498461606991</v>
      </c>
      <c r="L25" s="402"/>
      <c r="M25" s="166">
        <f>RANK(K25, K$7:$K$36)</f>
        <v>22</v>
      </c>
      <c r="N25" s="389"/>
      <c r="O25" s="389"/>
      <c r="P25" s="182">
        <v>12</v>
      </c>
      <c r="Q25" s="166">
        <v>1248.8372093023254</v>
      </c>
      <c r="R25" s="166">
        <v>104.06976744186045</v>
      </c>
      <c r="S25" s="182">
        <f t="shared" si="3"/>
        <v>22</v>
      </c>
      <c r="T25" s="390"/>
      <c r="U25" s="182">
        <v>12</v>
      </c>
      <c r="V25" s="166">
        <v>1404.3749999999982</v>
      </c>
      <c r="W25" s="166">
        <v>117.03124999999984</v>
      </c>
      <c r="X25" s="182">
        <f t="shared" si="4"/>
        <v>22</v>
      </c>
      <c r="Y25" s="390"/>
      <c r="Z25" s="182">
        <v>12</v>
      </c>
      <c r="AA25" s="166">
        <v>1431.1111111111077</v>
      </c>
      <c r="AB25" s="166">
        <v>119.25925925925897</v>
      </c>
      <c r="AC25" s="182">
        <f t="shared" si="5"/>
        <v>22</v>
      </c>
      <c r="AD25" s="390"/>
      <c r="AE25" s="182">
        <v>12</v>
      </c>
      <c r="AF25" s="166">
        <v>1476.9230769230733</v>
      </c>
      <c r="AG25" s="166">
        <v>123.07692307692277</v>
      </c>
      <c r="AH25" s="182">
        <f t="shared" si="6"/>
        <v>21</v>
      </c>
      <c r="AI25" s="390"/>
      <c r="AJ25" s="182">
        <v>12</v>
      </c>
      <c r="AK25" s="166">
        <v>1464.8275862068936</v>
      </c>
      <c r="AL25" s="166">
        <v>122.06896551724112</v>
      </c>
      <c r="AM25" s="182">
        <f t="shared" si="7"/>
        <v>21</v>
      </c>
      <c r="AN25" s="390"/>
      <c r="AO25" s="182">
        <v>12</v>
      </c>
      <c r="AP25" s="166">
        <v>1469.0909090909072</v>
      </c>
      <c r="AQ25" s="166">
        <v>122.42424242424227</v>
      </c>
      <c r="AR25" s="182">
        <f t="shared" si="8"/>
        <v>21</v>
      </c>
      <c r="AS25" s="390"/>
      <c r="AT25" s="182">
        <v>12</v>
      </c>
      <c r="AU25" s="166">
        <v>1374.7058823529394</v>
      </c>
      <c r="AV25" s="166">
        <v>114.55882352941161</v>
      </c>
      <c r="AW25" s="182">
        <f t="shared" si="9"/>
        <v>22</v>
      </c>
      <c r="AX25" s="390"/>
      <c r="AZ25" s="182" t="e">
        <f t="shared" si="10"/>
        <v>#N/A</v>
      </c>
      <c r="BA25" s="390"/>
    </row>
    <row r="26" spans="2:53">
      <c r="B26" s="395"/>
      <c r="C26" s="182">
        <v>20</v>
      </c>
      <c r="D26" s="182" t="s">
        <v>636</v>
      </c>
      <c r="E26" s="182">
        <v>3</v>
      </c>
      <c r="F26" s="182">
        <v>3000</v>
      </c>
      <c r="G26" s="166">
        <v>933.33333333333337</v>
      </c>
      <c r="H26" s="385"/>
      <c r="I26" s="166">
        <f t="shared" si="0"/>
        <v>3</v>
      </c>
      <c r="J26" s="166">
        <f t="shared" si="1"/>
        <v>2966.4734693877567</v>
      </c>
      <c r="K26" s="180">
        <f t="shared" si="2"/>
        <v>988.82448979591879</v>
      </c>
      <c r="L26" s="402"/>
      <c r="M26" s="166">
        <f>RANK(K26, K$7:$K$36)</f>
        <v>7</v>
      </c>
      <c r="N26" s="389"/>
      <c r="O26" s="389"/>
      <c r="P26" s="182">
        <v>3</v>
      </c>
      <c r="Q26" s="166">
        <v>2879.9999999999991</v>
      </c>
      <c r="R26" s="166">
        <v>959.99999999999966</v>
      </c>
      <c r="S26" s="182">
        <f t="shared" si="3"/>
        <v>7</v>
      </c>
      <c r="T26" s="390"/>
      <c r="U26" s="182">
        <v>3</v>
      </c>
      <c r="V26" s="166">
        <v>3076.0000000000109</v>
      </c>
      <c r="W26" s="166">
        <v>1025.3333333333369</v>
      </c>
      <c r="X26" s="182">
        <f t="shared" si="4"/>
        <v>7</v>
      </c>
      <c r="Y26" s="390"/>
      <c r="Z26" s="182">
        <v>3</v>
      </c>
      <c r="AA26" s="166">
        <v>3103.1999999999912</v>
      </c>
      <c r="AB26" s="166">
        <v>1034.3999999999971</v>
      </c>
      <c r="AC26" s="182">
        <f t="shared" si="5"/>
        <v>8</v>
      </c>
      <c r="AD26" s="390"/>
      <c r="AE26" s="182">
        <v>3</v>
      </c>
      <c r="AF26" s="166">
        <v>2930.3999999999915</v>
      </c>
      <c r="AG26" s="166">
        <v>976.79999999999711</v>
      </c>
      <c r="AH26" s="182">
        <f t="shared" si="6"/>
        <v>9</v>
      </c>
      <c r="AI26" s="390"/>
      <c r="AJ26" s="182">
        <v>3</v>
      </c>
      <c r="AK26" s="166">
        <v>2922.0000000000105</v>
      </c>
      <c r="AL26" s="166">
        <v>974.00000000000352</v>
      </c>
      <c r="AM26" s="182">
        <f t="shared" si="7"/>
        <v>8</v>
      </c>
      <c r="AN26" s="390"/>
      <c r="AO26" s="182">
        <v>3</v>
      </c>
      <c r="AP26" s="166">
        <v>3092.0000000000109</v>
      </c>
      <c r="AQ26" s="166">
        <v>1030.6666666666704</v>
      </c>
      <c r="AR26" s="182">
        <f t="shared" si="8"/>
        <v>5</v>
      </c>
      <c r="AS26" s="390"/>
      <c r="AT26" s="182">
        <v>3</v>
      </c>
      <c r="AU26" s="166">
        <v>2761.7142857142831</v>
      </c>
      <c r="AV26" s="166">
        <v>920.57142857142765</v>
      </c>
      <c r="AW26" s="182">
        <f t="shared" si="9"/>
        <v>9</v>
      </c>
      <c r="AX26" s="390"/>
      <c r="AZ26" s="182" t="e">
        <f t="shared" si="10"/>
        <v>#N/A</v>
      </c>
      <c r="BA26" s="390"/>
    </row>
    <row r="27" spans="2:53">
      <c r="B27" s="395"/>
      <c r="C27" s="182">
        <v>21</v>
      </c>
      <c r="D27" s="313" t="s">
        <v>641</v>
      </c>
      <c r="E27" s="182">
        <v>4</v>
      </c>
      <c r="F27" s="182">
        <v>3200</v>
      </c>
      <c r="G27" s="166">
        <v>800</v>
      </c>
      <c r="H27" s="385"/>
      <c r="I27" s="166">
        <f t="shared" si="0"/>
        <v>4</v>
      </c>
      <c r="J27" s="166">
        <f t="shared" si="1"/>
        <v>2964.2100017329626</v>
      </c>
      <c r="K27" s="180">
        <f t="shared" si="2"/>
        <v>741.05250043324065</v>
      </c>
      <c r="L27" s="402"/>
      <c r="M27" s="166">
        <f>RANK(K27, K$7:$K$36)</f>
        <v>16</v>
      </c>
      <c r="N27" s="389"/>
      <c r="O27" s="389"/>
      <c r="P27" s="182">
        <v>4</v>
      </c>
      <c r="Q27" s="166">
        <v>3028.1250000000036</v>
      </c>
      <c r="R27" s="166">
        <v>757.03125000000091</v>
      </c>
      <c r="S27" s="182">
        <f t="shared" si="3"/>
        <v>16</v>
      </c>
      <c r="T27" s="390"/>
      <c r="U27" s="182">
        <v>4</v>
      </c>
      <c r="V27" s="166">
        <v>3042.7272727272725</v>
      </c>
      <c r="W27" s="166">
        <v>760.68181818181813</v>
      </c>
      <c r="X27" s="182">
        <f t="shared" si="4"/>
        <v>15</v>
      </c>
      <c r="Y27" s="390"/>
      <c r="Z27" s="182">
        <v>4</v>
      </c>
      <c r="AA27" s="166">
        <v>3060.0000000000045</v>
      </c>
      <c r="AB27" s="166">
        <v>765.00000000000114</v>
      </c>
      <c r="AC27" s="182">
        <f t="shared" si="5"/>
        <v>15</v>
      </c>
      <c r="AD27" s="390"/>
      <c r="AE27" s="182">
        <v>4</v>
      </c>
      <c r="AF27" s="166">
        <v>3013.5000000000045</v>
      </c>
      <c r="AG27" s="166">
        <v>753.37500000000114</v>
      </c>
      <c r="AH27" s="182">
        <f t="shared" si="6"/>
        <v>16</v>
      </c>
      <c r="AI27" s="390"/>
      <c r="AJ27" s="182">
        <v>4</v>
      </c>
      <c r="AK27" s="166">
        <v>2943.0769230769215</v>
      </c>
      <c r="AL27" s="166">
        <v>735.76923076923038</v>
      </c>
      <c r="AM27" s="182">
        <f t="shared" si="7"/>
        <v>17</v>
      </c>
      <c r="AN27" s="390"/>
      <c r="AO27" s="182">
        <v>4</v>
      </c>
      <c r="AP27" s="166">
        <v>2700.0000000000023</v>
      </c>
      <c r="AQ27" s="166">
        <v>675.00000000000057</v>
      </c>
      <c r="AR27" s="182">
        <f t="shared" si="8"/>
        <v>19</v>
      </c>
      <c r="AS27" s="390"/>
      <c r="AT27" s="182">
        <v>4</v>
      </c>
      <c r="AU27" s="166">
        <v>2962.0408163265315</v>
      </c>
      <c r="AV27" s="166">
        <v>740.51020408163288</v>
      </c>
      <c r="AW27" s="182">
        <f t="shared" si="9"/>
        <v>16</v>
      </c>
      <c r="AX27" s="390"/>
      <c r="AZ27" s="182" t="e">
        <f t="shared" si="10"/>
        <v>#N/A</v>
      </c>
      <c r="BA27" s="390"/>
    </row>
    <row r="28" spans="2:53">
      <c r="B28" s="395"/>
      <c r="C28" s="182">
        <v>22</v>
      </c>
      <c r="D28" s="182" t="s">
        <v>643</v>
      </c>
      <c r="E28" s="182">
        <v>4</v>
      </c>
      <c r="F28" s="182">
        <v>3200</v>
      </c>
      <c r="G28" s="182">
        <v>800</v>
      </c>
      <c r="H28" s="385"/>
      <c r="I28" s="166">
        <f t="shared" si="0"/>
        <v>4</v>
      </c>
      <c r="J28" s="166">
        <f t="shared" si="1"/>
        <v>3010.790319548873</v>
      </c>
      <c r="K28" s="180">
        <f t="shared" si="2"/>
        <v>752.69757988721824</v>
      </c>
      <c r="L28" s="402"/>
      <c r="M28" s="166">
        <f>RANK(K28, K$7:$K$36)</f>
        <v>15</v>
      </c>
      <c r="N28" s="389"/>
      <c r="O28" s="389"/>
      <c r="P28" s="182">
        <v>4</v>
      </c>
      <c r="Q28" s="166">
        <v>3031.1999999999975</v>
      </c>
      <c r="R28" s="166">
        <v>757.79999999999939</v>
      </c>
      <c r="S28" s="182">
        <f t="shared" si="3"/>
        <v>15</v>
      </c>
      <c r="T28" s="390"/>
      <c r="U28" s="182">
        <v>4</v>
      </c>
      <c r="V28" s="166">
        <v>3007.8947368421032</v>
      </c>
      <c r="W28" s="166">
        <v>751.97368421052579</v>
      </c>
      <c r="X28" s="182">
        <f t="shared" si="4"/>
        <v>16</v>
      </c>
      <c r="Y28" s="390"/>
      <c r="Z28" s="182">
        <v>4</v>
      </c>
      <c r="AA28" s="166">
        <v>3035.9999999999964</v>
      </c>
      <c r="AB28" s="166">
        <v>758.99999999999909</v>
      </c>
      <c r="AC28" s="182">
        <f t="shared" si="5"/>
        <v>16</v>
      </c>
      <c r="AD28" s="390"/>
      <c r="AE28" s="182">
        <v>4</v>
      </c>
      <c r="AF28" s="166">
        <v>3071.2500000000059</v>
      </c>
      <c r="AG28" s="166">
        <v>767.81250000000148</v>
      </c>
      <c r="AH28" s="182">
        <f t="shared" si="6"/>
        <v>15</v>
      </c>
      <c r="AI28" s="390"/>
      <c r="AJ28" s="182">
        <v>4</v>
      </c>
      <c r="AK28" s="166">
        <v>2950.0000000000009</v>
      </c>
      <c r="AL28" s="166">
        <v>737.50000000000023</v>
      </c>
      <c r="AM28" s="182">
        <f t="shared" si="7"/>
        <v>16</v>
      </c>
      <c r="AN28" s="390"/>
      <c r="AO28" s="182">
        <v>4</v>
      </c>
      <c r="AP28" s="166">
        <v>2982.1875000000036</v>
      </c>
      <c r="AQ28" s="166">
        <v>745.54687500000091</v>
      </c>
      <c r="AR28" s="182">
        <f t="shared" si="8"/>
        <v>16</v>
      </c>
      <c r="AS28" s="390"/>
      <c r="AT28" s="182">
        <v>4</v>
      </c>
      <c r="AU28" s="166">
        <v>2997.0000000000027</v>
      </c>
      <c r="AV28" s="166">
        <v>749.25000000000068</v>
      </c>
      <c r="AW28" s="182">
        <f t="shared" si="9"/>
        <v>15</v>
      </c>
      <c r="AX28" s="390"/>
      <c r="AZ28" s="182" t="e">
        <f t="shared" si="10"/>
        <v>#N/A</v>
      </c>
      <c r="BA28" s="390"/>
    </row>
    <row r="29" spans="2:53">
      <c r="B29" s="395"/>
      <c r="C29" s="182">
        <v>23</v>
      </c>
      <c r="D29" s="182" t="s">
        <v>651</v>
      </c>
      <c r="E29" s="182">
        <v>3</v>
      </c>
      <c r="F29" s="182">
        <v>3200</v>
      </c>
      <c r="G29" s="182">
        <v>1066.6666666666667</v>
      </c>
      <c r="H29" s="385"/>
      <c r="I29" s="166">
        <f t="shared" si="0"/>
        <v>3</v>
      </c>
      <c r="J29" s="166">
        <f t="shared" si="1"/>
        <v>3206.2958671650631</v>
      </c>
      <c r="K29" s="180">
        <f t="shared" si="2"/>
        <v>1068.7652890550212</v>
      </c>
      <c r="L29" s="402"/>
      <c r="M29" s="166">
        <f>RANK(K29, K$7:$K$36)</f>
        <v>4</v>
      </c>
      <c r="N29" s="389"/>
      <c r="O29" s="389"/>
      <c r="P29" s="182">
        <v>3</v>
      </c>
      <c r="Q29" s="166">
        <v>3231.9402985074585</v>
      </c>
      <c r="R29" s="166">
        <v>1077.3134328358194</v>
      </c>
      <c r="S29" s="182">
        <f t="shared" si="3"/>
        <v>4</v>
      </c>
      <c r="T29" s="390"/>
      <c r="U29" s="182">
        <v>3</v>
      </c>
      <c r="V29" s="166">
        <v>3204.5454545454577</v>
      </c>
      <c r="W29" s="166">
        <v>1068.1818181818192</v>
      </c>
      <c r="X29" s="182">
        <f t="shared" si="4"/>
        <v>6</v>
      </c>
      <c r="Y29" s="390"/>
      <c r="Z29" s="182">
        <v>3</v>
      </c>
      <c r="AA29" s="166">
        <v>3256.9811320754684</v>
      </c>
      <c r="AB29" s="166">
        <v>1085.6603773584895</v>
      </c>
      <c r="AC29" s="182">
        <f t="shared" si="5"/>
        <v>3</v>
      </c>
      <c r="AD29" s="390"/>
      <c r="AE29" s="182">
        <v>3</v>
      </c>
      <c r="AF29" s="166">
        <v>3220.4347826086955</v>
      </c>
      <c r="AG29" s="166">
        <v>1073.4782608695652</v>
      </c>
      <c r="AH29" s="182">
        <f t="shared" si="6"/>
        <v>6</v>
      </c>
      <c r="AI29" s="390"/>
      <c r="AJ29" s="182">
        <v>3</v>
      </c>
      <c r="AK29" s="166">
        <v>3181.5789473684258</v>
      </c>
      <c r="AL29" s="166">
        <v>1060.5263157894753</v>
      </c>
      <c r="AM29" s="182">
        <f t="shared" si="7"/>
        <v>3</v>
      </c>
      <c r="AN29" s="390"/>
      <c r="AO29" s="182">
        <v>3</v>
      </c>
      <c r="AP29" s="166">
        <v>3170.9433962264166</v>
      </c>
      <c r="AQ29" s="166">
        <v>1056.9811320754723</v>
      </c>
      <c r="AR29" s="182">
        <f t="shared" si="8"/>
        <v>4</v>
      </c>
      <c r="AS29" s="390"/>
      <c r="AT29" s="182">
        <v>3</v>
      </c>
      <c r="AU29" s="166">
        <v>3177.6470588235206</v>
      </c>
      <c r="AV29" s="166">
        <v>1059.2156862745069</v>
      </c>
      <c r="AW29" s="182">
        <f t="shared" si="9"/>
        <v>2</v>
      </c>
      <c r="AX29" s="390"/>
      <c r="AZ29" s="182" t="e">
        <f t="shared" si="10"/>
        <v>#N/A</v>
      </c>
      <c r="BA29" s="390"/>
    </row>
    <row r="30" spans="2:53">
      <c r="B30" s="395"/>
      <c r="C30" s="182">
        <v>24</v>
      </c>
      <c r="D30" s="182"/>
      <c r="E30" s="182"/>
      <c r="F30" s="182"/>
      <c r="G30" s="182"/>
      <c r="H30" s="385"/>
      <c r="I30" s="166" t="str">
        <f t="shared" si="0"/>
        <v>-</v>
      </c>
      <c r="J30" s="166" t="str">
        <f t="shared" si="1"/>
        <v>-</v>
      </c>
      <c r="K30" s="180" t="str">
        <f t="shared" si="2"/>
        <v>-</v>
      </c>
      <c r="L30" s="402"/>
      <c r="M30" s="166" t="e">
        <f>RANK(K30, K$7:$K$36)</f>
        <v>#VALUE!</v>
      </c>
      <c r="N30" s="389"/>
      <c r="O30" s="389"/>
      <c r="P30" s="182" t="s">
        <v>634</v>
      </c>
      <c r="Q30" s="166" t="s">
        <v>634</v>
      </c>
      <c r="R30" s="166" t="s">
        <v>634</v>
      </c>
      <c r="S30" s="182" t="e">
        <f t="shared" si="3"/>
        <v>#VALUE!</v>
      </c>
      <c r="T30" s="390"/>
      <c r="U30" s="182" t="s">
        <v>634</v>
      </c>
      <c r="V30" s="166" t="s">
        <v>634</v>
      </c>
      <c r="W30" s="166" t="s">
        <v>634</v>
      </c>
      <c r="X30" s="182" t="e">
        <f t="shared" si="4"/>
        <v>#VALUE!</v>
      </c>
      <c r="Y30" s="390"/>
      <c r="Z30" s="182" t="s">
        <v>634</v>
      </c>
      <c r="AA30" s="166" t="s">
        <v>634</v>
      </c>
      <c r="AB30" s="166" t="s">
        <v>634</v>
      </c>
      <c r="AC30" s="182" t="e">
        <f t="shared" si="5"/>
        <v>#VALUE!</v>
      </c>
      <c r="AD30" s="390"/>
      <c r="AE30" s="182" t="s">
        <v>634</v>
      </c>
      <c r="AF30" s="166" t="s">
        <v>634</v>
      </c>
      <c r="AG30" s="166" t="s">
        <v>634</v>
      </c>
      <c r="AH30" s="182" t="e">
        <f t="shared" si="6"/>
        <v>#VALUE!</v>
      </c>
      <c r="AI30" s="390"/>
      <c r="AJ30" s="182" t="s">
        <v>634</v>
      </c>
      <c r="AK30" s="166" t="s">
        <v>634</v>
      </c>
      <c r="AL30" s="166" t="s">
        <v>634</v>
      </c>
      <c r="AM30" s="182" t="e">
        <f t="shared" si="7"/>
        <v>#VALUE!</v>
      </c>
      <c r="AN30" s="390"/>
      <c r="AO30" s="182" t="s">
        <v>634</v>
      </c>
      <c r="AP30" s="166" t="s">
        <v>634</v>
      </c>
      <c r="AQ30" s="166" t="s">
        <v>634</v>
      </c>
      <c r="AR30" s="182" t="e">
        <f t="shared" si="8"/>
        <v>#VALUE!</v>
      </c>
      <c r="AS30" s="390"/>
      <c r="AT30" s="182" t="s">
        <v>634</v>
      </c>
      <c r="AU30" s="166" t="s">
        <v>634</v>
      </c>
      <c r="AV30" s="166" t="s">
        <v>634</v>
      </c>
      <c r="AW30" s="182" t="e">
        <f t="shared" si="9"/>
        <v>#VALUE!</v>
      </c>
      <c r="AX30" s="390"/>
      <c r="AZ30" s="182" t="e">
        <f t="shared" si="10"/>
        <v>#N/A</v>
      </c>
      <c r="BA30" s="390"/>
    </row>
    <row r="31" spans="2:53">
      <c r="B31" s="395"/>
      <c r="C31" s="182">
        <v>25</v>
      </c>
      <c r="D31" s="182"/>
      <c r="E31" s="182"/>
      <c r="F31" s="182"/>
      <c r="G31" s="182"/>
      <c r="H31" s="385"/>
      <c r="I31" s="166" t="str">
        <f t="shared" si="0"/>
        <v>-</v>
      </c>
      <c r="J31" s="166" t="str">
        <f t="shared" si="1"/>
        <v>-</v>
      </c>
      <c r="K31" s="180" t="str">
        <f t="shared" si="2"/>
        <v>-</v>
      </c>
      <c r="L31" s="402"/>
      <c r="M31" s="166" t="e">
        <f>RANK(K31, K$7:$K$36)</f>
        <v>#VALUE!</v>
      </c>
      <c r="N31" s="389"/>
      <c r="O31" s="389"/>
      <c r="P31" s="182" t="s">
        <v>634</v>
      </c>
      <c r="Q31" s="166" t="s">
        <v>634</v>
      </c>
      <c r="R31" s="166" t="s">
        <v>634</v>
      </c>
      <c r="S31" s="182" t="e">
        <f t="shared" si="3"/>
        <v>#VALUE!</v>
      </c>
      <c r="T31" s="390"/>
      <c r="U31" s="182" t="s">
        <v>634</v>
      </c>
      <c r="V31" s="166" t="s">
        <v>634</v>
      </c>
      <c r="W31" s="166" t="s">
        <v>634</v>
      </c>
      <c r="X31" s="182" t="e">
        <f t="shared" si="4"/>
        <v>#VALUE!</v>
      </c>
      <c r="Y31" s="390"/>
      <c r="Z31" s="182" t="s">
        <v>634</v>
      </c>
      <c r="AA31" s="166" t="s">
        <v>634</v>
      </c>
      <c r="AB31" s="166" t="s">
        <v>634</v>
      </c>
      <c r="AC31" s="182" t="e">
        <f t="shared" si="5"/>
        <v>#VALUE!</v>
      </c>
      <c r="AD31" s="390"/>
      <c r="AE31" s="182" t="s">
        <v>634</v>
      </c>
      <c r="AF31" s="166" t="s">
        <v>634</v>
      </c>
      <c r="AG31" s="166" t="s">
        <v>634</v>
      </c>
      <c r="AH31" s="182" t="e">
        <f t="shared" si="6"/>
        <v>#VALUE!</v>
      </c>
      <c r="AI31" s="390"/>
      <c r="AJ31" s="182" t="s">
        <v>634</v>
      </c>
      <c r="AK31" s="166" t="s">
        <v>634</v>
      </c>
      <c r="AL31" s="166" t="s">
        <v>634</v>
      </c>
      <c r="AM31" s="182" t="e">
        <f t="shared" si="7"/>
        <v>#VALUE!</v>
      </c>
      <c r="AN31" s="390"/>
      <c r="AO31" s="182" t="s">
        <v>634</v>
      </c>
      <c r="AP31" s="166" t="s">
        <v>634</v>
      </c>
      <c r="AQ31" s="166" t="s">
        <v>634</v>
      </c>
      <c r="AR31" s="182" t="e">
        <f t="shared" si="8"/>
        <v>#VALUE!</v>
      </c>
      <c r="AS31" s="390"/>
      <c r="AT31" s="182" t="s">
        <v>634</v>
      </c>
      <c r="AU31" s="166" t="s">
        <v>634</v>
      </c>
      <c r="AV31" s="166" t="s">
        <v>634</v>
      </c>
      <c r="AW31" s="182" t="e">
        <f t="shared" si="9"/>
        <v>#VALUE!</v>
      </c>
      <c r="AX31" s="390"/>
      <c r="AZ31" s="182" t="e">
        <f t="shared" si="10"/>
        <v>#N/A</v>
      </c>
      <c r="BA31" s="390"/>
    </row>
    <row r="32" spans="2:53">
      <c r="B32" s="395"/>
      <c r="C32" s="182">
        <v>26</v>
      </c>
      <c r="D32" s="182"/>
      <c r="E32" s="182"/>
      <c r="F32" s="182"/>
      <c r="G32" s="182"/>
      <c r="H32" s="385"/>
      <c r="I32" s="166" t="str">
        <f t="shared" si="0"/>
        <v>-</v>
      </c>
      <c r="J32" s="166" t="str">
        <f t="shared" si="1"/>
        <v>-</v>
      </c>
      <c r="K32" s="180" t="str">
        <f t="shared" si="2"/>
        <v>-</v>
      </c>
      <c r="L32" s="402"/>
      <c r="M32" s="166" t="e">
        <f>RANK(K32, K$7:$K$36)</f>
        <v>#VALUE!</v>
      </c>
      <c r="N32" s="389"/>
      <c r="O32" s="389"/>
      <c r="P32" s="182" t="s">
        <v>634</v>
      </c>
      <c r="Q32" s="166" t="s">
        <v>634</v>
      </c>
      <c r="R32" s="166" t="s">
        <v>634</v>
      </c>
      <c r="S32" s="182" t="e">
        <f t="shared" si="3"/>
        <v>#VALUE!</v>
      </c>
      <c r="T32" s="390"/>
      <c r="U32" s="182" t="s">
        <v>634</v>
      </c>
      <c r="V32" s="166" t="s">
        <v>634</v>
      </c>
      <c r="W32" s="166" t="s">
        <v>634</v>
      </c>
      <c r="X32" s="182" t="e">
        <f t="shared" si="4"/>
        <v>#VALUE!</v>
      </c>
      <c r="Y32" s="390"/>
      <c r="Z32" s="182" t="s">
        <v>634</v>
      </c>
      <c r="AA32" s="166" t="s">
        <v>634</v>
      </c>
      <c r="AB32" s="166" t="s">
        <v>634</v>
      </c>
      <c r="AC32" s="182" t="e">
        <f t="shared" si="5"/>
        <v>#VALUE!</v>
      </c>
      <c r="AD32" s="390"/>
      <c r="AE32" s="182" t="s">
        <v>634</v>
      </c>
      <c r="AF32" s="166" t="s">
        <v>634</v>
      </c>
      <c r="AG32" s="166" t="s">
        <v>634</v>
      </c>
      <c r="AH32" s="182" t="e">
        <f t="shared" si="6"/>
        <v>#VALUE!</v>
      </c>
      <c r="AI32" s="390"/>
      <c r="AJ32" s="182" t="s">
        <v>634</v>
      </c>
      <c r="AK32" s="166" t="s">
        <v>634</v>
      </c>
      <c r="AL32" s="166" t="s">
        <v>634</v>
      </c>
      <c r="AM32" s="182" t="e">
        <f t="shared" si="7"/>
        <v>#VALUE!</v>
      </c>
      <c r="AN32" s="390"/>
      <c r="AO32" s="182" t="s">
        <v>634</v>
      </c>
      <c r="AP32" s="166" t="s">
        <v>634</v>
      </c>
      <c r="AQ32" s="166" t="s">
        <v>634</v>
      </c>
      <c r="AR32" s="182" t="e">
        <f t="shared" si="8"/>
        <v>#VALUE!</v>
      </c>
      <c r="AS32" s="390"/>
      <c r="AT32" s="182" t="s">
        <v>634</v>
      </c>
      <c r="AU32" s="166" t="s">
        <v>634</v>
      </c>
      <c r="AV32" s="166" t="s">
        <v>634</v>
      </c>
      <c r="AW32" s="182" t="e">
        <f t="shared" si="9"/>
        <v>#VALUE!</v>
      </c>
      <c r="AX32" s="390"/>
      <c r="AZ32" s="182" t="e">
        <f t="shared" si="10"/>
        <v>#N/A</v>
      </c>
      <c r="BA32" s="390"/>
    </row>
    <row r="33" spans="2:53">
      <c r="B33" s="395"/>
      <c r="C33" s="182">
        <v>27</v>
      </c>
      <c r="D33" s="182"/>
      <c r="E33" s="182"/>
      <c r="F33" s="182"/>
      <c r="G33" s="182"/>
      <c r="H33" s="385"/>
      <c r="I33" s="166" t="str">
        <f t="shared" si="0"/>
        <v>-</v>
      </c>
      <c r="J33" s="166" t="str">
        <f t="shared" si="1"/>
        <v>-</v>
      </c>
      <c r="K33" s="180" t="str">
        <f t="shared" si="2"/>
        <v>-</v>
      </c>
      <c r="L33" s="402"/>
      <c r="M33" s="166" t="e">
        <f>RANK(K33, K$7:$K$36)</f>
        <v>#VALUE!</v>
      </c>
      <c r="N33" s="389"/>
      <c r="O33" s="389"/>
      <c r="P33" s="182" t="s">
        <v>634</v>
      </c>
      <c r="Q33" s="166" t="s">
        <v>634</v>
      </c>
      <c r="R33" s="166" t="s">
        <v>634</v>
      </c>
      <c r="S33" s="182" t="e">
        <f t="shared" si="3"/>
        <v>#VALUE!</v>
      </c>
      <c r="T33" s="390"/>
      <c r="U33" s="182" t="s">
        <v>634</v>
      </c>
      <c r="V33" s="166" t="s">
        <v>634</v>
      </c>
      <c r="W33" s="166" t="s">
        <v>634</v>
      </c>
      <c r="X33" s="182" t="e">
        <f t="shared" si="4"/>
        <v>#VALUE!</v>
      </c>
      <c r="Y33" s="390"/>
      <c r="Z33" s="182" t="s">
        <v>634</v>
      </c>
      <c r="AA33" s="166" t="s">
        <v>634</v>
      </c>
      <c r="AB33" s="166" t="s">
        <v>634</v>
      </c>
      <c r="AC33" s="182" t="e">
        <f t="shared" si="5"/>
        <v>#VALUE!</v>
      </c>
      <c r="AD33" s="390"/>
      <c r="AE33" s="182" t="s">
        <v>634</v>
      </c>
      <c r="AF33" s="166" t="s">
        <v>634</v>
      </c>
      <c r="AG33" s="166" t="s">
        <v>634</v>
      </c>
      <c r="AH33" s="182" t="e">
        <f t="shared" si="6"/>
        <v>#VALUE!</v>
      </c>
      <c r="AI33" s="390"/>
      <c r="AJ33" s="182" t="s">
        <v>634</v>
      </c>
      <c r="AK33" s="166" t="s">
        <v>634</v>
      </c>
      <c r="AL33" s="166" t="s">
        <v>634</v>
      </c>
      <c r="AM33" s="182" t="e">
        <f t="shared" si="7"/>
        <v>#VALUE!</v>
      </c>
      <c r="AN33" s="390"/>
      <c r="AO33" s="182" t="s">
        <v>634</v>
      </c>
      <c r="AP33" s="166" t="s">
        <v>634</v>
      </c>
      <c r="AQ33" s="166" t="s">
        <v>634</v>
      </c>
      <c r="AR33" s="182" t="e">
        <f t="shared" si="8"/>
        <v>#VALUE!</v>
      </c>
      <c r="AS33" s="390"/>
      <c r="AT33" s="182" t="s">
        <v>634</v>
      </c>
      <c r="AU33" s="166" t="s">
        <v>634</v>
      </c>
      <c r="AV33" s="166" t="s">
        <v>634</v>
      </c>
      <c r="AW33" s="182" t="e">
        <f t="shared" si="9"/>
        <v>#VALUE!</v>
      </c>
      <c r="AX33" s="390"/>
      <c r="AZ33" s="182" t="e">
        <f t="shared" si="10"/>
        <v>#N/A</v>
      </c>
      <c r="BA33" s="390"/>
    </row>
    <row r="34" spans="2:53">
      <c r="B34" s="395"/>
      <c r="C34" s="182">
        <v>28</v>
      </c>
      <c r="D34" s="182"/>
      <c r="E34" s="182"/>
      <c r="F34" s="182"/>
      <c r="G34" s="182"/>
      <c r="H34" s="385"/>
      <c r="I34" s="166" t="str">
        <f t="shared" si="0"/>
        <v>-</v>
      </c>
      <c r="J34" s="166" t="str">
        <f t="shared" si="1"/>
        <v>-</v>
      </c>
      <c r="K34" s="180" t="str">
        <f t="shared" si="2"/>
        <v>-</v>
      </c>
      <c r="L34" s="402"/>
      <c r="M34" s="166" t="e">
        <f>RANK(K34, K$7:$K$36)</f>
        <v>#VALUE!</v>
      </c>
      <c r="N34" s="389"/>
      <c r="O34" s="389"/>
      <c r="P34" s="182" t="s">
        <v>634</v>
      </c>
      <c r="Q34" s="166" t="s">
        <v>634</v>
      </c>
      <c r="R34" s="166" t="s">
        <v>634</v>
      </c>
      <c r="S34" s="182" t="e">
        <f t="shared" si="3"/>
        <v>#VALUE!</v>
      </c>
      <c r="T34" s="390"/>
      <c r="U34" s="182" t="s">
        <v>634</v>
      </c>
      <c r="V34" s="166" t="s">
        <v>634</v>
      </c>
      <c r="W34" s="166" t="s">
        <v>634</v>
      </c>
      <c r="X34" s="182" t="e">
        <f t="shared" si="4"/>
        <v>#VALUE!</v>
      </c>
      <c r="Y34" s="390"/>
      <c r="Z34" s="182" t="s">
        <v>634</v>
      </c>
      <c r="AA34" s="166" t="s">
        <v>634</v>
      </c>
      <c r="AB34" s="166" t="s">
        <v>634</v>
      </c>
      <c r="AC34" s="182" t="e">
        <f t="shared" si="5"/>
        <v>#VALUE!</v>
      </c>
      <c r="AD34" s="390"/>
      <c r="AE34" s="182" t="s">
        <v>634</v>
      </c>
      <c r="AF34" s="166" t="s">
        <v>634</v>
      </c>
      <c r="AG34" s="166" t="s">
        <v>634</v>
      </c>
      <c r="AH34" s="182" t="e">
        <f t="shared" si="6"/>
        <v>#VALUE!</v>
      </c>
      <c r="AI34" s="390"/>
      <c r="AJ34" s="182" t="s">
        <v>634</v>
      </c>
      <c r="AK34" s="166" t="s">
        <v>634</v>
      </c>
      <c r="AL34" s="166" t="s">
        <v>634</v>
      </c>
      <c r="AM34" s="182" t="e">
        <f t="shared" si="7"/>
        <v>#VALUE!</v>
      </c>
      <c r="AN34" s="390"/>
      <c r="AO34" s="182" t="s">
        <v>634</v>
      </c>
      <c r="AP34" s="166" t="s">
        <v>634</v>
      </c>
      <c r="AQ34" s="166" t="s">
        <v>634</v>
      </c>
      <c r="AR34" s="182" t="e">
        <f t="shared" si="8"/>
        <v>#VALUE!</v>
      </c>
      <c r="AS34" s="390"/>
      <c r="AT34" s="182" t="s">
        <v>634</v>
      </c>
      <c r="AU34" s="166" t="s">
        <v>634</v>
      </c>
      <c r="AV34" s="166" t="s">
        <v>634</v>
      </c>
      <c r="AW34" s="182" t="e">
        <f t="shared" si="9"/>
        <v>#VALUE!</v>
      </c>
      <c r="AX34" s="390"/>
      <c r="AZ34" s="182" t="e">
        <f t="shared" si="10"/>
        <v>#N/A</v>
      </c>
      <c r="BA34" s="390"/>
    </row>
    <row r="35" spans="2:53">
      <c r="B35" s="395"/>
      <c r="C35" s="182">
        <v>29</v>
      </c>
      <c r="D35" s="182"/>
      <c r="E35" s="182"/>
      <c r="F35" s="182"/>
      <c r="G35" s="182"/>
      <c r="H35" s="385"/>
      <c r="I35" s="166" t="str">
        <f t="shared" si="0"/>
        <v>-</v>
      </c>
      <c r="J35" s="166" t="str">
        <f t="shared" si="1"/>
        <v>-</v>
      </c>
      <c r="K35" s="180" t="str">
        <f t="shared" si="2"/>
        <v>-</v>
      </c>
      <c r="L35" s="402"/>
      <c r="M35" s="166" t="e">
        <f>RANK(K35, K$7:$K$36)</f>
        <v>#VALUE!</v>
      </c>
      <c r="N35" s="389"/>
      <c r="O35" s="389"/>
      <c r="P35" s="182" t="s">
        <v>634</v>
      </c>
      <c r="Q35" s="166" t="s">
        <v>634</v>
      </c>
      <c r="R35" s="166" t="s">
        <v>634</v>
      </c>
      <c r="S35" s="182" t="e">
        <f t="shared" si="3"/>
        <v>#VALUE!</v>
      </c>
      <c r="T35" s="390"/>
      <c r="U35" s="182" t="s">
        <v>634</v>
      </c>
      <c r="V35" s="166" t="s">
        <v>634</v>
      </c>
      <c r="W35" s="166" t="s">
        <v>634</v>
      </c>
      <c r="X35" s="182" t="e">
        <f t="shared" si="4"/>
        <v>#VALUE!</v>
      </c>
      <c r="Y35" s="390"/>
      <c r="Z35" s="182" t="s">
        <v>634</v>
      </c>
      <c r="AA35" s="166" t="s">
        <v>634</v>
      </c>
      <c r="AB35" s="166" t="s">
        <v>634</v>
      </c>
      <c r="AC35" s="182" t="e">
        <f t="shared" si="5"/>
        <v>#VALUE!</v>
      </c>
      <c r="AD35" s="390"/>
      <c r="AE35" s="182" t="s">
        <v>634</v>
      </c>
      <c r="AF35" s="166" t="s">
        <v>634</v>
      </c>
      <c r="AG35" s="166" t="s">
        <v>634</v>
      </c>
      <c r="AH35" s="182" t="e">
        <f t="shared" si="6"/>
        <v>#VALUE!</v>
      </c>
      <c r="AI35" s="390"/>
      <c r="AJ35" s="182" t="s">
        <v>634</v>
      </c>
      <c r="AK35" s="166" t="s">
        <v>634</v>
      </c>
      <c r="AL35" s="166" t="s">
        <v>634</v>
      </c>
      <c r="AM35" s="182" t="e">
        <f t="shared" si="7"/>
        <v>#VALUE!</v>
      </c>
      <c r="AN35" s="390"/>
      <c r="AO35" s="182" t="s">
        <v>634</v>
      </c>
      <c r="AP35" s="166" t="s">
        <v>634</v>
      </c>
      <c r="AQ35" s="166" t="s">
        <v>634</v>
      </c>
      <c r="AR35" s="182" t="e">
        <f t="shared" si="8"/>
        <v>#VALUE!</v>
      </c>
      <c r="AS35" s="390"/>
      <c r="AT35" s="182" t="s">
        <v>634</v>
      </c>
      <c r="AU35" s="166" t="s">
        <v>634</v>
      </c>
      <c r="AV35" s="166" t="s">
        <v>634</v>
      </c>
      <c r="AW35" s="182" t="e">
        <f t="shared" si="9"/>
        <v>#VALUE!</v>
      </c>
      <c r="AX35" s="390"/>
      <c r="AZ35" s="182" t="e">
        <f t="shared" si="10"/>
        <v>#N/A</v>
      </c>
      <c r="BA35" s="390"/>
    </row>
    <row r="36" spans="2:53">
      <c r="B36" s="395"/>
      <c r="C36" s="182">
        <v>30</v>
      </c>
      <c r="D36" s="182"/>
      <c r="E36" s="182"/>
      <c r="F36" s="182"/>
      <c r="G36" s="182"/>
      <c r="H36" s="386"/>
      <c r="I36" s="166" t="str">
        <f t="shared" si="0"/>
        <v>-</v>
      </c>
      <c r="J36" s="166" t="str">
        <f t="shared" si="1"/>
        <v>-</v>
      </c>
      <c r="K36" s="180" t="str">
        <f t="shared" si="2"/>
        <v>-</v>
      </c>
      <c r="L36" s="403"/>
      <c r="M36" s="166" t="e">
        <f>RANK(K36, K$7:$K$36)</f>
        <v>#VALUE!</v>
      </c>
      <c r="N36" s="389"/>
      <c r="O36" s="389"/>
      <c r="P36" s="182" t="s">
        <v>634</v>
      </c>
      <c r="Q36" s="166" t="s">
        <v>634</v>
      </c>
      <c r="R36" s="166" t="s">
        <v>634</v>
      </c>
      <c r="S36" s="182" t="e">
        <f t="shared" si="3"/>
        <v>#VALUE!</v>
      </c>
      <c r="T36" s="390"/>
      <c r="U36" s="182" t="s">
        <v>634</v>
      </c>
      <c r="V36" s="166" t="s">
        <v>634</v>
      </c>
      <c r="W36" s="166" t="s">
        <v>634</v>
      </c>
      <c r="X36" s="182" t="e">
        <f t="shared" si="4"/>
        <v>#VALUE!</v>
      </c>
      <c r="Y36" s="390"/>
      <c r="Z36" s="182" t="s">
        <v>634</v>
      </c>
      <c r="AA36" s="166" t="s">
        <v>634</v>
      </c>
      <c r="AB36" s="166" t="s">
        <v>634</v>
      </c>
      <c r="AC36" s="182" t="e">
        <f t="shared" si="5"/>
        <v>#VALUE!</v>
      </c>
      <c r="AD36" s="390"/>
      <c r="AE36" s="182" t="s">
        <v>634</v>
      </c>
      <c r="AF36" s="166" t="s">
        <v>634</v>
      </c>
      <c r="AG36" s="166" t="s">
        <v>634</v>
      </c>
      <c r="AH36" s="182" t="e">
        <f t="shared" si="6"/>
        <v>#VALUE!</v>
      </c>
      <c r="AI36" s="390"/>
      <c r="AJ36" s="182" t="s">
        <v>634</v>
      </c>
      <c r="AK36" s="166" t="s">
        <v>634</v>
      </c>
      <c r="AL36" s="166" t="s">
        <v>634</v>
      </c>
      <c r="AM36" s="182" t="e">
        <f t="shared" si="7"/>
        <v>#VALUE!</v>
      </c>
      <c r="AN36" s="390"/>
      <c r="AO36" s="182" t="s">
        <v>634</v>
      </c>
      <c r="AP36" s="166" t="s">
        <v>634</v>
      </c>
      <c r="AQ36" s="166" t="s">
        <v>634</v>
      </c>
      <c r="AR36" s="182" t="e">
        <f t="shared" si="8"/>
        <v>#VALUE!</v>
      </c>
      <c r="AS36" s="390"/>
      <c r="AT36" s="182" t="s">
        <v>634</v>
      </c>
      <c r="AU36" s="166" t="s">
        <v>634</v>
      </c>
      <c r="AV36" s="166" t="s">
        <v>634</v>
      </c>
      <c r="AW36" s="182" t="e">
        <f t="shared" si="9"/>
        <v>#VALUE!</v>
      </c>
      <c r="AX36" s="390"/>
      <c r="AZ36" s="182" t="e">
        <f t="shared" si="10"/>
        <v>#N/A</v>
      </c>
      <c r="BA36" s="390"/>
    </row>
    <row r="37" spans="2:53" ht="15.75">
      <c r="B37" s="424" t="s">
        <v>163</v>
      </c>
      <c r="C37" s="425"/>
      <c r="D37" s="425"/>
      <c r="E37" s="425"/>
      <c r="F37" s="425"/>
      <c r="G37" s="425"/>
      <c r="H37" s="425"/>
      <c r="I37" s="183"/>
      <c r="J37" s="183"/>
      <c r="K37" s="183"/>
      <c r="L37" s="183"/>
      <c r="M37" s="178"/>
      <c r="N37" s="391" t="s">
        <v>156</v>
      </c>
      <c r="O37" s="391" t="s">
        <v>155</v>
      </c>
      <c r="P37" s="413">
        <f>P2+7</f>
        <v>46147</v>
      </c>
      <c r="Q37" s="395"/>
      <c r="R37" s="395"/>
      <c r="S37" s="395"/>
      <c r="T37" s="395"/>
      <c r="U37" s="413">
        <f>P37+1</f>
        <v>46148</v>
      </c>
      <c r="V37" s="395"/>
      <c r="W37" s="395"/>
      <c r="X37" s="395"/>
      <c r="Y37" s="395"/>
      <c r="Z37" s="413">
        <f>U37+1</f>
        <v>46149</v>
      </c>
      <c r="AA37" s="395"/>
      <c r="AB37" s="395"/>
      <c r="AC37" s="395"/>
      <c r="AD37" s="395"/>
      <c r="AE37" s="413">
        <f>Z37+1</f>
        <v>46150</v>
      </c>
      <c r="AF37" s="395"/>
      <c r="AG37" s="395"/>
      <c r="AH37" s="395"/>
      <c r="AI37" s="395"/>
      <c r="AJ37" s="413">
        <f>AE37+1</f>
        <v>46151</v>
      </c>
      <c r="AK37" s="395"/>
      <c r="AL37" s="395"/>
      <c r="AM37" s="395"/>
      <c r="AN37" s="395"/>
      <c r="AO37" s="413">
        <f>AJ37+1</f>
        <v>46152</v>
      </c>
      <c r="AP37" s="395"/>
      <c r="AQ37" s="395"/>
      <c r="AR37" s="395"/>
      <c r="AS37" s="395"/>
      <c r="AT37" s="413">
        <f>AO37+1</f>
        <v>46153</v>
      </c>
      <c r="AU37" s="395"/>
      <c r="AV37" s="395"/>
      <c r="AW37" s="395"/>
      <c r="AX37" s="395"/>
    </row>
    <row r="38" spans="2:53" ht="15.75">
      <c r="B38" s="416"/>
      <c r="C38" s="416"/>
      <c r="D38" s="416"/>
      <c r="E38" s="416"/>
      <c r="F38" s="416"/>
      <c r="G38" s="416"/>
      <c r="H38" s="416"/>
      <c r="I38" s="184"/>
      <c r="J38" s="184"/>
      <c r="K38" s="184"/>
      <c r="L38" s="184"/>
      <c r="M38" s="179"/>
      <c r="N38" s="393"/>
      <c r="O38" s="393"/>
      <c r="P38" s="413" t="s">
        <v>318</v>
      </c>
      <c r="Q38" s="395"/>
      <c r="R38" s="395"/>
      <c r="S38" s="395"/>
      <c r="T38" s="395"/>
      <c r="U38" s="413" t="s">
        <v>319</v>
      </c>
      <c r="V38" s="395"/>
      <c r="W38" s="395"/>
      <c r="X38" s="395"/>
      <c r="Y38" s="395"/>
      <c r="Z38" s="413" t="s">
        <v>320</v>
      </c>
      <c r="AA38" s="395"/>
      <c r="AB38" s="395"/>
      <c r="AC38" s="395"/>
      <c r="AD38" s="395"/>
      <c r="AE38" s="413" t="s">
        <v>321</v>
      </c>
      <c r="AF38" s="395"/>
      <c r="AG38" s="395"/>
      <c r="AH38" s="395"/>
      <c r="AI38" s="395"/>
      <c r="AJ38" s="413" t="s">
        <v>322</v>
      </c>
      <c r="AK38" s="395"/>
      <c r="AL38" s="395"/>
      <c r="AM38" s="395"/>
      <c r="AN38" s="395"/>
      <c r="AO38" s="413" t="s">
        <v>323</v>
      </c>
      <c r="AP38" s="395"/>
      <c r="AQ38" s="395"/>
      <c r="AR38" s="395"/>
      <c r="AS38" s="395"/>
      <c r="AT38" s="413" t="s">
        <v>324</v>
      </c>
      <c r="AU38" s="395"/>
      <c r="AV38" s="395"/>
      <c r="AW38" s="395"/>
      <c r="AX38" s="395"/>
    </row>
    <row r="39" spans="2:53">
      <c r="B39" s="391" t="s">
        <v>443</v>
      </c>
      <c r="C39" s="417" t="s">
        <v>444</v>
      </c>
      <c r="D39" s="429"/>
      <c r="E39" s="404" t="s">
        <v>445</v>
      </c>
      <c r="F39" s="405"/>
      <c r="G39" s="406"/>
      <c r="H39" s="391" t="s">
        <v>373</v>
      </c>
      <c r="I39" s="404" t="s">
        <v>378</v>
      </c>
      <c r="J39" s="405"/>
      <c r="K39" s="406"/>
      <c r="L39" s="391" t="s">
        <v>373</v>
      </c>
      <c r="M39" s="391" t="s">
        <v>374</v>
      </c>
      <c r="N39" s="391"/>
      <c r="O39" s="391" t="s">
        <v>446</v>
      </c>
      <c r="P39" s="404" t="s">
        <v>447</v>
      </c>
      <c r="Q39" s="405"/>
      <c r="R39" s="405"/>
      <c r="S39" s="406"/>
      <c r="T39" s="391" t="s">
        <v>373</v>
      </c>
      <c r="U39" s="404" t="s">
        <v>375</v>
      </c>
      <c r="V39" s="405"/>
      <c r="W39" s="405"/>
      <c r="X39" s="406"/>
      <c r="Y39" s="391" t="s">
        <v>373</v>
      </c>
      <c r="Z39" s="404" t="s">
        <v>375</v>
      </c>
      <c r="AA39" s="405"/>
      <c r="AB39" s="405"/>
      <c r="AC39" s="406"/>
      <c r="AD39" s="391" t="s">
        <v>448</v>
      </c>
      <c r="AE39" s="404" t="s">
        <v>375</v>
      </c>
      <c r="AF39" s="405"/>
      <c r="AG39" s="405"/>
      <c r="AH39" s="406"/>
      <c r="AI39" s="391" t="s">
        <v>373</v>
      </c>
      <c r="AJ39" s="404" t="s">
        <v>375</v>
      </c>
      <c r="AK39" s="405"/>
      <c r="AL39" s="405"/>
      <c r="AM39" s="406"/>
      <c r="AN39" s="391" t="s">
        <v>448</v>
      </c>
      <c r="AO39" s="404" t="s">
        <v>447</v>
      </c>
      <c r="AP39" s="405"/>
      <c r="AQ39" s="405"/>
      <c r="AR39" s="406"/>
      <c r="AS39" s="391" t="s">
        <v>448</v>
      </c>
      <c r="AT39" s="404" t="s">
        <v>447</v>
      </c>
      <c r="AU39" s="405"/>
      <c r="AV39" s="405"/>
      <c r="AW39" s="406"/>
      <c r="AX39" s="391" t="s">
        <v>448</v>
      </c>
      <c r="BA39" s="391" t="s">
        <v>373</v>
      </c>
    </row>
    <row r="40" spans="2:53">
      <c r="B40" s="392"/>
      <c r="C40" s="418"/>
      <c r="D40" s="430"/>
      <c r="E40" s="404" t="s">
        <v>380</v>
      </c>
      <c r="F40" s="405"/>
      <c r="G40" s="406"/>
      <c r="H40" s="392"/>
      <c r="I40" s="404" t="s">
        <v>380</v>
      </c>
      <c r="J40" s="405"/>
      <c r="K40" s="406"/>
      <c r="L40" s="392"/>
      <c r="M40" s="392"/>
      <c r="N40" s="392"/>
      <c r="O40" s="392"/>
      <c r="P40" s="404" t="s">
        <v>381</v>
      </c>
      <c r="Q40" s="405"/>
      <c r="R40" s="405"/>
      <c r="S40" s="406"/>
      <c r="T40" s="392"/>
      <c r="U40" s="404" t="s">
        <v>449</v>
      </c>
      <c r="V40" s="405"/>
      <c r="W40" s="405"/>
      <c r="X40" s="406"/>
      <c r="Y40" s="392"/>
      <c r="Z40" s="404" t="s">
        <v>449</v>
      </c>
      <c r="AA40" s="405"/>
      <c r="AB40" s="405"/>
      <c r="AC40" s="406"/>
      <c r="AD40" s="392"/>
      <c r="AE40" s="404" t="s">
        <v>381</v>
      </c>
      <c r="AF40" s="405"/>
      <c r="AG40" s="405"/>
      <c r="AH40" s="406"/>
      <c r="AI40" s="392"/>
      <c r="AJ40" s="404" t="s">
        <v>381</v>
      </c>
      <c r="AK40" s="405"/>
      <c r="AL40" s="405"/>
      <c r="AM40" s="406"/>
      <c r="AN40" s="392"/>
      <c r="AO40" s="404" t="s">
        <v>381</v>
      </c>
      <c r="AP40" s="405"/>
      <c r="AQ40" s="405"/>
      <c r="AR40" s="406"/>
      <c r="AS40" s="392"/>
      <c r="AT40" s="404" t="s">
        <v>381</v>
      </c>
      <c r="AU40" s="405"/>
      <c r="AV40" s="405"/>
      <c r="AW40" s="406"/>
      <c r="AX40" s="392"/>
      <c r="BA40" s="392"/>
    </row>
    <row r="41" spans="2:53">
      <c r="B41" s="393"/>
      <c r="C41" s="419"/>
      <c r="D41" s="431"/>
      <c r="E41" s="258" t="s">
        <v>382</v>
      </c>
      <c r="F41" s="258" t="s">
        <v>383</v>
      </c>
      <c r="G41" s="258" t="s">
        <v>450</v>
      </c>
      <c r="H41" s="393"/>
      <c r="I41" s="258" t="s">
        <v>382</v>
      </c>
      <c r="J41" s="258" t="s">
        <v>383</v>
      </c>
      <c r="K41" s="258" t="s">
        <v>384</v>
      </c>
      <c r="L41" s="393"/>
      <c r="M41" s="393"/>
      <c r="N41" s="392"/>
      <c r="O41" s="392"/>
      <c r="P41" s="258" t="s">
        <v>382</v>
      </c>
      <c r="Q41" s="258" t="s">
        <v>451</v>
      </c>
      <c r="R41" s="258" t="s">
        <v>384</v>
      </c>
      <c r="S41" s="258" t="s">
        <v>374</v>
      </c>
      <c r="T41" s="393"/>
      <c r="U41" s="258" t="s">
        <v>382</v>
      </c>
      <c r="V41" s="258" t="s">
        <v>383</v>
      </c>
      <c r="W41" s="258" t="s">
        <v>384</v>
      </c>
      <c r="X41" s="258" t="s">
        <v>452</v>
      </c>
      <c r="Y41" s="393"/>
      <c r="Z41" s="258" t="s">
        <v>453</v>
      </c>
      <c r="AA41" s="258" t="s">
        <v>383</v>
      </c>
      <c r="AB41" s="258" t="s">
        <v>384</v>
      </c>
      <c r="AC41" s="258" t="s">
        <v>452</v>
      </c>
      <c r="AD41" s="393"/>
      <c r="AE41" s="258" t="s">
        <v>382</v>
      </c>
      <c r="AF41" s="258" t="s">
        <v>383</v>
      </c>
      <c r="AG41" s="258" t="s">
        <v>384</v>
      </c>
      <c r="AH41" s="258" t="s">
        <v>452</v>
      </c>
      <c r="AI41" s="393"/>
      <c r="AJ41" s="258" t="s">
        <v>453</v>
      </c>
      <c r="AK41" s="258" t="s">
        <v>383</v>
      </c>
      <c r="AL41" s="258" t="s">
        <v>384</v>
      </c>
      <c r="AM41" s="258" t="s">
        <v>374</v>
      </c>
      <c r="AN41" s="393"/>
      <c r="AO41" s="258" t="s">
        <v>453</v>
      </c>
      <c r="AP41" s="258" t="s">
        <v>383</v>
      </c>
      <c r="AQ41" s="258" t="s">
        <v>384</v>
      </c>
      <c r="AR41" s="258" t="s">
        <v>452</v>
      </c>
      <c r="AS41" s="393"/>
      <c r="AT41" s="258" t="s">
        <v>453</v>
      </c>
      <c r="AU41" s="258" t="s">
        <v>383</v>
      </c>
      <c r="AV41" s="258" t="s">
        <v>384</v>
      </c>
      <c r="AW41" s="258" t="s">
        <v>452</v>
      </c>
      <c r="AX41" s="393"/>
      <c r="AZ41" s="258" t="s">
        <v>374</v>
      </c>
      <c r="BA41" s="393"/>
    </row>
    <row r="42" spans="2:53">
      <c r="B42" s="426" t="s">
        <v>150</v>
      </c>
      <c r="C42" s="182">
        <v>1</v>
      </c>
      <c r="D42" s="182" t="s">
        <v>339</v>
      </c>
      <c r="E42" s="182">
        <v>3</v>
      </c>
      <c r="F42" s="182">
        <v>3200</v>
      </c>
      <c r="G42" s="166">
        <v>1066.6666666666667</v>
      </c>
      <c r="H42" s="384">
        <f>AVERAGE(G42:G71)</f>
        <v>763.22463768115949</v>
      </c>
      <c r="I42" s="166">
        <f>IFERROR(AVERAGE(P42,U42,Z42,AE42,AJ42,AO42,AT42),"-")</f>
        <v>3</v>
      </c>
      <c r="J42" s="166">
        <f>IFERROR(AVERAGE(Q42,V42,AA42,AF42,AK42,AP42,AU42),"-")</f>
        <v>3263.658453347894</v>
      </c>
      <c r="K42" s="180">
        <f>IFERROR(AVERAGE(R42,W42,AB42,AG42,AL42,AQ42,AV42),"-")</f>
        <v>1087.8861511159646</v>
      </c>
      <c r="L42" s="401">
        <f>IFERROR(AVERAGE(K42:K71),"-")</f>
        <v>789.06118172490631</v>
      </c>
      <c r="M42" s="166">
        <f>RANK(K42, K$42:$K$71)</f>
        <v>1</v>
      </c>
      <c r="N42" s="392"/>
      <c r="O42" s="392"/>
      <c r="P42" s="166">
        <v>3</v>
      </c>
      <c r="Q42" s="166">
        <v>3241.0714285714262</v>
      </c>
      <c r="R42" s="166">
        <v>1080.357142857142</v>
      </c>
      <c r="S42" s="182">
        <f t="shared" ref="S42:S71" si="11">RANK(R42, R$42:R$71)</f>
        <v>4</v>
      </c>
      <c r="T42" s="384">
        <f t="shared" ref="T42" si="12">AVERAGE(R42:R71)</f>
        <v>802.4530576893884</v>
      </c>
      <c r="U42" s="166">
        <v>3</v>
      </c>
      <c r="V42" s="166">
        <v>3159.6428571428596</v>
      </c>
      <c r="W42" s="166">
        <v>1053.2142857142865</v>
      </c>
      <c r="X42" s="182">
        <f t="shared" ref="X42:X71" si="13">RANK(W42, W$42:W$71)</f>
        <v>3</v>
      </c>
      <c r="Y42" s="384">
        <f t="shared" ref="Y42" si="14">AVERAGE(W42:W71)</f>
        <v>779.27953784325723</v>
      </c>
      <c r="Z42" s="166">
        <v>3</v>
      </c>
      <c r="AA42" s="166">
        <v>3229.6153846153811</v>
      </c>
      <c r="AB42" s="166">
        <v>1076.5384615384603</v>
      </c>
      <c r="AC42" s="182">
        <f t="shared" ref="AC42:AC71" si="15">RANK(AB42, AB$42:AB$71)</f>
        <v>6</v>
      </c>
      <c r="AD42" s="384">
        <f t="shared" ref="AD42" si="16">AVERAGE(AB42:AB71)</f>
        <v>794.14980232662685</v>
      </c>
      <c r="AE42" s="166">
        <v>3</v>
      </c>
      <c r="AF42" s="166">
        <v>3240</v>
      </c>
      <c r="AG42" s="166">
        <v>1080</v>
      </c>
      <c r="AH42" s="182">
        <f t="shared" ref="AH42:AH71" si="17">RANK(AG42, AG$42:AG$71)</f>
        <v>2</v>
      </c>
      <c r="AI42" s="384">
        <f t="shared" ref="AI42" si="18">AVERAGE(AG42:AG71)</f>
        <v>790.425111091492</v>
      </c>
      <c r="AJ42" s="166">
        <v>3</v>
      </c>
      <c r="AK42" s="166">
        <v>3199.5652173913045</v>
      </c>
      <c r="AL42" s="166">
        <v>1066.5217391304348</v>
      </c>
      <c r="AM42" s="182">
        <f t="shared" ref="AM42:AM71" si="19">RANK(AL42, AL$42:AL$71)</f>
        <v>1</v>
      </c>
      <c r="AN42" s="384">
        <f t="shared" ref="AN42" si="20">AVERAGE(AL42:AL71)</f>
        <v>774.87261378146854</v>
      </c>
      <c r="AO42" s="166">
        <v>3</v>
      </c>
      <c r="AP42" s="166">
        <v>3543.2142857142831</v>
      </c>
      <c r="AQ42" s="166">
        <v>1181.0714285714278</v>
      </c>
      <c r="AR42" s="182">
        <f t="shared" ref="AR42:AR71" si="21">RANK(AQ42, AQ$42:AQ$71)</f>
        <v>1</v>
      </c>
      <c r="AS42" s="384">
        <f t="shared" ref="AS42" si="22">AVERAGE(AQ42:AQ71)</f>
        <v>795.16165168523889</v>
      </c>
      <c r="AT42" s="166">
        <v>3</v>
      </c>
      <c r="AU42" s="166">
        <v>3232.5000000000027</v>
      </c>
      <c r="AV42" s="166">
        <v>1077.5000000000009</v>
      </c>
      <c r="AW42" s="182">
        <f t="shared" ref="AW42:AW71" si="23">RANK(AV42, AV$42:AV$71)</f>
        <v>4</v>
      </c>
      <c r="AX42" s="384">
        <f t="shared" ref="AX42" si="24">AVERAGE(AV42:AV71)</f>
        <v>787.08649765687153</v>
      </c>
      <c r="AZ42" s="182" t="e">
        <f t="shared" ref="AZ42:AZ71" si="25">RANK(AY42, AY$42:AY$71)</f>
        <v>#N/A</v>
      </c>
      <c r="BA42" s="384" t="e">
        <f t="shared" ref="BA42" si="26">AVERAGE(AY42:AY71)</f>
        <v>#DIV/0!</v>
      </c>
    </row>
    <row r="43" spans="2:53">
      <c r="B43" s="427"/>
      <c r="C43" s="182">
        <v>2</v>
      </c>
      <c r="D43" s="258" t="s">
        <v>340</v>
      </c>
      <c r="E43" s="182">
        <v>3</v>
      </c>
      <c r="F43" s="182">
        <v>3200</v>
      </c>
      <c r="G43" s="166">
        <v>1066.6666666666667</v>
      </c>
      <c r="H43" s="385"/>
      <c r="I43" s="166">
        <f t="shared" ref="I43:I71" si="27">IFERROR(AVERAGE(P43,U43,Z43,AE43,AJ43,AO43,AT43),"-")</f>
        <v>3</v>
      </c>
      <c r="J43" s="166">
        <f t="shared" ref="J43:J71" si="28">IFERROR(AVERAGE(Q43,V43,AA43,AF43,AK43,AP43,AU43),"-")</f>
        <v>3249.5198079231604</v>
      </c>
      <c r="K43" s="180">
        <f t="shared" ref="K43:K71" si="29">IFERROR(AVERAGE(R43,W43,AB43,AG43,AL43,AQ43,AV43),"-")</f>
        <v>1083.1732693077199</v>
      </c>
      <c r="L43" s="402"/>
      <c r="M43" s="166">
        <f>RANK(K43, K$42:$K$71)</f>
        <v>2</v>
      </c>
      <c r="N43" s="392"/>
      <c r="O43" s="392"/>
      <c r="P43" s="166">
        <v>3</v>
      </c>
      <c r="Q43" s="166">
        <v>3299.9999999999959</v>
      </c>
      <c r="R43" s="166">
        <v>1099.9999999999986</v>
      </c>
      <c r="S43" s="182">
        <f t="shared" si="11"/>
        <v>2</v>
      </c>
      <c r="T43" s="385"/>
      <c r="U43" s="166">
        <v>3</v>
      </c>
      <c r="V43" s="166">
        <v>3158.8235294117462</v>
      </c>
      <c r="W43" s="166">
        <v>1052.9411764705821</v>
      </c>
      <c r="X43" s="182">
        <f t="shared" si="13"/>
        <v>4</v>
      </c>
      <c r="Y43" s="385"/>
      <c r="Z43" s="166">
        <v>3</v>
      </c>
      <c r="AA43" s="166">
        <v>3359.9999999999959</v>
      </c>
      <c r="AB43" s="166">
        <v>1119.9999999999986</v>
      </c>
      <c r="AC43" s="182">
        <f t="shared" si="15"/>
        <v>1</v>
      </c>
      <c r="AD43" s="385"/>
      <c r="AE43" s="166">
        <v>3</v>
      </c>
      <c r="AF43" s="166">
        <v>3259.9999999999941</v>
      </c>
      <c r="AG43" s="166">
        <v>1086.6666666666647</v>
      </c>
      <c r="AH43" s="182">
        <f t="shared" si="17"/>
        <v>1</v>
      </c>
      <c r="AI43" s="385"/>
      <c r="AJ43" s="166">
        <v>3</v>
      </c>
      <c r="AK43" s="166">
        <v>3124.2857142857074</v>
      </c>
      <c r="AL43" s="166">
        <v>1041.4285714285691</v>
      </c>
      <c r="AM43" s="182">
        <f t="shared" si="19"/>
        <v>7</v>
      </c>
      <c r="AN43" s="385"/>
      <c r="AO43" s="166">
        <v>3</v>
      </c>
      <c r="AP43" s="166">
        <v>3299.9999999999959</v>
      </c>
      <c r="AQ43" s="166">
        <v>1099.9999999999986</v>
      </c>
      <c r="AR43" s="182">
        <f t="shared" si="21"/>
        <v>3</v>
      </c>
      <c r="AS43" s="385"/>
      <c r="AT43" s="166">
        <v>3</v>
      </c>
      <c r="AU43" s="166">
        <v>3243.5294117646868</v>
      </c>
      <c r="AV43" s="166">
        <v>1081.176470588229</v>
      </c>
      <c r="AW43" s="182">
        <f t="shared" si="23"/>
        <v>3</v>
      </c>
      <c r="AX43" s="385"/>
      <c r="AZ43" s="182" t="e">
        <f t="shared" si="25"/>
        <v>#N/A</v>
      </c>
      <c r="BA43" s="385"/>
    </row>
    <row r="44" spans="2:53">
      <c r="B44" s="427"/>
      <c r="C44" s="182">
        <v>3</v>
      </c>
      <c r="D44" s="182" t="s">
        <v>330</v>
      </c>
      <c r="E44" s="182">
        <v>4</v>
      </c>
      <c r="F44" s="182">
        <v>3200</v>
      </c>
      <c r="G44" s="166">
        <v>800</v>
      </c>
      <c r="H44" s="385"/>
      <c r="I44" s="166">
        <f t="shared" si="27"/>
        <v>4</v>
      </c>
      <c r="J44" s="166">
        <f t="shared" si="28"/>
        <v>3265.5385101409042</v>
      </c>
      <c r="K44" s="180">
        <f t="shared" si="29"/>
        <v>816.38462753522606</v>
      </c>
      <c r="L44" s="402"/>
      <c r="M44" s="166">
        <f>RANK(K44, K$42:$K$71)</f>
        <v>11</v>
      </c>
      <c r="N44" s="392"/>
      <c r="O44" s="392"/>
      <c r="P44" s="166">
        <v>4</v>
      </c>
      <c r="Q44" s="166">
        <v>3208.5714285714398</v>
      </c>
      <c r="R44" s="166">
        <v>802.14285714285995</v>
      </c>
      <c r="S44" s="182">
        <f t="shared" si="11"/>
        <v>14</v>
      </c>
      <c r="T44" s="385"/>
      <c r="U44" s="166">
        <v>4</v>
      </c>
      <c r="V44" s="166">
        <v>3199.9999999999991</v>
      </c>
      <c r="W44" s="166">
        <v>799.99999999999977</v>
      </c>
      <c r="X44" s="182">
        <f t="shared" si="13"/>
        <v>10</v>
      </c>
      <c r="Y44" s="385"/>
      <c r="Z44" s="166">
        <v>4</v>
      </c>
      <c r="AA44" s="166">
        <v>3366.3157894736819</v>
      </c>
      <c r="AB44" s="166">
        <v>841.57894736842047</v>
      </c>
      <c r="AC44" s="182">
        <f t="shared" si="15"/>
        <v>10</v>
      </c>
      <c r="AD44" s="385"/>
      <c r="AE44" s="166">
        <v>4</v>
      </c>
      <c r="AF44" s="166">
        <v>3349.4117647058943</v>
      </c>
      <c r="AG44" s="166">
        <v>837.35294117647356</v>
      </c>
      <c r="AH44" s="182">
        <f t="shared" si="17"/>
        <v>11</v>
      </c>
      <c r="AI44" s="385"/>
      <c r="AJ44" s="166">
        <v>4</v>
      </c>
      <c r="AK44" s="166">
        <v>3056.4705882353051</v>
      </c>
      <c r="AL44" s="166">
        <v>764.11764705882626</v>
      </c>
      <c r="AM44" s="182">
        <f t="shared" si="19"/>
        <v>13</v>
      </c>
      <c r="AN44" s="385"/>
      <c r="AO44" s="166">
        <v>4</v>
      </c>
      <c r="AP44" s="166">
        <v>3354.0000000000118</v>
      </c>
      <c r="AQ44" s="166">
        <v>838.50000000000296</v>
      </c>
      <c r="AR44" s="182">
        <f t="shared" si="21"/>
        <v>10</v>
      </c>
      <c r="AS44" s="385"/>
      <c r="AT44" s="166">
        <v>4</v>
      </c>
      <c r="AU44" s="166">
        <v>3323.9999999999986</v>
      </c>
      <c r="AV44" s="166">
        <v>830.99999999999966</v>
      </c>
      <c r="AW44" s="182">
        <f t="shared" si="23"/>
        <v>10</v>
      </c>
      <c r="AX44" s="385"/>
      <c r="AZ44" s="182" t="e">
        <f t="shared" si="25"/>
        <v>#N/A</v>
      </c>
      <c r="BA44" s="385"/>
    </row>
    <row r="45" spans="2:53">
      <c r="B45" s="427"/>
      <c r="C45" s="182">
        <v>4</v>
      </c>
      <c r="D45" s="182" t="s">
        <v>341</v>
      </c>
      <c r="E45" s="182">
        <v>3</v>
      </c>
      <c r="F45" s="182">
        <v>3200</v>
      </c>
      <c r="G45" s="166">
        <v>1066.6666666666667</v>
      </c>
      <c r="H45" s="385"/>
      <c r="I45" s="166">
        <f t="shared" si="27"/>
        <v>3</v>
      </c>
      <c r="J45" s="166">
        <f t="shared" si="28"/>
        <v>3217.6693566396016</v>
      </c>
      <c r="K45" s="180">
        <f t="shared" si="29"/>
        <v>1072.5564522132004</v>
      </c>
      <c r="L45" s="402"/>
      <c r="M45" s="166">
        <f>RANK(K45, K$42:$K$71)</f>
        <v>4</v>
      </c>
      <c r="N45" s="392"/>
      <c r="O45" s="392"/>
      <c r="P45" s="166">
        <v>3</v>
      </c>
      <c r="Q45" s="166">
        <v>3235.8620689655168</v>
      </c>
      <c r="R45" s="166">
        <v>1078.6206896551723</v>
      </c>
      <c r="S45" s="182">
        <f t="shared" si="11"/>
        <v>5</v>
      </c>
      <c r="T45" s="385"/>
      <c r="U45" s="166">
        <v>3</v>
      </c>
      <c r="V45" s="166">
        <v>3195.348837209302</v>
      </c>
      <c r="W45" s="166">
        <v>1065.1162790697674</v>
      </c>
      <c r="X45" s="182">
        <f t="shared" si="13"/>
        <v>2</v>
      </c>
      <c r="Y45" s="385"/>
      <c r="Z45" s="166">
        <v>3</v>
      </c>
      <c r="AA45" s="166">
        <v>3241.463414634145</v>
      </c>
      <c r="AB45" s="166">
        <v>1080.4878048780483</v>
      </c>
      <c r="AC45" s="182">
        <f t="shared" si="15"/>
        <v>5</v>
      </c>
      <c r="AD45" s="385"/>
      <c r="AE45" s="166">
        <v>3</v>
      </c>
      <c r="AF45" s="166">
        <v>3228.1690140845076</v>
      </c>
      <c r="AG45" s="166">
        <v>1076.0563380281692</v>
      </c>
      <c r="AH45" s="182">
        <f t="shared" si="17"/>
        <v>5</v>
      </c>
      <c r="AI45" s="385"/>
      <c r="AJ45" s="166">
        <v>3</v>
      </c>
      <c r="AK45" s="166">
        <v>3156.8571428571436</v>
      </c>
      <c r="AL45" s="166">
        <v>1052.2857142857144</v>
      </c>
      <c r="AM45" s="182">
        <f t="shared" si="19"/>
        <v>5</v>
      </c>
      <c r="AN45" s="385"/>
      <c r="AO45" s="166">
        <v>3</v>
      </c>
      <c r="AP45" s="166">
        <v>3238.6516853932612</v>
      </c>
      <c r="AQ45" s="166">
        <v>1079.5505617977537</v>
      </c>
      <c r="AR45" s="182">
        <f t="shared" si="21"/>
        <v>6</v>
      </c>
      <c r="AS45" s="385"/>
      <c r="AT45" s="166">
        <v>3</v>
      </c>
      <c r="AU45" s="166">
        <v>3227.3333333333335</v>
      </c>
      <c r="AV45" s="166">
        <v>1075.7777777777778</v>
      </c>
      <c r="AW45" s="182">
        <f t="shared" si="23"/>
        <v>5</v>
      </c>
      <c r="AX45" s="385"/>
      <c r="AZ45" s="182" t="e">
        <f t="shared" si="25"/>
        <v>#N/A</v>
      </c>
      <c r="BA45" s="385"/>
    </row>
    <row r="46" spans="2:53">
      <c r="B46" s="427"/>
      <c r="C46" s="182">
        <v>5</v>
      </c>
      <c r="D46" s="182" t="s">
        <v>596</v>
      </c>
      <c r="E46" s="182">
        <v>4</v>
      </c>
      <c r="F46" s="182">
        <v>3200</v>
      </c>
      <c r="G46" s="166">
        <v>800</v>
      </c>
      <c r="H46" s="385"/>
      <c r="I46" s="166">
        <f t="shared" si="27"/>
        <v>4</v>
      </c>
      <c r="J46" s="166">
        <f t="shared" si="28"/>
        <v>3247.8188281764365</v>
      </c>
      <c r="K46" s="180">
        <f t="shared" si="29"/>
        <v>811.95470704410911</v>
      </c>
      <c r="L46" s="402"/>
      <c r="M46" s="166">
        <f>RANK(K46, K$42:$K$71)</f>
        <v>12</v>
      </c>
      <c r="N46" s="392"/>
      <c r="O46" s="392"/>
      <c r="P46" s="166">
        <v>4</v>
      </c>
      <c r="Q46" s="166">
        <v>3398.5714285714312</v>
      </c>
      <c r="R46" s="166">
        <v>849.64285714285779</v>
      </c>
      <c r="S46" s="182">
        <f t="shared" si="11"/>
        <v>10</v>
      </c>
      <c r="T46" s="385"/>
      <c r="U46" s="166">
        <v>4</v>
      </c>
      <c r="V46" s="166">
        <v>3152.9032258064462</v>
      </c>
      <c r="W46" s="166">
        <v>788.22580645161156</v>
      </c>
      <c r="X46" s="182">
        <f t="shared" si="13"/>
        <v>13</v>
      </c>
      <c r="Y46" s="385"/>
      <c r="Z46" s="166">
        <v>4</v>
      </c>
      <c r="AA46" s="166">
        <v>3282.8571428571454</v>
      </c>
      <c r="AB46" s="166">
        <v>820.71428571428635</v>
      </c>
      <c r="AC46" s="182">
        <f t="shared" si="15"/>
        <v>12</v>
      </c>
      <c r="AD46" s="385"/>
      <c r="AE46" s="166">
        <v>4</v>
      </c>
      <c r="AF46" s="166">
        <v>3242.4000000000115</v>
      </c>
      <c r="AG46" s="166">
        <v>810.60000000000286</v>
      </c>
      <c r="AH46" s="182">
        <f t="shared" si="17"/>
        <v>14</v>
      </c>
      <c r="AI46" s="385"/>
      <c r="AJ46" s="166">
        <v>4</v>
      </c>
      <c r="AK46" s="166">
        <v>3130.0000000000109</v>
      </c>
      <c r="AL46" s="166">
        <v>782.50000000000273</v>
      </c>
      <c r="AM46" s="182">
        <f t="shared" si="19"/>
        <v>11</v>
      </c>
      <c r="AN46" s="385"/>
      <c r="AO46" s="166">
        <v>4</v>
      </c>
      <c r="AP46" s="166">
        <v>3280.0000000000032</v>
      </c>
      <c r="AQ46" s="166">
        <v>820.0000000000008</v>
      </c>
      <c r="AR46" s="182">
        <f t="shared" si="21"/>
        <v>12</v>
      </c>
      <c r="AS46" s="385"/>
      <c r="AT46" s="166">
        <v>4</v>
      </c>
      <c r="AU46" s="166">
        <v>3248.0000000000027</v>
      </c>
      <c r="AV46" s="166">
        <v>812.00000000000068</v>
      </c>
      <c r="AW46" s="182">
        <f t="shared" si="23"/>
        <v>13</v>
      </c>
      <c r="AX46" s="385"/>
      <c r="AZ46" s="182" t="e">
        <f t="shared" si="25"/>
        <v>#N/A</v>
      </c>
      <c r="BA46" s="385"/>
    </row>
    <row r="47" spans="2:53">
      <c r="B47" s="427"/>
      <c r="C47" s="182">
        <v>6</v>
      </c>
      <c r="D47" s="182" t="s">
        <v>597</v>
      </c>
      <c r="E47" s="182">
        <v>4</v>
      </c>
      <c r="F47" s="182">
        <v>3200</v>
      </c>
      <c r="G47" s="166">
        <v>800</v>
      </c>
      <c r="H47" s="385"/>
      <c r="I47" s="166">
        <f t="shared" si="27"/>
        <v>4</v>
      </c>
      <c r="J47" s="166">
        <f t="shared" si="28"/>
        <v>3269.1703296703367</v>
      </c>
      <c r="K47" s="180">
        <f t="shared" si="29"/>
        <v>817.29258241758419</v>
      </c>
      <c r="L47" s="402"/>
      <c r="M47" s="166">
        <f>RANK(K47, K$42:$K$71)</f>
        <v>10</v>
      </c>
      <c r="N47" s="392"/>
      <c r="O47" s="392"/>
      <c r="P47" s="166">
        <v>4</v>
      </c>
      <c r="Q47" s="166">
        <v>3372.0000000000123</v>
      </c>
      <c r="R47" s="166">
        <v>843.00000000000307</v>
      </c>
      <c r="S47" s="182">
        <f t="shared" si="11"/>
        <v>11</v>
      </c>
      <c r="T47" s="385"/>
      <c r="U47" s="166">
        <v>4</v>
      </c>
      <c r="V47" s="166">
        <v>3142.4999999999959</v>
      </c>
      <c r="W47" s="166">
        <v>785.62499999999898</v>
      </c>
      <c r="X47" s="182">
        <f t="shared" si="13"/>
        <v>14</v>
      </c>
      <c r="Y47" s="385"/>
      <c r="Z47" s="166">
        <v>4</v>
      </c>
      <c r="AA47" s="166">
        <v>3319.9999999999941</v>
      </c>
      <c r="AB47" s="166">
        <v>829.99999999999852</v>
      </c>
      <c r="AC47" s="182">
        <f t="shared" si="15"/>
        <v>11</v>
      </c>
      <c r="AD47" s="385"/>
      <c r="AE47" s="166">
        <v>4</v>
      </c>
      <c r="AF47" s="166">
        <v>3327.6923076923194</v>
      </c>
      <c r="AG47" s="166">
        <v>831.92307692307986</v>
      </c>
      <c r="AH47" s="182">
        <f t="shared" si="17"/>
        <v>12</v>
      </c>
      <c r="AI47" s="385"/>
      <c r="AJ47" s="166">
        <v>4</v>
      </c>
      <c r="AK47" s="166">
        <v>3110.0000000000114</v>
      </c>
      <c r="AL47" s="166">
        <v>777.50000000000284</v>
      </c>
      <c r="AM47" s="182">
        <f t="shared" si="19"/>
        <v>12</v>
      </c>
      <c r="AN47" s="385"/>
      <c r="AO47" s="166">
        <v>4</v>
      </c>
      <c r="AP47" s="166">
        <v>3320.0000000000118</v>
      </c>
      <c r="AQ47" s="166">
        <v>830.00000000000296</v>
      </c>
      <c r="AR47" s="182">
        <f t="shared" si="21"/>
        <v>11</v>
      </c>
      <c r="AS47" s="385"/>
      <c r="AT47" s="166">
        <v>4</v>
      </c>
      <c r="AU47" s="166">
        <v>3292.0000000000114</v>
      </c>
      <c r="AV47" s="166">
        <v>823.00000000000284</v>
      </c>
      <c r="AW47" s="182">
        <f t="shared" si="23"/>
        <v>12</v>
      </c>
      <c r="AX47" s="385"/>
      <c r="AZ47" s="182" t="e">
        <f t="shared" si="25"/>
        <v>#N/A</v>
      </c>
      <c r="BA47" s="385"/>
    </row>
    <row r="48" spans="2:53">
      <c r="B48" s="427"/>
      <c r="C48" s="182">
        <v>7</v>
      </c>
      <c r="D48" s="182" t="s">
        <v>342</v>
      </c>
      <c r="E48" s="182">
        <v>4</v>
      </c>
      <c r="F48" s="182">
        <v>2800</v>
      </c>
      <c r="G48" s="166">
        <v>700</v>
      </c>
      <c r="H48" s="385"/>
      <c r="I48" s="166">
        <f t="shared" si="27"/>
        <v>4</v>
      </c>
      <c r="J48" s="166">
        <f t="shared" si="28"/>
        <v>3228.8051948051952</v>
      </c>
      <c r="K48" s="180">
        <f t="shared" si="29"/>
        <v>807.20129870129881</v>
      </c>
      <c r="L48" s="402"/>
      <c r="M48" s="166">
        <f>RANK(K48, K$42:$K$71)</f>
        <v>13</v>
      </c>
      <c r="N48" s="392"/>
      <c r="O48" s="392"/>
      <c r="P48" s="166">
        <v>4</v>
      </c>
      <c r="Q48" s="166">
        <v>3270.0000000000009</v>
      </c>
      <c r="R48" s="166">
        <v>817.50000000000023</v>
      </c>
      <c r="S48" s="182">
        <f t="shared" si="11"/>
        <v>12</v>
      </c>
      <c r="T48" s="385"/>
      <c r="U48" s="166">
        <v>4</v>
      </c>
      <c r="V48" s="166">
        <v>3185.0000000000009</v>
      </c>
      <c r="W48" s="166">
        <v>796.25000000000023</v>
      </c>
      <c r="X48" s="182">
        <f t="shared" si="13"/>
        <v>12</v>
      </c>
      <c r="Y48" s="385"/>
      <c r="Z48" s="166">
        <v>4</v>
      </c>
      <c r="AA48" s="166">
        <v>3230.0000000000009</v>
      </c>
      <c r="AB48" s="166">
        <v>807.50000000000023</v>
      </c>
      <c r="AC48" s="182">
        <f t="shared" si="15"/>
        <v>14</v>
      </c>
      <c r="AD48" s="385"/>
      <c r="AE48" s="166">
        <v>4</v>
      </c>
      <c r="AF48" s="166">
        <v>3437.9999999999991</v>
      </c>
      <c r="AG48" s="166">
        <v>859.49999999999977</v>
      </c>
      <c r="AH48" s="182">
        <f t="shared" si="17"/>
        <v>10</v>
      </c>
      <c r="AI48" s="385"/>
      <c r="AJ48" s="166">
        <v>4</v>
      </c>
      <c r="AK48" s="166">
        <v>2923.6363636363635</v>
      </c>
      <c r="AL48" s="166">
        <v>730.90909090909088</v>
      </c>
      <c r="AM48" s="182">
        <f t="shared" si="19"/>
        <v>16</v>
      </c>
      <c r="AN48" s="385"/>
      <c r="AO48" s="166">
        <v>4</v>
      </c>
      <c r="AP48" s="166">
        <v>3260.0000000000009</v>
      </c>
      <c r="AQ48" s="166">
        <v>815.00000000000023</v>
      </c>
      <c r="AR48" s="182">
        <f t="shared" si="21"/>
        <v>13</v>
      </c>
      <c r="AS48" s="385"/>
      <c r="AT48" s="166">
        <v>4</v>
      </c>
      <c r="AU48" s="166">
        <v>3295.0000000000009</v>
      </c>
      <c r="AV48" s="166">
        <v>823.75000000000023</v>
      </c>
      <c r="AW48" s="182">
        <f t="shared" si="23"/>
        <v>11</v>
      </c>
      <c r="AX48" s="385"/>
      <c r="AZ48" s="182" t="e">
        <f t="shared" si="25"/>
        <v>#N/A</v>
      </c>
      <c r="BA48" s="385"/>
    </row>
    <row r="49" spans="2:53">
      <c r="B49" s="427"/>
      <c r="C49" s="182">
        <v>8</v>
      </c>
      <c r="D49" s="182" t="s">
        <v>343</v>
      </c>
      <c r="E49" s="182">
        <v>3</v>
      </c>
      <c r="F49" s="182">
        <v>3200</v>
      </c>
      <c r="G49" s="166">
        <v>1066.6666666666667</v>
      </c>
      <c r="H49" s="385"/>
      <c r="I49" s="166">
        <f t="shared" si="27"/>
        <v>3</v>
      </c>
      <c r="J49" s="166">
        <f t="shared" si="28"/>
        <v>3244.166091051809</v>
      </c>
      <c r="K49" s="180">
        <f t="shared" si="29"/>
        <v>1081.3886970172698</v>
      </c>
      <c r="L49" s="402"/>
      <c r="M49" s="166">
        <f>RANK(K49, K$42:$K$71)</f>
        <v>3</v>
      </c>
      <c r="N49" s="392"/>
      <c r="O49" s="392"/>
      <c r="P49" s="166">
        <v>3</v>
      </c>
      <c r="Q49" s="166">
        <v>3220.0000000000073</v>
      </c>
      <c r="R49" s="166">
        <v>1073.3333333333358</v>
      </c>
      <c r="S49" s="182">
        <f t="shared" si="11"/>
        <v>6</v>
      </c>
      <c r="T49" s="385"/>
      <c r="U49" s="166">
        <v>3</v>
      </c>
      <c r="V49" s="166">
        <v>3108.0000000000073</v>
      </c>
      <c r="W49" s="166">
        <v>1036.0000000000025</v>
      </c>
      <c r="X49" s="182">
        <f t="shared" si="13"/>
        <v>7</v>
      </c>
      <c r="Y49" s="385"/>
      <c r="Z49" s="166">
        <v>3</v>
      </c>
      <c r="AA49" s="166">
        <v>3291.4285714285784</v>
      </c>
      <c r="AB49" s="166">
        <v>1097.1428571428594</v>
      </c>
      <c r="AC49" s="182">
        <f t="shared" si="15"/>
        <v>2</v>
      </c>
      <c r="AD49" s="385"/>
      <c r="AE49" s="166">
        <v>3</v>
      </c>
      <c r="AF49" s="166">
        <v>3233.0769230769192</v>
      </c>
      <c r="AG49" s="166">
        <v>1077.6923076923065</v>
      </c>
      <c r="AH49" s="182">
        <f t="shared" si="17"/>
        <v>4</v>
      </c>
      <c r="AI49" s="385"/>
      <c r="AJ49" s="166">
        <v>3</v>
      </c>
      <c r="AK49" s="166">
        <v>3172.7999999999961</v>
      </c>
      <c r="AL49" s="166">
        <v>1057.5999999999988</v>
      </c>
      <c r="AM49" s="182">
        <f t="shared" si="19"/>
        <v>3</v>
      </c>
      <c r="AN49" s="385"/>
      <c r="AO49" s="166">
        <v>3</v>
      </c>
      <c r="AP49" s="166">
        <v>3266.0000000000073</v>
      </c>
      <c r="AQ49" s="166">
        <v>1088.666666666669</v>
      </c>
      <c r="AR49" s="182">
        <f t="shared" si="21"/>
        <v>4</v>
      </c>
      <c r="AS49" s="385"/>
      <c r="AT49" s="166">
        <v>3</v>
      </c>
      <c r="AU49" s="166">
        <v>3417.8571428571504</v>
      </c>
      <c r="AV49" s="166">
        <v>1139.2857142857167</v>
      </c>
      <c r="AW49" s="182">
        <f t="shared" si="23"/>
        <v>1</v>
      </c>
      <c r="AX49" s="385"/>
      <c r="AZ49" s="182" t="e">
        <f t="shared" si="25"/>
        <v>#N/A</v>
      </c>
      <c r="BA49" s="385"/>
    </row>
    <row r="50" spans="2:53">
      <c r="B50" s="427"/>
      <c r="C50" s="182">
        <v>9</v>
      </c>
      <c r="D50" s="182" t="s">
        <v>344</v>
      </c>
      <c r="E50" s="182">
        <v>3</v>
      </c>
      <c r="F50" s="182">
        <v>2800</v>
      </c>
      <c r="G50" s="166">
        <v>933.33333333333337</v>
      </c>
      <c r="H50" s="385"/>
      <c r="I50" s="166">
        <f t="shared" si="27"/>
        <v>3</v>
      </c>
      <c r="J50" s="166">
        <f t="shared" si="28"/>
        <v>3216.4069858350849</v>
      </c>
      <c r="K50" s="180">
        <f t="shared" si="29"/>
        <v>1072.1356619450285</v>
      </c>
      <c r="L50" s="402"/>
      <c r="M50" s="166">
        <f>RANK(K50, K$42:$K$71)</f>
        <v>5</v>
      </c>
      <c r="N50" s="392"/>
      <c r="O50" s="392"/>
      <c r="P50" s="166">
        <v>3</v>
      </c>
      <c r="Q50" s="166">
        <v>3247.2727272727275</v>
      </c>
      <c r="R50" s="166">
        <v>1082.4242424242425</v>
      </c>
      <c r="S50" s="182">
        <f t="shared" si="11"/>
        <v>3</v>
      </c>
      <c r="T50" s="385"/>
      <c r="U50" s="166">
        <v>3</v>
      </c>
      <c r="V50" s="166">
        <v>3127.0588235294117</v>
      </c>
      <c r="W50" s="166">
        <v>1042.3529411764705</v>
      </c>
      <c r="X50" s="182">
        <f t="shared" si="13"/>
        <v>6</v>
      </c>
      <c r="Y50" s="385"/>
      <c r="Z50" s="166">
        <v>3</v>
      </c>
      <c r="AA50" s="166">
        <v>3268.1249999999991</v>
      </c>
      <c r="AB50" s="166">
        <v>1089.3749999999998</v>
      </c>
      <c r="AC50" s="182">
        <f t="shared" si="15"/>
        <v>4</v>
      </c>
      <c r="AD50" s="385"/>
      <c r="AE50" s="166">
        <v>3</v>
      </c>
      <c r="AF50" s="166">
        <v>3206.8965517241359</v>
      </c>
      <c r="AG50" s="166">
        <v>1068.9655172413786</v>
      </c>
      <c r="AH50" s="182">
        <f t="shared" si="17"/>
        <v>6</v>
      </c>
      <c r="AI50" s="385"/>
      <c r="AJ50" s="166">
        <v>3</v>
      </c>
      <c r="AK50" s="166">
        <v>3171.4285714285693</v>
      </c>
      <c r="AL50" s="166">
        <v>1057.1428571428564</v>
      </c>
      <c r="AM50" s="182">
        <f t="shared" si="19"/>
        <v>4</v>
      </c>
      <c r="AN50" s="385"/>
      <c r="AO50" s="166">
        <v>3</v>
      </c>
      <c r="AP50" s="166">
        <v>3241.7142857142862</v>
      </c>
      <c r="AQ50" s="166">
        <v>1080.5714285714287</v>
      </c>
      <c r="AR50" s="182">
        <f t="shared" si="21"/>
        <v>5</v>
      </c>
      <c r="AS50" s="385"/>
      <c r="AT50" s="166">
        <v>3</v>
      </c>
      <c r="AU50" s="166">
        <v>3252.3529411764703</v>
      </c>
      <c r="AV50" s="166">
        <v>1084.1176470588234</v>
      </c>
      <c r="AW50" s="182">
        <f t="shared" si="23"/>
        <v>2</v>
      </c>
      <c r="AX50" s="385"/>
      <c r="AZ50" s="182" t="e">
        <f t="shared" si="25"/>
        <v>#N/A</v>
      </c>
      <c r="BA50" s="385"/>
    </row>
    <row r="51" spans="2:53">
      <c r="B51" s="427"/>
      <c r="C51" s="182">
        <v>10</v>
      </c>
      <c r="D51" s="182" t="s">
        <v>345</v>
      </c>
      <c r="E51" s="182">
        <v>4</v>
      </c>
      <c r="F51" s="182">
        <v>2800</v>
      </c>
      <c r="G51" s="166">
        <v>700</v>
      </c>
      <c r="H51" s="385"/>
      <c r="I51" s="166">
        <f t="shared" si="27"/>
        <v>4</v>
      </c>
      <c r="J51" s="166">
        <f t="shared" si="28"/>
        <v>3215.8215583791903</v>
      </c>
      <c r="K51" s="180">
        <f t="shared" si="29"/>
        <v>803.95538959479757</v>
      </c>
      <c r="L51" s="402"/>
      <c r="M51" s="166">
        <f>RANK(K51, K$42:$K$71)</f>
        <v>14</v>
      </c>
      <c r="N51" s="392"/>
      <c r="O51" s="392"/>
      <c r="P51" s="166">
        <v>4</v>
      </c>
      <c r="Q51" s="166">
        <v>3254.9999999999973</v>
      </c>
      <c r="R51" s="166">
        <v>813.74999999999932</v>
      </c>
      <c r="S51" s="182">
        <f t="shared" si="11"/>
        <v>13</v>
      </c>
      <c r="T51" s="385"/>
      <c r="U51" s="166">
        <v>4</v>
      </c>
      <c r="V51" s="166">
        <v>3191.3793103448297</v>
      </c>
      <c r="W51" s="166">
        <v>797.84482758620743</v>
      </c>
      <c r="X51" s="182">
        <f t="shared" si="13"/>
        <v>11</v>
      </c>
      <c r="Y51" s="385"/>
      <c r="Z51" s="166">
        <v>4</v>
      </c>
      <c r="AA51" s="166">
        <v>3238.888888888886</v>
      </c>
      <c r="AB51" s="166">
        <v>809.72222222222149</v>
      </c>
      <c r="AC51" s="182">
        <f t="shared" si="15"/>
        <v>13</v>
      </c>
      <c r="AD51" s="385"/>
      <c r="AE51" s="166">
        <v>4</v>
      </c>
      <c r="AF51" s="166">
        <v>3269.36170212766</v>
      </c>
      <c r="AG51" s="166">
        <v>817.340425531915</v>
      </c>
      <c r="AH51" s="182">
        <f t="shared" si="17"/>
        <v>13</v>
      </c>
      <c r="AI51" s="385"/>
      <c r="AJ51" s="166">
        <v>4</v>
      </c>
      <c r="AK51" s="166">
        <v>3144.782608695647</v>
      </c>
      <c r="AL51" s="166">
        <v>786.19565217391175</v>
      </c>
      <c r="AM51" s="182">
        <f t="shared" si="19"/>
        <v>10</v>
      </c>
      <c r="AN51" s="385"/>
      <c r="AO51" s="166">
        <v>4</v>
      </c>
      <c r="AP51" s="166">
        <v>3208.9655172413773</v>
      </c>
      <c r="AQ51" s="166">
        <v>802.24137931034431</v>
      </c>
      <c r="AR51" s="182">
        <f t="shared" si="21"/>
        <v>14</v>
      </c>
      <c r="AS51" s="385"/>
      <c r="AT51" s="166">
        <v>4</v>
      </c>
      <c r="AU51" s="166">
        <v>3202.3728813559351</v>
      </c>
      <c r="AV51" s="166">
        <v>800.59322033898377</v>
      </c>
      <c r="AW51" s="182">
        <f t="shared" si="23"/>
        <v>14</v>
      </c>
      <c r="AX51" s="385"/>
      <c r="AZ51" s="182" t="e">
        <f t="shared" si="25"/>
        <v>#N/A</v>
      </c>
      <c r="BA51" s="385"/>
    </row>
    <row r="52" spans="2:53">
      <c r="B52" s="427"/>
      <c r="C52" s="182">
        <v>11</v>
      </c>
      <c r="D52" s="182" t="s">
        <v>598</v>
      </c>
      <c r="E52" s="182">
        <v>4</v>
      </c>
      <c r="F52" s="182">
        <v>2800</v>
      </c>
      <c r="G52" s="166">
        <v>700</v>
      </c>
      <c r="H52" s="385"/>
      <c r="I52" s="166">
        <f t="shared" si="27"/>
        <v>4</v>
      </c>
      <c r="J52" s="166">
        <f t="shared" si="28"/>
        <v>2807.5687162216668</v>
      </c>
      <c r="K52" s="180">
        <f t="shared" si="29"/>
        <v>701.8921790554167</v>
      </c>
      <c r="L52" s="402"/>
      <c r="M52" s="166">
        <f>RANK(K52, K$42:$K$71)</f>
        <v>20</v>
      </c>
      <c r="N52" s="392"/>
      <c r="O52" s="392"/>
      <c r="P52" s="166">
        <v>4</v>
      </c>
      <c r="Q52" s="166">
        <v>2822.7272727272739</v>
      </c>
      <c r="R52" s="166">
        <v>705.68181818181847</v>
      </c>
      <c r="S52" s="182">
        <f t="shared" si="11"/>
        <v>19</v>
      </c>
      <c r="T52" s="385"/>
      <c r="U52" s="166">
        <v>4</v>
      </c>
      <c r="V52" s="166">
        <v>2781.818181818182</v>
      </c>
      <c r="W52" s="166">
        <v>695.4545454545455</v>
      </c>
      <c r="X52" s="182">
        <f t="shared" si="13"/>
        <v>19</v>
      </c>
      <c r="Y52" s="385"/>
      <c r="Z52" s="166">
        <v>4</v>
      </c>
      <c r="AA52" s="166">
        <v>2818.1249999999995</v>
      </c>
      <c r="AB52" s="166">
        <v>704.53124999999989</v>
      </c>
      <c r="AC52" s="182">
        <f t="shared" si="15"/>
        <v>20</v>
      </c>
      <c r="AD52" s="385"/>
      <c r="AE52" s="166">
        <v>4</v>
      </c>
      <c r="AF52" s="166">
        <v>2811.4285714285693</v>
      </c>
      <c r="AG52" s="166">
        <v>702.85714285714232</v>
      </c>
      <c r="AH52" s="182">
        <f t="shared" si="17"/>
        <v>18</v>
      </c>
      <c r="AI52" s="385"/>
      <c r="AJ52" s="166">
        <v>4</v>
      </c>
      <c r="AK52" s="166">
        <v>2768.5714285714289</v>
      </c>
      <c r="AL52" s="166">
        <v>692.14285714285722</v>
      </c>
      <c r="AM52" s="182">
        <f t="shared" si="19"/>
        <v>19</v>
      </c>
      <c r="AN52" s="385"/>
      <c r="AO52" s="166">
        <v>4</v>
      </c>
      <c r="AP52" s="166">
        <v>2821.7391304347825</v>
      </c>
      <c r="AQ52" s="166">
        <v>705.43478260869563</v>
      </c>
      <c r="AR52" s="182">
        <f t="shared" si="21"/>
        <v>19</v>
      </c>
      <c r="AS52" s="385"/>
      <c r="AT52" s="166">
        <v>4</v>
      </c>
      <c r="AU52" s="166">
        <v>2828.5714285714294</v>
      </c>
      <c r="AV52" s="166">
        <v>707.14285714285734</v>
      </c>
      <c r="AW52" s="182">
        <f t="shared" si="23"/>
        <v>20</v>
      </c>
      <c r="AX52" s="385"/>
      <c r="AZ52" s="182" t="e">
        <f t="shared" si="25"/>
        <v>#N/A</v>
      </c>
      <c r="BA52" s="385"/>
    </row>
    <row r="53" spans="2:53">
      <c r="B53" s="427"/>
      <c r="C53" s="182">
        <v>12</v>
      </c>
      <c r="D53" s="182" t="s">
        <v>599</v>
      </c>
      <c r="E53" s="182">
        <v>4</v>
      </c>
      <c r="F53" s="182">
        <v>2800</v>
      </c>
      <c r="G53" s="166">
        <v>700</v>
      </c>
      <c r="H53" s="385"/>
      <c r="I53" s="166">
        <f t="shared" si="27"/>
        <v>4</v>
      </c>
      <c r="J53" s="166">
        <f t="shared" si="28"/>
        <v>2857.4571428571471</v>
      </c>
      <c r="K53" s="180">
        <f t="shared" si="29"/>
        <v>714.36428571428678</v>
      </c>
      <c r="L53" s="402"/>
      <c r="M53" s="166">
        <f>RANK(K53, K$42:$K$71)</f>
        <v>18</v>
      </c>
      <c r="N53" s="392"/>
      <c r="O53" s="392"/>
      <c r="P53" s="166">
        <v>4</v>
      </c>
      <c r="Q53" s="166">
        <v>3153.0000000000114</v>
      </c>
      <c r="R53" s="166">
        <v>788.25000000000284</v>
      </c>
      <c r="S53" s="182">
        <f t="shared" si="11"/>
        <v>15</v>
      </c>
      <c r="T53" s="385"/>
      <c r="U53" s="166">
        <v>4</v>
      </c>
      <c r="V53" s="166">
        <v>2985.0000000000105</v>
      </c>
      <c r="W53" s="166">
        <v>746.25000000000261</v>
      </c>
      <c r="X53" s="182">
        <f t="shared" si="13"/>
        <v>17</v>
      </c>
      <c r="Y53" s="385"/>
      <c r="Z53" s="166">
        <v>4</v>
      </c>
      <c r="AA53" s="166">
        <v>2850.00000000001</v>
      </c>
      <c r="AB53" s="166">
        <v>712.5000000000025</v>
      </c>
      <c r="AC53" s="182">
        <f t="shared" si="15"/>
        <v>19</v>
      </c>
      <c r="AD53" s="385"/>
      <c r="AE53" s="166">
        <v>4</v>
      </c>
      <c r="AF53" s="166">
        <v>2679.0000000000095</v>
      </c>
      <c r="AG53" s="166">
        <v>669.75000000000239</v>
      </c>
      <c r="AH53" s="182">
        <f t="shared" si="17"/>
        <v>20</v>
      </c>
      <c r="AI53" s="385"/>
      <c r="AJ53" s="166">
        <v>4</v>
      </c>
      <c r="AK53" s="166">
        <v>2880.00000000001</v>
      </c>
      <c r="AL53" s="166">
        <v>720.0000000000025</v>
      </c>
      <c r="AM53" s="182">
        <f t="shared" si="19"/>
        <v>18</v>
      </c>
      <c r="AN53" s="385"/>
      <c r="AO53" s="166">
        <v>4</v>
      </c>
      <c r="AP53" s="166">
        <v>2503.1999999999925</v>
      </c>
      <c r="AQ53" s="166">
        <v>625.79999999999814</v>
      </c>
      <c r="AR53" s="182">
        <f t="shared" si="21"/>
        <v>20</v>
      </c>
      <c r="AS53" s="385"/>
      <c r="AT53" s="166">
        <v>4</v>
      </c>
      <c r="AU53" s="166">
        <v>2951.9999999999868</v>
      </c>
      <c r="AV53" s="166">
        <v>737.9999999999967</v>
      </c>
      <c r="AW53" s="182">
        <f t="shared" si="23"/>
        <v>17</v>
      </c>
      <c r="AX53" s="385"/>
      <c r="AZ53" s="182" t="e">
        <f t="shared" si="25"/>
        <v>#N/A</v>
      </c>
      <c r="BA53" s="385"/>
    </row>
    <row r="54" spans="2:53">
      <c r="B54" s="427"/>
      <c r="C54" s="182">
        <v>13</v>
      </c>
      <c r="D54" s="182" t="s">
        <v>600</v>
      </c>
      <c r="E54" s="182">
        <v>3</v>
      </c>
      <c r="F54" s="182">
        <v>2800</v>
      </c>
      <c r="G54" s="166">
        <v>933.33333333333337</v>
      </c>
      <c r="H54" s="385"/>
      <c r="I54" s="166">
        <f t="shared" si="27"/>
        <v>3</v>
      </c>
      <c r="J54" s="166">
        <f t="shared" si="28"/>
        <v>3064.1142857142736</v>
      </c>
      <c r="K54" s="180">
        <f t="shared" si="29"/>
        <v>1021.3714285714244</v>
      </c>
      <c r="L54" s="402"/>
      <c r="M54" s="166">
        <f>RANK(K54, K$42:$K$71)</f>
        <v>7</v>
      </c>
      <c r="N54" s="392"/>
      <c r="O54" s="392"/>
      <c r="P54" s="166">
        <v>3</v>
      </c>
      <c r="Q54" s="166">
        <v>3344.999999999985</v>
      </c>
      <c r="R54" s="166">
        <v>1114.999999999995</v>
      </c>
      <c r="S54" s="182">
        <f t="shared" si="11"/>
        <v>1</v>
      </c>
      <c r="T54" s="385"/>
      <c r="U54" s="166">
        <v>3</v>
      </c>
      <c r="V54" s="166">
        <v>3362.999999999985</v>
      </c>
      <c r="W54" s="166">
        <v>1120.999999999995</v>
      </c>
      <c r="X54" s="182">
        <f t="shared" si="13"/>
        <v>1</v>
      </c>
      <c r="Y54" s="385"/>
      <c r="Z54" s="166">
        <v>3</v>
      </c>
      <c r="AA54" s="166">
        <v>3125.9999999999859</v>
      </c>
      <c r="AB54" s="166">
        <v>1041.9999999999952</v>
      </c>
      <c r="AC54" s="182">
        <f t="shared" si="15"/>
        <v>7</v>
      </c>
      <c r="AD54" s="385"/>
      <c r="AE54" s="166">
        <v>3</v>
      </c>
      <c r="AF54" s="166">
        <v>2948.9999999999868</v>
      </c>
      <c r="AG54" s="166">
        <v>982.99999999999557</v>
      </c>
      <c r="AH54" s="182">
        <f t="shared" si="17"/>
        <v>8</v>
      </c>
      <c r="AI54" s="385"/>
      <c r="AJ54" s="166">
        <v>3</v>
      </c>
      <c r="AK54" s="166">
        <v>3140.9999999999859</v>
      </c>
      <c r="AL54" s="166">
        <v>1046.9999999999952</v>
      </c>
      <c r="AM54" s="182">
        <f t="shared" si="19"/>
        <v>6</v>
      </c>
      <c r="AN54" s="385"/>
      <c r="AO54" s="166">
        <v>3</v>
      </c>
      <c r="AP54" s="166">
        <v>2793.5999999999922</v>
      </c>
      <c r="AQ54" s="166">
        <v>931.19999999999743</v>
      </c>
      <c r="AR54" s="182">
        <f t="shared" si="21"/>
        <v>9</v>
      </c>
      <c r="AS54" s="385"/>
      <c r="AT54" s="166">
        <v>3</v>
      </c>
      <c r="AU54" s="166">
        <v>2731.1999999999921</v>
      </c>
      <c r="AV54" s="166">
        <v>910.39999999999736</v>
      </c>
      <c r="AW54" s="182">
        <f t="shared" si="23"/>
        <v>8</v>
      </c>
      <c r="AX54" s="385"/>
      <c r="AZ54" s="182" t="e">
        <f t="shared" si="25"/>
        <v>#N/A</v>
      </c>
      <c r="BA54" s="385"/>
    </row>
    <row r="55" spans="2:53">
      <c r="B55" s="427"/>
      <c r="C55" s="182">
        <v>14</v>
      </c>
      <c r="D55" s="182" t="s">
        <v>601</v>
      </c>
      <c r="E55" s="182">
        <v>4</v>
      </c>
      <c r="F55" s="182">
        <v>2200</v>
      </c>
      <c r="G55" s="166">
        <v>550</v>
      </c>
      <c r="H55" s="385"/>
      <c r="I55" s="166">
        <f t="shared" si="27"/>
        <v>3</v>
      </c>
      <c r="J55" s="166">
        <f t="shared" si="28"/>
        <v>2208.2857142857142</v>
      </c>
      <c r="K55" s="180">
        <f t="shared" si="29"/>
        <v>736.09523809523785</v>
      </c>
      <c r="L55" s="402"/>
      <c r="M55" s="166">
        <f>RANK(K55, K$42:$K$71)</f>
        <v>17</v>
      </c>
      <c r="N55" s="392"/>
      <c r="O55" s="392"/>
      <c r="P55" s="166">
        <v>3</v>
      </c>
      <c r="Q55" s="166">
        <v>2158.6666666666665</v>
      </c>
      <c r="R55" s="166">
        <v>719.55555555555554</v>
      </c>
      <c r="S55" s="182">
        <f t="shared" si="11"/>
        <v>18</v>
      </c>
      <c r="T55" s="385"/>
      <c r="U55" s="166">
        <v>3</v>
      </c>
      <c r="V55" s="166">
        <v>2342.9999999999991</v>
      </c>
      <c r="W55" s="166">
        <v>780.99999999999966</v>
      </c>
      <c r="X55" s="182">
        <f t="shared" si="13"/>
        <v>15</v>
      </c>
      <c r="Y55" s="385"/>
      <c r="Z55" s="166">
        <v>3</v>
      </c>
      <c r="AA55" s="166">
        <v>2216.9999999999991</v>
      </c>
      <c r="AB55" s="166">
        <v>738.99999999999966</v>
      </c>
      <c r="AC55" s="182">
        <f t="shared" si="15"/>
        <v>17</v>
      </c>
      <c r="AD55" s="385"/>
      <c r="AE55" s="166">
        <v>3</v>
      </c>
      <c r="AF55" s="166">
        <v>2084.9999999999991</v>
      </c>
      <c r="AG55" s="166">
        <v>694.99999999999966</v>
      </c>
      <c r="AH55" s="182">
        <f t="shared" si="17"/>
        <v>19</v>
      </c>
      <c r="AI55" s="385"/>
      <c r="AJ55" s="166">
        <v>3</v>
      </c>
      <c r="AK55" s="166">
        <v>2276.9999999999991</v>
      </c>
      <c r="AL55" s="166">
        <v>758.99999999999966</v>
      </c>
      <c r="AM55" s="182">
        <f t="shared" si="19"/>
        <v>14</v>
      </c>
      <c r="AN55" s="385"/>
      <c r="AO55" s="166">
        <v>3</v>
      </c>
      <c r="AP55" s="166">
        <v>2193.3333333333335</v>
      </c>
      <c r="AQ55" s="166">
        <v>731.1111111111112</v>
      </c>
      <c r="AR55" s="182">
        <f t="shared" si="21"/>
        <v>17</v>
      </c>
      <c r="AS55" s="385"/>
      <c r="AT55" s="166">
        <v>3</v>
      </c>
      <c r="AU55" s="166">
        <v>2184</v>
      </c>
      <c r="AV55" s="166">
        <v>728</v>
      </c>
      <c r="AW55" s="182">
        <f t="shared" si="23"/>
        <v>18</v>
      </c>
      <c r="AX55" s="385"/>
      <c r="AZ55" s="182" t="e">
        <f t="shared" si="25"/>
        <v>#N/A</v>
      </c>
      <c r="BA55" s="385"/>
    </row>
    <row r="56" spans="2:53">
      <c r="B56" s="427"/>
      <c r="C56" s="182">
        <v>15</v>
      </c>
      <c r="D56" s="182" t="s">
        <v>661</v>
      </c>
      <c r="E56" s="182">
        <v>8</v>
      </c>
      <c r="F56" s="182">
        <v>1500</v>
      </c>
      <c r="G56" s="166">
        <v>187.5</v>
      </c>
      <c r="H56" s="385"/>
      <c r="I56" s="166">
        <f t="shared" si="27"/>
        <v>12</v>
      </c>
      <c r="J56" s="166">
        <f t="shared" si="28"/>
        <v>1407.9272742845881</v>
      </c>
      <c r="K56" s="180">
        <f t="shared" si="29"/>
        <v>117.327272857049</v>
      </c>
      <c r="L56" s="402"/>
      <c r="M56" s="166">
        <f>RANK(K56, K$42:$K$71)</f>
        <v>21</v>
      </c>
      <c r="N56" s="392"/>
      <c r="O56" s="392"/>
      <c r="P56" s="166">
        <v>12</v>
      </c>
      <c r="Q56" s="166">
        <v>1386.4285714285711</v>
      </c>
      <c r="R56" s="166">
        <v>115.53571428571426</v>
      </c>
      <c r="S56" s="182">
        <f t="shared" si="11"/>
        <v>21</v>
      </c>
      <c r="T56" s="385"/>
      <c r="U56" s="166">
        <v>12</v>
      </c>
      <c r="V56" s="166">
        <v>1439.9999999999995</v>
      </c>
      <c r="W56" s="166">
        <v>119.99999999999996</v>
      </c>
      <c r="X56" s="182">
        <f t="shared" si="13"/>
        <v>21</v>
      </c>
      <c r="Y56" s="385"/>
      <c r="Z56" s="166">
        <v>12</v>
      </c>
      <c r="AA56" s="166">
        <v>1398.9473684210516</v>
      </c>
      <c r="AB56" s="166">
        <v>116.57894736842097</v>
      </c>
      <c r="AC56" s="182">
        <f t="shared" si="15"/>
        <v>21</v>
      </c>
      <c r="AD56" s="385"/>
      <c r="AE56" s="166">
        <v>12</v>
      </c>
      <c r="AF56" s="166">
        <v>1393.0434782608681</v>
      </c>
      <c r="AG56" s="166">
        <v>116.08695652173901</v>
      </c>
      <c r="AH56" s="182">
        <f t="shared" si="17"/>
        <v>21</v>
      </c>
      <c r="AI56" s="385"/>
      <c r="AJ56" s="166">
        <v>12</v>
      </c>
      <c r="AK56" s="166">
        <v>1389.7297297297287</v>
      </c>
      <c r="AL56" s="166">
        <v>115.81081081081072</v>
      </c>
      <c r="AM56" s="182">
        <f t="shared" si="19"/>
        <v>21</v>
      </c>
      <c r="AN56" s="385"/>
      <c r="AO56" s="166">
        <v>12</v>
      </c>
      <c r="AP56" s="166">
        <v>1423.2911392405056</v>
      </c>
      <c r="AQ56" s="166">
        <v>118.60759493670879</v>
      </c>
      <c r="AR56" s="182">
        <f t="shared" si="21"/>
        <v>21</v>
      </c>
      <c r="AS56" s="385"/>
      <c r="AT56" s="166">
        <v>12</v>
      </c>
      <c r="AU56" s="166">
        <v>1424.0506329113916</v>
      </c>
      <c r="AV56" s="166">
        <v>118.6708860759493</v>
      </c>
      <c r="AW56" s="182">
        <f t="shared" si="23"/>
        <v>21</v>
      </c>
      <c r="AX56" s="385"/>
      <c r="AZ56" s="182" t="e">
        <f t="shared" si="25"/>
        <v>#N/A</v>
      </c>
      <c r="BA56" s="385"/>
    </row>
    <row r="57" spans="2:53">
      <c r="B57" s="427"/>
      <c r="C57" s="182">
        <v>16</v>
      </c>
      <c r="D57" s="182" t="s">
        <v>602</v>
      </c>
      <c r="E57" s="182">
        <v>3</v>
      </c>
      <c r="F57" s="182">
        <v>2800</v>
      </c>
      <c r="G57" s="166">
        <v>933.33333333333337</v>
      </c>
      <c r="H57" s="385"/>
      <c r="I57" s="166">
        <f t="shared" si="27"/>
        <v>3</v>
      </c>
      <c r="J57" s="166">
        <f t="shared" si="28"/>
        <v>2809.8834332887486</v>
      </c>
      <c r="K57" s="180">
        <f t="shared" si="29"/>
        <v>936.6278110962495</v>
      </c>
      <c r="L57" s="402"/>
      <c r="M57" s="166">
        <f>RANK(K57, K$42:$K$71)</f>
        <v>9</v>
      </c>
      <c r="N57" s="392"/>
      <c r="O57" s="392"/>
      <c r="P57" s="166">
        <v>3</v>
      </c>
      <c r="Q57" s="166">
        <v>2852.8571428571418</v>
      </c>
      <c r="R57" s="166">
        <v>950.95238095238062</v>
      </c>
      <c r="S57" s="182">
        <f t="shared" si="11"/>
        <v>9</v>
      </c>
      <c r="T57" s="385"/>
      <c r="U57" s="166">
        <v>3</v>
      </c>
      <c r="V57" s="166">
        <v>2740.909090909091</v>
      </c>
      <c r="W57" s="166">
        <v>913.63636363636363</v>
      </c>
      <c r="X57" s="182">
        <f t="shared" si="13"/>
        <v>9</v>
      </c>
      <c r="Y57" s="385"/>
      <c r="Z57" s="166">
        <v>3</v>
      </c>
      <c r="AA57" s="166">
        <v>2818.5714285714275</v>
      </c>
      <c r="AB57" s="166">
        <v>939.52380952380918</v>
      </c>
      <c r="AC57" s="182">
        <f t="shared" si="15"/>
        <v>8</v>
      </c>
      <c r="AD57" s="385"/>
      <c r="AE57" s="166">
        <v>3</v>
      </c>
      <c r="AF57" s="166">
        <v>2849.9999999999977</v>
      </c>
      <c r="AG57" s="166">
        <v>949.9999999999992</v>
      </c>
      <c r="AH57" s="182">
        <f t="shared" si="17"/>
        <v>9</v>
      </c>
      <c r="AI57" s="385"/>
      <c r="AJ57" s="166">
        <v>3</v>
      </c>
      <c r="AK57" s="166">
        <v>2756.6666666666642</v>
      </c>
      <c r="AL57" s="166">
        <v>918.88888888888812</v>
      </c>
      <c r="AM57" s="182">
        <f t="shared" si="19"/>
        <v>9</v>
      </c>
      <c r="AN57" s="385"/>
      <c r="AO57" s="166">
        <v>3</v>
      </c>
      <c r="AP57" s="166">
        <v>2802.272727272727</v>
      </c>
      <c r="AQ57" s="166">
        <v>934.09090909090901</v>
      </c>
      <c r="AR57" s="182">
        <f t="shared" si="21"/>
        <v>8</v>
      </c>
      <c r="AS57" s="385"/>
      <c r="AT57" s="166">
        <v>3</v>
      </c>
      <c r="AU57" s="166">
        <v>2847.9069767441906</v>
      </c>
      <c r="AV57" s="166">
        <v>949.30232558139687</v>
      </c>
      <c r="AW57" s="182">
        <f t="shared" si="23"/>
        <v>7</v>
      </c>
      <c r="AX57" s="385"/>
      <c r="AZ57" s="182" t="e">
        <f t="shared" si="25"/>
        <v>#N/A</v>
      </c>
      <c r="BA57" s="385"/>
    </row>
    <row r="58" spans="2:53">
      <c r="B58" s="427"/>
      <c r="C58" s="182">
        <v>17</v>
      </c>
      <c r="D58" s="182" t="s">
        <v>603</v>
      </c>
      <c r="E58" s="182">
        <v>4</v>
      </c>
      <c r="F58" s="182">
        <v>2800</v>
      </c>
      <c r="G58" s="166">
        <v>700</v>
      </c>
      <c r="H58" s="385"/>
      <c r="I58" s="166">
        <f t="shared" si="27"/>
        <v>4</v>
      </c>
      <c r="J58" s="166">
        <f t="shared" si="28"/>
        <v>2833.3593221294827</v>
      </c>
      <c r="K58" s="180">
        <f t="shared" si="29"/>
        <v>708.33983053237068</v>
      </c>
      <c r="L58" s="402"/>
      <c r="M58" s="166">
        <f>RANK(K58, K$42:$K$71)</f>
        <v>19</v>
      </c>
      <c r="N58" s="392"/>
      <c r="O58" s="392"/>
      <c r="P58" s="166">
        <v>4</v>
      </c>
      <c r="Q58" s="166">
        <v>2816.363636363636</v>
      </c>
      <c r="R58" s="166">
        <v>704.09090909090901</v>
      </c>
      <c r="S58" s="182">
        <f t="shared" si="11"/>
        <v>20</v>
      </c>
      <c r="T58" s="385"/>
      <c r="U58" s="166">
        <v>4</v>
      </c>
      <c r="V58" s="166">
        <v>2801.8181818181847</v>
      </c>
      <c r="W58" s="166">
        <v>700.45454545454618</v>
      </c>
      <c r="X58" s="182">
        <f t="shared" si="13"/>
        <v>18</v>
      </c>
      <c r="Y58" s="385"/>
      <c r="Z58" s="166">
        <v>4</v>
      </c>
      <c r="AA58" s="166">
        <v>2864.5161290322571</v>
      </c>
      <c r="AB58" s="166">
        <v>716.12903225806429</v>
      </c>
      <c r="AC58" s="182">
        <f t="shared" si="15"/>
        <v>18</v>
      </c>
      <c r="AD58" s="385"/>
      <c r="AE58" s="166">
        <v>4</v>
      </c>
      <c r="AF58" s="166">
        <v>2900.7692307692273</v>
      </c>
      <c r="AG58" s="166">
        <v>725.19230769230683</v>
      </c>
      <c r="AH58" s="182">
        <f t="shared" si="17"/>
        <v>17</v>
      </c>
      <c r="AI58" s="385"/>
      <c r="AJ58" s="166">
        <v>4</v>
      </c>
      <c r="AK58" s="166">
        <v>2736.9230769230785</v>
      </c>
      <c r="AL58" s="166">
        <v>684.23076923076962</v>
      </c>
      <c r="AM58" s="182">
        <f t="shared" si="19"/>
        <v>20</v>
      </c>
      <c r="AN58" s="385"/>
      <c r="AO58" s="166">
        <v>4</v>
      </c>
      <c r="AP58" s="166">
        <v>2874.3749999999964</v>
      </c>
      <c r="AQ58" s="166">
        <v>718.59374999999909</v>
      </c>
      <c r="AR58" s="182">
        <f t="shared" si="21"/>
        <v>18</v>
      </c>
      <c r="AS58" s="385"/>
      <c r="AT58" s="166">
        <v>4</v>
      </c>
      <c r="AU58" s="166">
        <v>2838.7499999999995</v>
      </c>
      <c r="AV58" s="166">
        <v>709.68749999999989</v>
      </c>
      <c r="AW58" s="182">
        <f t="shared" si="23"/>
        <v>19</v>
      </c>
      <c r="AX58" s="385"/>
      <c r="AZ58" s="182" t="e">
        <f t="shared" si="25"/>
        <v>#N/A</v>
      </c>
      <c r="BA58" s="385"/>
    </row>
    <row r="59" spans="2:53">
      <c r="B59" s="427"/>
      <c r="C59" s="182">
        <v>18</v>
      </c>
      <c r="D59" s="182" t="s">
        <v>618</v>
      </c>
      <c r="E59" s="182">
        <v>12</v>
      </c>
      <c r="F59" s="182">
        <v>1500</v>
      </c>
      <c r="G59" s="166">
        <v>125</v>
      </c>
      <c r="H59" s="385"/>
      <c r="I59" s="166">
        <f t="shared" si="27"/>
        <v>12</v>
      </c>
      <c r="J59" s="166">
        <f t="shared" si="28"/>
        <v>1004.8571428571465</v>
      </c>
      <c r="K59" s="180">
        <f t="shared" si="29"/>
        <v>83.738095238095539</v>
      </c>
      <c r="L59" s="402"/>
      <c r="M59" s="166">
        <f>RANK(K59, K$42:$K$71)</f>
        <v>23</v>
      </c>
      <c r="N59" s="392"/>
      <c r="O59" s="392"/>
      <c r="P59" s="166">
        <v>12</v>
      </c>
      <c r="Q59" s="166">
        <v>1100.0000000000041</v>
      </c>
      <c r="R59" s="166">
        <v>91.666666666667012</v>
      </c>
      <c r="S59" s="182">
        <f t="shared" si="11"/>
        <v>23</v>
      </c>
      <c r="T59" s="385"/>
      <c r="U59" s="166">
        <v>12</v>
      </c>
      <c r="V59" s="166">
        <v>1020.0000000000036</v>
      </c>
      <c r="W59" s="166">
        <v>85.000000000000298</v>
      </c>
      <c r="X59" s="182">
        <f t="shared" si="13"/>
        <v>23</v>
      </c>
      <c r="Y59" s="385"/>
      <c r="Z59" s="166">
        <v>12</v>
      </c>
      <c r="AA59" s="166">
        <v>900.00000000000318</v>
      </c>
      <c r="AB59" s="166">
        <v>75.00000000000027</v>
      </c>
      <c r="AC59" s="182">
        <f t="shared" si="15"/>
        <v>23</v>
      </c>
      <c r="AD59" s="385"/>
      <c r="AE59" s="166">
        <v>12</v>
      </c>
      <c r="AF59" s="166">
        <v>924.0000000000033</v>
      </c>
      <c r="AG59" s="166">
        <v>77.00000000000027</v>
      </c>
      <c r="AH59" s="182">
        <f t="shared" si="17"/>
        <v>23</v>
      </c>
      <c r="AI59" s="385"/>
      <c r="AJ59" s="166">
        <v>12</v>
      </c>
      <c r="AK59" s="166">
        <v>1020.0000000000036</v>
      </c>
      <c r="AL59" s="166">
        <v>85.000000000000298</v>
      </c>
      <c r="AM59" s="182">
        <f t="shared" si="19"/>
        <v>23</v>
      </c>
      <c r="AN59" s="385"/>
      <c r="AO59" s="166">
        <v>12</v>
      </c>
      <c r="AP59" s="166">
        <v>930.0000000000033</v>
      </c>
      <c r="AQ59" s="166">
        <v>77.50000000000027</v>
      </c>
      <c r="AR59" s="182">
        <f t="shared" si="21"/>
        <v>23</v>
      </c>
      <c r="AS59" s="385"/>
      <c r="AT59" s="166">
        <v>12</v>
      </c>
      <c r="AU59" s="166">
        <v>1140.0000000000041</v>
      </c>
      <c r="AV59" s="166">
        <v>95.000000000000341</v>
      </c>
      <c r="AW59" s="182">
        <f t="shared" si="23"/>
        <v>23</v>
      </c>
      <c r="AX59" s="385"/>
      <c r="AZ59" s="182" t="e">
        <f t="shared" si="25"/>
        <v>#N/A</v>
      </c>
      <c r="BA59" s="385"/>
    </row>
    <row r="60" spans="2:53">
      <c r="B60" s="427"/>
      <c r="C60" s="182">
        <v>19</v>
      </c>
      <c r="D60" s="182" t="s">
        <v>625</v>
      </c>
      <c r="E60" s="182">
        <v>12</v>
      </c>
      <c r="F60" s="182">
        <v>1500</v>
      </c>
      <c r="G60" s="166">
        <v>125</v>
      </c>
      <c r="H60" s="385"/>
      <c r="I60" s="166">
        <f t="shared" si="27"/>
        <v>12</v>
      </c>
      <c r="J60" s="166">
        <f t="shared" si="28"/>
        <v>1290.4531003624011</v>
      </c>
      <c r="K60" s="180">
        <f t="shared" si="29"/>
        <v>107.5377583635334</v>
      </c>
      <c r="L60" s="402"/>
      <c r="M60" s="166">
        <f>RANK(K60, K$42:$K$71)</f>
        <v>22</v>
      </c>
      <c r="N60" s="392"/>
      <c r="O60" s="392"/>
      <c r="P60" s="166">
        <v>12</v>
      </c>
      <c r="Q60" s="166">
        <v>1318.2352941176455</v>
      </c>
      <c r="R60" s="166">
        <v>109.85294117647045</v>
      </c>
      <c r="S60" s="182">
        <f t="shared" si="11"/>
        <v>22</v>
      </c>
      <c r="T60" s="385"/>
      <c r="U60" s="166">
        <v>12</v>
      </c>
      <c r="V60" s="166">
        <v>1347.2727272727254</v>
      </c>
      <c r="W60" s="166">
        <v>112.27272727272712</v>
      </c>
      <c r="X60" s="182">
        <f t="shared" si="13"/>
        <v>22</v>
      </c>
      <c r="Y60" s="385"/>
      <c r="Z60" s="166">
        <v>12</v>
      </c>
      <c r="AA60" s="166">
        <v>1325.9999999999977</v>
      </c>
      <c r="AB60" s="166">
        <v>110.49999999999982</v>
      </c>
      <c r="AC60" s="182">
        <f t="shared" si="15"/>
        <v>22</v>
      </c>
      <c r="AD60" s="385"/>
      <c r="AE60" s="166">
        <v>12</v>
      </c>
      <c r="AF60" s="166">
        <v>1160.6896551724114</v>
      </c>
      <c r="AG60" s="166">
        <v>96.724137931034292</v>
      </c>
      <c r="AH60" s="182">
        <f t="shared" si="17"/>
        <v>22</v>
      </c>
      <c r="AI60" s="385"/>
      <c r="AJ60" s="166">
        <v>12</v>
      </c>
      <c r="AK60" s="166">
        <v>1326.4285714285684</v>
      </c>
      <c r="AL60" s="166">
        <v>110.53571428571404</v>
      </c>
      <c r="AM60" s="182">
        <f t="shared" si="19"/>
        <v>22</v>
      </c>
      <c r="AN60" s="385"/>
      <c r="AO60" s="166">
        <v>12</v>
      </c>
      <c r="AP60" s="166">
        <v>1294.5454545454529</v>
      </c>
      <c r="AQ60" s="166">
        <v>107.87878787878775</v>
      </c>
      <c r="AR60" s="182">
        <f t="shared" si="21"/>
        <v>22</v>
      </c>
      <c r="AS60" s="385"/>
      <c r="AT60" s="166">
        <v>12</v>
      </c>
      <c r="AU60" s="166">
        <v>1260.0000000000043</v>
      </c>
      <c r="AV60" s="166">
        <v>105.00000000000036</v>
      </c>
      <c r="AW60" s="182">
        <f t="shared" si="23"/>
        <v>22</v>
      </c>
      <c r="AX60" s="385"/>
      <c r="AZ60" s="182" t="e">
        <f t="shared" si="25"/>
        <v>#N/A</v>
      </c>
      <c r="BA60" s="385"/>
    </row>
    <row r="61" spans="2:53">
      <c r="B61" s="427"/>
      <c r="C61" s="182">
        <v>20</v>
      </c>
      <c r="D61" s="182" t="s">
        <v>636</v>
      </c>
      <c r="E61" s="182">
        <v>3</v>
      </c>
      <c r="F61" s="182">
        <v>3000</v>
      </c>
      <c r="G61" s="166">
        <v>933.33333333333337</v>
      </c>
      <c r="H61" s="385"/>
      <c r="I61" s="166">
        <f t="shared" si="27"/>
        <v>3</v>
      </c>
      <c r="J61" s="166">
        <f t="shared" si="28"/>
        <v>3002.8571428571454</v>
      </c>
      <c r="K61" s="180">
        <f t="shared" si="29"/>
        <v>1000.9523809523816</v>
      </c>
      <c r="L61" s="402"/>
      <c r="M61" s="166">
        <f>RANK(K61, K$42:$K$71)</f>
        <v>8</v>
      </c>
      <c r="N61" s="392"/>
      <c r="O61" s="392"/>
      <c r="P61" s="166">
        <v>3</v>
      </c>
      <c r="Q61" s="166">
        <v>3024.0000000000105</v>
      </c>
      <c r="R61" s="166">
        <v>1008.0000000000035</v>
      </c>
      <c r="S61" s="182">
        <f t="shared" si="11"/>
        <v>8</v>
      </c>
      <c r="T61" s="385"/>
      <c r="U61" s="166">
        <v>3</v>
      </c>
      <c r="V61" s="166">
        <v>2958.0000000000105</v>
      </c>
      <c r="W61" s="166">
        <v>986.00000000000352</v>
      </c>
      <c r="X61" s="182">
        <f t="shared" si="13"/>
        <v>8</v>
      </c>
      <c r="Y61" s="385"/>
      <c r="Z61" s="166">
        <v>3</v>
      </c>
      <c r="AA61" s="166">
        <v>2794.00000000001</v>
      </c>
      <c r="AB61" s="166">
        <v>931.33333333333667</v>
      </c>
      <c r="AC61" s="182">
        <f t="shared" si="15"/>
        <v>9</v>
      </c>
      <c r="AD61" s="385"/>
      <c r="AE61" s="166">
        <v>3</v>
      </c>
      <c r="AF61" s="166">
        <v>3062.3999999999915</v>
      </c>
      <c r="AG61" s="166">
        <v>1020.7999999999971</v>
      </c>
      <c r="AH61" s="182">
        <f t="shared" si="17"/>
        <v>7</v>
      </c>
      <c r="AI61" s="385"/>
      <c r="AJ61" s="166">
        <v>3</v>
      </c>
      <c r="AK61" s="166">
        <v>3117.5999999999913</v>
      </c>
      <c r="AL61" s="166">
        <v>1039.1999999999971</v>
      </c>
      <c r="AM61" s="182">
        <f t="shared" si="19"/>
        <v>8</v>
      </c>
      <c r="AN61" s="385"/>
      <c r="AO61" s="166">
        <v>3</v>
      </c>
      <c r="AP61" s="166">
        <v>3335.9999999999909</v>
      </c>
      <c r="AQ61" s="166">
        <v>1111.999999999997</v>
      </c>
      <c r="AR61" s="182">
        <f t="shared" si="21"/>
        <v>2</v>
      </c>
      <c r="AS61" s="385"/>
      <c r="AT61" s="166">
        <v>3</v>
      </c>
      <c r="AU61" s="166">
        <v>2728.0000000000095</v>
      </c>
      <c r="AV61" s="166">
        <v>909.33333333333655</v>
      </c>
      <c r="AW61" s="182">
        <f t="shared" si="23"/>
        <v>9</v>
      </c>
      <c r="AX61" s="385"/>
      <c r="AZ61" s="182" t="e">
        <f t="shared" si="25"/>
        <v>#N/A</v>
      </c>
      <c r="BA61" s="385"/>
    </row>
    <row r="62" spans="2:53">
      <c r="B62" s="427"/>
      <c r="C62" s="182">
        <v>21</v>
      </c>
      <c r="D62" s="313" t="s">
        <v>641</v>
      </c>
      <c r="E62" s="182">
        <v>4</v>
      </c>
      <c r="F62" s="182">
        <v>3200</v>
      </c>
      <c r="G62" s="166">
        <v>800</v>
      </c>
      <c r="H62" s="385"/>
      <c r="I62" s="166">
        <f t="shared" si="27"/>
        <v>4</v>
      </c>
      <c r="J62" s="166">
        <f t="shared" si="28"/>
        <v>3020.1563925905693</v>
      </c>
      <c r="K62" s="180">
        <f t="shared" si="29"/>
        <v>755.03909814764233</v>
      </c>
      <c r="L62" s="402"/>
      <c r="M62" s="166">
        <f>RANK(K62, K$42:$K$71)</f>
        <v>15</v>
      </c>
      <c r="N62" s="392"/>
      <c r="O62" s="392"/>
      <c r="P62" s="182">
        <v>4</v>
      </c>
      <c r="Q62" s="166">
        <v>3090.666666666667</v>
      </c>
      <c r="R62" s="166">
        <v>772.66666666666674</v>
      </c>
      <c r="S62" s="182">
        <f t="shared" si="11"/>
        <v>16</v>
      </c>
      <c r="T62" s="385"/>
      <c r="U62" s="182">
        <v>4</v>
      </c>
      <c r="V62" s="166">
        <v>2998.695652173908</v>
      </c>
      <c r="W62" s="166">
        <v>749.673913043477</v>
      </c>
      <c r="X62" s="182">
        <f t="shared" si="13"/>
        <v>16</v>
      </c>
      <c r="Y62" s="385"/>
      <c r="Z62" s="182">
        <v>4</v>
      </c>
      <c r="AA62" s="166">
        <v>3053.333333333333</v>
      </c>
      <c r="AB62" s="166">
        <v>763.33333333333326</v>
      </c>
      <c r="AC62" s="182">
        <f t="shared" si="15"/>
        <v>15</v>
      </c>
      <c r="AD62" s="385"/>
      <c r="AE62" s="182">
        <v>4</v>
      </c>
      <c r="AF62" s="166">
        <v>3020.0000000000045</v>
      </c>
      <c r="AG62" s="166">
        <v>755.00000000000114</v>
      </c>
      <c r="AH62" s="182">
        <f t="shared" si="17"/>
        <v>16</v>
      </c>
      <c r="AI62" s="385"/>
      <c r="AJ62" s="182">
        <v>4</v>
      </c>
      <c r="AK62" s="166">
        <v>2922.1621621621662</v>
      </c>
      <c r="AL62" s="166">
        <v>730.54054054054154</v>
      </c>
      <c r="AM62" s="182">
        <f t="shared" si="19"/>
        <v>17</v>
      </c>
      <c r="AN62" s="385"/>
      <c r="AO62" s="182">
        <v>4</v>
      </c>
      <c r="AP62" s="166">
        <v>3034.2857142857133</v>
      </c>
      <c r="AQ62" s="166">
        <v>758.57142857142833</v>
      </c>
      <c r="AR62" s="182">
        <f t="shared" si="21"/>
        <v>15</v>
      </c>
      <c r="AS62" s="385"/>
      <c r="AT62" s="182">
        <v>4</v>
      </c>
      <c r="AU62" s="166">
        <v>3021.9512195121938</v>
      </c>
      <c r="AV62" s="166">
        <v>755.48780487804845</v>
      </c>
      <c r="AW62" s="182">
        <f t="shared" si="23"/>
        <v>16</v>
      </c>
      <c r="AX62" s="385"/>
      <c r="AZ62" s="182" t="e">
        <f t="shared" si="25"/>
        <v>#N/A</v>
      </c>
      <c r="BA62" s="385"/>
    </row>
    <row r="63" spans="2:53">
      <c r="B63" s="427"/>
      <c r="C63" s="182">
        <v>22</v>
      </c>
      <c r="D63" s="182" t="s">
        <v>643</v>
      </c>
      <c r="E63" s="182">
        <v>4</v>
      </c>
      <c r="F63" s="182">
        <v>3200</v>
      </c>
      <c r="G63" s="182">
        <v>800</v>
      </c>
      <c r="H63" s="385"/>
      <c r="I63" s="166">
        <f t="shared" si="27"/>
        <v>4</v>
      </c>
      <c r="J63" s="166">
        <f t="shared" si="28"/>
        <v>2959.2462518082552</v>
      </c>
      <c r="K63" s="180">
        <f t="shared" si="29"/>
        <v>739.81156295206381</v>
      </c>
      <c r="L63" s="402"/>
      <c r="M63" s="166">
        <f>RANK(K63, K$42:$K$71)</f>
        <v>16</v>
      </c>
      <c r="N63" s="392"/>
      <c r="O63" s="392"/>
      <c r="P63" s="182">
        <v>4</v>
      </c>
      <c r="Q63" s="166">
        <v>3047.5862068965539</v>
      </c>
      <c r="R63" s="166">
        <v>761.89655172413848</v>
      </c>
      <c r="S63" s="182">
        <f t="shared" si="11"/>
        <v>17</v>
      </c>
      <c r="T63" s="385"/>
      <c r="U63" s="182">
        <v>4</v>
      </c>
      <c r="V63" s="166">
        <v>2571.5789473684231</v>
      </c>
      <c r="W63" s="166">
        <v>642.89473684210577</v>
      </c>
      <c r="X63" s="182">
        <f t="shared" si="13"/>
        <v>20</v>
      </c>
      <c r="Y63" s="385"/>
      <c r="Z63" s="182">
        <v>4</v>
      </c>
      <c r="AA63" s="166">
        <v>3009.6428571428596</v>
      </c>
      <c r="AB63" s="166">
        <v>752.4107142857149</v>
      </c>
      <c r="AC63" s="182">
        <f t="shared" si="15"/>
        <v>16</v>
      </c>
      <c r="AD63" s="385"/>
      <c r="AE63" s="182">
        <v>4</v>
      </c>
      <c r="AF63" s="166">
        <v>3057.4999999999955</v>
      </c>
      <c r="AG63" s="166">
        <v>764.37499999999886</v>
      </c>
      <c r="AH63" s="182">
        <f t="shared" si="17"/>
        <v>15</v>
      </c>
      <c r="AI63" s="385"/>
      <c r="AJ63" s="182">
        <v>4</v>
      </c>
      <c r="AK63" s="166">
        <v>2971.9148936170168</v>
      </c>
      <c r="AL63" s="166">
        <v>742.9787234042542</v>
      </c>
      <c r="AM63" s="182">
        <f t="shared" si="19"/>
        <v>15</v>
      </c>
      <c r="AN63" s="385"/>
      <c r="AO63" s="182">
        <v>4</v>
      </c>
      <c r="AP63" s="166">
        <v>3032.7272727272743</v>
      </c>
      <c r="AQ63" s="166">
        <v>758.18181818181858</v>
      </c>
      <c r="AR63" s="182">
        <f t="shared" si="21"/>
        <v>16</v>
      </c>
      <c r="AS63" s="385"/>
      <c r="AT63" s="182">
        <v>4</v>
      </c>
      <c r="AU63" s="166">
        <v>3023.7735849056621</v>
      </c>
      <c r="AV63" s="166">
        <v>755.94339622641553</v>
      </c>
      <c r="AW63" s="182">
        <f t="shared" si="23"/>
        <v>15</v>
      </c>
      <c r="AX63" s="385"/>
      <c r="AZ63" s="182" t="e">
        <f t="shared" si="25"/>
        <v>#N/A</v>
      </c>
      <c r="BA63" s="385"/>
    </row>
    <row r="64" spans="2:53">
      <c r="B64" s="427"/>
      <c r="C64" s="182">
        <v>23</v>
      </c>
      <c r="D64" s="182" t="s">
        <v>651</v>
      </c>
      <c r="E64" s="182">
        <v>3</v>
      </c>
      <c r="F64" s="182">
        <v>3200</v>
      </c>
      <c r="G64" s="182">
        <v>1066.6666666666667</v>
      </c>
      <c r="H64" s="385"/>
      <c r="I64" s="166">
        <f t="shared" si="27"/>
        <v>3</v>
      </c>
      <c r="J64" s="166">
        <f t="shared" si="28"/>
        <v>3214.1442036146764</v>
      </c>
      <c r="K64" s="180">
        <f t="shared" si="29"/>
        <v>1071.381401204892</v>
      </c>
      <c r="L64" s="402"/>
      <c r="M64" s="166">
        <f>RANK(K64, K$42:$K$71)</f>
        <v>6</v>
      </c>
      <c r="N64" s="392"/>
      <c r="O64" s="392"/>
      <c r="P64" s="182">
        <v>3</v>
      </c>
      <c r="Q64" s="166">
        <v>3217.5000000000009</v>
      </c>
      <c r="R64" s="166">
        <v>1072.5000000000002</v>
      </c>
      <c r="S64" s="182">
        <f t="shared" si="11"/>
        <v>7</v>
      </c>
      <c r="T64" s="385"/>
      <c r="U64" s="182">
        <v>3</v>
      </c>
      <c r="V64" s="166">
        <v>3156.6666666666683</v>
      </c>
      <c r="W64" s="166">
        <v>1052.2222222222229</v>
      </c>
      <c r="X64" s="182">
        <f t="shared" si="13"/>
        <v>5</v>
      </c>
      <c r="Y64" s="385"/>
      <c r="Z64" s="182">
        <v>3</v>
      </c>
      <c r="AA64" s="166">
        <v>3268.6363636363571</v>
      </c>
      <c r="AB64" s="166">
        <v>1089.5454545454525</v>
      </c>
      <c r="AC64" s="182">
        <f t="shared" si="15"/>
        <v>3</v>
      </c>
      <c r="AD64" s="385"/>
      <c r="AE64" s="182">
        <v>3</v>
      </c>
      <c r="AF64" s="166">
        <v>3233.6842105263136</v>
      </c>
      <c r="AG64" s="166">
        <v>1077.8947368421045</v>
      </c>
      <c r="AH64" s="182">
        <f t="shared" si="17"/>
        <v>3</v>
      </c>
      <c r="AI64" s="385"/>
      <c r="AJ64" s="182">
        <v>3</v>
      </c>
      <c r="AK64" s="166">
        <v>3181.6216216216194</v>
      </c>
      <c r="AL64" s="166">
        <v>1060.5405405405397</v>
      </c>
      <c r="AM64" s="182">
        <f t="shared" si="19"/>
        <v>2</v>
      </c>
      <c r="AN64" s="385"/>
      <c r="AO64" s="182">
        <v>3</v>
      </c>
      <c r="AP64" s="166">
        <v>3222.4390243902426</v>
      </c>
      <c r="AQ64" s="166">
        <v>1074.1463414634143</v>
      </c>
      <c r="AR64" s="182">
        <f t="shared" si="21"/>
        <v>7</v>
      </c>
      <c r="AS64" s="385"/>
      <c r="AT64" s="182">
        <v>3</v>
      </c>
      <c r="AU64" s="166">
        <v>3218.4615384615304</v>
      </c>
      <c r="AV64" s="166">
        <v>1072.8205128205102</v>
      </c>
      <c r="AW64" s="182">
        <f t="shared" si="23"/>
        <v>6</v>
      </c>
      <c r="AX64" s="385"/>
      <c r="AZ64" s="182" t="e">
        <f t="shared" si="25"/>
        <v>#N/A</v>
      </c>
      <c r="BA64" s="385"/>
    </row>
    <row r="65" spans="2:53">
      <c r="B65" s="427"/>
      <c r="C65" s="182">
        <v>24</v>
      </c>
      <c r="D65" s="182"/>
      <c r="E65" s="182"/>
      <c r="F65" s="182"/>
      <c r="G65" s="182"/>
      <c r="H65" s="385"/>
      <c r="I65" s="166" t="str">
        <f t="shared" si="27"/>
        <v>-</v>
      </c>
      <c r="J65" s="166" t="str">
        <f t="shared" si="28"/>
        <v>-</v>
      </c>
      <c r="K65" s="180" t="str">
        <f t="shared" si="29"/>
        <v>-</v>
      </c>
      <c r="L65" s="402"/>
      <c r="M65" s="166" t="e">
        <f>RANK(K65, K$42:$K$71)</f>
        <v>#VALUE!</v>
      </c>
      <c r="N65" s="392"/>
      <c r="O65" s="392"/>
      <c r="P65" s="182"/>
      <c r="Q65" s="182"/>
      <c r="R65" s="182"/>
      <c r="S65" s="182" t="e">
        <f t="shared" si="11"/>
        <v>#N/A</v>
      </c>
      <c r="T65" s="385"/>
      <c r="U65" s="182"/>
      <c r="V65" s="182"/>
      <c r="W65" s="182"/>
      <c r="X65" s="182" t="e">
        <f t="shared" si="13"/>
        <v>#N/A</v>
      </c>
      <c r="Y65" s="385"/>
      <c r="Z65" s="182"/>
      <c r="AA65" s="182"/>
      <c r="AB65" s="182"/>
      <c r="AC65" s="182" t="e">
        <f t="shared" si="15"/>
        <v>#N/A</v>
      </c>
      <c r="AD65" s="385"/>
      <c r="AE65" s="182"/>
      <c r="AF65" s="182"/>
      <c r="AG65" s="182"/>
      <c r="AH65" s="182" t="e">
        <f t="shared" si="17"/>
        <v>#N/A</v>
      </c>
      <c r="AI65" s="385"/>
      <c r="AJ65" s="182"/>
      <c r="AK65" s="182"/>
      <c r="AL65" s="182"/>
      <c r="AM65" s="182" t="e">
        <f t="shared" si="19"/>
        <v>#N/A</v>
      </c>
      <c r="AN65" s="385"/>
      <c r="AO65" s="182"/>
      <c r="AP65" s="182"/>
      <c r="AQ65" s="182"/>
      <c r="AR65" s="182" t="e">
        <f t="shared" si="21"/>
        <v>#N/A</v>
      </c>
      <c r="AS65" s="385"/>
      <c r="AT65" s="182"/>
      <c r="AU65" s="182"/>
      <c r="AV65" s="182"/>
      <c r="AW65" s="182" t="e">
        <f t="shared" si="23"/>
        <v>#N/A</v>
      </c>
      <c r="AX65" s="385"/>
      <c r="AZ65" s="182" t="e">
        <f t="shared" si="25"/>
        <v>#N/A</v>
      </c>
      <c r="BA65" s="385"/>
    </row>
    <row r="66" spans="2:53">
      <c r="B66" s="427"/>
      <c r="C66" s="182">
        <v>25</v>
      </c>
      <c r="D66" s="182"/>
      <c r="E66" s="182"/>
      <c r="F66" s="182"/>
      <c r="G66" s="182"/>
      <c r="H66" s="385"/>
      <c r="I66" s="166" t="str">
        <f t="shared" si="27"/>
        <v>-</v>
      </c>
      <c r="J66" s="166" t="str">
        <f t="shared" si="28"/>
        <v>-</v>
      </c>
      <c r="K66" s="180" t="str">
        <f t="shared" si="29"/>
        <v>-</v>
      </c>
      <c r="L66" s="402"/>
      <c r="M66" s="166" t="e">
        <f>RANK(K66, K$42:$K$71)</f>
        <v>#VALUE!</v>
      </c>
      <c r="N66" s="392"/>
      <c r="O66" s="392"/>
      <c r="P66" s="182"/>
      <c r="Q66" s="182"/>
      <c r="R66" s="182"/>
      <c r="S66" s="182" t="e">
        <f t="shared" si="11"/>
        <v>#N/A</v>
      </c>
      <c r="T66" s="385"/>
      <c r="U66" s="182"/>
      <c r="V66" s="182"/>
      <c r="W66" s="182"/>
      <c r="X66" s="182" t="e">
        <f t="shared" si="13"/>
        <v>#N/A</v>
      </c>
      <c r="Y66" s="385"/>
      <c r="Z66" s="182"/>
      <c r="AA66" s="182"/>
      <c r="AB66" s="182"/>
      <c r="AC66" s="182" t="e">
        <f t="shared" si="15"/>
        <v>#N/A</v>
      </c>
      <c r="AD66" s="385"/>
      <c r="AE66" s="182"/>
      <c r="AF66" s="182"/>
      <c r="AG66" s="182"/>
      <c r="AH66" s="182" t="e">
        <f t="shared" si="17"/>
        <v>#N/A</v>
      </c>
      <c r="AI66" s="385"/>
      <c r="AJ66" s="182"/>
      <c r="AK66" s="182"/>
      <c r="AL66" s="182"/>
      <c r="AM66" s="182" t="e">
        <f t="shared" si="19"/>
        <v>#N/A</v>
      </c>
      <c r="AN66" s="385"/>
      <c r="AO66" s="182"/>
      <c r="AP66" s="182"/>
      <c r="AQ66" s="182"/>
      <c r="AR66" s="182" t="e">
        <f t="shared" si="21"/>
        <v>#N/A</v>
      </c>
      <c r="AS66" s="385"/>
      <c r="AT66" s="182"/>
      <c r="AU66" s="182"/>
      <c r="AV66" s="182"/>
      <c r="AW66" s="182" t="e">
        <f t="shared" si="23"/>
        <v>#N/A</v>
      </c>
      <c r="AX66" s="385"/>
      <c r="AZ66" s="182" t="e">
        <f t="shared" si="25"/>
        <v>#N/A</v>
      </c>
      <c r="BA66" s="385"/>
    </row>
    <row r="67" spans="2:53">
      <c r="B67" s="427"/>
      <c r="C67" s="182">
        <v>26</v>
      </c>
      <c r="D67" s="182"/>
      <c r="E67" s="182"/>
      <c r="F67" s="182"/>
      <c r="G67" s="182"/>
      <c r="H67" s="385"/>
      <c r="I67" s="166" t="str">
        <f t="shared" si="27"/>
        <v>-</v>
      </c>
      <c r="J67" s="166" t="str">
        <f t="shared" si="28"/>
        <v>-</v>
      </c>
      <c r="K67" s="180" t="str">
        <f t="shared" si="29"/>
        <v>-</v>
      </c>
      <c r="L67" s="402"/>
      <c r="M67" s="166" t="e">
        <f>RANK(K67, K$42:$K$71)</f>
        <v>#VALUE!</v>
      </c>
      <c r="N67" s="392"/>
      <c r="O67" s="392"/>
      <c r="P67" s="182"/>
      <c r="Q67" s="182"/>
      <c r="R67" s="182"/>
      <c r="S67" s="182" t="e">
        <f t="shared" si="11"/>
        <v>#N/A</v>
      </c>
      <c r="T67" s="385"/>
      <c r="U67" s="182"/>
      <c r="V67" s="182"/>
      <c r="W67" s="182"/>
      <c r="X67" s="182" t="e">
        <f t="shared" si="13"/>
        <v>#N/A</v>
      </c>
      <c r="Y67" s="385"/>
      <c r="Z67" s="182"/>
      <c r="AA67" s="182"/>
      <c r="AB67" s="182"/>
      <c r="AC67" s="182" t="e">
        <f t="shared" si="15"/>
        <v>#N/A</v>
      </c>
      <c r="AD67" s="385"/>
      <c r="AE67" s="182"/>
      <c r="AF67" s="182"/>
      <c r="AG67" s="182"/>
      <c r="AH67" s="182" t="e">
        <f t="shared" si="17"/>
        <v>#N/A</v>
      </c>
      <c r="AI67" s="385"/>
      <c r="AJ67" s="182"/>
      <c r="AK67" s="182"/>
      <c r="AL67" s="182"/>
      <c r="AM67" s="182" t="e">
        <f t="shared" si="19"/>
        <v>#N/A</v>
      </c>
      <c r="AN67" s="385"/>
      <c r="AO67" s="182"/>
      <c r="AP67" s="182"/>
      <c r="AQ67" s="182"/>
      <c r="AR67" s="182" t="e">
        <f t="shared" si="21"/>
        <v>#N/A</v>
      </c>
      <c r="AS67" s="385"/>
      <c r="AT67" s="182"/>
      <c r="AU67" s="182"/>
      <c r="AV67" s="182"/>
      <c r="AW67" s="182" t="e">
        <f t="shared" si="23"/>
        <v>#N/A</v>
      </c>
      <c r="AX67" s="385"/>
      <c r="AZ67" s="182" t="e">
        <f t="shared" si="25"/>
        <v>#N/A</v>
      </c>
      <c r="BA67" s="385"/>
    </row>
    <row r="68" spans="2:53">
      <c r="B68" s="427"/>
      <c r="C68" s="182">
        <v>27</v>
      </c>
      <c r="D68" s="182"/>
      <c r="E68" s="182"/>
      <c r="F68" s="182"/>
      <c r="G68" s="182"/>
      <c r="H68" s="385"/>
      <c r="I68" s="166" t="str">
        <f t="shared" si="27"/>
        <v>-</v>
      </c>
      <c r="J68" s="166" t="str">
        <f t="shared" si="28"/>
        <v>-</v>
      </c>
      <c r="K68" s="180" t="str">
        <f t="shared" si="29"/>
        <v>-</v>
      </c>
      <c r="L68" s="402"/>
      <c r="M68" s="166" t="e">
        <f>RANK(K68, K$42:$K$71)</f>
        <v>#VALUE!</v>
      </c>
      <c r="N68" s="392"/>
      <c r="O68" s="392"/>
      <c r="P68" s="182"/>
      <c r="Q68" s="182"/>
      <c r="R68" s="182"/>
      <c r="S68" s="182" t="e">
        <f t="shared" si="11"/>
        <v>#N/A</v>
      </c>
      <c r="T68" s="385"/>
      <c r="U68" s="182"/>
      <c r="V68" s="182"/>
      <c r="W68" s="182"/>
      <c r="X68" s="182" t="e">
        <f t="shared" si="13"/>
        <v>#N/A</v>
      </c>
      <c r="Y68" s="385"/>
      <c r="Z68" s="182"/>
      <c r="AA68" s="182"/>
      <c r="AB68" s="182"/>
      <c r="AC68" s="182" t="e">
        <f t="shared" si="15"/>
        <v>#N/A</v>
      </c>
      <c r="AD68" s="385"/>
      <c r="AE68" s="182"/>
      <c r="AF68" s="182"/>
      <c r="AG68" s="182"/>
      <c r="AH68" s="182" t="e">
        <f t="shared" si="17"/>
        <v>#N/A</v>
      </c>
      <c r="AI68" s="385"/>
      <c r="AJ68" s="182"/>
      <c r="AK68" s="182"/>
      <c r="AL68" s="182"/>
      <c r="AM68" s="182" t="e">
        <f t="shared" si="19"/>
        <v>#N/A</v>
      </c>
      <c r="AN68" s="385"/>
      <c r="AO68" s="182"/>
      <c r="AP68" s="182"/>
      <c r="AQ68" s="182"/>
      <c r="AR68" s="182" t="e">
        <f t="shared" si="21"/>
        <v>#N/A</v>
      </c>
      <c r="AS68" s="385"/>
      <c r="AT68" s="182"/>
      <c r="AU68" s="182"/>
      <c r="AV68" s="182"/>
      <c r="AW68" s="182" t="e">
        <f t="shared" si="23"/>
        <v>#N/A</v>
      </c>
      <c r="AX68" s="385"/>
      <c r="AZ68" s="182" t="e">
        <f t="shared" si="25"/>
        <v>#N/A</v>
      </c>
      <c r="BA68" s="385"/>
    </row>
    <row r="69" spans="2:53">
      <c r="B69" s="427"/>
      <c r="C69" s="182">
        <v>28</v>
      </c>
      <c r="D69" s="182"/>
      <c r="E69" s="182"/>
      <c r="F69" s="182"/>
      <c r="G69" s="182"/>
      <c r="H69" s="385"/>
      <c r="I69" s="166" t="str">
        <f t="shared" si="27"/>
        <v>-</v>
      </c>
      <c r="J69" s="166" t="str">
        <f t="shared" si="28"/>
        <v>-</v>
      </c>
      <c r="K69" s="180" t="str">
        <f t="shared" si="29"/>
        <v>-</v>
      </c>
      <c r="L69" s="402"/>
      <c r="M69" s="166" t="e">
        <f>RANK(K69, K$42:$K$71)</f>
        <v>#VALUE!</v>
      </c>
      <c r="N69" s="392"/>
      <c r="O69" s="392"/>
      <c r="P69" s="182"/>
      <c r="Q69" s="182"/>
      <c r="R69" s="182"/>
      <c r="S69" s="182" t="e">
        <f t="shared" si="11"/>
        <v>#N/A</v>
      </c>
      <c r="T69" s="385"/>
      <c r="U69" s="182"/>
      <c r="V69" s="182"/>
      <c r="W69" s="182"/>
      <c r="X69" s="182" t="e">
        <f t="shared" si="13"/>
        <v>#N/A</v>
      </c>
      <c r="Y69" s="385"/>
      <c r="Z69" s="182"/>
      <c r="AA69" s="182"/>
      <c r="AB69" s="182"/>
      <c r="AC69" s="182" t="e">
        <f t="shared" si="15"/>
        <v>#N/A</v>
      </c>
      <c r="AD69" s="385"/>
      <c r="AE69" s="182"/>
      <c r="AF69" s="182"/>
      <c r="AG69" s="182"/>
      <c r="AH69" s="182" t="e">
        <f t="shared" si="17"/>
        <v>#N/A</v>
      </c>
      <c r="AI69" s="385"/>
      <c r="AJ69" s="182"/>
      <c r="AK69" s="182"/>
      <c r="AL69" s="182"/>
      <c r="AM69" s="182" t="e">
        <f t="shared" si="19"/>
        <v>#N/A</v>
      </c>
      <c r="AN69" s="385"/>
      <c r="AO69" s="182"/>
      <c r="AP69" s="182"/>
      <c r="AQ69" s="182"/>
      <c r="AR69" s="182" t="e">
        <f t="shared" si="21"/>
        <v>#N/A</v>
      </c>
      <c r="AS69" s="385"/>
      <c r="AT69" s="182"/>
      <c r="AU69" s="182"/>
      <c r="AV69" s="182"/>
      <c r="AW69" s="182" t="e">
        <f t="shared" si="23"/>
        <v>#N/A</v>
      </c>
      <c r="AX69" s="385"/>
      <c r="AZ69" s="182" t="e">
        <f t="shared" si="25"/>
        <v>#N/A</v>
      </c>
      <c r="BA69" s="385"/>
    </row>
    <row r="70" spans="2:53">
      <c r="B70" s="427"/>
      <c r="C70" s="182">
        <v>29</v>
      </c>
      <c r="D70" s="182"/>
      <c r="E70" s="182"/>
      <c r="F70" s="182"/>
      <c r="G70" s="182"/>
      <c r="H70" s="385"/>
      <c r="I70" s="166" t="str">
        <f t="shared" si="27"/>
        <v>-</v>
      </c>
      <c r="J70" s="166" t="str">
        <f t="shared" si="28"/>
        <v>-</v>
      </c>
      <c r="K70" s="180" t="str">
        <f t="shared" si="29"/>
        <v>-</v>
      </c>
      <c r="L70" s="402"/>
      <c r="M70" s="166" t="e">
        <f>RANK(K70, K$42:$K$71)</f>
        <v>#VALUE!</v>
      </c>
      <c r="N70" s="392"/>
      <c r="O70" s="392"/>
      <c r="P70" s="182"/>
      <c r="Q70" s="182"/>
      <c r="R70" s="182"/>
      <c r="S70" s="182" t="e">
        <f t="shared" si="11"/>
        <v>#N/A</v>
      </c>
      <c r="T70" s="385"/>
      <c r="U70" s="182"/>
      <c r="V70" s="182"/>
      <c r="W70" s="182"/>
      <c r="X70" s="182" t="e">
        <f t="shared" si="13"/>
        <v>#N/A</v>
      </c>
      <c r="Y70" s="385"/>
      <c r="Z70" s="182"/>
      <c r="AA70" s="182"/>
      <c r="AB70" s="182"/>
      <c r="AC70" s="182" t="e">
        <f t="shared" si="15"/>
        <v>#N/A</v>
      </c>
      <c r="AD70" s="385"/>
      <c r="AE70" s="182"/>
      <c r="AF70" s="182"/>
      <c r="AG70" s="182"/>
      <c r="AH70" s="182" t="e">
        <f t="shared" si="17"/>
        <v>#N/A</v>
      </c>
      <c r="AI70" s="385"/>
      <c r="AJ70" s="182"/>
      <c r="AK70" s="182"/>
      <c r="AL70" s="182"/>
      <c r="AM70" s="182" t="e">
        <f t="shared" si="19"/>
        <v>#N/A</v>
      </c>
      <c r="AN70" s="385"/>
      <c r="AO70" s="182"/>
      <c r="AP70" s="182"/>
      <c r="AQ70" s="182"/>
      <c r="AR70" s="182" t="e">
        <f t="shared" si="21"/>
        <v>#N/A</v>
      </c>
      <c r="AS70" s="385"/>
      <c r="AT70" s="182"/>
      <c r="AU70" s="182"/>
      <c r="AV70" s="182"/>
      <c r="AW70" s="182" t="e">
        <f t="shared" si="23"/>
        <v>#N/A</v>
      </c>
      <c r="AX70" s="385"/>
      <c r="AZ70" s="182" t="e">
        <f t="shared" si="25"/>
        <v>#N/A</v>
      </c>
      <c r="BA70" s="385"/>
    </row>
    <row r="71" spans="2:53">
      <c r="B71" s="428"/>
      <c r="C71" s="182">
        <v>30</v>
      </c>
      <c r="D71" s="182"/>
      <c r="E71" s="182"/>
      <c r="F71" s="182"/>
      <c r="G71" s="182"/>
      <c r="H71" s="386"/>
      <c r="I71" s="166" t="str">
        <f t="shared" si="27"/>
        <v>-</v>
      </c>
      <c r="J71" s="166" t="str">
        <f t="shared" si="28"/>
        <v>-</v>
      </c>
      <c r="K71" s="180" t="str">
        <f t="shared" si="29"/>
        <v>-</v>
      </c>
      <c r="L71" s="403"/>
      <c r="M71" s="166" t="e">
        <f>RANK(K71, K$42:$K$71)</f>
        <v>#VALUE!</v>
      </c>
      <c r="N71" s="393"/>
      <c r="O71" s="393"/>
      <c r="P71" s="182"/>
      <c r="Q71" s="182"/>
      <c r="R71" s="182"/>
      <c r="S71" s="182" t="e">
        <f t="shared" si="11"/>
        <v>#N/A</v>
      </c>
      <c r="T71" s="386"/>
      <c r="U71" s="182"/>
      <c r="V71" s="182"/>
      <c r="W71" s="182"/>
      <c r="X71" s="182" t="e">
        <f t="shared" si="13"/>
        <v>#N/A</v>
      </c>
      <c r="Y71" s="386"/>
      <c r="Z71" s="182"/>
      <c r="AA71" s="182"/>
      <c r="AB71" s="182"/>
      <c r="AC71" s="182" t="e">
        <f t="shared" si="15"/>
        <v>#N/A</v>
      </c>
      <c r="AD71" s="386"/>
      <c r="AE71" s="182"/>
      <c r="AF71" s="182"/>
      <c r="AG71" s="182"/>
      <c r="AH71" s="182" t="e">
        <f t="shared" si="17"/>
        <v>#N/A</v>
      </c>
      <c r="AI71" s="386"/>
      <c r="AJ71" s="182"/>
      <c r="AK71" s="182"/>
      <c r="AL71" s="182"/>
      <c r="AM71" s="182" t="e">
        <f t="shared" si="19"/>
        <v>#N/A</v>
      </c>
      <c r="AN71" s="386"/>
      <c r="AO71" s="182"/>
      <c r="AP71" s="182"/>
      <c r="AQ71" s="182"/>
      <c r="AR71" s="182" t="e">
        <f t="shared" si="21"/>
        <v>#N/A</v>
      </c>
      <c r="AS71" s="386"/>
      <c r="AT71" s="182"/>
      <c r="AU71" s="182"/>
      <c r="AV71" s="182"/>
      <c r="AW71" s="182" t="e">
        <f t="shared" si="23"/>
        <v>#N/A</v>
      </c>
      <c r="AX71" s="386"/>
      <c r="AZ71" s="182" t="e">
        <f t="shared" si="25"/>
        <v>#N/A</v>
      </c>
      <c r="BA71" s="386"/>
    </row>
    <row r="72" spans="2:53" ht="15.75">
      <c r="B72" s="424" t="s">
        <v>163</v>
      </c>
      <c r="C72" s="425"/>
      <c r="D72" s="425"/>
      <c r="E72" s="425"/>
      <c r="F72" s="425"/>
      <c r="G72" s="425"/>
      <c r="H72" s="425"/>
      <c r="I72" s="186"/>
      <c r="J72" s="183"/>
      <c r="K72" s="186"/>
      <c r="L72" s="186"/>
      <c r="M72" s="178"/>
      <c r="N72" s="391" t="s">
        <v>156</v>
      </c>
      <c r="O72" s="391" t="s">
        <v>155</v>
      </c>
      <c r="P72" s="413">
        <f>P37+7</f>
        <v>46154</v>
      </c>
      <c r="Q72" s="395"/>
      <c r="R72" s="395"/>
      <c r="S72" s="395"/>
      <c r="T72" s="395"/>
      <c r="U72" s="410">
        <f>P72+1</f>
        <v>46155</v>
      </c>
      <c r="V72" s="411"/>
      <c r="W72" s="411"/>
      <c r="X72" s="411"/>
      <c r="Y72" s="412"/>
      <c r="Z72" s="410">
        <f>U72+1</f>
        <v>46156</v>
      </c>
      <c r="AA72" s="411"/>
      <c r="AB72" s="411"/>
      <c r="AC72" s="411"/>
      <c r="AD72" s="412"/>
      <c r="AE72" s="410">
        <f>Z72+1</f>
        <v>46157</v>
      </c>
      <c r="AF72" s="411"/>
      <c r="AG72" s="411"/>
      <c r="AH72" s="411"/>
      <c r="AI72" s="412"/>
      <c r="AJ72" s="410">
        <f>AE72+1</f>
        <v>46158</v>
      </c>
      <c r="AK72" s="411"/>
      <c r="AL72" s="411"/>
      <c r="AM72" s="411"/>
      <c r="AN72" s="412"/>
      <c r="AO72" s="410">
        <f>AJ72+1</f>
        <v>46159</v>
      </c>
      <c r="AP72" s="411"/>
      <c r="AQ72" s="411"/>
      <c r="AR72" s="411"/>
      <c r="AS72" s="412"/>
      <c r="AT72" s="410">
        <f>AO72+1</f>
        <v>46160</v>
      </c>
      <c r="AU72" s="411"/>
      <c r="AV72" s="411"/>
      <c r="AW72" s="411"/>
      <c r="AX72" s="412"/>
    </row>
    <row r="73" spans="2:53" ht="15.75">
      <c r="B73" s="416"/>
      <c r="C73" s="416"/>
      <c r="D73" s="416"/>
      <c r="E73" s="416"/>
      <c r="F73" s="416"/>
      <c r="G73" s="416"/>
      <c r="H73" s="416"/>
      <c r="I73" s="184"/>
      <c r="J73" s="184"/>
      <c r="K73" s="184"/>
      <c r="L73" s="184"/>
      <c r="M73" s="179"/>
      <c r="N73" s="393"/>
      <c r="O73" s="393"/>
      <c r="P73" s="413" t="s">
        <v>318</v>
      </c>
      <c r="Q73" s="395"/>
      <c r="R73" s="395"/>
      <c r="S73" s="395"/>
      <c r="T73" s="395"/>
      <c r="U73" s="413" t="s">
        <v>319</v>
      </c>
      <c r="V73" s="395"/>
      <c r="W73" s="395"/>
      <c r="X73" s="395"/>
      <c r="Y73" s="395"/>
      <c r="Z73" s="413" t="s">
        <v>320</v>
      </c>
      <c r="AA73" s="395"/>
      <c r="AB73" s="395"/>
      <c r="AC73" s="395"/>
      <c r="AD73" s="395"/>
      <c r="AE73" s="413" t="s">
        <v>321</v>
      </c>
      <c r="AF73" s="395"/>
      <c r="AG73" s="395"/>
      <c r="AH73" s="395"/>
      <c r="AI73" s="395"/>
      <c r="AJ73" s="413" t="s">
        <v>322</v>
      </c>
      <c r="AK73" s="395"/>
      <c r="AL73" s="395"/>
      <c r="AM73" s="395"/>
      <c r="AN73" s="395"/>
      <c r="AO73" s="413" t="s">
        <v>323</v>
      </c>
      <c r="AP73" s="395"/>
      <c r="AQ73" s="395"/>
      <c r="AR73" s="395"/>
      <c r="AS73" s="395"/>
      <c r="AT73" s="413" t="s">
        <v>324</v>
      </c>
      <c r="AU73" s="395"/>
      <c r="AV73" s="395"/>
      <c r="AW73" s="395"/>
      <c r="AX73" s="395"/>
    </row>
    <row r="74" spans="2:53">
      <c r="B74" s="391" t="s">
        <v>467</v>
      </c>
      <c r="C74" s="417" t="s">
        <v>468</v>
      </c>
      <c r="D74" s="429"/>
      <c r="E74" s="404" t="s">
        <v>469</v>
      </c>
      <c r="F74" s="405"/>
      <c r="G74" s="406"/>
      <c r="H74" s="391" t="s">
        <v>470</v>
      </c>
      <c r="I74" s="404" t="s">
        <v>471</v>
      </c>
      <c r="J74" s="405"/>
      <c r="K74" s="406"/>
      <c r="L74" s="391" t="s">
        <v>470</v>
      </c>
      <c r="M74" s="391" t="s">
        <v>472</v>
      </c>
      <c r="N74" s="391"/>
      <c r="O74" s="391" t="s">
        <v>473</v>
      </c>
      <c r="P74" s="404" t="s">
        <v>474</v>
      </c>
      <c r="Q74" s="405"/>
      <c r="R74" s="405"/>
      <c r="S74" s="406"/>
      <c r="T74" s="391" t="s">
        <v>470</v>
      </c>
      <c r="U74" s="404" t="s">
        <v>474</v>
      </c>
      <c r="V74" s="405"/>
      <c r="W74" s="405"/>
      <c r="X74" s="406"/>
      <c r="Y74" s="391" t="s">
        <v>470</v>
      </c>
      <c r="Z74" s="404" t="s">
        <v>474</v>
      </c>
      <c r="AA74" s="405"/>
      <c r="AB74" s="405"/>
      <c r="AC74" s="406"/>
      <c r="AD74" s="391" t="s">
        <v>470</v>
      </c>
      <c r="AE74" s="404" t="s">
        <v>474</v>
      </c>
      <c r="AF74" s="405"/>
      <c r="AG74" s="405"/>
      <c r="AH74" s="406"/>
      <c r="AI74" s="391" t="s">
        <v>470</v>
      </c>
      <c r="AJ74" s="404" t="s">
        <v>474</v>
      </c>
      <c r="AK74" s="405"/>
      <c r="AL74" s="405"/>
      <c r="AM74" s="406"/>
      <c r="AN74" s="391" t="s">
        <v>470</v>
      </c>
      <c r="AO74" s="404" t="s">
        <v>474</v>
      </c>
      <c r="AP74" s="405"/>
      <c r="AQ74" s="405"/>
      <c r="AR74" s="406"/>
      <c r="AS74" s="391" t="s">
        <v>470</v>
      </c>
      <c r="AT74" s="404" t="s">
        <v>474</v>
      </c>
      <c r="AU74" s="405"/>
      <c r="AV74" s="405"/>
      <c r="AW74" s="406"/>
      <c r="AX74" s="391" t="s">
        <v>470</v>
      </c>
      <c r="BA74" s="391" t="s">
        <v>373</v>
      </c>
    </row>
    <row r="75" spans="2:53">
      <c r="B75" s="392"/>
      <c r="C75" s="418"/>
      <c r="D75" s="430"/>
      <c r="E75" s="404" t="s">
        <v>475</v>
      </c>
      <c r="F75" s="405"/>
      <c r="G75" s="406"/>
      <c r="H75" s="392"/>
      <c r="I75" s="404" t="s">
        <v>475</v>
      </c>
      <c r="J75" s="405"/>
      <c r="K75" s="406"/>
      <c r="L75" s="392"/>
      <c r="M75" s="392"/>
      <c r="N75" s="392"/>
      <c r="O75" s="392"/>
      <c r="P75" s="404" t="s">
        <v>476</v>
      </c>
      <c r="Q75" s="405"/>
      <c r="R75" s="405"/>
      <c r="S75" s="406"/>
      <c r="T75" s="392"/>
      <c r="U75" s="404" t="s">
        <v>476</v>
      </c>
      <c r="V75" s="405"/>
      <c r="W75" s="405"/>
      <c r="X75" s="406"/>
      <c r="Y75" s="392"/>
      <c r="Z75" s="404" t="s">
        <v>476</v>
      </c>
      <c r="AA75" s="405"/>
      <c r="AB75" s="405"/>
      <c r="AC75" s="406"/>
      <c r="AD75" s="392"/>
      <c r="AE75" s="404" t="s">
        <v>476</v>
      </c>
      <c r="AF75" s="405"/>
      <c r="AG75" s="405"/>
      <c r="AH75" s="406"/>
      <c r="AI75" s="392"/>
      <c r="AJ75" s="404" t="s">
        <v>476</v>
      </c>
      <c r="AK75" s="405"/>
      <c r="AL75" s="405"/>
      <c r="AM75" s="406"/>
      <c r="AN75" s="392"/>
      <c r="AO75" s="404" t="s">
        <v>476</v>
      </c>
      <c r="AP75" s="405"/>
      <c r="AQ75" s="405"/>
      <c r="AR75" s="406"/>
      <c r="AS75" s="392"/>
      <c r="AT75" s="404" t="s">
        <v>476</v>
      </c>
      <c r="AU75" s="405"/>
      <c r="AV75" s="405"/>
      <c r="AW75" s="406"/>
      <c r="AX75" s="392"/>
      <c r="BA75" s="392"/>
    </row>
    <row r="76" spans="2:53">
      <c r="B76" s="393"/>
      <c r="C76" s="419"/>
      <c r="D76" s="431"/>
      <c r="E76" s="258" t="s">
        <v>477</v>
      </c>
      <c r="F76" s="258" t="s">
        <v>478</v>
      </c>
      <c r="G76" s="258" t="s">
        <v>479</v>
      </c>
      <c r="H76" s="393"/>
      <c r="I76" s="258" t="s">
        <v>477</v>
      </c>
      <c r="J76" s="258" t="s">
        <v>478</v>
      </c>
      <c r="K76" s="258" t="s">
        <v>479</v>
      </c>
      <c r="L76" s="393"/>
      <c r="M76" s="393"/>
      <c r="N76" s="392"/>
      <c r="O76" s="392"/>
      <c r="P76" s="258" t="s">
        <v>477</v>
      </c>
      <c r="Q76" s="258" t="s">
        <v>478</v>
      </c>
      <c r="R76" s="258" t="s">
        <v>479</v>
      </c>
      <c r="S76" s="258" t="s">
        <v>472</v>
      </c>
      <c r="T76" s="393"/>
      <c r="U76" s="258" t="s">
        <v>477</v>
      </c>
      <c r="V76" s="258" t="s">
        <v>478</v>
      </c>
      <c r="W76" s="258" t="s">
        <v>479</v>
      </c>
      <c r="X76" s="258" t="s">
        <v>472</v>
      </c>
      <c r="Y76" s="393"/>
      <c r="Z76" s="258" t="s">
        <v>477</v>
      </c>
      <c r="AA76" s="258" t="s">
        <v>478</v>
      </c>
      <c r="AB76" s="258" t="s">
        <v>479</v>
      </c>
      <c r="AC76" s="258" t="s">
        <v>472</v>
      </c>
      <c r="AD76" s="393"/>
      <c r="AE76" s="258" t="s">
        <v>477</v>
      </c>
      <c r="AF76" s="258" t="s">
        <v>478</v>
      </c>
      <c r="AG76" s="258" t="s">
        <v>479</v>
      </c>
      <c r="AH76" s="258" t="s">
        <v>472</v>
      </c>
      <c r="AI76" s="393"/>
      <c r="AJ76" s="258" t="s">
        <v>477</v>
      </c>
      <c r="AK76" s="258" t="s">
        <v>478</v>
      </c>
      <c r="AL76" s="258" t="s">
        <v>479</v>
      </c>
      <c r="AM76" s="258" t="s">
        <v>472</v>
      </c>
      <c r="AN76" s="393"/>
      <c r="AO76" s="258" t="s">
        <v>477</v>
      </c>
      <c r="AP76" s="258" t="s">
        <v>478</v>
      </c>
      <c r="AQ76" s="258" t="s">
        <v>479</v>
      </c>
      <c r="AR76" s="258" t="s">
        <v>472</v>
      </c>
      <c r="AS76" s="393"/>
      <c r="AT76" s="258" t="s">
        <v>477</v>
      </c>
      <c r="AU76" s="258" t="s">
        <v>478</v>
      </c>
      <c r="AV76" s="258" t="s">
        <v>479</v>
      </c>
      <c r="AW76" s="258" t="s">
        <v>472</v>
      </c>
      <c r="AX76" s="393"/>
      <c r="AZ76" s="258" t="s">
        <v>374</v>
      </c>
      <c r="BA76" s="393"/>
    </row>
    <row r="77" spans="2:53">
      <c r="B77" s="426" t="s">
        <v>150</v>
      </c>
      <c r="C77" s="182">
        <v>1</v>
      </c>
      <c r="D77" s="182" t="s">
        <v>339</v>
      </c>
      <c r="E77" s="182">
        <v>3</v>
      </c>
      <c r="F77" s="182">
        <v>3200</v>
      </c>
      <c r="G77" s="166">
        <v>1066.6666666666667</v>
      </c>
      <c r="H77" s="384">
        <f>AVERAGE(G77:G106)</f>
        <v>775.86805555555566</v>
      </c>
      <c r="I77" s="166">
        <f>IFERROR(AVERAGE(P77,U77,Z77,AE77,AJ77,AO77,AT77),"-")</f>
        <v>3</v>
      </c>
      <c r="J77" s="166">
        <f>IFERROR(AVERAGE(Q77,V77,AA77,AF77,AK77,AP77,AU77),"-")</f>
        <v>3225.4451831549313</v>
      </c>
      <c r="K77" s="180">
        <f>IFERROR(AVERAGE(R77,W77,AB77,AG77,AL77,AQ77,AV77),"-")</f>
        <v>1075.1483943849771</v>
      </c>
      <c r="L77" s="384">
        <f>IFERROR(AVERAGE(K77:K106),"-")</f>
        <v>796.62151586022128</v>
      </c>
      <c r="M77" s="166">
        <f>RANK(K77, K$77:$K$106)</f>
        <v>2</v>
      </c>
      <c r="N77" s="392"/>
      <c r="O77" s="392"/>
      <c r="P77" s="182">
        <v>3</v>
      </c>
      <c r="Q77" s="166">
        <v>3291.2727272727248</v>
      </c>
      <c r="R77" s="166">
        <v>1097.0909090909083</v>
      </c>
      <c r="S77" s="182">
        <f t="shared" ref="S77:S106" si="30">RANK(R77, R$77:R$106)</f>
        <v>4</v>
      </c>
      <c r="T77" s="384">
        <f t="shared" ref="T77" si="31">AVERAGE(R77:R106)</f>
        <v>811.02020928240654</v>
      </c>
      <c r="U77" s="182">
        <v>3</v>
      </c>
      <c r="V77" s="166">
        <v>3168.2142857142835</v>
      </c>
      <c r="W77" s="166">
        <v>1056.0714285714278</v>
      </c>
      <c r="X77" s="182">
        <f t="shared" ref="X77:X106" si="32">RANK(W77, W$77:W$106)</f>
        <v>5</v>
      </c>
      <c r="Y77" s="384">
        <f t="shared" ref="Y77" si="33">AVERAGE(W77:W106)</f>
        <v>785.77716190305853</v>
      </c>
      <c r="Z77" s="182">
        <v>3</v>
      </c>
      <c r="AA77" s="166">
        <v>3164.7272727272748</v>
      </c>
      <c r="AB77" s="166">
        <v>1054.9090909090917</v>
      </c>
      <c r="AC77" s="182">
        <f t="shared" ref="AC77:AC106" si="34">RANK(AB77, AB$77:AB$106)</f>
        <v>5</v>
      </c>
      <c r="AD77" s="384">
        <f t="shared" ref="AD77" si="35">AVERAGE(AB77:AB106)</f>
        <v>794.49927160459299</v>
      </c>
      <c r="AE77" s="182">
        <v>3</v>
      </c>
      <c r="AF77" s="166">
        <v>3270</v>
      </c>
      <c r="AG77" s="166">
        <v>1090</v>
      </c>
      <c r="AH77" s="182">
        <f t="shared" ref="AH77:AH106" si="36">RANK(AG77, AG$77:AG$106)</f>
        <v>3</v>
      </c>
      <c r="AI77" s="384">
        <f t="shared" ref="AI77" si="37">AVERAGE(AG77:AG106)</f>
        <v>800.37474786786197</v>
      </c>
      <c r="AJ77" s="182">
        <v>3</v>
      </c>
      <c r="AK77" s="166">
        <v>3270.0000000000059</v>
      </c>
      <c r="AL77" s="166">
        <v>1090.000000000002</v>
      </c>
      <c r="AM77" s="182">
        <f t="shared" ref="AM77:AM106" si="38">RANK(AL77, AL$77:AL$106)</f>
        <v>4</v>
      </c>
      <c r="AN77" s="384">
        <f t="shared" ref="AN77" si="39">AVERAGE(AL77:AL106)</f>
        <v>798.65091322263663</v>
      </c>
      <c r="AO77" s="182">
        <v>3</v>
      </c>
      <c r="AP77" s="166">
        <v>3246.3157894736823</v>
      </c>
      <c r="AQ77" s="166">
        <v>1082.1052631578941</v>
      </c>
      <c r="AR77" s="182">
        <f t="shared" ref="AR77:AR106" si="40">RANK(AQ77, AQ$77:AQ$106)</f>
        <v>1</v>
      </c>
      <c r="AS77" s="384">
        <f t="shared" ref="AS77" si="41">AVERAGE(AQ77:AQ106)</f>
        <v>799.38033633021394</v>
      </c>
      <c r="AT77" s="182">
        <v>3</v>
      </c>
      <c r="AU77" s="166">
        <v>3167.5862068965498</v>
      </c>
      <c r="AV77" s="166">
        <v>1055.8620689655165</v>
      </c>
      <c r="AW77" s="182">
        <f t="shared" ref="AW77:AW106" si="42">RANK(AV77, AV$77:AV$106)</f>
        <v>3</v>
      </c>
      <c r="AX77" s="384">
        <f t="shared" ref="AX77" si="43">AVERAGE(AV77:AV106)</f>
        <v>786.64797081077847</v>
      </c>
      <c r="AZ77" s="182" t="e">
        <f t="shared" ref="AZ77:AZ106" si="44">RANK(AY77, AY$77:AY$106)</f>
        <v>#N/A</v>
      </c>
      <c r="BA77" s="384" t="e">
        <f t="shared" ref="BA77" si="45">AVERAGE(AY77:AY106)</f>
        <v>#DIV/0!</v>
      </c>
    </row>
    <row r="78" spans="2:53">
      <c r="B78" s="427"/>
      <c r="C78" s="182">
        <v>2</v>
      </c>
      <c r="D78" s="258" t="s">
        <v>340</v>
      </c>
      <c r="E78" s="182">
        <v>3</v>
      </c>
      <c r="F78" s="182">
        <v>3200</v>
      </c>
      <c r="G78" s="166">
        <v>1066.6666666666667</v>
      </c>
      <c r="H78" s="385"/>
      <c r="I78" s="166">
        <f t="shared" ref="I78:I106" si="46">IFERROR(AVERAGE(P78,U78,Z78,AE78,AJ78,AO78,AT78),"-")</f>
        <v>3</v>
      </c>
      <c r="J78" s="166">
        <f t="shared" ref="J78:J106" si="47">IFERROR(AVERAGE(Q78,V78,AA78,AF78,AK78,AP78,AU78),"-")</f>
        <v>3225.0325814536295</v>
      </c>
      <c r="K78" s="180">
        <f t="shared" ref="K78:K106" si="48">IFERROR(AVERAGE(R78,W78,AB78,AG78,AL78,AQ78,AV78),"-")</f>
        <v>1075.0108604845429</v>
      </c>
      <c r="L78" s="385"/>
      <c r="M78" s="166">
        <f>RANK(K78, K$77:$K$106)</f>
        <v>3</v>
      </c>
      <c r="N78" s="392"/>
      <c r="O78" s="392"/>
      <c r="P78" s="182">
        <v>3</v>
      </c>
      <c r="Q78" s="166">
        <v>3226.6666666666642</v>
      </c>
      <c r="R78" s="166">
        <v>1075.5555555555547</v>
      </c>
      <c r="S78" s="182">
        <f t="shared" si="30"/>
        <v>7</v>
      </c>
      <c r="T78" s="385"/>
      <c r="U78" s="182">
        <v>3</v>
      </c>
      <c r="V78" s="166">
        <v>3203.3333333333312</v>
      </c>
      <c r="W78" s="166">
        <v>1067.7777777777771</v>
      </c>
      <c r="X78" s="182">
        <f t="shared" si="32"/>
        <v>2</v>
      </c>
      <c r="Y78" s="385"/>
      <c r="Z78" s="182">
        <v>3</v>
      </c>
      <c r="AA78" s="166">
        <v>3163.3333333333308</v>
      </c>
      <c r="AB78" s="166">
        <v>1054.4444444444437</v>
      </c>
      <c r="AC78" s="182">
        <f t="shared" si="34"/>
        <v>6</v>
      </c>
      <c r="AD78" s="385"/>
      <c r="AE78" s="182">
        <v>3</v>
      </c>
      <c r="AF78" s="166">
        <v>3279.9999999999945</v>
      </c>
      <c r="AG78" s="166">
        <v>1093.3333333333314</v>
      </c>
      <c r="AH78" s="182">
        <f t="shared" si="36"/>
        <v>1</v>
      </c>
      <c r="AI78" s="385"/>
      <c r="AJ78" s="182">
        <v>3</v>
      </c>
      <c r="AK78" s="166">
        <v>3303.9999999999941</v>
      </c>
      <c r="AL78" s="166">
        <v>1101.3333333333314</v>
      </c>
      <c r="AM78" s="182">
        <f t="shared" si="38"/>
        <v>2</v>
      </c>
      <c r="AN78" s="385"/>
      <c r="AO78" s="182">
        <v>3</v>
      </c>
      <c r="AP78" s="166">
        <v>3224.2105263157869</v>
      </c>
      <c r="AQ78" s="166">
        <v>1074.7368421052622</v>
      </c>
      <c r="AR78" s="182">
        <f t="shared" si="40"/>
        <v>5</v>
      </c>
      <c r="AS78" s="385"/>
      <c r="AT78" s="182">
        <v>3</v>
      </c>
      <c r="AU78" s="166">
        <v>3173.6842105263004</v>
      </c>
      <c r="AV78" s="166">
        <v>1057.8947368421002</v>
      </c>
      <c r="AW78" s="182">
        <f t="shared" si="42"/>
        <v>2</v>
      </c>
      <c r="AX78" s="385"/>
      <c r="AZ78" s="182" t="e">
        <f t="shared" si="44"/>
        <v>#N/A</v>
      </c>
      <c r="BA78" s="385"/>
    </row>
    <row r="79" spans="2:53">
      <c r="B79" s="427"/>
      <c r="C79" s="182">
        <v>3</v>
      </c>
      <c r="D79" s="182" t="s">
        <v>330</v>
      </c>
      <c r="E79" s="182">
        <v>4</v>
      </c>
      <c r="F79" s="182">
        <v>3200</v>
      </c>
      <c r="G79" s="166">
        <v>800</v>
      </c>
      <c r="H79" s="385"/>
      <c r="I79" s="166">
        <f t="shared" si="46"/>
        <v>4</v>
      </c>
      <c r="J79" s="166">
        <f t="shared" si="47"/>
        <v>3234.9805194805253</v>
      </c>
      <c r="K79" s="180">
        <f t="shared" si="48"/>
        <v>808.74512987013134</v>
      </c>
      <c r="L79" s="385"/>
      <c r="M79" s="166">
        <f>RANK(K79, K$77:$K$106)</f>
        <v>12</v>
      </c>
      <c r="N79" s="392"/>
      <c r="O79" s="392"/>
      <c r="P79" s="182">
        <v>4</v>
      </c>
      <c r="Q79" s="166">
        <v>3336.0000000000118</v>
      </c>
      <c r="R79" s="166">
        <v>834.00000000000296</v>
      </c>
      <c r="S79" s="182">
        <f t="shared" si="30"/>
        <v>12</v>
      </c>
      <c r="T79" s="385"/>
      <c r="U79" s="182">
        <v>4</v>
      </c>
      <c r="V79" s="166">
        <v>3106.3636363636365</v>
      </c>
      <c r="W79" s="166">
        <v>776.59090909090912</v>
      </c>
      <c r="X79" s="182">
        <f t="shared" si="32"/>
        <v>14</v>
      </c>
      <c r="Y79" s="385"/>
      <c r="Z79" s="182">
        <v>4</v>
      </c>
      <c r="AA79" s="166">
        <v>3197.1428571428687</v>
      </c>
      <c r="AB79" s="166">
        <v>799.28571428571718</v>
      </c>
      <c r="AC79" s="182">
        <f t="shared" si="34"/>
        <v>12</v>
      </c>
      <c r="AD79" s="385"/>
      <c r="AE79" s="182">
        <v>4</v>
      </c>
      <c r="AF79" s="166">
        <v>3299.9999999999959</v>
      </c>
      <c r="AG79" s="166">
        <v>824.99999999999898</v>
      </c>
      <c r="AH79" s="182">
        <f t="shared" si="36"/>
        <v>13</v>
      </c>
      <c r="AI79" s="385"/>
      <c r="AJ79" s="182">
        <v>4</v>
      </c>
      <c r="AK79" s="166">
        <v>3217.5000000000114</v>
      </c>
      <c r="AL79" s="166">
        <v>804.37500000000284</v>
      </c>
      <c r="AM79" s="182">
        <f t="shared" si="38"/>
        <v>15</v>
      </c>
      <c r="AN79" s="385"/>
      <c r="AO79" s="182">
        <v>4</v>
      </c>
      <c r="AP79" s="166">
        <v>3345.0000000000118</v>
      </c>
      <c r="AQ79" s="166">
        <v>836.25000000000296</v>
      </c>
      <c r="AR79" s="182">
        <f t="shared" si="40"/>
        <v>11</v>
      </c>
      <c r="AS79" s="385"/>
      <c r="AT79" s="182">
        <v>4</v>
      </c>
      <c r="AU79" s="166">
        <v>3142.8571428571418</v>
      </c>
      <c r="AV79" s="166">
        <v>785.71428571428544</v>
      </c>
      <c r="AW79" s="182">
        <f t="shared" si="42"/>
        <v>13</v>
      </c>
      <c r="AX79" s="385"/>
      <c r="AZ79" s="182" t="e">
        <f t="shared" si="44"/>
        <v>#N/A</v>
      </c>
      <c r="BA79" s="385"/>
    </row>
    <row r="80" spans="2:53">
      <c r="B80" s="427"/>
      <c r="C80" s="182">
        <v>4</v>
      </c>
      <c r="D80" s="182" t="s">
        <v>341</v>
      </c>
      <c r="E80" s="182">
        <v>3</v>
      </c>
      <c r="F80" s="182">
        <v>3200</v>
      </c>
      <c r="G80" s="166">
        <v>1066.6666666666667</v>
      </c>
      <c r="H80" s="385"/>
      <c r="I80" s="166">
        <f t="shared" si="46"/>
        <v>3</v>
      </c>
      <c r="J80" s="166">
        <f t="shared" si="47"/>
        <v>3223.2412184467576</v>
      </c>
      <c r="K80" s="180">
        <f t="shared" si="48"/>
        <v>1074.4137394822526</v>
      </c>
      <c r="L80" s="385"/>
      <c r="M80" s="166">
        <f>RANK(K80, K$77:$K$106)</f>
        <v>4</v>
      </c>
      <c r="N80" s="392"/>
      <c r="O80" s="392"/>
      <c r="P80" s="182">
        <v>3</v>
      </c>
      <c r="Q80" s="166">
        <v>3300.681818181818</v>
      </c>
      <c r="R80" s="166">
        <v>1100.2272727272727</v>
      </c>
      <c r="S80" s="182">
        <f t="shared" si="30"/>
        <v>3</v>
      </c>
      <c r="T80" s="385"/>
      <c r="U80" s="182">
        <v>3</v>
      </c>
      <c r="V80" s="166">
        <v>3194.3478260869565</v>
      </c>
      <c r="W80" s="166">
        <v>1064.7826086956522</v>
      </c>
      <c r="X80" s="182">
        <f t="shared" si="32"/>
        <v>3</v>
      </c>
      <c r="Y80" s="385"/>
      <c r="Z80" s="182">
        <v>3</v>
      </c>
      <c r="AA80" s="166">
        <v>3202.2471910112386</v>
      </c>
      <c r="AB80" s="166">
        <v>1067.4157303370796</v>
      </c>
      <c r="AC80" s="182">
        <f t="shared" si="34"/>
        <v>2</v>
      </c>
      <c r="AD80" s="385"/>
      <c r="AE80" s="182">
        <v>3</v>
      </c>
      <c r="AF80" s="166">
        <v>3234.9295774647894</v>
      </c>
      <c r="AG80" s="166">
        <v>1078.3098591549299</v>
      </c>
      <c r="AH80" s="182">
        <f t="shared" si="36"/>
        <v>4</v>
      </c>
      <c r="AI80" s="385"/>
      <c r="AJ80" s="182">
        <v>3</v>
      </c>
      <c r="AK80" s="166">
        <v>3218.0281690140814</v>
      </c>
      <c r="AL80" s="166">
        <v>1072.6760563380271</v>
      </c>
      <c r="AM80" s="182">
        <f t="shared" si="38"/>
        <v>7</v>
      </c>
      <c r="AN80" s="385"/>
      <c r="AO80" s="182">
        <v>3</v>
      </c>
      <c r="AP80" s="166">
        <v>3235.5789473684194</v>
      </c>
      <c r="AQ80" s="166">
        <v>1078.5263157894731</v>
      </c>
      <c r="AR80" s="182">
        <f t="shared" si="40"/>
        <v>4</v>
      </c>
      <c r="AS80" s="385"/>
      <c r="AT80" s="182">
        <v>3</v>
      </c>
      <c r="AU80" s="166">
        <v>3176.8750000000009</v>
      </c>
      <c r="AV80" s="166">
        <v>1058.9583333333337</v>
      </c>
      <c r="AW80" s="182">
        <f t="shared" si="42"/>
        <v>1</v>
      </c>
      <c r="AX80" s="385"/>
      <c r="AZ80" s="182" t="e">
        <f t="shared" si="44"/>
        <v>#N/A</v>
      </c>
      <c r="BA80" s="385"/>
    </row>
    <row r="81" spans="2:53">
      <c r="B81" s="427"/>
      <c r="C81" s="182">
        <v>5</v>
      </c>
      <c r="D81" s="182" t="s">
        <v>596</v>
      </c>
      <c r="E81" s="182">
        <v>4</v>
      </c>
      <c r="F81" s="182">
        <v>3200</v>
      </c>
      <c r="G81" s="166">
        <v>800</v>
      </c>
      <c r="H81" s="385"/>
      <c r="I81" s="166">
        <f t="shared" si="46"/>
        <v>4</v>
      </c>
      <c r="J81" s="166">
        <f t="shared" si="47"/>
        <v>3209.0781821071037</v>
      </c>
      <c r="K81" s="180">
        <f t="shared" si="48"/>
        <v>802.26954552677591</v>
      </c>
      <c r="L81" s="385"/>
      <c r="M81" s="166">
        <f>RANK(K81, K$77:$K$106)</f>
        <v>14</v>
      </c>
      <c r="N81" s="392"/>
      <c r="O81" s="392"/>
      <c r="P81" s="182">
        <v>4</v>
      </c>
      <c r="Q81" s="166">
        <v>3254.4827586206829</v>
      </c>
      <c r="R81" s="166">
        <v>813.62068965517074</v>
      </c>
      <c r="S81" s="182">
        <f t="shared" si="30"/>
        <v>13</v>
      </c>
      <c r="T81" s="385"/>
      <c r="U81" s="182">
        <v>4</v>
      </c>
      <c r="V81" s="166">
        <v>3177.9999999999941</v>
      </c>
      <c r="W81" s="166">
        <v>794.49999999999852</v>
      </c>
      <c r="X81" s="182">
        <f t="shared" si="32"/>
        <v>11</v>
      </c>
      <c r="Y81" s="385"/>
      <c r="Z81" s="182">
        <v>4</v>
      </c>
      <c r="AA81" s="166">
        <v>3135.4838709677369</v>
      </c>
      <c r="AB81" s="166">
        <v>783.87096774193424</v>
      </c>
      <c r="AC81" s="182">
        <f t="shared" si="34"/>
        <v>14</v>
      </c>
      <c r="AD81" s="385"/>
      <c r="AE81" s="182">
        <v>4</v>
      </c>
      <c r="AF81" s="166">
        <v>3205.0000000000009</v>
      </c>
      <c r="AG81" s="166">
        <v>801.25000000000023</v>
      </c>
      <c r="AH81" s="182">
        <f t="shared" si="36"/>
        <v>15</v>
      </c>
      <c r="AI81" s="385"/>
      <c r="AJ81" s="182">
        <v>4</v>
      </c>
      <c r="AK81" s="166">
        <v>3300.0000000000118</v>
      </c>
      <c r="AL81" s="166">
        <v>825.00000000000296</v>
      </c>
      <c r="AM81" s="182">
        <f t="shared" si="38"/>
        <v>13</v>
      </c>
      <c r="AN81" s="385"/>
      <c r="AO81" s="182">
        <v>4</v>
      </c>
      <c r="AP81" s="166">
        <v>3228.0000000000032</v>
      </c>
      <c r="AQ81" s="166">
        <v>807.0000000000008</v>
      </c>
      <c r="AR81" s="182">
        <f t="shared" si="40"/>
        <v>13</v>
      </c>
      <c r="AS81" s="385"/>
      <c r="AT81" s="182">
        <v>4</v>
      </c>
      <c r="AU81" s="166">
        <v>3162.5806451612934</v>
      </c>
      <c r="AV81" s="166">
        <v>790.64516129032336</v>
      </c>
      <c r="AW81" s="182">
        <f t="shared" si="42"/>
        <v>12</v>
      </c>
      <c r="AX81" s="385"/>
      <c r="AZ81" s="182" t="e">
        <f t="shared" si="44"/>
        <v>#N/A</v>
      </c>
      <c r="BA81" s="385"/>
    </row>
    <row r="82" spans="2:53">
      <c r="B82" s="427"/>
      <c r="C82" s="182">
        <v>6</v>
      </c>
      <c r="D82" s="182" t="s">
        <v>597</v>
      </c>
      <c r="E82" s="182">
        <v>4</v>
      </c>
      <c r="F82" s="182">
        <v>3200</v>
      </c>
      <c r="G82" s="166">
        <v>800</v>
      </c>
      <c r="H82" s="385"/>
      <c r="I82" s="166">
        <f t="shared" si="46"/>
        <v>4</v>
      </c>
      <c r="J82" s="166">
        <f t="shared" si="47"/>
        <v>3257.0000000000095</v>
      </c>
      <c r="K82" s="180">
        <f t="shared" si="48"/>
        <v>814.25000000000239</v>
      </c>
      <c r="L82" s="385"/>
      <c r="M82" s="166">
        <f>RANK(K82, K$77:$K$106)</f>
        <v>11</v>
      </c>
      <c r="N82" s="392"/>
      <c r="O82" s="392"/>
      <c r="P82" s="182">
        <v>4</v>
      </c>
      <c r="Q82" s="166">
        <v>3247.5000000000114</v>
      </c>
      <c r="R82" s="166">
        <v>811.87500000000284</v>
      </c>
      <c r="S82" s="182">
        <f t="shared" si="30"/>
        <v>14</v>
      </c>
      <c r="T82" s="385"/>
      <c r="U82" s="182">
        <v>4</v>
      </c>
      <c r="V82" s="166">
        <v>3161.2500000000109</v>
      </c>
      <c r="W82" s="166">
        <v>790.31250000000273</v>
      </c>
      <c r="X82" s="182">
        <f t="shared" si="32"/>
        <v>12</v>
      </c>
      <c r="Y82" s="385"/>
      <c r="Z82" s="182">
        <v>4</v>
      </c>
      <c r="AA82" s="166">
        <v>3090.0000000000109</v>
      </c>
      <c r="AB82" s="166">
        <v>772.50000000000273</v>
      </c>
      <c r="AC82" s="182">
        <f t="shared" si="34"/>
        <v>16</v>
      </c>
      <c r="AD82" s="385"/>
      <c r="AE82" s="182">
        <v>4</v>
      </c>
      <c r="AF82" s="166">
        <v>3425.0000000000123</v>
      </c>
      <c r="AG82" s="166">
        <v>856.25000000000307</v>
      </c>
      <c r="AH82" s="182">
        <f t="shared" si="36"/>
        <v>11</v>
      </c>
      <c r="AI82" s="385"/>
      <c r="AJ82" s="182">
        <v>4</v>
      </c>
      <c r="AK82" s="166">
        <v>3420.0000000000118</v>
      </c>
      <c r="AL82" s="166">
        <v>855.00000000000296</v>
      </c>
      <c r="AM82" s="182">
        <f t="shared" si="38"/>
        <v>12</v>
      </c>
      <c r="AN82" s="385"/>
      <c r="AO82" s="182">
        <v>4</v>
      </c>
      <c r="AP82" s="166">
        <v>3324.0000000000118</v>
      </c>
      <c r="AQ82" s="166">
        <v>831.00000000000296</v>
      </c>
      <c r="AR82" s="182">
        <f t="shared" si="40"/>
        <v>12</v>
      </c>
      <c r="AS82" s="385"/>
      <c r="AT82" s="182">
        <v>4</v>
      </c>
      <c r="AU82" s="166">
        <v>3131.2499999999959</v>
      </c>
      <c r="AV82" s="166">
        <v>782.81249999999898</v>
      </c>
      <c r="AW82" s="182">
        <f t="shared" si="42"/>
        <v>14</v>
      </c>
      <c r="AX82" s="385"/>
      <c r="AZ82" s="182" t="e">
        <f t="shared" si="44"/>
        <v>#N/A</v>
      </c>
      <c r="BA82" s="385"/>
    </row>
    <row r="83" spans="2:53">
      <c r="B83" s="427"/>
      <c r="C83" s="182">
        <v>7</v>
      </c>
      <c r="D83" s="182" t="s">
        <v>342</v>
      </c>
      <c r="E83" s="182">
        <v>4</v>
      </c>
      <c r="F83" s="182">
        <v>2800</v>
      </c>
      <c r="G83" s="166">
        <v>700</v>
      </c>
      <c r="H83" s="385"/>
      <c r="I83" s="166">
        <f t="shared" si="46"/>
        <v>4</v>
      </c>
      <c r="J83" s="166">
        <f t="shared" si="47"/>
        <v>3205.410779696495</v>
      </c>
      <c r="K83" s="180">
        <f t="shared" si="48"/>
        <v>801.35269492412374</v>
      </c>
      <c r="L83" s="385"/>
      <c r="M83" s="166">
        <f>RANK(K83, K$77:$K$106)</f>
        <v>15</v>
      </c>
      <c r="N83" s="392"/>
      <c r="O83" s="392"/>
      <c r="P83" s="182">
        <v>4</v>
      </c>
      <c r="Q83" s="166">
        <v>3041.5384615384633</v>
      </c>
      <c r="R83" s="166">
        <v>760.38461538461581</v>
      </c>
      <c r="S83" s="182">
        <f t="shared" si="30"/>
        <v>16</v>
      </c>
      <c r="T83" s="385"/>
      <c r="U83" s="182">
        <v>4</v>
      </c>
      <c r="V83" s="166">
        <v>3034.2857142857165</v>
      </c>
      <c r="W83" s="166">
        <v>758.57142857142912</v>
      </c>
      <c r="X83" s="182">
        <f t="shared" si="32"/>
        <v>15</v>
      </c>
      <c r="Y83" s="385"/>
      <c r="Z83" s="182">
        <v>4</v>
      </c>
      <c r="AA83" s="166">
        <v>3203.0769230769247</v>
      </c>
      <c r="AB83" s="166">
        <v>800.76923076923117</v>
      </c>
      <c r="AC83" s="182">
        <f t="shared" si="34"/>
        <v>11</v>
      </c>
      <c r="AD83" s="385"/>
      <c r="AE83" s="182">
        <v>4</v>
      </c>
      <c r="AF83" s="166">
        <v>3419.9999999999986</v>
      </c>
      <c r="AG83" s="166">
        <v>854.99999999999966</v>
      </c>
      <c r="AH83" s="182">
        <f t="shared" si="36"/>
        <v>12</v>
      </c>
      <c r="AI83" s="385"/>
      <c r="AJ83" s="182">
        <v>4</v>
      </c>
      <c r="AK83" s="166">
        <v>3526.6666666666638</v>
      </c>
      <c r="AL83" s="166">
        <v>881.66666666666595</v>
      </c>
      <c r="AM83" s="182">
        <f t="shared" si="38"/>
        <v>11</v>
      </c>
      <c r="AN83" s="385"/>
      <c r="AO83" s="182">
        <v>4</v>
      </c>
      <c r="AP83" s="166">
        <v>3212.3076923076942</v>
      </c>
      <c r="AQ83" s="166">
        <v>803.07692307692355</v>
      </c>
      <c r="AR83" s="182">
        <f t="shared" si="40"/>
        <v>14</v>
      </c>
      <c r="AS83" s="385"/>
      <c r="AT83" s="182">
        <v>4</v>
      </c>
      <c r="AU83" s="166">
        <v>3000.0000000000023</v>
      </c>
      <c r="AV83" s="166">
        <v>750.00000000000057</v>
      </c>
      <c r="AW83" s="182">
        <f t="shared" si="42"/>
        <v>16</v>
      </c>
      <c r="AX83" s="385"/>
      <c r="AZ83" s="182" t="e">
        <f t="shared" si="44"/>
        <v>#N/A</v>
      </c>
      <c r="BA83" s="385"/>
    </row>
    <row r="84" spans="2:53">
      <c r="B84" s="427"/>
      <c r="C84" s="182">
        <v>8</v>
      </c>
      <c r="D84" s="182" t="s">
        <v>343</v>
      </c>
      <c r="E84" s="182">
        <v>3</v>
      </c>
      <c r="F84" s="182">
        <v>3200</v>
      </c>
      <c r="G84" s="166">
        <v>1066.6666666666667</v>
      </c>
      <c r="H84" s="385"/>
      <c r="I84" s="166">
        <f t="shared" si="46"/>
        <v>3</v>
      </c>
      <c r="J84" s="166">
        <f t="shared" si="47"/>
        <v>3199.2554413328585</v>
      </c>
      <c r="K84" s="180">
        <f t="shared" si="48"/>
        <v>1066.4184804442859</v>
      </c>
      <c r="L84" s="385"/>
      <c r="M84" s="166">
        <f>RANK(K84, K$77:$K$106)</f>
        <v>7</v>
      </c>
      <c r="N84" s="392"/>
      <c r="O84" s="392"/>
      <c r="P84" s="182">
        <v>3</v>
      </c>
      <c r="Q84" s="166">
        <v>3189.9999999999945</v>
      </c>
      <c r="R84" s="166">
        <v>1063.3333333333314</v>
      </c>
      <c r="S84" s="182">
        <f t="shared" si="30"/>
        <v>8</v>
      </c>
      <c r="T84" s="385"/>
      <c r="U84" s="182">
        <v>3</v>
      </c>
      <c r="V84" s="166">
        <v>3180.0000000000032</v>
      </c>
      <c r="W84" s="166">
        <v>1060.0000000000011</v>
      </c>
      <c r="X84" s="182">
        <f t="shared" si="32"/>
        <v>4</v>
      </c>
      <c r="Y84" s="385"/>
      <c r="Z84" s="182">
        <v>3</v>
      </c>
      <c r="AA84" s="166">
        <v>3197.9999999999941</v>
      </c>
      <c r="AB84" s="166">
        <v>1065.999999999998</v>
      </c>
      <c r="AC84" s="182">
        <f t="shared" si="34"/>
        <v>3</v>
      </c>
      <c r="AD84" s="385"/>
      <c r="AE84" s="182">
        <v>3</v>
      </c>
      <c r="AF84" s="166">
        <v>3223.8461538461502</v>
      </c>
      <c r="AG84" s="166">
        <v>1074.6153846153834</v>
      </c>
      <c r="AH84" s="182">
        <f t="shared" si="36"/>
        <v>5</v>
      </c>
      <c r="AI84" s="385"/>
      <c r="AJ84" s="182">
        <v>3</v>
      </c>
      <c r="AK84" s="166">
        <v>3235.1999999999957</v>
      </c>
      <c r="AL84" s="166">
        <v>1078.3999999999985</v>
      </c>
      <c r="AM84" s="182">
        <f t="shared" si="38"/>
        <v>6</v>
      </c>
      <c r="AN84" s="385"/>
      <c r="AO84" s="182">
        <v>3</v>
      </c>
      <c r="AP84" s="166">
        <v>3216.7741935483818</v>
      </c>
      <c r="AQ84" s="166">
        <v>1072.2580645161272</v>
      </c>
      <c r="AR84" s="182">
        <f t="shared" si="40"/>
        <v>6</v>
      </c>
      <c r="AS84" s="385"/>
      <c r="AT84" s="182">
        <v>3</v>
      </c>
      <c r="AU84" s="166">
        <v>3150.9677419354866</v>
      </c>
      <c r="AV84" s="166">
        <v>1050.3225806451621</v>
      </c>
      <c r="AW84" s="182">
        <f t="shared" si="42"/>
        <v>7</v>
      </c>
      <c r="AX84" s="385"/>
      <c r="AZ84" s="182" t="e">
        <f t="shared" si="44"/>
        <v>#N/A</v>
      </c>
      <c r="BA84" s="385"/>
    </row>
    <row r="85" spans="2:53">
      <c r="B85" s="427"/>
      <c r="C85" s="182">
        <v>9</v>
      </c>
      <c r="D85" s="182" t="s">
        <v>344</v>
      </c>
      <c r="E85" s="182">
        <v>3</v>
      </c>
      <c r="F85" s="182">
        <v>2800</v>
      </c>
      <c r="G85" s="166">
        <v>933.33333333333337</v>
      </c>
      <c r="H85" s="385"/>
      <c r="I85" s="166">
        <f t="shared" si="46"/>
        <v>3</v>
      </c>
      <c r="J85" s="166">
        <f t="shared" si="47"/>
        <v>3220.7507851625492</v>
      </c>
      <c r="K85" s="180">
        <f t="shared" si="48"/>
        <v>1073.5835950541832</v>
      </c>
      <c r="L85" s="385"/>
      <c r="M85" s="166">
        <f>RANK(K85, K$77:$K$106)</f>
        <v>5</v>
      </c>
      <c r="N85" s="392"/>
      <c r="O85" s="392"/>
      <c r="P85" s="182">
        <v>3</v>
      </c>
      <c r="Q85" s="166">
        <v>3350.909090909091</v>
      </c>
      <c r="R85" s="166">
        <v>1116.969696969697</v>
      </c>
      <c r="S85" s="182">
        <f t="shared" si="30"/>
        <v>2</v>
      </c>
      <c r="T85" s="385"/>
      <c r="U85" s="182">
        <v>3</v>
      </c>
      <c r="V85" s="166">
        <v>3113.1428571428578</v>
      </c>
      <c r="W85" s="166">
        <v>1037.714285714286</v>
      </c>
      <c r="X85" s="182">
        <f t="shared" si="32"/>
        <v>8</v>
      </c>
      <c r="Y85" s="385"/>
      <c r="Z85" s="182">
        <v>3</v>
      </c>
      <c r="AA85" s="166">
        <v>3142.9411764705883</v>
      </c>
      <c r="AB85" s="166">
        <v>1047.6470588235295</v>
      </c>
      <c r="AC85" s="182">
        <f t="shared" si="34"/>
        <v>7</v>
      </c>
      <c r="AD85" s="385"/>
      <c r="AE85" s="182">
        <v>3</v>
      </c>
      <c r="AF85" s="166">
        <v>3220.7142857142835</v>
      </c>
      <c r="AG85" s="166">
        <v>1073.5714285714278</v>
      </c>
      <c r="AH85" s="182">
        <f t="shared" si="36"/>
        <v>6</v>
      </c>
      <c r="AI85" s="385"/>
      <c r="AJ85" s="182">
        <v>3</v>
      </c>
      <c r="AK85" s="166">
        <v>3311.1111111111081</v>
      </c>
      <c r="AL85" s="166">
        <v>1103.7037037037028</v>
      </c>
      <c r="AM85" s="182">
        <f t="shared" si="38"/>
        <v>1</v>
      </c>
      <c r="AN85" s="385"/>
      <c r="AO85" s="182">
        <v>3</v>
      </c>
      <c r="AP85" s="166">
        <v>3245.2941176470586</v>
      </c>
      <c r="AQ85" s="166">
        <v>1081.7647058823529</v>
      </c>
      <c r="AR85" s="182">
        <f t="shared" si="40"/>
        <v>2</v>
      </c>
      <c r="AS85" s="385"/>
      <c r="AT85" s="182">
        <v>3</v>
      </c>
      <c r="AU85" s="166">
        <v>3161.1428571428578</v>
      </c>
      <c r="AV85" s="166">
        <v>1053.714285714286</v>
      </c>
      <c r="AW85" s="182">
        <f t="shared" si="42"/>
        <v>5</v>
      </c>
      <c r="AX85" s="385"/>
      <c r="AZ85" s="182" t="e">
        <f t="shared" si="44"/>
        <v>#N/A</v>
      </c>
      <c r="BA85" s="385"/>
    </row>
    <row r="86" spans="2:53">
      <c r="B86" s="427"/>
      <c r="C86" s="182">
        <v>10</v>
      </c>
      <c r="D86" s="182" t="s">
        <v>345</v>
      </c>
      <c r="E86" s="182">
        <v>4</v>
      </c>
      <c r="F86" s="182">
        <v>2800</v>
      </c>
      <c r="G86" s="166">
        <v>700</v>
      </c>
      <c r="H86" s="385"/>
      <c r="I86" s="166">
        <f t="shared" si="46"/>
        <v>4</v>
      </c>
      <c r="J86" s="166">
        <f t="shared" si="47"/>
        <v>3219.7148197867359</v>
      </c>
      <c r="K86" s="180">
        <f t="shared" si="48"/>
        <v>804.92870494668398</v>
      </c>
      <c r="L86" s="385"/>
      <c r="M86" s="166">
        <f>RANK(K86, K$77:$K$106)</f>
        <v>13</v>
      </c>
      <c r="N86" s="392"/>
      <c r="O86" s="392"/>
      <c r="P86" s="182">
        <v>4</v>
      </c>
      <c r="Q86" s="166">
        <v>3373.9285714285688</v>
      </c>
      <c r="R86" s="166">
        <v>843.48214285714221</v>
      </c>
      <c r="S86" s="182">
        <f t="shared" si="30"/>
        <v>11</v>
      </c>
      <c r="T86" s="385"/>
      <c r="U86" s="182">
        <v>4</v>
      </c>
      <c r="V86" s="166">
        <v>3159.6610169491555</v>
      </c>
      <c r="W86" s="166">
        <v>789.91525423728888</v>
      </c>
      <c r="X86" s="182">
        <f t="shared" si="32"/>
        <v>13</v>
      </c>
      <c r="Y86" s="385"/>
      <c r="Z86" s="182">
        <v>4</v>
      </c>
      <c r="AA86" s="166">
        <v>3146.3157894736869</v>
      </c>
      <c r="AB86" s="166">
        <v>786.57894736842172</v>
      </c>
      <c r="AC86" s="182">
        <f t="shared" si="34"/>
        <v>13</v>
      </c>
      <c r="AD86" s="385"/>
      <c r="AE86" s="182">
        <v>4</v>
      </c>
      <c r="AF86" s="166">
        <v>3219.1304347826031</v>
      </c>
      <c r="AG86" s="166">
        <v>804.78260869565077</v>
      </c>
      <c r="AH86" s="182">
        <f t="shared" si="36"/>
        <v>14</v>
      </c>
      <c r="AI86" s="385"/>
      <c r="AJ86" s="182">
        <v>4</v>
      </c>
      <c r="AK86" s="166">
        <v>3260.8695652173974</v>
      </c>
      <c r="AL86" s="166">
        <v>815.21739130434935</v>
      </c>
      <c r="AM86" s="182">
        <f t="shared" si="38"/>
        <v>14</v>
      </c>
      <c r="AN86" s="385"/>
      <c r="AO86" s="182">
        <v>4</v>
      </c>
      <c r="AP86" s="166">
        <v>3203.9999999999986</v>
      </c>
      <c r="AQ86" s="166">
        <v>800.99999999999966</v>
      </c>
      <c r="AR86" s="182">
        <f t="shared" si="40"/>
        <v>15</v>
      </c>
      <c r="AS86" s="385"/>
      <c r="AT86" s="182">
        <v>4</v>
      </c>
      <c r="AU86" s="166">
        <v>3174.0983606557406</v>
      </c>
      <c r="AV86" s="166">
        <v>793.52459016393516</v>
      </c>
      <c r="AW86" s="182">
        <f t="shared" si="42"/>
        <v>11</v>
      </c>
      <c r="AX86" s="385"/>
      <c r="AZ86" s="182" t="e">
        <f t="shared" si="44"/>
        <v>#N/A</v>
      </c>
      <c r="BA86" s="385"/>
    </row>
    <row r="87" spans="2:53">
      <c r="B87" s="427"/>
      <c r="C87" s="182">
        <v>11</v>
      </c>
      <c r="D87" s="182" t="s">
        <v>598</v>
      </c>
      <c r="E87" s="182">
        <v>4</v>
      </c>
      <c r="F87" s="182">
        <v>2800</v>
      </c>
      <c r="G87" s="166">
        <v>700</v>
      </c>
      <c r="H87" s="385"/>
      <c r="I87" s="166">
        <f t="shared" si="46"/>
        <v>4</v>
      </c>
      <c r="J87" s="166">
        <f t="shared" si="47"/>
        <v>2800.6389961879477</v>
      </c>
      <c r="K87" s="180">
        <f t="shared" si="48"/>
        <v>700.15974904698692</v>
      </c>
      <c r="L87" s="385"/>
      <c r="M87" s="166">
        <f>RANK(K87, K$77:$K$106)</f>
        <v>20</v>
      </c>
      <c r="N87" s="392"/>
      <c r="O87" s="392"/>
      <c r="P87" s="182">
        <v>4</v>
      </c>
      <c r="Q87" s="166">
        <v>2814.9295774647894</v>
      </c>
      <c r="R87" s="166">
        <v>703.73239436619735</v>
      </c>
      <c r="S87" s="182">
        <f t="shared" si="30"/>
        <v>20</v>
      </c>
      <c r="T87" s="385"/>
      <c r="U87" s="182">
        <v>4</v>
      </c>
      <c r="V87" s="166">
        <v>2781.428571428572</v>
      </c>
      <c r="W87" s="166">
        <v>695.357142857143</v>
      </c>
      <c r="X87" s="182">
        <f t="shared" si="32"/>
        <v>19</v>
      </c>
      <c r="Y87" s="385"/>
      <c r="Z87" s="182">
        <v>4</v>
      </c>
      <c r="AA87" s="166">
        <v>2760.8823529411766</v>
      </c>
      <c r="AB87" s="166">
        <v>690.22058823529414</v>
      </c>
      <c r="AC87" s="182">
        <f t="shared" si="34"/>
        <v>21</v>
      </c>
      <c r="AD87" s="385"/>
      <c r="AE87" s="182">
        <v>4</v>
      </c>
      <c r="AF87" s="166">
        <v>2812.363636363636</v>
      </c>
      <c r="AG87" s="166">
        <v>703.09090909090901</v>
      </c>
      <c r="AH87" s="182">
        <f t="shared" si="36"/>
        <v>20</v>
      </c>
      <c r="AI87" s="385"/>
      <c r="AJ87" s="182">
        <v>4</v>
      </c>
      <c r="AK87" s="166">
        <v>2823.1034482758623</v>
      </c>
      <c r="AL87" s="166">
        <v>705.77586206896558</v>
      </c>
      <c r="AM87" s="182">
        <f t="shared" si="38"/>
        <v>19</v>
      </c>
      <c r="AN87" s="385"/>
      <c r="AO87" s="182">
        <v>4</v>
      </c>
      <c r="AP87" s="166">
        <v>2839.4366197183103</v>
      </c>
      <c r="AQ87" s="166">
        <v>709.85915492957758</v>
      </c>
      <c r="AR87" s="182">
        <f t="shared" si="40"/>
        <v>19</v>
      </c>
      <c r="AS87" s="385"/>
      <c r="AT87" s="182">
        <v>4</v>
      </c>
      <c r="AU87" s="166">
        <v>2772.3287671232883</v>
      </c>
      <c r="AV87" s="166">
        <v>693.08219178082209</v>
      </c>
      <c r="AW87" s="182">
        <f t="shared" si="42"/>
        <v>20</v>
      </c>
      <c r="AX87" s="385"/>
      <c r="AZ87" s="182" t="e">
        <f t="shared" si="44"/>
        <v>#N/A</v>
      </c>
      <c r="BA87" s="385"/>
    </row>
    <row r="88" spans="2:53">
      <c r="B88" s="427"/>
      <c r="C88" s="182">
        <v>12</v>
      </c>
      <c r="D88" s="182" t="s">
        <v>599</v>
      </c>
      <c r="E88" s="182">
        <v>4</v>
      </c>
      <c r="F88" s="182">
        <v>2800</v>
      </c>
      <c r="G88" s="166">
        <v>700</v>
      </c>
      <c r="H88" s="385"/>
      <c r="I88" s="166">
        <f t="shared" si="46"/>
        <v>4</v>
      </c>
      <c r="J88" s="166">
        <f t="shared" si="47"/>
        <v>2753.0571428571407</v>
      </c>
      <c r="K88" s="180">
        <f t="shared" si="48"/>
        <v>688.26428571428517</v>
      </c>
      <c r="L88" s="385"/>
      <c r="M88" s="166">
        <f>RANK(K88, K$77:$K$106)</f>
        <v>21</v>
      </c>
      <c r="N88" s="392"/>
      <c r="O88" s="392"/>
      <c r="P88" s="182">
        <v>4</v>
      </c>
      <c r="Q88" s="166">
        <v>2697.5999999999922</v>
      </c>
      <c r="R88" s="166">
        <v>674.39999999999804</v>
      </c>
      <c r="S88" s="182">
        <f t="shared" si="30"/>
        <v>21</v>
      </c>
      <c r="T88" s="385"/>
      <c r="U88" s="182">
        <v>4</v>
      </c>
      <c r="V88" s="166">
        <v>2668.7999999999925</v>
      </c>
      <c r="W88" s="166">
        <v>667.19999999999811</v>
      </c>
      <c r="X88" s="182">
        <f t="shared" si="32"/>
        <v>21</v>
      </c>
      <c r="Y88" s="385"/>
      <c r="Z88" s="182">
        <v>4</v>
      </c>
      <c r="AA88" s="166">
        <v>3099.0000000000109</v>
      </c>
      <c r="AB88" s="166">
        <v>774.75000000000273</v>
      </c>
      <c r="AC88" s="182">
        <f t="shared" si="34"/>
        <v>15</v>
      </c>
      <c r="AD88" s="385"/>
      <c r="AE88" s="182">
        <v>4</v>
      </c>
      <c r="AF88" s="166">
        <v>2718.0000000000095</v>
      </c>
      <c r="AG88" s="166">
        <v>679.50000000000239</v>
      </c>
      <c r="AH88" s="182">
        <f t="shared" si="36"/>
        <v>21</v>
      </c>
      <c r="AI88" s="385"/>
      <c r="AJ88" s="182">
        <v>4</v>
      </c>
      <c r="AK88" s="166">
        <v>2543.9999999999927</v>
      </c>
      <c r="AL88" s="166">
        <v>635.99999999999818</v>
      </c>
      <c r="AM88" s="182">
        <f t="shared" si="38"/>
        <v>21</v>
      </c>
      <c r="AN88" s="385"/>
      <c r="AO88" s="182">
        <v>4</v>
      </c>
      <c r="AP88" s="166">
        <v>2695.1999999999925</v>
      </c>
      <c r="AQ88" s="166">
        <v>673.79999999999814</v>
      </c>
      <c r="AR88" s="182">
        <f t="shared" si="40"/>
        <v>21</v>
      </c>
      <c r="AS88" s="385"/>
      <c r="AT88" s="182">
        <v>4</v>
      </c>
      <c r="AU88" s="166">
        <v>2848.7999999999915</v>
      </c>
      <c r="AV88" s="166">
        <v>712.19999999999789</v>
      </c>
      <c r="AW88" s="182">
        <f t="shared" si="42"/>
        <v>19</v>
      </c>
      <c r="AX88" s="385"/>
      <c r="AZ88" s="182" t="e">
        <f t="shared" si="44"/>
        <v>#N/A</v>
      </c>
      <c r="BA88" s="385"/>
    </row>
    <row r="89" spans="2:53">
      <c r="B89" s="427"/>
      <c r="C89" s="182">
        <v>13</v>
      </c>
      <c r="D89" s="182" t="s">
        <v>600</v>
      </c>
      <c r="E89" s="182">
        <v>3</v>
      </c>
      <c r="F89" s="182">
        <v>2800</v>
      </c>
      <c r="G89" s="166">
        <v>933.33333333333337</v>
      </c>
      <c r="H89" s="385"/>
      <c r="I89" s="166">
        <f t="shared" si="46"/>
        <v>3</v>
      </c>
      <c r="J89" s="166">
        <f t="shared" si="47"/>
        <v>2987.3999999999905</v>
      </c>
      <c r="K89" s="180">
        <f t="shared" si="48"/>
        <v>995.79999999999677</v>
      </c>
      <c r="L89" s="385"/>
      <c r="M89" s="166">
        <f>RANK(K89, K$77:$K$106)</f>
        <v>9</v>
      </c>
      <c r="N89" s="392"/>
      <c r="O89" s="392"/>
      <c r="P89" s="182">
        <v>3</v>
      </c>
      <c r="Q89" s="166">
        <v>2990.3999999999915</v>
      </c>
      <c r="R89" s="166">
        <v>996.79999999999711</v>
      </c>
      <c r="S89" s="182">
        <f t="shared" si="30"/>
        <v>9</v>
      </c>
      <c r="T89" s="385"/>
      <c r="U89" s="182">
        <v>3</v>
      </c>
      <c r="V89" s="166">
        <v>2901.5999999999917</v>
      </c>
      <c r="W89" s="166">
        <v>967.1999999999972</v>
      </c>
      <c r="X89" s="182">
        <f t="shared" si="32"/>
        <v>9</v>
      </c>
      <c r="Y89" s="385"/>
      <c r="Z89" s="182">
        <v>3</v>
      </c>
      <c r="AA89" s="166">
        <v>3374.999999999985</v>
      </c>
      <c r="AB89" s="166">
        <v>1124.999999999995</v>
      </c>
      <c r="AC89" s="182">
        <f t="shared" si="34"/>
        <v>1</v>
      </c>
      <c r="AD89" s="385"/>
      <c r="AE89" s="182">
        <v>3</v>
      </c>
      <c r="AF89" s="166">
        <v>3071.9999999999864</v>
      </c>
      <c r="AG89" s="166">
        <v>1023.9999999999955</v>
      </c>
      <c r="AH89" s="182">
        <f t="shared" si="36"/>
        <v>8</v>
      </c>
      <c r="AI89" s="385"/>
      <c r="AJ89" s="182">
        <v>3</v>
      </c>
      <c r="AK89" s="166">
        <v>2659.1999999999925</v>
      </c>
      <c r="AL89" s="166">
        <v>886.39999999999748</v>
      </c>
      <c r="AM89" s="182">
        <f t="shared" si="38"/>
        <v>10</v>
      </c>
      <c r="AN89" s="385"/>
      <c r="AO89" s="182">
        <v>3</v>
      </c>
      <c r="AP89" s="166">
        <v>2968.7999999999915</v>
      </c>
      <c r="AQ89" s="166">
        <v>989.59999999999718</v>
      </c>
      <c r="AR89" s="182">
        <f t="shared" si="40"/>
        <v>9</v>
      </c>
      <c r="AS89" s="385"/>
      <c r="AT89" s="182">
        <v>3</v>
      </c>
      <c r="AU89" s="166">
        <v>2944.799999999992</v>
      </c>
      <c r="AV89" s="166">
        <v>981.59999999999729</v>
      </c>
      <c r="AW89" s="182">
        <f t="shared" si="42"/>
        <v>9</v>
      </c>
      <c r="AX89" s="385"/>
      <c r="AZ89" s="182" t="e">
        <f t="shared" si="44"/>
        <v>#N/A</v>
      </c>
      <c r="BA89" s="385"/>
    </row>
    <row r="90" spans="2:53">
      <c r="B90" s="427"/>
      <c r="C90" s="182">
        <v>14</v>
      </c>
      <c r="D90" s="182" t="s">
        <v>601</v>
      </c>
      <c r="E90" s="182">
        <v>4</v>
      </c>
      <c r="F90" s="182">
        <v>2200</v>
      </c>
      <c r="G90" s="166">
        <v>550</v>
      </c>
      <c r="H90" s="385"/>
      <c r="I90" s="166">
        <f t="shared" si="46"/>
        <v>3</v>
      </c>
      <c r="J90" s="166">
        <f t="shared" si="47"/>
        <v>2192.4809523809513</v>
      </c>
      <c r="K90" s="180">
        <f t="shared" si="48"/>
        <v>730.8269841269838</v>
      </c>
      <c r="L90" s="385"/>
      <c r="M90" s="166">
        <f>RANK(K90, K$77:$K$106)</f>
        <v>18</v>
      </c>
      <c r="N90" s="392"/>
      <c r="O90" s="392"/>
      <c r="P90" s="182">
        <v>3</v>
      </c>
      <c r="Q90" s="166">
        <v>2224</v>
      </c>
      <c r="R90" s="166">
        <v>741.33333333333337</v>
      </c>
      <c r="S90" s="182">
        <f t="shared" si="30"/>
        <v>18</v>
      </c>
      <c r="T90" s="385"/>
      <c r="U90" s="182">
        <v>3</v>
      </c>
      <c r="V90" s="166">
        <v>2257.333333333333</v>
      </c>
      <c r="W90" s="166">
        <v>752.44444444444434</v>
      </c>
      <c r="X90" s="182">
        <f t="shared" si="32"/>
        <v>16</v>
      </c>
      <c r="Y90" s="385"/>
      <c r="Z90" s="182">
        <v>3</v>
      </c>
      <c r="AA90" s="166">
        <v>2254.4999999999991</v>
      </c>
      <c r="AB90" s="166">
        <v>751.49999999999966</v>
      </c>
      <c r="AC90" s="182">
        <f t="shared" si="34"/>
        <v>17</v>
      </c>
      <c r="AD90" s="385"/>
      <c r="AE90" s="182">
        <v>3</v>
      </c>
      <c r="AF90" s="166">
        <v>2174.9999999999991</v>
      </c>
      <c r="AG90" s="166">
        <v>724.99999999999966</v>
      </c>
      <c r="AH90" s="182">
        <f t="shared" si="36"/>
        <v>18</v>
      </c>
      <c r="AI90" s="385"/>
      <c r="AJ90" s="182">
        <v>3</v>
      </c>
      <c r="AK90" s="166">
        <v>2100</v>
      </c>
      <c r="AL90" s="166">
        <v>700</v>
      </c>
      <c r="AM90" s="182">
        <f t="shared" si="38"/>
        <v>20</v>
      </c>
      <c r="AN90" s="385"/>
      <c r="AO90" s="182">
        <v>3</v>
      </c>
      <c r="AP90" s="166">
        <v>2071.1999999999944</v>
      </c>
      <c r="AQ90" s="166">
        <v>690.39999999999816</v>
      </c>
      <c r="AR90" s="182">
        <f t="shared" si="40"/>
        <v>20</v>
      </c>
      <c r="AS90" s="385"/>
      <c r="AT90" s="182">
        <v>3</v>
      </c>
      <c r="AU90" s="166">
        <v>2265.333333333333</v>
      </c>
      <c r="AV90" s="166">
        <v>755.11111111111097</v>
      </c>
      <c r="AW90" s="182">
        <f t="shared" si="42"/>
        <v>15</v>
      </c>
      <c r="AX90" s="385"/>
      <c r="AZ90" s="182" t="e">
        <f t="shared" si="44"/>
        <v>#N/A</v>
      </c>
      <c r="BA90" s="385"/>
    </row>
    <row r="91" spans="2:53">
      <c r="B91" s="427"/>
      <c r="C91" s="182">
        <v>15</v>
      </c>
      <c r="D91" s="182" t="s">
        <v>661</v>
      </c>
      <c r="E91" s="182">
        <v>8</v>
      </c>
      <c r="F91" s="182">
        <v>1500</v>
      </c>
      <c r="G91" s="166">
        <v>187.5</v>
      </c>
      <c r="H91" s="385"/>
      <c r="I91" s="166">
        <f t="shared" si="46"/>
        <v>12</v>
      </c>
      <c r="J91" s="166">
        <f t="shared" si="47"/>
        <v>1480.0276590156027</v>
      </c>
      <c r="K91" s="180">
        <f t="shared" si="48"/>
        <v>123.33563825130021</v>
      </c>
      <c r="L91" s="385"/>
      <c r="M91" s="166">
        <f>RANK(K91, K$77:$K$106)</f>
        <v>22</v>
      </c>
      <c r="N91" s="392"/>
      <c r="O91" s="392"/>
      <c r="P91" s="182">
        <v>12</v>
      </c>
      <c r="Q91" s="166">
        <v>1495.9459459459449</v>
      </c>
      <c r="R91" s="166">
        <v>124.66216216216208</v>
      </c>
      <c r="S91" s="182">
        <f t="shared" si="30"/>
        <v>22</v>
      </c>
      <c r="T91" s="385"/>
      <c r="U91" s="182">
        <v>12</v>
      </c>
      <c r="V91" s="166">
        <v>1483.5616438356151</v>
      </c>
      <c r="W91" s="166">
        <v>123.63013698630125</v>
      </c>
      <c r="X91" s="182">
        <f t="shared" si="32"/>
        <v>22</v>
      </c>
      <c r="Y91" s="385"/>
      <c r="Z91" s="182">
        <v>12</v>
      </c>
      <c r="AA91" s="166">
        <v>1417.714285714291</v>
      </c>
      <c r="AB91" s="166">
        <v>118.14285714285758</v>
      </c>
      <c r="AC91" s="182">
        <f t="shared" si="34"/>
        <v>22</v>
      </c>
      <c r="AD91" s="385"/>
      <c r="AE91" s="182">
        <v>12</v>
      </c>
      <c r="AF91" s="166">
        <v>1484.7457627118656</v>
      </c>
      <c r="AG91" s="166">
        <v>123.72881355932213</v>
      </c>
      <c r="AH91" s="182">
        <f t="shared" si="36"/>
        <v>22</v>
      </c>
      <c r="AI91" s="385"/>
      <c r="AJ91" s="182">
        <v>12</v>
      </c>
      <c r="AK91" s="166">
        <v>1493.731343283584</v>
      </c>
      <c r="AL91" s="166">
        <v>124.47761194029867</v>
      </c>
      <c r="AM91" s="182">
        <f t="shared" si="38"/>
        <v>22</v>
      </c>
      <c r="AN91" s="385"/>
      <c r="AO91" s="182">
        <v>12</v>
      </c>
      <c r="AP91" s="166">
        <v>1492.6027397260264</v>
      </c>
      <c r="AQ91" s="166">
        <v>124.38356164383553</v>
      </c>
      <c r="AR91" s="182">
        <f t="shared" si="40"/>
        <v>22</v>
      </c>
      <c r="AS91" s="385"/>
      <c r="AT91" s="182">
        <v>12</v>
      </c>
      <c r="AU91" s="166">
        <v>1491.8918918918907</v>
      </c>
      <c r="AV91" s="166">
        <v>124.32432432432422</v>
      </c>
      <c r="AW91" s="182">
        <f t="shared" si="42"/>
        <v>22</v>
      </c>
      <c r="AX91" s="385"/>
      <c r="AZ91" s="182" t="e">
        <f t="shared" si="44"/>
        <v>#N/A</v>
      </c>
      <c r="BA91" s="385"/>
    </row>
    <row r="92" spans="2:53">
      <c r="B92" s="427"/>
      <c r="C92" s="182">
        <v>16</v>
      </c>
      <c r="D92" s="182" t="s">
        <v>602</v>
      </c>
      <c r="E92" s="182">
        <v>3</v>
      </c>
      <c r="F92" s="182">
        <v>2800</v>
      </c>
      <c r="G92" s="166">
        <v>933.33333333333337</v>
      </c>
      <c r="H92" s="385"/>
      <c r="I92" s="166">
        <f t="shared" si="46"/>
        <v>3</v>
      </c>
      <c r="J92" s="166">
        <f t="shared" si="47"/>
        <v>2819.399941794899</v>
      </c>
      <c r="K92" s="180">
        <f t="shared" si="48"/>
        <v>939.79998059829961</v>
      </c>
      <c r="L92" s="385"/>
      <c r="M92" s="166">
        <f>RANK(K92, K$77:$K$106)</f>
        <v>10</v>
      </c>
      <c r="N92" s="392"/>
      <c r="O92" s="392"/>
      <c r="P92" s="182">
        <v>3</v>
      </c>
      <c r="Q92" s="166">
        <v>2838.5714285714275</v>
      </c>
      <c r="R92" s="166">
        <v>946.19047619047581</v>
      </c>
      <c r="S92" s="182">
        <f t="shared" si="30"/>
        <v>10</v>
      </c>
      <c r="T92" s="385"/>
      <c r="U92" s="182">
        <v>3</v>
      </c>
      <c r="V92" s="166">
        <v>2788</v>
      </c>
      <c r="W92" s="166">
        <v>929.33333333333337</v>
      </c>
      <c r="X92" s="182">
        <f t="shared" si="32"/>
        <v>10</v>
      </c>
      <c r="Y92" s="385"/>
      <c r="Z92" s="182">
        <v>3</v>
      </c>
      <c r="AA92" s="166">
        <v>2740.909090909091</v>
      </c>
      <c r="AB92" s="166">
        <v>913.63636363636363</v>
      </c>
      <c r="AC92" s="182">
        <f t="shared" si="34"/>
        <v>10</v>
      </c>
      <c r="AD92" s="385"/>
      <c r="AE92" s="182">
        <v>3</v>
      </c>
      <c r="AF92" s="166">
        <v>2879.9999999999968</v>
      </c>
      <c r="AG92" s="166">
        <v>959.99999999999898</v>
      </c>
      <c r="AH92" s="182">
        <f t="shared" si="36"/>
        <v>9</v>
      </c>
      <c r="AI92" s="385"/>
      <c r="AJ92" s="182">
        <v>3</v>
      </c>
      <c r="AK92" s="166">
        <v>2876.4705882352905</v>
      </c>
      <c r="AL92" s="166">
        <v>958.8235294117635</v>
      </c>
      <c r="AM92" s="182">
        <f t="shared" si="38"/>
        <v>8</v>
      </c>
      <c r="AN92" s="385"/>
      <c r="AO92" s="182">
        <v>3</v>
      </c>
      <c r="AP92" s="166">
        <v>2813.181818181818</v>
      </c>
      <c r="AQ92" s="166">
        <v>937.72727272727263</v>
      </c>
      <c r="AR92" s="182">
        <f t="shared" si="40"/>
        <v>10</v>
      </c>
      <c r="AS92" s="385"/>
      <c r="AT92" s="182">
        <v>3</v>
      </c>
      <c r="AU92" s="166">
        <v>2798.666666666667</v>
      </c>
      <c r="AV92" s="166">
        <v>932.88888888888903</v>
      </c>
      <c r="AW92" s="182">
        <f t="shared" si="42"/>
        <v>10</v>
      </c>
      <c r="AX92" s="385"/>
      <c r="AZ92" s="182" t="e">
        <f t="shared" si="44"/>
        <v>#N/A</v>
      </c>
      <c r="BA92" s="385"/>
    </row>
    <row r="93" spans="2:53">
      <c r="B93" s="427"/>
      <c r="C93" s="182">
        <v>17</v>
      </c>
      <c r="D93" s="182" t="s">
        <v>603</v>
      </c>
      <c r="E93" s="182">
        <v>4</v>
      </c>
      <c r="F93" s="182">
        <v>2800</v>
      </c>
      <c r="G93" s="166">
        <v>700</v>
      </c>
      <c r="H93" s="385"/>
      <c r="I93" s="166">
        <f t="shared" si="46"/>
        <v>4</v>
      </c>
      <c r="J93" s="166">
        <f t="shared" si="47"/>
        <v>2821.7870042547174</v>
      </c>
      <c r="K93" s="180">
        <f t="shared" si="48"/>
        <v>705.44675106367936</v>
      </c>
      <c r="L93" s="385"/>
      <c r="M93" s="166">
        <f>RANK(K93, K$77:$K$106)</f>
        <v>19</v>
      </c>
      <c r="N93" s="392"/>
      <c r="O93" s="392"/>
      <c r="P93" s="182">
        <v>4</v>
      </c>
      <c r="Q93" s="166">
        <v>2886.0000000000027</v>
      </c>
      <c r="R93" s="166">
        <v>721.50000000000068</v>
      </c>
      <c r="S93" s="182">
        <f t="shared" si="30"/>
        <v>19</v>
      </c>
      <c r="T93" s="385"/>
      <c r="U93" s="182">
        <v>4</v>
      </c>
      <c r="V93" s="166">
        <v>2749.4117647058788</v>
      </c>
      <c r="W93" s="166">
        <v>687.3529411764697</v>
      </c>
      <c r="X93" s="182">
        <f t="shared" si="32"/>
        <v>20</v>
      </c>
      <c r="Y93" s="385"/>
      <c r="Z93" s="182">
        <v>4</v>
      </c>
      <c r="AA93" s="166">
        <v>2783.2258064516154</v>
      </c>
      <c r="AB93" s="166">
        <v>695.80645161290386</v>
      </c>
      <c r="AC93" s="182">
        <f t="shared" si="34"/>
        <v>20</v>
      </c>
      <c r="AD93" s="385"/>
      <c r="AE93" s="182">
        <v>4</v>
      </c>
      <c r="AF93" s="166">
        <v>2863.2000000000007</v>
      </c>
      <c r="AG93" s="166">
        <v>715.80000000000018</v>
      </c>
      <c r="AH93" s="182">
        <f t="shared" si="36"/>
        <v>19</v>
      </c>
      <c r="AI93" s="385"/>
      <c r="AJ93" s="182">
        <v>4</v>
      </c>
      <c r="AK93" s="166">
        <v>2908.695652173913</v>
      </c>
      <c r="AL93" s="166">
        <v>727.17391304347825</v>
      </c>
      <c r="AM93" s="182">
        <f t="shared" si="38"/>
        <v>18</v>
      </c>
      <c r="AN93" s="385"/>
      <c r="AO93" s="182">
        <v>4</v>
      </c>
      <c r="AP93" s="166">
        <v>2843.2258064516154</v>
      </c>
      <c r="AQ93" s="166">
        <v>710.80645161290386</v>
      </c>
      <c r="AR93" s="182">
        <f t="shared" si="40"/>
        <v>18</v>
      </c>
      <c r="AS93" s="385"/>
      <c r="AT93" s="182">
        <v>4</v>
      </c>
      <c r="AU93" s="166">
        <v>2718.7499999999964</v>
      </c>
      <c r="AV93" s="166">
        <v>679.68749999999909</v>
      </c>
      <c r="AW93" s="182">
        <f t="shared" si="42"/>
        <v>21</v>
      </c>
      <c r="AX93" s="385"/>
      <c r="AZ93" s="182" t="e">
        <f t="shared" si="44"/>
        <v>#N/A</v>
      </c>
      <c r="BA93" s="385"/>
    </row>
    <row r="94" spans="2:53">
      <c r="B94" s="427"/>
      <c r="C94" s="182">
        <v>18</v>
      </c>
      <c r="D94" s="182" t="s">
        <v>618</v>
      </c>
      <c r="E94" s="182">
        <v>12</v>
      </c>
      <c r="F94" s="182">
        <v>1500</v>
      </c>
      <c r="G94" s="166">
        <v>125</v>
      </c>
      <c r="H94" s="385"/>
      <c r="I94" s="166">
        <f t="shared" si="46"/>
        <v>12</v>
      </c>
      <c r="J94" s="166">
        <f t="shared" si="47"/>
        <v>976.91836734693766</v>
      </c>
      <c r="K94" s="180">
        <f t="shared" si="48"/>
        <v>81.409863945578124</v>
      </c>
      <c r="L94" s="385"/>
      <c r="M94" s="166">
        <f>RANK(K94, K$77:$K$106)</f>
        <v>24</v>
      </c>
      <c r="N94" s="392"/>
      <c r="O94" s="392"/>
      <c r="P94" s="182">
        <v>12</v>
      </c>
      <c r="Q94" s="166">
        <v>891.42857142857451</v>
      </c>
      <c r="R94" s="166">
        <v>74.285714285714548</v>
      </c>
      <c r="S94" s="182">
        <f t="shared" si="30"/>
        <v>24</v>
      </c>
      <c r="T94" s="385"/>
      <c r="U94" s="182">
        <v>12</v>
      </c>
      <c r="V94" s="166">
        <v>1056.0000000000036</v>
      </c>
      <c r="W94" s="166">
        <v>88.000000000000298</v>
      </c>
      <c r="X94" s="182">
        <f t="shared" si="32"/>
        <v>24</v>
      </c>
      <c r="Y94" s="385"/>
      <c r="Z94" s="182">
        <v>12</v>
      </c>
      <c r="AA94" s="166">
        <v>1065.0000000000039</v>
      </c>
      <c r="AB94" s="166">
        <v>88.750000000000327</v>
      </c>
      <c r="AC94" s="182">
        <f t="shared" si="34"/>
        <v>24</v>
      </c>
      <c r="AD94" s="385"/>
      <c r="AE94" s="182">
        <v>12</v>
      </c>
      <c r="AF94" s="166">
        <v>810.00000000000284</v>
      </c>
      <c r="AG94" s="166">
        <v>67.500000000000242</v>
      </c>
      <c r="AH94" s="182">
        <f t="shared" si="36"/>
        <v>24</v>
      </c>
      <c r="AI94" s="385"/>
      <c r="AJ94" s="182">
        <v>12</v>
      </c>
      <c r="AK94" s="166">
        <v>1060.0000000000036</v>
      </c>
      <c r="AL94" s="166">
        <v>88.333333333333641</v>
      </c>
      <c r="AM94" s="182">
        <f t="shared" si="38"/>
        <v>23</v>
      </c>
      <c r="AN94" s="385"/>
      <c r="AO94" s="182">
        <v>12</v>
      </c>
      <c r="AP94" s="166">
        <v>924.0000000000033</v>
      </c>
      <c r="AQ94" s="166">
        <v>77.00000000000027</v>
      </c>
      <c r="AR94" s="182">
        <f t="shared" si="40"/>
        <v>24</v>
      </c>
      <c r="AS94" s="385"/>
      <c r="AT94" s="182">
        <v>12</v>
      </c>
      <c r="AU94" s="166">
        <v>1031.9999999999707</v>
      </c>
      <c r="AV94" s="166">
        <v>85.999999999997556</v>
      </c>
      <c r="AW94" s="182">
        <f t="shared" si="42"/>
        <v>24</v>
      </c>
      <c r="AX94" s="385"/>
      <c r="AZ94" s="182" t="e">
        <f t="shared" si="44"/>
        <v>#N/A</v>
      </c>
      <c r="BA94" s="385"/>
    </row>
    <row r="95" spans="2:53">
      <c r="B95" s="427"/>
      <c r="C95" s="182">
        <v>19</v>
      </c>
      <c r="D95" s="182" t="s">
        <v>625</v>
      </c>
      <c r="E95" s="182">
        <v>12</v>
      </c>
      <c r="F95" s="182">
        <v>1500</v>
      </c>
      <c r="G95" s="166">
        <v>125</v>
      </c>
      <c r="H95" s="385"/>
      <c r="I95" s="166">
        <f t="shared" si="46"/>
        <v>13</v>
      </c>
      <c r="J95" s="166">
        <f t="shared" si="47"/>
        <v>1365.087035481602</v>
      </c>
      <c r="K95" s="180">
        <f t="shared" si="48"/>
        <v>104.54672664101066</v>
      </c>
      <c r="L95" s="385"/>
      <c r="M95" s="166">
        <f>RANK(K95, K$77:$K$106)</f>
        <v>23</v>
      </c>
      <c r="N95" s="392"/>
      <c r="O95" s="392"/>
      <c r="P95" s="182">
        <v>12</v>
      </c>
      <c r="Q95" s="166">
        <v>1355.9999999999975</v>
      </c>
      <c r="R95" s="166">
        <v>112.99999999999979</v>
      </c>
      <c r="S95" s="182">
        <f t="shared" si="30"/>
        <v>23</v>
      </c>
      <c r="T95" s="385"/>
      <c r="U95" s="182">
        <v>12</v>
      </c>
      <c r="V95" s="166">
        <v>1333.5483870967721</v>
      </c>
      <c r="W95" s="166">
        <v>111.12903225806434</v>
      </c>
      <c r="X95" s="182">
        <f t="shared" si="32"/>
        <v>23</v>
      </c>
      <c r="Y95" s="385"/>
      <c r="Z95" s="182">
        <v>12</v>
      </c>
      <c r="AA95" s="166">
        <v>1313.5714285714257</v>
      </c>
      <c r="AB95" s="166">
        <v>109.46428571428548</v>
      </c>
      <c r="AC95" s="182">
        <f t="shared" si="34"/>
        <v>23</v>
      </c>
      <c r="AD95" s="385"/>
      <c r="AE95" s="182">
        <v>12</v>
      </c>
      <c r="AF95" s="166">
        <v>1031.9999999999982</v>
      </c>
      <c r="AG95" s="166">
        <v>85.999999999999844</v>
      </c>
      <c r="AH95" s="182">
        <f t="shared" si="36"/>
        <v>23</v>
      </c>
      <c r="AI95" s="385"/>
      <c r="AJ95" s="182">
        <v>12</v>
      </c>
      <c r="AK95" s="166">
        <v>1052.9032258064499</v>
      </c>
      <c r="AL95" s="166">
        <v>87.741935483870819</v>
      </c>
      <c r="AM95" s="182">
        <f t="shared" si="38"/>
        <v>24</v>
      </c>
      <c r="AN95" s="385"/>
      <c r="AO95" s="182">
        <v>19</v>
      </c>
      <c r="AP95" s="166">
        <v>2100.0000000000077</v>
      </c>
      <c r="AQ95" s="166">
        <v>110.5263157894741</v>
      </c>
      <c r="AR95" s="182">
        <f t="shared" si="40"/>
        <v>23</v>
      </c>
      <c r="AS95" s="385"/>
      <c r="AT95" s="182">
        <v>12</v>
      </c>
      <c r="AU95" s="166">
        <v>1367.5862068965641</v>
      </c>
      <c r="AV95" s="166">
        <v>113.96551724138034</v>
      </c>
      <c r="AW95" s="182">
        <f t="shared" si="42"/>
        <v>23</v>
      </c>
      <c r="AX95" s="385"/>
      <c r="AZ95" s="182" t="e">
        <f t="shared" si="44"/>
        <v>#N/A</v>
      </c>
      <c r="BA95" s="385"/>
    </row>
    <row r="96" spans="2:53">
      <c r="B96" s="427"/>
      <c r="C96" s="182">
        <v>20</v>
      </c>
      <c r="D96" s="182" t="s">
        <v>636</v>
      </c>
      <c r="E96" s="182">
        <v>3</v>
      </c>
      <c r="F96" s="182">
        <v>3000</v>
      </c>
      <c r="G96" s="166">
        <v>933.33333333333337</v>
      </c>
      <c r="H96" s="385"/>
      <c r="I96" s="166">
        <f t="shared" si="46"/>
        <v>3</v>
      </c>
      <c r="J96" s="166">
        <f t="shared" si="47"/>
        <v>3020.2285714285631</v>
      </c>
      <c r="K96" s="180">
        <f t="shared" si="48"/>
        <v>1006.7428571428543</v>
      </c>
      <c r="L96" s="385"/>
      <c r="M96" s="166">
        <f>RANK(K96, K$77:$K$106)</f>
        <v>8</v>
      </c>
      <c r="N96" s="392"/>
      <c r="O96" s="392"/>
      <c r="P96" s="182">
        <v>3</v>
      </c>
      <c r="Q96" s="166">
        <v>3271.1999999999907</v>
      </c>
      <c r="R96" s="166">
        <v>1090.3999999999969</v>
      </c>
      <c r="S96" s="182">
        <f t="shared" si="30"/>
        <v>5</v>
      </c>
      <c r="T96" s="385"/>
      <c r="U96" s="182">
        <v>3</v>
      </c>
      <c r="V96" s="166">
        <v>3208.7999999999911</v>
      </c>
      <c r="W96" s="166">
        <v>1069.599999999997</v>
      </c>
      <c r="X96" s="182">
        <f t="shared" si="32"/>
        <v>1</v>
      </c>
      <c r="Y96" s="385"/>
      <c r="Z96" s="182">
        <v>3</v>
      </c>
      <c r="AA96" s="166">
        <v>2959.1999999999916</v>
      </c>
      <c r="AB96" s="166">
        <v>986.39999999999725</v>
      </c>
      <c r="AC96" s="182">
        <f t="shared" si="34"/>
        <v>9</v>
      </c>
      <c r="AD96" s="385"/>
      <c r="AE96" s="182">
        <v>3</v>
      </c>
      <c r="AF96" s="166">
        <v>2719.1999999999925</v>
      </c>
      <c r="AG96" s="166">
        <v>906.39999999999748</v>
      </c>
      <c r="AH96" s="182">
        <f t="shared" si="36"/>
        <v>10</v>
      </c>
      <c r="AI96" s="385"/>
      <c r="AJ96" s="182">
        <v>3</v>
      </c>
      <c r="AK96" s="166">
        <v>2795.9999999999918</v>
      </c>
      <c r="AL96" s="166">
        <v>931.99999999999727</v>
      </c>
      <c r="AM96" s="182">
        <f t="shared" si="38"/>
        <v>9</v>
      </c>
      <c r="AN96" s="385"/>
      <c r="AO96" s="182">
        <v>3</v>
      </c>
      <c r="AP96" s="166">
        <v>3100.7999999999911</v>
      </c>
      <c r="AQ96" s="166">
        <v>1033.599999999997</v>
      </c>
      <c r="AR96" s="182">
        <f t="shared" si="40"/>
        <v>8</v>
      </c>
      <c r="AS96" s="385"/>
      <c r="AT96" s="182">
        <v>3</v>
      </c>
      <c r="AU96" s="166">
        <v>3086.3999999999915</v>
      </c>
      <c r="AV96" s="166">
        <v>1028.7999999999972</v>
      </c>
      <c r="AW96" s="182">
        <f t="shared" si="42"/>
        <v>8</v>
      </c>
      <c r="AX96" s="385"/>
      <c r="AZ96" s="182" t="e">
        <f t="shared" si="44"/>
        <v>#N/A</v>
      </c>
      <c r="BA96" s="385"/>
    </row>
    <row r="97" spans="2:53">
      <c r="B97" s="427"/>
      <c r="C97" s="182">
        <v>21</v>
      </c>
      <c r="D97" s="313" t="s">
        <v>641</v>
      </c>
      <c r="E97" s="182">
        <v>4</v>
      </c>
      <c r="F97" s="182">
        <v>3200</v>
      </c>
      <c r="G97" s="166">
        <v>800</v>
      </c>
      <c r="H97" s="385"/>
      <c r="I97" s="166">
        <f t="shared" si="46"/>
        <v>4</v>
      </c>
      <c r="J97" s="166">
        <f t="shared" si="47"/>
        <v>2995.515946696979</v>
      </c>
      <c r="K97" s="180">
        <f t="shared" si="48"/>
        <v>748.87898667424474</v>
      </c>
      <c r="L97" s="385"/>
      <c r="M97" s="166">
        <f>RANK(K97, K$77:$K$106)</f>
        <v>17</v>
      </c>
      <c r="N97" s="392"/>
      <c r="O97" s="392"/>
      <c r="P97" s="182">
        <v>4</v>
      </c>
      <c r="Q97" s="166">
        <v>3029.9999999999977</v>
      </c>
      <c r="R97" s="166">
        <v>757.49999999999943</v>
      </c>
      <c r="S97" s="182">
        <f t="shared" si="30"/>
        <v>17</v>
      </c>
      <c r="T97" s="385"/>
      <c r="U97" s="182">
        <v>4</v>
      </c>
      <c r="V97" s="166">
        <v>2931.0000000000045</v>
      </c>
      <c r="W97" s="166">
        <v>732.75000000000114</v>
      </c>
      <c r="X97" s="182">
        <f t="shared" si="32"/>
        <v>18</v>
      </c>
      <c r="Y97" s="385"/>
      <c r="Z97" s="182">
        <v>4</v>
      </c>
      <c r="AA97" s="166">
        <v>2935.3846153846139</v>
      </c>
      <c r="AB97" s="166">
        <v>733.84615384615347</v>
      </c>
      <c r="AC97" s="182">
        <f t="shared" si="34"/>
        <v>19</v>
      </c>
      <c r="AD97" s="385"/>
      <c r="AE97" s="182">
        <v>4</v>
      </c>
      <c r="AF97" s="166">
        <v>3011.2500000000036</v>
      </c>
      <c r="AG97" s="166">
        <v>752.81250000000091</v>
      </c>
      <c r="AH97" s="182">
        <f t="shared" si="36"/>
        <v>16</v>
      </c>
      <c r="AI97" s="385"/>
      <c r="AJ97" s="182">
        <v>4</v>
      </c>
      <c r="AK97" s="166">
        <v>3039.3103448275801</v>
      </c>
      <c r="AL97" s="166">
        <v>759.82758620689503</v>
      </c>
      <c r="AM97" s="182">
        <f t="shared" si="38"/>
        <v>16</v>
      </c>
      <c r="AN97" s="385"/>
      <c r="AO97" s="182">
        <v>4</v>
      </c>
      <c r="AP97" s="166">
        <v>3049.9999999999977</v>
      </c>
      <c r="AQ97" s="166">
        <v>762.49999999999943</v>
      </c>
      <c r="AR97" s="182">
        <f t="shared" si="40"/>
        <v>16</v>
      </c>
      <c r="AS97" s="385"/>
      <c r="AT97" s="182">
        <v>4</v>
      </c>
      <c r="AU97" s="166">
        <v>2971.6666666666574</v>
      </c>
      <c r="AV97" s="166">
        <v>742.91666666666436</v>
      </c>
      <c r="AW97" s="182">
        <f t="shared" si="42"/>
        <v>17</v>
      </c>
      <c r="AX97" s="385"/>
      <c r="AZ97" s="182" t="e">
        <f t="shared" si="44"/>
        <v>#N/A</v>
      </c>
      <c r="BA97" s="385"/>
    </row>
    <row r="98" spans="2:53">
      <c r="B98" s="427"/>
      <c r="C98" s="182">
        <v>22</v>
      </c>
      <c r="D98" s="182" t="s">
        <v>643</v>
      </c>
      <c r="E98" s="182">
        <v>4</v>
      </c>
      <c r="F98" s="182">
        <v>3200</v>
      </c>
      <c r="G98" s="182">
        <v>800</v>
      </c>
      <c r="H98" s="385"/>
      <c r="I98" s="166">
        <f t="shared" si="46"/>
        <v>4</v>
      </c>
      <c r="J98" s="166">
        <f t="shared" si="47"/>
        <v>3004.1848535165482</v>
      </c>
      <c r="K98" s="180">
        <f t="shared" si="48"/>
        <v>751.04621337913704</v>
      </c>
      <c r="L98" s="385"/>
      <c r="M98" s="166">
        <f>RANK(K98, K$77:$K$106)</f>
        <v>16</v>
      </c>
      <c r="N98" s="392"/>
      <c r="O98" s="392"/>
      <c r="P98" s="182">
        <v>4</v>
      </c>
      <c r="Q98" s="166">
        <v>3052.9411764705847</v>
      </c>
      <c r="R98" s="166">
        <v>763.23529411764616</v>
      </c>
      <c r="S98" s="182">
        <f t="shared" si="30"/>
        <v>15</v>
      </c>
      <c r="T98" s="385"/>
      <c r="U98" s="182">
        <v>4</v>
      </c>
      <c r="V98" s="166">
        <v>2962.6415094339641</v>
      </c>
      <c r="W98" s="166">
        <v>740.66037735849102</v>
      </c>
      <c r="X98" s="182">
        <f t="shared" si="32"/>
        <v>17</v>
      </c>
      <c r="Y98" s="385"/>
      <c r="Z98" s="182">
        <v>4</v>
      </c>
      <c r="AA98" s="166">
        <v>2984.9999999999923</v>
      </c>
      <c r="AB98" s="166">
        <v>746.24999999999807</v>
      </c>
      <c r="AC98" s="182">
        <f t="shared" si="34"/>
        <v>18</v>
      </c>
      <c r="AD98" s="385"/>
      <c r="AE98" s="182">
        <v>4</v>
      </c>
      <c r="AF98" s="166">
        <v>3010.9090909090964</v>
      </c>
      <c r="AG98" s="166">
        <v>752.72727272727411</v>
      </c>
      <c r="AH98" s="182">
        <f t="shared" si="36"/>
        <v>17</v>
      </c>
      <c r="AI98" s="385"/>
      <c r="AJ98" s="182">
        <v>4</v>
      </c>
      <c r="AK98" s="166">
        <v>3038.5714285714275</v>
      </c>
      <c r="AL98" s="166">
        <v>759.64285714285688</v>
      </c>
      <c r="AM98" s="182">
        <f t="shared" si="38"/>
        <v>17</v>
      </c>
      <c r="AN98" s="385"/>
      <c r="AO98" s="182">
        <v>4</v>
      </c>
      <c r="AP98" s="166">
        <v>3008.0769230769247</v>
      </c>
      <c r="AQ98" s="166">
        <v>752.01923076923117</v>
      </c>
      <c r="AR98" s="182">
        <f t="shared" si="40"/>
        <v>17</v>
      </c>
      <c r="AS98" s="385"/>
      <c r="AT98" s="182">
        <v>4</v>
      </c>
      <c r="AU98" s="166">
        <v>2971.1538461538476</v>
      </c>
      <c r="AV98" s="166">
        <v>742.78846153846189</v>
      </c>
      <c r="AW98" s="182">
        <f t="shared" si="42"/>
        <v>18</v>
      </c>
      <c r="AX98" s="385"/>
      <c r="AZ98" s="182" t="e">
        <f t="shared" si="44"/>
        <v>#N/A</v>
      </c>
      <c r="BA98" s="385"/>
    </row>
    <row r="99" spans="2:53">
      <c r="B99" s="427"/>
      <c r="C99" s="182">
        <v>23</v>
      </c>
      <c r="D99" s="182" t="s">
        <v>651</v>
      </c>
      <c r="E99" s="182">
        <v>3</v>
      </c>
      <c r="F99" s="182">
        <v>3200</v>
      </c>
      <c r="G99" s="182">
        <v>1066.6666666666667</v>
      </c>
      <c r="H99" s="385"/>
      <c r="I99" s="166">
        <f t="shared" si="46"/>
        <v>3</v>
      </c>
      <c r="J99" s="166">
        <f t="shared" si="47"/>
        <v>3235.2220946454795</v>
      </c>
      <c r="K99" s="180">
        <f t="shared" si="48"/>
        <v>1078.4073648818262</v>
      </c>
      <c r="L99" s="385"/>
      <c r="M99" s="166">
        <f>RANK(K99, K$77:$K$106)</f>
        <v>1</v>
      </c>
      <c r="N99" s="392"/>
      <c r="O99" s="392"/>
      <c r="P99" s="182">
        <v>3</v>
      </c>
      <c r="Q99" s="166">
        <v>3486.6666666666556</v>
      </c>
      <c r="R99" s="166">
        <v>1162.2222222222185</v>
      </c>
      <c r="S99" s="182">
        <f t="shared" si="30"/>
        <v>1</v>
      </c>
      <c r="T99" s="385"/>
      <c r="U99" s="182">
        <v>3</v>
      </c>
      <c r="V99" s="166">
        <v>3131.0526315789452</v>
      </c>
      <c r="W99" s="166">
        <v>1043.6842105263152</v>
      </c>
      <c r="X99" s="182">
        <f t="shared" si="32"/>
        <v>7</v>
      </c>
      <c r="Y99" s="385"/>
      <c r="Z99" s="182">
        <v>3</v>
      </c>
      <c r="AA99" s="166">
        <v>3124.7368421052606</v>
      </c>
      <c r="AB99" s="166">
        <v>1041.5789473684201</v>
      </c>
      <c r="AC99" s="182">
        <f t="shared" si="34"/>
        <v>8</v>
      </c>
      <c r="AD99" s="385"/>
      <c r="AE99" s="182">
        <v>3</v>
      </c>
      <c r="AF99" s="166">
        <v>3272.0000000000032</v>
      </c>
      <c r="AG99" s="166">
        <v>1090.6666666666677</v>
      </c>
      <c r="AH99" s="182">
        <f t="shared" si="36"/>
        <v>2</v>
      </c>
      <c r="AI99" s="385"/>
      <c r="AJ99" s="182">
        <v>3</v>
      </c>
      <c r="AK99" s="166">
        <v>3277.2413793103383</v>
      </c>
      <c r="AL99" s="166">
        <v>1092.4137931034461</v>
      </c>
      <c r="AM99" s="182">
        <f t="shared" si="38"/>
        <v>3</v>
      </c>
      <c r="AN99" s="385"/>
      <c r="AO99" s="182">
        <v>3</v>
      </c>
      <c r="AP99" s="166">
        <v>3197.1428571428542</v>
      </c>
      <c r="AQ99" s="166">
        <v>1065.7142857142846</v>
      </c>
      <c r="AR99" s="182">
        <f t="shared" si="40"/>
        <v>7</v>
      </c>
      <c r="AS99" s="385"/>
      <c r="AT99" s="182">
        <v>3</v>
      </c>
      <c r="AU99" s="166">
        <v>3157.7142857142971</v>
      </c>
      <c r="AV99" s="166">
        <v>1052.5714285714323</v>
      </c>
      <c r="AW99" s="182">
        <f t="shared" si="42"/>
        <v>6</v>
      </c>
      <c r="AX99" s="385"/>
      <c r="AZ99" s="182" t="e">
        <f t="shared" si="44"/>
        <v>#N/A</v>
      </c>
      <c r="BA99" s="385"/>
    </row>
    <row r="100" spans="2:53">
      <c r="B100" s="427"/>
      <c r="C100" s="182">
        <v>24</v>
      </c>
      <c r="D100" s="182" t="s">
        <v>731</v>
      </c>
      <c r="E100" s="182">
        <v>3</v>
      </c>
      <c r="F100" s="182">
        <v>3200</v>
      </c>
      <c r="G100" s="182">
        <v>1066.6666666666667</v>
      </c>
      <c r="H100" s="385"/>
      <c r="I100" s="166">
        <f t="shared" si="46"/>
        <v>3</v>
      </c>
      <c r="J100" s="166">
        <f t="shared" si="47"/>
        <v>3204.389502183506</v>
      </c>
      <c r="K100" s="180">
        <f t="shared" si="48"/>
        <v>1068.1298340611686</v>
      </c>
      <c r="L100" s="385"/>
      <c r="M100" s="166">
        <f>RANK(K100, K$77:$K$106)</f>
        <v>6</v>
      </c>
      <c r="N100" s="392"/>
      <c r="O100" s="392"/>
      <c r="P100" s="182">
        <v>3</v>
      </c>
      <c r="Q100" s="166">
        <v>3236.0526315789452</v>
      </c>
      <c r="R100" s="166">
        <v>1078.6842105263152</v>
      </c>
      <c r="S100" s="182">
        <f t="shared" si="30"/>
        <v>6</v>
      </c>
      <c r="T100" s="385"/>
      <c r="U100" s="182">
        <v>3</v>
      </c>
      <c r="V100" s="166">
        <v>3162.222222222224</v>
      </c>
      <c r="W100" s="166">
        <v>1054.0740740740746</v>
      </c>
      <c r="X100" s="182">
        <f t="shared" si="32"/>
        <v>6</v>
      </c>
      <c r="Y100" s="385"/>
      <c r="Z100" s="182">
        <v>3</v>
      </c>
      <c r="AA100" s="166">
        <v>3177.6470588235306</v>
      </c>
      <c r="AB100" s="166">
        <v>1059.2156862745103</v>
      </c>
      <c r="AC100" s="182">
        <f t="shared" si="34"/>
        <v>4</v>
      </c>
      <c r="AD100" s="385"/>
      <c r="AE100" s="182">
        <v>3</v>
      </c>
      <c r="AF100" s="166">
        <v>3208.9655172413818</v>
      </c>
      <c r="AG100" s="166">
        <v>1069.6551724137939</v>
      </c>
      <c r="AH100" s="182">
        <f t="shared" si="36"/>
        <v>7</v>
      </c>
      <c r="AI100" s="385"/>
      <c r="AJ100" s="182">
        <v>3</v>
      </c>
      <c r="AK100" s="166">
        <v>3244.9180327868798</v>
      </c>
      <c r="AL100" s="166">
        <v>1081.6393442622932</v>
      </c>
      <c r="AM100" s="182">
        <f t="shared" si="38"/>
        <v>5</v>
      </c>
      <c r="AN100" s="385"/>
      <c r="AO100" s="182">
        <v>3</v>
      </c>
      <c r="AP100" s="166">
        <v>3238.4210526315765</v>
      </c>
      <c r="AQ100" s="166">
        <v>1079.4736842105256</v>
      </c>
      <c r="AR100" s="182">
        <f t="shared" si="40"/>
        <v>3</v>
      </c>
      <c r="AS100" s="385"/>
      <c r="AT100" s="182">
        <v>3</v>
      </c>
      <c r="AU100" s="166">
        <v>3162.5000000000045</v>
      </c>
      <c r="AV100" s="166">
        <v>1054.1666666666681</v>
      </c>
      <c r="AW100" s="182">
        <f t="shared" si="42"/>
        <v>4</v>
      </c>
      <c r="AX100" s="385"/>
      <c r="AZ100" s="182" t="e">
        <f t="shared" si="44"/>
        <v>#N/A</v>
      </c>
      <c r="BA100" s="385"/>
    </row>
    <row r="101" spans="2:53">
      <c r="B101" s="427"/>
      <c r="C101" s="182">
        <v>25</v>
      </c>
      <c r="D101" s="182"/>
      <c r="E101" s="182"/>
      <c r="F101" s="182"/>
      <c r="G101" s="182"/>
      <c r="H101" s="385"/>
      <c r="I101" s="166" t="str">
        <f t="shared" si="46"/>
        <v>-</v>
      </c>
      <c r="J101" s="166" t="str">
        <f t="shared" si="47"/>
        <v>-</v>
      </c>
      <c r="K101" s="180" t="str">
        <f t="shared" si="48"/>
        <v>-</v>
      </c>
      <c r="L101" s="385"/>
      <c r="M101" s="166" t="e">
        <f>RANK(K101, K$77:$K$106)</f>
        <v>#VALUE!</v>
      </c>
      <c r="N101" s="392"/>
      <c r="O101" s="392"/>
      <c r="P101" s="182" t="s">
        <v>634</v>
      </c>
      <c r="Q101" s="166" t="s">
        <v>634</v>
      </c>
      <c r="R101" s="166" t="s">
        <v>634</v>
      </c>
      <c r="S101" s="182" t="e">
        <f t="shared" si="30"/>
        <v>#VALUE!</v>
      </c>
      <c r="T101" s="385"/>
      <c r="U101" s="182" t="s">
        <v>634</v>
      </c>
      <c r="V101" s="166" t="s">
        <v>634</v>
      </c>
      <c r="W101" s="166" t="s">
        <v>634</v>
      </c>
      <c r="X101" s="182" t="e">
        <f t="shared" si="32"/>
        <v>#VALUE!</v>
      </c>
      <c r="Y101" s="385"/>
      <c r="Z101" s="182" t="s">
        <v>634</v>
      </c>
      <c r="AA101" s="166" t="s">
        <v>634</v>
      </c>
      <c r="AB101" s="166" t="s">
        <v>634</v>
      </c>
      <c r="AC101" s="182" t="e">
        <f t="shared" si="34"/>
        <v>#VALUE!</v>
      </c>
      <c r="AD101" s="385"/>
      <c r="AE101" s="182" t="s">
        <v>634</v>
      </c>
      <c r="AF101" s="166" t="s">
        <v>634</v>
      </c>
      <c r="AG101" s="166" t="s">
        <v>634</v>
      </c>
      <c r="AH101" s="182" t="e">
        <f t="shared" si="36"/>
        <v>#VALUE!</v>
      </c>
      <c r="AI101" s="385"/>
      <c r="AJ101" s="182" t="s">
        <v>634</v>
      </c>
      <c r="AK101" s="166" t="s">
        <v>634</v>
      </c>
      <c r="AL101" s="166" t="s">
        <v>634</v>
      </c>
      <c r="AM101" s="182" t="e">
        <f t="shared" si="38"/>
        <v>#VALUE!</v>
      </c>
      <c r="AN101" s="385"/>
      <c r="AO101" s="182" t="s">
        <v>634</v>
      </c>
      <c r="AP101" s="166" t="s">
        <v>634</v>
      </c>
      <c r="AQ101" s="166" t="s">
        <v>634</v>
      </c>
      <c r="AR101" s="182" t="e">
        <f t="shared" si="40"/>
        <v>#VALUE!</v>
      </c>
      <c r="AS101" s="385"/>
      <c r="AT101" s="182" t="s">
        <v>634</v>
      </c>
      <c r="AU101" s="166" t="s">
        <v>634</v>
      </c>
      <c r="AV101" s="166" t="s">
        <v>634</v>
      </c>
      <c r="AW101" s="182" t="e">
        <f t="shared" si="42"/>
        <v>#VALUE!</v>
      </c>
      <c r="AX101" s="385"/>
      <c r="AZ101" s="182" t="e">
        <f t="shared" si="44"/>
        <v>#N/A</v>
      </c>
      <c r="BA101" s="385"/>
    </row>
    <row r="102" spans="2:53">
      <c r="B102" s="427"/>
      <c r="C102" s="182">
        <v>26</v>
      </c>
      <c r="D102" s="182"/>
      <c r="E102" s="182"/>
      <c r="F102" s="182"/>
      <c r="G102" s="182"/>
      <c r="H102" s="385"/>
      <c r="I102" s="166" t="str">
        <f t="shared" si="46"/>
        <v>-</v>
      </c>
      <c r="J102" s="166" t="str">
        <f t="shared" si="47"/>
        <v>-</v>
      </c>
      <c r="K102" s="180" t="str">
        <f t="shared" si="48"/>
        <v>-</v>
      </c>
      <c r="L102" s="385"/>
      <c r="M102" s="166" t="e">
        <f>RANK(K102, K$77:$K$106)</f>
        <v>#VALUE!</v>
      </c>
      <c r="N102" s="392"/>
      <c r="O102" s="392"/>
      <c r="P102" s="182" t="s">
        <v>634</v>
      </c>
      <c r="Q102" s="166" t="s">
        <v>634</v>
      </c>
      <c r="R102" s="166" t="s">
        <v>634</v>
      </c>
      <c r="S102" s="182" t="e">
        <f t="shared" si="30"/>
        <v>#VALUE!</v>
      </c>
      <c r="T102" s="385"/>
      <c r="U102" s="182"/>
      <c r="V102" s="166"/>
      <c r="W102" s="166"/>
      <c r="X102" s="182" t="e">
        <f t="shared" si="32"/>
        <v>#N/A</v>
      </c>
      <c r="Y102" s="385"/>
      <c r="Z102" s="182" t="s">
        <v>634</v>
      </c>
      <c r="AA102" s="166" t="s">
        <v>634</v>
      </c>
      <c r="AB102" s="166" t="s">
        <v>634</v>
      </c>
      <c r="AC102" s="182" t="e">
        <f t="shared" si="34"/>
        <v>#VALUE!</v>
      </c>
      <c r="AD102" s="385"/>
      <c r="AE102" s="182"/>
      <c r="AF102" s="166"/>
      <c r="AG102" s="166"/>
      <c r="AH102" s="182" t="e">
        <f t="shared" si="36"/>
        <v>#N/A</v>
      </c>
      <c r="AI102" s="385"/>
      <c r="AJ102" s="182"/>
      <c r="AK102" s="166"/>
      <c r="AL102" s="166"/>
      <c r="AM102" s="182" t="e">
        <f t="shared" si="38"/>
        <v>#N/A</v>
      </c>
      <c r="AN102" s="385"/>
      <c r="AO102" s="182"/>
      <c r="AP102" s="166"/>
      <c r="AQ102" s="166"/>
      <c r="AR102" s="182" t="e">
        <f t="shared" si="40"/>
        <v>#N/A</v>
      </c>
      <c r="AS102" s="385"/>
      <c r="AT102" s="182"/>
      <c r="AU102" s="166"/>
      <c r="AV102" s="166"/>
      <c r="AW102" s="182" t="e">
        <f t="shared" si="42"/>
        <v>#N/A</v>
      </c>
      <c r="AX102" s="385"/>
      <c r="AZ102" s="182" t="e">
        <f t="shared" si="44"/>
        <v>#N/A</v>
      </c>
      <c r="BA102" s="385"/>
    </row>
    <row r="103" spans="2:53">
      <c r="B103" s="427"/>
      <c r="C103" s="182">
        <v>27</v>
      </c>
      <c r="D103" s="182"/>
      <c r="E103" s="182"/>
      <c r="F103" s="182"/>
      <c r="G103" s="182"/>
      <c r="H103" s="385"/>
      <c r="I103" s="166" t="str">
        <f t="shared" si="46"/>
        <v>-</v>
      </c>
      <c r="J103" s="166" t="str">
        <f t="shared" si="47"/>
        <v>-</v>
      </c>
      <c r="K103" s="180" t="str">
        <f t="shared" si="48"/>
        <v>-</v>
      </c>
      <c r="L103" s="385"/>
      <c r="M103" s="166" t="e">
        <f>RANK(K103, K$77:$K$106)</f>
        <v>#VALUE!</v>
      </c>
      <c r="N103" s="392"/>
      <c r="O103" s="392"/>
      <c r="P103" s="182"/>
      <c r="Q103" s="166"/>
      <c r="R103" s="166"/>
      <c r="S103" s="182" t="e">
        <f t="shared" si="30"/>
        <v>#N/A</v>
      </c>
      <c r="T103" s="385"/>
      <c r="U103" s="182"/>
      <c r="V103" s="166"/>
      <c r="W103" s="166"/>
      <c r="X103" s="182" t="e">
        <f t="shared" si="32"/>
        <v>#N/A</v>
      </c>
      <c r="Y103" s="385"/>
      <c r="Z103" s="182"/>
      <c r="AA103" s="166"/>
      <c r="AB103" s="166"/>
      <c r="AC103" s="182" t="e">
        <f t="shared" si="34"/>
        <v>#N/A</v>
      </c>
      <c r="AD103" s="385"/>
      <c r="AE103" s="182"/>
      <c r="AF103" s="166"/>
      <c r="AG103" s="166"/>
      <c r="AH103" s="182" t="e">
        <f t="shared" si="36"/>
        <v>#N/A</v>
      </c>
      <c r="AI103" s="385"/>
      <c r="AJ103" s="182"/>
      <c r="AK103" s="166"/>
      <c r="AL103" s="166"/>
      <c r="AM103" s="182" t="e">
        <f t="shared" si="38"/>
        <v>#N/A</v>
      </c>
      <c r="AN103" s="385"/>
      <c r="AO103" s="182"/>
      <c r="AP103" s="166"/>
      <c r="AQ103" s="166"/>
      <c r="AR103" s="182" t="e">
        <f t="shared" si="40"/>
        <v>#N/A</v>
      </c>
      <c r="AS103" s="385"/>
      <c r="AT103" s="182"/>
      <c r="AU103" s="166"/>
      <c r="AV103" s="166"/>
      <c r="AW103" s="182" t="e">
        <f t="shared" si="42"/>
        <v>#N/A</v>
      </c>
      <c r="AX103" s="385"/>
      <c r="AZ103" s="182" t="e">
        <f t="shared" si="44"/>
        <v>#N/A</v>
      </c>
      <c r="BA103" s="385"/>
    </row>
    <row r="104" spans="2:53">
      <c r="B104" s="427"/>
      <c r="C104" s="182">
        <v>28</v>
      </c>
      <c r="D104" s="182"/>
      <c r="E104" s="182"/>
      <c r="F104" s="182"/>
      <c r="G104" s="182"/>
      <c r="H104" s="385"/>
      <c r="I104" s="166" t="str">
        <f t="shared" si="46"/>
        <v>-</v>
      </c>
      <c r="J104" s="166" t="str">
        <f t="shared" si="47"/>
        <v>-</v>
      </c>
      <c r="K104" s="180" t="str">
        <f t="shared" si="48"/>
        <v>-</v>
      </c>
      <c r="L104" s="385"/>
      <c r="M104" s="166" t="e">
        <f>RANK(K104, K$77:$K$106)</f>
        <v>#VALUE!</v>
      </c>
      <c r="N104" s="392"/>
      <c r="O104" s="392"/>
      <c r="P104" s="182"/>
      <c r="Q104" s="166"/>
      <c r="R104" s="166"/>
      <c r="S104" s="182" t="e">
        <f t="shared" si="30"/>
        <v>#N/A</v>
      </c>
      <c r="T104" s="385"/>
      <c r="U104" s="182"/>
      <c r="V104" s="166"/>
      <c r="W104" s="166"/>
      <c r="X104" s="182" t="e">
        <f t="shared" si="32"/>
        <v>#N/A</v>
      </c>
      <c r="Y104" s="385"/>
      <c r="Z104" s="182"/>
      <c r="AA104" s="166"/>
      <c r="AB104" s="166"/>
      <c r="AC104" s="182" t="e">
        <f t="shared" si="34"/>
        <v>#N/A</v>
      </c>
      <c r="AD104" s="385"/>
      <c r="AE104" s="182"/>
      <c r="AF104" s="166"/>
      <c r="AG104" s="166"/>
      <c r="AH104" s="182" t="e">
        <f t="shared" si="36"/>
        <v>#N/A</v>
      </c>
      <c r="AI104" s="385"/>
      <c r="AJ104" s="182"/>
      <c r="AK104" s="166"/>
      <c r="AL104" s="166"/>
      <c r="AM104" s="182" t="e">
        <f t="shared" si="38"/>
        <v>#N/A</v>
      </c>
      <c r="AN104" s="385"/>
      <c r="AO104" s="182"/>
      <c r="AP104" s="166"/>
      <c r="AQ104" s="166"/>
      <c r="AR104" s="182" t="e">
        <f t="shared" si="40"/>
        <v>#N/A</v>
      </c>
      <c r="AS104" s="385"/>
      <c r="AT104" s="182"/>
      <c r="AU104" s="166"/>
      <c r="AV104" s="166"/>
      <c r="AW104" s="182" t="e">
        <f t="shared" si="42"/>
        <v>#N/A</v>
      </c>
      <c r="AX104" s="385"/>
      <c r="AZ104" s="182" t="e">
        <f t="shared" si="44"/>
        <v>#N/A</v>
      </c>
      <c r="BA104" s="385"/>
    </row>
    <row r="105" spans="2:53">
      <c r="B105" s="427"/>
      <c r="C105" s="182">
        <v>29</v>
      </c>
      <c r="D105" s="182"/>
      <c r="E105" s="182"/>
      <c r="F105" s="182"/>
      <c r="G105" s="182"/>
      <c r="H105" s="385"/>
      <c r="I105" s="166" t="str">
        <f t="shared" si="46"/>
        <v>-</v>
      </c>
      <c r="J105" s="166" t="str">
        <f t="shared" si="47"/>
        <v>-</v>
      </c>
      <c r="K105" s="180" t="str">
        <f t="shared" si="48"/>
        <v>-</v>
      </c>
      <c r="L105" s="385"/>
      <c r="M105" s="166" t="e">
        <f>RANK(K105, K$77:$K$106)</f>
        <v>#VALUE!</v>
      </c>
      <c r="N105" s="392"/>
      <c r="O105" s="392"/>
      <c r="P105" s="182"/>
      <c r="Q105" s="166"/>
      <c r="R105" s="166"/>
      <c r="S105" s="182" t="e">
        <f t="shared" si="30"/>
        <v>#N/A</v>
      </c>
      <c r="T105" s="385"/>
      <c r="U105" s="182"/>
      <c r="V105" s="166"/>
      <c r="W105" s="166"/>
      <c r="X105" s="182" t="e">
        <f t="shared" si="32"/>
        <v>#N/A</v>
      </c>
      <c r="Y105" s="385"/>
      <c r="Z105" s="182"/>
      <c r="AA105" s="166"/>
      <c r="AB105" s="166"/>
      <c r="AC105" s="182" t="e">
        <f t="shared" si="34"/>
        <v>#N/A</v>
      </c>
      <c r="AD105" s="385"/>
      <c r="AE105" s="182"/>
      <c r="AF105" s="166"/>
      <c r="AG105" s="166"/>
      <c r="AH105" s="182" t="e">
        <f t="shared" si="36"/>
        <v>#N/A</v>
      </c>
      <c r="AI105" s="385"/>
      <c r="AJ105" s="182"/>
      <c r="AK105" s="166"/>
      <c r="AL105" s="166"/>
      <c r="AM105" s="182" t="e">
        <f t="shared" si="38"/>
        <v>#N/A</v>
      </c>
      <c r="AN105" s="385"/>
      <c r="AO105" s="182"/>
      <c r="AP105" s="166"/>
      <c r="AQ105" s="166"/>
      <c r="AR105" s="182" t="e">
        <f t="shared" si="40"/>
        <v>#N/A</v>
      </c>
      <c r="AS105" s="385"/>
      <c r="AT105" s="182"/>
      <c r="AU105" s="166"/>
      <c r="AV105" s="166"/>
      <c r="AW105" s="182" t="e">
        <f t="shared" si="42"/>
        <v>#N/A</v>
      </c>
      <c r="AX105" s="385"/>
      <c r="AZ105" s="182" t="e">
        <f t="shared" si="44"/>
        <v>#N/A</v>
      </c>
      <c r="BA105" s="385"/>
    </row>
    <row r="106" spans="2:53">
      <c r="B106" s="428"/>
      <c r="C106" s="182">
        <v>30</v>
      </c>
      <c r="D106" s="182"/>
      <c r="E106" s="182"/>
      <c r="F106" s="182"/>
      <c r="G106" s="182"/>
      <c r="H106" s="386"/>
      <c r="I106" s="166" t="str">
        <f t="shared" si="46"/>
        <v>-</v>
      </c>
      <c r="J106" s="166" t="str">
        <f t="shared" si="47"/>
        <v>-</v>
      </c>
      <c r="K106" s="180" t="str">
        <f t="shared" si="48"/>
        <v>-</v>
      </c>
      <c r="L106" s="386"/>
      <c r="M106" s="166" t="e">
        <f>RANK(K106, K$77:$K$106)</f>
        <v>#VALUE!</v>
      </c>
      <c r="N106" s="393"/>
      <c r="O106" s="393"/>
      <c r="P106" s="182"/>
      <c r="Q106" s="166"/>
      <c r="R106" s="166"/>
      <c r="S106" s="182" t="e">
        <f t="shared" si="30"/>
        <v>#N/A</v>
      </c>
      <c r="T106" s="386"/>
      <c r="U106" s="182"/>
      <c r="V106" s="166"/>
      <c r="W106" s="166"/>
      <c r="X106" s="182" t="e">
        <f t="shared" si="32"/>
        <v>#N/A</v>
      </c>
      <c r="Y106" s="386"/>
      <c r="Z106" s="182"/>
      <c r="AA106" s="166"/>
      <c r="AB106" s="166"/>
      <c r="AC106" s="182" t="e">
        <f t="shared" si="34"/>
        <v>#N/A</v>
      </c>
      <c r="AD106" s="386"/>
      <c r="AE106" s="182"/>
      <c r="AF106" s="166"/>
      <c r="AG106" s="166"/>
      <c r="AH106" s="182" t="e">
        <f t="shared" si="36"/>
        <v>#N/A</v>
      </c>
      <c r="AI106" s="386"/>
      <c r="AJ106" s="182"/>
      <c r="AK106" s="166"/>
      <c r="AL106" s="166"/>
      <c r="AM106" s="182" t="e">
        <f t="shared" si="38"/>
        <v>#N/A</v>
      </c>
      <c r="AN106" s="386"/>
      <c r="AO106" s="182"/>
      <c r="AP106" s="166"/>
      <c r="AQ106" s="166"/>
      <c r="AR106" s="182" t="e">
        <f t="shared" si="40"/>
        <v>#N/A</v>
      </c>
      <c r="AS106" s="386"/>
      <c r="AT106" s="182"/>
      <c r="AU106" s="166"/>
      <c r="AV106" s="166"/>
      <c r="AW106" s="182" t="e">
        <f t="shared" si="42"/>
        <v>#N/A</v>
      </c>
      <c r="AX106" s="386"/>
      <c r="AZ106" s="182" t="e">
        <f t="shared" si="44"/>
        <v>#N/A</v>
      </c>
      <c r="BA106" s="386"/>
    </row>
    <row r="107" spans="2:53" ht="15.75">
      <c r="B107" s="414" t="s">
        <v>163</v>
      </c>
      <c r="C107" s="415"/>
      <c r="D107" s="415"/>
      <c r="E107" s="415"/>
      <c r="F107" s="415"/>
      <c r="G107" s="415"/>
      <c r="H107" s="415"/>
      <c r="I107" s="186"/>
      <c r="J107" s="186"/>
      <c r="K107" s="186"/>
      <c r="L107" s="186"/>
      <c r="M107" s="185"/>
      <c r="N107" s="391" t="s">
        <v>156</v>
      </c>
      <c r="O107" s="391" t="s">
        <v>155</v>
      </c>
      <c r="P107" s="413">
        <f>P72+7</f>
        <v>46161</v>
      </c>
      <c r="Q107" s="395"/>
      <c r="R107" s="395"/>
      <c r="S107" s="395"/>
      <c r="T107" s="395"/>
      <c r="U107" s="410">
        <f>P107+1</f>
        <v>46162</v>
      </c>
      <c r="V107" s="411"/>
      <c r="W107" s="411"/>
      <c r="X107" s="411"/>
      <c r="Y107" s="412"/>
      <c r="Z107" s="410">
        <f>U107+1</f>
        <v>46163</v>
      </c>
      <c r="AA107" s="411"/>
      <c r="AB107" s="411"/>
      <c r="AC107" s="411"/>
      <c r="AD107" s="412"/>
      <c r="AE107" s="410">
        <f>Z107+1</f>
        <v>46164</v>
      </c>
      <c r="AF107" s="411"/>
      <c r="AG107" s="411"/>
      <c r="AH107" s="411"/>
      <c r="AI107" s="412"/>
      <c r="AJ107" s="410">
        <f>AE107+1</f>
        <v>46165</v>
      </c>
      <c r="AK107" s="411"/>
      <c r="AL107" s="411"/>
      <c r="AM107" s="411"/>
      <c r="AN107" s="412"/>
      <c r="AO107" s="410">
        <f>AJ107+1</f>
        <v>46166</v>
      </c>
      <c r="AP107" s="411"/>
      <c r="AQ107" s="411"/>
      <c r="AR107" s="411"/>
      <c r="AS107" s="412"/>
      <c r="AT107" s="410">
        <f>AO107+1</f>
        <v>46167</v>
      </c>
      <c r="AU107" s="411"/>
      <c r="AV107" s="411"/>
      <c r="AW107" s="411"/>
      <c r="AX107" s="412"/>
    </row>
    <row r="108" spans="2:53" ht="15.75">
      <c r="B108" s="416"/>
      <c r="C108" s="416"/>
      <c r="D108" s="416"/>
      <c r="E108" s="416"/>
      <c r="F108" s="416"/>
      <c r="G108" s="416"/>
      <c r="H108" s="416"/>
      <c r="I108" s="184"/>
      <c r="J108" s="184"/>
      <c r="K108" s="184"/>
      <c r="L108" s="184"/>
      <c r="M108" s="179"/>
      <c r="N108" s="393"/>
      <c r="O108" s="393"/>
      <c r="P108" s="413" t="s">
        <v>318</v>
      </c>
      <c r="Q108" s="395"/>
      <c r="R108" s="395"/>
      <c r="S108" s="395"/>
      <c r="T108" s="395"/>
      <c r="U108" s="413" t="s">
        <v>319</v>
      </c>
      <c r="V108" s="395"/>
      <c r="W108" s="395"/>
      <c r="X108" s="395"/>
      <c r="Y108" s="395"/>
      <c r="Z108" s="413" t="s">
        <v>320</v>
      </c>
      <c r="AA108" s="395"/>
      <c r="AB108" s="395"/>
      <c r="AC108" s="395"/>
      <c r="AD108" s="395"/>
      <c r="AE108" s="413" t="s">
        <v>321</v>
      </c>
      <c r="AF108" s="395"/>
      <c r="AG108" s="395"/>
      <c r="AH108" s="395"/>
      <c r="AI108" s="395"/>
      <c r="AJ108" s="413" t="s">
        <v>322</v>
      </c>
      <c r="AK108" s="395"/>
      <c r="AL108" s="395"/>
      <c r="AM108" s="395"/>
      <c r="AN108" s="395"/>
      <c r="AO108" s="413" t="s">
        <v>323</v>
      </c>
      <c r="AP108" s="395"/>
      <c r="AQ108" s="395"/>
      <c r="AR108" s="395"/>
      <c r="AS108" s="395"/>
      <c r="AT108" s="413" t="s">
        <v>324</v>
      </c>
      <c r="AU108" s="395"/>
      <c r="AV108" s="395"/>
      <c r="AW108" s="395"/>
      <c r="AX108" s="395"/>
    </row>
    <row r="109" spans="2:53">
      <c r="B109" s="389" t="s">
        <v>376</v>
      </c>
      <c r="C109" s="389" t="s">
        <v>386</v>
      </c>
      <c r="D109" s="389"/>
      <c r="E109" s="389" t="s">
        <v>377</v>
      </c>
      <c r="F109" s="389"/>
      <c r="G109" s="389"/>
      <c r="H109" s="417" t="s">
        <v>373</v>
      </c>
      <c r="I109" s="389" t="s">
        <v>378</v>
      </c>
      <c r="J109" s="389"/>
      <c r="K109" s="389"/>
      <c r="L109" s="417" t="s">
        <v>373</v>
      </c>
      <c r="M109" s="391" t="s">
        <v>374</v>
      </c>
      <c r="N109" s="389"/>
      <c r="O109" s="389" t="s">
        <v>379</v>
      </c>
      <c r="P109" s="404" t="s">
        <v>375</v>
      </c>
      <c r="Q109" s="405"/>
      <c r="R109" s="405"/>
      <c r="S109" s="406"/>
      <c r="T109" s="389" t="s">
        <v>373</v>
      </c>
      <c r="U109" s="404" t="s">
        <v>375</v>
      </c>
      <c r="V109" s="405"/>
      <c r="W109" s="405"/>
      <c r="X109" s="406"/>
      <c r="Y109" s="389" t="s">
        <v>373</v>
      </c>
      <c r="Z109" s="404" t="s">
        <v>375</v>
      </c>
      <c r="AA109" s="405"/>
      <c r="AB109" s="405"/>
      <c r="AC109" s="406"/>
      <c r="AD109" s="389" t="s">
        <v>373</v>
      </c>
      <c r="AE109" s="404" t="s">
        <v>375</v>
      </c>
      <c r="AF109" s="405"/>
      <c r="AG109" s="405"/>
      <c r="AH109" s="406"/>
      <c r="AI109" s="389" t="s">
        <v>373</v>
      </c>
      <c r="AJ109" s="404" t="s">
        <v>375</v>
      </c>
      <c r="AK109" s="405"/>
      <c r="AL109" s="405"/>
      <c r="AM109" s="406"/>
      <c r="AN109" s="389" t="s">
        <v>373</v>
      </c>
      <c r="AO109" s="404" t="s">
        <v>375</v>
      </c>
      <c r="AP109" s="405"/>
      <c r="AQ109" s="405"/>
      <c r="AR109" s="406"/>
      <c r="AS109" s="389" t="s">
        <v>373</v>
      </c>
      <c r="AT109" s="404" t="s">
        <v>375</v>
      </c>
      <c r="AU109" s="405"/>
      <c r="AV109" s="405"/>
      <c r="AW109" s="406"/>
      <c r="AX109" s="389" t="s">
        <v>373</v>
      </c>
      <c r="BA109" s="389" t="s">
        <v>373</v>
      </c>
    </row>
    <row r="110" spans="2:53">
      <c r="B110" s="389"/>
      <c r="C110" s="389"/>
      <c r="D110" s="389"/>
      <c r="E110" s="389" t="s">
        <v>380</v>
      </c>
      <c r="F110" s="389"/>
      <c r="G110" s="389"/>
      <c r="H110" s="418"/>
      <c r="I110" s="389" t="s">
        <v>380</v>
      </c>
      <c r="J110" s="389"/>
      <c r="K110" s="389"/>
      <c r="L110" s="418"/>
      <c r="M110" s="392"/>
      <c r="N110" s="389"/>
      <c r="O110" s="389"/>
      <c r="P110" s="404" t="s">
        <v>381</v>
      </c>
      <c r="Q110" s="405"/>
      <c r="R110" s="405"/>
      <c r="S110" s="406"/>
      <c r="T110" s="389"/>
      <c r="U110" s="404" t="s">
        <v>381</v>
      </c>
      <c r="V110" s="405"/>
      <c r="W110" s="405"/>
      <c r="X110" s="406"/>
      <c r="Y110" s="389"/>
      <c r="Z110" s="404" t="s">
        <v>381</v>
      </c>
      <c r="AA110" s="405"/>
      <c r="AB110" s="405"/>
      <c r="AC110" s="406"/>
      <c r="AD110" s="389"/>
      <c r="AE110" s="404" t="s">
        <v>381</v>
      </c>
      <c r="AF110" s="405"/>
      <c r="AG110" s="405"/>
      <c r="AH110" s="406"/>
      <c r="AI110" s="389"/>
      <c r="AJ110" s="404" t="s">
        <v>381</v>
      </c>
      <c r="AK110" s="405"/>
      <c r="AL110" s="405"/>
      <c r="AM110" s="406"/>
      <c r="AN110" s="389"/>
      <c r="AO110" s="404" t="s">
        <v>381</v>
      </c>
      <c r="AP110" s="405"/>
      <c r="AQ110" s="405"/>
      <c r="AR110" s="406"/>
      <c r="AS110" s="389"/>
      <c r="AT110" s="404" t="s">
        <v>381</v>
      </c>
      <c r="AU110" s="405"/>
      <c r="AV110" s="405"/>
      <c r="AW110" s="406"/>
      <c r="AX110" s="389"/>
      <c r="BA110" s="389"/>
    </row>
    <row r="111" spans="2:53">
      <c r="B111" s="389"/>
      <c r="C111" s="389"/>
      <c r="D111" s="389"/>
      <c r="E111" s="258" t="s">
        <v>382</v>
      </c>
      <c r="F111" s="258" t="s">
        <v>383</v>
      </c>
      <c r="G111" s="258" t="s">
        <v>384</v>
      </c>
      <c r="H111" s="419"/>
      <c r="I111" s="258" t="s">
        <v>382</v>
      </c>
      <c r="J111" s="258" t="s">
        <v>383</v>
      </c>
      <c r="K111" s="258" t="s">
        <v>384</v>
      </c>
      <c r="L111" s="419"/>
      <c r="M111" s="393"/>
      <c r="N111" s="389"/>
      <c r="O111" s="389"/>
      <c r="P111" s="258" t="s">
        <v>382</v>
      </c>
      <c r="Q111" s="258" t="s">
        <v>383</v>
      </c>
      <c r="R111" s="258" t="s">
        <v>384</v>
      </c>
      <c r="S111" s="258" t="s">
        <v>374</v>
      </c>
      <c r="T111" s="389"/>
      <c r="U111" s="258" t="s">
        <v>382</v>
      </c>
      <c r="V111" s="258" t="s">
        <v>383</v>
      </c>
      <c r="W111" s="258" t="s">
        <v>384</v>
      </c>
      <c r="X111" s="258" t="s">
        <v>374</v>
      </c>
      <c r="Y111" s="389"/>
      <c r="Z111" s="258" t="s">
        <v>382</v>
      </c>
      <c r="AA111" s="258" t="s">
        <v>383</v>
      </c>
      <c r="AB111" s="258" t="s">
        <v>384</v>
      </c>
      <c r="AC111" s="258" t="s">
        <v>374</v>
      </c>
      <c r="AD111" s="389"/>
      <c r="AE111" s="258" t="s">
        <v>382</v>
      </c>
      <c r="AF111" s="258" t="s">
        <v>383</v>
      </c>
      <c r="AG111" s="258" t="s">
        <v>384</v>
      </c>
      <c r="AH111" s="258" t="s">
        <v>374</v>
      </c>
      <c r="AI111" s="389"/>
      <c r="AJ111" s="258" t="s">
        <v>382</v>
      </c>
      <c r="AK111" s="258" t="s">
        <v>383</v>
      </c>
      <c r="AL111" s="258" t="s">
        <v>384</v>
      </c>
      <c r="AM111" s="258" t="s">
        <v>374</v>
      </c>
      <c r="AN111" s="389"/>
      <c r="AO111" s="258" t="s">
        <v>382</v>
      </c>
      <c r="AP111" s="258" t="s">
        <v>383</v>
      </c>
      <c r="AQ111" s="258" t="s">
        <v>384</v>
      </c>
      <c r="AR111" s="258" t="s">
        <v>374</v>
      </c>
      <c r="AS111" s="389"/>
      <c r="AT111" s="258" t="s">
        <v>382</v>
      </c>
      <c r="AU111" s="258" t="s">
        <v>383</v>
      </c>
      <c r="AV111" s="258" t="s">
        <v>384</v>
      </c>
      <c r="AW111" s="258" t="s">
        <v>374</v>
      </c>
      <c r="AX111" s="389"/>
      <c r="AZ111" s="258" t="s">
        <v>374</v>
      </c>
      <c r="BA111" s="389"/>
    </row>
    <row r="112" spans="2:53">
      <c r="B112" s="395" t="s">
        <v>150</v>
      </c>
      <c r="C112" s="182">
        <v>1</v>
      </c>
      <c r="D112" s="182" t="s">
        <v>339</v>
      </c>
      <c r="E112" s="182">
        <v>3</v>
      </c>
      <c r="F112" s="182">
        <v>3200</v>
      </c>
      <c r="G112" s="166">
        <v>1066.6666666666667</v>
      </c>
      <c r="H112" s="384">
        <f>AVERAGE(G112:G141)</f>
        <v>787.50000000000011</v>
      </c>
      <c r="I112" s="166">
        <f>IFERROR(AVERAGE(P112,U112,Z112,AE112,AJ112,AO112,AT112),"-")</f>
        <v>3</v>
      </c>
      <c r="J112" s="166">
        <f>IFERROR(AVERAGE(Q112,V112,AA112,AF112,AK112,AP112,AU112),"-")</f>
        <v>3204.2142271532116</v>
      </c>
      <c r="K112" s="180">
        <f>IFERROR(AVERAGE(R112,W112,AB112,AG112,AL112,AQ112,AV112),"-")</f>
        <v>1068.0714090510705</v>
      </c>
      <c r="L112" s="401">
        <f>IFERROR(AVERAGE(K112:K141),"-")</f>
        <v>803.62057416112805</v>
      </c>
      <c r="M112" s="166">
        <f>RANK(K112, K$112:$K$141)</f>
        <v>2</v>
      </c>
      <c r="N112" s="389"/>
      <c r="O112" s="389"/>
      <c r="P112" s="166">
        <v>3</v>
      </c>
      <c r="Q112" s="166">
        <v>3257.1428571428546</v>
      </c>
      <c r="R112" s="166">
        <v>1085.7142857142849</v>
      </c>
      <c r="S112" s="182">
        <f t="shared" ref="S112:S141" si="49">RANK(R112, R$112:R$141)</f>
        <v>1</v>
      </c>
      <c r="T112" s="384">
        <f t="shared" ref="T112" si="50">AVERAGE(R112:R141)</f>
        <v>805.5473282689718</v>
      </c>
      <c r="U112" s="166">
        <v>3</v>
      </c>
      <c r="V112" s="166">
        <v>3161.0526315789457</v>
      </c>
      <c r="W112" s="166">
        <v>1053.6842105263152</v>
      </c>
      <c r="X112" s="182">
        <f t="shared" ref="X112:X141" si="51">RANK(W112, W$112:W$141)</f>
        <v>5</v>
      </c>
      <c r="Y112" s="384">
        <f t="shared" ref="Y112" si="52">AVERAGE(W112:W141)</f>
        <v>796.46647373781525</v>
      </c>
      <c r="Z112" s="166">
        <v>3</v>
      </c>
      <c r="AA112" s="166">
        <v>3171.1111111111131</v>
      </c>
      <c r="AB112" s="166">
        <v>1057.0370370370376</v>
      </c>
      <c r="AC112" s="182">
        <f t="shared" ref="AC112:AC141" si="53">RANK(AB112, AB$112:AB$141)</f>
        <v>8</v>
      </c>
      <c r="AD112" s="384">
        <f t="shared" ref="AD112" si="54">AVERAGE(AB112:AB141)</f>
        <v>804.10094731155823</v>
      </c>
      <c r="AE112" s="166">
        <v>3</v>
      </c>
      <c r="AF112" s="166">
        <v>3167.7551020408173</v>
      </c>
      <c r="AG112" s="166">
        <v>1055.918367346939</v>
      </c>
      <c r="AH112" s="182">
        <f t="shared" ref="AH112:AH141" si="55">RANK(AG112, AG$112:AG$141)</f>
        <v>3</v>
      </c>
      <c r="AI112" s="384">
        <f t="shared" ref="AI112" si="56">AVERAGE(AG112:AG141)</f>
        <v>793.82736500630767</v>
      </c>
      <c r="AJ112" s="166">
        <v>3</v>
      </c>
      <c r="AK112" s="166">
        <v>3255.652173913038</v>
      </c>
      <c r="AL112" s="166">
        <v>1085.2173913043459</v>
      </c>
      <c r="AM112" s="182">
        <f t="shared" ref="AM112:AM141" si="57">RANK(AL112, AL$112:AL$141)</f>
        <v>5</v>
      </c>
      <c r="AN112" s="384">
        <f t="shared" ref="AN112" si="58">AVERAGE(AL112:AL141)</f>
        <v>819.99128950571173</v>
      </c>
      <c r="AO112" s="166">
        <v>3</v>
      </c>
      <c r="AP112" s="166">
        <v>3183.2142857142835</v>
      </c>
      <c r="AQ112" s="166">
        <v>1061.0714285714278</v>
      </c>
      <c r="AR112" s="182">
        <f t="shared" ref="AR112:AR141" si="59">RANK(AQ112, AQ$112:AQ$141)</f>
        <v>3</v>
      </c>
      <c r="AS112" s="384">
        <f t="shared" ref="AS112" si="60">AVERAGE(AQ112:AQ141)</f>
        <v>787.49711606844517</v>
      </c>
      <c r="AT112" s="166">
        <v>3</v>
      </c>
      <c r="AU112" s="166">
        <v>3233.5714285714307</v>
      </c>
      <c r="AV112" s="166">
        <v>1077.8571428571436</v>
      </c>
      <c r="AW112" s="182">
        <f t="shared" ref="AW112:AW141" si="61">RANK(AV112, AV$112:AV$141)</f>
        <v>5</v>
      </c>
      <c r="AX112" s="384">
        <f t="shared" ref="AX112" si="62">AVERAGE(AV112:AV141)</f>
        <v>848.00306632659567</v>
      </c>
      <c r="AZ112" s="182" t="e">
        <f t="shared" ref="AZ112:AZ141" si="63">RANK(AY112, AY$112:AY$141)</f>
        <v>#N/A</v>
      </c>
      <c r="BA112" s="384" t="e">
        <f t="shared" ref="BA112" si="64">AVERAGE(AY112:AY141)</f>
        <v>#DIV/0!</v>
      </c>
    </row>
    <row r="113" spans="2:53">
      <c r="B113" s="395"/>
      <c r="C113" s="182">
        <v>2</v>
      </c>
      <c r="D113" s="258" t="s">
        <v>340</v>
      </c>
      <c r="E113" s="182">
        <v>3</v>
      </c>
      <c r="F113" s="182">
        <v>3200</v>
      </c>
      <c r="G113" s="166">
        <v>1066.6666666666667</v>
      </c>
      <c r="H113" s="385"/>
      <c r="I113" s="166">
        <f t="shared" ref="I113:I141" si="65">IFERROR(AVERAGE(P113,U113,Z113,AE113,AJ113,AO113,AT113),"-")</f>
        <v>3</v>
      </c>
      <c r="J113" s="166">
        <f t="shared" ref="J113:J141" si="66">IFERROR(AVERAGE(Q113,V113,AA113,AF113,AK113,AP113,AU113),"-")</f>
        <v>3217.4922074092742</v>
      </c>
      <c r="K113" s="180">
        <f t="shared" ref="K113:K141" si="67">IFERROR(AVERAGE(R113,W113,AB113,AG113,AL113,AQ113,AV113),"-")</f>
        <v>1072.4974024697578</v>
      </c>
      <c r="L113" s="402"/>
      <c r="M113" s="166">
        <f>RANK(K113, K$112:$K$141)</f>
        <v>1</v>
      </c>
      <c r="N113" s="389"/>
      <c r="O113" s="389"/>
      <c r="P113" s="166">
        <v>3</v>
      </c>
      <c r="Q113" s="166">
        <v>3239.9999999999973</v>
      </c>
      <c r="R113" s="166">
        <v>1079.9999999999991</v>
      </c>
      <c r="S113" s="182">
        <f t="shared" si="49"/>
        <v>3</v>
      </c>
      <c r="T113" s="385"/>
      <c r="U113" s="166">
        <v>3</v>
      </c>
      <c r="V113" s="166">
        <v>3193.3333333333308</v>
      </c>
      <c r="W113" s="166">
        <v>1064.4444444444437</v>
      </c>
      <c r="X113" s="182">
        <f t="shared" si="51"/>
        <v>2</v>
      </c>
      <c r="Y113" s="385"/>
      <c r="Z113" s="166">
        <v>3</v>
      </c>
      <c r="AA113" s="166">
        <v>3179.9999999999973</v>
      </c>
      <c r="AB113" s="166">
        <v>1059.9999999999991</v>
      </c>
      <c r="AC113" s="182">
        <f t="shared" si="53"/>
        <v>6</v>
      </c>
      <c r="AD113" s="385"/>
      <c r="AE113" s="166">
        <v>3</v>
      </c>
      <c r="AF113" s="166">
        <v>3142.4999999999959</v>
      </c>
      <c r="AG113" s="166">
        <v>1047.4999999999986</v>
      </c>
      <c r="AH113" s="182">
        <f t="shared" si="55"/>
        <v>7</v>
      </c>
      <c r="AI113" s="385"/>
      <c r="AJ113" s="166">
        <v>3</v>
      </c>
      <c r="AK113" s="166">
        <v>3415.714285714278</v>
      </c>
      <c r="AL113" s="166">
        <v>1138.5714285714259</v>
      </c>
      <c r="AM113" s="182">
        <f t="shared" si="57"/>
        <v>1</v>
      </c>
      <c r="AN113" s="385"/>
      <c r="AO113" s="166">
        <v>3</v>
      </c>
      <c r="AP113" s="166">
        <v>3047.3684210526167</v>
      </c>
      <c r="AQ113" s="166">
        <v>1015.7894736842055</v>
      </c>
      <c r="AR113" s="182">
        <f t="shared" si="59"/>
        <v>8</v>
      </c>
      <c r="AS113" s="385"/>
      <c r="AT113" s="166">
        <v>3</v>
      </c>
      <c r="AU113" s="166">
        <v>3303.5294117647018</v>
      </c>
      <c r="AV113" s="166">
        <v>1101.176470588234</v>
      </c>
      <c r="AW113" s="182">
        <f t="shared" si="61"/>
        <v>1</v>
      </c>
      <c r="AX113" s="385"/>
      <c r="AZ113" s="182" t="e">
        <f t="shared" si="63"/>
        <v>#N/A</v>
      </c>
      <c r="BA113" s="385"/>
    </row>
    <row r="114" spans="2:53">
      <c r="B114" s="395"/>
      <c r="C114" s="182">
        <v>3</v>
      </c>
      <c r="D114" s="182" t="s">
        <v>330</v>
      </c>
      <c r="E114" s="182">
        <v>4</v>
      </c>
      <c r="F114" s="182">
        <v>3200</v>
      </c>
      <c r="G114" s="166">
        <v>800</v>
      </c>
      <c r="H114" s="385"/>
      <c r="I114" s="166">
        <f t="shared" si="65"/>
        <v>4</v>
      </c>
      <c r="J114" s="166">
        <f t="shared" si="66"/>
        <v>3210.9172932330835</v>
      </c>
      <c r="K114" s="180">
        <f t="shared" si="67"/>
        <v>802.72932330827086</v>
      </c>
      <c r="L114" s="402"/>
      <c r="M114" s="166">
        <f>RANK(K114, K$112:$K$141)</f>
        <v>12</v>
      </c>
      <c r="N114" s="389"/>
      <c r="O114" s="389"/>
      <c r="P114" s="166">
        <v>4</v>
      </c>
      <c r="Q114" s="166">
        <v>3264.0000000000114</v>
      </c>
      <c r="R114" s="166">
        <v>816.00000000000284</v>
      </c>
      <c r="S114" s="182">
        <f t="shared" si="49"/>
        <v>13</v>
      </c>
      <c r="T114" s="385"/>
      <c r="U114" s="166">
        <v>4</v>
      </c>
      <c r="V114" s="166">
        <v>3189.0000000000114</v>
      </c>
      <c r="W114" s="166">
        <v>797.25000000000284</v>
      </c>
      <c r="X114" s="182">
        <f t="shared" si="51"/>
        <v>14</v>
      </c>
      <c r="Y114" s="385"/>
      <c r="Z114" s="166">
        <v>4</v>
      </c>
      <c r="AA114" s="166">
        <v>3129.0000000000109</v>
      </c>
      <c r="AB114" s="166">
        <v>782.25000000000273</v>
      </c>
      <c r="AC114" s="182">
        <f t="shared" si="53"/>
        <v>15</v>
      </c>
      <c r="AD114" s="385"/>
      <c r="AE114" s="166">
        <v>4</v>
      </c>
      <c r="AF114" s="166">
        <v>3179.9999999999814</v>
      </c>
      <c r="AG114" s="166">
        <v>794.99999999999534</v>
      </c>
      <c r="AH114" s="182">
        <f t="shared" si="55"/>
        <v>13</v>
      </c>
      <c r="AI114" s="385"/>
      <c r="AJ114" s="166">
        <v>4</v>
      </c>
      <c r="AK114" s="166">
        <v>3343.9999999999941</v>
      </c>
      <c r="AL114" s="166">
        <v>835.99999999999852</v>
      </c>
      <c r="AM114" s="182">
        <f t="shared" si="57"/>
        <v>12</v>
      </c>
      <c r="AN114" s="385"/>
      <c r="AO114" s="166">
        <v>4</v>
      </c>
      <c r="AP114" s="166">
        <v>3101.9999999999991</v>
      </c>
      <c r="AQ114" s="166">
        <v>775.49999999999977</v>
      </c>
      <c r="AR114" s="182">
        <f t="shared" si="59"/>
        <v>14</v>
      </c>
      <c r="AS114" s="385"/>
      <c r="AT114" s="166">
        <v>4</v>
      </c>
      <c r="AU114" s="166">
        <v>3268.4210526315765</v>
      </c>
      <c r="AV114" s="166">
        <v>817.10526315789411</v>
      </c>
      <c r="AW114" s="182">
        <f t="shared" si="61"/>
        <v>14</v>
      </c>
      <c r="AX114" s="385"/>
      <c r="AZ114" s="182" t="e">
        <f t="shared" si="63"/>
        <v>#N/A</v>
      </c>
      <c r="BA114" s="385"/>
    </row>
    <row r="115" spans="2:53">
      <c r="B115" s="395"/>
      <c r="C115" s="182">
        <v>4</v>
      </c>
      <c r="D115" s="182" t="s">
        <v>341</v>
      </c>
      <c r="E115" s="182">
        <v>3</v>
      </c>
      <c r="F115" s="182">
        <v>3200</v>
      </c>
      <c r="G115" s="166">
        <v>1066.6666666666667</v>
      </c>
      <c r="H115" s="385"/>
      <c r="I115" s="166">
        <f t="shared" si="65"/>
        <v>3</v>
      </c>
      <c r="J115" s="166">
        <f t="shared" si="66"/>
        <v>3197.9817531318722</v>
      </c>
      <c r="K115" s="180">
        <f t="shared" si="67"/>
        <v>1065.9939177106241</v>
      </c>
      <c r="L115" s="402"/>
      <c r="M115" s="166">
        <f>RANK(K115, K$112:$K$141)</f>
        <v>4</v>
      </c>
      <c r="N115" s="389"/>
      <c r="O115" s="389"/>
      <c r="P115" s="166">
        <v>3</v>
      </c>
      <c r="Q115" s="166">
        <v>3212.5531914893591</v>
      </c>
      <c r="R115" s="166">
        <v>1070.8510638297864</v>
      </c>
      <c r="S115" s="182">
        <f t="shared" si="49"/>
        <v>6</v>
      </c>
      <c r="T115" s="385"/>
      <c r="U115" s="166">
        <v>3</v>
      </c>
      <c r="V115" s="166">
        <v>3205.8064516129034</v>
      </c>
      <c r="W115" s="166">
        <v>1068.6021505376345</v>
      </c>
      <c r="X115" s="182">
        <f t="shared" si="51"/>
        <v>1</v>
      </c>
      <c r="Y115" s="385"/>
      <c r="Z115" s="166">
        <v>3</v>
      </c>
      <c r="AA115" s="166">
        <v>3186.6666666666697</v>
      </c>
      <c r="AB115" s="166">
        <v>1062.2222222222233</v>
      </c>
      <c r="AC115" s="182">
        <f t="shared" si="53"/>
        <v>4</v>
      </c>
      <c r="AD115" s="385"/>
      <c r="AE115" s="166">
        <v>3</v>
      </c>
      <c r="AF115" s="166">
        <v>3163.4210526315769</v>
      </c>
      <c r="AG115" s="166">
        <v>1054.4736842105256</v>
      </c>
      <c r="AH115" s="182">
        <f t="shared" si="55"/>
        <v>5</v>
      </c>
      <c r="AI115" s="385"/>
      <c r="AJ115" s="166">
        <v>3</v>
      </c>
      <c r="AK115" s="166">
        <v>3231.5492957746446</v>
      </c>
      <c r="AL115" s="166">
        <v>1077.1830985915483</v>
      </c>
      <c r="AM115" s="182">
        <f t="shared" si="57"/>
        <v>6</v>
      </c>
      <c r="AN115" s="385"/>
      <c r="AO115" s="166">
        <v>3</v>
      </c>
      <c r="AP115" s="166">
        <v>3170.7692307692337</v>
      </c>
      <c r="AQ115" s="166">
        <v>1056.9230769230778</v>
      </c>
      <c r="AR115" s="182">
        <f t="shared" si="59"/>
        <v>4</v>
      </c>
      <c r="AS115" s="385"/>
      <c r="AT115" s="166">
        <v>3</v>
      </c>
      <c r="AU115" s="166">
        <v>3215.1063829787208</v>
      </c>
      <c r="AV115" s="166">
        <v>1071.7021276595735</v>
      </c>
      <c r="AW115" s="182">
        <f t="shared" si="61"/>
        <v>8</v>
      </c>
      <c r="AX115" s="385"/>
      <c r="AZ115" s="182" t="e">
        <f t="shared" si="63"/>
        <v>#N/A</v>
      </c>
      <c r="BA115" s="385"/>
    </row>
    <row r="116" spans="2:53">
      <c r="B116" s="395"/>
      <c r="C116" s="182">
        <v>5</v>
      </c>
      <c r="D116" s="182" t="s">
        <v>596</v>
      </c>
      <c r="E116" s="182">
        <v>4</v>
      </c>
      <c r="F116" s="182">
        <v>3200</v>
      </c>
      <c r="G116" s="166">
        <v>800</v>
      </c>
      <c r="H116" s="385"/>
      <c r="I116" s="166">
        <f t="shared" si="65"/>
        <v>4</v>
      </c>
      <c r="J116" s="166">
        <f t="shared" si="66"/>
        <v>3189.6783315206967</v>
      </c>
      <c r="K116" s="180">
        <f t="shared" si="67"/>
        <v>797.41958288017418</v>
      </c>
      <c r="L116" s="402"/>
      <c r="M116" s="166">
        <f>RANK(K116, K$112:$K$141)</f>
        <v>15</v>
      </c>
      <c r="N116" s="389"/>
      <c r="O116" s="389"/>
      <c r="P116" s="166">
        <v>4</v>
      </c>
      <c r="Q116" s="166">
        <v>3246.2068965517178</v>
      </c>
      <c r="R116" s="166">
        <v>811.55172413792945</v>
      </c>
      <c r="S116" s="182">
        <f t="shared" si="49"/>
        <v>14</v>
      </c>
      <c r="T116" s="385"/>
      <c r="U116" s="166">
        <v>4</v>
      </c>
      <c r="V116" s="166">
        <v>3196.5517241379425</v>
      </c>
      <c r="W116" s="166">
        <v>799.13793103448563</v>
      </c>
      <c r="X116" s="182">
        <f t="shared" si="51"/>
        <v>13</v>
      </c>
      <c r="Y116" s="385"/>
      <c r="Z116" s="166">
        <v>4</v>
      </c>
      <c r="AA116" s="166">
        <v>3148.0000000000032</v>
      </c>
      <c r="AB116" s="166">
        <v>787.0000000000008</v>
      </c>
      <c r="AC116" s="182">
        <f t="shared" si="53"/>
        <v>13</v>
      </c>
      <c r="AD116" s="385"/>
      <c r="AE116" s="166">
        <v>4</v>
      </c>
      <c r="AF116" s="166">
        <v>3155.9999999999909</v>
      </c>
      <c r="AG116" s="166">
        <v>788.99999999999773</v>
      </c>
      <c r="AH116" s="182">
        <f t="shared" si="55"/>
        <v>14</v>
      </c>
      <c r="AI116" s="385"/>
      <c r="AJ116" s="166">
        <v>4</v>
      </c>
      <c r="AK116" s="166">
        <v>3218.1818181818294</v>
      </c>
      <c r="AL116" s="166">
        <v>804.54545454545735</v>
      </c>
      <c r="AM116" s="182">
        <f t="shared" si="57"/>
        <v>16</v>
      </c>
      <c r="AN116" s="385"/>
      <c r="AO116" s="166">
        <v>4</v>
      </c>
      <c r="AP116" s="166">
        <v>3101.3793103448215</v>
      </c>
      <c r="AQ116" s="166">
        <v>775.34482758620538</v>
      </c>
      <c r="AR116" s="182">
        <f t="shared" si="59"/>
        <v>15</v>
      </c>
      <c r="AS116" s="385"/>
      <c r="AT116" s="166">
        <v>4</v>
      </c>
      <c r="AU116" s="166">
        <v>3261.4285714285738</v>
      </c>
      <c r="AV116" s="166">
        <v>815.35714285714346</v>
      </c>
      <c r="AW116" s="182">
        <f t="shared" si="61"/>
        <v>16</v>
      </c>
      <c r="AX116" s="385"/>
      <c r="AZ116" s="182" t="e">
        <f t="shared" si="63"/>
        <v>#N/A</v>
      </c>
      <c r="BA116" s="385"/>
    </row>
    <row r="117" spans="2:53">
      <c r="B117" s="395"/>
      <c r="C117" s="182">
        <v>6</v>
      </c>
      <c r="D117" s="182" t="s">
        <v>597</v>
      </c>
      <c r="E117" s="182">
        <v>4</v>
      </c>
      <c r="F117" s="182">
        <v>3200</v>
      </c>
      <c r="G117" s="166">
        <v>800</v>
      </c>
      <c r="H117" s="385"/>
      <c r="I117" s="166">
        <f t="shared" si="65"/>
        <v>4</v>
      </c>
      <c r="J117" s="166">
        <f t="shared" si="66"/>
        <v>3209.4999286427869</v>
      </c>
      <c r="K117" s="180">
        <f t="shared" si="67"/>
        <v>802.37498216069673</v>
      </c>
      <c r="L117" s="402"/>
      <c r="M117" s="166">
        <f>RANK(K117, K$112:$K$141)</f>
        <v>13</v>
      </c>
      <c r="N117" s="389"/>
      <c r="O117" s="389"/>
      <c r="P117" s="166">
        <v>4</v>
      </c>
      <c r="Q117" s="166">
        <v>3344.0000000000118</v>
      </c>
      <c r="R117" s="166">
        <v>836.00000000000296</v>
      </c>
      <c r="S117" s="182">
        <f t="shared" si="49"/>
        <v>12</v>
      </c>
      <c r="T117" s="385"/>
      <c r="U117" s="166">
        <v>4</v>
      </c>
      <c r="V117" s="166">
        <v>3211.9999999999945</v>
      </c>
      <c r="W117" s="166">
        <v>802.99999999999864</v>
      </c>
      <c r="X117" s="182">
        <f t="shared" si="51"/>
        <v>12</v>
      </c>
      <c r="Y117" s="385"/>
      <c r="Z117" s="166">
        <v>4</v>
      </c>
      <c r="AA117" s="166">
        <v>3139.9999999999945</v>
      </c>
      <c r="AB117" s="166">
        <v>784.99999999999864</v>
      </c>
      <c r="AC117" s="182">
        <f t="shared" si="53"/>
        <v>14</v>
      </c>
      <c r="AD117" s="385"/>
      <c r="AE117" s="166">
        <v>4</v>
      </c>
      <c r="AF117" s="166">
        <v>3041.5384615384537</v>
      </c>
      <c r="AG117" s="166">
        <v>760.38461538461343</v>
      </c>
      <c r="AH117" s="182">
        <f t="shared" si="55"/>
        <v>15</v>
      </c>
      <c r="AI117" s="385"/>
      <c r="AJ117" s="166">
        <v>4</v>
      </c>
      <c r="AK117" s="166">
        <v>3321.8181818181934</v>
      </c>
      <c r="AL117" s="166">
        <v>830.45454545454834</v>
      </c>
      <c r="AM117" s="182">
        <f t="shared" si="57"/>
        <v>13</v>
      </c>
      <c r="AN117" s="385"/>
      <c r="AO117" s="166">
        <v>4</v>
      </c>
      <c r="AP117" s="166">
        <v>3060.0000000000109</v>
      </c>
      <c r="AQ117" s="166">
        <v>765.00000000000273</v>
      </c>
      <c r="AR117" s="182">
        <f t="shared" si="59"/>
        <v>16</v>
      </c>
      <c r="AS117" s="385"/>
      <c r="AT117" s="166">
        <v>4</v>
      </c>
      <c r="AU117" s="166">
        <v>3347.1428571428496</v>
      </c>
      <c r="AV117" s="166">
        <v>836.7857142857124</v>
      </c>
      <c r="AW117" s="182">
        <f t="shared" si="61"/>
        <v>13</v>
      </c>
      <c r="AX117" s="385"/>
      <c r="AZ117" s="182" t="e">
        <f t="shared" si="63"/>
        <v>#N/A</v>
      </c>
      <c r="BA117" s="385"/>
    </row>
    <row r="118" spans="2:53">
      <c r="B118" s="395"/>
      <c r="C118" s="182">
        <v>7</v>
      </c>
      <c r="D118" s="182" t="s">
        <v>342</v>
      </c>
      <c r="E118" s="182">
        <v>4</v>
      </c>
      <c r="F118" s="182">
        <v>2800</v>
      </c>
      <c r="G118" s="166">
        <v>700</v>
      </c>
      <c r="H118" s="385"/>
      <c r="I118" s="166">
        <f t="shared" si="65"/>
        <v>4</v>
      </c>
      <c r="J118" s="166">
        <f t="shared" si="66"/>
        <v>3140.7582417582425</v>
      </c>
      <c r="K118" s="180">
        <f t="shared" si="67"/>
        <v>785.18956043956064</v>
      </c>
      <c r="L118" s="402"/>
      <c r="M118" s="166">
        <f>RANK(K118, K$112:$K$141)</f>
        <v>16</v>
      </c>
      <c r="N118" s="389"/>
      <c r="O118" s="389"/>
      <c r="P118" s="166">
        <v>4</v>
      </c>
      <c r="Q118" s="166">
        <v>3193.8461538461556</v>
      </c>
      <c r="R118" s="166">
        <v>798.46153846153891</v>
      </c>
      <c r="S118" s="182">
        <f t="shared" si="49"/>
        <v>16</v>
      </c>
      <c r="T118" s="385"/>
      <c r="U118" s="166">
        <v>4</v>
      </c>
      <c r="V118" s="166">
        <v>3180.0000000000018</v>
      </c>
      <c r="W118" s="166">
        <v>795.00000000000045</v>
      </c>
      <c r="X118" s="182">
        <f t="shared" si="51"/>
        <v>16</v>
      </c>
      <c r="Y118" s="385"/>
      <c r="Z118" s="166">
        <v>4</v>
      </c>
      <c r="AA118" s="166">
        <v>3000.0000000000018</v>
      </c>
      <c r="AB118" s="166">
        <v>750.00000000000045</v>
      </c>
      <c r="AC118" s="182">
        <f t="shared" si="53"/>
        <v>16</v>
      </c>
      <c r="AD118" s="385"/>
      <c r="AE118" s="166">
        <v>4</v>
      </c>
      <c r="AF118" s="166">
        <v>2980.0000000000009</v>
      </c>
      <c r="AG118" s="166">
        <v>745.00000000000023</v>
      </c>
      <c r="AH118" s="182">
        <f t="shared" si="55"/>
        <v>18</v>
      </c>
      <c r="AI118" s="385"/>
      <c r="AJ118" s="166">
        <v>4</v>
      </c>
      <c r="AK118" s="166">
        <v>3227.9999999999991</v>
      </c>
      <c r="AL118" s="166">
        <v>806.99999999999977</v>
      </c>
      <c r="AM118" s="182">
        <f t="shared" si="57"/>
        <v>15</v>
      </c>
      <c r="AN118" s="385"/>
      <c r="AO118" s="166">
        <v>4</v>
      </c>
      <c r="AP118" s="166">
        <v>3138.4615384615399</v>
      </c>
      <c r="AQ118" s="166">
        <v>784.61538461538498</v>
      </c>
      <c r="AR118" s="182">
        <f t="shared" si="59"/>
        <v>13</v>
      </c>
      <c r="AS118" s="385"/>
      <c r="AT118" s="166">
        <v>4</v>
      </c>
      <c r="AU118" s="166">
        <v>3265.0000000000009</v>
      </c>
      <c r="AV118" s="166">
        <v>816.25000000000023</v>
      </c>
      <c r="AW118" s="182">
        <f t="shared" si="61"/>
        <v>15</v>
      </c>
      <c r="AX118" s="385"/>
      <c r="AZ118" s="182" t="e">
        <f t="shared" si="63"/>
        <v>#N/A</v>
      </c>
      <c r="BA118" s="385"/>
    </row>
    <row r="119" spans="2:53">
      <c r="B119" s="395"/>
      <c r="C119" s="182">
        <v>8</v>
      </c>
      <c r="D119" s="182" t="s">
        <v>343</v>
      </c>
      <c r="E119" s="182">
        <v>3</v>
      </c>
      <c r="F119" s="182">
        <v>3200</v>
      </c>
      <c r="G119" s="166">
        <v>1066.6666666666667</v>
      </c>
      <c r="H119" s="385"/>
      <c r="I119" s="166">
        <f t="shared" si="65"/>
        <v>3</v>
      </c>
      <c r="J119" s="166">
        <f t="shared" si="66"/>
        <v>3178.0105917441829</v>
      </c>
      <c r="K119" s="180">
        <f t="shared" si="67"/>
        <v>1059.3368639147277</v>
      </c>
      <c r="L119" s="402"/>
      <c r="M119" s="166">
        <f>RANK(K119, K$112:$K$141)</f>
        <v>8</v>
      </c>
      <c r="N119" s="389"/>
      <c r="O119" s="389"/>
      <c r="P119" s="166">
        <v>3</v>
      </c>
      <c r="Q119" s="166">
        <v>3147.0967741935433</v>
      </c>
      <c r="R119" s="166">
        <v>1049.0322580645145</v>
      </c>
      <c r="S119" s="182">
        <f t="shared" si="49"/>
        <v>7</v>
      </c>
      <c r="T119" s="385"/>
      <c r="U119" s="166">
        <v>3</v>
      </c>
      <c r="V119" s="166">
        <v>3114.1935483870921</v>
      </c>
      <c r="W119" s="166">
        <v>1038.0645161290306</v>
      </c>
      <c r="X119" s="182">
        <f t="shared" si="51"/>
        <v>8</v>
      </c>
      <c r="Y119" s="385"/>
      <c r="Z119" s="166">
        <v>3</v>
      </c>
      <c r="AA119" s="166">
        <v>3182.0689655172391</v>
      </c>
      <c r="AB119" s="166">
        <v>1060.689655172413</v>
      </c>
      <c r="AC119" s="182">
        <f t="shared" si="53"/>
        <v>5</v>
      </c>
      <c r="AD119" s="385"/>
      <c r="AE119" s="166">
        <v>3</v>
      </c>
      <c r="AF119" s="166">
        <v>3143.0769230769297</v>
      </c>
      <c r="AG119" s="166">
        <v>1047.6923076923099</v>
      </c>
      <c r="AH119" s="182">
        <f t="shared" si="55"/>
        <v>6</v>
      </c>
      <c r="AI119" s="385"/>
      <c r="AJ119" s="166">
        <v>3</v>
      </c>
      <c r="AK119" s="166">
        <v>3257.499999999995</v>
      </c>
      <c r="AL119" s="166">
        <v>1085.8333333333317</v>
      </c>
      <c r="AM119" s="182">
        <f t="shared" si="57"/>
        <v>4</v>
      </c>
      <c r="AN119" s="385"/>
      <c r="AO119" s="166">
        <v>3</v>
      </c>
      <c r="AP119" s="166">
        <v>3157.9999999999945</v>
      </c>
      <c r="AQ119" s="166">
        <v>1052.6666666666649</v>
      </c>
      <c r="AR119" s="182">
        <f t="shared" si="59"/>
        <v>7</v>
      </c>
      <c r="AS119" s="385"/>
      <c r="AT119" s="166">
        <v>3</v>
      </c>
      <c r="AU119" s="166">
        <v>3244.1379310344901</v>
      </c>
      <c r="AV119" s="166">
        <v>1081.3793103448299</v>
      </c>
      <c r="AW119" s="182">
        <f t="shared" si="61"/>
        <v>4</v>
      </c>
      <c r="AX119" s="385"/>
      <c r="AZ119" s="182" t="e">
        <f t="shared" si="63"/>
        <v>#N/A</v>
      </c>
      <c r="BA119" s="385"/>
    </row>
    <row r="120" spans="2:53">
      <c r="B120" s="395"/>
      <c r="C120" s="182">
        <v>9</v>
      </c>
      <c r="D120" s="182" t="s">
        <v>344</v>
      </c>
      <c r="E120" s="182">
        <v>3</v>
      </c>
      <c r="F120" s="182">
        <v>2800</v>
      </c>
      <c r="G120" s="166">
        <v>933.33333333333337</v>
      </c>
      <c r="H120" s="385"/>
      <c r="I120" s="166">
        <f t="shared" si="65"/>
        <v>3</v>
      </c>
      <c r="J120" s="166">
        <f t="shared" si="66"/>
        <v>3192.0393649743464</v>
      </c>
      <c r="K120" s="180">
        <f t="shared" si="67"/>
        <v>1064.0131216581156</v>
      </c>
      <c r="L120" s="402"/>
      <c r="M120" s="166">
        <f>RANK(K120, K$112:$K$141)</f>
        <v>7</v>
      </c>
      <c r="N120" s="389"/>
      <c r="O120" s="389"/>
      <c r="P120" s="166">
        <v>3</v>
      </c>
      <c r="Q120" s="166">
        <v>3126.8571428571436</v>
      </c>
      <c r="R120" s="166">
        <v>1042.2857142857144</v>
      </c>
      <c r="S120" s="182">
        <f t="shared" si="49"/>
        <v>8</v>
      </c>
      <c r="T120" s="385"/>
      <c r="U120" s="166">
        <v>3</v>
      </c>
      <c r="V120" s="166">
        <v>3116.4705882352937</v>
      </c>
      <c r="W120" s="166">
        <v>1038.8235294117646</v>
      </c>
      <c r="X120" s="182">
        <f t="shared" si="51"/>
        <v>6</v>
      </c>
      <c r="Y120" s="385"/>
      <c r="Z120" s="166">
        <v>3</v>
      </c>
      <c r="AA120" s="166">
        <v>3132.7272727272725</v>
      </c>
      <c r="AB120" s="166">
        <v>1044.2424242424242</v>
      </c>
      <c r="AC120" s="182">
        <f t="shared" si="53"/>
        <v>10</v>
      </c>
      <c r="AD120" s="385"/>
      <c r="AE120" s="166">
        <v>3</v>
      </c>
      <c r="AF120" s="166">
        <v>3173.793103448274</v>
      </c>
      <c r="AG120" s="166">
        <v>1057.9310344827579</v>
      </c>
      <c r="AH120" s="182">
        <f t="shared" si="55"/>
        <v>2</v>
      </c>
      <c r="AI120" s="385"/>
      <c r="AJ120" s="166">
        <v>3</v>
      </c>
      <c r="AK120" s="166">
        <v>3318.4615384615349</v>
      </c>
      <c r="AL120" s="166">
        <v>1106.1538461538451</v>
      </c>
      <c r="AM120" s="182">
        <f t="shared" si="57"/>
        <v>2</v>
      </c>
      <c r="AN120" s="385"/>
      <c r="AO120" s="166">
        <v>3</v>
      </c>
      <c r="AP120" s="166">
        <v>3189.090909090909</v>
      </c>
      <c r="AQ120" s="166">
        <v>1063.030303030303</v>
      </c>
      <c r="AR120" s="182">
        <f t="shared" si="59"/>
        <v>2</v>
      </c>
      <c r="AS120" s="385"/>
      <c r="AT120" s="166">
        <v>3</v>
      </c>
      <c r="AU120" s="166">
        <v>3286.8749999999991</v>
      </c>
      <c r="AV120" s="166">
        <v>1095.6249999999998</v>
      </c>
      <c r="AW120" s="182">
        <f t="shared" si="61"/>
        <v>3</v>
      </c>
      <c r="AX120" s="385"/>
      <c r="AZ120" s="182" t="e">
        <f t="shared" si="63"/>
        <v>#N/A</v>
      </c>
      <c r="BA120" s="385"/>
    </row>
    <row r="121" spans="2:53">
      <c r="B121" s="395"/>
      <c r="C121" s="182">
        <v>10</v>
      </c>
      <c r="D121" s="182" t="s">
        <v>345</v>
      </c>
      <c r="E121" s="182">
        <v>4</v>
      </c>
      <c r="F121" s="182">
        <v>2800</v>
      </c>
      <c r="G121" s="166">
        <v>700</v>
      </c>
      <c r="H121" s="385"/>
      <c r="I121" s="166">
        <f t="shared" si="65"/>
        <v>4</v>
      </c>
      <c r="J121" s="166">
        <f t="shared" si="66"/>
        <v>3202.4782083757395</v>
      </c>
      <c r="K121" s="180">
        <f t="shared" si="67"/>
        <v>800.61955209393489</v>
      </c>
      <c r="L121" s="402"/>
      <c r="M121" s="166">
        <f>RANK(K121, K$112:$K$141)</f>
        <v>14</v>
      </c>
      <c r="N121" s="389"/>
      <c r="O121" s="389"/>
      <c r="P121" s="166">
        <v>4</v>
      </c>
      <c r="Q121" s="166">
        <v>3237.9661016949181</v>
      </c>
      <c r="R121" s="166">
        <v>809.49152542372951</v>
      </c>
      <c r="S121" s="182">
        <f t="shared" si="49"/>
        <v>15</v>
      </c>
      <c r="T121" s="385"/>
      <c r="U121" s="166">
        <v>4</v>
      </c>
      <c r="V121" s="166">
        <v>3184.0677966101634</v>
      </c>
      <c r="W121" s="166">
        <v>796.01694915254086</v>
      </c>
      <c r="X121" s="182">
        <f t="shared" si="51"/>
        <v>15</v>
      </c>
      <c r="Y121" s="385"/>
      <c r="Z121" s="166">
        <v>4</v>
      </c>
      <c r="AA121" s="166">
        <v>3178.9473684210552</v>
      </c>
      <c r="AB121" s="166">
        <v>794.7368421052638</v>
      </c>
      <c r="AC121" s="182">
        <f t="shared" si="53"/>
        <v>12</v>
      </c>
      <c r="AD121" s="385"/>
      <c r="AE121" s="166">
        <v>4</v>
      </c>
      <c r="AF121" s="166">
        <v>3188.7499999999955</v>
      </c>
      <c r="AG121" s="166">
        <v>797.18749999999886</v>
      </c>
      <c r="AH121" s="182">
        <f t="shared" si="55"/>
        <v>12</v>
      </c>
      <c r="AI121" s="385"/>
      <c r="AJ121" s="166">
        <v>4</v>
      </c>
      <c r="AK121" s="166">
        <v>3263.4782608695596</v>
      </c>
      <c r="AL121" s="166">
        <v>815.86956521738989</v>
      </c>
      <c r="AM121" s="182">
        <f t="shared" si="57"/>
        <v>14</v>
      </c>
      <c r="AN121" s="385"/>
      <c r="AO121" s="166">
        <v>4</v>
      </c>
      <c r="AP121" s="166">
        <v>3154.1379310344805</v>
      </c>
      <c r="AQ121" s="166">
        <v>788.53448275862013</v>
      </c>
      <c r="AR121" s="182">
        <f t="shared" si="59"/>
        <v>12</v>
      </c>
      <c r="AS121" s="385"/>
      <c r="AT121" s="166">
        <v>4</v>
      </c>
      <c r="AU121" s="166">
        <v>3210.0000000000027</v>
      </c>
      <c r="AV121" s="166">
        <v>802.50000000000068</v>
      </c>
      <c r="AW121" s="182">
        <f t="shared" si="61"/>
        <v>17</v>
      </c>
      <c r="AX121" s="385"/>
      <c r="AZ121" s="182" t="e">
        <f t="shared" si="63"/>
        <v>#N/A</v>
      </c>
      <c r="BA121" s="385"/>
    </row>
    <row r="122" spans="2:53">
      <c r="B122" s="395"/>
      <c r="C122" s="182">
        <v>11</v>
      </c>
      <c r="D122" s="182" t="s">
        <v>598</v>
      </c>
      <c r="E122" s="182">
        <v>4</v>
      </c>
      <c r="F122" s="182">
        <v>2800</v>
      </c>
      <c r="G122" s="166">
        <v>700</v>
      </c>
      <c r="H122" s="385"/>
      <c r="I122" s="166">
        <f t="shared" si="65"/>
        <v>4</v>
      </c>
      <c r="J122" s="166">
        <f t="shared" si="66"/>
        <v>2805.2859787982989</v>
      </c>
      <c r="K122" s="180">
        <f t="shared" si="67"/>
        <v>701.32149469957471</v>
      </c>
      <c r="L122" s="402"/>
      <c r="M122" s="166">
        <f>RANK(K122, K$112:$K$141)</f>
        <v>21</v>
      </c>
      <c r="N122" s="389"/>
      <c r="O122" s="389"/>
      <c r="P122" s="166">
        <v>4</v>
      </c>
      <c r="Q122" s="166">
        <v>2880.0000000000005</v>
      </c>
      <c r="R122" s="166">
        <v>720.00000000000011</v>
      </c>
      <c r="S122" s="182">
        <f t="shared" si="49"/>
        <v>21</v>
      </c>
      <c r="T122" s="385"/>
      <c r="U122" s="166">
        <v>4</v>
      </c>
      <c r="V122" s="166">
        <v>2781.428571428572</v>
      </c>
      <c r="W122" s="166">
        <v>695.357142857143</v>
      </c>
      <c r="X122" s="182">
        <f t="shared" si="51"/>
        <v>22</v>
      </c>
      <c r="Y122" s="385"/>
      <c r="Z122" s="166">
        <v>4</v>
      </c>
      <c r="AA122" s="166">
        <v>2771.4705882352937</v>
      </c>
      <c r="AB122" s="166">
        <v>692.86764705882342</v>
      </c>
      <c r="AC122" s="182">
        <f t="shared" si="53"/>
        <v>21</v>
      </c>
      <c r="AD122" s="385"/>
      <c r="AE122" s="166">
        <v>4</v>
      </c>
      <c r="AF122" s="166">
        <v>2773.2203389830511</v>
      </c>
      <c r="AG122" s="166">
        <v>693.30508474576277</v>
      </c>
      <c r="AH122" s="182">
        <f t="shared" si="55"/>
        <v>20</v>
      </c>
      <c r="AI122" s="385"/>
      <c r="AJ122" s="166">
        <v>4</v>
      </c>
      <c r="AK122" s="166">
        <v>2805</v>
      </c>
      <c r="AL122" s="166">
        <v>701.25</v>
      </c>
      <c r="AM122" s="182">
        <f t="shared" si="57"/>
        <v>22</v>
      </c>
      <c r="AN122" s="385"/>
      <c r="AO122" s="166">
        <v>4</v>
      </c>
      <c r="AP122" s="166">
        <v>2767.0588235294117</v>
      </c>
      <c r="AQ122" s="166">
        <v>691.76470588235293</v>
      </c>
      <c r="AR122" s="182">
        <f t="shared" si="59"/>
        <v>20</v>
      </c>
      <c r="AS122" s="385"/>
      <c r="AT122" s="166">
        <v>4</v>
      </c>
      <c r="AU122" s="166">
        <v>2858.823529411763</v>
      </c>
      <c r="AV122" s="166">
        <v>714.70588235294076</v>
      </c>
      <c r="AW122" s="182">
        <f t="shared" si="61"/>
        <v>21</v>
      </c>
      <c r="AX122" s="385"/>
      <c r="AZ122" s="182" t="e">
        <f t="shared" si="63"/>
        <v>#N/A</v>
      </c>
      <c r="BA122" s="385"/>
    </row>
    <row r="123" spans="2:53">
      <c r="B123" s="395"/>
      <c r="C123" s="182">
        <v>12</v>
      </c>
      <c r="D123" s="182" t="s">
        <v>599</v>
      </c>
      <c r="E123" s="182">
        <v>4</v>
      </c>
      <c r="F123" s="182">
        <v>2800</v>
      </c>
      <c r="G123" s="166">
        <v>700</v>
      </c>
      <c r="H123" s="385"/>
      <c r="I123" s="166">
        <f t="shared" si="65"/>
        <v>4</v>
      </c>
      <c r="J123" s="166">
        <f t="shared" si="66"/>
        <v>2749.3714285714277</v>
      </c>
      <c r="K123" s="180">
        <f t="shared" si="67"/>
        <v>687.34285714285693</v>
      </c>
      <c r="L123" s="402"/>
      <c r="M123" s="166">
        <f>RANK(K123, K$112:$K$141)</f>
        <v>22</v>
      </c>
      <c r="N123" s="389"/>
      <c r="O123" s="389"/>
      <c r="P123" s="166">
        <v>4</v>
      </c>
      <c r="Q123" s="166">
        <v>2589.5999999999926</v>
      </c>
      <c r="R123" s="166">
        <v>647.39999999999816</v>
      </c>
      <c r="S123" s="182">
        <f t="shared" si="49"/>
        <v>22</v>
      </c>
      <c r="T123" s="385"/>
      <c r="U123" s="166">
        <v>4</v>
      </c>
      <c r="V123" s="166">
        <v>3134.9999999999859</v>
      </c>
      <c r="W123" s="166">
        <v>783.74999999999648</v>
      </c>
      <c r="X123" s="182">
        <f t="shared" si="51"/>
        <v>17</v>
      </c>
      <c r="Y123" s="385"/>
      <c r="Z123" s="166">
        <v>4</v>
      </c>
      <c r="AA123" s="166">
        <v>2919.0000000000105</v>
      </c>
      <c r="AB123" s="166">
        <v>729.75000000000261</v>
      </c>
      <c r="AC123" s="182">
        <f t="shared" si="53"/>
        <v>19</v>
      </c>
      <c r="AD123" s="385"/>
      <c r="AE123" s="166">
        <v>4</v>
      </c>
      <c r="AF123" s="166">
        <v>2709.0000000000095</v>
      </c>
      <c r="AG123" s="166">
        <v>677.25000000000239</v>
      </c>
      <c r="AH123" s="182">
        <f t="shared" si="55"/>
        <v>22</v>
      </c>
      <c r="AI123" s="385"/>
      <c r="AJ123" s="166">
        <v>4</v>
      </c>
      <c r="AK123" s="166">
        <v>2805.00000000001</v>
      </c>
      <c r="AL123" s="166">
        <v>701.2500000000025</v>
      </c>
      <c r="AM123" s="182">
        <f t="shared" si="57"/>
        <v>21</v>
      </c>
      <c r="AN123" s="385"/>
      <c r="AO123" s="166">
        <v>4</v>
      </c>
      <c r="AP123" s="166">
        <v>2639.9999999999923</v>
      </c>
      <c r="AQ123" s="166">
        <v>659.99999999999807</v>
      </c>
      <c r="AR123" s="182">
        <f t="shared" si="59"/>
        <v>22</v>
      </c>
      <c r="AS123" s="385"/>
      <c r="AT123" s="166">
        <v>4</v>
      </c>
      <c r="AU123" s="166">
        <v>2447.9999999999932</v>
      </c>
      <c r="AV123" s="166">
        <v>611.99999999999829</v>
      </c>
      <c r="AW123" s="182">
        <f t="shared" si="61"/>
        <v>22</v>
      </c>
      <c r="AX123" s="385"/>
      <c r="AZ123" s="182" t="e">
        <f t="shared" si="63"/>
        <v>#N/A</v>
      </c>
      <c r="BA123" s="385"/>
    </row>
    <row r="124" spans="2:53">
      <c r="B124" s="395"/>
      <c r="C124" s="182">
        <v>13</v>
      </c>
      <c r="D124" s="182" t="s">
        <v>600</v>
      </c>
      <c r="E124" s="182">
        <v>3</v>
      </c>
      <c r="F124" s="182">
        <v>2800</v>
      </c>
      <c r="G124" s="166">
        <v>933.33333333333337</v>
      </c>
      <c r="H124" s="385"/>
      <c r="I124" s="166">
        <f t="shared" si="65"/>
        <v>3</v>
      </c>
      <c r="J124" s="166">
        <f t="shared" si="66"/>
        <v>2962.1142857142754</v>
      </c>
      <c r="K124" s="180">
        <f t="shared" si="67"/>
        <v>987.37142857142499</v>
      </c>
      <c r="L124" s="402"/>
      <c r="M124" s="166">
        <f>RANK(K124, K$112:$K$141)</f>
        <v>10</v>
      </c>
      <c r="N124" s="389"/>
      <c r="O124" s="389"/>
      <c r="P124" s="166">
        <v>3</v>
      </c>
      <c r="Q124" s="166">
        <v>2800.799999999992</v>
      </c>
      <c r="R124" s="166">
        <v>933.59999999999729</v>
      </c>
      <c r="S124" s="182">
        <f t="shared" si="49"/>
        <v>10</v>
      </c>
      <c r="T124" s="385"/>
      <c r="U124" s="166">
        <v>3</v>
      </c>
      <c r="V124" s="166">
        <v>2831.9999999999923</v>
      </c>
      <c r="W124" s="166">
        <v>943.99999999999739</v>
      </c>
      <c r="X124" s="182">
        <f t="shared" si="51"/>
        <v>10</v>
      </c>
      <c r="Y124" s="385"/>
      <c r="Z124" s="166">
        <v>3</v>
      </c>
      <c r="AA124" s="166">
        <v>3290.9999999999854</v>
      </c>
      <c r="AB124" s="166">
        <v>1096.9999999999952</v>
      </c>
      <c r="AC124" s="182">
        <f t="shared" si="53"/>
        <v>2</v>
      </c>
      <c r="AD124" s="385"/>
      <c r="AE124" s="166">
        <v>3</v>
      </c>
      <c r="AF124" s="166">
        <v>2978.9999999999868</v>
      </c>
      <c r="AG124" s="166">
        <v>992.99999999999557</v>
      </c>
      <c r="AH124" s="182">
        <f t="shared" si="55"/>
        <v>10</v>
      </c>
      <c r="AI124" s="385"/>
      <c r="AJ124" s="166">
        <v>3</v>
      </c>
      <c r="AK124" s="166">
        <v>3131.9999999999859</v>
      </c>
      <c r="AL124" s="166">
        <v>1043.9999999999952</v>
      </c>
      <c r="AM124" s="182">
        <f t="shared" si="57"/>
        <v>9</v>
      </c>
      <c r="AN124" s="385"/>
      <c r="AO124" s="166">
        <v>3</v>
      </c>
      <c r="AP124" s="166">
        <v>2858.3999999999919</v>
      </c>
      <c r="AQ124" s="166">
        <v>952.79999999999734</v>
      </c>
      <c r="AR124" s="182">
        <f t="shared" si="59"/>
        <v>9</v>
      </c>
      <c r="AS124" s="385"/>
      <c r="AT124" s="166">
        <v>3</v>
      </c>
      <c r="AU124" s="166">
        <v>2841.5999999999917</v>
      </c>
      <c r="AV124" s="166">
        <v>947.1999999999972</v>
      </c>
      <c r="AW124" s="182">
        <f t="shared" si="61"/>
        <v>10</v>
      </c>
      <c r="AX124" s="385"/>
      <c r="AZ124" s="182" t="e">
        <f t="shared" si="63"/>
        <v>#N/A</v>
      </c>
      <c r="BA124" s="385"/>
    </row>
    <row r="125" spans="2:53">
      <c r="B125" s="395"/>
      <c r="C125" s="182">
        <v>14</v>
      </c>
      <c r="D125" s="182" t="s">
        <v>601</v>
      </c>
      <c r="E125" s="182">
        <v>4</v>
      </c>
      <c r="F125" s="182">
        <v>2200</v>
      </c>
      <c r="G125" s="166">
        <v>550</v>
      </c>
      <c r="H125" s="385"/>
      <c r="I125" s="166">
        <f t="shared" si="65"/>
        <v>3</v>
      </c>
      <c r="J125" s="166">
        <f t="shared" si="66"/>
        <v>2260.5442176870738</v>
      </c>
      <c r="K125" s="180">
        <f t="shared" si="67"/>
        <v>753.51473922902449</v>
      </c>
      <c r="L125" s="402"/>
      <c r="M125" s="166">
        <f>RANK(K125, K$112:$K$141)</f>
        <v>17</v>
      </c>
      <c r="N125" s="389"/>
      <c r="O125" s="389"/>
      <c r="P125" s="166">
        <v>3</v>
      </c>
      <c r="Q125" s="166">
        <v>2218.6666666666665</v>
      </c>
      <c r="R125" s="166">
        <v>739.55555555555554</v>
      </c>
      <c r="S125" s="182">
        <f t="shared" si="49"/>
        <v>19</v>
      </c>
      <c r="T125" s="385"/>
      <c r="U125" s="166">
        <v>3</v>
      </c>
      <c r="V125" s="166">
        <v>2105.3333333333335</v>
      </c>
      <c r="W125" s="166">
        <v>701.77777777777783</v>
      </c>
      <c r="X125" s="182">
        <f t="shared" si="51"/>
        <v>20</v>
      </c>
      <c r="Y125" s="385"/>
      <c r="Z125" s="166">
        <v>3</v>
      </c>
      <c r="AA125" s="166">
        <v>2141.9999999999991</v>
      </c>
      <c r="AB125" s="166">
        <v>713.99999999999966</v>
      </c>
      <c r="AC125" s="182">
        <f t="shared" si="53"/>
        <v>20</v>
      </c>
      <c r="AD125" s="385"/>
      <c r="AE125" s="166">
        <v>3</v>
      </c>
      <c r="AF125" s="166">
        <v>2254.2857142857119</v>
      </c>
      <c r="AG125" s="166">
        <v>751.42857142857065</v>
      </c>
      <c r="AH125" s="182">
        <f t="shared" si="55"/>
        <v>16</v>
      </c>
      <c r="AI125" s="385"/>
      <c r="AJ125" s="166">
        <v>3</v>
      </c>
      <c r="AK125" s="166">
        <v>2189.9999999999991</v>
      </c>
      <c r="AL125" s="166">
        <v>729.99999999999966</v>
      </c>
      <c r="AM125" s="182">
        <f t="shared" si="57"/>
        <v>18</v>
      </c>
      <c r="AN125" s="385"/>
      <c r="AO125" s="166">
        <v>3</v>
      </c>
      <c r="AP125" s="166">
        <v>2170.6666666666665</v>
      </c>
      <c r="AQ125" s="166">
        <v>723.55555555555554</v>
      </c>
      <c r="AR125" s="182">
        <f t="shared" si="59"/>
        <v>19</v>
      </c>
      <c r="AS125" s="385"/>
      <c r="AT125" s="166">
        <v>3</v>
      </c>
      <c r="AU125" s="166">
        <v>2742.8571428571399</v>
      </c>
      <c r="AV125" s="166">
        <v>914.28571428571331</v>
      </c>
      <c r="AW125" s="182">
        <f t="shared" si="61"/>
        <v>12</v>
      </c>
      <c r="AX125" s="385"/>
      <c r="AZ125" s="182" t="e">
        <f t="shared" si="63"/>
        <v>#N/A</v>
      </c>
      <c r="BA125" s="385"/>
    </row>
    <row r="126" spans="2:53">
      <c r="B126" s="395"/>
      <c r="C126" s="182">
        <v>15</v>
      </c>
      <c r="D126" s="182" t="s">
        <v>661</v>
      </c>
      <c r="E126" s="182">
        <v>8</v>
      </c>
      <c r="F126" s="182">
        <v>1500</v>
      </c>
      <c r="G126" s="166">
        <v>187.5</v>
      </c>
      <c r="H126" s="385"/>
      <c r="I126" s="166">
        <f t="shared" si="65"/>
        <v>12</v>
      </c>
      <c r="J126" s="166">
        <f t="shared" si="66"/>
        <v>1445.5259594384618</v>
      </c>
      <c r="K126" s="180">
        <f t="shared" si="67"/>
        <v>120.46049661987179</v>
      </c>
      <c r="L126" s="402"/>
      <c r="M126" s="166">
        <f>RANK(K126, K$112:$K$141)</f>
        <v>23</v>
      </c>
      <c r="N126" s="389"/>
      <c r="O126" s="389"/>
      <c r="P126" s="166">
        <v>12</v>
      </c>
      <c r="Q126" s="166">
        <v>1477.8947368421075</v>
      </c>
      <c r="R126" s="166">
        <v>123.15789473684229</v>
      </c>
      <c r="S126" s="182">
        <f t="shared" si="49"/>
        <v>23</v>
      </c>
      <c r="T126" s="385"/>
      <c r="U126" s="166">
        <v>12</v>
      </c>
      <c r="V126" s="166">
        <v>1548.3582089552219</v>
      </c>
      <c r="W126" s="166">
        <v>129.02985074626849</v>
      </c>
      <c r="X126" s="182">
        <f t="shared" si="51"/>
        <v>23</v>
      </c>
      <c r="Y126" s="385"/>
      <c r="Z126" s="166">
        <v>12</v>
      </c>
      <c r="AA126" s="166">
        <v>1433.6363636363651</v>
      </c>
      <c r="AB126" s="166">
        <v>119.4696969696971</v>
      </c>
      <c r="AC126" s="182">
        <f t="shared" si="53"/>
        <v>23</v>
      </c>
      <c r="AD126" s="385"/>
      <c r="AE126" s="166">
        <v>12</v>
      </c>
      <c r="AF126" s="166">
        <v>1447.0000000000014</v>
      </c>
      <c r="AG126" s="166">
        <v>120.58333333333344</v>
      </c>
      <c r="AH126" s="182">
        <f t="shared" si="55"/>
        <v>23</v>
      </c>
      <c r="AI126" s="385"/>
      <c r="AJ126" s="166">
        <v>12</v>
      </c>
      <c r="AK126" s="166">
        <v>1400.3225806451626</v>
      </c>
      <c r="AL126" s="166">
        <v>116.69354838709688</v>
      </c>
      <c r="AM126" s="182">
        <f t="shared" si="57"/>
        <v>23</v>
      </c>
      <c r="AN126" s="385"/>
      <c r="AO126" s="166">
        <v>12</v>
      </c>
      <c r="AP126" s="166">
        <v>1402.7027027027016</v>
      </c>
      <c r="AQ126" s="166">
        <v>116.8918918918918</v>
      </c>
      <c r="AR126" s="182">
        <f t="shared" si="59"/>
        <v>23</v>
      </c>
      <c r="AS126" s="385"/>
      <c r="AT126" s="166">
        <v>12</v>
      </c>
      <c r="AU126" s="166">
        <v>1408.7671232876703</v>
      </c>
      <c r="AV126" s="166">
        <v>117.39726027397252</v>
      </c>
      <c r="AW126" s="182">
        <f t="shared" si="61"/>
        <v>23</v>
      </c>
      <c r="AX126" s="385"/>
      <c r="AZ126" s="182" t="e">
        <f t="shared" si="63"/>
        <v>#N/A</v>
      </c>
      <c r="BA126" s="385"/>
    </row>
    <row r="127" spans="2:53">
      <c r="B127" s="395"/>
      <c r="C127" s="182">
        <v>16</v>
      </c>
      <c r="D127" s="182" t="s">
        <v>602</v>
      </c>
      <c r="E127" s="182">
        <v>3</v>
      </c>
      <c r="F127" s="182">
        <v>2800</v>
      </c>
      <c r="G127" s="166">
        <v>933.33333333333337</v>
      </c>
      <c r="H127" s="385"/>
      <c r="I127" s="166">
        <f t="shared" si="65"/>
        <v>3</v>
      </c>
      <c r="J127" s="166">
        <f t="shared" si="66"/>
        <v>2789.6511881708307</v>
      </c>
      <c r="K127" s="180">
        <f t="shared" si="67"/>
        <v>929.88372939027681</v>
      </c>
      <c r="L127" s="402"/>
      <c r="M127" s="166">
        <f>RANK(K127, K$112:$K$141)</f>
        <v>11</v>
      </c>
      <c r="N127" s="389"/>
      <c r="O127" s="389"/>
      <c r="P127" s="166">
        <v>3</v>
      </c>
      <c r="Q127" s="166">
        <v>2750.4545454545478</v>
      </c>
      <c r="R127" s="166">
        <v>916.81818181818255</v>
      </c>
      <c r="S127" s="182">
        <f t="shared" si="49"/>
        <v>11</v>
      </c>
      <c r="T127" s="385"/>
      <c r="U127" s="166">
        <v>3</v>
      </c>
      <c r="V127" s="166">
        <v>2800.4651162790692</v>
      </c>
      <c r="W127" s="166">
        <v>933.48837209302303</v>
      </c>
      <c r="X127" s="182">
        <f t="shared" si="51"/>
        <v>11</v>
      </c>
      <c r="Y127" s="385"/>
      <c r="Z127" s="166">
        <v>3</v>
      </c>
      <c r="AA127" s="166">
        <v>2787.1428571428619</v>
      </c>
      <c r="AB127" s="166">
        <v>929.04761904762063</v>
      </c>
      <c r="AC127" s="182">
        <f t="shared" si="53"/>
        <v>11</v>
      </c>
      <c r="AD127" s="385"/>
      <c r="AE127" s="166">
        <v>3</v>
      </c>
      <c r="AF127" s="166">
        <v>2789.9999999999977</v>
      </c>
      <c r="AG127" s="166">
        <v>929.9999999999992</v>
      </c>
      <c r="AH127" s="182">
        <f t="shared" si="55"/>
        <v>11</v>
      </c>
      <c r="AI127" s="385"/>
      <c r="AJ127" s="166">
        <v>3</v>
      </c>
      <c r="AK127" s="166">
        <v>2802.3529411764744</v>
      </c>
      <c r="AL127" s="166">
        <v>934.11764705882479</v>
      </c>
      <c r="AM127" s="182">
        <f t="shared" si="57"/>
        <v>11</v>
      </c>
      <c r="AN127" s="385"/>
      <c r="AO127" s="166">
        <v>3</v>
      </c>
      <c r="AP127" s="166">
        <v>2765.7142857142903</v>
      </c>
      <c r="AQ127" s="166">
        <v>921.9047619047634</v>
      </c>
      <c r="AR127" s="182">
        <f t="shared" si="59"/>
        <v>11</v>
      </c>
      <c r="AS127" s="385"/>
      <c r="AT127" s="166">
        <v>3</v>
      </c>
      <c r="AU127" s="166">
        <v>2831.4285714285706</v>
      </c>
      <c r="AV127" s="166">
        <v>943.80952380952351</v>
      </c>
      <c r="AW127" s="182">
        <f t="shared" si="61"/>
        <v>11</v>
      </c>
      <c r="AX127" s="385"/>
      <c r="AZ127" s="182" t="e">
        <f t="shared" si="63"/>
        <v>#N/A</v>
      </c>
      <c r="BA127" s="385"/>
    </row>
    <row r="128" spans="2:53">
      <c r="B128" s="395"/>
      <c r="C128" s="182">
        <v>17</v>
      </c>
      <c r="D128" s="182" t="s">
        <v>603</v>
      </c>
      <c r="E128" s="182">
        <v>4</v>
      </c>
      <c r="F128" s="182">
        <v>2800</v>
      </c>
      <c r="G128" s="166">
        <v>700</v>
      </c>
      <c r="H128" s="385"/>
      <c r="I128" s="166">
        <f t="shared" si="65"/>
        <v>4</v>
      </c>
      <c r="J128" s="166">
        <f t="shared" si="66"/>
        <v>2818.2280866369547</v>
      </c>
      <c r="K128" s="180">
        <f t="shared" si="67"/>
        <v>704.55702165923867</v>
      </c>
      <c r="L128" s="402"/>
      <c r="M128" s="166">
        <f>RANK(K128, K$112:$K$141)</f>
        <v>20</v>
      </c>
      <c r="N128" s="389"/>
      <c r="O128" s="389"/>
      <c r="P128" s="166">
        <v>4</v>
      </c>
      <c r="Q128" s="166">
        <v>2902.7586206896572</v>
      </c>
      <c r="R128" s="166">
        <v>725.68965517241429</v>
      </c>
      <c r="S128" s="182">
        <f t="shared" si="49"/>
        <v>20</v>
      </c>
      <c r="T128" s="385"/>
      <c r="U128" s="166">
        <v>4</v>
      </c>
      <c r="V128" s="166">
        <v>2782.0000000000027</v>
      </c>
      <c r="W128" s="166">
        <v>695.50000000000068</v>
      </c>
      <c r="X128" s="182">
        <f t="shared" si="51"/>
        <v>21</v>
      </c>
      <c r="Y128" s="385"/>
      <c r="Z128" s="166">
        <v>4</v>
      </c>
      <c r="AA128" s="166">
        <v>2718.6206896551744</v>
      </c>
      <c r="AB128" s="166">
        <v>679.65517241379359</v>
      </c>
      <c r="AC128" s="182">
        <f t="shared" si="53"/>
        <v>22</v>
      </c>
      <c r="AD128" s="385"/>
      <c r="AE128" s="166">
        <v>4</v>
      </c>
      <c r="AF128" s="166">
        <v>2755.0000000000009</v>
      </c>
      <c r="AG128" s="166">
        <v>688.75000000000023</v>
      </c>
      <c r="AH128" s="182">
        <f t="shared" si="55"/>
        <v>21</v>
      </c>
      <c r="AI128" s="385"/>
      <c r="AJ128" s="166">
        <v>4</v>
      </c>
      <c r="AK128" s="166">
        <v>2902.8571428571418</v>
      </c>
      <c r="AL128" s="166">
        <v>725.71428571428544</v>
      </c>
      <c r="AM128" s="182">
        <f t="shared" si="57"/>
        <v>19</v>
      </c>
      <c r="AN128" s="385"/>
      <c r="AO128" s="166">
        <v>4</v>
      </c>
      <c r="AP128" s="166">
        <v>2764.1379310344851</v>
      </c>
      <c r="AQ128" s="166">
        <v>691.03448275862127</v>
      </c>
      <c r="AR128" s="182">
        <f t="shared" si="59"/>
        <v>21</v>
      </c>
      <c r="AS128" s="385"/>
      <c r="AT128" s="166">
        <v>4</v>
      </c>
      <c r="AU128" s="166">
        <v>2902.2222222222235</v>
      </c>
      <c r="AV128" s="166">
        <v>725.55555555555588</v>
      </c>
      <c r="AW128" s="182">
        <f t="shared" si="61"/>
        <v>20</v>
      </c>
      <c r="AX128" s="385"/>
      <c r="AZ128" s="182" t="e">
        <f t="shared" si="63"/>
        <v>#N/A</v>
      </c>
      <c r="BA128" s="385"/>
    </row>
    <row r="129" spans="2:53">
      <c r="B129" s="395"/>
      <c r="C129" s="182">
        <v>18</v>
      </c>
      <c r="D129" s="182" t="s">
        <v>618</v>
      </c>
      <c r="E129" s="182">
        <v>12</v>
      </c>
      <c r="F129" s="182">
        <v>1500</v>
      </c>
      <c r="G129" s="166">
        <v>125</v>
      </c>
      <c r="H129" s="385"/>
      <c r="I129" s="166">
        <f t="shared" si="65"/>
        <v>12</v>
      </c>
      <c r="J129" s="166">
        <f t="shared" si="66"/>
        <v>1149.1666666666708</v>
      </c>
      <c r="K129" s="180">
        <f t="shared" si="67"/>
        <v>95.763888888889241</v>
      </c>
      <c r="L129" s="402"/>
      <c r="M129" s="166">
        <f>RANK(K129, K$112:$K$141)</f>
        <v>25</v>
      </c>
      <c r="N129" s="389"/>
      <c r="O129" s="389"/>
      <c r="P129" s="166">
        <v>12</v>
      </c>
      <c r="Q129" s="166">
        <v>1215.0000000000043</v>
      </c>
      <c r="R129" s="166">
        <v>101.25000000000036</v>
      </c>
      <c r="S129" s="182">
        <f t="shared" si="49"/>
        <v>25</v>
      </c>
      <c r="T129" s="385"/>
      <c r="U129" s="166">
        <v>12</v>
      </c>
      <c r="V129" s="166">
        <v>1020.0000000000036</v>
      </c>
      <c r="W129" s="166">
        <v>85.000000000000298</v>
      </c>
      <c r="X129" s="182">
        <f t="shared" si="51"/>
        <v>25</v>
      </c>
      <c r="Y129" s="385"/>
      <c r="Z129" s="166">
        <v>12</v>
      </c>
      <c r="AA129" s="166">
        <v>1180.0000000000041</v>
      </c>
      <c r="AB129" s="166">
        <v>98.33333333333367</v>
      </c>
      <c r="AC129" s="182">
        <f t="shared" si="53"/>
        <v>25</v>
      </c>
      <c r="AD129" s="385"/>
      <c r="AE129" s="166">
        <v>12</v>
      </c>
      <c r="AF129" s="166">
        <v>1140.0000000000041</v>
      </c>
      <c r="AG129" s="166">
        <v>95.000000000000341</v>
      </c>
      <c r="AH129" s="182">
        <f t="shared" si="55"/>
        <v>25</v>
      </c>
      <c r="AI129" s="385"/>
      <c r="AJ129" s="166">
        <v>12</v>
      </c>
      <c r="AK129" s="166">
        <v>1140.0000000000041</v>
      </c>
      <c r="AL129" s="166">
        <v>95.000000000000341</v>
      </c>
      <c r="AM129" s="182">
        <f t="shared" si="57"/>
        <v>25</v>
      </c>
      <c r="AN129" s="385"/>
      <c r="AO129" s="166">
        <v>12</v>
      </c>
      <c r="AP129" s="166">
        <v>1200.0000000000043</v>
      </c>
      <c r="AQ129" s="166">
        <v>100.00000000000036</v>
      </c>
      <c r="AR129" s="182">
        <f t="shared" si="59"/>
        <v>24</v>
      </c>
      <c r="AS129" s="385"/>
      <c r="AT129" s="166"/>
      <c r="AU129" s="166"/>
      <c r="AV129" s="166"/>
      <c r="AW129" s="182" t="e">
        <f t="shared" si="61"/>
        <v>#N/A</v>
      </c>
      <c r="AX129" s="385"/>
      <c r="AZ129" s="182" t="e">
        <f t="shared" si="63"/>
        <v>#N/A</v>
      </c>
      <c r="BA129" s="385"/>
    </row>
    <row r="130" spans="2:53">
      <c r="B130" s="395"/>
      <c r="C130" s="182">
        <v>19</v>
      </c>
      <c r="D130" s="182" t="s">
        <v>625</v>
      </c>
      <c r="E130" s="182">
        <v>12</v>
      </c>
      <c r="F130" s="182">
        <v>1500</v>
      </c>
      <c r="G130" s="166">
        <v>125</v>
      </c>
      <c r="H130" s="385"/>
      <c r="I130" s="166">
        <f t="shared" si="65"/>
        <v>12</v>
      </c>
      <c r="J130" s="166">
        <f t="shared" si="66"/>
        <v>1274.3373478096084</v>
      </c>
      <c r="K130" s="180">
        <f t="shared" si="67"/>
        <v>106.19477898413402</v>
      </c>
      <c r="L130" s="402"/>
      <c r="M130" s="166">
        <f>RANK(K130, K$112:$K$141)</f>
        <v>24</v>
      </c>
      <c r="N130" s="389"/>
      <c r="O130" s="389"/>
      <c r="P130" s="166">
        <v>12</v>
      </c>
      <c r="Q130" s="166">
        <v>1475.9999999999959</v>
      </c>
      <c r="R130" s="166">
        <v>122.99999999999966</v>
      </c>
      <c r="S130" s="182">
        <f t="shared" si="49"/>
        <v>24</v>
      </c>
      <c r="T130" s="385"/>
      <c r="U130" s="166">
        <v>12</v>
      </c>
      <c r="V130" s="166">
        <v>1349.9999999999966</v>
      </c>
      <c r="W130" s="166">
        <v>112.49999999999972</v>
      </c>
      <c r="X130" s="182">
        <f t="shared" si="51"/>
        <v>24</v>
      </c>
      <c r="Y130" s="385"/>
      <c r="Z130" s="166">
        <v>12</v>
      </c>
      <c r="AA130" s="166">
        <v>1190.7692307692275</v>
      </c>
      <c r="AB130" s="166">
        <v>99.230769230768956</v>
      </c>
      <c r="AC130" s="182">
        <f t="shared" si="53"/>
        <v>24</v>
      </c>
      <c r="AD130" s="385"/>
      <c r="AE130" s="166">
        <v>12</v>
      </c>
      <c r="AF130" s="166">
        <v>1184.3478260869524</v>
      </c>
      <c r="AG130" s="166">
        <v>98.695652173912706</v>
      </c>
      <c r="AH130" s="182">
        <f t="shared" si="55"/>
        <v>24</v>
      </c>
      <c r="AI130" s="385"/>
      <c r="AJ130" s="166">
        <v>12</v>
      </c>
      <c r="AK130" s="166">
        <v>1184.3478260869524</v>
      </c>
      <c r="AL130" s="166">
        <v>98.695652173912706</v>
      </c>
      <c r="AM130" s="182">
        <f t="shared" si="57"/>
        <v>24</v>
      </c>
      <c r="AN130" s="385"/>
      <c r="AO130" s="166">
        <v>12</v>
      </c>
      <c r="AP130" s="166">
        <v>1187.999999999998</v>
      </c>
      <c r="AQ130" s="166">
        <v>98.999999999999829</v>
      </c>
      <c r="AR130" s="182">
        <f t="shared" si="59"/>
        <v>25</v>
      </c>
      <c r="AS130" s="385"/>
      <c r="AT130" s="166">
        <v>12</v>
      </c>
      <c r="AU130" s="166">
        <v>1346.8965517241354</v>
      </c>
      <c r="AV130" s="166">
        <v>112.24137931034461</v>
      </c>
      <c r="AW130" s="182">
        <f t="shared" si="61"/>
        <v>24</v>
      </c>
      <c r="AX130" s="385"/>
      <c r="AZ130" s="182" t="e">
        <f t="shared" si="63"/>
        <v>#N/A</v>
      </c>
      <c r="BA130" s="385"/>
    </row>
    <row r="131" spans="2:53">
      <c r="B131" s="395"/>
      <c r="C131" s="182">
        <v>20</v>
      </c>
      <c r="D131" s="182" t="s">
        <v>636</v>
      </c>
      <c r="E131" s="182">
        <v>3</v>
      </c>
      <c r="F131" s="182">
        <v>3000</v>
      </c>
      <c r="G131" s="166">
        <v>933.33333333333337</v>
      </c>
      <c r="H131" s="385"/>
      <c r="I131" s="166">
        <f t="shared" si="65"/>
        <v>3</v>
      </c>
      <c r="J131" s="166">
        <f t="shared" si="66"/>
        <v>2996.1428571428464</v>
      </c>
      <c r="K131" s="180">
        <f t="shared" si="67"/>
        <v>998.71428571428203</v>
      </c>
      <c r="L131" s="402"/>
      <c r="M131" s="166">
        <f>RANK(K131, K$112:$K$141)</f>
        <v>9</v>
      </c>
      <c r="N131" s="389"/>
      <c r="O131" s="389"/>
      <c r="P131" s="166">
        <v>3</v>
      </c>
      <c r="Q131" s="166">
        <v>2901.5999999999917</v>
      </c>
      <c r="R131" s="166">
        <v>967.1999999999972</v>
      </c>
      <c r="S131" s="182">
        <f t="shared" si="49"/>
        <v>9</v>
      </c>
      <c r="T131" s="385"/>
      <c r="U131" s="166">
        <v>3</v>
      </c>
      <c r="V131" s="166">
        <v>2860.799999999992</v>
      </c>
      <c r="W131" s="166">
        <v>953.59999999999729</v>
      </c>
      <c r="X131" s="182">
        <f t="shared" si="51"/>
        <v>9</v>
      </c>
      <c r="Y131" s="385"/>
      <c r="Z131" s="166">
        <v>3</v>
      </c>
      <c r="AA131" s="166">
        <v>3293.9999999999854</v>
      </c>
      <c r="AB131" s="166">
        <v>1097.9999999999952</v>
      </c>
      <c r="AC131" s="182">
        <f t="shared" si="53"/>
        <v>1</v>
      </c>
      <c r="AD131" s="385"/>
      <c r="AE131" s="166">
        <v>3</v>
      </c>
      <c r="AF131" s="166">
        <v>3002.9999999999868</v>
      </c>
      <c r="AG131" s="166">
        <v>1000.9999999999956</v>
      </c>
      <c r="AH131" s="182">
        <f t="shared" si="55"/>
        <v>9</v>
      </c>
      <c r="AI131" s="385"/>
      <c r="AJ131" s="166">
        <v>3</v>
      </c>
      <c r="AK131" s="166">
        <v>3131.9999999999859</v>
      </c>
      <c r="AL131" s="166">
        <v>1043.9999999999952</v>
      </c>
      <c r="AM131" s="182">
        <f t="shared" si="57"/>
        <v>9</v>
      </c>
      <c r="AN131" s="385"/>
      <c r="AO131" s="166">
        <v>3</v>
      </c>
      <c r="AP131" s="166">
        <v>2812.799999999992</v>
      </c>
      <c r="AQ131" s="166">
        <v>937.59999999999729</v>
      </c>
      <c r="AR131" s="182">
        <f t="shared" si="59"/>
        <v>10</v>
      </c>
      <c r="AS131" s="385"/>
      <c r="AT131" s="166">
        <v>3</v>
      </c>
      <c r="AU131" s="166">
        <v>2968.7999999999915</v>
      </c>
      <c r="AV131" s="166">
        <v>989.59999999999718</v>
      </c>
      <c r="AW131" s="182">
        <f t="shared" si="61"/>
        <v>9</v>
      </c>
      <c r="AX131" s="385"/>
      <c r="AZ131" s="182" t="e">
        <f t="shared" si="63"/>
        <v>#N/A</v>
      </c>
      <c r="BA131" s="385"/>
    </row>
    <row r="132" spans="2:53">
      <c r="B132" s="395"/>
      <c r="C132" s="182">
        <v>21</v>
      </c>
      <c r="D132" s="313" t="s">
        <v>641</v>
      </c>
      <c r="E132" s="182">
        <v>4</v>
      </c>
      <c r="F132" s="182">
        <v>3200</v>
      </c>
      <c r="G132" s="166">
        <v>800</v>
      </c>
      <c r="H132" s="385"/>
      <c r="I132" s="166">
        <f t="shared" si="65"/>
        <v>4</v>
      </c>
      <c r="J132" s="166">
        <f t="shared" si="66"/>
        <v>2965.5474790583635</v>
      </c>
      <c r="K132" s="180">
        <f t="shared" si="67"/>
        <v>741.38686976459087</v>
      </c>
      <c r="L132" s="402"/>
      <c r="M132" s="166">
        <f>RANK(K132, K$112:$K$141)</f>
        <v>19</v>
      </c>
      <c r="N132" s="389"/>
      <c r="O132" s="389"/>
      <c r="P132" s="182">
        <v>4</v>
      </c>
      <c r="Q132" s="166">
        <v>3011.9999999999968</v>
      </c>
      <c r="R132" s="166">
        <v>752.9999999999992</v>
      </c>
      <c r="S132" s="182">
        <f t="shared" si="49"/>
        <v>17</v>
      </c>
      <c r="T132" s="385"/>
      <c r="U132" s="182">
        <v>4</v>
      </c>
      <c r="V132" s="166">
        <v>2943.4285714285747</v>
      </c>
      <c r="W132" s="166">
        <v>735.85714285714369</v>
      </c>
      <c r="X132" s="182">
        <f t="shared" si="51"/>
        <v>19</v>
      </c>
      <c r="Y132" s="385"/>
      <c r="Z132" s="182">
        <v>4</v>
      </c>
      <c r="AA132" s="166">
        <v>2979.9999999999959</v>
      </c>
      <c r="AB132" s="166">
        <v>744.99999999999898</v>
      </c>
      <c r="AC132" s="182">
        <f t="shared" si="53"/>
        <v>18</v>
      </c>
      <c r="AD132" s="385"/>
      <c r="AE132" s="182">
        <v>4</v>
      </c>
      <c r="AF132" s="166">
        <v>2990.400000000001</v>
      </c>
      <c r="AG132" s="166">
        <v>747.60000000000025</v>
      </c>
      <c r="AH132" s="182">
        <f t="shared" si="55"/>
        <v>17</v>
      </c>
      <c r="AI132" s="385"/>
      <c r="AJ132" s="182">
        <v>4</v>
      </c>
      <c r="AK132" s="166">
        <v>2889.6000000000008</v>
      </c>
      <c r="AL132" s="166">
        <v>722.4000000000002</v>
      </c>
      <c r="AM132" s="182">
        <f t="shared" si="57"/>
        <v>20</v>
      </c>
      <c r="AN132" s="385"/>
      <c r="AO132" s="182">
        <v>4</v>
      </c>
      <c r="AP132" s="166">
        <v>2920.6451612903179</v>
      </c>
      <c r="AQ132" s="166">
        <v>730.16129032257948</v>
      </c>
      <c r="AR132" s="182">
        <f t="shared" si="59"/>
        <v>18</v>
      </c>
      <c r="AS132" s="385"/>
      <c r="AT132" s="182">
        <v>4</v>
      </c>
      <c r="AU132" s="166">
        <v>3022.7586206896572</v>
      </c>
      <c r="AV132" s="166">
        <v>755.68965517241429</v>
      </c>
      <c r="AW132" s="182">
        <f t="shared" si="61"/>
        <v>19</v>
      </c>
      <c r="AX132" s="385"/>
      <c r="AZ132" s="182" t="e">
        <f t="shared" si="63"/>
        <v>#N/A</v>
      </c>
      <c r="BA132" s="385"/>
    </row>
    <row r="133" spans="2:53">
      <c r="B133" s="395"/>
      <c r="C133" s="182">
        <v>22</v>
      </c>
      <c r="D133" s="182" t="s">
        <v>643</v>
      </c>
      <c r="E133" s="182">
        <v>4</v>
      </c>
      <c r="F133" s="182">
        <v>3200</v>
      </c>
      <c r="G133" s="182">
        <v>800</v>
      </c>
      <c r="H133" s="385"/>
      <c r="I133" s="166">
        <f t="shared" si="65"/>
        <v>4</v>
      </c>
      <c r="J133" s="166">
        <f t="shared" si="66"/>
        <v>2992.6617571317852</v>
      </c>
      <c r="K133" s="180">
        <f t="shared" si="67"/>
        <v>748.16543928294629</v>
      </c>
      <c r="L133" s="402"/>
      <c r="M133" s="166">
        <f>RANK(K133, K$112:$K$141)</f>
        <v>18</v>
      </c>
      <c r="N133" s="389"/>
      <c r="O133" s="389"/>
      <c r="P133" s="182">
        <v>4</v>
      </c>
      <c r="Q133" s="166">
        <v>3007.2000000000007</v>
      </c>
      <c r="R133" s="166">
        <v>751.80000000000018</v>
      </c>
      <c r="S133" s="182">
        <f t="shared" si="49"/>
        <v>18</v>
      </c>
      <c r="T133" s="385"/>
      <c r="U133" s="182">
        <v>4</v>
      </c>
      <c r="V133" s="166">
        <v>2943.6000000000008</v>
      </c>
      <c r="W133" s="166">
        <v>735.9000000000002</v>
      </c>
      <c r="X133" s="182">
        <f t="shared" si="51"/>
        <v>18</v>
      </c>
      <c r="Y133" s="385"/>
      <c r="Z133" s="182">
        <v>4</v>
      </c>
      <c r="AA133" s="166">
        <v>2985.9574468085111</v>
      </c>
      <c r="AB133" s="166">
        <v>746.48936170212778</v>
      </c>
      <c r="AC133" s="182">
        <f t="shared" si="53"/>
        <v>17</v>
      </c>
      <c r="AD133" s="385"/>
      <c r="AE133" s="182">
        <v>4</v>
      </c>
      <c r="AF133" s="166">
        <v>2950.5000000000045</v>
      </c>
      <c r="AG133" s="166">
        <v>737.62500000000114</v>
      </c>
      <c r="AH133" s="182">
        <f t="shared" si="55"/>
        <v>19</v>
      </c>
      <c r="AI133" s="385"/>
      <c r="AJ133" s="182">
        <v>4</v>
      </c>
      <c r="AK133" s="166">
        <v>3047.0270270270248</v>
      </c>
      <c r="AL133" s="166">
        <v>761.7567567567562</v>
      </c>
      <c r="AM133" s="182">
        <f t="shared" si="57"/>
        <v>17</v>
      </c>
      <c r="AN133" s="385"/>
      <c r="AO133" s="182">
        <v>4</v>
      </c>
      <c r="AP133" s="166">
        <v>2990.8695652173865</v>
      </c>
      <c r="AQ133" s="166">
        <v>747.71739130434662</v>
      </c>
      <c r="AR133" s="182">
        <f t="shared" si="59"/>
        <v>17</v>
      </c>
      <c r="AS133" s="385"/>
      <c r="AT133" s="182">
        <v>4</v>
      </c>
      <c r="AU133" s="166">
        <v>3023.4782608695705</v>
      </c>
      <c r="AV133" s="166">
        <v>755.86956521739262</v>
      </c>
      <c r="AW133" s="182">
        <f t="shared" si="61"/>
        <v>18</v>
      </c>
      <c r="AX133" s="385"/>
      <c r="AZ133" s="182" t="e">
        <f t="shared" si="63"/>
        <v>#N/A</v>
      </c>
      <c r="BA133" s="385"/>
    </row>
    <row r="134" spans="2:53">
      <c r="B134" s="395"/>
      <c r="C134" s="182">
        <v>23</v>
      </c>
      <c r="D134" s="182" t="s">
        <v>651</v>
      </c>
      <c r="E134" s="182">
        <v>3</v>
      </c>
      <c r="F134" s="182">
        <v>3200</v>
      </c>
      <c r="G134" s="166">
        <v>1066.6666666666667</v>
      </c>
      <c r="H134" s="385"/>
      <c r="I134" s="166">
        <f t="shared" si="65"/>
        <v>3</v>
      </c>
      <c r="J134" s="166">
        <f t="shared" si="66"/>
        <v>3194.376308765361</v>
      </c>
      <c r="K134" s="180">
        <f t="shared" si="67"/>
        <v>1064.7921029217869</v>
      </c>
      <c r="L134" s="402"/>
      <c r="M134" s="166">
        <f>RANK(K134, K$112:$K$141)</f>
        <v>6</v>
      </c>
      <c r="N134" s="389"/>
      <c r="O134" s="389"/>
      <c r="P134" s="182">
        <v>3</v>
      </c>
      <c r="Q134" s="166">
        <v>3217.4999999999959</v>
      </c>
      <c r="R134" s="166">
        <v>1072.4999999999986</v>
      </c>
      <c r="S134" s="182">
        <f t="shared" si="49"/>
        <v>5</v>
      </c>
      <c r="T134" s="385"/>
      <c r="U134" s="182">
        <v>3</v>
      </c>
      <c r="V134" s="166">
        <v>3116.3636363636324</v>
      </c>
      <c r="W134" s="166">
        <v>1038.7878787878774</v>
      </c>
      <c r="X134" s="182">
        <f t="shared" si="51"/>
        <v>7</v>
      </c>
      <c r="Y134" s="385"/>
      <c r="Z134" s="182">
        <v>3</v>
      </c>
      <c r="AA134" s="182">
        <v>3134.9999999999959</v>
      </c>
      <c r="AB134" s="166">
        <v>1044.9999999999986</v>
      </c>
      <c r="AC134" s="182">
        <f t="shared" si="53"/>
        <v>9</v>
      </c>
      <c r="AD134" s="385"/>
      <c r="AE134" s="182">
        <v>3</v>
      </c>
      <c r="AF134" s="166">
        <v>3133.8461538461556</v>
      </c>
      <c r="AG134" s="166">
        <v>1044.6153846153852</v>
      </c>
      <c r="AH134" s="182">
        <f t="shared" si="55"/>
        <v>8</v>
      </c>
      <c r="AI134" s="385"/>
      <c r="AJ134" s="182">
        <v>3</v>
      </c>
      <c r="AK134" s="166">
        <v>3294.782608695652</v>
      </c>
      <c r="AL134" s="166">
        <v>1098.2608695652173</v>
      </c>
      <c r="AM134" s="182">
        <f t="shared" si="57"/>
        <v>3</v>
      </c>
      <c r="AN134" s="385"/>
      <c r="AO134" s="182">
        <v>3</v>
      </c>
      <c r="AP134" s="166">
        <v>3167.5862068965453</v>
      </c>
      <c r="AQ134" s="166">
        <v>1055.8620689655152</v>
      </c>
      <c r="AR134" s="182">
        <f t="shared" si="59"/>
        <v>6</v>
      </c>
      <c r="AS134" s="385"/>
      <c r="AT134" s="182">
        <v>3</v>
      </c>
      <c r="AU134" s="166">
        <v>3295.5555555555479</v>
      </c>
      <c r="AV134" s="166">
        <v>1098.518518518516</v>
      </c>
      <c r="AW134" s="182">
        <f t="shared" si="61"/>
        <v>2</v>
      </c>
      <c r="AX134" s="385"/>
      <c r="AZ134" s="182" t="e">
        <f t="shared" si="63"/>
        <v>#N/A</v>
      </c>
      <c r="BA134" s="385"/>
    </row>
    <row r="135" spans="2:53">
      <c r="B135" s="395"/>
      <c r="C135" s="182">
        <v>24</v>
      </c>
      <c r="D135" s="182" t="s">
        <v>731</v>
      </c>
      <c r="E135" s="182">
        <v>3</v>
      </c>
      <c r="F135" s="182">
        <v>3200</v>
      </c>
      <c r="G135" s="166">
        <v>1066.6666666666667</v>
      </c>
      <c r="H135" s="385"/>
      <c r="I135" s="166">
        <f t="shared" si="65"/>
        <v>3</v>
      </c>
      <c r="J135" s="166">
        <f t="shared" si="66"/>
        <v>3202.5265204392426</v>
      </c>
      <c r="K135" s="180">
        <f t="shared" si="67"/>
        <v>1067.5088401464141</v>
      </c>
      <c r="L135" s="402"/>
      <c r="M135" s="166">
        <f>RANK(K135, K$112:$K$141)</f>
        <v>3</v>
      </c>
      <c r="N135" s="389"/>
      <c r="O135" s="389"/>
      <c r="P135" s="182">
        <v>3</v>
      </c>
      <c r="Q135" s="166">
        <v>3254.5714285714253</v>
      </c>
      <c r="R135" s="166">
        <v>1084.8571428571418</v>
      </c>
      <c r="S135" s="182">
        <f t="shared" si="49"/>
        <v>2</v>
      </c>
      <c r="T135" s="385"/>
      <c r="U135" s="182">
        <v>3</v>
      </c>
      <c r="V135" s="166">
        <v>3163.7142857142826</v>
      </c>
      <c r="W135" s="166">
        <v>1054.5714285714275</v>
      </c>
      <c r="X135" s="182">
        <f t="shared" si="51"/>
        <v>4</v>
      </c>
      <c r="Y135" s="385"/>
      <c r="Z135" s="182">
        <v>3</v>
      </c>
      <c r="AA135" s="166">
        <v>3202.3880597014886</v>
      </c>
      <c r="AB135" s="166">
        <v>1067.4626865671628</v>
      </c>
      <c r="AC135" s="182">
        <f t="shared" si="53"/>
        <v>3</v>
      </c>
      <c r="AD135" s="385"/>
      <c r="AE135" s="182">
        <v>3</v>
      </c>
      <c r="AF135" s="166">
        <v>3185.0000000000032</v>
      </c>
      <c r="AG135" s="166">
        <v>1061.6666666666677</v>
      </c>
      <c r="AH135" s="182">
        <f t="shared" si="55"/>
        <v>1</v>
      </c>
      <c r="AI135" s="385"/>
      <c r="AJ135" s="182">
        <v>3</v>
      </c>
      <c r="AK135" s="166">
        <v>3214.4444444444462</v>
      </c>
      <c r="AL135" s="166">
        <v>1071.481481481482</v>
      </c>
      <c r="AM135" s="182">
        <f t="shared" si="57"/>
        <v>7</v>
      </c>
      <c r="AN135" s="385"/>
      <c r="AO135" s="182">
        <v>3</v>
      </c>
      <c r="AP135" s="166">
        <v>3169.1803278688553</v>
      </c>
      <c r="AQ135" s="166">
        <v>1056.3934426229519</v>
      </c>
      <c r="AR135" s="182">
        <f t="shared" si="59"/>
        <v>5</v>
      </c>
      <c r="AS135" s="385"/>
      <c r="AT135" s="182">
        <v>3</v>
      </c>
      <c r="AU135" s="166">
        <v>3228.3870967741964</v>
      </c>
      <c r="AV135" s="166">
        <v>1076.1290322580655</v>
      </c>
      <c r="AW135" s="182">
        <f t="shared" si="61"/>
        <v>6</v>
      </c>
      <c r="AX135" s="385"/>
      <c r="AZ135" s="182" t="e">
        <f t="shared" si="63"/>
        <v>#N/A</v>
      </c>
      <c r="BA135" s="385"/>
    </row>
    <row r="136" spans="2:53">
      <c r="B136" s="395"/>
      <c r="C136" s="182">
        <v>25</v>
      </c>
      <c r="D136" s="182" t="s">
        <v>736</v>
      </c>
      <c r="E136" s="182">
        <v>3</v>
      </c>
      <c r="F136" s="182">
        <v>3200</v>
      </c>
      <c r="G136" s="166">
        <v>1066.6666666666667</v>
      </c>
      <c r="H136" s="385"/>
      <c r="I136" s="166">
        <f t="shared" si="65"/>
        <v>3</v>
      </c>
      <c r="J136" s="166">
        <f t="shared" si="66"/>
        <v>3195.8719959778787</v>
      </c>
      <c r="K136" s="180">
        <f t="shared" si="67"/>
        <v>1065.2906653259595</v>
      </c>
      <c r="L136" s="402"/>
      <c r="M136" s="166">
        <f>RANK(K136, K$112:$K$141)</f>
        <v>5</v>
      </c>
      <c r="N136" s="389"/>
      <c r="O136" s="389"/>
      <c r="P136" s="182">
        <v>3</v>
      </c>
      <c r="Q136" s="166">
        <v>3238.3999999999978</v>
      </c>
      <c r="R136" s="166">
        <v>1079.466666666666</v>
      </c>
      <c r="S136" s="182">
        <f t="shared" si="49"/>
        <v>4</v>
      </c>
      <c r="T136" s="385"/>
      <c r="U136" s="182">
        <v>3</v>
      </c>
      <c r="V136" s="166">
        <v>3175.5555555555484</v>
      </c>
      <c r="W136" s="166">
        <v>1058.5185185185162</v>
      </c>
      <c r="X136" s="182">
        <f t="shared" si="51"/>
        <v>3</v>
      </c>
      <c r="Y136" s="385"/>
      <c r="Z136" s="182">
        <v>3</v>
      </c>
      <c r="AA136" s="166">
        <v>3174.1176470588252</v>
      </c>
      <c r="AB136" s="166">
        <v>1058.0392156862752</v>
      </c>
      <c r="AC136" s="182">
        <f t="shared" si="53"/>
        <v>7</v>
      </c>
      <c r="AD136" s="385"/>
      <c r="AE136" s="182">
        <v>3</v>
      </c>
      <c r="AF136" s="166">
        <v>3165.2307692307727</v>
      </c>
      <c r="AG136" s="166">
        <v>1055.0769230769242</v>
      </c>
      <c r="AH136" s="182">
        <f t="shared" si="55"/>
        <v>4</v>
      </c>
      <c r="AI136" s="385"/>
      <c r="AJ136" s="182">
        <v>3</v>
      </c>
      <c r="AK136" s="166">
        <v>3205.0000000000027</v>
      </c>
      <c r="AL136" s="166">
        <v>1068.3333333333342</v>
      </c>
      <c r="AM136" s="182">
        <f t="shared" si="57"/>
        <v>8</v>
      </c>
      <c r="AN136" s="385"/>
      <c r="AO136" s="182">
        <v>3</v>
      </c>
      <c r="AP136" s="166">
        <v>3192.7999999999979</v>
      </c>
      <c r="AQ136" s="166">
        <v>1064.266666666666</v>
      </c>
      <c r="AR136" s="182">
        <f t="shared" si="59"/>
        <v>1</v>
      </c>
      <c r="AS136" s="385"/>
      <c r="AT136" s="182">
        <v>3</v>
      </c>
      <c r="AU136" s="166">
        <v>3220.0000000000032</v>
      </c>
      <c r="AV136" s="166">
        <v>1073.3333333333344</v>
      </c>
      <c r="AW136" s="182">
        <f t="shared" si="61"/>
        <v>7</v>
      </c>
      <c r="AX136" s="385"/>
      <c r="AZ136" s="182" t="e">
        <f t="shared" si="63"/>
        <v>#N/A</v>
      </c>
      <c r="BA136" s="385"/>
    </row>
    <row r="137" spans="2:53">
      <c r="B137" s="395"/>
      <c r="C137" s="182">
        <v>26</v>
      </c>
      <c r="D137" s="182"/>
      <c r="E137" s="182"/>
      <c r="F137" s="182"/>
      <c r="G137" s="182"/>
      <c r="H137" s="385"/>
      <c r="I137" s="166" t="str">
        <f t="shared" si="65"/>
        <v>-</v>
      </c>
      <c r="J137" s="166" t="str">
        <f t="shared" si="66"/>
        <v>-</v>
      </c>
      <c r="K137" s="180" t="str">
        <f t="shared" si="67"/>
        <v>-</v>
      </c>
      <c r="L137" s="402"/>
      <c r="M137" s="166" t="e">
        <f>RANK(K137, K$112:$K$141)</f>
        <v>#VALUE!</v>
      </c>
      <c r="N137" s="389"/>
      <c r="O137" s="389"/>
      <c r="P137" s="182"/>
      <c r="Q137" s="182"/>
      <c r="R137" s="182"/>
      <c r="S137" s="182" t="e">
        <f t="shared" si="49"/>
        <v>#N/A</v>
      </c>
      <c r="T137" s="385"/>
      <c r="U137" s="182"/>
      <c r="V137" s="182"/>
      <c r="W137" s="182"/>
      <c r="X137" s="182" t="e">
        <f t="shared" si="51"/>
        <v>#N/A</v>
      </c>
      <c r="Y137" s="385"/>
      <c r="Z137" s="182"/>
      <c r="AA137" s="182"/>
      <c r="AB137" s="182"/>
      <c r="AC137" s="182" t="e">
        <f t="shared" si="53"/>
        <v>#N/A</v>
      </c>
      <c r="AD137" s="385"/>
      <c r="AE137" s="182"/>
      <c r="AF137" s="182"/>
      <c r="AG137" s="182"/>
      <c r="AH137" s="182" t="e">
        <f t="shared" si="55"/>
        <v>#N/A</v>
      </c>
      <c r="AI137" s="385"/>
      <c r="AJ137" s="182"/>
      <c r="AK137" s="182"/>
      <c r="AL137" s="182"/>
      <c r="AM137" s="182" t="e">
        <f t="shared" si="57"/>
        <v>#N/A</v>
      </c>
      <c r="AN137" s="385"/>
      <c r="AO137" s="182"/>
      <c r="AP137" s="182"/>
      <c r="AQ137" s="182"/>
      <c r="AR137" s="182" t="e">
        <f t="shared" si="59"/>
        <v>#N/A</v>
      </c>
      <c r="AS137" s="385"/>
      <c r="AT137" s="182"/>
      <c r="AU137" s="182"/>
      <c r="AV137" s="182"/>
      <c r="AW137" s="182" t="e">
        <f t="shared" si="61"/>
        <v>#N/A</v>
      </c>
      <c r="AX137" s="385"/>
      <c r="AZ137" s="182" t="e">
        <f t="shared" si="63"/>
        <v>#N/A</v>
      </c>
      <c r="BA137" s="385"/>
    </row>
    <row r="138" spans="2:53">
      <c r="B138" s="395"/>
      <c r="C138" s="182">
        <v>27</v>
      </c>
      <c r="D138" s="182"/>
      <c r="E138" s="182"/>
      <c r="F138" s="182"/>
      <c r="G138" s="182"/>
      <c r="H138" s="385"/>
      <c r="I138" s="166" t="str">
        <f t="shared" si="65"/>
        <v>-</v>
      </c>
      <c r="J138" s="166" t="str">
        <f t="shared" si="66"/>
        <v>-</v>
      </c>
      <c r="K138" s="180" t="str">
        <f t="shared" si="67"/>
        <v>-</v>
      </c>
      <c r="L138" s="402"/>
      <c r="M138" s="166" t="e">
        <f>RANK(K138, K$112:$K$141)</f>
        <v>#VALUE!</v>
      </c>
      <c r="N138" s="389"/>
      <c r="O138" s="389"/>
      <c r="P138" s="182"/>
      <c r="Q138" s="182"/>
      <c r="R138" s="182"/>
      <c r="S138" s="182" t="e">
        <f t="shared" si="49"/>
        <v>#N/A</v>
      </c>
      <c r="T138" s="385"/>
      <c r="U138" s="182"/>
      <c r="V138" s="182"/>
      <c r="W138" s="182"/>
      <c r="X138" s="182" t="e">
        <f t="shared" si="51"/>
        <v>#N/A</v>
      </c>
      <c r="Y138" s="385"/>
      <c r="Z138" s="182"/>
      <c r="AA138" s="182"/>
      <c r="AB138" s="182"/>
      <c r="AC138" s="182" t="e">
        <f t="shared" si="53"/>
        <v>#N/A</v>
      </c>
      <c r="AD138" s="385"/>
      <c r="AE138" s="182"/>
      <c r="AF138" s="182"/>
      <c r="AG138" s="182"/>
      <c r="AH138" s="182" t="e">
        <f t="shared" si="55"/>
        <v>#N/A</v>
      </c>
      <c r="AI138" s="385"/>
      <c r="AJ138" s="182"/>
      <c r="AK138" s="182"/>
      <c r="AL138" s="182"/>
      <c r="AM138" s="182" t="e">
        <f t="shared" si="57"/>
        <v>#N/A</v>
      </c>
      <c r="AN138" s="385"/>
      <c r="AO138" s="182"/>
      <c r="AP138" s="182"/>
      <c r="AQ138" s="182"/>
      <c r="AR138" s="182" t="e">
        <f t="shared" si="59"/>
        <v>#N/A</v>
      </c>
      <c r="AS138" s="385"/>
      <c r="AT138" s="182"/>
      <c r="AU138" s="182"/>
      <c r="AV138" s="182"/>
      <c r="AW138" s="182" t="e">
        <f t="shared" si="61"/>
        <v>#N/A</v>
      </c>
      <c r="AX138" s="385"/>
      <c r="AZ138" s="182" t="e">
        <f t="shared" si="63"/>
        <v>#N/A</v>
      </c>
      <c r="BA138" s="385"/>
    </row>
    <row r="139" spans="2:53">
      <c r="B139" s="395"/>
      <c r="C139" s="182">
        <v>28</v>
      </c>
      <c r="D139" s="182"/>
      <c r="E139" s="182"/>
      <c r="F139" s="182"/>
      <c r="G139" s="182"/>
      <c r="H139" s="385"/>
      <c r="I139" s="166" t="str">
        <f t="shared" si="65"/>
        <v>-</v>
      </c>
      <c r="J139" s="166" t="str">
        <f t="shared" si="66"/>
        <v>-</v>
      </c>
      <c r="K139" s="180" t="str">
        <f t="shared" si="67"/>
        <v>-</v>
      </c>
      <c r="L139" s="402"/>
      <c r="M139" s="166" t="e">
        <f>RANK(K139, K$112:$K$141)</f>
        <v>#VALUE!</v>
      </c>
      <c r="N139" s="389"/>
      <c r="O139" s="389"/>
      <c r="P139" s="182"/>
      <c r="Q139" s="182"/>
      <c r="R139" s="182"/>
      <c r="S139" s="182" t="e">
        <f t="shared" si="49"/>
        <v>#N/A</v>
      </c>
      <c r="T139" s="385"/>
      <c r="U139" s="182"/>
      <c r="V139" s="182"/>
      <c r="W139" s="182"/>
      <c r="X139" s="182" t="e">
        <f t="shared" si="51"/>
        <v>#N/A</v>
      </c>
      <c r="Y139" s="385"/>
      <c r="Z139" s="182"/>
      <c r="AA139" s="182"/>
      <c r="AB139" s="182"/>
      <c r="AC139" s="182" t="e">
        <f t="shared" si="53"/>
        <v>#N/A</v>
      </c>
      <c r="AD139" s="385"/>
      <c r="AE139" s="182"/>
      <c r="AF139" s="182"/>
      <c r="AG139" s="182"/>
      <c r="AH139" s="182" t="e">
        <f t="shared" si="55"/>
        <v>#N/A</v>
      </c>
      <c r="AI139" s="385"/>
      <c r="AJ139" s="182"/>
      <c r="AK139" s="182"/>
      <c r="AL139" s="182"/>
      <c r="AM139" s="182" t="e">
        <f t="shared" si="57"/>
        <v>#N/A</v>
      </c>
      <c r="AN139" s="385"/>
      <c r="AO139" s="182"/>
      <c r="AP139" s="182"/>
      <c r="AQ139" s="182"/>
      <c r="AR139" s="182" t="e">
        <f t="shared" si="59"/>
        <v>#N/A</v>
      </c>
      <c r="AS139" s="385"/>
      <c r="AT139" s="182"/>
      <c r="AU139" s="182"/>
      <c r="AV139" s="182"/>
      <c r="AW139" s="182" t="e">
        <f t="shared" si="61"/>
        <v>#N/A</v>
      </c>
      <c r="AX139" s="385"/>
      <c r="AZ139" s="182" t="e">
        <f t="shared" si="63"/>
        <v>#N/A</v>
      </c>
      <c r="BA139" s="385"/>
    </row>
    <row r="140" spans="2:53">
      <c r="B140" s="395"/>
      <c r="C140" s="182">
        <v>29</v>
      </c>
      <c r="D140" s="182"/>
      <c r="E140" s="182"/>
      <c r="F140" s="182"/>
      <c r="G140" s="182"/>
      <c r="H140" s="385"/>
      <c r="I140" s="166" t="str">
        <f t="shared" si="65"/>
        <v>-</v>
      </c>
      <c r="J140" s="166" t="str">
        <f t="shared" si="66"/>
        <v>-</v>
      </c>
      <c r="K140" s="180" t="str">
        <f t="shared" si="67"/>
        <v>-</v>
      </c>
      <c r="L140" s="402"/>
      <c r="M140" s="166" t="e">
        <f>RANK(K140, K$112:$K$141)</f>
        <v>#VALUE!</v>
      </c>
      <c r="N140" s="389"/>
      <c r="O140" s="389"/>
      <c r="P140" s="182"/>
      <c r="Q140" s="182"/>
      <c r="R140" s="182"/>
      <c r="S140" s="182" t="e">
        <f t="shared" si="49"/>
        <v>#N/A</v>
      </c>
      <c r="T140" s="385"/>
      <c r="U140" s="182"/>
      <c r="V140" s="182"/>
      <c r="W140" s="182"/>
      <c r="X140" s="182" t="e">
        <f t="shared" si="51"/>
        <v>#N/A</v>
      </c>
      <c r="Y140" s="385"/>
      <c r="Z140" s="182"/>
      <c r="AA140" s="182"/>
      <c r="AB140" s="182"/>
      <c r="AC140" s="182" t="e">
        <f t="shared" si="53"/>
        <v>#N/A</v>
      </c>
      <c r="AD140" s="385"/>
      <c r="AE140" s="182"/>
      <c r="AF140" s="182"/>
      <c r="AG140" s="182"/>
      <c r="AH140" s="182" t="e">
        <f t="shared" si="55"/>
        <v>#N/A</v>
      </c>
      <c r="AI140" s="385"/>
      <c r="AJ140" s="182"/>
      <c r="AK140" s="182"/>
      <c r="AL140" s="182"/>
      <c r="AM140" s="182" t="e">
        <f t="shared" si="57"/>
        <v>#N/A</v>
      </c>
      <c r="AN140" s="385"/>
      <c r="AO140" s="182"/>
      <c r="AP140" s="182"/>
      <c r="AQ140" s="182"/>
      <c r="AR140" s="182" t="e">
        <f t="shared" si="59"/>
        <v>#N/A</v>
      </c>
      <c r="AS140" s="385"/>
      <c r="AT140" s="182"/>
      <c r="AU140" s="182"/>
      <c r="AV140" s="182"/>
      <c r="AW140" s="182" t="e">
        <f t="shared" si="61"/>
        <v>#N/A</v>
      </c>
      <c r="AX140" s="385"/>
      <c r="AZ140" s="182" t="e">
        <f t="shared" si="63"/>
        <v>#N/A</v>
      </c>
      <c r="BA140" s="385"/>
    </row>
    <row r="141" spans="2:53">
      <c r="B141" s="395"/>
      <c r="C141" s="182">
        <v>30</v>
      </c>
      <c r="D141" s="182"/>
      <c r="E141" s="182"/>
      <c r="F141" s="182"/>
      <c r="G141" s="182"/>
      <c r="H141" s="386"/>
      <c r="I141" s="166" t="str">
        <f t="shared" si="65"/>
        <v>-</v>
      </c>
      <c r="J141" s="166" t="str">
        <f t="shared" si="66"/>
        <v>-</v>
      </c>
      <c r="K141" s="180" t="str">
        <f t="shared" si="67"/>
        <v>-</v>
      </c>
      <c r="L141" s="403"/>
      <c r="M141" s="166" t="e">
        <f>RANK(K141, K$112:$K$141)</f>
        <v>#VALUE!</v>
      </c>
      <c r="N141" s="389"/>
      <c r="O141" s="389"/>
      <c r="P141" s="182"/>
      <c r="Q141" s="182"/>
      <c r="R141" s="182"/>
      <c r="S141" s="182" t="e">
        <f t="shared" si="49"/>
        <v>#N/A</v>
      </c>
      <c r="T141" s="386"/>
      <c r="U141" s="182"/>
      <c r="V141" s="182"/>
      <c r="W141" s="182"/>
      <c r="X141" s="182" t="e">
        <f t="shared" si="51"/>
        <v>#N/A</v>
      </c>
      <c r="Y141" s="386"/>
      <c r="Z141" s="182"/>
      <c r="AA141" s="182"/>
      <c r="AB141" s="182"/>
      <c r="AC141" s="182" t="e">
        <f t="shared" si="53"/>
        <v>#N/A</v>
      </c>
      <c r="AD141" s="386"/>
      <c r="AE141" s="182"/>
      <c r="AF141" s="182"/>
      <c r="AG141" s="182"/>
      <c r="AH141" s="182" t="e">
        <f t="shared" si="55"/>
        <v>#N/A</v>
      </c>
      <c r="AI141" s="386"/>
      <c r="AJ141" s="182"/>
      <c r="AK141" s="182"/>
      <c r="AL141" s="182"/>
      <c r="AM141" s="182" t="e">
        <f t="shared" si="57"/>
        <v>#N/A</v>
      </c>
      <c r="AN141" s="386"/>
      <c r="AO141" s="182"/>
      <c r="AP141" s="182"/>
      <c r="AQ141" s="182"/>
      <c r="AR141" s="182" t="e">
        <f t="shared" si="59"/>
        <v>#N/A</v>
      </c>
      <c r="AS141" s="386"/>
      <c r="AT141" s="182"/>
      <c r="AU141" s="182"/>
      <c r="AV141" s="182"/>
      <c r="AW141" s="182" t="e">
        <f t="shared" si="61"/>
        <v>#N/A</v>
      </c>
      <c r="AX141" s="386"/>
      <c r="AZ141" s="182" t="e">
        <f t="shared" si="63"/>
        <v>#N/A</v>
      </c>
      <c r="BA141" s="386"/>
    </row>
    <row r="142" spans="2:53" ht="15.75">
      <c r="B142" s="414" t="s">
        <v>163</v>
      </c>
      <c r="C142" s="415"/>
      <c r="D142" s="415"/>
      <c r="E142" s="415"/>
      <c r="F142" s="415"/>
      <c r="G142" s="415"/>
      <c r="H142" s="415"/>
      <c r="I142" s="186"/>
      <c r="J142" s="186"/>
      <c r="K142" s="186"/>
      <c r="L142" s="186"/>
      <c r="M142" s="185"/>
      <c r="N142" s="391" t="s">
        <v>156</v>
      </c>
      <c r="O142" s="391" t="s">
        <v>155</v>
      </c>
      <c r="P142" s="413">
        <f>P107+7</f>
        <v>46168</v>
      </c>
      <c r="Q142" s="395"/>
      <c r="R142" s="395"/>
      <c r="S142" s="395"/>
      <c r="T142" s="395"/>
      <c r="U142" s="410">
        <f>P142+1</f>
        <v>46169</v>
      </c>
      <c r="V142" s="411"/>
      <c r="W142" s="411"/>
      <c r="X142" s="411"/>
      <c r="Y142" s="412"/>
      <c r="Z142" s="410">
        <f>U142+1</f>
        <v>46170</v>
      </c>
      <c r="AA142" s="411"/>
      <c r="AB142" s="411"/>
      <c r="AC142" s="411"/>
      <c r="AD142" s="412"/>
      <c r="AE142" s="410">
        <f>Z142+1</f>
        <v>46171</v>
      </c>
      <c r="AF142" s="411"/>
      <c r="AG142" s="411"/>
      <c r="AH142" s="411"/>
      <c r="AI142" s="412"/>
      <c r="AJ142" s="410">
        <f>AE142+1</f>
        <v>46172</v>
      </c>
      <c r="AK142" s="411"/>
      <c r="AL142" s="411"/>
      <c r="AM142" s="411"/>
      <c r="AN142" s="412"/>
      <c r="AO142" s="410">
        <f>AJ142+1</f>
        <v>46173</v>
      </c>
      <c r="AP142" s="411"/>
      <c r="AQ142" s="411"/>
      <c r="AR142" s="411"/>
      <c r="AS142" s="412"/>
      <c r="AT142" s="410">
        <f>AO142+1</f>
        <v>46174</v>
      </c>
      <c r="AU142" s="411"/>
      <c r="AV142" s="411"/>
      <c r="AW142" s="411"/>
      <c r="AX142" s="412"/>
    </row>
    <row r="143" spans="2:53" ht="15.75">
      <c r="B143" s="416"/>
      <c r="C143" s="416"/>
      <c r="D143" s="416"/>
      <c r="E143" s="416"/>
      <c r="F143" s="416"/>
      <c r="G143" s="416"/>
      <c r="H143" s="416"/>
      <c r="I143" s="184"/>
      <c r="J143" s="184"/>
      <c r="K143" s="184"/>
      <c r="L143" s="184"/>
      <c r="M143" s="179"/>
      <c r="N143" s="393"/>
      <c r="O143" s="393"/>
      <c r="P143" s="413" t="s">
        <v>318</v>
      </c>
      <c r="Q143" s="395"/>
      <c r="R143" s="395"/>
      <c r="S143" s="395"/>
      <c r="T143" s="395"/>
      <c r="U143" s="413" t="s">
        <v>319</v>
      </c>
      <c r="V143" s="395"/>
      <c r="W143" s="395"/>
      <c r="X143" s="395"/>
      <c r="Y143" s="395"/>
      <c r="Z143" s="413" t="s">
        <v>320</v>
      </c>
      <c r="AA143" s="395"/>
      <c r="AB143" s="395"/>
      <c r="AC143" s="395"/>
      <c r="AD143" s="395"/>
      <c r="AE143" s="413" t="s">
        <v>321</v>
      </c>
      <c r="AF143" s="395"/>
      <c r="AG143" s="395"/>
      <c r="AH143" s="395"/>
      <c r="AI143" s="395"/>
      <c r="AJ143" s="413" t="s">
        <v>322</v>
      </c>
      <c r="AK143" s="395"/>
      <c r="AL143" s="395"/>
      <c r="AM143" s="395"/>
      <c r="AN143" s="395"/>
      <c r="AO143" s="413" t="s">
        <v>323</v>
      </c>
      <c r="AP143" s="395"/>
      <c r="AQ143" s="395"/>
      <c r="AR143" s="395"/>
      <c r="AS143" s="395"/>
      <c r="AT143" s="413" t="s">
        <v>324</v>
      </c>
      <c r="AU143" s="395"/>
      <c r="AV143" s="395"/>
      <c r="AW143" s="395"/>
      <c r="AX143" s="395"/>
    </row>
    <row r="144" spans="2:53">
      <c r="B144" s="389" t="s">
        <v>401</v>
      </c>
      <c r="C144" s="389" t="s">
        <v>402</v>
      </c>
      <c r="D144" s="389"/>
      <c r="E144" s="389" t="s">
        <v>403</v>
      </c>
      <c r="F144" s="389"/>
      <c r="G144" s="389"/>
      <c r="H144" s="417" t="s">
        <v>404</v>
      </c>
      <c r="I144" s="389" t="s">
        <v>405</v>
      </c>
      <c r="J144" s="389"/>
      <c r="K144" s="389"/>
      <c r="L144" s="417" t="s">
        <v>404</v>
      </c>
      <c r="M144" s="391" t="s">
        <v>406</v>
      </c>
      <c r="N144" s="389"/>
      <c r="O144" s="389" t="s">
        <v>407</v>
      </c>
      <c r="P144" s="404" t="s">
        <v>408</v>
      </c>
      <c r="Q144" s="405"/>
      <c r="R144" s="405"/>
      <c r="S144" s="406"/>
      <c r="T144" s="389" t="s">
        <v>404</v>
      </c>
      <c r="U144" s="404" t="s">
        <v>408</v>
      </c>
      <c r="V144" s="405"/>
      <c r="W144" s="405"/>
      <c r="X144" s="406"/>
      <c r="Y144" s="389" t="s">
        <v>404</v>
      </c>
      <c r="Z144" s="404" t="s">
        <v>408</v>
      </c>
      <c r="AA144" s="405"/>
      <c r="AB144" s="405"/>
      <c r="AC144" s="406"/>
      <c r="AD144" s="389" t="s">
        <v>404</v>
      </c>
      <c r="AE144" s="404" t="s">
        <v>408</v>
      </c>
      <c r="AF144" s="405"/>
      <c r="AG144" s="405"/>
      <c r="AH144" s="406"/>
      <c r="AI144" s="389" t="s">
        <v>404</v>
      </c>
      <c r="AJ144" s="404" t="s">
        <v>408</v>
      </c>
      <c r="AK144" s="405"/>
      <c r="AL144" s="405"/>
      <c r="AM144" s="406"/>
      <c r="AN144" s="389" t="s">
        <v>404</v>
      </c>
      <c r="AO144" s="404" t="s">
        <v>408</v>
      </c>
      <c r="AP144" s="405"/>
      <c r="AQ144" s="405"/>
      <c r="AR144" s="406"/>
      <c r="AS144" s="389" t="s">
        <v>404</v>
      </c>
      <c r="AT144" s="404" t="s">
        <v>408</v>
      </c>
      <c r="AU144" s="405"/>
      <c r="AV144" s="405"/>
      <c r="AW144" s="406"/>
      <c r="AX144" s="389" t="s">
        <v>404</v>
      </c>
      <c r="BA144" s="389" t="s">
        <v>373</v>
      </c>
    </row>
    <row r="145" spans="2:53">
      <c r="B145" s="389"/>
      <c r="C145" s="389"/>
      <c r="D145" s="389"/>
      <c r="E145" s="389" t="s">
        <v>409</v>
      </c>
      <c r="F145" s="389"/>
      <c r="G145" s="389"/>
      <c r="H145" s="418"/>
      <c r="I145" s="389" t="s">
        <v>409</v>
      </c>
      <c r="J145" s="389"/>
      <c r="K145" s="389"/>
      <c r="L145" s="418"/>
      <c r="M145" s="392"/>
      <c r="N145" s="389"/>
      <c r="O145" s="389"/>
      <c r="P145" s="404" t="s">
        <v>410</v>
      </c>
      <c r="Q145" s="405"/>
      <c r="R145" s="405"/>
      <c r="S145" s="406"/>
      <c r="T145" s="389"/>
      <c r="U145" s="404" t="s">
        <v>410</v>
      </c>
      <c r="V145" s="405"/>
      <c r="W145" s="405"/>
      <c r="X145" s="406"/>
      <c r="Y145" s="389"/>
      <c r="Z145" s="404" t="s">
        <v>410</v>
      </c>
      <c r="AA145" s="405"/>
      <c r="AB145" s="405"/>
      <c r="AC145" s="406"/>
      <c r="AD145" s="389"/>
      <c r="AE145" s="404" t="s">
        <v>410</v>
      </c>
      <c r="AF145" s="405"/>
      <c r="AG145" s="405"/>
      <c r="AH145" s="406"/>
      <c r="AI145" s="389"/>
      <c r="AJ145" s="404" t="s">
        <v>410</v>
      </c>
      <c r="AK145" s="405"/>
      <c r="AL145" s="405"/>
      <c r="AM145" s="406"/>
      <c r="AN145" s="389"/>
      <c r="AO145" s="404" t="s">
        <v>410</v>
      </c>
      <c r="AP145" s="405"/>
      <c r="AQ145" s="405"/>
      <c r="AR145" s="406"/>
      <c r="AS145" s="389"/>
      <c r="AT145" s="404" t="s">
        <v>410</v>
      </c>
      <c r="AU145" s="405"/>
      <c r="AV145" s="405"/>
      <c r="AW145" s="406"/>
      <c r="AX145" s="389"/>
      <c r="BA145" s="389"/>
    </row>
    <row r="146" spans="2:53">
      <c r="B146" s="389"/>
      <c r="C146" s="389"/>
      <c r="D146" s="389"/>
      <c r="E146" s="258" t="s">
        <v>411</v>
      </c>
      <c r="F146" s="258" t="s">
        <v>412</v>
      </c>
      <c r="G146" s="258" t="s">
        <v>413</v>
      </c>
      <c r="H146" s="419"/>
      <c r="I146" s="258" t="s">
        <v>411</v>
      </c>
      <c r="J146" s="258" t="s">
        <v>412</v>
      </c>
      <c r="K146" s="258" t="s">
        <v>413</v>
      </c>
      <c r="L146" s="419"/>
      <c r="M146" s="393"/>
      <c r="N146" s="389"/>
      <c r="O146" s="389"/>
      <c r="P146" s="258" t="s">
        <v>411</v>
      </c>
      <c r="Q146" s="258" t="s">
        <v>412</v>
      </c>
      <c r="R146" s="258" t="s">
        <v>413</v>
      </c>
      <c r="S146" s="258" t="s">
        <v>406</v>
      </c>
      <c r="T146" s="389"/>
      <c r="U146" s="258" t="s">
        <v>411</v>
      </c>
      <c r="V146" s="258" t="s">
        <v>412</v>
      </c>
      <c r="W146" s="258" t="s">
        <v>413</v>
      </c>
      <c r="X146" s="258" t="s">
        <v>406</v>
      </c>
      <c r="Y146" s="389"/>
      <c r="Z146" s="258" t="s">
        <v>411</v>
      </c>
      <c r="AA146" s="258" t="s">
        <v>412</v>
      </c>
      <c r="AB146" s="258" t="s">
        <v>413</v>
      </c>
      <c r="AC146" s="258" t="s">
        <v>406</v>
      </c>
      <c r="AD146" s="389"/>
      <c r="AE146" s="258" t="s">
        <v>411</v>
      </c>
      <c r="AF146" s="258" t="s">
        <v>412</v>
      </c>
      <c r="AG146" s="258" t="s">
        <v>413</v>
      </c>
      <c r="AH146" s="258" t="s">
        <v>406</v>
      </c>
      <c r="AI146" s="389"/>
      <c r="AJ146" s="258" t="s">
        <v>411</v>
      </c>
      <c r="AK146" s="258" t="s">
        <v>412</v>
      </c>
      <c r="AL146" s="258" t="s">
        <v>413</v>
      </c>
      <c r="AM146" s="258" t="s">
        <v>406</v>
      </c>
      <c r="AN146" s="389"/>
      <c r="AO146" s="258" t="s">
        <v>411</v>
      </c>
      <c r="AP146" s="258" t="s">
        <v>412</v>
      </c>
      <c r="AQ146" s="258" t="s">
        <v>413</v>
      </c>
      <c r="AR146" s="258" t="s">
        <v>406</v>
      </c>
      <c r="AS146" s="389"/>
      <c r="AT146" s="258" t="s">
        <v>411</v>
      </c>
      <c r="AU146" s="258" t="s">
        <v>412</v>
      </c>
      <c r="AV146" s="258" t="s">
        <v>413</v>
      </c>
      <c r="AW146" s="258" t="s">
        <v>406</v>
      </c>
      <c r="AX146" s="389"/>
      <c r="AZ146" s="258" t="s">
        <v>374</v>
      </c>
      <c r="BA146" s="389"/>
    </row>
    <row r="147" spans="2:53">
      <c r="B147" s="395" t="s">
        <v>150</v>
      </c>
      <c r="C147" s="182">
        <v>1</v>
      </c>
      <c r="D147" s="182" t="s">
        <v>339</v>
      </c>
      <c r="E147" s="182">
        <v>3</v>
      </c>
      <c r="F147" s="182">
        <v>3200</v>
      </c>
      <c r="G147" s="166">
        <v>1066.6666666666667</v>
      </c>
      <c r="H147" s="384">
        <f>AVERAGE(G147:G176)</f>
        <v>825.16666666666686</v>
      </c>
      <c r="I147" s="166">
        <f>IFERROR(AVERAGE(P147,U147,Z147,AE147,AJ147,AO147,AT147),"-")</f>
        <v>3</v>
      </c>
      <c r="J147" s="166">
        <f>IFERROR(AVERAGE(Q147,V147,AA147,AF147,AK147,AP147,AU147),"-")</f>
        <v>3215.5940924029615</v>
      </c>
      <c r="K147" s="180">
        <f>IFERROR(AVERAGE(R147,W147,AB147,AG147,AL147,AQ147,AV147),"-")</f>
        <v>1071.864697467654</v>
      </c>
      <c r="L147" s="401">
        <f>IFERROR(AVERAGE(K147:K176),"-")</f>
        <v>839.83389252746474</v>
      </c>
      <c r="M147" s="166">
        <f>RANK(K147, K$147:$K$176)</f>
        <v>1</v>
      </c>
      <c r="N147" s="389"/>
      <c r="O147" s="389"/>
      <c r="P147" s="182">
        <v>3</v>
      </c>
      <c r="Q147" s="166">
        <v>3302.1818181818203</v>
      </c>
      <c r="R147" s="166">
        <v>1100.7272727272734</v>
      </c>
      <c r="S147" s="182">
        <f t="shared" ref="S147:S176" si="68">RANK(R147, R$147:R$176)</f>
        <v>1</v>
      </c>
      <c r="T147" s="384">
        <f t="shared" ref="T147" si="69">AVERAGE(R147:R176)</f>
        <v>838.00415116312752</v>
      </c>
      <c r="U147" s="182">
        <v>3</v>
      </c>
      <c r="V147" s="166">
        <v>3192.6315789473711</v>
      </c>
      <c r="W147" s="166">
        <v>1064.2105263157903</v>
      </c>
      <c r="X147" s="182">
        <f t="shared" ref="X147:X176" si="70">RANK(W147, W$147:W$176)</f>
        <v>4</v>
      </c>
      <c r="Y147" s="384">
        <f t="shared" ref="Y147" si="71">AVERAGE(W147:W176)</f>
        <v>834.66346212793985</v>
      </c>
      <c r="Z147" s="182">
        <v>3</v>
      </c>
      <c r="AA147" s="166">
        <v>3162.222222222224</v>
      </c>
      <c r="AB147" s="166">
        <v>1054.0740740740746</v>
      </c>
      <c r="AC147" s="182">
        <f t="shared" ref="AC147:AC176" si="72">RANK(AB147, AB$147:AB$176)</f>
        <v>4</v>
      </c>
      <c r="AD147" s="384">
        <f t="shared" ref="AD147" si="73">AVERAGE(AB147:AB176)</f>
        <v>835.6701378169646</v>
      </c>
      <c r="AE147" s="182">
        <v>3</v>
      </c>
      <c r="AF147" s="166">
        <v>3237.5000000000009</v>
      </c>
      <c r="AG147" s="166">
        <v>1079.166666666667</v>
      </c>
      <c r="AH147" s="182">
        <f t="shared" ref="AH147:AH176" si="74">RANK(AG147, AG$147:AG$176)</f>
        <v>3</v>
      </c>
      <c r="AI147" s="384">
        <f t="shared" ref="AI147" si="75">AVERAGE(AG147:AG176)</f>
        <v>844.71752315075298</v>
      </c>
      <c r="AJ147" s="182">
        <v>3</v>
      </c>
      <c r="AK147" s="166">
        <v>3240.0000000000009</v>
      </c>
      <c r="AL147" s="166">
        <v>1080.0000000000002</v>
      </c>
      <c r="AM147" s="182">
        <f t="shared" ref="AM147:AM176" si="76">RANK(AL147, AL$147:AL$176)</f>
        <v>6</v>
      </c>
      <c r="AN147" s="384">
        <f t="shared" ref="AN147" si="77">AVERAGE(AL147:AL176)</f>
        <v>863.23508999290414</v>
      </c>
      <c r="AO147" s="182">
        <v>3</v>
      </c>
      <c r="AP147" s="166">
        <v>3171.8644067796636</v>
      </c>
      <c r="AQ147" s="166">
        <v>1057.2881355932211</v>
      </c>
      <c r="AR147" s="182">
        <f t="shared" ref="AR147:AR176" si="78">RANK(AQ147, AQ$147:AQ$176)</f>
        <v>5</v>
      </c>
      <c r="AS147" s="384">
        <f t="shared" ref="AS147" si="79">AVERAGE(AQ147:AQ176)</f>
        <v>835.94202543377844</v>
      </c>
      <c r="AT147" s="182">
        <v>3</v>
      </c>
      <c r="AU147" s="166">
        <v>3202.7586206896531</v>
      </c>
      <c r="AV147" s="166">
        <v>1067.5862068965509</v>
      </c>
      <c r="AW147" s="182">
        <f t="shared" ref="AW147:AW176" si="80">RANK(AV147, AV$147:AV$176)</f>
        <v>2</v>
      </c>
      <c r="AX147" s="384">
        <f t="shared" ref="AX147" si="81">AVERAGE(AV147:AV176)</f>
        <v>838.76463226353337</v>
      </c>
      <c r="AZ147" s="182" t="e">
        <f t="shared" ref="AZ147:AZ176" si="82">RANK(AY147, AY$147:AY$176)</f>
        <v>#N/A</v>
      </c>
      <c r="BA147" s="384" t="e">
        <f t="shared" ref="BA147" si="83">AVERAGE(AY147:AY176)</f>
        <v>#DIV/0!</v>
      </c>
    </row>
    <row r="148" spans="2:53">
      <c r="B148" s="395"/>
      <c r="C148" s="182">
        <v>2</v>
      </c>
      <c r="D148" s="258" t="s">
        <v>340</v>
      </c>
      <c r="E148" s="182">
        <v>3</v>
      </c>
      <c r="F148" s="182">
        <v>3200</v>
      </c>
      <c r="G148" s="166">
        <v>1066.6666666666667</v>
      </c>
      <c r="H148" s="385"/>
      <c r="I148" s="166">
        <f t="shared" ref="I148:I176" si="84">IFERROR(AVERAGE(P148,U148,Z148,AE148,AJ148,AO148,AT148),"-")</f>
        <v>3</v>
      </c>
      <c r="J148" s="166">
        <f t="shared" ref="J148:J176" si="85">IFERROR(AVERAGE(Q148,V148,AA148,AF148,AK148,AP148,AU148),"-")</f>
        <v>3170.7448979591709</v>
      </c>
      <c r="K148" s="180">
        <f t="shared" ref="K148:K176" si="86">IFERROR(AVERAGE(R148,W148,AB148,AG148,AL148,AQ148,AV148),"-")</f>
        <v>1056.9149659863901</v>
      </c>
      <c r="L148" s="402"/>
      <c r="M148" s="166">
        <f>RANK(K148, K$147:$K$176)</f>
        <v>6</v>
      </c>
      <c r="N148" s="389"/>
      <c r="O148" s="389"/>
      <c r="P148" s="182">
        <v>3</v>
      </c>
      <c r="Q148" s="166">
        <v>3128.9999999999864</v>
      </c>
      <c r="R148" s="166">
        <v>1042.9999999999955</v>
      </c>
      <c r="S148" s="182">
        <f t="shared" si="68"/>
        <v>7</v>
      </c>
      <c r="T148" s="385"/>
      <c r="U148" s="182">
        <v>3</v>
      </c>
      <c r="V148" s="166">
        <v>3194.9999999999859</v>
      </c>
      <c r="W148" s="166">
        <v>1064.9999999999952</v>
      </c>
      <c r="X148" s="182">
        <f t="shared" si="70"/>
        <v>3</v>
      </c>
      <c r="Y148" s="385"/>
      <c r="Z148" s="182">
        <v>3</v>
      </c>
      <c r="AA148" s="166">
        <v>3083.9999999999864</v>
      </c>
      <c r="AB148" s="166">
        <v>1027.9999999999955</v>
      </c>
      <c r="AC148" s="182">
        <f t="shared" si="72"/>
        <v>9</v>
      </c>
      <c r="AD148" s="385"/>
      <c r="AE148" s="182">
        <v>3</v>
      </c>
      <c r="AF148" s="166">
        <v>3179.9999999999814</v>
      </c>
      <c r="AG148" s="166">
        <v>1059.9999999999939</v>
      </c>
      <c r="AH148" s="182">
        <f t="shared" si="74"/>
        <v>8</v>
      </c>
      <c r="AI148" s="385"/>
      <c r="AJ148" s="182">
        <v>3</v>
      </c>
      <c r="AK148" s="166">
        <v>3292.4999999999959</v>
      </c>
      <c r="AL148" s="166">
        <v>1097.4999999999986</v>
      </c>
      <c r="AM148" s="182">
        <f t="shared" si="76"/>
        <v>2</v>
      </c>
      <c r="AN148" s="385"/>
      <c r="AO148" s="182">
        <v>3</v>
      </c>
      <c r="AP148" s="166">
        <v>3125.714285714273</v>
      </c>
      <c r="AQ148" s="166">
        <v>1041.9047619047576</v>
      </c>
      <c r="AR148" s="182">
        <f t="shared" si="78"/>
        <v>8</v>
      </c>
      <c r="AS148" s="385"/>
      <c r="AT148" s="182">
        <v>3</v>
      </c>
      <c r="AU148" s="166">
        <v>3188.9999999999859</v>
      </c>
      <c r="AV148" s="166">
        <v>1062.9999999999952</v>
      </c>
      <c r="AW148" s="182">
        <f t="shared" si="80"/>
        <v>3</v>
      </c>
      <c r="AX148" s="385"/>
      <c r="AZ148" s="182" t="e">
        <f t="shared" si="82"/>
        <v>#N/A</v>
      </c>
      <c r="BA148" s="385"/>
    </row>
    <row r="149" spans="2:53">
      <c r="B149" s="395"/>
      <c r="C149" s="182">
        <v>3</v>
      </c>
      <c r="D149" s="182" t="s">
        <v>330</v>
      </c>
      <c r="E149" s="182">
        <v>4</v>
      </c>
      <c r="F149" s="182">
        <v>3200</v>
      </c>
      <c r="G149" s="166">
        <v>800</v>
      </c>
      <c r="H149" s="385"/>
      <c r="I149" s="166">
        <f t="shared" si="84"/>
        <v>4</v>
      </c>
      <c r="J149" s="166">
        <f t="shared" si="85"/>
        <v>3130.4069627851209</v>
      </c>
      <c r="K149" s="180">
        <f t="shared" si="86"/>
        <v>782.60174069628022</v>
      </c>
      <c r="L149" s="402"/>
      <c r="M149" s="166">
        <f>RANK(K149, K$147:$K$176)</f>
        <v>17</v>
      </c>
      <c r="N149" s="389"/>
      <c r="O149" s="389"/>
      <c r="P149" s="182">
        <v>4</v>
      </c>
      <c r="Q149" s="166">
        <v>3105.7142857142967</v>
      </c>
      <c r="R149" s="166">
        <v>776.42857142857417</v>
      </c>
      <c r="S149" s="182">
        <f t="shared" si="68"/>
        <v>16</v>
      </c>
      <c r="T149" s="385"/>
      <c r="U149" s="182">
        <v>4</v>
      </c>
      <c r="V149" s="166">
        <v>3051.4285714285825</v>
      </c>
      <c r="W149" s="166">
        <v>762.85714285714562</v>
      </c>
      <c r="X149" s="182">
        <f t="shared" si="70"/>
        <v>17</v>
      </c>
      <c r="Y149" s="385"/>
      <c r="Z149" s="182">
        <v>4</v>
      </c>
      <c r="AA149" s="166">
        <v>3105.0000000000109</v>
      </c>
      <c r="AB149" s="166">
        <v>776.25000000000273</v>
      </c>
      <c r="AC149" s="182">
        <f t="shared" si="72"/>
        <v>16</v>
      </c>
      <c r="AD149" s="385"/>
      <c r="AE149" s="182">
        <v>4</v>
      </c>
      <c r="AF149" s="166">
        <v>3144.7058823529524</v>
      </c>
      <c r="AG149" s="166">
        <v>786.17647058823809</v>
      </c>
      <c r="AH149" s="182">
        <f t="shared" si="74"/>
        <v>16</v>
      </c>
      <c r="AI149" s="385"/>
      <c r="AJ149" s="182">
        <v>4</v>
      </c>
      <c r="AK149" s="166">
        <v>3355.9999999999936</v>
      </c>
      <c r="AL149" s="166">
        <v>838.99999999999841</v>
      </c>
      <c r="AM149" s="182">
        <f t="shared" si="76"/>
        <v>15</v>
      </c>
      <c r="AN149" s="385"/>
      <c r="AO149" s="182">
        <v>4</v>
      </c>
      <c r="AP149" s="166">
        <v>3080.9999999999986</v>
      </c>
      <c r="AQ149" s="166">
        <v>770.24999999999966</v>
      </c>
      <c r="AR149" s="182">
        <f t="shared" si="78"/>
        <v>16</v>
      </c>
      <c r="AS149" s="385"/>
      <c r="AT149" s="182">
        <v>4</v>
      </c>
      <c r="AU149" s="166">
        <v>3069.0000000000109</v>
      </c>
      <c r="AV149" s="166">
        <v>767.25000000000273</v>
      </c>
      <c r="AW149" s="182">
        <f t="shared" si="80"/>
        <v>17</v>
      </c>
      <c r="AX149" s="385"/>
      <c r="AZ149" s="182" t="e">
        <f t="shared" si="82"/>
        <v>#N/A</v>
      </c>
      <c r="BA149" s="385"/>
    </row>
    <row r="150" spans="2:53">
      <c r="B150" s="395"/>
      <c r="C150" s="182">
        <v>4</v>
      </c>
      <c r="D150" s="182" t="s">
        <v>341</v>
      </c>
      <c r="E150" s="182">
        <v>3</v>
      </c>
      <c r="F150" s="182">
        <v>3200</v>
      </c>
      <c r="G150" s="166">
        <v>1066.6666666666667</v>
      </c>
      <c r="H150" s="385"/>
      <c r="I150" s="166">
        <f t="shared" si="84"/>
        <v>3</v>
      </c>
      <c r="J150" s="166">
        <f t="shared" si="85"/>
        <v>3196.7816431519213</v>
      </c>
      <c r="K150" s="180">
        <f t="shared" si="86"/>
        <v>1065.5938810506404</v>
      </c>
      <c r="L150" s="402"/>
      <c r="M150" s="166">
        <f>RANK(K150, K$147:$K$176)</f>
        <v>2</v>
      </c>
      <c r="N150" s="389"/>
      <c r="O150" s="389"/>
      <c r="P150" s="182">
        <v>3</v>
      </c>
      <c r="Q150" s="166">
        <v>3197.5280898876426</v>
      </c>
      <c r="R150" s="166">
        <v>1065.8426966292143</v>
      </c>
      <c r="S150" s="182">
        <f t="shared" si="68"/>
        <v>3</v>
      </c>
      <c r="T150" s="385"/>
      <c r="U150" s="182">
        <v>3</v>
      </c>
      <c r="V150" s="166">
        <v>3188.7640449438227</v>
      </c>
      <c r="W150" s="166">
        <v>1062.9213483146075</v>
      </c>
      <c r="X150" s="182">
        <f t="shared" si="70"/>
        <v>5</v>
      </c>
      <c r="Y150" s="385"/>
      <c r="Z150" s="182">
        <v>3</v>
      </c>
      <c r="AA150" s="166">
        <v>3177.2413793103447</v>
      </c>
      <c r="AB150" s="166">
        <v>1059.0804597701149</v>
      </c>
      <c r="AC150" s="182">
        <f t="shared" si="72"/>
        <v>1</v>
      </c>
      <c r="AD150" s="385"/>
      <c r="AE150" s="182">
        <v>3</v>
      </c>
      <c r="AF150" s="166">
        <v>3223.5616438356169</v>
      </c>
      <c r="AG150" s="166">
        <v>1074.5205479452056</v>
      </c>
      <c r="AH150" s="182">
        <f t="shared" si="74"/>
        <v>4</v>
      </c>
      <c r="AI150" s="385"/>
      <c r="AJ150" s="182">
        <v>3</v>
      </c>
      <c r="AK150" s="166">
        <v>3211.666666666667</v>
      </c>
      <c r="AL150" s="166">
        <v>1070.5555555555557</v>
      </c>
      <c r="AM150" s="182">
        <f t="shared" si="76"/>
        <v>8</v>
      </c>
      <c r="AN150" s="385"/>
      <c r="AO150" s="182">
        <v>3</v>
      </c>
      <c r="AP150" s="166">
        <v>3194.83870967742</v>
      </c>
      <c r="AQ150" s="166">
        <v>1064.9462365591401</v>
      </c>
      <c r="AR150" s="182">
        <f t="shared" si="78"/>
        <v>2</v>
      </c>
      <c r="AS150" s="385"/>
      <c r="AT150" s="182">
        <v>3</v>
      </c>
      <c r="AU150" s="166">
        <v>3183.8709677419356</v>
      </c>
      <c r="AV150" s="166">
        <v>1061.2903225806451</v>
      </c>
      <c r="AW150" s="182">
        <f t="shared" si="80"/>
        <v>5</v>
      </c>
      <c r="AX150" s="385"/>
      <c r="AZ150" s="182" t="e">
        <f t="shared" si="82"/>
        <v>#N/A</v>
      </c>
      <c r="BA150" s="385"/>
    </row>
    <row r="151" spans="2:53">
      <c r="B151" s="395"/>
      <c r="C151" s="182">
        <v>5</v>
      </c>
      <c r="D151" s="182" t="s">
        <v>596</v>
      </c>
      <c r="E151" s="182">
        <v>4</v>
      </c>
      <c r="F151" s="182">
        <v>3200</v>
      </c>
      <c r="G151" s="166">
        <v>800</v>
      </c>
      <c r="H151" s="385"/>
      <c r="I151" s="166">
        <f t="shared" si="84"/>
        <v>4</v>
      </c>
      <c r="J151" s="166">
        <f t="shared" si="85"/>
        <v>3210.3507599941577</v>
      </c>
      <c r="K151" s="180">
        <f t="shared" si="86"/>
        <v>802.58768999853942</v>
      </c>
      <c r="L151" s="402"/>
      <c r="M151" s="166">
        <f>RANK(K151, K$147:$K$176)</f>
        <v>13</v>
      </c>
      <c r="N151" s="389"/>
      <c r="O151" s="389"/>
      <c r="P151" s="182">
        <v>4</v>
      </c>
      <c r="Q151" s="166">
        <v>3175.8620689655113</v>
      </c>
      <c r="R151" s="166">
        <v>793.96551724137782</v>
      </c>
      <c r="S151" s="182">
        <f t="shared" si="68"/>
        <v>15</v>
      </c>
      <c r="T151" s="385"/>
      <c r="U151" s="182">
        <v>4</v>
      </c>
      <c r="V151" s="166">
        <v>3199.2857142857165</v>
      </c>
      <c r="W151" s="166">
        <v>799.82142857142912</v>
      </c>
      <c r="X151" s="182">
        <f t="shared" si="70"/>
        <v>13</v>
      </c>
      <c r="Y151" s="385"/>
      <c r="Z151" s="182">
        <v>4</v>
      </c>
      <c r="AA151" s="166">
        <v>3195.555555555567</v>
      </c>
      <c r="AB151" s="166">
        <v>798.88888888889176</v>
      </c>
      <c r="AC151" s="182">
        <f t="shared" si="72"/>
        <v>13</v>
      </c>
      <c r="AD151" s="385"/>
      <c r="AE151" s="182">
        <v>4</v>
      </c>
      <c r="AF151" s="166">
        <v>3326.0869565217508</v>
      </c>
      <c r="AG151" s="166">
        <v>831.52173913043771</v>
      </c>
      <c r="AH151" s="182">
        <f t="shared" si="74"/>
        <v>13</v>
      </c>
      <c r="AI151" s="385"/>
      <c r="AJ151" s="182">
        <v>4</v>
      </c>
      <c r="AK151" s="166">
        <v>3354.2857142857129</v>
      </c>
      <c r="AL151" s="166">
        <v>838.57142857142821</v>
      </c>
      <c r="AM151" s="182">
        <f t="shared" si="76"/>
        <v>16</v>
      </c>
      <c r="AN151" s="385"/>
      <c r="AO151" s="182">
        <v>4</v>
      </c>
      <c r="AP151" s="166">
        <v>3120.0000000000023</v>
      </c>
      <c r="AQ151" s="166">
        <v>780.00000000000057</v>
      </c>
      <c r="AR151" s="182">
        <f t="shared" si="78"/>
        <v>15</v>
      </c>
      <c r="AS151" s="385"/>
      <c r="AT151" s="182">
        <v>4</v>
      </c>
      <c r="AU151" s="166">
        <v>3101.3793103448388</v>
      </c>
      <c r="AV151" s="166">
        <v>775.3448275862097</v>
      </c>
      <c r="AW151" s="182">
        <f t="shared" si="80"/>
        <v>16</v>
      </c>
      <c r="AX151" s="385"/>
      <c r="AZ151" s="182" t="e">
        <f t="shared" si="82"/>
        <v>#N/A</v>
      </c>
      <c r="BA151" s="385"/>
    </row>
    <row r="152" spans="2:53">
      <c r="B152" s="395"/>
      <c r="C152" s="182">
        <v>6</v>
      </c>
      <c r="D152" s="182" t="s">
        <v>597</v>
      </c>
      <c r="E152" s="182">
        <v>4</v>
      </c>
      <c r="F152" s="182">
        <v>3200</v>
      </c>
      <c r="G152" s="166">
        <v>800</v>
      </c>
      <c r="H152" s="385"/>
      <c r="I152" s="166">
        <f t="shared" si="84"/>
        <v>4</v>
      </c>
      <c r="J152" s="166">
        <f t="shared" si="85"/>
        <v>3150.3131868131813</v>
      </c>
      <c r="K152" s="180">
        <f t="shared" si="86"/>
        <v>787.57829670329534</v>
      </c>
      <c r="L152" s="402"/>
      <c r="M152" s="166">
        <f>RANK(K152, K$147:$K$176)</f>
        <v>15</v>
      </c>
      <c r="N152" s="389"/>
      <c r="O152" s="389"/>
      <c r="P152" s="182">
        <v>4</v>
      </c>
      <c r="Q152" s="166">
        <v>3187.4999999999795</v>
      </c>
      <c r="R152" s="166">
        <v>796.87499999999488</v>
      </c>
      <c r="S152" s="182">
        <f t="shared" si="68"/>
        <v>14</v>
      </c>
      <c r="T152" s="385"/>
      <c r="U152" s="182">
        <v>4</v>
      </c>
      <c r="V152" s="166">
        <v>3104.99999999998</v>
      </c>
      <c r="W152" s="166">
        <v>776.249999999995</v>
      </c>
      <c r="X152" s="182">
        <f t="shared" si="70"/>
        <v>15</v>
      </c>
      <c r="Y152" s="385"/>
      <c r="Z152" s="182">
        <v>4</v>
      </c>
      <c r="AA152" s="166">
        <v>3063.9999999999945</v>
      </c>
      <c r="AB152" s="166">
        <v>765.99999999999864</v>
      </c>
      <c r="AC152" s="182">
        <f t="shared" si="72"/>
        <v>17</v>
      </c>
      <c r="AD152" s="385"/>
      <c r="AE152" s="182">
        <v>4</v>
      </c>
      <c r="AF152" s="166">
        <v>3027.6923076923181</v>
      </c>
      <c r="AG152" s="166">
        <v>756.92307692307952</v>
      </c>
      <c r="AH152" s="182">
        <f t="shared" si="74"/>
        <v>19</v>
      </c>
      <c r="AI152" s="385"/>
      <c r="AJ152" s="182">
        <v>4</v>
      </c>
      <c r="AK152" s="166">
        <v>3360.0000000000118</v>
      </c>
      <c r="AL152" s="166">
        <v>840.00000000000296</v>
      </c>
      <c r="AM152" s="182">
        <f t="shared" si="76"/>
        <v>14</v>
      </c>
      <c r="AN152" s="385"/>
      <c r="AO152" s="182">
        <v>4</v>
      </c>
      <c r="AP152" s="166">
        <v>3155.9999999999945</v>
      </c>
      <c r="AQ152" s="166">
        <v>788.99999999999864</v>
      </c>
      <c r="AR152" s="182">
        <f t="shared" si="78"/>
        <v>14</v>
      </c>
      <c r="AS152" s="385"/>
      <c r="AT152" s="182">
        <v>4</v>
      </c>
      <c r="AU152" s="166">
        <v>3151.9999999999945</v>
      </c>
      <c r="AV152" s="166">
        <v>787.99999999999864</v>
      </c>
      <c r="AW152" s="182">
        <f t="shared" si="80"/>
        <v>14</v>
      </c>
      <c r="AX152" s="385"/>
      <c r="AZ152" s="182" t="e">
        <f t="shared" si="82"/>
        <v>#N/A</v>
      </c>
      <c r="BA152" s="385"/>
    </row>
    <row r="153" spans="2:53">
      <c r="B153" s="395"/>
      <c r="C153" s="182">
        <v>7</v>
      </c>
      <c r="D153" s="182" t="s">
        <v>342</v>
      </c>
      <c r="E153" s="182">
        <v>4</v>
      </c>
      <c r="F153" s="182">
        <v>2800</v>
      </c>
      <c r="G153" s="166">
        <v>700</v>
      </c>
      <c r="H153" s="385"/>
      <c r="I153" s="166">
        <f t="shared" si="84"/>
        <v>4</v>
      </c>
      <c r="J153" s="166">
        <f t="shared" si="85"/>
        <v>3145.6326530612264</v>
      </c>
      <c r="K153" s="180">
        <f t="shared" si="86"/>
        <v>786.4081632653066</v>
      </c>
      <c r="L153" s="402"/>
      <c r="M153" s="166">
        <f>RANK(K153, K$147:$K$176)</f>
        <v>16</v>
      </c>
      <c r="N153" s="389"/>
      <c r="O153" s="389"/>
      <c r="P153" s="182">
        <v>4</v>
      </c>
      <c r="Q153" s="166">
        <v>3092.0000000000027</v>
      </c>
      <c r="R153" s="166">
        <v>773.00000000000068</v>
      </c>
      <c r="S153" s="182">
        <f t="shared" si="68"/>
        <v>17</v>
      </c>
      <c r="T153" s="385"/>
      <c r="U153" s="182">
        <v>4</v>
      </c>
      <c r="V153" s="166">
        <v>3068.0000000000027</v>
      </c>
      <c r="W153" s="166">
        <v>767.00000000000068</v>
      </c>
      <c r="X153" s="182">
        <f t="shared" si="70"/>
        <v>16</v>
      </c>
      <c r="Y153" s="385"/>
      <c r="Z153" s="182">
        <v>4</v>
      </c>
      <c r="AA153" s="166">
        <v>2992.0000000000032</v>
      </c>
      <c r="AB153" s="166">
        <v>748.0000000000008</v>
      </c>
      <c r="AC153" s="182">
        <f t="shared" si="72"/>
        <v>19</v>
      </c>
      <c r="AD153" s="385"/>
      <c r="AE153" s="182">
        <v>4</v>
      </c>
      <c r="AF153" s="166">
        <v>3160.0000000000009</v>
      </c>
      <c r="AG153" s="166">
        <v>790.00000000000023</v>
      </c>
      <c r="AH153" s="182">
        <f t="shared" si="74"/>
        <v>15</v>
      </c>
      <c r="AI153" s="385"/>
      <c r="AJ153" s="182">
        <v>4</v>
      </c>
      <c r="AK153" s="166">
        <v>3485.9999999999986</v>
      </c>
      <c r="AL153" s="166">
        <v>871.49999999999966</v>
      </c>
      <c r="AM153" s="182">
        <f t="shared" si="76"/>
        <v>13</v>
      </c>
      <c r="AN153" s="385"/>
      <c r="AO153" s="182">
        <v>4</v>
      </c>
      <c r="AP153" s="166">
        <v>3080.0000000000032</v>
      </c>
      <c r="AQ153" s="166">
        <v>770.0000000000008</v>
      </c>
      <c r="AR153" s="182">
        <f t="shared" si="78"/>
        <v>17</v>
      </c>
      <c r="AS153" s="385"/>
      <c r="AT153" s="182">
        <v>4</v>
      </c>
      <c r="AU153" s="166">
        <v>3141.4285714285738</v>
      </c>
      <c r="AV153" s="166">
        <v>785.35714285714346</v>
      </c>
      <c r="AW153" s="182">
        <f t="shared" si="80"/>
        <v>15</v>
      </c>
      <c r="AX153" s="385"/>
      <c r="AZ153" s="182" t="e">
        <f t="shared" si="82"/>
        <v>#N/A</v>
      </c>
      <c r="BA153" s="385"/>
    </row>
    <row r="154" spans="2:53">
      <c r="B154" s="395"/>
      <c r="C154" s="182">
        <v>8</v>
      </c>
      <c r="D154" s="182" t="s">
        <v>343</v>
      </c>
      <c r="E154" s="182">
        <v>3</v>
      </c>
      <c r="F154" s="182">
        <v>3200</v>
      </c>
      <c r="G154" s="166">
        <v>1066.6666666666667</v>
      </c>
      <c r="H154" s="385"/>
      <c r="I154" s="166">
        <f t="shared" si="84"/>
        <v>3</v>
      </c>
      <c r="J154" s="166">
        <f t="shared" si="85"/>
        <v>3158.0229134664646</v>
      </c>
      <c r="K154" s="180">
        <f t="shared" si="86"/>
        <v>1052.6743044888215</v>
      </c>
      <c r="L154" s="402"/>
      <c r="M154" s="166">
        <f>RANK(K154, K$147:$K$176)</f>
        <v>9</v>
      </c>
      <c r="N154" s="389"/>
      <c r="O154" s="389"/>
      <c r="P154" s="182">
        <v>3</v>
      </c>
      <c r="Q154" s="166">
        <v>3106.4516129032286</v>
      </c>
      <c r="R154" s="166">
        <v>1035.4838709677429</v>
      </c>
      <c r="S154" s="182">
        <f t="shared" si="68"/>
        <v>9</v>
      </c>
      <c r="T154" s="385"/>
      <c r="U154" s="182">
        <v>3</v>
      </c>
      <c r="V154" s="166">
        <v>3108.7500000000036</v>
      </c>
      <c r="W154" s="166">
        <v>1036.2500000000011</v>
      </c>
      <c r="X154" s="182">
        <f t="shared" si="70"/>
        <v>10</v>
      </c>
      <c r="Y154" s="385"/>
      <c r="Z154" s="182">
        <v>3</v>
      </c>
      <c r="AA154" s="166">
        <v>3160.0000000000027</v>
      </c>
      <c r="AB154" s="166">
        <v>1053.3333333333342</v>
      </c>
      <c r="AC154" s="182">
        <f t="shared" si="72"/>
        <v>5</v>
      </c>
      <c r="AD154" s="385"/>
      <c r="AE154" s="182">
        <v>3</v>
      </c>
      <c r="AF154" s="166">
        <v>3095.555555555562</v>
      </c>
      <c r="AG154" s="166">
        <v>1031.851851851854</v>
      </c>
      <c r="AH154" s="182">
        <f t="shared" si="74"/>
        <v>9</v>
      </c>
      <c r="AI154" s="385"/>
      <c r="AJ154" s="182">
        <v>3</v>
      </c>
      <c r="AK154" s="166">
        <v>3302.499999999995</v>
      </c>
      <c r="AL154" s="166">
        <v>1100.8333333333317</v>
      </c>
      <c r="AM154" s="182">
        <f t="shared" si="76"/>
        <v>1</v>
      </c>
      <c r="AN154" s="385"/>
      <c r="AO154" s="182">
        <v>3</v>
      </c>
      <c r="AP154" s="166">
        <v>3178.0645161290354</v>
      </c>
      <c r="AQ154" s="166">
        <v>1059.3548387096785</v>
      </c>
      <c r="AR154" s="182">
        <f t="shared" si="78"/>
        <v>3</v>
      </c>
      <c r="AS154" s="385"/>
      <c r="AT154" s="182">
        <v>3</v>
      </c>
      <c r="AU154" s="166">
        <v>3154.8387096774222</v>
      </c>
      <c r="AV154" s="166">
        <v>1051.6129032258075</v>
      </c>
      <c r="AW154" s="182">
        <f t="shared" si="80"/>
        <v>7</v>
      </c>
      <c r="AX154" s="385"/>
      <c r="AZ154" s="182" t="e">
        <f t="shared" si="82"/>
        <v>#N/A</v>
      </c>
      <c r="BA154" s="385"/>
    </row>
    <row r="155" spans="2:53">
      <c r="B155" s="395"/>
      <c r="C155" s="182">
        <v>9</v>
      </c>
      <c r="D155" s="182" t="s">
        <v>344</v>
      </c>
      <c r="E155" s="182">
        <v>3</v>
      </c>
      <c r="F155" s="182">
        <v>2800</v>
      </c>
      <c r="G155" s="166">
        <v>933.33333333333337</v>
      </c>
      <c r="H155" s="385"/>
      <c r="I155" s="166">
        <f t="shared" si="84"/>
        <v>3</v>
      </c>
      <c r="J155" s="166">
        <f t="shared" si="85"/>
        <v>3170.4499077060286</v>
      </c>
      <c r="K155" s="180">
        <f t="shared" si="86"/>
        <v>1056.8166359020095</v>
      </c>
      <c r="L155" s="402"/>
      <c r="M155" s="166">
        <f>RANK(K155, K$147:$K$176)</f>
        <v>7</v>
      </c>
      <c r="N155" s="389"/>
      <c r="O155" s="389"/>
      <c r="P155" s="182">
        <v>3</v>
      </c>
      <c r="Q155" s="166">
        <v>3155.2941176470586</v>
      </c>
      <c r="R155" s="166">
        <v>1051.7647058823529</v>
      </c>
      <c r="S155" s="182">
        <f t="shared" si="68"/>
        <v>6</v>
      </c>
      <c r="T155" s="385"/>
      <c r="U155" s="182">
        <v>3</v>
      </c>
      <c r="V155" s="166">
        <v>3161.8181818181815</v>
      </c>
      <c r="W155" s="166">
        <v>1053.9393939393938</v>
      </c>
      <c r="X155" s="182">
        <f t="shared" si="70"/>
        <v>7</v>
      </c>
      <c r="Y155" s="385"/>
      <c r="Z155" s="182">
        <v>3</v>
      </c>
      <c r="AA155" s="166">
        <v>3155.6249999999991</v>
      </c>
      <c r="AB155" s="166">
        <v>1051.8749999999998</v>
      </c>
      <c r="AC155" s="182">
        <f t="shared" si="72"/>
        <v>6</v>
      </c>
      <c r="AD155" s="385"/>
      <c r="AE155" s="182">
        <v>3</v>
      </c>
      <c r="AF155" s="166">
        <v>3182.0689655172391</v>
      </c>
      <c r="AG155" s="166">
        <v>1060.689655172413</v>
      </c>
      <c r="AH155" s="182">
        <f t="shared" si="74"/>
        <v>7</v>
      </c>
      <c r="AI155" s="385"/>
      <c r="AJ155" s="182">
        <v>3</v>
      </c>
      <c r="AK155" s="166">
        <v>3248.2758620689638</v>
      </c>
      <c r="AL155" s="166">
        <v>1082.7586206896547</v>
      </c>
      <c r="AM155" s="182">
        <f t="shared" si="76"/>
        <v>5</v>
      </c>
      <c r="AN155" s="385"/>
      <c r="AO155" s="182">
        <v>3</v>
      </c>
      <c r="AP155" s="166">
        <v>3157.7142857142862</v>
      </c>
      <c r="AQ155" s="166">
        <v>1052.5714285714287</v>
      </c>
      <c r="AR155" s="182">
        <f t="shared" si="78"/>
        <v>7</v>
      </c>
      <c r="AS155" s="385"/>
      <c r="AT155" s="182">
        <v>3</v>
      </c>
      <c r="AU155" s="166">
        <v>3132.3529411764703</v>
      </c>
      <c r="AV155" s="166">
        <v>1044.1176470588234</v>
      </c>
      <c r="AW155" s="182">
        <f t="shared" si="80"/>
        <v>9</v>
      </c>
      <c r="AX155" s="385"/>
      <c r="AZ155" s="182" t="e">
        <f t="shared" si="82"/>
        <v>#N/A</v>
      </c>
      <c r="BA155" s="385"/>
    </row>
    <row r="156" spans="2:53">
      <c r="B156" s="395"/>
      <c r="C156" s="182">
        <v>10</v>
      </c>
      <c r="D156" s="182" t="s">
        <v>345</v>
      </c>
      <c r="E156" s="182">
        <v>4</v>
      </c>
      <c r="F156" s="182">
        <v>2800</v>
      </c>
      <c r="G156" s="166">
        <v>700</v>
      </c>
      <c r="H156" s="385"/>
      <c r="I156" s="166">
        <f t="shared" si="84"/>
        <v>4</v>
      </c>
      <c r="J156" s="166">
        <f t="shared" si="85"/>
        <v>3186.6554039689063</v>
      </c>
      <c r="K156" s="180">
        <f t="shared" si="86"/>
        <v>796.66385099222657</v>
      </c>
      <c r="L156" s="402"/>
      <c r="M156" s="166">
        <f>RANK(K156, K$147:$K$176)</f>
        <v>14</v>
      </c>
      <c r="N156" s="389"/>
      <c r="O156" s="389"/>
      <c r="P156" s="182">
        <v>4</v>
      </c>
      <c r="Q156" s="166">
        <v>3202.7586206896531</v>
      </c>
      <c r="R156" s="166">
        <v>800.68965517241327</v>
      </c>
      <c r="S156" s="182">
        <f t="shared" si="68"/>
        <v>13</v>
      </c>
      <c r="T156" s="385"/>
      <c r="U156" s="182">
        <v>4</v>
      </c>
      <c r="V156" s="166">
        <v>3176.9999999999986</v>
      </c>
      <c r="W156" s="166">
        <v>794.24999999999966</v>
      </c>
      <c r="X156" s="182">
        <f t="shared" si="70"/>
        <v>14</v>
      </c>
      <c r="Y156" s="385"/>
      <c r="Z156" s="182">
        <v>4</v>
      </c>
      <c r="AA156" s="166">
        <v>3161.7857142857165</v>
      </c>
      <c r="AB156" s="166">
        <v>790.44642857142912</v>
      </c>
      <c r="AC156" s="182">
        <f t="shared" si="72"/>
        <v>14</v>
      </c>
      <c r="AD156" s="385"/>
      <c r="AE156" s="182">
        <v>4</v>
      </c>
      <c r="AF156" s="166">
        <v>3235.0000000000064</v>
      </c>
      <c r="AG156" s="166">
        <v>808.75000000000159</v>
      </c>
      <c r="AH156" s="182">
        <f t="shared" si="74"/>
        <v>14</v>
      </c>
      <c r="AI156" s="385"/>
      <c r="AJ156" s="182">
        <v>4</v>
      </c>
      <c r="AK156" s="166">
        <v>3209.3877551020419</v>
      </c>
      <c r="AL156" s="166">
        <v>802.34693877551047</v>
      </c>
      <c r="AM156" s="182">
        <f t="shared" si="76"/>
        <v>17</v>
      </c>
      <c r="AN156" s="385"/>
      <c r="AO156" s="182">
        <v>4</v>
      </c>
      <c r="AP156" s="166">
        <v>3165.2459016393473</v>
      </c>
      <c r="AQ156" s="166">
        <v>791.31147540983682</v>
      </c>
      <c r="AR156" s="182">
        <f t="shared" si="78"/>
        <v>13</v>
      </c>
      <c r="AS156" s="385"/>
      <c r="AT156" s="182">
        <v>4</v>
      </c>
      <c r="AU156" s="166">
        <v>3155.4098360655767</v>
      </c>
      <c r="AV156" s="166">
        <v>788.85245901639416</v>
      </c>
      <c r="AW156" s="182">
        <f t="shared" si="80"/>
        <v>13</v>
      </c>
      <c r="AX156" s="385"/>
      <c r="AZ156" s="182" t="e">
        <f t="shared" si="82"/>
        <v>#N/A</v>
      </c>
      <c r="BA156" s="385"/>
    </row>
    <row r="157" spans="2:53">
      <c r="B157" s="395"/>
      <c r="C157" s="182">
        <v>11</v>
      </c>
      <c r="D157" s="182" t="s">
        <v>598</v>
      </c>
      <c r="E157" s="182">
        <v>4</v>
      </c>
      <c r="F157" s="182">
        <v>2800</v>
      </c>
      <c r="G157" s="166">
        <v>700</v>
      </c>
      <c r="H157" s="385"/>
      <c r="I157" s="166">
        <f t="shared" si="84"/>
        <v>4</v>
      </c>
      <c r="J157" s="166">
        <f t="shared" si="85"/>
        <v>2792.0610576574804</v>
      </c>
      <c r="K157" s="180">
        <f t="shared" si="86"/>
        <v>698.01526441437011</v>
      </c>
      <c r="L157" s="402"/>
      <c r="M157" s="166">
        <f>RANK(K157, K$147:$K$176)</f>
        <v>22</v>
      </c>
      <c r="N157" s="389"/>
      <c r="O157" s="389"/>
      <c r="P157" s="182">
        <v>4</v>
      </c>
      <c r="Q157" s="166">
        <v>2819.9999999999982</v>
      </c>
      <c r="R157" s="166">
        <v>704.99999999999955</v>
      </c>
      <c r="S157" s="182">
        <f t="shared" si="68"/>
        <v>22</v>
      </c>
      <c r="T157" s="385"/>
      <c r="U157" s="182">
        <v>4</v>
      </c>
      <c r="V157" s="166">
        <v>2773.2352941176468</v>
      </c>
      <c r="W157" s="166">
        <v>693.30882352941171</v>
      </c>
      <c r="X157" s="182">
        <f t="shared" si="70"/>
        <v>21</v>
      </c>
      <c r="Y157" s="385"/>
      <c r="Z157" s="182">
        <v>4</v>
      </c>
      <c r="AA157" s="166">
        <v>2793.6363636363621</v>
      </c>
      <c r="AB157" s="166">
        <v>698.40909090909054</v>
      </c>
      <c r="AC157" s="182">
        <f t="shared" si="72"/>
        <v>22</v>
      </c>
      <c r="AD157" s="385"/>
      <c r="AE157" s="182">
        <v>4</v>
      </c>
      <c r="AF157" s="166">
        <v>2762.0689655172418</v>
      </c>
      <c r="AG157" s="166">
        <v>690.51724137931046</v>
      </c>
      <c r="AH157" s="182">
        <f t="shared" si="74"/>
        <v>22</v>
      </c>
      <c r="AI157" s="385"/>
      <c r="AJ157" s="182">
        <v>4</v>
      </c>
      <c r="AK157" s="166">
        <v>2828.4210526315787</v>
      </c>
      <c r="AL157" s="166">
        <v>707.10526315789468</v>
      </c>
      <c r="AM157" s="182">
        <f t="shared" si="76"/>
        <v>22</v>
      </c>
      <c r="AN157" s="385"/>
      <c r="AO157" s="182">
        <v>4</v>
      </c>
      <c r="AP157" s="166">
        <v>2788.7323943661977</v>
      </c>
      <c r="AQ157" s="166">
        <v>697.18309859154942</v>
      </c>
      <c r="AR157" s="182">
        <f t="shared" si="78"/>
        <v>20</v>
      </c>
      <c r="AS157" s="385"/>
      <c r="AT157" s="182">
        <v>4</v>
      </c>
      <c r="AU157" s="166">
        <v>2778.3333333333339</v>
      </c>
      <c r="AV157" s="166">
        <v>694.58333333333348</v>
      </c>
      <c r="AW157" s="182">
        <f t="shared" si="80"/>
        <v>20</v>
      </c>
      <c r="AX157" s="385"/>
      <c r="AZ157" s="182" t="e">
        <f t="shared" si="82"/>
        <v>#N/A</v>
      </c>
      <c r="BA157" s="385"/>
    </row>
    <row r="158" spans="2:53">
      <c r="B158" s="395"/>
      <c r="C158" s="182">
        <v>12</v>
      </c>
      <c r="D158" s="182" t="s">
        <v>599</v>
      </c>
      <c r="E158" s="182">
        <v>4</v>
      </c>
      <c r="F158" s="182">
        <v>2800</v>
      </c>
      <c r="G158" s="166">
        <v>700</v>
      </c>
      <c r="H158" s="385"/>
      <c r="I158" s="166">
        <f t="shared" si="84"/>
        <v>4</v>
      </c>
      <c r="J158" s="166">
        <f t="shared" si="85"/>
        <v>2823.5142857142814</v>
      </c>
      <c r="K158" s="180">
        <f t="shared" si="86"/>
        <v>705.87857142857035</v>
      </c>
      <c r="L158" s="402"/>
      <c r="M158" s="166">
        <f>RANK(K158, K$147:$K$176)</f>
        <v>21</v>
      </c>
      <c r="N158" s="389"/>
      <c r="O158" s="389"/>
      <c r="P158" s="182">
        <v>4</v>
      </c>
      <c r="Q158" s="166">
        <v>2738.3999999999924</v>
      </c>
      <c r="R158" s="166">
        <v>684.59999999999809</v>
      </c>
      <c r="S158" s="182">
        <f t="shared" si="68"/>
        <v>23</v>
      </c>
      <c r="T158" s="385"/>
      <c r="U158" s="182">
        <v>4</v>
      </c>
      <c r="V158" s="166">
        <v>2594.4000000000092</v>
      </c>
      <c r="W158" s="166">
        <v>648.6000000000023</v>
      </c>
      <c r="X158" s="182">
        <f t="shared" si="70"/>
        <v>23</v>
      </c>
      <c r="Y158" s="385"/>
      <c r="Z158" s="182">
        <v>4</v>
      </c>
      <c r="AA158" s="166">
        <v>3158.9999999999859</v>
      </c>
      <c r="AB158" s="166">
        <v>789.74999999999648</v>
      </c>
      <c r="AC158" s="182">
        <f t="shared" si="72"/>
        <v>15</v>
      </c>
      <c r="AD158" s="385"/>
      <c r="AE158" s="182">
        <v>4</v>
      </c>
      <c r="AF158" s="166">
        <v>2846.9999999999873</v>
      </c>
      <c r="AG158" s="166">
        <v>711.74999999999682</v>
      </c>
      <c r="AH158" s="182">
        <f t="shared" si="74"/>
        <v>21</v>
      </c>
      <c r="AI158" s="385"/>
      <c r="AJ158" s="182">
        <v>4</v>
      </c>
      <c r="AK158" s="166">
        <v>3165.0000000000109</v>
      </c>
      <c r="AL158" s="166">
        <v>791.25000000000273</v>
      </c>
      <c r="AM158" s="182">
        <f t="shared" si="76"/>
        <v>18</v>
      </c>
      <c r="AN158" s="385"/>
      <c r="AO158" s="182">
        <v>4</v>
      </c>
      <c r="AP158" s="166">
        <v>2630.3999999999924</v>
      </c>
      <c r="AQ158" s="166">
        <v>657.59999999999809</v>
      </c>
      <c r="AR158" s="182">
        <f t="shared" si="78"/>
        <v>22</v>
      </c>
      <c r="AS158" s="385"/>
      <c r="AT158" s="182">
        <v>4</v>
      </c>
      <c r="AU158" s="166">
        <v>2630.3999999999924</v>
      </c>
      <c r="AV158" s="166">
        <v>657.59999999999809</v>
      </c>
      <c r="AW158" s="182">
        <f t="shared" si="80"/>
        <v>22</v>
      </c>
      <c r="AX158" s="385"/>
      <c r="AZ158" s="182" t="e">
        <f t="shared" si="82"/>
        <v>#N/A</v>
      </c>
      <c r="BA158" s="385"/>
    </row>
    <row r="159" spans="2:53">
      <c r="B159" s="395"/>
      <c r="C159" s="182">
        <v>13</v>
      </c>
      <c r="D159" s="182" t="s">
        <v>600</v>
      </c>
      <c r="E159" s="182">
        <v>3</v>
      </c>
      <c r="F159" s="182">
        <v>2800</v>
      </c>
      <c r="G159" s="166">
        <v>933.33333333333337</v>
      </c>
      <c r="H159" s="385"/>
      <c r="I159" s="166">
        <f t="shared" si="84"/>
        <v>3</v>
      </c>
      <c r="J159" s="166">
        <f t="shared" si="85"/>
        <v>3009.8693877550963</v>
      </c>
      <c r="K159" s="180">
        <f t="shared" si="86"/>
        <v>1003.2897959183655</v>
      </c>
      <c r="L159" s="402"/>
      <c r="M159" s="166">
        <f>RANK(K159, K$147:$K$176)</f>
        <v>10</v>
      </c>
      <c r="N159" s="389"/>
      <c r="O159" s="389"/>
      <c r="P159" s="182">
        <v>3</v>
      </c>
      <c r="Q159" s="166">
        <v>2834.3999999999919</v>
      </c>
      <c r="R159" s="166">
        <v>944.79999999999734</v>
      </c>
      <c r="S159" s="182">
        <f t="shared" si="68"/>
        <v>12</v>
      </c>
      <c r="T159" s="385"/>
      <c r="U159" s="182">
        <v>3</v>
      </c>
      <c r="V159" s="166">
        <v>3144</v>
      </c>
      <c r="W159" s="166">
        <v>1048</v>
      </c>
      <c r="X159" s="182">
        <f t="shared" si="70"/>
        <v>8</v>
      </c>
      <c r="Y159" s="385"/>
      <c r="Z159" s="182">
        <v>3</v>
      </c>
      <c r="AA159" s="166">
        <v>3129.5999999999913</v>
      </c>
      <c r="AB159" s="166">
        <v>1043.1999999999971</v>
      </c>
      <c r="AC159" s="182">
        <f t="shared" si="72"/>
        <v>8</v>
      </c>
      <c r="AD159" s="385"/>
      <c r="AE159" s="182">
        <v>3</v>
      </c>
      <c r="AF159" s="166">
        <v>3285.5999999999904</v>
      </c>
      <c r="AG159" s="166">
        <v>1095.1999999999969</v>
      </c>
      <c r="AH159" s="182">
        <f t="shared" si="74"/>
        <v>2</v>
      </c>
      <c r="AI159" s="385"/>
      <c r="AJ159" s="182">
        <v>3</v>
      </c>
      <c r="AK159" s="166">
        <v>2866.2857142857115</v>
      </c>
      <c r="AL159" s="166">
        <v>955.42857142857054</v>
      </c>
      <c r="AM159" s="182">
        <f t="shared" si="76"/>
        <v>11</v>
      </c>
      <c r="AN159" s="385"/>
      <c r="AO159" s="182">
        <v>3</v>
      </c>
      <c r="AP159" s="166">
        <v>2953.1999999999916</v>
      </c>
      <c r="AQ159" s="166">
        <v>984.39999999999725</v>
      </c>
      <c r="AR159" s="182">
        <f t="shared" si="78"/>
        <v>11</v>
      </c>
      <c r="AS159" s="385"/>
      <c r="AT159" s="182">
        <v>3</v>
      </c>
      <c r="AU159" s="166">
        <v>2855.9999999999973</v>
      </c>
      <c r="AV159" s="166">
        <v>951.99999999999909</v>
      </c>
      <c r="AW159" s="182">
        <f t="shared" si="80"/>
        <v>11</v>
      </c>
      <c r="AX159" s="385"/>
      <c r="AZ159" s="182" t="e">
        <f t="shared" si="82"/>
        <v>#N/A</v>
      </c>
      <c r="BA159" s="385"/>
    </row>
    <row r="160" spans="2:53">
      <c r="B160" s="395"/>
      <c r="C160" s="182">
        <v>14</v>
      </c>
      <c r="D160" s="182" t="s">
        <v>601</v>
      </c>
      <c r="E160" s="182">
        <v>4</v>
      </c>
      <c r="F160" s="182">
        <v>2200</v>
      </c>
      <c r="G160" s="166">
        <v>550</v>
      </c>
      <c r="H160" s="385"/>
      <c r="I160" s="166">
        <f t="shared" si="84"/>
        <v>3</v>
      </c>
      <c r="J160" s="166">
        <f t="shared" si="85"/>
        <v>2243.1292517006796</v>
      </c>
      <c r="K160" s="180">
        <f t="shared" si="86"/>
        <v>747.70975056689326</v>
      </c>
      <c r="L160" s="402"/>
      <c r="M160" s="166">
        <f>RANK(K160, K$147:$K$176)</f>
        <v>18</v>
      </c>
      <c r="N160" s="389"/>
      <c r="O160" s="389"/>
      <c r="P160" s="182">
        <v>3</v>
      </c>
      <c r="Q160" s="166">
        <v>2181.333333333333</v>
      </c>
      <c r="R160" s="166">
        <v>727.11111111111097</v>
      </c>
      <c r="S160" s="182">
        <f t="shared" si="68"/>
        <v>20</v>
      </c>
      <c r="T160" s="385"/>
      <c r="U160" s="182">
        <v>3</v>
      </c>
      <c r="V160" s="166">
        <v>2218.6666666666665</v>
      </c>
      <c r="W160" s="166">
        <v>739.55555555555554</v>
      </c>
      <c r="X160" s="182">
        <f t="shared" si="70"/>
        <v>19</v>
      </c>
      <c r="Y160" s="385"/>
      <c r="Z160" s="182">
        <v>3</v>
      </c>
      <c r="AA160" s="166">
        <v>2252.9999999999995</v>
      </c>
      <c r="AB160" s="166">
        <v>750.99999999999989</v>
      </c>
      <c r="AC160" s="182">
        <f t="shared" si="72"/>
        <v>18</v>
      </c>
      <c r="AD160" s="385"/>
      <c r="AE160" s="182">
        <v>3</v>
      </c>
      <c r="AF160" s="166">
        <v>2348.5714285714262</v>
      </c>
      <c r="AG160" s="166">
        <v>782.85714285714209</v>
      </c>
      <c r="AH160" s="182">
        <f t="shared" si="74"/>
        <v>17</v>
      </c>
      <c r="AI160" s="385"/>
      <c r="AJ160" s="182">
        <v>3</v>
      </c>
      <c r="AK160" s="166">
        <v>2222.9999999999995</v>
      </c>
      <c r="AL160" s="166">
        <v>740.99999999999989</v>
      </c>
      <c r="AM160" s="182">
        <f t="shared" si="76"/>
        <v>20</v>
      </c>
      <c r="AN160" s="385"/>
      <c r="AO160" s="182">
        <v>3</v>
      </c>
      <c r="AP160" s="166">
        <v>2262.6666666666665</v>
      </c>
      <c r="AQ160" s="166">
        <v>754.22222222222217</v>
      </c>
      <c r="AR160" s="182">
        <f t="shared" si="78"/>
        <v>18</v>
      </c>
      <c r="AS160" s="385"/>
      <c r="AT160" s="182">
        <v>3</v>
      </c>
      <c r="AU160" s="166">
        <v>2214.6666666666665</v>
      </c>
      <c r="AV160" s="166">
        <v>738.22222222222217</v>
      </c>
      <c r="AW160" s="182">
        <f t="shared" si="80"/>
        <v>18</v>
      </c>
      <c r="AX160" s="385"/>
      <c r="AZ160" s="182" t="e">
        <f t="shared" si="82"/>
        <v>#N/A</v>
      </c>
      <c r="BA160" s="385"/>
    </row>
    <row r="161" spans="2:53">
      <c r="B161" s="395"/>
      <c r="C161" s="182">
        <v>15</v>
      </c>
      <c r="D161" s="182" t="s">
        <v>661</v>
      </c>
      <c r="E161" s="182">
        <v>8</v>
      </c>
      <c r="F161" s="182">
        <v>1500</v>
      </c>
      <c r="G161" s="166">
        <v>187.5</v>
      </c>
      <c r="H161" s="385"/>
      <c r="I161" s="166">
        <f t="shared" si="84"/>
        <v>12</v>
      </c>
      <c r="J161" s="166">
        <f t="shared" si="85"/>
        <v>1450.1640052547075</v>
      </c>
      <c r="K161" s="180">
        <f t="shared" si="86"/>
        <v>120.84700043789226</v>
      </c>
      <c r="L161" s="402"/>
      <c r="M161" s="166">
        <f>RANK(K161, K$147:$K$176)</f>
        <v>24</v>
      </c>
      <c r="N161" s="389"/>
      <c r="O161" s="389"/>
      <c r="P161" s="182">
        <v>12</v>
      </c>
      <c r="Q161" s="166">
        <v>1495.5882352941157</v>
      </c>
      <c r="R161" s="166">
        <v>124.63235294117631</v>
      </c>
      <c r="S161" s="182">
        <f t="shared" si="68"/>
        <v>24</v>
      </c>
      <c r="T161" s="385"/>
      <c r="U161" s="182">
        <v>12</v>
      </c>
      <c r="V161" s="166">
        <v>1355.1999999999989</v>
      </c>
      <c r="W161" s="166">
        <v>112.93333333333324</v>
      </c>
      <c r="X161" s="182">
        <f t="shared" si="70"/>
        <v>24</v>
      </c>
      <c r="Y161" s="385"/>
      <c r="Z161" s="182">
        <v>12</v>
      </c>
      <c r="AA161" s="166">
        <v>1473.3333333333348</v>
      </c>
      <c r="AB161" s="166">
        <v>122.7777777777779</v>
      </c>
      <c r="AC161" s="182">
        <f t="shared" si="72"/>
        <v>24</v>
      </c>
      <c r="AD161" s="385"/>
      <c r="AE161" s="182">
        <v>12</v>
      </c>
      <c r="AF161" s="166">
        <v>1466.129032258066</v>
      </c>
      <c r="AG161" s="166">
        <v>122.17741935483883</v>
      </c>
      <c r="AH161" s="182">
        <f t="shared" si="74"/>
        <v>24</v>
      </c>
      <c r="AI161" s="385"/>
      <c r="AJ161" s="182">
        <v>12</v>
      </c>
      <c r="AK161" s="166">
        <v>1449.2307692307709</v>
      </c>
      <c r="AL161" s="166">
        <v>120.7692307692309</v>
      </c>
      <c r="AM161" s="182">
        <f t="shared" si="76"/>
        <v>23</v>
      </c>
      <c r="AN161" s="385"/>
      <c r="AO161" s="182">
        <v>12</v>
      </c>
      <c r="AP161" s="166">
        <v>1461.6666666666656</v>
      </c>
      <c r="AQ161" s="166">
        <v>121.80555555555547</v>
      </c>
      <c r="AR161" s="182">
        <f t="shared" si="78"/>
        <v>23</v>
      </c>
      <c r="AS161" s="385"/>
      <c r="AT161" s="182">
        <v>12</v>
      </c>
      <c r="AU161" s="166">
        <v>1449.9999999999989</v>
      </c>
      <c r="AV161" s="166">
        <v>120.83333333333324</v>
      </c>
      <c r="AW161" s="182">
        <f t="shared" si="80"/>
        <v>23</v>
      </c>
      <c r="AX161" s="385"/>
      <c r="AZ161" s="182" t="e">
        <f t="shared" si="82"/>
        <v>#N/A</v>
      </c>
      <c r="BA161" s="385"/>
    </row>
    <row r="162" spans="2:53">
      <c r="B162" s="395"/>
      <c r="C162" s="182">
        <v>16</v>
      </c>
      <c r="D162" s="182" t="s">
        <v>602</v>
      </c>
      <c r="E162" s="182">
        <v>3</v>
      </c>
      <c r="F162" s="182">
        <v>2800</v>
      </c>
      <c r="G162" s="166">
        <v>933.33333333333337</v>
      </c>
      <c r="H162" s="385"/>
      <c r="I162" s="166">
        <f t="shared" si="84"/>
        <v>3</v>
      </c>
      <c r="J162" s="166">
        <f t="shared" si="85"/>
        <v>2788.8984385586341</v>
      </c>
      <c r="K162" s="180">
        <f t="shared" si="86"/>
        <v>929.63281285287792</v>
      </c>
      <c r="L162" s="402"/>
      <c r="M162" s="166">
        <f>RANK(K162, K$147:$K$176)</f>
        <v>12</v>
      </c>
      <c r="N162" s="389"/>
      <c r="O162" s="389"/>
      <c r="P162" s="182">
        <v>3</v>
      </c>
      <c r="Q162" s="166">
        <v>2849.2682926829257</v>
      </c>
      <c r="R162" s="166">
        <v>949.75609756097526</v>
      </c>
      <c r="S162" s="182">
        <f t="shared" si="68"/>
        <v>11</v>
      </c>
      <c r="T162" s="385"/>
      <c r="U162" s="182">
        <v>3</v>
      </c>
      <c r="V162" s="166">
        <v>2737.1428571428564</v>
      </c>
      <c r="W162" s="166">
        <v>912.38095238095218</v>
      </c>
      <c r="X162" s="182">
        <f t="shared" si="70"/>
        <v>12</v>
      </c>
      <c r="Y162" s="385"/>
      <c r="Z162" s="182">
        <v>3</v>
      </c>
      <c r="AA162" s="166">
        <v>2736.5853658536575</v>
      </c>
      <c r="AB162" s="166">
        <v>912.19512195121922</v>
      </c>
      <c r="AC162" s="182">
        <f t="shared" si="72"/>
        <v>12</v>
      </c>
      <c r="AD162" s="385"/>
      <c r="AE162" s="182">
        <v>3</v>
      </c>
      <c r="AF162" s="166">
        <v>2837.6470588235256</v>
      </c>
      <c r="AG162" s="166">
        <v>945.88235294117521</v>
      </c>
      <c r="AH162" s="182">
        <f t="shared" si="74"/>
        <v>11</v>
      </c>
      <c r="AI162" s="385"/>
      <c r="AJ162" s="182">
        <v>3</v>
      </c>
      <c r="AK162" s="166">
        <v>2812.9411764705915</v>
      </c>
      <c r="AL162" s="166">
        <v>937.64705882353053</v>
      </c>
      <c r="AM162" s="182">
        <f t="shared" si="76"/>
        <v>12</v>
      </c>
      <c r="AN162" s="385"/>
      <c r="AO162" s="182">
        <v>3</v>
      </c>
      <c r="AP162" s="166">
        <v>2754.4186046511622</v>
      </c>
      <c r="AQ162" s="166">
        <v>918.13953488372078</v>
      </c>
      <c r="AR162" s="182">
        <f t="shared" si="78"/>
        <v>12</v>
      </c>
      <c r="AS162" s="385"/>
      <c r="AT162" s="182">
        <v>3</v>
      </c>
      <c r="AU162" s="166">
        <v>2794.2857142857188</v>
      </c>
      <c r="AV162" s="166">
        <v>931.42857142857292</v>
      </c>
      <c r="AW162" s="182">
        <f t="shared" si="80"/>
        <v>12</v>
      </c>
      <c r="AX162" s="385"/>
      <c r="AZ162" s="182" t="e">
        <f t="shared" si="82"/>
        <v>#N/A</v>
      </c>
      <c r="BA162" s="385"/>
    </row>
    <row r="163" spans="2:53">
      <c r="B163" s="395"/>
      <c r="C163" s="182">
        <v>17</v>
      </c>
      <c r="D163" s="182" t="s">
        <v>603</v>
      </c>
      <c r="E163" s="182">
        <v>4</v>
      </c>
      <c r="F163" s="182">
        <v>2800</v>
      </c>
      <c r="G163" s="166">
        <v>700</v>
      </c>
      <c r="H163" s="385"/>
      <c r="I163" s="166">
        <f t="shared" si="84"/>
        <v>4</v>
      </c>
      <c r="J163" s="166">
        <f t="shared" si="85"/>
        <v>2791.3286467227367</v>
      </c>
      <c r="K163" s="180">
        <f t="shared" si="86"/>
        <v>697.83216168068418</v>
      </c>
      <c r="L163" s="402"/>
      <c r="M163" s="166">
        <f>RANK(K163, K$147:$K$176)</f>
        <v>23</v>
      </c>
      <c r="N163" s="389"/>
      <c r="O163" s="389"/>
      <c r="P163" s="182">
        <v>4</v>
      </c>
      <c r="Q163" s="166">
        <v>2891.5384615384633</v>
      </c>
      <c r="R163" s="166">
        <v>722.88461538461581</v>
      </c>
      <c r="S163" s="182">
        <f t="shared" si="68"/>
        <v>21</v>
      </c>
      <c r="T163" s="385"/>
      <c r="U163" s="182">
        <v>4</v>
      </c>
      <c r="V163" s="166">
        <v>2736.4285714285734</v>
      </c>
      <c r="W163" s="166">
        <v>684.10714285714334</v>
      </c>
      <c r="X163" s="182">
        <f t="shared" si="70"/>
        <v>22</v>
      </c>
      <c r="Y163" s="385"/>
      <c r="Z163" s="182">
        <v>4</v>
      </c>
      <c r="AA163" s="166">
        <v>2780.7692307692323</v>
      </c>
      <c r="AB163" s="166">
        <v>695.19230769230808</v>
      </c>
      <c r="AC163" s="182">
        <f t="shared" si="72"/>
        <v>23</v>
      </c>
      <c r="AD163" s="385"/>
      <c r="AE163" s="182">
        <v>4</v>
      </c>
      <c r="AF163" s="166">
        <v>2740.909090909091</v>
      </c>
      <c r="AG163" s="166">
        <v>685.22727272727275</v>
      </c>
      <c r="AH163" s="182">
        <f t="shared" si="74"/>
        <v>23</v>
      </c>
      <c r="AI163" s="385"/>
      <c r="AJ163" s="182">
        <v>4</v>
      </c>
      <c r="AK163" s="166">
        <v>2909.9999999999991</v>
      </c>
      <c r="AL163" s="166">
        <v>727.49999999999977</v>
      </c>
      <c r="AM163" s="182">
        <f t="shared" si="76"/>
        <v>21</v>
      </c>
      <c r="AN163" s="385"/>
      <c r="AO163" s="182">
        <v>4</v>
      </c>
      <c r="AP163" s="166">
        <v>2749.6551724137948</v>
      </c>
      <c r="AQ163" s="166">
        <v>687.41379310344871</v>
      </c>
      <c r="AR163" s="182">
        <f t="shared" si="78"/>
        <v>21</v>
      </c>
      <c r="AS163" s="385"/>
      <c r="AT163" s="182">
        <v>4</v>
      </c>
      <c r="AU163" s="166">
        <v>2730.0000000000023</v>
      </c>
      <c r="AV163" s="166">
        <v>682.50000000000057</v>
      </c>
      <c r="AW163" s="182">
        <f t="shared" si="80"/>
        <v>21</v>
      </c>
      <c r="AX163" s="385"/>
      <c r="AZ163" s="182" t="e">
        <f t="shared" si="82"/>
        <v>#N/A</v>
      </c>
      <c r="BA163" s="385"/>
    </row>
    <row r="164" spans="2:53">
      <c r="B164" s="395"/>
      <c r="C164" s="182">
        <v>18</v>
      </c>
      <c r="D164" s="182" t="s">
        <v>625</v>
      </c>
      <c r="E164" s="182">
        <v>12</v>
      </c>
      <c r="F164" s="182">
        <v>1500</v>
      </c>
      <c r="G164" s="166">
        <v>125</v>
      </c>
      <c r="H164" s="385"/>
      <c r="I164" s="166">
        <f t="shared" si="84"/>
        <v>12</v>
      </c>
      <c r="J164" s="166">
        <f t="shared" si="85"/>
        <v>1257.3277123152923</v>
      </c>
      <c r="K164" s="180">
        <f t="shared" si="86"/>
        <v>104.77730935960767</v>
      </c>
      <c r="L164" s="402"/>
      <c r="M164" s="166">
        <f>RANK(K164, K$147:$K$176)</f>
        <v>25</v>
      </c>
      <c r="N164" s="389"/>
      <c r="O164" s="389"/>
      <c r="P164" s="182">
        <v>12</v>
      </c>
      <c r="Q164" s="166">
        <v>1285.3846153846278</v>
      </c>
      <c r="R164" s="166">
        <v>107.11538461538565</v>
      </c>
      <c r="S164" s="182">
        <f t="shared" si="68"/>
        <v>25</v>
      </c>
      <c r="T164" s="385"/>
      <c r="U164" s="182">
        <v>12</v>
      </c>
      <c r="V164" s="166">
        <v>1278.4615384615431</v>
      </c>
      <c r="W164" s="166">
        <v>106.53846153846193</v>
      </c>
      <c r="X164" s="182">
        <f t="shared" si="70"/>
        <v>25</v>
      </c>
      <c r="Y164" s="385"/>
      <c r="Z164" s="182">
        <v>12</v>
      </c>
      <c r="AA164" s="166">
        <v>1254.7826086956479</v>
      </c>
      <c r="AB164" s="166">
        <v>104.56521739130399</v>
      </c>
      <c r="AC164" s="182">
        <f t="shared" si="72"/>
        <v>25</v>
      </c>
      <c r="AD164" s="385"/>
      <c r="AE164" s="182">
        <v>12</v>
      </c>
      <c r="AF164" s="166">
        <v>1209.0000000000043</v>
      </c>
      <c r="AG164" s="166">
        <v>100.75000000000036</v>
      </c>
      <c r="AH164" s="182">
        <f t="shared" si="74"/>
        <v>25</v>
      </c>
      <c r="AI164" s="385"/>
      <c r="AJ164" s="182">
        <v>12</v>
      </c>
      <c r="AK164" s="166">
        <v>1246.3636363636408</v>
      </c>
      <c r="AL164" s="166">
        <v>103.86363636363673</v>
      </c>
      <c r="AM164" s="182">
        <f t="shared" si="76"/>
        <v>24</v>
      </c>
      <c r="AN164" s="385"/>
      <c r="AO164" s="182">
        <v>12</v>
      </c>
      <c r="AP164" s="166">
        <v>1182.8571428571404</v>
      </c>
      <c r="AQ164" s="166">
        <v>98.57142857142837</v>
      </c>
      <c r="AR164" s="182">
        <f t="shared" si="78"/>
        <v>24</v>
      </c>
      <c r="AS164" s="385"/>
      <c r="AT164" s="182">
        <v>12</v>
      </c>
      <c r="AU164" s="166">
        <v>1344.4444444444414</v>
      </c>
      <c r="AV164" s="166">
        <v>112.03703703703678</v>
      </c>
      <c r="AW164" s="182">
        <f t="shared" si="80"/>
        <v>24</v>
      </c>
      <c r="AX164" s="385"/>
      <c r="AZ164" s="182" t="e">
        <f t="shared" si="82"/>
        <v>#N/A</v>
      </c>
      <c r="BA164" s="385"/>
    </row>
    <row r="165" spans="2:53">
      <c r="B165" s="395"/>
      <c r="C165" s="182">
        <v>19</v>
      </c>
      <c r="D165" s="182" t="s">
        <v>636</v>
      </c>
      <c r="E165" s="182">
        <v>3</v>
      </c>
      <c r="F165" s="182">
        <v>3000</v>
      </c>
      <c r="G165" s="166">
        <v>933.33333333333337</v>
      </c>
      <c r="H165" s="385"/>
      <c r="I165" s="166">
        <f t="shared" si="84"/>
        <v>3</v>
      </c>
      <c r="J165" s="166">
        <f t="shared" si="85"/>
        <v>3159.857142857129</v>
      </c>
      <c r="K165" s="180">
        <f t="shared" si="86"/>
        <v>1053.2857142857097</v>
      </c>
      <c r="L165" s="402"/>
      <c r="M165" s="166">
        <f>RANK(K165, K$147:$K$176)</f>
        <v>8</v>
      </c>
      <c r="N165" s="389"/>
      <c r="O165" s="389"/>
      <c r="P165" s="182">
        <v>3</v>
      </c>
      <c r="Q165" s="166">
        <v>3281.9999999999854</v>
      </c>
      <c r="R165" s="166">
        <v>1093.9999999999952</v>
      </c>
      <c r="S165" s="182">
        <f t="shared" si="68"/>
        <v>2</v>
      </c>
      <c r="T165" s="385"/>
      <c r="U165" s="182">
        <v>3</v>
      </c>
      <c r="V165" s="166">
        <v>3323.9999999999854</v>
      </c>
      <c r="W165" s="166">
        <v>1107.9999999999952</v>
      </c>
      <c r="X165" s="182">
        <f t="shared" si="70"/>
        <v>1</v>
      </c>
      <c r="Y165" s="385"/>
      <c r="Z165" s="182">
        <v>3</v>
      </c>
      <c r="AA165" s="166">
        <v>3080.9999999999864</v>
      </c>
      <c r="AB165" s="166">
        <v>1026.9999999999955</v>
      </c>
      <c r="AC165" s="182">
        <f t="shared" si="72"/>
        <v>10</v>
      </c>
      <c r="AD165" s="385"/>
      <c r="AE165" s="182">
        <v>3</v>
      </c>
      <c r="AF165" s="166">
        <v>2792.9999999999873</v>
      </c>
      <c r="AG165" s="166">
        <v>930.99999999999579</v>
      </c>
      <c r="AH165" s="182">
        <f t="shared" si="74"/>
        <v>12</v>
      </c>
      <c r="AI165" s="385"/>
      <c r="AJ165" s="182">
        <v>3</v>
      </c>
      <c r="AK165" s="166">
        <v>2933.9999999999873</v>
      </c>
      <c r="AL165" s="166">
        <v>977.99999999999579</v>
      </c>
      <c r="AM165" s="182">
        <f t="shared" si="76"/>
        <v>10</v>
      </c>
      <c r="AN165" s="385"/>
      <c r="AO165" s="182">
        <v>3</v>
      </c>
      <c r="AP165" s="166">
        <v>3254.9999999999854</v>
      </c>
      <c r="AQ165" s="166">
        <v>1084.9999999999952</v>
      </c>
      <c r="AR165" s="182">
        <f t="shared" si="78"/>
        <v>1</v>
      </c>
      <c r="AS165" s="385"/>
      <c r="AT165" s="182">
        <v>3</v>
      </c>
      <c r="AU165" s="166">
        <v>3449.9999999999845</v>
      </c>
      <c r="AV165" s="166">
        <v>1149.9999999999948</v>
      </c>
      <c r="AW165" s="182">
        <f t="shared" si="80"/>
        <v>1</v>
      </c>
      <c r="AX165" s="385"/>
      <c r="AZ165" s="182" t="e">
        <f t="shared" si="82"/>
        <v>#N/A</v>
      </c>
      <c r="BA165" s="385"/>
    </row>
    <row r="166" spans="2:53">
      <c r="B166" s="395"/>
      <c r="C166" s="182">
        <v>20</v>
      </c>
      <c r="D166" s="182" t="s">
        <v>641</v>
      </c>
      <c r="E166" s="182">
        <v>4</v>
      </c>
      <c r="F166" s="182">
        <v>3200</v>
      </c>
      <c r="G166" s="166">
        <v>800</v>
      </c>
      <c r="H166" s="385"/>
      <c r="I166" s="166">
        <f t="shared" si="84"/>
        <v>4</v>
      </c>
      <c r="J166" s="166">
        <f t="shared" si="85"/>
        <v>2971.0769230769256</v>
      </c>
      <c r="K166" s="180">
        <f t="shared" si="86"/>
        <v>742.7692307692314</v>
      </c>
      <c r="L166" s="402"/>
      <c r="M166" s="166">
        <f>RANK(K166, K$147:$K$176)</f>
        <v>20</v>
      </c>
      <c r="N166" s="389"/>
      <c r="O166" s="389"/>
      <c r="P166" s="182">
        <v>4</v>
      </c>
      <c r="Q166" s="166">
        <v>2975.1724137931055</v>
      </c>
      <c r="R166" s="166">
        <v>743.79310344827638</v>
      </c>
      <c r="S166" s="182">
        <f t="shared" si="68"/>
        <v>18</v>
      </c>
      <c r="T166" s="385"/>
      <c r="U166" s="182">
        <v>4</v>
      </c>
      <c r="V166" s="166">
        <v>2904.8275862068908</v>
      </c>
      <c r="W166" s="166">
        <v>726.20689655172271</v>
      </c>
      <c r="X166" s="182">
        <f t="shared" si="70"/>
        <v>20</v>
      </c>
      <c r="Y166" s="385"/>
      <c r="Z166" s="182">
        <v>4</v>
      </c>
      <c r="AA166" s="166">
        <v>2920.0000000000014</v>
      </c>
      <c r="AB166" s="166">
        <v>730.00000000000034</v>
      </c>
      <c r="AC166" s="182">
        <f t="shared" si="72"/>
        <v>21</v>
      </c>
      <c r="AD166" s="385"/>
      <c r="AE166" s="182">
        <v>4</v>
      </c>
      <c r="AF166" s="166">
        <v>3054.0000000000109</v>
      </c>
      <c r="AG166" s="166">
        <v>763.50000000000273</v>
      </c>
      <c r="AH166" s="182">
        <f t="shared" si="74"/>
        <v>18</v>
      </c>
      <c r="AI166" s="385"/>
      <c r="AJ166" s="182">
        <v>4</v>
      </c>
      <c r="AK166" s="166">
        <v>3072.0000000000109</v>
      </c>
      <c r="AL166" s="166">
        <v>768.00000000000273</v>
      </c>
      <c r="AM166" s="182">
        <f t="shared" si="76"/>
        <v>19</v>
      </c>
      <c r="AN166" s="385"/>
      <c r="AO166" s="182">
        <v>4</v>
      </c>
      <c r="AP166" s="166">
        <v>2919.9999999999932</v>
      </c>
      <c r="AQ166" s="166">
        <v>729.99999999999829</v>
      </c>
      <c r="AR166" s="182">
        <f t="shared" si="78"/>
        <v>19</v>
      </c>
      <c r="AS166" s="385"/>
      <c r="AT166" s="182">
        <v>4</v>
      </c>
      <c r="AU166" s="166">
        <v>2951.5384615384633</v>
      </c>
      <c r="AV166" s="166">
        <v>737.88461538461581</v>
      </c>
      <c r="AW166" s="182">
        <f t="shared" si="80"/>
        <v>19</v>
      </c>
      <c r="AX166" s="385"/>
      <c r="AZ166" s="182" t="e">
        <f t="shared" si="82"/>
        <v>#N/A</v>
      </c>
      <c r="BA166" s="385"/>
    </row>
    <row r="167" spans="2:53">
      <c r="B167" s="395"/>
      <c r="C167" s="182">
        <v>21</v>
      </c>
      <c r="D167" s="313" t="s">
        <v>643</v>
      </c>
      <c r="E167" s="182">
        <v>4</v>
      </c>
      <c r="F167" s="182">
        <v>3200</v>
      </c>
      <c r="G167" s="166">
        <v>800</v>
      </c>
      <c r="H167" s="385"/>
      <c r="I167" s="166">
        <f t="shared" si="84"/>
        <v>4</v>
      </c>
      <c r="J167" s="166">
        <f t="shared" si="85"/>
        <v>2978.5965216953582</v>
      </c>
      <c r="K167" s="180">
        <f t="shared" si="86"/>
        <v>744.64913042383955</v>
      </c>
      <c r="L167" s="402"/>
      <c r="M167" s="166">
        <f>RANK(K167, K$147:$K$176)</f>
        <v>19</v>
      </c>
      <c r="N167" s="389"/>
      <c r="O167" s="389"/>
      <c r="P167" s="182">
        <v>4</v>
      </c>
      <c r="Q167" s="166">
        <v>2970.666666666667</v>
      </c>
      <c r="R167" s="166">
        <v>742.66666666666674</v>
      </c>
      <c r="S167" s="182">
        <f t="shared" si="68"/>
        <v>19</v>
      </c>
      <c r="T167" s="385"/>
      <c r="U167" s="182">
        <v>4</v>
      </c>
      <c r="V167" s="166">
        <v>2968.6363636363581</v>
      </c>
      <c r="W167" s="166">
        <v>742.15909090908951</v>
      </c>
      <c r="X167" s="182">
        <f t="shared" si="70"/>
        <v>18</v>
      </c>
      <c r="Y167" s="385"/>
      <c r="Z167" s="182">
        <v>4</v>
      </c>
      <c r="AA167" s="166">
        <v>2966.5116279069762</v>
      </c>
      <c r="AB167" s="166">
        <v>741.62790697674404</v>
      </c>
      <c r="AC167" s="182">
        <f t="shared" si="72"/>
        <v>20</v>
      </c>
      <c r="AD167" s="385"/>
      <c r="AE167" s="182">
        <v>4</v>
      </c>
      <c r="AF167" s="166">
        <v>3008.5714285714321</v>
      </c>
      <c r="AG167" s="166">
        <v>752.14285714285802</v>
      </c>
      <c r="AH167" s="182">
        <f t="shared" si="74"/>
        <v>20</v>
      </c>
      <c r="AI167" s="385"/>
      <c r="AJ167" s="182" t="s">
        <v>634</v>
      </c>
      <c r="AK167" s="166" t="s">
        <v>634</v>
      </c>
      <c r="AL167" s="166" t="s">
        <v>634</v>
      </c>
      <c r="AM167" s="182" t="e">
        <f t="shared" si="76"/>
        <v>#VALUE!</v>
      </c>
      <c r="AN167" s="385"/>
      <c r="AO167" s="182" t="s">
        <v>634</v>
      </c>
      <c r="AP167" s="166" t="s">
        <v>634</v>
      </c>
      <c r="AQ167" s="166" t="s">
        <v>634</v>
      </c>
      <c r="AR167" s="182" t="e">
        <f t="shared" si="78"/>
        <v>#VALUE!</v>
      </c>
      <c r="AS167" s="385"/>
      <c r="AT167" s="182" t="s">
        <v>634</v>
      </c>
      <c r="AU167" s="166" t="s">
        <v>634</v>
      </c>
      <c r="AV167" s="166" t="s">
        <v>634</v>
      </c>
      <c r="AW167" s="182" t="e">
        <f t="shared" si="80"/>
        <v>#VALUE!</v>
      </c>
      <c r="AX167" s="385"/>
      <c r="AZ167" s="182" t="e">
        <f t="shared" si="82"/>
        <v>#N/A</v>
      </c>
      <c r="BA167" s="385"/>
    </row>
    <row r="168" spans="2:53">
      <c r="B168" s="395"/>
      <c r="C168" s="182">
        <v>22</v>
      </c>
      <c r="D168" s="182" t="s">
        <v>651</v>
      </c>
      <c r="E168" s="182">
        <v>3</v>
      </c>
      <c r="F168" s="182">
        <v>3200</v>
      </c>
      <c r="G168" s="166">
        <v>1066.6666666666667</v>
      </c>
      <c r="H168" s="385"/>
      <c r="I168" s="166">
        <f t="shared" si="84"/>
        <v>3</v>
      </c>
      <c r="J168" s="166">
        <f t="shared" si="85"/>
        <v>3179.6977498691745</v>
      </c>
      <c r="K168" s="180">
        <f t="shared" si="86"/>
        <v>1059.8992499563917</v>
      </c>
      <c r="L168" s="402"/>
      <c r="M168" s="166">
        <f>RANK(K168, K$147:$K$176)</f>
        <v>5</v>
      </c>
      <c r="N168" s="389"/>
      <c r="O168" s="389"/>
      <c r="P168" s="182">
        <v>3</v>
      </c>
      <c r="Q168" s="166">
        <v>3128.5714285714221</v>
      </c>
      <c r="R168" s="166">
        <v>1042.8571428571406</v>
      </c>
      <c r="S168" s="182">
        <f t="shared" si="68"/>
        <v>8</v>
      </c>
      <c r="T168" s="385"/>
      <c r="U168" s="182">
        <v>3</v>
      </c>
      <c r="V168" s="166">
        <v>3186.6666666666592</v>
      </c>
      <c r="W168" s="166">
        <v>1062.2222222222197</v>
      </c>
      <c r="X168" s="182">
        <f t="shared" si="70"/>
        <v>6</v>
      </c>
      <c r="Y168" s="385"/>
      <c r="Z168" s="182">
        <v>3</v>
      </c>
      <c r="AA168" s="166">
        <v>3136.1538461538476</v>
      </c>
      <c r="AB168" s="166">
        <v>1045.3846153846159</v>
      </c>
      <c r="AC168" s="182">
        <f t="shared" si="72"/>
        <v>7</v>
      </c>
      <c r="AD168" s="385"/>
      <c r="AE168" s="182">
        <v>3</v>
      </c>
      <c r="AF168" s="166">
        <v>3320.9999999999986</v>
      </c>
      <c r="AG168" s="166">
        <v>1106.9999999999995</v>
      </c>
      <c r="AH168" s="182">
        <f t="shared" si="74"/>
        <v>1</v>
      </c>
      <c r="AI168" s="385"/>
      <c r="AJ168" s="182">
        <v>3</v>
      </c>
      <c r="AK168" s="166">
        <v>3218.9999999999859</v>
      </c>
      <c r="AL168" s="166">
        <v>1072.9999999999952</v>
      </c>
      <c r="AM168" s="182">
        <f t="shared" si="76"/>
        <v>7</v>
      </c>
      <c r="AN168" s="385"/>
      <c r="AO168" s="182">
        <v>3</v>
      </c>
      <c r="AP168" s="166">
        <v>3117.6923076922994</v>
      </c>
      <c r="AQ168" s="166">
        <v>1039.2307692307666</v>
      </c>
      <c r="AR168" s="182">
        <f t="shared" si="78"/>
        <v>9</v>
      </c>
      <c r="AS168" s="385"/>
      <c r="AT168" s="182">
        <v>3</v>
      </c>
      <c r="AU168" s="166">
        <v>3148.8000000000111</v>
      </c>
      <c r="AV168" s="166">
        <v>1049.6000000000038</v>
      </c>
      <c r="AW168" s="182">
        <f t="shared" si="80"/>
        <v>8</v>
      </c>
      <c r="AX168" s="385"/>
      <c r="AZ168" s="182" t="e">
        <f t="shared" si="82"/>
        <v>#N/A</v>
      </c>
      <c r="BA168" s="385"/>
    </row>
    <row r="169" spans="2:53">
      <c r="B169" s="395"/>
      <c r="C169" s="182">
        <v>23</v>
      </c>
      <c r="D169" s="182" t="s">
        <v>731</v>
      </c>
      <c r="E169" s="182">
        <v>3</v>
      </c>
      <c r="F169" s="182">
        <v>3200</v>
      </c>
      <c r="G169" s="166">
        <v>1066.6666666666667</v>
      </c>
      <c r="H169" s="385"/>
      <c r="I169" s="166">
        <f t="shared" si="84"/>
        <v>3</v>
      </c>
      <c r="J169" s="166">
        <f t="shared" si="85"/>
        <v>3196.3525327732978</v>
      </c>
      <c r="K169" s="180">
        <f t="shared" si="86"/>
        <v>1065.450844257766</v>
      </c>
      <c r="L169" s="402"/>
      <c r="M169" s="166">
        <f>RANK(K169, K$147:$K$176)</f>
        <v>3</v>
      </c>
      <c r="N169" s="389"/>
      <c r="O169" s="389"/>
      <c r="P169" s="182">
        <v>3</v>
      </c>
      <c r="Q169" s="166">
        <v>3170.3225806451642</v>
      </c>
      <c r="R169" s="166">
        <v>1056.774193548388</v>
      </c>
      <c r="S169" s="182">
        <f t="shared" si="68"/>
        <v>4</v>
      </c>
      <c r="T169" s="385"/>
      <c r="U169" s="182">
        <v>3</v>
      </c>
      <c r="V169" s="166">
        <v>3199.3220338983078</v>
      </c>
      <c r="W169" s="166">
        <v>1066.4406779661026</v>
      </c>
      <c r="X169" s="182">
        <f t="shared" si="70"/>
        <v>2</v>
      </c>
      <c r="Y169" s="385"/>
      <c r="Z169" s="182">
        <v>3</v>
      </c>
      <c r="AA169" s="166">
        <v>3172.3636363636288</v>
      </c>
      <c r="AB169" s="166">
        <v>1057.454545454543</v>
      </c>
      <c r="AC169" s="182">
        <f t="shared" si="72"/>
        <v>2</v>
      </c>
      <c r="AD169" s="385"/>
      <c r="AE169" s="182">
        <v>3</v>
      </c>
      <c r="AF169" s="166">
        <v>3210.666666666667</v>
      </c>
      <c r="AG169" s="166">
        <v>1070.2222222222224</v>
      </c>
      <c r="AH169" s="182">
        <f t="shared" si="74"/>
        <v>6</v>
      </c>
      <c r="AI169" s="385"/>
      <c r="AJ169" s="182">
        <v>3</v>
      </c>
      <c r="AK169" s="166">
        <v>3274.8837209302319</v>
      </c>
      <c r="AL169" s="166">
        <v>1091.627906976744</v>
      </c>
      <c r="AM169" s="182">
        <f t="shared" si="76"/>
        <v>3</v>
      </c>
      <c r="AN169" s="385"/>
      <c r="AO169" s="182">
        <v>3</v>
      </c>
      <c r="AP169" s="166">
        <v>3166.9090909090883</v>
      </c>
      <c r="AQ169" s="166">
        <v>1055.6363636363628</v>
      </c>
      <c r="AR169" s="182">
        <f t="shared" si="78"/>
        <v>6</v>
      </c>
      <c r="AS169" s="385"/>
      <c r="AT169" s="182">
        <v>3</v>
      </c>
      <c r="AU169" s="166">
        <v>3179.9999999999964</v>
      </c>
      <c r="AV169" s="166">
        <v>1059.9999999999989</v>
      </c>
      <c r="AW169" s="182">
        <f t="shared" si="80"/>
        <v>6</v>
      </c>
      <c r="AX169" s="385"/>
      <c r="AZ169" s="182" t="e">
        <f t="shared" si="82"/>
        <v>#N/A</v>
      </c>
      <c r="BA169" s="385"/>
    </row>
    <row r="170" spans="2:53">
      <c r="B170" s="395"/>
      <c r="C170" s="182">
        <v>24</v>
      </c>
      <c r="D170" s="182" t="s">
        <v>736</v>
      </c>
      <c r="E170" s="182">
        <v>3</v>
      </c>
      <c r="F170" s="182">
        <v>3200</v>
      </c>
      <c r="G170" s="166">
        <v>1066.6666666666667</v>
      </c>
      <c r="H170" s="385"/>
      <c r="I170" s="166">
        <f t="shared" si="84"/>
        <v>3</v>
      </c>
      <c r="J170" s="166">
        <f t="shared" si="85"/>
        <v>3183.4605434331866</v>
      </c>
      <c r="K170" s="180">
        <f t="shared" si="86"/>
        <v>1061.153514477729</v>
      </c>
      <c r="L170" s="402"/>
      <c r="M170" s="166">
        <f>RANK(K170, K$147:$K$176)</f>
        <v>4</v>
      </c>
      <c r="N170" s="389"/>
      <c r="O170" s="389"/>
      <c r="P170" s="182">
        <v>3</v>
      </c>
      <c r="Q170" s="166">
        <v>3158.507462686563</v>
      </c>
      <c r="R170" s="166">
        <v>1052.835820895521</v>
      </c>
      <c r="S170" s="182">
        <f t="shared" si="68"/>
        <v>5</v>
      </c>
      <c r="T170" s="385"/>
      <c r="U170" s="182">
        <v>3</v>
      </c>
      <c r="V170" s="166">
        <v>3116.4179104477571</v>
      </c>
      <c r="W170" s="166">
        <v>1038.8059701492523</v>
      </c>
      <c r="X170" s="182">
        <f t="shared" si="70"/>
        <v>9</v>
      </c>
      <c r="Y170" s="385"/>
      <c r="Z170" s="182">
        <v>3</v>
      </c>
      <c r="AA170" s="166">
        <v>3169.5238095238046</v>
      </c>
      <c r="AB170" s="166">
        <v>1056.5079365079348</v>
      </c>
      <c r="AC170" s="182">
        <f t="shared" si="72"/>
        <v>3</v>
      </c>
      <c r="AD170" s="385"/>
      <c r="AE170" s="182">
        <v>3</v>
      </c>
      <c r="AF170" s="166">
        <v>3218.2758620689638</v>
      </c>
      <c r="AG170" s="166">
        <v>1072.7586206896547</v>
      </c>
      <c r="AH170" s="182">
        <f t="shared" si="74"/>
        <v>5</v>
      </c>
      <c r="AI170" s="385"/>
      <c r="AJ170" s="182">
        <v>3</v>
      </c>
      <c r="AK170" s="166">
        <v>3263.0769230769247</v>
      </c>
      <c r="AL170" s="166">
        <v>1087.6923076923083</v>
      </c>
      <c r="AM170" s="182">
        <f t="shared" si="76"/>
        <v>4</v>
      </c>
      <c r="AN170" s="385"/>
      <c r="AO170" s="182">
        <v>3</v>
      </c>
      <c r="AP170" s="166">
        <v>3172.6153846153879</v>
      </c>
      <c r="AQ170" s="166">
        <v>1057.5384615384626</v>
      </c>
      <c r="AR170" s="182">
        <f t="shared" si="78"/>
        <v>4</v>
      </c>
      <c r="AS170" s="385"/>
      <c r="AT170" s="182">
        <v>3</v>
      </c>
      <c r="AU170" s="166">
        <v>3185.8064516129061</v>
      </c>
      <c r="AV170" s="166">
        <v>1061.9354838709687</v>
      </c>
      <c r="AW170" s="182">
        <f t="shared" si="80"/>
        <v>4</v>
      </c>
      <c r="AX170" s="385"/>
      <c r="AZ170" s="182" t="e">
        <f t="shared" si="82"/>
        <v>#N/A</v>
      </c>
      <c r="BA170" s="385"/>
    </row>
    <row r="171" spans="2:53">
      <c r="B171" s="395"/>
      <c r="C171" s="182">
        <v>25</v>
      </c>
      <c r="D171" s="182" t="s">
        <v>753</v>
      </c>
      <c r="E171" s="182">
        <v>3</v>
      </c>
      <c r="F171" s="182">
        <v>3200</v>
      </c>
      <c r="G171" s="166">
        <v>1066.6666666666667</v>
      </c>
      <c r="H171" s="385"/>
      <c r="I171" s="166">
        <f t="shared" si="84"/>
        <v>3</v>
      </c>
      <c r="J171" s="166">
        <f t="shared" si="85"/>
        <v>3002.8582074165765</v>
      </c>
      <c r="K171" s="180">
        <f t="shared" si="86"/>
        <v>1000.9527358055257</v>
      </c>
      <c r="L171" s="402"/>
      <c r="M171" s="166">
        <f>RANK(K171, K$147:$K$176)</f>
        <v>11</v>
      </c>
      <c r="N171" s="389"/>
      <c r="O171" s="389"/>
      <c r="P171" s="182">
        <v>3</v>
      </c>
      <c r="Q171" s="166">
        <v>3040.4999999999991</v>
      </c>
      <c r="R171" s="166">
        <v>1013.4999999999997</v>
      </c>
      <c r="S171" s="182">
        <f t="shared" si="68"/>
        <v>10</v>
      </c>
      <c r="T171" s="385"/>
      <c r="U171" s="182">
        <v>3</v>
      </c>
      <c r="V171" s="166">
        <v>2984.4827586206879</v>
      </c>
      <c r="W171" s="166">
        <v>994.82758620689594</v>
      </c>
      <c r="X171" s="182">
        <f t="shared" si="70"/>
        <v>11</v>
      </c>
      <c r="Y171" s="385"/>
      <c r="Z171" s="182">
        <v>3</v>
      </c>
      <c r="AA171" s="166">
        <v>2972.222222222224</v>
      </c>
      <c r="AB171" s="166">
        <v>990.74074074074133</v>
      </c>
      <c r="AC171" s="182">
        <f t="shared" si="72"/>
        <v>11</v>
      </c>
      <c r="AD171" s="385"/>
      <c r="AE171" s="182">
        <v>3</v>
      </c>
      <c r="AF171" s="166">
        <v>3022.0588235294081</v>
      </c>
      <c r="AG171" s="166">
        <v>1007.3529411764694</v>
      </c>
      <c r="AH171" s="182">
        <f t="shared" si="74"/>
        <v>10</v>
      </c>
      <c r="AI171" s="385"/>
      <c r="AJ171" s="182">
        <v>3</v>
      </c>
      <c r="AK171" s="166">
        <v>3035.0769230769192</v>
      </c>
      <c r="AL171" s="166">
        <v>1011.6923076923064</v>
      </c>
      <c r="AM171" s="182">
        <f t="shared" si="76"/>
        <v>9</v>
      </c>
      <c r="AN171" s="385"/>
      <c r="AO171" s="182">
        <v>3</v>
      </c>
      <c r="AP171" s="166">
        <v>2997.7215189873432</v>
      </c>
      <c r="AQ171" s="166">
        <v>999.2405063291144</v>
      </c>
      <c r="AR171" s="182">
        <f t="shared" si="78"/>
        <v>10</v>
      </c>
      <c r="AS171" s="385"/>
      <c r="AT171" s="182">
        <v>3</v>
      </c>
      <c r="AU171" s="166">
        <v>2967.945205479456</v>
      </c>
      <c r="AV171" s="166">
        <v>989.31506849315201</v>
      </c>
      <c r="AW171" s="182">
        <f t="shared" si="80"/>
        <v>10</v>
      </c>
      <c r="AX171" s="385"/>
      <c r="AZ171" s="182" t="e">
        <f t="shared" si="82"/>
        <v>#N/A</v>
      </c>
      <c r="BA171" s="385"/>
    </row>
    <row r="172" spans="2:53">
      <c r="B172" s="395"/>
      <c r="C172" s="182">
        <v>26</v>
      </c>
      <c r="D172" s="182"/>
      <c r="E172" s="182"/>
      <c r="F172" s="182"/>
      <c r="G172" s="182"/>
      <c r="H172" s="385"/>
      <c r="I172" s="166" t="str">
        <f t="shared" si="84"/>
        <v>-</v>
      </c>
      <c r="J172" s="166" t="str">
        <f t="shared" si="85"/>
        <v>-</v>
      </c>
      <c r="K172" s="180" t="str">
        <f t="shared" si="86"/>
        <v>-</v>
      </c>
      <c r="L172" s="402"/>
      <c r="M172" s="166" t="e">
        <f>RANK(K172, K$147:$K$176)</f>
        <v>#VALUE!</v>
      </c>
      <c r="N172" s="389"/>
      <c r="O172" s="389"/>
      <c r="P172" s="182"/>
      <c r="Q172" s="166"/>
      <c r="R172" s="166"/>
      <c r="S172" s="182" t="e">
        <f t="shared" si="68"/>
        <v>#N/A</v>
      </c>
      <c r="T172" s="385"/>
      <c r="U172" s="182"/>
      <c r="V172" s="166"/>
      <c r="W172" s="166"/>
      <c r="X172" s="182" t="e">
        <f t="shared" si="70"/>
        <v>#N/A</v>
      </c>
      <c r="Y172" s="385"/>
      <c r="Z172" s="182"/>
      <c r="AA172" s="166"/>
      <c r="AB172" s="166"/>
      <c r="AC172" s="182" t="e">
        <f t="shared" si="72"/>
        <v>#N/A</v>
      </c>
      <c r="AD172" s="385"/>
      <c r="AE172" s="182"/>
      <c r="AF172" s="166"/>
      <c r="AG172" s="166"/>
      <c r="AH172" s="182" t="e">
        <f t="shared" si="74"/>
        <v>#N/A</v>
      </c>
      <c r="AI172" s="385"/>
      <c r="AJ172" s="182"/>
      <c r="AK172" s="166"/>
      <c r="AL172" s="166"/>
      <c r="AM172" s="182" t="e">
        <f t="shared" si="76"/>
        <v>#N/A</v>
      </c>
      <c r="AN172" s="385"/>
      <c r="AO172" s="182"/>
      <c r="AP172" s="166"/>
      <c r="AQ172" s="166"/>
      <c r="AR172" s="182" t="e">
        <f t="shared" si="78"/>
        <v>#N/A</v>
      </c>
      <c r="AS172" s="385"/>
      <c r="AT172" s="182"/>
      <c r="AU172" s="166"/>
      <c r="AV172" s="166"/>
      <c r="AW172" s="182" t="e">
        <f t="shared" si="80"/>
        <v>#N/A</v>
      </c>
      <c r="AX172" s="385"/>
      <c r="AZ172" s="182" t="e">
        <f t="shared" si="82"/>
        <v>#N/A</v>
      </c>
      <c r="BA172" s="385"/>
    </row>
    <row r="173" spans="2:53">
      <c r="B173" s="395"/>
      <c r="C173" s="182">
        <v>27</v>
      </c>
      <c r="D173" s="182"/>
      <c r="E173" s="182"/>
      <c r="F173" s="182"/>
      <c r="G173" s="182"/>
      <c r="H173" s="385"/>
      <c r="I173" s="166" t="str">
        <f t="shared" si="84"/>
        <v>-</v>
      </c>
      <c r="J173" s="166" t="str">
        <f t="shared" si="85"/>
        <v>-</v>
      </c>
      <c r="K173" s="180" t="str">
        <f t="shared" si="86"/>
        <v>-</v>
      </c>
      <c r="L173" s="402"/>
      <c r="M173" s="166" t="e">
        <f>RANK(K173, K$147:$K$176)</f>
        <v>#VALUE!</v>
      </c>
      <c r="N173" s="389"/>
      <c r="O173" s="389"/>
      <c r="P173" s="182"/>
      <c r="Q173" s="166"/>
      <c r="R173" s="166"/>
      <c r="S173" s="182" t="e">
        <f t="shared" si="68"/>
        <v>#N/A</v>
      </c>
      <c r="T173" s="385"/>
      <c r="U173" s="182"/>
      <c r="V173" s="166"/>
      <c r="W173" s="166"/>
      <c r="X173" s="182" t="e">
        <f t="shared" si="70"/>
        <v>#N/A</v>
      </c>
      <c r="Y173" s="385"/>
      <c r="Z173" s="182"/>
      <c r="AA173" s="166"/>
      <c r="AB173" s="166"/>
      <c r="AC173" s="182" t="e">
        <f t="shared" si="72"/>
        <v>#N/A</v>
      </c>
      <c r="AD173" s="385"/>
      <c r="AE173" s="182"/>
      <c r="AF173" s="166"/>
      <c r="AG173" s="166"/>
      <c r="AH173" s="182" t="e">
        <f t="shared" si="74"/>
        <v>#N/A</v>
      </c>
      <c r="AI173" s="385"/>
      <c r="AJ173" s="182"/>
      <c r="AK173" s="166"/>
      <c r="AL173" s="166"/>
      <c r="AM173" s="182" t="e">
        <f t="shared" si="76"/>
        <v>#N/A</v>
      </c>
      <c r="AN173" s="385"/>
      <c r="AO173" s="182"/>
      <c r="AP173" s="166"/>
      <c r="AQ173" s="166"/>
      <c r="AR173" s="182" t="e">
        <f t="shared" si="78"/>
        <v>#N/A</v>
      </c>
      <c r="AS173" s="385"/>
      <c r="AT173" s="182"/>
      <c r="AU173" s="166"/>
      <c r="AV173" s="166"/>
      <c r="AW173" s="182" t="e">
        <f t="shared" si="80"/>
        <v>#N/A</v>
      </c>
      <c r="AX173" s="385"/>
      <c r="AZ173" s="182" t="e">
        <f t="shared" si="82"/>
        <v>#N/A</v>
      </c>
      <c r="BA173" s="385"/>
    </row>
    <row r="174" spans="2:53">
      <c r="B174" s="395"/>
      <c r="C174" s="182">
        <v>28</v>
      </c>
      <c r="D174" s="182"/>
      <c r="E174" s="182"/>
      <c r="F174" s="182"/>
      <c r="G174" s="182"/>
      <c r="H174" s="385"/>
      <c r="I174" s="166" t="str">
        <f t="shared" si="84"/>
        <v>-</v>
      </c>
      <c r="J174" s="166" t="str">
        <f t="shared" si="85"/>
        <v>-</v>
      </c>
      <c r="K174" s="180" t="str">
        <f t="shared" si="86"/>
        <v>-</v>
      </c>
      <c r="L174" s="402"/>
      <c r="M174" s="166" t="e">
        <f>RANK(K174, K$147:$K$176)</f>
        <v>#VALUE!</v>
      </c>
      <c r="N174" s="389"/>
      <c r="O174" s="389"/>
      <c r="P174" s="182"/>
      <c r="Q174" s="166"/>
      <c r="R174" s="166"/>
      <c r="S174" s="182" t="e">
        <f t="shared" si="68"/>
        <v>#N/A</v>
      </c>
      <c r="T174" s="385"/>
      <c r="U174" s="182"/>
      <c r="V174" s="166"/>
      <c r="W174" s="166"/>
      <c r="X174" s="182" t="e">
        <f t="shared" si="70"/>
        <v>#N/A</v>
      </c>
      <c r="Y174" s="385"/>
      <c r="Z174" s="182"/>
      <c r="AA174" s="166"/>
      <c r="AB174" s="166"/>
      <c r="AC174" s="182" t="e">
        <f t="shared" si="72"/>
        <v>#N/A</v>
      </c>
      <c r="AD174" s="385"/>
      <c r="AE174" s="182"/>
      <c r="AF174" s="166"/>
      <c r="AG174" s="166"/>
      <c r="AH174" s="182" t="e">
        <f t="shared" si="74"/>
        <v>#N/A</v>
      </c>
      <c r="AI174" s="385"/>
      <c r="AJ174" s="182"/>
      <c r="AK174" s="166"/>
      <c r="AL174" s="166"/>
      <c r="AM174" s="182" t="e">
        <f t="shared" si="76"/>
        <v>#N/A</v>
      </c>
      <c r="AN174" s="385"/>
      <c r="AO174" s="182"/>
      <c r="AP174" s="166"/>
      <c r="AQ174" s="166"/>
      <c r="AR174" s="182" t="e">
        <f t="shared" si="78"/>
        <v>#N/A</v>
      </c>
      <c r="AS174" s="385"/>
      <c r="AT174" s="182"/>
      <c r="AU174" s="166"/>
      <c r="AV174" s="166"/>
      <c r="AW174" s="182" t="e">
        <f t="shared" si="80"/>
        <v>#N/A</v>
      </c>
      <c r="AX174" s="385"/>
      <c r="AZ174" s="182" t="e">
        <f t="shared" si="82"/>
        <v>#N/A</v>
      </c>
      <c r="BA174" s="385"/>
    </row>
    <row r="175" spans="2:53">
      <c r="B175" s="395"/>
      <c r="C175" s="182">
        <v>29</v>
      </c>
      <c r="D175" s="182"/>
      <c r="E175" s="182"/>
      <c r="F175" s="182"/>
      <c r="G175" s="182"/>
      <c r="H175" s="385"/>
      <c r="I175" s="166" t="str">
        <f t="shared" si="84"/>
        <v>-</v>
      </c>
      <c r="J175" s="166" t="str">
        <f t="shared" si="85"/>
        <v>-</v>
      </c>
      <c r="K175" s="180" t="str">
        <f t="shared" si="86"/>
        <v>-</v>
      </c>
      <c r="L175" s="402"/>
      <c r="M175" s="166" t="e">
        <f>RANK(K175, K$147:$K$176)</f>
        <v>#VALUE!</v>
      </c>
      <c r="N175" s="389"/>
      <c r="O175" s="389"/>
      <c r="P175" s="182"/>
      <c r="Q175" s="166"/>
      <c r="R175" s="166"/>
      <c r="S175" s="182" t="e">
        <f t="shared" si="68"/>
        <v>#N/A</v>
      </c>
      <c r="T175" s="385"/>
      <c r="U175" s="182"/>
      <c r="V175" s="166"/>
      <c r="W175" s="166"/>
      <c r="X175" s="182" t="e">
        <f t="shared" si="70"/>
        <v>#N/A</v>
      </c>
      <c r="Y175" s="385"/>
      <c r="Z175" s="182"/>
      <c r="AA175" s="166"/>
      <c r="AB175" s="166"/>
      <c r="AC175" s="182" t="e">
        <f t="shared" si="72"/>
        <v>#N/A</v>
      </c>
      <c r="AD175" s="385"/>
      <c r="AE175" s="182"/>
      <c r="AF175" s="166"/>
      <c r="AG175" s="166"/>
      <c r="AH175" s="182" t="e">
        <f t="shared" si="74"/>
        <v>#N/A</v>
      </c>
      <c r="AI175" s="385"/>
      <c r="AJ175" s="182"/>
      <c r="AK175" s="166"/>
      <c r="AL175" s="166"/>
      <c r="AM175" s="182" t="e">
        <f t="shared" si="76"/>
        <v>#N/A</v>
      </c>
      <c r="AN175" s="385"/>
      <c r="AO175" s="182"/>
      <c r="AP175" s="166"/>
      <c r="AQ175" s="166"/>
      <c r="AR175" s="182" t="e">
        <f t="shared" si="78"/>
        <v>#N/A</v>
      </c>
      <c r="AS175" s="385"/>
      <c r="AT175" s="182"/>
      <c r="AU175" s="166"/>
      <c r="AV175" s="166"/>
      <c r="AW175" s="182" t="e">
        <f t="shared" si="80"/>
        <v>#N/A</v>
      </c>
      <c r="AX175" s="385"/>
      <c r="AZ175" s="182" t="e">
        <f t="shared" si="82"/>
        <v>#N/A</v>
      </c>
      <c r="BA175" s="385"/>
    </row>
    <row r="176" spans="2:53">
      <c r="B176" s="395"/>
      <c r="C176" s="182">
        <v>30</v>
      </c>
      <c r="D176" s="182"/>
      <c r="E176" s="182"/>
      <c r="F176" s="182"/>
      <c r="G176" s="182"/>
      <c r="H176" s="386"/>
      <c r="I176" s="166" t="str">
        <f t="shared" si="84"/>
        <v>-</v>
      </c>
      <c r="J176" s="166" t="str">
        <f t="shared" si="85"/>
        <v>-</v>
      </c>
      <c r="K176" s="180" t="str">
        <f t="shared" si="86"/>
        <v>-</v>
      </c>
      <c r="L176" s="403"/>
      <c r="M176" s="166" t="e">
        <f>RANK(K176, K$147:$K$176)</f>
        <v>#VALUE!</v>
      </c>
      <c r="N176" s="389"/>
      <c r="O176" s="389"/>
      <c r="P176" s="182"/>
      <c r="Q176" s="166"/>
      <c r="R176" s="166"/>
      <c r="S176" s="182" t="e">
        <f t="shared" si="68"/>
        <v>#N/A</v>
      </c>
      <c r="T176" s="386"/>
      <c r="U176" s="182"/>
      <c r="V176" s="166"/>
      <c r="W176" s="166"/>
      <c r="X176" s="182" t="e">
        <f t="shared" si="70"/>
        <v>#N/A</v>
      </c>
      <c r="Y176" s="386"/>
      <c r="Z176" s="182"/>
      <c r="AA176" s="166"/>
      <c r="AB176" s="166"/>
      <c r="AC176" s="182" t="e">
        <f t="shared" si="72"/>
        <v>#N/A</v>
      </c>
      <c r="AD176" s="386"/>
      <c r="AE176" s="182"/>
      <c r="AF176" s="166"/>
      <c r="AG176" s="166"/>
      <c r="AH176" s="182" t="e">
        <f t="shared" si="74"/>
        <v>#N/A</v>
      </c>
      <c r="AI176" s="386"/>
      <c r="AJ176" s="182"/>
      <c r="AK176" s="166"/>
      <c r="AL176" s="166"/>
      <c r="AM176" s="182" t="e">
        <f t="shared" si="76"/>
        <v>#N/A</v>
      </c>
      <c r="AN176" s="386"/>
      <c r="AO176" s="182"/>
      <c r="AP176" s="166"/>
      <c r="AQ176" s="166"/>
      <c r="AR176" s="182" t="e">
        <f t="shared" si="78"/>
        <v>#N/A</v>
      </c>
      <c r="AS176" s="386"/>
      <c r="AT176" s="182"/>
      <c r="AU176" s="166"/>
      <c r="AV176" s="166"/>
      <c r="AW176" s="182" t="e">
        <f t="shared" si="80"/>
        <v>#N/A</v>
      </c>
      <c r="AX176" s="386"/>
      <c r="AZ176" s="182" t="e">
        <f t="shared" si="82"/>
        <v>#N/A</v>
      </c>
      <c r="BA176" s="386"/>
    </row>
    <row r="177" spans="2:53" ht="15.75">
      <c r="B177" s="414" t="s">
        <v>163</v>
      </c>
      <c r="C177" s="415"/>
      <c r="D177" s="415"/>
      <c r="E177" s="415"/>
      <c r="F177" s="415"/>
      <c r="G177" s="415"/>
      <c r="H177" s="415"/>
      <c r="I177" s="186"/>
      <c r="J177" s="186"/>
      <c r="K177" s="186"/>
      <c r="L177" s="186"/>
      <c r="M177" s="185"/>
      <c r="N177" s="391" t="s">
        <v>156</v>
      </c>
      <c r="O177" s="391" t="s">
        <v>105</v>
      </c>
      <c r="P177" s="413">
        <f>P142+7</f>
        <v>46175</v>
      </c>
      <c r="Q177" s="395"/>
      <c r="R177" s="395"/>
      <c r="S177" s="395"/>
      <c r="T177" s="395"/>
      <c r="U177" s="410">
        <f>P177+1</f>
        <v>46176</v>
      </c>
      <c r="V177" s="411"/>
      <c r="W177" s="411"/>
      <c r="X177" s="411"/>
      <c r="Y177" s="412"/>
      <c r="Z177" s="410">
        <f>U177+1</f>
        <v>46177</v>
      </c>
      <c r="AA177" s="411"/>
      <c r="AB177" s="411"/>
      <c r="AC177" s="411"/>
      <c r="AD177" s="412"/>
      <c r="AE177" s="410">
        <f>Z177+1</f>
        <v>46178</v>
      </c>
      <c r="AF177" s="411"/>
      <c r="AG177" s="411"/>
      <c r="AH177" s="411"/>
      <c r="AI177" s="412"/>
      <c r="AJ177" s="410">
        <f>AE177+1</f>
        <v>46179</v>
      </c>
      <c r="AK177" s="411"/>
      <c r="AL177" s="411"/>
      <c r="AM177" s="411"/>
      <c r="AN177" s="412"/>
      <c r="AO177" s="410">
        <f>AJ177+1</f>
        <v>46180</v>
      </c>
      <c r="AP177" s="411"/>
      <c r="AQ177" s="411"/>
      <c r="AR177" s="411"/>
      <c r="AS177" s="412"/>
      <c r="AT177" s="410">
        <f>AO177+1</f>
        <v>46181</v>
      </c>
      <c r="AU177" s="411"/>
      <c r="AV177" s="411"/>
      <c r="AW177" s="411"/>
      <c r="AX177" s="412"/>
    </row>
    <row r="178" spans="2:53" ht="15.75">
      <c r="B178" s="416"/>
      <c r="C178" s="416"/>
      <c r="D178" s="416"/>
      <c r="E178" s="416"/>
      <c r="F178" s="416"/>
      <c r="G178" s="416"/>
      <c r="H178" s="416"/>
      <c r="I178" s="184"/>
      <c r="J178" s="184"/>
      <c r="K178" s="184"/>
      <c r="L178" s="184"/>
      <c r="M178" s="179"/>
      <c r="N178" s="393"/>
      <c r="O178" s="393"/>
      <c r="P178" s="413" t="s">
        <v>158</v>
      </c>
      <c r="Q178" s="395"/>
      <c r="R178" s="395"/>
      <c r="S178" s="395"/>
      <c r="T178" s="395"/>
      <c r="U178" s="413" t="s">
        <v>114</v>
      </c>
      <c r="V178" s="395"/>
      <c r="W178" s="395"/>
      <c r="X178" s="395"/>
      <c r="Y178" s="395"/>
      <c r="Z178" s="413" t="s">
        <v>159</v>
      </c>
      <c r="AA178" s="395"/>
      <c r="AB178" s="395"/>
      <c r="AC178" s="395"/>
      <c r="AD178" s="395"/>
      <c r="AE178" s="413" t="s">
        <v>157</v>
      </c>
      <c r="AF178" s="395"/>
      <c r="AG178" s="395"/>
      <c r="AH178" s="395"/>
      <c r="AI178" s="395"/>
      <c r="AJ178" s="413" t="s">
        <v>160</v>
      </c>
      <c r="AK178" s="395"/>
      <c r="AL178" s="395"/>
      <c r="AM178" s="395"/>
      <c r="AN178" s="395"/>
      <c r="AO178" s="413" t="s">
        <v>115</v>
      </c>
      <c r="AP178" s="395"/>
      <c r="AQ178" s="395"/>
      <c r="AR178" s="395"/>
      <c r="AS178" s="395"/>
      <c r="AT178" s="413" t="s">
        <v>162</v>
      </c>
      <c r="AU178" s="395"/>
      <c r="AV178" s="395"/>
      <c r="AW178" s="395"/>
      <c r="AX178" s="395"/>
    </row>
    <row r="179" spans="2:53">
      <c r="B179" s="389" t="s">
        <v>154</v>
      </c>
      <c r="C179" s="389" t="s">
        <v>386</v>
      </c>
      <c r="D179" s="389"/>
      <c r="E179" s="389" t="s">
        <v>377</v>
      </c>
      <c r="F179" s="389"/>
      <c r="G179" s="389"/>
      <c r="H179" s="417" t="s">
        <v>373</v>
      </c>
      <c r="I179" s="389" t="s">
        <v>378</v>
      </c>
      <c r="J179" s="389"/>
      <c r="K179" s="389"/>
      <c r="L179" s="417" t="s">
        <v>373</v>
      </c>
      <c r="M179" s="391" t="s">
        <v>374</v>
      </c>
      <c r="N179" s="389"/>
      <c r="O179" s="389" t="s">
        <v>379</v>
      </c>
      <c r="P179" s="404" t="s">
        <v>375</v>
      </c>
      <c r="Q179" s="405"/>
      <c r="R179" s="405"/>
      <c r="S179" s="406"/>
      <c r="T179" s="389" t="s">
        <v>373</v>
      </c>
      <c r="U179" s="404" t="s">
        <v>375</v>
      </c>
      <c r="V179" s="405"/>
      <c r="W179" s="405"/>
      <c r="X179" s="406"/>
      <c r="Y179" s="389" t="s">
        <v>373</v>
      </c>
      <c r="Z179" s="404" t="s">
        <v>375</v>
      </c>
      <c r="AA179" s="405"/>
      <c r="AB179" s="405"/>
      <c r="AC179" s="406"/>
      <c r="AD179" s="389" t="s">
        <v>373</v>
      </c>
      <c r="AE179" s="404" t="s">
        <v>375</v>
      </c>
      <c r="AF179" s="405"/>
      <c r="AG179" s="405"/>
      <c r="AH179" s="406"/>
      <c r="AI179" s="389" t="s">
        <v>373</v>
      </c>
      <c r="AJ179" s="404" t="s">
        <v>375</v>
      </c>
      <c r="AK179" s="405"/>
      <c r="AL179" s="405"/>
      <c r="AM179" s="406"/>
      <c r="AN179" s="389" t="s">
        <v>373</v>
      </c>
      <c r="AO179" s="404" t="s">
        <v>375</v>
      </c>
      <c r="AP179" s="405"/>
      <c r="AQ179" s="405"/>
      <c r="AR179" s="406"/>
      <c r="AS179" s="389" t="s">
        <v>373</v>
      </c>
      <c r="AT179" s="407" t="s">
        <v>375</v>
      </c>
      <c r="AU179" s="408"/>
      <c r="AV179" s="408"/>
      <c r="AW179" s="409"/>
      <c r="AX179" s="387" t="s">
        <v>373</v>
      </c>
      <c r="BA179" s="387" t="s">
        <v>373</v>
      </c>
    </row>
    <row r="180" spans="2:53">
      <c r="B180" s="389"/>
      <c r="C180" s="389"/>
      <c r="D180" s="389"/>
      <c r="E180" s="389" t="s">
        <v>380</v>
      </c>
      <c r="F180" s="389"/>
      <c r="G180" s="389"/>
      <c r="H180" s="418"/>
      <c r="I180" s="389" t="s">
        <v>380</v>
      </c>
      <c r="J180" s="389"/>
      <c r="K180" s="389"/>
      <c r="L180" s="418"/>
      <c r="M180" s="392"/>
      <c r="N180" s="389"/>
      <c r="O180" s="389"/>
      <c r="P180" s="404" t="s">
        <v>381</v>
      </c>
      <c r="Q180" s="405"/>
      <c r="R180" s="405"/>
      <c r="S180" s="406"/>
      <c r="T180" s="389"/>
      <c r="U180" s="404" t="s">
        <v>381</v>
      </c>
      <c r="V180" s="405"/>
      <c r="W180" s="405"/>
      <c r="X180" s="406"/>
      <c r="Y180" s="389"/>
      <c r="Z180" s="404" t="s">
        <v>381</v>
      </c>
      <c r="AA180" s="405"/>
      <c r="AB180" s="405"/>
      <c r="AC180" s="406"/>
      <c r="AD180" s="389"/>
      <c r="AE180" s="404" t="s">
        <v>381</v>
      </c>
      <c r="AF180" s="405"/>
      <c r="AG180" s="405"/>
      <c r="AH180" s="406"/>
      <c r="AI180" s="389"/>
      <c r="AJ180" s="404" t="s">
        <v>381</v>
      </c>
      <c r="AK180" s="405"/>
      <c r="AL180" s="405"/>
      <c r="AM180" s="406"/>
      <c r="AN180" s="389"/>
      <c r="AO180" s="404" t="s">
        <v>381</v>
      </c>
      <c r="AP180" s="405"/>
      <c r="AQ180" s="405"/>
      <c r="AR180" s="406"/>
      <c r="AS180" s="389"/>
      <c r="AT180" s="407" t="s">
        <v>381</v>
      </c>
      <c r="AU180" s="408"/>
      <c r="AV180" s="408"/>
      <c r="AW180" s="409"/>
      <c r="AX180" s="387"/>
      <c r="BA180" s="387"/>
    </row>
    <row r="181" spans="2:53">
      <c r="B181" s="389"/>
      <c r="C181" s="389"/>
      <c r="D181" s="389"/>
      <c r="E181" s="258" t="s">
        <v>382</v>
      </c>
      <c r="F181" s="258" t="s">
        <v>383</v>
      </c>
      <c r="G181" s="258" t="s">
        <v>384</v>
      </c>
      <c r="H181" s="419"/>
      <c r="I181" s="258" t="s">
        <v>382</v>
      </c>
      <c r="J181" s="258" t="s">
        <v>383</v>
      </c>
      <c r="K181" s="258" t="s">
        <v>384</v>
      </c>
      <c r="L181" s="419"/>
      <c r="M181" s="393"/>
      <c r="N181" s="389"/>
      <c r="O181" s="389"/>
      <c r="P181" s="258" t="s">
        <v>382</v>
      </c>
      <c r="Q181" s="258" t="s">
        <v>383</v>
      </c>
      <c r="R181" s="258" t="s">
        <v>384</v>
      </c>
      <c r="S181" s="258" t="s">
        <v>374</v>
      </c>
      <c r="T181" s="389"/>
      <c r="U181" s="258" t="s">
        <v>382</v>
      </c>
      <c r="V181" s="258" t="s">
        <v>383</v>
      </c>
      <c r="W181" s="258" t="s">
        <v>384</v>
      </c>
      <c r="X181" s="258" t="s">
        <v>374</v>
      </c>
      <c r="Y181" s="389"/>
      <c r="Z181" s="258" t="s">
        <v>382</v>
      </c>
      <c r="AA181" s="258" t="s">
        <v>383</v>
      </c>
      <c r="AB181" s="258" t="s">
        <v>384</v>
      </c>
      <c r="AC181" s="258" t="s">
        <v>374</v>
      </c>
      <c r="AD181" s="389"/>
      <c r="AE181" s="258" t="s">
        <v>382</v>
      </c>
      <c r="AF181" s="258" t="s">
        <v>383</v>
      </c>
      <c r="AG181" s="258" t="s">
        <v>384</v>
      </c>
      <c r="AH181" s="258" t="s">
        <v>374</v>
      </c>
      <c r="AI181" s="389"/>
      <c r="AJ181" s="258" t="s">
        <v>382</v>
      </c>
      <c r="AK181" s="258" t="s">
        <v>383</v>
      </c>
      <c r="AL181" s="258" t="s">
        <v>384</v>
      </c>
      <c r="AM181" s="258" t="s">
        <v>374</v>
      </c>
      <c r="AN181" s="389"/>
      <c r="AO181" s="258" t="s">
        <v>382</v>
      </c>
      <c r="AP181" s="258" t="s">
        <v>383</v>
      </c>
      <c r="AQ181" s="258" t="s">
        <v>384</v>
      </c>
      <c r="AR181" s="258" t="s">
        <v>374</v>
      </c>
      <c r="AS181" s="389"/>
      <c r="AT181" s="313" t="s">
        <v>382</v>
      </c>
      <c r="AU181" s="313" t="s">
        <v>383</v>
      </c>
      <c r="AV181" s="313" t="s">
        <v>384</v>
      </c>
      <c r="AW181" s="313" t="s">
        <v>374</v>
      </c>
      <c r="AX181" s="387"/>
      <c r="AZ181" s="313" t="s">
        <v>374</v>
      </c>
      <c r="BA181" s="387"/>
    </row>
    <row r="182" spans="2:53">
      <c r="B182" s="394" t="s">
        <v>497</v>
      </c>
      <c r="C182" s="182">
        <v>1</v>
      </c>
      <c r="D182" s="182"/>
      <c r="E182" s="182"/>
      <c r="F182" s="182"/>
      <c r="G182" s="166"/>
      <c r="H182" s="401" t="e">
        <f>AVERAGE(G182:G211)</f>
        <v>#DIV/0!</v>
      </c>
      <c r="I182" s="166" t="str">
        <f>IFERROR(AVERAGE(P182,U182,Z182,AE182,AJ182,AO182,AT182),"-")</f>
        <v>-</v>
      </c>
      <c r="J182" s="166" t="str">
        <f>IFERROR(AVERAGE(Q182,V182,AA182,AF182,AK182,AP182,AU182),"-")</f>
        <v>-</v>
      </c>
      <c r="K182" s="180" t="str">
        <f>IFERROR(AVERAGE(R182,W182,AB182,AG182,AL182,AQ182,AV182),"-")</f>
        <v>-</v>
      </c>
      <c r="L182" s="401" t="str">
        <f>IFERROR(AVERAGE(K182:K211),"-")</f>
        <v>-</v>
      </c>
      <c r="M182" s="166" t="e">
        <f>RANK(K182, K$182:$K$211)</f>
        <v>#VALUE!</v>
      </c>
      <c r="N182" s="389"/>
      <c r="O182" s="389"/>
      <c r="P182" s="166"/>
      <c r="Q182" s="166"/>
      <c r="R182" s="166"/>
      <c r="S182" s="182" t="e">
        <f>RANK(R182, R$112:R$141)</f>
        <v>#N/A</v>
      </c>
      <c r="T182" s="390" t="e">
        <f>AVERAGE(R182:R211)</f>
        <v>#DIV/0!</v>
      </c>
      <c r="U182" s="166"/>
      <c r="V182" s="166"/>
      <c r="W182" s="166"/>
      <c r="X182" s="182" t="e">
        <f>RANK(W182, W$112:W$141)</f>
        <v>#N/A</v>
      </c>
      <c r="Y182" s="390" t="e">
        <f>AVERAGE(W182:W211)</f>
        <v>#DIV/0!</v>
      </c>
      <c r="Z182" s="166"/>
      <c r="AA182" s="166"/>
      <c r="AB182" s="166"/>
      <c r="AC182" s="182" t="e">
        <f>RANK(AB182, AB$112:AB$141)</f>
        <v>#N/A</v>
      </c>
      <c r="AD182" s="390" t="e">
        <f>AVERAGE(AB182:AB211)</f>
        <v>#DIV/0!</v>
      </c>
      <c r="AE182" s="166"/>
      <c r="AF182" s="166"/>
      <c r="AG182" s="166"/>
      <c r="AH182" s="182" t="e">
        <f>RANK(AG182, AG$112:AG$141)</f>
        <v>#N/A</v>
      </c>
      <c r="AI182" s="390" t="e">
        <f>AVERAGE(AG182:AG211)</f>
        <v>#DIV/0!</v>
      </c>
      <c r="AJ182" s="166"/>
      <c r="AK182" s="166"/>
      <c r="AL182" s="166"/>
      <c r="AM182" s="182" t="e">
        <f>RANK(AL182, AL$112:AL$141)</f>
        <v>#N/A</v>
      </c>
      <c r="AN182" s="390" t="e">
        <f>AVERAGE(AL182:AL211)</f>
        <v>#DIV/0!</v>
      </c>
      <c r="AO182" s="166"/>
      <c r="AP182" s="166"/>
      <c r="AQ182" s="166"/>
      <c r="AR182" s="182" t="e">
        <f>RANK(AQ182, AQ$112:AQ$141)</f>
        <v>#N/A</v>
      </c>
      <c r="AS182" s="390" t="e">
        <f>AVERAGE(AQ182:AQ211)</f>
        <v>#DIV/0!</v>
      </c>
      <c r="AT182" s="166"/>
      <c r="AU182" s="166"/>
      <c r="AV182" s="166"/>
      <c r="AW182" s="314" t="e">
        <f>RANK(AV182, AV$112:AV$141)</f>
        <v>#N/A</v>
      </c>
      <c r="AX182" s="388" t="e">
        <f>AVERAGE(AV182:AV211)</f>
        <v>#DIV/0!</v>
      </c>
      <c r="AZ182" s="314" t="e">
        <f>RANK(AY182, AY$112:AY$141)</f>
        <v>#N/A</v>
      </c>
      <c r="BA182" s="388" t="e">
        <f>AVERAGE(AY182:AY211)</f>
        <v>#DIV/0!</v>
      </c>
    </row>
    <row r="183" spans="2:53">
      <c r="B183" s="395"/>
      <c r="C183" s="182">
        <v>2</v>
      </c>
      <c r="D183" s="258"/>
      <c r="E183" s="182"/>
      <c r="F183" s="182"/>
      <c r="G183" s="166"/>
      <c r="H183" s="402"/>
      <c r="I183" s="166" t="str">
        <f t="shared" ref="I183:I211" si="87">IFERROR(AVERAGE(P183,U183,Z183,AE183,AJ183,AO183,AT183),"-")</f>
        <v>-</v>
      </c>
      <c r="J183" s="166" t="str">
        <f t="shared" ref="J183:J211" si="88">IFERROR(AVERAGE(Q183,V183,AA183,AF183,AK183,AP183,AU183),"-")</f>
        <v>-</v>
      </c>
      <c r="K183" s="180" t="str">
        <f t="shared" ref="K183:K211" si="89">IFERROR(AVERAGE(R183,W183,AB183,AG183,AL183,AQ183,AV183),"-")</f>
        <v>-</v>
      </c>
      <c r="L183" s="402"/>
      <c r="M183" s="166" t="e">
        <f>RANK(K183, K$182:$K$211)</f>
        <v>#VALUE!</v>
      </c>
      <c r="N183" s="389"/>
      <c r="O183" s="389"/>
      <c r="P183" s="166"/>
      <c r="Q183" s="166"/>
      <c r="R183" s="166"/>
      <c r="S183" s="182" t="e">
        <f t="shared" ref="S183:S211" si="90">RANK(R183, R$112:R$141)</f>
        <v>#N/A</v>
      </c>
      <c r="T183" s="390"/>
      <c r="U183" s="166"/>
      <c r="V183" s="166"/>
      <c r="W183" s="166"/>
      <c r="X183" s="182" t="e">
        <f t="shared" ref="X183:X211" si="91">RANK(W183, W$112:W$141)</f>
        <v>#N/A</v>
      </c>
      <c r="Y183" s="390"/>
      <c r="Z183" s="166"/>
      <c r="AA183" s="166"/>
      <c r="AB183" s="166"/>
      <c r="AC183" s="182" t="e">
        <f t="shared" ref="AC183:AC211" si="92">RANK(AB183, AB$112:AB$141)</f>
        <v>#N/A</v>
      </c>
      <c r="AD183" s="390"/>
      <c r="AE183" s="166"/>
      <c r="AF183" s="166"/>
      <c r="AG183" s="166"/>
      <c r="AH183" s="182" t="e">
        <f t="shared" ref="AH183:AH211" si="93">RANK(AG183, AG$112:AG$141)</f>
        <v>#N/A</v>
      </c>
      <c r="AI183" s="390"/>
      <c r="AJ183" s="166"/>
      <c r="AK183" s="166"/>
      <c r="AL183" s="166"/>
      <c r="AM183" s="182" t="e">
        <f t="shared" ref="AM183:AM211" si="94">RANK(AL183, AL$112:AL$141)</f>
        <v>#N/A</v>
      </c>
      <c r="AN183" s="390"/>
      <c r="AO183" s="166"/>
      <c r="AP183" s="166"/>
      <c r="AQ183" s="166"/>
      <c r="AR183" s="182" t="e">
        <f t="shared" ref="AR183:AR211" si="95">RANK(AQ183, AQ$112:AQ$141)</f>
        <v>#N/A</v>
      </c>
      <c r="AS183" s="390"/>
      <c r="AT183" s="166"/>
      <c r="AU183" s="166"/>
      <c r="AV183" s="166"/>
      <c r="AW183" s="314" t="e">
        <f t="shared" ref="AW183:AW211" si="96">RANK(AV183, AV$112:AV$141)</f>
        <v>#N/A</v>
      </c>
      <c r="AX183" s="388"/>
      <c r="AZ183" s="314" t="e">
        <f t="shared" ref="AZ183:AZ211" si="97">RANK(AY183, AY$112:AY$141)</f>
        <v>#N/A</v>
      </c>
      <c r="BA183" s="388"/>
    </row>
    <row r="184" spans="2:53">
      <c r="B184" s="395"/>
      <c r="C184" s="182">
        <v>3</v>
      </c>
      <c r="D184" s="182"/>
      <c r="E184" s="182"/>
      <c r="F184" s="182"/>
      <c r="G184" s="166"/>
      <c r="H184" s="402"/>
      <c r="I184" s="166" t="str">
        <f t="shared" si="87"/>
        <v>-</v>
      </c>
      <c r="J184" s="166" t="str">
        <f t="shared" si="88"/>
        <v>-</v>
      </c>
      <c r="K184" s="180" t="str">
        <f t="shared" si="89"/>
        <v>-</v>
      </c>
      <c r="L184" s="402"/>
      <c r="M184" s="166" t="e">
        <f>RANK(K184, K$182:$K$211)</f>
        <v>#VALUE!</v>
      </c>
      <c r="N184" s="389"/>
      <c r="O184" s="389"/>
      <c r="P184" s="166"/>
      <c r="Q184" s="166"/>
      <c r="R184" s="166"/>
      <c r="S184" s="182" t="e">
        <f t="shared" si="90"/>
        <v>#N/A</v>
      </c>
      <c r="T184" s="390"/>
      <c r="U184" s="166"/>
      <c r="V184" s="166"/>
      <c r="W184" s="166"/>
      <c r="X184" s="182" t="e">
        <f t="shared" si="91"/>
        <v>#N/A</v>
      </c>
      <c r="Y184" s="390"/>
      <c r="Z184" s="166"/>
      <c r="AA184" s="166"/>
      <c r="AB184" s="166"/>
      <c r="AC184" s="182" t="e">
        <f t="shared" si="92"/>
        <v>#N/A</v>
      </c>
      <c r="AD184" s="390"/>
      <c r="AE184" s="166"/>
      <c r="AF184" s="166"/>
      <c r="AG184" s="166"/>
      <c r="AH184" s="182" t="e">
        <f t="shared" si="93"/>
        <v>#N/A</v>
      </c>
      <c r="AI184" s="390"/>
      <c r="AJ184" s="166"/>
      <c r="AK184" s="166"/>
      <c r="AL184" s="166"/>
      <c r="AM184" s="182" t="e">
        <f t="shared" si="94"/>
        <v>#N/A</v>
      </c>
      <c r="AN184" s="390"/>
      <c r="AO184" s="166"/>
      <c r="AP184" s="166"/>
      <c r="AQ184" s="166"/>
      <c r="AR184" s="182" t="e">
        <f t="shared" si="95"/>
        <v>#N/A</v>
      </c>
      <c r="AS184" s="390"/>
      <c r="AT184" s="166"/>
      <c r="AU184" s="166"/>
      <c r="AV184" s="166"/>
      <c r="AW184" s="314" t="e">
        <f t="shared" si="96"/>
        <v>#N/A</v>
      </c>
      <c r="AX184" s="388"/>
      <c r="AZ184" s="314" t="e">
        <f t="shared" si="97"/>
        <v>#N/A</v>
      </c>
      <c r="BA184" s="388"/>
    </row>
    <row r="185" spans="2:53">
      <c r="B185" s="395"/>
      <c r="C185" s="182">
        <v>4</v>
      </c>
      <c r="D185" s="182"/>
      <c r="E185" s="182"/>
      <c r="F185" s="182"/>
      <c r="G185" s="166"/>
      <c r="H185" s="402"/>
      <c r="I185" s="166" t="str">
        <f t="shared" si="87"/>
        <v>-</v>
      </c>
      <c r="J185" s="166" t="str">
        <f t="shared" si="88"/>
        <v>-</v>
      </c>
      <c r="K185" s="180" t="str">
        <f t="shared" si="89"/>
        <v>-</v>
      </c>
      <c r="L185" s="402"/>
      <c r="M185" s="166" t="e">
        <f>RANK(K185, K$182:$K$211)</f>
        <v>#VALUE!</v>
      </c>
      <c r="N185" s="389"/>
      <c r="O185" s="389"/>
      <c r="P185" s="166"/>
      <c r="Q185" s="166"/>
      <c r="R185" s="166"/>
      <c r="S185" s="182" t="e">
        <f t="shared" si="90"/>
        <v>#N/A</v>
      </c>
      <c r="T185" s="390"/>
      <c r="U185" s="166"/>
      <c r="V185" s="166"/>
      <c r="W185" s="166"/>
      <c r="X185" s="182" t="e">
        <f t="shared" si="91"/>
        <v>#N/A</v>
      </c>
      <c r="Y185" s="390"/>
      <c r="Z185" s="166"/>
      <c r="AA185" s="166"/>
      <c r="AB185" s="166"/>
      <c r="AC185" s="182" t="e">
        <f t="shared" si="92"/>
        <v>#N/A</v>
      </c>
      <c r="AD185" s="390"/>
      <c r="AE185" s="166"/>
      <c r="AF185" s="166"/>
      <c r="AG185" s="166"/>
      <c r="AH185" s="182" t="e">
        <f t="shared" si="93"/>
        <v>#N/A</v>
      </c>
      <c r="AI185" s="390"/>
      <c r="AJ185" s="166"/>
      <c r="AK185" s="166"/>
      <c r="AL185" s="166"/>
      <c r="AM185" s="182" t="e">
        <f t="shared" si="94"/>
        <v>#N/A</v>
      </c>
      <c r="AN185" s="390"/>
      <c r="AO185" s="166"/>
      <c r="AP185" s="166"/>
      <c r="AQ185" s="166"/>
      <c r="AR185" s="182" t="e">
        <f t="shared" si="95"/>
        <v>#N/A</v>
      </c>
      <c r="AS185" s="390"/>
      <c r="AT185" s="166"/>
      <c r="AU185" s="166"/>
      <c r="AV185" s="166"/>
      <c r="AW185" s="314" t="e">
        <f t="shared" si="96"/>
        <v>#N/A</v>
      </c>
      <c r="AX185" s="388"/>
      <c r="AZ185" s="314" t="e">
        <f t="shared" si="97"/>
        <v>#N/A</v>
      </c>
      <c r="BA185" s="388"/>
    </row>
    <row r="186" spans="2:53">
      <c r="B186" s="395"/>
      <c r="C186" s="182">
        <v>5</v>
      </c>
      <c r="D186" s="182"/>
      <c r="E186" s="182"/>
      <c r="F186" s="182"/>
      <c r="G186" s="166"/>
      <c r="H186" s="402"/>
      <c r="I186" s="166" t="str">
        <f t="shared" si="87"/>
        <v>-</v>
      </c>
      <c r="J186" s="166" t="str">
        <f t="shared" si="88"/>
        <v>-</v>
      </c>
      <c r="K186" s="180" t="str">
        <f t="shared" si="89"/>
        <v>-</v>
      </c>
      <c r="L186" s="402"/>
      <c r="M186" s="166" t="e">
        <f>RANK(K186, K$182:$K$211)</f>
        <v>#VALUE!</v>
      </c>
      <c r="N186" s="389"/>
      <c r="O186" s="389"/>
      <c r="P186" s="166"/>
      <c r="Q186" s="166"/>
      <c r="R186" s="166"/>
      <c r="S186" s="182" t="e">
        <f t="shared" si="90"/>
        <v>#N/A</v>
      </c>
      <c r="T186" s="390"/>
      <c r="U186" s="166"/>
      <c r="V186" s="166"/>
      <c r="W186" s="166"/>
      <c r="X186" s="182" t="e">
        <f t="shared" si="91"/>
        <v>#N/A</v>
      </c>
      <c r="Y186" s="390"/>
      <c r="Z186" s="166"/>
      <c r="AA186" s="166"/>
      <c r="AB186" s="166"/>
      <c r="AC186" s="182" t="e">
        <f t="shared" si="92"/>
        <v>#N/A</v>
      </c>
      <c r="AD186" s="390"/>
      <c r="AE186" s="166"/>
      <c r="AF186" s="166"/>
      <c r="AG186" s="166"/>
      <c r="AH186" s="182" t="e">
        <f t="shared" si="93"/>
        <v>#N/A</v>
      </c>
      <c r="AI186" s="390"/>
      <c r="AJ186" s="166"/>
      <c r="AK186" s="166"/>
      <c r="AL186" s="166"/>
      <c r="AM186" s="182" t="e">
        <f t="shared" si="94"/>
        <v>#N/A</v>
      </c>
      <c r="AN186" s="390"/>
      <c r="AO186" s="166"/>
      <c r="AP186" s="166"/>
      <c r="AQ186" s="166"/>
      <c r="AR186" s="182" t="e">
        <f t="shared" si="95"/>
        <v>#N/A</v>
      </c>
      <c r="AS186" s="390"/>
      <c r="AT186" s="166"/>
      <c r="AU186" s="166"/>
      <c r="AV186" s="166"/>
      <c r="AW186" s="314" t="e">
        <f t="shared" si="96"/>
        <v>#N/A</v>
      </c>
      <c r="AX186" s="388"/>
      <c r="AZ186" s="314" t="e">
        <f t="shared" si="97"/>
        <v>#N/A</v>
      </c>
      <c r="BA186" s="388"/>
    </row>
    <row r="187" spans="2:53">
      <c r="B187" s="395"/>
      <c r="C187" s="182">
        <v>6</v>
      </c>
      <c r="D187" s="182"/>
      <c r="E187" s="182"/>
      <c r="F187" s="182"/>
      <c r="G187" s="166"/>
      <c r="H187" s="402"/>
      <c r="I187" s="166" t="str">
        <f t="shared" si="87"/>
        <v>-</v>
      </c>
      <c r="J187" s="166" t="str">
        <f t="shared" si="88"/>
        <v>-</v>
      </c>
      <c r="K187" s="180" t="str">
        <f t="shared" si="89"/>
        <v>-</v>
      </c>
      <c r="L187" s="402"/>
      <c r="M187" s="166" t="e">
        <f>RANK(K187, K$182:$K$211)</f>
        <v>#VALUE!</v>
      </c>
      <c r="N187" s="389"/>
      <c r="O187" s="389"/>
      <c r="P187" s="166"/>
      <c r="Q187" s="166"/>
      <c r="R187" s="166"/>
      <c r="S187" s="182" t="e">
        <f t="shared" si="90"/>
        <v>#N/A</v>
      </c>
      <c r="T187" s="390"/>
      <c r="U187" s="166"/>
      <c r="V187" s="166"/>
      <c r="W187" s="166"/>
      <c r="X187" s="182" t="e">
        <f t="shared" si="91"/>
        <v>#N/A</v>
      </c>
      <c r="Y187" s="390"/>
      <c r="Z187" s="166"/>
      <c r="AA187" s="166"/>
      <c r="AB187" s="166"/>
      <c r="AC187" s="182" t="e">
        <f t="shared" si="92"/>
        <v>#N/A</v>
      </c>
      <c r="AD187" s="390"/>
      <c r="AE187" s="166"/>
      <c r="AF187" s="166"/>
      <c r="AG187" s="166"/>
      <c r="AH187" s="182" t="e">
        <f t="shared" si="93"/>
        <v>#N/A</v>
      </c>
      <c r="AI187" s="390"/>
      <c r="AJ187" s="166"/>
      <c r="AK187" s="166"/>
      <c r="AL187" s="166"/>
      <c r="AM187" s="182" t="e">
        <f t="shared" si="94"/>
        <v>#N/A</v>
      </c>
      <c r="AN187" s="390"/>
      <c r="AO187" s="166"/>
      <c r="AP187" s="166"/>
      <c r="AQ187" s="166"/>
      <c r="AR187" s="182" t="e">
        <f t="shared" si="95"/>
        <v>#N/A</v>
      </c>
      <c r="AS187" s="390"/>
      <c r="AT187" s="166"/>
      <c r="AU187" s="166"/>
      <c r="AV187" s="166"/>
      <c r="AW187" s="314" t="e">
        <f t="shared" si="96"/>
        <v>#N/A</v>
      </c>
      <c r="AX187" s="388"/>
      <c r="AZ187" s="314" t="e">
        <f t="shared" si="97"/>
        <v>#N/A</v>
      </c>
      <c r="BA187" s="388"/>
    </row>
    <row r="188" spans="2:53">
      <c r="B188" s="395"/>
      <c r="C188" s="182">
        <v>7</v>
      </c>
      <c r="D188" s="182"/>
      <c r="E188" s="182"/>
      <c r="F188" s="182"/>
      <c r="G188" s="166"/>
      <c r="H188" s="402"/>
      <c r="I188" s="166" t="str">
        <f t="shared" si="87"/>
        <v>-</v>
      </c>
      <c r="J188" s="166" t="str">
        <f t="shared" si="88"/>
        <v>-</v>
      </c>
      <c r="K188" s="180" t="str">
        <f t="shared" si="89"/>
        <v>-</v>
      </c>
      <c r="L188" s="402"/>
      <c r="M188" s="166" t="e">
        <f>RANK(K188, K$182:$K$211)</f>
        <v>#VALUE!</v>
      </c>
      <c r="N188" s="389"/>
      <c r="O188" s="389"/>
      <c r="P188" s="166"/>
      <c r="Q188" s="166"/>
      <c r="R188" s="166"/>
      <c r="S188" s="182" t="e">
        <f t="shared" si="90"/>
        <v>#N/A</v>
      </c>
      <c r="T188" s="390"/>
      <c r="U188" s="166"/>
      <c r="V188" s="166"/>
      <c r="W188" s="166"/>
      <c r="X188" s="182" t="e">
        <f t="shared" si="91"/>
        <v>#N/A</v>
      </c>
      <c r="Y188" s="390"/>
      <c r="Z188" s="166"/>
      <c r="AA188" s="166"/>
      <c r="AB188" s="166"/>
      <c r="AC188" s="182" t="e">
        <f t="shared" si="92"/>
        <v>#N/A</v>
      </c>
      <c r="AD188" s="390"/>
      <c r="AE188" s="166"/>
      <c r="AF188" s="166"/>
      <c r="AG188" s="166"/>
      <c r="AH188" s="182" t="e">
        <f t="shared" si="93"/>
        <v>#N/A</v>
      </c>
      <c r="AI188" s="390"/>
      <c r="AJ188" s="166"/>
      <c r="AK188" s="166"/>
      <c r="AL188" s="166"/>
      <c r="AM188" s="182" t="e">
        <f t="shared" si="94"/>
        <v>#N/A</v>
      </c>
      <c r="AN188" s="390"/>
      <c r="AO188" s="166"/>
      <c r="AP188" s="166"/>
      <c r="AQ188" s="166"/>
      <c r="AR188" s="182" t="e">
        <f t="shared" si="95"/>
        <v>#N/A</v>
      </c>
      <c r="AS188" s="390"/>
      <c r="AT188" s="166"/>
      <c r="AU188" s="166"/>
      <c r="AV188" s="166"/>
      <c r="AW188" s="314" t="e">
        <f t="shared" si="96"/>
        <v>#N/A</v>
      </c>
      <c r="AX188" s="388"/>
      <c r="AZ188" s="314" t="e">
        <f t="shared" si="97"/>
        <v>#N/A</v>
      </c>
      <c r="BA188" s="388"/>
    </row>
    <row r="189" spans="2:53">
      <c r="B189" s="395"/>
      <c r="C189" s="182">
        <v>8</v>
      </c>
      <c r="D189" s="182"/>
      <c r="E189" s="182"/>
      <c r="F189" s="182"/>
      <c r="G189" s="166"/>
      <c r="H189" s="402"/>
      <c r="I189" s="166" t="str">
        <f t="shared" si="87"/>
        <v>-</v>
      </c>
      <c r="J189" s="166" t="str">
        <f t="shared" si="88"/>
        <v>-</v>
      </c>
      <c r="K189" s="180" t="str">
        <f t="shared" si="89"/>
        <v>-</v>
      </c>
      <c r="L189" s="402"/>
      <c r="M189" s="166" t="e">
        <f>RANK(K189, K$182:$K$211)</f>
        <v>#VALUE!</v>
      </c>
      <c r="N189" s="389"/>
      <c r="O189" s="389"/>
      <c r="P189" s="166"/>
      <c r="Q189" s="166"/>
      <c r="R189" s="166"/>
      <c r="S189" s="182" t="e">
        <f t="shared" si="90"/>
        <v>#N/A</v>
      </c>
      <c r="T189" s="390"/>
      <c r="U189" s="166"/>
      <c r="V189" s="166"/>
      <c r="W189" s="166"/>
      <c r="X189" s="182" t="e">
        <f t="shared" si="91"/>
        <v>#N/A</v>
      </c>
      <c r="Y189" s="390"/>
      <c r="Z189" s="166"/>
      <c r="AA189" s="166"/>
      <c r="AB189" s="166"/>
      <c r="AC189" s="182" t="e">
        <f t="shared" si="92"/>
        <v>#N/A</v>
      </c>
      <c r="AD189" s="390"/>
      <c r="AE189" s="166"/>
      <c r="AF189" s="166"/>
      <c r="AG189" s="166"/>
      <c r="AH189" s="182" t="e">
        <f t="shared" si="93"/>
        <v>#N/A</v>
      </c>
      <c r="AI189" s="390"/>
      <c r="AJ189" s="166"/>
      <c r="AK189" s="166"/>
      <c r="AL189" s="166"/>
      <c r="AM189" s="182" t="e">
        <f t="shared" si="94"/>
        <v>#N/A</v>
      </c>
      <c r="AN189" s="390"/>
      <c r="AO189" s="166"/>
      <c r="AP189" s="166"/>
      <c r="AQ189" s="166"/>
      <c r="AR189" s="182" t="e">
        <f t="shared" si="95"/>
        <v>#N/A</v>
      </c>
      <c r="AS189" s="390"/>
      <c r="AT189" s="166"/>
      <c r="AU189" s="166"/>
      <c r="AV189" s="166"/>
      <c r="AW189" s="314" t="e">
        <f t="shared" si="96"/>
        <v>#N/A</v>
      </c>
      <c r="AX189" s="388"/>
      <c r="AZ189" s="314" t="e">
        <f t="shared" si="97"/>
        <v>#N/A</v>
      </c>
      <c r="BA189" s="388"/>
    </row>
    <row r="190" spans="2:53">
      <c r="B190" s="395"/>
      <c r="C190" s="182">
        <v>9</v>
      </c>
      <c r="D190" s="182"/>
      <c r="E190" s="182"/>
      <c r="F190" s="182"/>
      <c r="G190" s="166"/>
      <c r="H190" s="402"/>
      <c r="I190" s="166" t="str">
        <f t="shared" si="87"/>
        <v>-</v>
      </c>
      <c r="J190" s="166" t="str">
        <f t="shared" si="88"/>
        <v>-</v>
      </c>
      <c r="K190" s="180" t="str">
        <f t="shared" si="89"/>
        <v>-</v>
      </c>
      <c r="L190" s="402"/>
      <c r="M190" s="166" t="e">
        <f>RANK(K190, K$182:$K$211)</f>
        <v>#VALUE!</v>
      </c>
      <c r="N190" s="389"/>
      <c r="O190" s="389"/>
      <c r="P190" s="166"/>
      <c r="Q190" s="166"/>
      <c r="R190" s="166"/>
      <c r="S190" s="182" t="e">
        <f t="shared" si="90"/>
        <v>#N/A</v>
      </c>
      <c r="T190" s="390"/>
      <c r="U190" s="166"/>
      <c r="V190" s="166"/>
      <c r="W190" s="166"/>
      <c r="X190" s="182" t="e">
        <f t="shared" si="91"/>
        <v>#N/A</v>
      </c>
      <c r="Y190" s="390"/>
      <c r="Z190" s="166"/>
      <c r="AA190" s="166"/>
      <c r="AB190" s="166"/>
      <c r="AC190" s="182" t="e">
        <f t="shared" si="92"/>
        <v>#N/A</v>
      </c>
      <c r="AD190" s="390"/>
      <c r="AE190" s="166"/>
      <c r="AF190" s="166"/>
      <c r="AG190" s="166"/>
      <c r="AH190" s="182" t="e">
        <f t="shared" si="93"/>
        <v>#N/A</v>
      </c>
      <c r="AI190" s="390"/>
      <c r="AJ190" s="166"/>
      <c r="AK190" s="166"/>
      <c r="AL190" s="166"/>
      <c r="AM190" s="182" t="e">
        <f t="shared" si="94"/>
        <v>#N/A</v>
      </c>
      <c r="AN190" s="390"/>
      <c r="AO190" s="166"/>
      <c r="AP190" s="166"/>
      <c r="AQ190" s="166"/>
      <c r="AR190" s="182" t="e">
        <f t="shared" si="95"/>
        <v>#N/A</v>
      </c>
      <c r="AS190" s="390"/>
      <c r="AT190" s="166"/>
      <c r="AU190" s="166"/>
      <c r="AV190" s="166"/>
      <c r="AW190" s="314" t="e">
        <f t="shared" si="96"/>
        <v>#N/A</v>
      </c>
      <c r="AX190" s="388"/>
      <c r="AZ190" s="314" t="e">
        <f t="shared" si="97"/>
        <v>#N/A</v>
      </c>
      <c r="BA190" s="388"/>
    </row>
    <row r="191" spans="2:53">
      <c r="B191" s="395"/>
      <c r="C191" s="182">
        <v>10</v>
      </c>
      <c r="D191" s="182"/>
      <c r="E191" s="182"/>
      <c r="F191" s="182"/>
      <c r="G191" s="166"/>
      <c r="H191" s="402"/>
      <c r="I191" s="166" t="str">
        <f t="shared" si="87"/>
        <v>-</v>
      </c>
      <c r="J191" s="166" t="str">
        <f t="shared" si="88"/>
        <v>-</v>
      </c>
      <c r="K191" s="180" t="str">
        <f t="shared" si="89"/>
        <v>-</v>
      </c>
      <c r="L191" s="402"/>
      <c r="M191" s="166" t="e">
        <f>RANK(K191, K$182:$K$211)</f>
        <v>#VALUE!</v>
      </c>
      <c r="N191" s="389"/>
      <c r="O191" s="389"/>
      <c r="P191" s="166"/>
      <c r="Q191" s="166"/>
      <c r="R191" s="166"/>
      <c r="S191" s="182" t="e">
        <f t="shared" si="90"/>
        <v>#N/A</v>
      </c>
      <c r="T191" s="390"/>
      <c r="U191" s="166"/>
      <c r="V191" s="166"/>
      <c r="W191" s="166"/>
      <c r="X191" s="182" t="e">
        <f t="shared" si="91"/>
        <v>#N/A</v>
      </c>
      <c r="Y191" s="390"/>
      <c r="Z191" s="166"/>
      <c r="AA191" s="166"/>
      <c r="AB191" s="166"/>
      <c r="AC191" s="182" t="e">
        <f t="shared" si="92"/>
        <v>#N/A</v>
      </c>
      <c r="AD191" s="390"/>
      <c r="AE191" s="166"/>
      <c r="AF191" s="166"/>
      <c r="AG191" s="166"/>
      <c r="AH191" s="182" t="e">
        <f t="shared" si="93"/>
        <v>#N/A</v>
      </c>
      <c r="AI191" s="390"/>
      <c r="AJ191" s="166"/>
      <c r="AK191" s="166"/>
      <c r="AL191" s="166"/>
      <c r="AM191" s="182" t="e">
        <f t="shared" si="94"/>
        <v>#N/A</v>
      </c>
      <c r="AN191" s="390"/>
      <c r="AO191" s="166"/>
      <c r="AP191" s="166"/>
      <c r="AQ191" s="166"/>
      <c r="AR191" s="182" t="e">
        <f t="shared" si="95"/>
        <v>#N/A</v>
      </c>
      <c r="AS191" s="390"/>
      <c r="AT191" s="166"/>
      <c r="AU191" s="166"/>
      <c r="AV191" s="166"/>
      <c r="AW191" s="314" t="e">
        <f t="shared" si="96"/>
        <v>#N/A</v>
      </c>
      <c r="AX191" s="388"/>
      <c r="AZ191" s="314" t="e">
        <f t="shared" si="97"/>
        <v>#N/A</v>
      </c>
      <c r="BA191" s="388"/>
    </row>
    <row r="192" spans="2:53">
      <c r="B192" s="395"/>
      <c r="C192" s="182">
        <v>11</v>
      </c>
      <c r="D192" s="182"/>
      <c r="E192" s="182"/>
      <c r="F192" s="182"/>
      <c r="G192" s="166"/>
      <c r="H192" s="402"/>
      <c r="I192" s="166" t="str">
        <f t="shared" si="87"/>
        <v>-</v>
      </c>
      <c r="J192" s="166" t="str">
        <f t="shared" si="88"/>
        <v>-</v>
      </c>
      <c r="K192" s="180" t="str">
        <f t="shared" si="89"/>
        <v>-</v>
      </c>
      <c r="L192" s="402"/>
      <c r="M192" s="166" t="e">
        <f>RANK(K192, K$182:$K$211)</f>
        <v>#VALUE!</v>
      </c>
      <c r="N192" s="389"/>
      <c r="O192" s="389"/>
      <c r="P192" s="166"/>
      <c r="Q192" s="166"/>
      <c r="R192" s="166"/>
      <c r="S192" s="182" t="e">
        <f t="shared" si="90"/>
        <v>#N/A</v>
      </c>
      <c r="T192" s="390"/>
      <c r="U192" s="166"/>
      <c r="V192" s="166"/>
      <c r="W192" s="166"/>
      <c r="X192" s="182" t="e">
        <f t="shared" si="91"/>
        <v>#N/A</v>
      </c>
      <c r="Y192" s="390"/>
      <c r="Z192" s="166"/>
      <c r="AA192" s="166"/>
      <c r="AB192" s="166"/>
      <c r="AC192" s="182" t="e">
        <f t="shared" si="92"/>
        <v>#N/A</v>
      </c>
      <c r="AD192" s="390"/>
      <c r="AE192" s="166"/>
      <c r="AF192" s="166"/>
      <c r="AG192" s="166"/>
      <c r="AH192" s="182" t="e">
        <f t="shared" si="93"/>
        <v>#N/A</v>
      </c>
      <c r="AI192" s="390"/>
      <c r="AJ192" s="166"/>
      <c r="AK192" s="166"/>
      <c r="AL192" s="166"/>
      <c r="AM192" s="182" t="e">
        <f t="shared" si="94"/>
        <v>#N/A</v>
      </c>
      <c r="AN192" s="390"/>
      <c r="AO192" s="166"/>
      <c r="AP192" s="166"/>
      <c r="AQ192" s="166"/>
      <c r="AR192" s="182" t="e">
        <f t="shared" si="95"/>
        <v>#N/A</v>
      </c>
      <c r="AS192" s="390"/>
      <c r="AT192" s="166"/>
      <c r="AU192" s="166"/>
      <c r="AV192" s="166"/>
      <c r="AW192" s="314" t="e">
        <f t="shared" si="96"/>
        <v>#N/A</v>
      </c>
      <c r="AX192" s="388"/>
      <c r="AZ192" s="314" t="e">
        <f t="shared" si="97"/>
        <v>#N/A</v>
      </c>
      <c r="BA192" s="388"/>
    </row>
    <row r="193" spans="2:53">
      <c r="B193" s="395"/>
      <c r="C193" s="182">
        <v>12</v>
      </c>
      <c r="D193" s="182"/>
      <c r="E193" s="182"/>
      <c r="F193" s="182"/>
      <c r="G193" s="166"/>
      <c r="H193" s="402"/>
      <c r="I193" s="166" t="str">
        <f t="shared" si="87"/>
        <v>-</v>
      </c>
      <c r="J193" s="166" t="str">
        <f t="shared" si="88"/>
        <v>-</v>
      </c>
      <c r="K193" s="180" t="str">
        <f t="shared" si="89"/>
        <v>-</v>
      </c>
      <c r="L193" s="402"/>
      <c r="M193" s="166" t="e">
        <f>RANK(K193, K$182:$K$211)</f>
        <v>#VALUE!</v>
      </c>
      <c r="N193" s="389"/>
      <c r="O193" s="389"/>
      <c r="P193" s="166"/>
      <c r="Q193" s="166"/>
      <c r="R193" s="166"/>
      <c r="S193" s="182" t="e">
        <f t="shared" si="90"/>
        <v>#N/A</v>
      </c>
      <c r="T193" s="390"/>
      <c r="U193" s="166"/>
      <c r="V193" s="166"/>
      <c r="W193" s="166"/>
      <c r="X193" s="182" t="e">
        <f t="shared" si="91"/>
        <v>#N/A</v>
      </c>
      <c r="Y193" s="390"/>
      <c r="Z193" s="166"/>
      <c r="AA193" s="166"/>
      <c r="AB193" s="166"/>
      <c r="AC193" s="182" t="e">
        <f t="shared" si="92"/>
        <v>#N/A</v>
      </c>
      <c r="AD193" s="390"/>
      <c r="AE193" s="166"/>
      <c r="AF193" s="166"/>
      <c r="AG193" s="166"/>
      <c r="AH193" s="182" t="e">
        <f t="shared" si="93"/>
        <v>#N/A</v>
      </c>
      <c r="AI193" s="390"/>
      <c r="AJ193" s="166"/>
      <c r="AK193" s="166"/>
      <c r="AL193" s="166"/>
      <c r="AM193" s="182" t="e">
        <f t="shared" si="94"/>
        <v>#N/A</v>
      </c>
      <c r="AN193" s="390"/>
      <c r="AO193" s="166"/>
      <c r="AP193" s="166"/>
      <c r="AQ193" s="166"/>
      <c r="AR193" s="182" t="e">
        <f t="shared" si="95"/>
        <v>#N/A</v>
      </c>
      <c r="AS193" s="390"/>
      <c r="AT193" s="166"/>
      <c r="AU193" s="166"/>
      <c r="AV193" s="166"/>
      <c r="AW193" s="314" t="e">
        <f t="shared" si="96"/>
        <v>#N/A</v>
      </c>
      <c r="AX193" s="388"/>
      <c r="AZ193" s="314" t="e">
        <f t="shared" si="97"/>
        <v>#N/A</v>
      </c>
      <c r="BA193" s="388"/>
    </row>
    <row r="194" spans="2:53">
      <c r="B194" s="395"/>
      <c r="C194" s="182">
        <v>13</v>
      </c>
      <c r="D194" s="182"/>
      <c r="E194" s="182"/>
      <c r="F194" s="182"/>
      <c r="G194" s="166"/>
      <c r="H194" s="402"/>
      <c r="I194" s="166" t="str">
        <f t="shared" si="87"/>
        <v>-</v>
      </c>
      <c r="J194" s="166" t="str">
        <f t="shared" si="88"/>
        <v>-</v>
      </c>
      <c r="K194" s="180" t="str">
        <f t="shared" si="89"/>
        <v>-</v>
      </c>
      <c r="L194" s="402"/>
      <c r="M194" s="166" t="e">
        <f>RANK(K194, K$182:$K$211)</f>
        <v>#VALUE!</v>
      </c>
      <c r="N194" s="389"/>
      <c r="O194" s="389"/>
      <c r="P194" s="166"/>
      <c r="Q194" s="166"/>
      <c r="R194" s="166"/>
      <c r="S194" s="182" t="e">
        <f t="shared" si="90"/>
        <v>#N/A</v>
      </c>
      <c r="T194" s="390"/>
      <c r="U194" s="166"/>
      <c r="V194" s="166"/>
      <c r="W194" s="166"/>
      <c r="X194" s="182" t="e">
        <f t="shared" si="91"/>
        <v>#N/A</v>
      </c>
      <c r="Y194" s="390"/>
      <c r="Z194" s="166"/>
      <c r="AA194" s="166"/>
      <c r="AB194" s="166"/>
      <c r="AC194" s="182" t="e">
        <f t="shared" si="92"/>
        <v>#N/A</v>
      </c>
      <c r="AD194" s="390"/>
      <c r="AE194" s="166"/>
      <c r="AF194" s="166"/>
      <c r="AG194" s="166"/>
      <c r="AH194" s="182" t="e">
        <f t="shared" si="93"/>
        <v>#N/A</v>
      </c>
      <c r="AI194" s="390"/>
      <c r="AJ194" s="166"/>
      <c r="AK194" s="166"/>
      <c r="AL194" s="166"/>
      <c r="AM194" s="182" t="e">
        <f t="shared" si="94"/>
        <v>#N/A</v>
      </c>
      <c r="AN194" s="390"/>
      <c r="AO194" s="166"/>
      <c r="AP194" s="166"/>
      <c r="AQ194" s="166"/>
      <c r="AR194" s="182" t="e">
        <f t="shared" si="95"/>
        <v>#N/A</v>
      </c>
      <c r="AS194" s="390"/>
      <c r="AT194" s="166"/>
      <c r="AU194" s="166"/>
      <c r="AV194" s="166"/>
      <c r="AW194" s="314" t="e">
        <f t="shared" si="96"/>
        <v>#N/A</v>
      </c>
      <c r="AX194" s="388"/>
      <c r="AZ194" s="314" t="e">
        <f t="shared" si="97"/>
        <v>#N/A</v>
      </c>
      <c r="BA194" s="388"/>
    </row>
    <row r="195" spans="2:53">
      <c r="B195" s="395"/>
      <c r="C195" s="182">
        <v>14</v>
      </c>
      <c r="D195" s="182"/>
      <c r="E195" s="182"/>
      <c r="F195" s="182"/>
      <c r="G195" s="166"/>
      <c r="H195" s="402"/>
      <c r="I195" s="166" t="str">
        <f t="shared" si="87"/>
        <v>-</v>
      </c>
      <c r="J195" s="166" t="str">
        <f t="shared" si="88"/>
        <v>-</v>
      </c>
      <c r="K195" s="180" t="str">
        <f t="shared" si="89"/>
        <v>-</v>
      </c>
      <c r="L195" s="402"/>
      <c r="M195" s="166" t="e">
        <f>RANK(K195, K$182:$K$211)</f>
        <v>#VALUE!</v>
      </c>
      <c r="N195" s="389"/>
      <c r="O195" s="389"/>
      <c r="P195" s="166"/>
      <c r="Q195" s="166"/>
      <c r="R195" s="166"/>
      <c r="S195" s="182" t="e">
        <f t="shared" si="90"/>
        <v>#N/A</v>
      </c>
      <c r="T195" s="390"/>
      <c r="U195" s="166"/>
      <c r="V195" s="166"/>
      <c r="W195" s="166"/>
      <c r="X195" s="182" t="e">
        <f t="shared" si="91"/>
        <v>#N/A</v>
      </c>
      <c r="Y195" s="390"/>
      <c r="Z195" s="166"/>
      <c r="AA195" s="166"/>
      <c r="AB195" s="166"/>
      <c r="AC195" s="182" t="e">
        <f t="shared" si="92"/>
        <v>#N/A</v>
      </c>
      <c r="AD195" s="390"/>
      <c r="AE195" s="166"/>
      <c r="AF195" s="166"/>
      <c r="AG195" s="166"/>
      <c r="AH195" s="182" t="e">
        <f t="shared" si="93"/>
        <v>#N/A</v>
      </c>
      <c r="AI195" s="390"/>
      <c r="AJ195" s="166"/>
      <c r="AK195" s="166"/>
      <c r="AL195" s="166"/>
      <c r="AM195" s="182" t="e">
        <f t="shared" si="94"/>
        <v>#N/A</v>
      </c>
      <c r="AN195" s="390"/>
      <c r="AO195" s="166"/>
      <c r="AP195" s="166"/>
      <c r="AQ195" s="166"/>
      <c r="AR195" s="182" t="e">
        <f t="shared" si="95"/>
        <v>#N/A</v>
      </c>
      <c r="AS195" s="390"/>
      <c r="AT195" s="166"/>
      <c r="AU195" s="166"/>
      <c r="AV195" s="166"/>
      <c r="AW195" s="314" t="e">
        <f t="shared" si="96"/>
        <v>#N/A</v>
      </c>
      <c r="AX195" s="388"/>
      <c r="AZ195" s="314" t="e">
        <f t="shared" si="97"/>
        <v>#N/A</v>
      </c>
      <c r="BA195" s="388"/>
    </row>
    <row r="196" spans="2:53">
      <c r="B196" s="395"/>
      <c r="C196" s="182">
        <v>15</v>
      </c>
      <c r="D196" s="182"/>
      <c r="E196" s="182"/>
      <c r="F196" s="182"/>
      <c r="G196" s="166"/>
      <c r="H196" s="402"/>
      <c r="I196" s="166" t="str">
        <f t="shared" si="87"/>
        <v>-</v>
      </c>
      <c r="J196" s="166" t="str">
        <f t="shared" si="88"/>
        <v>-</v>
      </c>
      <c r="K196" s="180" t="str">
        <f t="shared" si="89"/>
        <v>-</v>
      </c>
      <c r="L196" s="402"/>
      <c r="M196" s="166" t="e">
        <f>RANK(K196, K$182:$K$211)</f>
        <v>#VALUE!</v>
      </c>
      <c r="N196" s="389"/>
      <c r="O196" s="389"/>
      <c r="P196" s="166"/>
      <c r="Q196" s="166"/>
      <c r="R196" s="166"/>
      <c r="S196" s="182" t="e">
        <f t="shared" si="90"/>
        <v>#N/A</v>
      </c>
      <c r="T196" s="390"/>
      <c r="U196" s="166"/>
      <c r="V196" s="166"/>
      <c r="W196" s="166"/>
      <c r="X196" s="182" t="e">
        <f t="shared" si="91"/>
        <v>#N/A</v>
      </c>
      <c r="Y196" s="390"/>
      <c r="Z196" s="166"/>
      <c r="AA196" s="166"/>
      <c r="AB196" s="166"/>
      <c r="AC196" s="182" t="e">
        <f t="shared" si="92"/>
        <v>#N/A</v>
      </c>
      <c r="AD196" s="390"/>
      <c r="AE196" s="166"/>
      <c r="AF196" s="166"/>
      <c r="AG196" s="166"/>
      <c r="AH196" s="182" t="e">
        <f t="shared" si="93"/>
        <v>#N/A</v>
      </c>
      <c r="AI196" s="390"/>
      <c r="AJ196" s="166"/>
      <c r="AK196" s="166"/>
      <c r="AL196" s="166"/>
      <c r="AM196" s="182" t="e">
        <f t="shared" si="94"/>
        <v>#N/A</v>
      </c>
      <c r="AN196" s="390"/>
      <c r="AO196" s="166"/>
      <c r="AP196" s="166"/>
      <c r="AQ196" s="166"/>
      <c r="AR196" s="182" t="e">
        <f t="shared" si="95"/>
        <v>#N/A</v>
      </c>
      <c r="AS196" s="390"/>
      <c r="AT196" s="166"/>
      <c r="AU196" s="166"/>
      <c r="AV196" s="166"/>
      <c r="AW196" s="314" t="e">
        <f t="shared" si="96"/>
        <v>#N/A</v>
      </c>
      <c r="AX196" s="388"/>
      <c r="AZ196" s="314" t="e">
        <f t="shared" si="97"/>
        <v>#N/A</v>
      </c>
      <c r="BA196" s="388"/>
    </row>
    <row r="197" spans="2:53">
      <c r="B197" s="395"/>
      <c r="C197" s="182">
        <v>16</v>
      </c>
      <c r="D197" s="182"/>
      <c r="E197" s="182"/>
      <c r="F197" s="182"/>
      <c r="G197" s="166"/>
      <c r="H197" s="402"/>
      <c r="I197" s="166" t="str">
        <f t="shared" si="87"/>
        <v>-</v>
      </c>
      <c r="J197" s="166" t="str">
        <f t="shared" si="88"/>
        <v>-</v>
      </c>
      <c r="K197" s="180" t="str">
        <f t="shared" si="89"/>
        <v>-</v>
      </c>
      <c r="L197" s="402"/>
      <c r="M197" s="166" t="e">
        <f>RANK(K197, K$182:$K$211)</f>
        <v>#VALUE!</v>
      </c>
      <c r="N197" s="389"/>
      <c r="O197" s="389"/>
      <c r="P197" s="166"/>
      <c r="Q197" s="166"/>
      <c r="R197" s="166"/>
      <c r="S197" s="182" t="e">
        <f t="shared" si="90"/>
        <v>#N/A</v>
      </c>
      <c r="T197" s="390"/>
      <c r="U197" s="166"/>
      <c r="V197" s="166"/>
      <c r="W197" s="166"/>
      <c r="X197" s="182" t="e">
        <f t="shared" si="91"/>
        <v>#N/A</v>
      </c>
      <c r="Y197" s="390"/>
      <c r="Z197" s="166"/>
      <c r="AA197" s="166"/>
      <c r="AB197" s="166"/>
      <c r="AC197" s="182" t="e">
        <f t="shared" si="92"/>
        <v>#N/A</v>
      </c>
      <c r="AD197" s="390"/>
      <c r="AE197" s="166"/>
      <c r="AF197" s="166"/>
      <c r="AG197" s="166"/>
      <c r="AH197" s="182" t="e">
        <f t="shared" si="93"/>
        <v>#N/A</v>
      </c>
      <c r="AI197" s="390"/>
      <c r="AJ197" s="166"/>
      <c r="AK197" s="166"/>
      <c r="AL197" s="166"/>
      <c r="AM197" s="182" t="e">
        <f t="shared" si="94"/>
        <v>#N/A</v>
      </c>
      <c r="AN197" s="390"/>
      <c r="AO197" s="166"/>
      <c r="AP197" s="166"/>
      <c r="AQ197" s="166"/>
      <c r="AR197" s="182" t="e">
        <f t="shared" si="95"/>
        <v>#N/A</v>
      </c>
      <c r="AS197" s="390"/>
      <c r="AT197" s="166"/>
      <c r="AU197" s="166"/>
      <c r="AV197" s="166"/>
      <c r="AW197" s="314" t="e">
        <f t="shared" si="96"/>
        <v>#N/A</v>
      </c>
      <c r="AX197" s="388"/>
      <c r="AZ197" s="314" t="e">
        <f t="shared" si="97"/>
        <v>#N/A</v>
      </c>
      <c r="BA197" s="388"/>
    </row>
    <row r="198" spans="2:53">
      <c r="B198" s="395"/>
      <c r="C198" s="182">
        <v>17</v>
      </c>
      <c r="D198" s="182"/>
      <c r="E198" s="182"/>
      <c r="F198" s="182"/>
      <c r="G198" s="166"/>
      <c r="H198" s="402"/>
      <c r="I198" s="166" t="str">
        <f t="shared" si="87"/>
        <v>-</v>
      </c>
      <c r="J198" s="166" t="str">
        <f t="shared" si="88"/>
        <v>-</v>
      </c>
      <c r="K198" s="180" t="str">
        <f t="shared" si="89"/>
        <v>-</v>
      </c>
      <c r="L198" s="402"/>
      <c r="M198" s="166" t="e">
        <f>RANK(K198, K$182:$K$211)</f>
        <v>#VALUE!</v>
      </c>
      <c r="N198" s="389"/>
      <c r="O198" s="389"/>
      <c r="P198" s="166"/>
      <c r="Q198" s="166"/>
      <c r="R198" s="166"/>
      <c r="S198" s="182" t="e">
        <f t="shared" si="90"/>
        <v>#N/A</v>
      </c>
      <c r="T198" s="390"/>
      <c r="U198" s="166"/>
      <c r="V198" s="166"/>
      <c r="W198" s="166"/>
      <c r="X198" s="182" t="e">
        <f t="shared" si="91"/>
        <v>#N/A</v>
      </c>
      <c r="Y198" s="390"/>
      <c r="Z198" s="166"/>
      <c r="AA198" s="166"/>
      <c r="AB198" s="166"/>
      <c r="AC198" s="182" t="e">
        <f t="shared" si="92"/>
        <v>#N/A</v>
      </c>
      <c r="AD198" s="390"/>
      <c r="AE198" s="166"/>
      <c r="AF198" s="166"/>
      <c r="AG198" s="166"/>
      <c r="AH198" s="182" t="e">
        <f t="shared" si="93"/>
        <v>#N/A</v>
      </c>
      <c r="AI198" s="390"/>
      <c r="AJ198" s="166"/>
      <c r="AK198" s="166"/>
      <c r="AL198" s="166"/>
      <c r="AM198" s="182" t="e">
        <f t="shared" si="94"/>
        <v>#N/A</v>
      </c>
      <c r="AN198" s="390"/>
      <c r="AO198" s="166"/>
      <c r="AP198" s="166"/>
      <c r="AQ198" s="166"/>
      <c r="AR198" s="182" t="e">
        <f t="shared" si="95"/>
        <v>#N/A</v>
      </c>
      <c r="AS198" s="390"/>
      <c r="AT198" s="166"/>
      <c r="AU198" s="166"/>
      <c r="AV198" s="166"/>
      <c r="AW198" s="314" t="e">
        <f t="shared" si="96"/>
        <v>#N/A</v>
      </c>
      <c r="AX198" s="388"/>
      <c r="AZ198" s="314" t="e">
        <f t="shared" si="97"/>
        <v>#N/A</v>
      </c>
      <c r="BA198" s="388"/>
    </row>
    <row r="199" spans="2:53">
      <c r="B199" s="395"/>
      <c r="C199" s="182">
        <v>18</v>
      </c>
      <c r="D199" s="182"/>
      <c r="E199" s="182"/>
      <c r="F199" s="182"/>
      <c r="G199" s="166"/>
      <c r="H199" s="402"/>
      <c r="I199" s="166" t="str">
        <f t="shared" si="87"/>
        <v>-</v>
      </c>
      <c r="J199" s="166" t="str">
        <f t="shared" si="88"/>
        <v>-</v>
      </c>
      <c r="K199" s="180" t="str">
        <f t="shared" si="89"/>
        <v>-</v>
      </c>
      <c r="L199" s="402"/>
      <c r="M199" s="166" t="e">
        <f>RANK(K199, K$182:$K$211)</f>
        <v>#VALUE!</v>
      </c>
      <c r="N199" s="389"/>
      <c r="O199" s="389"/>
      <c r="P199" s="166"/>
      <c r="Q199" s="166"/>
      <c r="R199" s="166"/>
      <c r="S199" s="182" t="e">
        <f t="shared" si="90"/>
        <v>#N/A</v>
      </c>
      <c r="T199" s="390"/>
      <c r="U199" s="166"/>
      <c r="V199" s="166"/>
      <c r="W199" s="166"/>
      <c r="X199" s="182" t="e">
        <f t="shared" si="91"/>
        <v>#N/A</v>
      </c>
      <c r="Y199" s="390"/>
      <c r="Z199" s="166"/>
      <c r="AA199" s="166"/>
      <c r="AB199" s="166"/>
      <c r="AC199" s="182" t="e">
        <f t="shared" si="92"/>
        <v>#N/A</v>
      </c>
      <c r="AD199" s="390"/>
      <c r="AE199" s="166"/>
      <c r="AF199" s="166"/>
      <c r="AG199" s="166"/>
      <c r="AH199" s="182" t="e">
        <f t="shared" si="93"/>
        <v>#N/A</v>
      </c>
      <c r="AI199" s="390"/>
      <c r="AJ199" s="166"/>
      <c r="AK199" s="166"/>
      <c r="AL199" s="166"/>
      <c r="AM199" s="182" t="e">
        <f t="shared" si="94"/>
        <v>#N/A</v>
      </c>
      <c r="AN199" s="390"/>
      <c r="AO199" s="166"/>
      <c r="AP199" s="166"/>
      <c r="AQ199" s="166"/>
      <c r="AR199" s="182" t="e">
        <f t="shared" si="95"/>
        <v>#N/A</v>
      </c>
      <c r="AS199" s="390"/>
      <c r="AT199" s="166"/>
      <c r="AU199" s="166"/>
      <c r="AV199" s="166"/>
      <c r="AW199" s="314" t="e">
        <f t="shared" si="96"/>
        <v>#N/A</v>
      </c>
      <c r="AX199" s="388"/>
      <c r="AZ199" s="314" t="e">
        <f t="shared" si="97"/>
        <v>#N/A</v>
      </c>
      <c r="BA199" s="388"/>
    </row>
    <row r="200" spans="2:53">
      <c r="B200" s="395"/>
      <c r="C200" s="182">
        <v>19</v>
      </c>
      <c r="D200" s="182"/>
      <c r="E200" s="182"/>
      <c r="F200" s="182"/>
      <c r="G200" s="166"/>
      <c r="H200" s="402"/>
      <c r="I200" s="166" t="str">
        <f t="shared" si="87"/>
        <v>-</v>
      </c>
      <c r="J200" s="166" t="str">
        <f t="shared" si="88"/>
        <v>-</v>
      </c>
      <c r="K200" s="180" t="str">
        <f t="shared" si="89"/>
        <v>-</v>
      </c>
      <c r="L200" s="402"/>
      <c r="M200" s="166" t="e">
        <f>RANK(K200, K$182:$K$211)</f>
        <v>#VALUE!</v>
      </c>
      <c r="N200" s="389"/>
      <c r="O200" s="389"/>
      <c r="P200" s="166"/>
      <c r="Q200" s="166"/>
      <c r="R200" s="166"/>
      <c r="S200" s="182" t="e">
        <f t="shared" si="90"/>
        <v>#N/A</v>
      </c>
      <c r="T200" s="390"/>
      <c r="U200" s="166"/>
      <c r="V200" s="166"/>
      <c r="W200" s="166"/>
      <c r="X200" s="182" t="e">
        <f t="shared" si="91"/>
        <v>#N/A</v>
      </c>
      <c r="Y200" s="390"/>
      <c r="Z200" s="166"/>
      <c r="AA200" s="166"/>
      <c r="AB200" s="166"/>
      <c r="AC200" s="182" t="e">
        <f t="shared" si="92"/>
        <v>#N/A</v>
      </c>
      <c r="AD200" s="390"/>
      <c r="AE200" s="166"/>
      <c r="AF200" s="166"/>
      <c r="AG200" s="166"/>
      <c r="AH200" s="182" t="e">
        <f t="shared" si="93"/>
        <v>#N/A</v>
      </c>
      <c r="AI200" s="390"/>
      <c r="AJ200" s="166"/>
      <c r="AK200" s="166"/>
      <c r="AL200" s="166"/>
      <c r="AM200" s="182" t="e">
        <f t="shared" si="94"/>
        <v>#N/A</v>
      </c>
      <c r="AN200" s="390"/>
      <c r="AO200" s="166"/>
      <c r="AP200" s="166"/>
      <c r="AQ200" s="166"/>
      <c r="AR200" s="182" t="e">
        <f t="shared" si="95"/>
        <v>#N/A</v>
      </c>
      <c r="AS200" s="390"/>
      <c r="AT200" s="166"/>
      <c r="AU200" s="166"/>
      <c r="AV200" s="166"/>
      <c r="AW200" s="314" t="e">
        <f t="shared" si="96"/>
        <v>#N/A</v>
      </c>
      <c r="AX200" s="388"/>
      <c r="AZ200" s="314" t="e">
        <f t="shared" si="97"/>
        <v>#N/A</v>
      </c>
      <c r="BA200" s="388"/>
    </row>
    <row r="201" spans="2:53">
      <c r="B201" s="395"/>
      <c r="C201" s="182">
        <v>20</v>
      </c>
      <c r="D201" s="182"/>
      <c r="E201" s="182"/>
      <c r="F201" s="182"/>
      <c r="G201" s="166"/>
      <c r="H201" s="402"/>
      <c r="I201" s="166" t="str">
        <f t="shared" si="87"/>
        <v>-</v>
      </c>
      <c r="J201" s="166" t="str">
        <f t="shared" si="88"/>
        <v>-</v>
      </c>
      <c r="K201" s="180" t="str">
        <f t="shared" si="89"/>
        <v>-</v>
      </c>
      <c r="L201" s="402"/>
      <c r="M201" s="166" t="e">
        <f>RANK(K201, K$182:$K$211)</f>
        <v>#VALUE!</v>
      </c>
      <c r="N201" s="389"/>
      <c r="O201" s="389"/>
      <c r="P201" s="166"/>
      <c r="Q201" s="166"/>
      <c r="R201" s="166"/>
      <c r="S201" s="182" t="e">
        <f t="shared" si="90"/>
        <v>#N/A</v>
      </c>
      <c r="T201" s="390"/>
      <c r="U201" s="166"/>
      <c r="V201" s="166"/>
      <c r="W201" s="166"/>
      <c r="X201" s="182" t="e">
        <f t="shared" si="91"/>
        <v>#N/A</v>
      </c>
      <c r="Y201" s="390"/>
      <c r="Z201" s="166"/>
      <c r="AA201" s="166"/>
      <c r="AB201" s="166"/>
      <c r="AC201" s="182" t="e">
        <f t="shared" si="92"/>
        <v>#N/A</v>
      </c>
      <c r="AD201" s="390"/>
      <c r="AE201" s="166"/>
      <c r="AF201" s="166"/>
      <c r="AG201" s="166"/>
      <c r="AH201" s="182" t="e">
        <f t="shared" si="93"/>
        <v>#N/A</v>
      </c>
      <c r="AI201" s="390"/>
      <c r="AJ201" s="166"/>
      <c r="AK201" s="166"/>
      <c r="AL201" s="166"/>
      <c r="AM201" s="182" t="e">
        <f t="shared" si="94"/>
        <v>#N/A</v>
      </c>
      <c r="AN201" s="390"/>
      <c r="AO201" s="166"/>
      <c r="AP201" s="166"/>
      <c r="AQ201" s="166"/>
      <c r="AR201" s="182" t="e">
        <f t="shared" si="95"/>
        <v>#N/A</v>
      </c>
      <c r="AS201" s="390"/>
      <c r="AT201" s="166"/>
      <c r="AU201" s="166"/>
      <c r="AV201" s="166"/>
      <c r="AW201" s="314" t="e">
        <f t="shared" si="96"/>
        <v>#N/A</v>
      </c>
      <c r="AX201" s="388"/>
      <c r="AZ201" s="314" t="e">
        <f t="shared" si="97"/>
        <v>#N/A</v>
      </c>
      <c r="BA201" s="388"/>
    </row>
    <row r="202" spans="2:53">
      <c r="B202" s="395"/>
      <c r="C202" s="182">
        <v>21</v>
      </c>
      <c r="D202" s="313"/>
      <c r="E202" s="182"/>
      <c r="F202" s="182"/>
      <c r="G202" s="166"/>
      <c r="H202" s="402"/>
      <c r="I202" s="166" t="str">
        <f t="shared" si="87"/>
        <v>-</v>
      </c>
      <c r="J202" s="166" t="str">
        <f t="shared" si="88"/>
        <v>-</v>
      </c>
      <c r="K202" s="180" t="str">
        <f t="shared" si="89"/>
        <v>-</v>
      </c>
      <c r="L202" s="402"/>
      <c r="M202" s="166" t="e">
        <f>RANK(K202, K$182:$K$211)</f>
        <v>#VALUE!</v>
      </c>
      <c r="N202" s="389"/>
      <c r="O202" s="389"/>
      <c r="P202" s="182"/>
      <c r="Q202" s="166"/>
      <c r="R202" s="180"/>
      <c r="S202" s="182" t="e">
        <f t="shared" si="90"/>
        <v>#N/A</v>
      </c>
      <c r="T202" s="390"/>
      <c r="U202" s="182"/>
      <c r="V202" s="166"/>
      <c r="W202" s="180"/>
      <c r="X202" s="182" t="e">
        <f t="shared" si="91"/>
        <v>#N/A</v>
      </c>
      <c r="Y202" s="390"/>
      <c r="Z202" s="182"/>
      <c r="AA202" s="166"/>
      <c r="AB202" s="180"/>
      <c r="AC202" s="182" t="e">
        <f t="shared" si="92"/>
        <v>#N/A</v>
      </c>
      <c r="AD202" s="390"/>
      <c r="AE202" s="182"/>
      <c r="AF202" s="166"/>
      <c r="AG202" s="180"/>
      <c r="AH202" s="182" t="e">
        <f t="shared" si="93"/>
        <v>#N/A</v>
      </c>
      <c r="AI202" s="390"/>
      <c r="AJ202" s="182"/>
      <c r="AK202" s="166"/>
      <c r="AL202" s="180"/>
      <c r="AM202" s="182" t="e">
        <f t="shared" si="94"/>
        <v>#N/A</v>
      </c>
      <c r="AN202" s="390"/>
      <c r="AO202" s="182"/>
      <c r="AP202" s="166"/>
      <c r="AQ202" s="180"/>
      <c r="AR202" s="182" t="e">
        <f t="shared" si="95"/>
        <v>#N/A</v>
      </c>
      <c r="AS202" s="390"/>
      <c r="AT202" s="182"/>
      <c r="AU202" s="166"/>
      <c r="AV202" s="180"/>
      <c r="AW202" s="314" t="e">
        <f t="shared" si="96"/>
        <v>#N/A</v>
      </c>
      <c r="AX202" s="388"/>
      <c r="AZ202" s="314" t="e">
        <f t="shared" si="97"/>
        <v>#N/A</v>
      </c>
      <c r="BA202" s="388"/>
    </row>
    <row r="203" spans="2:53">
      <c r="B203" s="395"/>
      <c r="C203" s="182">
        <v>22</v>
      </c>
      <c r="D203" s="182"/>
      <c r="E203" s="182"/>
      <c r="F203" s="182"/>
      <c r="G203" s="182"/>
      <c r="H203" s="402"/>
      <c r="I203" s="166" t="str">
        <f t="shared" si="87"/>
        <v>-</v>
      </c>
      <c r="J203" s="166" t="str">
        <f t="shared" si="88"/>
        <v>-</v>
      </c>
      <c r="K203" s="180" t="str">
        <f t="shared" si="89"/>
        <v>-</v>
      </c>
      <c r="L203" s="402"/>
      <c r="M203" s="166" t="e">
        <f>RANK(K203, K$182:$K$211)</f>
        <v>#VALUE!</v>
      </c>
      <c r="N203" s="389"/>
      <c r="O203" s="389"/>
      <c r="P203" s="182"/>
      <c r="Q203" s="166"/>
      <c r="R203" s="180"/>
      <c r="S203" s="182" t="e">
        <f t="shared" si="90"/>
        <v>#N/A</v>
      </c>
      <c r="T203" s="390"/>
      <c r="U203" s="182"/>
      <c r="V203" s="166"/>
      <c r="W203" s="180"/>
      <c r="X203" s="182" t="e">
        <f t="shared" si="91"/>
        <v>#N/A</v>
      </c>
      <c r="Y203" s="390"/>
      <c r="Z203" s="182"/>
      <c r="AA203" s="166"/>
      <c r="AB203" s="180"/>
      <c r="AC203" s="182" t="e">
        <f t="shared" si="92"/>
        <v>#N/A</v>
      </c>
      <c r="AD203" s="390"/>
      <c r="AE203" s="182"/>
      <c r="AF203" s="166"/>
      <c r="AG203" s="180"/>
      <c r="AH203" s="182" t="e">
        <f t="shared" si="93"/>
        <v>#N/A</v>
      </c>
      <c r="AI203" s="390"/>
      <c r="AJ203" s="182"/>
      <c r="AK203" s="166"/>
      <c r="AL203" s="180"/>
      <c r="AM203" s="182" t="e">
        <f t="shared" si="94"/>
        <v>#N/A</v>
      </c>
      <c r="AN203" s="390"/>
      <c r="AO203" s="182"/>
      <c r="AP203" s="166"/>
      <c r="AQ203" s="180"/>
      <c r="AR203" s="182" t="e">
        <f t="shared" si="95"/>
        <v>#N/A</v>
      </c>
      <c r="AS203" s="390"/>
      <c r="AT203" s="182"/>
      <c r="AU203" s="166"/>
      <c r="AV203" s="180"/>
      <c r="AW203" s="314" t="e">
        <f t="shared" si="96"/>
        <v>#N/A</v>
      </c>
      <c r="AX203" s="388"/>
      <c r="AZ203" s="314" t="e">
        <f t="shared" si="97"/>
        <v>#N/A</v>
      </c>
      <c r="BA203" s="388"/>
    </row>
    <row r="204" spans="2:53">
      <c r="B204" s="395"/>
      <c r="C204" s="182">
        <v>23</v>
      </c>
      <c r="D204" s="182"/>
      <c r="E204" s="182"/>
      <c r="F204" s="182"/>
      <c r="G204" s="182"/>
      <c r="H204" s="402"/>
      <c r="I204" s="166" t="str">
        <f t="shared" si="87"/>
        <v>-</v>
      </c>
      <c r="J204" s="166" t="str">
        <f t="shared" si="88"/>
        <v>-</v>
      </c>
      <c r="K204" s="180" t="str">
        <f t="shared" si="89"/>
        <v>-</v>
      </c>
      <c r="L204" s="402"/>
      <c r="M204" s="166" t="e">
        <f>RANK(K204, K$182:$K$211)</f>
        <v>#VALUE!</v>
      </c>
      <c r="N204" s="389"/>
      <c r="O204" s="389"/>
      <c r="P204" s="182"/>
      <c r="Q204" s="182"/>
      <c r="R204" s="180"/>
      <c r="S204" s="182" t="e">
        <f t="shared" si="90"/>
        <v>#N/A</v>
      </c>
      <c r="T204" s="390"/>
      <c r="U204" s="182"/>
      <c r="V204" s="182"/>
      <c r="W204" s="180"/>
      <c r="X204" s="182" t="e">
        <f t="shared" si="91"/>
        <v>#N/A</v>
      </c>
      <c r="Y204" s="390"/>
      <c r="Z204" s="182"/>
      <c r="AA204" s="182"/>
      <c r="AB204" s="180"/>
      <c r="AC204" s="182" t="e">
        <f t="shared" si="92"/>
        <v>#N/A</v>
      </c>
      <c r="AD204" s="390"/>
      <c r="AE204" s="182"/>
      <c r="AF204" s="182"/>
      <c r="AG204" s="180"/>
      <c r="AH204" s="182" t="e">
        <f t="shared" si="93"/>
        <v>#N/A</v>
      </c>
      <c r="AI204" s="390"/>
      <c r="AJ204" s="182"/>
      <c r="AK204" s="182"/>
      <c r="AL204" s="180"/>
      <c r="AM204" s="182" t="e">
        <f t="shared" si="94"/>
        <v>#N/A</v>
      </c>
      <c r="AN204" s="390"/>
      <c r="AO204" s="182"/>
      <c r="AP204" s="182"/>
      <c r="AQ204" s="180"/>
      <c r="AR204" s="182" t="e">
        <f t="shared" si="95"/>
        <v>#N/A</v>
      </c>
      <c r="AS204" s="390"/>
      <c r="AT204" s="182"/>
      <c r="AU204" s="182"/>
      <c r="AV204" s="180"/>
      <c r="AW204" s="314" t="e">
        <f t="shared" si="96"/>
        <v>#N/A</v>
      </c>
      <c r="AX204" s="388"/>
      <c r="AZ204" s="314" t="e">
        <f t="shared" si="97"/>
        <v>#N/A</v>
      </c>
      <c r="BA204" s="388"/>
    </row>
    <row r="205" spans="2:53">
      <c r="B205" s="395"/>
      <c r="C205" s="182">
        <v>24</v>
      </c>
      <c r="D205" s="182"/>
      <c r="E205" s="182"/>
      <c r="F205" s="182"/>
      <c r="G205" s="182"/>
      <c r="H205" s="402"/>
      <c r="I205" s="166" t="str">
        <f t="shared" si="87"/>
        <v>-</v>
      </c>
      <c r="J205" s="166" t="str">
        <f t="shared" si="88"/>
        <v>-</v>
      </c>
      <c r="K205" s="180" t="str">
        <f t="shared" si="89"/>
        <v>-</v>
      </c>
      <c r="L205" s="402"/>
      <c r="M205" s="166" t="e">
        <f>RANK(K205, K$182:$K$211)</f>
        <v>#VALUE!</v>
      </c>
      <c r="N205" s="389"/>
      <c r="O205" s="389"/>
      <c r="P205" s="182"/>
      <c r="Q205" s="182"/>
      <c r="R205" s="182"/>
      <c r="S205" s="182" t="e">
        <f t="shared" si="90"/>
        <v>#N/A</v>
      </c>
      <c r="T205" s="390"/>
      <c r="U205" s="182"/>
      <c r="V205" s="182"/>
      <c r="W205" s="182"/>
      <c r="X205" s="182" t="e">
        <f t="shared" si="91"/>
        <v>#N/A</v>
      </c>
      <c r="Y205" s="390"/>
      <c r="Z205" s="182"/>
      <c r="AA205" s="182"/>
      <c r="AB205" s="182"/>
      <c r="AC205" s="182" t="e">
        <f t="shared" si="92"/>
        <v>#N/A</v>
      </c>
      <c r="AD205" s="390"/>
      <c r="AE205" s="182"/>
      <c r="AF205" s="182"/>
      <c r="AG205" s="182"/>
      <c r="AH205" s="182" t="e">
        <f t="shared" si="93"/>
        <v>#N/A</v>
      </c>
      <c r="AI205" s="390"/>
      <c r="AJ205" s="182"/>
      <c r="AK205" s="182"/>
      <c r="AL205" s="182"/>
      <c r="AM205" s="182" t="e">
        <f t="shared" si="94"/>
        <v>#N/A</v>
      </c>
      <c r="AN205" s="390"/>
      <c r="AO205" s="182"/>
      <c r="AP205" s="182"/>
      <c r="AQ205" s="182"/>
      <c r="AR205" s="182" t="e">
        <f t="shared" si="95"/>
        <v>#N/A</v>
      </c>
      <c r="AS205" s="390"/>
      <c r="AT205" s="182"/>
      <c r="AU205" s="182"/>
      <c r="AV205" s="182"/>
      <c r="AW205" s="314" t="e">
        <f t="shared" si="96"/>
        <v>#N/A</v>
      </c>
      <c r="AX205" s="388"/>
      <c r="AZ205" s="314" t="e">
        <f t="shared" si="97"/>
        <v>#N/A</v>
      </c>
      <c r="BA205" s="388"/>
    </row>
    <row r="206" spans="2:53">
      <c r="B206" s="395"/>
      <c r="C206" s="182">
        <v>25</v>
      </c>
      <c r="D206" s="182"/>
      <c r="E206" s="182"/>
      <c r="F206" s="182"/>
      <c r="G206" s="182"/>
      <c r="H206" s="402"/>
      <c r="I206" s="166" t="str">
        <f t="shared" si="87"/>
        <v>-</v>
      </c>
      <c r="J206" s="166" t="str">
        <f t="shared" si="88"/>
        <v>-</v>
      </c>
      <c r="K206" s="180" t="str">
        <f t="shared" si="89"/>
        <v>-</v>
      </c>
      <c r="L206" s="402"/>
      <c r="M206" s="166" t="e">
        <f>RANK(K206, K$182:$K$211)</f>
        <v>#VALUE!</v>
      </c>
      <c r="N206" s="389"/>
      <c r="O206" s="389"/>
      <c r="P206" s="182"/>
      <c r="Q206" s="182"/>
      <c r="R206" s="182"/>
      <c r="S206" s="182" t="e">
        <f t="shared" si="90"/>
        <v>#N/A</v>
      </c>
      <c r="T206" s="390"/>
      <c r="U206" s="182"/>
      <c r="V206" s="182"/>
      <c r="W206" s="182"/>
      <c r="X206" s="182" t="e">
        <f t="shared" si="91"/>
        <v>#N/A</v>
      </c>
      <c r="Y206" s="390"/>
      <c r="Z206" s="182"/>
      <c r="AA206" s="182"/>
      <c r="AB206" s="182"/>
      <c r="AC206" s="182" t="e">
        <f t="shared" si="92"/>
        <v>#N/A</v>
      </c>
      <c r="AD206" s="390"/>
      <c r="AE206" s="182"/>
      <c r="AF206" s="182"/>
      <c r="AG206" s="182"/>
      <c r="AH206" s="182" t="e">
        <f t="shared" si="93"/>
        <v>#N/A</v>
      </c>
      <c r="AI206" s="390"/>
      <c r="AJ206" s="182"/>
      <c r="AK206" s="182"/>
      <c r="AL206" s="182"/>
      <c r="AM206" s="182" t="e">
        <f t="shared" si="94"/>
        <v>#N/A</v>
      </c>
      <c r="AN206" s="390"/>
      <c r="AO206" s="182"/>
      <c r="AP206" s="182"/>
      <c r="AQ206" s="182"/>
      <c r="AR206" s="182" t="e">
        <f t="shared" si="95"/>
        <v>#N/A</v>
      </c>
      <c r="AS206" s="390"/>
      <c r="AT206" s="182"/>
      <c r="AU206" s="182"/>
      <c r="AV206" s="182"/>
      <c r="AW206" s="314" t="e">
        <f t="shared" si="96"/>
        <v>#N/A</v>
      </c>
      <c r="AX206" s="388"/>
      <c r="AZ206" s="314" t="e">
        <f t="shared" si="97"/>
        <v>#N/A</v>
      </c>
      <c r="BA206" s="388"/>
    </row>
    <row r="207" spans="2:53">
      <c r="B207" s="395"/>
      <c r="C207" s="182">
        <v>26</v>
      </c>
      <c r="D207" s="182"/>
      <c r="E207" s="182"/>
      <c r="F207" s="182"/>
      <c r="G207" s="182"/>
      <c r="H207" s="402"/>
      <c r="I207" s="166" t="str">
        <f t="shared" si="87"/>
        <v>-</v>
      </c>
      <c r="J207" s="166" t="str">
        <f t="shared" si="88"/>
        <v>-</v>
      </c>
      <c r="K207" s="180" t="str">
        <f t="shared" si="89"/>
        <v>-</v>
      </c>
      <c r="L207" s="402"/>
      <c r="M207" s="166" t="e">
        <f>RANK(K207, K$182:$K$211)</f>
        <v>#VALUE!</v>
      </c>
      <c r="N207" s="389"/>
      <c r="O207" s="389"/>
      <c r="P207" s="182"/>
      <c r="Q207" s="182"/>
      <c r="R207" s="182"/>
      <c r="S207" s="182" t="e">
        <f t="shared" si="90"/>
        <v>#N/A</v>
      </c>
      <c r="T207" s="390"/>
      <c r="U207" s="182"/>
      <c r="V207" s="182"/>
      <c r="W207" s="182"/>
      <c r="X207" s="182" t="e">
        <f t="shared" si="91"/>
        <v>#N/A</v>
      </c>
      <c r="Y207" s="390"/>
      <c r="Z207" s="182"/>
      <c r="AA207" s="182"/>
      <c r="AB207" s="182"/>
      <c r="AC207" s="182" t="e">
        <f t="shared" si="92"/>
        <v>#N/A</v>
      </c>
      <c r="AD207" s="390"/>
      <c r="AE207" s="182"/>
      <c r="AF207" s="182"/>
      <c r="AG207" s="182"/>
      <c r="AH207" s="182" t="e">
        <f t="shared" si="93"/>
        <v>#N/A</v>
      </c>
      <c r="AI207" s="390"/>
      <c r="AJ207" s="182"/>
      <c r="AK207" s="182"/>
      <c r="AL207" s="182"/>
      <c r="AM207" s="182" t="e">
        <f t="shared" si="94"/>
        <v>#N/A</v>
      </c>
      <c r="AN207" s="390"/>
      <c r="AO207" s="182"/>
      <c r="AP207" s="182"/>
      <c r="AQ207" s="182"/>
      <c r="AR207" s="182" t="e">
        <f t="shared" si="95"/>
        <v>#N/A</v>
      </c>
      <c r="AS207" s="390"/>
      <c r="AT207" s="182"/>
      <c r="AU207" s="182"/>
      <c r="AV207" s="182"/>
      <c r="AW207" s="314" t="e">
        <f t="shared" si="96"/>
        <v>#N/A</v>
      </c>
      <c r="AX207" s="388"/>
      <c r="AZ207" s="314" t="e">
        <f t="shared" si="97"/>
        <v>#N/A</v>
      </c>
      <c r="BA207" s="388"/>
    </row>
    <row r="208" spans="2:53">
      <c r="B208" s="395"/>
      <c r="C208" s="182">
        <v>27</v>
      </c>
      <c r="D208" s="182"/>
      <c r="E208" s="182"/>
      <c r="F208" s="182"/>
      <c r="G208" s="182"/>
      <c r="H208" s="402"/>
      <c r="I208" s="166" t="str">
        <f t="shared" si="87"/>
        <v>-</v>
      </c>
      <c r="J208" s="166" t="str">
        <f t="shared" si="88"/>
        <v>-</v>
      </c>
      <c r="K208" s="180" t="str">
        <f t="shared" si="89"/>
        <v>-</v>
      </c>
      <c r="L208" s="402"/>
      <c r="M208" s="166" t="e">
        <f>RANK(K208, K$182:$K$211)</f>
        <v>#VALUE!</v>
      </c>
      <c r="N208" s="389"/>
      <c r="O208" s="389"/>
      <c r="P208" s="182"/>
      <c r="Q208" s="182"/>
      <c r="R208" s="182"/>
      <c r="S208" s="182" t="e">
        <f t="shared" si="90"/>
        <v>#N/A</v>
      </c>
      <c r="T208" s="390"/>
      <c r="U208" s="182"/>
      <c r="V208" s="182"/>
      <c r="W208" s="182"/>
      <c r="X208" s="182" t="e">
        <f t="shared" si="91"/>
        <v>#N/A</v>
      </c>
      <c r="Y208" s="390"/>
      <c r="Z208" s="182"/>
      <c r="AA208" s="182"/>
      <c r="AB208" s="182"/>
      <c r="AC208" s="182" t="e">
        <f t="shared" si="92"/>
        <v>#N/A</v>
      </c>
      <c r="AD208" s="390"/>
      <c r="AE208" s="182"/>
      <c r="AF208" s="182"/>
      <c r="AG208" s="182"/>
      <c r="AH208" s="182" t="e">
        <f t="shared" si="93"/>
        <v>#N/A</v>
      </c>
      <c r="AI208" s="390"/>
      <c r="AJ208" s="182"/>
      <c r="AK208" s="182"/>
      <c r="AL208" s="182"/>
      <c r="AM208" s="182" t="e">
        <f t="shared" si="94"/>
        <v>#N/A</v>
      </c>
      <c r="AN208" s="390"/>
      <c r="AO208" s="182"/>
      <c r="AP208" s="182"/>
      <c r="AQ208" s="182"/>
      <c r="AR208" s="182" t="e">
        <f t="shared" si="95"/>
        <v>#N/A</v>
      </c>
      <c r="AS208" s="390"/>
      <c r="AT208" s="182"/>
      <c r="AU208" s="182"/>
      <c r="AV208" s="182"/>
      <c r="AW208" s="314" t="e">
        <f t="shared" si="96"/>
        <v>#N/A</v>
      </c>
      <c r="AX208" s="388"/>
      <c r="AZ208" s="314" t="e">
        <f t="shared" si="97"/>
        <v>#N/A</v>
      </c>
      <c r="BA208" s="388"/>
    </row>
    <row r="209" spans="2:53">
      <c r="B209" s="395"/>
      <c r="C209" s="182">
        <v>28</v>
      </c>
      <c r="D209" s="182"/>
      <c r="E209" s="182"/>
      <c r="F209" s="182"/>
      <c r="G209" s="182"/>
      <c r="H209" s="402"/>
      <c r="I209" s="166" t="str">
        <f t="shared" si="87"/>
        <v>-</v>
      </c>
      <c r="J209" s="166" t="str">
        <f t="shared" si="88"/>
        <v>-</v>
      </c>
      <c r="K209" s="180" t="str">
        <f t="shared" si="89"/>
        <v>-</v>
      </c>
      <c r="L209" s="402"/>
      <c r="M209" s="166" t="e">
        <f>RANK(K209, K$182:$K$211)</f>
        <v>#VALUE!</v>
      </c>
      <c r="N209" s="389"/>
      <c r="O209" s="389"/>
      <c r="P209" s="182"/>
      <c r="Q209" s="182"/>
      <c r="R209" s="182"/>
      <c r="S209" s="182" t="e">
        <f t="shared" si="90"/>
        <v>#N/A</v>
      </c>
      <c r="T209" s="390"/>
      <c r="U209" s="182"/>
      <c r="V209" s="182"/>
      <c r="W209" s="182"/>
      <c r="X209" s="182" t="e">
        <f t="shared" si="91"/>
        <v>#N/A</v>
      </c>
      <c r="Y209" s="390"/>
      <c r="Z209" s="182"/>
      <c r="AA209" s="182"/>
      <c r="AB209" s="182"/>
      <c r="AC209" s="182" t="e">
        <f t="shared" si="92"/>
        <v>#N/A</v>
      </c>
      <c r="AD209" s="390"/>
      <c r="AE209" s="182"/>
      <c r="AF209" s="182"/>
      <c r="AG209" s="182"/>
      <c r="AH209" s="182" t="e">
        <f t="shared" si="93"/>
        <v>#N/A</v>
      </c>
      <c r="AI209" s="390"/>
      <c r="AJ209" s="182"/>
      <c r="AK209" s="182"/>
      <c r="AL209" s="182"/>
      <c r="AM209" s="182" t="e">
        <f t="shared" si="94"/>
        <v>#N/A</v>
      </c>
      <c r="AN209" s="390"/>
      <c r="AO209" s="182"/>
      <c r="AP209" s="182"/>
      <c r="AQ209" s="182"/>
      <c r="AR209" s="182" t="e">
        <f t="shared" si="95"/>
        <v>#N/A</v>
      </c>
      <c r="AS209" s="390"/>
      <c r="AT209" s="182"/>
      <c r="AU209" s="182"/>
      <c r="AV209" s="182"/>
      <c r="AW209" s="314" t="e">
        <f t="shared" si="96"/>
        <v>#N/A</v>
      </c>
      <c r="AX209" s="388"/>
      <c r="AZ209" s="314" t="e">
        <f t="shared" si="97"/>
        <v>#N/A</v>
      </c>
      <c r="BA209" s="388"/>
    </row>
    <row r="210" spans="2:53">
      <c r="B210" s="395"/>
      <c r="C210" s="182">
        <v>29</v>
      </c>
      <c r="D210" s="182"/>
      <c r="E210" s="182"/>
      <c r="F210" s="182"/>
      <c r="G210" s="182"/>
      <c r="H210" s="402"/>
      <c r="I210" s="166" t="str">
        <f t="shared" si="87"/>
        <v>-</v>
      </c>
      <c r="J210" s="166" t="str">
        <f t="shared" si="88"/>
        <v>-</v>
      </c>
      <c r="K210" s="180" t="str">
        <f t="shared" si="89"/>
        <v>-</v>
      </c>
      <c r="L210" s="402"/>
      <c r="M210" s="166" t="e">
        <f>RANK(K210, K$182:$K$211)</f>
        <v>#VALUE!</v>
      </c>
      <c r="N210" s="389"/>
      <c r="O210" s="389"/>
      <c r="P210" s="182"/>
      <c r="Q210" s="182"/>
      <c r="R210" s="182"/>
      <c r="S210" s="182" t="e">
        <f t="shared" si="90"/>
        <v>#N/A</v>
      </c>
      <c r="T210" s="390"/>
      <c r="U210" s="182"/>
      <c r="V210" s="182"/>
      <c r="W210" s="182"/>
      <c r="X210" s="182" t="e">
        <f t="shared" si="91"/>
        <v>#N/A</v>
      </c>
      <c r="Y210" s="390"/>
      <c r="Z210" s="182"/>
      <c r="AA210" s="182"/>
      <c r="AB210" s="182"/>
      <c r="AC210" s="182" t="e">
        <f t="shared" si="92"/>
        <v>#N/A</v>
      </c>
      <c r="AD210" s="390"/>
      <c r="AE210" s="182"/>
      <c r="AF210" s="182"/>
      <c r="AG210" s="182"/>
      <c r="AH210" s="182" t="e">
        <f t="shared" si="93"/>
        <v>#N/A</v>
      </c>
      <c r="AI210" s="390"/>
      <c r="AJ210" s="182"/>
      <c r="AK210" s="182"/>
      <c r="AL210" s="182"/>
      <c r="AM210" s="182" t="e">
        <f t="shared" si="94"/>
        <v>#N/A</v>
      </c>
      <c r="AN210" s="390"/>
      <c r="AO210" s="182"/>
      <c r="AP210" s="182"/>
      <c r="AQ210" s="182"/>
      <c r="AR210" s="182" t="e">
        <f t="shared" si="95"/>
        <v>#N/A</v>
      </c>
      <c r="AS210" s="390"/>
      <c r="AT210" s="182"/>
      <c r="AU210" s="182"/>
      <c r="AV210" s="182"/>
      <c r="AW210" s="314" t="e">
        <f t="shared" si="96"/>
        <v>#N/A</v>
      </c>
      <c r="AX210" s="388"/>
      <c r="AZ210" s="314" t="e">
        <f t="shared" si="97"/>
        <v>#N/A</v>
      </c>
      <c r="BA210" s="388"/>
    </row>
    <row r="211" spans="2:53">
      <c r="B211" s="395"/>
      <c r="C211" s="182">
        <v>30</v>
      </c>
      <c r="D211" s="182"/>
      <c r="E211" s="182"/>
      <c r="F211" s="182"/>
      <c r="G211" s="182"/>
      <c r="H211" s="402"/>
      <c r="I211" s="166" t="str">
        <f t="shared" si="87"/>
        <v>-</v>
      </c>
      <c r="J211" s="166" t="str">
        <f t="shared" si="88"/>
        <v>-</v>
      </c>
      <c r="K211" s="180" t="str">
        <f t="shared" si="89"/>
        <v>-</v>
      </c>
      <c r="L211" s="403"/>
      <c r="M211" s="166" t="e">
        <f>RANK(K211, K$182:$K$211)</f>
        <v>#VALUE!</v>
      </c>
      <c r="N211" s="389"/>
      <c r="O211" s="389"/>
      <c r="P211" s="182"/>
      <c r="Q211" s="182"/>
      <c r="R211" s="182"/>
      <c r="S211" s="182" t="e">
        <f t="shared" si="90"/>
        <v>#N/A</v>
      </c>
      <c r="T211" s="390"/>
      <c r="U211" s="182"/>
      <c r="V211" s="182"/>
      <c r="W211" s="182"/>
      <c r="X211" s="182" t="e">
        <f t="shared" si="91"/>
        <v>#N/A</v>
      </c>
      <c r="Y211" s="390"/>
      <c r="Z211" s="182"/>
      <c r="AA211" s="182"/>
      <c r="AB211" s="182"/>
      <c r="AC211" s="182" t="e">
        <f t="shared" si="92"/>
        <v>#N/A</v>
      </c>
      <c r="AD211" s="390"/>
      <c r="AE211" s="182"/>
      <c r="AF211" s="182"/>
      <c r="AG211" s="182"/>
      <c r="AH211" s="182" t="e">
        <f t="shared" si="93"/>
        <v>#N/A</v>
      </c>
      <c r="AI211" s="390"/>
      <c r="AJ211" s="182"/>
      <c r="AK211" s="182"/>
      <c r="AL211" s="182"/>
      <c r="AM211" s="182" t="e">
        <f t="shared" si="94"/>
        <v>#N/A</v>
      </c>
      <c r="AN211" s="390"/>
      <c r="AO211" s="182"/>
      <c r="AP211" s="182"/>
      <c r="AQ211" s="182"/>
      <c r="AR211" s="182" t="e">
        <f t="shared" si="95"/>
        <v>#N/A</v>
      </c>
      <c r="AS211" s="390"/>
      <c r="AT211" s="182"/>
      <c r="AU211" s="182"/>
      <c r="AV211" s="182"/>
      <c r="AW211" s="314" t="e">
        <f t="shared" si="96"/>
        <v>#N/A</v>
      </c>
      <c r="AX211" s="388"/>
      <c r="AZ211" s="314" t="e">
        <f t="shared" si="97"/>
        <v>#N/A</v>
      </c>
      <c r="BA211" s="388"/>
    </row>
    <row r="213" spans="2:53" ht="15.75">
      <c r="B213" s="397" t="s">
        <v>486</v>
      </c>
      <c r="C213" s="398"/>
      <c r="D213" s="398"/>
      <c r="E213" s="398"/>
      <c r="F213" s="398"/>
      <c r="G213" s="398"/>
      <c r="H213" s="398"/>
      <c r="I213" s="273"/>
      <c r="J213" s="273"/>
      <c r="K213" s="273"/>
      <c r="L213" s="273"/>
      <c r="M213" s="274"/>
    </row>
    <row r="214" spans="2:53" ht="15.75">
      <c r="B214" s="399"/>
      <c r="C214" s="399"/>
      <c r="D214" s="399"/>
      <c r="E214" s="399"/>
      <c r="F214" s="399"/>
      <c r="G214" s="399"/>
      <c r="H214" s="399"/>
      <c r="I214" s="275"/>
      <c r="J214" s="275"/>
      <c r="K214" s="275"/>
      <c r="L214" s="275"/>
      <c r="M214" s="276"/>
    </row>
    <row r="215" spans="2:53">
      <c r="B215" s="389" t="s">
        <v>487</v>
      </c>
      <c r="C215" s="389" t="s">
        <v>488</v>
      </c>
      <c r="D215" s="389"/>
      <c r="E215" s="389" t="s">
        <v>489</v>
      </c>
      <c r="F215" s="389"/>
      <c r="G215" s="389"/>
      <c r="H215" s="389" t="s">
        <v>490</v>
      </c>
      <c r="I215" s="400" t="s">
        <v>491</v>
      </c>
      <c r="J215" s="400"/>
      <c r="K215" s="400"/>
      <c r="L215" s="400" t="s">
        <v>490</v>
      </c>
      <c r="M215" s="400" t="s">
        <v>492</v>
      </c>
    </row>
    <row r="216" spans="2:53">
      <c r="B216" s="389"/>
      <c r="C216" s="389"/>
      <c r="D216" s="389"/>
      <c r="E216" s="389" t="s">
        <v>493</v>
      </c>
      <c r="F216" s="389"/>
      <c r="G216" s="389"/>
      <c r="H216" s="389"/>
      <c r="I216" s="400" t="s">
        <v>493</v>
      </c>
      <c r="J216" s="400"/>
      <c r="K216" s="400"/>
      <c r="L216" s="400"/>
      <c r="M216" s="400"/>
    </row>
    <row r="217" spans="2:53">
      <c r="B217" s="389"/>
      <c r="C217" s="389"/>
      <c r="D217" s="389"/>
      <c r="E217" s="258" t="s">
        <v>494</v>
      </c>
      <c r="F217" s="258" t="s">
        <v>495</v>
      </c>
      <c r="G217" s="258" t="s">
        <v>496</v>
      </c>
      <c r="H217" s="389"/>
      <c r="I217" s="277" t="s">
        <v>494</v>
      </c>
      <c r="J217" s="277" t="s">
        <v>495</v>
      </c>
      <c r="K217" s="277" t="s">
        <v>496</v>
      </c>
      <c r="L217" s="400"/>
      <c r="M217" s="400"/>
    </row>
    <row r="218" spans="2:53">
      <c r="B218" s="394" t="s">
        <v>497</v>
      </c>
      <c r="C218" s="182">
        <v>1</v>
      </c>
      <c r="D218" s="182"/>
      <c r="E218" s="182"/>
      <c r="F218" s="182"/>
      <c r="G218" s="182"/>
      <c r="H218" s="390" t="e">
        <f>AVERAGE(G218:G247)</f>
        <v>#DIV/0!</v>
      </c>
      <c r="I218" s="166" t="e">
        <f t="shared" ref="I218:K240" si="98">AVERAGEIF($D$7:$D$211,$D218,I$7:I$211)</f>
        <v>#DIV/0!</v>
      </c>
      <c r="J218" s="166" t="e">
        <f t="shared" si="98"/>
        <v>#DIV/0!</v>
      </c>
      <c r="K218" s="166" t="e">
        <f>AVERAGEIF($D$7:$D$211,$D218,K$7:K$211)</f>
        <v>#DIV/0!</v>
      </c>
      <c r="L218" s="396" t="e">
        <f>AVERAGE(K218:K247)</f>
        <v>#DIV/0!</v>
      </c>
      <c r="M218" s="166" t="e">
        <f>RANK(K218, K$218:$K$247)</f>
        <v>#DIV/0!</v>
      </c>
    </row>
    <row r="219" spans="2:53">
      <c r="B219" s="395"/>
      <c r="C219" s="182">
        <v>2</v>
      </c>
      <c r="D219" s="182"/>
      <c r="E219" s="182"/>
      <c r="F219" s="182"/>
      <c r="G219" s="182"/>
      <c r="H219" s="390"/>
      <c r="I219" s="166" t="e">
        <f t="shared" si="98"/>
        <v>#DIV/0!</v>
      </c>
      <c r="J219" s="166" t="e">
        <f t="shared" si="98"/>
        <v>#DIV/0!</v>
      </c>
      <c r="K219" s="166" t="e">
        <f t="shared" si="98"/>
        <v>#DIV/0!</v>
      </c>
      <c r="L219" s="396"/>
      <c r="M219" s="166" t="e">
        <f>RANK(K219, K$218:$K$247)</f>
        <v>#DIV/0!</v>
      </c>
    </row>
    <row r="220" spans="2:53">
      <c r="B220" s="395"/>
      <c r="C220" s="182">
        <v>3</v>
      </c>
      <c r="D220" s="182"/>
      <c r="E220" s="182"/>
      <c r="F220" s="182"/>
      <c r="G220" s="182"/>
      <c r="H220" s="390"/>
      <c r="I220" s="166" t="e">
        <f t="shared" si="98"/>
        <v>#DIV/0!</v>
      </c>
      <c r="J220" s="166" t="e">
        <f t="shared" si="98"/>
        <v>#DIV/0!</v>
      </c>
      <c r="K220" s="166" t="e">
        <f t="shared" si="98"/>
        <v>#DIV/0!</v>
      </c>
      <c r="L220" s="396"/>
      <c r="M220" s="166" t="e">
        <f>RANK(K220, K$218:$K$247)</f>
        <v>#DIV/0!</v>
      </c>
    </row>
    <row r="221" spans="2:53">
      <c r="B221" s="395"/>
      <c r="C221" s="182">
        <v>4</v>
      </c>
      <c r="D221" s="182"/>
      <c r="E221" s="182"/>
      <c r="F221" s="182"/>
      <c r="G221" s="182"/>
      <c r="H221" s="390"/>
      <c r="I221" s="166" t="e">
        <f t="shared" si="98"/>
        <v>#DIV/0!</v>
      </c>
      <c r="J221" s="166" t="e">
        <f t="shared" si="98"/>
        <v>#DIV/0!</v>
      </c>
      <c r="K221" s="166" t="e">
        <f t="shared" si="98"/>
        <v>#DIV/0!</v>
      </c>
      <c r="L221" s="396"/>
      <c r="M221" s="166" t="e">
        <f>RANK(K221, K$218:$K$247)</f>
        <v>#DIV/0!</v>
      </c>
    </row>
    <row r="222" spans="2:53">
      <c r="B222" s="395"/>
      <c r="C222" s="182">
        <v>5</v>
      </c>
      <c r="D222" s="182"/>
      <c r="E222" s="182"/>
      <c r="F222" s="182"/>
      <c r="G222" s="182"/>
      <c r="H222" s="390"/>
      <c r="I222" s="166" t="e">
        <f t="shared" si="98"/>
        <v>#DIV/0!</v>
      </c>
      <c r="J222" s="166" t="e">
        <f t="shared" si="98"/>
        <v>#DIV/0!</v>
      </c>
      <c r="K222" s="166" t="e">
        <f t="shared" si="98"/>
        <v>#DIV/0!</v>
      </c>
      <c r="L222" s="396"/>
      <c r="M222" s="166" t="e">
        <f>RANK(K222, K$218:$K$247)</f>
        <v>#DIV/0!</v>
      </c>
    </row>
    <row r="223" spans="2:53">
      <c r="B223" s="395"/>
      <c r="C223" s="182">
        <v>6</v>
      </c>
      <c r="D223" s="182"/>
      <c r="E223" s="182"/>
      <c r="F223" s="182"/>
      <c r="G223" s="182"/>
      <c r="H223" s="390"/>
      <c r="I223" s="166" t="e">
        <f t="shared" si="98"/>
        <v>#DIV/0!</v>
      </c>
      <c r="J223" s="166" t="e">
        <f t="shared" si="98"/>
        <v>#DIV/0!</v>
      </c>
      <c r="K223" s="166" t="e">
        <f t="shared" si="98"/>
        <v>#DIV/0!</v>
      </c>
      <c r="L223" s="396"/>
      <c r="M223" s="166" t="e">
        <f>RANK(K223, K$218:$K$247)</f>
        <v>#DIV/0!</v>
      </c>
    </row>
    <row r="224" spans="2:53">
      <c r="B224" s="395"/>
      <c r="C224" s="182">
        <v>7</v>
      </c>
      <c r="D224" s="258"/>
      <c r="E224" s="182"/>
      <c r="F224" s="182"/>
      <c r="G224" s="182"/>
      <c r="H224" s="390"/>
      <c r="I224" s="166" t="e">
        <f t="shared" si="98"/>
        <v>#DIV/0!</v>
      </c>
      <c r="J224" s="166" t="e">
        <f t="shared" si="98"/>
        <v>#DIV/0!</v>
      </c>
      <c r="K224" s="166" t="e">
        <f t="shared" si="98"/>
        <v>#DIV/0!</v>
      </c>
      <c r="L224" s="396"/>
      <c r="M224" s="166" t="e">
        <f>RANK(K224, K$218:$K$247)</f>
        <v>#DIV/0!</v>
      </c>
    </row>
    <row r="225" spans="2:39">
      <c r="B225" s="395"/>
      <c r="C225" s="182">
        <v>8</v>
      </c>
      <c r="D225" s="258"/>
      <c r="E225" s="182"/>
      <c r="F225" s="182"/>
      <c r="G225" s="182"/>
      <c r="H225" s="390"/>
      <c r="I225" s="166" t="e">
        <f t="shared" si="98"/>
        <v>#DIV/0!</v>
      </c>
      <c r="J225" s="166" t="e">
        <f t="shared" si="98"/>
        <v>#DIV/0!</v>
      </c>
      <c r="K225" s="166" t="e">
        <f t="shared" si="98"/>
        <v>#DIV/0!</v>
      </c>
      <c r="L225" s="396"/>
      <c r="M225" s="166" t="e">
        <f>RANK(K225, K$218:$K$247)</f>
        <v>#DIV/0!</v>
      </c>
      <c r="N225" s="103"/>
      <c r="O225" s="103"/>
      <c r="P225" s="103"/>
      <c r="Q225" s="103"/>
      <c r="R225" s="103"/>
      <c r="S225" s="103"/>
      <c r="T225" s="103"/>
      <c r="X225" s="103"/>
      <c r="AC225" s="103"/>
      <c r="AH225" s="103"/>
      <c r="AM225" s="103"/>
    </row>
    <row r="226" spans="2:39">
      <c r="B226" s="395"/>
      <c r="C226" s="182">
        <v>9</v>
      </c>
      <c r="D226" s="182"/>
      <c r="E226" s="182"/>
      <c r="F226" s="182"/>
      <c r="G226" s="182"/>
      <c r="H226" s="390"/>
      <c r="I226" s="166" t="e">
        <f t="shared" si="98"/>
        <v>#DIV/0!</v>
      </c>
      <c r="J226" s="166" t="e">
        <f t="shared" si="98"/>
        <v>#DIV/0!</v>
      </c>
      <c r="K226" s="166" t="e">
        <f t="shared" si="98"/>
        <v>#DIV/0!</v>
      </c>
      <c r="L226" s="396"/>
      <c r="M226" s="166" t="e">
        <f>RANK(K226, K$218:$K$247)</f>
        <v>#DIV/0!</v>
      </c>
      <c r="N226" s="103"/>
      <c r="O226" s="103"/>
      <c r="P226" s="103"/>
      <c r="Q226" s="103"/>
      <c r="R226" s="103"/>
      <c r="S226" s="103"/>
      <c r="T226" s="103"/>
      <c r="X226" s="103"/>
      <c r="AC226" s="103"/>
      <c r="AH226" s="103"/>
      <c r="AM226" s="103"/>
    </row>
    <row r="227" spans="2:39">
      <c r="B227" s="395"/>
      <c r="C227" s="182">
        <v>10</v>
      </c>
      <c r="D227" s="182"/>
      <c r="E227" s="182"/>
      <c r="F227" s="182"/>
      <c r="G227" s="182"/>
      <c r="H227" s="390"/>
      <c r="I227" s="166" t="e">
        <f t="shared" si="98"/>
        <v>#DIV/0!</v>
      </c>
      <c r="J227" s="166" t="e">
        <f t="shared" si="98"/>
        <v>#DIV/0!</v>
      </c>
      <c r="K227" s="166" t="e">
        <f t="shared" si="98"/>
        <v>#DIV/0!</v>
      </c>
      <c r="L227" s="396"/>
      <c r="M227" s="166" t="e">
        <f>RANK(K227, K$218:$K$247)</f>
        <v>#DIV/0!</v>
      </c>
      <c r="N227" s="103"/>
      <c r="O227" s="103"/>
      <c r="P227" s="103"/>
      <c r="Q227" s="103"/>
      <c r="R227" s="103"/>
      <c r="S227" s="103"/>
      <c r="T227" s="103"/>
      <c r="X227" s="103"/>
      <c r="AC227" s="103"/>
      <c r="AH227" s="103"/>
      <c r="AM227" s="103"/>
    </row>
    <row r="228" spans="2:39">
      <c r="B228" s="395"/>
      <c r="C228" s="182">
        <v>11</v>
      </c>
      <c r="D228" s="182"/>
      <c r="E228" s="182"/>
      <c r="F228" s="182"/>
      <c r="G228" s="182"/>
      <c r="H228" s="390"/>
      <c r="I228" s="166" t="e">
        <f t="shared" si="98"/>
        <v>#DIV/0!</v>
      </c>
      <c r="J228" s="166" t="e">
        <f t="shared" si="98"/>
        <v>#DIV/0!</v>
      </c>
      <c r="K228" s="166" t="e">
        <f t="shared" si="98"/>
        <v>#DIV/0!</v>
      </c>
      <c r="L228" s="396"/>
      <c r="M228" s="166" t="e">
        <f>RANK(K228, K$218:$K$247)</f>
        <v>#DIV/0!</v>
      </c>
      <c r="N228" s="103"/>
      <c r="O228" s="103"/>
      <c r="P228" s="103"/>
      <c r="Q228" s="103"/>
      <c r="R228" s="103"/>
      <c r="S228" s="103"/>
      <c r="T228" s="103"/>
      <c r="X228" s="103"/>
      <c r="AC228" s="103"/>
      <c r="AH228" s="103"/>
      <c r="AM228" s="103"/>
    </row>
    <row r="229" spans="2:39">
      <c r="B229" s="395"/>
      <c r="C229" s="182">
        <v>12</v>
      </c>
      <c r="D229" s="182"/>
      <c r="E229" s="182"/>
      <c r="F229" s="182"/>
      <c r="G229" s="182"/>
      <c r="H229" s="390"/>
      <c r="I229" s="166" t="e">
        <f t="shared" si="98"/>
        <v>#DIV/0!</v>
      </c>
      <c r="J229" s="166" t="e">
        <f t="shared" si="98"/>
        <v>#DIV/0!</v>
      </c>
      <c r="K229" s="166" t="e">
        <f t="shared" si="98"/>
        <v>#DIV/0!</v>
      </c>
      <c r="L229" s="396"/>
      <c r="M229" s="166" t="e">
        <f>RANK(K229, K$218:$K$247)</f>
        <v>#DIV/0!</v>
      </c>
      <c r="N229" s="103"/>
      <c r="O229" s="103"/>
      <c r="P229" s="103"/>
      <c r="Q229" s="103"/>
      <c r="R229" s="103"/>
      <c r="S229" s="103"/>
      <c r="T229" s="103"/>
      <c r="X229" s="103"/>
      <c r="AC229" s="103"/>
      <c r="AH229" s="103"/>
      <c r="AM229" s="103"/>
    </row>
    <row r="230" spans="2:39">
      <c r="B230" s="395"/>
      <c r="C230" s="182">
        <v>13</v>
      </c>
      <c r="D230" s="182"/>
      <c r="E230" s="182"/>
      <c r="F230" s="182"/>
      <c r="G230" s="182"/>
      <c r="H230" s="390"/>
      <c r="I230" s="166" t="e">
        <f t="shared" si="98"/>
        <v>#DIV/0!</v>
      </c>
      <c r="J230" s="166" t="e">
        <f t="shared" si="98"/>
        <v>#DIV/0!</v>
      </c>
      <c r="K230" s="166" t="e">
        <f t="shared" si="98"/>
        <v>#DIV/0!</v>
      </c>
      <c r="L230" s="396"/>
      <c r="M230" s="166" t="e">
        <f>RANK(K230, K$218:$K$247)</f>
        <v>#DIV/0!</v>
      </c>
      <c r="N230" s="103"/>
      <c r="O230" s="103"/>
      <c r="P230" s="103"/>
      <c r="Q230" s="103"/>
      <c r="R230" s="103"/>
      <c r="S230" s="103"/>
      <c r="T230" s="103"/>
      <c r="X230" s="103"/>
      <c r="AC230" s="103"/>
      <c r="AH230" s="103"/>
      <c r="AM230" s="103"/>
    </row>
    <row r="231" spans="2:39">
      <c r="B231" s="395"/>
      <c r="C231" s="182">
        <v>14</v>
      </c>
      <c r="D231" s="182"/>
      <c r="E231" s="182"/>
      <c r="F231" s="182"/>
      <c r="G231" s="182"/>
      <c r="H231" s="390"/>
      <c r="I231" s="166" t="e">
        <f t="shared" si="98"/>
        <v>#DIV/0!</v>
      </c>
      <c r="J231" s="166" t="e">
        <f t="shared" si="98"/>
        <v>#DIV/0!</v>
      </c>
      <c r="K231" s="166" t="e">
        <f t="shared" si="98"/>
        <v>#DIV/0!</v>
      </c>
      <c r="L231" s="396"/>
      <c r="M231" s="166" t="e">
        <f>RANK(K231, K$218:$K$247)</f>
        <v>#DIV/0!</v>
      </c>
      <c r="N231" s="103"/>
      <c r="O231" s="103"/>
      <c r="P231" s="103"/>
      <c r="Q231" s="103"/>
      <c r="R231" s="103"/>
      <c r="S231" s="103"/>
      <c r="T231" s="103"/>
      <c r="X231" s="103"/>
      <c r="AC231" s="103"/>
      <c r="AH231" s="103"/>
      <c r="AM231" s="103"/>
    </row>
    <row r="232" spans="2:39">
      <c r="B232" s="395"/>
      <c r="C232" s="182">
        <v>15</v>
      </c>
      <c r="D232" s="182"/>
      <c r="E232" s="182"/>
      <c r="F232" s="182"/>
      <c r="G232" s="182"/>
      <c r="H232" s="390"/>
      <c r="I232" s="166" t="e">
        <f t="shared" si="98"/>
        <v>#DIV/0!</v>
      </c>
      <c r="J232" s="166" t="e">
        <f t="shared" si="98"/>
        <v>#DIV/0!</v>
      </c>
      <c r="K232" s="166" t="e">
        <f t="shared" si="98"/>
        <v>#DIV/0!</v>
      </c>
      <c r="L232" s="396"/>
      <c r="M232" s="166" t="e">
        <f>RANK(K232, K$218:$K$247)</f>
        <v>#DIV/0!</v>
      </c>
      <c r="N232" s="103"/>
      <c r="O232" s="103"/>
      <c r="P232" s="103"/>
      <c r="Q232" s="103"/>
      <c r="R232" s="103"/>
      <c r="S232" s="103"/>
      <c r="T232" s="103"/>
      <c r="X232" s="103"/>
      <c r="AC232" s="103"/>
      <c r="AH232" s="103"/>
      <c r="AM232" s="103"/>
    </row>
    <row r="233" spans="2:39">
      <c r="B233" s="395"/>
      <c r="C233" s="182">
        <v>16</v>
      </c>
      <c r="D233" s="182"/>
      <c r="E233" s="182"/>
      <c r="F233" s="182"/>
      <c r="G233" s="182"/>
      <c r="H233" s="390"/>
      <c r="I233" s="166" t="e">
        <f t="shared" si="98"/>
        <v>#DIV/0!</v>
      </c>
      <c r="J233" s="166" t="e">
        <f t="shared" si="98"/>
        <v>#DIV/0!</v>
      </c>
      <c r="K233" s="166" t="e">
        <f t="shared" si="98"/>
        <v>#DIV/0!</v>
      </c>
      <c r="L233" s="396"/>
      <c r="M233" s="166" t="e">
        <f>RANK(K233, K$218:$K$247)</f>
        <v>#DIV/0!</v>
      </c>
      <c r="N233" s="103"/>
      <c r="O233" s="103"/>
      <c r="P233" s="103"/>
      <c r="Q233" s="103"/>
      <c r="R233" s="103"/>
      <c r="S233" s="103"/>
      <c r="T233" s="103"/>
      <c r="X233" s="103"/>
      <c r="AC233" s="103"/>
      <c r="AH233" s="103"/>
      <c r="AM233" s="103"/>
    </row>
    <row r="234" spans="2:39">
      <c r="B234" s="395"/>
      <c r="C234" s="182">
        <v>17</v>
      </c>
      <c r="D234" s="182"/>
      <c r="E234" s="182"/>
      <c r="F234" s="182"/>
      <c r="G234" s="182"/>
      <c r="H234" s="390"/>
      <c r="I234" s="166" t="e">
        <f t="shared" si="98"/>
        <v>#DIV/0!</v>
      </c>
      <c r="J234" s="166" t="e">
        <f t="shared" si="98"/>
        <v>#DIV/0!</v>
      </c>
      <c r="K234" s="166" t="e">
        <f t="shared" si="98"/>
        <v>#DIV/0!</v>
      </c>
      <c r="L234" s="396"/>
      <c r="M234" s="166" t="e">
        <f>RANK(K234, K$218:$K$247)</f>
        <v>#DIV/0!</v>
      </c>
      <c r="N234" s="103"/>
      <c r="O234" s="103"/>
      <c r="P234" s="103"/>
      <c r="Q234" s="103"/>
      <c r="R234" s="103"/>
      <c r="S234" s="103"/>
      <c r="T234" s="103"/>
      <c r="X234" s="103"/>
      <c r="AC234" s="103"/>
      <c r="AH234" s="103"/>
      <c r="AM234" s="103"/>
    </row>
    <row r="235" spans="2:39">
      <c r="B235" s="395"/>
      <c r="C235" s="182">
        <v>18</v>
      </c>
      <c r="D235" s="182"/>
      <c r="E235" s="182"/>
      <c r="F235" s="182"/>
      <c r="G235" s="182"/>
      <c r="H235" s="390"/>
      <c r="I235" s="166" t="e">
        <f t="shared" si="98"/>
        <v>#DIV/0!</v>
      </c>
      <c r="J235" s="166" t="e">
        <f t="shared" si="98"/>
        <v>#DIV/0!</v>
      </c>
      <c r="K235" s="166" t="e">
        <f t="shared" si="98"/>
        <v>#DIV/0!</v>
      </c>
      <c r="L235" s="396"/>
      <c r="M235" s="166" t="e">
        <f>RANK(K235, K$218:$K$247)</f>
        <v>#DIV/0!</v>
      </c>
      <c r="N235" s="103"/>
      <c r="O235" s="103"/>
      <c r="P235" s="103"/>
      <c r="Q235" s="103"/>
      <c r="R235" s="103"/>
      <c r="S235" s="103"/>
      <c r="T235" s="103"/>
      <c r="X235" s="103"/>
      <c r="AC235" s="103"/>
      <c r="AH235" s="103"/>
      <c r="AM235" s="103"/>
    </row>
    <row r="236" spans="2:39">
      <c r="B236" s="395"/>
      <c r="C236" s="182">
        <v>19</v>
      </c>
      <c r="D236" s="182"/>
      <c r="E236" s="182"/>
      <c r="F236" s="182"/>
      <c r="G236" s="182"/>
      <c r="H236" s="390"/>
      <c r="I236" s="166" t="e">
        <f t="shared" si="98"/>
        <v>#DIV/0!</v>
      </c>
      <c r="J236" s="166" t="e">
        <f t="shared" si="98"/>
        <v>#DIV/0!</v>
      </c>
      <c r="K236" s="166" t="e">
        <f t="shared" si="98"/>
        <v>#DIV/0!</v>
      </c>
      <c r="L236" s="396"/>
      <c r="M236" s="166" t="e">
        <f>RANK(K236, K$218:$K$247)</f>
        <v>#DIV/0!</v>
      </c>
      <c r="N236" s="103"/>
      <c r="O236" s="103"/>
      <c r="P236" s="103"/>
      <c r="Q236" s="103"/>
      <c r="R236" s="103"/>
      <c r="S236" s="103"/>
      <c r="T236" s="103"/>
      <c r="X236" s="103"/>
      <c r="AC236" s="103"/>
      <c r="AH236" s="103"/>
      <c r="AM236" s="103"/>
    </row>
    <row r="237" spans="2:39">
      <c r="B237" s="395"/>
      <c r="C237" s="182">
        <v>20</v>
      </c>
      <c r="D237" s="182"/>
      <c r="E237" s="182"/>
      <c r="F237" s="182"/>
      <c r="G237" s="182"/>
      <c r="H237" s="390"/>
      <c r="I237" s="166" t="e">
        <f t="shared" si="98"/>
        <v>#DIV/0!</v>
      </c>
      <c r="J237" s="166" t="e">
        <f t="shared" si="98"/>
        <v>#DIV/0!</v>
      </c>
      <c r="K237" s="166" t="e">
        <f t="shared" si="98"/>
        <v>#DIV/0!</v>
      </c>
      <c r="L237" s="396"/>
      <c r="M237" s="166" t="e">
        <f>RANK(K237, K$218:$K$247)</f>
        <v>#DIV/0!</v>
      </c>
      <c r="N237" s="103"/>
      <c r="O237" s="103"/>
      <c r="P237" s="103"/>
      <c r="Q237" s="103"/>
      <c r="R237" s="103"/>
      <c r="S237" s="103"/>
      <c r="T237" s="103"/>
      <c r="X237" s="103"/>
      <c r="AC237" s="103"/>
      <c r="AH237" s="103"/>
      <c r="AM237" s="103"/>
    </row>
    <row r="238" spans="2:39">
      <c r="B238" s="395"/>
      <c r="C238" s="182">
        <v>21</v>
      </c>
      <c r="D238" s="182"/>
      <c r="E238" s="182"/>
      <c r="F238" s="182"/>
      <c r="G238" s="182"/>
      <c r="H238" s="390"/>
      <c r="I238" s="166" t="e">
        <f t="shared" si="98"/>
        <v>#DIV/0!</v>
      </c>
      <c r="J238" s="166" t="e">
        <f t="shared" si="98"/>
        <v>#DIV/0!</v>
      </c>
      <c r="K238" s="166" t="e">
        <f t="shared" si="98"/>
        <v>#DIV/0!</v>
      </c>
      <c r="L238" s="396"/>
      <c r="M238" s="166" t="e">
        <f>RANK(K238, K$218:$K$247)</f>
        <v>#DIV/0!</v>
      </c>
      <c r="N238" s="103"/>
      <c r="O238" s="103"/>
      <c r="P238" s="103"/>
      <c r="Q238" s="103"/>
      <c r="R238" s="103"/>
      <c r="S238" s="103"/>
      <c r="T238" s="103"/>
      <c r="X238" s="103"/>
      <c r="AC238" s="103"/>
      <c r="AH238" s="103"/>
      <c r="AM238" s="103"/>
    </row>
    <row r="239" spans="2:39">
      <c r="B239" s="395"/>
      <c r="C239" s="182">
        <v>22</v>
      </c>
      <c r="D239" s="182"/>
      <c r="E239" s="182"/>
      <c r="F239" s="182"/>
      <c r="G239" s="182"/>
      <c r="H239" s="390"/>
      <c r="I239" s="166" t="e">
        <f t="shared" si="98"/>
        <v>#DIV/0!</v>
      </c>
      <c r="J239" s="166" t="e">
        <f t="shared" si="98"/>
        <v>#DIV/0!</v>
      </c>
      <c r="K239" s="166" t="e">
        <f t="shared" si="98"/>
        <v>#DIV/0!</v>
      </c>
      <c r="L239" s="396"/>
      <c r="M239" s="166" t="e">
        <f>RANK(K239, K$218:$K$247)</f>
        <v>#DIV/0!</v>
      </c>
      <c r="N239" s="103"/>
      <c r="O239" s="103"/>
      <c r="P239" s="103"/>
      <c r="Q239" s="103"/>
      <c r="R239" s="103"/>
      <c r="S239" s="103"/>
      <c r="T239" s="103"/>
      <c r="X239" s="103"/>
      <c r="AC239" s="103"/>
      <c r="AH239" s="103"/>
      <c r="AM239" s="103"/>
    </row>
    <row r="240" spans="2:39">
      <c r="B240" s="395"/>
      <c r="C240" s="182">
        <v>23</v>
      </c>
      <c r="D240" s="182"/>
      <c r="E240" s="182"/>
      <c r="F240" s="182"/>
      <c r="G240" s="182"/>
      <c r="H240" s="390"/>
      <c r="I240" s="166" t="e">
        <f t="shared" si="98"/>
        <v>#DIV/0!</v>
      </c>
      <c r="J240" s="166" t="e">
        <f t="shared" si="98"/>
        <v>#DIV/0!</v>
      </c>
      <c r="K240" s="166" t="e">
        <f t="shared" si="98"/>
        <v>#DIV/0!</v>
      </c>
      <c r="L240" s="396"/>
      <c r="M240" s="166" t="e">
        <f>RANK(K240, K$218:$K$247)</f>
        <v>#DIV/0!</v>
      </c>
      <c r="N240" s="103"/>
      <c r="O240" s="103"/>
      <c r="P240" s="103"/>
      <c r="Q240" s="103"/>
      <c r="R240" s="103"/>
      <c r="S240" s="103"/>
      <c r="T240" s="103"/>
      <c r="X240" s="103"/>
      <c r="AC240" s="103"/>
      <c r="AH240" s="103"/>
      <c r="AM240" s="103"/>
    </row>
    <row r="241" spans="2:39">
      <c r="B241" s="395"/>
      <c r="C241" s="182">
        <v>24</v>
      </c>
      <c r="D241" s="182"/>
      <c r="E241" s="182"/>
      <c r="F241" s="182"/>
      <c r="G241" s="182"/>
      <c r="H241" s="390"/>
      <c r="I241" s="166"/>
      <c r="J241" s="166"/>
      <c r="K241" s="166"/>
      <c r="L241" s="396"/>
      <c r="M241" s="166" t="e">
        <f>RANK(K241, K$218:$K$247)</f>
        <v>#DIV/0!</v>
      </c>
      <c r="N241" s="103"/>
      <c r="O241" s="103"/>
      <c r="P241" s="103"/>
      <c r="Q241" s="103"/>
      <c r="R241" s="103"/>
      <c r="S241" s="103"/>
      <c r="T241" s="103"/>
      <c r="X241" s="103"/>
      <c r="AC241" s="103"/>
      <c r="AH241" s="103"/>
      <c r="AM241" s="103"/>
    </row>
    <row r="242" spans="2:39">
      <c r="B242" s="395"/>
      <c r="C242" s="182">
        <v>25</v>
      </c>
      <c r="D242" s="182"/>
      <c r="E242" s="182"/>
      <c r="F242" s="182"/>
      <c r="G242" s="182"/>
      <c r="H242" s="390"/>
      <c r="I242" s="166"/>
      <c r="J242" s="166"/>
      <c r="K242" s="166"/>
      <c r="L242" s="396"/>
      <c r="M242" s="166" t="e">
        <f>RANK(K242, K$218:$K$247)</f>
        <v>#DIV/0!</v>
      </c>
      <c r="N242" s="103"/>
      <c r="O242" s="103"/>
      <c r="P242" s="103"/>
      <c r="Q242" s="103"/>
      <c r="R242" s="103"/>
      <c r="S242" s="103"/>
      <c r="T242" s="103"/>
      <c r="X242" s="103"/>
      <c r="AC242" s="103"/>
      <c r="AH242" s="103"/>
      <c r="AM242" s="103"/>
    </row>
    <row r="243" spans="2:39">
      <c r="B243" s="395"/>
      <c r="C243" s="182">
        <v>26</v>
      </c>
      <c r="D243" s="182"/>
      <c r="E243" s="182"/>
      <c r="F243" s="182"/>
      <c r="G243" s="182"/>
      <c r="H243" s="390"/>
      <c r="I243" s="166"/>
      <c r="J243" s="166"/>
      <c r="K243" s="166"/>
      <c r="L243" s="396"/>
      <c r="M243" s="166" t="e">
        <f>RANK(K243, K$218:$K$247)</f>
        <v>#DIV/0!</v>
      </c>
      <c r="N243" s="103"/>
      <c r="O243" s="103"/>
      <c r="P243" s="103"/>
      <c r="Q243" s="103"/>
      <c r="R243" s="103"/>
      <c r="S243" s="103"/>
      <c r="T243" s="103"/>
      <c r="X243" s="103"/>
      <c r="AC243" s="103"/>
      <c r="AH243" s="103"/>
      <c r="AM243" s="103"/>
    </row>
    <row r="244" spans="2:39">
      <c r="B244" s="395"/>
      <c r="C244" s="182">
        <v>27</v>
      </c>
      <c r="D244" s="182"/>
      <c r="E244" s="182"/>
      <c r="F244" s="182"/>
      <c r="G244" s="182"/>
      <c r="H244" s="390"/>
      <c r="I244" s="166"/>
      <c r="J244" s="166"/>
      <c r="K244" s="166"/>
      <c r="L244" s="396"/>
      <c r="M244" s="166" t="e">
        <f>RANK(K244, K$218:$K$247)</f>
        <v>#DIV/0!</v>
      </c>
      <c r="N244" s="103"/>
      <c r="O244" s="103"/>
      <c r="P244" s="103"/>
      <c r="Q244" s="103"/>
      <c r="R244" s="103"/>
      <c r="S244" s="103"/>
      <c r="T244" s="103"/>
      <c r="X244" s="103"/>
      <c r="AC244" s="103"/>
      <c r="AH244" s="103"/>
      <c r="AM244" s="103"/>
    </row>
    <row r="245" spans="2:39">
      <c r="B245" s="395"/>
      <c r="C245" s="182">
        <v>28</v>
      </c>
      <c r="D245" s="182"/>
      <c r="E245" s="182"/>
      <c r="F245" s="182"/>
      <c r="G245" s="182"/>
      <c r="H245" s="390"/>
      <c r="I245" s="166"/>
      <c r="J245" s="166"/>
      <c r="K245" s="166"/>
      <c r="L245" s="396"/>
      <c r="M245" s="166" t="e">
        <f>RANK(K245, K$218:$K$247)</f>
        <v>#DIV/0!</v>
      </c>
      <c r="N245" s="103"/>
      <c r="O245" s="103"/>
      <c r="P245" s="103"/>
      <c r="Q245" s="103"/>
      <c r="R245" s="103"/>
      <c r="S245" s="103"/>
      <c r="T245" s="103"/>
      <c r="X245" s="103"/>
      <c r="AC245" s="103"/>
      <c r="AH245" s="103"/>
      <c r="AM245" s="103"/>
    </row>
    <row r="246" spans="2:39">
      <c r="B246" s="395"/>
      <c r="C246" s="182">
        <v>29</v>
      </c>
      <c r="D246" s="182"/>
      <c r="E246" s="182"/>
      <c r="F246" s="182"/>
      <c r="G246" s="182"/>
      <c r="H246" s="390"/>
      <c r="I246" s="166"/>
      <c r="J246" s="166"/>
      <c r="K246" s="166"/>
      <c r="L246" s="396"/>
      <c r="M246" s="166" t="e">
        <f>RANK(K246, K$218:$K$247)</f>
        <v>#DIV/0!</v>
      </c>
      <c r="N246" s="103"/>
      <c r="O246" s="103"/>
      <c r="P246" s="103"/>
      <c r="Q246" s="103"/>
      <c r="R246" s="103"/>
      <c r="S246" s="103"/>
      <c r="T246" s="103"/>
      <c r="X246" s="103"/>
      <c r="AC246" s="103"/>
      <c r="AH246" s="103"/>
      <c r="AM246" s="103"/>
    </row>
    <row r="247" spans="2:39">
      <c r="B247" s="395"/>
      <c r="C247" s="182">
        <v>30</v>
      </c>
      <c r="D247" s="182"/>
      <c r="E247" s="182"/>
      <c r="F247" s="182"/>
      <c r="G247" s="182"/>
      <c r="H247" s="390"/>
      <c r="I247" s="166"/>
      <c r="J247" s="166"/>
      <c r="K247" s="166"/>
      <c r="L247" s="396"/>
      <c r="M247" s="166" t="e">
        <f>RANK(K247, K$218:$K$247)</f>
        <v>#DIV/0!</v>
      </c>
      <c r="N247" s="103"/>
      <c r="O247" s="103"/>
      <c r="P247" s="103"/>
      <c r="Q247" s="103"/>
      <c r="R247" s="103"/>
      <c r="S247" s="103"/>
      <c r="T247" s="103"/>
      <c r="X247" s="103"/>
      <c r="AC247" s="103"/>
      <c r="AH247" s="103"/>
      <c r="AM247" s="103"/>
    </row>
    <row r="250" spans="2:39">
      <c r="D250" s="182" t="s">
        <v>342</v>
      </c>
      <c r="E250" s="182">
        <v>4</v>
      </c>
      <c r="F250" s="182">
        <v>2700</v>
      </c>
      <c r="G250" s="182">
        <f>F250/E250</f>
        <v>675</v>
      </c>
      <c r="H250" s="102">
        <v>704.2</v>
      </c>
      <c r="N250" s="103"/>
      <c r="O250" s="103"/>
      <c r="P250" s="103"/>
      <c r="Q250" s="103"/>
      <c r="R250" s="103"/>
      <c r="S250" s="103"/>
      <c r="T250" s="103"/>
      <c r="X250" s="103"/>
      <c r="AC250" s="103"/>
      <c r="AH250" s="103"/>
      <c r="AM250" s="103"/>
    </row>
    <row r="251" spans="2:39">
      <c r="D251" s="182" t="s">
        <v>344</v>
      </c>
      <c r="E251" s="182">
        <v>3</v>
      </c>
      <c r="F251" s="182">
        <v>2700</v>
      </c>
      <c r="G251" s="182">
        <f t="shared" ref="G251:G255" si="99">F251/E251</f>
        <v>900</v>
      </c>
      <c r="N251" s="103"/>
      <c r="O251" s="103"/>
      <c r="P251" s="103"/>
      <c r="Q251" s="103"/>
      <c r="R251" s="103"/>
      <c r="S251" s="103"/>
      <c r="T251" s="103"/>
      <c r="X251" s="103"/>
      <c r="AC251" s="103"/>
      <c r="AH251" s="103"/>
      <c r="AM251" s="103"/>
    </row>
    <row r="252" spans="2:39">
      <c r="D252" s="182" t="s">
        <v>345</v>
      </c>
      <c r="E252" s="182">
        <v>4</v>
      </c>
      <c r="F252" s="182">
        <v>2700</v>
      </c>
      <c r="G252" s="182">
        <f t="shared" si="99"/>
        <v>675</v>
      </c>
      <c r="N252" s="103"/>
      <c r="O252" s="103"/>
      <c r="P252" s="103"/>
      <c r="Q252" s="103"/>
      <c r="R252" s="103"/>
      <c r="S252" s="103"/>
      <c r="T252" s="103"/>
      <c r="X252" s="103"/>
      <c r="AC252" s="103"/>
      <c r="AH252" s="103"/>
      <c r="AM252" s="103"/>
    </row>
    <row r="253" spans="2:39">
      <c r="D253" s="182" t="s">
        <v>527</v>
      </c>
      <c r="E253" s="182">
        <v>4</v>
      </c>
      <c r="F253" s="182">
        <v>2700</v>
      </c>
      <c r="G253" s="182">
        <f t="shared" si="99"/>
        <v>675</v>
      </c>
      <c r="N253" s="103"/>
      <c r="O253" s="103"/>
      <c r="P253" s="103"/>
      <c r="Q253" s="103"/>
      <c r="R253" s="103"/>
      <c r="S253" s="103"/>
      <c r="T253" s="103"/>
      <c r="X253" s="103"/>
      <c r="AC253" s="103"/>
      <c r="AH253" s="103"/>
      <c r="AM253" s="103"/>
    </row>
    <row r="254" spans="2:39">
      <c r="D254" s="258" t="s">
        <v>580</v>
      </c>
      <c r="E254" s="182">
        <v>4</v>
      </c>
      <c r="F254" s="182">
        <v>2600</v>
      </c>
      <c r="G254" s="182">
        <f t="shared" si="99"/>
        <v>650</v>
      </c>
      <c r="N254" s="103"/>
      <c r="O254" s="103"/>
      <c r="P254" s="103"/>
      <c r="Q254" s="103"/>
      <c r="R254" s="103"/>
      <c r="S254" s="103"/>
      <c r="T254" s="103"/>
      <c r="X254" s="103"/>
      <c r="AC254" s="103"/>
      <c r="AH254" s="103"/>
      <c r="AM254" s="103"/>
    </row>
    <row r="255" spans="2:39">
      <c r="D255" s="258" t="s">
        <v>581</v>
      </c>
      <c r="E255" s="182">
        <v>4</v>
      </c>
      <c r="F255" s="182">
        <v>2600</v>
      </c>
      <c r="G255" s="182">
        <f t="shared" si="99"/>
        <v>650</v>
      </c>
      <c r="N255" s="103"/>
      <c r="O255" s="103"/>
      <c r="P255" s="103"/>
      <c r="Q255" s="103"/>
      <c r="R255" s="103"/>
      <c r="S255" s="103"/>
      <c r="T255" s="103"/>
      <c r="X255" s="103"/>
      <c r="AC255" s="103"/>
      <c r="AH255" s="103"/>
      <c r="AM255" s="103"/>
    </row>
    <row r="257" spans="4:8" s="103" customFormat="1">
      <c r="D257" s="182" t="s">
        <v>342</v>
      </c>
      <c r="E257" s="182">
        <v>4</v>
      </c>
      <c r="F257" s="182">
        <v>3300</v>
      </c>
      <c r="G257" s="182">
        <f>F257/E257</f>
        <v>825</v>
      </c>
      <c r="H257" s="102">
        <v>845.8</v>
      </c>
    </row>
    <row r="258" spans="4:8" s="103" customFormat="1">
      <c r="D258" s="182" t="s">
        <v>344</v>
      </c>
      <c r="E258" s="182">
        <v>3</v>
      </c>
      <c r="F258" s="182">
        <v>3300</v>
      </c>
      <c r="G258" s="182">
        <f t="shared" ref="G258:G262" si="100">F258/E258</f>
        <v>1100</v>
      </c>
      <c r="H258" s="102"/>
    </row>
    <row r="259" spans="4:8" s="103" customFormat="1">
      <c r="D259" s="182" t="s">
        <v>345</v>
      </c>
      <c r="E259" s="182">
        <v>4</v>
      </c>
      <c r="F259" s="182">
        <v>3300</v>
      </c>
      <c r="G259" s="182">
        <f t="shared" si="100"/>
        <v>825</v>
      </c>
      <c r="H259" s="102"/>
    </row>
    <row r="260" spans="4:8" s="103" customFormat="1">
      <c r="D260" s="182" t="s">
        <v>527</v>
      </c>
      <c r="E260" s="182">
        <v>4</v>
      </c>
      <c r="F260" s="182">
        <v>3100</v>
      </c>
      <c r="G260" s="182">
        <f t="shared" si="100"/>
        <v>775</v>
      </c>
      <c r="H260" s="102"/>
    </row>
    <row r="261" spans="4:8" s="103" customFormat="1">
      <c r="D261" s="258" t="s">
        <v>580</v>
      </c>
      <c r="E261" s="182">
        <v>4</v>
      </c>
      <c r="F261" s="182">
        <v>3100</v>
      </c>
      <c r="G261" s="182">
        <f t="shared" si="100"/>
        <v>775</v>
      </c>
      <c r="H261" s="102"/>
    </row>
    <row r="262" spans="4:8" s="103" customFormat="1">
      <c r="D262" s="258" t="s">
        <v>581</v>
      </c>
      <c r="E262" s="182">
        <v>4</v>
      </c>
      <c r="F262" s="182">
        <v>3100</v>
      </c>
      <c r="G262" s="182">
        <f t="shared" si="100"/>
        <v>775</v>
      </c>
      <c r="H262" s="102"/>
    </row>
  </sheetData>
  <mergeCells count="379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BA142"/>
  <sheetViews>
    <sheetView topLeftCell="A70" zoomScale="40" zoomScaleNormal="40" workbookViewId="0">
      <pane xSplit="15" topLeftCell="V1" activePane="topRight" state="frozen"/>
      <selection activeCell="T7" activeCellId="4" sqref="AM7:AN36 AH7:AI36 AC7:AD36 X7:Y36 S7:T36"/>
      <selection pane="topRight" activeCell="AI87" sqref="AI87:AI101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51" width="8.85546875" style="103"/>
    <col min="52" max="52" width="5.42578125" style="103" customWidth="1"/>
    <col min="53" max="53" width="13.140625" style="103" customWidth="1"/>
    <col min="54" max="16384" width="8.85546875" style="103"/>
  </cols>
  <sheetData>
    <row r="1" spans="1:53" ht="24">
      <c r="A1" s="74"/>
      <c r="B1" s="198" t="s">
        <v>314</v>
      </c>
      <c r="C1" s="197">
        <f>AVERAGE(L7,L27,L47,L87,L87,L107)</f>
        <v>166.56349963275667</v>
      </c>
    </row>
    <row r="2" spans="1:53" ht="15.75">
      <c r="A2" s="79"/>
      <c r="B2" s="414" t="s">
        <v>163</v>
      </c>
      <c r="C2" s="414"/>
      <c r="D2" s="414"/>
      <c r="E2" s="414"/>
      <c r="F2" s="414"/>
      <c r="G2" s="414"/>
      <c r="H2" s="414"/>
      <c r="I2" s="183"/>
      <c r="J2" s="183"/>
      <c r="K2" s="183"/>
      <c r="L2" s="183"/>
      <c r="M2" s="178"/>
      <c r="N2" s="391" t="s">
        <v>156</v>
      </c>
      <c r="O2" s="391" t="s">
        <v>155</v>
      </c>
      <c r="P2" s="421">
        <v>46140</v>
      </c>
      <c r="Q2" s="422"/>
      <c r="R2" s="422"/>
      <c r="S2" s="422"/>
      <c r="T2" s="423"/>
      <c r="U2" s="413">
        <f>P2+1</f>
        <v>46141</v>
      </c>
      <c r="V2" s="395"/>
      <c r="W2" s="395"/>
      <c r="X2" s="395"/>
      <c r="Y2" s="395"/>
      <c r="Z2" s="413">
        <f>U2+1</f>
        <v>46142</v>
      </c>
      <c r="AA2" s="395"/>
      <c r="AB2" s="395"/>
      <c r="AC2" s="395"/>
      <c r="AD2" s="395"/>
      <c r="AE2" s="413">
        <f>Z2+1</f>
        <v>46143</v>
      </c>
      <c r="AF2" s="395"/>
      <c r="AG2" s="395"/>
      <c r="AH2" s="395"/>
      <c r="AI2" s="395"/>
      <c r="AJ2" s="413">
        <f>AE2+1</f>
        <v>46144</v>
      </c>
      <c r="AK2" s="395"/>
      <c r="AL2" s="395"/>
      <c r="AM2" s="395"/>
      <c r="AN2" s="395"/>
      <c r="AO2" s="413">
        <f>AJ2+1</f>
        <v>46145</v>
      </c>
      <c r="AP2" s="395"/>
      <c r="AQ2" s="395"/>
      <c r="AR2" s="395"/>
      <c r="AS2" s="395"/>
      <c r="AT2" s="410">
        <f>AO2+1</f>
        <v>46146</v>
      </c>
      <c r="AU2" s="411"/>
      <c r="AV2" s="411"/>
      <c r="AW2" s="411"/>
      <c r="AX2" s="412"/>
    </row>
    <row r="3" spans="1:53" ht="15.75">
      <c r="A3" s="79"/>
      <c r="B3" s="420"/>
      <c r="C3" s="420"/>
      <c r="D3" s="420"/>
      <c r="E3" s="420"/>
      <c r="F3" s="420"/>
      <c r="G3" s="420"/>
      <c r="H3" s="420"/>
      <c r="I3" s="184"/>
      <c r="J3" s="184"/>
      <c r="K3" s="184"/>
      <c r="L3" s="184"/>
      <c r="M3" s="179"/>
      <c r="N3" s="393"/>
      <c r="O3" s="393"/>
      <c r="P3" s="413" t="s">
        <v>158</v>
      </c>
      <c r="Q3" s="395"/>
      <c r="R3" s="395"/>
      <c r="S3" s="395"/>
      <c r="T3" s="395"/>
      <c r="U3" s="413" t="s">
        <v>114</v>
      </c>
      <c r="V3" s="395"/>
      <c r="W3" s="395"/>
      <c r="X3" s="395"/>
      <c r="Y3" s="395"/>
      <c r="Z3" s="413" t="s">
        <v>159</v>
      </c>
      <c r="AA3" s="395"/>
      <c r="AB3" s="395"/>
      <c r="AC3" s="395"/>
      <c r="AD3" s="395"/>
      <c r="AE3" s="413" t="s">
        <v>157</v>
      </c>
      <c r="AF3" s="395"/>
      <c r="AG3" s="395"/>
      <c r="AH3" s="395"/>
      <c r="AI3" s="395"/>
      <c r="AJ3" s="413" t="s">
        <v>160</v>
      </c>
      <c r="AK3" s="395"/>
      <c r="AL3" s="395"/>
      <c r="AM3" s="395"/>
      <c r="AN3" s="395"/>
      <c r="AO3" s="413" t="s">
        <v>115</v>
      </c>
      <c r="AP3" s="395"/>
      <c r="AQ3" s="395"/>
      <c r="AR3" s="395"/>
      <c r="AS3" s="395"/>
      <c r="AT3" s="413" t="s">
        <v>162</v>
      </c>
      <c r="AU3" s="395"/>
      <c r="AV3" s="395"/>
      <c r="AW3" s="395"/>
      <c r="AX3" s="395"/>
    </row>
    <row r="4" spans="1:53" ht="14.25">
      <c r="A4" s="79"/>
      <c r="B4" s="389" t="s">
        <v>573</v>
      </c>
      <c r="C4" s="389" t="s">
        <v>386</v>
      </c>
      <c r="D4" s="389"/>
      <c r="E4" s="389" t="s">
        <v>377</v>
      </c>
      <c r="F4" s="389"/>
      <c r="G4" s="389"/>
      <c r="H4" s="417" t="s">
        <v>373</v>
      </c>
      <c r="I4" s="389" t="s">
        <v>378</v>
      </c>
      <c r="J4" s="389"/>
      <c r="K4" s="389"/>
      <c r="L4" s="417" t="s">
        <v>373</v>
      </c>
      <c r="M4" s="391" t="s">
        <v>374</v>
      </c>
      <c r="N4" s="389"/>
      <c r="O4" s="389" t="s">
        <v>379</v>
      </c>
      <c r="P4" s="404" t="s">
        <v>375</v>
      </c>
      <c r="Q4" s="405"/>
      <c r="R4" s="405"/>
      <c r="S4" s="406"/>
      <c r="T4" s="389" t="s">
        <v>373</v>
      </c>
      <c r="U4" s="404" t="s">
        <v>375</v>
      </c>
      <c r="V4" s="405"/>
      <c r="W4" s="405"/>
      <c r="X4" s="406"/>
      <c r="Y4" s="389" t="s">
        <v>373</v>
      </c>
      <c r="Z4" s="404" t="s">
        <v>375</v>
      </c>
      <c r="AA4" s="405"/>
      <c r="AB4" s="405"/>
      <c r="AC4" s="406"/>
      <c r="AD4" s="389" t="s">
        <v>373</v>
      </c>
      <c r="AE4" s="404" t="s">
        <v>375</v>
      </c>
      <c r="AF4" s="405"/>
      <c r="AG4" s="405"/>
      <c r="AH4" s="406"/>
      <c r="AI4" s="389" t="s">
        <v>373</v>
      </c>
      <c r="AJ4" s="404" t="s">
        <v>375</v>
      </c>
      <c r="AK4" s="405"/>
      <c r="AL4" s="405"/>
      <c r="AM4" s="406"/>
      <c r="AN4" s="389" t="s">
        <v>373</v>
      </c>
      <c r="AO4" s="404" t="s">
        <v>375</v>
      </c>
      <c r="AP4" s="405"/>
      <c r="AQ4" s="405"/>
      <c r="AR4" s="406"/>
      <c r="AS4" s="389" t="s">
        <v>373</v>
      </c>
      <c r="AT4" s="404" t="s">
        <v>375</v>
      </c>
      <c r="AU4" s="405"/>
      <c r="AV4" s="405"/>
      <c r="AW4" s="406"/>
      <c r="AX4" s="389" t="s">
        <v>373</v>
      </c>
      <c r="BA4" s="389" t="s">
        <v>373</v>
      </c>
    </row>
    <row r="5" spans="1:53" ht="14.25">
      <c r="A5" s="79"/>
      <c r="B5" s="389"/>
      <c r="C5" s="389"/>
      <c r="D5" s="389"/>
      <c r="E5" s="389" t="s">
        <v>380</v>
      </c>
      <c r="F5" s="389"/>
      <c r="G5" s="389"/>
      <c r="H5" s="418"/>
      <c r="I5" s="389" t="s">
        <v>380</v>
      </c>
      <c r="J5" s="389"/>
      <c r="K5" s="389"/>
      <c r="L5" s="418"/>
      <c r="M5" s="392"/>
      <c r="N5" s="389"/>
      <c r="O5" s="389"/>
      <c r="P5" s="404" t="s">
        <v>381</v>
      </c>
      <c r="Q5" s="405"/>
      <c r="R5" s="405"/>
      <c r="S5" s="406"/>
      <c r="T5" s="389"/>
      <c r="U5" s="404" t="s">
        <v>381</v>
      </c>
      <c r="V5" s="405"/>
      <c r="W5" s="405"/>
      <c r="X5" s="406"/>
      <c r="Y5" s="389"/>
      <c r="Z5" s="404" t="s">
        <v>381</v>
      </c>
      <c r="AA5" s="405"/>
      <c r="AB5" s="405"/>
      <c r="AC5" s="406"/>
      <c r="AD5" s="389"/>
      <c r="AE5" s="404" t="s">
        <v>381</v>
      </c>
      <c r="AF5" s="405"/>
      <c r="AG5" s="405"/>
      <c r="AH5" s="406"/>
      <c r="AI5" s="389"/>
      <c r="AJ5" s="404" t="s">
        <v>381</v>
      </c>
      <c r="AK5" s="405"/>
      <c r="AL5" s="405"/>
      <c r="AM5" s="406"/>
      <c r="AN5" s="389"/>
      <c r="AO5" s="404" t="s">
        <v>381</v>
      </c>
      <c r="AP5" s="405"/>
      <c r="AQ5" s="405"/>
      <c r="AR5" s="406"/>
      <c r="AS5" s="389"/>
      <c r="AT5" s="404" t="s">
        <v>381</v>
      </c>
      <c r="AU5" s="405"/>
      <c r="AV5" s="405"/>
      <c r="AW5" s="406"/>
      <c r="AX5" s="389"/>
      <c r="BA5" s="389"/>
    </row>
    <row r="6" spans="1:53" ht="14.25">
      <c r="A6" s="77"/>
      <c r="B6" s="389"/>
      <c r="C6" s="389"/>
      <c r="D6" s="389"/>
      <c r="E6" s="258" t="s">
        <v>382</v>
      </c>
      <c r="F6" s="258" t="s">
        <v>383</v>
      </c>
      <c r="G6" s="258" t="s">
        <v>384</v>
      </c>
      <c r="H6" s="419"/>
      <c r="I6" s="258" t="s">
        <v>382</v>
      </c>
      <c r="J6" s="258" t="s">
        <v>383</v>
      </c>
      <c r="K6" s="258" t="s">
        <v>384</v>
      </c>
      <c r="L6" s="419"/>
      <c r="M6" s="393"/>
      <c r="N6" s="389"/>
      <c r="O6" s="389"/>
      <c r="P6" s="258" t="s">
        <v>382</v>
      </c>
      <c r="Q6" s="258" t="s">
        <v>383</v>
      </c>
      <c r="R6" s="258" t="s">
        <v>384</v>
      </c>
      <c r="S6" s="258" t="s">
        <v>374</v>
      </c>
      <c r="T6" s="389"/>
      <c r="U6" s="258" t="s">
        <v>382</v>
      </c>
      <c r="V6" s="258" t="s">
        <v>383</v>
      </c>
      <c r="W6" s="258" t="s">
        <v>384</v>
      </c>
      <c r="X6" s="258" t="s">
        <v>374</v>
      </c>
      <c r="Y6" s="389"/>
      <c r="Z6" s="258" t="s">
        <v>382</v>
      </c>
      <c r="AA6" s="258" t="s">
        <v>383</v>
      </c>
      <c r="AB6" s="258" t="s">
        <v>384</v>
      </c>
      <c r="AC6" s="258" t="s">
        <v>374</v>
      </c>
      <c r="AD6" s="389"/>
      <c r="AE6" s="258" t="s">
        <v>382</v>
      </c>
      <c r="AF6" s="258" t="s">
        <v>383</v>
      </c>
      <c r="AG6" s="258" t="s">
        <v>384</v>
      </c>
      <c r="AH6" s="258" t="s">
        <v>374</v>
      </c>
      <c r="AI6" s="389"/>
      <c r="AJ6" s="258" t="s">
        <v>382</v>
      </c>
      <c r="AK6" s="258" t="s">
        <v>383</v>
      </c>
      <c r="AL6" s="258" t="s">
        <v>384</v>
      </c>
      <c r="AM6" s="258" t="s">
        <v>374</v>
      </c>
      <c r="AN6" s="389"/>
      <c r="AO6" s="258" t="s">
        <v>382</v>
      </c>
      <c r="AP6" s="258" t="s">
        <v>383</v>
      </c>
      <c r="AQ6" s="258" t="s">
        <v>384</v>
      </c>
      <c r="AR6" s="258" t="s">
        <v>374</v>
      </c>
      <c r="AS6" s="389"/>
      <c r="AT6" s="258" t="s">
        <v>382</v>
      </c>
      <c r="AU6" s="258" t="s">
        <v>383</v>
      </c>
      <c r="AV6" s="258" t="s">
        <v>384</v>
      </c>
      <c r="AW6" s="258" t="s">
        <v>374</v>
      </c>
      <c r="AX6" s="389"/>
      <c r="AZ6" s="258" t="s">
        <v>374</v>
      </c>
      <c r="BA6" s="389"/>
    </row>
    <row r="7" spans="1:53" ht="14.25">
      <c r="A7" s="79"/>
      <c r="B7" s="486" t="s">
        <v>574</v>
      </c>
      <c r="C7" s="182">
        <v>1</v>
      </c>
      <c r="D7" s="182" t="s">
        <v>604</v>
      </c>
      <c r="E7" s="182">
        <v>10</v>
      </c>
      <c r="F7" s="182">
        <v>1500</v>
      </c>
      <c r="G7" s="166">
        <v>150</v>
      </c>
      <c r="H7" s="401">
        <f>AVERAGE(G7:G21)</f>
        <v>188</v>
      </c>
      <c r="I7" s="166">
        <f t="shared" ref="I7:I21" si="0">IFERROR(AVERAGE(P7,U7,Z7,AE7,AJ7,AO7,AT7),"-")</f>
        <v>10</v>
      </c>
      <c r="J7" s="166">
        <f t="shared" ref="J7:J21" si="1">IFERROR(AVERAGE(Q7,V7,AA7,AF7,AK7,AP7,AU7),"-")</f>
        <v>1323.8389610389593</v>
      </c>
      <c r="K7" s="180">
        <f t="shared" ref="K7:K21" si="2">IFERROR(AVERAGE(R7,W7,AB7,AG7,AL7,AQ7,AV7),"-")</f>
        <v>132.38389610389595</v>
      </c>
      <c r="L7" s="401">
        <f>IFERROR(AVERAGE(K7:K21),"-")</f>
        <v>194.28858850927031</v>
      </c>
      <c r="M7" s="181">
        <f>RANK(K7, K$7:$K$21)</f>
        <v>5</v>
      </c>
      <c r="N7" s="389"/>
      <c r="O7" s="389"/>
      <c r="P7" s="182">
        <v>10</v>
      </c>
      <c r="Q7" s="166">
        <v>1256.3636363636347</v>
      </c>
      <c r="R7" s="166">
        <v>125.63636363636347</v>
      </c>
      <c r="S7" s="182">
        <f t="shared" ref="S7:S21" si="3">RANK(R7, R$7:R$21)</f>
        <v>5</v>
      </c>
      <c r="T7" s="390">
        <f t="shared" ref="T7" si="4">AVERAGE(R7:R21)</f>
        <v>190.47887354882658</v>
      </c>
      <c r="U7" s="182">
        <v>10</v>
      </c>
      <c r="V7" s="166">
        <v>1353.9999999999977</v>
      </c>
      <c r="W7" s="166">
        <v>135.39999999999978</v>
      </c>
      <c r="X7" s="182">
        <f t="shared" ref="X7:X21" si="5">RANK(W7, W$7:W$21)</f>
        <v>5</v>
      </c>
      <c r="Y7" s="390">
        <f t="shared" ref="Y7" si="6">AVERAGE(W7:W21)</f>
        <v>199.19464624122716</v>
      </c>
      <c r="Z7" s="182">
        <v>10</v>
      </c>
      <c r="AA7" s="166">
        <v>1269.9999999999959</v>
      </c>
      <c r="AB7" s="166">
        <v>126.99999999999959</v>
      </c>
      <c r="AC7" s="182">
        <f t="shared" ref="AC7:AC21" si="7">RANK(AB7, AB$7:AB$21)</f>
        <v>3</v>
      </c>
      <c r="AD7" s="390">
        <f t="shared" ref="AD7" si="8">AVERAGE(AB7:AB21)</f>
        <v>188.23333333333335</v>
      </c>
      <c r="AE7" s="182">
        <v>10</v>
      </c>
      <c r="AF7" s="166">
        <v>1269.5999999999963</v>
      </c>
      <c r="AG7" s="166">
        <v>126.95999999999962</v>
      </c>
      <c r="AH7" s="182">
        <f t="shared" ref="AH7:AH21" si="9">RANK(AG7, AG$7:AG$21)</f>
        <v>5</v>
      </c>
      <c r="AI7" s="390">
        <f t="shared" ref="AI7" si="10">AVERAGE(AG7:AG21)</f>
        <v>196.15428070175443</v>
      </c>
      <c r="AJ7" s="182">
        <v>10</v>
      </c>
      <c r="AK7" s="166">
        <v>1270.9090909090955</v>
      </c>
      <c r="AL7" s="166">
        <v>127.09090909090955</v>
      </c>
      <c r="AM7" s="182">
        <f t="shared" ref="AM7:AM21" si="11">RANK(AL7, AL$7:AL$21)</f>
        <v>5</v>
      </c>
      <c r="AN7" s="390">
        <f t="shared" ref="AN7" si="12">AVERAGE(AL7:AL21)</f>
        <v>190.88484848484845</v>
      </c>
      <c r="AO7" s="182">
        <v>10</v>
      </c>
      <c r="AP7" s="166">
        <v>1457.9999999999975</v>
      </c>
      <c r="AQ7" s="166">
        <v>145.79999999999976</v>
      </c>
      <c r="AR7" s="182">
        <f t="shared" ref="AR7:AR21" si="13">RANK(AQ7, AQ$7:AQ$21)</f>
        <v>5</v>
      </c>
      <c r="AS7" s="390">
        <f t="shared" ref="AS7" si="14">AVERAGE(AQ7:AQ21)</f>
        <v>200.42847058823531</v>
      </c>
      <c r="AT7" s="182">
        <v>10</v>
      </c>
      <c r="AU7" s="166">
        <v>1387.9999999999977</v>
      </c>
      <c r="AV7" s="166">
        <v>138.79999999999978</v>
      </c>
      <c r="AW7" s="182">
        <f t="shared" ref="AW7:AW21" si="15">RANK(AV7, AV$7:AV$21)</f>
        <v>5</v>
      </c>
      <c r="AX7" s="390">
        <f t="shared" ref="AX7" si="16">AVERAGE(AV7:AV21)</f>
        <v>194.64566666666681</v>
      </c>
      <c r="AZ7" s="182" t="e">
        <f t="shared" ref="AZ7:AZ21" si="17">RANK(AY7, AY$7:AY$21)</f>
        <v>#N/A</v>
      </c>
      <c r="BA7" s="390" t="e">
        <f t="shared" ref="BA7" si="18">AVERAGE(AY7:AY21)</f>
        <v>#DIV/0!</v>
      </c>
    </row>
    <row r="8" spans="1:53" ht="15" customHeight="1">
      <c r="A8" s="79"/>
      <c r="B8" s="395"/>
      <c r="C8" s="182">
        <v>2</v>
      </c>
      <c r="D8" s="182" t="s">
        <v>644</v>
      </c>
      <c r="E8" s="182">
        <v>15</v>
      </c>
      <c r="F8" s="182">
        <v>1800</v>
      </c>
      <c r="G8" s="166">
        <v>120</v>
      </c>
      <c r="H8" s="402"/>
      <c r="I8" s="166">
        <f t="shared" si="0"/>
        <v>12.428571428571429</v>
      </c>
      <c r="J8" s="166">
        <f t="shared" si="1"/>
        <v>1804.051109289421</v>
      </c>
      <c r="K8" s="180">
        <f t="shared" si="2"/>
        <v>145.83521148840413</v>
      </c>
      <c r="L8" s="402"/>
      <c r="M8" s="181">
        <f>RANK(K8, K$7:$K$21)</f>
        <v>3</v>
      </c>
      <c r="N8" s="389"/>
      <c r="O8" s="389"/>
      <c r="P8" s="182">
        <v>12</v>
      </c>
      <c r="Q8" s="166">
        <v>1651.6129032258068</v>
      </c>
      <c r="R8" s="166">
        <v>137.63440860215056</v>
      </c>
      <c r="S8" s="182">
        <f t="shared" si="3"/>
        <v>3</v>
      </c>
      <c r="T8" s="390"/>
      <c r="U8" s="182">
        <v>12</v>
      </c>
      <c r="V8" s="166">
        <v>1789.1566265060235</v>
      </c>
      <c r="W8" s="166">
        <v>149.09638554216863</v>
      </c>
      <c r="X8" s="182">
        <f t="shared" si="5"/>
        <v>3</v>
      </c>
      <c r="Y8" s="390"/>
      <c r="Z8" s="182">
        <v>15</v>
      </c>
      <c r="AA8" s="166">
        <v>1890.9999999999991</v>
      </c>
      <c r="AB8" s="166">
        <v>126.06666666666661</v>
      </c>
      <c r="AC8" s="182">
        <f t="shared" si="7"/>
        <v>4</v>
      </c>
      <c r="AD8" s="390"/>
      <c r="AE8" s="182">
        <v>12</v>
      </c>
      <c r="AF8" s="166">
        <v>1853.9999999999991</v>
      </c>
      <c r="AG8" s="166">
        <v>154.49999999999991</v>
      </c>
      <c r="AH8" s="182">
        <f t="shared" si="9"/>
        <v>3</v>
      </c>
      <c r="AI8" s="390"/>
      <c r="AJ8" s="182">
        <v>12</v>
      </c>
      <c r="AK8" s="166">
        <v>1819.9999999999991</v>
      </c>
      <c r="AL8" s="166">
        <v>151.6666666666666</v>
      </c>
      <c r="AM8" s="182">
        <f t="shared" si="11"/>
        <v>3</v>
      </c>
      <c r="AN8" s="390"/>
      <c r="AO8" s="182">
        <v>12</v>
      </c>
      <c r="AP8" s="166">
        <v>1810.5882352941173</v>
      </c>
      <c r="AQ8" s="166">
        <v>150.88235294117644</v>
      </c>
      <c r="AR8" s="182">
        <f t="shared" si="13"/>
        <v>3</v>
      </c>
      <c r="AS8" s="390"/>
      <c r="AT8" s="182">
        <v>12</v>
      </c>
      <c r="AU8" s="166">
        <v>1812.0000000000009</v>
      </c>
      <c r="AV8" s="166">
        <v>151.00000000000009</v>
      </c>
      <c r="AW8" s="182">
        <f t="shared" si="15"/>
        <v>3</v>
      </c>
      <c r="AX8" s="390"/>
      <c r="AZ8" s="182" t="e">
        <f t="shared" si="17"/>
        <v>#N/A</v>
      </c>
      <c r="BA8" s="390"/>
    </row>
    <row r="9" spans="1:53" ht="14.25">
      <c r="A9" s="79"/>
      <c r="B9" s="395"/>
      <c r="C9" s="182">
        <v>3</v>
      </c>
      <c r="D9" s="182" t="s">
        <v>645</v>
      </c>
      <c r="E9" s="182">
        <v>15</v>
      </c>
      <c r="F9" s="182">
        <v>1800</v>
      </c>
      <c r="G9" s="166">
        <v>120</v>
      </c>
      <c r="H9" s="402"/>
      <c r="I9" s="166">
        <f t="shared" si="0"/>
        <v>12.428571428571429</v>
      </c>
      <c r="J9" s="166">
        <f t="shared" si="1"/>
        <v>1731.2959648089075</v>
      </c>
      <c r="K9" s="180">
        <f t="shared" si="2"/>
        <v>140.08656849598037</v>
      </c>
      <c r="L9" s="402"/>
      <c r="M9" s="181">
        <f>RANK(K9, K$7:$K$21)</f>
        <v>4</v>
      </c>
      <c r="N9" s="389"/>
      <c r="O9" s="389"/>
      <c r="P9" s="182">
        <v>12</v>
      </c>
      <c r="Q9" s="166">
        <v>1633.4831460674159</v>
      </c>
      <c r="R9" s="166">
        <v>136.123595505618</v>
      </c>
      <c r="S9" s="182">
        <f t="shared" si="3"/>
        <v>4</v>
      </c>
      <c r="T9" s="390"/>
      <c r="U9" s="182">
        <v>12</v>
      </c>
      <c r="V9" s="166">
        <v>1787.0886075949356</v>
      </c>
      <c r="W9" s="166">
        <v>148.9240506329113</v>
      </c>
      <c r="X9" s="182">
        <f t="shared" si="5"/>
        <v>4</v>
      </c>
      <c r="Y9" s="390"/>
      <c r="Z9" s="182">
        <v>15</v>
      </c>
      <c r="AA9" s="166">
        <v>1758.9999999999991</v>
      </c>
      <c r="AB9" s="166">
        <v>117.26666666666661</v>
      </c>
      <c r="AC9" s="182">
        <f t="shared" si="7"/>
        <v>5</v>
      </c>
      <c r="AD9" s="390"/>
      <c r="AE9" s="182">
        <v>12</v>
      </c>
      <c r="AF9" s="166">
        <v>1749.0000000000016</v>
      </c>
      <c r="AG9" s="166">
        <v>145.75000000000014</v>
      </c>
      <c r="AH9" s="182">
        <f t="shared" si="9"/>
        <v>4</v>
      </c>
      <c r="AI9" s="390"/>
      <c r="AJ9" s="182">
        <v>12</v>
      </c>
      <c r="AK9" s="166">
        <v>1699.9999999999993</v>
      </c>
      <c r="AL9" s="166">
        <v>141.6666666666666</v>
      </c>
      <c r="AM9" s="182">
        <f t="shared" si="11"/>
        <v>4</v>
      </c>
      <c r="AN9" s="390"/>
      <c r="AO9" s="182">
        <v>12</v>
      </c>
      <c r="AP9" s="166">
        <v>1793.9999999999993</v>
      </c>
      <c r="AQ9" s="166">
        <v>149.49999999999994</v>
      </c>
      <c r="AR9" s="182">
        <f t="shared" si="13"/>
        <v>4</v>
      </c>
      <c r="AS9" s="390"/>
      <c r="AT9" s="182">
        <v>12</v>
      </c>
      <c r="AU9" s="166">
        <v>1696.4999999999995</v>
      </c>
      <c r="AV9" s="166">
        <v>141.37499999999997</v>
      </c>
      <c r="AW9" s="182">
        <f t="shared" si="15"/>
        <v>4</v>
      </c>
      <c r="AX9" s="390"/>
      <c r="AZ9" s="182" t="e">
        <f t="shared" si="17"/>
        <v>#N/A</v>
      </c>
      <c r="BA9" s="390"/>
    </row>
    <row r="10" spans="1:53" ht="14.25">
      <c r="A10" s="79"/>
      <c r="B10" s="395"/>
      <c r="C10" s="182">
        <v>4</v>
      </c>
      <c r="D10" s="182" t="s">
        <v>525</v>
      </c>
      <c r="E10" s="182">
        <v>6</v>
      </c>
      <c r="F10" s="182">
        <v>1500</v>
      </c>
      <c r="G10" s="166">
        <v>250</v>
      </c>
      <c r="H10" s="402"/>
      <c r="I10" s="166">
        <f t="shared" si="0"/>
        <v>6</v>
      </c>
      <c r="J10" s="166">
        <f t="shared" si="1"/>
        <v>1517.734693877552</v>
      </c>
      <c r="K10" s="180">
        <f t="shared" si="2"/>
        <v>252.95578231292529</v>
      </c>
      <c r="L10" s="402"/>
      <c r="M10" s="181">
        <f>RANK(K10, K$7:$K$21)</f>
        <v>2</v>
      </c>
      <c r="N10" s="389"/>
      <c r="O10" s="389"/>
      <c r="P10" s="182">
        <v>6</v>
      </c>
      <c r="Q10" s="166">
        <v>1512.0000000000014</v>
      </c>
      <c r="R10" s="166">
        <v>252.00000000000023</v>
      </c>
      <c r="S10" s="182">
        <f t="shared" si="3"/>
        <v>2</v>
      </c>
      <c r="T10" s="390"/>
      <c r="U10" s="182">
        <v>6</v>
      </c>
      <c r="V10" s="166">
        <v>1547.1428571428582</v>
      </c>
      <c r="W10" s="166">
        <v>257.85714285714306</v>
      </c>
      <c r="X10" s="182">
        <f t="shared" si="5"/>
        <v>2</v>
      </c>
      <c r="Y10" s="390"/>
      <c r="Z10" s="182">
        <v>6</v>
      </c>
      <c r="AA10" s="166">
        <v>1565.0000000000005</v>
      </c>
      <c r="AB10" s="166">
        <v>260.83333333333343</v>
      </c>
      <c r="AC10" s="182">
        <f t="shared" si="7"/>
        <v>2</v>
      </c>
      <c r="AD10" s="390"/>
      <c r="AE10" s="182">
        <v>6</v>
      </c>
      <c r="AF10" s="166">
        <v>1510.0000000000005</v>
      </c>
      <c r="AG10" s="166">
        <v>251.66666666666674</v>
      </c>
      <c r="AH10" s="182">
        <f t="shared" si="9"/>
        <v>2</v>
      </c>
      <c r="AI10" s="390"/>
      <c r="AJ10" s="182">
        <v>6</v>
      </c>
      <c r="AK10" s="166">
        <v>1475.9999999999995</v>
      </c>
      <c r="AL10" s="166">
        <v>245.99999999999991</v>
      </c>
      <c r="AM10" s="182">
        <f t="shared" si="11"/>
        <v>2</v>
      </c>
      <c r="AN10" s="390"/>
      <c r="AO10" s="182">
        <v>6</v>
      </c>
      <c r="AP10" s="166">
        <v>1530.0000000000018</v>
      </c>
      <c r="AQ10" s="166">
        <v>255.00000000000031</v>
      </c>
      <c r="AR10" s="182">
        <f t="shared" si="13"/>
        <v>2</v>
      </c>
      <c r="AS10" s="390"/>
      <c r="AT10" s="182">
        <v>6</v>
      </c>
      <c r="AU10" s="166">
        <v>1484.0000000000014</v>
      </c>
      <c r="AV10" s="166">
        <v>247.33333333333357</v>
      </c>
      <c r="AW10" s="182">
        <f t="shared" si="15"/>
        <v>2</v>
      </c>
      <c r="AX10" s="390"/>
      <c r="AZ10" s="182" t="e">
        <f t="shared" si="17"/>
        <v>#N/A</v>
      </c>
      <c r="BA10" s="390"/>
    </row>
    <row r="11" spans="1:53" ht="14.25">
      <c r="A11" s="79"/>
      <c r="B11" s="395"/>
      <c r="C11" s="182">
        <v>5</v>
      </c>
      <c r="D11" s="182" t="s">
        <v>506</v>
      </c>
      <c r="E11" s="182">
        <v>5</v>
      </c>
      <c r="F11" s="182">
        <v>1500</v>
      </c>
      <c r="G11" s="166">
        <v>300</v>
      </c>
      <c r="H11" s="402"/>
      <c r="I11" s="166">
        <f t="shared" si="0"/>
        <v>5</v>
      </c>
      <c r="J11" s="166">
        <f t="shared" si="1"/>
        <v>1500.9074207257286</v>
      </c>
      <c r="K11" s="180">
        <f t="shared" si="2"/>
        <v>300.1814841451457</v>
      </c>
      <c r="L11" s="402"/>
      <c r="M11" s="181">
        <f>RANK(K11, K$7:$K$21)</f>
        <v>1</v>
      </c>
      <c r="N11" s="389"/>
      <c r="O11" s="389"/>
      <c r="P11" s="182">
        <v>5</v>
      </c>
      <c r="Q11" s="166">
        <v>1505.000000000003</v>
      </c>
      <c r="R11" s="166">
        <v>301.00000000000057</v>
      </c>
      <c r="S11" s="182">
        <f t="shared" si="3"/>
        <v>1</v>
      </c>
      <c r="T11" s="390"/>
      <c r="U11" s="182">
        <v>5</v>
      </c>
      <c r="V11" s="166">
        <v>1523.4782608695652</v>
      </c>
      <c r="W11" s="166">
        <v>304.69565217391306</v>
      </c>
      <c r="X11" s="182">
        <f t="shared" si="5"/>
        <v>1</v>
      </c>
      <c r="Y11" s="390"/>
      <c r="Z11" s="182">
        <v>5</v>
      </c>
      <c r="AA11" s="166">
        <v>1550.000000000002</v>
      </c>
      <c r="AB11" s="166">
        <v>310.0000000000004</v>
      </c>
      <c r="AC11" s="182">
        <f t="shared" si="7"/>
        <v>1</v>
      </c>
      <c r="AD11" s="390"/>
      <c r="AE11" s="182">
        <v>5</v>
      </c>
      <c r="AF11" s="166">
        <v>1509.4736842105285</v>
      </c>
      <c r="AG11" s="166">
        <v>301.89473684210571</v>
      </c>
      <c r="AH11" s="182">
        <f t="shared" si="9"/>
        <v>1</v>
      </c>
      <c r="AI11" s="390"/>
      <c r="AJ11" s="182">
        <v>5</v>
      </c>
      <c r="AK11" s="166">
        <v>1439.9999999999982</v>
      </c>
      <c r="AL11" s="166">
        <v>287.99999999999966</v>
      </c>
      <c r="AM11" s="182">
        <f t="shared" si="11"/>
        <v>1</v>
      </c>
      <c r="AN11" s="390"/>
      <c r="AO11" s="182">
        <v>5</v>
      </c>
      <c r="AP11" s="166">
        <v>1504.8000000000004</v>
      </c>
      <c r="AQ11" s="166">
        <v>300.96000000000009</v>
      </c>
      <c r="AR11" s="182">
        <f t="shared" si="13"/>
        <v>1</v>
      </c>
      <c r="AS11" s="390"/>
      <c r="AT11" s="182">
        <v>5</v>
      </c>
      <c r="AU11" s="166">
        <v>1473.6000000000029</v>
      </c>
      <c r="AV11" s="166">
        <v>294.7200000000006</v>
      </c>
      <c r="AW11" s="182">
        <f t="shared" si="15"/>
        <v>1</v>
      </c>
      <c r="AX11" s="390"/>
      <c r="AZ11" s="182" t="e">
        <f t="shared" si="17"/>
        <v>#N/A</v>
      </c>
      <c r="BA11" s="390"/>
    </row>
    <row r="12" spans="1:53" ht="14.25">
      <c r="A12" s="79"/>
      <c r="B12" s="395"/>
      <c r="C12" s="182">
        <v>6</v>
      </c>
      <c r="D12" s="182"/>
      <c r="E12" s="182"/>
      <c r="F12" s="182"/>
      <c r="G12" s="166"/>
      <c r="H12" s="402"/>
      <c r="I12" s="166" t="str">
        <f t="shared" si="0"/>
        <v>-</v>
      </c>
      <c r="J12" s="166" t="str">
        <f t="shared" si="1"/>
        <v>-</v>
      </c>
      <c r="K12" s="180" t="str">
        <f t="shared" si="2"/>
        <v>-</v>
      </c>
      <c r="L12" s="402"/>
      <c r="M12" s="181" t="e">
        <f>RANK(K12, K$7:$K$21)</f>
        <v>#VALUE!</v>
      </c>
      <c r="N12" s="389"/>
      <c r="O12" s="389"/>
      <c r="P12" s="182" t="s">
        <v>634</v>
      </c>
      <c r="Q12" s="166" t="s">
        <v>634</v>
      </c>
      <c r="R12" s="166" t="s">
        <v>634</v>
      </c>
      <c r="S12" s="182" t="e">
        <f t="shared" si="3"/>
        <v>#VALUE!</v>
      </c>
      <c r="T12" s="390"/>
      <c r="U12" s="182" t="s">
        <v>634</v>
      </c>
      <c r="V12" s="166" t="s">
        <v>634</v>
      </c>
      <c r="W12" s="166" t="s">
        <v>634</v>
      </c>
      <c r="X12" s="182" t="e">
        <f t="shared" si="5"/>
        <v>#VALUE!</v>
      </c>
      <c r="Y12" s="390"/>
      <c r="Z12" s="182" t="s">
        <v>634</v>
      </c>
      <c r="AA12" s="166" t="s">
        <v>634</v>
      </c>
      <c r="AB12" s="166" t="s">
        <v>634</v>
      </c>
      <c r="AC12" s="182" t="e">
        <f t="shared" si="7"/>
        <v>#VALUE!</v>
      </c>
      <c r="AD12" s="390"/>
      <c r="AE12" s="182"/>
      <c r="AF12" s="166" t="s">
        <v>634</v>
      </c>
      <c r="AG12" s="166" t="s">
        <v>634</v>
      </c>
      <c r="AH12" s="182" t="e">
        <f t="shared" si="9"/>
        <v>#VALUE!</v>
      </c>
      <c r="AI12" s="390"/>
      <c r="AJ12" s="182" t="s">
        <v>634</v>
      </c>
      <c r="AK12" s="166" t="s">
        <v>634</v>
      </c>
      <c r="AL12" s="166" t="s">
        <v>634</v>
      </c>
      <c r="AM12" s="182" t="e">
        <f t="shared" si="11"/>
        <v>#VALUE!</v>
      </c>
      <c r="AN12" s="390"/>
      <c r="AO12" s="182" t="s">
        <v>634</v>
      </c>
      <c r="AP12" s="166" t="s">
        <v>634</v>
      </c>
      <c r="AQ12" s="166" t="s">
        <v>634</v>
      </c>
      <c r="AR12" s="182" t="e">
        <f t="shared" si="13"/>
        <v>#VALUE!</v>
      </c>
      <c r="AS12" s="390"/>
      <c r="AT12" s="182" t="s">
        <v>634</v>
      </c>
      <c r="AU12" s="166" t="s">
        <v>634</v>
      </c>
      <c r="AV12" s="166" t="s">
        <v>634</v>
      </c>
      <c r="AW12" s="182" t="e">
        <f t="shared" si="15"/>
        <v>#VALUE!</v>
      </c>
      <c r="AX12" s="390"/>
      <c r="AZ12" s="182" t="e">
        <f t="shared" si="17"/>
        <v>#N/A</v>
      </c>
      <c r="BA12" s="390"/>
    </row>
    <row r="13" spans="1:53" ht="14.25">
      <c r="A13" s="79"/>
      <c r="B13" s="395"/>
      <c r="C13" s="182">
        <v>7</v>
      </c>
      <c r="D13" s="182"/>
      <c r="E13" s="182"/>
      <c r="F13" s="182"/>
      <c r="G13" s="166"/>
      <c r="H13" s="402"/>
      <c r="I13" s="166" t="str">
        <f t="shared" si="0"/>
        <v>-</v>
      </c>
      <c r="J13" s="166" t="str">
        <f t="shared" si="1"/>
        <v>-</v>
      </c>
      <c r="K13" s="180" t="str">
        <f t="shared" si="2"/>
        <v>-</v>
      </c>
      <c r="L13" s="402"/>
      <c r="M13" s="181" t="e">
        <f>RANK(K13, K$7:$K$21)</f>
        <v>#VALUE!</v>
      </c>
      <c r="N13" s="389"/>
      <c r="O13" s="389"/>
      <c r="P13" s="182" t="s">
        <v>634</v>
      </c>
      <c r="Q13" s="166" t="s">
        <v>634</v>
      </c>
      <c r="R13" s="166" t="s">
        <v>634</v>
      </c>
      <c r="S13" s="182" t="e">
        <f t="shared" si="3"/>
        <v>#VALUE!</v>
      </c>
      <c r="T13" s="390"/>
      <c r="U13" s="182" t="s">
        <v>634</v>
      </c>
      <c r="V13" s="166" t="s">
        <v>634</v>
      </c>
      <c r="W13" s="166" t="s">
        <v>634</v>
      </c>
      <c r="X13" s="182" t="e">
        <f t="shared" si="5"/>
        <v>#VALUE!</v>
      </c>
      <c r="Y13" s="390"/>
      <c r="Z13" s="182" t="s">
        <v>634</v>
      </c>
      <c r="AA13" s="166" t="s">
        <v>634</v>
      </c>
      <c r="AB13" s="166" t="s">
        <v>634</v>
      </c>
      <c r="AC13" s="182" t="e">
        <f t="shared" si="7"/>
        <v>#VALUE!</v>
      </c>
      <c r="AD13" s="390"/>
      <c r="AE13" s="182"/>
      <c r="AF13" s="166" t="s">
        <v>634</v>
      </c>
      <c r="AG13" s="166" t="s">
        <v>634</v>
      </c>
      <c r="AH13" s="182" t="e">
        <f t="shared" si="9"/>
        <v>#VALUE!</v>
      </c>
      <c r="AI13" s="390"/>
      <c r="AJ13" s="182" t="s">
        <v>634</v>
      </c>
      <c r="AK13" s="166" t="s">
        <v>634</v>
      </c>
      <c r="AL13" s="166" t="s">
        <v>634</v>
      </c>
      <c r="AM13" s="182" t="e">
        <f t="shared" si="11"/>
        <v>#VALUE!</v>
      </c>
      <c r="AN13" s="390"/>
      <c r="AO13" s="182" t="s">
        <v>634</v>
      </c>
      <c r="AP13" s="166" t="s">
        <v>634</v>
      </c>
      <c r="AQ13" s="166" t="s">
        <v>634</v>
      </c>
      <c r="AR13" s="182" t="e">
        <f t="shared" si="13"/>
        <v>#VALUE!</v>
      </c>
      <c r="AS13" s="390"/>
      <c r="AT13" s="182" t="s">
        <v>634</v>
      </c>
      <c r="AU13" s="166" t="s">
        <v>634</v>
      </c>
      <c r="AV13" s="166" t="s">
        <v>634</v>
      </c>
      <c r="AW13" s="182" t="e">
        <f t="shared" si="15"/>
        <v>#VALUE!</v>
      </c>
      <c r="AX13" s="390"/>
      <c r="AZ13" s="182" t="e">
        <f t="shared" si="17"/>
        <v>#N/A</v>
      </c>
      <c r="BA13" s="390"/>
    </row>
    <row r="14" spans="1:53" ht="14.25">
      <c r="A14" s="79"/>
      <c r="B14" s="395"/>
      <c r="C14" s="182">
        <v>8</v>
      </c>
      <c r="D14" s="182"/>
      <c r="E14" s="182"/>
      <c r="F14" s="182"/>
      <c r="G14" s="166"/>
      <c r="H14" s="402"/>
      <c r="I14" s="166" t="str">
        <f t="shared" si="0"/>
        <v>-</v>
      </c>
      <c r="J14" s="166" t="str">
        <f t="shared" si="1"/>
        <v>-</v>
      </c>
      <c r="K14" s="180" t="str">
        <f t="shared" si="2"/>
        <v>-</v>
      </c>
      <c r="L14" s="402"/>
      <c r="M14" s="181" t="e">
        <f>RANK(K14, K$7:$K$21)</f>
        <v>#VALUE!</v>
      </c>
      <c r="N14" s="389"/>
      <c r="O14" s="389"/>
      <c r="P14" s="182" t="s">
        <v>634</v>
      </c>
      <c r="Q14" s="166" t="s">
        <v>634</v>
      </c>
      <c r="R14" s="166" t="s">
        <v>634</v>
      </c>
      <c r="S14" s="182" t="e">
        <f t="shared" si="3"/>
        <v>#VALUE!</v>
      </c>
      <c r="T14" s="390"/>
      <c r="U14" s="182" t="s">
        <v>634</v>
      </c>
      <c r="V14" s="166" t="s">
        <v>634</v>
      </c>
      <c r="W14" s="166" t="s">
        <v>634</v>
      </c>
      <c r="X14" s="182" t="e">
        <f t="shared" si="5"/>
        <v>#VALUE!</v>
      </c>
      <c r="Y14" s="390"/>
      <c r="Z14" s="182" t="s">
        <v>634</v>
      </c>
      <c r="AA14" s="166" t="s">
        <v>634</v>
      </c>
      <c r="AB14" s="166" t="s">
        <v>634</v>
      </c>
      <c r="AC14" s="182" t="e">
        <f t="shared" si="7"/>
        <v>#VALUE!</v>
      </c>
      <c r="AD14" s="390"/>
      <c r="AE14" s="182"/>
      <c r="AF14" s="166" t="s">
        <v>634</v>
      </c>
      <c r="AG14" s="166" t="s">
        <v>634</v>
      </c>
      <c r="AH14" s="182" t="e">
        <f t="shared" si="9"/>
        <v>#VALUE!</v>
      </c>
      <c r="AI14" s="390"/>
      <c r="AJ14" s="182" t="s">
        <v>634</v>
      </c>
      <c r="AK14" s="166" t="s">
        <v>634</v>
      </c>
      <c r="AL14" s="166" t="s">
        <v>634</v>
      </c>
      <c r="AM14" s="182" t="e">
        <f t="shared" si="11"/>
        <v>#VALUE!</v>
      </c>
      <c r="AN14" s="390"/>
      <c r="AO14" s="182" t="s">
        <v>634</v>
      </c>
      <c r="AP14" s="166" t="s">
        <v>634</v>
      </c>
      <c r="AQ14" s="166" t="s">
        <v>634</v>
      </c>
      <c r="AR14" s="182" t="e">
        <f t="shared" si="13"/>
        <v>#VALUE!</v>
      </c>
      <c r="AS14" s="390"/>
      <c r="AT14" s="182" t="s">
        <v>634</v>
      </c>
      <c r="AU14" s="166" t="s">
        <v>634</v>
      </c>
      <c r="AV14" s="166" t="s">
        <v>634</v>
      </c>
      <c r="AW14" s="182" t="e">
        <f t="shared" si="15"/>
        <v>#VALUE!</v>
      </c>
      <c r="AX14" s="390"/>
      <c r="AZ14" s="182" t="e">
        <f t="shared" si="17"/>
        <v>#N/A</v>
      </c>
      <c r="BA14" s="390"/>
    </row>
    <row r="15" spans="1:53" ht="14.25">
      <c r="A15" s="79"/>
      <c r="B15" s="395"/>
      <c r="C15" s="182">
        <v>9</v>
      </c>
      <c r="D15" s="182"/>
      <c r="E15" s="182"/>
      <c r="F15" s="182"/>
      <c r="G15" s="166"/>
      <c r="H15" s="402"/>
      <c r="I15" s="166" t="str">
        <f t="shared" si="0"/>
        <v>-</v>
      </c>
      <c r="J15" s="166" t="str">
        <f t="shared" si="1"/>
        <v>-</v>
      </c>
      <c r="K15" s="180" t="str">
        <f t="shared" si="2"/>
        <v>-</v>
      </c>
      <c r="L15" s="402"/>
      <c r="M15" s="181" t="e">
        <f>RANK(K15, K$7:$K$21)</f>
        <v>#VALUE!</v>
      </c>
      <c r="N15" s="389"/>
      <c r="O15" s="389"/>
      <c r="P15" s="182" t="s">
        <v>634</v>
      </c>
      <c r="Q15" s="166" t="s">
        <v>634</v>
      </c>
      <c r="R15" s="166" t="s">
        <v>634</v>
      </c>
      <c r="S15" s="182" t="e">
        <f t="shared" si="3"/>
        <v>#VALUE!</v>
      </c>
      <c r="T15" s="390"/>
      <c r="U15" s="182" t="s">
        <v>634</v>
      </c>
      <c r="V15" s="166" t="s">
        <v>634</v>
      </c>
      <c r="W15" s="166" t="s">
        <v>634</v>
      </c>
      <c r="X15" s="182" t="e">
        <f t="shared" si="5"/>
        <v>#VALUE!</v>
      </c>
      <c r="Y15" s="390"/>
      <c r="Z15" s="182" t="s">
        <v>634</v>
      </c>
      <c r="AA15" s="166" t="s">
        <v>634</v>
      </c>
      <c r="AB15" s="166" t="s">
        <v>634</v>
      </c>
      <c r="AC15" s="182" t="e">
        <f t="shared" si="7"/>
        <v>#VALUE!</v>
      </c>
      <c r="AD15" s="390"/>
      <c r="AE15" s="182"/>
      <c r="AF15" s="166" t="s">
        <v>634</v>
      </c>
      <c r="AG15" s="166" t="s">
        <v>634</v>
      </c>
      <c r="AH15" s="182" t="e">
        <f t="shared" si="9"/>
        <v>#VALUE!</v>
      </c>
      <c r="AI15" s="390"/>
      <c r="AJ15" s="182" t="s">
        <v>634</v>
      </c>
      <c r="AK15" s="166" t="s">
        <v>634</v>
      </c>
      <c r="AL15" s="166" t="s">
        <v>634</v>
      </c>
      <c r="AM15" s="182" t="e">
        <f t="shared" si="11"/>
        <v>#VALUE!</v>
      </c>
      <c r="AN15" s="390"/>
      <c r="AO15" s="182" t="s">
        <v>634</v>
      </c>
      <c r="AP15" s="166" t="s">
        <v>634</v>
      </c>
      <c r="AQ15" s="166" t="s">
        <v>634</v>
      </c>
      <c r="AR15" s="182" t="e">
        <f t="shared" si="13"/>
        <v>#VALUE!</v>
      </c>
      <c r="AS15" s="390"/>
      <c r="AT15" s="182" t="s">
        <v>634</v>
      </c>
      <c r="AU15" s="166" t="s">
        <v>634</v>
      </c>
      <c r="AV15" s="166" t="s">
        <v>634</v>
      </c>
      <c r="AW15" s="182" t="e">
        <f t="shared" si="15"/>
        <v>#VALUE!</v>
      </c>
      <c r="AX15" s="390"/>
      <c r="AZ15" s="182" t="e">
        <f t="shared" si="17"/>
        <v>#N/A</v>
      </c>
      <c r="BA15" s="390"/>
    </row>
    <row r="16" spans="1:53" ht="14.25">
      <c r="A16" s="79"/>
      <c r="B16" s="395"/>
      <c r="C16" s="182">
        <v>10</v>
      </c>
      <c r="D16" s="182"/>
      <c r="E16" s="182"/>
      <c r="F16" s="182"/>
      <c r="G16" s="166"/>
      <c r="H16" s="402"/>
      <c r="I16" s="166" t="str">
        <f t="shared" si="0"/>
        <v>-</v>
      </c>
      <c r="J16" s="166" t="str">
        <f t="shared" si="1"/>
        <v>-</v>
      </c>
      <c r="K16" s="180" t="str">
        <f t="shared" si="2"/>
        <v>-</v>
      </c>
      <c r="L16" s="402"/>
      <c r="M16" s="181" t="e">
        <f>RANK(K16, K$7:$K$21)</f>
        <v>#VALUE!</v>
      </c>
      <c r="N16" s="389"/>
      <c r="O16" s="389"/>
      <c r="P16" s="182" t="s">
        <v>634</v>
      </c>
      <c r="Q16" s="166" t="s">
        <v>634</v>
      </c>
      <c r="R16" s="166" t="s">
        <v>634</v>
      </c>
      <c r="S16" s="182" t="e">
        <f t="shared" si="3"/>
        <v>#VALUE!</v>
      </c>
      <c r="T16" s="390"/>
      <c r="U16" s="182" t="s">
        <v>634</v>
      </c>
      <c r="V16" s="166" t="s">
        <v>634</v>
      </c>
      <c r="W16" s="166" t="s">
        <v>634</v>
      </c>
      <c r="X16" s="182" t="e">
        <f t="shared" si="5"/>
        <v>#VALUE!</v>
      </c>
      <c r="Y16" s="390"/>
      <c r="Z16" s="182" t="s">
        <v>634</v>
      </c>
      <c r="AA16" s="166" t="s">
        <v>634</v>
      </c>
      <c r="AB16" s="166" t="s">
        <v>634</v>
      </c>
      <c r="AC16" s="182" t="e">
        <f t="shared" si="7"/>
        <v>#VALUE!</v>
      </c>
      <c r="AD16" s="390"/>
      <c r="AE16" s="182"/>
      <c r="AF16" s="166" t="s">
        <v>634</v>
      </c>
      <c r="AG16" s="166" t="s">
        <v>634</v>
      </c>
      <c r="AH16" s="182" t="e">
        <f t="shared" si="9"/>
        <v>#VALUE!</v>
      </c>
      <c r="AI16" s="390"/>
      <c r="AJ16" s="182" t="s">
        <v>634</v>
      </c>
      <c r="AK16" s="166" t="s">
        <v>634</v>
      </c>
      <c r="AL16" s="166" t="s">
        <v>634</v>
      </c>
      <c r="AM16" s="182" t="e">
        <f t="shared" si="11"/>
        <v>#VALUE!</v>
      </c>
      <c r="AN16" s="390"/>
      <c r="AO16" s="182" t="s">
        <v>634</v>
      </c>
      <c r="AP16" s="166" t="s">
        <v>634</v>
      </c>
      <c r="AQ16" s="166" t="s">
        <v>634</v>
      </c>
      <c r="AR16" s="182" t="e">
        <f t="shared" si="13"/>
        <v>#VALUE!</v>
      </c>
      <c r="AS16" s="390"/>
      <c r="AT16" s="182" t="s">
        <v>634</v>
      </c>
      <c r="AU16" s="166" t="s">
        <v>634</v>
      </c>
      <c r="AV16" s="166" t="s">
        <v>634</v>
      </c>
      <c r="AW16" s="182" t="e">
        <f t="shared" si="15"/>
        <v>#VALUE!</v>
      </c>
      <c r="AX16" s="390"/>
      <c r="AZ16" s="182" t="e">
        <f t="shared" si="17"/>
        <v>#N/A</v>
      </c>
      <c r="BA16" s="390"/>
    </row>
    <row r="17" spans="2:53">
      <c r="B17" s="395"/>
      <c r="C17" s="182">
        <v>11</v>
      </c>
      <c r="D17" s="182"/>
      <c r="E17" s="182"/>
      <c r="F17" s="182"/>
      <c r="G17" s="166"/>
      <c r="H17" s="402"/>
      <c r="I17" s="166" t="str">
        <f t="shared" si="0"/>
        <v>-</v>
      </c>
      <c r="J17" s="166" t="str">
        <f t="shared" si="1"/>
        <v>-</v>
      </c>
      <c r="K17" s="180" t="str">
        <f t="shared" si="2"/>
        <v>-</v>
      </c>
      <c r="L17" s="402"/>
      <c r="M17" s="181" t="e">
        <f>RANK(K17, K$7:$K$21)</f>
        <v>#VALUE!</v>
      </c>
      <c r="N17" s="389"/>
      <c r="O17" s="389"/>
      <c r="P17" s="182" t="s">
        <v>634</v>
      </c>
      <c r="Q17" s="166" t="s">
        <v>634</v>
      </c>
      <c r="R17" s="166" t="s">
        <v>634</v>
      </c>
      <c r="S17" s="182" t="e">
        <f t="shared" si="3"/>
        <v>#VALUE!</v>
      </c>
      <c r="T17" s="390"/>
      <c r="U17" s="182" t="s">
        <v>634</v>
      </c>
      <c r="V17" s="166" t="s">
        <v>634</v>
      </c>
      <c r="W17" s="166" t="s">
        <v>634</v>
      </c>
      <c r="X17" s="182" t="e">
        <f t="shared" si="5"/>
        <v>#VALUE!</v>
      </c>
      <c r="Y17" s="390"/>
      <c r="Z17" s="182" t="s">
        <v>634</v>
      </c>
      <c r="AA17" s="166" t="s">
        <v>634</v>
      </c>
      <c r="AB17" s="166" t="s">
        <v>634</v>
      </c>
      <c r="AC17" s="182" t="e">
        <f t="shared" si="7"/>
        <v>#VALUE!</v>
      </c>
      <c r="AD17" s="390"/>
      <c r="AE17" s="182"/>
      <c r="AF17" s="166" t="s">
        <v>634</v>
      </c>
      <c r="AG17" s="166" t="s">
        <v>634</v>
      </c>
      <c r="AH17" s="182" t="e">
        <f t="shared" si="9"/>
        <v>#VALUE!</v>
      </c>
      <c r="AI17" s="390"/>
      <c r="AJ17" s="182" t="s">
        <v>634</v>
      </c>
      <c r="AK17" s="166" t="s">
        <v>634</v>
      </c>
      <c r="AL17" s="166" t="s">
        <v>634</v>
      </c>
      <c r="AM17" s="182" t="e">
        <f t="shared" si="11"/>
        <v>#VALUE!</v>
      </c>
      <c r="AN17" s="390"/>
      <c r="AO17" s="182" t="s">
        <v>634</v>
      </c>
      <c r="AP17" s="166" t="s">
        <v>634</v>
      </c>
      <c r="AQ17" s="166" t="s">
        <v>634</v>
      </c>
      <c r="AR17" s="182" t="e">
        <f t="shared" si="13"/>
        <v>#VALUE!</v>
      </c>
      <c r="AS17" s="390"/>
      <c r="AT17" s="182" t="s">
        <v>634</v>
      </c>
      <c r="AU17" s="166" t="s">
        <v>634</v>
      </c>
      <c r="AV17" s="166" t="s">
        <v>634</v>
      </c>
      <c r="AW17" s="182" t="e">
        <f t="shared" si="15"/>
        <v>#VALUE!</v>
      </c>
      <c r="AX17" s="390"/>
      <c r="AZ17" s="182" t="e">
        <f t="shared" si="17"/>
        <v>#N/A</v>
      </c>
      <c r="BA17" s="390"/>
    </row>
    <row r="18" spans="2:53">
      <c r="B18" s="395"/>
      <c r="C18" s="182">
        <v>12</v>
      </c>
      <c r="D18" s="182"/>
      <c r="E18" s="182"/>
      <c r="F18" s="182"/>
      <c r="G18" s="166"/>
      <c r="H18" s="402"/>
      <c r="I18" s="166" t="str">
        <f t="shared" si="0"/>
        <v>-</v>
      </c>
      <c r="J18" s="166" t="str">
        <f t="shared" si="1"/>
        <v>-</v>
      </c>
      <c r="K18" s="180" t="str">
        <f t="shared" si="2"/>
        <v>-</v>
      </c>
      <c r="L18" s="402"/>
      <c r="M18" s="181" t="e">
        <f>RANK(K18, K$7:$K$21)</f>
        <v>#VALUE!</v>
      </c>
      <c r="N18" s="389"/>
      <c r="O18" s="389"/>
      <c r="P18" s="182" t="s">
        <v>634</v>
      </c>
      <c r="Q18" s="166" t="s">
        <v>634</v>
      </c>
      <c r="R18" s="166" t="s">
        <v>634</v>
      </c>
      <c r="S18" s="182" t="e">
        <f t="shared" si="3"/>
        <v>#VALUE!</v>
      </c>
      <c r="T18" s="390"/>
      <c r="U18" s="182" t="s">
        <v>634</v>
      </c>
      <c r="V18" s="166" t="s">
        <v>634</v>
      </c>
      <c r="W18" s="166" t="s">
        <v>634</v>
      </c>
      <c r="X18" s="182" t="e">
        <f t="shared" si="5"/>
        <v>#VALUE!</v>
      </c>
      <c r="Y18" s="390"/>
      <c r="Z18" s="182" t="s">
        <v>634</v>
      </c>
      <c r="AA18" s="166" t="s">
        <v>634</v>
      </c>
      <c r="AB18" s="166" t="s">
        <v>634</v>
      </c>
      <c r="AC18" s="182" t="e">
        <f t="shared" si="7"/>
        <v>#VALUE!</v>
      </c>
      <c r="AD18" s="390"/>
      <c r="AE18" s="182"/>
      <c r="AF18" s="166" t="s">
        <v>634</v>
      </c>
      <c r="AG18" s="166" t="s">
        <v>634</v>
      </c>
      <c r="AH18" s="182" t="e">
        <f t="shared" si="9"/>
        <v>#VALUE!</v>
      </c>
      <c r="AI18" s="390"/>
      <c r="AJ18" s="182" t="s">
        <v>634</v>
      </c>
      <c r="AK18" s="166" t="s">
        <v>634</v>
      </c>
      <c r="AL18" s="166" t="s">
        <v>634</v>
      </c>
      <c r="AM18" s="182" t="e">
        <f t="shared" si="11"/>
        <v>#VALUE!</v>
      </c>
      <c r="AN18" s="390"/>
      <c r="AO18" s="182" t="s">
        <v>634</v>
      </c>
      <c r="AP18" s="166" t="s">
        <v>634</v>
      </c>
      <c r="AQ18" s="166" t="s">
        <v>634</v>
      </c>
      <c r="AR18" s="182" t="e">
        <f t="shared" si="13"/>
        <v>#VALUE!</v>
      </c>
      <c r="AS18" s="390"/>
      <c r="AT18" s="182" t="s">
        <v>634</v>
      </c>
      <c r="AU18" s="166" t="s">
        <v>634</v>
      </c>
      <c r="AV18" s="166" t="s">
        <v>634</v>
      </c>
      <c r="AW18" s="182" t="e">
        <f t="shared" si="15"/>
        <v>#VALUE!</v>
      </c>
      <c r="AX18" s="390"/>
      <c r="AZ18" s="182" t="e">
        <f t="shared" si="17"/>
        <v>#N/A</v>
      </c>
      <c r="BA18" s="390"/>
    </row>
    <row r="19" spans="2:53">
      <c r="B19" s="395"/>
      <c r="C19" s="182">
        <v>13</v>
      </c>
      <c r="D19" s="182"/>
      <c r="E19" s="182"/>
      <c r="F19" s="182"/>
      <c r="G19" s="166"/>
      <c r="H19" s="402"/>
      <c r="I19" s="166" t="str">
        <f t="shared" si="0"/>
        <v>-</v>
      </c>
      <c r="J19" s="166" t="str">
        <f t="shared" si="1"/>
        <v>-</v>
      </c>
      <c r="K19" s="180" t="str">
        <f t="shared" si="2"/>
        <v>-</v>
      </c>
      <c r="L19" s="402"/>
      <c r="M19" s="181" t="e">
        <f>RANK(K19, K$7:$K$21)</f>
        <v>#VALUE!</v>
      </c>
      <c r="N19" s="389"/>
      <c r="O19" s="389"/>
      <c r="P19" s="182" t="s">
        <v>634</v>
      </c>
      <c r="Q19" s="166" t="s">
        <v>634</v>
      </c>
      <c r="R19" s="166" t="s">
        <v>634</v>
      </c>
      <c r="S19" s="182" t="e">
        <f t="shared" si="3"/>
        <v>#VALUE!</v>
      </c>
      <c r="T19" s="390"/>
      <c r="U19" s="182" t="s">
        <v>634</v>
      </c>
      <c r="V19" s="166" t="s">
        <v>634</v>
      </c>
      <c r="W19" s="166" t="s">
        <v>634</v>
      </c>
      <c r="X19" s="182" t="e">
        <f t="shared" si="5"/>
        <v>#VALUE!</v>
      </c>
      <c r="Y19" s="390"/>
      <c r="Z19" s="182" t="s">
        <v>634</v>
      </c>
      <c r="AA19" s="166" t="s">
        <v>634</v>
      </c>
      <c r="AB19" s="166" t="s">
        <v>634</v>
      </c>
      <c r="AC19" s="182" t="e">
        <f t="shared" si="7"/>
        <v>#VALUE!</v>
      </c>
      <c r="AD19" s="390"/>
      <c r="AE19" s="182"/>
      <c r="AF19" s="166" t="s">
        <v>634</v>
      </c>
      <c r="AG19" s="166" t="s">
        <v>634</v>
      </c>
      <c r="AH19" s="182" t="e">
        <f t="shared" si="9"/>
        <v>#VALUE!</v>
      </c>
      <c r="AI19" s="390"/>
      <c r="AJ19" s="182" t="s">
        <v>634</v>
      </c>
      <c r="AK19" s="166" t="s">
        <v>634</v>
      </c>
      <c r="AL19" s="166" t="s">
        <v>634</v>
      </c>
      <c r="AM19" s="182" t="e">
        <f t="shared" si="11"/>
        <v>#VALUE!</v>
      </c>
      <c r="AN19" s="390"/>
      <c r="AO19" s="182" t="s">
        <v>634</v>
      </c>
      <c r="AP19" s="166" t="s">
        <v>634</v>
      </c>
      <c r="AQ19" s="166" t="s">
        <v>634</v>
      </c>
      <c r="AR19" s="182" t="e">
        <f t="shared" si="13"/>
        <v>#VALUE!</v>
      </c>
      <c r="AS19" s="390"/>
      <c r="AT19" s="182" t="s">
        <v>634</v>
      </c>
      <c r="AU19" s="166" t="s">
        <v>634</v>
      </c>
      <c r="AV19" s="166" t="s">
        <v>634</v>
      </c>
      <c r="AW19" s="182" t="e">
        <f t="shared" si="15"/>
        <v>#VALUE!</v>
      </c>
      <c r="AX19" s="390"/>
      <c r="AZ19" s="182" t="e">
        <f t="shared" si="17"/>
        <v>#N/A</v>
      </c>
      <c r="BA19" s="390"/>
    </row>
    <row r="20" spans="2:53">
      <c r="B20" s="395"/>
      <c r="C20" s="182">
        <v>14</v>
      </c>
      <c r="D20" s="182"/>
      <c r="E20" s="182"/>
      <c r="F20" s="182"/>
      <c r="G20" s="166"/>
      <c r="H20" s="402"/>
      <c r="I20" s="166" t="str">
        <f t="shared" si="0"/>
        <v>-</v>
      </c>
      <c r="J20" s="166" t="str">
        <f t="shared" si="1"/>
        <v>-</v>
      </c>
      <c r="K20" s="180" t="str">
        <f t="shared" si="2"/>
        <v>-</v>
      </c>
      <c r="L20" s="402"/>
      <c r="M20" s="181" t="e">
        <f>RANK(K20, K$7:$K$21)</f>
        <v>#VALUE!</v>
      </c>
      <c r="N20" s="389"/>
      <c r="O20" s="389"/>
      <c r="P20" s="182" t="s">
        <v>634</v>
      </c>
      <c r="Q20" s="166" t="s">
        <v>634</v>
      </c>
      <c r="R20" s="166" t="s">
        <v>634</v>
      </c>
      <c r="S20" s="182" t="e">
        <f t="shared" si="3"/>
        <v>#VALUE!</v>
      </c>
      <c r="T20" s="390"/>
      <c r="U20" s="182" t="s">
        <v>634</v>
      </c>
      <c r="V20" s="166" t="s">
        <v>634</v>
      </c>
      <c r="W20" s="166" t="s">
        <v>634</v>
      </c>
      <c r="X20" s="182" t="e">
        <f t="shared" si="5"/>
        <v>#VALUE!</v>
      </c>
      <c r="Y20" s="390"/>
      <c r="Z20" s="182" t="s">
        <v>634</v>
      </c>
      <c r="AA20" s="166" t="s">
        <v>634</v>
      </c>
      <c r="AB20" s="166" t="s">
        <v>634</v>
      </c>
      <c r="AC20" s="182" t="e">
        <f t="shared" si="7"/>
        <v>#VALUE!</v>
      </c>
      <c r="AD20" s="390"/>
      <c r="AE20" s="182"/>
      <c r="AF20" s="166" t="s">
        <v>634</v>
      </c>
      <c r="AG20" s="166" t="s">
        <v>634</v>
      </c>
      <c r="AH20" s="182" t="e">
        <f t="shared" si="9"/>
        <v>#VALUE!</v>
      </c>
      <c r="AI20" s="390"/>
      <c r="AJ20" s="182" t="s">
        <v>634</v>
      </c>
      <c r="AK20" s="166" t="s">
        <v>634</v>
      </c>
      <c r="AL20" s="166" t="s">
        <v>634</v>
      </c>
      <c r="AM20" s="182" t="e">
        <f t="shared" si="11"/>
        <v>#VALUE!</v>
      </c>
      <c r="AN20" s="390"/>
      <c r="AO20" s="182" t="s">
        <v>634</v>
      </c>
      <c r="AP20" s="166" t="s">
        <v>634</v>
      </c>
      <c r="AQ20" s="166" t="s">
        <v>634</v>
      </c>
      <c r="AR20" s="182" t="e">
        <f t="shared" si="13"/>
        <v>#VALUE!</v>
      </c>
      <c r="AS20" s="390"/>
      <c r="AT20" s="182" t="s">
        <v>634</v>
      </c>
      <c r="AU20" s="166" t="s">
        <v>634</v>
      </c>
      <c r="AV20" s="166" t="s">
        <v>634</v>
      </c>
      <c r="AW20" s="182" t="e">
        <f t="shared" si="15"/>
        <v>#VALUE!</v>
      </c>
      <c r="AX20" s="390"/>
      <c r="AZ20" s="182" t="e">
        <f t="shared" si="17"/>
        <v>#N/A</v>
      </c>
      <c r="BA20" s="390"/>
    </row>
    <row r="21" spans="2:53">
      <c r="B21" s="395"/>
      <c r="C21" s="182">
        <v>15</v>
      </c>
      <c r="D21" s="182"/>
      <c r="E21" s="182"/>
      <c r="F21" s="182"/>
      <c r="G21" s="182"/>
      <c r="H21" s="403"/>
      <c r="I21" s="166" t="str">
        <f t="shared" si="0"/>
        <v>-</v>
      </c>
      <c r="J21" s="166" t="str">
        <f t="shared" si="1"/>
        <v>-</v>
      </c>
      <c r="K21" s="180" t="str">
        <f t="shared" si="2"/>
        <v>-</v>
      </c>
      <c r="L21" s="403"/>
      <c r="M21" s="181" t="e">
        <f>RANK(K21, K$7:$K$21)</f>
        <v>#VALUE!</v>
      </c>
      <c r="N21" s="389"/>
      <c r="O21" s="389"/>
      <c r="P21" s="182" t="s">
        <v>634</v>
      </c>
      <c r="Q21" s="166" t="s">
        <v>634</v>
      </c>
      <c r="R21" s="166" t="s">
        <v>634</v>
      </c>
      <c r="S21" s="182" t="e">
        <f t="shared" si="3"/>
        <v>#VALUE!</v>
      </c>
      <c r="T21" s="390"/>
      <c r="U21" s="182" t="s">
        <v>634</v>
      </c>
      <c r="V21" s="166" t="s">
        <v>634</v>
      </c>
      <c r="W21" s="166" t="s">
        <v>634</v>
      </c>
      <c r="X21" s="182" t="e">
        <f t="shared" si="5"/>
        <v>#VALUE!</v>
      </c>
      <c r="Y21" s="390"/>
      <c r="Z21" s="182" t="s">
        <v>634</v>
      </c>
      <c r="AA21" s="166" t="s">
        <v>634</v>
      </c>
      <c r="AB21" s="166" t="s">
        <v>634</v>
      </c>
      <c r="AC21" s="182" t="e">
        <f t="shared" si="7"/>
        <v>#VALUE!</v>
      </c>
      <c r="AD21" s="390"/>
      <c r="AE21" s="182"/>
      <c r="AF21" s="166" t="s">
        <v>634</v>
      </c>
      <c r="AG21" s="166" t="s">
        <v>634</v>
      </c>
      <c r="AH21" s="182" t="e">
        <f t="shared" si="9"/>
        <v>#VALUE!</v>
      </c>
      <c r="AI21" s="390"/>
      <c r="AJ21" s="182" t="s">
        <v>634</v>
      </c>
      <c r="AK21" s="166" t="s">
        <v>634</v>
      </c>
      <c r="AL21" s="166" t="s">
        <v>634</v>
      </c>
      <c r="AM21" s="182" t="e">
        <f t="shared" si="11"/>
        <v>#VALUE!</v>
      </c>
      <c r="AN21" s="390"/>
      <c r="AO21" s="182" t="s">
        <v>634</v>
      </c>
      <c r="AP21" s="166" t="s">
        <v>634</v>
      </c>
      <c r="AQ21" s="166" t="s">
        <v>634</v>
      </c>
      <c r="AR21" s="182" t="e">
        <f t="shared" si="13"/>
        <v>#VALUE!</v>
      </c>
      <c r="AS21" s="390"/>
      <c r="AT21" s="182"/>
      <c r="AU21" s="166"/>
      <c r="AV21" s="166"/>
      <c r="AW21" s="182" t="e">
        <f t="shared" si="15"/>
        <v>#N/A</v>
      </c>
      <c r="AX21" s="390"/>
      <c r="AZ21" s="182" t="e">
        <f t="shared" si="17"/>
        <v>#N/A</v>
      </c>
      <c r="BA21" s="390"/>
    </row>
    <row r="22" spans="2:53" ht="15.75">
      <c r="B22" s="424" t="s">
        <v>163</v>
      </c>
      <c r="C22" s="425"/>
      <c r="D22" s="425"/>
      <c r="E22" s="425"/>
      <c r="F22" s="425"/>
      <c r="G22" s="425"/>
      <c r="H22" s="425"/>
      <c r="I22" s="183"/>
      <c r="J22" s="183"/>
      <c r="K22" s="183"/>
      <c r="L22" s="183"/>
      <c r="M22" s="178"/>
      <c r="N22" s="391" t="s">
        <v>156</v>
      </c>
      <c r="O22" s="391" t="s">
        <v>105</v>
      </c>
      <c r="P22" s="413">
        <f>P2+7</f>
        <v>46147</v>
      </c>
      <c r="Q22" s="395"/>
      <c r="R22" s="395"/>
      <c r="S22" s="395"/>
      <c r="T22" s="395"/>
      <c r="U22" s="410">
        <f>P22+1</f>
        <v>46148</v>
      </c>
      <c r="V22" s="411"/>
      <c r="W22" s="411"/>
      <c r="X22" s="411"/>
      <c r="Y22" s="412"/>
      <c r="Z22" s="410">
        <f>U22+1</f>
        <v>46149</v>
      </c>
      <c r="AA22" s="411"/>
      <c r="AB22" s="411"/>
      <c r="AC22" s="411"/>
      <c r="AD22" s="412"/>
      <c r="AE22" s="410">
        <f>Z22+1</f>
        <v>46150</v>
      </c>
      <c r="AF22" s="411"/>
      <c r="AG22" s="411"/>
      <c r="AH22" s="411"/>
      <c r="AI22" s="412"/>
      <c r="AJ22" s="410">
        <f>AE22+1</f>
        <v>46151</v>
      </c>
      <c r="AK22" s="411"/>
      <c r="AL22" s="411"/>
      <c r="AM22" s="411"/>
      <c r="AN22" s="412"/>
      <c r="AO22" s="410">
        <f>AJ22+1</f>
        <v>46152</v>
      </c>
      <c r="AP22" s="411"/>
      <c r="AQ22" s="411"/>
      <c r="AR22" s="411"/>
      <c r="AS22" s="412"/>
      <c r="AT22" s="410">
        <f>AO22+1</f>
        <v>46153</v>
      </c>
      <c r="AU22" s="411"/>
      <c r="AV22" s="411"/>
      <c r="AW22" s="411"/>
      <c r="AX22" s="412"/>
    </row>
    <row r="23" spans="2:53" ht="15.75">
      <c r="B23" s="416"/>
      <c r="C23" s="416"/>
      <c r="D23" s="416"/>
      <c r="E23" s="416"/>
      <c r="F23" s="416"/>
      <c r="G23" s="416"/>
      <c r="H23" s="416"/>
      <c r="I23" s="184"/>
      <c r="J23" s="184"/>
      <c r="K23" s="184"/>
      <c r="L23" s="184"/>
      <c r="M23" s="179"/>
      <c r="N23" s="393"/>
      <c r="O23" s="393"/>
      <c r="P23" s="413" t="s">
        <v>318</v>
      </c>
      <c r="Q23" s="395"/>
      <c r="R23" s="395"/>
      <c r="S23" s="395"/>
      <c r="T23" s="395"/>
      <c r="U23" s="413" t="s">
        <v>319</v>
      </c>
      <c r="V23" s="395"/>
      <c r="W23" s="395"/>
      <c r="X23" s="395"/>
      <c r="Y23" s="395"/>
      <c r="Z23" s="413" t="s">
        <v>320</v>
      </c>
      <c r="AA23" s="395"/>
      <c r="AB23" s="395"/>
      <c r="AC23" s="395"/>
      <c r="AD23" s="395"/>
      <c r="AE23" s="413" t="s">
        <v>321</v>
      </c>
      <c r="AF23" s="395"/>
      <c r="AG23" s="395"/>
      <c r="AH23" s="395"/>
      <c r="AI23" s="395"/>
      <c r="AJ23" s="413" t="s">
        <v>322</v>
      </c>
      <c r="AK23" s="395"/>
      <c r="AL23" s="395"/>
      <c r="AM23" s="395"/>
      <c r="AN23" s="395"/>
      <c r="AO23" s="413" t="s">
        <v>323</v>
      </c>
      <c r="AP23" s="395"/>
      <c r="AQ23" s="395"/>
      <c r="AR23" s="395"/>
      <c r="AS23" s="395"/>
      <c r="AT23" s="413" t="s">
        <v>324</v>
      </c>
      <c r="AU23" s="395"/>
      <c r="AV23" s="395"/>
      <c r="AW23" s="395"/>
      <c r="AX23" s="395"/>
    </row>
    <row r="24" spans="2:53">
      <c r="B24" s="389" t="s">
        <v>575</v>
      </c>
      <c r="C24" s="389" t="s">
        <v>386</v>
      </c>
      <c r="D24" s="389"/>
      <c r="E24" s="389" t="s">
        <v>377</v>
      </c>
      <c r="F24" s="389"/>
      <c r="G24" s="389"/>
      <c r="H24" s="417" t="s">
        <v>373</v>
      </c>
      <c r="I24" s="389" t="s">
        <v>378</v>
      </c>
      <c r="J24" s="389"/>
      <c r="K24" s="389"/>
      <c r="L24" s="417" t="s">
        <v>373</v>
      </c>
      <c r="M24" s="391" t="s">
        <v>374</v>
      </c>
      <c r="N24" s="389"/>
      <c r="O24" s="389" t="s">
        <v>379</v>
      </c>
      <c r="P24" s="404" t="s">
        <v>375</v>
      </c>
      <c r="Q24" s="405"/>
      <c r="R24" s="405"/>
      <c r="S24" s="406"/>
      <c r="T24" s="389" t="s">
        <v>373</v>
      </c>
      <c r="U24" s="404" t="s">
        <v>375</v>
      </c>
      <c r="V24" s="405"/>
      <c r="W24" s="405"/>
      <c r="X24" s="406"/>
      <c r="Y24" s="389" t="s">
        <v>373</v>
      </c>
      <c r="Z24" s="404" t="s">
        <v>375</v>
      </c>
      <c r="AA24" s="405"/>
      <c r="AB24" s="405"/>
      <c r="AC24" s="406"/>
      <c r="AD24" s="389" t="s">
        <v>373</v>
      </c>
      <c r="AE24" s="404" t="s">
        <v>375</v>
      </c>
      <c r="AF24" s="405"/>
      <c r="AG24" s="405"/>
      <c r="AH24" s="406"/>
      <c r="AI24" s="389" t="s">
        <v>373</v>
      </c>
      <c r="AJ24" s="404" t="s">
        <v>375</v>
      </c>
      <c r="AK24" s="405"/>
      <c r="AL24" s="405"/>
      <c r="AM24" s="406"/>
      <c r="AN24" s="389" t="s">
        <v>373</v>
      </c>
      <c r="AO24" s="404" t="s">
        <v>375</v>
      </c>
      <c r="AP24" s="405"/>
      <c r="AQ24" s="405"/>
      <c r="AR24" s="406"/>
      <c r="AS24" s="389" t="s">
        <v>373</v>
      </c>
      <c r="AT24" s="404" t="s">
        <v>375</v>
      </c>
      <c r="AU24" s="405"/>
      <c r="AV24" s="405"/>
      <c r="AW24" s="406"/>
      <c r="AX24" s="389" t="s">
        <v>373</v>
      </c>
      <c r="BA24" s="389" t="s">
        <v>373</v>
      </c>
    </row>
    <row r="25" spans="2:53">
      <c r="B25" s="389"/>
      <c r="C25" s="389"/>
      <c r="D25" s="389"/>
      <c r="E25" s="389" t="s">
        <v>380</v>
      </c>
      <c r="F25" s="389"/>
      <c r="G25" s="389"/>
      <c r="H25" s="418"/>
      <c r="I25" s="389" t="s">
        <v>380</v>
      </c>
      <c r="J25" s="389"/>
      <c r="K25" s="389"/>
      <c r="L25" s="418"/>
      <c r="M25" s="392"/>
      <c r="N25" s="389"/>
      <c r="O25" s="389"/>
      <c r="P25" s="404" t="s">
        <v>381</v>
      </c>
      <c r="Q25" s="405"/>
      <c r="R25" s="405"/>
      <c r="S25" s="406"/>
      <c r="T25" s="389"/>
      <c r="U25" s="404" t="s">
        <v>381</v>
      </c>
      <c r="V25" s="405"/>
      <c r="W25" s="405"/>
      <c r="X25" s="406"/>
      <c r="Y25" s="389"/>
      <c r="Z25" s="404" t="s">
        <v>381</v>
      </c>
      <c r="AA25" s="405"/>
      <c r="AB25" s="405"/>
      <c r="AC25" s="406"/>
      <c r="AD25" s="389"/>
      <c r="AE25" s="404" t="s">
        <v>381</v>
      </c>
      <c r="AF25" s="405"/>
      <c r="AG25" s="405"/>
      <c r="AH25" s="406"/>
      <c r="AI25" s="389"/>
      <c r="AJ25" s="404" t="s">
        <v>381</v>
      </c>
      <c r="AK25" s="405"/>
      <c r="AL25" s="405"/>
      <c r="AM25" s="406"/>
      <c r="AN25" s="389"/>
      <c r="AO25" s="404" t="s">
        <v>381</v>
      </c>
      <c r="AP25" s="405"/>
      <c r="AQ25" s="405"/>
      <c r="AR25" s="406"/>
      <c r="AS25" s="389"/>
      <c r="AT25" s="404" t="s">
        <v>381</v>
      </c>
      <c r="AU25" s="405"/>
      <c r="AV25" s="405"/>
      <c r="AW25" s="406"/>
      <c r="AX25" s="389"/>
      <c r="BA25" s="389"/>
    </row>
    <row r="26" spans="2:53">
      <c r="B26" s="389"/>
      <c r="C26" s="389"/>
      <c r="D26" s="389"/>
      <c r="E26" s="258" t="s">
        <v>382</v>
      </c>
      <c r="F26" s="258" t="s">
        <v>383</v>
      </c>
      <c r="G26" s="258" t="s">
        <v>384</v>
      </c>
      <c r="H26" s="419"/>
      <c r="I26" s="258" t="s">
        <v>382</v>
      </c>
      <c r="J26" s="258" t="s">
        <v>383</v>
      </c>
      <c r="K26" s="258" t="s">
        <v>384</v>
      </c>
      <c r="L26" s="419"/>
      <c r="M26" s="393"/>
      <c r="N26" s="389"/>
      <c r="O26" s="389"/>
      <c r="P26" s="258" t="s">
        <v>382</v>
      </c>
      <c r="Q26" s="258" t="s">
        <v>383</v>
      </c>
      <c r="R26" s="258" t="s">
        <v>384</v>
      </c>
      <c r="S26" s="258" t="s">
        <v>374</v>
      </c>
      <c r="T26" s="389"/>
      <c r="U26" s="258" t="s">
        <v>382</v>
      </c>
      <c r="V26" s="258" t="s">
        <v>383</v>
      </c>
      <c r="W26" s="258" t="s">
        <v>384</v>
      </c>
      <c r="X26" s="258" t="s">
        <v>374</v>
      </c>
      <c r="Y26" s="389"/>
      <c r="Z26" s="258" t="s">
        <v>382</v>
      </c>
      <c r="AA26" s="258" t="s">
        <v>383</v>
      </c>
      <c r="AB26" s="258" t="s">
        <v>384</v>
      </c>
      <c r="AC26" s="258" t="s">
        <v>374</v>
      </c>
      <c r="AD26" s="389"/>
      <c r="AE26" s="258" t="s">
        <v>382</v>
      </c>
      <c r="AF26" s="258" t="s">
        <v>383</v>
      </c>
      <c r="AG26" s="258" t="s">
        <v>384</v>
      </c>
      <c r="AH26" s="258" t="s">
        <v>374</v>
      </c>
      <c r="AI26" s="389"/>
      <c r="AJ26" s="258" t="s">
        <v>382</v>
      </c>
      <c r="AK26" s="258" t="s">
        <v>383</v>
      </c>
      <c r="AL26" s="258" t="s">
        <v>384</v>
      </c>
      <c r="AM26" s="258" t="s">
        <v>374</v>
      </c>
      <c r="AN26" s="389"/>
      <c r="AO26" s="258" t="s">
        <v>382</v>
      </c>
      <c r="AP26" s="258" t="s">
        <v>383</v>
      </c>
      <c r="AQ26" s="258" t="s">
        <v>384</v>
      </c>
      <c r="AR26" s="258" t="s">
        <v>374</v>
      </c>
      <c r="AS26" s="389"/>
      <c r="AT26" s="258" t="s">
        <v>382</v>
      </c>
      <c r="AU26" s="258" t="s">
        <v>383</v>
      </c>
      <c r="AV26" s="258" t="s">
        <v>384</v>
      </c>
      <c r="AW26" s="258" t="s">
        <v>374</v>
      </c>
      <c r="AX26" s="389"/>
      <c r="AZ26" s="258" t="s">
        <v>374</v>
      </c>
      <c r="BA26" s="389"/>
    </row>
    <row r="27" spans="2:53">
      <c r="B27" s="486" t="s">
        <v>577</v>
      </c>
      <c r="C27" s="182">
        <v>1</v>
      </c>
      <c r="D27" s="182" t="s">
        <v>604</v>
      </c>
      <c r="E27" s="182">
        <v>10</v>
      </c>
      <c r="F27" s="182">
        <v>1500</v>
      </c>
      <c r="G27" s="166">
        <v>150</v>
      </c>
      <c r="H27" s="401">
        <f>AVERAGE(G27:G41)</f>
        <v>188</v>
      </c>
      <c r="I27" s="166">
        <f t="shared" ref="I27:I41" si="19">IFERROR(AVERAGE(P27,U27,Z27,AE27,AJ27,AO27,AT27),"-")</f>
        <v>10</v>
      </c>
      <c r="J27" s="166">
        <f t="shared" ref="J27:J41" si="20">IFERROR(AVERAGE(Q27,V27,AA27,AF27,AK27,AP27,AU27),"-")</f>
        <v>1250.3698156682008</v>
      </c>
      <c r="K27" s="180">
        <f t="shared" ref="K27:K41" si="21">IFERROR(AVERAGE(R27,W27,AB27,AG27,AL27,AQ27,AV27),"-")</f>
        <v>125.03698156682007</v>
      </c>
      <c r="L27" s="401">
        <f>IFERROR(AVERAGE(K27:K41),"-")</f>
        <v>195.79932140355822</v>
      </c>
      <c r="M27" s="166">
        <f>RANK(K27, K$27:$K$41)</f>
        <v>5</v>
      </c>
      <c r="N27" s="389"/>
      <c r="O27" s="389"/>
      <c r="P27" s="166">
        <v>10</v>
      </c>
      <c r="Q27" s="166">
        <v>1310.3225806451592</v>
      </c>
      <c r="R27" s="180">
        <v>131.03225806451593</v>
      </c>
      <c r="S27" s="182">
        <f>RANK(R27, R$27:R$41)</f>
        <v>5</v>
      </c>
      <c r="T27" s="390">
        <f>AVERAGE(R27:R41)</f>
        <v>201.70531524926704</v>
      </c>
      <c r="U27" s="166">
        <v>10</v>
      </c>
      <c r="V27" s="166">
        <v>1314.3749999999982</v>
      </c>
      <c r="W27" s="180">
        <v>131.43749999999983</v>
      </c>
      <c r="X27" s="182">
        <f>RANK(W27, W$27:W$41)</f>
        <v>5</v>
      </c>
      <c r="Y27" s="390">
        <f t="shared" ref="Y27" si="22">AVERAGE(W27:W41)</f>
        <v>195.45833333333351</v>
      </c>
      <c r="Z27" s="166">
        <v>10</v>
      </c>
      <c r="AA27" s="166">
        <v>1309.9999999999975</v>
      </c>
      <c r="AB27" s="180">
        <v>130.99999999999974</v>
      </c>
      <c r="AC27" s="182">
        <f>RANK(AB27, AB$27:AB$41)</f>
        <v>5</v>
      </c>
      <c r="AD27" s="390">
        <f t="shared" ref="AD27" si="23">AVERAGE(AB27:AB41)</f>
        <v>193.79376799670931</v>
      </c>
      <c r="AE27" s="166">
        <v>10</v>
      </c>
      <c r="AF27" s="166">
        <v>1089.677419354837</v>
      </c>
      <c r="AG27" s="180">
        <v>108.9677419354837</v>
      </c>
      <c r="AH27" s="182">
        <f>RANK(AG27, AG$27:AG$41)</f>
        <v>5</v>
      </c>
      <c r="AI27" s="390">
        <f t="shared" ref="AI27" si="24">AVERAGE(AG27:AG41)</f>
        <v>193.81856337211158</v>
      </c>
      <c r="AJ27" s="166">
        <v>10</v>
      </c>
      <c r="AK27" s="166">
        <v>1114.8387096774175</v>
      </c>
      <c r="AL27" s="180">
        <v>111.48387096774175</v>
      </c>
      <c r="AM27" s="182">
        <f>RANK(AL27, AL$27:AL$41)</f>
        <v>5</v>
      </c>
      <c r="AN27" s="390">
        <f t="shared" ref="AN27" si="25">AVERAGE(AL27:AL41)</f>
        <v>191.15608155285543</v>
      </c>
      <c r="AO27" s="166">
        <v>10</v>
      </c>
      <c r="AP27" s="166">
        <v>1299.3749999999982</v>
      </c>
      <c r="AQ27" s="180">
        <v>129.93749999999983</v>
      </c>
      <c r="AR27" s="182">
        <f>RANK(AQ27, AQ$27:AQ$41)</f>
        <v>5</v>
      </c>
      <c r="AS27" s="390">
        <f t="shared" ref="AS27" si="26">AVERAGE(AQ27:AQ41)</f>
        <v>197.59486664230911</v>
      </c>
      <c r="AT27" s="166">
        <v>10</v>
      </c>
      <c r="AU27" s="166">
        <v>1313.9999999999975</v>
      </c>
      <c r="AV27" s="180">
        <v>131.39999999999975</v>
      </c>
      <c r="AW27" s="182">
        <f>RANK(AV27, AV$27:AV$41)</f>
        <v>5</v>
      </c>
      <c r="AX27" s="390">
        <f t="shared" ref="AX27" si="27">AVERAGE(AV27:AV41)</f>
        <v>197.06832167832147</v>
      </c>
      <c r="AZ27" s="182" t="e">
        <f t="shared" ref="AZ27:AZ41" si="28">RANK(AY27, AY$27:AY$41)</f>
        <v>#N/A</v>
      </c>
      <c r="BA27" s="384" t="e">
        <f t="shared" ref="BA27" si="29">AVERAGE(AY27:AY41)</f>
        <v>#DIV/0!</v>
      </c>
    </row>
    <row r="28" spans="2:53">
      <c r="B28" s="395"/>
      <c r="C28" s="182">
        <v>2</v>
      </c>
      <c r="D28" s="182" t="s">
        <v>644</v>
      </c>
      <c r="E28" s="182">
        <v>15</v>
      </c>
      <c r="F28" s="182">
        <v>1800</v>
      </c>
      <c r="G28" s="166">
        <v>120</v>
      </c>
      <c r="H28" s="402"/>
      <c r="I28" s="166">
        <f t="shared" si="19"/>
        <v>12.285714285714286</v>
      </c>
      <c r="J28" s="166">
        <f t="shared" si="20"/>
        <v>1844.7920168067228</v>
      </c>
      <c r="K28" s="180">
        <f t="shared" si="21"/>
        <v>150.41410795087268</v>
      </c>
      <c r="L28" s="402"/>
      <c r="M28" s="166">
        <f>RANK(K28, K$27:$K$41)</f>
        <v>3</v>
      </c>
      <c r="N28" s="389"/>
      <c r="O28" s="389"/>
      <c r="P28" s="182">
        <v>12</v>
      </c>
      <c r="Q28" s="166">
        <v>1866.0000000000009</v>
      </c>
      <c r="R28" s="180">
        <v>155.50000000000009</v>
      </c>
      <c r="S28" s="182">
        <f t="shared" ref="S28:S41" si="30">RANK(R28, R$27:R$41)</f>
        <v>3</v>
      </c>
      <c r="T28" s="390"/>
      <c r="U28" s="182">
        <v>12</v>
      </c>
      <c r="V28" s="166">
        <v>1864.500000000003</v>
      </c>
      <c r="W28" s="180">
        <v>155.37500000000026</v>
      </c>
      <c r="X28" s="182">
        <f t="shared" ref="X28:X41" si="31">RANK(W28, W$27:W$41)</f>
        <v>3</v>
      </c>
      <c r="Y28" s="390"/>
      <c r="Z28" s="182">
        <v>13</v>
      </c>
      <c r="AA28" s="166">
        <v>1766.1176470588232</v>
      </c>
      <c r="AB28" s="180">
        <v>135.85520361990947</v>
      </c>
      <c r="AC28" s="182">
        <f t="shared" ref="AC28:AC41" si="32">RANK(AB28, AB$27:AB$41)</f>
        <v>3</v>
      </c>
      <c r="AD28" s="390"/>
      <c r="AE28" s="182">
        <v>12</v>
      </c>
      <c r="AF28" s="166">
        <v>1853.1428571428594</v>
      </c>
      <c r="AG28" s="180">
        <v>154.42857142857162</v>
      </c>
      <c r="AH28" s="182">
        <f t="shared" ref="AH28:AH41" si="33">RANK(AG28, AG$27:AG$41)</f>
        <v>3</v>
      </c>
      <c r="AI28" s="390"/>
      <c r="AJ28" s="182">
        <v>12</v>
      </c>
      <c r="AK28" s="166">
        <v>1884.8571428571408</v>
      </c>
      <c r="AL28" s="180">
        <v>157.07142857142841</v>
      </c>
      <c r="AM28" s="182">
        <f t="shared" ref="AM28:AM41" si="34">RANK(AL28, AL$27:AL$41)</f>
        <v>3</v>
      </c>
      <c r="AN28" s="390"/>
      <c r="AO28" s="182">
        <v>12</v>
      </c>
      <c r="AP28" s="166">
        <v>1821.1764705882365</v>
      </c>
      <c r="AQ28" s="180">
        <v>151.76470588235304</v>
      </c>
      <c r="AR28" s="182">
        <f t="shared" ref="AR28:AR41" si="35">RANK(AQ28, AQ$27:AQ$41)</f>
        <v>3</v>
      </c>
      <c r="AS28" s="390"/>
      <c r="AT28" s="182">
        <v>13</v>
      </c>
      <c r="AU28" s="166">
        <v>1857.7499999999973</v>
      </c>
      <c r="AV28" s="180">
        <v>142.90384615384593</v>
      </c>
      <c r="AW28" s="182">
        <f t="shared" ref="AW28:AW41" si="36">RANK(AV28, AV$27:AV$41)</f>
        <v>3</v>
      </c>
      <c r="AX28" s="390"/>
      <c r="AZ28" s="182" t="e">
        <f t="shared" si="28"/>
        <v>#N/A</v>
      </c>
      <c r="BA28" s="385"/>
    </row>
    <row r="29" spans="2:53">
      <c r="B29" s="395"/>
      <c r="C29" s="182">
        <v>3</v>
      </c>
      <c r="D29" s="182" t="s">
        <v>645</v>
      </c>
      <c r="E29" s="182">
        <v>15</v>
      </c>
      <c r="F29" s="182">
        <v>1800</v>
      </c>
      <c r="G29" s="166">
        <v>120</v>
      </c>
      <c r="H29" s="402"/>
      <c r="I29" s="166">
        <f t="shared" si="19"/>
        <v>12.285714285714286</v>
      </c>
      <c r="J29" s="166">
        <f t="shared" si="20"/>
        <v>1771.5799058084772</v>
      </c>
      <c r="K29" s="180">
        <f t="shared" si="21"/>
        <v>144.35771193092617</v>
      </c>
      <c r="L29" s="402"/>
      <c r="M29" s="166">
        <f>RANK(K29, K$27:$K$41)</f>
        <v>4</v>
      </c>
      <c r="N29" s="389"/>
      <c r="O29" s="389"/>
      <c r="P29" s="182">
        <v>12</v>
      </c>
      <c r="Q29" s="166">
        <v>1749.750000000003</v>
      </c>
      <c r="R29" s="180">
        <v>145.81250000000026</v>
      </c>
      <c r="S29" s="182">
        <f t="shared" si="30"/>
        <v>4</v>
      </c>
      <c r="T29" s="390"/>
      <c r="U29" s="182">
        <v>12</v>
      </c>
      <c r="V29" s="166">
        <v>1761.7499999999993</v>
      </c>
      <c r="W29" s="180">
        <v>146.81249999999994</v>
      </c>
      <c r="X29" s="182">
        <f t="shared" si="31"/>
        <v>4</v>
      </c>
      <c r="Y29" s="390"/>
      <c r="Z29" s="182">
        <v>13</v>
      </c>
      <c r="AA29" s="166">
        <v>1764.750000000003</v>
      </c>
      <c r="AB29" s="180">
        <v>135.75000000000023</v>
      </c>
      <c r="AC29" s="182">
        <f t="shared" si="32"/>
        <v>4</v>
      </c>
      <c r="AD29" s="390"/>
      <c r="AE29" s="182">
        <v>12</v>
      </c>
      <c r="AF29" s="166">
        <v>1821.2307692307668</v>
      </c>
      <c r="AG29" s="180">
        <v>151.76923076923057</v>
      </c>
      <c r="AH29" s="182">
        <f t="shared" si="33"/>
        <v>4</v>
      </c>
      <c r="AI29" s="390"/>
      <c r="AJ29" s="182">
        <v>12</v>
      </c>
      <c r="AK29" s="166">
        <v>1719.4285714285677</v>
      </c>
      <c r="AL29" s="180">
        <v>143.28571428571396</v>
      </c>
      <c r="AM29" s="182">
        <f t="shared" si="34"/>
        <v>4</v>
      </c>
      <c r="AN29" s="390"/>
      <c r="AO29" s="182">
        <v>12</v>
      </c>
      <c r="AP29" s="166">
        <v>1773.7499999999993</v>
      </c>
      <c r="AQ29" s="180">
        <v>147.81249999999994</v>
      </c>
      <c r="AR29" s="182">
        <f t="shared" si="35"/>
        <v>4</v>
      </c>
      <c r="AS29" s="390"/>
      <c r="AT29" s="182">
        <v>13</v>
      </c>
      <c r="AU29" s="166">
        <v>1810.3999999999987</v>
      </c>
      <c r="AV29" s="180">
        <v>139.26153846153835</v>
      </c>
      <c r="AW29" s="182">
        <f t="shared" si="36"/>
        <v>4</v>
      </c>
      <c r="AX29" s="390"/>
      <c r="AZ29" s="182" t="e">
        <f t="shared" si="28"/>
        <v>#N/A</v>
      </c>
      <c r="BA29" s="385"/>
    </row>
    <row r="30" spans="2:53">
      <c r="B30" s="395"/>
      <c r="C30" s="182">
        <v>4</v>
      </c>
      <c r="D30" s="182" t="s">
        <v>525</v>
      </c>
      <c r="E30" s="182">
        <v>6</v>
      </c>
      <c r="F30" s="182">
        <v>1500</v>
      </c>
      <c r="G30" s="166">
        <v>250</v>
      </c>
      <c r="H30" s="402"/>
      <c r="I30" s="166">
        <f t="shared" si="19"/>
        <v>6</v>
      </c>
      <c r="J30" s="166">
        <f t="shared" si="20"/>
        <v>1525.8712715855581</v>
      </c>
      <c r="K30" s="180">
        <f t="shared" si="21"/>
        <v>254.31187859759302</v>
      </c>
      <c r="L30" s="402"/>
      <c r="M30" s="166">
        <f>RANK(K30, K$27:$K$41)</f>
        <v>2</v>
      </c>
      <c r="N30" s="389"/>
      <c r="O30" s="389"/>
      <c r="P30" s="182">
        <v>6</v>
      </c>
      <c r="Q30" s="166">
        <v>1572.0000000000014</v>
      </c>
      <c r="R30" s="180">
        <v>262.00000000000023</v>
      </c>
      <c r="S30" s="182">
        <f t="shared" si="30"/>
        <v>2</v>
      </c>
      <c r="T30" s="390"/>
      <c r="U30" s="182">
        <v>6</v>
      </c>
      <c r="V30" s="166">
        <v>1492.0000000000014</v>
      </c>
      <c r="W30" s="180">
        <v>248.66666666666688</v>
      </c>
      <c r="X30" s="182">
        <f t="shared" si="31"/>
        <v>2</v>
      </c>
      <c r="Y30" s="390"/>
      <c r="Z30" s="182">
        <v>6</v>
      </c>
      <c r="AA30" s="166">
        <v>1536.0000000000014</v>
      </c>
      <c r="AB30" s="180">
        <v>256.00000000000023</v>
      </c>
      <c r="AC30" s="182">
        <f t="shared" si="32"/>
        <v>2</v>
      </c>
      <c r="AD30" s="390"/>
      <c r="AE30" s="182">
        <v>6</v>
      </c>
      <c r="AF30" s="166">
        <v>1516.3636363636365</v>
      </c>
      <c r="AG30" s="180">
        <v>252.72727272727275</v>
      </c>
      <c r="AH30" s="182">
        <f t="shared" si="33"/>
        <v>2</v>
      </c>
      <c r="AI30" s="390"/>
      <c r="AJ30" s="182">
        <v>6</v>
      </c>
      <c r="AK30" s="166">
        <v>1483.6363636363635</v>
      </c>
      <c r="AL30" s="180">
        <v>247.27272727272725</v>
      </c>
      <c r="AM30" s="182">
        <f t="shared" si="34"/>
        <v>2</v>
      </c>
      <c r="AN30" s="390"/>
      <c r="AO30" s="182">
        <v>6</v>
      </c>
      <c r="AP30" s="166">
        <v>1525.7142857142869</v>
      </c>
      <c r="AQ30" s="180">
        <v>254.28571428571448</v>
      </c>
      <c r="AR30" s="182">
        <f t="shared" si="35"/>
        <v>2</v>
      </c>
      <c r="AS30" s="390"/>
      <c r="AT30" s="182">
        <v>6</v>
      </c>
      <c r="AU30" s="166">
        <v>1555.3846153846162</v>
      </c>
      <c r="AV30" s="180">
        <v>259.23076923076934</v>
      </c>
      <c r="AW30" s="182">
        <f t="shared" si="36"/>
        <v>2</v>
      </c>
      <c r="AX30" s="390"/>
      <c r="AZ30" s="182" t="e">
        <f t="shared" si="28"/>
        <v>#N/A</v>
      </c>
      <c r="BA30" s="385"/>
    </row>
    <row r="31" spans="2:53">
      <c r="B31" s="395"/>
      <c r="C31" s="182">
        <v>5</v>
      </c>
      <c r="D31" s="182" t="s">
        <v>506</v>
      </c>
      <c r="E31" s="182">
        <v>5</v>
      </c>
      <c r="F31" s="182">
        <v>1500</v>
      </c>
      <c r="G31" s="166">
        <v>300</v>
      </c>
      <c r="H31" s="402"/>
      <c r="I31" s="166">
        <f t="shared" si="19"/>
        <v>5</v>
      </c>
      <c r="J31" s="166">
        <f t="shared" si="20"/>
        <v>1524.3796348578956</v>
      </c>
      <c r="K31" s="180">
        <f t="shared" si="21"/>
        <v>304.87592697157908</v>
      </c>
      <c r="L31" s="402"/>
      <c r="M31" s="166">
        <f>RANK(K31, K$27:$K$41)</f>
        <v>1</v>
      </c>
      <c r="N31" s="389"/>
      <c r="O31" s="389"/>
      <c r="P31" s="182">
        <v>5</v>
      </c>
      <c r="Q31" s="166">
        <v>1570.9090909090937</v>
      </c>
      <c r="R31" s="180">
        <v>314.18181818181876</v>
      </c>
      <c r="S31" s="182">
        <f t="shared" si="30"/>
        <v>1</v>
      </c>
      <c r="T31" s="390"/>
      <c r="U31" s="182">
        <v>5</v>
      </c>
      <c r="V31" s="166">
        <v>1475.000000000003</v>
      </c>
      <c r="W31" s="180">
        <v>295.00000000000057</v>
      </c>
      <c r="X31" s="182">
        <f t="shared" si="31"/>
        <v>1</v>
      </c>
      <c r="Y31" s="390"/>
      <c r="Z31" s="182">
        <v>5</v>
      </c>
      <c r="AA31" s="166">
        <v>1551.8181818181845</v>
      </c>
      <c r="AB31" s="180">
        <v>310.36363636363689</v>
      </c>
      <c r="AC31" s="182">
        <f t="shared" si="32"/>
        <v>1</v>
      </c>
      <c r="AD31" s="390"/>
      <c r="AE31" s="182">
        <v>5</v>
      </c>
      <c r="AF31" s="166">
        <v>1505.9999999999964</v>
      </c>
      <c r="AG31" s="180">
        <v>301.19999999999925</v>
      </c>
      <c r="AH31" s="182">
        <f t="shared" si="33"/>
        <v>1</v>
      </c>
      <c r="AI31" s="390"/>
      <c r="AJ31" s="182">
        <v>5</v>
      </c>
      <c r="AK31" s="166">
        <v>1483.3333333333285</v>
      </c>
      <c r="AL31" s="180">
        <v>296.66666666666572</v>
      </c>
      <c r="AM31" s="182">
        <f t="shared" si="34"/>
        <v>1</v>
      </c>
      <c r="AN31" s="390"/>
      <c r="AO31" s="182">
        <v>5</v>
      </c>
      <c r="AP31" s="166">
        <v>1520.8695652173915</v>
      </c>
      <c r="AQ31" s="180">
        <v>304.17391304347831</v>
      </c>
      <c r="AR31" s="182">
        <f t="shared" si="35"/>
        <v>1</v>
      </c>
      <c r="AS31" s="390"/>
      <c r="AT31" s="182">
        <v>5</v>
      </c>
      <c r="AU31" s="166">
        <v>1562.7272727272696</v>
      </c>
      <c r="AV31" s="180">
        <v>312.54545454545394</v>
      </c>
      <c r="AW31" s="182">
        <f t="shared" si="36"/>
        <v>1</v>
      </c>
      <c r="AX31" s="390"/>
      <c r="AZ31" s="182" t="e">
        <f t="shared" si="28"/>
        <v>#N/A</v>
      </c>
      <c r="BA31" s="385"/>
    </row>
    <row r="32" spans="2:53">
      <c r="B32" s="395"/>
      <c r="C32" s="182">
        <v>6</v>
      </c>
      <c r="D32" s="182"/>
      <c r="E32" s="182"/>
      <c r="F32" s="182"/>
      <c r="G32" s="166"/>
      <c r="H32" s="402"/>
      <c r="I32" s="166" t="str">
        <f t="shared" si="19"/>
        <v>-</v>
      </c>
      <c r="J32" s="166" t="str">
        <f t="shared" si="20"/>
        <v>-</v>
      </c>
      <c r="K32" s="180" t="str">
        <f t="shared" si="21"/>
        <v>-</v>
      </c>
      <c r="L32" s="402"/>
      <c r="M32" s="166" t="e">
        <f>RANK(K32, K$27:$K$41)</f>
        <v>#VALUE!</v>
      </c>
      <c r="N32" s="389"/>
      <c r="O32" s="389"/>
      <c r="P32" s="182"/>
      <c r="Q32" s="166"/>
      <c r="R32" s="180"/>
      <c r="S32" s="182" t="e">
        <f t="shared" si="30"/>
        <v>#N/A</v>
      </c>
      <c r="T32" s="390"/>
      <c r="U32" s="182"/>
      <c r="V32" s="166"/>
      <c r="W32" s="180"/>
      <c r="X32" s="182" t="e">
        <f t="shared" si="31"/>
        <v>#N/A</v>
      </c>
      <c r="Y32" s="390"/>
      <c r="Z32" s="182"/>
      <c r="AA32" s="166"/>
      <c r="AB32" s="180"/>
      <c r="AC32" s="182" t="e">
        <f t="shared" si="32"/>
        <v>#N/A</v>
      </c>
      <c r="AD32" s="390"/>
      <c r="AE32" s="182"/>
      <c r="AF32" s="166"/>
      <c r="AG32" s="180"/>
      <c r="AH32" s="182" t="e">
        <f t="shared" si="33"/>
        <v>#N/A</v>
      </c>
      <c r="AI32" s="390"/>
      <c r="AJ32" s="182"/>
      <c r="AK32" s="166"/>
      <c r="AL32" s="180"/>
      <c r="AM32" s="182" t="e">
        <f t="shared" si="34"/>
        <v>#N/A</v>
      </c>
      <c r="AN32" s="390"/>
      <c r="AO32" s="182"/>
      <c r="AP32" s="166"/>
      <c r="AQ32" s="180"/>
      <c r="AR32" s="182" t="e">
        <f t="shared" si="35"/>
        <v>#N/A</v>
      </c>
      <c r="AS32" s="390"/>
      <c r="AT32" s="182"/>
      <c r="AU32" s="166"/>
      <c r="AV32" s="180"/>
      <c r="AW32" s="182" t="e">
        <f t="shared" si="36"/>
        <v>#N/A</v>
      </c>
      <c r="AX32" s="390"/>
      <c r="AZ32" s="182" t="e">
        <f t="shared" si="28"/>
        <v>#N/A</v>
      </c>
      <c r="BA32" s="385"/>
    </row>
    <row r="33" spans="2:53">
      <c r="B33" s="395"/>
      <c r="C33" s="182">
        <v>7</v>
      </c>
      <c r="D33" s="182"/>
      <c r="E33" s="182"/>
      <c r="F33" s="182"/>
      <c r="G33" s="166"/>
      <c r="H33" s="402"/>
      <c r="I33" s="166" t="str">
        <f t="shared" si="19"/>
        <v>-</v>
      </c>
      <c r="J33" s="166" t="str">
        <f t="shared" si="20"/>
        <v>-</v>
      </c>
      <c r="K33" s="180" t="str">
        <f t="shared" si="21"/>
        <v>-</v>
      </c>
      <c r="L33" s="402"/>
      <c r="M33" s="166" t="e">
        <f>RANK(K33, K$27:$K$41)</f>
        <v>#VALUE!</v>
      </c>
      <c r="N33" s="389"/>
      <c r="O33" s="389"/>
      <c r="P33" s="182"/>
      <c r="Q33" s="166"/>
      <c r="R33" s="180"/>
      <c r="S33" s="182" t="e">
        <f t="shared" si="30"/>
        <v>#N/A</v>
      </c>
      <c r="T33" s="390"/>
      <c r="U33" s="182"/>
      <c r="V33" s="166"/>
      <c r="W33" s="180"/>
      <c r="X33" s="182" t="e">
        <f t="shared" si="31"/>
        <v>#N/A</v>
      </c>
      <c r="Y33" s="390"/>
      <c r="Z33" s="182"/>
      <c r="AA33" s="166"/>
      <c r="AB33" s="180"/>
      <c r="AC33" s="182" t="e">
        <f t="shared" si="32"/>
        <v>#N/A</v>
      </c>
      <c r="AD33" s="390"/>
      <c r="AE33" s="182"/>
      <c r="AF33" s="166"/>
      <c r="AG33" s="180"/>
      <c r="AH33" s="182" t="e">
        <f t="shared" si="33"/>
        <v>#N/A</v>
      </c>
      <c r="AI33" s="390"/>
      <c r="AJ33" s="182"/>
      <c r="AK33" s="166"/>
      <c r="AL33" s="180"/>
      <c r="AM33" s="182" t="e">
        <f t="shared" si="34"/>
        <v>#N/A</v>
      </c>
      <c r="AN33" s="390"/>
      <c r="AO33" s="182"/>
      <c r="AP33" s="166"/>
      <c r="AQ33" s="180"/>
      <c r="AR33" s="182" t="e">
        <f t="shared" si="35"/>
        <v>#N/A</v>
      </c>
      <c r="AS33" s="390"/>
      <c r="AT33" s="182"/>
      <c r="AU33" s="166"/>
      <c r="AV33" s="180"/>
      <c r="AW33" s="182" t="e">
        <f t="shared" si="36"/>
        <v>#N/A</v>
      </c>
      <c r="AX33" s="390"/>
      <c r="AZ33" s="182" t="e">
        <f t="shared" si="28"/>
        <v>#N/A</v>
      </c>
      <c r="BA33" s="385"/>
    </row>
    <row r="34" spans="2:53">
      <c r="B34" s="395"/>
      <c r="C34" s="182">
        <v>8</v>
      </c>
      <c r="D34" s="182"/>
      <c r="E34" s="182"/>
      <c r="F34" s="182"/>
      <c r="G34" s="166"/>
      <c r="H34" s="402"/>
      <c r="I34" s="166" t="str">
        <f t="shared" si="19"/>
        <v>-</v>
      </c>
      <c r="J34" s="166" t="str">
        <f t="shared" si="20"/>
        <v>-</v>
      </c>
      <c r="K34" s="180" t="str">
        <f t="shared" si="21"/>
        <v>-</v>
      </c>
      <c r="L34" s="402"/>
      <c r="M34" s="166" t="e">
        <f>RANK(K34, K$27:$K$41)</f>
        <v>#VALUE!</v>
      </c>
      <c r="N34" s="389"/>
      <c r="O34" s="389"/>
      <c r="P34" s="182"/>
      <c r="Q34" s="166"/>
      <c r="R34" s="180"/>
      <c r="S34" s="182" t="e">
        <f t="shared" si="30"/>
        <v>#N/A</v>
      </c>
      <c r="T34" s="390"/>
      <c r="U34" s="182"/>
      <c r="V34" s="166"/>
      <c r="W34" s="180"/>
      <c r="X34" s="182" t="e">
        <f t="shared" si="31"/>
        <v>#N/A</v>
      </c>
      <c r="Y34" s="390"/>
      <c r="Z34" s="182"/>
      <c r="AA34" s="166"/>
      <c r="AB34" s="180"/>
      <c r="AC34" s="182" t="e">
        <f t="shared" si="32"/>
        <v>#N/A</v>
      </c>
      <c r="AD34" s="390"/>
      <c r="AE34" s="182"/>
      <c r="AF34" s="166"/>
      <c r="AG34" s="180"/>
      <c r="AH34" s="182" t="e">
        <f t="shared" si="33"/>
        <v>#N/A</v>
      </c>
      <c r="AI34" s="390"/>
      <c r="AJ34" s="182"/>
      <c r="AK34" s="166"/>
      <c r="AL34" s="180"/>
      <c r="AM34" s="182" t="e">
        <f t="shared" si="34"/>
        <v>#N/A</v>
      </c>
      <c r="AN34" s="390"/>
      <c r="AO34" s="182"/>
      <c r="AP34" s="166"/>
      <c r="AQ34" s="180"/>
      <c r="AR34" s="182" t="e">
        <f t="shared" si="35"/>
        <v>#N/A</v>
      </c>
      <c r="AS34" s="390"/>
      <c r="AT34" s="182"/>
      <c r="AU34" s="166"/>
      <c r="AV34" s="180"/>
      <c r="AW34" s="182" t="e">
        <f t="shared" si="36"/>
        <v>#N/A</v>
      </c>
      <c r="AX34" s="390"/>
      <c r="AZ34" s="182" t="e">
        <f t="shared" si="28"/>
        <v>#N/A</v>
      </c>
      <c r="BA34" s="385"/>
    </row>
    <row r="35" spans="2:53">
      <c r="B35" s="395"/>
      <c r="C35" s="182">
        <v>9</v>
      </c>
      <c r="D35" s="182"/>
      <c r="E35" s="182"/>
      <c r="F35" s="182"/>
      <c r="G35" s="166"/>
      <c r="H35" s="402"/>
      <c r="I35" s="166" t="str">
        <f t="shared" si="19"/>
        <v>-</v>
      </c>
      <c r="J35" s="166" t="str">
        <f t="shared" si="20"/>
        <v>-</v>
      </c>
      <c r="K35" s="180" t="str">
        <f t="shared" si="21"/>
        <v>-</v>
      </c>
      <c r="L35" s="402"/>
      <c r="M35" s="166" t="e">
        <f>RANK(K35, K$27:$K$41)</f>
        <v>#VALUE!</v>
      </c>
      <c r="N35" s="389"/>
      <c r="O35" s="389"/>
      <c r="P35" s="182"/>
      <c r="Q35" s="166"/>
      <c r="R35" s="180"/>
      <c r="S35" s="182" t="e">
        <f t="shared" si="30"/>
        <v>#N/A</v>
      </c>
      <c r="T35" s="390"/>
      <c r="U35" s="182"/>
      <c r="V35" s="166"/>
      <c r="W35" s="180"/>
      <c r="X35" s="182" t="e">
        <f t="shared" si="31"/>
        <v>#N/A</v>
      </c>
      <c r="Y35" s="390"/>
      <c r="Z35" s="182"/>
      <c r="AA35" s="166"/>
      <c r="AB35" s="180"/>
      <c r="AC35" s="182" t="e">
        <f t="shared" si="32"/>
        <v>#N/A</v>
      </c>
      <c r="AD35" s="390"/>
      <c r="AE35" s="182"/>
      <c r="AF35" s="166"/>
      <c r="AG35" s="180"/>
      <c r="AH35" s="182" t="e">
        <f t="shared" si="33"/>
        <v>#N/A</v>
      </c>
      <c r="AI35" s="390"/>
      <c r="AJ35" s="182"/>
      <c r="AK35" s="166"/>
      <c r="AL35" s="180"/>
      <c r="AM35" s="182" t="e">
        <f t="shared" si="34"/>
        <v>#N/A</v>
      </c>
      <c r="AN35" s="390"/>
      <c r="AO35" s="182"/>
      <c r="AP35" s="166"/>
      <c r="AQ35" s="180"/>
      <c r="AR35" s="182" t="e">
        <f t="shared" si="35"/>
        <v>#N/A</v>
      </c>
      <c r="AS35" s="390"/>
      <c r="AT35" s="182"/>
      <c r="AU35" s="166"/>
      <c r="AV35" s="180"/>
      <c r="AW35" s="182" t="e">
        <f t="shared" si="36"/>
        <v>#N/A</v>
      </c>
      <c r="AX35" s="390"/>
      <c r="AZ35" s="182" t="e">
        <f t="shared" si="28"/>
        <v>#N/A</v>
      </c>
      <c r="BA35" s="385"/>
    </row>
    <row r="36" spans="2:53">
      <c r="B36" s="395"/>
      <c r="C36" s="182">
        <v>10</v>
      </c>
      <c r="D36" s="182"/>
      <c r="E36" s="182"/>
      <c r="F36" s="182"/>
      <c r="G36" s="166"/>
      <c r="H36" s="402"/>
      <c r="I36" s="166" t="str">
        <f t="shared" si="19"/>
        <v>-</v>
      </c>
      <c r="J36" s="166" t="str">
        <f t="shared" si="20"/>
        <v>-</v>
      </c>
      <c r="K36" s="180" t="str">
        <f t="shared" si="21"/>
        <v>-</v>
      </c>
      <c r="L36" s="402"/>
      <c r="M36" s="166" t="e">
        <f>RANK(K36, K$27:$K$41)</f>
        <v>#VALUE!</v>
      </c>
      <c r="N36" s="389"/>
      <c r="O36" s="389"/>
      <c r="P36" s="182"/>
      <c r="Q36" s="166"/>
      <c r="R36" s="180"/>
      <c r="S36" s="182" t="e">
        <f t="shared" si="30"/>
        <v>#N/A</v>
      </c>
      <c r="T36" s="390"/>
      <c r="U36" s="182"/>
      <c r="V36" s="166"/>
      <c r="W36" s="180"/>
      <c r="X36" s="182" t="e">
        <f t="shared" si="31"/>
        <v>#N/A</v>
      </c>
      <c r="Y36" s="390"/>
      <c r="Z36" s="182"/>
      <c r="AA36" s="166"/>
      <c r="AB36" s="180"/>
      <c r="AC36" s="182" t="e">
        <f t="shared" si="32"/>
        <v>#N/A</v>
      </c>
      <c r="AD36" s="390"/>
      <c r="AE36" s="182"/>
      <c r="AF36" s="166"/>
      <c r="AG36" s="180"/>
      <c r="AH36" s="182" t="e">
        <f t="shared" si="33"/>
        <v>#N/A</v>
      </c>
      <c r="AI36" s="390"/>
      <c r="AJ36" s="182"/>
      <c r="AK36" s="166"/>
      <c r="AL36" s="180"/>
      <c r="AM36" s="182" t="e">
        <f t="shared" si="34"/>
        <v>#N/A</v>
      </c>
      <c r="AN36" s="390"/>
      <c r="AO36" s="182"/>
      <c r="AP36" s="166"/>
      <c r="AQ36" s="180"/>
      <c r="AR36" s="182" t="e">
        <f t="shared" si="35"/>
        <v>#N/A</v>
      </c>
      <c r="AS36" s="390"/>
      <c r="AT36" s="182"/>
      <c r="AU36" s="166"/>
      <c r="AV36" s="180"/>
      <c r="AW36" s="182" t="e">
        <f t="shared" si="36"/>
        <v>#N/A</v>
      </c>
      <c r="AX36" s="390"/>
      <c r="AZ36" s="182" t="e">
        <f t="shared" si="28"/>
        <v>#N/A</v>
      </c>
      <c r="BA36" s="385"/>
    </row>
    <row r="37" spans="2:53">
      <c r="B37" s="395"/>
      <c r="C37" s="182">
        <v>11</v>
      </c>
      <c r="D37" s="182"/>
      <c r="E37" s="182"/>
      <c r="F37" s="182"/>
      <c r="G37" s="166"/>
      <c r="H37" s="402"/>
      <c r="I37" s="166" t="str">
        <f t="shared" si="19"/>
        <v>-</v>
      </c>
      <c r="J37" s="166" t="str">
        <f t="shared" si="20"/>
        <v>-</v>
      </c>
      <c r="K37" s="180" t="str">
        <f t="shared" si="21"/>
        <v>-</v>
      </c>
      <c r="L37" s="402"/>
      <c r="M37" s="166" t="e">
        <f>RANK(K37, K$27:$K$41)</f>
        <v>#VALUE!</v>
      </c>
      <c r="N37" s="389"/>
      <c r="O37" s="389"/>
      <c r="P37" s="182"/>
      <c r="Q37" s="182"/>
      <c r="R37" s="182"/>
      <c r="S37" s="182" t="e">
        <f t="shared" si="30"/>
        <v>#N/A</v>
      </c>
      <c r="T37" s="390"/>
      <c r="U37" s="182"/>
      <c r="V37" s="182"/>
      <c r="W37" s="182"/>
      <c r="X37" s="182" t="e">
        <f t="shared" si="31"/>
        <v>#N/A</v>
      </c>
      <c r="Y37" s="390"/>
      <c r="Z37" s="182"/>
      <c r="AA37" s="182"/>
      <c r="AB37" s="182"/>
      <c r="AC37" s="182" t="e">
        <f t="shared" si="32"/>
        <v>#N/A</v>
      </c>
      <c r="AD37" s="390"/>
      <c r="AE37" s="182"/>
      <c r="AF37" s="182"/>
      <c r="AG37" s="182"/>
      <c r="AH37" s="182" t="e">
        <f t="shared" si="33"/>
        <v>#N/A</v>
      </c>
      <c r="AI37" s="390"/>
      <c r="AJ37" s="182"/>
      <c r="AK37" s="182"/>
      <c r="AL37" s="182"/>
      <c r="AM37" s="182" t="e">
        <f t="shared" si="34"/>
        <v>#N/A</v>
      </c>
      <c r="AN37" s="390"/>
      <c r="AO37" s="182"/>
      <c r="AP37" s="182"/>
      <c r="AQ37" s="182"/>
      <c r="AR37" s="182" t="e">
        <f t="shared" si="35"/>
        <v>#N/A</v>
      </c>
      <c r="AS37" s="390"/>
      <c r="AT37" s="182"/>
      <c r="AU37" s="182"/>
      <c r="AV37" s="182"/>
      <c r="AW37" s="182" t="e">
        <f t="shared" si="36"/>
        <v>#N/A</v>
      </c>
      <c r="AX37" s="390"/>
      <c r="AZ37" s="182" t="e">
        <f t="shared" si="28"/>
        <v>#N/A</v>
      </c>
      <c r="BA37" s="385"/>
    </row>
    <row r="38" spans="2:53">
      <c r="B38" s="395"/>
      <c r="C38" s="182">
        <v>12</v>
      </c>
      <c r="D38" s="182"/>
      <c r="E38" s="182"/>
      <c r="F38" s="182"/>
      <c r="G38" s="166"/>
      <c r="H38" s="402"/>
      <c r="I38" s="166" t="str">
        <f t="shared" si="19"/>
        <v>-</v>
      </c>
      <c r="J38" s="166" t="str">
        <f t="shared" si="20"/>
        <v>-</v>
      </c>
      <c r="K38" s="180" t="str">
        <f t="shared" si="21"/>
        <v>-</v>
      </c>
      <c r="L38" s="402"/>
      <c r="M38" s="166" t="e">
        <f>RANK(K38, K$27:$K$41)</f>
        <v>#VALUE!</v>
      </c>
      <c r="N38" s="389"/>
      <c r="O38" s="389"/>
      <c r="P38" s="182"/>
      <c r="Q38" s="182"/>
      <c r="R38" s="182"/>
      <c r="S38" s="182" t="e">
        <f t="shared" si="30"/>
        <v>#N/A</v>
      </c>
      <c r="T38" s="390"/>
      <c r="U38" s="182"/>
      <c r="V38" s="182"/>
      <c r="W38" s="182"/>
      <c r="X38" s="182" t="e">
        <f t="shared" si="31"/>
        <v>#N/A</v>
      </c>
      <c r="Y38" s="390"/>
      <c r="Z38" s="182"/>
      <c r="AA38" s="182"/>
      <c r="AB38" s="182"/>
      <c r="AC38" s="182" t="e">
        <f t="shared" si="32"/>
        <v>#N/A</v>
      </c>
      <c r="AD38" s="390"/>
      <c r="AE38" s="182"/>
      <c r="AF38" s="182"/>
      <c r="AG38" s="182"/>
      <c r="AH38" s="182" t="e">
        <f t="shared" si="33"/>
        <v>#N/A</v>
      </c>
      <c r="AI38" s="390"/>
      <c r="AJ38" s="182"/>
      <c r="AK38" s="182"/>
      <c r="AL38" s="182"/>
      <c r="AM38" s="182" t="e">
        <f t="shared" si="34"/>
        <v>#N/A</v>
      </c>
      <c r="AN38" s="390"/>
      <c r="AO38" s="182"/>
      <c r="AP38" s="182"/>
      <c r="AQ38" s="182"/>
      <c r="AR38" s="182" t="e">
        <f t="shared" si="35"/>
        <v>#N/A</v>
      </c>
      <c r="AS38" s="390"/>
      <c r="AT38" s="182"/>
      <c r="AU38" s="182"/>
      <c r="AV38" s="182"/>
      <c r="AW38" s="182" t="e">
        <f t="shared" si="36"/>
        <v>#N/A</v>
      </c>
      <c r="AX38" s="390"/>
      <c r="AZ38" s="182" t="e">
        <f t="shared" si="28"/>
        <v>#N/A</v>
      </c>
      <c r="BA38" s="385"/>
    </row>
    <row r="39" spans="2:53">
      <c r="B39" s="395"/>
      <c r="C39" s="182">
        <v>13</v>
      </c>
      <c r="D39" s="182"/>
      <c r="E39" s="182"/>
      <c r="F39" s="182"/>
      <c r="G39" s="166"/>
      <c r="H39" s="402"/>
      <c r="I39" s="166" t="str">
        <f t="shared" si="19"/>
        <v>-</v>
      </c>
      <c r="J39" s="166" t="str">
        <f t="shared" si="20"/>
        <v>-</v>
      </c>
      <c r="K39" s="180" t="str">
        <f t="shared" si="21"/>
        <v>-</v>
      </c>
      <c r="L39" s="402"/>
      <c r="M39" s="166" t="e">
        <f>RANK(K39, K$27:$K$41)</f>
        <v>#VALUE!</v>
      </c>
      <c r="N39" s="389"/>
      <c r="O39" s="389"/>
      <c r="P39" s="182"/>
      <c r="Q39" s="182"/>
      <c r="R39" s="182"/>
      <c r="S39" s="182" t="e">
        <f t="shared" si="30"/>
        <v>#N/A</v>
      </c>
      <c r="T39" s="390"/>
      <c r="U39" s="182"/>
      <c r="V39" s="182"/>
      <c r="W39" s="182"/>
      <c r="X39" s="182" t="e">
        <f t="shared" si="31"/>
        <v>#N/A</v>
      </c>
      <c r="Y39" s="390"/>
      <c r="Z39" s="182"/>
      <c r="AA39" s="182"/>
      <c r="AB39" s="182"/>
      <c r="AC39" s="182" t="e">
        <f t="shared" si="32"/>
        <v>#N/A</v>
      </c>
      <c r="AD39" s="390"/>
      <c r="AE39" s="182"/>
      <c r="AF39" s="182"/>
      <c r="AG39" s="182"/>
      <c r="AH39" s="182" t="e">
        <f t="shared" si="33"/>
        <v>#N/A</v>
      </c>
      <c r="AI39" s="390"/>
      <c r="AJ39" s="182"/>
      <c r="AK39" s="182"/>
      <c r="AL39" s="182"/>
      <c r="AM39" s="182" t="e">
        <f t="shared" si="34"/>
        <v>#N/A</v>
      </c>
      <c r="AN39" s="390"/>
      <c r="AO39" s="182"/>
      <c r="AP39" s="182"/>
      <c r="AQ39" s="182"/>
      <c r="AR39" s="182" t="e">
        <f t="shared" si="35"/>
        <v>#N/A</v>
      </c>
      <c r="AS39" s="390"/>
      <c r="AT39" s="182"/>
      <c r="AU39" s="182"/>
      <c r="AV39" s="182"/>
      <c r="AW39" s="182" t="e">
        <f t="shared" si="36"/>
        <v>#N/A</v>
      </c>
      <c r="AX39" s="390"/>
      <c r="AZ39" s="182" t="e">
        <f t="shared" si="28"/>
        <v>#N/A</v>
      </c>
      <c r="BA39" s="385"/>
    </row>
    <row r="40" spans="2:53">
      <c r="B40" s="395"/>
      <c r="C40" s="182">
        <v>14</v>
      </c>
      <c r="D40" s="182"/>
      <c r="E40" s="182"/>
      <c r="F40" s="182"/>
      <c r="G40" s="166"/>
      <c r="H40" s="402"/>
      <c r="I40" s="166" t="str">
        <f t="shared" si="19"/>
        <v>-</v>
      </c>
      <c r="J40" s="166" t="str">
        <f t="shared" si="20"/>
        <v>-</v>
      </c>
      <c r="K40" s="180" t="str">
        <f t="shared" si="21"/>
        <v>-</v>
      </c>
      <c r="L40" s="402"/>
      <c r="M40" s="166" t="e">
        <f>RANK(K40, K$27:$K$41)</f>
        <v>#VALUE!</v>
      </c>
      <c r="N40" s="389"/>
      <c r="O40" s="389"/>
      <c r="P40" s="182"/>
      <c r="Q40" s="182"/>
      <c r="R40" s="182"/>
      <c r="S40" s="182" t="e">
        <f t="shared" si="30"/>
        <v>#N/A</v>
      </c>
      <c r="T40" s="390"/>
      <c r="U40" s="182"/>
      <c r="V40" s="182"/>
      <c r="W40" s="182"/>
      <c r="X40" s="182" t="e">
        <f t="shared" si="31"/>
        <v>#N/A</v>
      </c>
      <c r="Y40" s="390"/>
      <c r="Z40" s="182"/>
      <c r="AA40" s="182"/>
      <c r="AB40" s="182"/>
      <c r="AC40" s="182" t="e">
        <f t="shared" si="32"/>
        <v>#N/A</v>
      </c>
      <c r="AD40" s="390"/>
      <c r="AE40" s="182"/>
      <c r="AF40" s="182"/>
      <c r="AG40" s="182"/>
      <c r="AH40" s="182" t="e">
        <f t="shared" si="33"/>
        <v>#N/A</v>
      </c>
      <c r="AI40" s="390"/>
      <c r="AJ40" s="182"/>
      <c r="AK40" s="182"/>
      <c r="AL40" s="182"/>
      <c r="AM40" s="182" t="e">
        <f t="shared" si="34"/>
        <v>#N/A</v>
      </c>
      <c r="AN40" s="390"/>
      <c r="AO40" s="182"/>
      <c r="AP40" s="182"/>
      <c r="AQ40" s="182"/>
      <c r="AR40" s="182" t="e">
        <f t="shared" si="35"/>
        <v>#N/A</v>
      </c>
      <c r="AS40" s="390"/>
      <c r="AT40" s="182"/>
      <c r="AU40" s="182"/>
      <c r="AV40" s="182"/>
      <c r="AW40" s="182" t="e">
        <f t="shared" si="36"/>
        <v>#N/A</v>
      </c>
      <c r="AX40" s="390"/>
      <c r="AZ40" s="182" t="e">
        <f t="shared" si="28"/>
        <v>#N/A</v>
      </c>
      <c r="BA40" s="385"/>
    </row>
    <row r="41" spans="2:53">
      <c r="B41" s="395"/>
      <c r="C41" s="182">
        <v>15</v>
      </c>
      <c r="D41" s="182"/>
      <c r="E41" s="182"/>
      <c r="F41" s="182"/>
      <c r="G41" s="182"/>
      <c r="H41" s="403"/>
      <c r="I41" s="166" t="str">
        <f t="shared" si="19"/>
        <v>-</v>
      </c>
      <c r="J41" s="166" t="str">
        <f t="shared" si="20"/>
        <v>-</v>
      </c>
      <c r="K41" s="180" t="str">
        <f t="shared" si="21"/>
        <v>-</v>
      </c>
      <c r="L41" s="403"/>
      <c r="M41" s="166" t="e">
        <f>RANK(K41, K$27:$K$41)</f>
        <v>#VALUE!</v>
      </c>
      <c r="N41" s="389"/>
      <c r="O41" s="389"/>
      <c r="P41" s="182"/>
      <c r="Q41" s="166"/>
      <c r="R41" s="166"/>
      <c r="S41" s="182" t="e">
        <f t="shared" si="30"/>
        <v>#N/A</v>
      </c>
      <c r="T41" s="390"/>
      <c r="U41" s="182"/>
      <c r="V41" s="166"/>
      <c r="W41" s="166"/>
      <c r="X41" s="182" t="e">
        <f t="shared" si="31"/>
        <v>#N/A</v>
      </c>
      <c r="Y41" s="390"/>
      <c r="Z41" s="182"/>
      <c r="AA41" s="166"/>
      <c r="AB41" s="166"/>
      <c r="AC41" s="182" t="e">
        <f t="shared" si="32"/>
        <v>#N/A</v>
      </c>
      <c r="AD41" s="390"/>
      <c r="AE41" s="182"/>
      <c r="AF41" s="166"/>
      <c r="AG41" s="166"/>
      <c r="AH41" s="182" t="e">
        <f t="shared" si="33"/>
        <v>#N/A</v>
      </c>
      <c r="AI41" s="390"/>
      <c r="AJ41" s="182"/>
      <c r="AK41" s="166"/>
      <c r="AL41" s="166"/>
      <c r="AM41" s="182" t="e">
        <f t="shared" si="34"/>
        <v>#N/A</v>
      </c>
      <c r="AN41" s="390"/>
      <c r="AO41" s="182"/>
      <c r="AP41" s="166"/>
      <c r="AQ41" s="166"/>
      <c r="AR41" s="182" t="e">
        <f t="shared" si="35"/>
        <v>#N/A</v>
      </c>
      <c r="AS41" s="390"/>
      <c r="AT41" s="182"/>
      <c r="AU41" s="166"/>
      <c r="AV41" s="166"/>
      <c r="AW41" s="182" t="e">
        <f t="shared" si="36"/>
        <v>#N/A</v>
      </c>
      <c r="AX41" s="390"/>
      <c r="AZ41" s="182" t="e">
        <f t="shared" si="28"/>
        <v>#N/A</v>
      </c>
      <c r="BA41" s="386"/>
    </row>
    <row r="42" spans="2:53" ht="15.75">
      <c r="B42" s="424" t="s">
        <v>163</v>
      </c>
      <c r="C42" s="425"/>
      <c r="D42" s="425"/>
      <c r="E42" s="425"/>
      <c r="F42" s="425"/>
      <c r="G42" s="425"/>
      <c r="H42" s="425"/>
      <c r="I42" s="186"/>
      <c r="J42" s="183"/>
      <c r="K42" s="186"/>
      <c r="L42" s="186"/>
      <c r="M42" s="178"/>
      <c r="N42" s="391" t="s">
        <v>156</v>
      </c>
      <c r="O42" s="391" t="s">
        <v>105</v>
      </c>
      <c r="P42" s="413">
        <f>P22+7</f>
        <v>46154</v>
      </c>
      <c r="Q42" s="395"/>
      <c r="R42" s="395"/>
      <c r="S42" s="395"/>
      <c r="T42" s="395"/>
      <c r="U42" s="410">
        <f>P42+1</f>
        <v>46155</v>
      </c>
      <c r="V42" s="411"/>
      <c r="W42" s="411"/>
      <c r="X42" s="411"/>
      <c r="Y42" s="412"/>
      <c r="Z42" s="410">
        <f>U42+1</f>
        <v>46156</v>
      </c>
      <c r="AA42" s="411"/>
      <c r="AB42" s="411"/>
      <c r="AC42" s="411"/>
      <c r="AD42" s="412"/>
      <c r="AE42" s="410">
        <f>Z42+1</f>
        <v>46157</v>
      </c>
      <c r="AF42" s="411"/>
      <c r="AG42" s="411"/>
      <c r="AH42" s="411"/>
      <c r="AI42" s="412"/>
      <c r="AJ42" s="410">
        <f>AE42+1</f>
        <v>46158</v>
      </c>
      <c r="AK42" s="411"/>
      <c r="AL42" s="411"/>
      <c r="AM42" s="411"/>
      <c r="AN42" s="412"/>
      <c r="AO42" s="410">
        <f>AJ42+1</f>
        <v>46159</v>
      </c>
      <c r="AP42" s="411"/>
      <c r="AQ42" s="411"/>
      <c r="AR42" s="411"/>
      <c r="AS42" s="412"/>
      <c r="AT42" s="410">
        <f>AO42+1</f>
        <v>46160</v>
      </c>
      <c r="AU42" s="411"/>
      <c r="AV42" s="411"/>
      <c r="AW42" s="411"/>
      <c r="AX42" s="412"/>
    </row>
    <row r="43" spans="2:53" ht="15.75">
      <c r="B43" s="416"/>
      <c r="C43" s="416"/>
      <c r="D43" s="416"/>
      <c r="E43" s="416"/>
      <c r="F43" s="416"/>
      <c r="G43" s="416"/>
      <c r="H43" s="416"/>
      <c r="I43" s="184"/>
      <c r="J43" s="184"/>
      <c r="K43" s="184"/>
      <c r="L43" s="184"/>
      <c r="M43" s="179"/>
      <c r="N43" s="393"/>
      <c r="O43" s="393"/>
      <c r="P43" s="413" t="s">
        <v>318</v>
      </c>
      <c r="Q43" s="395"/>
      <c r="R43" s="395"/>
      <c r="S43" s="395"/>
      <c r="T43" s="395"/>
      <c r="U43" s="413" t="s">
        <v>319</v>
      </c>
      <c r="V43" s="395"/>
      <c r="W43" s="395"/>
      <c r="X43" s="395"/>
      <c r="Y43" s="395"/>
      <c r="Z43" s="413" t="s">
        <v>320</v>
      </c>
      <c r="AA43" s="395"/>
      <c r="AB43" s="395"/>
      <c r="AC43" s="395"/>
      <c r="AD43" s="395"/>
      <c r="AE43" s="413" t="s">
        <v>321</v>
      </c>
      <c r="AF43" s="395"/>
      <c r="AG43" s="395"/>
      <c r="AH43" s="395"/>
      <c r="AI43" s="395"/>
      <c r="AJ43" s="413" t="s">
        <v>322</v>
      </c>
      <c r="AK43" s="395"/>
      <c r="AL43" s="395"/>
      <c r="AM43" s="395"/>
      <c r="AN43" s="395"/>
      <c r="AO43" s="413" t="s">
        <v>323</v>
      </c>
      <c r="AP43" s="395"/>
      <c r="AQ43" s="395"/>
      <c r="AR43" s="395"/>
      <c r="AS43" s="395"/>
      <c r="AT43" s="413" t="s">
        <v>324</v>
      </c>
      <c r="AU43" s="395"/>
      <c r="AV43" s="395"/>
      <c r="AW43" s="395"/>
      <c r="AX43" s="395"/>
    </row>
    <row r="44" spans="2:53">
      <c r="B44" s="389" t="s">
        <v>484</v>
      </c>
      <c r="C44" s="389" t="s">
        <v>386</v>
      </c>
      <c r="D44" s="389"/>
      <c r="E44" s="389" t="s">
        <v>377</v>
      </c>
      <c r="F44" s="389"/>
      <c r="G44" s="389"/>
      <c r="H44" s="417" t="s">
        <v>373</v>
      </c>
      <c r="I44" s="389" t="s">
        <v>378</v>
      </c>
      <c r="J44" s="389"/>
      <c r="K44" s="389"/>
      <c r="L44" s="417" t="s">
        <v>373</v>
      </c>
      <c r="M44" s="391" t="s">
        <v>374</v>
      </c>
      <c r="N44" s="389"/>
      <c r="O44" s="389" t="s">
        <v>379</v>
      </c>
      <c r="P44" s="404" t="s">
        <v>375</v>
      </c>
      <c r="Q44" s="405"/>
      <c r="R44" s="405"/>
      <c r="S44" s="406"/>
      <c r="T44" s="389" t="s">
        <v>373</v>
      </c>
      <c r="U44" s="404" t="s">
        <v>375</v>
      </c>
      <c r="V44" s="405"/>
      <c r="W44" s="405"/>
      <c r="X44" s="406"/>
      <c r="Y44" s="389" t="s">
        <v>373</v>
      </c>
      <c r="Z44" s="404" t="s">
        <v>375</v>
      </c>
      <c r="AA44" s="405"/>
      <c r="AB44" s="405"/>
      <c r="AC44" s="406"/>
      <c r="AD44" s="389" t="s">
        <v>373</v>
      </c>
      <c r="AE44" s="404" t="s">
        <v>375</v>
      </c>
      <c r="AF44" s="405"/>
      <c r="AG44" s="405"/>
      <c r="AH44" s="406"/>
      <c r="AI44" s="389" t="s">
        <v>373</v>
      </c>
      <c r="AJ44" s="404" t="s">
        <v>375</v>
      </c>
      <c r="AK44" s="405"/>
      <c r="AL44" s="405"/>
      <c r="AM44" s="406"/>
      <c r="AN44" s="389" t="s">
        <v>373</v>
      </c>
      <c r="AO44" s="404" t="s">
        <v>375</v>
      </c>
      <c r="AP44" s="405"/>
      <c r="AQ44" s="405"/>
      <c r="AR44" s="406"/>
      <c r="AS44" s="389" t="s">
        <v>373</v>
      </c>
      <c r="AT44" s="404" t="s">
        <v>375</v>
      </c>
      <c r="AU44" s="405"/>
      <c r="AV44" s="405"/>
      <c r="AW44" s="406"/>
      <c r="AX44" s="389" t="s">
        <v>373</v>
      </c>
      <c r="BA44" s="389" t="s">
        <v>373</v>
      </c>
    </row>
    <row r="45" spans="2:53">
      <c r="B45" s="389"/>
      <c r="C45" s="389"/>
      <c r="D45" s="389"/>
      <c r="E45" s="389" t="s">
        <v>380</v>
      </c>
      <c r="F45" s="389"/>
      <c r="G45" s="389"/>
      <c r="H45" s="418"/>
      <c r="I45" s="389" t="s">
        <v>380</v>
      </c>
      <c r="J45" s="389"/>
      <c r="K45" s="389"/>
      <c r="L45" s="418"/>
      <c r="M45" s="392"/>
      <c r="N45" s="389"/>
      <c r="O45" s="389"/>
      <c r="P45" s="404" t="s">
        <v>381</v>
      </c>
      <c r="Q45" s="405"/>
      <c r="R45" s="405"/>
      <c r="S45" s="406"/>
      <c r="T45" s="389"/>
      <c r="U45" s="404" t="s">
        <v>381</v>
      </c>
      <c r="V45" s="405"/>
      <c r="W45" s="405"/>
      <c r="X45" s="406"/>
      <c r="Y45" s="389"/>
      <c r="Z45" s="404" t="s">
        <v>381</v>
      </c>
      <c r="AA45" s="405"/>
      <c r="AB45" s="405"/>
      <c r="AC45" s="406"/>
      <c r="AD45" s="389"/>
      <c r="AE45" s="404" t="s">
        <v>381</v>
      </c>
      <c r="AF45" s="405"/>
      <c r="AG45" s="405"/>
      <c r="AH45" s="406"/>
      <c r="AI45" s="389"/>
      <c r="AJ45" s="404" t="s">
        <v>381</v>
      </c>
      <c r="AK45" s="405"/>
      <c r="AL45" s="405"/>
      <c r="AM45" s="406"/>
      <c r="AN45" s="389"/>
      <c r="AO45" s="404" t="s">
        <v>381</v>
      </c>
      <c r="AP45" s="405"/>
      <c r="AQ45" s="405"/>
      <c r="AR45" s="406"/>
      <c r="AS45" s="389"/>
      <c r="AT45" s="404" t="s">
        <v>381</v>
      </c>
      <c r="AU45" s="405"/>
      <c r="AV45" s="405"/>
      <c r="AW45" s="406"/>
      <c r="AX45" s="389"/>
      <c r="BA45" s="389"/>
    </row>
    <row r="46" spans="2:53">
      <c r="B46" s="389"/>
      <c r="C46" s="389"/>
      <c r="D46" s="389"/>
      <c r="E46" s="258" t="s">
        <v>382</v>
      </c>
      <c r="F46" s="258" t="s">
        <v>383</v>
      </c>
      <c r="G46" s="258" t="s">
        <v>384</v>
      </c>
      <c r="H46" s="419"/>
      <c r="I46" s="258" t="s">
        <v>382</v>
      </c>
      <c r="J46" s="258" t="s">
        <v>383</v>
      </c>
      <c r="K46" s="258" t="s">
        <v>384</v>
      </c>
      <c r="L46" s="419"/>
      <c r="M46" s="393"/>
      <c r="N46" s="389"/>
      <c r="O46" s="389"/>
      <c r="P46" s="258" t="s">
        <v>382</v>
      </c>
      <c r="Q46" s="258" t="s">
        <v>383</v>
      </c>
      <c r="R46" s="258" t="s">
        <v>384</v>
      </c>
      <c r="S46" s="258" t="s">
        <v>374</v>
      </c>
      <c r="T46" s="389"/>
      <c r="U46" s="258" t="s">
        <v>382</v>
      </c>
      <c r="V46" s="258" t="s">
        <v>383</v>
      </c>
      <c r="W46" s="258" t="s">
        <v>384</v>
      </c>
      <c r="X46" s="258" t="s">
        <v>374</v>
      </c>
      <c r="Y46" s="389"/>
      <c r="Z46" s="258" t="s">
        <v>382</v>
      </c>
      <c r="AA46" s="258" t="s">
        <v>383</v>
      </c>
      <c r="AB46" s="258" t="s">
        <v>384</v>
      </c>
      <c r="AC46" s="258" t="s">
        <v>374</v>
      </c>
      <c r="AD46" s="389"/>
      <c r="AE46" s="258" t="s">
        <v>382</v>
      </c>
      <c r="AF46" s="258" t="s">
        <v>383</v>
      </c>
      <c r="AG46" s="258" t="s">
        <v>384</v>
      </c>
      <c r="AH46" s="258" t="s">
        <v>374</v>
      </c>
      <c r="AI46" s="389"/>
      <c r="AJ46" s="258" t="s">
        <v>382</v>
      </c>
      <c r="AK46" s="258" t="s">
        <v>383</v>
      </c>
      <c r="AL46" s="258" t="s">
        <v>384</v>
      </c>
      <c r="AM46" s="258" t="s">
        <v>374</v>
      </c>
      <c r="AN46" s="389"/>
      <c r="AO46" s="258" t="s">
        <v>382</v>
      </c>
      <c r="AP46" s="258" t="s">
        <v>383</v>
      </c>
      <c r="AQ46" s="258" t="s">
        <v>384</v>
      </c>
      <c r="AR46" s="258" t="s">
        <v>374</v>
      </c>
      <c r="AS46" s="389"/>
      <c r="AT46" s="258" t="s">
        <v>382</v>
      </c>
      <c r="AU46" s="258" t="s">
        <v>383</v>
      </c>
      <c r="AV46" s="258" t="s">
        <v>384</v>
      </c>
      <c r="AW46" s="258" t="s">
        <v>374</v>
      </c>
      <c r="AX46" s="389"/>
      <c r="AZ46" s="258" t="s">
        <v>374</v>
      </c>
      <c r="BA46" s="389"/>
    </row>
    <row r="47" spans="2:53">
      <c r="B47" s="486" t="s">
        <v>485</v>
      </c>
      <c r="C47" s="182">
        <v>1</v>
      </c>
      <c r="D47" s="182" t="s">
        <v>604</v>
      </c>
      <c r="E47" s="182">
        <v>10</v>
      </c>
      <c r="F47" s="182">
        <v>1500</v>
      </c>
      <c r="G47" s="166">
        <v>150</v>
      </c>
      <c r="H47" s="401">
        <f>AVERAGE(G47:G61)</f>
        <v>130</v>
      </c>
      <c r="I47" s="166">
        <f t="shared" ref="I47:I61" si="37">IFERROR(AVERAGE(P47,U47,Z47,AE47,AJ47,AO47,AT47),"-")</f>
        <v>10</v>
      </c>
      <c r="J47" s="166">
        <f t="shared" ref="J47:J61" si="38">IFERROR(AVERAGE(Q47,V47,AA47,AF47,AK47,AP47,AU47),"-")</f>
        <v>1258.1009667024703</v>
      </c>
      <c r="K47" s="180">
        <f t="shared" ref="K47:K61" si="39">IFERROR(AVERAGE(R47,W47,AB47,AG47,AL47,AQ47,AV47),"-")</f>
        <v>125.81009667024703</v>
      </c>
      <c r="L47" s="401">
        <f>IFERROR(AVERAGE(K47:K61),"-")</f>
        <v>140.55639009989966</v>
      </c>
      <c r="M47" s="166">
        <f>RANK(K47, K$47:$K$61)</f>
        <v>3</v>
      </c>
      <c r="N47" s="389"/>
      <c r="O47" s="389"/>
      <c r="P47" s="182">
        <v>10</v>
      </c>
      <c r="Q47" s="166">
        <v>1321.7142857142874</v>
      </c>
      <c r="R47" s="166">
        <v>132.17142857142875</v>
      </c>
      <c r="S47" s="182">
        <f t="shared" ref="S47:S53" si="40">RANK(R47, R$47:R$61)</f>
        <v>3</v>
      </c>
      <c r="T47" s="384">
        <f t="shared" ref="T47" si="41">AVERAGE(R47:R61)</f>
        <v>146.46190476190498</v>
      </c>
      <c r="U47" s="182">
        <v>10</v>
      </c>
      <c r="V47" s="166">
        <v>1198.4210526315808</v>
      </c>
      <c r="W47" s="166">
        <v>119.84210526315807</v>
      </c>
      <c r="X47" s="182">
        <f t="shared" ref="X47:X53" si="42">RANK(W47, W$47:W$61)</f>
        <v>3</v>
      </c>
      <c r="Y47" s="384">
        <f t="shared" ref="Y47" si="43">AVERAGE(W47:W61)</f>
        <v>142.84042397660832</v>
      </c>
      <c r="Z47" s="182">
        <v>10</v>
      </c>
      <c r="AA47" s="166">
        <v>1307.9999999999989</v>
      </c>
      <c r="AB47" s="166">
        <v>130.7999999999999</v>
      </c>
      <c r="AC47" s="182">
        <f t="shared" ref="AC47:AC53" si="44">RANK(AB47, AB$47:AB$61)</f>
        <v>3</v>
      </c>
      <c r="AD47" s="384">
        <f t="shared" ref="AD47" si="45">AVERAGE(AB47:AB61)</f>
        <v>144.52638888888882</v>
      </c>
      <c r="AE47" s="182">
        <v>10</v>
      </c>
      <c r="AF47" s="166">
        <v>1237.9999999999977</v>
      </c>
      <c r="AG47" s="166">
        <v>123.79999999999977</v>
      </c>
      <c r="AH47" s="182">
        <f t="shared" ref="AH47:AH53" si="46">RANK(AG47, AG$47:AG$61)</f>
        <v>2</v>
      </c>
      <c r="AI47" s="384">
        <f t="shared" ref="AI47" si="47">AVERAGE(AG47:AG61)</f>
        <v>125.52857142857142</v>
      </c>
      <c r="AJ47" s="182">
        <v>10</v>
      </c>
      <c r="AK47" s="166">
        <v>1224.0000000000011</v>
      </c>
      <c r="AL47" s="166">
        <v>122.40000000000012</v>
      </c>
      <c r="AM47" s="182">
        <f t="shared" ref="AM47:AM53" si="48">RANK(AL47, AL$47:AL$61)</f>
        <v>3</v>
      </c>
      <c r="AN47" s="384">
        <f t="shared" ref="AN47" si="49">AVERAGE(AL47:AL61)</f>
        <v>140.86349206349215</v>
      </c>
      <c r="AO47" s="182">
        <v>10</v>
      </c>
      <c r="AP47" s="166">
        <v>1340.5714285714273</v>
      </c>
      <c r="AQ47" s="166">
        <v>134.05714285714274</v>
      </c>
      <c r="AR47" s="182">
        <f t="shared" ref="AR47:AR53" si="50">RANK(AQ47, AQ$47:AQ$61)</f>
        <v>3</v>
      </c>
      <c r="AS47" s="384">
        <f t="shared" ref="AS47" si="51">AVERAGE(AQ47:AQ61)</f>
        <v>145.43473389355736</v>
      </c>
      <c r="AT47" s="182">
        <v>10</v>
      </c>
      <c r="AU47" s="166">
        <v>1175.9999999999995</v>
      </c>
      <c r="AV47" s="166">
        <v>117.59999999999995</v>
      </c>
      <c r="AW47" s="182">
        <f t="shared" ref="AW47:AW53" si="52">RANK(AV47, AV$47:AV$61)</f>
        <v>3</v>
      </c>
      <c r="AX47" s="384">
        <f t="shared" ref="AX47" si="53">AVERAGE(AV47:AV61)</f>
        <v>138.23921568627449</v>
      </c>
      <c r="AZ47" s="182" t="e">
        <f t="shared" ref="AZ47:AZ53" si="54">RANK(AY47, AY$47:AY$61)</f>
        <v>#N/A</v>
      </c>
      <c r="BA47" s="384" t="e">
        <f t="shared" ref="BA47" si="55">AVERAGE(AY47:AY61)</f>
        <v>#DIV/0!</v>
      </c>
    </row>
    <row r="48" spans="2:53">
      <c r="B48" s="395"/>
      <c r="C48" s="182">
        <v>2</v>
      </c>
      <c r="D48" s="182" t="s">
        <v>644</v>
      </c>
      <c r="E48" s="182">
        <v>15</v>
      </c>
      <c r="F48" s="182">
        <v>1800</v>
      </c>
      <c r="G48" s="166">
        <v>120</v>
      </c>
      <c r="H48" s="402"/>
      <c r="I48" s="166">
        <f t="shared" si="37"/>
        <v>12.285714285714286</v>
      </c>
      <c r="J48" s="166">
        <f t="shared" si="38"/>
        <v>1797.8517406962794</v>
      </c>
      <c r="K48" s="180">
        <f t="shared" si="39"/>
        <v>146.88220288115255</v>
      </c>
      <c r="L48" s="402"/>
      <c r="M48" s="166">
        <f>RANK(K48, K$47:$K$61)</f>
        <v>2</v>
      </c>
      <c r="N48" s="389"/>
      <c r="O48" s="389"/>
      <c r="P48" s="182">
        <v>12</v>
      </c>
      <c r="Q48" s="166">
        <v>1812.000000000003</v>
      </c>
      <c r="R48" s="166">
        <v>151.00000000000026</v>
      </c>
      <c r="S48" s="182">
        <f t="shared" si="40"/>
        <v>2</v>
      </c>
      <c r="T48" s="385"/>
      <c r="U48" s="182">
        <v>12</v>
      </c>
      <c r="V48" s="166">
        <v>1881.7499999999993</v>
      </c>
      <c r="W48" s="166">
        <v>156.81249999999994</v>
      </c>
      <c r="X48" s="182">
        <f t="shared" si="42"/>
        <v>1</v>
      </c>
      <c r="Y48" s="385"/>
      <c r="Z48" s="182">
        <v>12</v>
      </c>
      <c r="AA48" s="166">
        <v>1827.7499999999993</v>
      </c>
      <c r="AB48" s="166">
        <v>152.31249999999994</v>
      </c>
      <c r="AC48" s="182">
        <f t="shared" si="44"/>
        <v>1</v>
      </c>
      <c r="AD48" s="385"/>
      <c r="AE48" s="182">
        <v>14</v>
      </c>
      <c r="AF48" s="166">
        <v>1728.0000000000023</v>
      </c>
      <c r="AG48" s="166">
        <v>123.42857142857159</v>
      </c>
      <c r="AH48" s="182">
        <f t="shared" si="46"/>
        <v>3</v>
      </c>
      <c r="AI48" s="385"/>
      <c r="AJ48" s="182">
        <v>12</v>
      </c>
      <c r="AK48" s="166">
        <v>1762.2857142857163</v>
      </c>
      <c r="AL48" s="166">
        <v>146.85714285714303</v>
      </c>
      <c r="AM48" s="182">
        <f t="shared" si="48"/>
        <v>2</v>
      </c>
      <c r="AN48" s="385"/>
      <c r="AO48" s="182">
        <v>12</v>
      </c>
      <c r="AP48" s="166">
        <v>1795.7647058823527</v>
      </c>
      <c r="AQ48" s="166">
        <v>149.64705882352939</v>
      </c>
      <c r="AR48" s="182">
        <f t="shared" si="50"/>
        <v>2</v>
      </c>
      <c r="AS48" s="385"/>
      <c r="AT48" s="182">
        <v>12</v>
      </c>
      <c r="AU48" s="166">
        <v>1777.4117647058836</v>
      </c>
      <c r="AV48" s="166">
        <v>148.11764705882362</v>
      </c>
      <c r="AW48" s="182">
        <f t="shared" si="52"/>
        <v>2</v>
      </c>
      <c r="AX48" s="385"/>
      <c r="AZ48" s="182" t="e">
        <f t="shared" si="54"/>
        <v>#N/A</v>
      </c>
      <c r="BA48" s="385"/>
    </row>
    <row r="49" spans="2:53">
      <c r="B49" s="395"/>
      <c r="C49" s="182">
        <v>3</v>
      </c>
      <c r="D49" s="182" t="s">
        <v>645</v>
      </c>
      <c r="E49" s="182">
        <v>15</v>
      </c>
      <c r="F49" s="182">
        <v>1800</v>
      </c>
      <c r="G49" s="166">
        <v>120</v>
      </c>
      <c r="H49" s="402"/>
      <c r="I49" s="166">
        <f t="shared" si="37"/>
        <v>12.285714285714286</v>
      </c>
      <c r="J49" s="166">
        <f t="shared" si="38"/>
        <v>1824.6816326530618</v>
      </c>
      <c r="K49" s="180">
        <f t="shared" si="39"/>
        <v>148.97687074829938</v>
      </c>
      <c r="L49" s="402"/>
      <c r="M49" s="166">
        <f>RANK(K49, K$47:$K$61)</f>
        <v>1</v>
      </c>
      <c r="N49" s="389"/>
      <c r="O49" s="389"/>
      <c r="P49" s="182">
        <v>12</v>
      </c>
      <c r="Q49" s="166">
        <v>1874.5714285714307</v>
      </c>
      <c r="R49" s="166">
        <v>156.21428571428589</v>
      </c>
      <c r="S49" s="182">
        <f t="shared" si="40"/>
        <v>1</v>
      </c>
      <c r="T49" s="385"/>
      <c r="U49" s="182">
        <v>12</v>
      </c>
      <c r="V49" s="166">
        <v>1822.4000000000028</v>
      </c>
      <c r="W49" s="166">
        <v>151.8666666666669</v>
      </c>
      <c r="X49" s="182">
        <f t="shared" si="42"/>
        <v>2</v>
      </c>
      <c r="Y49" s="385"/>
      <c r="Z49" s="182">
        <v>12</v>
      </c>
      <c r="AA49" s="166">
        <v>1805.5999999999985</v>
      </c>
      <c r="AB49" s="166">
        <v>150.46666666666655</v>
      </c>
      <c r="AC49" s="182">
        <f t="shared" si="44"/>
        <v>2</v>
      </c>
      <c r="AD49" s="385"/>
      <c r="AE49" s="182">
        <v>14</v>
      </c>
      <c r="AF49" s="166">
        <v>1811.0000000000018</v>
      </c>
      <c r="AG49" s="166">
        <v>129.35714285714297</v>
      </c>
      <c r="AH49" s="182">
        <f t="shared" si="46"/>
        <v>1</v>
      </c>
      <c r="AI49" s="385"/>
      <c r="AJ49" s="182">
        <v>12</v>
      </c>
      <c r="AK49" s="166">
        <v>1839.9999999999993</v>
      </c>
      <c r="AL49" s="166">
        <v>153.33333333333329</v>
      </c>
      <c r="AM49" s="182">
        <f t="shared" si="48"/>
        <v>1</v>
      </c>
      <c r="AN49" s="385"/>
      <c r="AO49" s="182">
        <v>12</v>
      </c>
      <c r="AP49" s="166">
        <v>1831.2000000000007</v>
      </c>
      <c r="AQ49" s="166">
        <v>152.60000000000005</v>
      </c>
      <c r="AR49" s="182">
        <f t="shared" si="50"/>
        <v>1</v>
      </c>
      <c r="AS49" s="385"/>
      <c r="AT49" s="182">
        <v>12</v>
      </c>
      <c r="AU49" s="166">
        <v>1787.9999999999986</v>
      </c>
      <c r="AV49" s="166">
        <v>148.99999999999989</v>
      </c>
      <c r="AW49" s="182">
        <f t="shared" si="52"/>
        <v>1</v>
      </c>
      <c r="AX49" s="385"/>
      <c r="AZ49" s="182" t="e">
        <f t="shared" si="54"/>
        <v>#N/A</v>
      </c>
      <c r="BA49" s="385"/>
    </row>
    <row r="50" spans="2:53">
      <c r="B50" s="395"/>
      <c r="C50" s="182">
        <v>4</v>
      </c>
      <c r="D50" s="182"/>
      <c r="E50" s="182"/>
      <c r="F50" s="182"/>
      <c r="G50" s="166"/>
      <c r="H50" s="402"/>
      <c r="I50" s="166" t="str">
        <f t="shared" si="37"/>
        <v>-</v>
      </c>
      <c r="J50" s="166" t="str">
        <f t="shared" si="38"/>
        <v>-</v>
      </c>
      <c r="K50" s="180" t="str">
        <f t="shared" si="39"/>
        <v>-</v>
      </c>
      <c r="L50" s="402"/>
      <c r="M50" s="166" t="e">
        <f>RANK(K50, K$47:$K$61)</f>
        <v>#VALUE!</v>
      </c>
      <c r="N50" s="389"/>
      <c r="O50" s="389"/>
      <c r="P50" s="182"/>
      <c r="Q50" s="166"/>
      <c r="R50" s="166"/>
      <c r="S50" s="182" t="e">
        <f t="shared" si="40"/>
        <v>#N/A</v>
      </c>
      <c r="T50" s="385"/>
      <c r="U50" s="182"/>
      <c r="V50" s="166"/>
      <c r="W50" s="166"/>
      <c r="X50" s="182" t="e">
        <f t="shared" si="42"/>
        <v>#N/A</v>
      </c>
      <c r="Y50" s="385"/>
      <c r="Z50" s="182"/>
      <c r="AA50" s="166"/>
      <c r="AB50" s="166"/>
      <c r="AC50" s="182" t="e">
        <f t="shared" si="44"/>
        <v>#N/A</v>
      </c>
      <c r="AD50" s="385"/>
      <c r="AE50" s="182"/>
      <c r="AF50" s="166"/>
      <c r="AG50" s="166"/>
      <c r="AH50" s="182" t="e">
        <f t="shared" si="46"/>
        <v>#N/A</v>
      </c>
      <c r="AI50" s="385"/>
      <c r="AJ50" s="182"/>
      <c r="AK50" s="166"/>
      <c r="AL50" s="166"/>
      <c r="AM50" s="182" t="e">
        <f t="shared" si="48"/>
        <v>#N/A</v>
      </c>
      <c r="AN50" s="385"/>
      <c r="AO50" s="182"/>
      <c r="AP50" s="166"/>
      <c r="AQ50" s="166"/>
      <c r="AR50" s="182" t="e">
        <f t="shared" si="50"/>
        <v>#N/A</v>
      </c>
      <c r="AS50" s="385"/>
      <c r="AT50" s="182"/>
      <c r="AU50" s="166"/>
      <c r="AV50" s="166"/>
      <c r="AW50" s="182" t="e">
        <f t="shared" si="52"/>
        <v>#N/A</v>
      </c>
      <c r="AX50" s="385"/>
      <c r="AZ50" s="182" t="e">
        <f t="shared" si="54"/>
        <v>#N/A</v>
      </c>
      <c r="BA50" s="385"/>
    </row>
    <row r="51" spans="2:53">
      <c r="B51" s="395"/>
      <c r="C51" s="182">
        <v>5</v>
      </c>
      <c r="D51" s="182"/>
      <c r="E51" s="182"/>
      <c r="F51" s="182"/>
      <c r="G51" s="166"/>
      <c r="H51" s="402"/>
      <c r="I51" s="166" t="str">
        <f t="shared" si="37"/>
        <v>-</v>
      </c>
      <c r="J51" s="166" t="str">
        <f t="shared" si="38"/>
        <v>-</v>
      </c>
      <c r="K51" s="180" t="str">
        <f t="shared" si="39"/>
        <v>-</v>
      </c>
      <c r="L51" s="402"/>
      <c r="M51" s="166" t="e">
        <f>RANK(K51, K$47:$K$61)</f>
        <v>#VALUE!</v>
      </c>
      <c r="N51" s="389"/>
      <c r="O51" s="389"/>
      <c r="P51" s="182"/>
      <c r="Q51" s="166"/>
      <c r="R51" s="166"/>
      <c r="S51" s="182" t="e">
        <f t="shared" si="40"/>
        <v>#N/A</v>
      </c>
      <c r="T51" s="385"/>
      <c r="U51" s="182"/>
      <c r="V51" s="166"/>
      <c r="W51" s="166"/>
      <c r="X51" s="182" t="e">
        <f t="shared" si="42"/>
        <v>#N/A</v>
      </c>
      <c r="Y51" s="385"/>
      <c r="Z51" s="182"/>
      <c r="AA51" s="166"/>
      <c r="AB51" s="166"/>
      <c r="AC51" s="182" t="e">
        <f t="shared" si="44"/>
        <v>#N/A</v>
      </c>
      <c r="AD51" s="385"/>
      <c r="AE51" s="182"/>
      <c r="AF51" s="166"/>
      <c r="AG51" s="166"/>
      <c r="AH51" s="182" t="e">
        <f t="shared" si="46"/>
        <v>#N/A</v>
      </c>
      <c r="AI51" s="385"/>
      <c r="AJ51" s="182"/>
      <c r="AK51" s="166"/>
      <c r="AL51" s="166"/>
      <c r="AM51" s="182" t="e">
        <f t="shared" si="48"/>
        <v>#N/A</v>
      </c>
      <c r="AN51" s="385"/>
      <c r="AO51" s="182"/>
      <c r="AP51" s="166"/>
      <c r="AQ51" s="166"/>
      <c r="AR51" s="182" t="e">
        <f t="shared" si="50"/>
        <v>#N/A</v>
      </c>
      <c r="AS51" s="385"/>
      <c r="AT51" s="182"/>
      <c r="AU51" s="166"/>
      <c r="AV51" s="166"/>
      <c r="AW51" s="182" t="e">
        <f t="shared" si="52"/>
        <v>#N/A</v>
      </c>
      <c r="AX51" s="385"/>
      <c r="AZ51" s="182" t="e">
        <f t="shared" si="54"/>
        <v>#N/A</v>
      </c>
      <c r="BA51" s="385"/>
    </row>
    <row r="52" spans="2:53">
      <c r="B52" s="395"/>
      <c r="C52" s="182">
        <v>6</v>
      </c>
      <c r="D52" s="182"/>
      <c r="E52" s="182"/>
      <c r="F52" s="182"/>
      <c r="G52" s="166"/>
      <c r="H52" s="402"/>
      <c r="I52" s="166" t="str">
        <f t="shared" si="37"/>
        <v>-</v>
      </c>
      <c r="J52" s="166" t="str">
        <f t="shared" si="38"/>
        <v>-</v>
      </c>
      <c r="K52" s="180" t="str">
        <f t="shared" si="39"/>
        <v>-</v>
      </c>
      <c r="L52" s="402"/>
      <c r="M52" s="166" t="e">
        <f>RANK(K52, K$47:$K$61)</f>
        <v>#VALUE!</v>
      </c>
      <c r="N52" s="389"/>
      <c r="O52" s="389"/>
      <c r="P52" s="182"/>
      <c r="Q52" s="166"/>
      <c r="R52" s="166"/>
      <c r="S52" s="182" t="e">
        <f t="shared" si="40"/>
        <v>#N/A</v>
      </c>
      <c r="T52" s="385"/>
      <c r="U52" s="182"/>
      <c r="V52" s="166"/>
      <c r="W52" s="166"/>
      <c r="X52" s="182" t="e">
        <f t="shared" si="42"/>
        <v>#N/A</v>
      </c>
      <c r="Y52" s="385"/>
      <c r="Z52" s="182"/>
      <c r="AA52" s="166"/>
      <c r="AB52" s="166"/>
      <c r="AC52" s="182" t="e">
        <f t="shared" si="44"/>
        <v>#N/A</v>
      </c>
      <c r="AD52" s="385"/>
      <c r="AE52" s="182"/>
      <c r="AF52" s="166"/>
      <c r="AG52" s="166"/>
      <c r="AH52" s="182" t="e">
        <f t="shared" si="46"/>
        <v>#N/A</v>
      </c>
      <c r="AI52" s="385"/>
      <c r="AJ52" s="182"/>
      <c r="AK52" s="166"/>
      <c r="AL52" s="166"/>
      <c r="AM52" s="182" t="e">
        <f t="shared" si="48"/>
        <v>#N/A</v>
      </c>
      <c r="AN52" s="385"/>
      <c r="AO52" s="182"/>
      <c r="AP52" s="166"/>
      <c r="AQ52" s="166"/>
      <c r="AR52" s="182" t="e">
        <f t="shared" si="50"/>
        <v>#N/A</v>
      </c>
      <c r="AS52" s="385"/>
      <c r="AT52" s="182"/>
      <c r="AU52" s="166"/>
      <c r="AV52" s="166"/>
      <c r="AW52" s="182" t="e">
        <f t="shared" si="52"/>
        <v>#N/A</v>
      </c>
      <c r="AX52" s="385"/>
      <c r="AZ52" s="182" t="e">
        <f t="shared" si="54"/>
        <v>#N/A</v>
      </c>
      <c r="BA52" s="385"/>
    </row>
    <row r="53" spans="2:53">
      <c r="B53" s="395"/>
      <c r="C53" s="182">
        <v>7</v>
      </c>
      <c r="D53" s="182"/>
      <c r="E53" s="182"/>
      <c r="F53" s="182"/>
      <c r="G53" s="166"/>
      <c r="H53" s="402"/>
      <c r="I53" s="166" t="str">
        <f t="shared" si="37"/>
        <v>-</v>
      </c>
      <c r="J53" s="166" t="str">
        <f t="shared" si="38"/>
        <v>-</v>
      </c>
      <c r="K53" s="180" t="str">
        <f t="shared" si="39"/>
        <v>-</v>
      </c>
      <c r="L53" s="402"/>
      <c r="M53" s="166" t="e">
        <f>RANK(K53, K$47:$K$61)</f>
        <v>#VALUE!</v>
      </c>
      <c r="N53" s="389"/>
      <c r="O53" s="389"/>
      <c r="P53" s="182"/>
      <c r="Q53" s="166"/>
      <c r="R53" s="166"/>
      <c r="S53" s="182" t="e">
        <f t="shared" si="40"/>
        <v>#N/A</v>
      </c>
      <c r="T53" s="385"/>
      <c r="U53" s="182"/>
      <c r="V53" s="166"/>
      <c r="W53" s="166"/>
      <c r="X53" s="182" t="e">
        <f t="shared" si="42"/>
        <v>#N/A</v>
      </c>
      <c r="Y53" s="385"/>
      <c r="Z53" s="182"/>
      <c r="AA53" s="166"/>
      <c r="AB53" s="166"/>
      <c r="AC53" s="182" t="e">
        <f t="shared" si="44"/>
        <v>#N/A</v>
      </c>
      <c r="AD53" s="385"/>
      <c r="AE53" s="182"/>
      <c r="AF53" s="166"/>
      <c r="AG53" s="166"/>
      <c r="AH53" s="182" t="e">
        <f t="shared" si="46"/>
        <v>#N/A</v>
      </c>
      <c r="AI53" s="385"/>
      <c r="AJ53" s="182"/>
      <c r="AK53" s="166"/>
      <c r="AL53" s="166"/>
      <c r="AM53" s="182" t="e">
        <f t="shared" si="48"/>
        <v>#N/A</v>
      </c>
      <c r="AN53" s="385"/>
      <c r="AO53" s="182"/>
      <c r="AP53" s="166"/>
      <c r="AQ53" s="166"/>
      <c r="AR53" s="182" t="e">
        <f t="shared" si="50"/>
        <v>#N/A</v>
      </c>
      <c r="AS53" s="385"/>
      <c r="AT53" s="182"/>
      <c r="AU53" s="166"/>
      <c r="AV53" s="166"/>
      <c r="AW53" s="182" t="e">
        <f t="shared" si="52"/>
        <v>#N/A</v>
      </c>
      <c r="AX53" s="385"/>
      <c r="AZ53" s="182" t="e">
        <f t="shared" si="54"/>
        <v>#N/A</v>
      </c>
      <c r="BA53" s="385"/>
    </row>
    <row r="54" spans="2:53">
      <c r="B54" s="395"/>
      <c r="C54" s="182">
        <v>8</v>
      </c>
      <c r="D54" s="182"/>
      <c r="E54" s="182"/>
      <c r="F54" s="182"/>
      <c r="G54" s="166"/>
      <c r="H54" s="402"/>
      <c r="I54" s="166" t="str">
        <f t="shared" si="37"/>
        <v>-</v>
      </c>
      <c r="J54" s="166" t="str">
        <f t="shared" si="38"/>
        <v>-</v>
      </c>
      <c r="K54" s="180" t="str">
        <f t="shared" si="39"/>
        <v>-</v>
      </c>
      <c r="L54" s="402"/>
      <c r="M54" s="166" t="e">
        <f>RANK(K54, K$47:$K$61)</f>
        <v>#VALUE!</v>
      </c>
      <c r="N54" s="389"/>
      <c r="O54" s="389"/>
      <c r="P54" s="182"/>
      <c r="Q54" s="166"/>
      <c r="R54" s="166"/>
      <c r="S54" s="182"/>
      <c r="T54" s="385"/>
      <c r="U54" s="182"/>
      <c r="V54" s="166"/>
      <c r="W54" s="166"/>
      <c r="X54" s="182"/>
      <c r="Y54" s="385"/>
      <c r="Z54" s="182"/>
      <c r="AA54" s="166"/>
      <c r="AB54" s="166"/>
      <c r="AC54" s="182"/>
      <c r="AD54" s="385"/>
      <c r="AE54" s="182"/>
      <c r="AF54" s="166"/>
      <c r="AG54" s="166"/>
      <c r="AH54" s="182"/>
      <c r="AI54" s="385"/>
      <c r="AJ54" s="182"/>
      <c r="AK54" s="166"/>
      <c r="AL54" s="166"/>
      <c r="AM54" s="182"/>
      <c r="AN54" s="385"/>
      <c r="AO54" s="182"/>
      <c r="AP54" s="166"/>
      <c r="AQ54" s="166"/>
      <c r="AR54" s="182"/>
      <c r="AS54" s="385"/>
      <c r="AT54" s="182"/>
      <c r="AU54" s="166"/>
      <c r="AV54" s="166"/>
      <c r="AW54" s="182"/>
      <c r="AX54" s="385"/>
      <c r="AZ54" s="182"/>
      <c r="BA54" s="385"/>
    </row>
    <row r="55" spans="2:53">
      <c r="B55" s="395"/>
      <c r="C55" s="182">
        <v>9</v>
      </c>
      <c r="D55" s="182"/>
      <c r="E55" s="182"/>
      <c r="F55" s="182"/>
      <c r="G55" s="166"/>
      <c r="H55" s="402"/>
      <c r="I55" s="166" t="str">
        <f t="shared" si="37"/>
        <v>-</v>
      </c>
      <c r="J55" s="166" t="str">
        <f t="shared" si="38"/>
        <v>-</v>
      </c>
      <c r="K55" s="180" t="str">
        <f t="shared" si="39"/>
        <v>-</v>
      </c>
      <c r="L55" s="402"/>
      <c r="M55" s="166" t="e">
        <f>RANK(K55, K$47:$K$61)</f>
        <v>#VALUE!</v>
      </c>
      <c r="N55" s="389"/>
      <c r="O55" s="389"/>
      <c r="P55" s="182"/>
      <c r="Q55" s="166"/>
      <c r="R55" s="166"/>
      <c r="S55" s="182"/>
      <c r="T55" s="385"/>
      <c r="U55" s="182"/>
      <c r="V55" s="166"/>
      <c r="W55" s="166"/>
      <c r="X55" s="182"/>
      <c r="Y55" s="385"/>
      <c r="Z55" s="182"/>
      <c r="AA55" s="166"/>
      <c r="AB55" s="166"/>
      <c r="AC55" s="182"/>
      <c r="AD55" s="385"/>
      <c r="AE55" s="182"/>
      <c r="AF55" s="166"/>
      <c r="AG55" s="166"/>
      <c r="AH55" s="182"/>
      <c r="AI55" s="385"/>
      <c r="AJ55" s="182"/>
      <c r="AK55" s="166"/>
      <c r="AL55" s="166"/>
      <c r="AM55" s="182"/>
      <c r="AN55" s="385"/>
      <c r="AO55" s="182"/>
      <c r="AP55" s="166"/>
      <c r="AQ55" s="166"/>
      <c r="AR55" s="182"/>
      <c r="AS55" s="385"/>
      <c r="AT55" s="182"/>
      <c r="AU55" s="166"/>
      <c r="AV55" s="166"/>
      <c r="AW55" s="182"/>
      <c r="AX55" s="385"/>
      <c r="AZ55" s="182"/>
      <c r="BA55" s="385"/>
    </row>
    <row r="56" spans="2:53">
      <c r="B56" s="395"/>
      <c r="C56" s="182">
        <v>10</v>
      </c>
      <c r="D56" s="182"/>
      <c r="E56" s="182"/>
      <c r="F56" s="182"/>
      <c r="G56" s="166"/>
      <c r="H56" s="402"/>
      <c r="I56" s="166" t="str">
        <f t="shared" si="37"/>
        <v>-</v>
      </c>
      <c r="J56" s="166" t="str">
        <f t="shared" si="38"/>
        <v>-</v>
      </c>
      <c r="K56" s="180" t="str">
        <f t="shared" si="39"/>
        <v>-</v>
      </c>
      <c r="L56" s="402"/>
      <c r="M56" s="166" t="e">
        <f>RANK(K56, K$47:$K$61)</f>
        <v>#VALUE!</v>
      </c>
      <c r="N56" s="389"/>
      <c r="O56" s="389"/>
      <c r="P56" s="182"/>
      <c r="Q56" s="166"/>
      <c r="R56" s="166"/>
      <c r="S56" s="182"/>
      <c r="T56" s="385"/>
      <c r="U56" s="182"/>
      <c r="V56" s="166"/>
      <c r="W56" s="166"/>
      <c r="X56" s="182"/>
      <c r="Y56" s="385"/>
      <c r="Z56" s="182"/>
      <c r="AA56" s="166"/>
      <c r="AB56" s="166"/>
      <c r="AC56" s="182"/>
      <c r="AD56" s="385"/>
      <c r="AE56" s="182"/>
      <c r="AF56" s="166"/>
      <c r="AG56" s="166"/>
      <c r="AH56" s="182"/>
      <c r="AI56" s="385"/>
      <c r="AJ56" s="182"/>
      <c r="AK56" s="166"/>
      <c r="AL56" s="166"/>
      <c r="AM56" s="182"/>
      <c r="AN56" s="385"/>
      <c r="AO56" s="182"/>
      <c r="AP56" s="166"/>
      <c r="AQ56" s="166"/>
      <c r="AR56" s="182"/>
      <c r="AS56" s="385"/>
      <c r="AT56" s="182"/>
      <c r="AU56" s="166"/>
      <c r="AV56" s="166"/>
      <c r="AW56" s="182"/>
      <c r="AX56" s="385"/>
      <c r="AZ56" s="182"/>
      <c r="BA56" s="385"/>
    </row>
    <row r="57" spans="2:53">
      <c r="B57" s="395"/>
      <c r="C57" s="182">
        <v>11</v>
      </c>
      <c r="D57" s="182"/>
      <c r="E57" s="182"/>
      <c r="F57" s="182"/>
      <c r="G57" s="166"/>
      <c r="H57" s="402"/>
      <c r="I57" s="166" t="str">
        <f t="shared" si="37"/>
        <v>-</v>
      </c>
      <c r="J57" s="166" t="str">
        <f t="shared" si="38"/>
        <v>-</v>
      </c>
      <c r="K57" s="180" t="str">
        <f t="shared" si="39"/>
        <v>-</v>
      </c>
      <c r="L57" s="402"/>
      <c r="M57" s="166" t="e">
        <f>RANK(K57, K$47:$K$61)</f>
        <v>#VALUE!</v>
      </c>
      <c r="N57" s="389"/>
      <c r="O57" s="389"/>
      <c r="P57" s="182"/>
      <c r="Q57" s="166"/>
      <c r="R57" s="166"/>
      <c r="S57" s="182"/>
      <c r="T57" s="385"/>
      <c r="U57" s="182"/>
      <c r="V57" s="166"/>
      <c r="W57" s="166"/>
      <c r="X57" s="182"/>
      <c r="Y57" s="385"/>
      <c r="Z57" s="182"/>
      <c r="AA57" s="166"/>
      <c r="AB57" s="166"/>
      <c r="AC57" s="182"/>
      <c r="AD57" s="385"/>
      <c r="AE57" s="182"/>
      <c r="AF57" s="166"/>
      <c r="AG57" s="166"/>
      <c r="AH57" s="182"/>
      <c r="AI57" s="385"/>
      <c r="AJ57" s="182"/>
      <c r="AK57" s="166"/>
      <c r="AL57" s="166"/>
      <c r="AM57" s="182"/>
      <c r="AN57" s="385"/>
      <c r="AO57" s="182"/>
      <c r="AP57" s="166"/>
      <c r="AQ57" s="166"/>
      <c r="AR57" s="182"/>
      <c r="AS57" s="385"/>
      <c r="AT57" s="182"/>
      <c r="AU57" s="166"/>
      <c r="AV57" s="166"/>
      <c r="AW57" s="182"/>
      <c r="AX57" s="385"/>
      <c r="AZ57" s="182"/>
      <c r="BA57" s="385"/>
    </row>
    <row r="58" spans="2:53">
      <c r="B58" s="395"/>
      <c r="C58" s="182">
        <v>12</v>
      </c>
      <c r="D58" s="182"/>
      <c r="E58" s="182"/>
      <c r="F58" s="182"/>
      <c r="G58" s="166"/>
      <c r="H58" s="402"/>
      <c r="I58" s="166" t="str">
        <f t="shared" si="37"/>
        <v>-</v>
      </c>
      <c r="J58" s="166" t="str">
        <f t="shared" si="38"/>
        <v>-</v>
      </c>
      <c r="K58" s="180" t="str">
        <f t="shared" si="39"/>
        <v>-</v>
      </c>
      <c r="L58" s="402"/>
      <c r="M58" s="166" t="e">
        <f>RANK(K58, K$47:$K$61)</f>
        <v>#VALUE!</v>
      </c>
      <c r="N58" s="389"/>
      <c r="O58" s="389"/>
      <c r="P58" s="182"/>
      <c r="Q58" s="166"/>
      <c r="R58" s="166"/>
      <c r="S58" s="182"/>
      <c r="T58" s="385"/>
      <c r="U58" s="182"/>
      <c r="V58" s="166"/>
      <c r="W58" s="166"/>
      <c r="X58" s="182"/>
      <c r="Y58" s="385"/>
      <c r="Z58" s="182"/>
      <c r="AA58" s="166"/>
      <c r="AB58" s="166"/>
      <c r="AC58" s="182"/>
      <c r="AD58" s="385"/>
      <c r="AE58" s="182"/>
      <c r="AF58" s="166"/>
      <c r="AG58" s="166"/>
      <c r="AH58" s="182"/>
      <c r="AI58" s="385"/>
      <c r="AJ58" s="182"/>
      <c r="AK58" s="166"/>
      <c r="AL58" s="166"/>
      <c r="AM58" s="182"/>
      <c r="AN58" s="385"/>
      <c r="AO58" s="182"/>
      <c r="AP58" s="166"/>
      <c r="AQ58" s="166"/>
      <c r="AR58" s="182"/>
      <c r="AS58" s="385"/>
      <c r="AT58" s="182"/>
      <c r="AU58" s="166"/>
      <c r="AV58" s="166"/>
      <c r="AW58" s="182"/>
      <c r="AX58" s="385"/>
      <c r="AZ58" s="182"/>
      <c r="BA58" s="385"/>
    </row>
    <row r="59" spans="2:53">
      <c r="B59" s="395"/>
      <c r="C59" s="182">
        <v>13</v>
      </c>
      <c r="D59" s="182"/>
      <c r="E59" s="182"/>
      <c r="F59" s="182"/>
      <c r="G59" s="166"/>
      <c r="H59" s="402"/>
      <c r="I59" s="166" t="str">
        <f t="shared" si="37"/>
        <v>-</v>
      </c>
      <c r="J59" s="166" t="str">
        <f t="shared" si="38"/>
        <v>-</v>
      </c>
      <c r="K59" s="180" t="str">
        <f t="shared" si="39"/>
        <v>-</v>
      </c>
      <c r="L59" s="402"/>
      <c r="M59" s="166" t="e">
        <f>RANK(K59, K$47:$K$61)</f>
        <v>#VALUE!</v>
      </c>
      <c r="N59" s="389"/>
      <c r="O59" s="389"/>
      <c r="P59" s="182"/>
      <c r="Q59" s="166"/>
      <c r="R59" s="166"/>
      <c r="S59" s="182"/>
      <c r="T59" s="385"/>
      <c r="U59" s="182"/>
      <c r="V59" s="166"/>
      <c r="W59" s="166"/>
      <c r="X59" s="182"/>
      <c r="Y59" s="385"/>
      <c r="Z59" s="182"/>
      <c r="AA59" s="166"/>
      <c r="AB59" s="166"/>
      <c r="AC59" s="182"/>
      <c r="AD59" s="385"/>
      <c r="AE59" s="182"/>
      <c r="AF59" s="166"/>
      <c r="AG59" s="166"/>
      <c r="AH59" s="182"/>
      <c r="AI59" s="385"/>
      <c r="AJ59" s="182"/>
      <c r="AK59" s="166"/>
      <c r="AL59" s="166"/>
      <c r="AM59" s="182"/>
      <c r="AN59" s="385"/>
      <c r="AO59" s="182"/>
      <c r="AP59" s="166"/>
      <c r="AQ59" s="166"/>
      <c r="AR59" s="182"/>
      <c r="AS59" s="385"/>
      <c r="AT59" s="182"/>
      <c r="AU59" s="166"/>
      <c r="AV59" s="166"/>
      <c r="AW59" s="182"/>
      <c r="AX59" s="385"/>
      <c r="AZ59" s="182"/>
      <c r="BA59" s="385"/>
    </row>
    <row r="60" spans="2:53">
      <c r="B60" s="395"/>
      <c r="C60" s="182">
        <v>14</v>
      </c>
      <c r="D60" s="182"/>
      <c r="E60" s="182"/>
      <c r="F60" s="182"/>
      <c r="G60" s="166"/>
      <c r="H60" s="402"/>
      <c r="I60" s="166" t="str">
        <f t="shared" si="37"/>
        <v>-</v>
      </c>
      <c r="J60" s="166" t="str">
        <f t="shared" si="38"/>
        <v>-</v>
      </c>
      <c r="K60" s="180" t="str">
        <f t="shared" si="39"/>
        <v>-</v>
      </c>
      <c r="L60" s="402"/>
      <c r="M60" s="166" t="e">
        <f>RANK(K60, K$47:$K$61)</f>
        <v>#VALUE!</v>
      </c>
      <c r="N60" s="389"/>
      <c r="O60" s="389"/>
      <c r="P60" s="182"/>
      <c r="Q60" s="166"/>
      <c r="R60" s="166"/>
      <c r="S60" s="182"/>
      <c r="T60" s="385"/>
      <c r="U60" s="182"/>
      <c r="V60" s="166"/>
      <c r="W60" s="166"/>
      <c r="X60" s="182"/>
      <c r="Y60" s="385"/>
      <c r="Z60" s="182"/>
      <c r="AA60" s="166"/>
      <c r="AB60" s="166"/>
      <c r="AC60" s="182"/>
      <c r="AD60" s="385"/>
      <c r="AE60" s="182"/>
      <c r="AF60" s="166"/>
      <c r="AG60" s="166"/>
      <c r="AH60" s="182"/>
      <c r="AI60" s="385"/>
      <c r="AJ60" s="182"/>
      <c r="AK60" s="166"/>
      <c r="AL60" s="166"/>
      <c r="AM60" s="182"/>
      <c r="AN60" s="385"/>
      <c r="AO60" s="182"/>
      <c r="AP60" s="166"/>
      <c r="AQ60" s="166"/>
      <c r="AR60" s="182"/>
      <c r="AS60" s="385"/>
      <c r="AT60" s="182"/>
      <c r="AU60" s="166"/>
      <c r="AV60" s="166"/>
      <c r="AW60" s="182"/>
      <c r="AX60" s="385"/>
      <c r="AZ60" s="182"/>
      <c r="BA60" s="385"/>
    </row>
    <row r="61" spans="2:53">
      <c r="B61" s="395"/>
      <c r="C61" s="182">
        <v>15</v>
      </c>
      <c r="D61" s="182"/>
      <c r="E61" s="182"/>
      <c r="F61" s="182"/>
      <c r="G61" s="182"/>
      <c r="H61" s="403"/>
      <c r="I61" s="166" t="str">
        <f t="shared" si="37"/>
        <v>-</v>
      </c>
      <c r="J61" s="166" t="str">
        <f t="shared" si="38"/>
        <v>-</v>
      </c>
      <c r="K61" s="180" t="str">
        <f t="shared" si="39"/>
        <v>-</v>
      </c>
      <c r="L61" s="403"/>
      <c r="M61" s="166" t="e">
        <f>RANK(K61, K$47:$K$61)</f>
        <v>#VALUE!</v>
      </c>
      <c r="N61" s="389"/>
      <c r="O61" s="389"/>
      <c r="P61" s="182"/>
      <c r="Q61" s="166"/>
      <c r="R61" s="166"/>
      <c r="S61" s="182"/>
      <c r="T61" s="386"/>
      <c r="U61" s="182"/>
      <c r="V61" s="166"/>
      <c r="W61" s="166"/>
      <c r="X61" s="182"/>
      <c r="Y61" s="386"/>
      <c r="Z61" s="182"/>
      <c r="AA61" s="166"/>
      <c r="AB61" s="166"/>
      <c r="AC61" s="182"/>
      <c r="AD61" s="386"/>
      <c r="AE61" s="182"/>
      <c r="AF61" s="166"/>
      <c r="AG61" s="166"/>
      <c r="AH61" s="182"/>
      <c r="AI61" s="386"/>
      <c r="AJ61" s="182"/>
      <c r="AK61" s="166"/>
      <c r="AL61" s="166"/>
      <c r="AM61" s="182"/>
      <c r="AN61" s="386"/>
      <c r="AO61" s="182"/>
      <c r="AP61" s="166"/>
      <c r="AQ61" s="166"/>
      <c r="AR61" s="182"/>
      <c r="AS61" s="386"/>
      <c r="AT61" s="182"/>
      <c r="AU61" s="166"/>
      <c r="AV61" s="166"/>
      <c r="AW61" s="182"/>
      <c r="AX61" s="386"/>
      <c r="AZ61" s="182"/>
      <c r="BA61" s="386"/>
    </row>
    <row r="62" spans="2:53" ht="15.75">
      <c r="B62" s="414" t="s">
        <v>163</v>
      </c>
      <c r="C62" s="415"/>
      <c r="D62" s="415"/>
      <c r="E62" s="415"/>
      <c r="F62" s="415"/>
      <c r="G62" s="415"/>
      <c r="H62" s="415"/>
      <c r="I62" s="186"/>
      <c r="J62" s="186"/>
      <c r="K62" s="186"/>
      <c r="L62" s="186"/>
      <c r="M62" s="185"/>
      <c r="N62" s="391" t="s">
        <v>156</v>
      </c>
      <c r="O62" s="391" t="s">
        <v>105</v>
      </c>
      <c r="P62" s="413">
        <f>P42+7</f>
        <v>46161</v>
      </c>
      <c r="Q62" s="395"/>
      <c r="R62" s="395"/>
      <c r="S62" s="395"/>
      <c r="T62" s="395"/>
      <c r="U62" s="410">
        <f>P62+1</f>
        <v>46162</v>
      </c>
      <c r="V62" s="411"/>
      <c r="W62" s="411"/>
      <c r="X62" s="411"/>
      <c r="Y62" s="412"/>
      <c r="Z62" s="410">
        <f>U62+1</f>
        <v>46163</v>
      </c>
      <c r="AA62" s="411"/>
      <c r="AB62" s="411"/>
      <c r="AC62" s="411"/>
      <c r="AD62" s="412"/>
      <c r="AE62" s="410">
        <f>Z62+1</f>
        <v>46164</v>
      </c>
      <c r="AF62" s="411"/>
      <c r="AG62" s="411"/>
      <c r="AH62" s="411"/>
      <c r="AI62" s="412"/>
      <c r="AJ62" s="410">
        <f>AE62+1</f>
        <v>46165</v>
      </c>
      <c r="AK62" s="411"/>
      <c r="AL62" s="411"/>
      <c r="AM62" s="411"/>
      <c r="AN62" s="412"/>
      <c r="AO62" s="410">
        <f>AJ62+1</f>
        <v>46166</v>
      </c>
      <c r="AP62" s="411"/>
      <c r="AQ62" s="411"/>
      <c r="AR62" s="411"/>
      <c r="AS62" s="412"/>
      <c r="AT62" s="410">
        <f>AO62+1</f>
        <v>46167</v>
      </c>
      <c r="AU62" s="411"/>
      <c r="AV62" s="411"/>
      <c r="AW62" s="411"/>
      <c r="AX62" s="412"/>
    </row>
    <row r="63" spans="2:53" ht="15.75">
      <c r="B63" s="416"/>
      <c r="C63" s="416"/>
      <c r="D63" s="416"/>
      <c r="E63" s="416"/>
      <c r="F63" s="416"/>
      <c r="G63" s="416"/>
      <c r="H63" s="416"/>
      <c r="I63" s="184"/>
      <c r="J63" s="184"/>
      <c r="K63" s="184"/>
      <c r="L63" s="184"/>
      <c r="M63" s="179"/>
      <c r="N63" s="393"/>
      <c r="O63" s="393"/>
      <c r="P63" s="413" t="s">
        <v>318</v>
      </c>
      <c r="Q63" s="395"/>
      <c r="R63" s="395"/>
      <c r="S63" s="395"/>
      <c r="T63" s="395"/>
      <c r="U63" s="413" t="s">
        <v>319</v>
      </c>
      <c r="V63" s="395"/>
      <c r="W63" s="395"/>
      <c r="X63" s="395"/>
      <c r="Y63" s="395"/>
      <c r="Z63" s="413" t="s">
        <v>320</v>
      </c>
      <c r="AA63" s="395"/>
      <c r="AB63" s="395"/>
      <c r="AC63" s="395"/>
      <c r="AD63" s="395"/>
      <c r="AE63" s="413" t="s">
        <v>321</v>
      </c>
      <c r="AF63" s="395"/>
      <c r="AG63" s="395"/>
      <c r="AH63" s="395"/>
      <c r="AI63" s="395"/>
      <c r="AJ63" s="413" t="s">
        <v>322</v>
      </c>
      <c r="AK63" s="395"/>
      <c r="AL63" s="395"/>
      <c r="AM63" s="395"/>
      <c r="AN63" s="395"/>
      <c r="AO63" s="413" t="s">
        <v>323</v>
      </c>
      <c r="AP63" s="395"/>
      <c r="AQ63" s="395"/>
      <c r="AR63" s="395"/>
      <c r="AS63" s="395"/>
      <c r="AT63" s="413" t="s">
        <v>324</v>
      </c>
      <c r="AU63" s="395"/>
      <c r="AV63" s="395"/>
      <c r="AW63" s="395"/>
      <c r="AX63" s="395"/>
    </row>
    <row r="64" spans="2:53">
      <c r="B64" s="389" t="s">
        <v>376</v>
      </c>
      <c r="C64" s="389" t="s">
        <v>386</v>
      </c>
      <c r="D64" s="389"/>
      <c r="E64" s="389" t="s">
        <v>377</v>
      </c>
      <c r="F64" s="389"/>
      <c r="G64" s="389"/>
      <c r="H64" s="417" t="s">
        <v>373</v>
      </c>
      <c r="I64" s="389" t="s">
        <v>378</v>
      </c>
      <c r="J64" s="389"/>
      <c r="K64" s="389"/>
      <c r="L64" s="417" t="s">
        <v>373</v>
      </c>
      <c r="M64" s="391" t="s">
        <v>374</v>
      </c>
      <c r="N64" s="389"/>
      <c r="O64" s="389" t="s">
        <v>379</v>
      </c>
      <c r="P64" s="404" t="s">
        <v>375</v>
      </c>
      <c r="Q64" s="405"/>
      <c r="R64" s="405"/>
      <c r="S64" s="406"/>
      <c r="T64" s="389" t="s">
        <v>373</v>
      </c>
      <c r="U64" s="404" t="s">
        <v>375</v>
      </c>
      <c r="V64" s="405"/>
      <c r="W64" s="405"/>
      <c r="X64" s="406"/>
      <c r="Y64" s="389" t="s">
        <v>373</v>
      </c>
      <c r="Z64" s="404" t="s">
        <v>375</v>
      </c>
      <c r="AA64" s="405"/>
      <c r="AB64" s="405"/>
      <c r="AC64" s="406"/>
      <c r="AD64" s="389" t="s">
        <v>373</v>
      </c>
      <c r="AE64" s="404" t="s">
        <v>375</v>
      </c>
      <c r="AF64" s="405"/>
      <c r="AG64" s="405"/>
      <c r="AH64" s="406"/>
      <c r="AI64" s="389" t="s">
        <v>373</v>
      </c>
      <c r="AJ64" s="404" t="s">
        <v>375</v>
      </c>
      <c r="AK64" s="405"/>
      <c r="AL64" s="405"/>
      <c r="AM64" s="406"/>
      <c r="AN64" s="389" t="s">
        <v>373</v>
      </c>
      <c r="AO64" s="404" t="s">
        <v>375</v>
      </c>
      <c r="AP64" s="405"/>
      <c r="AQ64" s="405"/>
      <c r="AR64" s="406"/>
      <c r="AS64" s="389" t="s">
        <v>373</v>
      </c>
      <c r="AT64" s="404" t="s">
        <v>375</v>
      </c>
      <c r="AU64" s="405"/>
      <c r="AV64" s="405"/>
      <c r="AW64" s="406"/>
      <c r="AX64" s="389" t="s">
        <v>373</v>
      </c>
      <c r="BA64" s="389" t="s">
        <v>373</v>
      </c>
    </row>
    <row r="65" spans="2:53">
      <c r="B65" s="389"/>
      <c r="C65" s="389"/>
      <c r="D65" s="389"/>
      <c r="E65" s="389" t="s">
        <v>380</v>
      </c>
      <c r="F65" s="389"/>
      <c r="G65" s="389"/>
      <c r="H65" s="418"/>
      <c r="I65" s="389" t="s">
        <v>380</v>
      </c>
      <c r="J65" s="389"/>
      <c r="K65" s="389"/>
      <c r="L65" s="418"/>
      <c r="M65" s="392"/>
      <c r="N65" s="389"/>
      <c r="O65" s="389"/>
      <c r="P65" s="404" t="s">
        <v>381</v>
      </c>
      <c r="Q65" s="405"/>
      <c r="R65" s="405"/>
      <c r="S65" s="406"/>
      <c r="T65" s="389"/>
      <c r="U65" s="404" t="s">
        <v>381</v>
      </c>
      <c r="V65" s="405"/>
      <c r="W65" s="405"/>
      <c r="X65" s="406"/>
      <c r="Y65" s="389"/>
      <c r="Z65" s="404" t="s">
        <v>381</v>
      </c>
      <c r="AA65" s="405"/>
      <c r="AB65" s="405"/>
      <c r="AC65" s="406"/>
      <c r="AD65" s="389"/>
      <c r="AE65" s="404" t="s">
        <v>381</v>
      </c>
      <c r="AF65" s="405"/>
      <c r="AG65" s="405"/>
      <c r="AH65" s="406"/>
      <c r="AI65" s="389"/>
      <c r="AJ65" s="404" t="s">
        <v>381</v>
      </c>
      <c r="AK65" s="405"/>
      <c r="AL65" s="405"/>
      <c r="AM65" s="406"/>
      <c r="AN65" s="389"/>
      <c r="AO65" s="404" t="s">
        <v>381</v>
      </c>
      <c r="AP65" s="405"/>
      <c r="AQ65" s="405"/>
      <c r="AR65" s="406"/>
      <c r="AS65" s="389"/>
      <c r="AT65" s="404" t="s">
        <v>381</v>
      </c>
      <c r="AU65" s="405"/>
      <c r="AV65" s="405"/>
      <c r="AW65" s="406"/>
      <c r="AX65" s="389"/>
      <c r="BA65" s="389"/>
    </row>
    <row r="66" spans="2:53">
      <c r="B66" s="389"/>
      <c r="C66" s="389"/>
      <c r="D66" s="389"/>
      <c r="E66" s="258" t="s">
        <v>382</v>
      </c>
      <c r="F66" s="258" t="s">
        <v>383</v>
      </c>
      <c r="G66" s="258" t="s">
        <v>384</v>
      </c>
      <c r="H66" s="419"/>
      <c r="I66" s="258" t="s">
        <v>382</v>
      </c>
      <c r="J66" s="258" t="s">
        <v>383</v>
      </c>
      <c r="K66" s="258" t="s">
        <v>384</v>
      </c>
      <c r="L66" s="419"/>
      <c r="M66" s="393"/>
      <c r="N66" s="389"/>
      <c r="O66" s="389"/>
      <c r="P66" s="258" t="s">
        <v>382</v>
      </c>
      <c r="Q66" s="258" t="s">
        <v>383</v>
      </c>
      <c r="R66" s="258" t="s">
        <v>384</v>
      </c>
      <c r="S66" s="258" t="s">
        <v>374</v>
      </c>
      <c r="T66" s="389"/>
      <c r="U66" s="258" t="s">
        <v>382</v>
      </c>
      <c r="V66" s="258" t="s">
        <v>383</v>
      </c>
      <c r="W66" s="258" t="s">
        <v>384</v>
      </c>
      <c r="X66" s="258" t="s">
        <v>374</v>
      </c>
      <c r="Y66" s="389"/>
      <c r="Z66" s="258" t="s">
        <v>382</v>
      </c>
      <c r="AA66" s="258" t="s">
        <v>383</v>
      </c>
      <c r="AB66" s="258" t="s">
        <v>384</v>
      </c>
      <c r="AC66" s="258" t="s">
        <v>374</v>
      </c>
      <c r="AD66" s="389"/>
      <c r="AE66" s="258" t="s">
        <v>382</v>
      </c>
      <c r="AF66" s="258" t="s">
        <v>383</v>
      </c>
      <c r="AG66" s="258" t="s">
        <v>384</v>
      </c>
      <c r="AH66" s="258" t="s">
        <v>374</v>
      </c>
      <c r="AI66" s="389"/>
      <c r="AJ66" s="258" t="s">
        <v>382</v>
      </c>
      <c r="AK66" s="258" t="s">
        <v>383</v>
      </c>
      <c r="AL66" s="258" t="s">
        <v>384</v>
      </c>
      <c r="AM66" s="258" t="s">
        <v>374</v>
      </c>
      <c r="AN66" s="389"/>
      <c r="AO66" s="258" t="s">
        <v>382</v>
      </c>
      <c r="AP66" s="258" t="s">
        <v>383</v>
      </c>
      <c r="AQ66" s="258" t="s">
        <v>384</v>
      </c>
      <c r="AR66" s="258" t="s">
        <v>374</v>
      </c>
      <c r="AS66" s="389"/>
      <c r="AT66" s="258" t="s">
        <v>382</v>
      </c>
      <c r="AU66" s="258" t="s">
        <v>383</v>
      </c>
      <c r="AV66" s="258" t="s">
        <v>384</v>
      </c>
      <c r="AW66" s="258" t="s">
        <v>374</v>
      </c>
      <c r="AX66" s="389"/>
      <c r="AZ66" s="258" t="s">
        <v>374</v>
      </c>
      <c r="BA66" s="389"/>
    </row>
    <row r="67" spans="2:53">
      <c r="B67" s="486" t="s">
        <v>398</v>
      </c>
      <c r="C67" s="182">
        <v>1</v>
      </c>
      <c r="D67" s="182" t="s">
        <v>604</v>
      </c>
      <c r="E67" s="182">
        <v>10</v>
      </c>
      <c r="F67" s="182">
        <v>1500</v>
      </c>
      <c r="G67" s="166">
        <v>150</v>
      </c>
      <c r="H67" s="401">
        <f>AVERAGE(G67:G81)</f>
        <v>130</v>
      </c>
      <c r="I67" s="166">
        <f t="shared" ref="I67:I81" si="56">IFERROR(AVERAGE(P67,U67,Z67,AE67,AJ67,AO67,AT67),"-")</f>
        <v>10</v>
      </c>
      <c r="J67" s="166">
        <f t="shared" ref="J67:J81" si="57">IFERROR(AVERAGE(Q67,V67,AA67,AF67,AK67,AP67,AU67),"-")</f>
        <v>1491.3714285714279</v>
      </c>
      <c r="K67" s="180">
        <f t="shared" ref="K67:K81" si="58">IFERROR(AVERAGE(R67,W67,AB67,AG67,AL67,AQ67,AV67),"-")</f>
        <v>149.13714285714281</v>
      </c>
      <c r="L67" s="401">
        <f>IFERROR(AVERAGE(K67:K81),"-")</f>
        <v>147.24354418690555</v>
      </c>
      <c r="M67" s="166">
        <f>RANK(K67, K$67:$K$81)</f>
        <v>1</v>
      </c>
      <c r="N67" s="389"/>
      <c r="O67" s="389"/>
      <c r="P67" s="182">
        <v>10</v>
      </c>
      <c r="Q67" s="166">
        <v>1541.9999999999973</v>
      </c>
      <c r="R67" s="166">
        <v>154.19999999999973</v>
      </c>
      <c r="S67" s="182">
        <f t="shared" ref="S67:S81" si="59">RANK(R67, R$67:R$81)</f>
        <v>2</v>
      </c>
      <c r="T67" s="384">
        <f t="shared" ref="T67" si="60">AVERAGE(R67:R81)</f>
        <v>146.31544117647047</v>
      </c>
      <c r="U67" s="182">
        <v>10</v>
      </c>
      <c r="V67" s="166">
        <v>1490.0000000000014</v>
      </c>
      <c r="W67" s="166">
        <v>149.00000000000014</v>
      </c>
      <c r="X67" s="182">
        <f t="shared" ref="X67:X81" si="61">RANK(W67, W$67:W$81)</f>
        <v>2</v>
      </c>
      <c r="Y67" s="384">
        <f t="shared" ref="Y67" si="62">AVERAGE(W67:W81)</f>
        <v>149.37777777777777</v>
      </c>
      <c r="Z67" s="182">
        <v>10</v>
      </c>
      <c r="AA67" s="166">
        <v>1453.9999999999975</v>
      </c>
      <c r="AB67" s="166">
        <v>145.39999999999975</v>
      </c>
      <c r="AC67" s="182">
        <f t="shared" ref="AC67:AC81" si="63">RANK(AB67, AB$67:AB$81)</f>
        <v>1</v>
      </c>
      <c r="AD67" s="384">
        <f t="shared" ref="AD67" si="64">AVERAGE(AB67:AB81)</f>
        <v>133.48690476190464</v>
      </c>
      <c r="AE67" s="182">
        <v>10</v>
      </c>
      <c r="AF67" s="166">
        <v>1476.0000000000005</v>
      </c>
      <c r="AG67" s="166">
        <v>147.60000000000005</v>
      </c>
      <c r="AH67" s="182">
        <f t="shared" ref="AH67:AH81" si="65">RANK(AG67, AG$67:AG$81)</f>
        <v>2</v>
      </c>
      <c r="AI67" s="384">
        <f t="shared" ref="AI67" si="66">AVERAGE(AG67:AG81)</f>
        <v>147.04065934065943</v>
      </c>
      <c r="AJ67" s="182">
        <v>10</v>
      </c>
      <c r="AK67" s="166">
        <v>1485.5999999999958</v>
      </c>
      <c r="AL67" s="166">
        <v>148.55999999999958</v>
      </c>
      <c r="AM67" s="182">
        <f t="shared" ref="AM67:AM81" si="67">RANK(AL67, AL$67:AL$81)</f>
        <v>3</v>
      </c>
      <c r="AN67" s="384">
        <f t="shared" ref="AN67" si="68">AVERAGE(AL67:AL81)</f>
        <v>151.06914529914533</v>
      </c>
      <c r="AO67" s="182">
        <v>10</v>
      </c>
      <c r="AP67" s="166">
        <v>1504.0000000000014</v>
      </c>
      <c r="AQ67" s="166">
        <v>150.40000000000015</v>
      </c>
      <c r="AR67" s="182">
        <f t="shared" ref="AR67:AR81" si="69">RANK(AQ67, AQ$67:AQ$81)</f>
        <v>2</v>
      </c>
      <c r="AS67" s="384">
        <f t="shared" ref="AS67" si="70">AVERAGE(AQ67:AQ81)</f>
        <v>150.91011904761913</v>
      </c>
      <c r="AT67" s="182">
        <v>10</v>
      </c>
      <c r="AU67" s="166">
        <v>1488.0000000000014</v>
      </c>
      <c r="AV67" s="166">
        <v>148.80000000000013</v>
      </c>
      <c r="AW67" s="182">
        <f t="shared" ref="AW67:AW81" si="71">RANK(AV67, AV$67:AV$81)</f>
        <v>3</v>
      </c>
      <c r="AX67" s="384">
        <f t="shared" ref="AX67" si="72">AVERAGE(AV67:AV81)</f>
        <v>152.50476190476198</v>
      </c>
      <c r="AZ67" s="182" t="e">
        <f t="shared" ref="AZ67:AZ81" si="73">RANK(AY67, AY$67:AY$81)</f>
        <v>#N/A</v>
      </c>
      <c r="BA67" s="384" t="e">
        <f t="shared" ref="BA67" si="74">AVERAGE(AY67:AY81)</f>
        <v>#DIV/0!</v>
      </c>
    </row>
    <row r="68" spans="2:53">
      <c r="B68" s="395"/>
      <c r="C68" s="182">
        <v>2</v>
      </c>
      <c r="D68" s="182" t="s">
        <v>644</v>
      </c>
      <c r="E68" s="182">
        <v>15</v>
      </c>
      <c r="F68" s="182">
        <v>1800</v>
      </c>
      <c r="G68" s="166">
        <v>120</v>
      </c>
      <c r="H68" s="402"/>
      <c r="I68" s="166">
        <f t="shared" si="56"/>
        <v>12.285714285714286</v>
      </c>
      <c r="J68" s="166">
        <f t="shared" si="57"/>
        <v>1817.5843799058091</v>
      </c>
      <c r="K68" s="180">
        <f t="shared" si="58"/>
        <v>148.35439560439565</v>
      </c>
      <c r="L68" s="402"/>
      <c r="M68" s="166">
        <f>RANK(K68, K$67:$K$81)</f>
        <v>2</v>
      </c>
      <c r="N68" s="389"/>
      <c r="O68" s="389"/>
      <c r="P68" s="182">
        <v>12</v>
      </c>
      <c r="Q68" s="166">
        <v>1856.2499999999993</v>
      </c>
      <c r="R68" s="166">
        <v>154.68749999999994</v>
      </c>
      <c r="S68" s="182">
        <f t="shared" si="59"/>
        <v>1</v>
      </c>
      <c r="T68" s="385"/>
      <c r="U68" s="182">
        <v>12</v>
      </c>
      <c r="V68" s="166">
        <v>1835.9999999999995</v>
      </c>
      <c r="W68" s="166">
        <v>152.99999999999997</v>
      </c>
      <c r="X68" s="182">
        <f t="shared" si="61"/>
        <v>1</v>
      </c>
      <c r="Y68" s="385"/>
      <c r="Z68" s="182">
        <v>14</v>
      </c>
      <c r="AA68" s="166">
        <v>1829.2499999999993</v>
      </c>
      <c r="AB68" s="166">
        <v>130.66071428571425</v>
      </c>
      <c r="AC68" s="182">
        <f t="shared" si="63"/>
        <v>2</v>
      </c>
      <c r="AD68" s="385"/>
      <c r="AE68" s="182">
        <v>12</v>
      </c>
      <c r="AF68" s="166">
        <v>1742.5714285714289</v>
      </c>
      <c r="AG68" s="166">
        <v>145.21428571428575</v>
      </c>
      <c r="AH68" s="182">
        <f t="shared" si="65"/>
        <v>3</v>
      </c>
      <c r="AI68" s="385"/>
      <c r="AJ68" s="182">
        <v>12</v>
      </c>
      <c r="AK68" s="166">
        <v>1850.7692307692353</v>
      </c>
      <c r="AL68" s="166">
        <v>154.2307692307696</v>
      </c>
      <c r="AM68" s="182">
        <f t="shared" si="67"/>
        <v>1</v>
      </c>
      <c r="AN68" s="385"/>
      <c r="AO68" s="182">
        <v>12</v>
      </c>
      <c r="AP68" s="166">
        <v>1778.2499999999993</v>
      </c>
      <c r="AQ68" s="166">
        <v>148.18749999999994</v>
      </c>
      <c r="AR68" s="182">
        <f t="shared" si="69"/>
        <v>3</v>
      </c>
      <c r="AS68" s="385"/>
      <c r="AT68" s="182">
        <v>12</v>
      </c>
      <c r="AU68" s="166">
        <v>1829.9999999999993</v>
      </c>
      <c r="AV68" s="166">
        <v>152.49999999999994</v>
      </c>
      <c r="AW68" s="182">
        <f t="shared" si="71"/>
        <v>2</v>
      </c>
      <c r="AX68" s="385"/>
      <c r="AZ68" s="182" t="e">
        <f t="shared" si="73"/>
        <v>#N/A</v>
      </c>
      <c r="BA68" s="385"/>
    </row>
    <row r="69" spans="2:53">
      <c r="B69" s="395"/>
      <c r="C69" s="182">
        <v>3</v>
      </c>
      <c r="D69" s="182" t="s">
        <v>645</v>
      </c>
      <c r="E69" s="182">
        <v>15</v>
      </c>
      <c r="F69" s="182">
        <v>1800</v>
      </c>
      <c r="G69" s="166">
        <v>120</v>
      </c>
      <c r="H69" s="402"/>
      <c r="I69" s="166">
        <f t="shared" si="56"/>
        <v>12.285714285714286</v>
      </c>
      <c r="J69" s="166">
        <f t="shared" si="57"/>
        <v>1766.4119863329956</v>
      </c>
      <c r="K69" s="180">
        <f t="shared" si="58"/>
        <v>144.2390940991782</v>
      </c>
      <c r="L69" s="402"/>
      <c r="M69" s="166">
        <f>RANK(K69, K$67:$K$81)</f>
        <v>3</v>
      </c>
      <c r="N69" s="389"/>
      <c r="O69" s="389"/>
      <c r="P69" s="182">
        <v>12</v>
      </c>
      <c r="Q69" s="166">
        <v>1560.705882352941</v>
      </c>
      <c r="R69" s="166">
        <v>130.05882352941174</v>
      </c>
      <c r="S69" s="182">
        <f t="shared" si="59"/>
        <v>3</v>
      </c>
      <c r="T69" s="385"/>
      <c r="U69" s="182">
        <v>12</v>
      </c>
      <c r="V69" s="166">
        <v>1753.5999999999988</v>
      </c>
      <c r="W69" s="166">
        <v>146.13333333333324</v>
      </c>
      <c r="X69" s="182">
        <f t="shared" si="61"/>
        <v>3</v>
      </c>
      <c r="Y69" s="385"/>
      <c r="Z69" s="182">
        <v>14</v>
      </c>
      <c r="AA69" s="166">
        <v>1741.5999999999988</v>
      </c>
      <c r="AB69" s="166">
        <v>124.39999999999991</v>
      </c>
      <c r="AC69" s="182">
        <f t="shared" si="63"/>
        <v>3</v>
      </c>
      <c r="AD69" s="385"/>
      <c r="AE69" s="182">
        <v>12</v>
      </c>
      <c r="AF69" s="166">
        <v>1779.6923076923097</v>
      </c>
      <c r="AG69" s="166">
        <v>148.30769230769246</v>
      </c>
      <c r="AH69" s="182">
        <f t="shared" si="65"/>
        <v>1</v>
      </c>
      <c r="AI69" s="385"/>
      <c r="AJ69" s="182">
        <v>12</v>
      </c>
      <c r="AK69" s="166">
        <v>1805.0000000000016</v>
      </c>
      <c r="AL69" s="166">
        <v>150.4166666666668</v>
      </c>
      <c r="AM69" s="182">
        <f t="shared" si="67"/>
        <v>2</v>
      </c>
      <c r="AN69" s="385"/>
      <c r="AO69" s="182">
        <v>12</v>
      </c>
      <c r="AP69" s="166">
        <v>1849.7142857142878</v>
      </c>
      <c r="AQ69" s="166">
        <v>154.14285714285731</v>
      </c>
      <c r="AR69" s="182">
        <f t="shared" si="69"/>
        <v>1</v>
      </c>
      <c r="AS69" s="385"/>
      <c r="AT69" s="182">
        <v>12</v>
      </c>
      <c r="AU69" s="166">
        <v>1874.5714285714307</v>
      </c>
      <c r="AV69" s="166">
        <v>156.21428571428589</v>
      </c>
      <c r="AW69" s="182">
        <f t="shared" si="71"/>
        <v>1</v>
      </c>
      <c r="AX69" s="385"/>
      <c r="AZ69" s="182" t="e">
        <f t="shared" si="73"/>
        <v>#N/A</v>
      </c>
      <c r="BA69" s="385"/>
    </row>
    <row r="70" spans="2:53">
      <c r="B70" s="395"/>
      <c r="C70" s="182">
        <v>4</v>
      </c>
      <c r="D70" s="182"/>
      <c r="E70" s="182"/>
      <c r="F70" s="182"/>
      <c r="G70" s="166"/>
      <c r="H70" s="402"/>
      <c r="I70" s="166" t="str">
        <f t="shared" si="56"/>
        <v>-</v>
      </c>
      <c r="J70" s="166" t="str">
        <f t="shared" si="57"/>
        <v>-</v>
      </c>
      <c r="K70" s="180" t="str">
        <f t="shared" si="58"/>
        <v>-</v>
      </c>
      <c r="L70" s="402"/>
      <c r="M70" s="166" t="e">
        <f>RANK(K70, K$67:$K$81)</f>
        <v>#VALUE!</v>
      </c>
      <c r="N70" s="389"/>
      <c r="O70" s="389"/>
      <c r="P70" s="182" t="s">
        <v>634</v>
      </c>
      <c r="Q70" s="166" t="s">
        <v>634</v>
      </c>
      <c r="R70" s="166" t="s">
        <v>634</v>
      </c>
      <c r="S70" s="182" t="e">
        <f t="shared" si="59"/>
        <v>#VALUE!</v>
      </c>
      <c r="T70" s="385"/>
      <c r="U70" s="182" t="s">
        <v>634</v>
      </c>
      <c r="V70" s="166" t="s">
        <v>634</v>
      </c>
      <c r="W70" s="166" t="s">
        <v>634</v>
      </c>
      <c r="X70" s="182" t="e">
        <f t="shared" si="61"/>
        <v>#VALUE!</v>
      </c>
      <c r="Y70" s="385"/>
      <c r="Z70" s="182" t="s">
        <v>634</v>
      </c>
      <c r="AA70" s="166" t="s">
        <v>634</v>
      </c>
      <c r="AB70" s="166" t="s">
        <v>634</v>
      </c>
      <c r="AC70" s="182" t="e">
        <f t="shared" si="63"/>
        <v>#VALUE!</v>
      </c>
      <c r="AD70" s="385"/>
      <c r="AE70" s="182" t="s">
        <v>634</v>
      </c>
      <c r="AF70" s="166" t="s">
        <v>634</v>
      </c>
      <c r="AG70" s="166" t="s">
        <v>634</v>
      </c>
      <c r="AH70" s="182" t="e">
        <f t="shared" si="65"/>
        <v>#VALUE!</v>
      </c>
      <c r="AI70" s="385"/>
      <c r="AJ70" s="182" t="s">
        <v>634</v>
      </c>
      <c r="AK70" s="166" t="s">
        <v>634</v>
      </c>
      <c r="AL70" s="166" t="s">
        <v>634</v>
      </c>
      <c r="AM70" s="182" t="e">
        <f t="shared" si="67"/>
        <v>#VALUE!</v>
      </c>
      <c r="AN70" s="385"/>
      <c r="AO70" s="182" t="s">
        <v>634</v>
      </c>
      <c r="AP70" s="166" t="s">
        <v>634</v>
      </c>
      <c r="AQ70" s="166" t="s">
        <v>634</v>
      </c>
      <c r="AR70" s="182" t="e">
        <f t="shared" si="69"/>
        <v>#VALUE!</v>
      </c>
      <c r="AS70" s="385"/>
      <c r="AT70" s="182" t="s">
        <v>634</v>
      </c>
      <c r="AU70" s="166" t="s">
        <v>634</v>
      </c>
      <c r="AV70" s="166" t="s">
        <v>634</v>
      </c>
      <c r="AW70" s="182" t="e">
        <f t="shared" si="71"/>
        <v>#VALUE!</v>
      </c>
      <c r="AX70" s="385"/>
      <c r="AZ70" s="182" t="e">
        <f t="shared" si="73"/>
        <v>#N/A</v>
      </c>
      <c r="BA70" s="385"/>
    </row>
    <row r="71" spans="2:53">
      <c r="B71" s="395"/>
      <c r="C71" s="182">
        <v>5</v>
      </c>
      <c r="D71" s="182"/>
      <c r="E71" s="182"/>
      <c r="F71" s="182"/>
      <c r="G71" s="166"/>
      <c r="H71" s="402"/>
      <c r="I71" s="166" t="str">
        <f t="shared" si="56"/>
        <v>-</v>
      </c>
      <c r="J71" s="166" t="str">
        <f t="shared" si="57"/>
        <v>-</v>
      </c>
      <c r="K71" s="180" t="str">
        <f t="shared" si="58"/>
        <v>-</v>
      </c>
      <c r="L71" s="402"/>
      <c r="M71" s="166" t="e">
        <f>RANK(K71, K$67:$K$81)</f>
        <v>#VALUE!</v>
      </c>
      <c r="N71" s="389"/>
      <c r="O71" s="389"/>
      <c r="P71" s="182" t="s">
        <v>634</v>
      </c>
      <c r="Q71" s="166" t="s">
        <v>634</v>
      </c>
      <c r="R71" s="166" t="s">
        <v>634</v>
      </c>
      <c r="S71" s="182" t="e">
        <f t="shared" si="59"/>
        <v>#VALUE!</v>
      </c>
      <c r="T71" s="385"/>
      <c r="U71" s="182" t="s">
        <v>634</v>
      </c>
      <c r="V71" s="166" t="s">
        <v>634</v>
      </c>
      <c r="W71" s="166" t="s">
        <v>634</v>
      </c>
      <c r="X71" s="182" t="e">
        <f t="shared" si="61"/>
        <v>#VALUE!</v>
      </c>
      <c r="Y71" s="385"/>
      <c r="Z71" s="182" t="s">
        <v>634</v>
      </c>
      <c r="AA71" s="166" t="s">
        <v>634</v>
      </c>
      <c r="AB71" s="166" t="s">
        <v>634</v>
      </c>
      <c r="AC71" s="182" t="e">
        <f t="shared" si="63"/>
        <v>#VALUE!</v>
      </c>
      <c r="AD71" s="385"/>
      <c r="AE71" s="182" t="s">
        <v>634</v>
      </c>
      <c r="AF71" s="166" t="s">
        <v>634</v>
      </c>
      <c r="AG71" s="166" t="s">
        <v>634</v>
      </c>
      <c r="AH71" s="182" t="e">
        <f t="shared" si="65"/>
        <v>#VALUE!</v>
      </c>
      <c r="AI71" s="385"/>
      <c r="AJ71" s="182" t="s">
        <v>634</v>
      </c>
      <c r="AK71" s="166" t="s">
        <v>634</v>
      </c>
      <c r="AL71" s="166" t="s">
        <v>634</v>
      </c>
      <c r="AM71" s="182" t="e">
        <f t="shared" si="67"/>
        <v>#VALUE!</v>
      </c>
      <c r="AN71" s="385"/>
      <c r="AO71" s="182" t="s">
        <v>634</v>
      </c>
      <c r="AP71" s="166" t="s">
        <v>634</v>
      </c>
      <c r="AQ71" s="166" t="s">
        <v>634</v>
      </c>
      <c r="AR71" s="182" t="e">
        <f t="shared" si="69"/>
        <v>#VALUE!</v>
      </c>
      <c r="AS71" s="385"/>
      <c r="AT71" s="182" t="s">
        <v>634</v>
      </c>
      <c r="AU71" s="166" t="s">
        <v>634</v>
      </c>
      <c r="AV71" s="166" t="s">
        <v>634</v>
      </c>
      <c r="AW71" s="182" t="e">
        <f t="shared" si="71"/>
        <v>#VALUE!</v>
      </c>
      <c r="AX71" s="385"/>
      <c r="AZ71" s="182" t="e">
        <f t="shared" si="73"/>
        <v>#N/A</v>
      </c>
      <c r="BA71" s="385"/>
    </row>
    <row r="72" spans="2:53">
      <c r="B72" s="395"/>
      <c r="C72" s="182">
        <v>6</v>
      </c>
      <c r="D72" s="182"/>
      <c r="E72" s="182"/>
      <c r="F72" s="182"/>
      <c r="G72" s="166"/>
      <c r="H72" s="402"/>
      <c r="I72" s="166" t="str">
        <f t="shared" si="56"/>
        <v>-</v>
      </c>
      <c r="J72" s="166" t="str">
        <f t="shared" si="57"/>
        <v>-</v>
      </c>
      <c r="K72" s="180" t="str">
        <f t="shared" si="58"/>
        <v>-</v>
      </c>
      <c r="L72" s="402"/>
      <c r="M72" s="166" t="e">
        <f>RANK(K72, K$67:$K$81)</f>
        <v>#VALUE!</v>
      </c>
      <c r="N72" s="389"/>
      <c r="O72" s="389"/>
      <c r="P72" s="182" t="s">
        <v>634</v>
      </c>
      <c r="Q72" s="166" t="s">
        <v>634</v>
      </c>
      <c r="R72" s="166" t="s">
        <v>634</v>
      </c>
      <c r="S72" s="182" t="e">
        <f t="shared" si="59"/>
        <v>#VALUE!</v>
      </c>
      <c r="T72" s="385"/>
      <c r="U72" s="182" t="s">
        <v>634</v>
      </c>
      <c r="V72" s="166" t="s">
        <v>634</v>
      </c>
      <c r="W72" s="166" t="s">
        <v>634</v>
      </c>
      <c r="X72" s="182" t="e">
        <f t="shared" si="61"/>
        <v>#VALUE!</v>
      </c>
      <c r="Y72" s="385"/>
      <c r="Z72" s="182" t="s">
        <v>634</v>
      </c>
      <c r="AA72" s="166" t="s">
        <v>634</v>
      </c>
      <c r="AB72" s="166" t="s">
        <v>634</v>
      </c>
      <c r="AC72" s="182" t="e">
        <f t="shared" si="63"/>
        <v>#VALUE!</v>
      </c>
      <c r="AD72" s="385"/>
      <c r="AE72" s="182" t="s">
        <v>634</v>
      </c>
      <c r="AF72" s="166" t="s">
        <v>634</v>
      </c>
      <c r="AG72" s="166" t="s">
        <v>634</v>
      </c>
      <c r="AH72" s="182" t="e">
        <f t="shared" si="65"/>
        <v>#VALUE!</v>
      </c>
      <c r="AI72" s="385"/>
      <c r="AJ72" s="182" t="s">
        <v>634</v>
      </c>
      <c r="AK72" s="166" t="s">
        <v>634</v>
      </c>
      <c r="AL72" s="166" t="s">
        <v>634</v>
      </c>
      <c r="AM72" s="182" t="e">
        <f t="shared" si="67"/>
        <v>#VALUE!</v>
      </c>
      <c r="AN72" s="385"/>
      <c r="AO72" s="182" t="s">
        <v>634</v>
      </c>
      <c r="AP72" s="166" t="s">
        <v>634</v>
      </c>
      <c r="AQ72" s="166" t="s">
        <v>634</v>
      </c>
      <c r="AR72" s="182" t="e">
        <f t="shared" si="69"/>
        <v>#VALUE!</v>
      </c>
      <c r="AS72" s="385"/>
      <c r="AT72" s="182" t="s">
        <v>634</v>
      </c>
      <c r="AU72" s="166" t="s">
        <v>634</v>
      </c>
      <c r="AV72" s="166" t="s">
        <v>634</v>
      </c>
      <c r="AW72" s="182" t="e">
        <f t="shared" si="71"/>
        <v>#VALUE!</v>
      </c>
      <c r="AX72" s="385"/>
      <c r="AZ72" s="182" t="e">
        <f t="shared" si="73"/>
        <v>#N/A</v>
      </c>
      <c r="BA72" s="385"/>
    </row>
    <row r="73" spans="2:53">
      <c r="B73" s="395"/>
      <c r="C73" s="182">
        <v>7</v>
      </c>
      <c r="D73" s="182"/>
      <c r="E73" s="182"/>
      <c r="F73" s="182"/>
      <c r="G73" s="166"/>
      <c r="H73" s="402"/>
      <c r="I73" s="166" t="str">
        <f t="shared" si="56"/>
        <v>-</v>
      </c>
      <c r="J73" s="166" t="str">
        <f t="shared" si="57"/>
        <v>-</v>
      </c>
      <c r="K73" s="180" t="str">
        <f t="shared" si="58"/>
        <v>-</v>
      </c>
      <c r="L73" s="402"/>
      <c r="M73" s="166" t="e">
        <f>RANK(K73, K$67:$K$81)</f>
        <v>#VALUE!</v>
      </c>
      <c r="N73" s="389"/>
      <c r="O73" s="389"/>
      <c r="P73" s="182" t="s">
        <v>634</v>
      </c>
      <c r="Q73" s="166" t="s">
        <v>634</v>
      </c>
      <c r="R73" s="166" t="s">
        <v>634</v>
      </c>
      <c r="S73" s="182" t="e">
        <f t="shared" si="59"/>
        <v>#VALUE!</v>
      </c>
      <c r="T73" s="385"/>
      <c r="U73" s="182" t="s">
        <v>634</v>
      </c>
      <c r="V73" s="166" t="s">
        <v>634</v>
      </c>
      <c r="W73" s="166" t="s">
        <v>634</v>
      </c>
      <c r="X73" s="182" t="e">
        <f t="shared" si="61"/>
        <v>#VALUE!</v>
      </c>
      <c r="Y73" s="385"/>
      <c r="Z73" s="182" t="s">
        <v>634</v>
      </c>
      <c r="AA73" s="166" t="s">
        <v>634</v>
      </c>
      <c r="AB73" s="166" t="s">
        <v>634</v>
      </c>
      <c r="AC73" s="182" t="e">
        <f t="shared" si="63"/>
        <v>#VALUE!</v>
      </c>
      <c r="AD73" s="385"/>
      <c r="AE73" s="182" t="s">
        <v>634</v>
      </c>
      <c r="AF73" s="166" t="s">
        <v>634</v>
      </c>
      <c r="AG73" s="166" t="s">
        <v>634</v>
      </c>
      <c r="AH73" s="182" t="e">
        <f t="shared" si="65"/>
        <v>#VALUE!</v>
      </c>
      <c r="AI73" s="385"/>
      <c r="AJ73" s="182" t="s">
        <v>634</v>
      </c>
      <c r="AK73" s="166" t="s">
        <v>634</v>
      </c>
      <c r="AL73" s="166" t="s">
        <v>634</v>
      </c>
      <c r="AM73" s="182" t="e">
        <f t="shared" si="67"/>
        <v>#VALUE!</v>
      </c>
      <c r="AN73" s="385"/>
      <c r="AO73" s="182" t="s">
        <v>634</v>
      </c>
      <c r="AP73" s="166" t="s">
        <v>634</v>
      </c>
      <c r="AQ73" s="166" t="s">
        <v>634</v>
      </c>
      <c r="AR73" s="182" t="e">
        <f t="shared" si="69"/>
        <v>#VALUE!</v>
      </c>
      <c r="AS73" s="385"/>
      <c r="AT73" s="182" t="s">
        <v>634</v>
      </c>
      <c r="AU73" s="166" t="s">
        <v>634</v>
      </c>
      <c r="AV73" s="166" t="s">
        <v>634</v>
      </c>
      <c r="AW73" s="182" t="e">
        <f t="shared" si="71"/>
        <v>#VALUE!</v>
      </c>
      <c r="AX73" s="385"/>
      <c r="AZ73" s="182" t="e">
        <f t="shared" si="73"/>
        <v>#N/A</v>
      </c>
      <c r="BA73" s="385"/>
    </row>
    <row r="74" spans="2:53">
      <c r="B74" s="395"/>
      <c r="C74" s="182">
        <v>8</v>
      </c>
      <c r="D74" s="182"/>
      <c r="E74" s="182"/>
      <c r="F74" s="182"/>
      <c r="G74" s="166"/>
      <c r="H74" s="402"/>
      <c r="I74" s="166" t="str">
        <f t="shared" si="56"/>
        <v>-</v>
      </c>
      <c r="J74" s="166" t="str">
        <f t="shared" si="57"/>
        <v>-</v>
      </c>
      <c r="K74" s="180" t="str">
        <f t="shared" si="58"/>
        <v>-</v>
      </c>
      <c r="L74" s="402"/>
      <c r="M74" s="166" t="e">
        <f>RANK(K74, K$67:$K$81)</f>
        <v>#VALUE!</v>
      </c>
      <c r="N74" s="389"/>
      <c r="O74" s="389"/>
      <c r="P74" s="182" t="s">
        <v>634</v>
      </c>
      <c r="Q74" s="166" t="s">
        <v>634</v>
      </c>
      <c r="R74" s="166" t="s">
        <v>634</v>
      </c>
      <c r="S74" s="182" t="e">
        <f t="shared" si="59"/>
        <v>#VALUE!</v>
      </c>
      <c r="T74" s="385"/>
      <c r="U74" s="182" t="s">
        <v>634</v>
      </c>
      <c r="V74" s="166" t="s">
        <v>634</v>
      </c>
      <c r="W74" s="166" t="s">
        <v>634</v>
      </c>
      <c r="X74" s="182" t="e">
        <f t="shared" si="61"/>
        <v>#VALUE!</v>
      </c>
      <c r="Y74" s="385"/>
      <c r="Z74" s="182" t="s">
        <v>634</v>
      </c>
      <c r="AA74" s="166" t="s">
        <v>634</v>
      </c>
      <c r="AB74" s="166" t="s">
        <v>634</v>
      </c>
      <c r="AC74" s="182" t="e">
        <f t="shared" si="63"/>
        <v>#VALUE!</v>
      </c>
      <c r="AD74" s="385"/>
      <c r="AE74" s="182" t="s">
        <v>634</v>
      </c>
      <c r="AF74" s="166" t="s">
        <v>634</v>
      </c>
      <c r="AG74" s="166" t="s">
        <v>634</v>
      </c>
      <c r="AH74" s="182" t="e">
        <f t="shared" si="65"/>
        <v>#VALUE!</v>
      </c>
      <c r="AI74" s="385"/>
      <c r="AJ74" s="182" t="s">
        <v>634</v>
      </c>
      <c r="AK74" s="166" t="s">
        <v>634</v>
      </c>
      <c r="AL74" s="166" t="s">
        <v>634</v>
      </c>
      <c r="AM74" s="182" t="e">
        <f t="shared" si="67"/>
        <v>#VALUE!</v>
      </c>
      <c r="AN74" s="385"/>
      <c r="AO74" s="182" t="s">
        <v>634</v>
      </c>
      <c r="AP74" s="166" t="s">
        <v>634</v>
      </c>
      <c r="AQ74" s="166" t="s">
        <v>634</v>
      </c>
      <c r="AR74" s="182" t="e">
        <f t="shared" si="69"/>
        <v>#VALUE!</v>
      </c>
      <c r="AS74" s="385"/>
      <c r="AT74" s="182" t="s">
        <v>634</v>
      </c>
      <c r="AU74" s="166" t="s">
        <v>634</v>
      </c>
      <c r="AV74" s="166" t="s">
        <v>634</v>
      </c>
      <c r="AW74" s="182" t="e">
        <f t="shared" si="71"/>
        <v>#VALUE!</v>
      </c>
      <c r="AX74" s="385"/>
      <c r="AZ74" s="182" t="e">
        <f t="shared" si="73"/>
        <v>#N/A</v>
      </c>
      <c r="BA74" s="385"/>
    </row>
    <row r="75" spans="2:53">
      <c r="B75" s="395"/>
      <c r="C75" s="182">
        <v>9</v>
      </c>
      <c r="D75" s="182"/>
      <c r="E75" s="182"/>
      <c r="F75" s="182"/>
      <c r="G75" s="166"/>
      <c r="H75" s="402"/>
      <c r="I75" s="166" t="str">
        <f t="shared" si="56"/>
        <v>-</v>
      </c>
      <c r="J75" s="166" t="str">
        <f t="shared" si="57"/>
        <v>-</v>
      </c>
      <c r="K75" s="180" t="str">
        <f t="shared" si="58"/>
        <v>-</v>
      </c>
      <c r="L75" s="402"/>
      <c r="M75" s="166" t="e">
        <f>RANK(K75, K$67:$K$81)</f>
        <v>#VALUE!</v>
      </c>
      <c r="N75" s="389"/>
      <c r="O75" s="389"/>
      <c r="P75" s="182" t="s">
        <v>634</v>
      </c>
      <c r="Q75" s="166" t="s">
        <v>634</v>
      </c>
      <c r="R75" s="166" t="s">
        <v>634</v>
      </c>
      <c r="S75" s="182" t="e">
        <f t="shared" si="59"/>
        <v>#VALUE!</v>
      </c>
      <c r="T75" s="385"/>
      <c r="U75" s="182" t="s">
        <v>634</v>
      </c>
      <c r="V75" s="166" t="s">
        <v>634</v>
      </c>
      <c r="W75" s="166" t="s">
        <v>634</v>
      </c>
      <c r="X75" s="182" t="e">
        <f t="shared" si="61"/>
        <v>#VALUE!</v>
      </c>
      <c r="Y75" s="385"/>
      <c r="Z75" s="182" t="s">
        <v>634</v>
      </c>
      <c r="AA75" s="166" t="s">
        <v>634</v>
      </c>
      <c r="AB75" s="166" t="s">
        <v>634</v>
      </c>
      <c r="AC75" s="182" t="e">
        <f t="shared" si="63"/>
        <v>#VALUE!</v>
      </c>
      <c r="AD75" s="385"/>
      <c r="AE75" s="182" t="s">
        <v>634</v>
      </c>
      <c r="AF75" s="166" t="s">
        <v>634</v>
      </c>
      <c r="AG75" s="166" t="s">
        <v>634</v>
      </c>
      <c r="AH75" s="182" t="e">
        <f t="shared" si="65"/>
        <v>#VALUE!</v>
      </c>
      <c r="AI75" s="385"/>
      <c r="AJ75" s="182" t="s">
        <v>634</v>
      </c>
      <c r="AK75" s="166" t="s">
        <v>634</v>
      </c>
      <c r="AL75" s="166" t="s">
        <v>634</v>
      </c>
      <c r="AM75" s="182" t="e">
        <f t="shared" si="67"/>
        <v>#VALUE!</v>
      </c>
      <c r="AN75" s="385"/>
      <c r="AO75" s="182" t="s">
        <v>634</v>
      </c>
      <c r="AP75" s="166" t="s">
        <v>634</v>
      </c>
      <c r="AQ75" s="166" t="s">
        <v>634</v>
      </c>
      <c r="AR75" s="182" t="e">
        <f t="shared" si="69"/>
        <v>#VALUE!</v>
      </c>
      <c r="AS75" s="385"/>
      <c r="AT75" s="182" t="s">
        <v>634</v>
      </c>
      <c r="AU75" s="166" t="s">
        <v>634</v>
      </c>
      <c r="AV75" s="166" t="s">
        <v>634</v>
      </c>
      <c r="AW75" s="182" t="e">
        <f t="shared" si="71"/>
        <v>#VALUE!</v>
      </c>
      <c r="AX75" s="385"/>
      <c r="AZ75" s="182" t="e">
        <f t="shared" si="73"/>
        <v>#N/A</v>
      </c>
      <c r="BA75" s="385"/>
    </row>
    <row r="76" spans="2:53">
      <c r="B76" s="395"/>
      <c r="C76" s="182">
        <v>10</v>
      </c>
      <c r="D76" s="182"/>
      <c r="E76" s="182"/>
      <c r="F76" s="182"/>
      <c r="G76" s="166"/>
      <c r="H76" s="402"/>
      <c r="I76" s="166" t="str">
        <f t="shared" si="56"/>
        <v>-</v>
      </c>
      <c r="J76" s="166" t="str">
        <f t="shared" si="57"/>
        <v>-</v>
      </c>
      <c r="K76" s="180" t="str">
        <f t="shared" si="58"/>
        <v>-</v>
      </c>
      <c r="L76" s="402"/>
      <c r="M76" s="166" t="e">
        <f>RANK(K76, K$67:$K$81)</f>
        <v>#VALUE!</v>
      </c>
      <c r="N76" s="389"/>
      <c r="O76" s="389"/>
      <c r="P76" s="182" t="s">
        <v>634</v>
      </c>
      <c r="Q76" s="166" t="s">
        <v>634</v>
      </c>
      <c r="R76" s="166" t="s">
        <v>634</v>
      </c>
      <c r="S76" s="182" t="e">
        <f t="shared" si="59"/>
        <v>#VALUE!</v>
      </c>
      <c r="T76" s="385"/>
      <c r="U76" s="182" t="s">
        <v>634</v>
      </c>
      <c r="V76" s="166" t="s">
        <v>634</v>
      </c>
      <c r="W76" s="166" t="s">
        <v>634</v>
      </c>
      <c r="X76" s="182" t="e">
        <f t="shared" si="61"/>
        <v>#VALUE!</v>
      </c>
      <c r="Y76" s="385"/>
      <c r="Z76" s="182" t="s">
        <v>634</v>
      </c>
      <c r="AA76" s="166" t="s">
        <v>634</v>
      </c>
      <c r="AB76" s="166" t="s">
        <v>634</v>
      </c>
      <c r="AC76" s="182" t="e">
        <f t="shared" si="63"/>
        <v>#VALUE!</v>
      </c>
      <c r="AD76" s="385"/>
      <c r="AE76" s="182" t="s">
        <v>634</v>
      </c>
      <c r="AF76" s="166" t="s">
        <v>634</v>
      </c>
      <c r="AG76" s="166" t="s">
        <v>634</v>
      </c>
      <c r="AH76" s="182" t="e">
        <f t="shared" si="65"/>
        <v>#VALUE!</v>
      </c>
      <c r="AI76" s="385"/>
      <c r="AJ76" s="182" t="s">
        <v>634</v>
      </c>
      <c r="AK76" s="166" t="s">
        <v>634</v>
      </c>
      <c r="AL76" s="166" t="s">
        <v>634</v>
      </c>
      <c r="AM76" s="182" t="e">
        <f t="shared" si="67"/>
        <v>#VALUE!</v>
      </c>
      <c r="AN76" s="385"/>
      <c r="AO76" s="182" t="s">
        <v>634</v>
      </c>
      <c r="AP76" s="166" t="s">
        <v>634</v>
      </c>
      <c r="AQ76" s="166" t="s">
        <v>634</v>
      </c>
      <c r="AR76" s="182" t="e">
        <f t="shared" si="69"/>
        <v>#VALUE!</v>
      </c>
      <c r="AS76" s="385"/>
      <c r="AT76" s="182" t="s">
        <v>634</v>
      </c>
      <c r="AU76" s="166" t="s">
        <v>634</v>
      </c>
      <c r="AV76" s="166" t="s">
        <v>634</v>
      </c>
      <c r="AW76" s="182" t="e">
        <f t="shared" si="71"/>
        <v>#VALUE!</v>
      </c>
      <c r="AX76" s="385"/>
      <c r="AZ76" s="182" t="e">
        <f t="shared" si="73"/>
        <v>#N/A</v>
      </c>
      <c r="BA76" s="385"/>
    </row>
    <row r="77" spans="2:53">
      <c r="B77" s="395"/>
      <c r="C77" s="182">
        <v>11</v>
      </c>
      <c r="D77" s="182"/>
      <c r="E77" s="182"/>
      <c r="F77" s="182"/>
      <c r="G77" s="166"/>
      <c r="H77" s="402"/>
      <c r="I77" s="166" t="str">
        <f t="shared" si="56"/>
        <v>-</v>
      </c>
      <c r="J77" s="166" t="str">
        <f t="shared" si="57"/>
        <v>-</v>
      </c>
      <c r="K77" s="180" t="str">
        <f t="shared" si="58"/>
        <v>-</v>
      </c>
      <c r="L77" s="402"/>
      <c r="M77" s="166" t="e">
        <f>RANK(K77, K$67:$K$81)</f>
        <v>#VALUE!</v>
      </c>
      <c r="N77" s="389"/>
      <c r="O77" s="389"/>
      <c r="P77" s="182" t="s">
        <v>634</v>
      </c>
      <c r="Q77" s="166" t="s">
        <v>634</v>
      </c>
      <c r="R77" s="166" t="s">
        <v>634</v>
      </c>
      <c r="S77" s="182" t="e">
        <f t="shared" si="59"/>
        <v>#VALUE!</v>
      </c>
      <c r="T77" s="385"/>
      <c r="U77" s="182" t="s">
        <v>634</v>
      </c>
      <c r="V77" s="166" t="s">
        <v>634</v>
      </c>
      <c r="W77" s="166" t="s">
        <v>634</v>
      </c>
      <c r="X77" s="182" t="e">
        <f t="shared" si="61"/>
        <v>#VALUE!</v>
      </c>
      <c r="Y77" s="385"/>
      <c r="Z77" s="182" t="s">
        <v>634</v>
      </c>
      <c r="AA77" s="166" t="s">
        <v>634</v>
      </c>
      <c r="AB77" s="166" t="s">
        <v>634</v>
      </c>
      <c r="AC77" s="182" t="e">
        <f t="shared" si="63"/>
        <v>#VALUE!</v>
      </c>
      <c r="AD77" s="385"/>
      <c r="AE77" s="182" t="s">
        <v>634</v>
      </c>
      <c r="AF77" s="166" t="s">
        <v>634</v>
      </c>
      <c r="AG77" s="166" t="s">
        <v>634</v>
      </c>
      <c r="AH77" s="182" t="e">
        <f t="shared" si="65"/>
        <v>#VALUE!</v>
      </c>
      <c r="AI77" s="385"/>
      <c r="AJ77" s="182" t="s">
        <v>634</v>
      </c>
      <c r="AK77" s="166" t="s">
        <v>634</v>
      </c>
      <c r="AL77" s="166" t="s">
        <v>634</v>
      </c>
      <c r="AM77" s="182" t="e">
        <f t="shared" si="67"/>
        <v>#VALUE!</v>
      </c>
      <c r="AN77" s="385"/>
      <c r="AO77" s="182" t="s">
        <v>634</v>
      </c>
      <c r="AP77" s="166" t="s">
        <v>634</v>
      </c>
      <c r="AQ77" s="166" t="s">
        <v>634</v>
      </c>
      <c r="AR77" s="182" t="e">
        <f t="shared" si="69"/>
        <v>#VALUE!</v>
      </c>
      <c r="AS77" s="385"/>
      <c r="AT77" s="182" t="s">
        <v>634</v>
      </c>
      <c r="AU77" s="166" t="s">
        <v>634</v>
      </c>
      <c r="AV77" s="166" t="s">
        <v>634</v>
      </c>
      <c r="AW77" s="182" t="e">
        <f t="shared" si="71"/>
        <v>#VALUE!</v>
      </c>
      <c r="AX77" s="385"/>
      <c r="AZ77" s="182" t="e">
        <f t="shared" si="73"/>
        <v>#N/A</v>
      </c>
      <c r="BA77" s="385"/>
    </row>
    <row r="78" spans="2:53">
      <c r="B78" s="395"/>
      <c r="C78" s="182">
        <v>12</v>
      </c>
      <c r="D78" s="182"/>
      <c r="E78" s="182"/>
      <c r="F78" s="182"/>
      <c r="G78" s="166"/>
      <c r="H78" s="402"/>
      <c r="I78" s="166" t="str">
        <f t="shared" si="56"/>
        <v>-</v>
      </c>
      <c r="J78" s="166" t="str">
        <f t="shared" si="57"/>
        <v>-</v>
      </c>
      <c r="K78" s="180" t="str">
        <f t="shared" si="58"/>
        <v>-</v>
      </c>
      <c r="L78" s="402"/>
      <c r="M78" s="166" t="e">
        <f>RANK(K78, K$67:$K$81)</f>
        <v>#VALUE!</v>
      </c>
      <c r="N78" s="389"/>
      <c r="O78" s="389"/>
      <c r="P78" s="182" t="s">
        <v>634</v>
      </c>
      <c r="Q78" s="166" t="s">
        <v>634</v>
      </c>
      <c r="R78" s="166" t="s">
        <v>634</v>
      </c>
      <c r="S78" s="182" t="e">
        <f t="shared" si="59"/>
        <v>#VALUE!</v>
      </c>
      <c r="T78" s="385"/>
      <c r="U78" s="182" t="s">
        <v>634</v>
      </c>
      <c r="V78" s="166" t="s">
        <v>634</v>
      </c>
      <c r="W78" s="166" t="s">
        <v>634</v>
      </c>
      <c r="X78" s="182" t="e">
        <f t="shared" si="61"/>
        <v>#VALUE!</v>
      </c>
      <c r="Y78" s="385"/>
      <c r="Z78" s="182" t="s">
        <v>634</v>
      </c>
      <c r="AA78" s="166" t="s">
        <v>634</v>
      </c>
      <c r="AB78" s="166" t="s">
        <v>634</v>
      </c>
      <c r="AC78" s="182" t="e">
        <f t="shared" si="63"/>
        <v>#VALUE!</v>
      </c>
      <c r="AD78" s="385"/>
      <c r="AE78" s="182" t="s">
        <v>634</v>
      </c>
      <c r="AF78" s="166" t="s">
        <v>634</v>
      </c>
      <c r="AG78" s="166" t="s">
        <v>634</v>
      </c>
      <c r="AH78" s="182" t="e">
        <f t="shared" si="65"/>
        <v>#VALUE!</v>
      </c>
      <c r="AI78" s="385"/>
      <c r="AJ78" s="182" t="s">
        <v>634</v>
      </c>
      <c r="AK78" s="166" t="s">
        <v>634</v>
      </c>
      <c r="AL78" s="166" t="s">
        <v>634</v>
      </c>
      <c r="AM78" s="182" t="e">
        <f t="shared" si="67"/>
        <v>#VALUE!</v>
      </c>
      <c r="AN78" s="385"/>
      <c r="AO78" s="182" t="s">
        <v>634</v>
      </c>
      <c r="AP78" s="166" t="s">
        <v>634</v>
      </c>
      <c r="AQ78" s="166" t="s">
        <v>634</v>
      </c>
      <c r="AR78" s="182" t="e">
        <f t="shared" si="69"/>
        <v>#VALUE!</v>
      </c>
      <c r="AS78" s="385"/>
      <c r="AT78" s="182" t="s">
        <v>634</v>
      </c>
      <c r="AU78" s="166" t="s">
        <v>634</v>
      </c>
      <c r="AV78" s="166" t="s">
        <v>634</v>
      </c>
      <c r="AW78" s="182" t="e">
        <f t="shared" si="71"/>
        <v>#VALUE!</v>
      </c>
      <c r="AX78" s="385"/>
      <c r="AZ78" s="182" t="e">
        <f t="shared" si="73"/>
        <v>#N/A</v>
      </c>
      <c r="BA78" s="385"/>
    </row>
    <row r="79" spans="2:53">
      <c r="B79" s="395"/>
      <c r="C79" s="182">
        <v>13</v>
      </c>
      <c r="D79" s="182"/>
      <c r="E79" s="182"/>
      <c r="F79" s="182"/>
      <c r="G79" s="166"/>
      <c r="H79" s="402"/>
      <c r="I79" s="166" t="str">
        <f t="shared" si="56"/>
        <v>-</v>
      </c>
      <c r="J79" s="166" t="str">
        <f t="shared" si="57"/>
        <v>-</v>
      </c>
      <c r="K79" s="180" t="str">
        <f t="shared" si="58"/>
        <v>-</v>
      </c>
      <c r="L79" s="402"/>
      <c r="M79" s="166" t="e">
        <f>RANK(K79, K$67:$K$81)</f>
        <v>#VALUE!</v>
      </c>
      <c r="N79" s="389"/>
      <c r="O79" s="389"/>
      <c r="P79" s="182" t="s">
        <v>634</v>
      </c>
      <c r="Q79" s="166" t="s">
        <v>634</v>
      </c>
      <c r="R79" s="166" t="s">
        <v>634</v>
      </c>
      <c r="S79" s="182" t="e">
        <f t="shared" si="59"/>
        <v>#VALUE!</v>
      </c>
      <c r="T79" s="385"/>
      <c r="U79" s="182" t="s">
        <v>634</v>
      </c>
      <c r="V79" s="166" t="s">
        <v>634</v>
      </c>
      <c r="W79" s="166" t="s">
        <v>634</v>
      </c>
      <c r="X79" s="182" t="e">
        <f t="shared" si="61"/>
        <v>#VALUE!</v>
      </c>
      <c r="Y79" s="385"/>
      <c r="Z79" s="182" t="s">
        <v>634</v>
      </c>
      <c r="AA79" s="166" t="s">
        <v>634</v>
      </c>
      <c r="AB79" s="166" t="s">
        <v>634</v>
      </c>
      <c r="AC79" s="182" t="e">
        <f t="shared" si="63"/>
        <v>#VALUE!</v>
      </c>
      <c r="AD79" s="385"/>
      <c r="AE79" s="182" t="s">
        <v>634</v>
      </c>
      <c r="AF79" s="166" t="s">
        <v>634</v>
      </c>
      <c r="AG79" s="166" t="s">
        <v>634</v>
      </c>
      <c r="AH79" s="182" t="e">
        <f t="shared" si="65"/>
        <v>#VALUE!</v>
      </c>
      <c r="AI79" s="385"/>
      <c r="AJ79" s="182" t="s">
        <v>634</v>
      </c>
      <c r="AK79" s="166" t="s">
        <v>634</v>
      </c>
      <c r="AL79" s="166" t="s">
        <v>634</v>
      </c>
      <c r="AM79" s="182" t="e">
        <f t="shared" si="67"/>
        <v>#VALUE!</v>
      </c>
      <c r="AN79" s="385"/>
      <c r="AO79" s="182" t="s">
        <v>634</v>
      </c>
      <c r="AP79" s="166" t="s">
        <v>634</v>
      </c>
      <c r="AQ79" s="166" t="s">
        <v>634</v>
      </c>
      <c r="AR79" s="182" t="e">
        <f t="shared" si="69"/>
        <v>#VALUE!</v>
      </c>
      <c r="AS79" s="385"/>
      <c r="AT79" s="182" t="s">
        <v>634</v>
      </c>
      <c r="AU79" s="166" t="s">
        <v>634</v>
      </c>
      <c r="AV79" s="166" t="s">
        <v>634</v>
      </c>
      <c r="AW79" s="182" t="e">
        <f t="shared" si="71"/>
        <v>#VALUE!</v>
      </c>
      <c r="AX79" s="385"/>
      <c r="AZ79" s="182" t="e">
        <f t="shared" si="73"/>
        <v>#N/A</v>
      </c>
      <c r="BA79" s="385"/>
    </row>
    <row r="80" spans="2:53">
      <c r="B80" s="395"/>
      <c r="C80" s="182">
        <v>14</v>
      </c>
      <c r="D80" s="182"/>
      <c r="E80" s="182"/>
      <c r="F80" s="182"/>
      <c r="G80" s="166"/>
      <c r="H80" s="402"/>
      <c r="I80" s="166" t="str">
        <f t="shared" si="56"/>
        <v>-</v>
      </c>
      <c r="J80" s="166" t="str">
        <f t="shared" si="57"/>
        <v>-</v>
      </c>
      <c r="K80" s="180" t="str">
        <f t="shared" si="58"/>
        <v>-</v>
      </c>
      <c r="L80" s="402"/>
      <c r="M80" s="166" t="e">
        <f>RANK(K80, K$67:$K$81)</f>
        <v>#VALUE!</v>
      </c>
      <c r="N80" s="389"/>
      <c r="O80" s="389"/>
      <c r="P80" s="182" t="s">
        <v>634</v>
      </c>
      <c r="Q80" s="166" t="s">
        <v>634</v>
      </c>
      <c r="R80" s="166" t="s">
        <v>634</v>
      </c>
      <c r="S80" s="182" t="e">
        <f t="shared" si="59"/>
        <v>#VALUE!</v>
      </c>
      <c r="T80" s="385"/>
      <c r="U80" s="182" t="s">
        <v>634</v>
      </c>
      <c r="V80" s="166" t="s">
        <v>634</v>
      </c>
      <c r="W80" s="166" t="s">
        <v>634</v>
      </c>
      <c r="X80" s="182" t="e">
        <f t="shared" si="61"/>
        <v>#VALUE!</v>
      </c>
      <c r="Y80" s="385"/>
      <c r="Z80" s="182" t="s">
        <v>634</v>
      </c>
      <c r="AA80" s="166" t="s">
        <v>634</v>
      </c>
      <c r="AB80" s="166" t="s">
        <v>634</v>
      </c>
      <c r="AC80" s="182" t="e">
        <f t="shared" si="63"/>
        <v>#VALUE!</v>
      </c>
      <c r="AD80" s="385"/>
      <c r="AE80" s="182" t="s">
        <v>634</v>
      </c>
      <c r="AF80" s="166" t="s">
        <v>634</v>
      </c>
      <c r="AG80" s="166" t="s">
        <v>634</v>
      </c>
      <c r="AH80" s="182" t="e">
        <f t="shared" si="65"/>
        <v>#VALUE!</v>
      </c>
      <c r="AI80" s="385"/>
      <c r="AJ80" s="182" t="s">
        <v>634</v>
      </c>
      <c r="AK80" s="166" t="s">
        <v>634</v>
      </c>
      <c r="AL80" s="166" t="s">
        <v>634</v>
      </c>
      <c r="AM80" s="182" t="e">
        <f t="shared" si="67"/>
        <v>#VALUE!</v>
      </c>
      <c r="AN80" s="385"/>
      <c r="AO80" s="182" t="s">
        <v>634</v>
      </c>
      <c r="AP80" s="166" t="s">
        <v>634</v>
      </c>
      <c r="AQ80" s="166" t="s">
        <v>634</v>
      </c>
      <c r="AR80" s="182" t="e">
        <f t="shared" si="69"/>
        <v>#VALUE!</v>
      </c>
      <c r="AS80" s="385"/>
      <c r="AT80" s="182" t="s">
        <v>634</v>
      </c>
      <c r="AU80" s="166" t="s">
        <v>634</v>
      </c>
      <c r="AV80" s="166" t="s">
        <v>634</v>
      </c>
      <c r="AW80" s="182" t="e">
        <f t="shared" si="71"/>
        <v>#VALUE!</v>
      </c>
      <c r="AX80" s="385"/>
      <c r="AZ80" s="182" t="e">
        <f t="shared" si="73"/>
        <v>#N/A</v>
      </c>
      <c r="BA80" s="385"/>
    </row>
    <row r="81" spans="2:53">
      <c r="B81" s="395"/>
      <c r="C81" s="182">
        <v>15</v>
      </c>
      <c r="D81" s="182"/>
      <c r="E81" s="182"/>
      <c r="F81" s="182"/>
      <c r="G81" s="182"/>
      <c r="H81" s="403"/>
      <c r="I81" s="166" t="str">
        <f t="shared" si="56"/>
        <v>-</v>
      </c>
      <c r="J81" s="166" t="str">
        <f t="shared" si="57"/>
        <v>-</v>
      </c>
      <c r="K81" s="180" t="str">
        <f t="shared" si="58"/>
        <v>-</v>
      </c>
      <c r="L81" s="403"/>
      <c r="M81" s="166" t="e">
        <f>RANK(K81, K$67:$K$81)</f>
        <v>#VALUE!</v>
      </c>
      <c r="N81" s="389"/>
      <c r="O81" s="389"/>
      <c r="P81" s="182" t="s">
        <v>634</v>
      </c>
      <c r="Q81" s="166" t="s">
        <v>634</v>
      </c>
      <c r="R81" s="166" t="s">
        <v>634</v>
      </c>
      <c r="S81" s="182" t="e">
        <f t="shared" si="59"/>
        <v>#VALUE!</v>
      </c>
      <c r="T81" s="386"/>
      <c r="U81" s="182" t="s">
        <v>634</v>
      </c>
      <c r="V81" s="166" t="s">
        <v>634</v>
      </c>
      <c r="W81" s="166" t="s">
        <v>634</v>
      </c>
      <c r="X81" s="182" t="e">
        <f t="shared" si="61"/>
        <v>#VALUE!</v>
      </c>
      <c r="Y81" s="386"/>
      <c r="Z81" s="182" t="s">
        <v>634</v>
      </c>
      <c r="AA81" s="166" t="s">
        <v>634</v>
      </c>
      <c r="AB81" s="166" t="s">
        <v>634</v>
      </c>
      <c r="AC81" s="182" t="e">
        <f t="shared" si="63"/>
        <v>#VALUE!</v>
      </c>
      <c r="AD81" s="386"/>
      <c r="AE81" s="182" t="s">
        <v>634</v>
      </c>
      <c r="AF81" s="166" t="s">
        <v>634</v>
      </c>
      <c r="AG81" s="166" t="s">
        <v>634</v>
      </c>
      <c r="AH81" s="182" t="e">
        <f t="shared" si="65"/>
        <v>#VALUE!</v>
      </c>
      <c r="AI81" s="386"/>
      <c r="AJ81" s="182" t="s">
        <v>634</v>
      </c>
      <c r="AK81" s="166" t="s">
        <v>634</v>
      </c>
      <c r="AL81" s="166" t="s">
        <v>634</v>
      </c>
      <c r="AM81" s="182" t="e">
        <f t="shared" si="67"/>
        <v>#VALUE!</v>
      </c>
      <c r="AN81" s="386"/>
      <c r="AO81" s="182" t="s">
        <v>634</v>
      </c>
      <c r="AP81" s="166" t="s">
        <v>634</v>
      </c>
      <c r="AQ81" s="166" t="s">
        <v>634</v>
      </c>
      <c r="AR81" s="182" t="e">
        <f t="shared" si="69"/>
        <v>#VALUE!</v>
      </c>
      <c r="AS81" s="386"/>
      <c r="AT81" s="182" t="s">
        <v>634</v>
      </c>
      <c r="AU81" s="166" t="s">
        <v>634</v>
      </c>
      <c r="AV81" s="166" t="s">
        <v>634</v>
      </c>
      <c r="AW81" s="182" t="e">
        <f t="shared" si="71"/>
        <v>#VALUE!</v>
      </c>
      <c r="AX81" s="386"/>
      <c r="AZ81" s="182" t="e">
        <f t="shared" si="73"/>
        <v>#N/A</v>
      </c>
      <c r="BA81" s="386"/>
    </row>
    <row r="82" spans="2:53" ht="15.75">
      <c r="B82" s="414" t="s">
        <v>163</v>
      </c>
      <c r="C82" s="415"/>
      <c r="D82" s="415"/>
      <c r="E82" s="415"/>
      <c r="F82" s="415"/>
      <c r="G82" s="415"/>
      <c r="H82" s="415"/>
      <c r="I82" s="186"/>
      <c r="J82" s="186"/>
      <c r="K82" s="186"/>
      <c r="L82" s="186"/>
      <c r="M82" s="185"/>
      <c r="N82" s="391" t="s">
        <v>156</v>
      </c>
      <c r="O82" s="391" t="s">
        <v>105</v>
      </c>
      <c r="P82" s="413">
        <f>P62+7</f>
        <v>46168</v>
      </c>
      <c r="Q82" s="395"/>
      <c r="R82" s="395"/>
      <c r="S82" s="395"/>
      <c r="T82" s="395"/>
      <c r="U82" s="410">
        <f>P82+1</f>
        <v>46169</v>
      </c>
      <c r="V82" s="411"/>
      <c r="W82" s="411"/>
      <c r="X82" s="411"/>
      <c r="Y82" s="412"/>
      <c r="Z82" s="410">
        <f>U82+1</f>
        <v>46170</v>
      </c>
      <c r="AA82" s="411"/>
      <c r="AB82" s="411"/>
      <c r="AC82" s="411"/>
      <c r="AD82" s="412"/>
      <c r="AE82" s="410">
        <f>Z82+1</f>
        <v>46171</v>
      </c>
      <c r="AF82" s="411"/>
      <c r="AG82" s="411"/>
      <c r="AH82" s="411"/>
      <c r="AI82" s="412"/>
      <c r="AJ82" s="410">
        <f>AE82+1</f>
        <v>46172</v>
      </c>
      <c r="AK82" s="411"/>
      <c r="AL82" s="411"/>
      <c r="AM82" s="411"/>
      <c r="AN82" s="412"/>
      <c r="AO82" s="410">
        <f>AJ82+1</f>
        <v>46173</v>
      </c>
      <c r="AP82" s="411"/>
      <c r="AQ82" s="411"/>
      <c r="AR82" s="411"/>
      <c r="AS82" s="412"/>
      <c r="AT82" s="410">
        <f>AO82+1</f>
        <v>46174</v>
      </c>
      <c r="AU82" s="411"/>
      <c r="AV82" s="411"/>
      <c r="AW82" s="411"/>
      <c r="AX82" s="412"/>
    </row>
    <row r="83" spans="2:53" ht="15.75">
      <c r="B83" s="416"/>
      <c r="C83" s="416"/>
      <c r="D83" s="416"/>
      <c r="E83" s="416"/>
      <c r="F83" s="416"/>
      <c r="G83" s="416"/>
      <c r="H83" s="416"/>
      <c r="I83" s="184"/>
      <c r="J83" s="184"/>
      <c r="K83" s="184"/>
      <c r="L83" s="184"/>
      <c r="M83" s="179"/>
      <c r="N83" s="393"/>
      <c r="O83" s="393"/>
      <c r="P83" s="413" t="s">
        <v>318</v>
      </c>
      <c r="Q83" s="395"/>
      <c r="R83" s="395"/>
      <c r="S83" s="395"/>
      <c r="T83" s="395"/>
      <c r="U83" s="413" t="s">
        <v>319</v>
      </c>
      <c r="V83" s="395"/>
      <c r="W83" s="395"/>
      <c r="X83" s="395"/>
      <c r="Y83" s="395"/>
      <c r="Z83" s="413" t="s">
        <v>320</v>
      </c>
      <c r="AA83" s="395"/>
      <c r="AB83" s="395"/>
      <c r="AC83" s="395"/>
      <c r="AD83" s="395"/>
      <c r="AE83" s="413" t="s">
        <v>321</v>
      </c>
      <c r="AF83" s="395"/>
      <c r="AG83" s="395"/>
      <c r="AH83" s="395"/>
      <c r="AI83" s="395"/>
      <c r="AJ83" s="413" t="s">
        <v>322</v>
      </c>
      <c r="AK83" s="395"/>
      <c r="AL83" s="395"/>
      <c r="AM83" s="395"/>
      <c r="AN83" s="395"/>
      <c r="AO83" s="413" t="s">
        <v>323</v>
      </c>
      <c r="AP83" s="395"/>
      <c r="AQ83" s="395"/>
      <c r="AR83" s="395"/>
      <c r="AS83" s="395"/>
      <c r="AT83" s="413" t="s">
        <v>324</v>
      </c>
      <c r="AU83" s="395"/>
      <c r="AV83" s="395"/>
      <c r="AW83" s="395"/>
      <c r="AX83" s="395"/>
    </row>
    <row r="84" spans="2:53">
      <c r="B84" s="389" t="s">
        <v>401</v>
      </c>
      <c r="C84" s="389" t="s">
        <v>386</v>
      </c>
      <c r="D84" s="389"/>
      <c r="E84" s="389" t="s">
        <v>377</v>
      </c>
      <c r="F84" s="389"/>
      <c r="G84" s="389"/>
      <c r="H84" s="417" t="s">
        <v>373</v>
      </c>
      <c r="I84" s="389" t="s">
        <v>378</v>
      </c>
      <c r="J84" s="389"/>
      <c r="K84" s="389"/>
      <c r="L84" s="417" t="s">
        <v>373</v>
      </c>
      <c r="M84" s="391" t="s">
        <v>374</v>
      </c>
      <c r="N84" s="389"/>
      <c r="O84" s="389" t="s">
        <v>379</v>
      </c>
      <c r="P84" s="404" t="s">
        <v>375</v>
      </c>
      <c r="Q84" s="405"/>
      <c r="R84" s="405"/>
      <c r="S84" s="406"/>
      <c r="T84" s="389" t="s">
        <v>373</v>
      </c>
      <c r="U84" s="404" t="s">
        <v>375</v>
      </c>
      <c r="V84" s="405"/>
      <c r="W84" s="405"/>
      <c r="X84" s="406"/>
      <c r="Y84" s="389" t="s">
        <v>373</v>
      </c>
      <c r="Z84" s="404" t="s">
        <v>375</v>
      </c>
      <c r="AA84" s="405"/>
      <c r="AB84" s="405"/>
      <c r="AC84" s="406"/>
      <c r="AD84" s="389" t="s">
        <v>373</v>
      </c>
      <c r="AE84" s="404" t="s">
        <v>375</v>
      </c>
      <c r="AF84" s="405"/>
      <c r="AG84" s="405"/>
      <c r="AH84" s="406"/>
      <c r="AI84" s="389" t="s">
        <v>373</v>
      </c>
      <c r="AJ84" s="404" t="s">
        <v>375</v>
      </c>
      <c r="AK84" s="405"/>
      <c r="AL84" s="405"/>
      <c r="AM84" s="406"/>
      <c r="AN84" s="389" t="s">
        <v>373</v>
      </c>
      <c r="AO84" s="404" t="s">
        <v>375</v>
      </c>
      <c r="AP84" s="405"/>
      <c r="AQ84" s="405"/>
      <c r="AR84" s="406"/>
      <c r="AS84" s="389" t="s">
        <v>373</v>
      </c>
      <c r="AT84" s="404" t="s">
        <v>375</v>
      </c>
      <c r="AU84" s="405"/>
      <c r="AV84" s="405"/>
      <c r="AW84" s="406"/>
      <c r="AX84" s="389" t="s">
        <v>373</v>
      </c>
      <c r="BA84" s="389" t="s">
        <v>373</v>
      </c>
    </row>
    <row r="85" spans="2:53">
      <c r="B85" s="389"/>
      <c r="C85" s="389"/>
      <c r="D85" s="389"/>
      <c r="E85" s="389" t="s">
        <v>380</v>
      </c>
      <c r="F85" s="389"/>
      <c r="G85" s="389"/>
      <c r="H85" s="418"/>
      <c r="I85" s="389" t="s">
        <v>380</v>
      </c>
      <c r="J85" s="389"/>
      <c r="K85" s="389"/>
      <c r="L85" s="418"/>
      <c r="M85" s="392"/>
      <c r="N85" s="389"/>
      <c r="O85" s="389"/>
      <c r="P85" s="404" t="s">
        <v>381</v>
      </c>
      <c r="Q85" s="405"/>
      <c r="R85" s="405"/>
      <c r="S85" s="406"/>
      <c r="T85" s="389"/>
      <c r="U85" s="404" t="s">
        <v>381</v>
      </c>
      <c r="V85" s="405"/>
      <c r="W85" s="405"/>
      <c r="X85" s="406"/>
      <c r="Y85" s="389"/>
      <c r="Z85" s="404" t="s">
        <v>381</v>
      </c>
      <c r="AA85" s="405"/>
      <c r="AB85" s="405"/>
      <c r="AC85" s="406"/>
      <c r="AD85" s="389"/>
      <c r="AE85" s="404" t="s">
        <v>381</v>
      </c>
      <c r="AF85" s="405"/>
      <c r="AG85" s="405"/>
      <c r="AH85" s="406"/>
      <c r="AI85" s="389"/>
      <c r="AJ85" s="404" t="s">
        <v>381</v>
      </c>
      <c r="AK85" s="405"/>
      <c r="AL85" s="405"/>
      <c r="AM85" s="406"/>
      <c r="AN85" s="389"/>
      <c r="AO85" s="404" t="s">
        <v>381</v>
      </c>
      <c r="AP85" s="405"/>
      <c r="AQ85" s="405"/>
      <c r="AR85" s="406"/>
      <c r="AS85" s="389"/>
      <c r="AT85" s="404" t="s">
        <v>381</v>
      </c>
      <c r="AU85" s="405"/>
      <c r="AV85" s="405"/>
      <c r="AW85" s="406"/>
      <c r="AX85" s="389"/>
      <c r="BA85" s="389"/>
    </row>
    <row r="86" spans="2:53">
      <c r="B86" s="389"/>
      <c r="C86" s="389"/>
      <c r="D86" s="389"/>
      <c r="E86" s="258" t="s">
        <v>382</v>
      </c>
      <c r="F86" s="258" t="s">
        <v>383</v>
      </c>
      <c r="G86" s="258" t="s">
        <v>384</v>
      </c>
      <c r="H86" s="419"/>
      <c r="I86" s="258" t="s">
        <v>382</v>
      </c>
      <c r="J86" s="258" t="s">
        <v>383</v>
      </c>
      <c r="K86" s="258" t="s">
        <v>384</v>
      </c>
      <c r="L86" s="419"/>
      <c r="M86" s="393"/>
      <c r="N86" s="389"/>
      <c r="O86" s="389"/>
      <c r="P86" s="258" t="s">
        <v>382</v>
      </c>
      <c r="Q86" s="258" t="s">
        <v>383</v>
      </c>
      <c r="R86" s="258" t="s">
        <v>384</v>
      </c>
      <c r="S86" s="258" t="s">
        <v>374</v>
      </c>
      <c r="T86" s="389"/>
      <c r="U86" s="258" t="s">
        <v>382</v>
      </c>
      <c r="V86" s="258" t="s">
        <v>383</v>
      </c>
      <c r="W86" s="258" t="s">
        <v>384</v>
      </c>
      <c r="X86" s="258" t="s">
        <v>374</v>
      </c>
      <c r="Y86" s="389"/>
      <c r="Z86" s="258" t="s">
        <v>382</v>
      </c>
      <c r="AA86" s="258" t="s">
        <v>383</v>
      </c>
      <c r="AB86" s="258" t="s">
        <v>384</v>
      </c>
      <c r="AC86" s="258" t="s">
        <v>374</v>
      </c>
      <c r="AD86" s="389"/>
      <c r="AE86" s="258" t="s">
        <v>382</v>
      </c>
      <c r="AF86" s="258" t="s">
        <v>383</v>
      </c>
      <c r="AG86" s="258" t="s">
        <v>384</v>
      </c>
      <c r="AH86" s="258" t="s">
        <v>374</v>
      </c>
      <c r="AI86" s="389"/>
      <c r="AJ86" s="258" t="s">
        <v>382</v>
      </c>
      <c r="AK86" s="258" t="s">
        <v>383</v>
      </c>
      <c r="AL86" s="258" t="s">
        <v>384</v>
      </c>
      <c r="AM86" s="258" t="s">
        <v>374</v>
      </c>
      <c r="AN86" s="389"/>
      <c r="AO86" s="258" t="s">
        <v>382</v>
      </c>
      <c r="AP86" s="258" t="s">
        <v>383</v>
      </c>
      <c r="AQ86" s="258" t="s">
        <v>384</v>
      </c>
      <c r="AR86" s="258" t="s">
        <v>374</v>
      </c>
      <c r="AS86" s="389"/>
      <c r="AT86" s="258" t="s">
        <v>382</v>
      </c>
      <c r="AU86" s="258" t="s">
        <v>383</v>
      </c>
      <c r="AV86" s="258" t="s">
        <v>384</v>
      </c>
      <c r="AW86" s="258" t="s">
        <v>374</v>
      </c>
      <c r="AX86" s="389"/>
      <c r="AZ86" s="258" t="s">
        <v>374</v>
      </c>
      <c r="BA86" s="389"/>
    </row>
    <row r="87" spans="2:53">
      <c r="B87" s="486" t="s">
        <v>414</v>
      </c>
      <c r="C87" s="182">
        <v>1</v>
      </c>
      <c r="D87" s="182" t="s">
        <v>604</v>
      </c>
      <c r="E87" s="182">
        <v>10</v>
      </c>
      <c r="F87" s="182">
        <v>1500</v>
      </c>
      <c r="G87" s="166">
        <v>150</v>
      </c>
      <c r="H87" s="401">
        <f>AVERAGE(G87:G101)</f>
        <v>130</v>
      </c>
      <c r="I87" s="166">
        <f t="shared" ref="I87:I101" si="75">IFERROR(AVERAGE(P87,U87,Z87,AE87,AJ87,AO87,AT87),"-")</f>
        <v>10</v>
      </c>
      <c r="J87" s="166">
        <f t="shared" ref="J87:J101" si="76">IFERROR(AVERAGE(Q87,V87,AA87,AF87,AK87,AP87,AU87),"-")</f>
        <v>1517.8448979591828</v>
      </c>
      <c r="K87" s="180">
        <f t="shared" ref="K87:K101" si="77">IFERROR(AVERAGE(R87,W87,AB87,AG87,AL87,AQ87,AV87),"-")</f>
        <v>151.78448979591829</v>
      </c>
      <c r="L87" s="401">
        <f>IFERROR(AVERAGE(K87:K101),"-")</f>
        <v>151.08659907552763</v>
      </c>
      <c r="M87" s="166" t="e">
        <f>RANK(K87, K$107:$K$121)</f>
        <v>#N/A</v>
      </c>
      <c r="N87" s="389"/>
      <c r="O87" s="389"/>
      <c r="P87" s="182">
        <v>10</v>
      </c>
      <c r="Q87" s="166">
        <v>1578.0000000000016</v>
      </c>
      <c r="R87" s="166">
        <v>157.80000000000015</v>
      </c>
      <c r="S87" s="182">
        <f t="shared" ref="S87:S101" si="78">RANK(R87, R$87:R$101)</f>
        <v>1</v>
      </c>
      <c r="T87" s="390">
        <f t="shared" ref="T87" si="79">AVERAGE(R87:R101)</f>
        <v>154.24880952380963</v>
      </c>
      <c r="U87" s="182">
        <v>10</v>
      </c>
      <c r="V87" s="166">
        <v>1515.9999999999973</v>
      </c>
      <c r="W87" s="166">
        <v>151.59999999999974</v>
      </c>
      <c r="X87" s="182">
        <f t="shared" ref="X87:X101" si="80">RANK(W87, W$87:W$101)</f>
        <v>2</v>
      </c>
      <c r="Y87" s="390">
        <f t="shared" ref="Y87" si="81">AVERAGE(W87:W101)</f>
        <v>153.22380952380936</v>
      </c>
      <c r="Z87" s="182">
        <v>10</v>
      </c>
      <c r="AA87" s="166">
        <v>1548.0000000000016</v>
      </c>
      <c r="AB87" s="166">
        <v>154.80000000000015</v>
      </c>
      <c r="AC87" s="182">
        <f t="shared" ref="AC87:AC101" si="82">RANK(AB87, AB$87:AB$101)</f>
        <v>1</v>
      </c>
      <c r="AD87" s="390">
        <f t="shared" ref="AD87" si="83">AVERAGE(AB87:AB101)</f>
        <v>143.45641025641021</v>
      </c>
      <c r="AE87" s="182">
        <v>10</v>
      </c>
      <c r="AF87" s="166">
        <v>1603.2000000000003</v>
      </c>
      <c r="AG87" s="166">
        <v>160.32000000000002</v>
      </c>
      <c r="AH87" s="182">
        <f t="shared" ref="AH87:AH101" si="84">RANK(AG87, AG$87:AG$101)</f>
        <v>1</v>
      </c>
      <c r="AI87" s="390">
        <f t="shared" ref="AI87" si="85">AVERAGE(AG87:AG101)</f>
        <v>156.48914529914535</v>
      </c>
      <c r="AJ87" s="182">
        <v>10</v>
      </c>
      <c r="AK87" s="166">
        <v>1385.9999999999975</v>
      </c>
      <c r="AL87" s="166">
        <v>138.59999999999974</v>
      </c>
      <c r="AM87" s="182">
        <f t="shared" ref="AM87:AM101" si="86">RANK(AL87, AL$87:AL$101)</f>
        <v>3</v>
      </c>
      <c r="AN87" s="390">
        <f t="shared" ref="AN87" si="87">AVERAGE(AL87:AL101)</f>
        <v>148.82393162393157</v>
      </c>
      <c r="AO87" s="182">
        <v>10</v>
      </c>
      <c r="AP87" s="166">
        <v>1429.7142857142842</v>
      </c>
      <c r="AQ87" s="166">
        <v>142.97142857142842</v>
      </c>
      <c r="AR87" s="182">
        <f t="shared" ref="AR87:AR101" si="88">RANK(AQ87, AQ$87:AQ$101)</f>
        <v>3</v>
      </c>
      <c r="AS87" s="390">
        <f t="shared" ref="AS87" si="89">AVERAGE(AQ87:AQ101)</f>
        <v>148.34742063492072</v>
      </c>
      <c r="AT87" s="182">
        <v>10</v>
      </c>
      <c r="AU87" s="166">
        <v>1563.9999999999973</v>
      </c>
      <c r="AV87" s="166">
        <v>156.39999999999972</v>
      </c>
      <c r="AW87" s="182">
        <f t="shared" ref="AW87:AW101" si="90">RANK(AV87, AV$87:AV$101)</f>
        <v>1</v>
      </c>
      <c r="AX87" s="390">
        <f t="shared" ref="AX87" si="91">AVERAGE(AV87:AV101)</f>
        <v>153.01666666666662</v>
      </c>
      <c r="AZ87" s="182" t="e">
        <f t="shared" ref="AZ87:AZ101" si="92">RANK(AY87, AY$87:AY$101)</f>
        <v>#N/A</v>
      </c>
      <c r="BA87" s="390" t="e">
        <f t="shared" ref="BA87" si="93">AVERAGE(AY87:AY101)</f>
        <v>#DIV/0!</v>
      </c>
    </row>
    <row r="88" spans="2:53">
      <c r="B88" s="395"/>
      <c r="C88" s="182">
        <v>2</v>
      </c>
      <c r="D88" s="182" t="s">
        <v>644</v>
      </c>
      <c r="E88" s="182">
        <v>15</v>
      </c>
      <c r="F88" s="182">
        <v>1800</v>
      </c>
      <c r="G88" s="166">
        <v>120</v>
      </c>
      <c r="H88" s="402"/>
      <c r="I88" s="166">
        <f t="shared" si="75"/>
        <v>12.142857142857142</v>
      </c>
      <c r="J88" s="166">
        <f t="shared" si="76"/>
        <v>1822.8543956043957</v>
      </c>
      <c r="K88" s="180">
        <f t="shared" si="77"/>
        <v>150.26717032967034</v>
      </c>
      <c r="L88" s="402"/>
      <c r="M88" s="166" t="e">
        <f>RANK(K88, K$107:$K$121)</f>
        <v>#N/A</v>
      </c>
      <c r="N88" s="389"/>
      <c r="O88" s="389"/>
      <c r="P88" s="182">
        <v>12</v>
      </c>
      <c r="Q88" s="166">
        <v>1786.4999999999993</v>
      </c>
      <c r="R88" s="166">
        <v>148.87499999999994</v>
      </c>
      <c r="S88" s="182">
        <f t="shared" si="78"/>
        <v>3</v>
      </c>
      <c r="T88" s="390"/>
      <c r="U88" s="182">
        <v>12</v>
      </c>
      <c r="V88" s="166">
        <v>1817.9999999999993</v>
      </c>
      <c r="W88" s="166">
        <v>151.49999999999994</v>
      </c>
      <c r="X88" s="182">
        <f t="shared" si="80"/>
        <v>3</v>
      </c>
      <c r="Y88" s="390"/>
      <c r="Z88" s="182">
        <v>13</v>
      </c>
      <c r="AA88" s="166">
        <v>1787.9999999999975</v>
      </c>
      <c r="AB88" s="166">
        <v>137.53846153846135</v>
      </c>
      <c r="AC88" s="182">
        <f t="shared" si="82"/>
        <v>3</v>
      </c>
      <c r="AD88" s="390"/>
      <c r="AE88" s="182">
        <v>12</v>
      </c>
      <c r="AF88" s="166">
        <v>1850.7692307692328</v>
      </c>
      <c r="AG88" s="166">
        <v>154.2307692307694</v>
      </c>
      <c r="AH88" s="182">
        <f t="shared" si="84"/>
        <v>3</v>
      </c>
      <c r="AI88" s="390"/>
      <c r="AJ88" s="182">
        <v>12</v>
      </c>
      <c r="AK88" s="166">
        <v>1854.4615384615381</v>
      </c>
      <c r="AL88" s="166">
        <v>154.53846153846152</v>
      </c>
      <c r="AM88" s="182">
        <f t="shared" si="86"/>
        <v>1</v>
      </c>
      <c r="AN88" s="390"/>
      <c r="AO88" s="182">
        <v>12</v>
      </c>
      <c r="AP88" s="166">
        <v>1835.250000000003</v>
      </c>
      <c r="AQ88" s="166">
        <v>152.93750000000026</v>
      </c>
      <c r="AR88" s="182">
        <f t="shared" si="88"/>
        <v>1</v>
      </c>
      <c r="AS88" s="390"/>
      <c r="AT88" s="182">
        <v>12</v>
      </c>
      <c r="AU88" s="166">
        <v>1826.9999999999993</v>
      </c>
      <c r="AV88" s="166">
        <v>152.24999999999994</v>
      </c>
      <c r="AW88" s="182">
        <f t="shared" si="90"/>
        <v>2</v>
      </c>
      <c r="AX88" s="390"/>
      <c r="AZ88" s="182" t="e">
        <f t="shared" si="92"/>
        <v>#N/A</v>
      </c>
      <c r="BA88" s="390"/>
    </row>
    <row r="89" spans="2:53">
      <c r="B89" s="395"/>
      <c r="C89" s="182">
        <v>3</v>
      </c>
      <c r="D89" s="182" t="s">
        <v>645</v>
      </c>
      <c r="E89" s="182">
        <v>15</v>
      </c>
      <c r="F89" s="182">
        <v>1800</v>
      </c>
      <c r="G89" s="166">
        <v>120</v>
      </c>
      <c r="H89" s="402"/>
      <c r="I89" s="166">
        <f t="shared" si="75"/>
        <v>12.142857142857142</v>
      </c>
      <c r="J89" s="166">
        <f t="shared" si="76"/>
        <v>1834.2163265306128</v>
      </c>
      <c r="K89" s="180">
        <f t="shared" si="77"/>
        <v>151.20813710099429</v>
      </c>
      <c r="L89" s="402"/>
      <c r="M89" s="166" t="e">
        <f>RANK(K89, K$107:$K$121)</f>
        <v>#N/A</v>
      </c>
      <c r="N89" s="389"/>
      <c r="O89" s="389"/>
      <c r="P89" s="182">
        <v>12</v>
      </c>
      <c r="Q89" s="166">
        <v>1872.8571428571449</v>
      </c>
      <c r="R89" s="166">
        <v>156.07142857142875</v>
      </c>
      <c r="S89" s="182">
        <f t="shared" si="78"/>
        <v>2</v>
      </c>
      <c r="T89" s="390"/>
      <c r="U89" s="182">
        <v>12</v>
      </c>
      <c r="V89" s="166">
        <v>1878.8571428571408</v>
      </c>
      <c r="W89" s="166">
        <v>156.57142857142841</v>
      </c>
      <c r="X89" s="182">
        <f t="shared" si="80"/>
        <v>1</v>
      </c>
      <c r="Y89" s="390"/>
      <c r="Z89" s="182">
        <v>13</v>
      </c>
      <c r="AA89" s="166">
        <v>1794.3999999999987</v>
      </c>
      <c r="AB89" s="166">
        <v>138.03076923076912</v>
      </c>
      <c r="AC89" s="182">
        <f t="shared" si="82"/>
        <v>2</v>
      </c>
      <c r="AD89" s="390"/>
      <c r="AE89" s="182">
        <v>12</v>
      </c>
      <c r="AF89" s="166">
        <v>1858.9999999999991</v>
      </c>
      <c r="AG89" s="166">
        <v>154.9166666666666</v>
      </c>
      <c r="AH89" s="182">
        <f t="shared" si="84"/>
        <v>2</v>
      </c>
      <c r="AI89" s="390"/>
      <c r="AJ89" s="182">
        <v>12</v>
      </c>
      <c r="AK89" s="166">
        <v>1840.0000000000018</v>
      </c>
      <c r="AL89" s="166">
        <v>153.33333333333348</v>
      </c>
      <c r="AM89" s="182">
        <f t="shared" si="86"/>
        <v>2</v>
      </c>
      <c r="AN89" s="390"/>
      <c r="AO89" s="182">
        <v>12</v>
      </c>
      <c r="AP89" s="166">
        <v>1789.6000000000026</v>
      </c>
      <c r="AQ89" s="166">
        <v>149.13333333333355</v>
      </c>
      <c r="AR89" s="182">
        <f t="shared" si="88"/>
        <v>2</v>
      </c>
      <c r="AS89" s="390"/>
      <c r="AT89" s="182">
        <v>12</v>
      </c>
      <c r="AU89" s="166">
        <v>1804.8000000000027</v>
      </c>
      <c r="AV89" s="166">
        <v>150.40000000000023</v>
      </c>
      <c r="AW89" s="182">
        <f t="shared" si="90"/>
        <v>3</v>
      </c>
      <c r="AX89" s="390"/>
      <c r="AZ89" s="182" t="e">
        <f t="shared" si="92"/>
        <v>#N/A</v>
      </c>
      <c r="BA89" s="390"/>
    </row>
    <row r="90" spans="2:53">
      <c r="B90" s="395"/>
      <c r="C90" s="182">
        <v>4</v>
      </c>
      <c r="D90" s="182"/>
      <c r="E90" s="182"/>
      <c r="F90" s="182"/>
      <c r="G90" s="166"/>
      <c r="H90" s="402"/>
      <c r="I90" s="166" t="str">
        <f t="shared" si="75"/>
        <v>-</v>
      </c>
      <c r="J90" s="166" t="str">
        <f t="shared" si="76"/>
        <v>-</v>
      </c>
      <c r="K90" s="180" t="str">
        <f t="shared" si="77"/>
        <v>-</v>
      </c>
      <c r="L90" s="402"/>
      <c r="M90" s="166" t="e">
        <f>RANK(K90, K$107:$K$121)</f>
        <v>#VALUE!</v>
      </c>
      <c r="N90" s="389"/>
      <c r="O90" s="389"/>
      <c r="P90" s="182"/>
      <c r="Q90" s="166"/>
      <c r="R90" s="166"/>
      <c r="S90" s="182" t="e">
        <f t="shared" si="78"/>
        <v>#N/A</v>
      </c>
      <c r="T90" s="390"/>
      <c r="U90" s="182"/>
      <c r="V90" s="166"/>
      <c r="W90" s="166"/>
      <c r="X90" s="182" t="e">
        <f t="shared" si="80"/>
        <v>#N/A</v>
      </c>
      <c r="Y90" s="390"/>
      <c r="Z90" s="182"/>
      <c r="AA90" s="166"/>
      <c r="AB90" s="166"/>
      <c r="AC90" s="182" t="e">
        <f t="shared" si="82"/>
        <v>#N/A</v>
      </c>
      <c r="AD90" s="390"/>
      <c r="AE90" s="182"/>
      <c r="AF90" s="166"/>
      <c r="AG90" s="166"/>
      <c r="AH90" s="182" t="e">
        <f t="shared" si="84"/>
        <v>#N/A</v>
      </c>
      <c r="AI90" s="390"/>
      <c r="AJ90" s="182"/>
      <c r="AK90" s="166"/>
      <c r="AL90" s="166"/>
      <c r="AM90" s="182" t="e">
        <f t="shared" si="86"/>
        <v>#N/A</v>
      </c>
      <c r="AN90" s="390"/>
      <c r="AO90" s="182"/>
      <c r="AP90" s="166"/>
      <c r="AQ90" s="166"/>
      <c r="AR90" s="182" t="e">
        <f t="shared" si="88"/>
        <v>#N/A</v>
      </c>
      <c r="AS90" s="390"/>
      <c r="AT90" s="182"/>
      <c r="AU90" s="166"/>
      <c r="AV90" s="166"/>
      <c r="AW90" s="182" t="e">
        <f t="shared" si="90"/>
        <v>#N/A</v>
      </c>
      <c r="AX90" s="390"/>
      <c r="AZ90" s="182" t="e">
        <f t="shared" si="92"/>
        <v>#N/A</v>
      </c>
      <c r="BA90" s="390"/>
    </row>
    <row r="91" spans="2:53">
      <c r="B91" s="395"/>
      <c r="C91" s="182">
        <v>5</v>
      </c>
      <c r="D91" s="182"/>
      <c r="E91" s="182"/>
      <c r="F91" s="182"/>
      <c r="G91" s="166"/>
      <c r="H91" s="402"/>
      <c r="I91" s="166" t="str">
        <f t="shared" si="75"/>
        <v>-</v>
      </c>
      <c r="J91" s="166" t="str">
        <f t="shared" si="76"/>
        <v>-</v>
      </c>
      <c r="K91" s="180" t="str">
        <f t="shared" si="77"/>
        <v>-</v>
      </c>
      <c r="L91" s="402"/>
      <c r="M91" s="166" t="e">
        <f>RANK(K91, K$107:$K$121)</f>
        <v>#VALUE!</v>
      </c>
      <c r="N91" s="389"/>
      <c r="O91" s="389"/>
      <c r="P91" s="182"/>
      <c r="Q91" s="166"/>
      <c r="R91" s="166"/>
      <c r="S91" s="182" t="e">
        <f t="shared" si="78"/>
        <v>#N/A</v>
      </c>
      <c r="T91" s="390"/>
      <c r="U91" s="182"/>
      <c r="V91" s="166"/>
      <c r="W91" s="166"/>
      <c r="X91" s="182" t="e">
        <f t="shared" si="80"/>
        <v>#N/A</v>
      </c>
      <c r="Y91" s="390"/>
      <c r="Z91" s="182"/>
      <c r="AA91" s="166"/>
      <c r="AB91" s="166"/>
      <c r="AC91" s="182" t="e">
        <f t="shared" si="82"/>
        <v>#N/A</v>
      </c>
      <c r="AD91" s="390"/>
      <c r="AE91" s="182"/>
      <c r="AF91" s="166"/>
      <c r="AG91" s="166"/>
      <c r="AH91" s="182" t="e">
        <f t="shared" si="84"/>
        <v>#N/A</v>
      </c>
      <c r="AI91" s="390"/>
      <c r="AJ91" s="182"/>
      <c r="AK91" s="166"/>
      <c r="AL91" s="166"/>
      <c r="AM91" s="182" t="e">
        <f t="shared" si="86"/>
        <v>#N/A</v>
      </c>
      <c r="AN91" s="390"/>
      <c r="AO91" s="182"/>
      <c r="AP91" s="166"/>
      <c r="AQ91" s="166"/>
      <c r="AR91" s="182" t="e">
        <f t="shared" si="88"/>
        <v>#N/A</v>
      </c>
      <c r="AS91" s="390"/>
      <c r="AT91" s="182"/>
      <c r="AU91" s="166"/>
      <c r="AV91" s="166"/>
      <c r="AW91" s="182" t="e">
        <f t="shared" si="90"/>
        <v>#N/A</v>
      </c>
      <c r="AX91" s="390"/>
      <c r="AZ91" s="182" t="e">
        <f t="shared" si="92"/>
        <v>#N/A</v>
      </c>
      <c r="BA91" s="390"/>
    </row>
    <row r="92" spans="2:53">
      <c r="B92" s="395"/>
      <c r="C92" s="182">
        <v>6</v>
      </c>
      <c r="D92" s="182"/>
      <c r="E92" s="182"/>
      <c r="F92" s="182"/>
      <c r="G92" s="166"/>
      <c r="H92" s="402"/>
      <c r="I92" s="166" t="str">
        <f t="shared" si="75"/>
        <v>-</v>
      </c>
      <c r="J92" s="166" t="str">
        <f t="shared" si="76"/>
        <v>-</v>
      </c>
      <c r="K92" s="180" t="str">
        <f t="shared" si="77"/>
        <v>-</v>
      </c>
      <c r="L92" s="402"/>
      <c r="M92" s="166" t="e">
        <f>RANK(K92, K$107:$K$121)</f>
        <v>#VALUE!</v>
      </c>
      <c r="N92" s="389"/>
      <c r="O92" s="389"/>
      <c r="P92" s="182"/>
      <c r="Q92" s="166"/>
      <c r="R92" s="166"/>
      <c r="S92" s="182" t="e">
        <f t="shared" si="78"/>
        <v>#N/A</v>
      </c>
      <c r="T92" s="390"/>
      <c r="U92" s="182"/>
      <c r="V92" s="166"/>
      <c r="W92" s="166"/>
      <c r="X92" s="182" t="e">
        <f t="shared" si="80"/>
        <v>#N/A</v>
      </c>
      <c r="Y92" s="390"/>
      <c r="Z92" s="182"/>
      <c r="AA92" s="166"/>
      <c r="AB92" s="166"/>
      <c r="AC92" s="182" t="e">
        <f t="shared" si="82"/>
        <v>#N/A</v>
      </c>
      <c r="AD92" s="390"/>
      <c r="AE92" s="182"/>
      <c r="AF92" s="166"/>
      <c r="AG92" s="166"/>
      <c r="AH92" s="182" t="e">
        <f t="shared" si="84"/>
        <v>#N/A</v>
      </c>
      <c r="AI92" s="390"/>
      <c r="AJ92" s="182"/>
      <c r="AK92" s="166"/>
      <c r="AL92" s="166"/>
      <c r="AM92" s="182" t="e">
        <f t="shared" si="86"/>
        <v>#N/A</v>
      </c>
      <c r="AN92" s="390"/>
      <c r="AO92" s="182"/>
      <c r="AP92" s="166"/>
      <c r="AQ92" s="166"/>
      <c r="AR92" s="182" t="e">
        <f t="shared" si="88"/>
        <v>#N/A</v>
      </c>
      <c r="AS92" s="390"/>
      <c r="AT92" s="182"/>
      <c r="AU92" s="166"/>
      <c r="AV92" s="166"/>
      <c r="AW92" s="182" t="e">
        <f t="shared" si="90"/>
        <v>#N/A</v>
      </c>
      <c r="AX92" s="390"/>
      <c r="AZ92" s="182" t="e">
        <f t="shared" si="92"/>
        <v>#N/A</v>
      </c>
      <c r="BA92" s="390"/>
    </row>
    <row r="93" spans="2:53">
      <c r="B93" s="395"/>
      <c r="C93" s="182">
        <v>7</v>
      </c>
      <c r="D93" s="182"/>
      <c r="E93" s="182"/>
      <c r="F93" s="182"/>
      <c r="G93" s="166"/>
      <c r="H93" s="402"/>
      <c r="I93" s="166" t="str">
        <f t="shared" si="75"/>
        <v>-</v>
      </c>
      <c r="J93" s="166" t="str">
        <f t="shared" si="76"/>
        <v>-</v>
      </c>
      <c r="K93" s="180" t="str">
        <f t="shared" si="77"/>
        <v>-</v>
      </c>
      <c r="L93" s="402"/>
      <c r="M93" s="166" t="e">
        <f>RANK(K93, K$107:$K$121)</f>
        <v>#VALUE!</v>
      </c>
      <c r="N93" s="389"/>
      <c r="O93" s="389"/>
      <c r="P93" s="182"/>
      <c r="Q93" s="166"/>
      <c r="R93" s="166"/>
      <c r="S93" s="182" t="e">
        <f t="shared" si="78"/>
        <v>#N/A</v>
      </c>
      <c r="T93" s="390"/>
      <c r="U93" s="182"/>
      <c r="V93" s="166"/>
      <c r="W93" s="166"/>
      <c r="X93" s="182" t="e">
        <f t="shared" si="80"/>
        <v>#N/A</v>
      </c>
      <c r="Y93" s="390"/>
      <c r="Z93" s="182"/>
      <c r="AA93" s="166"/>
      <c r="AB93" s="166"/>
      <c r="AC93" s="182" t="e">
        <f t="shared" si="82"/>
        <v>#N/A</v>
      </c>
      <c r="AD93" s="390"/>
      <c r="AE93" s="182"/>
      <c r="AF93" s="166"/>
      <c r="AG93" s="166"/>
      <c r="AH93" s="182" t="e">
        <f t="shared" si="84"/>
        <v>#N/A</v>
      </c>
      <c r="AI93" s="390"/>
      <c r="AJ93" s="182"/>
      <c r="AK93" s="166"/>
      <c r="AL93" s="166"/>
      <c r="AM93" s="182" t="e">
        <f t="shared" si="86"/>
        <v>#N/A</v>
      </c>
      <c r="AN93" s="390"/>
      <c r="AO93" s="182"/>
      <c r="AP93" s="166"/>
      <c r="AQ93" s="166"/>
      <c r="AR93" s="182" t="e">
        <f t="shared" si="88"/>
        <v>#N/A</v>
      </c>
      <c r="AS93" s="390"/>
      <c r="AT93" s="182"/>
      <c r="AU93" s="166"/>
      <c r="AV93" s="166"/>
      <c r="AW93" s="182" t="e">
        <f t="shared" si="90"/>
        <v>#N/A</v>
      </c>
      <c r="AX93" s="390"/>
      <c r="AZ93" s="182" t="e">
        <f t="shared" si="92"/>
        <v>#N/A</v>
      </c>
      <c r="BA93" s="390"/>
    </row>
    <row r="94" spans="2:53">
      <c r="B94" s="395"/>
      <c r="C94" s="182">
        <v>8</v>
      </c>
      <c r="D94" s="182"/>
      <c r="E94" s="182"/>
      <c r="F94" s="182"/>
      <c r="G94" s="166"/>
      <c r="H94" s="402"/>
      <c r="I94" s="166" t="str">
        <f t="shared" si="75"/>
        <v>-</v>
      </c>
      <c r="J94" s="166" t="str">
        <f t="shared" si="76"/>
        <v>-</v>
      </c>
      <c r="K94" s="180" t="str">
        <f t="shared" si="77"/>
        <v>-</v>
      </c>
      <c r="L94" s="402"/>
      <c r="M94" s="166" t="e">
        <f>RANK(K94, K$107:$K$121)</f>
        <v>#VALUE!</v>
      </c>
      <c r="N94" s="389"/>
      <c r="O94" s="389"/>
      <c r="P94" s="182"/>
      <c r="Q94" s="166"/>
      <c r="R94" s="166"/>
      <c r="S94" s="182" t="e">
        <f t="shared" si="78"/>
        <v>#N/A</v>
      </c>
      <c r="T94" s="390"/>
      <c r="U94" s="182"/>
      <c r="V94" s="166"/>
      <c r="W94" s="166"/>
      <c r="X94" s="182" t="e">
        <f t="shared" si="80"/>
        <v>#N/A</v>
      </c>
      <c r="Y94" s="390"/>
      <c r="Z94" s="182"/>
      <c r="AA94" s="166"/>
      <c r="AB94" s="166"/>
      <c r="AC94" s="182" t="e">
        <f t="shared" si="82"/>
        <v>#N/A</v>
      </c>
      <c r="AD94" s="390"/>
      <c r="AE94" s="182"/>
      <c r="AF94" s="166"/>
      <c r="AG94" s="166"/>
      <c r="AH94" s="182" t="e">
        <f t="shared" si="84"/>
        <v>#N/A</v>
      </c>
      <c r="AI94" s="390"/>
      <c r="AJ94" s="182"/>
      <c r="AK94" s="166"/>
      <c r="AL94" s="166"/>
      <c r="AM94" s="182" t="e">
        <f t="shared" si="86"/>
        <v>#N/A</v>
      </c>
      <c r="AN94" s="390"/>
      <c r="AO94" s="182"/>
      <c r="AP94" s="166"/>
      <c r="AQ94" s="166"/>
      <c r="AR94" s="182" t="e">
        <f t="shared" si="88"/>
        <v>#N/A</v>
      </c>
      <c r="AS94" s="390"/>
      <c r="AT94" s="182"/>
      <c r="AU94" s="166"/>
      <c r="AV94" s="166"/>
      <c r="AW94" s="182" t="e">
        <f t="shared" si="90"/>
        <v>#N/A</v>
      </c>
      <c r="AX94" s="390"/>
      <c r="AZ94" s="182" t="e">
        <f t="shared" si="92"/>
        <v>#N/A</v>
      </c>
      <c r="BA94" s="390"/>
    </row>
    <row r="95" spans="2:53">
      <c r="B95" s="395"/>
      <c r="C95" s="182">
        <v>9</v>
      </c>
      <c r="D95" s="182"/>
      <c r="E95" s="182"/>
      <c r="F95" s="182"/>
      <c r="G95" s="166"/>
      <c r="H95" s="402"/>
      <c r="I95" s="166" t="str">
        <f t="shared" si="75"/>
        <v>-</v>
      </c>
      <c r="J95" s="166" t="str">
        <f t="shared" si="76"/>
        <v>-</v>
      </c>
      <c r="K95" s="180" t="str">
        <f t="shared" si="77"/>
        <v>-</v>
      </c>
      <c r="L95" s="402"/>
      <c r="M95" s="166" t="e">
        <f>RANK(K95, K$107:$K$121)</f>
        <v>#VALUE!</v>
      </c>
      <c r="N95" s="389"/>
      <c r="O95" s="389"/>
      <c r="P95" s="182"/>
      <c r="Q95" s="166"/>
      <c r="R95" s="166"/>
      <c r="S95" s="182" t="e">
        <f t="shared" si="78"/>
        <v>#N/A</v>
      </c>
      <c r="T95" s="390"/>
      <c r="U95" s="182"/>
      <c r="V95" s="166"/>
      <c r="W95" s="166"/>
      <c r="X95" s="182" t="e">
        <f t="shared" si="80"/>
        <v>#N/A</v>
      </c>
      <c r="Y95" s="390"/>
      <c r="Z95" s="182"/>
      <c r="AA95" s="166"/>
      <c r="AB95" s="166"/>
      <c r="AC95" s="182" t="e">
        <f t="shared" si="82"/>
        <v>#N/A</v>
      </c>
      <c r="AD95" s="390"/>
      <c r="AE95" s="182"/>
      <c r="AF95" s="166"/>
      <c r="AG95" s="166"/>
      <c r="AH95" s="182" t="e">
        <f t="shared" si="84"/>
        <v>#N/A</v>
      </c>
      <c r="AI95" s="390"/>
      <c r="AJ95" s="182"/>
      <c r="AK95" s="166"/>
      <c r="AL95" s="166"/>
      <c r="AM95" s="182" t="e">
        <f t="shared" si="86"/>
        <v>#N/A</v>
      </c>
      <c r="AN95" s="390"/>
      <c r="AO95" s="182"/>
      <c r="AP95" s="166"/>
      <c r="AQ95" s="166"/>
      <c r="AR95" s="182" t="e">
        <f t="shared" si="88"/>
        <v>#N/A</v>
      </c>
      <c r="AS95" s="390"/>
      <c r="AT95" s="182"/>
      <c r="AU95" s="166"/>
      <c r="AV95" s="166"/>
      <c r="AW95" s="182" t="e">
        <f t="shared" si="90"/>
        <v>#N/A</v>
      </c>
      <c r="AX95" s="390"/>
      <c r="AZ95" s="182" t="e">
        <f t="shared" si="92"/>
        <v>#N/A</v>
      </c>
      <c r="BA95" s="390"/>
    </row>
    <row r="96" spans="2:53">
      <c r="B96" s="395"/>
      <c r="C96" s="182">
        <v>10</v>
      </c>
      <c r="D96" s="182"/>
      <c r="E96" s="182"/>
      <c r="F96" s="182"/>
      <c r="G96" s="166"/>
      <c r="H96" s="402"/>
      <c r="I96" s="166" t="str">
        <f t="shared" si="75"/>
        <v>-</v>
      </c>
      <c r="J96" s="166" t="str">
        <f t="shared" si="76"/>
        <v>-</v>
      </c>
      <c r="K96" s="180" t="str">
        <f t="shared" si="77"/>
        <v>-</v>
      </c>
      <c r="L96" s="402"/>
      <c r="M96" s="166" t="e">
        <f>RANK(K96, K$107:$K$121)</f>
        <v>#VALUE!</v>
      </c>
      <c r="N96" s="389"/>
      <c r="O96" s="389"/>
      <c r="P96" s="182"/>
      <c r="Q96" s="166"/>
      <c r="R96" s="166"/>
      <c r="S96" s="182" t="e">
        <f t="shared" si="78"/>
        <v>#N/A</v>
      </c>
      <c r="T96" s="390"/>
      <c r="U96" s="182"/>
      <c r="V96" s="166"/>
      <c r="W96" s="166"/>
      <c r="X96" s="182" t="e">
        <f t="shared" si="80"/>
        <v>#N/A</v>
      </c>
      <c r="Y96" s="390"/>
      <c r="Z96" s="182"/>
      <c r="AA96" s="166"/>
      <c r="AB96" s="166"/>
      <c r="AC96" s="182" t="e">
        <f t="shared" si="82"/>
        <v>#N/A</v>
      </c>
      <c r="AD96" s="390"/>
      <c r="AE96" s="182"/>
      <c r="AF96" s="166"/>
      <c r="AG96" s="166"/>
      <c r="AH96" s="182" t="e">
        <f t="shared" si="84"/>
        <v>#N/A</v>
      </c>
      <c r="AI96" s="390"/>
      <c r="AJ96" s="182"/>
      <c r="AK96" s="166"/>
      <c r="AL96" s="166"/>
      <c r="AM96" s="182" t="e">
        <f t="shared" si="86"/>
        <v>#N/A</v>
      </c>
      <c r="AN96" s="390"/>
      <c r="AO96" s="182"/>
      <c r="AP96" s="166"/>
      <c r="AQ96" s="166"/>
      <c r="AR96" s="182" t="e">
        <f t="shared" si="88"/>
        <v>#N/A</v>
      </c>
      <c r="AS96" s="390"/>
      <c r="AT96" s="182"/>
      <c r="AU96" s="166"/>
      <c r="AV96" s="166"/>
      <c r="AW96" s="182" t="e">
        <f t="shared" si="90"/>
        <v>#N/A</v>
      </c>
      <c r="AX96" s="390"/>
      <c r="AZ96" s="182" t="e">
        <f t="shared" si="92"/>
        <v>#N/A</v>
      </c>
      <c r="BA96" s="390"/>
    </row>
    <row r="97" spans="2:53">
      <c r="B97" s="395"/>
      <c r="C97" s="182">
        <v>11</v>
      </c>
      <c r="D97" s="182"/>
      <c r="E97" s="182"/>
      <c r="F97" s="182"/>
      <c r="G97" s="166"/>
      <c r="H97" s="402"/>
      <c r="I97" s="166" t="str">
        <f t="shared" si="75"/>
        <v>-</v>
      </c>
      <c r="J97" s="166" t="str">
        <f t="shared" si="76"/>
        <v>-</v>
      </c>
      <c r="K97" s="180" t="str">
        <f t="shared" si="77"/>
        <v>-</v>
      </c>
      <c r="L97" s="402"/>
      <c r="M97" s="166" t="e">
        <f>RANK(K97, K$107:$K$121)</f>
        <v>#VALUE!</v>
      </c>
      <c r="N97" s="389"/>
      <c r="O97" s="389"/>
      <c r="P97" s="182"/>
      <c r="Q97" s="166"/>
      <c r="R97" s="166"/>
      <c r="S97" s="182" t="e">
        <f t="shared" si="78"/>
        <v>#N/A</v>
      </c>
      <c r="T97" s="390"/>
      <c r="U97" s="182"/>
      <c r="V97" s="166"/>
      <c r="W97" s="166"/>
      <c r="X97" s="182" t="e">
        <f t="shared" si="80"/>
        <v>#N/A</v>
      </c>
      <c r="Y97" s="390"/>
      <c r="Z97" s="182"/>
      <c r="AA97" s="166"/>
      <c r="AB97" s="166"/>
      <c r="AC97" s="182" t="e">
        <f t="shared" si="82"/>
        <v>#N/A</v>
      </c>
      <c r="AD97" s="390"/>
      <c r="AE97" s="182"/>
      <c r="AF97" s="166"/>
      <c r="AG97" s="166"/>
      <c r="AH97" s="182" t="e">
        <f t="shared" si="84"/>
        <v>#N/A</v>
      </c>
      <c r="AI97" s="390"/>
      <c r="AJ97" s="182"/>
      <c r="AK97" s="166"/>
      <c r="AL97" s="166"/>
      <c r="AM97" s="182" t="e">
        <f t="shared" si="86"/>
        <v>#N/A</v>
      </c>
      <c r="AN97" s="390"/>
      <c r="AO97" s="182"/>
      <c r="AP97" s="166"/>
      <c r="AQ97" s="166"/>
      <c r="AR97" s="182" t="e">
        <f t="shared" si="88"/>
        <v>#N/A</v>
      </c>
      <c r="AS97" s="390"/>
      <c r="AT97" s="182"/>
      <c r="AU97" s="166"/>
      <c r="AV97" s="166"/>
      <c r="AW97" s="182" t="e">
        <f t="shared" si="90"/>
        <v>#N/A</v>
      </c>
      <c r="AX97" s="390"/>
      <c r="AZ97" s="182" t="e">
        <f t="shared" si="92"/>
        <v>#N/A</v>
      </c>
      <c r="BA97" s="390"/>
    </row>
    <row r="98" spans="2:53">
      <c r="B98" s="395"/>
      <c r="C98" s="182">
        <v>12</v>
      </c>
      <c r="D98" s="182"/>
      <c r="E98" s="182"/>
      <c r="F98" s="182"/>
      <c r="G98" s="166"/>
      <c r="H98" s="402"/>
      <c r="I98" s="166" t="str">
        <f t="shared" si="75"/>
        <v>-</v>
      </c>
      <c r="J98" s="166" t="str">
        <f t="shared" si="76"/>
        <v>-</v>
      </c>
      <c r="K98" s="180" t="str">
        <f t="shared" si="77"/>
        <v>-</v>
      </c>
      <c r="L98" s="402"/>
      <c r="M98" s="166" t="e">
        <f>RANK(K98, K$107:$K$121)</f>
        <v>#VALUE!</v>
      </c>
      <c r="N98" s="389"/>
      <c r="O98" s="389"/>
      <c r="P98" s="182"/>
      <c r="Q98" s="166"/>
      <c r="R98" s="166"/>
      <c r="S98" s="182" t="e">
        <f t="shared" si="78"/>
        <v>#N/A</v>
      </c>
      <c r="T98" s="390"/>
      <c r="U98" s="182"/>
      <c r="V98" s="166"/>
      <c r="W98" s="166"/>
      <c r="X98" s="182" t="e">
        <f t="shared" si="80"/>
        <v>#N/A</v>
      </c>
      <c r="Y98" s="390"/>
      <c r="Z98" s="182"/>
      <c r="AA98" s="166"/>
      <c r="AB98" s="166"/>
      <c r="AC98" s="182" t="e">
        <f t="shared" si="82"/>
        <v>#N/A</v>
      </c>
      <c r="AD98" s="390"/>
      <c r="AE98" s="182"/>
      <c r="AF98" s="166"/>
      <c r="AG98" s="166"/>
      <c r="AH98" s="182" t="e">
        <f t="shared" si="84"/>
        <v>#N/A</v>
      </c>
      <c r="AI98" s="390"/>
      <c r="AJ98" s="182"/>
      <c r="AK98" s="166"/>
      <c r="AL98" s="166"/>
      <c r="AM98" s="182" t="e">
        <f t="shared" si="86"/>
        <v>#N/A</v>
      </c>
      <c r="AN98" s="390"/>
      <c r="AO98" s="182"/>
      <c r="AP98" s="166"/>
      <c r="AQ98" s="166"/>
      <c r="AR98" s="182" t="e">
        <f t="shared" si="88"/>
        <v>#N/A</v>
      </c>
      <c r="AS98" s="390"/>
      <c r="AT98" s="182"/>
      <c r="AU98" s="166"/>
      <c r="AV98" s="166"/>
      <c r="AW98" s="182" t="e">
        <f t="shared" si="90"/>
        <v>#N/A</v>
      </c>
      <c r="AX98" s="390"/>
      <c r="AZ98" s="182" t="e">
        <f t="shared" si="92"/>
        <v>#N/A</v>
      </c>
      <c r="BA98" s="390"/>
    </row>
    <row r="99" spans="2:53">
      <c r="B99" s="395"/>
      <c r="C99" s="182">
        <v>13</v>
      </c>
      <c r="D99" s="182"/>
      <c r="E99" s="182"/>
      <c r="F99" s="182"/>
      <c r="G99" s="166"/>
      <c r="H99" s="402"/>
      <c r="I99" s="166" t="str">
        <f t="shared" si="75"/>
        <v>-</v>
      </c>
      <c r="J99" s="166" t="str">
        <f t="shared" si="76"/>
        <v>-</v>
      </c>
      <c r="K99" s="180" t="str">
        <f t="shared" si="77"/>
        <v>-</v>
      </c>
      <c r="L99" s="402"/>
      <c r="M99" s="166" t="e">
        <f>RANK(K99, K$107:$K$121)</f>
        <v>#VALUE!</v>
      </c>
      <c r="N99" s="389"/>
      <c r="O99" s="389"/>
      <c r="P99" s="182"/>
      <c r="Q99" s="166"/>
      <c r="R99" s="166"/>
      <c r="S99" s="182" t="e">
        <f t="shared" si="78"/>
        <v>#N/A</v>
      </c>
      <c r="T99" s="390"/>
      <c r="U99" s="182"/>
      <c r="V99" s="166"/>
      <c r="W99" s="166"/>
      <c r="X99" s="182" t="e">
        <f t="shared" si="80"/>
        <v>#N/A</v>
      </c>
      <c r="Y99" s="390"/>
      <c r="Z99" s="182"/>
      <c r="AA99" s="166"/>
      <c r="AB99" s="166"/>
      <c r="AC99" s="182" t="e">
        <f t="shared" si="82"/>
        <v>#N/A</v>
      </c>
      <c r="AD99" s="390"/>
      <c r="AE99" s="182"/>
      <c r="AF99" s="166"/>
      <c r="AG99" s="166"/>
      <c r="AH99" s="182" t="e">
        <f t="shared" si="84"/>
        <v>#N/A</v>
      </c>
      <c r="AI99" s="390"/>
      <c r="AJ99" s="182"/>
      <c r="AK99" s="166"/>
      <c r="AL99" s="166"/>
      <c r="AM99" s="182" t="e">
        <f t="shared" si="86"/>
        <v>#N/A</v>
      </c>
      <c r="AN99" s="390"/>
      <c r="AO99" s="182"/>
      <c r="AP99" s="166"/>
      <c r="AQ99" s="166"/>
      <c r="AR99" s="182" t="e">
        <f t="shared" si="88"/>
        <v>#N/A</v>
      </c>
      <c r="AS99" s="390"/>
      <c r="AT99" s="182"/>
      <c r="AU99" s="166"/>
      <c r="AV99" s="166"/>
      <c r="AW99" s="182" t="e">
        <f t="shared" si="90"/>
        <v>#N/A</v>
      </c>
      <c r="AX99" s="390"/>
      <c r="AZ99" s="182" t="e">
        <f t="shared" si="92"/>
        <v>#N/A</v>
      </c>
      <c r="BA99" s="390"/>
    </row>
    <row r="100" spans="2:53">
      <c r="B100" s="395"/>
      <c r="C100" s="182">
        <v>14</v>
      </c>
      <c r="D100" s="182"/>
      <c r="E100" s="182"/>
      <c r="F100" s="182"/>
      <c r="G100" s="166"/>
      <c r="H100" s="402"/>
      <c r="I100" s="166" t="str">
        <f t="shared" si="75"/>
        <v>-</v>
      </c>
      <c r="J100" s="166" t="str">
        <f t="shared" si="76"/>
        <v>-</v>
      </c>
      <c r="K100" s="180" t="str">
        <f t="shared" si="77"/>
        <v>-</v>
      </c>
      <c r="L100" s="402"/>
      <c r="M100" s="166" t="e">
        <f>RANK(K100, K$107:$K$121)</f>
        <v>#VALUE!</v>
      </c>
      <c r="N100" s="389"/>
      <c r="O100" s="389"/>
      <c r="P100" s="182"/>
      <c r="Q100" s="166"/>
      <c r="R100" s="166"/>
      <c r="S100" s="182" t="e">
        <f t="shared" si="78"/>
        <v>#N/A</v>
      </c>
      <c r="T100" s="390"/>
      <c r="U100" s="182"/>
      <c r="V100" s="166"/>
      <c r="W100" s="166"/>
      <c r="X100" s="182" t="e">
        <f t="shared" si="80"/>
        <v>#N/A</v>
      </c>
      <c r="Y100" s="390"/>
      <c r="Z100" s="182"/>
      <c r="AA100" s="166"/>
      <c r="AB100" s="166"/>
      <c r="AC100" s="182" t="e">
        <f t="shared" si="82"/>
        <v>#N/A</v>
      </c>
      <c r="AD100" s="390"/>
      <c r="AE100" s="182"/>
      <c r="AF100" s="166"/>
      <c r="AG100" s="166"/>
      <c r="AH100" s="182" t="e">
        <f t="shared" si="84"/>
        <v>#N/A</v>
      </c>
      <c r="AI100" s="390"/>
      <c r="AJ100" s="182"/>
      <c r="AK100" s="166"/>
      <c r="AL100" s="166"/>
      <c r="AM100" s="182" t="e">
        <f t="shared" si="86"/>
        <v>#N/A</v>
      </c>
      <c r="AN100" s="390"/>
      <c r="AO100" s="182"/>
      <c r="AP100" s="166"/>
      <c r="AQ100" s="166"/>
      <c r="AR100" s="182" t="e">
        <f t="shared" si="88"/>
        <v>#N/A</v>
      </c>
      <c r="AS100" s="390"/>
      <c r="AT100" s="182"/>
      <c r="AU100" s="166"/>
      <c r="AV100" s="166"/>
      <c r="AW100" s="182" t="e">
        <f t="shared" si="90"/>
        <v>#N/A</v>
      </c>
      <c r="AX100" s="390"/>
      <c r="AZ100" s="182" t="e">
        <f t="shared" si="92"/>
        <v>#N/A</v>
      </c>
      <c r="BA100" s="390"/>
    </row>
    <row r="101" spans="2:53">
      <c r="B101" s="395"/>
      <c r="C101" s="182">
        <v>15</v>
      </c>
      <c r="D101" s="182"/>
      <c r="E101" s="182"/>
      <c r="F101" s="182"/>
      <c r="G101" s="182"/>
      <c r="H101" s="403"/>
      <c r="I101" s="166" t="str">
        <f t="shared" si="75"/>
        <v>-</v>
      </c>
      <c r="J101" s="166" t="str">
        <f t="shared" si="76"/>
        <v>-</v>
      </c>
      <c r="K101" s="180" t="str">
        <f t="shared" si="77"/>
        <v>-</v>
      </c>
      <c r="L101" s="403"/>
      <c r="M101" s="166" t="e">
        <f>RANK(K101, K$107:$K$121)</f>
        <v>#VALUE!</v>
      </c>
      <c r="N101" s="389"/>
      <c r="O101" s="389"/>
      <c r="P101" s="182"/>
      <c r="Q101" s="166"/>
      <c r="R101" s="166"/>
      <c r="S101" s="182" t="e">
        <f t="shared" si="78"/>
        <v>#N/A</v>
      </c>
      <c r="T101" s="390"/>
      <c r="U101" s="182"/>
      <c r="V101" s="166"/>
      <c r="W101" s="166"/>
      <c r="X101" s="182" t="e">
        <f t="shared" si="80"/>
        <v>#N/A</v>
      </c>
      <c r="Y101" s="390"/>
      <c r="Z101" s="182"/>
      <c r="AA101" s="166"/>
      <c r="AB101" s="166"/>
      <c r="AC101" s="182" t="e">
        <f t="shared" si="82"/>
        <v>#N/A</v>
      </c>
      <c r="AD101" s="390"/>
      <c r="AE101" s="182"/>
      <c r="AF101" s="166"/>
      <c r="AG101" s="166"/>
      <c r="AH101" s="182" t="e">
        <f t="shared" si="84"/>
        <v>#N/A</v>
      </c>
      <c r="AI101" s="390"/>
      <c r="AJ101" s="182"/>
      <c r="AK101" s="166"/>
      <c r="AL101" s="166"/>
      <c r="AM101" s="182" t="e">
        <f t="shared" si="86"/>
        <v>#N/A</v>
      </c>
      <c r="AN101" s="390"/>
      <c r="AO101" s="182"/>
      <c r="AP101" s="166"/>
      <c r="AQ101" s="166"/>
      <c r="AR101" s="182" t="e">
        <f t="shared" si="88"/>
        <v>#N/A</v>
      </c>
      <c r="AS101" s="390"/>
      <c r="AT101" s="182"/>
      <c r="AU101" s="166"/>
      <c r="AV101" s="166"/>
      <c r="AW101" s="182" t="e">
        <f t="shared" si="90"/>
        <v>#N/A</v>
      </c>
      <c r="AX101" s="390"/>
      <c r="AZ101" s="182" t="e">
        <f t="shared" si="92"/>
        <v>#N/A</v>
      </c>
      <c r="BA101" s="390"/>
    </row>
    <row r="102" spans="2:53" ht="15.75">
      <c r="B102" s="414" t="s">
        <v>163</v>
      </c>
      <c r="C102" s="415"/>
      <c r="D102" s="415"/>
      <c r="E102" s="415"/>
      <c r="F102" s="415"/>
      <c r="G102" s="415"/>
      <c r="H102" s="415"/>
      <c r="I102" s="186"/>
      <c r="J102" s="186"/>
      <c r="K102" s="186"/>
      <c r="L102" s="186"/>
      <c r="M102" s="185"/>
      <c r="N102" s="391" t="s">
        <v>156</v>
      </c>
      <c r="O102" s="391" t="s">
        <v>105</v>
      </c>
      <c r="P102" s="413">
        <f>P82+7</f>
        <v>46175</v>
      </c>
      <c r="Q102" s="395"/>
      <c r="R102" s="395"/>
      <c r="S102" s="395"/>
      <c r="T102" s="395"/>
      <c r="U102" s="410">
        <f>P102+1</f>
        <v>46176</v>
      </c>
      <c r="V102" s="411"/>
      <c r="W102" s="411"/>
      <c r="X102" s="411"/>
      <c r="Y102" s="412"/>
      <c r="Z102" s="410">
        <f>U102+1</f>
        <v>46177</v>
      </c>
      <c r="AA102" s="411"/>
      <c r="AB102" s="411"/>
      <c r="AC102" s="411"/>
      <c r="AD102" s="412"/>
      <c r="AE102" s="410">
        <f>Z102+1</f>
        <v>46178</v>
      </c>
      <c r="AF102" s="411"/>
      <c r="AG102" s="411"/>
      <c r="AH102" s="411"/>
      <c r="AI102" s="412"/>
      <c r="AJ102" s="410">
        <f>AE102+1</f>
        <v>46179</v>
      </c>
      <c r="AK102" s="411"/>
      <c r="AL102" s="411"/>
      <c r="AM102" s="411"/>
      <c r="AN102" s="412"/>
      <c r="AO102" s="410">
        <f>AJ102+1</f>
        <v>46180</v>
      </c>
      <c r="AP102" s="411"/>
      <c r="AQ102" s="411"/>
      <c r="AR102" s="411"/>
      <c r="AS102" s="412"/>
      <c r="AT102" s="410">
        <f>AO102+1</f>
        <v>46181</v>
      </c>
      <c r="AU102" s="411"/>
      <c r="AV102" s="411"/>
      <c r="AW102" s="411"/>
      <c r="AX102" s="412"/>
    </row>
    <row r="103" spans="2:53" ht="15.75">
      <c r="B103" s="416"/>
      <c r="C103" s="416"/>
      <c r="D103" s="416"/>
      <c r="E103" s="416"/>
      <c r="F103" s="416"/>
      <c r="G103" s="416"/>
      <c r="H103" s="416"/>
      <c r="I103" s="184"/>
      <c r="J103" s="184"/>
      <c r="K103" s="184"/>
      <c r="L103" s="184"/>
      <c r="M103" s="179"/>
      <c r="N103" s="393"/>
      <c r="O103" s="393"/>
      <c r="P103" s="413" t="s">
        <v>158</v>
      </c>
      <c r="Q103" s="395"/>
      <c r="R103" s="395"/>
      <c r="S103" s="395"/>
      <c r="T103" s="395"/>
      <c r="U103" s="413" t="s">
        <v>114</v>
      </c>
      <c r="V103" s="395"/>
      <c r="W103" s="395"/>
      <c r="X103" s="395"/>
      <c r="Y103" s="395"/>
      <c r="Z103" s="413" t="s">
        <v>159</v>
      </c>
      <c r="AA103" s="395"/>
      <c r="AB103" s="395"/>
      <c r="AC103" s="395"/>
      <c r="AD103" s="395"/>
      <c r="AE103" s="413" t="s">
        <v>157</v>
      </c>
      <c r="AF103" s="395"/>
      <c r="AG103" s="395"/>
      <c r="AH103" s="395"/>
      <c r="AI103" s="395"/>
      <c r="AJ103" s="413" t="s">
        <v>160</v>
      </c>
      <c r="AK103" s="395"/>
      <c r="AL103" s="395"/>
      <c r="AM103" s="395"/>
      <c r="AN103" s="395"/>
      <c r="AO103" s="413" t="s">
        <v>115</v>
      </c>
      <c r="AP103" s="395"/>
      <c r="AQ103" s="395"/>
      <c r="AR103" s="395"/>
      <c r="AS103" s="395"/>
      <c r="AT103" s="413" t="s">
        <v>162</v>
      </c>
      <c r="AU103" s="395"/>
      <c r="AV103" s="395"/>
      <c r="AW103" s="395"/>
      <c r="AX103" s="395"/>
    </row>
    <row r="104" spans="2:53">
      <c r="B104" s="389" t="s">
        <v>540</v>
      </c>
      <c r="C104" s="389" t="s">
        <v>541</v>
      </c>
      <c r="D104" s="389"/>
      <c r="E104" s="389" t="s">
        <v>542</v>
      </c>
      <c r="F104" s="389"/>
      <c r="G104" s="389"/>
      <c r="H104" s="417" t="s">
        <v>543</v>
      </c>
      <c r="I104" s="389" t="s">
        <v>544</v>
      </c>
      <c r="J104" s="389"/>
      <c r="K104" s="389"/>
      <c r="L104" s="417" t="s">
        <v>543</v>
      </c>
      <c r="M104" s="391" t="s">
        <v>545</v>
      </c>
      <c r="N104" s="389"/>
      <c r="O104" s="389" t="s">
        <v>546</v>
      </c>
      <c r="P104" s="404" t="s">
        <v>547</v>
      </c>
      <c r="Q104" s="405"/>
      <c r="R104" s="405"/>
      <c r="S104" s="406"/>
      <c r="T104" s="389" t="s">
        <v>543</v>
      </c>
      <c r="U104" s="404" t="s">
        <v>547</v>
      </c>
      <c r="V104" s="405"/>
      <c r="W104" s="405"/>
      <c r="X104" s="406"/>
      <c r="Y104" s="389" t="s">
        <v>543</v>
      </c>
      <c r="Z104" s="404" t="s">
        <v>547</v>
      </c>
      <c r="AA104" s="405"/>
      <c r="AB104" s="405"/>
      <c r="AC104" s="406"/>
      <c r="AD104" s="389" t="s">
        <v>543</v>
      </c>
      <c r="AE104" s="404" t="s">
        <v>547</v>
      </c>
      <c r="AF104" s="405"/>
      <c r="AG104" s="405"/>
      <c r="AH104" s="406"/>
      <c r="AI104" s="389" t="s">
        <v>543</v>
      </c>
      <c r="AJ104" s="404" t="s">
        <v>547</v>
      </c>
      <c r="AK104" s="405"/>
      <c r="AL104" s="405"/>
      <c r="AM104" s="406"/>
      <c r="AN104" s="389" t="s">
        <v>543</v>
      </c>
      <c r="AO104" s="404" t="s">
        <v>547</v>
      </c>
      <c r="AP104" s="405"/>
      <c r="AQ104" s="405"/>
      <c r="AR104" s="406"/>
      <c r="AS104" s="389" t="s">
        <v>543</v>
      </c>
      <c r="AT104" s="404" t="s">
        <v>547</v>
      </c>
      <c r="AU104" s="405"/>
      <c r="AV104" s="405"/>
      <c r="AW104" s="406"/>
      <c r="AX104" s="389" t="s">
        <v>543</v>
      </c>
      <c r="BA104" s="389" t="s">
        <v>373</v>
      </c>
    </row>
    <row r="105" spans="2:53">
      <c r="B105" s="389"/>
      <c r="C105" s="389"/>
      <c r="D105" s="389"/>
      <c r="E105" s="389" t="s">
        <v>548</v>
      </c>
      <c r="F105" s="389"/>
      <c r="G105" s="389"/>
      <c r="H105" s="418"/>
      <c r="I105" s="389" t="s">
        <v>548</v>
      </c>
      <c r="J105" s="389"/>
      <c r="K105" s="389"/>
      <c r="L105" s="418"/>
      <c r="M105" s="392"/>
      <c r="N105" s="389"/>
      <c r="O105" s="389"/>
      <c r="P105" s="404" t="s">
        <v>549</v>
      </c>
      <c r="Q105" s="405"/>
      <c r="R105" s="405"/>
      <c r="S105" s="406"/>
      <c r="T105" s="389"/>
      <c r="U105" s="404" t="s">
        <v>549</v>
      </c>
      <c r="V105" s="405"/>
      <c r="W105" s="405"/>
      <c r="X105" s="406"/>
      <c r="Y105" s="389"/>
      <c r="Z105" s="404" t="s">
        <v>549</v>
      </c>
      <c r="AA105" s="405"/>
      <c r="AB105" s="405"/>
      <c r="AC105" s="406"/>
      <c r="AD105" s="389"/>
      <c r="AE105" s="404" t="s">
        <v>549</v>
      </c>
      <c r="AF105" s="405"/>
      <c r="AG105" s="405"/>
      <c r="AH105" s="406"/>
      <c r="AI105" s="389"/>
      <c r="AJ105" s="404" t="s">
        <v>549</v>
      </c>
      <c r="AK105" s="405"/>
      <c r="AL105" s="405"/>
      <c r="AM105" s="406"/>
      <c r="AN105" s="389"/>
      <c r="AO105" s="404" t="s">
        <v>549</v>
      </c>
      <c r="AP105" s="405"/>
      <c r="AQ105" s="405"/>
      <c r="AR105" s="406"/>
      <c r="AS105" s="389"/>
      <c r="AT105" s="404" t="s">
        <v>549</v>
      </c>
      <c r="AU105" s="405"/>
      <c r="AV105" s="405"/>
      <c r="AW105" s="406"/>
      <c r="AX105" s="389"/>
      <c r="BA105" s="389"/>
    </row>
    <row r="106" spans="2:53">
      <c r="B106" s="389"/>
      <c r="C106" s="389"/>
      <c r="D106" s="389"/>
      <c r="E106" s="258" t="s">
        <v>550</v>
      </c>
      <c r="F106" s="258" t="s">
        <v>551</v>
      </c>
      <c r="G106" s="258" t="s">
        <v>552</v>
      </c>
      <c r="H106" s="419"/>
      <c r="I106" s="258" t="s">
        <v>550</v>
      </c>
      <c r="J106" s="258" t="s">
        <v>551</v>
      </c>
      <c r="K106" s="258" t="s">
        <v>552</v>
      </c>
      <c r="L106" s="419"/>
      <c r="M106" s="393"/>
      <c r="N106" s="389"/>
      <c r="O106" s="389"/>
      <c r="P106" s="258" t="s">
        <v>550</v>
      </c>
      <c r="Q106" s="258" t="s">
        <v>551</v>
      </c>
      <c r="R106" s="258" t="s">
        <v>552</v>
      </c>
      <c r="S106" s="258" t="s">
        <v>545</v>
      </c>
      <c r="T106" s="389"/>
      <c r="U106" s="258" t="s">
        <v>550</v>
      </c>
      <c r="V106" s="258" t="s">
        <v>551</v>
      </c>
      <c r="W106" s="258" t="s">
        <v>552</v>
      </c>
      <c r="X106" s="258" t="s">
        <v>545</v>
      </c>
      <c r="Y106" s="389"/>
      <c r="Z106" s="258" t="s">
        <v>550</v>
      </c>
      <c r="AA106" s="258" t="s">
        <v>551</v>
      </c>
      <c r="AB106" s="258" t="s">
        <v>552</v>
      </c>
      <c r="AC106" s="258" t="s">
        <v>545</v>
      </c>
      <c r="AD106" s="389"/>
      <c r="AE106" s="258" t="s">
        <v>550</v>
      </c>
      <c r="AF106" s="258" t="s">
        <v>551</v>
      </c>
      <c r="AG106" s="258" t="s">
        <v>552</v>
      </c>
      <c r="AH106" s="258" t="s">
        <v>545</v>
      </c>
      <c r="AI106" s="389"/>
      <c r="AJ106" s="258" t="s">
        <v>550</v>
      </c>
      <c r="AK106" s="258" t="s">
        <v>551</v>
      </c>
      <c r="AL106" s="258" t="s">
        <v>552</v>
      </c>
      <c r="AM106" s="258" t="s">
        <v>545</v>
      </c>
      <c r="AN106" s="389"/>
      <c r="AO106" s="258" t="s">
        <v>550</v>
      </c>
      <c r="AP106" s="258" t="s">
        <v>551</v>
      </c>
      <c r="AQ106" s="258" t="s">
        <v>552</v>
      </c>
      <c r="AR106" s="258" t="s">
        <v>545</v>
      </c>
      <c r="AS106" s="389"/>
      <c r="AT106" s="258" t="s">
        <v>550</v>
      </c>
      <c r="AU106" s="258" t="s">
        <v>551</v>
      </c>
      <c r="AV106" s="258" t="s">
        <v>552</v>
      </c>
      <c r="AW106" s="258" t="s">
        <v>545</v>
      </c>
      <c r="AX106" s="389"/>
      <c r="AZ106" s="258" t="s">
        <v>374</v>
      </c>
      <c r="BA106" s="389"/>
    </row>
    <row r="107" spans="2:53">
      <c r="B107" s="486" t="s">
        <v>553</v>
      </c>
      <c r="C107" s="182">
        <v>1</v>
      </c>
      <c r="D107" s="182"/>
      <c r="E107" s="182"/>
      <c r="F107" s="182"/>
      <c r="G107" s="166"/>
      <c r="H107" s="401" t="e">
        <f>AVERAGE(G107:G121)</f>
        <v>#DIV/0!</v>
      </c>
      <c r="I107" s="166" t="str">
        <f t="shared" ref="I107:I121" si="94">IFERROR(AVERAGE(P107,U107,Z107,AE107,AJ107,AO107,AT107),"-")</f>
        <v>-</v>
      </c>
      <c r="J107" s="166" t="str">
        <f t="shared" ref="J107:J121" si="95">IFERROR(AVERAGE(Q107,V107,AA107,AF107,AK107,AP107,AU107),"-")</f>
        <v>-</v>
      </c>
      <c r="K107" s="180" t="str">
        <f t="shared" ref="K107:K121" si="96">IFERROR(AVERAGE(R107,W107,AB107,AG107,AL107,AQ107,AV107),"-")</f>
        <v>-</v>
      </c>
      <c r="L107" s="401" t="str">
        <f>IFERROR(AVERAGE(K107:K121),"-")</f>
        <v>-</v>
      </c>
      <c r="M107" s="166" t="e">
        <f>RANK(K107, K$107:$K$121)</f>
        <v>#VALUE!</v>
      </c>
      <c r="N107" s="389"/>
      <c r="O107" s="389"/>
      <c r="P107" s="166"/>
      <c r="Q107" s="166"/>
      <c r="R107" s="180"/>
      <c r="S107" s="182" t="e">
        <f t="shared" ref="S107:S121" si="97">RANK(R107, R$81:R$87)</f>
        <v>#N/A</v>
      </c>
      <c r="T107" s="390" t="e">
        <f>AVERAGE(R107:R121)</f>
        <v>#DIV/0!</v>
      </c>
      <c r="U107" s="166"/>
      <c r="V107" s="166"/>
      <c r="W107" s="180"/>
      <c r="X107" s="182" t="e">
        <f t="shared" ref="X107:X121" si="98">RANK(W107, W$81:W$87)</f>
        <v>#N/A</v>
      </c>
      <c r="Y107" s="390" t="e">
        <f t="shared" ref="Y107" si="99">AVERAGE(W107:W121)</f>
        <v>#DIV/0!</v>
      </c>
      <c r="Z107" s="166"/>
      <c r="AA107" s="166"/>
      <c r="AB107" s="180"/>
      <c r="AC107" s="182" t="e">
        <f t="shared" ref="AC107:AC121" si="100">RANK(AB107, AB$81:AB$87)</f>
        <v>#N/A</v>
      </c>
      <c r="AD107" s="390" t="e">
        <f t="shared" ref="AD107" si="101">AVERAGE(AB107:AB121)</f>
        <v>#DIV/0!</v>
      </c>
      <c r="AE107" s="166"/>
      <c r="AF107" s="166"/>
      <c r="AG107" s="180"/>
      <c r="AH107" s="182" t="e">
        <f t="shared" ref="AH107:AH121" si="102">RANK(AG107, AG$81:AG$87)</f>
        <v>#N/A</v>
      </c>
      <c r="AI107" s="390" t="e">
        <f t="shared" ref="AI107" si="103">AVERAGE(AG107:AG121)</f>
        <v>#DIV/0!</v>
      </c>
      <c r="AJ107" s="166"/>
      <c r="AK107" s="166"/>
      <c r="AL107" s="180"/>
      <c r="AM107" s="182" t="e">
        <f t="shared" ref="AM107:AM121" si="104">RANK(AL107, AL$81:AL$87)</f>
        <v>#N/A</v>
      </c>
      <c r="AN107" s="390" t="e">
        <f t="shared" ref="AN107" si="105">AVERAGE(AL107:AL121)</f>
        <v>#DIV/0!</v>
      </c>
      <c r="AO107" s="166"/>
      <c r="AP107" s="166"/>
      <c r="AQ107" s="180"/>
      <c r="AR107" s="182" t="e">
        <f t="shared" ref="AR107:AR121" si="106">RANK(AQ107, AQ$81:AQ$87)</f>
        <v>#N/A</v>
      </c>
      <c r="AS107" s="390" t="e">
        <f t="shared" ref="AS107" si="107">AVERAGE(AQ107:AQ121)</f>
        <v>#DIV/0!</v>
      </c>
      <c r="AT107" s="166"/>
      <c r="AU107" s="166"/>
      <c r="AV107" s="180"/>
      <c r="AW107" s="182" t="e">
        <f t="shared" ref="AW107:AW121" si="108">RANK(AV107, AV$81:AV$87)</f>
        <v>#N/A</v>
      </c>
      <c r="AX107" s="390" t="e">
        <f t="shared" ref="AX107" si="109">AVERAGE(AV107:AV121)</f>
        <v>#DIV/0!</v>
      </c>
      <c r="AZ107" s="182" t="e">
        <f t="shared" ref="AZ107:AZ121" si="110">RANK(AY107, AY$81:AY$87)</f>
        <v>#N/A</v>
      </c>
      <c r="BA107" s="390" t="e">
        <f t="shared" ref="BA107" si="111">AVERAGE(AY107:AY121)</f>
        <v>#DIV/0!</v>
      </c>
    </row>
    <row r="108" spans="2:53">
      <c r="B108" s="395"/>
      <c r="C108" s="182">
        <v>2</v>
      </c>
      <c r="D108" s="182"/>
      <c r="E108" s="182"/>
      <c r="F108" s="182"/>
      <c r="G108" s="166"/>
      <c r="H108" s="402"/>
      <c r="I108" s="166" t="str">
        <f t="shared" si="94"/>
        <v>-</v>
      </c>
      <c r="J108" s="166" t="str">
        <f t="shared" si="95"/>
        <v>-</v>
      </c>
      <c r="K108" s="180" t="str">
        <f t="shared" si="96"/>
        <v>-</v>
      </c>
      <c r="L108" s="402"/>
      <c r="M108" s="166" t="e">
        <f>RANK(K108, K$107:$K$121)</f>
        <v>#VALUE!</v>
      </c>
      <c r="N108" s="389"/>
      <c r="O108" s="389"/>
      <c r="P108" s="182"/>
      <c r="Q108" s="166"/>
      <c r="R108" s="180"/>
      <c r="S108" s="182" t="e">
        <f t="shared" si="97"/>
        <v>#N/A</v>
      </c>
      <c r="T108" s="390"/>
      <c r="U108" s="182"/>
      <c r="V108" s="166"/>
      <c r="W108" s="180"/>
      <c r="X108" s="182" t="e">
        <f t="shared" si="98"/>
        <v>#N/A</v>
      </c>
      <c r="Y108" s="390"/>
      <c r="Z108" s="182"/>
      <c r="AA108" s="166"/>
      <c r="AB108" s="180"/>
      <c r="AC108" s="182" t="e">
        <f t="shared" si="100"/>
        <v>#N/A</v>
      </c>
      <c r="AD108" s="390"/>
      <c r="AE108" s="182"/>
      <c r="AF108" s="166"/>
      <c r="AG108" s="180"/>
      <c r="AH108" s="182" t="e">
        <f t="shared" si="102"/>
        <v>#N/A</v>
      </c>
      <c r="AI108" s="390"/>
      <c r="AJ108" s="182"/>
      <c r="AK108" s="166"/>
      <c r="AL108" s="180"/>
      <c r="AM108" s="182" t="e">
        <f t="shared" si="104"/>
        <v>#N/A</v>
      </c>
      <c r="AN108" s="390"/>
      <c r="AO108" s="182"/>
      <c r="AP108" s="166"/>
      <c r="AQ108" s="180"/>
      <c r="AR108" s="182" t="e">
        <f t="shared" si="106"/>
        <v>#N/A</v>
      </c>
      <c r="AS108" s="390"/>
      <c r="AT108" s="182"/>
      <c r="AU108" s="166"/>
      <c r="AV108" s="180"/>
      <c r="AW108" s="182" t="e">
        <f t="shared" si="108"/>
        <v>#N/A</v>
      </c>
      <c r="AX108" s="390"/>
      <c r="AZ108" s="182" t="e">
        <f t="shared" si="110"/>
        <v>#N/A</v>
      </c>
      <c r="BA108" s="390"/>
    </row>
    <row r="109" spans="2:53">
      <c r="B109" s="395"/>
      <c r="C109" s="182">
        <v>3</v>
      </c>
      <c r="D109" s="182"/>
      <c r="E109" s="182"/>
      <c r="F109" s="182"/>
      <c r="G109" s="166"/>
      <c r="H109" s="402"/>
      <c r="I109" s="166" t="str">
        <f t="shared" si="94"/>
        <v>-</v>
      </c>
      <c r="J109" s="166" t="str">
        <f t="shared" si="95"/>
        <v>-</v>
      </c>
      <c r="K109" s="180" t="str">
        <f t="shared" si="96"/>
        <v>-</v>
      </c>
      <c r="L109" s="402"/>
      <c r="M109" s="166" t="e">
        <f>RANK(K109, K$107:$K$121)</f>
        <v>#VALUE!</v>
      </c>
      <c r="N109" s="389"/>
      <c r="O109" s="389"/>
      <c r="P109" s="182"/>
      <c r="Q109" s="166"/>
      <c r="R109" s="180"/>
      <c r="S109" s="182" t="e">
        <f t="shared" si="97"/>
        <v>#N/A</v>
      </c>
      <c r="T109" s="390"/>
      <c r="U109" s="182"/>
      <c r="V109" s="166"/>
      <c r="W109" s="180"/>
      <c r="X109" s="182" t="e">
        <f t="shared" si="98"/>
        <v>#N/A</v>
      </c>
      <c r="Y109" s="390"/>
      <c r="Z109" s="182"/>
      <c r="AA109" s="166"/>
      <c r="AB109" s="180"/>
      <c r="AC109" s="182" t="e">
        <f t="shared" si="100"/>
        <v>#N/A</v>
      </c>
      <c r="AD109" s="390"/>
      <c r="AE109" s="182"/>
      <c r="AF109" s="166"/>
      <c r="AG109" s="180"/>
      <c r="AH109" s="182" t="e">
        <f t="shared" si="102"/>
        <v>#N/A</v>
      </c>
      <c r="AI109" s="390"/>
      <c r="AJ109" s="182"/>
      <c r="AK109" s="166"/>
      <c r="AL109" s="180"/>
      <c r="AM109" s="182" t="e">
        <f t="shared" si="104"/>
        <v>#N/A</v>
      </c>
      <c r="AN109" s="390"/>
      <c r="AO109" s="182"/>
      <c r="AP109" s="166"/>
      <c r="AQ109" s="180"/>
      <c r="AR109" s="182" t="e">
        <f t="shared" si="106"/>
        <v>#N/A</v>
      </c>
      <c r="AS109" s="390"/>
      <c r="AT109" s="182"/>
      <c r="AU109" s="166"/>
      <c r="AV109" s="180"/>
      <c r="AW109" s="182" t="e">
        <f t="shared" si="108"/>
        <v>#N/A</v>
      </c>
      <c r="AX109" s="390"/>
      <c r="AZ109" s="182" t="e">
        <f t="shared" si="110"/>
        <v>#N/A</v>
      </c>
      <c r="BA109" s="390"/>
    </row>
    <row r="110" spans="2:53">
      <c r="B110" s="395"/>
      <c r="C110" s="182">
        <v>4</v>
      </c>
      <c r="D110" s="182"/>
      <c r="E110" s="182"/>
      <c r="F110" s="182"/>
      <c r="G110" s="166"/>
      <c r="H110" s="402"/>
      <c r="I110" s="166" t="str">
        <f t="shared" si="94"/>
        <v>-</v>
      </c>
      <c r="J110" s="166" t="str">
        <f t="shared" si="95"/>
        <v>-</v>
      </c>
      <c r="K110" s="180" t="str">
        <f t="shared" si="96"/>
        <v>-</v>
      </c>
      <c r="L110" s="402"/>
      <c r="M110" s="166" t="e">
        <f>RANK(K110, K$107:$K$121)</f>
        <v>#VALUE!</v>
      </c>
      <c r="N110" s="389"/>
      <c r="O110" s="389"/>
      <c r="P110" s="182"/>
      <c r="Q110" s="166"/>
      <c r="R110" s="180"/>
      <c r="S110" s="182" t="e">
        <f t="shared" si="97"/>
        <v>#N/A</v>
      </c>
      <c r="T110" s="390"/>
      <c r="U110" s="182"/>
      <c r="V110" s="166"/>
      <c r="W110" s="180"/>
      <c r="X110" s="182" t="e">
        <f t="shared" si="98"/>
        <v>#N/A</v>
      </c>
      <c r="Y110" s="390"/>
      <c r="Z110" s="182"/>
      <c r="AA110" s="166"/>
      <c r="AB110" s="180"/>
      <c r="AC110" s="182" t="e">
        <f t="shared" si="100"/>
        <v>#N/A</v>
      </c>
      <c r="AD110" s="390"/>
      <c r="AE110" s="182"/>
      <c r="AF110" s="166"/>
      <c r="AG110" s="180"/>
      <c r="AH110" s="182" t="e">
        <f t="shared" si="102"/>
        <v>#N/A</v>
      </c>
      <c r="AI110" s="390"/>
      <c r="AJ110" s="182"/>
      <c r="AK110" s="166"/>
      <c r="AL110" s="180"/>
      <c r="AM110" s="182" t="e">
        <f t="shared" si="104"/>
        <v>#N/A</v>
      </c>
      <c r="AN110" s="390"/>
      <c r="AO110" s="182"/>
      <c r="AP110" s="166"/>
      <c r="AQ110" s="180"/>
      <c r="AR110" s="182" t="e">
        <f t="shared" si="106"/>
        <v>#N/A</v>
      </c>
      <c r="AS110" s="390"/>
      <c r="AT110" s="182"/>
      <c r="AU110" s="166"/>
      <c r="AV110" s="180"/>
      <c r="AW110" s="182" t="e">
        <f t="shared" si="108"/>
        <v>#N/A</v>
      </c>
      <c r="AX110" s="390"/>
      <c r="AZ110" s="182" t="e">
        <f t="shared" si="110"/>
        <v>#N/A</v>
      </c>
      <c r="BA110" s="390"/>
    </row>
    <row r="111" spans="2:53">
      <c r="B111" s="395"/>
      <c r="C111" s="182">
        <v>5</v>
      </c>
      <c r="D111" s="182"/>
      <c r="E111" s="182"/>
      <c r="F111" s="182"/>
      <c r="G111" s="166"/>
      <c r="H111" s="402"/>
      <c r="I111" s="166" t="str">
        <f t="shared" si="94"/>
        <v>-</v>
      </c>
      <c r="J111" s="166" t="str">
        <f t="shared" si="95"/>
        <v>-</v>
      </c>
      <c r="K111" s="180" t="str">
        <f t="shared" si="96"/>
        <v>-</v>
      </c>
      <c r="L111" s="402"/>
      <c r="M111" s="166" t="e">
        <f>RANK(K111, K$107:$K$121)</f>
        <v>#VALUE!</v>
      </c>
      <c r="N111" s="389"/>
      <c r="O111" s="389"/>
      <c r="P111" s="182"/>
      <c r="Q111" s="166"/>
      <c r="R111" s="180"/>
      <c r="S111" s="182" t="e">
        <f t="shared" si="97"/>
        <v>#N/A</v>
      </c>
      <c r="T111" s="390"/>
      <c r="U111" s="182"/>
      <c r="V111" s="166"/>
      <c r="W111" s="180"/>
      <c r="X111" s="182" t="e">
        <f t="shared" si="98"/>
        <v>#N/A</v>
      </c>
      <c r="Y111" s="390"/>
      <c r="Z111" s="182"/>
      <c r="AA111" s="166"/>
      <c r="AB111" s="180"/>
      <c r="AC111" s="182" t="e">
        <f t="shared" si="100"/>
        <v>#N/A</v>
      </c>
      <c r="AD111" s="390"/>
      <c r="AE111" s="182"/>
      <c r="AF111" s="166"/>
      <c r="AG111" s="180"/>
      <c r="AH111" s="182" t="e">
        <f t="shared" si="102"/>
        <v>#N/A</v>
      </c>
      <c r="AI111" s="390"/>
      <c r="AJ111" s="182"/>
      <c r="AK111" s="166"/>
      <c r="AL111" s="180"/>
      <c r="AM111" s="182" t="e">
        <f t="shared" si="104"/>
        <v>#N/A</v>
      </c>
      <c r="AN111" s="390"/>
      <c r="AO111" s="182"/>
      <c r="AP111" s="166"/>
      <c r="AQ111" s="180"/>
      <c r="AR111" s="182" t="e">
        <f t="shared" si="106"/>
        <v>#N/A</v>
      </c>
      <c r="AS111" s="390"/>
      <c r="AT111" s="182"/>
      <c r="AU111" s="166"/>
      <c r="AV111" s="180"/>
      <c r="AW111" s="182" t="e">
        <f t="shared" si="108"/>
        <v>#N/A</v>
      </c>
      <c r="AX111" s="390"/>
      <c r="AZ111" s="182" t="e">
        <f t="shared" si="110"/>
        <v>#N/A</v>
      </c>
      <c r="BA111" s="390"/>
    </row>
    <row r="112" spans="2:53">
      <c r="B112" s="395"/>
      <c r="C112" s="182">
        <v>6</v>
      </c>
      <c r="D112" s="182"/>
      <c r="E112" s="182"/>
      <c r="F112" s="182"/>
      <c r="G112" s="166"/>
      <c r="H112" s="402"/>
      <c r="I112" s="166" t="str">
        <f t="shared" si="94"/>
        <v>-</v>
      </c>
      <c r="J112" s="166" t="str">
        <f t="shared" si="95"/>
        <v>-</v>
      </c>
      <c r="K112" s="180" t="str">
        <f t="shared" si="96"/>
        <v>-</v>
      </c>
      <c r="L112" s="402"/>
      <c r="M112" s="166" t="e">
        <f>RANK(K112, K$107:$K$121)</f>
        <v>#VALUE!</v>
      </c>
      <c r="N112" s="389"/>
      <c r="O112" s="389"/>
      <c r="P112" s="182"/>
      <c r="Q112" s="166"/>
      <c r="R112" s="180"/>
      <c r="S112" s="182" t="e">
        <f t="shared" si="97"/>
        <v>#N/A</v>
      </c>
      <c r="T112" s="390"/>
      <c r="U112" s="182"/>
      <c r="V112" s="166"/>
      <c r="W112" s="180"/>
      <c r="X112" s="182" t="e">
        <f t="shared" si="98"/>
        <v>#N/A</v>
      </c>
      <c r="Y112" s="390"/>
      <c r="Z112" s="182"/>
      <c r="AA112" s="166"/>
      <c r="AB112" s="180"/>
      <c r="AC112" s="182" t="e">
        <f t="shared" si="100"/>
        <v>#N/A</v>
      </c>
      <c r="AD112" s="390"/>
      <c r="AE112" s="182"/>
      <c r="AF112" s="166"/>
      <c r="AG112" s="180"/>
      <c r="AH112" s="182" t="e">
        <f t="shared" si="102"/>
        <v>#N/A</v>
      </c>
      <c r="AI112" s="390"/>
      <c r="AJ112" s="182"/>
      <c r="AK112" s="166"/>
      <c r="AL112" s="180"/>
      <c r="AM112" s="182" t="e">
        <f t="shared" si="104"/>
        <v>#N/A</v>
      </c>
      <c r="AN112" s="390"/>
      <c r="AO112" s="182"/>
      <c r="AP112" s="166"/>
      <c r="AQ112" s="180"/>
      <c r="AR112" s="182" t="e">
        <f t="shared" si="106"/>
        <v>#N/A</v>
      </c>
      <c r="AS112" s="390"/>
      <c r="AT112" s="182"/>
      <c r="AU112" s="166"/>
      <c r="AV112" s="180"/>
      <c r="AW112" s="182" t="e">
        <f t="shared" si="108"/>
        <v>#N/A</v>
      </c>
      <c r="AX112" s="390"/>
      <c r="AZ112" s="182" t="e">
        <f t="shared" si="110"/>
        <v>#N/A</v>
      </c>
      <c r="BA112" s="390"/>
    </row>
    <row r="113" spans="2:53">
      <c r="B113" s="395"/>
      <c r="C113" s="182">
        <v>7</v>
      </c>
      <c r="D113" s="182"/>
      <c r="E113" s="182"/>
      <c r="F113" s="182"/>
      <c r="G113" s="166"/>
      <c r="H113" s="402"/>
      <c r="I113" s="166" t="str">
        <f t="shared" si="94"/>
        <v>-</v>
      </c>
      <c r="J113" s="166" t="str">
        <f t="shared" si="95"/>
        <v>-</v>
      </c>
      <c r="K113" s="180" t="str">
        <f t="shared" si="96"/>
        <v>-</v>
      </c>
      <c r="L113" s="402"/>
      <c r="M113" s="166" t="e">
        <f>RANK(K113, K$107:$K$121)</f>
        <v>#VALUE!</v>
      </c>
      <c r="N113" s="389"/>
      <c r="O113" s="389"/>
      <c r="P113" s="182"/>
      <c r="Q113" s="166"/>
      <c r="R113" s="180"/>
      <c r="S113" s="182" t="e">
        <f t="shared" si="97"/>
        <v>#N/A</v>
      </c>
      <c r="T113" s="390"/>
      <c r="U113" s="182"/>
      <c r="V113" s="166"/>
      <c r="W113" s="180"/>
      <c r="X113" s="182" t="e">
        <f t="shared" si="98"/>
        <v>#N/A</v>
      </c>
      <c r="Y113" s="390"/>
      <c r="Z113" s="182"/>
      <c r="AA113" s="166"/>
      <c r="AB113" s="180"/>
      <c r="AC113" s="182" t="e">
        <f t="shared" si="100"/>
        <v>#N/A</v>
      </c>
      <c r="AD113" s="390"/>
      <c r="AE113" s="182"/>
      <c r="AF113" s="166"/>
      <c r="AG113" s="180"/>
      <c r="AH113" s="182" t="e">
        <f t="shared" si="102"/>
        <v>#N/A</v>
      </c>
      <c r="AI113" s="390"/>
      <c r="AJ113" s="182"/>
      <c r="AK113" s="166"/>
      <c r="AL113" s="180"/>
      <c r="AM113" s="182" t="e">
        <f t="shared" si="104"/>
        <v>#N/A</v>
      </c>
      <c r="AN113" s="390"/>
      <c r="AO113" s="182"/>
      <c r="AP113" s="166"/>
      <c r="AQ113" s="180"/>
      <c r="AR113" s="182" t="e">
        <f t="shared" si="106"/>
        <v>#N/A</v>
      </c>
      <c r="AS113" s="390"/>
      <c r="AT113" s="182"/>
      <c r="AU113" s="166"/>
      <c r="AV113" s="180"/>
      <c r="AW113" s="182" t="e">
        <f t="shared" si="108"/>
        <v>#N/A</v>
      </c>
      <c r="AX113" s="390"/>
      <c r="AZ113" s="182" t="e">
        <f t="shared" si="110"/>
        <v>#N/A</v>
      </c>
      <c r="BA113" s="390"/>
    </row>
    <row r="114" spans="2:53">
      <c r="B114" s="395"/>
      <c r="C114" s="182">
        <v>8</v>
      </c>
      <c r="D114" s="182"/>
      <c r="E114" s="182"/>
      <c r="F114" s="182"/>
      <c r="G114" s="166"/>
      <c r="H114" s="402"/>
      <c r="I114" s="166" t="str">
        <f t="shared" si="94"/>
        <v>-</v>
      </c>
      <c r="J114" s="166" t="str">
        <f t="shared" si="95"/>
        <v>-</v>
      </c>
      <c r="K114" s="180" t="str">
        <f t="shared" si="96"/>
        <v>-</v>
      </c>
      <c r="L114" s="402"/>
      <c r="M114" s="166" t="e">
        <f>RANK(K114, K$107:$K$121)</f>
        <v>#VALUE!</v>
      </c>
      <c r="N114" s="389"/>
      <c r="O114" s="389"/>
      <c r="P114" s="182"/>
      <c r="Q114" s="166"/>
      <c r="R114" s="180"/>
      <c r="S114" s="182" t="e">
        <f t="shared" si="97"/>
        <v>#N/A</v>
      </c>
      <c r="T114" s="390"/>
      <c r="U114" s="182"/>
      <c r="V114" s="166"/>
      <c r="W114" s="180"/>
      <c r="X114" s="182" t="e">
        <f t="shared" si="98"/>
        <v>#N/A</v>
      </c>
      <c r="Y114" s="390"/>
      <c r="Z114" s="182"/>
      <c r="AA114" s="166"/>
      <c r="AB114" s="180"/>
      <c r="AC114" s="182" t="e">
        <f t="shared" si="100"/>
        <v>#N/A</v>
      </c>
      <c r="AD114" s="390"/>
      <c r="AE114" s="182"/>
      <c r="AF114" s="166"/>
      <c r="AG114" s="180"/>
      <c r="AH114" s="182" t="e">
        <f t="shared" si="102"/>
        <v>#N/A</v>
      </c>
      <c r="AI114" s="390"/>
      <c r="AJ114" s="182"/>
      <c r="AK114" s="166"/>
      <c r="AL114" s="180"/>
      <c r="AM114" s="182" t="e">
        <f t="shared" si="104"/>
        <v>#N/A</v>
      </c>
      <c r="AN114" s="390"/>
      <c r="AO114" s="182"/>
      <c r="AP114" s="166"/>
      <c r="AQ114" s="180"/>
      <c r="AR114" s="182" t="e">
        <f t="shared" si="106"/>
        <v>#N/A</v>
      </c>
      <c r="AS114" s="390"/>
      <c r="AT114" s="182"/>
      <c r="AU114" s="166"/>
      <c r="AV114" s="180"/>
      <c r="AW114" s="182" t="e">
        <f t="shared" si="108"/>
        <v>#N/A</v>
      </c>
      <c r="AX114" s="390"/>
      <c r="AZ114" s="182" t="e">
        <f t="shared" si="110"/>
        <v>#N/A</v>
      </c>
      <c r="BA114" s="390"/>
    </row>
    <row r="115" spans="2:53">
      <c r="B115" s="395"/>
      <c r="C115" s="182">
        <v>9</v>
      </c>
      <c r="D115" s="182"/>
      <c r="E115" s="182"/>
      <c r="F115" s="182"/>
      <c r="G115" s="166"/>
      <c r="H115" s="402"/>
      <c r="I115" s="166" t="str">
        <f t="shared" si="94"/>
        <v>-</v>
      </c>
      <c r="J115" s="166" t="str">
        <f t="shared" si="95"/>
        <v>-</v>
      </c>
      <c r="K115" s="180" t="str">
        <f t="shared" si="96"/>
        <v>-</v>
      </c>
      <c r="L115" s="402"/>
      <c r="M115" s="166" t="e">
        <f>RANK(K115, K$107:$K$121)</f>
        <v>#VALUE!</v>
      </c>
      <c r="N115" s="389"/>
      <c r="O115" s="389"/>
      <c r="P115" s="182"/>
      <c r="Q115" s="166"/>
      <c r="R115" s="180"/>
      <c r="S115" s="182" t="e">
        <f t="shared" si="97"/>
        <v>#N/A</v>
      </c>
      <c r="T115" s="390"/>
      <c r="U115" s="182"/>
      <c r="V115" s="166"/>
      <c r="W115" s="180"/>
      <c r="X115" s="182" t="e">
        <f t="shared" si="98"/>
        <v>#N/A</v>
      </c>
      <c r="Y115" s="390"/>
      <c r="Z115" s="182"/>
      <c r="AA115" s="166"/>
      <c r="AB115" s="180"/>
      <c r="AC115" s="182" t="e">
        <f t="shared" si="100"/>
        <v>#N/A</v>
      </c>
      <c r="AD115" s="390"/>
      <c r="AE115" s="182"/>
      <c r="AF115" s="166"/>
      <c r="AG115" s="180"/>
      <c r="AH115" s="182" t="e">
        <f t="shared" si="102"/>
        <v>#N/A</v>
      </c>
      <c r="AI115" s="390"/>
      <c r="AJ115" s="182"/>
      <c r="AK115" s="166"/>
      <c r="AL115" s="180"/>
      <c r="AM115" s="182" t="e">
        <f t="shared" si="104"/>
        <v>#N/A</v>
      </c>
      <c r="AN115" s="390"/>
      <c r="AO115" s="182"/>
      <c r="AP115" s="166"/>
      <c r="AQ115" s="180"/>
      <c r="AR115" s="182" t="e">
        <f t="shared" si="106"/>
        <v>#N/A</v>
      </c>
      <c r="AS115" s="390"/>
      <c r="AT115" s="182"/>
      <c r="AU115" s="166"/>
      <c r="AV115" s="180"/>
      <c r="AW115" s="182" t="e">
        <f t="shared" si="108"/>
        <v>#N/A</v>
      </c>
      <c r="AX115" s="390"/>
      <c r="AZ115" s="182" t="e">
        <f t="shared" si="110"/>
        <v>#N/A</v>
      </c>
      <c r="BA115" s="390"/>
    </row>
    <row r="116" spans="2:53">
      <c r="B116" s="395"/>
      <c r="C116" s="182">
        <v>10</v>
      </c>
      <c r="D116" s="182"/>
      <c r="E116" s="182"/>
      <c r="F116" s="182"/>
      <c r="G116" s="166"/>
      <c r="H116" s="402"/>
      <c r="I116" s="166" t="str">
        <f t="shared" si="94"/>
        <v>-</v>
      </c>
      <c r="J116" s="166" t="str">
        <f t="shared" si="95"/>
        <v>-</v>
      </c>
      <c r="K116" s="180" t="str">
        <f t="shared" si="96"/>
        <v>-</v>
      </c>
      <c r="L116" s="402"/>
      <c r="M116" s="166" t="e">
        <f>RANK(K116, K$107:$K$121)</f>
        <v>#VALUE!</v>
      </c>
      <c r="N116" s="389"/>
      <c r="O116" s="389"/>
      <c r="P116" s="182"/>
      <c r="Q116" s="166"/>
      <c r="R116" s="180"/>
      <c r="S116" s="182" t="e">
        <f t="shared" si="97"/>
        <v>#N/A</v>
      </c>
      <c r="T116" s="390"/>
      <c r="U116" s="182"/>
      <c r="V116" s="166"/>
      <c r="W116" s="180"/>
      <c r="X116" s="182" t="e">
        <f t="shared" si="98"/>
        <v>#N/A</v>
      </c>
      <c r="Y116" s="390"/>
      <c r="Z116" s="182"/>
      <c r="AA116" s="166"/>
      <c r="AB116" s="180"/>
      <c r="AC116" s="182" t="e">
        <f t="shared" si="100"/>
        <v>#N/A</v>
      </c>
      <c r="AD116" s="390"/>
      <c r="AE116" s="182"/>
      <c r="AF116" s="166"/>
      <c r="AG116" s="180"/>
      <c r="AH116" s="182" t="e">
        <f t="shared" si="102"/>
        <v>#N/A</v>
      </c>
      <c r="AI116" s="390"/>
      <c r="AJ116" s="182"/>
      <c r="AK116" s="166"/>
      <c r="AL116" s="180"/>
      <c r="AM116" s="182" t="e">
        <f t="shared" si="104"/>
        <v>#N/A</v>
      </c>
      <c r="AN116" s="390"/>
      <c r="AO116" s="182"/>
      <c r="AP116" s="166"/>
      <c r="AQ116" s="180"/>
      <c r="AR116" s="182" t="e">
        <f t="shared" si="106"/>
        <v>#N/A</v>
      </c>
      <c r="AS116" s="390"/>
      <c r="AT116" s="182"/>
      <c r="AU116" s="166"/>
      <c r="AV116" s="180"/>
      <c r="AW116" s="182" t="e">
        <f t="shared" si="108"/>
        <v>#N/A</v>
      </c>
      <c r="AX116" s="390"/>
      <c r="AZ116" s="182" t="e">
        <f t="shared" si="110"/>
        <v>#N/A</v>
      </c>
      <c r="BA116" s="390"/>
    </row>
    <row r="117" spans="2:53">
      <c r="B117" s="395"/>
      <c r="C117" s="182">
        <v>11</v>
      </c>
      <c r="D117" s="182"/>
      <c r="E117" s="182"/>
      <c r="F117" s="182"/>
      <c r="G117" s="166"/>
      <c r="H117" s="402"/>
      <c r="I117" s="166" t="str">
        <f t="shared" si="94"/>
        <v>-</v>
      </c>
      <c r="J117" s="166" t="str">
        <f t="shared" si="95"/>
        <v>-</v>
      </c>
      <c r="K117" s="180" t="str">
        <f t="shared" si="96"/>
        <v>-</v>
      </c>
      <c r="L117" s="402"/>
      <c r="M117" s="166" t="e">
        <f>RANK(K117, K$107:$K$121)</f>
        <v>#VALUE!</v>
      </c>
      <c r="N117" s="389"/>
      <c r="O117" s="389"/>
      <c r="P117" s="182"/>
      <c r="Q117" s="182"/>
      <c r="R117" s="182"/>
      <c r="S117" s="182" t="e">
        <f t="shared" si="97"/>
        <v>#N/A</v>
      </c>
      <c r="T117" s="390"/>
      <c r="U117" s="182"/>
      <c r="V117" s="182"/>
      <c r="W117" s="182"/>
      <c r="X117" s="182" t="e">
        <f t="shared" si="98"/>
        <v>#N/A</v>
      </c>
      <c r="Y117" s="390"/>
      <c r="Z117" s="182"/>
      <c r="AA117" s="182"/>
      <c r="AB117" s="182"/>
      <c r="AC117" s="182" t="e">
        <f t="shared" si="100"/>
        <v>#N/A</v>
      </c>
      <c r="AD117" s="390"/>
      <c r="AE117" s="182"/>
      <c r="AF117" s="182"/>
      <c r="AG117" s="182"/>
      <c r="AH117" s="182" t="e">
        <f t="shared" si="102"/>
        <v>#N/A</v>
      </c>
      <c r="AI117" s="390"/>
      <c r="AJ117" s="182"/>
      <c r="AK117" s="182"/>
      <c r="AL117" s="182"/>
      <c r="AM117" s="182" t="e">
        <f t="shared" si="104"/>
        <v>#N/A</v>
      </c>
      <c r="AN117" s="390"/>
      <c r="AO117" s="182"/>
      <c r="AP117" s="182"/>
      <c r="AQ117" s="182"/>
      <c r="AR117" s="182" t="e">
        <f t="shared" si="106"/>
        <v>#N/A</v>
      </c>
      <c r="AS117" s="390"/>
      <c r="AT117" s="182"/>
      <c r="AU117" s="182"/>
      <c r="AV117" s="182"/>
      <c r="AW117" s="182" t="e">
        <f t="shared" si="108"/>
        <v>#N/A</v>
      </c>
      <c r="AX117" s="390"/>
      <c r="AZ117" s="182" t="e">
        <f t="shared" si="110"/>
        <v>#N/A</v>
      </c>
      <c r="BA117" s="390"/>
    </row>
    <row r="118" spans="2:53">
      <c r="B118" s="395"/>
      <c r="C118" s="182">
        <v>12</v>
      </c>
      <c r="D118" s="182"/>
      <c r="E118" s="182"/>
      <c r="F118" s="182"/>
      <c r="G118" s="166"/>
      <c r="H118" s="402"/>
      <c r="I118" s="166" t="str">
        <f t="shared" si="94"/>
        <v>-</v>
      </c>
      <c r="J118" s="166" t="str">
        <f t="shared" si="95"/>
        <v>-</v>
      </c>
      <c r="K118" s="180" t="str">
        <f t="shared" si="96"/>
        <v>-</v>
      </c>
      <c r="L118" s="402"/>
      <c r="M118" s="166" t="e">
        <f>RANK(K118, K$107:$K$121)</f>
        <v>#VALUE!</v>
      </c>
      <c r="N118" s="389"/>
      <c r="O118" s="389"/>
      <c r="P118" s="182"/>
      <c r="Q118" s="182"/>
      <c r="R118" s="182"/>
      <c r="S118" s="182" t="e">
        <f t="shared" si="97"/>
        <v>#N/A</v>
      </c>
      <c r="T118" s="390"/>
      <c r="U118" s="182"/>
      <c r="V118" s="182"/>
      <c r="W118" s="182"/>
      <c r="X118" s="182" t="e">
        <f t="shared" si="98"/>
        <v>#N/A</v>
      </c>
      <c r="Y118" s="390"/>
      <c r="Z118" s="182"/>
      <c r="AA118" s="182"/>
      <c r="AB118" s="182"/>
      <c r="AC118" s="182" t="e">
        <f t="shared" si="100"/>
        <v>#N/A</v>
      </c>
      <c r="AD118" s="390"/>
      <c r="AE118" s="182"/>
      <c r="AF118" s="182"/>
      <c r="AG118" s="182"/>
      <c r="AH118" s="182" t="e">
        <f t="shared" si="102"/>
        <v>#N/A</v>
      </c>
      <c r="AI118" s="390"/>
      <c r="AJ118" s="182"/>
      <c r="AK118" s="182"/>
      <c r="AL118" s="182"/>
      <c r="AM118" s="182" t="e">
        <f t="shared" si="104"/>
        <v>#N/A</v>
      </c>
      <c r="AN118" s="390"/>
      <c r="AO118" s="182"/>
      <c r="AP118" s="182"/>
      <c r="AQ118" s="182"/>
      <c r="AR118" s="182" t="e">
        <f t="shared" si="106"/>
        <v>#N/A</v>
      </c>
      <c r="AS118" s="390"/>
      <c r="AT118" s="182"/>
      <c r="AU118" s="182"/>
      <c r="AV118" s="182"/>
      <c r="AW118" s="182" t="e">
        <f t="shared" si="108"/>
        <v>#N/A</v>
      </c>
      <c r="AX118" s="390"/>
      <c r="AZ118" s="182" t="e">
        <f t="shared" si="110"/>
        <v>#N/A</v>
      </c>
      <c r="BA118" s="390"/>
    </row>
    <row r="119" spans="2:53">
      <c r="B119" s="395"/>
      <c r="C119" s="182">
        <v>13</v>
      </c>
      <c r="D119" s="182"/>
      <c r="E119" s="182"/>
      <c r="F119" s="182"/>
      <c r="G119" s="166"/>
      <c r="H119" s="402"/>
      <c r="I119" s="166" t="str">
        <f t="shared" si="94"/>
        <v>-</v>
      </c>
      <c r="J119" s="166" t="str">
        <f t="shared" si="95"/>
        <v>-</v>
      </c>
      <c r="K119" s="180" t="str">
        <f t="shared" si="96"/>
        <v>-</v>
      </c>
      <c r="L119" s="402"/>
      <c r="M119" s="166" t="e">
        <f>RANK(K119, K$107:$K$121)</f>
        <v>#VALUE!</v>
      </c>
      <c r="N119" s="389"/>
      <c r="O119" s="389"/>
      <c r="P119" s="182"/>
      <c r="Q119" s="182"/>
      <c r="R119" s="182"/>
      <c r="S119" s="182" t="e">
        <f t="shared" si="97"/>
        <v>#N/A</v>
      </c>
      <c r="T119" s="390"/>
      <c r="U119" s="182"/>
      <c r="V119" s="182"/>
      <c r="W119" s="182"/>
      <c r="X119" s="182" t="e">
        <f t="shared" si="98"/>
        <v>#N/A</v>
      </c>
      <c r="Y119" s="390"/>
      <c r="Z119" s="182"/>
      <c r="AA119" s="182"/>
      <c r="AB119" s="182"/>
      <c r="AC119" s="182" t="e">
        <f t="shared" si="100"/>
        <v>#N/A</v>
      </c>
      <c r="AD119" s="390"/>
      <c r="AE119" s="182"/>
      <c r="AF119" s="182"/>
      <c r="AG119" s="182"/>
      <c r="AH119" s="182" t="e">
        <f t="shared" si="102"/>
        <v>#N/A</v>
      </c>
      <c r="AI119" s="390"/>
      <c r="AJ119" s="182"/>
      <c r="AK119" s="182"/>
      <c r="AL119" s="182"/>
      <c r="AM119" s="182" t="e">
        <f t="shared" si="104"/>
        <v>#N/A</v>
      </c>
      <c r="AN119" s="390"/>
      <c r="AO119" s="182"/>
      <c r="AP119" s="182"/>
      <c r="AQ119" s="182"/>
      <c r="AR119" s="182" t="e">
        <f t="shared" si="106"/>
        <v>#N/A</v>
      </c>
      <c r="AS119" s="390"/>
      <c r="AT119" s="182"/>
      <c r="AU119" s="182"/>
      <c r="AV119" s="182"/>
      <c r="AW119" s="182" t="e">
        <f t="shared" si="108"/>
        <v>#N/A</v>
      </c>
      <c r="AX119" s="390"/>
      <c r="AZ119" s="182" t="e">
        <f t="shared" si="110"/>
        <v>#N/A</v>
      </c>
      <c r="BA119" s="390"/>
    </row>
    <row r="120" spans="2:53">
      <c r="B120" s="395"/>
      <c r="C120" s="182">
        <v>14</v>
      </c>
      <c r="D120" s="182"/>
      <c r="E120" s="182"/>
      <c r="F120" s="182"/>
      <c r="G120" s="166"/>
      <c r="H120" s="402"/>
      <c r="I120" s="166" t="str">
        <f t="shared" si="94"/>
        <v>-</v>
      </c>
      <c r="J120" s="166" t="str">
        <f t="shared" si="95"/>
        <v>-</v>
      </c>
      <c r="K120" s="180" t="str">
        <f t="shared" si="96"/>
        <v>-</v>
      </c>
      <c r="L120" s="402"/>
      <c r="M120" s="166" t="e">
        <f>RANK(K120, K$107:$K$121)</f>
        <v>#VALUE!</v>
      </c>
      <c r="N120" s="389"/>
      <c r="O120" s="389"/>
      <c r="P120" s="182"/>
      <c r="Q120" s="182"/>
      <c r="R120" s="182"/>
      <c r="S120" s="182" t="e">
        <f t="shared" si="97"/>
        <v>#N/A</v>
      </c>
      <c r="T120" s="390"/>
      <c r="U120" s="182"/>
      <c r="V120" s="182"/>
      <c r="W120" s="182"/>
      <c r="X120" s="182" t="e">
        <f t="shared" si="98"/>
        <v>#N/A</v>
      </c>
      <c r="Y120" s="390"/>
      <c r="Z120" s="182"/>
      <c r="AA120" s="182"/>
      <c r="AB120" s="182"/>
      <c r="AC120" s="182" t="e">
        <f t="shared" si="100"/>
        <v>#N/A</v>
      </c>
      <c r="AD120" s="390"/>
      <c r="AE120" s="182"/>
      <c r="AF120" s="182"/>
      <c r="AG120" s="182"/>
      <c r="AH120" s="182" t="e">
        <f t="shared" si="102"/>
        <v>#N/A</v>
      </c>
      <c r="AI120" s="390"/>
      <c r="AJ120" s="182"/>
      <c r="AK120" s="182"/>
      <c r="AL120" s="182"/>
      <c r="AM120" s="182" t="e">
        <f t="shared" si="104"/>
        <v>#N/A</v>
      </c>
      <c r="AN120" s="390"/>
      <c r="AO120" s="182"/>
      <c r="AP120" s="182"/>
      <c r="AQ120" s="182"/>
      <c r="AR120" s="182" t="e">
        <f t="shared" si="106"/>
        <v>#N/A</v>
      </c>
      <c r="AS120" s="390"/>
      <c r="AT120" s="182"/>
      <c r="AU120" s="182"/>
      <c r="AV120" s="182"/>
      <c r="AW120" s="182" t="e">
        <f t="shared" si="108"/>
        <v>#N/A</v>
      </c>
      <c r="AX120" s="390"/>
      <c r="AZ120" s="182" t="e">
        <f t="shared" si="110"/>
        <v>#N/A</v>
      </c>
      <c r="BA120" s="390"/>
    </row>
    <row r="121" spans="2:53">
      <c r="B121" s="395"/>
      <c r="C121" s="182">
        <v>15</v>
      </c>
      <c r="D121" s="182"/>
      <c r="E121" s="182"/>
      <c r="F121" s="182"/>
      <c r="G121" s="182"/>
      <c r="H121" s="403"/>
      <c r="I121" s="166" t="str">
        <f t="shared" si="94"/>
        <v>-</v>
      </c>
      <c r="J121" s="166" t="str">
        <f t="shared" si="95"/>
        <v>-</v>
      </c>
      <c r="K121" s="180" t="str">
        <f t="shared" si="96"/>
        <v>-</v>
      </c>
      <c r="L121" s="403"/>
      <c r="M121" s="166" t="e">
        <f>RANK(K121, K$107:$K$121)</f>
        <v>#VALUE!</v>
      </c>
      <c r="N121" s="389"/>
      <c r="O121" s="389"/>
      <c r="P121" s="182"/>
      <c r="Q121" s="166"/>
      <c r="R121" s="166"/>
      <c r="S121" s="182" t="e">
        <f t="shared" si="97"/>
        <v>#N/A</v>
      </c>
      <c r="T121" s="390"/>
      <c r="U121" s="182"/>
      <c r="V121" s="166"/>
      <c r="W121" s="166"/>
      <c r="X121" s="182" t="e">
        <f t="shared" si="98"/>
        <v>#N/A</v>
      </c>
      <c r="Y121" s="390"/>
      <c r="Z121" s="182"/>
      <c r="AA121" s="166"/>
      <c r="AB121" s="166"/>
      <c r="AC121" s="182" t="e">
        <f t="shared" si="100"/>
        <v>#N/A</v>
      </c>
      <c r="AD121" s="390"/>
      <c r="AE121" s="182"/>
      <c r="AF121" s="166"/>
      <c r="AG121" s="166"/>
      <c r="AH121" s="182" t="e">
        <f t="shared" si="102"/>
        <v>#N/A</v>
      </c>
      <c r="AI121" s="390"/>
      <c r="AJ121" s="182"/>
      <c r="AK121" s="166"/>
      <c r="AL121" s="166"/>
      <c r="AM121" s="182" t="e">
        <f t="shared" si="104"/>
        <v>#N/A</v>
      </c>
      <c r="AN121" s="390"/>
      <c r="AO121" s="182"/>
      <c r="AP121" s="166"/>
      <c r="AQ121" s="166"/>
      <c r="AR121" s="182" t="e">
        <f t="shared" si="106"/>
        <v>#N/A</v>
      </c>
      <c r="AS121" s="390"/>
      <c r="AT121" s="182"/>
      <c r="AU121" s="166"/>
      <c r="AV121" s="166"/>
      <c r="AW121" s="182" t="e">
        <f t="shared" si="108"/>
        <v>#N/A</v>
      </c>
      <c r="AX121" s="390"/>
      <c r="AZ121" s="182" t="e">
        <f t="shared" si="110"/>
        <v>#N/A</v>
      </c>
      <c r="BA121" s="390"/>
    </row>
    <row r="123" spans="2:53" ht="15.75">
      <c r="B123" s="397" t="s">
        <v>486</v>
      </c>
      <c r="C123" s="398"/>
      <c r="D123" s="398"/>
      <c r="E123" s="398"/>
      <c r="F123" s="398"/>
      <c r="G123" s="398"/>
      <c r="H123" s="398"/>
      <c r="I123" s="273"/>
      <c r="J123" s="273"/>
      <c r="K123" s="273"/>
      <c r="L123" s="273"/>
      <c r="M123" s="274"/>
    </row>
    <row r="124" spans="2:53" ht="15.75">
      <c r="B124" s="399"/>
      <c r="C124" s="399"/>
      <c r="D124" s="399"/>
      <c r="E124" s="399"/>
      <c r="F124" s="399"/>
      <c r="G124" s="399"/>
      <c r="H124" s="399"/>
      <c r="I124" s="275"/>
      <c r="J124" s="275"/>
      <c r="K124" s="275"/>
      <c r="L124" s="275"/>
      <c r="M124" s="276"/>
    </row>
    <row r="125" spans="2:53">
      <c r="B125" s="389" t="s">
        <v>487</v>
      </c>
      <c r="C125" s="389" t="s">
        <v>488</v>
      </c>
      <c r="D125" s="389"/>
      <c r="E125" s="389" t="s">
        <v>489</v>
      </c>
      <c r="F125" s="389"/>
      <c r="G125" s="389"/>
      <c r="H125" s="417" t="s">
        <v>490</v>
      </c>
      <c r="I125" s="400" t="s">
        <v>491</v>
      </c>
      <c r="J125" s="400"/>
      <c r="K125" s="400"/>
      <c r="L125" s="490" t="s">
        <v>490</v>
      </c>
      <c r="M125" s="493" t="s">
        <v>492</v>
      </c>
    </row>
    <row r="126" spans="2:53">
      <c r="B126" s="389"/>
      <c r="C126" s="389"/>
      <c r="D126" s="389"/>
      <c r="E126" s="389" t="s">
        <v>493</v>
      </c>
      <c r="F126" s="389"/>
      <c r="G126" s="389"/>
      <c r="H126" s="418"/>
      <c r="I126" s="400" t="s">
        <v>493</v>
      </c>
      <c r="J126" s="400"/>
      <c r="K126" s="400"/>
      <c r="L126" s="491"/>
      <c r="M126" s="494"/>
    </row>
    <row r="127" spans="2:53">
      <c r="B127" s="389"/>
      <c r="C127" s="389"/>
      <c r="D127" s="389"/>
      <c r="E127" s="258" t="s">
        <v>494</v>
      </c>
      <c r="F127" s="258" t="s">
        <v>495</v>
      </c>
      <c r="G127" s="258" t="s">
        <v>496</v>
      </c>
      <c r="H127" s="419"/>
      <c r="I127" s="277" t="s">
        <v>494</v>
      </c>
      <c r="J127" s="277" t="s">
        <v>495</v>
      </c>
      <c r="K127" s="277" t="s">
        <v>496</v>
      </c>
      <c r="L127" s="492"/>
      <c r="M127" s="495"/>
    </row>
    <row r="128" spans="2:53">
      <c r="B128" s="486" t="s">
        <v>498</v>
      </c>
      <c r="C128" s="182">
        <v>1</v>
      </c>
      <c r="D128" s="203"/>
      <c r="E128" s="166"/>
      <c r="F128" s="182"/>
      <c r="G128" s="180"/>
      <c r="H128" s="401" t="e">
        <f>AVERAGE(G128:G142)</f>
        <v>#DIV/0!</v>
      </c>
      <c r="I128" s="166" t="e">
        <f t="shared" ref="I128:K134" si="112">AVERAGEIF($D$7:$D$121,$D128,I$7:I$121)</f>
        <v>#DIV/0!</v>
      </c>
      <c r="J128" s="166" t="e">
        <f t="shared" si="112"/>
        <v>#DIV/0!</v>
      </c>
      <c r="K128" s="166" t="e">
        <f>AVERAGEIF($D$7:$D$121,$D128,K$7:K$121)</f>
        <v>#DIV/0!</v>
      </c>
      <c r="L128" s="487" t="e">
        <f>AVERAGE(K128:K142)</f>
        <v>#DIV/0!</v>
      </c>
      <c r="M128" s="166" t="e">
        <f>RANK(K128, K$128:$K$142)</f>
        <v>#DIV/0!</v>
      </c>
    </row>
    <row r="129" spans="2:39">
      <c r="B129" s="395"/>
      <c r="C129" s="182">
        <v>2</v>
      </c>
      <c r="D129" s="203"/>
      <c r="E129" s="166"/>
      <c r="F129" s="182"/>
      <c r="G129" s="180"/>
      <c r="H129" s="402"/>
      <c r="I129" s="166" t="e">
        <f t="shared" si="112"/>
        <v>#DIV/0!</v>
      </c>
      <c r="J129" s="166" t="e">
        <f t="shared" si="112"/>
        <v>#DIV/0!</v>
      </c>
      <c r="K129" s="166" t="e">
        <f t="shared" si="112"/>
        <v>#DIV/0!</v>
      </c>
      <c r="L129" s="488"/>
      <c r="M129" s="166" t="e">
        <f>RANK(K129, K$128:$K$142)</f>
        <v>#DIV/0!</v>
      </c>
      <c r="N129" s="103"/>
      <c r="O129" s="103"/>
      <c r="P129" s="103"/>
      <c r="Q129" s="103"/>
      <c r="R129" s="103"/>
      <c r="S129" s="103"/>
      <c r="T129" s="103"/>
      <c r="X129" s="103"/>
      <c r="AC129" s="103"/>
      <c r="AH129" s="103"/>
      <c r="AM129" s="103"/>
    </row>
    <row r="130" spans="2:39">
      <c r="B130" s="395"/>
      <c r="C130" s="182">
        <v>3</v>
      </c>
      <c r="D130" s="203"/>
      <c r="E130" s="166"/>
      <c r="F130" s="182"/>
      <c r="G130" s="180"/>
      <c r="H130" s="402"/>
      <c r="I130" s="166" t="e">
        <f t="shared" si="112"/>
        <v>#DIV/0!</v>
      </c>
      <c r="J130" s="166" t="e">
        <f t="shared" si="112"/>
        <v>#DIV/0!</v>
      </c>
      <c r="K130" s="166" t="e">
        <f t="shared" si="112"/>
        <v>#DIV/0!</v>
      </c>
      <c r="L130" s="488"/>
      <c r="M130" s="166" t="e">
        <f>RANK(K130, K$128:$K$142)</f>
        <v>#DIV/0!</v>
      </c>
      <c r="N130" s="103"/>
      <c r="O130" s="103"/>
      <c r="P130" s="103"/>
      <c r="Q130" s="103"/>
      <c r="R130" s="103"/>
      <c r="S130" s="103"/>
      <c r="T130" s="103"/>
      <c r="X130" s="103"/>
      <c r="AC130" s="103"/>
      <c r="AH130" s="103"/>
      <c r="AM130" s="103"/>
    </row>
    <row r="131" spans="2:39">
      <c r="B131" s="395"/>
      <c r="C131" s="182">
        <v>4</v>
      </c>
      <c r="D131" s="203"/>
      <c r="E131" s="166"/>
      <c r="F131" s="182"/>
      <c r="G131" s="180"/>
      <c r="H131" s="402"/>
      <c r="I131" s="166" t="e">
        <f t="shared" si="112"/>
        <v>#DIV/0!</v>
      </c>
      <c r="J131" s="166" t="e">
        <f t="shared" si="112"/>
        <v>#DIV/0!</v>
      </c>
      <c r="K131" s="166" t="e">
        <f t="shared" si="112"/>
        <v>#DIV/0!</v>
      </c>
      <c r="L131" s="488"/>
      <c r="M131" s="166" t="e">
        <f>RANK(K131, K$128:$K$142)</f>
        <v>#DIV/0!</v>
      </c>
      <c r="N131" s="103"/>
      <c r="O131" s="103"/>
      <c r="P131" s="103"/>
      <c r="Q131" s="103"/>
      <c r="R131" s="103"/>
      <c r="S131" s="103"/>
      <c r="T131" s="103"/>
      <c r="X131" s="103"/>
      <c r="AC131" s="103"/>
      <c r="AH131" s="103"/>
      <c r="AM131" s="103"/>
    </row>
    <row r="132" spans="2:39">
      <c r="B132" s="395"/>
      <c r="C132" s="182">
        <v>5</v>
      </c>
      <c r="D132" s="203"/>
      <c r="E132" s="166"/>
      <c r="F132" s="182"/>
      <c r="G132" s="180"/>
      <c r="H132" s="402"/>
      <c r="I132" s="166" t="e">
        <f t="shared" si="112"/>
        <v>#DIV/0!</v>
      </c>
      <c r="J132" s="166" t="e">
        <f t="shared" si="112"/>
        <v>#DIV/0!</v>
      </c>
      <c r="K132" s="166" t="e">
        <f t="shared" si="112"/>
        <v>#DIV/0!</v>
      </c>
      <c r="L132" s="488"/>
      <c r="M132" s="166" t="e">
        <f>RANK(K132, K$128:$K$142)</f>
        <v>#DIV/0!</v>
      </c>
      <c r="N132" s="103"/>
      <c r="O132" s="103"/>
      <c r="P132" s="103"/>
      <c r="Q132" s="103"/>
      <c r="R132" s="103"/>
      <c r="S132" s="103"/>
      <c r="T132" s="103"/>
      <c r="X132" s="103"/>
      <c r="AC132" s="103"/>
      <c r="AH132" s="103"/>
      <c r="AM132" s="103"/>
    </row>
    <row r="133" spans="2:39">
      <c r="B133" s="395"/>
      <c r="C133" s="182">
        <v>6</v>
      </c>
      <c r="D133" s="278"/>
      <c r="E133" s="166"/>
      <c r="F133" s="182"/>
      <c r="G133" s="180"/>
      <c r="H133" s="402"/>
      <c r="I133" s="166" t="e">
        <f t="shared" si="112"/>
        <v>#DIV/0!</v>
      </c>
      <c r="J133" s="166" t="e">
        <f t="shared" si="112"/>
        <v>#DIV/0!</v>
      </c>
      <c r="K133" s="166" t="e">
        <f t="shared" si="112"/>
        <v>#DIV/0!</v>
      </c>
      <c r="L133" s="488"/>
      <c r="M133" s="166" t="e">
        <f>RANK(K133, K$128:$K$142)</f>
        <v>#DIV/0!</v>
      </c>
      <c r="N133" s="103"/>
      <c r="O133" s="103"/>
      <c r="P133" s="103"/>
      <c r="Q133" s="103"/>
      <c r="R133" s="103"/>
      <c r="S133" s="103"/>
      <c r="T133" s="103"/>
      <c r="X133" s="103"/>
      <c r="AC133" s="103"/>
      <c r="AH133" s="103"/>
      <c r="AM133" s="103"/>
    </row>
    <row r="134" spans="2:39">
      <c r="B134" s="395"/>
      <c r="C134" s="182">
        <v>7</v>
      </c>
      <c r="D134" s="203"/>
      <c r="E134" s="166"/>
      <c r="F134" s="182"/>
      <c r="G134" s="180"/>
      <c r="H134" s="402"/>
      <c r="I134" s="166" t="e">
        <f t="shared" si="112"/>
        <v>#DIV/0!</v>
      </c>
      <c r="J134" s="166" t="e">
        <f t="shared" si="112"/>
        <v>#DIV/0!</v>
      </c>
      <c r="K134" s="166" t="e">
        <f t="shared" si="112"/>
        <v>#DIV/0!</v>
      </c>
      <c r="L134" s="488"/>
      <c r="M134" s="166" t="e">
        <f>RANK(K134, K$128:$K$142)</f>
        <v>#DIV/0!</v>
      </c>
      <c r="N134" s="103"/>
      <c r="O134" s="103"/>
      <c r="P134" s="103"/>
      <c r="Q134" s="103"/>
      <c r="R134" s="103"/>
      <c r="S134" s="103"/>
      <c r="T134" s="103"/>
      <c r="X134" s="103"/>
      <c r="AC134" s="103"/>
      <c r="AH134" s="103"/>
      <c r="AM134" s="103"/>
    </row>
    <row r="135" spans="2:39">
      <c r="B135" s="395"/>
      <c r="C135" s="182">
        <v>8</v>
      </c>
      <c r="D135" s="203"/>
      <c r="E135" s="166"/>
      <c r="F135" s="182"/>
      <c r="G135" s="180"/>
      <c r="H135" s="402"/>
      <c r="I135" s="166"/>
      <c r="J135" s="166"/>
      <c r="K135" s="166"/>
      <c r="L135" s="488"/>
      <c r="M135" s="166" t="e">
        <f>RANK(K135, K$128:$K$142)</f>
        <v>#DIV/0!</v>
      </c>
      <c r="N135" s="103"/>
      <c r="O135" s="103"/>
      <c r="P135" s="103"/>
      <c r="Q135" s="103"/>
      <c r="R135" s="103"/>
      <c r="S135" s="103"/>
      <c r="T135" s="103"/>
      <c r="X135" s="103"/>
      <c r="AC135" s="103"/>
      <c r="AH135" s="103"/>
      <c r="AM135" s="103"/>
    </row>
    <row r="136" spans="2:39">
      <c r="B136" s="395"/>
      <c r="C136" s="182">
        <v>9</v>
      </c>
      <c r="D136" s="203"/>
      <c r="E136" s="182"/>
      <c r="F136" s="182"/>
      <c r="G136" s="182"/>
      <c r="H136" s="402"/>
      <c r="I136" s="166"/>
      <c r="J136" s="166"/>
      <c r="K136" s="166"/>
      <c r="L136" s="488"/>
      <c r="M136" s="166" t="e">
        <f>RANK(K136, K$128:$K$142)</f>
        <v>#DIV/0!</v>
      </c>
      <c r="N136" s="103"/>
      <c r="O136" s="103"/>
      <c r="P136" s="103"/>
      <c r="Q136" s="103"/>
      <c r="R136" s="103"/>
      <c r="S136" s="103"/>
      <c r="T136" s="103"/>
      <c r="X136" s="103"/>
      <c r="AC136" s="103"/>
      <c r="AH136" s="103"/>
      <c r="AM136" s="103"/>
    </row>
    <row r="137" spans="2:39">
      <c r="B137" s="395"/>
      <c r="C137" s="182">
        <v>10</v>
      </c>
      <c r="D137" s="203"/>
      <c r="E137" s="182"/>
      <c r="F137" s="182"/>
      <c r="G137" s="182"/>
      <c r="H137" s="402"/>
      <c r="I137" s="166"/>
      <c r="J137" s="166"/>
      <c r="K137" s="166"/>
      <c r="L137" s="488"/>
      <c r="M137" s="166" t="e">
        <f>RANK(K137, K$128:$K$142)</f>
        <v>#DIV/0!</v>
      </c>
      <c r="N137" s="103"/>
      <c r="O137" s="103"/>
      <c r="P137" s="103"/>
      <c r="Q137" s="103"/>
      <c r="R137" s="103"/>
      <c r="S137" s="103"/>
      <c r="T137" s="103"/>
      <c r="X137" s="103"/>
      <c r="AC137" s="103"/>
      <c r="AH137" s="103"/>
      <c r="AM137" s="103"/>
    </row>
    <row r="138" spans="2:39">
      <c r="B138" s="395"/>
      <c r="C138" s="182">
        <v>11</v>
      </c>
      <c r="D138" s="203"/>
      <c r="E138" s="182"/>
      <c r="F138" s="182"/>
      <c r="G138" s="182"/>
      <c r="H138" s="402"/>
      <c r="I138" s="166"/>
      <c r="J138" s="166"/>
      <c r="K138" s="166"/>
      <c r="L138" s="488"/>
      <c r="M138" s="166" t="e">
        <f>RANK(K138, K$128:$K$142)</f>
        <v>#DIV/0!</v>
      </c>
      <c r="N138" s="103"/>
      <c r="O138" s="103"/>
      <c r="P138" s="103"/>
      <c r="Q138" s="103"/>
      <c r="R138" s="103"/>
      <c r="S138" s="103"/>
      <c r="T138" s="103"/>
      <c r="X138" s="103"/>
      <c r="AC138" s="103"/>
      <c r="AH138" s="103"/>
      <c r="AM138" s="103"/>
    </row>
    <row r="139" spans="2:39">
      <c r="B139" s="395"/>
      <c r="C139" s="182">
        <v>12</v>
      </c>
      <c r="D139" s="203"/>
      <c r="E139" s="182"/>
      <c r="F139" s="182"/>
      <c r="G139" s="182"/>
      <c r="H139" s="402"/>
      <c r="I139" s="166"/>
      <c r="J139" s="166"/>
      <c r="K139" s="166"/>
      <c r="L139" s="488"/>
      <c r="M139" s="166" t="e">
        <f>RANK(K139, K$128:$K$142)</f>
        <v>#DIV/0!</v>
      </c>
      <c r="N139" s="103"/>
      <c r="O139" s="103"/>
      <c r="P139" s="103"/>
      <c r="Q139" s="103"/>
      <c r="R139" s="103"/>
      <c r="S139" s="103"/>
      <c r="T139" s="103"/>
      <c r="X139" s="103"/>
      <c r="AC139" s="103"/>
      <c r="AH139" s="103"/>
      <c r="AM139" s="103"/>
    </row>
    <row r="140" spans="2:39">
      <c r="B140" s="395"/>
      <c r="C140" s="182">
        <v>13</v>
      </c>
      <c r="D140" s="203"/>
      <c r="E140" s="182"/>
      <c r="F140" s="182"/>
      <c r="G140" s="182"/>
      <c r="H140" s="402"/>
      <c r="I140" s="166"/>
      <c r="J140" s="166"/>
      <c r="K140" s="166"/>
      <c r="L140" s="488"/>
      <c r="M140" s="166" t="e">
        <f>RANK(K140, K$128:$K$142)</f>
        <v>#DIV/0!</v>
      </c>
      <c r="N140" s="103"/>
      <c r="O140" s="103"/>
      <c r="P140" s="103"/>
      <c r="Q140" s="103"/>
      <c r="R140" s="103"/>
      <c r="S140" s="103"/>
      <c r="T140" s="103"/>
      <c r="X140" s="103"/>
      <c r="AC140" s="103"/>
      <c r="AH140" s="103"/>
      <c r="AM140" s="103"/>
    </row>
    <row r="141" spans="2:39">
      <c r="B141" s="395"/>
      <c r="C141" s="182">
        <v>14</v>
      </c>
      <c r="D141" s="203"/>
      <c r="E141" s="182"/>
      <c r="F141" s="182"/>
      <c r="G141" s="182"/>
      <c r="H141" s="402"/>
      <c r="I141" s="166"/>
      <c r="J141" s="166"/>
      <c r="K141" s="166"/>
      <c r="L141" s="488"/>
      <c r="M141" s="166" t="e">
        <f>RANK(K141, K$128:$K$142)</f>
        <v>#DIV/0!</v>
      </c>
      <c r="N141" s="103"/>
      <c r="O141" s="103"/>
      <c r="P141" s="103"/>
      <c r="Q141" s="103"/>
      <c r="R141" s="103"/>
      <c r="S141" s="103"/>
      <c r="T141" s="103"/>
      <c r="X141" s="103"/>
      <c r="AC141" s="103"/>
      <c r="AH141" s="103"/>
      <c r="AM141" s="103"/>
    </row>
    <row r="142" spans="2:39">
      <c r="B142" s="395"/>
      <c r="C142" s="182">
        <v>15</v>
      </c>
      <c r="D142" s="203"/>
      <c r="E142" s="182"/>
      <c r="F142" s="182"/>
      <c r="G142" s="182"/>
      <c r="H142" s="403"/>
      <c r="I142" s="166"/>
      <c r="J142" s="166"/>
      <c r="K142" s="166"/>
      <c r="L142" s="489"/>
      <c r="M142" s="166" t="e">
        <f>RANK(K142, K$128:$K$142)</f>
        <v>#DIV/0!</v>
      </c>
      <c r="N142" s="103"/>
      <c r="O142" s="103"/>
      <c r="P142" s="103"/>
      <c r="Q142" s="103"/>
      <c r="R142" s="103"/>
      <c r="S142" s="103"/>
      <c r="T142" s="103"/>
      <c r="X142" s="103"/>
      <c r="AC142" s="103"/>
      <c r="AH142" s="103"/>
      <c r="AM142" s="103"/>
    </row>
  </sheetData>
  <mergeCells count="379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BA142"/>
  <sheetViews>
    <sheetView topLeftCell="A52" zoomScale="55" zoomScaleNormal="55" workbookViewId="0">
      <pane xSplit="15" topLeftCell="P1" activePane="topRight" state="frozen"/>
      <selection activeCell="T7" activeCellId="4" sqref="AM7:AN36 AH7:AI36 AC7:AD36 X7:Y36 S7:T36"/>
      <selection pane="topRight" activeCell="T87" sqref="S87:T101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51" width="8.85546875" style="103"/>
    <col min="52" max="52" width="5.42578125" style="103" customWidth="1"/>
    <col min="53" max="53" width="13.140625" style="103" customWidth="1"/>
    <col min="54" max="16384" width="8.85546875" style="103"/>
  </cols>
  <sheetData>
    <row r="1" spans="1:53" ht="24">
      <c r="A1" s="74"/>
      <c r="B1" s="198" t="s">
        <v>314</v>
      </c>
      <c r="C1" s="197">
        <f>AVERAGE(L7,L27,L47,L67,L87,L107)</f>
        <v>236.27201225575021</v>
      </c>
    </row>
    <row r="2" spans="1:53" ht="15.75">
      <c r="A2" s="79"/>
      <c r="B2" s="414" t="s">
        <v>163</v>
      </c>
      <c r="C2" s="414"/>
      <c r="D2" s="414"/>
      <c r="E2" s="414"/>
      <c r="F2" s="414"/>
      <c r="G2" s="414"/>
      <c r="H2" s="414"/>
      <c r="I2" s="183"/>
      <c r="J2" s="183"/>
      <c r="K2" s="183"/>
      <c r="L2" s="183"/>
      <c r="M2" s="178"/>
      <c r="N2" s="391" t="s">
        <v>156</v>
      </c>
      <c r="O2" s="391" t="s">
        <v>155</v>
      </c>
      <c r="P2" s="421">
        <v>46140</v>
      </c>
      <c r="Q2" s="422"/>
      <c r="R2" s="422"/>
      <c r="S2" s="422"/>
      <c r="T2" s="423"/>
      <c r="U2" s="413">
        <f>P2+1</f>
        <v>46141</v>
      </c>
      <c r="V2" s="395"/>
      <c r="W2" s="395"/>
      <c r="X2" s="395"/>
      <c r="Y2" s="395"/>
      <c r="Z2" s="413">
        <f>U2+1</f>
        <v>46142</v>
      </c>
      <c r="AA2" s="395"/>
      <c r="AB2" s="395"/>
      <c r="AC2" s="395"/>
      <c r="AD2" s="395"/>
      <c r="AE2" s="413">
        <f>Z2+1</f>
        <v>46143</v>
      </c>
      <c r="AF2" s="395"/>
      <c r="AG2" s="395"/>
      <c r="AH2" s="395"/>
      <c r="AI2" s="395"/>
      <c r="AJ2" s="413">
        <f>AE2+1</f>
        <v>46144</v>
      </c>
      <c r="AK2" s="395"/>
      <c r="AL2" s="395"/>
      <c r="AM2" s="395"/>
      <c r="AN2" s="395"/>
      <c r="AO2" s="413">
        <f>AJ2+1</f>
        <v>46145</v>
      </c>
      <c r="AP2" s="395"/>
      <c r="AQ2" s="395"/>
      <c r="AR2" s="395"/>
      <c r="AS2" s="395"/>
      <c r="AT2" s="410">
        <f>AO2+1</f>
        <v>46146</v>
      </c>
      <c r="AU2" s="411"/>
      <c r="AV2" s="411"/>
      <c r="AW2" s="411"/>
      <c r="AX2" s="412"/>
    </row>
    <row r="3" spans="1:53" ht="15.75">
      <c r="A3" s="79"/>
      <c r="B3" s="420"/>
      <c r="C3" s="420"/>
      <c r="D3" s="420"/>
      <c r="E3" s="420"/>
      <c r="F3" s="420"/>
      <c r="G3" s="420"/>
      <c r="H3" s="420"/>
      <c r="I3" s="184"/>
      <c r="J3" s="184"/>
      <c r="K3" s="184"/>
      <c r="L3" s="184"/>
      <c r="M3" s="179"/>
      <c r="N3" s="393"/>
      <c r="O3" s="393"/>
      <c r="P3" s="410" t="s">
        <v>158</v>
      </c>
      <c r="Q3" s="411"/>
      <c r="R3" s="411"/>
      <c r="S3" s="411"/>
      <c r="T3" s="412"/>
      <c r="U3" s="410" t="s">
        <v>114</v>
      </c>
      <c r="V3" s="411"/>
      <c r="W3" s="411"/>
      <c r="X3" s="411"/>
      <c r="Y3" s="412"/>
      <c r="Z3" s="410" t="s">
        <v>159</v>
      </c>
      <c r="AA3" s="411"/>
      <c r="AB3" s="411"/>
      <c r="AC3" s="411"/>
      <c r="AD3" s="412"/>
      <c r="AE3" s="410" t="s">
        <v>157</v>
      </c>
      <c r="AF3" s="411"/>
      <c r="AG3" s="411"/>
      <c r="AH3" s="411"/>
      <c r="AI3" s="412"/>
      <c r="AJ3" s="410" t="s">
        <v>160</v>
      </c>
      <c r="AK3" s="411"/>
      <c r="AL3" s="411"/>
      <c r="AM3" s="411"/>
      <c r="AN3" s="412"/>
      <c r="AO3" s="410" t="s">
        <v>161</v>
      </c>
      <c r="AP3" s="411"/>
      <c r="AQ3" s="411"/>
      <c r="AR3" s="411"/>
      <c r="AS3" s="412"/>
      <c r="AT3" s="410" t="s">
        <v>162</v>
      </c>
      <c r="AU3" s="411"/>
      <c r="AV3" s="411"/>
      <c r="AW3" s="411"/>
      <c r="AX3" s="412"/>
    </row>
    <row r="4" spans="1:53" ht="14.25">
      <c r="A4" s="79"/>
      <c r="B4" s="389" t="s">
        <v>154</v>
      </c>
      <c r="C4" s="389" t="s">
        <v>386</v>
      </c>
      <c r="D4" s="389"/>
      <c r="E4" s="389" t="s">
        <v>377</v>
      </c>
      <c r="F4" s="389"/>
      <c r="G4" s="389"/>
      <c r="H4" s="417" t="s">
        <v>373</v>
      </c>
      <c r="I4" s="389" t="s">
        <v>378</v>
      </c>
      <c r="J4" s="389"/>
      <c r="K4" s="389"/>
      <c r="L4" s="417" t="s">
        <v>373</v>
      </c>
      <c r="M4" s="391" t="s">
        <v>374</v>
      </c>
      <c r="N4" s="389"/>
      <c r="O4" s="389" t="s">
        <v>379</v>
      </c>
      <c r="P4" s="404" t="s">
        <v>375</v>
      </c>
      <c r="Q4" s="405"/>
      <c r="R4" s="405"/>
      <c r="S4" s="406"/>
      <c r="T4" s="389" t="s">
        <v>373</v>
      </c>
      <c r="U4" s="404" t="s">
        <v>375</v>
      </c>
      <c r="V4" s="405"/>
      <c r="W4" s="405"/>
      <c r="X4" s="406"/>
      <c r="Y4" s="389" t="s">
        <v>373</v>
      </c>
      <c r="Z4" s="404" t="s">
        <v>375</v>
      </c>
      <c r="AA4" s="405"/>
      <c r="AB4" s="405"/>
      <c r="AC4" s="406"/>
      <c r="AD4" s="389" t="s">
        <v>373</v>
      </c>
      <c r="AE4" s="404" t="s">
        <v>375</v>
      </c>
      <c r="AF4" s="405"/>
      <c r="AG4" s="405"/>
      <c r="AH4" s="406"/>
      <c r="AI4" s="389" t="s">
        <v>373</v>
      </c>
      <c r="AJ4" s="404" t="s">
        <v>375</v>
      </c>
      <c r="AK4" s="405"/>
      <c r="AL4" s="405"/>
      <c r="AM4" s="406"/>
      <c r="AN4" s="389" t="s">
        <v>373</v>
      </c>
      <c r="AO4" s="404" t="s">
        <v>375</v>
      </c>
      <c r="AP4" s="405"/>
      <c r="AQ4" s="405"/>
      <c r="AR4" s="406"/>
      <c r="AS4" s="389" t="s">
        <v>373</v>
      </c>
      <c r="AT4" s="404" t="s">
        <v>375</v>
      </c>
      <c r="AU4" s="405"/>
      <c r="AV4" s="405"/>
      <c r="AW4" s="406"/>
      <c r="AX4" s="389" t="s">
        <v>373</v>
      </c>
      <c r="BA4" s="389" t="s">
        <v>373</v>
      </c>
    </row>
    <row r="5" spans="1:53" ht="14.25">
      <c r="A5" s="79"/>
      <c r="B5" s="389"/>
      <c r="C5" s="389"/>
      <c r="D5" s="389"/>
      <c r="E5" s="389" t="s">
        <v>380</v>
      </c>
      <c r="F5" s="389"/>
      <c r="G5" s="389"/>
      <c r="H5" s="418"/>
      <c r="I5" s="389" t="s">
        <v>380</v>
      </c>
      <c r="J5" s="389"/>
      <c r="K5" s="389"/>
      <c r="L5" s="418"/>
      <c r="M5" s="392"/>
      <c r="N5" s="389"/>
      <c r="O5" s="389"/>
      <c r="P5" s="404" t="s">
        <v>381</v>
      </c>
      <c r="Q5" s="405"/>
      <c r="R5" s="405"/>
      <c r="S5" s="406"/>
      <c r="T5" s="389"/>
      <c r="U5" s="404" t="s">
        <v>381</v>
      </c>
      <c r="V5" s="405"/>
      <c r="W5" s="405"/>
      <c r="X5" s="406"/>
      <c r="Y5" s="389"/>
      <c r="Z5" s="404" t="s">
        <v>381</v>
      </c>
      <c r="AA5" s="405"/>
      <c r="AB5" s="405"/>
      <c r="AC5" s="406"/>
      <c r="AD5" s="389"/>
      <c r="AE5" s="404" t="s">
        <v>381</v>
      </c>
      <c r="AF5" s="405"/>
      <c r="AG5" s="405"/>
      <c r="AH5" s="406"/>
      <c r="AI5" s="389"/>
      <c r="AJ5" s="404" t="s">
        <v>381</v>
      </c>
      <c r="AK5" s="405"/>
      <c r="AL5" s="405"/>
      <c r="AM5" s="406"/>
      <c r="AN5" s="389"/>
      <c r="AO5" s="404" t="s">
        <v>381</v>
      </c>
      <c r="AP5" s="405"/>
      <c r="AQ5" s="405"/>
      <c r="AR5" s="406"/>
      <c r="AS5" s="389"/>
      <c r="AT5" s="404" t="s">
        <v>381</v>
      </c>
      <c r="AU5" s="405"/>
      <c r="AV5" s="405"/>
      <c r="AW5" s="406"/>
      <c r="AX5" s="389"/>
      <c r="BA5" s="389"/>
    </row>
    <row r="6" spans="1:53" ht="14.25">
      <c r="A6" s="77"/>
      <c r="B6" s="389"/>
      <c r="C6" s="389"/>
      <c r="D6" s="389"/>
      <c r="E6" s="258" t="s">
        <v>382</v>
      </c>
      <c r="F6" s="258" t="s">
        <v>383</v>
      </c>
      <c r="G6" s="258" t="s">
        <v>384</v>
      </c>
      <c r="H6" s="419"/>
      <c r="I6" s="258" t="s">
        <v>382</v>
      </c>
      <c r="J6" s="258" t="s">
        <v>383</v>
      </c>
      <c r="K6" s="258" t="s">
        <v>384</v>
      </c>
      <c r="L6" s="419"/>
      <c r="M6" s="393"/>
      <c r="N6" s="389"/>
      <c r="O6" s="389"/>
      <c r="P6" s="258" t="s">
        <v>382</v>
      </c>
      <c r="Q6" s="258" t="s">
        <v>383</v>
      </c>
      <c r="R6" s="258" t="s">
        <v>384</v>
      </c>
      <c r="S6" s="258" t="s">
        <v>374</v>
      </c>
      <c r="T6" s="389"/>
      <c r="U6" s="258" t="s">
        <v>382</v>
      </c>
      <c r="V6" s="258" t="s">
        <v>383</v>
      </c>
      <c r="W6" s="258" t="s">
        <v>384</v>
      </c>
      <c r="X6" s="258" t="s">
        <v>374</v>
      </c>
      <c r="Y6" s="389"/>
      <c r="Z6" s="258" t="s">
        <v>382</v>
      </c>
      <c r="AA6" s="258" t="s">
        <v>383</v>
      </c>
      <c r="AB6" s="258" t="s">
        <v>384</v>
      </c>
      <c r="AC6" s="258" t="s">
        <v>374</v>
      </c>
      <c r="AD6" s="389"/>
      <c r="AE6" s="258" t="s">
        <v>382</v>
      </c>
      <c r="AF6" s="258" t="s">
        <v>383</v>
      </c>
      <c r="AG6" s="258" t="s">
        <v>384</v>
      </c>
      <c r="AH6" s="258" t="s">
        <v>374</v>
      </c>
      <c r="AI6" s="389"/>
      <c r="AJ6" s="258" t="s">
        <v>382</v>
      </c>
      <c r="AK6" s="258" t="s">
        <v>383</v>
      </c>
      <c r="AL6" s="258" t="s">
        <v>384</v>
      </c>
      <c r="AM6" s="258" t="s">
        <v>374</v>
      </c>
      <c r="AN6" s="389"/>
      <c r="AO6" s="258" t="s">
        <v>382</v>
      </c>
      <c r="AP6" s="258" t="s">
        <v>383</v>
      </c>
      <c r="AQ6" s="258" t="s">
        <v>384</v>
      </c>
      <c r="AR6" s="258" t="s">
        <v>374</v>
      </c>
      <c r="AS6" s="389"/>
      <c r="AT6" s="258" t="s">
        <v>382</v>
      </c>
      <c r="AU6" s="258" t="s">
        <v>383</v>
      </c>
      <c r="AV6" s="258" t="s">
        <v>384</v>
      </c>
      <c r="AW6" s="258" t="s">
        <v>374</v>
      </c>
      <c r="AX6" s="389"/>
      <c r="AZ6" s="258" t="s">
        <v>374</v>
      </c>
      <c r="BA6" s="389"/>
    </row>
    <row r="7" spans="1:53" ht="14.25">
      <c r="A7" s="79"/>
      <c r="B7" s="486" t="s">
        <v>554</v>
      </c>
      <c r="C7" s="182">
        <v>1</v>
      </c>
      <c r="D7" s="203" t="s">
        <v>364</v>
      </c>
      <c r="E7" s="166">
        <v>4</v>
      </c>
      <c r="F7" s="182">
        <v>2000</v>
      </c>
      <c r="G7" s="180">
        <v>500</v>
      </c>
      <c r="H7" s="401">
        <f>AVERAGE(G7:G21)</f>
        <v>284.12962962962968</v>
      </c>
      <c r="I7" s="166" t="str">
        <f t="shared" ref="I7:I20" si="0">IFERROR(AVERAGE(P7,U7,Z7,AE7,AJ7,AO7,AT7),"-")</f>
        <v>-</v>
      </c>
      <c r="J7" s="166">
        <f t="shared" ref="J7:J20" si="1">IFERROR(AVERAGE(Q7,V7,AA7,AF7,AK7,AP7,AU7),"-")</f>
        <v>2161.5886867188619</v>
      </c>
      <c r="K7" s="180">
        <f t="shared" ref="K7:K20" si="2">IFERROR(AVERAGE(R7,W7,AB7,AG7,AL7,AQ7,AV7),"-")</f>
        <v>432.31773734377236</v>
      </c>
      <c r="L7" s="401">
        <f>IFERROR(AVERAGE(K7:K21),"-")</f>
        <v>244.25233159007874</v>
      </c>
      <c r="M7" s="181">
        <f>RANK(K7, K$7:$K$21)</f>
        <v>1</v>
      </c>
      <c r="N7" s="389"/>
      <c r="O7" s="389"/>
      <c r="P7" s="182">
        <v>5</v>
      </c>
      <c r="Q7" s="166">
        <v>2159.090909090909</v>
      </c>
      <c r="R7" s="166">
        <v>431.81818181818181</v>
      </c>
      <c r="S7" s="182">
        <f t="shared" ref="S7:S21" si="3">RANK(R7, R$7:R$21)</f>
        <v>2</v>
      </c>
      <c r="T7" s="390">
        <f t="shared" ref="T7" si="4">AVERAGE(R7:R21)</f>
        <v>244.30168675116985</v>
      </c>
      <c r="U7" s="182">
        <v>5</v>
      </c>
      <c r="V7" s="166">
        <v>2199.272727272727</v>
      </c>
      <c r="W7" s="166">
        <v>439.85454545454542</v>
      </c>
      <c r="X7" s="182">
        <f t="shared" ref="X7:X21" si="5">RANK(W7, W$7:W$21)</f>
        <v>1</v>
      </c>
      <c r="Y7" s="390">
        <f t="shared" ref="Y7" si="6">AVERAGE(W7:W21)</f>
        <v>247.07244120394392</v>
      </c>
      <c r="Z7" s="182">
        <v>5</v>
      </c>
      <c r="AA7" s="166">
        <v>2143.0434782608695</v>
      </c>
      <c r="AB7" s="166">
        <v>428.60869565217388</v>
      </c>
      <c r="AC7" s="182">
        <f t="shared" ref="AC7:AC21" si="7">RANK(AB7, AB$7:AB$21)</f>
        <v>1</v>
      </c>
      <c r="AD7" s="390">
        <f t="shared" ref="AD7" si="8">AVERAGE(AB7:AB21)</f>
        <v>245.51344573865734</v>
      </c>
      <c r="AE7" s="390" t="e">
        <f t="shared" ref="AE7" si="9">AVERAGE(AC7:AC21)</f>
        <v>#VALUE!</v>
      </c>
      <c r="AF7" s="166">
        <v>2113.0434782608695</v>
      </c>
      <c r="AG7" s="166">
        <v>422.60869565217388</v>
      </c>
      <c r="AH7" s="182">
        <f t="shared" ref="AH7:AH21" si="10">RANK(AG7, AG$7:AG$21)</f>
        <v>2</v>
      </c>
      <c r="AI7" s="390">
        <f t="shared" ref="AI7" si="11">AVERAGE(AG7:AG21)</f>
        <v>241.10904323618084</v>
      </c>
      <c r="AJ7" s="182">
        <v>5</v>
      </c>
      <c r="AK7" s="166">
        <v>2176.7999999999993</v>
      </c>
      <c r="AL7" s="166">
        <v>435.35999999999984</v>
      </c>
      <c r="AM7" s="182">
        <f t="shared" ref="AM7:AM21" si="12">RANK(AL7, AL$7:AL$21)</f>
        <v>1</v>
      </c>
      <c r="AN7" s="390">
        <f t="shared" ref="AN7" si="13">AVERAGE(AL7:AL21)</f>
        <v>244.1281492021624</v>
      </c>
      <c r="AO7" s="182">
        <v>5</v>
      </c>
      <c r="AP7" s="166">
        <v>2184.3478260869565</v>
      </c>
      <c r="AQ7" s="166">
        <v>436.86956521739131</v>
      </c>
      <c r="AR7" s="182">
        <f t="shared" ref="AR7:AR21" si="14">RANK(AQ7, AQ$7:AQ$21)</f>
        <v>1</v>
      </c>
      <c r="AS7" s="390">
        <f t="shared" ref="AS7" si="15">AVERAGE(AQ7:AQ21)</f>
        <v>243.28813595111276</v>
      </c>
      <c r="AT7" s="182">
        <v>5</v>
      </c>
      <c r="AU7" s="166">
        <v>2155.5223880597018</v>
      </c>
      <c r="AV7" s="166">
        <v>431.10447761194035</v>
      </c>
      <c r="AW7" s="182">
        <f t="shared" ref="AW7:AW21" si="16">RANK(AV7, AV$7:AV$21)</f>
        <v>2</v>
      </c>
      <c r="AX7" s="390">
        <f t="shared" ref="AX7" si="17">AVERAGE(AV7:AV21)</f>
        <v>244.35341904732397</v>
      </c>
      <c r="AZ7" s="182" t="e">
        <f t="shared" ref="AZ7:AZ21" si="18">RANK(AY7, AY$7:AY$21)</f>
        <v>#N/A</v>
      </c>
      <c r="BA7" s="390" t="e">
        <f t="shared" ref="BA7" si="19">AVERAGE(AY7:AY21)</f>
        <v>#DIV/0!</v>
      </c>
    </row>
    <row r="8" spans="1:53" ht="15" customHeight="1">
      <c r="A8" s="79"/>
      <c r="B8" s="395"/>
      <c r="C8" s="182">
        <v>2</v>
      </c>
      <c r="D8" s="203" t="s">
        <v>442</v>
      </c>
      <c r="E8" s="166">
        <v>4</v>
      </c>
      <c r="F8" s="182">
        <v>2000</v>
      </c>
      <c r="G8" s="180">
        <v>500</v>
      </c>
      <c r="H8" s="402"/>
      <c r="I8" s="166">
        <f t="shared" si="0"/>
        <v>5</v>
      </c>
      <c r="J8" s="166">
        <f t="shared" si="1"/>
        <v>2154.5383867760438</v>
      </c>
      <c r="K8" s="180">
        <f t="shared" si="2"/>
        <v>430.90767735520882</v>
      </c>
      <c r="L8" s="402"/>
      <c r="M8" s="181">
        <f>RANK(K8, K$7:$K$21)</f>
        <v>2</v>
      </c>
      <c r="N8" s="389"/>
      <c r="O8" s="389"/>
      <c r="P8" s="182">
        <v>5</v>
      </c>
      <c r="Q8" s="166">
        <v>2188.0645161290331</v>
      </c>
      <c r="R8" s="166">
        <v>437.61290322580663</v>
      </c>
      <c r="S8" s="182">
        <f t="shared" si="3"/>
        <v>1</v>
      </c>
      <c r="T8" s="390"/>
      <c r="U8" s="182">
        <v>5</v>
      </c>
      <c r="V8" s="166">
        <v>2157.7777777777774</v>
      </c>
      <c r="W8" s="166">
        <v>431.55555555555549</v>
      </c>
      <c r="X8" s="182">
        <f t="shared" si="5"/>
        <v>2</v>
      </c>
      <c r="Y8" s="390"/>
      <c r="Z8" s="182">
        <v>5</v>
      </c>
      <c r="AA8" s="166">
        <v>2106.818181818182</v>
      </c>
      <c r="AB8" s="166">
        <v>421.36363636363637</v>
      </c>
      <c r="AC8" s="182">
        <f t="shared" si="7"/>
        <v>3</v>
      </c>
      <c r="AD8" s="390"/>
      <c r="AE8" s="390"/>
      <c r="AF8" s="166">
        <v>2173.170731707316</v>
      </c>
      <c r="AG8" s="166">
        <v>434.63414634146318</v>
      </c>
      <c r="AH8" s="182">
        <f t="shared" si="10"/>
        <v>1</v>
      </c>
      <c r="AI8" s="390"/>
      <c r="AJ8" s="182">
        <v>5</v>
      </c>
      <c r="AK8" s="166">
        <v>2157.5000000000005</v>
      </c>
      <c r="AL8" s="166">
        <v>431.50000000000011</v>
      </c>
      <c r="AM8" s="182">
        <f t="shared" si="12"/>
        <v>2</v>
      </c>
      <c r="AN8" s="390"/>
      <c r="AO8" s="182">
        <v>5</v>
      </c>
      <c r="AP8" s="166">
        <v>2118.7500000000009</v>
      </c>
      <c r="AQ8" s="166">
        <v>423.75000000000017</v>
      </c>
      <c r="AR8" s="182">
        <f t="shared" si="14"/>
        <v>2</v>
      </c>
      <c r="AS8" s="390"/>
      <c r="AT8" s="182">
        <v>5</v>
      </c>
      <c r="AU8" s="166">
        <v>2179.6875000000009</v>
      </c>
      <c r="AV8" s="166">
        <v>435.93750000000017</v>
      </c>
      <c r="AW8" s="182">
        <f t="shared" si="16"/>
        <v>1</v>
      </c>
      <c r="AX8" s="390"/>
      <c r="AZ8" s="182" t="e">
        <f t="shared" si="18"/>
        <v>#N/A</v>
      </c>
      <c r="BA8" s="390"/>
    </row>
    <row r="9" spans="1:53" ht="14.25">
      <c r="A9" s="79"/>
      <c r="B9" s="395"/>
      <c r="C9" s="182">
        <v>3</v>
      </c>
      <c r="D9" s="203" t="s">
        <v>365</v>
      </c>
      <c r="E9" s="166">
        <v>12</v>
      </c>
      <c r="F9" s="182">
        <v>2118</v>
      </c>
      <c r="G9" s="180">
        <v>176.5</v>
      </c>
      <c r="H9" s="402"/>
      <c r="I9" s="166">
        <f t="shared" si="0"/>
        <v>12</v>
      </c>
      <c r="J9" s="166">
        <f t="shared" si="1"/>
        <v>1868.74585700379</v>
      </c>
      <c r="K9" s="180">
        <f t="shared" si="2"/>
        <v>155.7288214169825</v>
      </c>
      <c r="L9" s="402"/>
      <c r="M9" s="181">
        <f>RANK(K9, K$7:$K$21)</f>
        <v>8</v>
      </c>
      <c r="N9" s="389"/>
      <c r="O9" s="389"/>
      <c r="P9" s="182">
        <v>12</v>
      </c>
      <c r="Q9" s="166">
        <v>1880.5263157894733</v>
      </c>
      <c r="R9" s="166">
        <v>156.71052631578945</v>
      </c>
      <c r="S9" s="182">
        <f t="shared" si="3"/>
        <v>8</v>
      </c>
      <c r="T9" s="390"/>
      <c r="U9" s="182">
        <v>12</v>
      </c>
      <c r="V9" s="166">
        <v>1858.181818181818</v>
      </c>
      <c r="W9" s="166">
        <v>154.84848484848484</v>
      </c>
      <c r="X9" s="182">
        <f t="shared" si="5"/>
        <v>8</v>
      </c>
      <c r="Y9" s="390"/>
      <c r="Z9" s="182">
        <v>12</v>
      </c>
      <c r="AA9" s="166">
        <v>1860</v>
      </c>
      <c r="AB9" s="166">
        <v>155</v>
      </c>
      <c r="AC9" s="182">
        <f t="shared" si="7"/>
        <v>7</v>
      </c>
      <c r="AD9" s="390"/>
      <c r="AE9" s="390"/>
      <c r="AF9" s="166">
        <v>1864.0677966101698</v>
      </c>
      <c r="AG9" s="166">
        <v>155.33898305084747</v>
      </c>
      <c r="AH9" s="182">
        <f t="shared" si="10"/>
        <v>8</v>
      </c>
      <c r="AI9" s="390"/>
      <c r="AJ9" s="182">
        <v>12</v>
      </c>
      <c r="AK9" s="166">
        <v>1876.3636363636365</v>
      </c>
      <c r="AL9" s="166">
        <v>156.36363636363637</v>
      </c>
      <c r="AM9" s="182">
        <f t="shared" si="12"/>
        <v>8</v>
      </c>
      <c r="AN9" s="390"/>
      <c r="AO9" s="182">
        <v>12</v>
      </c>
      <c r="AP9" s="166">
        <v>1886.7567567567564</v>
      </c>
      <c r="AQ9" s="166">
        <v>157.22972972972971</v>
      </c>
      <c r="AR9" s="182">
        <f t="shared" si="14"/>
        <v>7</v>
      </c>
      <c r="AS9" s="390"/>
      <c r="AT9" s="182">
        <v>12</v>
      </c>
      <c r="AU9" s="166">
        <v>1855.3246753246754</v>
      </c>
      <c r="AV9" s="166">
        <v>154.6103896103896</v>
      </c>
      <c r="AW9" s="182">
        <f t="shared" si="16"/>
        <v>8</v>
      </c>
      <c r="AX9" s="390"/>
      <c r="AZ9" s="182" t="e">
        <f t="shared" si="18"/>
        <v>#N/A</v>
      </c>
      <c r="BA9" s="390"/>
    </row>
    <row r="10" spans="1:53" ht="14.25">
      <c r="A10" s="79"/>
      <c r="B10" s="395"/>
      <c r="C10" s="182">
        <v>4</v>
      </c>
      <c r="D10" s="203" t="s">
        <v>605</v>
      </c>
      <c r="E10" s="166">
        <v>13</v>
      </c>
      <c r="F10" s="182">
        <v>2250</v>
      </c>
      <c r="G10" s="180">
        <v>187.5</v>
      </c>
      <c r="H10" s="402"/>
      <c r="I10" s="166">
        <f t="shared" si="0"/>
        <v>13</v>
      </c>
      <c r="J10" s="166">
        <f t="shared" si="1"/>
        <v>2146.9268779087529</v>
      </c>
      <c r="K10" s="180">
        <f t="shared" si="2"/>
        <v>165.14822137759634</v>
      </c>
      <c r="L10" s="402"/>
      <c r="M10" s="181">
        <f>RANK(K10, K$7:$K$21)</f>
        <v>5</v>
      </c>
      <c r="N10" s="389"/>
      <c r="O10" s="389"/>
      <c r="P10" s="182">
        <v>13</v>
      </c>
      <c r="Q10" s="166">
        <v>2125.294117647059</v>
      </c>
      <c r="R10" s="166">
        <v>163.48416289592762</v>
      </c>
      <c r="S10" s="182">
        <f t="shared" si="3"/>
        <v>5</v>
      </c>
      <c r="T10" s="390"/>
      <c r="U10" s="182">
        <v>13</v>
      </c>
      <c r="V10" s="166">
        <v>2249.6470588235302</v>
      </c>
      <c r="W10" s="166">
        <v>173.04977375565616</v>
      </c>
      <c r="X10" s="182">
        <f t="shared" si="5"/>
        <v>5</v>
      </c>
      <c r="Y10" s="390"/>
      <c r="Z10" s="182">
        <v>13</v>
      </c>
      <c r="AA10" s="166">
        <v>2143.0769230769229</v>
      </c>
      <c r="AB10" s="166">
        <v>164.85207100591714</v>
      </c>
      <c r="AC10" s="182">
        <f t="shared" si="7"/>
        <v>5</v>
      </c>
      <c r="AD10" s="390"/>
      <c r="AE10" s="390"/>
      <c r="AF10" s="166">
        <v>2143.4210526315783</v>
      </c>
      <c r="AG10" s="166">
        <v>164.87854251012141</v>
      </c>
      <c r="AH10" s="182">
        <f t="shared" si="10"/>
        <v>5</v>
      </c>
      <c r="AI10" s="390"/>
      <c r="AJ10" s="182">
        <v>13</v>
      </c>
      <c r="AK10" s="166">
        <v>2140.9411764705887</v>
      </c>
      <c r="AL10" s="166">
        <v>164.68778280542989</v>
      </c>
      <c r="AM10" s="182">
        <f t="shared" si="12"/>
        <v>5</v>
      </c>
      <c r="AN10" s="390"/>
      <c r="AO10" s="182">
        <v>13</v>
      </c>
      <c r="AP10" s="166">
        <v>2107.4285714285716</v>
      </c>
      <c r="AQ10" s="166">
        <v>162.10989010989013</v>
      </c>
      <c r="AR10" s="182">
        <f t="shared" si="14"/>
        <v>6</v>
      </c>
      <c r="AS10" s="390"/>
      <c r="AT10" s="182">
        <v>13</v>
      </c>
      <c r="AU10" s="166">
        <v>2118.6792452830191</v>
      </c>
      <c r="AV10" s="166">
        <v>162.97532656023225</v>
      </c>
      <c r="AW10" s="182">
        <f t="shared" si="16"/>
        <v>6</v>
      </c>
      <c r="AX10" s="390"/>
      <c r="AZ10" s="182" t="e">
        <f t="shared" si="18"/>
        <v>#N/A</v>
      </c>
      <c r="BA10" s="390"/>
    </row>
    <row r="11" spans="1:53" ht="14.25">
      <c r="A11" s="79"/>
      <c r="B11" s="395"/>
      <c r="C11" s="182">
        <v>5</v>
      </c>
      <c r="D11" s="203" t="s">
        <v>366</v>
      </c>
      <c r="E11" s="166">
        <v>13</v>
      </c>
      <c r="F11" s="182">
        <v>2250</v>
      </c>
      <c r="G11" s="180">
        <v>173.1</v>
      </c>
      <c r="H11" s="402"/>
      <c r="I11" s="166">
        <f t="shared" si="0"/>
        <v>13</v>
      </c>
      <c r="J11" s="166">
        <f t="shared" si="1"/>
        <v>2143.4693376627324</v>
      </c>
      <c r="K11" s="180">
        <f t="shared" si="2"/>
        <v>164.88225674328712</v>
      </c>
      <c r="L11" s="402"/>
      <c r="M11" s="181">
        <f>RANK(K11, K$7:$K$21)</f>
        <v>6</v>
      </c>
      <c r="N11" s="389"/>
      <c r="O11" s="389"/>
      <c r="P11" s="182">
        <v>13</v>
      </c>
      <c r="Q11" s="166">
        <v>2107.3043478260879</v>
      </c>
      <c r="R11" s="166">
        <v>162.1003344481606</v>
      </c>
      <c r="S11" s="182">
        <f t="shared" si="3"/>
        <v>6</v>
      </c>
      <c r="T11" s="390"/>
      <c r="U11" s="182">
        <v>13</v>
      </c>
      <c r="V11" s="166">
        <v>2205.7731958762884</v>
      </c>
      <c r="W11" s="166">
        <v>169.67486122125294</v>
      </c>
      <c r="X11" s="182">
        <f t="shared" si="5"/>
        <v>6</v>
      </c>
      <c r="Y11" s="390"/>
      <c r="Z11" s="182">
        <v>13</v>
      </c>
      <c r="AA11" s="166">
        <v>2101.3953488372099</v>
      </c>
      <c r="AB11" s="166">
        <v>161.64579606440077</v>
      </c>
      <c r="AC11" s="182">
        <f t="shared" si="7"/>
        <v>6</v>
      </c>
      <c r="AD11" s="390"/>
      <c r="AE11" s="390"/>
      <c r="AF11" s="166">
        <v>2133.5714285714289</v>
      </c>
      <c r="AG11" s="166">
        <v>164.12087912087915</v>
      </c>
      <c r="AH11" s="182">
        <f t="shared" si="10"/>
        <v>6</v>
      </c>
      <c r="AI11" s="390"/>
      <c r="AJ11" s="182">
        <v>13</v>
      </c>
      <c r="AK11" s="166">
        <v>2125.3608247422676</v>
      </c>
      <c r="AL11" s="166">
        <v>163.48929421094365</v>
      </c>
      <c r="AM11" s="182">
        <f t="shared" si="12"/>
        <v>6</v>
      </c>
      <c r="AN11" s="390"/>
      <c r="AO11" s="182">
        <v>13</v>
      </c>
      <c r="AP11" s="166">
        <v>2169.8275862068963</v>
      </c>
      <c r="AQ11" s="166">
        <v>166.90981432360741</v>
      </c>
      <c r="AR11" s="182">
        <f t="shared" si="14"/>
        <v>5</v>
      </c>
      <c r="AS11" s="390"/>
      <c r="AT11" s="182">
        <v>13</v>
      </c>
      <c r="AU11" s="166">
        <v>2161.0526315789484</v>
      </c>
      <c r="AV11" s="166">
        <v>166.23481781376526</v>
      </c>
      <c r="AW11" s="182">
        <f t="shared" si="16"/>
        <v>5</v>
      </c>
      <c r="AX11" s="390"/>
      <c r="AZ11" s="182" t="e">
        <f t="shared" si="18"/>
        <v>#N/A</v>
      </c>
      <c r="BA11" s="390"/>
    </row>
    <row r="12" spans="1:53" ht="14.25">
      <c r="A12" s="79"/>
      <c r="B12" s="395"/>
      <c r="C12" s="182">
        <v>6</v>
      </c>
      <c r="D12" s="203" t="s">
        <v>367</v>
      </c>
      <c r="E12" s="166">
        <v>10</v>
      </c>
      <c r="F12" s="182">
        <v>2769</v>
      </c>
      <c r="G12" s="180">
        <v>276.89999999999998</v>
      </c>
      <c r="H12" s="402"/>
      <c r="I12" s="166">
        <f t="shared" si="0"/>
        <v>10</v>
      </c>
      <c r="J12" s="166">
        <f t="shared" si="1"/>
        <v>2388.5834490104921</v>
      </c>
      <c r="K12" s="180">
        <f t="shared" si="2"/>
        <v>238.85834490104921</v>
      </c>
      <c r="L12" s="402"/>
      <c r="M12" s="181">
        <f>RANK(K12, K$7:$K$21)</f>
        <v>4</v>
      </c>
      <c r="N12" s="389"/>
      <c r="O12" s="389"/>
      <c r="P12" s="182">
        <v>10</v>
      </c>
      <c r="Q12" s="166">
        <v>2357.0828025477722</v>
      </c>
      <c r="R12" s="166">
        <v>235.70828025477721</v>
      </c>
      <c r="S12" s="182">
        <f t="shared" si="3"/>
        <v>4</v>
      </c>
      <c r="T12" s="390"/>
      <c r="U12" s="182">
        <v>10</v>
      </c>
      <c r="V12" s="166">
        <v>2487.1874999999995</v>
      </c>
      <c r="W12" s="166">
        <v>248.71874999999994</v>
      </c>
      <c r="X12" s="182">
        <f t="shared" si="5"/>
        <v>4</v>
      </c>
      <c r="Y12" s="390"/>
      <c r="Z12" s="182">
        <v>10</v>
      </c>
      <c r="AA12" s="166">
        <v>2385.2347826086957</v>
      </c>
      <c r="AB12" s="166">
        <v>238.52347826086958</v>
      </c>
      <c r="AC12" s="182">
        <f t="shared" si="7"/>
        <v>4</v>
      </c>
      <c r="AD12" s="390"/>
      <c r="AE12" s="390"/>
      <c r="AF12" s="166">
        <v>2398.5</v>
      </c>
      <c r="AG12" s="166">
        <v>239.85</v>
      </c>
      <c r="AH12" s="182">
        <f t="shared" si="10"/>
        <v>4</v>
      </c>
      <c r="AI12" s="390"/>
      <c r="AJ12" s="182">
        <v>10</v>
      </c>
      <c r="AK12" s="166">
        <v>2345.3500000000008</v>
      </c>
      <c r="AL12" s="166">
        <v>234.53500000000008</v>
      </c>
      <c r="AM12" s="182">
        <f t="shared" si="12"/>
        <v>4</v>
      </c>
      <c r="AN12" s="390"/>
      <c r="AO12" s="182">
        <v>10</v>
      </c>
      <c r="AP12" s="166">
        <v>2366.2592592592596</v>
      </c>
      <c r="AQ12" s="166">
        <v>236.62592592592597</v>
      </c>
      <c r="AR12" s="182">
        <f t="shared" si="14"/>
        <v>4</v>
      </c>
      <c r="AS12" s="390"/>
      <c r="AT12" s="182">
        <v>10</v>
      </c>
      <c r="AU12" s="166">
        <v>2380.4697986577189</v>
      </c>
      <c r="AV12" s="166">
        <v>238.0469798657719</v>
      </c>
      <c r="AW12" s="182">
        <f t="shared" si="16"/>
        <v>4</v>
      </c>
      <c r="AX12" s="390"/>
      <c r="AZ12" s="182" t="e">
        <f t="shared" si="18"/>
        <v>#N/A</v>
      </c>
      <c r="BA12" s="390"/>
    </row>
    <row r="13" spans="1:53" ht="14.25">
      <c r="A13" s="79"/>
      <c r="B13" s="395"/>
      <c r="C13" s="182">
        <v>7</v>
      </c>
      <c r="D13" s="203" t="s">
        <v>363</v>
      </c>
      <c r="E13" s="166">
        <v>18</v>
      </c>
      <c r="F13" s="182">
        <v>1200</v>
      </c>
      <c r="G13" s="180">
        <v>66.666666666666671</v>
      </c>
      <c r="H13" s="402"/>
      <c r="I13" s="166">
        <f t="shared" si="0"/>
        <v>18.166666666666668</v>
      </c>
      <c r="J13" s="166">
        <f t="shared" si="1"/>
        <v>1152.1757489496777</v>
      </c>
      <c r="K13" s="180">
        <f t="shared" si="2"/>
        <v>63.511402542702676</v>
      </c>
      <c r="L13" s="402"/>
      <c r="M13" s="181">
        <f>RANK(K13, K$7:$K$21)</f>
        <v>9</v>
      </c>
      <c r="N13" s="389"/>
      <c r="O13" s="389"/>
      <c r="P13" s="182">
        <v>19</v>
      </c>
      <c r="Q13" s="166">
        <v>1193.0769230769235</v>
      </c>
      <c r="R13" s="166">
        <v>62.793522267206505</v>
      </c>
      <c r="S13" s="182">
        <f t="shared" si="3"/>
        <v>9</v>
      </c>
      <c r="T13" s="390"/>
      <c r="U13" s="182">
        <v>18</v>
      </c>
      <c r="V13" s="166">
        <v>1191.6000000000004</v>
      </c>
      <c r="W13" s="166">
        <v>66.200000000000017</v>
      </c>
      <c r="X13" s="182">
        <f t="shared" si="5"/>
        <v>9</v>
      </c>
      <c r="Y13" s="390"/>
      <c r="Z13" s="182">
        <v>18</v>
      </c>
      <c r="AA13" s="166">
        <v>1093.8000000000038</v>
      </c>
      <c r="AB13" s="166">
        <v>60.766666666666879</v>
      </c>
      <c r="AC13" s="182">
        <f t="shared" si="7"/>
        <v>9</v>
      </c>
      <c r="AD13" s="390"/>
      <c r="AE13" s="390"/>
      <c r="AF13" s="166">
        <v>1121.3333333333374</v>
      </c>
      <c r="AG13" s="166">
        <v>62.296296296296518</v>
      </c>
      <c r="AH13" s="182">
        <f t="shared" si="10"/>
        <v>9</v>
      </c>
      <c r="AI13" s="390"/>
      <c r="AJ13" s="182">
        <v>18</v>
      </c>
      <c r="AK13" s="166">
        <v>1178.7804878048778</v>
      </c>
      <c r="AL13" s="166">
        <v>65.487804878048763</v>
      </c>
      <c r="AM13" s="182">
        <f t="shared" si="12"/>
        <v>9</v>
      </c>
      <c r="AN13" s="390"/>
      <c r="AO13" s="182">
        <v>18</v>
      </c>
      <c r="AP13" s="166">
        <v>1178.2758620689649</v>
      </c>
      <c r="AQ13" s="166">
        <v>65.459770114942501</v>
      </c>
      <c r="AR13" s="182">
        <f t="shared" si="14"/>
        <v>9</v>
      </c>
      <c r="AS13" s="390"/>
      <c r="AT13" s="182">
        <v>18</v>
      </c>
      <c r="AU13" s="166">
        <v>1108.3636363636356</v>
      </c>
      <c r="AV13" s="166">
        <v>61.575757575757535</v>
      </c>
      <c r="AW13" s="182">
        <f t="shared" si="16"/>
        <v>9</v>
      </c>
      <c r="AX13" s="390"/>
      <c r="AZ13" s="182" t="e">
        <f t="shared" si="18"/>
        <v>#N/A</v>
      </c>
      <c r="BA13" s="390"/>
    </row>
    <row r="14" spans="1:53" ht="14.25">
      <c r="A14" s="79"/>
      <c r="B14" s="395"/>
      <c r="C14" s="182">
        <v>8</v>
      </c>
      <c r="D14" s="203" t="s">
        <v>538</v>
      </c>
      <c r="E14" s="166">
        <v>12</v>
      </c>
      <c r="F14" s="182">
        <v>2118</v>
      </c>
      <c r="G14" s="180">
        <v>176.5</v>
      </c>
      <c r="H14" s="402"/>
      <c r="I14" s="166">
        <f t="shared" si="0"/>
        <v>12</v>
      </c>
      <c r="J14" s="166">
        <f t="shared" si="1"/>
        <v>1870.6786298584841</v>
      </c>
      <c r="K14" s="180">
        <f t="shared" si="2"/>
        <v>155.88988582154033</v>
      </c>
      <c r="L14" s="402"/>
      <c r="M14" s="181">
        <f>RANK(K14, K$7:$K$21)</f>
        <v>7</v>
      </c>
      <c r="N14" s="389"/>
      <c r="O14" s="389"/>
      <c r="P14" s="182">
        <v>12</v>
      </c>
      <c r="Q14" s="166">
        <v>1897.6119402985062</v>
      </c>
      <c r="R14" s="166">
        <v>158.13432835820885</v>
      </c>
      <c r="S14" s="182">
        <f t="shared" si="3"/>
        <v>7</v>
      </c>
      <c r="T14" s="390"/>
      <c r="U14" s="182">
        <v>12</v>
      </c>
      <c r="V14" s="166">
        <v>1859.9999999999993</v>
      </c>
      <c r="W14" s="166">
        <v>154.99999999999994</v>
      </c>
      <c r="X14" s="182">
        <f t="shared" si="5"/>
        <v>7</v>
      </c>
      <c r="Y14" s="390"/>
      <c r="Z14" s="182">
        <v>12</v>
      </c>
      <c r="AA14" s="166">
        <v>1850.9433962264145</v>
      </c>
      <c r="AB14" s="166">
        <v>154.24528301886787</v>
      </c>
      <c r="AC14" s="182">
        <f t="shared" si="7"/>
        <v>8</v>
      </c>
      <c r="AD14" s="390"/>
      <c r="AE14" s="390"/>
      <c r="AF14" s="166">
        <v>1873.1999999999994</v>
      </c>
      <c r="AG14" s="166">
        <v>156.09999999999994</v>
      </c>
      <c r="AH14" s="182">
        <f t="shared" si="10"/>
        <v>7</v>
      </c>
      <c r="AI14" s="390"/>
      <c r="AJ14" s="182">
        <v>12</v>
      </c>
      <c r="AK14" s="166">
        <v>1883.1578947368437</v>
      </c>
      <c r="AL14" s="166">
        <v>156.92982456140365</v>
      </c>
      <c r="AM14" s="182">
        <f t="shared" si="12"/>
        <v>7</v>
      </c>
      <c r="AN14" s="390"/>
      <c r="AO14" s="182">
        <v>12</v>
      </c>
      <c r="AP14" s="166">
        <v>1859.0909090909099</v>
      </c>
      <c r="AQ14" s="166">
        <v>154.92424242424249</v>
      </c>
      <c r="AR14" s="182">
        <f t="shared" si="14"/>
        <v>8</v>
      </c>
      <c r="AS14" s="390"/>
      <c r="AT14" s="182">
        <v>12</v>
      </c>
      <c r="AU14" s="166">
        <v>1870.7462686567153</v>
      </c>
      <c r="AV14" s="166">
        <v>155.89552238805962</v>
      </c>
      <c r="AW14" s="182">
        <f t="shared" si="16"/>
        <v>7</v>
      </c>
      <c r="AX14" s="390"/>
      <c r="AZ14" s="182" t="e">
        <f t="shared" si="18"/>
        <v>#N/A</v>
      </c>
      <c r="BA14" s="390"/>
    </row>
    <row r="15" spans="1:53" ht="14.25">
      <c r="A15" s="79"/>
      <c r="B15" s="395"/>
      <c r="C15" s="182">
        <v>9</v>
      </c>
      <c r="D15" s="203" t="s">
        <v>595</v>
      </c>
      <c r="E15" s="166">
        <v>4</v>
      </c>
      <c r="F15" s="182">
        <v>2000</v>
      </c>
      <c r="G15" s="180">
        <v>500</v>
      </c>
      <c r="H15" s="402"/>
      <c r="I15" s="166">
        <f t="shared" si="0"/>
        <v>5</v>
      </c>
      <c r="J15" s="166">
        <f t="shared" si="1"/>
        <v>1955.1331840428454</v>
      </c>
      <c r="K15" s="180">
        <f t="shared" si="2"/>
        <v>391.02663680856915</v>
      </c>
      <c r="L15" s="402"/>
      <c r="M15" s="181">
        <f>RANK(K15, K$7:$K$21)</f>
        <v>3</v>
      </c>
      <c r="N15" s="389"/>
      <c r="O15" s="389"/>
      <c r="P15" s="182">
        <v>5</v>
      </c>
      <c r="Q15" s="166">
        <v>1951.7647058823504</v>
      </c>
      <c r="R15" s="166">
        <v>390.3529411764701</v>
      </c>
      <c r="S15" s="182">
        <f t="shared" si="3"/>
        <v>3</v>
      </c>
      <c r="T15" s="390"/>
      <c r="U15" s="182">
        <v>5</v>
      </c>
      <c r="V15" s="166">
        <v>1923.750000000002</v>
      </c>
      <c r="W15" s="166">
        <v>384.7500000000004</v>
      </c>
      <c r="X15" s="182">
        <f t="shared" si="5"/>
        <v>3</v>
      </c>
      <c r="Y15" s="390"/>
      <c r="Z15" s="182">
        <v>5</v>
      </c>
      <c r="AA15" s="166">
        <v>2123.0769230769179</v>
      </c>
      <c r="AB15" s="166">
        <v>424.61538461538356</v>
      </c>
      <c r="AC15" s="182">
        <f t="shared" si="7"/>
        <v>2</v>
      </c>
      <c r="AD15" s="390"/>
      <c r="AE15" s="390"/>
      <c r="AF15" s="166">
        <v>1850.7692307692319</v>
      </c>
      <c r="AG15" s="166">
        <v>370.15384615384636</v>
      </c>
      <c r="AH15" s="182">
        <f t="shared" si="10"/>
        <v>3</v>
      </c>
      <c r="AI15" s="390"/>
      <c r="AJ15" s="182">
        <v>5</v>
      </c>
      <c r="AK15" s="166">
        <v>1943.9999999999966</v>
      </c>
      <c r="AL15" s="166">
        <v>388.79999999999933</v>
      </c>
      <c r="AM15" s="182">
        <f t="shared" si="12"/>
        <v>3</v>
      </c>
      <c r="AN15" s="390"/>
      <c r="AO15" s="182">
        <v>5</v>
      </c>
      <c r="AP15" s="166">
        <v>1928.5714285714246</v>
      </c>
      <c r="AQ15" s="166">
        <v>385.71428571428493</v>
      </c>
      <c r="AR15" s="182">
        <f t="shared" si="14"/>
        <v>3</v>
      </c>
      <c r="AS15" s="390"/>
      <c r="AT15" s="182">
        <v>5</v>
      </c>
      <c r="AU15" s="166">
        <v>1963.9999999999966</v>
      </c>
      <c r="AV15" s="166">
        <v>392.79999999999933</v>
      </c>
      <c r="AW15" s="182">
        <f t="shared" si="16"/>
        <v>3</v>
      </c>
      <c r="AX15" s="390"/>
      <c r="AZ15" s="182" t="e">
        <f t="shared" si="18"/>
        <v>#N/A</v>
      </c>
      <c r="BA15" s="390"/>
    </row>
    <row r="16" spans="1:53" ht="14.25">
      <c r="A16" s="79"/>
      <c r="B16" s="395"/>
      <c r="C16" s="182">
        <v>10</v>
      </c>
      <c r="D16" s="203"/>
      <c r="E16" s="166"/>
      <c r="F16" s="182"/>
      <c r="G16" s="180"/>
      <c r="H16" s="402"/>
      <c r="I16" s="166" t="str">
        <f t="shared" si="0"/>
        <v>-</v>
      </c>
      <c r="J16" s="166" t="str">
        <f t="shared" si="1"/>
        <v>-</v>
      </c>
      <c r="K16" s="180" t="str">
        <f t="shared" si="2"/>
        <v>-</v>
      </c>
      <c r="L16" s="402"/>
      <c r="M16" s="181" t="e">
        <f>RANK(K16, K$7:$K$21)</f>
        <v>#VALUE!</v>
      </c>
      <c r="N16" s="389"/>
      <c r="O16" s="389"/>
      <c r="P16" s="182" t="s">
        <v>634</v>
      </c>
      <c r="Q16" s="166" t="s">
        <v>634</v>
      </c>
      <c r="R16" s="166" t="s">
        <v>634</v>
      </c>
      <c r="S16" s="182" t="e">
        <f t="shared" si="3"/>
        <v>#VALUE!</v>
      </c>
      <c r="T16" s="390"/>
      <c r="U16" s="182" t="s">
        <v>634</v>
      </c>
      <c r="V16" s="166" t="s">
        <v>634</v>
      </c>
      <c r="W16" s="166" t="s">
        <v>634</v>
      </c>
      <c r="X16" s="182" t="e">
        <f t="shared" si="5"/>
        <v>#VALUE!</v>
      </c>
      <c r="Y16" s="390"/>
      <c r="Z16" s="182" t="s">
        <v>634</v>
      </c>
      <c r="AA16" s="166" t="s">
        <v>634</v>
      </c>
      <c r="AB16" s="166" t="s">
        <v>634</v>
      </c>
      <c r="AC16" s="182" t="e">
        <f t="shared" si="7"/>
        <v>#VALUE!</v>
      </c>
      <c r="AD16" s="390"/>
      <c r="AE16" s="390"/>
      <c r="AF16" s="166" t="s">
        <v>634</v>
      </c>
      <c r="AG16" s="166" t="s">
        <v>634</v>
      </c>
      <c r="AH16" s="182" t="e">
        <f t="shared" si="10"/>
        <v>#VALUE!</v>
      </c>
      <c r="AI16" s="390"/>
      <c r="AJ16" s="182" t="s">
        <v>634</v>
      </c>
      <c r="AK16" s="166" t="s">
        <v>634</v>
      </c>
      <c r="AL16" s="166" t="s">
        <v>634</v>
      </c>
      <c r="AM16" s="182" t="e">
        <f t="shared" si="12"/>
        <v>#VALUE!</v>
      </c>
      <c r="AN16" s="390"/>
      <c r="AO16" s="182" t="s">
        <v>634</v>
      </c>
      <c r="AP16" s="166" t="s">
        <v>634</v>
      </c>
      <c r="AQ16" s="166" t="s">
        <v>634</v>
      </c>
      <c r="AR16" s="182" t="e">
        <f t="shared" si="14"/>
        <v>#VALUE!</v>
      </c>
      <c r="AS16" s="390"/>
      <c r="AT16" s="182" t="s">
        <v>634</v>
      </c>
      <c r="AU16" s="166" t="s">
        <v>634</v>
      </c>
      <c r="AV16" s="166" t="s">
        <v>634</v>
      </c>
      <c r="AW16" s="182" t="e">
        <f t="shared" si="16"/>
        <v>#VALUE!</v>
      </c>
      <c r="AX16" s="390"/>
      <c r="AZ16" s="182" t="e">
        <f t="shared" si="18"/>
        <v>#N/A</v>
      </c>
      <c r="BA16" s="390"/>
    </row>
    <row r="17" spans="2:53">
      <c r="B17" s="395"/>
      <c r="C17" s="182">
        <v>11</v>
      </c>
      <c r="D17" s="203"/>
      <c r="E17" s="166"/>
      <c r="F17" s="182"/>
      <c r="G17" s="180"/>
      <c r="H17" s="402"/>
      <c r="I17" s="166" t="str">
        <f t="shared" si="0"/>
        <v>-</v>
      </c>
      <c r="J17" s="166" t="str">
        <f t="shared" si="1"/>
        <v>-</v>
      </c>
      <c r="K17" s="180" t="str">
        <f t="shared" si="2"/>
        <v>-</v>
      </c>
      <c r="L17" s="402"/>
      <c r="M17" s="181" t="e">
        <f>RANK(K17, K$7:$K$21)</f>
        <v>#VALUE!</v>
      </c>
      <c r="N17" s="389"/>
      <c r="O17" s="389"/>
      <c r="P17" s="182" t="s">
        <v>634</v>
      </c>
      <c r="Q17" s="166" t="s">
        <v>634</v>
      </c>
      <c r="R17" s="166" t="s">
        <v>634</v>
      </c>
      <c r="S17" s="182" t="e">
        <f t="shared" si="3"/>
        <v>#VALUE!</v>
      </c>
      <c r="T17" s="390"/>
      <c r="U17" s="182" t="s">
        <v>634</v>
      </c>
      <c r="V17" s="166" t="s">
        <v>634</v>
      </c>
      <c r="W17" s="166" t="s">
        <v>634</v>
      </c>
      <c r="X17" s="182" t="e">
        <f t="shared" si="5"/>
        <v>#VALUE!</v>
      </c>
      <c r="Y17" s="390"/>
      <c r="Z17" s="182" t="s">
        <v>634</v>
      </c>
      <c r="AA17" s="166" t="s">
        <v>634</v>
      </c>
      <c r="AB17" s="166" t="s">
        <v>634</v>
      </c>
      <c r="AC17" s="182" t="e">
        <f t="shared" si="7"/>
        <v>#VALUE!</v>
      </c>
      <c r="AD17" s="390"/>
      <c r="AE17" s="390"/>
      <c r="AF17" s="166" t="s">
        <v>634</v>
      </c>
      <c r="AG17" s="166" t="s">
        <v>634</v>
      </c>
      <c r="AH17" s="182" t="e">
        <f t="shared" si="10"/>
        <v>#VALUE!</v>
      </c>
      <c r="AI17" s="390"/>
      <c r="AJ17" s="182" t="s">
        <v>634</v>
      </c>
      <c r="AK17" s="166" t="s">
        <v>634</v>
      </c>
      <c r="AL17" s="166" t="s">
        <v>634</v>
      </c>
      <c r="AM17" s="182" t="e">
        <f t="shared" si="12"/>
        <v>#VALUE!</v>
      </c>
      <c r="AN17" s="390"/>
      <c r="AO17" s="182" t="s">
        <v>634</v>
      </c>
      <c r="AP17" s="166" t="s">
        <v>634</v>
      </c>
      <c r="AQ17" s="166" t="s">
        <v>634</v>
      </c>
      <c r="AR17" s="182" t="e">
        <f t="shared" si="14"/>
        <v>#VALUE!</v>
      </c>
      <c r="AS17" s="390"/>
      <c r="AT17" s="182" t="s">
        <v>634</v>
      </c>
      <c r="AU17" s="166" t="s">
        <v>634</v>
      </c>
      <c r="AV17" s="166" t="s">
        <v>634</v>
      </c>
      <c r="AW17" s="182" t="e">
        <f t="shared" si="16"/>
        <v>#VALUE!</v>
      </c>
      <c r="AX17" s="390"/>
      <c r="AZ17" s="182" t="e">
        <f t="shared" si="18"/>
        <v>#N/A</v>
      </c>
      <c r="BA17" s="390"/>
    </row>
    <row r="18" spans="2:53">
      <c r="B18" s="395"/>
      <c r="C18" s="182">
        <v>12</v>
      </c>
      <c r="D18" s="203"/>
      <c r="E18" s="166"/>
      <c r="F18" s="182"/>
      <c r="G18" s="180"/>
      <c r="H18" s="402"/>
      <c r="I18" s="166" t="str">
        <f t="shared" si="0"/>
        <v>-</v>
      </c>
      <c r="J18" s="166" t="str">
        <f t="shared" si="1"/>
        <v>-</v>
      </c>
      <c r="K18" s="180" t="str">
        <f t="shared" si="2"/>
        <v>-</v>
      </c>
      <c r="L18" s="402"/>
      <c r="M18" s="181" t="e">
        <f>RANK(K18, K$7:$K$21)</f>
        <v>#VALUE!</v>
      </c>
      <c r="N18" s="389"/>
      <c r="O18" s="389"/>
      <c r="P18" s="182" t="s">
        <v>634</v>
      </c>
      <c r="Q18" s="166" t="s">
        <v>634</v>
      </c>
      <c r="R18" s="166" t="s">
        <v>634</v>
      </c>
      <c r="S18" s="182" t="e">
        <f t="shared" si="3"/>
        <v>#VALUE!</v>
      </c>
      <c r="T18" s="390"/>
      <c r="U18" s="182" t="s">
        <v>634</v>
      </c>
      <c r="V18" s="166" t="s">
        <v>634</v>
      </c>
      <c r="W18" s="166" t="s">
        <v>634</v>
      </c>
      <c r="X18" s="182" t="e">
        <f t="shared" si="5"/>
        <v>#VALUE!</v>
      </c>
      <c r="Y18" s="390"/>
      <c r="Z18" s="182" t="s">
        <v>634</v>
      </c>
      <c r="AA18" s="166" t="s">
        <v>634</v>
      </c>
      <c r="AB18" s="166" t="s">
        <v>634</v>
      </c>
      <c r="AC18" s="182" t="e">
        <f t="shared" si="7"/>
        <v>#VALUE!</v>
      </c>
      <c r="AD18" s="390"/>
      <c r="AE18" s="390"/>
      <c r="AF18" s="166" t="s">
        <v>634</v>
      </c>
      <c r="AG18" s="166" t="s">
        <v>634</v>
      </c>
      <c r="AH18" s="182" t="e">
        <f t="shared" si="10"/>
        <v>#VALUE!</v>
      </c>
      <c r="AI18" s="390"/>
      <c r="AJ18" s="182" t="s">
        <v>634</v>
      </c>
      <c r="AK18" s="166" t="s">
        <v>634</v>
      </c>
      <c r="AL18" s="166" t="s">
        <v>634</v>
      </c>
      <c r="AM18" s="182" t="e">
        <f t="shared" si="12"/>
        <v>#VALUE!</v>
      </c>
      <c r="AN18" s="390"/>
      <c r="AO18" s="182" t="s">
        <v>634</v>
      </c>
      <c r="AP18" s="166" t="s">
        <v>634</v>
      </c>
      <c r="AQ18" s="166" t="s">
        <v>634</v>
      </c>
      <c r="AR18" s="182" t="e">
        <f t="shared" si="14"/>
        <v>#VALUE!</v>
      </c>
      <c r="AS18" s="390"/>
      <c r="AT18" s="182" t="s">
        <v>634</v>
      </c>
      <c r="AU18" s="166" t="s">
        <v>634</v>
      </c>
      <c r="AV18" s="166" t="s">
        <v>634</v>
      </c>
      <c r="AW18" s="182" t="e">
        <f t="shared" si="16"/>
        <v>#VALUE!</v>
      </c>
      <c r="AX18" s="390"/>
      <c r="AZ18" s="182" t="e">
        <f t="shared" si="18"/>
        <v>#N/A</v>
      </c>
      <c r="BA18" s="390"/>
    </row>
    <row r="19" spans="2:53">
      <c r="B19" s="395"/>
      <c r="C19" s="182">
        <v>13</v>
      </c>
      <c r="D19" s="203"/>
      <c r="E19" s="166"/>
      <c r="F19" s="182"/>
      <c r="G19" s="180"/>
      <c r="H19" s="402"/>
      <c r="I19" s="166" t="str">
        <f t="shared" si="0"/>
        <v>-</v>
      </c>
      <c r="J19" s="166" t="str">
        <f t="shared" si="1"/>
        <v>-</v>
      </c>
      <c r="K19" s="180" t="str">
        <f t="shared" si="2"/>
        <v>-</v>
      </c>
      <c r="L19" s="402"/>
      <c r="M19" s="181" t="e">
        <f>RANK(K19, K$7:$K$21)</f>
        <v>#VALUE!</v>
      </c>
      <c r="N19" s="389"/>
      <c r="O19" s="389"/>
      <c r="P19" s="182" t="s">
        <v>634</v>
      </c>
      <c r="Q19" s="166" t="s">
        <v>634</v>
      </c>
      <c r="R19" s="166" t="s">
        <v>634</v>
      </c>
      <c r="S19" s="182" t="e">
        <f t="shared" si="3"/>
        <v>#VALUE!</v>
      </c>
      <c r="T19" s="390"/>
      <c r="U19" s="182" t="s">
        <v>634</v>
      </c>
      <c r="V19" s="166" t="s">
        <v>634</v>
      </c>
      <c r="W19" s="166" t="s">
        <v>634</v>
      </c>
      <c r="X19" s="182" t="e">
        <f t="shared" si="5"/>
        <v>#VALUE!</v>
      </c>
      <c r="Y19" s="390"/>
      <c r="Z19" s="182" t="s">
        <v>634</v>
      </c>
      <c r="AA19" s="166" t="s">
        <v>634</v>
      </c>
      <c r="AB19" s="166" t="s">
        <v>634</v>
      </c>
      <c r="AC19" s="182" t="e">
        <f t="shared" si="7"/>
        <v>#VALUE!</v>
      </c>
      <c r="AD19" s="390"/>
      <c r="AE19" s="390"/>
      <c r="AF19" s="166" t="s">
        <v>634</v>
      </c>
      <c r="AG19" s="166" t="s">
        <v>634</v>
      </c>
      <c r="AH19" s="182" t="e">
        <f t="shared" si="10"/>
        <v>#VALUE!</v>
      </c>
      <c r="AI19" s="390"/>
      <c r="AJ19" s="182" t="s">
        <v>634</v>
      </c>
      <c r="AK19" s="166" t="s">
        <v>634</v>
      </c>
      <c r="AL19" s="166" t="s">
        <v>634</v>
      </c>
      <c r="AM19" s="182" t="e">
        <f t="shared" si="12"/>
        <v>#VALUE!</v>
      </c>
      <c r="AN19" s="390"/>
      <c r="AO19" s="182" t="s">
        <v>634</v>
      </c>
      <c r="AP19" s="166" t="s">
        <v>634</v>
      </c>
      <c r="AQ19" s="166" t="s">
        <v>634</v>
      </c>
      <c r="AR19" s="182" t="e">
        <f t="shared" si="14"/>
        <v>#VALUE!</v>
      </c>
      <c r="AS19" s="390"/>
      <c r="AT19" s="182" t="s">
        <v>634</v>
      </c>
      <c r="AU19" s="166" t="s">
        <v>634</v>
      </c>
      <c r="AV19" s="166" t="s">
        <v>634</v>
      </c>
      <c r="AW19" s="182" t="e">
        <f t="shared" si="16"/>
        <v>#VALUE!</v>
      </c>
      <c r="AX19" s="390"/>
      <c r="AZ19" s="182" t="e">
        <f t="shared" si="18"/>
        <v>#N/A</v>
      </c>
      <c r="BA19" s="390"/>
    </row>
    <row r="20" spans="2:53">
      <c r="B20" s="395"/>
      <c r="C20" s="182">
        <v>14</v>
      </c>
      <c r="D20" s="203"/>
      <c r="E20" s="166"/>
      <c r="F20" s="182"/>
      <c r="G20" s="180"/>
      <c r="H20" s="402"/>
      <c r="I20" s="166" t="str">
        <f t="shared" si="0"/>
        <v>-</v>
      </c>
      <c r="J20" s="166" t="str">
        <f t="shared" si="1"/>
        <v>-</v>
      </c>
      <c r="K20" s="180" t="str">
        <f t="shared" si="2"/>
        <v>-</v>
      </c>
      <c r="L20" s="402"/>
      <c r="M20" s="181" t="e">
        <f>RANK(K20, K$7:$K$21)</f>
        <v>#VALUE!</v>
      </c>
      <c r="N20" s="389"/>
      <c r="O20" s="389"/>
      <c r="P20" s="182" t="s">
        <v>634</v>
      </c>
      <c r="Q20" s="166" t="s">
        <v>634</v>
      </c>
      <c r="R20" s="166" t="s">
        <v>634</v>
      </c>
      <c r="S20" s="182" t="e">
        <f t="shared" si="3"/>
        <v>#VALUE!</v>
      </c>
      <c r="T20" s="390"/>
      <c r="U20" s="182" t="s">
        <v>634</v>
      </c>
      <c r="V20" s="166" t="s">
        <v>634</v>
      </c>
      <c r="W20" s="166" t="s">
        <v>634</v>
      </c>
      <c r="X20" s="182" t="e">
        <f t="shared" si="5"/>
        <v>#VALUE!</v>
      </c>
      <c r="Y20" s="390"/>
      <c r="Z20" s="182" t="s">
        <v>634</v>
      </c>
      <c r="AA20" s="166" t="s">
        <v>634</v>
      </c>
      <c r="AB20" s="166" t="s">
        <v>634</v>
      </c>
      <c r="AC20" s="182" t="e">
        <f t="shared" si="7"/>
        <v>#VALUE!</v>
      </c>
      <c r="AD20" s="390"/>
      <c r="AE20" s="390"/>
      <c r="AF20" s="166" t="s">
        <v>634</v>
      </c>
      <c r="AG20" s="166" t="s">
        <v>634</v>
      </c>
      <c r="AH20" s="182" t="e">
        <f t="shared" si="10"/>
        <v>#VALUE!</v>
      </c>
      <c r="AI20" s="390"/>
      <c r="AJ20" s="182" t="s">
        <v>634</v>
      </c>
      <c r="AK20" s="166" t="s">
        <v>634</v>
      </c>
      <c r="AL20" s="166" t="s">
        <v>634</v>
      </c>
      <c r="AM20" s="182" t="e">
        <f t="shared" si="12"/>
        <v>#VALUE!</v>
      </c>
      <c r="AN20" s="390"/>
      <c r="AO20" s="182" t="s">
        <v>634</v>
      </c>
      <c r="AP20" s="166" t="s">
        <v>634</v>
      </c>
      <c r="AQ20" s="166" t="s">
        <v>634</v>
      </c>
      <c r="AR20" s="182" t="e">
        <f t="shared" si="14"/>
        <v>#VALUE!</v>
      </c>
      <c r="AS20" s="390"/>
      <c r="AT20" s="182" t="s">
        <v>634</v>
      </c>
      <c r="AU20" s="166" t="s">
        <v>634</v>
      </c>
      <c r="AV20" s="166" t="s">
        <v>634</v>
      </c>
      <c r="AW20" s="182" t="e">
        <f t="shared" si="16"/>
        <v>#VALUE!</v>
      </c>
      <c r="AX20" s="390"/>
      <c r="AZ20" s="182" t="e">
        <f t="shared" si="18"/>
        <v>#N/A</v>
      </c>
      <c r="BA20" s="390"/>
    </row>
    <row r="21" spans="2:53">
      <c r="B21" s="395"/>
      <c r="C21" s="182">
        <v>15</v>
      </c>
      <c r="D21" s="203"/>
      <c r="E21" s="166"/>
      <c r="F21" s="182"/>
      <c r="G21" s="180"/>
      <c r="H21" s="403"/>
      <c r="I21" s="166"/>
      <c r="J21" s="166"/>
      <c r="K21" s="180"/>
      <c r="L21" s="403"/>
      <c r="M21" s="181" t="e">
        <f>RANK(K21, K$7:$K$21)</f>
        <v>#N/A</v>
      </c>
      <c r="N21" s="389"/>
      <c r="O21" s="389"/>
      <c r="P21" s="182" t="s">
        <v>634</v>
      </c>
      <c r="Q21" s="166" t="s">
        <v>634</v>
      </c>
      <c r="R21" s="166" t="s">
        <v>634</v>
      </c>
      <c r="S21" s="182" t="e">
        <f t="shared" si="3"/>
        <v>#VALUE!</v>
      </c>
      <c r="T21" s="390"/>
      <c r="U21" s="182" t="s">
        <v>634</v>
      </c>
      <c r="V21" s="166" t="s">
        <v>634</v>
      </c>
      <c r="W21" s="166" t="s">
        <v>634</v>
      </c>
      <c r="X21" s="182" t="e">
        <f t="shared" si="5"/>
        <v>#VALUE!</v>
      </c>
      <c r="Y21" s="390"/>
      <c r="Z21" s="182" t="s">
        <v>634</v>
      </c>
      <c r="AA21" s="166" t="s">
        <v>634</v>
      </c>
      <c r="AB21" s="166" t="s">
        <v>634</v>
      </c>
      <c r="AC21" s="182" t="e">
        <f t="shared" si="7"/>
        <v>#VALUE!</v>
      </c>
      <c r="AD21" s="390"/>
      <c r="AE21" s="390"/>
      <c r="AF21" s="166" t="s">
        <v>634</v>
      </c>
      <c r="AG21" s="166" t="s">
        <v>634</v>
      </c>
      <c r="AH21" s="182" t="e">
        <f t="shared" si="10"/>
        <v>#VALUE!</v>
      </c>
      <c r="AI21" s="390"/>
      <c r="AJ21" s="182" t="s">
        <v>634</v>
      </c>
      <c r="AK21" s="166" t="s">
        <v>634</v>
      </c>
      <c r="AL21" s="166" t="s">
        <v>634</v>
      </c>
      <c r="AM21" s="182" t="e">
        <f t="shared" si="12"/>
        <v>#VALUE!</v>
      </c>
      <c r="AN21" s="390"/>
      <c r="AO21" s="182" t="s">
        <v>634</v>
      </c>
      <c r="AP21" s="166" t="s">
        <v>634</v>
      </c>
      <c r="AQ21" s="166" t="s">
        <v>634</v>
      </c>
      <c r="AR21" s="182" t="e">
        <f t="shared" si="14"/>
        <v>#VALUE!</v>
      </c>
      <c r="AS21" s="390"/>
      <c r="AT21" s="182" t="s">
        <v>634</v>
      </c>
      <c r="AU21" s="166" t="s">
        <v>634</v>
      </c>
      <c r="AV21" s="166" t="s">
        <v>634</v>
      </c>
      <c r="AW21" s="182" t="e">
        <f t="shared" si="16"/>
        <v>#VALUE!</v>
      </c>
      <c r="AX21" s="390"/>
      <c r="AZ21" s="182" t="e">
        <f t="shared" si="18"/>
        <v>#N/A</v>
      </c>
      <c r="BA21" s="390"/>
    </row>
    <row r="22" spans="2:53" ht="15.75">
      <c r="B22" s="424" t="s">
        <v>163</v>
      </c>
      <c r="C22" s="425"/>
      <c r="D22" s="425"/>
      <c r="E22" s="425"/>
      <c r="F22" s="425"/>
      <c r="G22" s="425"/>
      <c r="H22" s="425"/>
      <c r="I22" s="183"/>
      <c r="J22" s="183"/>
      <c r="K22" s="183"/>
      <c r="L22" s="183"/>
      <c r="M22" s="178"/>
      <c r="N22" s="391" t="s">
        <v>156</v>
      </c>
      <c r="O22" s="391" t="s">
        <v>105</v>
      </c>
      <c r="P22" s="413">
        <f>P2+7</f>
        <v>46147</v>
      </c>
      <c r="Q22" s="395"/>
      <c r="R22" s="395"/>
      <c r="S22" s="395"/>
      <c r="T22" s="395"/>
      <c r="U22" s="410">
        <f>P22+1</f>
        <v>46148</v>
      </c>
      <c r="V22" s="411"/>
      <c r="W22" s="411"/>
      <c r="X22" s="411"/>
      <c r="Y22" s="412"/>
      <c r="Z22" s="410">
        <f>U22+1</f>
        <v>46149</v>
      </c>
      <c r="AA22" s="411"/>
      <c r="AB22" s="411"/>
      <c r="AC22" s="411"/>
      <c r="AD22" s="412"/>
      <c r="AE22" s="410">
        <f>Z22+1</f>
        <v>46150</v>
      </c>
      <c r="AF22" s="411"/>
      <c r="AG22" s="411"/>
      <c r="AH22" s="411"/>
      <c r="AI22" s="412"/>
      <c r="AJ22" s="410">
        <f>AE22+1</f>
        <v>46151</v>
      </c>
      <c r="AK22" s="411"/>
      <c r="AL22" s="411"/>
      <c r="AM22" s="411"/>
      <c r="AN22" s="412"/>
      <c r="AO22" s="410">
        <f>AJ22+1</f>
        <v>46152</v>
      </c>
      <c r="AP22" s="411"/>
      <c r="AQ22" s="411"/>
      <c r="AR22" s="411"/>
      <c r="AS22" s="412"/>
      <c r="AT22" s="410">
        <f>AO22+1</f>
        <v>46153</v>
      </c>
      <c r="AU22" s="411"/>
      <c r="AV22" s="411"/>
      <c r="AW22" s="411"/>
      <c r="AX22" s="412"/>
    </row>
    <row r="23" spans="2:53" ht="15.75">
      <c r="B23" s="416"/>
      <c r="C23" s="416"/>
      <c r="D23" s="416"/>
      <c r="E23" s="416"/>
      <c r="F23" s="416"/>
      <c r="G23" s="416"/>
      <c r="H23" s="416"/>
      <c r="I23" s="184"/>
      <c r="J23" s="184"/>
      <c r="K23" s="184"/>
      <c r="L23" s="184"/>
      <c r="M23" s="179"/>
      <c r="N23" s="393"/>
      <c r="O23" s="393"/>
      <c r="P23" s="413" t="s">
        <v>318</v>
      </c>
      <c r="Q23" s="395"/>
      <c r="R23" s="395"/>
      <c r="S23" s="395"/>
      <c r="T23" s="395"/>
      <c r="U23" s="413" t="s">
        <v>319</v>
      </c>
      <c r="V23" s="395"/>
      <c r="W23" s="395"/>
      <c r="X23" s="395"/>
      <c r="Y23" s="395"/>
      <c r="Z23" s="413" t="s">
        <v>320</v>
      </c>
      <c r="AA23" s="395"/>
      <c r="AB23" s="395"/>
      <c r="AC23" s="395"/>
      <c r="AD23" s="395"/>
      <c r="AE23" s="413" t="s">
        <v>321</v>
      </c>
      <c r="AF23" s="395"/>
      <c r="AG23" s="395"/>
      <c r="AH23" s="395"/>
      <c r="AI23" s="395"/>
      <c r="AJ23" s="413" t="s">
        <v>322</v>
      </c>
      <c r="AK23" s="395"/>
      <c r="AL23" s="395"/>
      <c r="AM23" s="395"/>
      <c r="AN23" s="395"/>
      <c r="AO23" s="413" t="s">
        <v>323</v>
      </c>
      <c r="AP23" s="395"/>
      <c r="AQ23" s="395"/>
      <c r="AR23" s="395"/>
      <c r="AS23" s="395"/>
      <c r="AT23" s="413" t="s">
        <v>324</v>
      </c>
      <c r="AU23" s="395"/>
      <c r="AV23" s="395"/>
      <c r="AW23" s="395"/>
      <c r="AX23" s="395"/>
    </row>
    <row r="24" spans="2:53">
      <c r="B24" s="389" t="s">
        <v>376</v>
      </c>
      <c r="C24" s="389" t="s">
        <v>386</v>
      </c>
      <c r="D24" s="389"/>
      <c r="E24" s="389" t="s">
        <v>377</v>
      </c>
      <c r="F24" s="389"/>
      <c r="G24" s="389"/>
      <c r="H24" s="417" t="s">
        <v>373</v>
      </c>
      <c r="I24" s="389" t="s">
        <v>378</v>
      </c>
      <c r="J24" s="389"/>
      <c r="K24" s="389"/>
      <c r="L24" s="417" t="s">
        <v>373</v>
      </c>
      <c r="M24" s="391" t="s">
        <v>374</v>
      </c>
      <c r="N24" s="389"/>
      <c r="O24" s="389" t="s">
        <v>379</v>
      </c>
      <c r="P24" s="404" t="s">
        <v>375</v>
      </c>
      <c r="Q24" s="405"/>
      <c r="R24" s="405"/>
      <c r="S24" s="406"/>
      <c r="T24" s="389" t="s">
        <v>373</v>
      </c>
      <c r="U24" s="404" t="s">
        <v>375</v>
      </c>
      <c r="V24" s="405"/>
      <c r="W24" s="405"/>
      <c r="X24" s="406"/>
      <c r="Y24" s="389" t="s">
        <v>373</v>
      </c>
      <c r="Z24" s="404" t="s">
        <v>375</v>
      </c>
      <c r="AA24" s="405"/>
      <c r="AB24" s="405"/>
      <c r="AC24" s="406"/>
      <c r="AD24" s="389" t="s">
        <v>373</v>
      </c>
      <c r="AE24" s="404" t="s">
        <v>375</v>
      </c>
      <c r="AF24" s="405"/>
      <c r="AG24" s="405"/>
      <c r="AH24" s="406"/>
      <c r="AI24" s="389" t="s">
        <v>373</v>
      </c>
      <c r="AJ24" s="404" t="s">
        <v>375</v>
      </c>
      <c r="AK24" s="405"/>
      <c r="AL24" s="405"/>
      <c r="AM24" s="406"/>
      <c r="AN24" s="389" t="s">
        <v>373</v>
      </c>
      <c r="AO24" s="404" t="s">
        <v>375</v>
      </c>
      <c r="AP24" s="405"/>
      <c r="AQ24" s="405"/>
      <c r="AR24" s="406"/>
      <c r="AS24" s="389" t="s">
        <v>373</v>
      </c>
      <c r="AT24" s="404" t="s">
        <v>375</v>
      </c>
      <c r="AU24" s="405"/>
      <c r="AV24" s="405"/>
      <c r="AW24" s="406"/>
      <c r="AX24" s="389" t="s">
        <v>373</v>
      </c>
      <c r="BA24" s="389" t="s">
        <v>576</v>
      </c>
    </row>
    <row r="25" spans="2:53">
      <c r="B25" s="389"/>
      <c r="C25" s="389"/>
      <c r="D25" s="389"/>
      <c r="E25" s="389" t="s">
        <v>380</v>
      </c>
      <c r="F25" s="389"/>
      <c r="G25" s="389"/>
      <c r="H25" s="418"/>
      <c r="I25" s="389" t="s">
        <v>380</v>
      </c>
      <c r="J25" s="389"/>
      <c r="K25" s="389"/>
      <c r="L25" s="418"/>
      <c r="M25" s="392"/>
      <c r="N25" s="389"/>
      <c r="O25" s="389"/>
      <c r="P25" s="404" t="s">
        <v>381</v>
      </c>
      <c r="Q25" s="405"/>
      <c r="R25" s="405"/>
      <c r="S25" s="406"/>
      <c r="T25" s="389"/>
      <c r="U25" s="404" t="s">
        <v>381</v>
      </c>
      <c r="V25" s="405"/>
      <c r="W25" s="405"/>
      <c r="X25" s="406"/>
      <c r="Y25" s="389"/>
      <c r="Z25" s="404" t="s">
        <v>381</v>
      </c>
      <c r="AA25" s="405"/>
      <c r="AB25" s="405"/>
      <c r="AC25" s="406"/>
      <c r="AD25" s="389"/>
      <c r="AE25" s="404" t="s">
        <v>381</v>
      </c>
      <c r="AF25" s="405"/>
      <c r="AG25" s="405"/>
      <c r="AH25" s="406"/>
      <c r="AI25" s="389"/>
      <c r="AJ25" s="404" t="s">
        <v>381</v>
      </c>
      <c r="AK25" s="405"/>
      <c r="AL25" s="405"/>
      <c r="AM25" s="406"/>
      <c r="AN25" s="389"/>
      <c r="AO25" s="404" t="s">
        <v>381</v>
      </c>
      <c r="AP25" s="405"/>
      <c r="AQ25" s="405"/>
      <c r="AR25" s="406"/>
      <c r="AS25" s="389"/>
      <c r="AT25" s="404" t="s">
        <v>381</v>
      </c>
      <c r="AU25" s="405"/>
      <c r="AV25" s="405"/>
      <c r="AW25" s="406"/>
      <c r="AX25" s="389"/>
      <c r="BA25" s="389"/>
    </row>
    <row r="26" spans="2:53">
      <c r="B26" s="389"/>
      <c r="C26" s="389"/>
      <c r="D26" s="389"/>
      <c r="E26" s="258" t="s">
        <v>382</v>
      </c>
      <c r="F26" s="258" t="s">
        <v>383</v>
      </c>
      <c r="G26" s="258" t="s">
        <v>384</v>
      </c>
      <c r="H26" s="419"/>
      <c r="I26" s="258" t="s">
        <v>382</v>
      </c>
      <c r="J26" s="258" t="s">
        <v>383</v>
      </c>
      <c r="K26" s="258" t="s">
        <v>384</v>
      </c>
      <c r="L26" s="419"/>
      <c r="M26" s="393"/>
      <c r="N26" s="389"/>
      <c r="O26" s="389"/>
      <c r="P26" s="258" t="s">
        <v>382</v>
      </c>
      <c r="Q26" s="258" t="s">
        <v>383</v>
      </c>
      <c r="R26" s="258" t="s">
        <v>384</v>
      </c>
      <c r="S26" s="258" t="s">
        <v>374</v>
      </c>
      <c r="T26" s="389"/>
      <c r="U26" s="258" t="s">
        <v>382</v>
      </c>
      <c r="V26" s="258" t="s">
        <v>383</v>
      </c>
      <c r="W26" s="258" t="s">
        <v>384</v>
      </c>
      <c r="X26" s="258" t="s">
        <v>374</v>
      </c>
      <c r="Y26" s="389"/>
      <c r="Z26" s="258" t="s">
        <v>382</v>
      </c>
      <c r="AA26" s="258" t="s">
        <v>383</v>
      </c>
      <c r="AB26" s="258" t="s">
        <v>384</v>
      </c>
      <c r="AC26" s="258" t="s">
        <v>374</v>
      </c>
      <c r="AD26" s="389"/>
      <c r="AE26" s="258" t="s">
        <v>382</v>
      </c>
      <c r="AF26" s="258" t="s">
        <v>383</v>
      </c>
      <c r="AG26" s="258" t="s">
        <v>384</v>
      </c>
      <c r="AH26" s="258" t="s">
        <v>374</v>
      </c>
      <c r="AI26" s="389"/>
      <c r="AJ26" s="258" t="s">
        <v>382</v>
      </c>
      <c r="AK26" s="258" t="s">
        <v>383</v>
      </c>
      <c r="AL26" s="258" t="s">
        <v>384</v>
      </c>
      <c r="AM26" s="258" t="s">
        <v>374</v>
      </c>
      <c r="AN26" s="389"/>
      <c r="AO26" s="258" t="s">
        <v>382</v>
      </c>
      <c r="AP26" s="258" t="s">
        <v>383</v>
      </c>
      <c r="AQ26" s="258" t="s">
        <v>384</v>
      </c>
      <c r="AR26" s="258" t="s">
        <v>374</v>
      </c>
      <c r="AS26" s="389"/>
      <c r="AT26" s="258" t="s">
        <v>382</v>
      </c>
      <c r="AU26" s="258" t="s">
        <v>383</v>
      </c>
      <c r="AV26" s="258" t="s">
        <v>384</v>
      </c>
      <c r="AW26" s="258" t="s">
        <v>374</v>
      </c>
      <c r="AX26" s="389"/>
      <c r="AZ26" s="258" t="s">
        <v>374</v>
      </c>
      <c r="BA26" s="389"/>
    </row>
    <row r="27" spans="2:53">
      <c r="B27" s="486" t="s">
        <v>385</v>
      </c>
      <c r="C27" s="182">
        <v>1</v>
      </c>
      <c r="D27" s="203" t="s">
        <v>364</v>
      </c>
      <c r="E27" s="166">
        <v>4</v>
      </c>
      <c r="F27" s="166">
        <v>2000</v>
      </c>
      <c r="G27" s="166">
        <v>500</v>
      </c>
      <c r="H27" s="401">
        <f>AVERAGE(G27:G41)</f>
        <v>284.12962962962968</v>
      </c>
      <c r="I27" s="166">
        <f t="shared" ref="I27:I40" si="20">IFERROR(AVERAGE(P27,U27,Z27,AE27,AJ27,AO27,AT27),"-")</f>
        <v>5</v>
      </c>
      <c r="J27" s="166">
        <f t="shared" ref="J27:J40" si="21">IFERROR(AVERAGE(Q27,V27,AA27,AF27,AK27,AP27,AU27),"-")</f>
        <v>2145.7776470967642</v>
      </c>
      <c r="K27" s="180">
        <f t="shared" ref="K27:K40" si="22">IFERROR(AVERAGE(R27,W27,AB27,AG27,AL27,AQ27,AV27),"-")</f>
        <v>429.15552941935283</v>
      </c>
      <c r="L27" s="401">
        <f>IFERROR(AVERAGE(K27:K41),"-")</f>
        <v>243.85708832275472</v>
      </c>
      <c r="M27" s="166">
        <f>RANK(K27, K$27:$K$41)</f>
        <v>2</v>
      </c>
      <c r="N27" s="389"/>
      <c r="O27" s="389"/>
      <c r="P27" s="166">
        <v>5</v>
      </c>
      <c r="Q27" s="166">
        <v>2138.5074626865671</v>
      </c>
      <c r="R27" s="166">
        <v>427.70149253731341</v>
      </c>
      <c r="S27" s="182">
        <f>RANK(R27, R$27:R$41)</f>
        <v>1</v>
      </c>
      <c r="T27" s="390">
        <f>AVERAGE(R27:R41)</f>
        <v>242.6264323807564</v>
      </c>
      <c r="U27" s="166">
        <v>5</v>
      </c>
      <c r="V27" s="166">
        <v>2154.1935483870975</v>
      </c>
      <c r="W27" s="166">
        <v>430.8387096774195</v>
      </c>
      <c r="X27" s="182">
        <f>RANK(W27, W$27:W$41)</f>
        <v>2</v>
      </c>
      <c r="Y27" s="390">
        <f t="shared" ref="Y27" si="23">AVERAGE(W27:W41)</f>
        <v>243.89738310808349</v>
      </c>
      <c r="Z27" s="166">
        <v>5</v>
      </c>
      <c r="AA27" s="166">
        <v>2134.0000000000005</v>
      </c>
      <c r="AB27" s="166">
        <v>426.80000000000007</v>
      </c>
      <c r="AC27" s="182">
        <f>RANK(AB27, AB$27:AB$41)</f>
        <v>2</v>
      </c>
      <c r="AD27" s="390">
        <f t="shared" ref="AD27" si="24">AVERAGE(AB27:AB41)</f>
        <v>244.18666971507531</v>
      </c>
      <c r="AE27" s="166">
        <v>5</v>
      </c>
      <c r="AF27" s="166">
        <v>2136.7346938775518</v>
      </c>
      <c r="AG27" s="166">
        <v>427.34693877551035</v>
      </c>
      <c r="AH27" s="182">
        <f>RANK(AG27, AG$27:AG$41)</f>
        <v>2</v>
      </c>
      <c r="AI27" s="390">
        <f t="shared" ref="AI27" si="25">AVERAGE(AG27:AG41)</f>
        <v>243.20592070685038</v>
      </c>
      <c r="AJ27" s="166">
        <v>5</v>
      </c>
      <c r="AK27" s="166">
        <v>2164.4444444444443</v>
      </c>
      <c r="AL27" s="166">
        <v>432.88888888888886</v>
      </c>
      <c r="AM27" s="182">
        <f>RANK(AL27, AL$27:AL$41)</f>
        <v>1</v>
      </c>
      <c r="AN27" s="390">
        <f t="shared" ref="AN27" si="26">AVERAGE(AL27:AL41)</f>
        <v>243.73213612290888</v>
      </c>
      <c r="AO27" s="166">
        <v>5</v>
      </c>
      <c r="AP27" s="166">
        <v>2151.9999999999995</v>
      </c>
      <c r="AQ27" s="166">
        <v>430.39999999999992</v>
      </c>
      <c r="AR27" s="182">
        <f>RANK(AQ27, AQ$27:AQ$41)</f>
        <v>1</v>
      </c>
      <c r="AS27" s="390">
        <f t="shared" ref="AS27" si="27">AVERAGE(AQ27:AQ41)</f>
        <v>244.61991686811405</v>
      </c>
      <c r="AT27" s="166">
        <v>5</v>
      </c>
      <c r="AU27" s="166">
        <v>2140.5633802816906</v>
      </c>
      <c r="AV27" s="166">
        <v>428.1126760563381</v>
      </c>
      <c r="AW27" s="182">
        <f>RANK(AV27, AV$27:AV$41)</f>
        <v>2</v>
      </c>
      <c r="AX27" s="390">
        <f t="shared" ref="AX27" si="28">AVERAGE(AV27:AV41)</f>
        <v>244.73115935749476</v>
      </c>
      <c r="AZ27" s="182" t="e">
        <f t="shared" ref="AZ27:AZ41" si="29">RANK(AY27, AY$27:AY$41)</f>
        <v>#N/A</v>
      </c>
      <c r="BA27" s="384" t="e">
        <f t="shared" ref="BA27" si="30">AVERAGE(AY27:AY41)</f>
        <v>#DIV/0!</v>
      </c>
    </row>
    <row r="28" spans="2:53">
      <c r="B28" s="395"/>
      <c r="C28" s="182">
        <v>2</v>
      </c>
      <c r="D28" s="203" t="s">
        <v>442</v>
      </c>
      <c r="E28" s="166">
        <v>4</v>
      </c>
      <c r="F28" s="166">
        <v>2000</v>
      </c>
      <c r="G28" s="166">
        <v>500</v>
      </c>
      <c r="H28" s="402"/>
      <c r="I28" s="166">
        <f t="shared" si="20"/>
        <v>5</v>
      </c>
      <c r="J28" s="166">
        <f t="shared" si="21"/>
        <v>2155.8039321287192</v>
      </c>
      <c r="K28" s="180">
        <f t="shared" si="22"/>
        <v>431.16078642574382</v>
      </c>
      <c r="L28" s="402"/>
      <c r="M28" s="166">
        <f>RANK(K28, K$27:$K$41)</f>
        <v>1</v>
      </c>
      <c r="N28" s="389"/>
      <c r="O28" s="389"/>
      <c r="P28" s="166">
        <v>5</v>
      </c>
      <c r="Q28" s="166">
        <v>2136.1904761904771</v>
      </c>
      <c r="R28" s="166">
        <v>427.23809523809541</v>
      </c>
      <c r="S28" s="182">
        <f t="shared" ref="S28:S41" si="31">RANK(R28, R$27:R$41)</f>
        <v>2</v>
      </c>
      <c r="T28" s="390"/>
      <c r="U28" s="166">
        <v>5</v>
      </c>
      <c r="V28" s="166">
        <v>2161.0344827586191</v>
      </c>
      <c r="W28" s="166">
        <v>432.20689655172384</v>
      </c>
      <c r="X28" s="182">
        <f t="shared" ref="X28:X41" si="32">RANK(W28, W$27:W$41)</f>
        <v>1</v>
      </c>
      <c r="Y28" s="390"/>
      <c r="Z28" s="166">
        <v>5</v>
      </c>
      <c r="AA28" s="166">
        <v>2181.0526315789457</v>
      </c>
      <c r="AB28" s="166">
        <v>436.21052631578914</v>
      </c>
      <c r="AC28" s="182">
        <f t="shared" ref="AC28:AC41" si="33">RANK(AB28, AB$27:AB$41)</f>
        <v>1</v>
      </c>
      <c r="AD28" s="390"/>
      <c r="AE28" s="166">
        <v>5</v>
      </c>
      <c r="AF28" s="166">
        <v>2161.304347826087</v>
      </c>
      <c r="AG28" s="166">
        <v>432.26086956521738</v>
      </c>
      <c r="AH28" s="182">
        <f t="shared" ref="AH28:AH41" si="34">RANK(AG28, AG$27:AG$41)</f>
        <v>1</v>
      </c>
      <c r="AI28" s="390"/>
      <c r="AJ28" s="166">
        <v>5</v>
      </c>
      <c r="AK28" s="166">
        <v>2161.1764705882365</v>
      </c>
      <c r="AL28" s="166">
        <v>432.2352941176473</v>
      </c>
      <c r="AM28" s="182">
        <f t="shared" ref="AM28:AM41" si="35">RANK(AL28, AL$27:AL$41)</f>
        <v>2</v>
      </c>
      <c r="AN28" s="390"/>
      <c r="AO28" s="166">
        <v>5</v>
      </c>
      <c r="AP28" s="166">
        <v>2149.2537313432836</v>
      </c>
      <c r="AQ28" s="166">
        <v>429.85074626865674</v>
      </c>
      <c r="AR28" s="182">
        <f t="shared" ref="AR28:AR41" si="36">RANK(AQ28, AQ$27:AQ$41)</f>
        <v>2</v>
      </c>
      <c r="AS28" s="390"/>
      <c r="AT28" s="166">
        <v>5</v>
      </c>
      <c r="AU28" s="166">
        <v>2140.6153846153857</v>
      </c>
      <c r="AV28" s="166">
        <v>428.12307692307712</v>
      </c>
      <c r="AW28" s="182">
        <f t="shared" ref="AW28:AW41" si="37">RANK(AV28, AV$27:AV$41)</f>
        <v>1</v>
      </c>
      <c r="AX28" s="390"/>
      <c r="AZ28" s="182" t="e">
        <f t="shared" si="29"/>
        <v>#N/A</v>
      </c>
      <c r="BA28" s="385"/>
    </row>
    <row r="29" spans="2:53">
      <c r="B29" s="395"/>
      <c r="C29" s="182">
        <v>3</v>
      </c>
      <c r="D29" s="203" t="s">
        <v>365</v>
      </c>
      <c r="E29" s="166">
        <v>12</v>
      </c>
      <c r="F29" s="166">
        <v>2118</v>
      </c>
      <c r="G29" s="166">
        <v>176.5</v>
      </c>
      <c r="H29" s="402"/>
      <c r="I29" s="166">
        <f t="shared" si="20"/>
        <v>12</v>
      </c>
      <c r="J29" s="166">
        <f t="shared" si="21"/>
        <v>1935.3711359209299</v>
      </c>
      <c r="K29" s="180">
        <f t="shared" si="22"/>
        <v>161.28092799341081</v>
      </c>
      <c r="L29" s="402"/>
      <c r="M29" s="166">
        <f>RANK(K29, K$27:$K$41)</f>
        <v>8</v>
      </c>
      <c r="N29" s="389"/>
      <c r="O29" s="389"/>
      <c r="P29" s="166">
        <v>12</v>
      </c>
      <c r="Q29" s="166">
        <v>1893.3333333333326</v>
      </c>
      <c r="R29" s="166">
        <v>157.77777777777771</v>
      </c>
      <c r="S29" s="182">
        <f t="shared" si="31"/>
        <v>8</v>
      </c>
      <c r="T29" s="390"/>
      <c r="U29" s="166">
        <v>12</v>
      </c>
      <c r="V29" s="166">
        <v>1876.7647058823532</v>
      </c>
      <c r="W29" s="166">
        <v>156.39705882352942</v>
      </c>
      <c r="X29" s="182">
        <f t="shared" si="32"/>
        <v>8</v>
      </c>
      <c r="Y29" s="390"/>
      <c r="Z29" s="166">
        <v>12</v>
      </c>
      <c r="AA29" s="166">
        <v>1948.5714285714294</v>
      </c>
      <c r="AB29" s="166">
        <v>162.38095238095244</v>
      </c>
      <c r="AC29" s="182">
        <f t="shared" si="33"/>
        <v>7</v>
      </c>
      <c r="AD29" s="390"/>
      <c r="AE29" s="166">
        <v>12</v>
      </c>
      <c r="AF29" s="166">
        <v>1929.4736842105262</v>
      </c>
      <c r="AG29" s="166">
        <v>160.78947368421052</v>
      </c>
      <c r="AH29" s="182">
        <f t="shared" si="34"/>
        <v>8</v>
      </c>
      <c r="AI29" s="390"/>
      <c r="AJ29" s="166">
        <v>12</v>
      </c>
      <c r="AK29" s="166">
        <v>1939.6874999999995</v>
      </c>
      <c r="AL29" s="166">
        <v>161.64062499999997</v>
      </c>
      <c r="AM29" s="182">
        <f t="shared" si="35"/>
        <v>7</v>
      </c>
      <c r="AN29" s="390"/>
      <c r="AO29" s="166">
        <v>12</v>
      </c>
      <c r="AP29" s="166">
        <v>2001.7391304347827</v>
      </c>
      <c r="AQ29" s="166">
        <v>166.81159420289856</v>
      </c>
      <c r="AR29" s="182">
        <f t="shared" si="36"/>
        <v>6</v>
      </c>
      <c r="AS29" s="390"/>
      <c r="AT29" s="166">
        <v>12</v>
      </c>
      <c r="AU29" s="166">
        <v>1958.0281690140848</v>
      </c>
      <c r="AV29" s="166">
        <v>163.16901408450707</v>
      </c>
      <c r="AW29" s="182">
        <f t="shared" si="37"/>
        <v>7</v>
      </c>
      <c r="AX29" s="390"/>
      <c r="AZ29" s="182" t="e">
        <f t="shared" si="29"/>
        <v>#N/A</v>
      </c>
      <c r="BA29" s="385"/>
    </row>
    <row r="30" spans="2:53">
      <c r="B30" s="395"/>
      <c r="C30" s="182">
        <v>4</v>
      </c>
      <c r="D30" s="203" t="s">
        <v>605</v>
      </c>
      <c r="E30" s="166">
        <v>13</v>
      </c>
      <c r="F30" s="166">
        <v>2250</v>
      </c>
      <c r="G30" s="166">
        <v>187.5</v>
      </c>
      <c r="H30" s="402"/>
      <c r="I30" s="166">
        <f t="shared" si="20"/>
        <v>13</v>
      </c>
      <c r="J30" s="166">
        <f t="shared" si="21"/>
        <v>2153.2312908566432</v>
      </c>
      <c r="K30" s="180">
        <f t="shared" si="22"/>
        <v>165.63317621974178</v>
      </c>
      <c r="L30" s="402"/>
      <c r="M30" s="166">
        <f>RANK(K30, K$27:$K$41)</f>
        <v>5</v>
      </c>
      <c r="N30" s="389"/>
      <c r="O30" s="389"/>
      <c r="P30" s="166">
        <v>13</v>
      </c>
      <c r="Q30" s="166">
        <v>2175.1515151515146</v>
      </c>
      <c r="R30" s="166">
        <v>167.31934731934729</v>
      </c>
      <c r="S30" s="182">
        <f t="shared" si="31"/>
        <v>5</v>
      </c>
      <c r="T30" s="390"/>
      <c r="U30" s="166">
        <v>13</v>
      </c>
      <c r="V30" s="166">
        <v>2168.2978723404249</v>
      </c>
      <c r="W30" s="166">
        <v>166.79214402618652</v>
      </c>
      <c r="X30" s="182">
        <f t="shared" si="32"/>
        <v>5</v>
      </c>
      <c r="Y30" s="390"/>
      <c r="Z30" s="166">
        <v>13</v>
      </c>
      <c r="AA30" s="166">
        <v>2116.1290322580639</v>
      </c>
      <c r="AB30" s="166">
        <v>162.77915632754338</v>
      </c>
      <c r="AC30" s="182">
        <f t="shared" si="33"/>
        <v>6</v>
      </c>
      <c r="AD30" s="390"/>
      <c r="AE30" s="166">
        <v>13</v>
      </c>
      <c r="AF30" s="166">
        <v>2134.588235294118</v>
      </c>
      <c r="AG30" s="166">
        <v>164.19909502262448</v>
      </c>
      <c r="AH30" s="182">
        <f t="shared" si="34"/>
        <v>6</v>
      </c>
      <c r="AI30" s="390"/>
      <c r="AJ30" s="166">
        <v>13</v>
      </c>
      <c r="AK30" s="166">
        <v>2176.6666666666665</v>
      </c>
      <c r="AL30" s="166">
        <v>167.43589743589743</v>
      </c>
      <c r="AM30" s="182">
        <f t="shared" si="35"/>
        <v>5</v>
      </c>
      <c r="AN30" s="390"/>
      <c r="AO30" s="166">
        <v>13</v>
      </c>
      <c r="AP30" s="166">
        <v>2134.2857142857147</v>
      </c>
      <c r="AQ30" s="166">
        <v>164.1758241758242</v>
      </c>
      <c r="AR30" s="182">
        <f t="shared" si="36"/>
        <v>8</v>
      </c>
      <c r="AS30" s="390"/>
      <c r="AT30" s="166">
        <v>13</v>
      </c>
      <c r="AU30" s="166">
        <v>2167.5000000000005</v>
      </c>
      <c r="AV30" s="166">
        <v>166.73076923076925</v>
      </c>
      <c r="AW30" s="182">
        <f t="shared" si="37"/>
        <v>5</v>
      </c>
      <c r="AX30" s="390"/>
      <c r="AZ30" s="182" t="e">
        <f t="shared" si="29"/>
        <v>#N/A</v>
      </c>
      <c r="BA30" s="385"/>
    </row>
    <row r="31" spans="2:53">
      <c r="B31" s="395"/>
      <c r="C31" s="182">
        <v>5</v>
      </c>
      <c r="D31" s="203" t="s">
        <v>366</v>
      </c>
      <c r="E31" s="166">
        <v>13</v>
      </c>
      <c r="F31" s="166">
        <v>2250</v>
      </c>
      <c r="G31" s="166">
        <v>173.1</v>
      </c>
      <c r="H31" s="402"/>
      <c r="I31" s="166">
        <f t="shared" si="20"/>
        <v>13</v>
      </c>
      <c r="J31" s="166">
        <f t="shared" si="21"/>
        <v>2136.7121277355623</v>
      </c>
      <c r="K31" s="180">
        <f t="shared" si="22"/>
        <v>164.362471364274</v>
      </c>
      <c r="L31" s="402"/>
      <c r="M31" s="166">
        <f>RANK(K31, K$27:$K$41)</f>
        <v>6</v>
      </c>
      <c r="N31" s="389"/>
      <c r="O31" s="389"/>
      <c r="P31" s="166">
        <v>13</v>
      </c>
      <c r="Q31" s="166">
        <v>2138.4210526315787</v>
      </c>
      <c r="R31" s="166">
        <v>164.49392712550605</v>
      </c>
      <c r="S31" s="182">
        <f t="shared" si="31"/>
        <v>6</v>
      </c>
      <c r="T31" s="390"/>
      <c r="U31" s="166">
        <v>13</v>
      </c>
      <c r="V31" s="166">
        <v>2152.5714285714289</v>
      </c>
      <c r="W31" s="166">
        <v>165.58241758241761</v>
      </c>
      <c r="X31" s="182">
        <f t="shared" si="32"/>
        <v>6</v>
      </c>
      <c r="Y31" s="390"/>
      <c r="Z31" s="166">
        <v>13</v>
      </c>
      <c r="AA31" s="166">
        <v>2102.9411764705883</v>
      </c>
      <c r="AB31" s="166">
        <v>161.76470588235296</v>
      </c>
      <c r="AC31" s="182">
        <f t="shared" si="33"/>
        <v>8</v>
      </c>
      <c r="AD31" s="390"/>
      <c r="AE31" s="166">
        <v>13</v>
      </c>
      <c r="AF31" s="166">
        <v>2126.0000000000009</v>
      </c>
      <c r="AG31" s="166">
        <v>163.5384615384616</v>
      </c>
      <c r="AH31" s="182">
        <f t="shared" si="34"/>
        <v>7</v>
      </c>
      <c r="AI31" s="390"/>
      <c r="AJ31" s="166">
        <v>13</v>
      </c>
      <c r="AK31" s="166">
        <v>2152.5773195876295</v>
      </c>
      <c r="AL31" s="166">
        <v>165.58287073750995</v>
      </c>
      <c r="AM31" s="182">
        <f t="shared" si="35"/>
        <v>6</v>
      </c>
      <c r="AN31" s="390"/>
      <c r="AO31" s="166">
        <v>13</v>
      </c>
      <c r="AP31" s="166">
        <v>2141.0256410256407</v>
      </c>
      <c r="AQ31" s="166">
        <v>164.69428007889545</v>
      </c>
      <c r="AR31" s="182">
        <f t="shared" si="36"/>
        <v>7</v>
      </c>
      <c r="AS31" s="390"/>
      <c r="AT31" s="166">
        <v>13</v>
      </c>
      <c r="AU31" s="166">
        <v>2143.4482758620688</v>
      </c>
      <c r="AV31" s="166">
        <v>164.88063660477454</v>
      </c>
      <c r="AW31" s="182">
        <f t="shared" si="37"/>
        <v>6</v>
      </c>
      <c r="AX31" s="390"/>
      <c r="AZ31" s="182" t="e">
        <f t="shared" si="29"/>
        <v>#N/A</v>
      </c>
      <c r="BA31" s="385"/>
    </row>
    <row r="32" spans="2:53">
      <c r="B32" s="395"/>
      <c r="C32" s="182">
        <v>6</v>
      </c>
      <c r="D32" s="203" t="s">
        <v>367</v>
      </c>
      <c r="E32" s="166">
        <v>10</v>
      </c>
      <c r="F32" s="166">
        <v>2769</v>
      </c>
      <c r="G32" s="166">
        <v>276.89999999999998</v>
      </c>
      <c r="H32" s="402"/>
      <c r="I32" s="166">
        <f t="shared" si="20"/>
        <v>10</v>
      </c>
      <c r="J32" s="166">
        <f t="shared" si="21"/>
        <v>2373.5311383114213</v>
      </c>
      <c r="K32" s="180">
        <f t="shared" si="22"/>
        <v>237.35311383114217</v>
      </c>
      <c r="L32" s="402"/>
      <c r="M32" s="166">
        <f>RANK(K32, K$27:$K$41)</f>
        <v>4</v>
      </c>
      <c r="N32" s="389"/>
      <c r="O32" s="389"/>
      <c r="P32" s="166">
        <v>10</v>
      </c>
      <c r="Q32" s="166">
        <v>2378.7234042553182</v>
      </c>
      <c r="R32" s="166">
        <v>237.87234042553183</v>
      </c>
      <c r="S32" s="182">
        <f t="shared" si="31"/>
        <v>4</v>
      </c>
      <c r="T32" s="390"/>
      <c r="U32" s="166">
        <v>10</v>
      </c>
      <c r="V32" s="166">
        <v>2360.6249999999995</v>
      </c>
      <c r="W32" s="166">
        <v>236.06249999999994</v>
      </c>
      <c r="X32" s="182">
        <f t="shared" si="32"/>
        <v>4</v>
      </c>
      <c r="Y32" s="390"/>
      <c r="Z32" s="166">
        <v>10</v>
      </c>
      <c r="AA32" s="166">
        <v>2361.6716417910452</v>
      </c>
      <c r="AB32" s="166">
        <v>236.16716417910453</v>
      </c>
      <c r="AC32" s="182">
        <f t="shared" si="33"/>
        <v>4</v>
      </c>
      <c r="AD32" s="390"/>
      <c r="AE32" s="166">
        <v>10</v>
      </c>
      <c r="AF32" s="166">
        <v>2386.8749999999995</v>
      </c>
      <c r="AG32" s="166">
        <v>238.68749999999994</v>
      </c>
      <c r="AH32" s="182">
        <f t="shared" si="34"/>
        <v>4</v>
      </c>
      <c r="AI32" s="390"/>
      <c r="AJ32" s="166">
        <v>10</v>
      </c>
      <c r="AK32" s="166">
        <v>2386.588235294118</v>
      </c>
      <c r="AL32" s="166">
        <v>238.65882352941179</v>
      </c>
      <c r="AM32" s="182">
        <f t="shared" si="35"/>
        <v>4</v>
      </c>
      <c r="AN32" s="390"/>
      <c r="AO32" s="166">
        <v>10</v>
      </c>
      <c r="AP32" s="166">
        <v>2379.7752808988776</v>
      </c>
      <c r="AQ32" s="166">
        <v>237.97752808988776</v>
      </c>
      <c r="AR32" s="182">
        <f t="shared" si="36"/>
        <v>4</v>
      </c>
      <c r="AS32" s="390"/>
      <c r="AT32" s="166">
        <v>10</v>
      </c>
      <c r="AU32" s="166">
        <v>2360.4594059405931</v>
      </c>
      <c r="AV32" s="166">
        <v>236.04594059405932</v>
      </c>
      <c r="AW32" s="182">
        <f t="shared" si="37"/>
        <v>4</v>
      </c>
      <c r="AX32" s="390"/>
      <c r="AZ32" s="182" t="e">
        <f t="shared" si="29"/>
        <v>#N/A</v>
      </c>
      <c r="BA32" s="385"/>
    </row>
    <row r="33" spans="2:53">
      <c r="B33" s="395"/>
      <c r="C33" s="182">
        <v>7</v>
      </c>
      <c r="D33" s="203" t="s">
        <v>363</v>
      </c>
      <c r="E33" s="166">
        <v>18</v>
      </c>
      <c r="F33" s="166">
        <v>1200</v>
      </c>
      <c r="G33" s="166">
        <v>66.666666666666671</v>
      </c>
      <c r="H33" s="402"/>
      <c r="I33" s="166">
        <f t="shared" si="20"/>
        <v>18</v>
      </c>
      <c r="J33" s="166">
        <f t="shared" si="21"/>
        <v>1165.4066249360235</v>
      </c>
      <c r="K33" s="180">
        <f t="shared" si="22"/>
        <v>64.744812496445746</v>
      </c>
      <c r="L33" s="402"/>
      <c r="M33" s="166">
        <f>RANK(K33, K$27:$K$41)</f>
        <v>9</v>
      </c>
      <c r="N33" s="389"/>
      <c r="O33" s="389"/>
      <c r="P33" s="166">
        <v>18</v>
      </c>
      <c r="Q33" s="166">
        <v>1101.5533980582529</v>
      </c>
      <c r="R33" s="166">
        <v>61.197411003236276</v>
      </c>
      <c r="S33" s="182">
        <f t="shared" si="31"/>
        <v>9</v>
      </c>
      <c r="T33" s="390"/>
      <c r="U33" s="166">
        <v>18</v>
      </c>
      <c r="V33" s="166">
        <v>1170.0000000000002</v>
      </c>
      <c r="W33" s="166">
        <v>65.000000000000014</v>
      </c>
      <c r="X33" s="182">
        <f t="shared" si="32"/>
        <v>9</v>
      </c>
      <c r="Y33" s="390"/>
      <c r="Z33" s="166">
        <v>18</v>
      </c>
      <c r="AA33" s="166">
        <v>1189.3333333333335</v>
      </c>
      <c r="AB33" s="166">
        <v>66.074074074074076</v>
      </c>
      <c r="AC33" s="182">
        <f t="shared" si="33"/>
        <v>9</v>
      </c>
      <c r="AD33" s="390"/>
      <c r="AE33" s="166">
        <v>18</v>
      </c>
      <c r="AF33" s="166">
        <v>1186.3636363636365</v>
      </c>
      <c r="AG33" s="166">
        <v>65.909090909090921</v>
      </c>
      <c r="AH33" s="182">
        <f t="shared" si="34"/>
        <v>9</v>
      </c>
      <c r="AI33" s="390"/>
      <c r="AJ33" s="166">
        <v>18</v>
      </c>
      <c r="AK33" s="166">
        <v>1157.5000000000002</v>
      </c>
      <c r="AL33" s="166">
        <v>64.305555555555571</v>
      </c>
      <c r="AM33" s="182">
        <f t="shared" si="35"/>
        <v>9</v>
      </c>
      <c r="AN33" s="390"/>
      <c r="AO33" s="166">
        <v>18</v>
      </c>
      <c r="AP33" s="166">
        <v>1192.9090909090899</v>
      </c>
      <c r="AQ33" s="166">
        <v>66.272727272727209</v>
      </c>
      <c r="AR33" s="182">
        <f t="shared" si="36"/>
        <v>9</v>
      </c>
      <c r="AS33" s="390"/>
      <c r="AT33" s="166">
        <v>18</v>
      </c>
      <c r="AU33" s="166">
        <v>1160.186915887851</v>
      </c>
      <c r="AV33" s="166">
        <v>64.454828660436164</v>
      </c>
      <c r="AW33" s="182">
        <f t="shared" si="37"/>
        <v>9</v>
      </c>
      <c r="AX33" s="390"/>
      <c r="AZ33" s="182" t="e">
        <f t="shared" si="29"/>
        <v>#N/A</v>
      </c>
      <c r="BA33" s="385"/>
    </row>
    <row r="34" spans="2:53">
      <c r="B34" s="395"/>
      <c r="C34" s="182">
        <v>8</v>
      </c>
      <c r="D34" s="203" t="s">
        <v>538</v>
      </c>
      <c r="E34" s="166">
        <v>12</v>
      </c>
      <c r="F34" s="166">
        <v>2118</v>
      </c>
      <c r="G34" s="166">
        <v>176.5</v>
      </c>
      <c r="H34" s="402"/>
      <c r="I34" s="166">
        <f t="shared" si="20"/>
        <v>12</v>
      </c>
      <c r="J34" s="166">
        <f t="shared" si="21"/>
        <v>1950.3091210324383</v>
      </c>
      <c r="K34" s="180">
        <f t="shared" si="22"/>
        <v>162.52576008603651</v>
      </c>
      <c r="L34" s="402"/>
      <c r="M34" s="166">
        <f>RANK(K34, K$27:$K$41)</f>
        <v>7</v>
      </c>
      <c r="N34" s="389"/>
      <c r="O34" s="389"/>
      <c r="P34" s="166">
        <v>12</v>
      </c>
      <c r="Q34" s="166">
        <v>1901.2500000000009</v>
      </c>
      <c r="R34" s="166">
        <v>158.43750000000009</v>
      </c>
      <c r="S34" s="182">
        <f t="shared" si="31"/>
        <v>7</v>
      </c>
      <c r="T34" s="390"/>
      <c r="U34" s="166">
        <v>12</v>
      </c>
      <c r="V34" s="166">
        <v>1898.3606557377043</v>
      </c>
      <c r="W34" s="166">
        <v>158.19672131147536</v>
      </c>
      <c r="X34" s="182">
        <f t="shared" si="32"/>
        <v>7</v>
      </c>
      <c r="Y34" s="390"/>
      <c r="Z34" s="166">
        <v>12</v>
      </c>
      <c r="AA34" s="166">
        <v>1957.2413793103451</v>
      </c>
      <c r="AB34" s="166">
        <v>163.10344827586209</v>
      </c>
      <c r="AC34" s="182">
        <f t="shared" si="33"/>
        <v>5</v>
      </c>
      <c r="AD34" s="390"/>
      <c r="AE34" s="166">
        <v>12</v>
      </c>
      <c r="AF34" s="166">
        <v>1982.553191489362</v>
      </c>
      <c r="AG34" s="166">
        <v>165.21276595744683</v>
      </c>
      <c r="AH34" s="182">
        <f t="shared" si="34"/>
        <v>5</v>
      </c>
      <c r="AI34" s="390"/>
      <c r="AJ34" s="166">
        <v>12</v>
      </c>
      <c r="AK34" s="166">
        <v>1926.6666666666677</v>
      </c>
      <c r="AL34" s="166">
        <v>160.55555555555563</v>
      </c>
      <c r="AM34" s="182">
        <f t="shared" si="35"/>
        <v>8</v>
      </c>
      <c r="AN34" s="390"/>
      <c r="AO34" s="166">
        <v>12</v>
      </c>
      <c r="AP34" s="166">
        <v>2032.758620689654</v>
      </c>
      <c r="AQ34" s="166">
        <v>169.39655172413782</v>
      </c>
      <c r="AR34" s="182">
        <f t="shared" si="36"/>
        <v>5</v>
      </c>
      <c r="AS34" s="390"/>
      <c r="AT34" s="166">
        <v>12</v>
      </c>
      <c r="AU34" s="166">
        <v>1953.333333333333</v>
      </c>
      <c r="AV34" s="166">
        <v>162.77777777777774</v>
      </c>
      <c r="AW34" s="182">
        <f t="shared" si="37"/>
        <v>8</v>
      </c>
      <c r="AX34" s="390"/>
      <c r="AZ34" s="182" t="e">
        <f t="shared" si="29"/>
        <v>#N/A</v>
      </c>
      <c r="BA34" s="385"/>
    </row>
    <row r="35" spans="2:53">
      <c r="B35" s="395"/>
      <c r="C35" s="182">
        <v>9</v>
      </c>
      <c r="D35" s="203" t="s">
        <v>595</v>
      </c>
      <c r="E35" s="166">
        <v>4</v>
      </c>
      <c r="F35" s="166">
        <v>2000</v>
      </c>
      <c r="G35" s="166">
        <v>500</v>
      </c>
      <c r="H35" s="402"/>
      <c r="I35" s="166">
        <f t="shared" si="20"/>
        <v>5</v>
      </c>
      <c r="J35" s="166">
        <f t="shared" si="21"/>
        <v>1892.4860853432249</v>
      </c>
      <c r="K35" s="180">
        <f t="shared" si="22"/>
        <v>378.497217068645</v>
      </c>
      <c r="L35" s="402"/>
      <c r="M35" s="166">
        <f>RANK(K35, K$27:$K$41)</f>
        <v>3</v>
      </c>
      <c r="N35" s="389"/>
      <c r="O35" s="389"/>
      <c r="P35" s="166">
        <v>5</v>
      </c>
      <c r="Q35" s="166">
        <v>1907.9999999999966</v>
      </c>
      <c r="R35" s="166">
        <v>381.59999999999934</v>
      </c>
      <c r="S35" s="182">
        <f t="shared" si="31"/>
        <v>3</v>
      </c>
      <c r="T35" s="390"/>
      <c r="U35" s="166">
        <v>5</v>
      </c>
      <c r="V35" s="166">
        <v>1919.9999999999975</v>
      </c>
      <c r="W35" s="166">
        <v>383.99999999999949</v>
      </c>
      <c r="X35" s="182">
        <f t="shared" si="32"/>
        <v>3</v>
      </c>
      <c r="Y35" s="390"/>
      <c r="Z35" s="166">
        <v>5</v>
      </c>
      <c r="AA35" s="166">
        <v>1911.9999999999966</v>
      </c>
      <c r="AB35" s="166">
        <v>382.3999999999993</v>
      </c>
      <c r="AC35" s="182">
        <f t="shared" si="33"/>
        <v>3</v>
      </c>
      <c r="AD35" s="390"/>
      <c r="AE35" s="166">
        <v>5</v>
      </c>
      <c r="AF35" s="166">
        <v>1854.5454545454545</v>
      </c>
      <c r="AG35" s="166">
        <v>370.90909090909088</v>
      </c>
      <c r="AH35" s="182">
        <f t="shared" si="34"/>
        <v>3</v>
      </c>
      <c r="AI35" s="390"/>
      <c r="AJ35" s="166">
        <v>5</v>
      </c>
      <c r="AK35" s="166">
        <v>1851.4285714285675</v>
      </c>
      <c r="AL35" s="166">
        <v>370.28571428571348</v>
      </c>
      <c r="AM35" s="182">
        <f t="shared" si="35"/>
        <v>3</v>
      </c>
      <c r="AN35" s="390"/>
      <c r="AO35" s="166">
        <v>5</v>
      </c>
      <c r="AP35" s="166">
        <v>1859.999999999995</v>
      </c>
      <c r="AQ35" s="166">
        <v>371.99999999999898</v>
      </c>
      <c r="AR35" s="182">
        <f t="shared" si="36"/>
        <v>3</v>
      </c>
      <c r="AS35" s="390"/>
      <c r="AT35" s="166">
        <v>5</v>
      </c>
      <c r="AU35" s="166">
        <v>1941.4285714285675</v>
      </c>
      <c r="AV35" s="166">
        <v>388.28571428571348</v>
      </c>
      <c r="AW35" s="182">
        <f t="shared" si="37"/>
        <v>3</v>
      </c>
      <c r="AX35" s="390"/>
      <c r="AZ35" s="182" t="e">
        <f t="shared" si="29"/>
        <v>#N/A</v>
      </c>
      <c r="BA35" s="385"/>
    </row>
    <row r="36" spans="2:53">
      <c r="B36" s="395"/>
      <c r="C36" s="182">
        <v>10</v>
      </c>
      <c r="D36" s="203"/>
      <c r="E36" s="166"/>
      <c r="F36" s="166"/>
      <c r="G36" s="166"/>
      <c r="H36" s="402"/>
      <c r="I36" s="166" t="str">
        <f t="shared" si="20"/>
        <v>-</v>
      </c>
      <c r="J36" s="166" t="str">
        <f t="shared" si="21"/>
        <v>-</v>
      </c>
      <c r="K36" s="180" t="str">
        <f t="shared" si="22"/>
        <v>-</v>
      </c>
      <c r="L36" s="402"/>
      <c r="M36" s="166" t="e">
        <f>RANK(K36, K$27:$K$41)</f>
        <v>#VALUE!</v>
      </c>
      <c r="N36" s="389"/>
      <c r="O36" s="389"/>
      <c r="P36" s="166"/>
      <c r="Q36" s="166"/>
      <c r="R36" s="166"/>
      <c r="S36" s="182" t="e">
        <f t="shared" si="31"/>
        <v>#N/A</v>
      </c>
      <c r="T36" s="390"/>
      <c r="U36" s="166"/>
      <c r="V36" s="166"/>
      <c r="W36" s="166"/>
      <c r="X36" s="182" t="e">
        <f t="shared" si="32"/>
        <v>#N/A</v>
      </c>
      <c r="Y36" s="390"/>
      <c r="Z36" s="166"/>
      <c r="AA36" s="166"/>
      <c r="AB36" s="166"/>
      <c r="AC36" s="182" t="e">
        <f t="shared" si="33"/>
        <v>#N/A</v>
      </c>
      <c r="AD36" s="390"/>
      <c r="AE36" s="166"/>
      <c r="AF36" s="166"/>
      <c r="AG36" s="166"/>
      <c r="AH36" s="182" t="e">
        <f t="shared" si="34"/>
        <v>#N/A</v>
      </c>
      <c r="AI36" s="390"/>
      <c r="AJ36" s="166"/>
      <c r="AK36" s="166"/>
      <c r="AL36" s="166"/>
      <c r="AM36" s="182" t="e">
        <f t="shared" si="35"/>
        <v>#N/A</v>
      </c>
      <c r="AN36" s="390"/>
      <c r="AO36" s="166"/>
      <c r="AP36" s="166"/>
      <c r="AQ36" s="166"/>
      <c r="AR36" s="182" t="e">
        <f t="shared" si="36"/>
        <v>#N/A</v>
      </c>
      <c r="AS36" s="390"/>
      <c r="AT36" s="166"/>
      <c r="AU36" s="166"/>
      <c r="AV36" s="166"/>
      <c r="AW36" s="182" t="e">
        <f t="shared" si="37"/>
        <v>#N/A</v>
      </c>
      <c r="AX36" s="390"/>
      <c r="AZ36" s="182" t="e">
        <f t="shared" si="29"/>
        <v>#N/A</v>
      </c>
      <c r="BA36" s="385"/>
    </row>
    <row r="37" spans="2:53">
      <c r="B37" s="395"/>
      <c r="C37" s="182">
        <v>11</v>
      </c>
      <c r="D37" s="203"/>
      <c r="E37" s="166"/>
      <c r="F37" s="166"/>
      <c r="G37" s="166"/>
      <c r="H37" s="402"/>
      <c r="I37" s="166" t="str">
        <f t="shared" si="20"/>
        <v>-</v>
      </c>
      <c r="J37" s="166" t="str">
        <f t="shared" si="21"/>
        <v>-</v>
      </c>
      <c r="K37" s="180" t="str">
        <f t="shared" si="22"/>
        <v>-</v>
      </c>
      <c r="L37" s="402"/>
      <c r="M37" s="166" t="e">
        <f>RANK(K37, K$27:$K$41)</f>
        <v>#VALUE!</v>
      </c>
      <c r="N37" s="389"/>
      <c r="O37" s="389"/>
      <c r="P37" s="166"/>
      <c r="Q37" s="166"/>
      <c r="R37" s="166"/>
      <c r="S37" s="182" t="e">
        <f t="shared" si="31"/>
        <v>#N/A</v>
      </c>
      <c r="T37" s="390"/>
      <c r="U37" s="166"/>
      <c r="V37" s="166"/>
      <c r="W37" s="166"/>
      <c r="X37" s="182" t="e">
        <f t="shared" si="32"/>
        <v>#N/A</v>
      </c>
      <c r="Y37" s="390"/>
      <c r="Z37" s="166"/>
      <c r="AA37" s="166"/>
      <c r="AB37" s="166"/>
      <c r="AC37" s="182" t="e">
        <f t="shared" si="33"/>
        <v>#N/A</v>
      </c>
      <c r="AD37" s="390"/>
      <c r="AE37" s="166"/>
      <c r="AF37" s="166"/>
      <c r="AG37" s="166"/>
      <c r="AH37" s="182" t="e">
        <f t="shared" si="34"/>
        <v>#N/A</v>
      </c>
      <c r="AI37" s="390"/>
      <c r="AJ37" s="166"/>
      <c r="AK37" s="166"/>
      <c r="AL37" s="166"/>
      <c r="AM37" s="182" t="e">
        <f t="shared" si="35"/>
        <v>#N/A</v>
      </c>
      <c r="AN37" s="390"/>
      <c r="AO37" s="166"/>
      <c r="AP37" s="166"/>
      <c r="AQ37" s="166"/>
      <c r="AR37" s="182" t="e">
        <f t="shared" si="36"/>
        <v>#N/A</v>
      </c>
      <c r="AS37" s="390"/>
      <c r="AT37" s="166"/>
      <c r="AU37" s="166"/>
      <c r="AV37" s="166"/>
      <c r="AW37" s="182" t="e">
        <f t="shared" si="37"/>
        <v>#N/A</v>
      </c>
      <c r="AX37" s="390"/>
      <c r="AZ37" s="182" t="e">
        <f t="shared" si="29"/>
        <v>#N/A</v>
      </c>
      <c r="BA37" s="385"/>
    </row>
    <row r="38" spans="2:53">
      <c r="B38" s="395"/>
      <c r="C38" s="182">
        <v>12</v>
      </c>
      <c r="D38" s="203"/>
      <c r="E38" s="166"/>
      <c r="F38" s="166"/>
      <c r="G38" s="166"/>
      <c r="H38" s="402"/>
      <c r="I38" s="166" t="str">
        <f t="shared" si="20"/>
        <v>-</v>
      </c>
      <c r="J38" s="166" t="str">
        <f t="shared" si="21"/>
        <v>-</v>
      </c>
      <c r="K38" s="180" t="str">
        <f t="shared" si="22"/>
        <v>-</v>
      </c>
      <c r="L38" s="402"/>
      <c r="M38" s="166" t="e">
        <f>RANK(K38, K$27:$K$41)</f>
        <v>#VALUE!</v>
      </c>
      <c r="N38" s="389"/>
      <c r="O38" s="389"/>
      <c r="P38" s="166"/>
      <c r="Q38" s="166"/>
      <c r="R38" s="166"/>
      <c r="S38" s="182" t="e">
        <f t="shared" si="31"/>
        <v>#N/A</v>
      </c>
      <c r="T38" s="390"/>
      <c r="U38" s="166"/>
      <c r="V38" s="166"/>
      <c r="W38" s="166"/>
      <c r="X38" s="182" t="e">
        <f t="shared" si="32"/>
        <v>#N/A</v>
      </c>
      <c r="Y38" s="390"/>
      <c r="Z38" s="166"/>
      <c r="AA38" s="166"/>
      <c r="AB38" s="166"/>
      <c r="AC38" s="182" t="e">
        <f t="shared" si="33"/>
        <v>#N/A</v>
      </c>
      <c r="AD38" s="390"/>
      <c r="AE38" s="166"/>
      <c r="AF38" s="166"/>
      <c r="AG38" s="166"/>
      <c r="AH38" s="182" t="e">
        <f t="shared" si="34"/>
        <v>#N/A</v>
      </c>
      <c r="AI38" s="390"/>
      <c r="AJ38" s="166"/>
      <c r="AK38" s="166"/>
      <c r="AL38" s="166"/>
      <c r="AM38" s="182" t="e">
        <f t="shared" si="35"/>
        <v>#N/A</v>
      </c>
      <c r="AN38" s="390"/>
      <c r="AO38" s="166"/>
      <c r="AP38" s="166"/>
      <c r="AQ38" s="166"/>
      <c r="AR38" s="182" t="e">
        <f t="shared" si="36"/>
        <v>#N/A</v>
      </c>
      <c r="AS38" s="390"/>
      <c r="AT38" s="166"/>
      <c r="AU38" s="166"/>
      <c r="AV38" s="166"/>
      <c r="AW38" s="182" t="e">
        <f t="shared" si="37"/>
        <v>#N/A</v>
      </c>
      <c r="AX38" s="390"/>
      <c r="AZ38" s="182" t="e">
        <f t="shared" si="29"/>
        <v>#N/A</v>
      </c>
      <c r="BA38" s="385"/>
    </row>
    <row r="39" spans="2:53">
      <c r="B39" s="395"/>
      <c r="C39" s="182">
        <v>13</v>
      </c>
      <c r="D39" s="203"/>
      <c r="E39" s="166"/>
      <c r="F39" s="166"/>
      <c r="G39" s="166"/>
      <c r="H39" s="402"/>
      <c r="I39" s="166" t="str">
        <f t="shared" si="20"/>
        <v>-</v>
      </c>
      <c r="J39" s="166" t="str">
        <f t="shared" si="21"/>
        <v>-</v>
      </c>
      <c r="K39" s="180" t="str">
        <f t="shared" si="22"/>
        <v>-</v>
      </c>
      <c r="L39" s="402"/>
      <c r="M39" s="166" t="e">
        <f>RANK(K39, K$27:$K$41)</f>
        <v>#VALUE!</v>
      </c>
      <c r="N39" s="389"/>
      <c r="O39" s="389"/>
      <c r="P39" s="166"/>
      <c r="Q39" s="166"/>
      <c r="R39" s="166"/>
      <c r="S39" s="182" t="e">
        <f t="shared" si="31"/>
        <v>#N/A</v>
      </c>
      <c r="T39" s="390"/>
      <c r="U39" s="166"/>
      <c r="V39" s="166"/>
      <c r="W39" s="166"/>
      <c r="X39" s="182" t="e">
        <f t="shared" si="32"/>
        <v>#N/A</v>
      </c>
      <c r="Y39" s="390"/>
      <c r="Z39" s="166"/>
      <c r="AA39" s="166"/>
      <c r="AB39" s="166"/>
      <c r="AC39" s="182" t="e">
        <f t="shared" si="33"/>
        <v>#N/A</v>
      </c>
      <c r="AD39" s="390"/>
      <c r="AE39" s="166"/>
      <c r="AF39" s="166"/>
      <c r="AG39" s="166"/>
      <c r="AH39" s="182" t="e">
        <f t="shared" si="34"/>
        <v>#N/A</v>
      </c>
      <c r="AI39" s="390"/>
      <c r="AJ39" s="166"/>
      <c r="AK39" s="166"/>
      <c r="AL39" s="166"/>
      <c r="AM39" s="182" t="e">
        <f t="shared" si="35"/>
        <v>#N/A</v>
      </c>
      <c r="AN39" s="390"/>
      <c r="AO39" s="166"/>
      <c r="AP39" s="166"/>
      <c r="AQ39" s="166"/>
      <c r="AR39" s="182" t="e">
        <f t="shared" si="36"/>
        <v>#N/A</v>
      </c>
      <c r="AS39" s="390"/>
      <c r="AT39" s="166"/>
      <c r="AU39" s="166"/>
      <c r="AV39" s="166"/>
      <c r="AW39" s="182" t="e">
        <f t="shared" si="37"/>
        <v>#N/A</v>
      </c>
      <c r="AX39" s="390"/>
      <c r="AZ39" s="182" t="e">
        <f t="shared" si="29"/>
        <v>#N/A</v>
      </c>
      <c r="BA39" s="385"/>
    </row>
    <row r="40" spans="2:53">
      <c r="B40" s="395"/>
      <c r="C40" s="182">
        <v>14</v>
      </c>
      <c r="D40" s="203"/>
      <c r="E40" s="166"/>
      <c r="F40" s="166"/>
      <c r="G40" s="166"/>
      <c r="H40" s="402"/>
      <c r="I40" s="166" t="str">
        <f t="shared" si="20"/>
        <v>-</v>
      </c>
      <c r="J40" s="166" t="str">
        <f t="shared" si="21"/>
        <v>-</v>
      </c>
      <c r="K40" s="180" t="str">
        <f t="shared" si="22"/>
        <v>-</v>
      </c>
      <c r="L40" s="402"/>
      <c r="M40" s="166" t="e">
        <f>RANK(K40, K$27:$K$41)</f>
        <v>#VALUE!</v>
      </c>
      <c r="N40" s="389"/>
      <c r="O40" s="389"/>
      <c r="P40" s="166"/>
      <c r="Q40" s="166"/>
      <c r="R40" s="166"/>
      <c r="S40" s="182" t="e">
        <f t="shared" si="31"/>
        <v>#N/A</v>
      </c>
      <c r="T40" s="390"/>
      <c r="U40" s="166"/>
      <c r="V40" s="166"/>
      <c r="W40" s="166"/>
      <c r="X40" s="182" t="e">
        <f t="shared" si="32"/>
        <v>#N/A</v>
      </c>
      <c r="Y40" s="390"/>
      <c r="Z40" s="166"/>
      <c r="AA40" s="166"/>
      <c r="AB40" s="166"/>
      <c r="AC40" s="182" t="e">
        <f t="shared" si="33"/>
        <v>#N/A</v>
      </c>
      <c r="AD40" s="390"/>
      <c r="AE40" s="166"/>
      <c r="AF40" s="166"/>
      <c r="AG40" s="166"/>
      <c r="AH40" s="182" t="e">
        <f t="shared" si="34"/>
        <v>#N/A</v>
      </c>
      <c r="AI40" s="390"/>
      <c r="AJ40" s="166"/>
      <c r="AK40" s="166"/>
      <c r="AL40" s="166"/>
      <c r="AM40" s="182" t="e">
        <f t="shared" si="35"/>
        <v>#N/A</v>
      </c>
      <c r="AN40" s="390"/>
      <c r="AO40" s="166"/>
      <c r="AP40" s="166"/>
      <c r="AQ40" s="166"/>
      <c r="AR40" s="182" t="e">
        <f t="shared" si="36"/>
        <v>#N/A</v>
      </c>
      <c r="AS40" s="390"/>
      <c r="AT40" s="166"/>
      <c r="AU40" s="166"/>
      <c r="AV40" s="166"/>
      <c r="AW40" s="182" t="e">
        <f t="shared" si="37"/>
        <v>#N/A</v>
      </c>
      <c r="AX40" s="390"/>
      <c r="AZ40" s="182" t="e">
        <f t="shared" si="29"/>
        <v>#N/A</v>
      </c>
      <c r="BA40" s="385"/>
    </row>
    <row r="41" spans="2:53">
      <c r="B41" s="395"/>
      <c r="C41" s="182">
        <v>15</v>
      </c>
      <c r="D41" s="203"/>
      <c r="E41" s="166"/>
      <c r="F41" s="166"/>
      <c r="G41" s="166"/>
      <c r="H41" s="403"/>
      <c r="I41" s="166"/>
      <c r="J41" s="166"/>
      <c r="K41" s="180"/>
      <c r="L41" s="403"/>
      <c r="M41" s="166" t="e">
        <f>RANK(K41, K$27:$K$41)</f>
        <v>#N/A</v>
      </c>
      <c r="N41" s="389"/>
      <c r="O41" s="389"/>
      <c r="P41" s="166"/>
      <c r="Q41" s="166"/>
      <c r="R41" s="166"/>
      <c r="S41" s="182" t="e">
        <f t="shared" si="31"/>
        <v>#N/A</v>
      </c>
      <c r="T41" s="390"/>
      <c r="U41" s="166"/>
      <c r="V41" s="166"/>
      <c r="W41" s="166"/>
      <c r="X41" s="182" t="e">
        <f t="shared" si="32"/>
        <v>#N/A</v>
      </c>
      <c r="Y41" s="390"/>
      <c r="Z41" s="166"/>
      <c r="AA41" s="166"/>
      <c r="AB41" s="166"/>
      <c r="AC41" s="182" t="e">
        <f t="shared" si="33"/>
        <v>#N/A</v>
      </c>
      <c r="AD41" s="390"/>
      <c r="AE41" s="166"/>
      <c r="AF41" s="166"/>
      <c r="AG41" s="166"/>
      <c r="AH41" s="182" t="e">
        <f t="shared" si="34"/>
        <v>#N/A</v>
      </c>
      <c r="AI41" s="390"/>
      <c r="AJ41" s="166"/>
      <c r="AK41" s="166"/>
      <c r="AL41" s="166"/>
      <c r="AM41" s="182" t="e">
        <f t="shared" si="35"/>
        <v>#N/A</v>
      </c>
      <c r="AN41" s="390"/>
      <c r="AO41" s="166"/>
      <c r="AP41" s="166"/>
      <c r="AQ41" s="166"/>
      <c r="AR41" s="182" t="e">
        <f t="shared" si="36"/>
        <v>#N/A</v>
      </c>
      <c r="AS41" s="390"/>
      <c r="AT41" s="166"/>
      <c r="AU41" s="166"/>
      <c r="AV41" s="166"/>
      <c r="AW41" s="182" t="e">
        <f t="shared" si="37"/>
        <v>#N/A</v>
      </c>
      <c r="AX41" s="390"/>
      <c r="AZ41" s="182" t="e">
        <f t="shared" si="29"/>
        <v>#N/A</v>
      </c>
      <c r="BA41" s="386"/>
    </row>
    <row r="42" spans="2:53" ht="15.75">
      <c r="B42" s="424" t="s">
        <v>163</v>
      </c>
      <c r="C42" s="425"/>
      <c r="D42" s="425"/>
      <c r="E42" s="425"/>
      <c r="F42" s="425"/>
      <c r="G42" s="425"/>
      <c r="H42" s="425"/>
      <c r="I42" s="186"/>
      <c r="J42" s="183"/>
      <c r="K42" s="186"/>
      <c r="L42" s="186"/>
      <c r="M42" s="178"/>
      <c r="N42" s="391" t="s">
        <v>156</v>
      </c>
      <c r="O42" s="391" t="s">
        <v>105</v>
      </c>
      <c r="P42" s="413">
        <f>P22+7</f>
        <v>46154</v>
      </c>
      <c r="Q42" s="395"/>
      <c r="R42" s="395"/>
      <c r="S42" s="395"/>
      <c r="T42" s="395"/>
      <c r="U42" s="410">
        <f>P42+1</f>
        <v>46155</v>
      </c>
      <c r="V42" s="411"/>
      <c r="W42" s="411"/>
      <c r="X42" s="411"/>
      <c r="Y42" s="412"/>
      <c r="Z42" s="410">
        <f>U42+1</f>
        <v>46156</v>
      </c>
      <c r="AA42" s="411"/>
      <c r="AB42" s="411"/>
      <c r="AC42" s="411"/>
      <c r="AD42" s="412"/>
      <c r="AE42" s="410">
        <f>Z42+1</f>
        <v>46157</v>
      </c>
      <c r="AF42" s="411"/>
      <c r="AG42" s="411"/>
      <c r="AH42" s="411"/>
      <c r="AI42" s="412"/>
      <c r="AJ42" s="410">
        <f>AE42+1</f>
        <v>46158</v>
      </c>
      <c r="AK42" s="411"/>
      <c r="AL42" s="411"/>
      <c r="AM42" s="411"/>
      <c r="AN42" s="412"/>
      <c r="AO42" s="410">
        <f>AJ42+1</f>
        <v>46159</v>
      </c>
      <c r="AP42" s="411"/>
      <c r="AQ42" s="411"/>
      <c r="AR42" s="411"/>
      <c r="AS42" s="412"/>
      <c r="AT42" s="410">
        <f>AO42+1</f>
        <v>46160</v>
      </c>
      <c r="AU42" s="411"/>
      <c r="AV42" s="411"/>
      <c r="AW42" s="411"/>
      <c r="AX42" s="412"/>
    </row>
    <row r="43" spans="2:53" ht="15.75">
      <c r="B43" s="416"/>
      <c r="C43" s="416"/>
      <c r="D43" s="416"/>
      <c r="E43" s="416"/>
      <c r="F43" s="416"/>
      <c r="G43" s="416"/>
      <c r="H43" s="416"/>
      <c r="I43" s="184"/>
      <c r="J43" s="184"/>
      <c r="K43" s="184"/>
      <c r="L43" s="184"/>
      <c r="M43" s="179"/>
      <c r="N43" s="393"/>
      <c r="O43" s="393"/>
      <c r="P43" s="413" t="s">
        <v>318</v>
      </c>
      <c r="Q43" s="395"/>
      <c r="R43" s="395"/>
      <c r="S43" s="395"/>
      <c r="T43" s="395"/>
      <c r="U43" s="413" t="s">
        <v>319</v>
      </c>
      <c r="V43" s="395"/>
      <c r="W43" s="395"/>
      <c r="X43" s="395"/>
      <c r="Y43" s="395"/>
      <c r="Z43" s="413" t="s">
        <v>320</v>
      </c>
      <c r="AA43" s="395"/>
      <c r="AB43" s="395"/>
      <c r="AC43" s="395"/>
      <c r="AD43" s="395"/>
      <c r="AE43" s="413" t="s">
        <v>321</v>
      </c>
      <c r="AF43" s="395"/>
      <c r="AG43" s="395"/>
      <c r="AH43" s="395"/>
      <c r="AI43" s="395"/>
      <c r="AJ43" s="413" t="s">
        <v>322</v>
      </c>
      <c r="AK43" s="395"/>
      <c r="AL43" s="395"/>
      <c r="AM43" s="395"/>
      <c r="AN43" s="395"/>
      <c r="AO43" s="413" t="s">
        <v>323</v>
      </c>
      <c r="AP43" s="395"/>
      <c r="AQ43" s="395"/>
      <c r="AR43" s="395"/>
      <c r="AS43" s="395"/>
      <c r="AT43" s="413" t="s">
        <v>324</v>
      </c>
      <c r="AU43" s="395"/>
      <c r="AV43" s="395"/>
      <c r="AW43" s="395"/>
      <c r="AX43" s="395"/>
    </row>
    <row r="44" spans="2:53">
      <c r="B44" s="389" t="s">
        <v>376</v>
      </c>
      <c r="C44" s="389" t="s">
        <v>386</v>
      </c>
      <c r="D44" s="389"/>
      <c r="E44" s="389" t="s">
        <v>377</v>
      </c>
      <c r="F44" s="389"/>
      <c r="G44" s="389"/>
      <c r="H44" s="417" t="s">
        <v>373</v>
      </c>
      <c r="I44" s="389" t="s">
        <v>378</v>
      </c>
      <c r="J44" s="389"/>
      <c r="K44" s="389"/>
      <c r="L44" s="417" t="s">
        <v>373</v>
      </c>
      <c r="M44" s="391" t="s">
        <v>374</v>
      </c>
      <c r="N44" s="389"/>
      <c r="O44" s="389" t="s">
        <v>379</v>
      </c>
      <c r="P44" s="404" t="s">
        <v>375</v>
      </c>
      <c r="Q44" s="405"/>
      <c r="R44" s="405"/>
      <c r="S44" s="406"/>
      <c r="T44" s="389" t="s">
        <v>373</v>
      </c>
      <c r="U44" s="404" t="s">
        <v>375</v>
      </c>
      <c r="V44" s="405"/>
      <c r="W44" s="405"/>
      <c r="X44" s="406"/>
      <c r="Y44" s="389" t="s">
        <v>373</v>
      </c>
      <c r="Z44" s="404" t="s">
        <v>375</v>
      </c>
      <c r="AA44" s="405"/>
      <c r="AB44" s="405"/>
      <c r="AC44" s="406"/>
      <c r="AD44" s="389" t="s">
        <v>373</v>
      </c>
      <c r="AE44" s="404" t="s">
        <v>375</v>
      </c>
      <c r="AF44" s="405"/>
      <c r="AG44" s="405"/>
      <c r="AH44" s="406"/>
      <c r="AI44" s="389" t="s">
        <v>373</v>
      </c>
      <c r="AJ44" s="404" t="s">
        <v>375</v>
      </c>
      <c r="AK44" s="405"/>
      <c r="AL44" s="405"/>
      <c r="AM44" s="406"/>
      <c r="AN44" s="389" t="s">
        <v>373</v>
      </c>
      <c r="AO44" s="404" t="s">
        <v>375</v>
      </c>
      <c r="AP44" s="405"/>
      <c r="AQ44" s="405"/>
      <c r="AR44" s="406"/>
      <c r="AS44" s="389" t="s">
        <v>373</v>
      </c>
      <c r="AT44" s="404" t="s">
        <v>375</v>
      </c>
      <c r="AU44" s="405"/>
      <c r="AV44" s="405"/>
      <c r="AW44" s="406"/>
      <c r="AX44" s="389" t="s">
        <v>373</v>
      </c>
      <c r="BA44" s="389" t="s">
        <v>373</v>
      </c>
    </row>
    <row r="45" spans="2:53">
      <c r="B45" s="389"/>
      <c r="C45" s="389"/>
      <c r="D45" s="389"/>
      <c r="E45" s="389" t="s">
        <v>380</v>
      </c>
      <c r="F45" s="389"/>
      <c r="G45" s="389"/>
      <c r="H45" s="418"/>
      <c r="I45" s="389" t="s">
        <v>380</v>
      </c>
      <c r="J45" s="389"/>
      <c r="K45" s="389"/>
      <c r="L45" s="418"/>
      <c r="M45" s="392"/>
      <c r="N45" s="389"/>
      <c r="O45" s="389"/>
      <c r="P45" s="404" t="s">
        <v>381</v>
      </c>
      <c r="Q45" s="405"/>
      <c r="R45" s="405"/>
      <c r="S45" s="406"/>
      <c r="T45" s="389"/>
      <c r="U45" s="404" t="s">
        <v>381</v>
      </c>
      <c r="V45" s="405"/>
      <c r="W45" s="405"/>
      <c r="X45" s="406"/>
      <c r="Y45" s="389"/>
      <c r="Z45" s="404" t="s">
        <v>381</v>
      </c>
      <c r="AA45" s="405"/>
      <c r="AB45" s="405"/>
      <c r="AC45" s="406"/>
      <c r="AD45" s="389"/>
      <c r="AE45" s="404" t="s">
        <v>381</v>
      </c>
      <c r="AF45" s="405"/>
      <c r="AG45" s="405"/>
      <c r="AH45" s="406"/>
      <c r="AI45" s="389"/>
      <c r="AJ45" s="404" t="s">
        <v>381</v>
      </c>
      <c r="AK45" s="405"/>
      <c r="AL45" s="405"/>
      <c r="AM45" s="406"/>
      <c r="AN45" s="389"/>
      <c r="AO45" s="404" t="s">
        <v>381</v>
      </c>
      <c r="AP45" s="405"/>
      <c r="AQ45" s="405"/>
      <c r="AR45" s="406"/>
      <c r="AS45" s="389"/>
      <c r="AT45" s="404" t="s">
        <v>381</v>
      </c>
      <c r="AU45" s="405"/>
      <c r="AV45" s="405"/>
      <c r="AW45" s="406"/>
      <c r="AX45" s="389"/>
      <c r="BA45" s="389"/>
    </row>
    <row r="46" spans="2:53">
      <c r="B46" s="389"/>
      <c r="C46" s="389"/>
      <c r="D46" s="389"/>
      <c r="E46" s="258" t="s">
        <v>382</v>
      </c>
      <c r="F46" s="258" t="s">
        <v>383</v>
      </c>
      <c r="G46" s="258" t="s">
        <v>384</v>
      </c>
      <c r="H46" s="419"/>
      <c r="I46" s="258" t="s">
        <v>382</v>
      </c>
      <c r="J46" s="258" t="s">
        <v>383</v>
      </c>
      <c r="K46" s="258" t="s">
        <v>384</v>
      </c>
      <c r="L46" s="419"/>
      <c r="M46" s="393"/>
      <c r="N46" s="389"/>
      <c r="O46" s="389"/>
      <c r="P46" s="258" t="s">
        <v>382</v>
      </c>
      <c r="Q46" s="258" t="s">
        <v>383</v>
      </c>
      <c r="R46" s="258" t="s">
        <v>384</v>
      </c>
      <c r="S46" s="258" t="s">
        <v>374</v>
      </c>
      <c r="T46" s="389"/>
      <c r="U46" s="258" t="s">
        <v>382</v>
      </c>
      <c r="V46" s="258" t="s">
        <v>383</v>
      </c>
      <c r="W46" s="258" t="s">
        <v>384</v>
      </c>
      <c r="X46" s="258" t="s">
        <v>374</v>
      </c>
      <c r="Y46" s="389"/>
      <c r="Z46" s="258" t="s">
        <v>382</v>
      </c>
      <c r="AA46" s="258" t="s">
        <v>383</v>
      </c>
      <c r="AB46" s="258" t="s">
        <v>384</v>
      </c>
      <c r="AC46" s="258" t="s">
        <v>374</v>
      </c>
      <c r="AD46" s="389"/>
      <c r="AE46" s="258" t="s">
        <v>382</v>
      </c>
      <c r="AF46" s="258" t="s">
        <v>383</v>
      </c>
      <c r="AG46" s="258" t="s">
        <v>384</v>
      </c>
      <c r="AH46" s="258" t="s">
        <v>374</v>
      </c>
      <c r="AI46" s="389"/>
      <c r="AJ46" s="258" t="s">
        <v>382</v>
      </c>
      <c r="AK46" s="258" t="s">
        <v>383</v>
      </c>
      <c r="AL46" s="258" t="s">
        <v>384</v>
      </c>
      <c r="AM46" s="258" t="s">
        <v>374</v>
      </c>
      <c r="AN46" s="389"/>
      <c r="AO46" s="258" t="s">
        <v>382</v>
      </c>
      <c r="AP46" s="258" t="s">
        <v>383</v>
      </c>
      <c r="AQ46" s="258" t="s">
        <v>384</v>
      </c>
      <c r="AR46" s="258" t="s">
        <v>374</v>
      </c>
      <c r="AS46" s="389"/>
      <c r="AT46" s="258" t="s">
        <v>382</v>
      </c>
      <c r="AU46" s="258" t="s">
        <v>383</v>
      </c>
      <c r="AV46" s="258" t="s">
        <v>384</v>
      </c>
      <c r="AW46" s="258" t="s">
        <v>374</v>
      </c>
      <c r="AX46" s="389"/>
      <c r="AZ46" s="258" t="s">
        <v>591</v>
      </c>
      <c r="BA46" s="389"/>
    </row>
    <row r="47" spans="2:53">
      <c r="B47" s="486" t="s">
        <v>385</v>
      </c>
      <c r="C47" s="182">
        <v>1</v>
      </c>
      <c r="D47" s="203" t="s">
        <v>364</v>
      </c>
      <c r="E47" s="166">
        <v>4</v>
      </c>
      <c r="F47" s="166">
        <v>2000</v>
      </c>
      <c r="G47" s="166">
        <v>500</v>
      </c>
      <c r="H47" s="401">
        <f>AVERAGE(G47:G61)</f>
        <v>257.14583333333337</v>
      </c>
      <c r="I47" s="166" t="str">
        <f t="shared" ref="I47:I60" si="38">IFERROR(AVERAGE(P47,U47,Z47,AE47,AJ47,AO47,AT47),"-")</f>
        <v>-</v>
      </c>
      <c r="J47" s="166">
        <f t="shared" ref="J47:J60" si="39">IFERROR(AVERAGE(Q47,V47,AA47,AF47,AK47,AP47,AU47),"-")</f>
        <v>2128.8056352446451</v>
      </c>
      <c r="K47" s="180">
        <f t="shared" ref="K47:K60" si="40">IFERROR(AVERAGE(R47,W47,AB47,AG47,AL47,AQ47,AV47),"-")</f>
        <v>425.76112704892915</v>
      </c>
      <c r="L47" s="401">
        <f>IFERROR(AVERAGE(K47:K61),"-")</f>
        <v>229.22859442012552</v>
      </c>
      <c r="M47" s="166">
        <f>RANK(K47, K$47:$K$61)</f>
        <v>1</v>
      </c>
      <c r="N47" s="389"/>
      <c r="O47" s="389"/>
      <c r="P47" s="182">
        <v>5</v>
      </c>
      <c r="Q47" s="166">
        <v>2141.739130434783</v>
      </c>
      <c r="R47" s="166">
        <v>428.34782608695662</v>
      </c>
      <c r="S47" s="182">
        <f t="shared" ref="S47:S61" si="41">RANK(R47, R$47:R$61)</f>
        <v>2</v>
      </c>
      <c r="T47" s="384">
        <f t="shared" ref="T47" si="42">AVERAGE(R47:R61)</f>
        <v>231.48797751776056</v>
      </c>
      <c r="U47" s="182">
        <v>5</v>
      </c>
      <c r="V47" s="166">
        <v>2107.6190476190486</v>
      </c>
      <c r="W47" s="166">
        <v>421.52380952380975</v>
      </c>
      <c r="X47" s="182">
        <f t="shared" ref="X47:X61" si="43">RANK(W47, W$47:W$61)</f>
        <v>2</v>
      </c>
      <c r="Y47" s="384">
        <f t="shared" ref="Y47" si="44">AVERAGE(W47:W61)</f>
        <v>228.70239441814331</v>
      </c>
      <c r="Z47" s="182">
        <v>5</v>
      </c>
      <c r="AA47" s="166">
        <v>2139.6774193548395</v>
      </c>
      <c r="AB47" s="166">
        <v>427.93548387096791</v>
      </c>
      <c r="AC47" s="182">
        <f t="shared" ref="AC47:AC61" si="45">RANK(AB47, AB$47:AB$61)</f>
        <v>1</v>
      </c>
      <c r="AD47" s="384">
        <f t="shared" ref="AD47" si="46">AVERAGE(AB47:AB61)</f>
        <v>230.1426229142912</v>
      </c>
      <c r="AE47" s="182">
        <v>5</v>
      </c>
      <c r="AF47" s="166">
        <v>2134.7999999999993</v>
      </c>
      <c r="AG47" s="166">
        <v>426.95999999999987</v>
      </c>
      <c r="AH47" s="182">
        <f t="shared" ref="AH47:AH61" si="47">RANK(AG47, AG$47:AG$61)</f>
        <v>1</v>
      </c>
      <c r="AI47" s="384">
        <f t="shared" ref="AI47" si="48">AVERAGE(AG47:AG61)</f>
        <v>227.35444653668753</v>
      </c>
      <c r="AJ47" s="182">
        <v>5</v>
      </c>
      <c r="AK47" s="166">
        <v>2108.7272727272725</v>
      </c>
      <c r="AL47" s="166">
        <v>421.74545454545449</v>
      </c>
      <c r="AM47" s="182">
        <f t="shared" ref="AM47:AM61" si="49">RANK(AL47, AL$47:AL$61)</f>
        <v>1</v>
      </c>
      <c r="AN47" s="384">
        <f t="shared" ref="AN47" si="50">AVERAGE(AL47:AL61)</f>
        <v>228.00168823642807</v>
      </c>
      <c r="AO47" s="182">
        <v>5</v>
      </c>
      <c r="AP47" s="166">
        <v>2133.2432432432429</v>
      </c>
      <c r="AQ47" s="166">
        <v>426.64864864864859</v>
      </c>
      <c r="AR47" s="182">
        <f t="shared" ref="AR47:AR61" si="51">RANK(AQ47, AQ$47:AQ$61)</f>
        <v>1</v>
      </c>
      <c r="AS47" s="384">
        <f t="shared" ref="AS47" si="52">AVERAGE(AQ47:AQ61)</f>
        <v>229.84788111371336</v>
      </c>
      <c r="AT47" s="384" t="e">
        <f t="shared" ref="AT47" si="53">AVERAGE(AR47:AR61)</f>
        <v>#VALUE!</v>
      </c>
      <c r="AU47" s="166">
        <v>2135.8333333333326</v>
      </c>
      <c r="AV47" s="166">
        <v>427.16666666666652</v>
      </c>
      <c r="AW47" s="182">
        <f t="shared" ref="AW47:AW61" si="54">RANK(AV47, AV$47:AV$61)</f>
        <v>1</v>
      </c>
      <c r="AX47" s="384">
        <f t="shared" ref="AX47" si="55">AVERAGE(AV47:AV61)</f>
        <v>229.06315020385432</v>
      </c>
      <c r="AZ47" s="182" t="e">
        <f t="shared" ref="AZ47:AZ61" si="56">RANK(AY47, AY$47:AY$61)</f>
        <v>#N/A</v>
      </c>
      <c r="BA47" s="384" t="e">
        <f t="shared" ref="BA47" si="57">AVERAGE(AY47:AY61)</f>
        <v>#DIV/0!</v>
      </c>
    </row>
    <row r="48" spans="2:53">
      <c r="B48" s="395"/>
      <c r="C48" s="182">
        <v>2</v>
      </c>
      <c r="D48" s="203" t="s">
        <v>442</v>
      </c>
      <c r="E48" s="166">
        <v>4</v>
      </c>
      <c r="F48" s="166">
        <v>2000</v>
      </c>
      <c r="G48" s="166">
        <v>500</v>
      </c>
      <c r="H48" s="402"/>
      <c r="I48" s="166">
        <f t="shared" si="38"/>
        <v>5</v>
      </c>
      <c r="J48" s="166">
        <f t="shared" si="39"/>
        <v>2122.6110862880637</v>
      </c>
      <c r="K48" s="180">
        <f t="shared" si="40"/>
        <v>424.52221725761274</v>
      </c>
      <c r="L48" s="402"/>
      <c r="M48" s="166">
        <f>RANK(K48, K$47:$K$61)</f>
        <v>2</v>
      </c>
      <c r="N48" s="389"/>
      <c r="O48" s="389"/>
      <c r="P48" s="182">
        <v>5</v>
      </c>
      <c r="Q48" s="166">
        <v>2158.1538461538471</v>
      </c>
      <c r="R48" s="166">
        <v>431.63076923076943</v>
      </c>
      <c r="S48" s="182">
        <f t="shared" si="41"/>
        <v>1</v>
      </c>
      <c r="T48" s="385"/>
      <c r="U48" s="182">
        <v>5</v>
      </c>
      <c r="V48" s="166">
        <v>2146.9999999999991</v>
      </c>
      <c r="W48" s="166">
        <v>429.39999999999981</v>
      </c>
      <c r="X48" s="182">
        <f t="shared" si="43"/>
        <v>1</v>
      </c>
      <c r="Y48" s="385"/>
      <c r="Z48" s="182">
        <v>5</v>
      </c>
      <c r="AA48" s="166">
        <v>2131.0344827586191</v>
      </c>
      <c r="AB48" s="166">
        <v>426.20689655172384</v>
      </c>
      <c r="AC48" s="182">
        <f t="shared" si="45"/>
        <v>2</v>
      </c>
      <c r="AD48" s="385"/>
      <c r="AE48" s="182">
        <v>5</v>
      </c>
      <c r="AF48" s="166">
        <v>2093.7500000000005</v>
      </c>
      <c r="AG48" s="166">
        <v>418.75000000000011</v>
      </c>
      <c r="AH48" s="182">
        <f t="shared" si="47"/>
        <v>2</v>
      </c>
      <c r="AI48" s="385"/>
      <c r="AJ48" s="182">
        <v>5</v>
      </c>
      <c r="AK48" s="166">
        <v>2087.7777777777774</v>
      </c>
      <c r="AL48" s="166">
        <v>417.55555555555549</v>
      </c>
      <c r="AM48" s="182">
        <f t="shared" si="49"/>
        <v>2</v>
      </c>
      <c r="AN48" s="385"/>
      <c r="AO48" s="182">
        <v>5</v>
      </c>
      <c r="AP48" s="166">
        <v>2129.090909090909</v>
      </c>
      <c r="AQ48" s="166">
        <v>425.81818181818181</v>
      </c>
      <c r="AR48" s="182">
        <f t="shared" si="51"/>
        <v>2</v>
      </c>
      <c r="AS48" s="385"/>
      <c r="AT48" s="385"/>
      <c r="AU48" s="166">
        <v>2111.4705882352937</v>
      </c>
      <c r="AV48" s="166">
        <v>422.29411764705873</v>
      </c>
      <c r="AW48" s="182">
        <f t="shared" si="54"/>
        <v>2</v>
      </c>
      <c r="AX48" s="385"/>
      <c r="AZ48" s="182" t="e">
        <f t="shared" si="56"/>
        <v>#N/A</v>
      </c>
      <c r="BA48" s="385"/>
    </row>
    <row r="49" spans="2:53">
      <c r="B49" s="395"/>
      <c r="C49" s="182">
        <v>3</v>
      </c>
      <c r="D49" s="203" t="s">
        <v>365</v>
      </c>
      <c r="E49" s="166">
        <v>12</v>
      </c>
      <c r="F49" s="166">
        <v>2118</v>
      </c>
      <c r="G49" s="166">
        <v>176.5</v>
      </c>
      <c r="H49" s="402"/>
      <c r="I49" s="166">
        <f t="shared" si="38"/>
        <v>12</v>
      </c>
      <c r="J49" s="166">
        <f t="shared" si="39"/>
        <v>1983.9960397157006</v>
      </c>
      <c r="K49" s="180">
        <f t="shared" si="40"/>
        <v>165.3330033096417</v>
      </c>
      <c r="L49" s="402"/>
      <c r="M49" s="166">
        <f>RANK(K49, K$47:$K$61)</f>
        <v>7</v>
      </c>
      <c r="N49" s="389"/>
      <c r="O49" s="389"/>
      <c r="P49" s="182">
        <v>12</v>
      </c>
      <c r="Q49" s="166">
        <v>2023.3333333333323</v>
      </c>
      <c r="R49" s="166">
        <v>168.61111111111103</v>
      </c>
      <c r="S49" s="182">
        <f t="shared" si="41"/>
        <v>6</v>
      </c>
      <c r="T49" s="385"/>
      <c r="U49" s="182">
        <v>12</v>
      </c>
      <c r="V49" s="166">
        <v>1956.8571428571433</v>
      </c>
      <c r="W49" s="166">
        <v>163.07142857142861</v>
      </c>
      <c r="X49" s="182">
        <f t="shared" si="43"/>
        <v>7</v>
      </c>
      <c r="Y49" s="385"/>
      <c r="Z49" s="182">
        <v>12</v>
      </c>
      <c r="AA49" s="166">
        <v>1970.1492537313434</v>
      </c>
      <c r="AB49" s="166">
        <v>164.17910447761196</v>
      </c>
      <c r="AC49" s="182">
        <f t="shared" si="45"/>
        <v>7</v>
      </c>
      <c r="AD49" s="385"/>
      <c r="AE49" s="182">
        <v>12</v>
      </c>
      <c r="AF49" s="166">
        <v>2007.4576271186443</v>
      </c>
      <c r="AG49" s="166">
        <v>167.28813559322035</v>
      </c>
      <c r="AH49" s="182">
        <f t="shared" si="47"/>
        <v>4</v>
      </c>
      <c r="AI49" s="385"/>
      <c r="AJ49" s="182">
        <v>12</v>
      </c>
      <c r="AK49" s="166">
        <v>1957.8461538461536</v>
      </c>
      <c r="AL49" s="166">
        <v>163.15384615384613</v>
      </c>
      <c r="AM49" s="182">
        <f t="shared" si="49"/>
        <v>7</v>
      </c>
      <c r="AN49" s="385"/>
      <c r="AO49" s="182">
        <v>12</v>
      </c>
      <c r="AP49" s="166">
        <v>1992.3287671232874</v>
      </c>
      <c r="AQ49" s="166">
        <v>166.02739726027394</v>
      </c>
      <c r="AR49" s="182">
        <f t="shared" si="51"/>
        <v>6</v>
      </c>
      <c r="AS49" s="385"/>
      <c r="AT49" s="385"/>
      <c r="AU49" s="166">
        <v>1980</v>
      </c>
      <c r="AV49" s="166">
        <v>165</v>
      </c>
      <c r="AW49" s="182">
        <f t="shared" si="54"/>
        <v>7</v>
      </c>
      <c r="AX49" s="385"/>
      <c r="AZ49" s="182" t="e">
        <f t="shared" si="56"/>
        <v>#N/A</v>
      </c>
      <c r="BA49" s="385"/>
    </row>
    <row r="50" spans="2:53">
      <c r="B50" s="395"/>
      <c r="C50" s="182">
        <v>4</v>
      </c>
      <c r="D50" s="203" t="s">
        <v>605</v>
      </c>
      <c r="E50" s="166">
        <v>13</v>
      </c>
      <c r="F50" s="166">
        <v>2250</v>
      </c>
      <c r="G50" s="166">
        <v>187.5</v>
      </c>
      <c r="H50" s="402"/>
      <c r="I50" s="166">
        <f t="shared" si="38"/>
        <v>13</v>
      </c>
      <c r="J50" s="166">
        <f t="shared" si="39"/>
        <v>2216.8667745594857</v>
      </c>
      <c r="K50" s="180">
        <f t="shared" si="40"/>
        <v>170.52821342765279</v>
      </c>
      <c r="L50" s="402"/>
      <c r="M50" s="166">
        <f>RANK(K50, K$47:$K$61)</f>
        <v>4</v>
      </c>
      <c r="N50" s="389"/>
      <c r="O50" s="389"/>
      <c r="P50" s="182">
        <v>13</v>
      </c>
      <c r="Q50" s="166">
        <v>2243.7499999999995</v>
      </c>
      <c r="R50" s="166">
        <v>172.59615384615381</v>
      </c>
      <c r="S50" s="182">
        <f t="shared" si="41"/>
        <v>4</v>
      </c>
      <c r="T50" s="385"/>
      <c r="U50" s="182">
        <v>13</v>
      </c>
      <c r="V50" s="166">
        <v>2227.2527472527472</v>
      </c>
      <c r="W50" s="166">
        <v>171.32713440405749</v>
      </c>
      <c r="X50" s="182">
        <f t="shared" si="43"/>
        <v>4</v>
      </c>
      <c r="Y50" s="385"/>
      <c r="Z50" s="182">
        <v>13</v>
      </c>
      <c r="AA50" s="166">
        <v>2241.6279069767438</v>
      </c>
      <c r="AB50" s="166">
        <v>172.43291592128799</v>
      </c>
      <c r="AC50" s="182">
        <f t="shared" si="45"/>
        <v>4</v>
      </c>
      <c r="AD50" s="385"/>
      <c r="AE50" s="182">
        <v>13</v>
      </c>
      <c r="AF50" s="166">
        <v>2156.4705882352946</v>
      </c>
      <c r="AG50" s="166">
        <v>165.88235294117652</v>
      </c>
      <c r="AH50" s="182">
        <f t="shared" si="47"/>
        <v>7</v>
      </c>
      <c r="AI50" s="385"/>
      <c r="AJ50" s="182">
        <v>13</v>
      </c>
      <c r="AK50" s="166">
        <v>2193.6263736263736</v>
      </c>
      <c r="AL50" s="166">
        <v>168.74049027895182</v>
      </c>
      <c r="AM50" s="182">
        <f t="shared" si="49"/>
        <v>5</v>
      </c>
      <c r="AN50" s="385"/>
      <c r="AO50" s="182">
        <v>13</v>
      </c>
      <c r="AP50" s="166">
        <v>2215.3398058252424</v>
      </c>
      <c r="AQ50" s="166">
        <v>170.41075429424941</v>
      </c>
      <c r="AR50" s="182">
        <f t="shared" si="51"/>
        <v>5</v>
      </c>
      <c r="AS50" s="385"/>
      <c r="AT50" s="385"/>
      <c r="AU50" s="166">
        <v>2240</v>
      </c>
      <c r="AV50" s="166">
        <v>172.30769230769232</v>
      </c>
      <c r="AW50" s="182">
        <f t="shared" si="54"/>
        <v>4</v>
      </c>
      <c r="AX50" s="385"/>
      <c r="AZ50" s="182" t="e">
        <f t="shared" si="56"/>
        <v>#N/A</v>
      </c>
      <c r="BA50" s="385"/>
    </row>
    <row r="51" spans="2:53">
      <c r="B51" s="395"/>
      <c r="C51" s="182">
        <v>5</v>
      </c>
      <c r="D51" s="203" t="s">
        <v>366</v>
      </c>
      <c r="E51" s="166">
        <v>13</v>
      </c>
      <c r="F51" s="166">
        <v>2250</v>
      </c>
      <c r="G51" s="166">
        <v>173.1</v>
      </c>
      <c r="H51" s="402"/>
      <c r="I51" s="166">
        <f t="shared" si="38"/>
        <v>13</v>
      </c>
      <c r="J51" s="166">
        <f t="shared" si="39"/>
        <v>2212.6599643193408</v>
      </c>
      <c r="K51" s="180">
        <f t="shared" si="40"/>
        <v>170.20461263994932</v>
      </c>
      <c r="L51" s="402"/>
      <c r="M51" s="166">
        <f>RANK(K51, K$47:$K$61)</f>
        <v>5</v>
      </c>
      <c r="N51" s="389"/>
      <c r="O51" s="389"/>
      <c r="P51" s="182">
        <v>13</v>
      </c>
      <c r="Q51" s="166">
        <v>2229.8076923076937</v>
      </c>
      <c r="R51" s="166">
        <v>171.52366863905337</v>
      </c>
      <c r="S51" s="182">
        <f t="shared" si="41"/>
        <v>5</v>
      </c>
      <c r="T51" s="385"/>
      <c r="U51" s="182">
        <v>13</v>
      </c>
      <c r="V51" s="166">
        <v>2224.705882352941</v>
      </c>
      <c r="W51" s="166">
        <v>171.13122171945699</v>
      </c>
      <c r="X51" s="182">
        <f t="shared" si="43"/>
        <v>5</v>
      </c>
      <c r="Y51" s="385"/>
      <c r="Z51" s="182">
        <v>13</v>
      </c>
      <c r="AA51" s="166">
        <v>2199.9999999999991</v>
      </c>
      <c r="AB51" s="166">
        <v>169.23076923076917</v>
      </c>
      <c r="AC51" s="182">
        <f t="shared" si="45"/>
        <v>5</v>
      </c>
      <c r="AD51" s="385"/>
      <c r="AE51" s="182">
        <v>13</v>
      </c>
      <c r="AF51" s="166">
        <v>2161.3483146067429</v>
      </c>
      <c r="AG51" s="166">
        <v>166.25756266205715</v>
      </c>
      <c r="AH51" s="182">
        <f t="shared" si="47"/>
        <v>6</v>
      </c>
      <c r="AI51" s="385"/>
      <c r="AJ51" s="182">
        <v>13</v>
      </c>
      <c r="AK51" s="166">
        <v>2207.8723404255311</v>
      </c>
      <c r="AL51" s="166">
        <v>169.83633387888702</v>
      </c>
      <c r="AM51" s="182">
        <f t="shared" si="49"/>
        <v>4</v>
      </c>
      <c r="AN51" s="385"/>
      <c r="AO51" s="182">
        <v>13</v>
      </c>
      <c r="AP51" s="166">
        <v>2246.9724770642197</v>
      </c>
      <c r="AQ51" s="166">
        <v>172.84403669724767</v>
      </c>
      <c r="AR51" s="182">
        <f t="shared" si="51"/>
        <v>4</v>
      </c>
      <c r="AS51" s="385"/>
      <c r="AT51" s="385"/>
      <c r="AU51" s="166">
        <v>2217.913043478261</v>
      </c>
      <c r="AV51" s="166">
        <v>170.60869565217394</v>
      </c>
      <c r="AW51" s="182">
        <f t="shared" si="54"/>
        <v>5</v>
      </c>
      <c r="AX51" s="385"/>
      <c r="AZ51" s="182" t="e">
        <f t="shared" si="56"/>
        <v>#N/A</v>
      </c>
      <c r="BA51" s="385"/>
    </row>
    <row r="52" spans="2:53">
      <c r="B52" s="395"/>
      <c r="C52" s="182">
        <v>6</v>
      </c>
      <c r="D52" s="203" t="s">
        <v>367</v>
      </c>
      <c r="E52" s="166">
        <v>10</v>
      </c>
      <c r="F52" s="166">
        <v>2769</v>
      </c>
      <c r="G52" s="166">
        <v>276.89999999999998</v>
      </c>
      <c r="H52" s="402"/>
      <c r="I52" s="166">
        <f t="shared" si="38"/>
        <v>10</v>
      </c>
      <c r="J52" s="166">
        <f t="shared" si="39"/>
        <v>2458.7165521105894</v>
      </c>
      <c r="K52" s="180">
        <f t="shared" si="40"/>
        <v>245.87165521105899</v>
      </c>
      <c r="L52" s="402"/>
      <c r="M52" s="166">
        <f>RANK(K52, K$47:$K$61)</f>
        <v>3</v>
      </c>
      <c r="N52" s="389"/>
      <c r="O52" s="389"/>
      <c r="P52" s="182">
        <v>10</v>
      </c>
      <c r="Q52" s="166">
        <v>2468.4507042253513</v>
      </c>
      <c r="R52" s="166">
        <v>246.84507042253512</v>
      </c>
      <c r="S52" s="182">
        <f t="shared" si="41"/>
        <v>3</v>
      </c>
      <c r="T52" s="385"/>
      <c r="U52" s="182">
        <v>10</v>
      </c>
      <c r="V52" s="166">
        <v>2443.9790575916227</v>
      </c>
      <c r="W52" s="166">
        <v>244.39790575916226</v>
      </c>
      <c r="X52" s="182">
        <f t="shared" si="43"/>
        <v>3</v>
      </c>
      <c r="Y52" s="385"/>
      <c r="Z52" s="182">
        <v>10</v>
      </c>
      <c r="AA52" s="166">
        <v>2475.5932203389839</v>
      </c>
      <c r="AB52" s="166">
        <v>247.55932203389838</v>
      </c>
      <c r="AC52" s="182">
        <f t="shared" si="45"/>
        <v>3</v>
      </c>
      <c r="AD52" s="385"/>
      <c r="AE52" s="182">
        <v>10</v>
      </c>
      <c r="AF52" s="166">
        <v>2407.2151898734178</v>
      </c>
      <c r="AG52" s="166">
        <v>240.72151898734177</v>
      </c>
      <c r="AH52" s="182">
        <f t="shared" si="47"/>
        <v>3</v>
      </c>
      <c r="AI52" s="385"/>
      <c r="AJ52" s="182">
        <v>10</v>
      </c>
      <c r="AK52" s="166">
        <v>2503.8596491228077</v>
      </c>
      <c r="AL52" s="166">
        <v>250.38596491228077</v>
      </c>
      <c r="AM52" s="182">
        <f t="shared" si="49"/>
        <v>3</v>
      </c>
      <c r="AN52" s="385"/>
      <c r="AO52" s="182">
        <v>10</v>
      </c>
      <c r="AP52" s="166">
        <v>2481.176470588236</v>
      </c>
      <c r="AQ52" s="166">
        <v>248.11764705882359</v>
      </c>
      <c r="AR52" s="182">
        <f t="shared" si="51"/>
        <v>3</v>
      </c>
      <c r="AS52" s="385"/>
      <c r="AT52" s="385"/>
      <c r="AU52" s="166">
        <v>2430.7415730337084</v>
      </c>
      <c r="AV52" s="166">
        <v>243.07415730337084</v>
      </c>
      <c r="AW52" s="182">
        <f t="shared" si="54"/>
        <v>3</v>
      </c>
      <c r="AX52" s="385"/>
      <c r="AZ52" s="182" t="e">
        <f t="shared" si="56"/>
        <v>#N/A</v>
      </c>
      <c r="BA52" s="385"/>
    </row>
    <row r="53" spans="2:53">
      <c r="B53" s="395"/>
      <c r="C53" s="182">
        <v>7</v>
      </c>
      <c r="D53" s="203" t="s">
        <v>363</v>
      </c>
      <c r="E53" s="166">
        <v>18</v>
      </c>
      <c r="F53" s="166">
        <v>1200</v>
      </c>
      <c r="G53" s="166">
        <v>66.666666666666671</v>
      </c>
      <c r="H53" s="402"/>
      <c r="I53" s="166">
        <f t="shared" si="38"/>
        <v>18</v>
      </c>
      <c r="J53" s="166">
        <f t="shared" si="39"/>
        <v>1177.7337939315528</v>
      </c>
      <c r="K53" s="180">
        <f t="shared" si="40"/>
        <v>65.429655218419597</v>
      </c>
      <c r="L53" s="402"/>
      <c r="M53" s="166">
        <f>RANK(K53, K$47:$K$61)</f>
        <v>8</v>
      </c>
      <c r="N53" s="389"/>
      <c r="O53" s="389"/>
      <c r="P53" s="182">
        <v>18</v>
      </c>
      <c r="Q53" s="166">
        <v>1182.7777777777783</v>
      </c>
      <c r="R53" s="166">
        <v>65.709876543209901</v>
      </c>
      <c r="S53" s="182">
        <f t="shared" si="41"/>
        <v>8</v>
      </c>
      <c r="T53" s="385"/>
      <c r="U53" s="182">
        <v>18</v>
      </c>
      <c r="V53" s="166">
        <v>1173.7500000000005</v>
      </c>
      <c r="W53" s="166">
        <v>65.208333333333357</v>
      </c>
      <c r="X53" s="182">
        <f t="shared" si="43"/>
        <v>8</v>
      </c>
      <c r="Y53" s="385"/>
      <c r="Z53" s="182">
        <v>18</v>
      </c>
      <c r="AA53" s="166">
        <v>1170.0000000000005</v>
      </c>
      <c r="AB53" s="166">
        <v>65.000000000000028</v>
      </c>
      <c r="AC53" s="182">
        <f t="shared" si="45"/>
        <v>8</v>
      </c>
      <c r="AD53" s="385"/>
      <c r="AE53" s="182">
        <v>18</v>
      </c>
      <c r="AF53" s="166">
        <v>1195.443037974683</v>
      </c>
      <c r="AG53" s="166">
        <v>66.413502109704609</v>
      </c>
      <c r="AH53" s="182">
        <f t="shared" si="47"/>
        <v>8</v>
      </c>
      <c r="AI53" s="385"/>
      <c r="AJ53" s="182">
        <v>18</v>
      </c>
      <c r="AK53" s="166">
        <v>1195.0588235294115</v>
      </c>
      <c r="AL53" s="166">
        <v>66.392156862745082</v>
      </c>
      <c r="AM53" s="182">
        <f t="shared" si="49"/>
        <v>8</v>
      </c>
      <c r="AN53" s="385"/>
      <c r="AO53" s="182">
        <v>18</v>
      </c>
      <c r="AP53" s="166">
        <v>1163.773584905661</v>
      </c>
      <c r="AQ53" s="166">
        <v>64.654088050314499</v>
      </c>
      <c r="AR53" s="182">
        <f t="shared" si="51"/>
        <v>8</v>
      </c>
      <c r="AS53" s="385"/>
      <c r="AT53" s="385"/>
      <c r="AU53" s="166">
        <v>1163.3333333333339</v>
      </c>
      <c r="AV53" s="166">
        <v>64.629629629629662</v>
      </c>
      <c r="AW53" s="182">
        <f t="shared" si="54"/>
        <v>8</v>
      </c>
      <c r="AX53" s="385"/>
      <c r="AZ53" s="182" t="e">
        <f t="shared" si="56"/>
        <v>#N/A</v>
      </c>
      <c r="BA53" s="385"/>
    </row>
    <row r="54" spans="2:53">
      <c r="B54" s="395"/>
      <c r="C54" s="182">
        <v>8</v>
      </c>
      <c r="D54" s="203" t="s">
        <v>538</v>
      </c>
      <c r="E54" s="166">
        <v>12</v>
      </c>
      <c r="F54" s="166">
        <v>2118</v>
      </c>
      <c r="G54" s="166">
        <v>176.5</v>
      </c>
      <c r="H54" s="402"/>
      <c r="I54" s="166">
        <f t="shared" si="38"/>
        <v>12</v>
      </c>
      <c r="J54" s="166">
        <f t="shared" si="39"/>
        <v>1994.1392549728753</v>
      </c>
      <c r="K54" s="180">
        <f t="shared" si="40"/>
        <v>166.17827124773962</v>
      </c>
      <c r="L54" s="402"/>
      <c r="M54" s="166">
        <f>RANK(K54, K$47:$K$61)</f>
        <v>6</v>
      </c>
      <c r="N54" s="389"/>
      <c r="O54" s="389"/>
      <c r="P54" s="182">
        <v>12</v>
      </c>
      <c r="Q54" s="166">
        <v>1999.6721311475417</v>
      </c>
      <c r="R54" s="166">
        <v>166.63934426229514</v>
      </c>
      <c r="S54" s="182">
        <f t="shared" si="41"/>
        <v>7</v>
      </c>
      <c r="T54" s="385"/>
      <c r="U54" s="182">
        <v>12</v>
      </c>
      <c r="V54" s="166">
        <v>1962.7118644067789</v>
      </c>
      <c r="W54" s="166">
        <v>163.55932203389824</v>
      </c>
      <c r="X54" s="182">
        <f t="shared" si="43"/>
        <v>6</v>
      </c>
      <c r="Y54" s="385"/>
      <c r="Z54" s="182">
        <v>12</v>
      </c>
      <c r="AA54" s="166">
        <v>2023.1578947368437</v>
      </c>
      <c r="AB54" s="166">
        <v>168.59649122807031</v>
      </c>
      <c r="AC54" s="182">
        <f t="shared" si="45"/>
        <v>6</v>
      </c>
      <c r="AD54" s="385"/>
      <c r="AE54" s="182">
        <v>12</v>
      </c>
      <c r="AF54" s="166">
        <v>1998.7500000000005</v>
      </c>
      <c r="AG54" s="166">
        <v>166.56250000000003</v>
      </c>
      <c r="AH54" s="182">
        <f t="shared" si="47"/>
        <v>5</v>
      </c>
      <c r="AI54" s="385"/>
      <c r="AJ54" s="182">
        <v>12</v>
      </c>
      <c r="AK54" s="166">
        <v>1994.4444444444453</v>
      </c>
      <c r="AL54" s="166">
        <v>166.20370370370378</v>
      </c>
      <c r="AM54" s="182">
        <f t="shared" si="49"/>
        <v>6</v>
      </c>
      <c r="AN54" s="385"/>
      <c r="AO54" s="182">
        <v>12</v>
      </c>
      <c r="AP54" s="166">
        <v>1971.1475409836071</v>
      </c>
      <c r="AQ54" s="166">
        <v>164.26229508196727</v>
      </c>
      <c r="AR54" s="182">
        <f t="shared" si="51"/>
        <v>7</v>
      </c>
      <c r="AS54" s="385"/>
      <c r="AT54" s="385"/>
      <c r="AU54" s="166">
        <v>2009.0909090909099</v>
      </c>
      <c r="AV54" s="166">
        <v>167.42424242424249</v>
      </c>
      <c r="AW54" s="182">
        <f t="shared" si="54"/>
        <v>6</v>
      </c>
      <c r="AX54" s="385"/>
      <c r="AZ54" s="182" t="e">
        <f t="shared" si="56"/>
        <v>#N/A</v>
      </c>
      <c r="BA54" s="385"/>
    </row>
    <row r="55" spans="2:53">
      <c r="B55" s="395"/>
      <c r="C55" s="182">
        <v>9</v>
      </c>
      <c r="D55" s="203"/>
      <c r="E55" s="166"/>
      <c r="F55" s="166"/>
      <c r="G55" s="166"/>
      <c r="H55" s="402"/>
      <c r="I55" s="166" t="str">
        <f t="shared" si="38"/>
        <v>-</v>
      </c>
      <c r="J55" s="166" t="str">
        <f t="shared" si="39"/>
        <v>-</v>
      </c>
      <c r="K55" s="180" t="str">
        <f t="shared" si="40"/>
        <v>-</v>
      </c>
      <c r="L55" s="402"/>
      <c r="M55" s="166" t="e">
        <f>RANK(K55, K$47:$K$61)</f>
        <v>#VALUE!</v>
      </c>
      <c r="N55" s="389"/>
      <c r="O55" s="389"/>
      <c r="P55" s="182" t="s">
        <v>634</v>
      </c>
      <c r="Q55" s="166" t="s">
        <v>634</v>
      </c>
      <c r="R55" s="166" t="s">
        <v>634</v>
      </c>
      <c r="S55" s="182" t="e">
        <f t="shared" si="41"/>
        <v>#VALUE!</v>
      </c>
      <c r="T55" s="385"/>
      <c r="U55" s="182" t="s">
        <v>634</v>
      </c>
      <c r="V55" s="166" t="s">
        <v>634</v>
      </c>
      <c r="W55" s="166" t="s">
        <v>634</v>
      </c>
      <c r="X55" s="182" t="e">
        <f t="shared" si="43"/>
        <v>#VALUE!</v>
      </c>
      <c r="Y55" s="385"/>
      <c r="Z55" s="182" t="s">
        <v>634</v>
      </c>
      <c r="AA55" s="166" t="s">
        <v>634</v>
      </c>
      <c r="AB55" s="166" t="s">
        <v>634</v>
      </c>
      <c r="AC55" s="182" t="e">
        <f t="shared" si="45"/>
        <v>#VALUE!</v>
      </c>
      <c r="AD55" s="385"/>
      <c r="AE55" s="182" t="s">
        <v>634</v>
      </c>
      <c r="AF55" s="166" t="s">
        <v>634</v>
      </c>
      <c r="AG55" s="166" t="s">
        <v>634</v>
      </c>
      <c r="AH55" s="182" t="e">
        <f t="shared" si="47"/>
        <v>#VALUE!</v>
      </c>
      <c r="AI55" s="385"/>
      <c r="AJ55" s="182" t="s">
        <v>634</v>
      </c>
      <c r="AK55" s="166" t="s">
        <v>634</v>
      </c>
      <c r="AL55" s="166" t="s">
        <v>634</v>
      </c>
      <c r="AM55" s="182" t="e">
        <f t="shared" si="49"/>
        <v>#VALUE!</v>
      </c>
      <c r="AN55" s="385"/>
      <c r="AO55" s="182" t="s">
        <v>634</v>
      </c>
      <c r="AP55" s="166" t="s">
        <v>634</v>
      </c>
      <c r="AQ55" s="166" t="s">
        <v>634</v>
      </c>
      <c r="AR55" s="182" t="e">
        <f t="shared" si="51"/>
        <v>#VALUE!</v>
      </c>
      <c r="AS55" s="385"/>
      <c r="AT55" s="385"/>
      <c r="AU55" s="166" t="s">
        <v>634</v>
      </c>
      <c r="AV55" s="166" t="s">
        <v>634</v>
      </c>
      <c r="AW55" s="182" t="e">
        <f t="shared" si="54"/>
        <v>#VALUE!</v>
      </c>
      <c r="AX55" s="385"/>
      <c r="AZ55" s="182" t="e">
        <f t="shared" si="56"/>
        <v>#N/A</v>
      </c>
      <c r="BA55" s="385"/>
    </row>
    <row r="56" spans="2:53">
      <c r="B56" s="395"/>
      <c r="C56" s="182">
        <v>10</v>
      </c>
      <c r="D56" s="203"/>
      <c r="E56" s="166"/>
      <c r="F56" s="166"/>
      <c r="G56" s="166"/>
      <c r="H56" s="402"/>
      <c r="I56" s="166" t="str">
        <f t="shared" si="38"/>
        <v>-</v>
      </c>
      <c r="J56" s="166" t="str">
        <f t="shared" si="39"/>
        <v>-</v>
      </c>
      <c r="K56" s="180" t="str">
        <f t="shared" si="40"/>
        <v>-</v>
      </c>
      <c r="L56" s="402"/>
      <c r="M56" s="166" t="e">
        <f>RANK(K56, K$47:$K$61)</f>
        <v>#VALUE!</v>
      </c>
      <c r="N56" s="389"/>
      <c r="O56" s="389"/>
      <c r="P56" s="182" t="s">
        <v>634</v>
      </c>
      <c r="Q56" s="166" t="s">
        <v>634</v>
      </c>
      <c r="R56" s="166" t="s">
        <v>634</v>
      </c>
      <c r="S56" s="182" t="e">
        <f t="shared" si="41"/>
        <v>#VALUE!</v>
      </c>
      <c r="T56" s="385"/>
      <c r="U56" s="182" t="s">
        <v>634</v>
      </c>
      <c r="V56" s="166" t="s">
        <v>634</v>
      </c>
      <c r="W56" s="166" t="s">
        <v>634</v>
      </c>
      <c r="X56" s="182" t="e">
        <f t="shared" si="43"/>
        <v>#VALUE!</v>
      </c>
      <c r="Y56" s="385"/>
      <c r="Z56" s="182" t="s">
        <v>634</v>
      </c>
      <c r="AA56" s="166" t="s">
        <v>634</v>
      </c>
      <c r="AB56" s="166" t="s">
        <v>634</v>
      </c>
      <c r="AC56" s="182" t="e">
        <f t="shared" si="45"/>
        <v>#VALUE!</v>
      </c>
      <c r="AD56" s="385"/>
      <c r="AE56" s="182" t="s">
        <v>634</v>
      </c>
      <c r="AF56" s="166" t="s">
        <v>634</v>
      </c>
      <c r="AG56" s="166" t="s">
        <v>634</v>
      </c>
      <c r="AH56" s="182" t="e">
        <f t="shared" si="47"/>
        <v>#VALUE!</v>
      </c>
      <c r="AI56" s="385"/>
      <c r="AJ56" s="182" t="s">
        <v>634</v>
      </c>
      <c r="AK56" s="166" t="s">
        <v>634</v>
      </c>
      <c r="AL56" s="166" t="s">
        <v>634</v>
      </c>
      <c r="AM56" s="182" t="e">
        <f t="shared" si="49"/>
        <v>#VALUE!</v>
      </c>
      <c r="AN56" s="385"/>
      <c r="AO56" s="182" t="s">
        <v>634</v>
      </c>
      <c r="AP56" s="166" t="s">
        <v>634</v>
      </c>
      <c r="AQ56" s="166" t="s">
        <v>634</v>
      </c>
      <c r="AR56" s="182" t="e">
        <f t="shared" si="51"/>
        <v>#VALUE!</v>
      </c>
      <c r="AS56" s="385"/>
      <c r="AT56" s="385"/>
      <c r="AU56" s="166" t="s">
        <v>634</v>
      </c>
      <c r="AV56" s="166" t="s">
        <v>634</v>
      </c>
      <c r="AW56" s="182" t="e">
        <f t="shared" si="54"/>
        <v>#VALUE!</v>
      </c>
      <c r="AX56" s="385"/>
      <c r="AZ56" s="182" t="e">
        <f t="shared" si="56"/>
        <v>#N/A</v>
      </c>
      <c r="BA56" s="385"/>
    </row>
    <row r="57" spans="2:53">
      <c r="B57" s="395"/>
      <c r="C57" s="182">
        <v>11</v>
      </c>
      <c r="D57" s="203"/>
      <c r="E57" s="166"/>
      <c r="F57" s="166"/>
      <c r="G57" s="166"/>
      <c r="H57" s="402"/>
      <c r="I57" s="166" t="str">
        <f t="shared" si="38"/>
        <v>-</v>
      </c>
      <c r="J57" s="166" t="str">
        <f t="shared" si="39"/>
        <v>-</v>
      </c>
      <c r="K57" s="180" t="str">
        <f t="shared" si="40"/>
        <v>-</v>
      </c>
      <c r="L57" s="402"/>
      <c r="M57" s="166" t="e">
        <f>RANK(K57, K$47:$K$61)</f>
        <v>#VALUE!</v>
      </c>
      <c r="N57" s="389"/>
      <c r="O57" s="389"/>
      <c r="P57" s="182" t="s">
        <v>634</v>
      </c>
      <c r="Q57" s="166" t="s">
        <v>634</v>
      </c>
      <c r="R57" s="166" t="s">
        <v>634</v>
      </c>
      <c r="S57" s="182" t="e">
        <f t="shared" si="41"/>
        <v>#VALUE!</v>
      </c>
      <c r="T57" s="385"/>
      <c r="U57" s="182" t="s">
        <v>634</v>
      </c>
      <c r="V57" s="166" t="s">
        <v>634</v>
      </c>
      <c r="W57" s="166" t="s">
        <v>634</v>
      </c>
      <c r="X57" s="182" t="e">
        <f t="shared" si="43"/>
        <v>#VALUE!</v>
      </c>
      <c r="Y57" s="385"/>
      <c r="Z57" s="182" t="s">
        <v>634</v>
      </c>
      <c r="AA57" s="166" t="s">
        <v>634</v>
      </c>
      <c r="AB57" s="166" t="s">
        <v>634</v>
      </c>
      <c r="AC57" s="182" t="e">
        <f t="shared" si="45"/>
        <v>#VALUE!</v>
      </c>
      <c r="AD57" s="385"/>
      <c r="AE57" s="182" t="s">
        <v>634</v>
      </c>
      <c r="AF57" s="166" t="s">
        <v>634</v>
      </c>
      <c r="AG57" s="166" t="s">
        <v>634</v>
      </c>
      <c r="AH57" s="182" t="e">
        <f t="shared" si="47"/>
        <v>#VALUE!</v>
      </c>
      <c r="AI57" s="385"/>
      <c r="AJ57" s="182" t="s">
        <v>634</v>
      </c>
      <c r="AK57" s="166" t="s">
        <v>634</v>
      </c>
      <c r="AL57" s="166" t="s">
        <v>634</v>
      </c>
      <c r="AM57" s="182" t="e">
        <f t="shared" si="49"/>
        <v>#VALUE!</v>
      </c>
      <c r="AN57" s="385"/>
      <c r="AO57" s="182" t="s">
        <v>634</v>
      </c>
      <c r="AP57" s="166" t="s">
        <v>634</v>
      </c>
      <c r="AQ57" s="166" t="s">
        <v>634</v>
      </c>
      <c r="AR57" s="182" t="e">
        <f t="shared" si="51"/>
        <v>#VALUE!</v>
      </c>
      <c r="AS57" s="385"/>
      <c r="AT57" s="385"/>
      <c r="AU57" s="166" t="s">
        <v>634</v>
      </c>
      <c r="AV57" s="166" t="s">
        <v>634</v>
      </c>
      <c r="AW57" s="182" t="e">
        <f t="shared" si="54"/>
        <v>#VALUE!</v>
      </c>
      <c r="AX57" s="385"/>
      <c r="AZ57" s="182" t="e">
        <f t="shared" si="56"/>
        <v>#N/A</v>
      </c>
      <c r="BA57" s="385"/>
    </row>
    <row r="58" spans="2:53">
      <c r="B58" s="395"/>
      <c r="C58" s="182">
        <v>12</v>
      </c>
      <c r="D58" s="203"/>
      <c r="E58" s="166"/>
      <c r="F58" s="166"/>
      <c r="G58" s="166"/>
      <c r="H58" s="402"/>
      <c r="I58" s="166" t="str">
        <f t="shared" si="38"/>
        <v>-</v>
      </c>
      <c r="J58" s="166" t="str">
        <f t="shared" si="39"/>
        <v>-</v>
      </c>
      <c r="K58" s="180" t="str">
        <f t="shared" si="40"/>
        <v>-</v>
      </c>
      <c r="L58" s="402"/>
      <c r="M58" s="166" t="e">
        <f>RANK(K58, K$47:$K$61)</f>
        <v>#VALUE!</v>
      </c>
      <c r="N58" s="389"/>
      <c r="O58" s="389"/>
      <c r="P58" s="182" t="s">
        <v>634</v>
      </c>
      <c r="Q58" s="166" t="s">
        <v>634</v>
      </c>
      <c r="R58" s="166" t="s">
        <v>634</v>
      </c>
      <c r="S58" s="182" t="e">
        <f t="shared" si="41"/>
        <v>#VALUE!</v>
      </c>
      <c r="T58" s="385"/>
      <c r="U58" s="182" t="s">
        <v>634</v>
      </c>
      <c r="V58" s="166" t="s">
        <v>634</v>
      </c>
      <c r="W58" s="166" t="s">
        <v>634</v>
      </c>
      <c r="X58" s="182" t="e">
        <f t="shared" si="43"/>
        <v>#VALUE!</v>
      </c>
      <c r="Y58" s="385"/>
      <c r="Z58" s="182" t="s">
        <v>634</v>
      </c>
      <c r="AA58" s="166" t="s">
        <v>634</v>
      </c>
      <c r="AB58" s="166" t="s">
        <v>634</v>
      </c>
      <c r="AC58" s="182" t="e">
        <f t="shared" si="45"/>
        <v>#VALUE!</v>
      </c>
      <c r="AD58" s="385"/>
      <c r="AE58" s="182" t="s">
        <v>634</v>
      </c>
      <c r="AF58" s="166" t="s">
        <v>634</v>
      </c>
      <c r="AG58" s="166" t="s">
        <v>634</v>
      </c>
      <c r="AH58" s="182" t="e">
        <f t="shared" si="47"/>
        <v>#VALUE!</v>
      </c>
      <c r="AI58" s="385"/>
      <c r="AJ58" s="182" t="s">
        <v>634</v>
      </c>
      <c r="AK58" s="166" t="s">
        <v>634</v>
      </c>
      <c r="AL58" s="166" t="s">
        <v>634</v>
      </c>
      <c r="AM58" s="182" t="e">
        <f t="shared" si="49"/>
        <v>#VALUE!</v>
      </c>
      <c r="AN58" s="385"/>
      <c r="AO58" s="182" t="s">
        <v>634</v>
      </c>
      <c r="AP58" s="166" t="s">
        <v>634</v>
      </c>
      <c r="AQ58" s="166" t="s">
        <v>634</v>
      </c>
      <c r="AR58" s="182" t="e">
        <f t="shared" si="51"/>
        <v>#VALUE!</v>
      </c>
      <c r="AS58" s="385"/>
      <c r="AT58" s="385"/>
      <c r="AU58" s="166" t="s">
        <v>634</v>
      </c>
      <c r="AV58" s="166" t="s">
        <v>634</v>
      </c>
      <c r="AW58" s="182" t="e">
        <f t="shared" si="54"/>
        <v>#VALUE!</v>
      </c>
      <c r="AX58" s="385"/>
      <c r="AZ58" s="182" t="e">
        <f t="shared" si="56"/>
        <v>#N/A</v>
      </c>
      <c r="BA58" s="385"/>
    </row>
    <row r="59" spans="2:53">
      <c r="B59" s="395"/>
      <c r="C59" s="182">
        <v>13</v>
      </c>
      <c r="D59" s="203"/>
      <c r="E59" s="166"/>
      <c r="F59" s="166"/>
      <c r="G59" s="166"/>
      <c r="H59" s="402"/>
      <c r="I59" s="166" t="str">
        <f t="shared" si="38"/>
        <v>-</v>
      </c>
      <c r="J59" s="166" t="str">
        <f t="shared" si="39"/>
        <v>-</v>
      </c>
      <c r="K59" s="180" t="str">
        <f t="shared" si="40"/>
        <v>-</v>
      </c>
      <c r="L59" s="402"/>
      <c r="M59" s="166" t="e">
        <f>RANK(K59, K$47:$K$61)</f>
        <v>#VALUE!</v>
      </c>
      <c r="N59" s="389"/>
      <c r="O59" s="389"/>
      <c r="P59" s="182" t="s">
        <v>634</v>
      </c>
      <c r="Q59" s="166" t="s">
        <v>634</v>
      </c>
      <c r="R59" s="166" t="s">
        <v>634</v>
      </c>
      <c r="S59" s="182" t="e">
        <f t="shared" si="41"/>
        <v>#VALUE!</v>
      </c>
      <c r="T59" s="385"/>
      <c r="U59" s="182" t="s">
        <v>634</v>
      </c>
      <c r="V59" s="166" t="s">
        <v>634</v>
      </c>
      <c r="W59" s="166" t="s">
        <v>634</v>
      </c>
      <c r="X59" s="182" t="e">
        <f t="shared" si="43"/>
        <v>#VALUE!</v>
      </c>
      <c r="Y59" s="385"/>
      <c r="Z59" s="182" t="s">
        <v>634</v>
      </c>
      <c r="AA59" s="166" t="s">
        <v>634</v>
      </c>
      <c r="AB59" s="166" t="s">
        <v>634</v>
      </c>
      <c r="AC59" s="182" t="e">
        <f t="shared" si="45"/>
        <v>#VALUE!</v>
      </c>
      <c r="AD59" s="385"/>
      <c r="AE59" s="182" t="s">
        <v>634</v>
      </c>
      <c r="AF59" s="166" t="s">
        <v>634</v>
      </c>
      <c r="AG59" s="166" t="s">
        <v>634</v>
      </c>
      <c r="AH59" s="182" t="e">
        <f t="shared" si="47"/>
        <v>#VALUE!</v>
      </c>
      <c r="AI59" s="385"/>
      <c r="AJ59" s="182" t="s">
        <v>634</v>
      </c>
      <c r="AK59" s="166" t="s">
        <v>634</v>
      </c>
      <c r="AL59" s="166" t="s">
        <v>634</v>
      </c>
      <c r="AM59" s="182" t="e">
        <f t="shared" si="49"/>
        <v>#VALUE!</v>
      </c>
      <c r="AN59" s="385"/>
      <c r="AO59" s="182" t="s">
        <v>634</v>
      </c>
      <c r="AP59" s="166" t="s">
        <v>634</v>
      </c>
      <c r="AQ59" s="166" t="s">
        <v>634</v>
      </c>
      <c r="AR59" s="182" t="e">
        <f t="shared" si="51"/>
        <v>#VALUE!</v>
      </c>
      <c r="AS59" s="385"/>
      <c r="AT59" s="385"/>
      <c r="AU59" s="166" t="s">
        <v>634</v>
      </c>
      <c r="AV59" s="166" t="s">
        <v>634</v>
      </c>
      <c r="AW59" s="182" t="e">
        <f t="shared" si="54"/>
        <v>#VALUE!</v>
      </c>
      <c r="AX59" s="385"/>
      <c r="AZ59" s="182" t="e">
        <f t="shared" si="56"/>
        <v>#N/A</v>
      </c>
      <c r="BA59" s="385"/>
    </row>
    <row r="60" spans="2:53">
      <c r="B60" s="395"/>
      <c r="C60" s="182">
        <v>14</v>
      </c>
      <c r="D60" s="203"/>
      <c r="E60" s="166"/>
      <c r="F60" s="166"/>
      <c r="G60" s="166"/>
      <c r="H60" s="402"/>
      <c r="I60" s="166" t="str">
        <f t="shared" si="38"/>
        <v>-</v>
      </c>
      <c r="J60" s="166" t="str">
        <f t="shared" si="39"/>
        <v>-</v>
      </c>
      <c r="K60" s="180" t="str">
        <f t="shared" si="40"/>
        <v>-</v>
      </c>
      <c r="L60" s="402"/>
      <c r="M60" s="166" t="e">
        <f>RANK(K60, K$47:$K$61)</f>
        <v>#VALUE!</v>
      </c>
      <c r="N60" s="389"/>
      <c r="O60" s="389"/>
      <c r="P60" s="182" t="s">
        <v>634</v>
      </c>
      <c r="Q60" s="166" t="s">
        <v>634</v>
      </c>
      <c r="R60" s="166" t="s">
        <v>634</v>
      </c>
      <c r="S60" s="182" t="e">
        <f t="shared" si="41"/>
        <v>#VALUE!</v>
      </c>
      <c r="T60" s="385"/>
      <c r="U60" s="182" t="s">
        <v>634</v>
      </c>
      <c r="V60" s="166" t="s">
        <v>634</v>
      </c>
      <c r="W60" s="166" t="s">
        <v>634</v>
      </c>
      <c r="X60" s="182" t="e">
        <f t="shared" si="43"/>
        <v>#VALUE!</v>
      </c>
      <c r="Y60" s="385"/>
      <c r="Z60" s="182" t="s">
        <v>634</v>
      </c>
      <c r="AA60" s="166" t="s">
        <v>634</v>
      </c>
      <c r="AB60" s="166" t="s">
        <v>634</v>
      </c>
      <c r="AC60" s="182" t="e">
        <f t="shared" si="45"/>
        <v>#VALUE!</v>
      </c>
      <c r="AD60" s="385"/>
      <c r="AE60" s="182" t="s">
        <v>634</v>
      </c>
      <c r="AF60" s="166" t="s">
        <v>634</v>
      </c>
      <c r="AG60" s="166" t="s">
        <v>634</v>
      </c>
      <c r="AH60" s="182" t="e">
        <f t="shared" si="47"/>
        <v>#VALUE!</v>
      </c>
      <c r="AI60" s="385"/>
      <c r="AJ60" s="182" t="s">
        <v>634</v>
      </c>
      <c r="AK60" s="166" t="s">
        <v>634</v>
      </c>
      <c r="AL60" s="166" t="s">
        <v>634</v>
      </c>
      <c r="AM60" s="182" t="e">
        <f t="shared" si="49"/>
        <v>#VALUE!</v>
      </c>
      <c r="AN60" s="385"/>
      <c r="AO60" s="182" t="s">
        <v>634</v>
      </c>
      <c r="AP60" s="166" t="s">
        <v>634</v>
      </c>
      <c r="AQ60" s="166" t="s">
        <v>634</v>
      </c>
      <c r="AR60" s="182" t="e">
        <f t="shared" si="51"/>
        <v>#VALUE!</v>
      </c>
      <c r="AS60" s="385"/>
      <c r="AT60" s="385"/>
      <c r="AU60" s="166" t="s">
        <v>634</v>
      </c>
      <c r="AV60" s="166" t="s">
        <v>634</v>
      </c>
      <c r="AW60" s="182" t="e">
        <f t="shared" si="54"/>
        <v>#VALUE!</v>
      </c>
      <c r="AX60" s="385"/>
      <c r="AZ60" s="182" t="e">
        <f t="shared" si="56"/>
        <v>#N/A</v>
      </c>
      <c r="BA60" s="385"/>
    </row>
    <row r="61" spans="2:53">
      <c r="B61" s="395"/>
      <c r="C61" s="182">
        <v>15</v>
      </c>
      <c r="D61" s="203"/>
      <c r="E61" s="166"/>
      <c r="F61" s="166"/>
      <c r="G61" s="166"/>
      <c r="H61" s="403"/>
      <c r="I61" s="166"/>
      <c r="J61" s="166"/>
      <c r="K61" s="180"/>
      <c r="L61" s="403"/>
      <c r="M61" s="166" t="e">
        <f>RANK(K61, K$47:$K$61)</f>
        <v>#N/A</v>
      </c>
      <c r="N61" s="389"/>
      <c r="O61" s="389"/>
      <c r="P61" s="182" t="s">
        <v>634</v>
      </c>
      <c r="Q61" s="166" t="s">
        <v>634</v>
      </c>
      <c r="R61" s="166" t="s">
        <v>634</v>
      </c>
      <c r="S61" s="182" t="e">
        <f t="shared" si="41"/>
        <v>#VALUE!</v>
      </c>
      <c r="T61" s="386"/>
      <c r="U61" s="182" t="s">
        <v>634</v>
      </c>
      <c r="V61" s="166" t="s">
        <v>634</v>
      </c>
      <c r="W61" s="166" t="s">
        <v>634</v>
      </c>
      <c r="X61" s="182" t="e">
        <f t="shared" si="43"/>
        <v>#VALUE!</v>
      </c>
      <c r="Y61" s="386"/>
      <c r="Z61" s="182" t="s">
        <v>634</v>
      </c>
      <c r="AA61" s="166" t="s">
        <v>634</v>
      </c>
      <c r="AB61" s="166" t="s">
        <v>634</v>
      </c>
      <c r="AC61" s="182" t="e">
        <f t="shared" si="45"/>
        <v>#VALUE!</v>
      </c>
      <c r="AD61" s="386"/>
      <c r="AE61" s="182" t="s">
        <v>634</v>
      </c>
      <c r="AF61" s="166" t="s">
        <v>634</v>
      </c>
      <c r="AG61" s="166" t="s">
        <v>634</v>
      </c>
      <c r="AH61" s="182" t="e">
        <f t="shared" si="47"/>
        <v>#VALUE!</v>
      </c>
      <c r="AI61" s="386"/>
      <c r="AJ61" s="182" t="s">
        <v>634</v>
      </c>
      <c r="AK61" s="166" t="s">
        <v>634</v>
      </c>
      <c r="AL61" s="166" t="s">
        <v>634</v>
      </c>
      <c r="AM61" s="182" t="e">
        <f t="shared" si="49"/>
        <v>#VALUE!</v>
      </c>
      <c r="AN61" s="386"/>
      <c r="AO61" s="182" t="s">
        <v>634</v>
      </c>
      <c r="AP61" s="166" t="s">
        <v>634</v>
      </c>
      <c r="AQ61" s="166" t="s">
        <v>634</v>
      </c>
      <c r="AR61" s="182" t="e">
        <f t="shared" si="51"/>
        <v>#VALUE!</v>
      </c>
      <c r="AS61" s="386"/>
      <c r="AT61" s="386"/>
      <c r="AU61" s="166" t="s">
        <v>634</v>
      </c>
      <c r="AV61" s="166" t="s">
        <v>634</v>
      </c>
      <c r="AW61" s="182" t="e">
        <f t="shared" si="54"/>
        <v>#VALUE!</v>
      </c>
      <c r="AX61" s="386"/>
      <c r="AZ61" s="182" t="e">
        <f t="shared" si="56"/>
        <v>#N/A</v>
      </c>
      <c r="BA61" s="386"/>
    </row>
    <row r="62" spans="2:53" ht="15.75">
      <c r="B62" s="414" t="s">
        <v>163</v>
      </c>
      <c r="C62" s="415"/>
      <c r="D62" s="415"/>
      <c r="E62" s="415"/>
      <c r="F62" s="415"/>
      <c r="G62" s="415"/>
      <c r="H62" s="415"/>
      <c r="I62" s="186"/>
      <c r="J62" s="186"/>
      <c r="K62" s="186"/>
      <c r="L62" s="186"/>
      <c r="M62" s="185"/>
      <c r="N62" s="391" t="s">
        <v>156</v>
      </c>
      <c r="O62" s="391" t="s">
        <v>105</v>
      </c>
      <c r="P62" s="413">
        <f>P42+7</f>
        <v>46161</v>
      </c>
      <c r="Q62" s="395"/>
      <c r="R62" s="395"/>
      <c r="S62" s="395"/>
      <c r="T62" s="395"/>
      <c r="U62" s="410">
        <f>P62+1</f>
        <v>46162</v>
      </c>
      <c r="V62" s="411"/>
      <c r="W62" s="411"/>
      <c r="X62" s="411"/>
      <c r="Y62" s="412"/>
      <c r="Z62" s="410">
        <f>U62+1</f>
        <v>46163</v>
      </c>
      <c r="AA62" s="411"/>
      <c r="AB62" s="411"/>
      <c r="AC62" s="411"/>
      <c r="AD62" s="412"/>
      <c r="AE62" s="410">
        <f>Z62+1</f>
        <v>46164</v>
      </c>
      <c r="AF62" s="411"/>
      <c r="AG62" s="411"/>
      <c r="AH62" s="411"/>
      <c r="AI62" s="412"/>
      <c r="AJ62" s="410">
        <f>AE62+1</f>
        <v>46165</v>
      </c>
      <c r="AK62" s="411"/>
      <c r="AL62" s="411"/>
      <c r="AM62" s="411"/>
      <c r="AN62" s="412"/>
      <c r="AO62" s="410">
        <f>AJ62+1</f>
        <v>46166</v>
      </c>
      <c r="AP62" s="411"/>
      <c r="AQ62" s="411"/>
      <c r="AR62" s="411"/>
      <c r="AS62" s="412"/>
      <c r="AT62" s="410">
        <f>AO62+1</f>
        <v>46167</v>
      </c>
      <c r="AU62" s="411"/>
      <c r="AV62" s="411"/>
      <c r="AW62" s="411"/>
      <c r="AX62" s="412"/>
    </row>
    <row r="63" spans="2:53" ht="15.75">
      <c r="B63" s="416"/>
      <c r="C63" s="416"/>
      <c r="D63" s="416"/>
      <c r="E63" s="416"/>
      <c r="F63" s="416"/>
      <c r="G63" s="416"/>
      <c r="H63" s="416"/>
      <c r="I63" s="184"/>
      <c r="J63" s="184"/>
      <c r="K63" s="184"/>
      <c r="L63" s="184"/>
      <c r="M63" s="179"/>
      <c r="N63" s="393"/>
      <c r="O63" s="393"/>
      <c r="P63" s="413" t="s">
        <v>318</v>
      </c>
      <c r="Q63" s="395"/>
      <c r="R63" s="395"/>
      <c r="S63" s="395"/>
      <c r="T63" s="395"/>
      <c r="U63" s="413" t="s">
        <v>319</v>
      </c>
      <c r="V63" s="395"/>
      <c r="W63" s="395"/>
      <c r="X63" s="395"/>
      <c r="Y63" s="395"/>
      <c r="Z63" s="413" t="s">
        <v>320</v>
      </c>
      <c r="AA63" s="395"/>
      <c r="AB63" s="395"/>
      <c r="AC63" s="395"/>
      <c r="AD63" s="395"/>
      <c r="AE63" s="413" t="s">
        <v>321</v>
      </c>
      <c r="AF63" s="395"/>
      <c r="AG63" s="395"/>
      <c r="AH63" s="395"/>
      <c r="AI63" s="395"/>
      <c r="AJ63" s="413" t="s">
        <v>322</v>
      </c>
      <c r="AK63" s="395"/>
      <c r="AL63" s="395"/>
      <c r="AM63" s="395"/>
      <c r="AN63" s="395"/>
      <c r="AO63" s="413" t="s">
        <v>323</v>
      </c>
      <c r="AP63" s="395"/>
      <c r="AQ63" s="395"/>
      <c r="AR63" s="395"/>
      <c r="AS63" s="395"/>
      <c r="AT63" s="413" t="s">
        <v>324</v>
      </c>
      <c r="AU63" s="395"/>
      <c r="AV63" s="395"/>
      <c r="AW63" s="395"/>
      <c r="AX63" s="395"/>
    </row>
    <row r="64" spans="2:53">
      <c r="B64" s="389" t="s">
        <v>376</v>
      </c>
      <c r="C64" s="389" t="s">
        <v>386</v>
      </c>
      <c r="D64" s="389"/>
      <c r="E64" s="389" t="s">
        <v>377</v>
      </c>
      <c r="F64" s="389"/>
      <c r="G64" s="389"/>
      <c r="H64" s="417" t="s">
        <v>373</v>
      </c>
      <c r="I64" s="389" t="s">
        <v>378</v>
      </c>
      <c r="J64" s="389"/>
      <c r="K64" s="389"/>
      <c r="L64" s="417" t="s">
        <v>373</v>
      </c>
      <c r="M64" s="391" t="s">
        <v>374</v>
      </c>
      <c r="N64" s="389"/>
      <c r="O64" s="389" t="s">
        <v>379</v>
      </c>
      <c r="P64" s="404" t="s">
        <v>375</v>
      </c>
      <c r="Q64" s="405"/>
      <c r="R64" s="405"/>
      <c r="S64" s="406"/>
      <c r="T64" s="389" t="s">
        <v>373</v>
      </c>
      <c r="U64" s="404" t="s">
        <v>375</v>
      </c>
      <c r="V64" s="405"/>
      <c r="W64" s="405"/>
      <c r="X64" s="406"/>
      <c r="Y64" s="389" t="s">
        <v>373</v>
      </c>
      <c r="Z64" s="404" t="s">
        <v>375</v>
      </c>
      <c r="AA64" s="405"/>
      <c r="AB64" s="405"/>
      <c r="AC64" s="406"/>
      <c r="AD64" s="389" t="s">
        <v>373</v>
      </c>
      <c r="AE64" s="404" t="s">
        <v>375</v>
      </c>
      <c r="AF64" s="405"/>
      <c r="AG64" s="405"/>
      <c r="AH64" s="406"/>
      <c r="AI64" s="389" t="s">
        <v>373</v>
      </c>
      <c r="AJ64" s="404" t="s">
        <v>375</v>
      </c>
      <c r="AK64" s="405"/>
      <c r="AL64" s="405"/>
      <c r="AM64" s="406"/>
      <c r="AN64" s="389" t="s">
        <v>373</v>
      </c>
      <c r="AO64" s="404" t="s">
        <v>375</v>
      </c>
      <c r="AP64" s="405"/>
      <c r="AQ64" s="405"/>
      <c r="AR64" s="406"/>
      <c r="AS64" s="389" t="s">
        <v>373</v>
      </c>
      <c r="AT64" s="404" t="s">
        <v>375</v>
      </c>
      <c r="AU64" s="405"/>
      <c r="AV64" s="405"/>
      <c r="AW64" s="406"/>
      <c r="AX64" s="389" t="s">
        <v>373</v>
      </c>
      <c r="BA64" s="389" t="s">
        <v>373</v>
      </c>
    </row>
    <row r="65" spans="2:53">
      <c r="B65" s="389"/>
      <c r="C65" s="389"/>
      <c r="D65" s="389"/>
      <c r="E65" s="389" t="s">
        <v>380</v>
      </c>
      <c r="F65" s="389"/>
      <c r="G65" s="389"/>
      <c r="H65" s="418"/>
      <c r="I65" s="389" t="s">
        <v>380</v>
      </c>
      <c r="J65" s="389"/>
      <c r="K65" s="389"/>
      <c r="L65" s="418"/>
      <c r="M65" s="392"/>
      <c r="N65" s="389"/>
      <c r="O65" s="389"/>
      <c r="P65" s="404" t="s">
        <v>381</v>
      </c>
      <c r="Q65" s="405"/>
      <c r="R65" s="405"/>
      <c r="S65" s="406"/>
      <c r="T65" s="389"/>
      <c r="U65" s="404" t="s">
        <v>381</v>
      </c>
      <c r="V65" s="405"/>
      <c r="W65" s="405"/>
      <c r="X65" s="406"/>
      <c r="Y65" s="389"/>
      <c r="Z65" s="404" t="s">
        <v>381</v>
      </c>
      <c r="AA65" s="405"/>
      <c r="AB65" s="405"/>
      <c r="AC65" s="406"/>
      <c r="AD65" s="389"/>
      <c r="AE65" s="404" t="s">
        <v>381</v>
      </c>
      <c r="AF65" s="405"/>
      <c r="AG65" s="405"/>
      <c r="AH65" s="406"/>
      <c r="AI65" s="389"/>
      <c r="AJ65" s="404" t="s">
        <v>381</v>
      </c>
      <c r="AK65" s="405"/>
      <c r="AL65" s="405"/>
      <c r="AM65" s="406"/>
      <c r="AN65" s="389"/>
      <c r="AO65" s="404" t="s">
        <v>381</v>
      </c>
      <c r="AP65" s="405"/>
      <c r="AQ65" s="405"/>
      <c r="AR65" s="406"/>
      <c r="AS65" s="389"/>
      <c r="AT65" s="404" t="s">
        <v>381</v>
      </c>
      <c r="AU65" s="405"/>
      <c r="AV65" s="405"/>
      <c r="AW65" s="406"/>
      <c r="AX65" s="389"/>
      <c r="BA65" s="389"/>
    </row>
    <row r="66" spans="2:53">
      <c r="B66" s="389"/>
      <c r="C66" s="389"/>
      <c r="D66" s="389"/>
      <c r="E66" s="258" t="s">
        <v>382</v>
      </c>
      <c r="F66" s="258" t="s">
        <v>383</v>
      </c>
      <c r="G66" s="258" t="s">
        <v>384</v>
      </c>
      <c r="H66" s="419"/>
      <c r="I66" s="258" t="s">
        <v>382</v>
      </c>
      <c r="J66" s="258" t="s">
        <v>383</v>
      </c>
      <c r="K66" s="258" t="s">
        <v>384</v>
      </c>
      <c r="L66" s="419"/>
      <c r="M66" s="393"/>
      <c r="N66" s="389"/>
      <c r="O66" s="389"/>
      <c r="P66" s="258" t="s">
        <v>382</v>
      </c>
      <c r="Q66" s="258" t="s">
        <v>383</v>
      </c>
      <c r="R66" s="258" t="s">
        <v>384</v>
      </c>
      <c r="S66" s="258" t="s">
        <v>374</v>
      </c>
      <c r="T66" s="389"/>
      <c r="U66" s="258" t="s">
        <v>382</v>
      </c>
      <c r="V66" s="258" t="s">
        <v>383</v>
      </c>
      <c r="W66" s="258" t="s">
        <v>384</v>
      </c>
      <c r="X66" s="258" t="s">
        <v>374</v>
      </c>
      <c r="Y66" s="389"/>
      <c r="Z66" s="258" t="s">
        <v>382</v>
      </c>
      <c r="AA66" s="258" t="s">
        <v>383</v>
      </c>
      <c r="AB66" s="258" t="s">
        <v>384</v>
      </c>
      <c r="AC66" s="258" t="s">
        <v>374</v>
      </c>
      <c r="AD66" s="389"/>
      <c r="AE66" s="258" t="s">
        <v>382</v>
      </c>
      <c r="AF66" s="258" t="s">
        <v>383</v>
      </c>
      <c r="AG66" s="258" t="s">
        <v>384</v>
      </c>
      <c r="AH66" s="258" t="s">
        <v>374</v>
      </c>
      <c r="AI66" s="389"/>
      <c r="AJ66" s="258" t="s">
        <v>382</v>
      </c>
      <c r="AK66" s="258" t="s">
        <v>383</v>
      </c>
      <c r="AL66" s="258" t="s">
        <v>384</v>
      </c>
      <c r="AM66" s="258" t="s">
        <v>374</v>
      </c>
      <c r="AN66" s="389"/>
      <c r="AO66" s="258" t="s">
        <v>382</v>
      </c>
      <c r="AP66" s="258" t="s">
        <v>383</v>
      </c>
      <c r="AQ66" s="258" t="s">
        <v>384</v>
      </c>
      <c r="AR66" s="258" t="s">
        <v>374</v>
      </c>
      <c r="AS66" s="389"/>
      <c r="AT66" s="258" t="s">
        <v>382</v>
      </c>
      <c r="AU66" s="258" t="s">
        <v>383</v>
      </c>
      <c r="AV66" s="258" t="s">
        <v>384</v>
      </c>
      <c r="AW66" s="258" t="s">
        <v>374</v>
      </c>
      <c r="AX66" s="389"/>
      <c r="AZ66" s="258" t="s">
        <v>374</v>
      </c>
      <c r="BA66" s="389"/>
    </row>
    <row r="67" spans="2:53">
      <c r="B67" s="486" t="s">
        <v>385</v>
      </c>
      <c r="C67" s="182">
        <v>1</v>
      </c>
      <c r="D67" s="203" t="s">
        <v>364</v>
      </c>
      <c r="E67" s="166">
        <v>4</v>
      </c>
      <c r="F67" s="166">
        <v>2000</v>
      </c>
      <c r="G67" s="166">
        <v>500</v>
      </c>
      <c r="H67" s="401">
        <f>AVERAGE(G67:G81)</f>
        <v>257.14583333333337</v>
      </c>
      <c r="I67" s="166">
        <f t="shared" ref="I67:I80" si="58">IFERROR(AVERAGE(P67,U67,Z67,AE67,AJ67,AO67,AT67),"-")</f>
        <v>5</v>
      </c>
      <c r="J67" s="166">
        <f t="shared" ref="J67:J80" si="59">IFERROR(AVERAGE(Q67,V67,AA67,AF67,AK67,AP67,AU67),"-")</f>
        <v>2157.5818470563977</v>
      </c>
      <c r="K67" s="180">
        <f t="shared" ref="K67:K80" si="60">IFERROR(AVERAGE(R67,W67,AB67,AG67,AL67,AQ67,AV67),"-")</f>
        <v>431.51636941127964</v>
      </c>
      <c r="L67" s="401">
        <f>IFERROR(AVERAGE(K67:K81),"-")</f>
        <v>232.11227224812541</v>
      </c>
      <c r="M67" s="166">
        <f>RANK(K67, K$67:$K$81)</f>
        <v>2</v>
      </c>
      <c r="N67" s="389"/>
      <c r="O67" s="389"/>
      <c r="P67" s="182">
        <v>5</v>
      </c>
      <c r="Q67" s="166">
        <v>2183.2835820895521</v>
      </c>
      <c r="R67" s="166">
        <v>436.65671641791039</v>
      </c>
      <c r="S67" s="182">
        <f t="shared" ref="S67:S81" si="61">RANK(R67, R$67:R$81)</f>
        <v>1</v>
      </c>
      <c r="T67" s="384">
        <f t="shared" ref="T67" si="62">AVERAGE(R67:R81)</f>
        <v>233.02832512250842</v>
      </c>
      <c r="U67" s="182">
        <v>5</v>
      </c>
      <c r="V67" s="166">
        <v>2131.5254237288127</v>
      </c>
      <c r="W67" s="166">
        <v>426.30508474576254</v>
      </c>
      <c r="X67" s="182">
        <f t="shared" ref="X67:X81" si="63">RANK(W67, W$67:W$81)</f>
        <v>2</v>
      </c>
      <c r="Y67" s="384">
        <f t="shared" ref="Y67" si="64">AVERAGE(W67:W81)</f>
        <v>231.95133723827195</v>
      </c>
      <c r="Z67" s="182">
        <v>5</v>
      </c>
      <c r="AA67" s="166">
        <v>2132.1428571428555</v>
      </c>
      <c r="AB67" s="166">
        <v>426.4285714285711</v>
      </c>
      <c r="AC67" s="182">
        <f t="shared" ref="AC67:AC81" si="65">RANK(AB67, AB$67:AB$81)</f>
        <v>2</v>
      </c>
      <c r="AD67" s="384">
        <f t="shared" ref="AD67" si="66">AVERAGE(AB67:AB81)</f>
        <v>232.49083511520601</v>
      </c>
      <c r="AE67" s="182">
        <v>5</v>
      </c>
      <c r="AF67" s="166">
        <v>2196.818181818182</v>
      </c>
      <c r="AG67" s="166">
        <v>439.36363636363637</v>
      </c>
      <c r="AH67" s="182">
        <f t="shared" ref="AH67:AH81" si="67">RANK(AG67, AG$67:AG$81)</f>
        <v>1</v>
      </c>
      <c r="AI67" s="384">
        <f t="shared" ref="AI67" si="68">AVERAGE(AG67:AG81)</f>
        <v>232.45066602009823</v>
      </c>
      <c r="AJ67" s="182">
        <v>5</v>
      </c>
      <c r="AK67" s="166">
        <v>2160.0000000000009</v>
      </c>
      <c r="AL67" s="166">
        <v>432.00000000000017</v>
      </c>
      <c r="AM67" s="182">
        <f t="shared" ref="AM67:AM81" si="69">RANK(AL67, AL$67:AL$81)</f>
        <v>2</v>
      </c>
      <c r="AN67" s="384">
        <f t="shared" ref="AN67" si="70">AVERAGE(AL67:AL81)</f>
        <v>231.83854315026753</v>
      </c>
      <c r="AO67" s="182">
        <v>5</v>
      </c>
      <c r="AP67" s="166">
        <v>2134.6874999999995</v>
      </c>
      <c r="AQ67" s="166">
        <v>426.93749999999989</v>
      </c>
      <c r="AR67" s="182">
        <f t="shared" ref="AR67:AR81" si="71">RANK(AQ67, AQ$67:AQ$81)</f>
        <v>2</v>
      </c>
      <c r="AS67" s="384">
        <f t="shared" ref="AS67" si="72">AVERAGE(AQ67:AQ81)</f>
        <v>234.1068887709026</v>
      </c>
      <c r="AT67" s="182">
        <v>5</v>
      </c>
      <c r="AU67" s="166">
        <v>2164.6153846153838</v>
      </c>
      <c r="AV67" s="166">
        <v>432.92307692307679</v>
      </c>
      <c r="AW67" s="182">
        <f t="shared" ref="AW67:AW81" si="73">RANK(AV67, AV$67:AV$81)</f>
        <v>1</v>
      </c>
      <c r="AX67" s="384">
        <f t="shared" ref="AX67" si="74">AVERAGE(AV67:AV81)</f>
        <v>228.91931031962321</v>
      </c>
      <c r="AZ67" s="182" t="e">
        <f t="shared" ref="AZ67:AZ81" si="75">RANK(AY67, AY$67:AY$81)</f>
        <v>#N/A</v>
      </c>
      <c r="BA67" s="384" t="e">
        <f t="shared" ref="BA67" si="76">AVERAGE(AY67:AY81)</f>
        <v>#DIV/0!</v>
      </c>
    </row>
    <row r="68" spans="2:53">
      <c r="B68" s="395"/>
      <c r="C68" s="182">
        <v>2</v>
      </c>
      <c r="D68" s="203" t="s">
        <v>442</v>
      </c>
      <c r="E68" s="166">
        <v>4</v>
      </c>
      <c r="F68" s="166">
        <v>2000</v>
      </c>
      <c r="G68" s="166">
        <v>500</v>
      </c>
      <c r="H68" s="402"/>
      <c r="I68" s="166">
        <f t="shared" si="58"/>
        <v>5</v>
      </c>
      <c r="J68" s="166">
        <f t="shared" si="59"/>
        <v>2160.2334559097085</v>
      </c>
      <c r="K68" s="180">
        <f t="shared" si="60"/>
        <v>432.0466911819417</v>
      </c>
      <c r="L68" s="402"/>
      <c r="M68" s="166">
        <f>RANK(K68, K$67:$K$81)</f>
        <v>1</v>
      </c>
      <c r="N68" s="389"/>
      <c r="O68" s="389"/>
      <c r="P68" s="182">
        <v>5</v>
      </c>
      <c r="Q68" s="166">
        <v>2167.7419354838703</v>
      </c>
      <c r="R68" s="166">
        <v>433.54838709677404</v>
      </c>
      <c r="S68" s="182">
        <f t="shared" si="61"/>
        <v>2</v>
      </c>
      <c r="T68" s="385"/>
      <c r="U68" s="182">
        <v>5</v>
      </c>
      <c r="V68" s="166">
        <v>2150.6896551724126</v>
      </c>
      <c r="W68" s="166">
        <v>430.13793103448251</v>
      </c>
      <c r="X68" s="182">
        <f t="shared" si="63"/>
        <v>1</v>
      </c>
      <c r="Y68" s="385"/>
      <c r="Z68" s="182">
        <v>5</v>
      </c>
      <c r="AA68" s="166">
        <v>2176.9811320754729</v>
      </c>
      <c r="AB68" s="166">
        <v>435.39622641509459</v>
      </c>
      <c r="AC68" s="182">
        <f t="shared" si="65"/>
        <v>1</v>
      </c>
      <c r="AD68" s="385"/>
      <c r="AE68" s="182">
        <v>5</v>
      </c>
      <c r="AF68" s="166">
        <v>2155.7142857142849</v>
      </c>
      <c r="AG68" s="166">
        <v>431.142857142857</v>
      </c>
      <c r="AH68" s="182">
        <f t="shared" si="67"/>
        <v>2</v>
      </c>
      <c r="AI68" s="385"/>
      <c r="AJ68" s="182">
        <v>5</v>
      </c>
      <c r="AK68" s="166">
        <v>2167.6595744680853</v>
      </c>
      <c r="AL68" s="166">
        <v>433.53191489361706</v>
      </c>
      <c r="AM68" s="182">
        <f t="shared" si="69"/>
        <v>1</v>
      </c>
      <c r="AN68" s="385"/>
      <c r="AO68" s="182">
        <v>5</v>
      </c>
      <c r="AP68" s="166">
        <v>2164.1379310344814</v>
      </c>
      <c r="AQ68" s="166">
        <v>432.82758620689629</v>
      </c>
      <c r="AR68" s="182">
        <f t="shared" si="71"/>
        <v>1</v>
      </c>
      <c r="AS68" s="385"/>
      <c r="AT68" s="182">
        <v>5</v>
      </c>
      <c r="AU68" s="166">
        <v>2138.7096774193542</v>
      </c>
      <c r="AV68" s="166">
        <v>427.74193548387086</v>
      </c>
      <c r="AW68" s="182">
        <f t="shared" si="73"/>
        <v>2</v>
      </c>
      <c r="AX68" s="385"/>
      <c r="AZ68" s="182" t="e">
        <f t="shared" si="75"/>
        <v>#N/A</v>
      </c>
      <c r="BA68" s="385"/>
    </row>
    <row r="69" spans="2:53">
      <c r="B69" s="395"/>
      <c r="C69" s="182">
        <v>3</v>
      </c>
      <c r="D69" s="203" t="s">
        <v>365</v>
      </c>
      <c r="E69" s="166">
        <v>12</v>
      </c>
      <c r="F69" s="166">
        <v>2118</v>
      </c>
      <c r="G69" s="166">
        <v>176.5</v>
      </c>
      <c r="H69" s="402"/>
      <c r="I69" s="166">
        <f t="shared" si="58"/>
        <v>12</v>
      </c>
      <c r="J69" s="166">
        <f t="shared" si="59"/>
        <v>1899.2530539295037</v>
      </c>
      <c r="K69" s="180">
        <f t="shared" si="60"/>
        <v>158.27108782745862</v>
      </c>
      <c r="L69" s="402"/>
      <c r="M69" s="166">
        <f>RANK(K69, K$67:$K$81)</f>
        <v>6</v>
      </c>
      <c r="N69" s="389"/>
      <c r="O69" s="389"/>
      <c r="P69" s="182">
        <v>12</v>
      </c>
      <c r="Q69" s="166">
        <v>1875.9999999999998</v>
      </c>
      <c r="R69" s="166">
        <v>156.33333333333331</v>
      </c>
      <c r="S69" s="182">
        <f t="shared" si="61"/>
        <v>7</v>
      </c>
      <c r="T69" s="385"/>
      <c r="U69" s="182">
        <v>12</v>
      </c>
      <c r="V69" s="166">
        <v>1882.2857142857147</v>
      </c>
      <c r="W69" s="166">
        <v>156.85714285714289</v>
      </c>
      <c r="X69" s="182">
        <f t="shared" si="63"/>
        <v>7</v>
      </c>
      <c r="Y69" s="385"/>
      <c r="Z69" s="182">
        <v>12</v>
      </c>
      <c r="AA69" s="166">
        <v>1905.9374999999995</v>
      </c>
      <c r="AB69" s="166">
        <v>158.82812499999997</v>
      </c>
      <c r="AC69" s="182">
        <f t="shared" si="65"/>
        <v>6</v>
      </c>
      <c r="AD69" s="385"/>
      <c r="AE69" s="182">
        <v>12</v>
      </c>
      <c r="AF69" s="166">
        <v>1851.7241379310346</v>
      </c>
      <c r="AG69" s="166">
        <v>154.31034482758622</v>
      </c>
      <c r="AH69" s="182">
        <f t="shared" si="67"/>
        <v>7</v>
      </c>
      <c r="AI69" s="385"/>
      <c r="AJ69" s="182">
        <v>12</v>
      </c>
      <c r="AK69" s="166">
        <v>1874.7692307692303</v>
      </c>
      <c r="AL69" s="166">
        <v>156.2307692307692</v>
      </c>
      <c r="AM69" s="182">
        <f t="shared" si="69"/>
        <v>6</v>
      </c>
      <c r="AN69" s="385"/>
      <c r="AO69" s="182">
        <v>12</v>
      </c>
      <c r="AP69" s="166">
        <v>1952.0547945205474</v>
      </c>
      <c r="AQ69" s="166">
        <v>162.67123287671228</v>
      </c>
      <c r="AR69" s="182">
        <f t="shared" si="71"/>
        <v>6</v>
      </c>
      <c r="AS69" s="385"/>
      <c r="AT69" s="182">
        <v>12</v>
      </c>
      <c r="AU69" s="166">
        <v>1951.9999999999995</v>
      </c>
      <c r="AV69" s="166">
        <v>162.66666666666663</v>
      </c>
      <c r="AW69" s="182">
        <f t="shared" si="73"/>
        <v>6</v>
      </c>
      <c r="AX69" s="385"/>
      <c r="AZ69" s="182" t="e">
        <f t="shared" si="75"/>
        <v>#N/A</v>
      </c>
      <c r="BA69" s="385"/>
    </row>
    <row r="70" spans="2:53">
      <c r="B70" s="395"/>
      <c r="C70" s="182">
        <v>4</v>
      </c>
      <c r="D70" s="203" t="s">
        <v>605</v>
      </c>
      <c r="E70" s="166">
        <v>13</v>
      </c>
      <c r="F70" s="166">
        <v>2250</v>
      </c>
      <c r="G70" s="166">
        <v>187.5</v>
      </c>
      <c r="H70" s="402"/>
      <c r="I70" s="166">
        <f t="shared" si="58"/>
        <v>13</v>
      </c>
      <c r="J70" s="166">
        <f t="shared" si="59"/>
        <v>2216.8290206420616</v>
      </c>
      <c r="K70" s="180">
        <f t="shared" si="60"/>
        <v>170.52530928015858</v>
      </c>
      <c r="L70" s="402"/>
      <c r="M70" s="166">
        <f>RANK(K70, K$67:$K$81)</f>
        <v>4</v>
      </c>
      <c r="N70" s="389"/>
      <c r="O70" s="389"/>
      <c r="P70" s="182">
        <v>13</v>
      </c>
      <c r="Q70" s="166">
        <v>2228.2352941176473</v>
      </c>
      <c r="R70" s="166">
        <v>171.40271493212671</v>
      </c>
      <c r="S70" s="182">
        <f t="shared" si="61"/>
        <v>4</v>
      </c>
      <c r="T70" s="385"/>
      <c r="U70" s="182">
        <v>13</v>
      </c>
      <c r="V70" s="166">
        <v>2237.5280898876404</v>
      </c>
      <c r="W70" s="166">
        <v>172.11754537597233</v>
      </c>
      <c r="X70" s="182">
        <f t="shared" si="63"/>
        <v>5</v>
      </c>
      <c r="Y70" s="385"/>
      <c r="Z70" s="182">
        <v>13</v>
      </c>
      <c r="AA70" s="166">
        <v>2222.7906976744184</v>
      </c>
      <c r="AB70" s="166">
        <v>170.98389982110911</v>
      </c>
      <c r="AC70" s="182">
        <f t="shared" si="65"/>
        <v>5</v>
      </c>
      <c r="AD70" s="385"/>
      <c r="AE70" s="182">
        <v>13</v>
      </c>
      <c r="AF70" s="166">
        <v>2219.2105263157891</v>
      </c>
      <c r="AG70" s="166">
        <v>170.70850202429148</v>
      </c>
      <c r="AH70" s="182">
        <f t="shared" si="67"/>
        <v>4</v>
      </c>
      <c r="AI70" s="385"/>
      <c r="AJ70" s="182">
        <v>13</v>
      </c>
      <c r="AK70" s="166">
        <v>2211.3253012048194</v>
      </c>
      <c r="AL70" s="166">
        <v>170.10194624652456</v>
      </c>
      <c r="AM70" s="182">
        <f t="shared" si="69"/>
        <v>4</v>
      </c>
      <c r="AN70" s="385"/>
      <c r="AO70" s="182">
        <v>13</v>
      </c>
      <c r="AP70" s="166">
        <v>2218.1249999999995</v>
      </c>
      <c r="AQ70" s="166">
        <v>170.62499999999997</v>
      </c>
      <c r="AR70" s="182">
        <f t="shared" si="71"/>
        <v>5</v>
      </c>
      <c r="AS70" s="385"/>
      <c r="AT70" s="182">
        <v>13</v>
      </c>
      <c r="AU70" s="166">
        <v>2180.5882352941176</v>
      </c>
      <c r="AV70" s="166">
        <v>167.73755656108597</v>
      </c>
      <c r="AW70" s="182">
        <f t="shared" si="73"/>
        <v>5</v>
      </c>
      <c r="AX70" s="385"/>
      <c r="AZ70" s="182" t="e">
        <f t="shared" si="75"/>
        <v>#N/A</v>
      </c>
      <c r="BA70" s="385"/>
    </row>
    <row r="71" spans="2:53">
      <c r="B71" s="395"/>
      <c r="C71" s="182">
        <v>5</v>
      </c>
      <c r="D71" s="203" t="s">
        <v>366</v>
      </c>
      <c r="E71" s="166">
        <v>13</v>
      </c>
      <c r="F71" s="166">
        <v>2250</v>
      </c>
      <c r="G71" s="166">
        <v>173.1</v>
      </c>
      <c r="H71" s="402"/>
      <c r="I71" s="166">
        <f t="shared" si="58"/>
        <v>13</v>
      </c>
      <c r="J71" s="166">
        <f t="shared" si="59"/>
        <v>2204.0151730942839</v>
      </c>
      <c r="K71" s="180">
        <f t="shared" si="60"/>
        <v>169.5396286995603</v>
      </c>
      <c r="L71" s="402"/>
      <c r="M71" s="166">
        <f>RANK(K71, K$67:$K$81)</f>
        <v>5</v>
      </c>
      <c r="N71" s="389"/>
      <c r="O71" s="389"/>
      <c r="P71" s="182">
        <v>13</v>
      </c>
      <c r="Q71" s="166">
        <v>2189.4444444444439</v>
      </c>
      <c r="R71" s="166">
        <v>168.41880341880338</v>
      </c>
      <c r="S71" s="182">
        <f t="shared" si="61"/>
        <v>5</v>
      </c>
      <c r="T71" s="385"/>
      <c r="U71" s="182">
        <v>13</v>
      </c>
      <c r="V71" s="166">
        <v>2239.5789473684204</v>
      </c>
      <c r="W71" s="166">
        <v>172.27530364372464</v>
      </c>
      <c r="X71" s="182">
        <f t="shared" si="63"/>
        <v>4</v>
      </c>
      <c r="Y71" s="385"/>
      <c r="Z71" s="182">
        <v>13</v>
      </c>
      <c r="AA71" s="166">
        <v>2231.2087912087914</v>
      </c>
      <c r="AB71" s="166">
        <v>171.63144547759933</v>
      </c>
      <c r="AC71" s="182">
        <f t="shared" si="65"/>
        <v>4</v>
      </c>
      <c r="AD71" s="385"/>
      <c r="AE71" s="182">
        <v>13</v>
      </c>
      <c r="AF71" s="166">
        <v>2172.439024390244</v>
      </c>
      <c r="AG71" s="166">
        <v>167.11069418386492</v>
      </c>
      <c r="AH71" s="182">
        <f t="shared" si="67"/>
        <v>5</v>
      </c>
      <c r="AI71" s="385"/>
      <c r="AJ71" s="182">
        <v>13</v>
      </c>
      <c r="AK71" s="166">
        <v>2166.8181818181824</v>
      </c>
      <c r="AL71" s="166">
        <v>166.67832167832174</v>
      </c>
      <c r="AM71" s="182">
        <f t="shared" si="69"/>
        <v>5</v>
      </c>
      <c r="AN71" s="385"/>
      <c r="AO71" s="182">
        <v>13</v>
      </c>
      <c r="AP71" s="166">
        <v>2226</v>
      </c>
      <c r="AQ71" s="166">
        <v>171.23076923076923</v>
      </c>
      <c r="AR71" s="182">
        <f t="shared" si="71"/>
        <v>4</v>
      </c>
      <c r="AS71" s="385"/>
      <c r="AT71" s="182">
        <v>13</v>
      </c>
      <c r="AU71" s="166">
        <v>2202.6168224299067</v>
      </c>
      <c r="AV71" s="166">
        <v>169.43206326383898</v>
      </c>
      <c r="AW71" s="182">
        <f t="shared" si="73"/>
        <v>4</v>
      </c>
      <c r="AX71" s="385"/>
      <c r="AZ71" s="182" t="e">
        <f t="shared" si="75"/>
        <v>#N/A</v>
      </c>
      <c r="BA71" s="385"/>
    </row>
    <row r="72" spans="2:53">
      <c r="B72" s="395"/>
      <c r="C72" s="182">
        <v>6</v>
      </c>
      <c r="D72" s="203" t="s">
        <v>367</v>
      </c>
      <c r="E72" s="166">
        <v>10</v>
      </c>
      <c r="F72" s="166">
        <v>2769</v>
      </c>
      <c r="G72" s="166">
        <v>276.89999999999998</v>
      </c>
      <c r="H72" s="402"/>
      <c r="I72" s="166">
        <f t="shared" si="58"/>
        <v>10</v>
      </c>
      <c r="J72" s="166">
        <f t="shared" si="59"/>
        <v>2401.5880617175176</v>
      </c>
      <c r="K72" s="180">
        <f t="shared" si="60"/>
        <v>240.15880617175182</v>
      </c>
      <c r="L72" s="402"/>
      <c r="M72" s="166">
        <f>RANK(K72, K$67:$K$81)</f>
        <v>3</v>
      </c>
      <c r="N72" s="389"/>
      <c r="O72" s="389"/>
      <c r="P72" s="182">
        <v>10</v>
      </c>
      <c r="Q72" s="166">
        <v>2432.5961538461552</v>
      </c>
      <c r="R72" s="166">
        <v>243.25961538461553</v>
      </c>
      <c r="S72" s="182">
        <f t="shared" si="61"/>
        <v>3</v>
      </c>
      <c r="T72" s="385"/>
      <c r="U72" s="182">
        <v>10</v>
      </c>
      <c r="V72" s="166">
        <v>2435.5263157894733</v>
      </c>
      <c r="W72" s="166">
        <v>243.55263157894734</v>
      </c>
      <c r="X72" s="182">
        <f t="shared" si="63"/>
        <v>3</v>
      </c>
      <c r="Y72" s="385"/>
      <c r="Z72" s="182">
        <v>10</v>
      </c>
      <c r="AA72" s="166">
        <v>2469.1390728476831</v>
      </c>
      <c r="AB72" s="166">
        <v>246.9139072847683</v>
      </c>
      <c r="AC72" s="182">
        <f t="shared" si="65"/>
        <v>3</v>
      </c>
      <c r="AD72" s="385"/>
      <c r="AE72" s="182">
        <v>10</v>
      </c>
      <c r="AF72" s="166">
        <v>2428.1879194630883</v>
      </c>
      <c r="AG72" s="166">
        <v>242.81879194630883</v>
      </c>
      <c r="AH72" s="182">
        <f t="shared" si="67"/>
        <v>3</v>
      </c>
      <c r="AI72" s="385"/>
      <c r="AJ72" s="182">
        <v>10</v>
      </c>
      <c r="AK72" s="166">
        <v>2454.1176470588248</v>
      </c>
      <c r="AL72" s="166">
        <v>245.41176470588249</v>
      </c>
      <c r="AM72" s="182">
        <f t="shared" si="69"/>
        <v>3</v>
      </c>
      <c r="AN72" s="385"/>
      <c r="AO72" s="182">
        <v>10</v>
      </c>
      <c r="AP72" s="166">
        <v>2476.27659574468</v>
      </c>
      <c r="AQ72" s="166">
        <v>247.627659574468</v>
      </c>
      <c r="AR72" s="182">
        <f t="shared" si="71"/>
        <v>3</v>
      </c>
      <c r="AS72" s="385"/>
      <c r="AT72" s="182">
        <v>10</v>
      </c>
      <c r="AU72" s="166">
        <v>2115.2727272727225</v>
      </c>
      <c r="AV72" s="166">
        <v>211.52727272727225</v>
      </c>
      <c r="AW72" s="182">
        <f t="shared" si="73"/>
        <v>3</v>
      </c>
      <c r="AX72" s="385"/>
      <c r="AZ72" s="182" t="e">
        <f t="shared" si="75"/>
        <v>#N/A</v>
      </c>
      <c r="BA72" s="385"/>
    </row>
    <row r="73" spans="2:53">
      <c r="B73" s="395"/>
      <c r="C73" s="182">
        <v>7</v>
      </c>
      <c r="D73" s="203" t="s">
        <v>363</v>
      </c>
      <c r="E73" s="166">
        <v>18</v>
      </c>
      <c r="F73" s="166">
        <v>1200</v>
      </c>
      <c r="G73" s="166">
        <v>66.666666666666671</v>
      </c>
      <c r="H73" s="402"/>
      <c r="I73" s="166">
        <f t="shared" si="58"/>
        <v>13</v>
      </c>
      <c r="J73" s="166">
        <f t="shared" si="59"/>
        <v>1258.5394736842106</v>
      </c>
      <c r="K73" s="180">
        <f t="shared" si="60"/>
        <v>96.810728744939297</v>
      </c>
      <c r="L73" s="402"/>
      <c r="M73" s="166">
        <f>RANK(K73, K$67:$K$81)</f>
        <v>8</v>
      </c>
      <c r="N73" s="389"/>
      <c r="O73" s="389"/>
      <c r="P73" s="182">
        <v>13</v>
      </c>
      <c r="Q73" s="166">
        <v>1250.5263157894738</v>
      </c>
      <c r="R73" s="166">
        <v>96.194331983805668</v>
      </c>
      <c r="S73" s="182">
        <f t="shared" si="61"/>
        <v>8</v>
      </c>
      <c r="T73" s="385"/>
      <c r="U73" s="182">
        <v>13</v>
      </c>
      <c r="V73" s="166">
        <v>1262</v>
      </c>
      <c r="W73" s="166">
        <v>97.07692307692308</v>
      </c>
      <c r="X73" s="182">
        <f t="shared" si="63"/>
        <v>8</v>
      </c>
      <c r="Y73" s="385"/>
      <c r="Z73" s="182">
        <v>13</v>
      </c>
      <c r="AA73" s="166">
        <v>1234</v>
      </c>
      <c r="AB73" s="166">
        <v>94.92307692307692</v>
      </c>
      <c r="AC73" s="182">
        <f t="shared" si="65"/>
        <v>8</v>
      </c>
      <c r="AD73" s="385"/>
      <c r="AE73" s="182">
        <v>13</v>
      </c>
      <c r="AF73" s="166">
        <v>1272.0000000000005</v>
      </c>
      <c r="AG73" s="166">
        <v>97.846153846153882</v>
      </c>
      <c r="AH73" s="182">
        <f t="shared" si="67"/>
        <v>8</v>
      </c>
      <c r="AI73" s="385"/>
      <c r="AJ73" s="182">
        <v>13</v>
      </c>
      <c r="AK73" s="166">
        <v>1247.2500000000007</v>
      </c>
      <c r="AL73" s="166">
        <v>95.94230769230775</v>
      </c>
      <c r="AM73" s="182">
        <f t="shared" si="69"/>
        <v>8</v>
      </c>
      <c r="AN73" s="385"/>
      <c r="AO73" s="182">
        <v>13</v>
      </c>
      <c r="AP73" s="166">
        <v>1285.2631578947371</v>
      </c>
      <c r="AQ73" s="166">
        <v>98.866396761133629</v>
      </c>
      <c r="AR73" s="182">
        <f t="shared" si="71"/>
        <v>8</v>
      </c>
      <c r="AS73" s="385"/>
      <c r="AT73" s="182">
        <v>13</v>
      </c>
      <c r="AU73" s="166">
        <v>1258.7368421052633</v>
      </c>
      <c r="AV73" s="166">
        <v>96.825910931174107</v>
      </c>
      <c r="AW73" s="182">
        <f t="shared" si="73"/>
        <v>8</v>
      </c>
      <c r="AX73" s="385"/>
      <c r="AZ73" s="182" t="e">
        <f t="shared" si="75"/>
        <v>#N/A</v>
      </c>
      <c r="BA73" s="385"/>
    </row>
    <row r="74" spans="2:53">
      <c r="B74" s="395"/>
      <c r="C74" s="182">
        <v>8</v>
      </c>
      <c r="D74" s="203" t="s">
        <v>538</v>
      </c>
      <c r="E74" s="166">
        <v>12</v>
      </c>
      <c r="F74" s="166">
        <v>2118</v>
      </c>
      <c r="G74" s="166">
        <v>176.5</v>
      </c>
      <c r="H74" s="402"/>
      <c r="I74" s="166">
        <f t="shared" si="58"/>
        <v>12</v>
      </c>
      <c r="J74" s="166">
        <f t="shared" si="59"/>
        <v>1896.3546800149593</v>
      </c>
      <c r="K74" s="180">
        <f t="shared" si="60"/>
        <v>158.02955666791328</v>
      </c>
      <c r="L74" s="402"/>
      <c r="M74" s="166">
        <f>RANK(K74, K$67:$K$81)</f>
        <v>7</v>
      </c>
      <c r="N74" s="389"/>
      <c r="O74" s="389"/>
      <c r="P74" s="182">
        <v>12</v>
      </c>
      <c r="Q74" s="166">
        <v>1900.9523809523816</v>
      </c>
      <c r="R74" s="166">
        <v>158.41269841269846</v>
      </c>
      <c r="S74" s="182">
        <f t="shared" si="61"/>
        <v>6</v>
      </c>
      <c r="T74" s="385"/>
      <c r="U74" s="182">
        <v>12</v>
      </c>
      <c r="V74" s="166">
        <v>1887.4576271186431</v>
      </c>
      <c r="W74" s="166">
        <v>157.28813559322026</v>
      </c>
      <c r="X74" s="182">
        <f t="shared" si="63"/>
        <v>6</v>
      </c>
      <c r="Y74" s="385"/>
      <c r="Z74" s="182">
        <v>12</v>
      </c>
      <c r="AA74" s="166">
        <v>1857.8571428571443</v>
      </c>
      <c r="AB74" s="166">
        <v>154.8214285714287</v>
      </c>
      <c r="AC74" s="182">
        <f t="shared" si="65"/>
        <v>7</v>
      </c>
      <c r="AD74" s="385"/>
      <c r="AE74" s="182">
        <v>12</v>
      </c>
      <c r="AF74" s="166">
        <v>1875.6521739130435</v>
      </c>
      <c r="AG74" s="166">
        <v>156.30434782608697</v>
      </c>
      <c r="AH74" s="182">
        <f t="shared" si="67"/>
        <v>6</v>
      </c>
      <c r="AI74" s="385"/>
      <c r="AJ74" s="182">
        <v>12</v>
      </c>
      <c r="AK74" s="166">
        <v>1857.7358490566048</v>
      </c>
      <c r="AL74" s="166">
        <v>154.81132075471706</v>
      </c>
      <c r="AM74" s="182">
        <f t="shared" si="69"/>
        <v>7</v>
      </c>
      <c r="AN74" s="385"/>
      <c r="AO74" s="182">
        <v>12</v>
      </c>
      <c r="AP74" s="166">
        <v>1944.8275862068967</v>
      </c>
      <c r="AQ74" s="166">
        <v>162.06896551724139</v>
      </c>
      <c r="AR74" s="182">
        <f t="shared" si="71"/>
        <v>7</v>
      </c>
      <c r="AS74" s="385"/>
      <c r="AT74" s="182">
        <v>12</v>
      </c>
      <c r="AU74" s="166">
        <v>1950.0000000000009</v>
      </c>
      <c r="AV74" s="166">
        <v>162.50000000000009</v>
      </c>
      <c r="AW74" s="182">
        <f t="shared" si="73"/>
        <v>7</v>
      </c>
      <c r="AX74" s="385"/>
      <c r="AZ74" s="182" t="e">
        <f t="shared" si="75"/>
        <v>#N/A</v>
      </c>
      <c r="BA74" s="385"/>
    </row>
    <row r="75" spans="2:53">
      <c r="B75" s="395"/>
      <c r="C75" s="182">
        <v>9</v>
      </c>
      <c r="D75" s="203"/>
      <c r="E75" s="166"/>
      <c r="F75" s="166"/>
      <c r="G75" s="166"/>
      <c r="H75" s="402"/>
      <c r="I75" s="166" t="str">
        <f t="shared" si="58"/>
        <v>-</v>
      </c>
      <c r="J75" s="166" t="str">
        <f t="shared" si="59"/>
        <v>-</v>
      </c>
      <c r="K75" s="180" t="str">
        <f t="shared" si="60"/>
        <v>-</v>
      </c>
      <c r="L75" s="402"/>
      <c r="M75" s="166" t="e">
        <f>RANK(K75, K$67:$K$81)</f>
        <v>#VALUE!</v>
      </c>
      <c r="N75" s="389"/>
      <c r="O75" s="389"/>
      <c r="P75" s="182" t="s">
        <v>634</v>
      </c>
      <c r="Q75" s="166" t="s">
        <v>634</v>
      </c>
      <c r="R75" s="166" t="s">
        <v>634</v>
      </c>
      <c r="S75" s="182" t="e">
        <f t="shared" si="61"/>
        <v>#VALUE!</v>
      </c>
      <c r="T75" s="385"/>
      <c r="U75" s="182" t="s">
        <v>634</v>
      </c>
      <c r="V75" s="166" t="s">
        <v>634</v>
      </c>
      <c r="W75" s="166" t="s">
        <v>634</v>
      </c>
      <c r="X75" s="182" t="e">
        <f t="shared" si="63"/>
        <v>#VALUE!</v>
      </c>
      <c r="Y75" s="385"/>
      <c r="Z75" s="182" t="s">
        <v>634</v>
      </c>
      <c r="AA75" s="166" t="s">
        <v>634</v>
      </c>
      <c r="AB75" s="166" t="s">
        <v>634</v>
      </c>
      <c r="AC75" s="182" t="e">
        <f t="shared" si="65"/>
        <v>#VALUE!</v>
      </c>
      <c r="AD75" s="385"/>
      <c r="AE75" s="182" t="s">
        <v>634</v>
      </c>
      <c r="AF75" s="166" t="s">
        <v>634</v>
      </c>
      <c r="AG75" s="166" t="s">
        <v>634</v>
      </c>
      <c r="AH75" s="182" t="e">
        <f t="shared" si="67"/>
        <v>#VALUE!</v>
      </c>
      <c r="AI75" s="385"/>
      <c r="AJ75" s="182" t="s">
        <v>634</v>
      </c>
      <c r="AK75" s="166" t="s">
        <v>634</v>
      </c>
      <c r="AL75" s="166" t="s">
        <v>634</v>
      </c>
      <c r="AM75" s="182" t="e">
        <f t="shared" si="69"/>
        <v>#VALUE!</v>
      </c>
      <c r="AN75" s="385"/>
      <c r="AO75" s="182" t="s">
        <v>634</v>
      </c>
      <c r="AP75" s="166" t="s">
        <v>634</v>
      </c>
      <c r="AQ75" s="166" t="s">
        <v>634</v>
      </c>
      <c r="AR75" s="182" t="e">
        <f t="shared" si="71"/>
        <v>#VALUE!</v>
      </c>
      <c r="AS75" s="385"/>
      <c r="AT75" s="182" t="s">
        <v>634</v>
      </c>
      <c r="AU75" s="166" t="s">
        <v>634</v>
      </c>
      <c r="AV75" s="166" t="s">
        <v>634</v>
      </c>
      <c r="AW75" s="182" t="e">
        <f t="shared" si="73"/>
        <v>#VALUE!</v>
      </c>
      <c r="AX75" s="385"/>
      <c r="AZ75" s="182" t="e">
        <f t="shared" si="75"/>
        <v>#N/A</v>
      </c>
      <c r="BA75" s="385"/>
    </row>
    <row r="76" spans="2:53">
      <c r="B76" s="395"/>
      <c r="C76" s="182">
        <v>10</v>
      </c>
      <c r="D76" s="203"/>
      <c r="E76" s="166"/>
      <c r="F76" s="166"/>
      <c r="G76" s="166"/>
      <c r="H76" s="402"/>
      <c r="I76" s="166" t="str">
        <f t="shared" si="58"/>
        <v>-</v>
      </c>
      <c r="J76" s="166" t="str">
        <f t="shared" si="59"/>
        <v>-</v>
      </c>
      <c r="K76" s="180" t="str">
        <f t="shared" si="60"/>
        <v>-</v>
      </c>
      <c r="L76" s="402"/>
      <c r="M76" s="166" t="e">
        <f>RANK(K76, K$67:$K$81)</f>
        <v>#VALUE!</v>
      </c>
      <c r="N76" s="389"/>
      <c r="O76" s="389"/>
      <c r="P76" s="182" t="s">
        <v>634</v>
      </c>
      <c r="Q76" s="166" t="s">
        <v>634</v>
      </c>
      <c r="R76" s="166" t="s">
        <v>634</v>
      </c>
      <c r="S76" s="182" t="e">
        <f t="shared" si="61"/>
        <v>#VALUE!</v>
      </c>
      <c r="T76" s="385"/>
      <c r="U76" s="182" t="s">
        <v>634</v>
      </c>
      <c r="V76" s="166" t="s">
        <v>634</v>
      </c>
      <c r="W76" s="166" t="s">
        <v>634</v>
      </c>
      <c r="X76" s="182" t="e">
        <f t="shared" si="63"/>
        <v>#VALUE!</v>
      </c>
      <c r="Y76" s="385"/>
      <c r="Z76" s="182" t="s">
        <v>634</v>
      </c>
      <c r="AA76" s="166" t="s">
        <v>634</v>
      </c>
      <c r="AB76" s="166" t="s">
        <v>634</v>
      </c>
      <c r="AC76" s="182" t="e">
        <f t="shared" si="65"/>
        <v>#VALUE!</v>
      </c>
      <c r="AD76" s="385"/>
      <c r="AE76" s="182" t="s">
        <v>634</v>
      </c>
      <c r="AF76" s="166" t="s">
        <v>634</v>
      </c>
      <c r="AG76" s="166" t="s">
        <v>634</v>
      </c>
      <c r="AH76" s="182" t="e">
        <f t="shared" si="67"/>
        <v>#VALUE!</v>
      </c>
      <c r="AI76" s="385"/>
      <c r="AJ76" s="182" t="s">
        <v>634</v>
      </c>
      <c r="AK76" s="166" t="s">
        <v>634</v>
      </c>
      <c r="AL76" s="166" t="s">
        <v>634</v>
      </c>
      <c r="AM76" s="182" t="e">
        <f t="shared" si="69"/>
        <v>#VALUE!</v>
      </c>
      <c r="AN76" s="385"/>
      <c r="AO76" s="182" t="s">
        <v>634</v>
      </c>
      <c r="AP76" s="166" t="s">
        <v>634</v>
      </c>
      <c r="AQ76" s="166" t="s">
        <v>634</v>
      </c>
      <c r="AR76" s="182" t="e">
        <f t="shared" si="71"/>
        <v>#VALUE!</v>
      </c>
      <c r="AS76" s="385"/>
      <c r="AT76" s="182" t="s">
        <v>634</v>
      </c>
      <c r="AU76" s="166" t="s">
        <v>634</v>
      </c>
      <c r="AV76" s="166" t="s">
        <v>634</v>
      </c>
      <c r="AW76" s="182" t="e">
        <f t="shared" si="73"/>
        <v>#VALUE!</v>
      </c>
      <c r="AX76" s="385"/>
      <c r="AZ76" s="182" t="e">
        <f t="shared" si="75"/>
        <v>#N/A</v>
      </c>
      <c r="BA76" s="385"/>
    </row>
    <row r="77" spans="2:53">
      <c r="B77" s="395"/>
      <c r="C77" s="182">
        <v>11</v>
      </c>
      <c r="D77" s="203"/>
      <c r="E77" s="166"/>
      <c r="F77" s="166"/>
      <c r="G77" s="166"/>
      <c r="H77" s="402"/>
      <c r="I77" s="166" t="str">
        <f t="shared" si="58"/>
        <v>-</v>
      </c>
      <c r="J77" s="166" t="str">
        <f t="shared" si="59"/>
        <v>-</v>
      </c>
      <c r="K77" s="180" t="str">
        <f t="shared" si="60"/>
        <v>-</v>
      </c>
      <c r="L77" s="402"/>
      <c r="M77" s="166" t="e">
        <f>RANK(K77, K$67:$K$81)</f>
        <v>#VALUE!</v>
      </c>
      <c r="N77" s="389"/>
      <c r="O77" s="389"/>
      <c r="P77" s="182" t="s">
        <v>634</v>
      </c>
      <c r="Q77" s="166" t="s">
        <v>634</v>
      </c>
      <c r="R77" s="166" t="s">
        <v>634</v>
      </c>
      <c r="S77" s="182" t="e">
        <f t="shared" si="61"/>
        <v>#VALUE!</v>
      </c>
      <c r="T77" s="385"/>
      <c r="U77" s="182" t="s">
        <v>634</v>
      </c>
      <c r="V77" s="166" t="s">
        <v>634</v>
      </c>
      <c r="W77" s="166" t="s">
        <v>634</v>
      </c>
      <c r="X77" s="182" t="e">
        <f t="shared" si="63"/>
        <v>#VALUE!</v>
      </c>
      <c r="Y77" s="385"/>
      <c r="Z77" s="182" t="s">
        <v>634</v>
      </c>
      <c r="AA77" s="166" t="s">
        <v>634</v>
      </c>
      <c r="AB77" s="166" t="s">
        <v>634</v>
      </c>
      <c r="AC77" s="182" t="e">
        <f t="shared" si="65"/>
        <v>#VALUE!</v>
      </c>
      <c r="AD77" s="385"/>
      <c r="AE77" s="182" t="s">
        <v>634</v>
      </c>
      <c r="AF77" s="166" t="s">
        <v>634</v>
      </c>
      <c r="AG77" s="166" t="s">
        <v>634</v>
      </c>
      <c r="AH77" s="182" t="e">
        <f t="shared" si="67"/>
        <v>#VALUE!</v>
      </c>
      <c r="AI77" s="385"/>
      <c r="AJ77" s="182" t="s">
        <v>634</v>
      </c>
      <c r="AK77" s="166" t="s">
        <v>634</v>
      </c>
      <c r="AL77" s="166" t="s">
        <v>634</v>
      </c>
      <c r="AM77" s="182" t="e">
        <f t="shared" si="69"/>
        <v>#VALUE!</v>
      </c>
      <c r="AN77" s="385"/>
      <c r="AO77" s="182" t="s">
        <v>634</v>
      </c>
      <c r="AP77" s="166" t="s">
        <v>634</v>
      </c>
      <c r="AQ77" s="166" t="s">
        <v>634</v>
      </c>
      <c r="AR77" s="182" t="e">
        <f t="shared" si="71"/>
        <v>#VALUE!</v>
      </c>
      <c r="AS77" s="385"/>
      <c r="AT77" s="182" t="s">
        <v>634</v>
      </c>
      <c r="AU77" s="166" t="s">
        <v>634</v>
      </c>
      <c r="AV77" s="166" t="s">
        <v>634</v>
      </c>
      <c r="AW77" s="182" t="e">
        <f t="shared" si="73"/>
        <v>#VALUE!</v>
      </c>
      <c r="AX77" s="385"/>
      <c r="AZ77" s="182" t="e">
        <f t="shared" si="75"/>
        <v>#N/A</v>
      </c>
      <c r="BA77" s="385"/>
    </row>
    <row r="78" spans="2:53">
      <c r="B78" s="395"/>
      <c r="C78" s="182">
        <v>12</v>
      </c>
      <c r="D78" s="203"/>
      <c r="E78" s="166"/>
      <c r="F78" s="166"/>
      <c r="G78" s="166"/>
      <c r="H78" s="402"/>
      <c r="I78" s="166" t="str">
        <f t="shared" si="58"/>
        <v>-</v>
      </c>
      <c r="J78" s="166" t="str">
        <f t="shared" si="59"/>
        <v>-</v>
      </c>
      <c r="K78" s="180" t="str">
        <f t="shared" si="60"/>
        <v>-</v>
      </c>
      <c r="L78" s="402"/>
      <c r="M78" s="166" t="e">
        <f>RANK(K78, K$67:$K$81)</f>
        <v>#VALUE!</v>
      </c>
      <c r="N78" s="389"/>
      <c r="O78" s="389"/>
      <c r="P78" s="182" t="s">
        <v>634</v>
      </c>
      <c r="Q78" s="166" t="s">
        <v>634</v>
      </c>
      <c r="R78" s="166" t="s">
        <v>634</v>
      </c>
      <c r="S78" s="182" t="e">
        <f t="shared" si="61"/>
        <v>#VALUE!</v>
      </c>
      <c r="T78" s="385"/>
      <c r="U78" s="182" t="s">
        <v>634</v>
      </c>
      <c r="V78" s="166" t="s">
        <v>634</v>
      </c>
      <c r="W78" s="166" t="s">
        <v>634</v>
      </c>
      <c r="X78" s="182" t="e">
        <f t="shared" si="63"/>
        <v>#VALUE!</v>
      </c>
      <c r="Y78" s="385"/>
      <c r="Z78" s="182" t="s">
        <v>634</v>
      </c>
      <c r="AA78" s="166" t="s">
        <v>634</v>
      </c>
      <c r="AB78" s="166" t="s">
        <v>634</v>
      </c>
      <c r="AC78" s="182" t="e">
        <f t="shared" si="65"/>
        <v>#VALUE!</v>
      </c>
      <c r="AD78" s="385"/>
      <c r="AE78" s="182" t="s">
        <v>634</v>
      </c>
      <c r="AF78" s="166" t="s">
        <v>634</v>
      </c>
      <c r="AG78" s="166" t="s">
        <v>634</v>
      </c>
      <c r="AH78" s="182" t="e">
        <f t="shared" si="67"/>
        <v>#VALUE!</v>
      </c>
      <c r="AI78" s="385"/>
      <c r="AJ78" s="182" t="s">
        <v>634</v>
      </c>
      <c r="AK78" s="166" t="s">
        <v>634</v>
      </c>
      <c r="AL78" s="166" t="s">
        <v>634</v>
      </c>
      <c r="AM78" s="182" t="e">
        <f t="shared" si="69"/>
        <v>#VALUE!</v>
      </c>
      <c r="AN78" s="385"/>
      <c r="AO78" s="182" t="s">
        <v>634</v>
      </c>
      <c r="AP78" s="166" t="s">
        <v>634</v>
      </c>
      <c r="AQ78" s="166" t="s">
        <v>634</v>
      </c>
      <c r="AR78" s="182" t="e">
        <f t="shared" si="71"/>
        <v>#VALUE!</v>
      </c>
      <c r="AS78" s="385"/>
      <c r="AT78" s="182" t="s">
        <v>634</v>
      </c>
      <c r="AU78" s="166" t="s">
        <v>634</v>
      </c>
      <c r="AV78" s="166" t="s">
        <v>634</v>
      </c>
      <c r="AW78" s="182" t="e">
        <f t="shared" si="73"/>
        <v>#VALUE!</v>
      </c>
      <c r="AX78" s="385"/>
      <c r="AZ78" s="182" t="e">
        <f t="shared" si="75"/>
        <v>#N/A</v>
      </c>
      <c r="BA78" s="385"/>
    </row>
    <row r="79" spans="2:53">
      <c r="B79" s="395"/>
      <c r="C79" s="182">
        <v>13</v>
      </c>
      <c r="D79" s="203"/>
      <c r="E79" s="166"/>
      <c r="F79" s="166"/>
      <c r="G79" s="166"/>
      <c r="H79" s="402"/>
      <c r="I79" s="166" t="str">
        <f t="shared" si="58"/>
        <v>-</v>
      </c>
      <c r="J79" s="166" t="str">
        <f t="shared" si="59"/>
        <v>-</v>
      </c>
      <c r="K79" s="180" t="str">
        <f t="shared" si="60"/>
        <v>-</v>
      </c>
      <c r="L79" s="402"/>
      <c r="M79" s="166" t="e">
        <f>RANK(K79, K$67:$K$81)</f>
        <v>#VALUE!</v>
      </c>
      <c r="N79" s="389"/>
      <c r="O79" s="389"/>
      <c r="P79" s="182" t="s">
        <v>634</v>
      </c>
      <c r="Q79" s="166" t="s">
        <v>634</v>
      </c>
      <c r="R79" s="166" t="s">
        <v>634</v>
      </c>
      <c r="S79" s="182" t="e">
        <f t="shared" si="61"/>
        <v>#VALUE!</v>
      </c>
      <c r="T79" s="385"/>
      <c r="U79" s="182" t="s">
        <v>634</v>
      </c>
      <c r="V79" s="166" t="s">
        <v>634</v>
      </c>
      <c r="W79" s="166" t="s">
        <v>634</v>
      </c>
      <c r="X79" s="182" t="e">
        <f t="shared" si="63"/>
        <v>#VALUE!</v>
      </c>
      <c r="Y79" s="385"/>
      <c r="Z79" s="182" t="s">
        <v>634</v>
      </c>
      <c r="AA79" s="166" t="s">
        <v>634</v>
      </c>
      <c r="AB79" s="166" t="s">
        <v>634</v>
      </c>
      <c r="AC79" s="182" t="e">
        <f t="shared" si="65"/>
        <v>#VALUE!</v>
      </c>
      <c r="AD79" s="385"/>
      <c r="AE79" s="182" t="s">
        <v>634</v>
      </c>
      <c r="AF79" s="166" t="s">
        <v>634</v>
      </c>
      <c r="AG79" s="166" t="s">
        <v>634</v>
      </c>
      <c r="AH79" s="182" t="e">
        <f t="shared" si="67"/>
        <v>#VALUE!</v>
      </c>
      <c r="AI79" s="385"/>
      <c r="AJ79" s="182" t="s">
        <v>634</v>
      </c>
      <c r="AK79" s="166" t="s">
        <v>634</v>
      </c>
      <c r="AL79" s="166" t="s">
        <v>634</v>
      </c>
      <c r="AM79" s="182" t="e">
        <f t="shared" si="69"/>
        <v>#VALUE!</v>
      </c>
      <c r="AN79" s="385"/>
      <c r="AO79" s="182" t="s">
        <v>634</v>
      </c>
      <c r="AP79" s="166" t="s">
        <v>634</v>
      </c>
      <c r="AQ79" s="166" t="s">
        <v>634</v>
      </c>
      <c r="AR79" s="182" t="e">
        <f t="shared" si="71"/>
        <v>#VALUE!</v>
      </c>
      <c r="AS79" s="385"/>
      <c r="AT79" s="182" t="s">
        <v>634</v>
      </c>
      <c r="AU79" s="166" t="s">
        <v>634</v>
      </c>
      <c r="AV79" s="166" t="s">
        <v>634</v>
      </c>
      <c r="AW79" s="182" t="e">
        <f t="shared" si="73"/>
        <v>#VALUE!</v>
      </c>
      <c r="AX79" s="385"/>
      <c r="AZ79" s="182" t="e">
        <f t="shared" si="75"/>
        <v>#N/A</v>
      </c>
      <c r="BA79" s="385"/>
    </row>
    <row r="80" spans="2:53">
      <c r="B80" s="395"/>
      <c r="C80" s="182">
        <v>14</v>
      </c>
      <c r="D80" s="203"/>
      <c r="E80" s="166"/>
      <c r="F80" s="166"/>
      <c r="G80" s="166"/>
      <c r="H80" s="402"/>
      <c r="I80" s="166" t="str">
        <f t="shared" si="58"/>
        <v>-</v>
      </c>
      <c r="J80" s="166" t="str">
        <f t="shared" si="59"/>
        <v>-</v>
      </c>
      <c r="K80" s="180" t="str">
        <f t="shared" si="60"/>
        <v>-</v>
      </c>
      <c r="L80" s="402"/>
      <c r="M80" s="166" t="e">
        <f>RANK(K80, K$67:$K$81)</f>
        <v>#VALUE!</v>
      </c>
      <c r="N80" s="389"/>
      <c r="O80" s="389"/>
      <c r="P80" s="182" t="s">
        <v>634</v>
      </c>
      <c r="Q80" s="166" t="s">
        <v>634</v>
      </c>
      <c r="R80" s="166" t="s">
        <v>634</v>
      </c>
      <c r="S80" s="182" t="e">
        <f t="shared" si="61"/>
        <v>#VALUE!</v>
      </c>
      <c r="T80" s="385"/>
      <c r="U80" s="182" t="s">
        <v>634</v>
      </c>
      <c r="V80" s="166" t="s">
        <v>634</v>
      </c>
      <c r="W80" s="166" t="s">
        <v>634</v>
      </c>
      <c r="X80" s="182" t="e">
        <f t="shared" si="63"/>
        <v>#VALUE!</v>
      </c>
      <c r="Y80" s="385"/>
      <c r="Z80" s="182" t="s">
        <v>634</v>
      </c>
      <c r="AA80" s="166" t="s">
        <v>634</v>
      </c>
      <c r="AB80" s="166" t="s">
        <v>634</v>
      </c>
      <c r="AC80" s="182" t="e">
        <f t="shared" si="65"/>
        <v>#VALUE!</v>
      </c>
      <c r="AD80" s="385"/>
      <c r="AE80" s="182" t="s">
        <v>634</v>
      </c>
      <c r="AF80" s="166" t="s">
        <v>634</v>
      </c>
      <c r="AG80" s="166" t="s">
        <v>634</v>
      </c>
      <c r="AH80" s="182" t="e">
        <f t="shared" si="67"/>
        <v>#VALUE!</v>
      </c>
      <c r="AI80" s="385"/>
      <c r="AJ80" s="182" t="s">
        <v>634</v>
      </c>
      <c r="AK80" s="166" t="s">
        <v>634</v>
      </c>
      <c r="AL80" s="166" t="s">
        <v>634</v>
      </c>
      <c r="AM80" s="182" t="e">
        <f t="shared" si="69"/>
        <v>#VALUE!</v>
      </c>
      <c r="AN80" s="385"/>
      <c r="AO80" s="182" t="s">
        <v>634</v>
      </c>
      <c r="AP80" s="166" t="s">
        <v>634</v>
      </c>
      <c r="AQ80" s="166" t="s">
        <v>634</v>
      </c>
      <c r="AR80" s="182" t="e">
        <f t="shared" si="71"/>
        <v>#VALUE!</v>
      </c>
      <c r="AS80" s="385"/>
      <c r="AT80" s="182" t="s">
        <v>634</v>
      </c>
      <c r="AU80" s="166" t="s">
        <v>634</v>
      </c>
      <c r="AV80" s="166" t="s">
        <v>634</v>
      </c>
      <c r="AW80" s="182" t="e">
        <f t="shared" si="73"/>
        <v>#VALUE!</v>
      </c>
      <c r="AX80" s="385"/>
      <c r="AZ80" s="182" t="e">
        <f t="shared" si="75"/>
        <v>#N/A</v>
      </c>
      <c r="BA80" s="385"/>
    </row>
    <row r="81" spans="2:53">
      <c r="B81" s="395"/>
      <c r="C81" s="182">
        <v>15</v>
      </c>
      <c r="D81" s="203"/>
      <c r="E81" s="166"/>
      <c r="F81" s="166"/>
      <c r="G81" s="166"/>
      <c r="H81" s="403"/>
      <c r="I81" s="166"/>
      <c r="J81" s="166"/>
      <c r="K81" s="180"/>
      <c r="L81" s="403"/>
      <c r="M81" s="166" t="e">
        <f>RANK(K81, K$67:$K$81)</f>
        <v>#N/A</v>
      </c>
      <c r="N81" s="389"/>
      <c r="O81" s="389"/>
      <c r="P81" s="182" t="s">
        <v>634</v>
      </c>
      <c r="Q81" s="166" t="s">
        <v>634</v>
      </c>
      <c r="R81" s="166" t="s">
        <v>634</v>
      </c>
      <c r="S81" s="182" t="e">
        <f t="shared" si="61"/>
        <v>#VALUE!</v>
      </c>
      <c r="T81" s="386"/>
      <c r="U81" s="182" t="s">
        <v>634</v>
      </c>
      <c r="V81" s="166" t="s">
        <v>634</v>
      </c>
      <c r="W81" s="166" t="s">
        <v>634</v>
      </c>
      <c r="X81" s="182" t="e">
        <f t="shared" si="63"/>
        <v>#VALUE!</v>
      </c>
      <c r="Y81" s="386"/>
      <c r="Z81" s="182" t="s">
        <v>634</v>
      </c>
      <c r="AA81" s="166" t="s">
        <v>634</v>
      </c>
      <c r="AB81" s="166" t="s">
        <v>634</v>
      </c>
      <c r="AC81" s="182" t="e">
        <f t="shared" si="65"/>
        <v>#VALUE!</v>
      </c>
      <c r="AD81" s="386"/>
      <c r="AE81" s="182" t="s">
        <v>634</v>
      </c>
      <c r="AF81" s="166" t="s">
        <v>634</v>
      </c>
      <c r="AG81" s="166" t="s">
        <v>634</v>
      </c>
      <c r="AH81" s="182" t="e">
        <f t="shared" si="67"/>
        <v>#VALUE!</v>
      </c>
      <c r="AI81" s="386"/>
      <c r="AJ81" s="182" t="s">
        <v>634</v>
      </c>
      <c r="AK81" s="166" t="s">
        <v>634</v>
      </c>
      <c r="AL81" s="166" t="s">
        <v>634</v>
      </c>
      <c r="AM81" s="182" t="e">
        <f t="shared" si="69"/>
        <v>#VALUE!</v>
      </c>
      <c r="AN81" s="386"/>
      <c r="AO81" s="182" t="s">
        <v>634</v>
      </c>
      <c r="AP81" s="166" t="s">
        <v>634</v>
      </c>
      <c r="AQ81" s="166" t="s">
        <v>634</v>
      </c>
      <c r="AR81" s="182" t="e">
        <f t="shared" si="71"/>
        <v>#VALUE!</v>
      </c>
      <c r="AS81" s="386"/>
      <c r="AT81" s="182" t="s">
        <v>634</v>
      </c>
      <c r="AU81" s="166" t="s">
        <v>634</v>
      </c>
      <c r="AV81" s="166" t="s">
        <v>634</v>
      </c>
      <c r="AW81" s="182" t="e">
        <f t="shared" si="73"/>
        <v>#VALUE!</v>
      </c>
      <c r="AX81" s="386"/>
      <c r="AZ81" s="182" t="e">
        <f t="shared" si="75"/>
        <v>#N/A</v>
      </c>
      <c r="BA81" s="386"/>
    </row>
    <row r="82" spans="2:53" ht="15.75">
      <c r="B82" s="414" t="s">
        <v>163</v>
      </c>
      <c r="C82" s="415"/>
      <c r="D82" s="415"/>
      <c r="E82" s="415"/>
      <c r="F82" s="415"/>
      <c r="G82" s="415"/>
      <c r="H82" s="415"/>
      <c r="I82" s="186"/>
      <c r="J82" s="186"/>
      <c r="K82" s="186"/>
      <c r="L82" s="186"/>
      <c r="M82" s="185"/>
      <c r="N82" s="391" t="s">
        <v>156</v>
      </c>
      <c r="O82" s="391" t="s">
        <v>105</v>
      </c>
      <c r="P82" s="413">
        <f>P62+7</f>
        <v>46168</v>
      </c>
      <c r="Q82" s="395"/>
      <c r="R82" s="395"/>
      <c r="S82" s="395"/>
      <c r="T82" s="395"/>
      <c r="U82" s="410">
        <f>P82+1</f>
        <v>46169</v>
      </c>
      <c r="V82" s="411"/>
      <c r="W82" s="411"/>
      <c r="X82" s="411"/>
      <c r="Y82" s="412"/>
      <c r="Z82" s="410">
        <f>U82+1</f>
        <v>46170</v>
      </c>
      <c r="AA82" s="411"/>
      <c r="AB82" s="411"/>
      <c r="AC82" s="411"/>
      <c r="AD82" s="412"/>
      <c r="AE82" s="410">
        <f>Z82+1</f>
        <v>46171</v>
      </c>
      <c r="AF82" s="411"/>
      <c r="AG82" s="411"/>
      <c r="AH82" s="411"/>
      <c r="AI82" s="412"/>
      <c r="AJ82" s="410">
        <f>AE82+1</f>
        <v>46172</v>
      </c>
      <c r="AK82" s="411"/>
      <c r="AL82" s="411"/>
      <c r="AM82" s="411"/>
      <c r="AN82" s="412"/>
      <c r="AO82" s="410">
        <f>AJ82+1</f>
        <v>46173</v>
      </c>
      <c r="AP82" s="411"/>
      <c r="AQ82" s="411"/>
      <c r="AR82" s="411"/>
      <c r="AS82" s="412"/>
      <c r="AT82" s="410">
        <f>AO82+1</f>
        <v>46174</v>
      </c>
      <c r="AU82" s="411"/>
      <c r="AV82" s="411"/>
      <c r="AW82" s="411"/>
      <c r="AX82" s="412"/>
    </row>
    <row r="83" spans="2:53" ht="15.75">
      <c r="B83" s="416"/>
      <c r="C83" s="416"/>
      <c r="D83" s="416"/>
      <c r="E83" s="416"/>
      <c r="F83" s="416"/>
      <c r="G83" s="416"/>
      <c r="H83" s="416"/>
      <c r="I83" s="184"/>
      <c r="J83" s="184"/>
      <c r="K83" s="184"/>
      <c r="L83" s="184"/>
      <c r="M83" s="179"/>
      <c r="N83" s="393"/>
      <c r="O83" s="393"/>
      <c r="P83" s="413" t="s">
        <v>318</v>
      </c>
      <c r="Q83" s="395"/>
      <c r="R83" s="395"/>
      <c r="S83" s="395"/>
      <c r="T83" s="395"/>
      <c r="U83" s="413" t="s">
        <v>319</v>
      </c>
      <c r="V83" s="395"/>
      <c r="W83" s="395"/>
      <c r="X83" s="395"/>
      <c r="Y83" s="395"/>
      <c r="Z83" s="413" t="s">
        <v>320</v>
      </c>
      <c r="AA83" s="395"/>
      <c r="AB83" s="395"/>
      <c r="AC83" s="395"/>
      <c r="AD83" s="395"/>
      <c r="AE83" s="413" t="s">
        <v>321</v>
      </c>
      <c r="AF83" s="395"/>
      <c r="AG83" s="395"/>
      <c r="AH83" s="395"/>
      <c r="AI83" s="395"/>
      <c r="AJ83" s="413" t="s">
        <v>322</v>
      </c>
      <c r="AK83" s="395"/>
      <c r="AL83" s="395"/>
      <c r="AM83" s="395"/>
      <c r="AN83" s="395"/>
      <c r="AO83" s="413" t="s">
        <v>323</v>
      </c>
      <c r="AP83" s="395"/>
      <c r="AQ83" s="395"/>
      <c r="AR83" s="395"/>
      <c r="AS83" s="395"/>
      <c r="AT83" s="413" t="s">
        <v>324</v>
      </c>
      <c r="AU83" s="395"/>
      <c r="AV83" s="395"/>
      <c r="AW83" s="395"/>
      <c r="AX83" s="395"/>
    </row>
    <row r="84" spans="2:53">
      <c r="B84" s="389" t="s">
        <v>401</v>
      </c>
      <c r="C84" s="389" t="s">
        <v>386</v>
      </c>
      <c r="D84" s="389"/>
      <c r="E84" s="389" t="s">
        <v>377</v>
      </c>
      <c r="F84" s="389"/>
      <c r="G84" s="389"/>
      <c r="H84" s="417" t="s">
        <v>373</v>
      </c>
      <c r="I84" s="389" t="s">
        <v>378</v>
      </c>
      <c r="J84" s="389"/>
      <c r="K84" s="389"/>
      <c r="L84" s="417" t="s">
        <v>373</v>
      </c>
      <c r="M84" s="391" t="s">
        <v>374</v>
      </c>
      <c r="N84" s="389"/>
      <c r="O84" s="389" t="s">
        <v>379</v>
      </c>
      <c r="P84" s="404" t="s">
        <v>375</v>
      </c>
      <c r="Q84" s="405"/>
      <c r="R84" s="405"/>
      <c r="S84" s="406"/>
      <c r="T84" s="389" t="s">
        <v>373</v>
      </c>
      <c r="U84" s="404" t="s">
        <v>375</v>
      </c>
      <c r="V84" s="405"/>
      <c r="W84" s="405"/>
      <c r="X84" s="406"/>
      <c r="Y84" s="389" t="s">
        <v>373</v>
      </c>
      <c r="Z84" s="404" t="s">
        <v>375</v>
      </c>
      <c r="AA84" s="405"/>
      <c r="AB84" s="405"/>
      <c r="AC84" s="406"/>
      <c r="AD84" s="389" t="s">
        <v>373</v>
      </c>
      <c r="AE84" s="404" t="s">
        <v>375</v>
      </c>
      <c r="AF84" s="405"/>
      <c r="AG84" s="405"/>
      <c r="AH84" s="406"/>
      <c r="AI84" s="389" t="s">
        <v>373</v>
      </c>
      <c r="AJ84" s="404" t="s">
        <v>375</v>
      </c>
      <c r="AK84" s="405"/>
      <c r="AL84" s="405"/>
      <c r="AM84" s="406"/>
      <c r="AN84" s="389" t="s">
        <v>373</v>
      </c>
      <c r="AO84" s="404" t="s">
        <v>375</v>
      </c>
      <c r="AP84" s="405"/>
      <c r="AQ84" s="405"/>
      <c r="AR84" s="406"/>
      <c r="AS84" s="389" t="s">
        <v>373</v>
      </c>
      <c r="AT84" s="404" t="s">
        <v>375</v>
      </c>
      <c r="AU84" s="405"/>
      <c r="AV84" s="405"/>
      <c r="AW84" s="406"/>
      <c r="AX84" s="389" t="s">
        <v>373</v>
      </c>
      <c r="BA84" s="389" t="s">
        <v>373</v>
      </c>
    </row>
    <row r="85" spans="2:53">
      <c r="B85" s="389"/>
      <c r="C85" s="389"/>
      <c r="D85" s="389"/>
      <c r="E85" s="389" t="s">
        <v>380</v>
      </c>
      <c r="F85" s="389"/>
      <c r="G85" s="389"/>
      <c r="H85" s="418"/>
      <c r="I85" s="389" t="s">
        <v>380</v>
      </c>
      <c r="J85" s="389"/>
      <c r="K85" s="389"/>
      <c r="L85" s="418"/>
      <c r="M85" s="392"/>
      <c r="N85" s="389"/>
      <c r="O85" s="389"/>
      <c r="P85" s="404" t="s">
        <v>381</v>
      </c>
      <c r="Q85" s="405"/>
      <c r="R85" s="405"/>
      <c r="S85" s="406"/>
      <c r="T85" s="389"/>
      <c r="U85" s="404" t="s">
        <v>381</v>
      </c>
      <c r="V85" s="405"/>
      <c r="W85" s="405"/>
      <c r="X85" s="406"/>
      <c r="Y85" s="389"/>
      <c r="Z85" s="404" t="s">
        <v>381</v>
      </c>
      <c r="AA85" s="405"/>
      <c r="AB85" s="405"/>
      <c r="AC85" s="406"/>
      <c r="AD85" s="389"/>
      <c r="AE85" s="404" t="s">
        <v>381</v>
      </c>
      <c r="AF85" s="405"/>
      <c r="AG85" s="405"/>
      <c r="AH85" s="406"/>
      <c r="AI85" s="389"/>
      <c r="AJ85" s="404" t="s">
        <v>381</v>
      </c>
      <c r="AK85" s="405"/>
      <c r="AL85" s="405"/>
      <c r="AM85" s="406"/>
      <c r="AN85" s="389"/>
      <c r="AO85" s="404" t="s">
        <v>381</v>
      </c>
      <c r="AP85" s="405"/>
      <c r="AQ85" s="405"/>
      <c r="AR85" s="406"/>
      <c r="AS85" s="389"/>
      <c r="AT85" s="404" t="s">
        <v>381</v>
      </c>
      <c r="AU85" s="405"/>
      <c r="AV85" s="405"/>
      <c r="AW85" s="406"/>
      <c r="AX85" s="389"/>
      <c r="BA85" s="389"/>
    </row>
    <row r="86" spans="2:53">
      <c r="B86" s="389"/>
      <c r="C86" s="389"/>
      <c r="D86" s="389"/>
      <c r="E86" s="258" t="s">
        <v>382</v>
      </c>
      <c r="F86" s="258" t="s">
        <v>383</v>
      </c>
      <c r="G86" s="258" t="s">
        <v>384</v>
      </c>
      <c r="H86" s="419"/>
      <c r="I86" s="258" t="s">
        <v>382</v>
      </c>
      <c r="J86" s="258" t="s">
        <v>383</v>
      </c>
      <c r="K86" s="258" t="s">
        <v>384</v>
      </c>
      <c r="L86" s="419"/>
      <c r="M86" s="393"/>
      <c r="N86" s="389"/>
      <c r="O86" s="389"/>
      <c r="P86" s="258" t="s">
        <v>382</v>
      </c>
      <c r="Q86" s="258" t="s">
        <v>383</v>
      </c>
      <c r="R86" s="258" t="s">
        <v>384</v>
      </c>
      <c r="S86" s="258" t="s">
        <v>374</v>
      </c>
      <c r="T86" s="389"/>
      <c r="U86" s="258" t="s">
        <v>382</v>
      </c>
      <c r="V86" s="258" t="s">
        <v>383</v>
      </c>
      <c r="W86" s="258" t="s">
        <v>384</v>
      </c>
      <c r="X86" s="258" t="s">
        <v>374</v>
      </c>
      <c r="Y86" s="389"/>
      <c r="Z86" s="258" t="s">
        <v>382</v>
      </c>
      <c r="AA86" s="258" t="s">
        <v>383</v>
      </c>
      <c r="AB86" s="258" t="s">
        <v>384</v>
      </c>
      <c r="AC86" s="258" t="s">
        <v>374</v>
      </c>
      <c r="AD86" s="389"/>
      <c r="AE86" s="258" t="s">
        <v>382</v>
      </c>
      <c r="AF86" s="258" t="s">
        <v>383</v>
      </c>
      <c r="AG86" s="258" t="s">
        <v>384</v>
      </c>
      <c r="AH86" s="258" t="s">
        <v>374</v>
      </c>
      <c r="AI86" s="389"/>
      <c r="AJ86" s="258" t="s">
        <v>382</v>
      </c>
      <c r="AK86" s="258" t="s">
        <v>383</v>
      </c>
      <c r="AL86" s="258" t="s">
        <v>384</v>
      </c>
      <c r="AM86" s="258" t="s">
        <v>374</v>
      </c>
      <c r="AN86" s="389"/>
      <c r="AO86" s="258" t="s">
        <v>382</v>
      </c>
      <c r="AP86" s="258" t="s">
        <v>383</v>
      </c>
      <c r="AQ86" s="258" t="s">
        <v>384</v>
      </c>
      <c r="AR86" s="258" t="s">
        <v>374</v>
      </c>
      <c r="AS86" s="389"/>
      <c r="AT86" s="258" t="s">
        <v>382</v>
      </c>
      <c r="AU86" s="258" t="s">
        <v>383</v>
      </c>
      <c r="AV86" s="258" t="s">
        <v>384</v>
      </c>
      <c r="AW86" s="258" t="s">
        <v>374</v>
      </c>
      <c r="AX86" s="389"/>
      <c r="AZ86" s="258" t="s">
        <v>374</v>
      </c>
      <c r="BA86" s="389"/>
    </row>
    <row r="87" spans="2:53">
      <c r="B87" s="486" t="s">
        <v>415</v>
      </c>
      <c r="C87" s="182">
        <v>1</v>
      </c>
      <c r="D87" s="203" t="s">
        <v>364</v>
      </c>
      <c r="E87" s="166">
        <v>4</v>
      </c>
      <c r="F87" s="166">
        <v>2000</v>
      </c>
      <c r="G87" s="166">
        <v>500</v>
      </c>
      <c r="H87" s="401">
        <f>AVERAGE(G87:G101)</f>
        <v>255.34006410256413</v>
      </c>
      <c r="I87" s="166">
        <f t="shared" ref="I87:I100" si="77">IFERROR(AVERAGE(P87,U87,Z87,AE87,AJ87,AO87,AT87),"-")</f>
        <v>5</v>
      </c>
      <c r="J87" s="166">
        <f t="shared" ref="J87:J100" si="78">IFERROR(AVERAGE(Q87,V87,AA87,AF87,AK87,AP87,AU87),"-")</f>
        <v>2168.4106530701765</v>
      </c>
      <c r="K87" s="180">
        <f t="shared" ref="K87:K100" si="79">IFERROR(AVERAGE(R87,W87,AB87,AG87,AL87,AQ87,AV87),"-")</f>
        <v>433.68213061403532</v>
      </c>
      <c r="L87" s="401">
        <f>IFERROR(AVERAGE(K87:K101),"-")</f>
        <v>231.90977469766676</v>
      </c>
      <c r="M87" s="166">
        <f>RANK(K87, K$87:$K$101)</f>
        <v>1</v>
      </c>
      <c r="N87" s="389"/>
      <c r="O87" s="389"/>
      <c r="P87" s="182">
        <v>5</v>
      </c>
      <c r="Q87" s="166">
        <v>2180.3076923076919</v>
      </c>
      <c r="R87" s="166">
        <v>436.06153846153836</v>
      </c>
      <c r="S87" s="182">
        <f t="shared" ref="S87:S101" si="80">RANK(R87, R$87:R$101)</f>
        <v>1</v>
      </c>
      <c r="T87" s="390">
        <f t="shared" ref="T87" si="81">AVERAGE(R87:R101)</f>
        <v>231.73015173879253</v>
      </c>
      <c r="U87" s="182">
        <v>5</v>
      </c>
      <c r="V87" s="166">
        <v>2146.0000000000005</v>
      </c>
      <c r="W87" s="166">
        <v>429.2000000000001</v>
      </c>
      <c r="X87" s="182">
        <f t="shared" ref="X87:X101" si="82">RANK(W87, W$87:W$101)</f>
        <v>2</v>
      </c>
      <c r="Y87" s="390">
        <f t="shared" ref="Y87" si="83">AVERAGE(W87:W101)</f>
        <v>232.85845743220671</v>
      </c>
      <c r="Z87" s="182">
        <v>5</v>
      </c>
      <c r="AA87" s="166">
        <v>2168.4210526315787</v>
      </c>
      <c r="AB87" s="166">
        <v>433.68421052631572</v>
      </c>
      <c r="AC87" s="182">
        <f t="shared" ref="AC87:AC101" si="84">RANK(AB87, AB$87:AB$101)</f>
        <v>1</v>
      </c>
      <c r="AD87" s="390">
        <f t="shared" ref="AD87" si="85">AVERAGE(AB87:AB101)</f>
        <v>232.11226355794406</v>
      </c>
      <c r="AE87" s="182">
        <v>5</v>
      </c>
      <c r="AF87" s="166">
        <v>2188.6363636363635</v>
      </c>
      <c r="AG87" s="166">
        <v>437.72727272727269</v>
      </c>
      <c r="AH87" s="182">
        <f t="shared" ref="AH87:AH101" si="86">RANK(AG87, AG$87:AG$101)</f>
        <v>1</v>
      </c>
      <c r="AI87" s="390">
        <f t="shared" ref="AI87" si="87">AVERAGE(AG87:AG101)</f>
        <v>230.73858697426124</v>
      </c>
      <c r="AJ87" s="182">
        <v>5</v>
      </c>
      <c r="AK87" s="166">
        <v>2161.1999999999989</v>
      </c>
      <c r="AL87" s="166">
        <v>432.23999999999978</v>
      </c>
      <c r="AM87" s="182">
        <f t="shared" ref="AM87:AM101" si="88">RANK(AL87, AL$87:AL$101)</f>
        <v>1</v>
      </c>
      <c r="AN87" s="390">
        <f t="shared" ref="AN87" si="89">AVERAGE(AL87:AL101)</f>
        <v>232.35236998350189</v>
      </c>
      <c r="AO87" s="182">
        <v>5</v>
      </c>
      <c r="AP87" s="166">
        <v>2146.9565217391305</v>
      </c>
      <c r="AQ87" s="166">
        <v>429.39130434782612</v>
      </c>
      <c r="AR87" s="182">
        <f t="shared" ref="AR87:AR101" si="90">RANK(AQ87, AQ$87:AQ$101)</f>
        <v>1</v>
      </c>
      <c r="AS87" s="390">
        <f t="shared" ref="AS87" si="91">AVERAGE(AQ87:AQ101)</f>
        <v>231.41886432840658</v>
      </c>
      <c r="AT87" s="182">
        <v>5</v>
      </c>
      <c r="AU87" s="166">
        <v>2187.3529411764703</v>
      </c>
      <c r="AV87" s="166">
        <v>437.47058823529403</v>
      </c>
      <c r="AW87" s="182">
        <f t="shared" ref="AW87:AW101" si="92">RANK(AV87, AV$87:AV$101)</f>
        <v>1</v>
      </c>
      <c r="AX87" s="390">
        <f t="shared" ref="AX87" si="93">AVERAGE(AV87:AV101)</f>
        <v>232.15772886855427</v>
      </c>
      <c r="AZ87" s="182" t="e">
        <f t="shared" ref="AZ87:AZ101" si="94">RANK(AY87, AY$87:AY$101)</f>
        <v>#N/A</v>
      </c>
      <c r="BA87" s="390" t="e">
        <f t="shared" ref="BA87" si="95">AVERAGE(AY87:AY101)</f>
        <v>#DIV/0!</v>
      </c>
    </row>
    <row r="88" spans="2:53">
      <c r="B88" s="395"/>
      <c r="C88" s="182">
        <v>2</v>
      </c>
      <c r="D88" s="203" t="s">
        <v>442</v>
      </c>
      <c r="E88" s="166">
        <v>4</v>
      </c>
      <c r="F88" s="166">
        <v>2000</v>
      </c>
      <c r="G88" s="166">
        <v>500</v>
      </c>
      <c r="H88" s="402"/>
      <c r="I88" s="166">
        <f t="shared" si="77"/>
        <v>5</v>
      </c>
      <c r="J88" s="166">
        <f t="shared" si="78"/>
        <v>2143.2779604745965</v>
      </c>
      <c r="K88" s="180">
        <f t="shared" si="79"/>
        <v>428.65559209491914</v>
      </c>
      <c r="L88" s="402"/>
      <c r="M88" s="166">
        <f>RANK(K88, K$87:$K$101)</f>
        <v>2</v>
      </c>
      <c r="N88" s="389"/>
      <c r="O88" s="389"/>
      <c r="P88" s="182">
        <v>5</v>
      </c>
      <c r="Q88" s="166">
        <v>2159.9999999999991</v>
      </c>
      <c r="R88" s="166">
        <v>431.99999999999983</v>
      </c>
      <c r="S88" s="182">
        <f t="shared" si="80"/>
        <v>2</v>
      </c>
      <c r="T88" s="390"/>
      <c r="U88" s="182">
        <v>5</v>
      </c>
      <c r="V88" s="166">
        <v>2162.0338983050847</v>
      </c>
      <c r="W88" s="166">
        <v>432.40677966101691</v>
      </c>
      <c r="X88" s="182">
        <f t="shared" si="82"/>
        <v>1</v>
      </c>
      <c r="Y88" s="390"/>
      <c r="Z88" s="182">
        <v>5</v>
      </c>
      <c r="AA88" s="166">
        <v>2124.2105263157891</v>
      </c>
      <c r="AB88" s="166">
        <v>424.8421052631578</v>
      </c>
      <c r="AC88" s="182">
        <f t="shared" si="84"/>
        <v>2</v>
      </c>
      <c r="AD88" s="390"/>
      <c r="AE88" s="182">
        <v>5</v>
      </c>
      <c r="AF88" s="166">
        <v>2108</v>
      </c>
      <c r="AG88" s="166">
        <v>421.6</v>
      </c>
      <c r="AH88" s="182">
        <f t="shared" si="86"/>
        <v>2</v>
      </c>
      <c r="AI88" s="390"/>
      <c r="AJ88" s="182">
        <v>5</v>
      </c>
      <c r="AK88" s="166">
        <v>2151.428571428572</v>
      </c>
      <c r="AL88" s="166">
        <v>430.28571428571439</v>
      </c>
      <c r="AM88" s="182">
        <f t="shared" si="88"/>
        <v>2</v>
      </c>
      <c r="AN88" s="390"/>
      <c r="AO88" s="182">
        <v>5</v>
      </c>
      <c r="AP88" s="166">
        <v>2130.909090909091</v>
      </c>
      <c r="AQ88" s="166">
        <v>426.18181818181819</v>
      </c>
      <c r="AR88" s="182">
        <f t="shared" si="90"/>
        <v>2</v>
      </c>
      <c r="AS88" s="390"/>
      <c r="AT88" s="182">
        <v>5</v>
      </c>
      <c r="AU88" s="166">
        <v>2166.3636363636374</v>
      </c>
      <c r="AV88" s="166">
        <v>433.27272727272748</v>
      </c>
      <c r="AW88" s="182">
        <f t="shared" si="92"/>
        <v>2</v>
      </c>
      <c r="AX88" s="390"/>
      <c r="AZ88" s="182" t="e">
        <f t="shared" si="94"/>
        <v>#N/A</v>
      </c>
      <c r="BA88" s="390"/>
    </row>
    <row r="89" spans="2:53">
      <c r="B89" s="395"/>
      <c r="C89" s="182">
        <v>3</v>
      </c>
      <c r="D89" s="203" t="s">
        <v>365</v>
      </c>
      <c r="E89" s="166">
        <v>12</v>
      </c>
      <c r="F89" s="166">
        <v>2118</v>
      </c>
      <c r="G89" s="166">
        <v>176.5</v>
      </c>
      <c r="H89" s="402"/>
      <c r="I89" s="166">
        <f t="shared" si="77"/>
        <v>12</v>
      </c>
      <c r="J89" s="166">
        <f t="shared" si="78"/>
        <v>1877.4268202230394</v>
      </c>
      <c r="K89" s="180">
        <f t="shared" si="79"/>
        <v>156.45223501858661</v>
      </c>
      <c r="L89" s="402"/>
      <c r="M89" s="166">
        <f>RANK(K89, K$87:$K$101)</f>
        <v>6</v>
      </c>
      <c r="N89" s="389"/>
      <c r="O89" s="389"/>
      <c r="P89" s="182">
        <v>12</v>
      </c>
      <c r="Q89" s="166">
        <v>1882.5974025974026</v>
      </c>
      <c r="R89" s="166">
        <v>156.88311688311688</v>
      </c>
      <c r="S89" s="182">
        <f t="shared" si="80"/>
        <v>6</v>
      </c>
      <c r="T89" s="390"/>
      <c r="U89" s="182">
        <v>12</v>
      </c>
      <c r="V89" s="166">
        <v>1888.2857142857147</v>
      </c>
      <c r="W89" s="166">
        <v>157.35714285714289</v>
      </c>
      <c r="X89" s="182">
        <f t="shared" si="82"/>
        <v>6</v>
      </c>
      <c r="Y89" s="390"/>
      <c r="Z89" s="182">
        <v>12</v>
      </c>
      <c r="AA89" s="166">
        <v>1887.3529411764707</v>
      </c>
      <c r="AB89" s="166">
        <v>157.27941176470588</v>
      </c>
      <c r="AC89" s="182">
        <f t="shared" si="84"/>
        <v>6</v>
      </c>
      <c r="AD89" s="390"/>
      <c r="AE89" s="182">
        <v>12</v>
      </c>
      <c r="AF89" s="166">
        <v>1856.0000000000005</v>
      </c>
      <c r="AG89" s="166">
        <v>154.66666666666671</v>
      </c>
      <c r="AH89" s="182">
        <f t="shared" si="86"/>
        <v>7</v>
      </c>
      <c r="AI89" s="390"/>
      <c r="AJ89" s="182">
        <v>12</v>
      </c>
      <c r="AK89" s="166">
        <v>1860.9090909090919</v>
      </c>
      <c r="AL89" s="166">
        <v>155.07575757575765</v>
      </c>
      <c r="AM89" s="182">
        <f t="shared" si="88"/>
        <v>7</v>
      </c>
      <c r="AN89" s="390"/>
      <c r="AO89" s="182">
        <v>12</v>
      </c>
      <c r="AP89" s="166">
        <v>1874.2500000000011</v>
      </c>
      <c r="AQ89" s="166">
        <v>156.18750000000009</v>
      </c>
      <c r="AR89" s="182">
        <f t="shared" si="90"/>
        <v>6</v>
      </c>
      <c r="AS89" s="390"/>
      <c r="AT89" s="182">
        <v>12</v>
      </c>
      <c r="AU89" s="166">
        <v>1892.5925925925931</v>
      </c>
      <c r="AV89" s="166">
        <v>157.71604938271608</v>
      </c>
      <c r="AW89" s="182">
        <f t="shared" si="92"/>
        <v>6</v>
      </c>
      <c r="AX89" s="390"/>
      <c r="AZ89" s="182" t="e">
        <f t="shared" si="94"/>
        <v>#N/A</v>
      </c>
      <c r="BA89" s="390"/>
    </row>
    <row r="90" spans="2:53">
      <c r="B90" s="395"/>
      <c r="C90" s="182">
        <v>4</v>
      </c>
      <c r="D90" s="203" t="s">
        <v>605</v>
      </c>
      <c r="E90" s="166">
        <v>13</v>
      </c>
      <c r="F90" s="166">
        <v>2250</v>
      </c>
      <c r="G90" s="166">
        <v>173.07692307692307</v>
      </c>
      <c r="H90" s="402"/>
      <c r="I90" s="166">
        <f t="shared" si="77"/>
        <v>13</v>
      </c>
      <c r="J90" s="166">
        <f t="shared" si="78"/>
        <v>2205.4330592890724</v>
      </c>
      <c r="K90" s="180">
        <f t="shared" si="79"/>
        <v>169.64869686839023</v>
      </c>
      <c r="L90" s="402"/>
      <c r="M90" s="166">
        <f>RANK(K90, K$87:$K$101)</f>
        <v>5</v>
      </c>
      <c r="N90" s="389"/>
      <c r="O90" s="389"/>
      <c r="P90" s="182">
        <v>13</v>
      </c>
      <c r="Q90" s="166">
        <v>2173.6082474226801</v>
      </c>
      <c r="R90" s="166">
        <v>167.20063441712924</v>
      </c>
      <c r="S90" s="182">
        <f t="shared" si="80"/>
        <v>5</v>
      </c>
      <c r="T90" s="390"/>
      <c r="U90" s="182">
        <v>13</v>
      </c>
      <c r="V90" s="166">
        <v>2223.78947368421</v>
      </c>
      <c r="W90" s="166">
        <v>171.06072874493924</v>
      </c>
      <c r="X90" s="182">
        <f t="shared" si="82"/>
        <v>4</v>
      </c>
      <c r="Y90" s="390"/>
      <c r="Z90" s="182">
        <v>13</v>
      </c>
      <c r="AA90" s="166">
        <v>2205.348837209302</v>
      </c>
      <c r="AB90" s="166">
        <v>169.64221824686939</v>
      </c>
      <c r="AC90" s="182">
        <f t="shared" si="84"/>
        <v>5</v>
      </c>
      <c r="AD90" s="390"/>
      <c r="AE90" s="182">
        <v>13</v>
      </c>
      <c r="AF90" s="166">
        <v>2187.341772151899</v>
      </c>
      <c r="AG90" s="166">
        <v>168.25705939629992</v>
      </c>
      <c r="AH90" s="182">
        <f t="shared" si="86"/>
        <v>5</v>
      </c>
      <c r="AI90" s="390"/>
      <c r="AJ90" s="182">
        <v>13</v>
      </c>
      <c r="AK90" s="166">
        <v>2233.7349397590365</v>
      </c>
      <c r="AL90" s="166">
        <v>171.82576459684896</v>
      </c>
      <c r="AM90" s="182">
        <f t="shared" si="88"/>
        <v>4</v>
      </c>
      <c r="AN90" s="390"/>
      <c r="AO90" s="182">
        <v>13</v>
      </c>
      <c r="AP90" s="166">
        <v>2228.8235294117649</v>
      </c>
      <c r="AQ90" s="166">
        <v>171.447963800905</v>
      </c>
      <c r="AR90" s="182">
        <f t="shared" si="90"/>
        <v>5</v>
      </c>
      <c r="AS90" s="390"/>
      <c r="AT90" s="182">
        <v>13</v>
      </c>
      <c r="AU90" s="166">
        <v>2185.3846153846157</v>
      </c>
      <c r="AV90" s="166">
        <v>168.10650887573968</v>
      </c>
      <c r="AW90" s="182">
        <f t="shared" si="92"/>
        <v>5</v>
      </c>
      <c r="AX90" s="390"/>
      <c r="AZ90" s="182" t="e">
        <f t="shared" si="94"/>
        <v>#N/A</v>
      </c>
      <c r="BA90" s="390"/>
    </row>
    <row r="91" spans="2:53">
      <c r="B91" s="395"/>
      <c r="C91" s="182">
        <v>5</v>
      </c>
      <c r="D91" s="203" t="s">
        <v>366</v>
      </c>
      <c r="E91" s="166">
        <v>13</v>
      </c>
      <c r="F91" s="166">
        <v>2250</v>
      </c>
      <c r="G91" s="166">
        <v>173.07692307692307</v>
      </c>
      <c r="H91" s="402"/>
      <c r="I91" s="166">
        <f t="shared" si="77"/>
        <v>13</v>
      </c>
      <c r="J91" s="166">
        <f t="shared" si="78"/>
        <v>2210.8313993391553</v>
      </c>
      <c r="K91" s="180">
        <f t="shared" si="79"/>
        <v>170.06395379531963</v>
      </c>
      <c r="L91" s="402"/>
      <c r="M91" s="166">
        <f>RANK(K91, K$87:$K$101)</f>
        <v>4</v>
      </c>
      <c r="N91" s="389"/>
      <c r="O91" s="389"/>
      <c r="P91" s="182">
        <v>13</v>
      </c>
      <c r="Q91" s="166">
        <v>2199.428571428572</v>
      </c>
      <c r="R91" s="166">
        <v>169.18681318681323</v>
      </c>
      <c r="S91" s="182">
        <f t="shared" si="80"/>
        <v>4</v>
      </c>
      <c r="T91" s="390"/>
      <c r="U91" s="182">
        <v>13</v>
      </c>
      <c r="V91" s="166">
        <v>2217.5257731958759</v>
      </c>
      <c r="W91" s="166">
        <v>170.578905630452</v>
      </c>
      <c r="X91" s="182">
        <f t="shared" si="82"/>
        <v>5</v>
      </c>
      <c r="Y91" s="390"/>
      <c r="Z91" s="182">
        <v>13</v>
      </c>
      <c r="AA91" s="166">
        <v>2213.7931034482754</v>
      </c>
      <c r="AB91" s="166">
        <v>170.29177718832887</v>
      </c>
      <c r="AC91" s="182">
        <f t="shared" si="84"/>
        <v>4</v>
      </c>
      <c r="AD91" s="390"/>
      <c r="AE91" s="182">
        <v>13</v>
      </c>
      <c r="AF91" s="166">
        <v>2196.9230769230767</v>
      </c>
      <c r="AG91" s="166">
        <v>168.99408284023667</v>
      </c>
      <c r="AH91" s="182">
        <f t="shared" si="86"/>
        <v>4</v>
      </c>
      <c r="AI91" s="390"/>
      <c r="AJ91" s="182">
        <v>13</v>
      </c>
      <c r="AK91" s="166">
        <v>2213.1034482758628</v>
      </c>
      <c r="AL91" s="166">
        <v>170.23872679045098</v>
      </c>
      <c r="AM91" s="182">
        <f t="shared" si="88"/>
        <v>5</v>
      </c>
      <c r="AN91" s="390"/>
      <c r="AO91" s="182">
        <v>13</v>
      </c>
      <c r="AP91" s="166">
        <v>2234.8571428571431</v>
      </c>
      <c r="AQ91" s="166">
        <v>171.91208791208794</v>
      </c>
      <c r="AR91" s="182">
        <f t="shared" si="90"/>
        <v>4</v>
      </c>
      <c r="AS91" s="390"/>
      <c r="AT91" s="182">
        <v>13</v>
      </c>
      <c r="AU91" s="166">
        <v>2200.1886792452824</v>
      </c>
      <c r="AV91" s="166">
        <v>169.24528301886787</v>
      </c>
      <c r="AW91" s="182">
        <f t="shared" si="92"/>
        <v>4</v>
      </c>
      <c r="AX91" s="390"/>
      <c r="AZ91" s="182" t="e">
        <f t="shared" si="94"/>
        <v>#N/A</v>
      </c>
      <c r="BA91" s="390"/>
    </row>
    <row r="92" spans="2:53">
      <c r="B92" s="395"/>
      <c r="C92" s="182">
        <v>6</v>
      </c>
      <c r="D92" s="203" t="s">
        <v>367</v>
      </c>
      <c r="E92" s="166">
        <v>10</v>
      </c>
      <c r="F92" s="166">
        <v>2769</v>
      </c>
      <c r="G92" s="166">
        <v>276.89999999999998</v>
      </c>
      <c r="H92" s="402"/>
      <c r="I92" s="166">
        <f t="shared" si="77"/>
        <v>10</v>
      </c>
      <c r="J92" s="166">
        <f t="shared" si="78"/>
        <v>2447.0095387350884</v>
      </c>
      <c r="K92" s="180">
        <f t="shared" si="79"/>
        <v>244.70095387350884</v>
      </c>
      <c r="L92" s="402"/>
      <c r="M92" s="166">
        <f>RANK(K92, K$87:$K$101)</f>
        <v>3</v>
      </c>
      <c r="N92" s="389"/>
      <c r="O92" s="389"/>
      <c r="P92" s="182">
        <v>10</v>
      </c>
      <c r="Q92" s="166">
        <v>2398.7027027027034</v>
      </c>
      <c r="R92" s="166">
        <v>239.87027027027034</v>
      </c>
      <c r="S92" s="182">
        <f t="shared" si="80"/>
        <v>3</v>
      </c>
      <c r="T92" s="390"/>
      <c r="U92" s="182">
        <v>10</v>
      </c>
      <c r="V92" s="166">
        <v>2507.3846153846152</v>
      </c>
      <c r="W92" s="166">
        <v>250.73846153846154</v>
      </c>
      <c r="X92" s="182">
        <f t="shared" si="82"/>
        <v>3</v>
      </c>
      <c r="Y92" s="390"/>
      <c r="Z92" s="182">
        <v>10</v>
      </c>
      <c r="AA92" s="166">
        <v>2512.9824561403502</v>
      </c>
      <c r="AB92" s="166">
        <v>251.29824561403501</v>
      </c>
      <c r="AC92" s="182">
        <f t="shared" si="84"/>
        <v>3</v>
      </c>
      <c r="AD92" s="390"/>
      <c r="AE92" s="182">
        <v>10</v>
      </c>
      <c r="AF92" s="166">
        <v>2399.2857142857138</v>
      </c>
      <c r="AG92" s="166">
        <v>239.92857142857139</v>
      </c>
      <c r="AH92" s="182">
        <f t="shared" si="86"/>
        <v>3</v>
      </c>
      <c r="AI92" s="390"/>
      <c r="AJ92" s="182">
        <v>10</v>
      </c>
      <c r="AK92" s="166">
        <v>2453.1736526946097</v>
      </c>
      <c r="AL92" s="166">
        <v>245.31736526946096</v>
      </c>
      <c r="AM92" s="182">
        <f t="shared" si="88"/>
        <v>3</v>
      </c>
      <c r="AN92" s="390"/>
      <c r="AO92" s="182">
        <v>10</v>
      </c>
      <c r="AP92" s="166">
        <v>2426.9538461538455</v>
      </c>
      <c r="AQ92" s="166">
        <v>242.69538461538454</v>
      </c>
      <c r="AR92" s="182">
        <f t="shared" si="90"/>
        <v>3</v>
      </c>
      <c r="AS92" s="390"/>
      <c r="AT92" s="182">
        <v>10</v>
      </c>
      <c r="AU92" s="166">
        <v>2430.5837837837844</v>
      </c>
      <c r="AV92" s="166">
        <v>243.05837837837845</v>
      </c>
      <c r="AW92" s="182">
        <f t="shared" si="92"/>
        <v>3</v>
      </c>
      <c r="AX92" s="390"/>
      <c r="AZ92" s="182" t="e">
        <f t="shared" si="94"/>
        <v>#N/A</v>
      </c>
      <c r="BA92" s="390"/>
    </row>
    <row r="93" spans="2:53">
      <c r="B93" s="395"/>
      <c r="C93" s="182">
        <v>7</v>
      </c>
      <c r="D93" s="203" t="s">
        <v>363</v>
      </c>
      <c r="E93" s="166">
        <v>18</v>
      </c>
      <c r="F93" s="166">
        <v>1200</v>
      </c>
      <c r="G93" s="166">
        <v>66.666666666666671</v>
      </c>
      <c r="H93" s="402"/>
      <c r="I93" s="166">
        <f t="shared" si="77"/>
        <v>13</v>
      </c>
      <c r="J93" s="166">
        <f t="shared" si="78"/>
        <v>1248.3302005012536</v>
      </c>
      <c r="K93" s="180">
        <f t="shared" si="79"/>
        <v>96.025400038557976</v>
      </c>
      <c r="L93" s="402"/>
      <c r="M93" s="166">
        <f>RANK(K93, K$87:$K$101)</f>
        <v>8</v>
      </c>
      <c r="N93" s="389"/>
      <c r="O93" s="389"/>
      <c r="P93" s="182">
        <v>13</v>
      </c>
      <c r="Q93" s="166">
        <v>1271.3684210526317</v>
      </c>
      <c r="R93" s="166">
        <v>97.797570850202433</v>
      </c>
      <c r="S93" s="182">
        <f t="shared" si="80"/>
        <v>8</v>
      </c>
      <c r="T93" s="390"/>
      <c r="U93" s="182">
        <v>13</v>
      </c>
      <c r="V93" s="166">
        <v>1226.6666666666665</v>
      </c>
      <c r="W93" s="166">
        <v>94.358974358974351</v>
      </c>
      <c r="X93" s="182">
        <f t="shared" si="82"/>
        <v>8</v>
      </c>
      <c r="Y93" s="390"/>
      <c r="Z93" s="182">
        <v>13</v>
      </c>
      <c r="AA93" s="166">
        <v>1206.0000000000007</v>
      </c>
      <c r="AB93" s="166">
        <v>92.769230769230816</v>
      </c>
      <c r="AC93" s="182">
        <f t="shared" si="84"/>
        <v>8</v>
      </c>
      <c r="AD93" s="390"/>
      <c r="AE93" s="182">
        <v>13</v>
      </c>
      <c r="AF93" s="166">
        <v>1272.0000000000005</v>
      </c>
      <c r="AG93" s="166">
        <v>97.846153846153882</v>
      </c>
      <c r="AH93" s="182">
        <f t="shared" si="86"/>
        <v>8</v>
      </c>
      <c r="AI93" s="390"/>
      <c r="AJ93" s="182">
        <v>13</v>
      </c>
      <c r="AK93" s="166">
        <v>1251.7500000000007</v>
      </c>
      <c r="AL93" s="166">
        <v>96.28846153846159</v>
      </c>
      <c r="AM93" s="182">
        <f t="shared" si="88"/>
        <v>8</v>
      </c>
      <c r="AN93" s="390"/>
      <c r="AO93" s="182">
        <v>13</v>
      </c>
      <c r="AP93" s="166">
        <v>1284</v>
      </c>
      <c r="AQ93" s="166">
        <v>98.769230769230774</v>
      </c>
      <c r="AR93" s="182">
        <f t="shared" si="90"/>
        <v>8</v>
      </c>
      <c r="AS93" s="390"/>
      <c r="AT93" s="182">
        <v>13</v>
      </c>
      <c r="AU93" s="166">
        <v>1226.526315789474</v>
      </c>
      <c r="AV93" s="166">
        <v>94.348178137651843</v>
      </c>
      <c r="AW93" s="182">
        <f t="shared" si="92"/>
        <v>8</v>
      </c>
      <c r="AX93" s="390"/>
      <c r="AZ93" s="182" t="e">
        <f t="shared" si="94"/>
        <v>#N/A</v>
      </c>
      <c r="BA93" s="390"/>
    </row>
    <row r="94" spans="2:53">
      <c r="B94" s="395"/>
      <c r="C94" s="182">
        <v>8</v>
      </c>
      <c r="D94" s="203" t="s">
        <v>538</v>
      </c>
      <c r="E94" s="166">
        <v>12</v>
      </c>
      <c r="F94" s="166">
        <v>2118</v>
      </c>
      <c r="G94" s="166">
        <v>176.5</v>
      </c>
      <c r="H94" s="402"/>
      <c r="I94" s="166">
        <f t="shared" si="77"/>
        <v>12</v>
      </c>
      <c r="J94" s="166">
        <f t="shared" si="78"/>
        <v>1872.5908233361956</v>
      </c>
      <c r="K94" s="180">
        <f t="shared" si="79"/>
        <v>156.04923527801634</v>
      </c>
      <c r="L94" s="402"/>
      <c r="M94" s="166">
        <f>RANK(K94, K$87:$K$101)</f>
        <v>7</v>
      </c>
      <c r="N94" s="389"/>
      <c r="O94" s="389"/>
      <c r="P94" s="182">
        <v>12</v>
      </c>
      <c r="Q94" s="166">
        <v>1858.0952380952388</v>
      </c>
      <c r="R94" s="166">
        <v>154.84126984126991</v>
      </c>
      <c r="S94" s="182">
        <f t="shared" si="80"/>
        <v>7</v>
      </c>
      <c r="T94" s="390"/>
      <c r="U94" s="182">
        <v>12</v>
      </c>
      <c r="V94" s="166">
        <v>1885.9999999999991</v>
      </c>
      <c r="W94" s="166">
        <v>157.1666666666666</v>
      </c>
      <c r="X94" s="182">
        <f t="shared" si="82"/>
        <v>7</v>
      </c>
      <c r="Y94" s="390"/>
      <c r="Z94" s="182">
        <v>12</v>
      </c>
      <c r="AA94" s="166">
        <v>1885.0909090909076</v>
      </c>
      <c r="AB94" s="166">
        <v>157.09090909090898</v>
      </c>
      <c r="AC94" s="182">
        <f t="shared" si="84"/>
        <v>7</v>
      </c>
      <c r="AD94" s="390"/>
      <c r="AE94" s="182">
        <v>12</v>
      </c>
      <c r="AF94" s="166">
        <v>1882.6666666666665</v>
      </c>
      <c r="AG94" s="166">
        <v>156.88888888888889</v>
      </c>
      <c r="AH94" s="182">
        <f t="shared" si="86"/>
        <v>6</v>
      </c>
      <c r="AI94" s="390"/>
      <c r="AJ94" s="182">
        <v>12</v>
      </c>
      <c r="AK94" s="166">
        <v>1890.5660377358502</v>
      </c>
      <c r="AL94" s="166">
        <v>157.54716981132086</v>
      </c>
      <c r="AM94" s="182">
        <f t="shared" si="88"/>
        <v>6</v>
      </c>
      <c r="AN94" s="390"/>
      <c r="AO94" s="182">
        <v>12</v>
      </c>
      <c r="AP94" s="166">
        <v>1857.1875000000009</v>
      </c>
      <c r="AQ94" s="166">
        <v>154.76562500000009</v>
      </c>
      <c r="AR94" s="182">
        <f t="shared" si="90"/>
        <v>7</v>
      </c>
      <c r="AS94" s="390"/>
      <c r="AT94" s="182">
        <v>12</v>
      </c>
      <c r="AU94" s="166">
        <v>1848.529411764707</v>
      </c>
      <c r="AV94" s="166">
        <v>154.04411764705893</v>
      </c>
      <c r="AW94" s="182">
        <f t="shared" si="92"/>
        <v>7</v>
      </c>
      <c r="AX94" s="390"/>
      <c r="AZ94" s="182" t="e">
        <f t="shared" si="94"/>
        <v>#N/A</v>
      </c>
      <c r="BA94" s="390"/>
    </row>
    <row r="95" spans="2:53">
      <c r="B95" s="395"/>
      <c r="C95" s="182">
        <v>9</v>
      </c>
      <c r="D95" s="203"/>
      <c r="E95" s="166"/>
      <c r="F95" s="166"/>
      <c r="G95" s="166"/>
      <c r="H95" s="402"/>
      <c r="I95" s="166" t="str">
        <f t="shared" si="77"/>
        <v>-</v>
      </c>
      <c r="J95" s="166" t="str">
        <f t="shared" si="78"/>
        <v>-</v>
      </c>
      <c r="K95" s="180" t="str">
        <f t="shared" si="79"/>
        <v>-</v>
      </c>
      <c r="L95" s="402"/>
      <c r="M95" s="166" t="e">
        <f>RANK(K95, K$87:$K$101)</f>
        <v>#VALUE!</v>
      </c>
      <c r="N95" s="389"/>
      <c r="O95" s="389"/>
      <c r="P95" s="182"/>
      <c r="Q95" s="166"/>
      <c r="R95" s="166"/>
      <c r="S95" s="182" t="e">
        <f t="shared" si="80"/>
        <v>#N/A</v>
      </c>
      <c r="T95" s="390"/>
      <c r="U95" s="182"/>
      <c r="V95" s="166"/>
      <c r="W95" s="166"/>
      <c r="X95" s="182" t="e">
        <f t="shared" si="82"/>
        <v>#N/A</v>
      </c>
      <c r="Y95" s="390"/>
      <c r="Z95" s="182"/>
      <c r="AA95" s="166"/>
      <c r="AB95" s="166"/>
      <c r="AC95" s="182" t="e">
        <f t="shared" si="84"/>
        <v>#N/A</v>
      </c>
      <c r="AD95" s="390"/>
      <c r="AE95" s="182"/>
      <c r="AF95" s="166"/>
      <c r="AG95" s="166"/>
      <c r="AH95" s="182" t="e">
        <f t="shared" si="86"/>
        <v>#N/A</v>
      </c>
      <c r="AI95" s="390"/>
      <c r="AJ95" s="182"/>
      <c r="AK95" s="166"/>
      <c r="AL95" s="166"/>
      <c r="AM95" s="182" t="e">
        <f t="shared" si="88"/>
        <v>#N/A</v>
      </c>
      <c r="AN95" s="390"/>
      <c r="AO95" s="182"/>
      <c r="AP95" s="166"/>
      <c r="AQ95" s="166"/>
      <c r="AR95" s="182" t="e">
        <f t="shared" si="90"/>
        <v>#N/A</v>
      </c>
      <c r="AS95" s="390"/>
      <c r="AT95" s="182"/>
      <c r="AU95" s="166"/>
      <c r="AV95" s="166"/>
      <c r="AW95" s="182" t="e">
        <f t="shared" si="92"/>
        <v>#N/A</v>
      </c>
      <c r="AX95" s="390"/>
      <c r="AZ95" s="182" t="e">
        <f t="shared" si="94"/>
        <v>#N/A</v>
      </c>
      <c r="BA95" s="390"/>
    </row>
    <row r="96" spans="2:53">
      <c r="B96" s="395"/>
      <c r="C96" s="182">
        <v>10</v>
      </c>
      <c r="D96" s="203"/>
      <c r="E96" s="166"/>
      <c r="F96" s="166"/>
      <c r="G96" s="166"/>
      <c r="H96" s="402"/>
      <c r="I96" s="166" t="str">
        <f t="shared" si="77"/>
        <v>-</v>
      </c>
      <c r="J96" s="166" t="str">
        <f t="shared" si="78"/>
        <v>-</v>
      </c>
      <c r="K96" s="180" t="str">
        <f t="shared" si="79"/>
        <v>-</v>
      </c>
      <c r="L96" s="402"/>
      <c r="M96" s="166" t="e">
        <f>RANK(K96, K$87:$K$101)</f>
        <v>#VALUE!</v>
      </c>
      <c r="N96" s="389"/>
      <c r="O96" s="389"/>
      <c r="P96" s="182"/>
      <c r="Q96" s="166"/>
      <c r="R96" s="166"/>
      <c r="S96" s="182" t="e">
        <f t="shared" si="80"/>
        <v>#N/A</v>
      </c>
      <c r="T96" s="390"/>
      <c r="U96" s="182"/>
      <c r="V96" s="166"/>
      <c r="W96" s="166"/>
      <c r="X96" s="182" t="e">
        <f t="shared" si="82"/>
        <v>#N/A</v>
      </c>
      <c r="Y96" s="390"/>
      <c r="Z96" s="182"/>
      <c r="AA96" s="166"/>
      <c r="AB96" s="166"/>
      <c r="AC96" s="182" t="e">
        <f t="shared" si="84"/>
        <v>#N/A</v>
      </c>
      <c r="AD96" s="390"/>
      <c r="AE96" s="182"/>
      <c r="AF96" s="166"/>
      <c r="AG96" s="166"/>
      <c r="AH96" s="182" t="e">
        <f t="shared" si="86"/>
        <v>#N/A</v>
      </c>
      <c r="AI96" s="390"/>
      <c r="AJ96" s="182"/>
      <c r="AK96" s="166"/>
      <c r="AL96" s="166"/>
      <c r="AM96" s="182" t="e">
        <f t="shared" si="88"/>
        <v>#N/A</v>
      </c>
      <c r="AN96" s="390"/>
      <c r="AO96" s="182"/>
      <c r="AP96" s="166"/>
      <c r="AQ96" s="166"/>
      <c r="AR96" s="182" t="e">
        <f t="shared" si="90"/>
        <v>#N/A</v>
      </c>
      <c r="AS96" s="390"/>
      <c r="AT96" s="182"/>
      <c r="AU96" s="166"/>
      <c r="AV96" s="166"/>
      <c r="AW96" s="182" t="e">
        <f t="shared" si="92"/>
        <v>#N/A</v>
      </c>
      <c r="AX96" s="390"/>
      <c r="AZ96" s="182" t="e">
        <f t="shared" si="94"/>
        <v>#N/A</v>
      </c>
      <c r="BA96" s="390"/>
    </row>
    <row r="97" spans="2:53">
      <c r="B97" s="395"/>
      <c r="C97" s="182">
        <v>11</v>
      </c>
      <c r="D97" s="203"/>
      <c r="E97" s="166"/>
      <c r="F97" s="166"/>
      <c r="G97" s="166"/>
      <c r="H97" s="402"/>
      <c r="I97" s="166" t="str">
        <f t="shared" si="77"/>
        <v>-</v>
      </c>
      <c r="J97" s="166" t="str">
        <f t="shared" si="78"/>
        <v>-</v>
      </c>
      <c r="K97" s="180" t="str">
        <f t="shared" si="79"/>
        <v>-</v>
      </c>
      <c r="L97" s="402"/>
      <c r="M97" s="166" t="e">
        <f>RANK(K97, K$87:$K$101)</f>
        <v>#VALUE!</v>
      </c>
      <c r="N97" s="389"/>
      <c r="O97" s="389"/>
      <c r="P97" s="182"/>
      <c r="Q97" s="166"/>
      <c r="R97" s="166"/>
      <c r="S97" s="182" t="e">
        <f t="shared" si="80"/>
        <v>#N/A</v>
      </c>
      <c r="T97" s="390"/>
      <c r="U97" s="182"/>
      <c r="V97" s="166"/>
      <c r="W97" s="166"/>
      <c r="X97" s="182" t="e">
        <f t="shared" si="82"/>
        <v>#N/A</v>
      </c>
      <c r="Y97" s="390"/>
      <c r="Z97" s="182"/>
      <c r="AA97" s="166"/>
      <c r="AB97" s="166"/>
      <c r="AC97" s="182" t="e">
        <f t="shared" si="84"/>
        <v>#N/A</v>
      </c>
      <c r="AD97" s="390"/>
      <c r="AE97" s="182"/>
      <c r="AF97" s="166"/>
      <c r="AG97" s="166"/>
      <c r="AH97" s="182" t="e">
        <f t="shared" si="86"/>
        <v>#N/A</v>
      </c>
      <c r="AI97" s="390"/>
      <c r="AJ97" s="182"/>
      <c r="AK97" s="166"/>
      <c r="AL97" s="166"/>
      <c r="AM97" s="182" t="e">
        <f t="shared" si="88"/>
        <v>#N/A</v>
      </c>
      <c r="AN97" s="390"/>
      <c r="AO97" s="182"/>
      <c r="AP97" s="166"/>
      <c r="AQ97" s="166"/>
      <c r="AR97" s="182" t="e">
        <f t="shared" si="90"/>
        <v>#N/A</v>
      </c>
      <c r="AS97" s="390"/>
      <c r="AT97" s="182"/>
      <c r="AU97" s="166"/>
      <c r="AV97" s="166"/>
      <c r="AW97" s="182" t="e">
        <f t="shared" si="92"/>
        <v>#N/A</v>
      </c>
      <c r="AX97" s="390"/>
      <c r="AZ97" s="182" t="e">
        <f t="shared" si="94"/>
        <v>#N/A</v>
      </c>
      <c r="BA97" s="390"/>
    </row>
    <row r="98" spans="2:53">
      <c r="B98" s="395"/>
      <c r="C98" s="182">
        <v>12</v>
      </c>
      <c r="D98" s="203"/>
      <c r="E98" s="166"/>
      <c r="F98" s="166"/>
      <c r="G98" s="166"/>
      <c r="H98" s="402"/>
      <c r="I98" s="166" t="str">
        <f t="shared" si="77"/>
        <v>-</v>
      </c>
      <c r="J98" s="166" t="str">
        <f t="shared" si="78"/>
        <v>-</v>
      </c>
      <c r="K98" s="180" t="str">
        <f t="shared" si="79"/>
        <v>-</v>
      </c>
      <c r="L98" s="402"/>
      <c r="M98" s="166" t="e">
        <f>RANK(K98, K$87:$K$101)</f>
        <v>#VALUE!</v>
      </c>
      <c r="N98" s="389"/>
      <c r="O98" s="389"/>
      <c r="P98" s="182"/>
      <c r="Q98" s="166"/>
      <c r="R98" s="166"/>
      <c r="S98" s="182" t="e">
        <f t="shared" si="80"/>
        <v>#N/A</v>
      </c>
      <c r="T98" s="390"/>
      <c r="U98" s="182"/>
      <c r="V98" s="166"/>
      <c r="W98" s="166"/>
      <c r="X98" s="182" t="e">
        <f t="shared" si="82"/>
        <v>#N/A</v>
      </c>
      <c r="Y98" s="390"/>
      <c r="Z98" s="182"/>
      <c r="AA98" s="166"/>
      <c r="AB98" s="166"/>
      <c r="AC98" s="182" t="e">
        <f t="shared" si="84"/>
        <v>#N/A</v>
      </c>
      <c r="AD98" s="390"/>
      <c r="AE98" s="182"/>
      <c r="AF98" s="166"/>
      <c r="AG98" s="166"/>
      <c r="AH98" s="182" t="e">
        <f t="shared" si="86"/>
        <v>#N/A</v>
      </c>
      <c r="AI98" s="390"/>
      <c r="AJ98" s="182"/>
      <c r="AK98" s="166"/>
      <c r="AL98" s="166"/>
      <c r="AM98" s="182" t="e">
        <f t="shared" si="88"/>
        <v>#N/A</v>
      </c>
      <c r="AN98" s="390"/>
      <c r="AO98" s="182"/>
      <c r="AP98" s="166"/>
      <c r="AQ98" s="166"/>
      <c r="AR98" s="182" t="e">
        <f t="shared" si="90"/>
        <v>#N/A</v>
      </c>
      <c r="AS98" s="390"/>
      <c r="AT98" s="182"/>
      <c r="AU98" s="166"/>
      <c r="AV98" s="166"/>
      <c r="AW98" s="182" t="e">
        <f t="shared" si="92"/>
        <v>#N/A</v>
      </c>
      <c r="AX98" s="390"/>
      <c r="AZ98" s="182" t="e">
        <f t="shared" si="94"/>
        <v>#N/A</v>
      </c>
      <c r="BA98" s="390"/>
    </row>
    <row r="99" spans="2:53">
      <c r="B99" s="395"/>
      <c r="C99" s="182">
        <v>13</v>
      </c>
      <c r="D99" s="203"/>
      <c r="E99" s="166"/>
      <c r="F99" s="166"/>
      <c r="G99" s="166"/>
      <c r="H99" s="402"/>
      <c r="I99" s="166" t="str">
        <f t="shared" si="77"/>
        <v>-</v>
      </c>
      <c r="J99" s="166" t="str">
        <f t="shared" si="78"/>
        <v>-</v>
      </c>
      <c r="K99" s="180" t="str">
        <f t="shared" si="79"/>
        <v>-</v>
      </c>
      <c r="L99" s="402"/>
      <c r="M99" s="166" t="e">
        <f>RANK(K99, K$87:$K$101)</f>
        <v>#VALUE!</v>
      </c>
      <c r="N99" s="389"/>
      <c r="O99" s="389"/>
      <c r="P99" s="182"/>
      <c r="Q99" s="166"/>
      <c r="R99" s="166"/>
      <c r="S99" s="182" t="e">
        <f t="shared" si="80"/>
        <v>#N/A</v>
      </c>
      <c r="T99" s="390"/>
      <c r="U99" s="182"/>
      <c r="V99" s="166"/>
      <c r="W99" s="166"/>
      <c r="X99" s="182" t="e">
        <f t="shared" si="82"/>
        <v>#N/A</v>
      </c>
      <c r="Y99" s="390"/>
      <c r="Z99" s="182"/>
      <c r="AA99" s="166"/>
      <c r="AB99" s="166"/>
      <c r="AC99" s="182" t="e">
        <f t="shared" si="84"/>
        <v>#N/A</v>
      </c>
      <c r="AD99" s="390"/>
      <c r="AE99" s="182"/>
      <c r="AF99" s="166"/>
      <c r="AG99" s="166"/>
      <c r="AH99" s="182" t="e">
        <f t="shared" si="86"/>
        <v>#N/A</v>
      </c>
      <c r="AI99" s="390"/>
      <c r="AJ99" s="182"/>
      <c r="AK99" s="166"/>
      <c r="AL99" s="166"/>
      <c r="AM99" s="182" t="e">
        <f t="shared" si="88"/>
        <v>#N/A</v>
      </c>
      <c r="AN99" s="390"/>
      <c r="AO99" s="182"/>
      <c r="AP99" s="166"/>
      <c r="AQ99" s="166"/>
      <c r="AR99" s="182" t="e">
        <f t="shared" si="90"/>
        <v>#N/A</v>
      </c>
      <c r="AS99" s="390"/>
      <c r="AT99" s="182"/>
      <c r="AU99" s="166"/>
      <c r="AV99" s="166"/>
      <c r="AW99" s="182" t="e">
        <f t="shared" si="92"/>
        <v>#N/A</v>
      </c>
      <c r="AX99" s="390"/>
      <c r="AZ99" s="182" t="e">
        <f t="shared" si="94"/>
        <v>#N/A</v>
      </c>
      <c r="BA99" s="390"/>
    </row>
    <row r="100" spans="2:53">
      <c r="B100" s="395"/>
      <c r="C100" s="182">
        <v>14</v>
      </c>
      <c r="D100" s="203"/>
      <c r="E100" s="166"/>
      <c r="F100" s="166"/>
      <c r="G100" s="166"/>
      <c r="H100" s="402"/>
      <c r="I100" s="166" t="str">
        <f t="shared" si="77"/>
        <v>-</v>
      </c>
      <c r="J100" s="166" t="str">
        <f t="shared" si="78"/>
        <v>-</v>
      </c>
      <c r="K100" s="180" t="str">
        <f t="shared" si="79"/>
        <v>-</v>
      </c>
      <c r="L100" s="402"/>
      <c r="M100" s="166" t="e">
        <f>RANK(K100, K$87:$K$101)</f>
        <v>#VALUE!</v>
      </c>
      <c r="N100" s="389"/>
      <c r="O100" s="389"/>
      <c r="P100" s="182"/>
      <c r="Q100" s="166"/>
      <c r="R100" s="166"/>
      <c r="S100" s="182" t="e">
        <f t="shared" si="80"/>
        <v>#N/A</v>
      </c>
      <c r="T100" s="390"/>
      <c r="U100" s="182"/>
      <c r="V100" s="166"/>
      <c r="W100" s="166"/>
      <c r="X100" s="182" t="e">
        <f t="shared" si="82"/>
        <v>#N/A</v>
      </c>
      <c r="Y100" s="390"/>
      <c r="Z100" s="182"/>
      <c r="AA100" s="166"/>
      <c r="AB100" s="166"/>
      <c r="AC100" s="182" t="e">
        <f t="shared" si="84"/>
        <v>#N/A</v>
      </c>
      <c r="AD100" s="390"/>
      <c r="AE100" s="182"/>
      <c r="AF100" s="166"/>
      <c r="AG100" s="166"/>
      <c r="AH100" s="182" t="e">
        <f t="shared" si="86"/>
        <v>#N/A</v>
      </c>
      <c r="AI100" s="390"/>
      <c r="AJ100" s="182"/>
      <c r="AK100" s="166"/>
      <c r="AL100" s="166"/>
      <c r="AM100" s="182" t="e">
        <f t="shared" si="88"/>
        <v>#N/A</v>
      </c>
      <c r="AN100" s="390"/>
      <c r="AO100" s="182"/>
      <c r="AP100" s="166"/>
      <c r="AQ100" s="166"/>
      <c r="AR100" s="182" t="e">
        <f t="shared" si="90"/>
        <v>#N/A</v>
      </c>
      <c r="AS100" s="390"/>
      <c r="AT100" s="182"/>
      <c r="AU100" s="166"/>
      <c r="AV100" s="166"/>
      <c r="AW100" s="182" t="e">
        <f t="shared" si="92"/>
        <v>#N/A</v>
      </c>
      <c r="AX100" s="390"/>
      <c r="AZ100" s="182" t="e">
        <f t="shared" si="94"/>
        <v>#N/A</v>
      </c>
      <c r="BA100" s="390"/>
    </row>
    <row r="101" spans="2:53">
      <c r="B101" s="395"/>
      <c r="C101" s="182">
        <v>15</v>
      </c>
      <c r="D101" s="203"/>
      <c r="E101" s="166"/>
      <c r="F101" s="166"/>
      <c r="G101" s="166"/>
      <c r="H101" s="403"/>
      <c r="I101" s="166"/>
      <c r="J101" s="166"/>
      <c r="K101" s="180"/>
      <c r="L101" s="403"/>
      <c r="M101" s="166" t="e">
        <f>RANK(K101, K$87:$K$101)</f>
        <v>#N/A</v>
      </c>
      <c r="N101" s="389"/>
      <c r="O101" s="389"/>
      <c r="P101" s="182"/>
      <c r="Q101" s="166"/>
      <c r="R101" s="166"/>
      <c r="S101" s="182" t="e">
        <f t="shared" si="80"/>
        <v>#N/A</v>
      </c>
      <c r="T101" s="390"/>
      <c r="U101" s="182"/>
      <c r="V101" s="166"/>
      <c r="W101" s="166"/>
      <c r="X101" s="182" t="e">
        <f t="shared" si="82"/>
        <v>#N/A</v>
      </c>
      <c r="Y101" s="390"/>
      <c r="Z101" s="182"/>
      <c r="AA101" s="166"/>
      <c r="AB101" s="166"/>
      <c r="AC101" s="182" t="e">
        <f t="shared" si="84"/>
        <v>#N/A</v>
      </c>
      <c r="AD101" s="390"/>
      <c r="AE101" s="182"/>
      <c r="AF101" s="166"/>
      <c r="AG101" s="166"/>
      <c r="AH101" s="182" t="e">
        <f t="shared" si="86"/>
        <v>#N/A</v>
      </c>
      <c r="AI101" s="390"/>
      <c r="AJ101" s="182"/>
      <c r="AK101" s="166"/>
      <c r="AL101" s="166"/>
      <c r="AM101" s="182" t="e">
        <f t="shared" si="88"/>
        <v>#N/A</v>
      </c>
      <c r="AN101" s="390"/>
      <c r="AO101" s="182"/>
      <c r="AP101" s="166"/>
      <c r="AQ101" s="166"/>
      <c r="AR101" s="182" t="e">
        <f t="shared" si="90"/>
        <v>#N/A</v>
      </c>
      <c r="AS101" s="390"/>
      <c r="AT101" s="182"/>
      <c r="AU101" s="166"/>
      <c r="AV101" s="166"/>
      <c r="AW101" s="182" t="e">
        <f t="shared" si="92"/>
        <v>#N/A</v>
      </c>
      <c r="AX101" s="390"/>
      <c r="AZ101" s="182" t="e">
        <f t="shared" si="94"/>
        <v>#N/A</v>
      </c>
      <c r="BA101" s="390"/>
    </row>
    <row r="102" spans="2:53" ht="15.75">
      <c r="B102" s="414" t="s">
        <v>163</v>
      </c>
      <c r="C102" s="415"/>
      <c r="D102" s="415"/>
      <c r="E102" s="415"/>
      <c r="F102" s="415"/>
      <c r="G102" s="415"/>
      <c r="H102" s="415"/>
      <c r="I102" s="186"/>
      <c r="J102" s="186"/>
      <c r="K102" s="186"/>
      <c r="L102" s="186"/>
      <c r="M102" s="185"/>
      <c r="N102" s="391" t="s">
        <v>156</v>
      </c>
      <c r="O102" s="391" t="s">
        <v>105</v>
      </c>
      <c r="P102" s="413">
        <f>P82+7</f>
        <v>46175</v>
      </c>
      <c r="Q102" s="395"/>
      <c r="R102" s="395"/>
      <c r="S102" s="395"/>
      <c r="T102" s="395"/>
      <c r="U102" s="410">
        <f>P102+1</f>
        <v>46176</v>
      </c>
      <c r="V102" s="411"/>
      <c r="W102" s="411"/>
      <c r="X102" s="411"/>
      <c r="Y102" s="412"/>
      <c r="Z102" s="410">
        <f>U102+1</f>
        <v>46177</v>
      </c>
      <c r="AA102" s="411"/>
      <c r="AB102" s="411"/>
      <c r="AC102" s="411"/>
      <c r="AD102" s="412"/>
      <c r="AE102" s="410">
        <f>Z102+1</f>
        <v>46178</v>
      </c>
      <c r="AF102" s="411"/>
      <c r="AG102" s="411"/>
      <c r="AH102" s="411"/>
      <c r="AI102" s="412"/>
      <c r="AJ102" s="410">
        <f>AE102+1</f>
        <v>46179</v>
      </c>
      <c r="AK102" s="411"/>
      <c r="AL102" s="411"/>
      <c r="AM102" s="411"/>
      <c r="AN102" s="412"/>
      <c r="AO102" s="410">
        <f>AJ102+1</f>
        <v>46180</v>
      </c>
      <c r="AP102" s="411"/>
      <c r="AQ102" s="411"/>
      <c r="AR102" s="411"/>
      <c r="AS102" s="412"/>
      <c r="AT102" s="410">
        <f>AO102+1</f>
        <v>46181</v>
      </c>
      <c r="AU102" s="411"/>
      <c r="AV102" s="411"/>
      <c r="AW102" s="411"/>
      <c r="AX102" s="412"/>
    </row>
    <row r="103" spans="2:53" ht="15.75">
      <c r="B103" s="416"/>
      <c r="C103" s="416"/>
      <c r="D103" s="416"/>
      <c r="E103" s="416"/>
      <c r="F103" s="416"/>
      <c r="G103" s="416"/>
      <c r="H103" s="416"/>
      <c r="I103" s="184"/>
      <c r="J103" s="184"/>
      <c r="K103" s="184"/>
      <c r="L103" s="184"/>
      <c r="M103" s="179"/>
      <c r="N103" s="393"/>
      <c r="O103" s="393"/>
      <c r="P103" s="413" t="s">
        <v>158</v>
      </c>
      <c r="Q103" s="395"/>
      <c r="R103" s="395"/>
      <c r="S103" s="395"/>
      <c r="T103" s="395"/>
      <c r="U103" s="413" t="s">
        <v>114</v>
      </c>
      <c r="V103" s="395"/>
      <c r="W103" s="395"/>
      <c r="X103" s="395"/>
      <c r="Y103" s="395"/>
      <c r="Z103" s="413" t="s">
        <v>159</v>
      </c>
      <c r="AA103" s="395"/>
      <c r="AB103" s="395"/>
      <c r="AC103" s="395"/>
      <c r="AD103" s="395"/>
      <c r="AE103" s="413" t="s">
        <v>157</v>
      </c>
      <c r="AF103" s="395"/>
      <c r="AG103" s="395"/>
      <c r="AH103" s="395"/>
      <c r="AI103" s="395"/>
      <c r="AJ103" s="413" t="s">
        <v>160</v>
      </c>
      <c r="AK103" s="395"/>
      <c r="AL103" s="395"/>
      <c r="AM103" s="395"/>
      <c r="AN103" s="395"/>
      <c r="AO103" s="413" t="s">
        <v>115</v>
      </c>
      <c r="AP103" s="395"/>
      <c r="AQ103" s="395"/>
      <c r="AR103" s="395"/>
      <c r="AS103" s="395"/>
      <c r="AT103" s="413" t="s">
        <v>162</v>
      </c>
      <c r="AU103" s="395"/>
      <c r="AV103" s="395"/>
      <c r="AW103" s="395"/>
      <c r="AX103" s="395"/>
    </row>
    <row r="104" spans="2:53">
      <c r="B104" s="389" t="s">
        <v>540</v>
      </c>
      <c r="C104" s="389" t="s">
        <v>541</v>
      </c>
      <c r="D104" s="389"/>
      <c r="E104" s="389" t="s">
        <v>542</v>
      </c>
      <c r="F104" s="389"/>
      <c r="G104" s="389"/>
      <c r="H104" s="417" t="s">
        <v>543</v>
      </c>
      <c r="I104" s="389" t="s">
        <v>544</v>
      </c>
      <c r="J104" s="389"/>
      <c r="K104" s="389"/>
      <c r="L104" s="417" t="s">
        <v>373</v>
      </c>
      <c r="M104" s="391" t="s">
        <v>545</v>
      </c>
      <c r="N104" s="389"/>
      <c r="O104" s="389" t="s">
        <v>546</v>
      </c>
      <c r="P104" s="404" t="s">
        <v>547</v>
      </c>
      <c r="Q104" s="405"/>
      <c r="R104" s="405"/>
      <c r="S104" s="406"/>
      <c r="T104" s="389" t="s">
        <v>543</v>
      </c>
      <c r="U104" s="404" t="s">
        <v>547</v>
      </c>
      <c r="V104" s="405"/>
      <c r="W104" s="405"/>
      <c r="X104" s="406"/>
      <c r="Y104" s="389" t="s">
        <v>543</v>
      </c>
      <c r="Z104" s="404" t="s">
        <v>547</v>
      </c>
      <c r="AA104" s="405"/>
      <c r="AB104" s="405"/>
      <c r="AC104" s="406"/>
      <c r="AD104" s="389" t="s">
        <v>543</v>
      </c>
      <c r="AE104" s="404" t="s">
        <v>547</v>
      </c>
      <c r="AF104" s="405"/>
      <c r="AG104" s="405"/>
      <c r="AH104" s="406"/>
      <c r="AI104" s="389" t="s">
        <v>543</v>
      </c>
      <c r="AJ104" s="404" t="s">
        <v>547</v>
      </c>
      <c r="AK104" s="405"/>
      <c r="AL104" s="405"/>
      <c r="AM104" s="406"/>
      <c r="AN104" s="389" t="s">
        <v>543</v>
      </c>
      <c r="AO104" s="404" t="s">
        <v>547</v>
      </c>
      <c r="AP104" s="405"/>
      <c r="AQ104" s="405"/>
      <c r="AR104" s="406"/>
      <c r="AS104" s="389" t="s">
        <v>543</v>
      </c>
      <c r="AT104" s="404" t="s">
        <v>547</v>
      </c>
      <c r="AU104" s="405"/>
      <c r="AV104" s="405"/>
      <c r="AW104" s="406"/>
      <c r="AX104" s="389" t="s">
        <v>543</v>
      </c>
      <c r="BA104" s="389" t="s">
        <v>373</v>
      </c>
    </row>
    <row r="105" spans="2:53">
      <c r="B105" s="389"/>
      <c r="C105" s="389"/>
      <c r="D105" s="389"/>
      <c r="E105" s="389" t="s">
        <v>548</v>
      </c>
      <c r="F105" s="389"/>
      <c r="G105" s="389"/>
      <c r="H105" s="418"/>
      <c r="I105" s="389" t="s">
        <v>548</v>
      </c>
      <c r="J105" s="389"/>
      <c r="K105" s="389"/>
      <c r="L105" s="418"/>
      <c r="M105" s="392"/>
      <c r="N105" s="389"/>
      <c r="O105" s="389"/>
      <c r="P105" s="404" t="s">
        <v>549</v>
      </c>
      <c r="Q105" s="405"/>
      <c r="R105" s="405"/>
      <c r="S105" s="406"/>
      <c r="T105" s="389"/>
      <c r="U105" s="404" t="s">
        <v>549</v>
      </c>
      <c r="V105" s="405"/>
      <c r="W105" s="405"/>
      <c r="X105" s="406"/>
      <c r="Y105" s="389"/>
      <c r="Z105" s="404" t="s">
        <v>549</v>
      </c>
      <c r="AA105" s="405"/>
      <c r="AB105" s="405"/>
      <c r="AC105" s="406"/>
      <c r="AD105" s="389"/>
      <c r="AE105" s="404" t="s">
        <v>549</v>
      </c>
      <c r="AF105" s="405"/>
      <c r="AG105" s="405"/>
      <c r="AH105" s="406"/>
      <c r="AI105" s="389"/>
      <c r="AJ105" s="404" t="s">
        <v>549</v>
      </c>
      <c r="AK105" s="405"/>
      <c r="AL105" s="405"/>
      <c r="AM105" s="406"/>
      <c r="AN105" s="389"/>
      <c r="AO105" s="404" t="s">
        <v>549</v>
      </c>
      <c r="AP105" s="405"/>
      <c r="AQ105" s="405"/>
      <c r="AR105" s="406"/>
      <c r="AS105" s="389"/>
      <c r="AT105" s="404" t="s">
        <v>549</v>
      </c>
      <c r="AU105" s="405"/>
      <c r="AV105" s="405"/>
      <c r="AW105" s="406"/>
      <c r="AX105" s="389"/>
      <c r="BA105" s="389"/>
    </row>
    <row r="106" spans="2:53">
      <c r="B106" s="389"/>
      <c r="C106" s="389"/>
      <c r="D106" s="389"/>
      <c r="E106" s="258" t="s">
        <v>550</v>
      </c>
      <c r="F106" s="258" t="s">
        <v>551</v>
      </c>
      <c r="G106" s="258" t="s">
        <v>552</v>
      </c>
      <c r="H106" s="419"/>
      <c r="I106" s="258" t="s">
        <v>550</v>
      </c>
      <c r="J106" s="258" t="s">
        <v>551</v>
      </c>
      <c r="K106" s="258" t="s">
        <v>552</v>
      </c>
      <c r="L106" s="419"/>
      <c r="M106" s="393"/>
      <c r="N106" s="389"/>
      <c r="O106" s="389"/>
      <c r="P106" s="258" t="s">
        <v>550</v>
      </c>
      <c r="Q106" s="258" t="s">
        <v>551</v>
      </c>
      <c r="R106" s="258" t="s">
        <v>552</v>
      </c>
      <c r="S106" s="258" t="s">
        <v>545</v>
      </c>
      <c r="T106" s="389"/>
      <c r="U106" s="258" t="s">
        <v>550</v>
      </c>
      <c r="V106" s="258" t="s">
        <v>551</v>
      </c>
      <c r="W106" s="258" t="s">
        <v>552</v>
      </c>
      <c r="X106" s="258" t="s">
        <v>545</v>
      </c>
      <c r="Y106" s="389"/>
      <c r="Z106" s="258" t="s">
        <v>550</v>
      </c>
      <c r="AA106" s="258" t="s">
        <v>551</v>
      </c>
      <c r="AB106" s="258" t="s">
        <v>552</v>
      </c>
      <c r="AC106" s="258" t="s">
        <v>545</v>
      </c>
      <c r="AD106" s="389"/>
      <c r="AE106" s="258" t="s">
        <v>550</v>
      </c>
      <c r="AF106" s="258" t="s">
        <v>551</v>
      </c>
      <c r="AG106" s="258" t="s">
        <v>552</v>
      </c>
      <c r="AH106" s="258" t="s">
        <v>545</v>
      </c>
      <c r="AI106" s="389"/>
      <c r="AJ106" s="258" t="s">
        <v>550</v>
      </c>
      <c r="AK106" s="258" t="s">
        <v>551</v>
      </c>
      <c r="AL106" s="258" t="s">
        <v>552</v>
      </c>
      <c r="AM106" s="258" t="s">
        <v>545</v>
      </c>
      <c r="AN106" s="389"/>
      <c r="AO106" s="258" t="s">
        <v>550</v>
      </c>
      <c r="AP106" s="258" t="s">
        <v>551</v>
      </c>
      <c r="AQ106" s="258" t="s">
        <v>552</v>
      </c>
      <c r="AR106" s="258" t="s">
        <v>545</v>
      </c>
      <c r="AS106" s="389"/>
      <c r="AT106" s="258" t="s">
        <v>550</v>
      </c>
      <c r="AU106" s="258" t="s">
        <v>551</v>
      </c>
      <c r="AV106" s="258" t="s">
        <v>552</v>
      </c>
      <c r="AW106" s="258" t="s">
        <v>545</v>
      </c>
      <c r="AX106" s="389"/>
      <c r="AZ106" s="258" t="s">
        <v>545</v>
      </c>
      <c r="BA106" s="389"/>
    </row>
    <row r="107" spans="2:53">
      <c r="B107" s="486" t="s">
        <v>554</v>
      </c>
      <c r="C107" s="182">
        <v>1</v>
      </c>
      <c r="D107" s="203"/>
      <c r="E107" s="166"/>
      <c r="F107" s="166"/>
      <c r="G107" s="166"/>
      <c r="H107" s="401" t="e">
        <f>AVERAGE(G107:G121)</f>
        <v>#DIV/0!</v>
      </c>
      <c r="I107" s="166" t="str">
        <f t="shared" ref="I107:I120" si="96">IFERROR(AVERAGE(P107,U107,Z107,AE107,AJ107,AO107,AT107),"-")</f>
        <v>-</v>
      </c>
      <c r="J107" s="166" t="str">
        <f t="shared" ref="J107:J120" si="97">IFERROR(AVERAGE(Q107,V107,AA107,AF107,AK107,AP107,AU107),"-")</f>
        <v>-</v>
      </c>
      <c r="K107" s="180" t="str">
        <f t="shared" ref="K107:K120" si="98">IFERROR(AVERAGE(R107,W107,AB107,AG107,AL107,AQ107,AV107),"-")</f>
        <v>-</v>
      </c>
      <c r="L107" s="401" t="str">
        <f>IFERROR(AVERAGE(K107:K121),"-")</f>
        <v>-</v>
      </c>
      <c r="M107" s="166" t="e">
        <f>RANK(K107, K$67:$K$81)</f>
        <v>#VALUE!</v>
      </c>
      <c r="N107" s="389"/>
      <c r="O107" s="389"/>
      <c r="P107" s="166"/>
      <c r="Q107" s="166"/>
      <c r="R107" s="166"/>
      <c r="S107" s="182" t="e">
        <f>RANK(R107, R$67:R$81)</f>
        <v>#N/A</v>
      </c>
      <c r="T107" s="390" t="e">
        <f>AVERAGE(R107:R121)</f>
        <v>#DIV/0!</v>
      </c>
      <c r="U107" s="166"/>
      <c r="V107" s="166"/>
      <c r="W107" s="166"/>
      <c r="X107" s="182" t="e">
        <f t="shared" ref="X107:AM121" si="99">RANK(W107, W$67:W$81)</f>
        <v>#N/A</v>
      </c>
      <c r="Y107" s="390" t="e">
        <f t="shared" ref="Y107" si="100">AVERAGE(W107:W121)</f>
        <v>#DIV/0!</v>
      </c>
      <c r="Z107" s="166"/>
      <c r="AA107" s="166"/>
      <c r="AB107" s="166"/>
      <c r="AC107" s="182" t="e">
        <f t="shared" ref="AC107" si="101">RANK(AB107, AB$67:AB$81)</f>
        <v>#N/A</v>
      </c>
      <c r="AD107" s="390" t="e">
        <f t="shared" ref="AD107" si="102">AVERAGE(AB107:AB121)</f>
        <v>#DIV/0!</v>
      </c>
      <c r="AE107" s="166"/>
      <c r="AF107" s="166"/>
      <c r="AG107" s="166"/>
      <c r="AH107" s="182" t="e">
        <f t="shared" ref="AH107" si="103">RANK(AG107, AG$67:AG$81)</f>
        <v>#N/A</v>
      </c>
      <c r="AI107" s="390" t="e">
        <f t="shared" ref="AI107" si="104">AVERAGE(AG107:AG121)</f>
        <v>#DIV/0!</v>
      </c>
      <c r="AJ107" s="166"/>
      <c r="AK107" s="166"/>
      <c r="AL107" s="166"/>
      <c r="AM107" s="182" t="e">
        <f t="shared" ref="AM107" si="105">RANK(AL107, AL$67:AL$81)</f>
        <v>#N/A</v>
      </c>
      <c r="AN107" s="390" t="e">
        <f t="shared" ref="AN107" si="106">AVERAGE(AL107:AL121)</f>
        <v>#DIV/0!</v>
      </c>
      <c r="AO107" s="166"/>
      <c r="AP107" s="166"/>
      <c r="AQ107" s="166"/>
      <c r="AR107" s="182" t="e">
        <f t="shared" ref="AR107:AW121" si="107">RANK(AQ107, AQ$67:AQ$81)</f>
        <v>#N/A</v>
      </c>
      <c r="AS107" s="390" t="e">
        <f t="shared" ref="AS107" si="108">AVERAGE(AQ107:AQ121)</f>
        <v>#DIV/0!</v>
      </c>
      <c r="AT107" s="166"/>
      <c r="AU107" s="166"/>
      <c r="AV107" s="166"/>
      <c r="AW107" s="182" t="e">
        <f t="shared" ref="AW107" si="109">RANK(AV107, AV$67:AV$81)</f>
        <v>#N/A</v>
      </c>
      <c r="AX107" s="390" t="e">
        <f t="shared" ref="AX107" si="110">AVERAGE(AV107:AV121)</f>
        <v>#DIV/0!</v>
      </c>
      <c r="AZ107" s="182" t="e">
        <f t="shared" ref="AZ107:AZ121" si="111">RANK(AY107, AY$67:AY$81)</f>
        <v>#N/A</v>
      </c>
      <c r="BA107" s="390" t="e">
        <f t="shared" ref="BA107" si="112">AVERAGE(AY107:AY121)</f>
        <v>#DIV/0!</v>
      </c>
    </row>
    <row r="108" spans="2:53">
      <c r="B108" s="395"/>
      <c r="C108" s="182">
        <v>2</v>
      </c>
      <c r="D108" s="203"/>
      <c r="E108" s="166"/>
      <c r="F108" s="166"/>
      <c r="G108" s="166"/>
      <c r="H108" s="402"/>
      <c r="I108" s="166" t="str">
        <f t="shared" si="96"/>
        <v>-</v>
      </c>
      <c r="J108" s="166" t="str">
        <f t="shared" si="97"/>
        <v>-</v>
      </c>
      <c r="K108" s="180" t="str">
        <f t="shared" si="98"/>
        <v>-</v>
      </c>
      <c r="L108" s="402"/>
      <c r="M108" s="166" t="e">
        <f>RANK(K108, K$67:$K$81)</f>
        <v>#VALUE!</v>
      </c>
      <c r="N108" s="389"/>
      <c r="O108" s="389"/>
      <c r="P108" s="166"/>
      <c r="Q108" s="166"/>
      <c r="R108" s="166"/>
      <c r="S108" s="182" t="e">
        <f t="shared" ref="S108:S121" si="113">RANK(R108, R$67:R$81)</f>
        <v>#N/A</v>
      </c>
      <c r="T108" s="390"/>
      <c r="U108" s="166"/>
      <c r="V108" s="166"/>
      <c r="W108" s="166"/>
      <c r="X108" s="182" t="e">
        <f t="shared" si="99"/>
        <v>#N/A</v>
      </c>
      <c r="Y108" s="390"/>
      <c r="Z108" s="166"/>
      <c r="AA108" s="166"/>
      <c r="AB108" s="166"/>
      <c r="AC108" s="182" t="e">
        <f t="shared" si="99"/>
        <v>#N/A</v>
      </c>
      <c r="AD108" s="390"/>
      <c r="AE108" s="166"/>
      <c r="AF108" s="166"/>
      <c r="AG108" s="166"/>
      <c r="AH108" s="182" t="e">
        <f t="shared" si="99"/>
        <v>#N/A</v>
      </c>
      <c r="AI108" s="390"/>
      <c r="AJ108" s="166"/>
      <c r="AK108" s="166"/>
      <c r="AL108" s="166"/>
      <c r="AM108" s="182" t="e">
        <f t="shared" si="99"/>
        <v>#N/A</v>
      </c>
      <c r="AN108" s="390"/>
      <c r="AO108" s="166"/>
      <c r="AP108" s="166"/>
      <c r="AQ108" s="166"/>
      <c r="AR108" s="182" t="e">
        <f t="shared" si="107"/>
        <v>#N/A</v>
      </c>
      <c r="AS108" s="390"/>
      <c r="AT108" s="166"/>
      <c r="AU108" s="166"/>
      <c r="AV108" s="166"/>
      <c r="AW108" s="182" t="e">
        <f t="shared" si="107"/>
        <v>#N/A</v>
      </c>
      <c r="AX108" s="390"/>
      <c r="AZ108" s="182" t="e">
        <f t="shared" si="111"/>
        <v>#N/A</v>
      </c>
      <c r="BA108" s="390"/>
    </row>
    <row r="109" spans="2:53">
      <c r="B109" s="395"/>
      <c r="C109" s="182">
        <v>3</v>
      </c>
      <c r="D109" s="203"/>
      <c r="E109" s="166"/>
      <c r="F109" s="166"/>
      <c r="G109" s="166"/>
      <c r="H109" s="402"/>
      <c r="I109" s="166" t="str">
        <f t="shared" si="96"/>
        <v>-</v>
      </c>
      <c r="J109" s="166" t="str">
        <f t="shared" si="97"/>
        <v>-</v>
      </c>
      <c r="K109" s="180" t="str">
        <f t="shared" si="98"/>
        <v>-</v>
      </c>
      <c r="L109" s="402"/>
      <c r="M109" s="166" t="e">
        <f>RANK(K109, K$67:$K$81)</f>
        <v>#VALUE!</v>
      </c>
      <c r="N109" s="389"/>
      <c r="O109" s="389"/>
      <c r="P109" s="166"/>
      <c r="Q109" s="166"/>
      <c r="R109" s="166"/>
      <c r="S109" s="182" t="e">
        <f t="shared" si="113"/>
        <v>#N/A</v>
      </c>
      <c r="T109" s="390"/>
      <c r="U109" s="166"/>
      <c r="V109" s="166"/>
      <c r="W109" s="166"/>
      <c r="X109" s="182" t="e">
        <f t="shared" si="99"/>
        <v>#N/A</v>
      </c>
      <c r="Y109" s="390"/>
      <c r="Z109" s="166"/>
      <c r="AA109" s="166"/>
      <c r="AB109" s="166"/>
      <c r="AC109" s="182" t="e">
        <f t="shared" si="99"/>
        <v>#N/A</v>
      </c>
      <c r="AD109" s="390"/>
      <c r="AE109" s="166"/>
      <c r="AF109" s="166"/>
      <c r="AG109" s="166"/>
      <c r="AH109" s="182" t="e">
        <f t="shared" si="99"/>
        <v>#N/A</v>
      </c>
      <c r="AI109" s="390"/>
      <c r="AJ109" s="166"/>
      <c r="AK109" s="166"/>
      <c r="AL109" s="166"/>
      <c r="AM109" s="182" t="e">
        <f t="shared" si="99"/>
        <v>#N/A</v>
      </c>
      <c r="AN109" s="390"/>
      <c r="AO109" s="166"/>
      <c r="AP109" s="166"/>
      <c r="AQ109" s="166"/>
      <c r="AR109" s="182" t="e">
        <f t="shared" si="107"/>
        <v>#N/A</v>
      </c>
      <c r="AS109" s="390"/>
      <c r="AT109" s="166"/>
      <c r="AU109" s="166"/>
      <c r="AV109" s="166"/>
      <c r="AW109" s="182" t="e">
        <f t="shared" si="107"/>
        <v>#N/A</v>
      </c>
      <c r="AX109" s="390"/>
      <c r="AZ109" s="182" t="e">
        <f t="shared" si="111"/>
        <v>#N/A</v>
      </c>
      <c r="BA109" s="390"/>
    </row>
    <row r="110" spans="2:53">
      <c r="B110" s="395"/>
      <c r="C110" s="182">
        <v>4</v>
      </c>
      <c r="D110" s="203"/>
      <c r="E110" s="166"/>
      <c r="F110" s="166"/>
      <c r="G110" s="166"/>
      <c r="H110" s="402"/>
      <c r="I110" s="166" t="str">
        <f t="shared" si="96"/>
        <v>-</v>
      </c>
      <c r="J110" s="166" t="str">
        <f t="shared" si="97"/>
        <v>-</v>
      </c>
      <c r="K110" s="180" t="str">
        <f t="shared" si="98"/>
        <v>-</v>
      </c>
      <c r="L110" s="402"/>
      <c r="M110" s="166" t="e">
        <f>RANK(K110, K$67:$K$81)</f>
        <v>#VALUE!</v>
      </c>
      <c r="N110" s="389"/>
      <c r="O110" s="389"/>
      <c r="P110" s="166"/>
      <c r="Q110" s="166"/>
      <c r="R110" s="166"/>
      <c r="S110" s="182" t="e">
        <f t="shared" si="113"/>
        <v>#N/A</v>
      </c>
      <c r="T110" s="390"/>
      <c r="U110" s="166"/>
      <c r="V110" s="166"/>
      <c r="W110" s="166"/>
      <c r="X110" s="182" t="e">
        <f t="shared" si="99"/>
        <v>#N/A</v>
      </c>
      <c r="Y110" s="390"/>
      <c r="Z110" s="166"/>
      <c r="AA110" s="166"/>
      <c r="AB110" s="166"/>
      <c r="AC110" s="182" t="e">
        <f t="shared" si="99"/>
        <v>#N/A</v>
      </c>
      <c r="AD110" s="390"/>
      <c r="AE110" s="166"/>
      <c r="AF110" s="166"/>
      <c r="AG110" s="166"/>
      <c r="AH110" s="182" t="e">
        <f t="shared" si="99"/>
        <v>#N/A</v>
      </c>
      <c r="AI110" s="390"/>
      <c r="AJ110" s="166"/>
      <c r="AK110" s="166"/>
      <c r="AL110" s="166"/>
      <c r="AM110" s="182" t="e">
        <f t="shared" si="99"/>
        <v>#N/A</v>
      </c>
      <c r="AN110" s="390"/>
      <c r="AO110" s="166"/>
      <c r="AP110" s="166"/>
      <c r="AQ110" s="166"/>
      <c r="AR110" s="182" t="e">
        <f t="shared" si="107"/>
        <v>#N/A</v>
      </c>
      <c r="AS110" s="390"/>
      <c r="AT110" s="166"/>
      <c r="AU110" s="166"/>
      <c r="AV110" s="166"/>
      <c r="AW110" s="182" t="e">
        <f t="shared" si="107"/>
        <v>#N/A</v>
      </c>
      <c r="AX110" s="390"/>
      <c r="AZ110" s="182" t="e">
        <f t="shared" si="111"/>
        <v>#N/A</v>
      </c>
      <c r="BA110" s="390"/>
    </row>
    <row r="111" spans="2:53">
      <c r="B111" s="395"/>
      <c r="C111" s="182">
        <v>5</v>
      </c>
      <c r="D111" s="203"/>
      <c r="E111" s="166"/>
      <c r="F111" s="166"/>
      <c r="G111" s="166"/>
      <c r="H111" s="402"/>
      <c r="I111" s="166" t="str">
        <f t="shared" si="96"/>
        <v>-</v>
      </c>
      <c r="J111" s="166" t="str">
        <f t="shared" si="97"/>
        <v>-</v>
      </c>
      <c r="K111" s="180" t="str">
        <f t="shared" si="98"/>
        <v>-</v>
      </c>
      <c r="L111" s="402"/>
      <c r="M111" s="166" t="e">
        <f>RANK(K111, K$67:$K$81)</f>
        <v>#VALUE!</v>
      </c>
      <c r="N111" s="389"/>
      <c r="O111" s="389"/>
      <c r="P111" s="166"/>
      <c r="Q111" s="166"/>
      <c r="R111" s="166"/>
      <c r="S111" s="182" t="e">
        <f t="shared" si="113"/>
        <v>#N/A</v>
      </c>
      <c r="T111" s="390"/>
      <c r="U111" s="166"/>
      <c r="V111" s="166"/>
      <c r="W111" s="166"/>
      <c r="X111" s="182" t="e">
        <f t="shared" si="99"/>
        <v>#N/A</v>
      </c>
      <c r="Y111" s="390"/>
      <c r="Z111" s="166"/>
      <c r="AA111" s="166"/>
      <c r="AB111" s="166"/>
      <c r="AC111" s="182" t="e">
        <f t="shared" si="99"/>
        <v>#N/A</v>
      </c>
      <c r="AD111" s="390"/>
      <c r="AE111" s="166"/>
      <c r="AF111" s="166"/>
      <c r="AG111" s="166"/>
      <c r="AH111" s="182" t="e">
        <f t="shared" si="99"/>
        <v>#N/A</v>
      </c>
      <c r="AI111" s="390"/>
      <c r="AJ111" s="166"/>
      <c r="AK111" s="166"/>
      <c r="AL111" s="166"/>
      <c r="AM111" s="182" t="e">
        <f t="shared" si="99"/>
        <v>#N/A</v>
      </c>
      <c r="AN111" s="390"/>
      <c r="AO111" s="166"/>
      <c r="AP111" s="166"/>
      <c r="AQ111" s="166"/>
      <c r="AR111" s="182" t="e">
        <f t="shared" si="107"/>
        <v>#N/A</v>
      </c>
      <c r="AS111" s="390"/>
      <c r="AT111" s="166"/>
      <c r="AU111" s="166"/>
      <c r="AV111" s="166"/>
      <c r="AW111" s="182" t="e">
        <f t="shared" si="107"/>
        <v>#N/A</v>
      </c>
      <c r="AX111" s="390"/>
      <c r="AZ111" s="182" t="e">
        <f t="shared" si="111"/>
        <v>#N/A</v>
      </c>
      <c r="BA111" s="390"/>
    </row>
    <row r="112" spans="2:53">
      <c r="B112" s="395"/>
      <c r="C112" s="182">
        <v>6</v>
      </c>
      <c r="D112" s="203"/>
      <c r="E112" s="166"/>
      <c r="F112" s="166"/>
      <c r="G112" s="166"/>
      <c r="H112" s="402"/>
      <c r="I112" s="166" t="str">
        <f t="shared" si="96"/>
        <v>-</v>
      </c>
      <c r="J112" s="166" t="str">
        <f t="shared" si="97"/>
        <v>-</v>
      </c>
      <c r="K112" s="180" t="str">
        <f t="shared" si="98"/>
        <v>-</v>
      </c>
      <c r="L112" s="402"/>
      <c r="M112" s="166" t="e">
        <f>RANK(K112, K$67:$K$81)</f>
        <v>#VALUE!</v>
      </c>
      <c r="N112" s="389"/>
      <c r="O112" s="389"/>
      <c r="P112" s="166"/>
      <c r="Q112" s="166"/>
      <c r="R112" s="166"/>
      <c r="S112" s="182" t="e">
        <f t="shared" si="113"/>
        <v>#N/A</v>
      </c>
      <c r="T112" s="390"/>
      <c r="U112" s="166"/>
      <c r="V112" s="166"/>
      <c r="W112" s="166"/>
      <c r="X112" s="182" t="e">
        <f t="shared" si="99"/>
        <v>#N/A</v>
      </c>
      <c r="Y112" s="390"/>
      <c r="Z112" s="166"/>
      <c r="AA112" s="166"/>
      <c r="AB112" s="166"/>
      <c r="AC112" s="182" t="e">
        <f t="shared" si="99"/>
        <v>#N/A</v>
      </c>
      <c r="AD112" s="390"/>
      <c r="AE112" s="166"/>
      <c r="AF112" s="166"/>
      <c r="AG112" s="166"/>
      <c r="AH112" s="182" t="e">
        <f t="shared" si="99"/>
        <v>#N/A</v>
      </c>
      <c r="AI112" s="390"/>
      <c r="AJ112" s="166"/>
      <c r="AK112" s="166"/>
      <c r="AL112" s="166"/>
      <c r="AM112" s="182" t="e">
        <f t="shared" si="99"/>
        <v>#N/A</v>
      </c>
      <c r="AN112" s="390"/>
      <c r="AO112" s="166"/>
      <c r="AP112" s="166"/>
      <c r="AQ112" s="166"/>
      <c r="AR112" s="182" t="e">
        <f t="shared" si="107"/>
        <v>#N/A</v>
      </c>
      <c r="AS112" s="390"/>
      <c r="AT112" s="166"/>
      <c r="AU112" s="166"/>
      <c r="AV112" s="166"/>
      <c r="AW112" s="182" t="e">
        <f t="shared" si="107"/>
        <v>#N/A</v>
      </c>
      <c r="AX112" s="390"/>
      <c r="AZ112" s="182" t="e">
        <f t="shared" si="111"/>
        <v>#N/A</v>
      </c>
      <c r="BA112" s="390"/>
    </row>
    <row r="113" spans="2:53">
      <c r="B113" s="395"/>
      <c r="C113" s="182">
        <v>7</v>
      </c>
      <c r="D113" s="203"/>
      <c r="E113" s="166"/>
      <c r="F113" s="166"/>
      <c r="G113" s="166"/>
      <c r="H113" s="402"/>
      <c r="I113" s="166" t="str">
        <f t="shared" si="96"/>
        <v>-</v>
      </c>
      <c r="J113" s="166" t="str">
        <f t="shared" si="97"/>
        <v>-</v>
      </c>
      <c r="K113" s="180" t="str">
        <f t="shared" si="98"/>
        <v>-</v>
      </c>
      <c r="L113" s="402"/>
      <c r="M113" s="166" t="e">
        <f>RANK(K113, K$67:$K$81)</f>
        <v>#VALUE!</v>
      </c>
      <c r="N113" s="389"/>
      <c r="O113" s="389"/>
      <c r="P113" s="166"/>
      <c r="Q113" s="166"/>
      <c r="R113" s="166"/>
      <c r="S113" s="182" t="e">
        <f t="shared" si="113"/>
        <v>#N/A</v>
      </c>
      <c r="T113" s="390"/>
      <c r="U113" s="166"/>
      <c r="V113" s="166"/>
      <c r="W113" s="166"/>
      <c r="X113" s="182" t="e">
        <f t="shared" si="99"/>
        <v>#N/A</v>
      </c>
      <c r="Y113" s="390"/>
      <c r="Z113" s="166"/>
      <c r="AA113" s="166"/>
      <c r="AB113" s="166"/>
      <c r="AC113" s="182" t="e">
        <f t="shared" si="99"/>
        <v>#N/A</v>
      </c>
      <c r="AD113" s="390"/>
      <c r="AE113" s="166"/>
      <c r="AF113" s="166"/>
      <c r="AG113" s="166"/>
      <c r="AH113" s="182" t="e">
        <f t="shared" si="99"/>
        <v>#N/A</v>
      </c>
      <c r="AI113" s="390"/>
      <c r="AJ113" s="166"/>
      <c r="AK113" s="166"/>
      <c r="AL113" s="166"/>
      <c r="AM113" s="182" t="e">
        <f t="shared" si="99"/>
        <v>#N/A</v>
      </c>
      <c r="AN113" s="390"/>
      <c r="AO113" s="166"/>
      <c r="AP113" s="166"/>
      <c r="AQ113" s="166"/>
      <c r="AR113" s="182" t="e">
        <f t="shared" si="107"/>
        <v>#N/A</v>
      </c>
      <c r="AS113" s="390"/>
      <c r="AT113" s="166"/>
      <c r="AU113" s="166"/>
      <c r="AV113" s="166"/>
      <c r="AW113" s="182" t="e">
        <f t="shared" si="107"/>
        <v>#N/A</v>
      </c>
      <c r="AX113" s="390"/>
      <c r="AZ113" s="182" t="e">
        <f t="shared" si="111"/>
        <v>#N/A</v>
      </c>
      <c r="BA113" s="390"/>
    </row>
    <row r="114" spans="2:53">
      <c r="B114" s="395"/>
      <c r="C114" s="182">
        <v>8</v>
      </c>
      <c r="D114" s="203"/>
      <c r="E114" s="166"/>
      <c r="F114" s="166"/>
      <c r="G114" s="166"/>
      <c r="H114" s="402"/>
      <c r="I114" s="166" t="str">
        <f t="shared" si="96"/>
        <v>-</v>
      </c>
      <c r="J114" s="166" t="str">
        <f t="shared" si="97"/>
        <v>-</v>
      </c>
      <c r="K114" s="180" t="str">
        <f t="shared" si="98"/>
        <v>-</v>
      </c>
      <c r="L114" s="402"/>
      <c r="M114" s="166" t="e">
        <f>RANK(K114, K$67:$K$81)</f>
        <v>#VALUE!</v>
      </c>
      <c r="N114" s="389"/>
      <c r="O114" s="389"/>
      <c r="P114" s="166"/>
      <c r="Q114" s="166"/>
      <c r="R114" s="166"/>
      <c r="S114" s="182" t="e">
        <f t="shared" si="113"/>
        <v>#N/A</v>
      </c>
      <c r="T114" s="390"/>
      <c r="U114" s="166"/>
      <c r="V114" s="166"/>
      <c r="W114" s="166"/>
      <c r="X114" s="182" t="e">
        <f t="shared" si="99"/>
        <v>#N/A</v>
      </c>
      <c r="Y114" s="390"/>
      <c r="Z114" s="166"/>
      <c r="AA114" s="166"/>
      <c r="AB114" s="166"/>
      <c r="AC114" s="182" t="e">
        <f t="shared" si="99"/>
        <v>#N/A</v>
      </c>
      <c r="AD114" s="390"/>
      <c r="AE114" s="166"/>
      <c r="AF114" s="166"/>
      <c r="AG114" s="166"/>
      <c r="AH114" s="182" t="e">
        <f t="shared" si="99"/>
        <v>#N/A</v>
      </c>
      <c r="AI114" s="390"/>
      <c r="AJ114" s="166"/>
      <c r="AK114" s="166"/>
      <c r="AL114" s="166"/>
      <c r="AM114" s="182" t="e">
        <f t="shared" si="99"/>
        <v>#N/A</v>
      </c>
      <c r="AN114" s="390"/>
      <c r="AO114" s="166"/>
      <c r="AP114" s="166"/>
      <c r="AQ114" s="166"/>
      <c r="AR114" s="182" t="e">
        <f t="shared" si="107"/>
        <v>#N/A</v>
      </c>
      <c r="AS114" s="390"/>
      <c r="AT114" s="166"/>
      <c r="AU114" s="166"/>
      <c r="AV114" s="166"/>
      <c r="AW114" s="182" t="e">
        <f t="shared" si="107"/>
        <v>#N/A</v>
      </c>
      <c r="AX114" s="390"/>
      <c r="AZ114" s="182" t="e">
        <f t="shared" si="111"/>
        <v>#N/A</v>
      </c>
      <c r="BA114" s="390"/>
    </row>
    <row r="115" spans="2:53">
      <c r="B115" s="395"/>
      <c r="C115" s="182">
        <v>9</v>
      </c>
      <c r="D115" s="203"/>
      <c r="E115" s="166"/>
      <c r="F115" s="166"/>
      <c r="G115" s="166"/>
      <c r="H115" s="402"/>
      <c r="I115" s="166" t="str">
        <f t="shared" si="96"/>
        <v>-</v>
      </c>
      <c r="J115" s="166" t="str">
        <f t="shared" si="97"/>
        <v>-</v>
      </c>
      <c r="K115" s="180" t="str">
        <f t="shared" si="98"/>
        <v>-</v>
      </c>
      <c r="L115" s="402"/>
      <c r="M115" s="166" t="e">
        <f>RANK(K115, K$67:$K$81)</f>
        <v>#VALUE!</v>
      </c>
      <c r="N115" s="389"/>
      <c r="O115" s="389"/>
      <c r="P115" s="166"/>
      <c r="Q115" s="166"/>
      <c r="R115" s="166"/>
      <c r="S115" s="182" t="e">
        <f t="shared" si="113"/>
        <v>#N/A</v>
      </c>
      <c r="T115" s="390"/>
      <c r="U115" s="166"/>
      <c r="V115" s="166"/>
      <c r="W115" s="166"/>
      <c r="X115" s="182" t="e">
        <f t="shared" si="99"/>
        <v>#N/A</v>
      </c>
      <c r="Y115" s="390"/>
      <c r="Z115" s="166"/>
      <c r="AA115" s="166"/>
      <c r="AB115" s="166"/>
      <c r="AC115" s="182" t="e">
        <f t="shared" si="99"/>
        <v>#N/A</v>
      </c>
      <c r="AD115" s="390"/>
      <c r="AE115" s="166"/>
      <c r="AF115" s="166"/>
      <c r="AG115" s="166"/>
      <c r="AH115" s="182" t="e">
        <f t="shared" si="99"/>
        <v>#N/A</v>
      </c>
      <c r="AI115" s="390"/>
      <c r="AJ115" s="166"/>
      <c r="AK115" s="166"/>
      <c r="AL115" s="166"/>
      <c r="AM115" s="182" t="e">
        <f t="shared" si="99"/>
        <v>#N/A</v>
      </c>
      <c r="AN115" s="390"/>
      <c r="AO115" s="166"/>
      <c r="AP115" s="166"/>
      <c r="AQ115" s="166"/>
      <c r="AR115" s="182" t="e">
        <f t="shared" si="107"/>
        <v>#N/A</v>
      </c>
      <c r="AS115" s="390"/>
      <c r="AT115" s="166"/>
      <c r="AU115" s="166"/>
      <c r="AV115" s="166"/>
      <c r="AW115" s="182" t="e">
        <f t="shared" si="107"/>
        <v>#N/A</v>
      </c>
      <c r="AX115" s="390"/>
      <c r="AZ115" s="182" t="e">
        <f t="shared" si="111"/>
        <v>#N/A</v>
      </c>
      <c r="BA115" s="390"/>
    </row>
    <row r="116" spans="2:53">
      <c r="B116" s="395"/>
      <c r="C116" s="182">
        <v>10</v>
      </c>
      <c r="D116" s="203"/>
      <c r="E116" s="166"/>
      <c r="F116" s="166"/>
      <c r="G116" s="166"/>
      <c r="H116" s="402"/>
      <c r="I116" s="166" t="str">
        <f t="shared" si="96"/>
        <v>-</v>
      </c>
      <c r="J116" s="166" t="str">
        <f t="shared" si="97"/>
        <v>-</v>
      </c>
      <c r="K116" s="180" t="str">
        <f t="shared" si="98"/>
        <v>-</v>
      </c>
      <c r="L116" s="402"/>
      <c r="M116" s="166" t="e">
        <f>RANK(K116, K$67:$K$81)</f>
        <v>#VALUE!</v>
      </c>
      <c r="N116" s="389"/>
      <c r="O116" s="389"/>
      <c r="P116" s="166"/>
      <c r="Q116" s="166"/>
      <c r="R116" s="166"/>
      <c r="S116" s="182" t="e">
        <f t="shared" si="113"/>
        <v>#N/A</v>
      </c>
      <c r="T116" s="390"/>
      <c r="U116" s="166"/>
      <c r="V116" s="166"/>
      <c r="W116" s="166"/>
      <c r="X116" s="182" t="e">
        <f t="shared" si="99"/>
        <v>#N/A</v>
      </c>
      <c r="Y116" s="390"/>
      <c r="Z116" s="166"/>
      <c r="AA116" s="166"/>
      <c r="AB116" s="166"/>
      <c r="AC116" s="182" t="e">
        <f t="shared" si="99"/>
        <v>#N/A</v>
      </c>
      <c r="AD116" s="390"/>
      <c r="AE116" s="166"/>
      <c r="AF116" s="166"/>
      <c r="AG116" s="166"/>
      <c r="AH116" s="182" t="e">
        <f t="shared" si="99"/>
        <v>#N/A</v>
      </c>
      <c r="AI116" s="390"/>
      <c r="AJ116" s="166"/>
      <c r="AK116" s="166"/>
      <c r="AL116" s="166"/>
      <c r="AM116" s="182" t="e">
        <f t="shared" si="99"/>
        <v>#N/A</v>
      </c>
      <c r="AN116" s="390"/>
      <c r="AO116" s="166"/>
      <c r="AP116" s="166"/>
      <c r="AQ116" s="166"/>
      <c r="AR116" s="182" t="e">
        <f t="shared" si="107"/>
        <v>#N/A</v>
      </c>
      <c r="AS116" s="390"/>
      <c r="AT116" s="166"/>
      <c r="AU116" s="166"/>
      <c r="AV116" s="166"/>
      <c r="AW116" s="182" t="e">
        <f t="shared" si="107"/>
        <v>#N/A</v>
      </c>
      <c r="AX116" s="390"/>
      <c r="AZ116" s="182" t="e">
        <f t="shared" si="111"/>
        <v>#N/A</v>
      </c>
      <c r="BA116" s="390"/>
    </row>
    <row r="117" spans="2:53">
      <c r="B117" s="395"/>
      <c r="C117" s="182">
        <v>11</v>
      </c>
      <c r="D117" s="203"/>
      <c r="E117" s="166"/>
      <c r="F117" s="166"/>
      <c r="G117" s="166"/>
      <c r="H117" s="402"/>
      <c r="I117" s="166" t="str">
        <f t="shared" si="96"/>
        <v>-</v>
      </c>
      <c r="J117" s="166" t="str">
        <f t="shared" si="97"/>
        <v>-</v>
      </c>
      <c r="K117" s="180" t="str">
        <f t="shared" si="98"/>
        <v>-</v>
      </c>
      <c r="L117" s="402"/>
      <c r="M117" s="166" t="e">
        <f>RANK(K117, K$67:$K$81)</f>
        <v>#VALUE!</v>
      </c>
      <c r="N117" s="389"/>
      <c r="O117" s="389"/>
      <c r="P117" s="166"/>
      <c r="Q117" s="166"/>
      <c r="R117" s="166"/>
      <c r="S117" s="182" t="e">
        <f t="shared" si="113"/>
        <v>#N/A</v>
      </c>
      <c r="T117" s="390"/>
      <c r="U117" s="166"/>
      <c r="V117" s="166"/>
      <c r="W117" s="166"/>
      <c r="X117" s="182" t="e">
        <f t="shared" si="99"/>
        <v>#N/A</v>
      </c>
      <c r="Y117" s="390"/>
      <c r="Z117" s="166"/>
      <c r="AA117" s="166"/>
      <c r="AB117" s="166"/>
      <c r="AC117" s="182" t="e">
        <f t="shared" si="99"/>
        <v>#N/A</v>
      </c>
      <c r="AD117" s="390"/>
      <c r="AE117" s="166"/>
      <c r="AF117" s="166"/>
      <c r="AG117" s="166"/>
      <c r="AH117" s="182" t="e">
        <f t="shared" si="99"/>
        <v>#N/A</v>
      </c>
      <c r="AI117" s="390"/>
      <c r="AJ117" s="166"/>
      <c r="AK117" s="166"/>
      <c r="AL117" s="166"/>
      <c r="AM117" s="182" t="e">
        <f t="shared" si="99"/>
        <v>#N/A</v>
      </c>
      <c r="AN117" s="390"/>
      <c r="AO117" s="166"/>
      <c r="AP117" s="166"/>
      <c r="AQ117" s="166"/>
      <c r="AR117" s="182" t="e">
        <f t="shared" si="107"/>
        <v>#N/A</v>
      </c>
      <c r="AS117" s="390"/>
      <c r="AT117" s="166"/>
      <c r="AU117" s="166"/>
      <c r="AV117" s="166"/>
      <c r="AW117" s="182" t="e">
        <f t="shared" si="107"/>
        <v>#N/A</v>
      </c>
      <c r="AX117" s="390"/>
      <c r="AZ117" s="182" t="e">
        <f t="shared" si="111"/>
        <v>#N/A</v>
      </c>
      <c r="BA117" s="390"/>
    </row>
    <row r="118" spans="2:53">
      <c r="B118" s="395"/>
      <c r="C118" s="182">
        <v>12</v>
      </c>
      <c r="D118" s="203"/>
      <c r="E118" s="166"/>
      <c r="F118" s="166"/>
      <c r="G118" s="166"/>
      <c r="H118" s="402"/>
      <c r="I118" s="166" t="str">
        <f t="shared" si="96"/>
        <v>-</v>
      </c>
      <c r="J118" s="166" t="str">
        <f t="shared" si="97"/>
        <v>-</v>
      </c>
      <c r="K118" s="180" t="str">
        <f t="shared" si="98"/>
        <v>-</v>
      </c>
      <c r="L118" s="402"/>
      <c r="M118" s="166" t="e">
        <f>RANK(K118, K$67:$K$81)</f>
        <v>#VALUE!</v>
      </c>
      <c r="N118" s="389"/>
      <c r="O118" s="389"/>
      <c r="P118" s="166"/>
      <c r="Q118" s="166"/>
      <c r="R118" s="166"/>
      <c r="S118" s="182" t="e">
        <f t="shared" si="113"/>
        <v>#N/A</v>
      </c>
      <c r="T118" s="390"/>
      <c r="U118" s="166"/>
      <c r="V118" s="166"/>
      <c r="W118" s="166"/>
      <c r="X118" s="182" t="e">
        <f t="shared" si="99"/>
        <v>#N/A</v>
      </c>
      <c r="Y118" s="390"/>
      <c r="Z118" s="166"/>
      <c r="AA118" s="166"/>
      <c r="AB118" s="166"/>
      <c r="AC118" s="182" t="e">
        <f t="shared" si="99"/>
        <v>#N/A</v>
      </c>
      <c r="AD118" s="390"/>
      <c r="AE118" s="166"/>
      <c r="AF118" s="166"/>
      <c r="AG118" s="166"/>
      <c r="AH118" s="182" t="e">
        <f t="shared" si="99"/>
        <v>#N/A</v>
      </c>
      <c r="AI118" s="390"/>
      <c r="AJ118" s="166"/>
      <c r="AK118" s="166"/>
      <c r="AL118" s="166"/>
      <c r="AM118" s="182" t="e">
        <f t="shared" si="99"/>
        <v>#N/A</v>
      </c>
      <c r="AN118" s="390"/>
      <c r="AO118" s="166"/>
      <c r="AP118" s="166"/>
      <c r="AQ118" s="166"/>
      <c r="AR118" s="182" t="e">
        <f t="shared" si="107"/>
        <v>#N/A</v>
      </c>
      <c r="AS118" s="390"/>
      <c r="AT118" s="166"/>
      <c r="AU118" s="166"/>
      <c r="AV118" s="166"/>
      <c r="AW118" s="182" t="e">
        <f t="shared" si="107"/>
        <v>#N/A</v>
      </c>
      <c r="AX118" s="390"/>
      <c r="AZ118" s="182" t="e">
        <f t="shared" si="111"/>
        <v>#N/A</v>
      </c>
      <c r="BA118" s="390"/>
    </row>
    <row r="119" spans="2:53">
      <c r="B119" s="395"/>
      <c r="C119" s="182">
        <v>13</v>
      </c>
      <c r="D119" s="203"/>
      <c r="E119" s="166"/>
      <c r="F119" s="166"/>
      <c r="G119" s="166"/>
      <c r="H119" s="402"/>
      <c r="I119" s="166" t="str">
        <f t="shared" si="96"/>
        <v>-</v>
      </c>
      <c r="J119" s="166" t="str">
        <f t="shared" si="97"/>
        <v>-</v>
      </c>
      <c r="K119" s="180" t="str">
        <f t="shared" si="98"/>
        <v>-</v>
      </c>
      <c r="L119" s="402"/>
      <c r="M119" s="166" t="e">
        <f>RANK(K119, K$67:$K$81)</f>
        <v>#VALUE!</v>
      </c>
      <c r="N119" s="389"/>
      <c r="O119" s="389"/>
      <c r="P119" s="166"/>
      <c r="Q119" s="166"/>
      <c r="R119" s="166"/>
      <c r="S119" s="182" t="e">
        <f t="shared" si="113"/>
        <v>#N/A</v>
      </c>
      <c r="T119" s="390"/>
      <c r="U119" s="166"/>
      <c r="V119" s="166"/>
      <c r="W119" s="166"/>
      <c r="X119" s="182" t="e">
        <f t="shared" si="99"/>
        <v>#N/A</v>
      </c>
      <c r="Y119" s="390"/>
      <c r="Z119" s="166"/>
      <c r="AA119" s="166"/>
      <c r="AB119" s="166"/>
      <c r="AC119" s="182" t="e">
        <f t="shared" si="99"/>
        <v>#N/A</v>
      </c>
      <c r="AD119" s="390"/>
      <c r="AE119" s="166"/>
      <c r="AF119" s="166"/>
      <c r="AG119" s="166"/>
      <c r="AH119" s="182" t="e">
        <f t="shared" si="99"/>
        <v>#N/A</v>
      </c>
      <c r="AI119" s="390"/>
      <c r="AJ119" s="166"/>
      <c r="AK119" s="166"/>
      <c r="AL119" s="166"/>
      <c r="AM119" s="182" t="e">
        <f t="shared" si="99"/>
        <v>#N/A</v>
      </c>
      <c r="AN119" s="390"/>
      <c r="AO119" s="166"/>
      <c r="AP119" s="166"/>
      <c r="AQ119" s="166"/>
      <c r="AR119" s="182" t="e">
        <f t="shared" si="107"/>
        <v>#N/A</v>
      </c>
      <c r="AS119" s="390"/>
      <c r="AT119" s="166"/>
      <c r="AU119" s="166"/>
      <c r="AV119" s="166"/>
      <c r="AW119" s="182" t="e">
        <f t="shared" si="107"/>
        <v>#N/A</v>
      </c>
      <c r="AX119" s="390"/>
      <c r="AZ119" s="182" t="e">
        <f t="shared" si="111"/>
        <v>#N/A</v>
      </c>
      <c r="BA119" s="390"/>
    </row>
    <row r="120" spans="2:53">
      <c r="B120" s="395"/>
      <c r="C120" s="182">
        <v>14</v>
      </c>
      <c r="D120" s="203"/>
      <c r="E120" s="166"/>
      <c r="F120" s="166"/>
      <c r="G120" s="166"/>
      <c r="H120" s="402"/>
      <c r="I120" s="166" t="str">
        <f t="shared" si="96"/>
        <v>-</v>
      </c>
      <c r="J120" s="166" t="str">
        <f t="shared" si="97"/>
        <v>-</v>
      </c>
      <c r="K120" s="180" t="str">
        <f t="shared" si="98"/>
        <v>-</v>
      </c>
      <c r="L120" s="402"/>
      <c r="M120" s="166" t="e">
        <f>RANK(K120, K$67:$K$81)</f>
        <v>#VALUE!</v>
      </c>
      <c r="N120" s="389"/>
      <c r="O120" s="389"/>
      <c r="P120" s="166"/>
      <c r="Q120" s="166"/>
      <c r="R120" s="166"/>
      <c r="S120" s="182" t="e">
        <f t="shared" si="113"/>
        <v>#N/A</v>
      </c>
      <c r="T120" s="390"/>
      <c r="U120" s="166"/>
      <c r="V120" s="166"/>
      <c r="W120" s="166"/>
      <c r="X120" s="182" t="e">
        <f t="shared" si="99"/>
        <v>#N/A</v>
      </c>
      <c r="Y120" s="390"/>
      <c r="Z120" s="166"/>
      <c r="AA120" s="166"/>
      <c r="AB120" s="166"/>
      <c r="AC120" s="182" t="e">
        <f t="shared" si="99"/>
        <v>#N/A</v>
      </c>
      <c r="AD120" s="390"/>
      <c r="AE120" s="166"/>
      <c r="AF120" s="166"/>
      <c r="AG120" s="166"/>
      <c r="AH120" s="182" t="e">
        <f t="shared" si="99"/>
        <v>#N/A</v>
      </c>
      <c r="AI120" s="390"/>
      <c r="AJ120" s="166"/>
      <c r="AK120" s="166"/>
      <c r="AL120" s="166"/>
      <c r="AM120" s="182" t="e">
        <f t="shared" si="99"/>
        <v>#N/A</v>
      </c>
      <c r="AN120" s="390"/>
      <c r="AO120" s="166"/>
      <c r="AP120" s="166"/>
      <c r="AQ120" s="166"/>
      <c r="AR120" s="182" t="e">
        <f t="shared" si="107"/>
        <v>#N/A</v>
      </c>
      <c r="AS120" s="390"/>
      <c r="AT120" s="166"/>
      <c r="AU120" s="166"/>
      <c r="AV120" s="166"/>
      <c r="AW120" s="182" t="e">
        <f t="shared" si="107"/>
        <v>#N/A</v>
      </c>
      <c r="AX120" s="390"/>
      <c r="AZ120" s="182" t="e">
        <f t="shared" si="111"/>
        <v>#N/A</v>
      </c>
      <c r="BA120" s="390"/>
    </row>
    <row r="121" spans="2:53">
      <c r="B121" s="395"/>
      <c r="C121" s="182">
        <v>15</v>
      </c>
      <c r="D121" s="203"/>
      <c r="E121" s="166"/>
      <c r="F121" s="166"/>
      <c r="G121" s="166"/>
      <c r="H121" s="403"/>
      <c r="I121" s="166"/>
      <c r="J121" s="166"/>
      <c r="K121" s="180"/>
      <c r="L121" s="403"/>
      <c r="M121" s="166" t="e">
        <f>RANK(K121, K$67:$K$81)</f>
        <v>#N/A</v>
      </c>
      <c r="N121" s="389"/>
      <c r="O121" s="389"/>
      <c r="P121" s="166"/>
      <c r="Q121" s="166"/>
      <c r="R121" s="166"/>
      <c r="S121" s="182" t="e">
        <f t="shared" si="113"/>
        <v>#N/A</v>
      </c>
      <c r="T121" s="390"/>
      <c r="U121" s="166"/>
      <c r="V121" s="166"/>
      <c r="W121" s="166"/>
      <c r="X121" s="182" t="e">
        <f t="shared" si="99"/>
        <v>#N/A</v>
      </c>
      <c r="Y121" s="390"/>
      <c r="Z121" s="166"/>
      <c r="AA121" s="166"/>
      <c r="AB121" s="166"/>
      <c r="AC121" s="182" t="e">
        <f t="shared" si="99"/>
        <v>#N/A</v>
      </c>
      <c r="AD121" s="390"/>
      <c r="AE121" s="166"/>
      <c r="AF121" s="166"/>
      <c r="AG121" s="166"/>
      <c r="AH121" s="182" t="e">
        <f t="shared" si="99"/>
        <v>#N/A</v>
      </c>
      <c r="AI121" s="390"/>
      <c r="AJ121" s="166"/>
      <c r="AK121" s="166"/>
      <c r="AL121" s="166"/>
      <c r="AM121" s="182" t="e">
        <f t="shared" si="99"/>
        <v>#N/A</v>
      </c>
      <c r="AN121" s="390"/>
      <c r="AO121" s="166"/>
      <c r="AP121" s="166"/>
      <c r="AQ121" s="166"/>
      <c r="AR121" s="182" t="e">
        <f t="shared" si="107"/>
        <v>#N/A</v>
      </c>
      <c r="AS121" s="390"/>
      <c r="AT121" s="166"/>
      <c r="AU121" s="166"/>
      <c r="AV121" s="166"/>
      <c r="AW121" s="182" t="e">
        <f t="shared" si="107"/>
        <v>#N/A</v>
      </c>
      <c r="AX121" s="390"/>
      <c r="AZ121" s="182" t="e">
        <f t="shared" si="111"/>
        <v>#N/A</v>
      </c>
      <c r="BA121" s="390"/>
    </row>
    <row r="123" spans="2:53" ht="15.75">
      <c r="B123" s="397" t="s">
        <v>499</v>
      </c>
      <c r="C123" s="398"/>
      <c r="D123" s="398"/>
      <c r="E123" s="398"/>
      <c r="F123" s="398"/>
      <c r="G123" s="398"/>
      <c r="H123" s="398"/>
      <c r="I123" s="273"/>
      <c r="J123" s="273"/>
      <c r="K123" s="273"/>
      <c r="L123" s="273"/>
      <c r="M123" s="274"/>
    </row>
    <row r="124" spans="2:53" ht="15.75">
      <c r="B124" s="399"/>
      <c r="C124" s="399"/>
      <c r="D124" s="399"/>
      <c r="E124" s="399"/>
      <c r="F124" s="399"/>
      <c r="G124" s="399"/>
      <c r="H124" s="399"/>
      <c r="I124" s="275"/>
      <c r="J124" s="275"/>
      <c r="K124" s="275"/>
      <c r="L124" s="275"/>
      <c r="M124" s="276"/>
    </row>
    <row r="125" spans="2:53">
      <c r="B125" s="389" t="s">
        <v>154</v>
      </c>
      <c r="C125" s="389" t="s">
        <v>386</v>
      </c>
      <c r="D125" s="389"/>
      <c r="E125" s="389" t="s">
        <v>377</v>
      </c>
      <c r="F125" s="389"/>
      <c r="G125" s="389"/>
      <c r="H125" s="417" t="s">
        <v>373</v>
      </c>
      <c r="I125" s="400" t="s">
        <v>378</v>
      </c>
      <c r="J125" s="400"/>
      <c r="K125" s="400"/>
      <c r="L125" s="490" t="s">
        <v>373</v>
      </c>
      <c r="M125" s="493" t="s">
        <v>374</v>
      </c>
    </row>
    <row r="126" spans="2:53">
      <c r="B126" s="389"/>
      <c r="C126" s="389"/>
      <c r="D126" s="389"/>
      <c r="E126" s="389" t="s">
        <v>380</v>
      </c>
      <c r="F126" s="389"/>
      <c r="G126" s="389"/>
      <c r="H126" s="418"/>
      <c r="I126" s="400" t="s">
        <v>380</v>
      </c>
      <c r="J126" s="400"/>
      <c r="K126" s="400"/>
      <c r="L126" s="491"/>
      <c r="M126" s="494"/>
    </row>
    <row r="127" spans="2:53">
      <c r="B127" s="389"/>
      <c r="C127" s="389"/>
      <c r="D127" s="389"/>
      <c r="E127" s="258" t="s">
        <v>382</v>
      </c>
      <c r="F127" s="258" t="s">
        <v>383</v>
      </c>
      <c r="G127" s="258" t="s">
        <v>384</v>
      </c>
      <c r="H127" s="419"/>
      <c r="I127" s="277" t="s">
        <v>382</v>
      </c>
      <c r="J127" s="277" t="s">
        <v>383</v>
      </c>
      <c r="K127" s="277" t="s">
        <v>384</v>
      </c>
      <c r="L127" s="492"/>
      <c r="M127" s="495"/>
    </row>
    <row r="128" spans="2:53">
      <c r="B128" s="486" t="s">
        <v>385</v>
      </c>
      <c r="C128" s="182">
        <v>1</v>
      </c>
      <c r="D128" s="203"/>
      <c r="E128" s="166"/>
      <c r="F128" s="182"/>
      <c r="G128" s="180"/>
      <c r="H128" s="401" t="e">
        <f>AVERAGE(G128:G142)</f>
        <v>#DIV/0!</v>
      </c>
      <c r="I128" s="166" t="e">
        <f t="shared" ref="I128:J138" si="114">AVERAGEIF($D$7:$D$121,$D128,I$7:I$121)</f>
        <v>#DIV/0!</v>
      </c>
      <c r="J128" s="166" t="e">
        <f t="shared" si="114"/>
        <v>#DIV/0!</v>
      </c>
      <c r="K128" s="166" t="e">
        <f t="shared" ref="K128:K138" si="115">AVERAGEIF($D$7:$D$121,$D128,K$7:K$121)</f>
        <v>#DIV/0!</v>
      </c>
      <c r="L128" s="487" t="e">
        <f>AVERAGE(K128:K142)</f>
        <v>#DIV/0!</v>
      </c>
      <c r="M128" s="166" t="e">
        <f>RANK(K128, K$128:$K$142)</f>
        <v>#DIV/0!</v>
      </c>
    </row>
    <row r="129" spans="2:39">
      <c r="B129" s="395"/>
      <c r="C129" s="182">
        <v>2</v>
      </c>
      <c r="D129" s="203"/>
      <c r="E129" s="166"/>
      <c r="F129" s="182"/>
      <c r="G129" s="180"/>
      <c r="H129" s="402"/>
      <c r="I129" s="166" t="e">
        <f t="shared" si="114"/>
        <v>#DIV/0!</v>
      </c>
      <c r="J129" s="166" t="e">
        <f t="shared" si="114"/>
        <v>#DIV/0!</v>
      </c>
      <c r="K129" s="166" t="e">
        <f t="shared" si="115"/>
        <v>#DIV/0!</v>
      </c>
      <c r="L129" s="488"/>
      <c r="M129" s="166" t="e">
        <f>RANK(K129, K$128:$K$142)</f>
        <v>#DIV/0!</v>
      </c>
      <c r="N129" s="103"/>
      <c r="O129" s="103"/>
      <c r="P129" s="103"/>
      <c r="Q129" s="103"/>
      <c r="R129" s="103"/>
      <c r="S129" s="103"/>
      <c r="T129" s="103"/>
      <c r="X129" s="103"/>
      <c r="AC129" s="103"/>
      <c r="AH129" s="103"/>
      <c r="AM129" s="103"/>
    </row>
    <row r="130" spans="2:39">
      <c r="B130" s="395"/>
      <c r="C130" s="182">
        <v>3</v>
      </c>
      <c r="D130" s="203"/>
      <c r="E130" s="166"/>
      <c r="F130" s="182"/>
      <c r="G130" s="180"/>
      <c r="H130" s="402"/>
      <c r="I130" s="166" t="e">
        <f t="shared" si="114"/>
        <v>#DIV/0!</v>
      </c>
      <c r="J130" s="166" t="e">
        <f t="shared" si="114"/>
        <v>#DIV/0!</v>
      </c>
      <c r="K130" s="166" t="e">
        <f t="shared" si="115"/>
        <v>#DIV/0!</v>
      </c>
      <c r="L130" s="488"/>
      <c r="M130" s="166" t="e">
        <f>RANK(K130, K$128:$K$142)</f>
        <v>#DIV/0!</v>
      </c>
      <c r="N130" s="103"/>
      <c r="O130" s="103"/>
      <c r="P130" s="103"/>
      <c r="Q130" s="103"/>
      <c r="R130" s="103"/>
      <c r="S130" s="103"/>
      <c r="T130" s="103"/>
      <c r="X130" s="103"/>
      <c r="AC130" s="103"/>
      <c r="AH130" s="103"/>
      <c r="AM130" s="103"/>
    </row>
    <row r="131" spans="2:39">
      <c r="B131" s="395"/>
      <c r="C131" s="182">
        <v>4</v>
      </c>
      <c r="D131" s="203"/>
      <c r="E131" s="166"/>
      <c r="F131" s="182"/>
      <c r="G131" s="180"/>
      <c r="H131" s="402"/>
      <c r="I131" s="166" t="e">
        <f t="shared" si="114"/>
        <v>#DIV/0!</v>
      </c>
      <c r="J131" s="166" t="e">
        <f t="shared" si="114"/>
        <v>#DIV/0!</v>
      </c>
      <c r="K131" s="166" t="e">
        <f t="shared" si="115"/>
        <v>#DIV/0!</v>
      </c>
      <c r="L131" s="488"/>
      <c r="M131" s="166" t="e">
        <f>RANK(K131, K$128:$K$142)</f>
        <v>#DIV/0!</v>
      </c>
      <c r="N131" s="103"/>
      <c r="O131" s="103"/>
      <c r="P131" s="103"/>
      <c r="Q131" s="103"/>
      <c r="R131" s="103"/>
      <c r="S131" s="103"/>
      <c r="T131" s="103"/>
      <c r="X131" s="103"/>
      <c r="AC131" s="103"/>
      <c r="AH131" s="103"/>
      <c r="AM131" s="103"/>
    </row>
    <row r="132" spans="2:39">
      <c r="B132" s="395"/>
      <c r="C132" s="182">
        <v>5</v>
      </c>
      <c r="D132" s="203"/>
      <c r="E132" s="166"/>
      <c r="F132" s="182"/>
      <c r="G132" s="180"/>
      <c r="H132" s="402"/>
      <c r="I132" s="166" t="e">
        <f t="shared" si="114"/>
        <v>#DIV/0!</v>
      </c>
      <c r="J132" s="166" t="e">
        <f t="shared" si="114"/>
        <v>#DIV/0!</v>
      </c>
      <c r="K132" s="166" t="e">
        <f t="shared" si="115"/>
        <v>#DIV/0!</v>
      </c>
      <c r="L132" s="488"/>
      <c r="M132" s="166" t="e">
        <f>RANK(K132, K$128:$K$142)</f>
        <v>#DIV/0!</v>
      </c>
      <c r="N132" s="103"/>
      <c r="O132" s="103"/>
      <c r="P132" s="103"/>
      <c r="Q132" s="103"/>
      <c r="R132" s="103"/>
      <c r="S132" s="103"/>
      <c r="T132" s="103"/>
      <c r="X132" s="103"/>
      <c r="AC132" s="103"/>
      <c r="AH132" s="103"/>
      <c r="AM132" s="103"/>
    </row>
    <row r="133" spans="2:39">
      <c r="B133" s="395"/>
      <c r="C133" s="182">
        <v>6</v>
      </c>
      <c r="D133" s="278"/>
      <c r="E133" s="166"/>
      <c r="F133" s="182"/>
      <c r="G133" s="180"/>
      <c r="H133" s="402"/>
      <c r="I133" s="166" t="e">
        <f t="shared" si="114"/>
        <v>#DIV/0!</v>
      </c>
      <c r="J133" s="166" t="e">
        <f t="shared" si="114"/>
        <v>#DIV/0!</v>
      </c>
      <c r="K133" s="166" t="e">
        <f t="shared" si="115"/>
        <v>#DIV/0!</v>
      </c>
      <c r="L133" s="488"/>
      <c r="M133" s="166" t="e">
        <f>RANK(K133, K$128:$K$142)</f>
        <v>#DIV/0!</v>
      </c>
      <c r="N133" s="103"/>
      <c r="O133" s="103"/>
      <c r="P133" s="103"/>
      <c r="Q133" s="103"/>
      <c r="R133" s="103"/>
      <c r="S133" s="103"/>
      <c r="T133" s="103"/>
      <c r="X133" s="103"/>
      <c r="AC133" s="103"/>
      <c r="AH133" s="103"/>
      <c r="AM133" s="103"/>
    </row>
    <row r="134" spans="2:39">
      <c r="B134" s="395"/>
      <c r="C134" s="182">
        <v>7</v>
      </c>
      <c r="D134" s="203"/>
      <c r="E134" s="166"/>
      <c r="F134" s="182"/>
      <c r="G134" s="180"/>
      <c r="H134" s="402"/>
      <c r="I134" s="166" t="e">
        <f t="shared" si="114"/>
        <v>#DIV/0!</v>
      </c>
      <c r="J134" s="166" t="e">
        <f t="shared" si="114"/>
        <v>#DIV/0!</v>
      </c>
      <c r="K134" s="166" t="e">
        <f t="shared" si="115"/>
        <v>#DIV/0!</v>
      </c>
      <c r="L134" s="488"/>
      <c r="M134" s="166" t="e">
        <f>RANK(K134, K$128:$K$142)</f>
        <v>#DIV/0!</v>
      </c>
      <c r="N134" s="103"/>
      <c r="O134" s="103"/>
      <c r="P134" s="103"/>
      <c r="Q134" s="103"/>
      <c r="R134" s="103"/>
      <c r="S134" s="103"/>
      <c r="T134" s="103"/>
      <c r="X134" s="103"/>
      <c r="AC134" s="103"/>
      <c r="AH134" s="103"/>
      <c r="AM134" s="103"/>
    </row>
    <row r="135" spans="2:39">
      <c r="B135" s="395"/>
      <c r="C135" s="182">
        <v>8</v>
      </c>
      <c r="D135" s="203"/>
      <c r="E135" s="166"/>
      <c r="F135" s="182"/>
      <c r="G135" s="180"/>
      <c r="H135" s="402"/>
      <c r="I135" s="166" t="e">
        <f t="shared" si="114"/>
        <v>#DIV/0!</v>
      </c>
      <c r="J135" s="166" t="e">
        <f t="shared" si="114"/>
        <v>#DIV/0!</v>
      </c>
      <c r="K135" s="166" t="e">
        <f t="shared" si="115"/>
        <v>#DIV/0!</v>
      </c>
      <c r="L135" s="488"/>
      <c r="M135" s="166" t="e">
        <f>RANK(K135, K$128:$K$142)</f>
        <v>#DIV/0!</v>
      </c>
      <c r="N135" s="103"/>
      <c r="O135" s="103"/>
      <c r="P135" s="103"/>
      <c r="Q135" s="103"/>
      <c r="R135" s="103"/>
      <c r="S135" s="103"/>
      <c r="T135" s="103"/>
      <c r="X135" s="103"/>
      <c r="AC135" s="103"/>
      <c r="AH135" s="103"/>
      <c r="AM135" s="103"/>
    </row>
    <row r="136" spans="2:39">
      <c r="B136" s="395"/>
      <c r="C136" s="182">
        <v>9</v>
      </c>
      <c r="D136" s="203"/>
      <c r="E136" s="182"/>
      <c r="F136" s="182"/>
      <c r="G136" s="182"/>
      <c r="H136" s="402"/>
      <c r="I136" s="166" t="e">
        <f t="shared" si="114"/>
        <v>#DIV/0!</v>
      </c>
      <c r="J136" s="166" t="e">
        <f t="shared" si="114"/>
        <v>#DIV/0!</v>
      </c>
      <c r="K136" s="166" t="e">
        <f t="shared" si="115"/>
        <v>#DIV/0!</v>
      </c>
      <c r="L136" s="488"/>
      <c r="M136" s="166" t="e">
        <f>RANK(K136, K$128:$K$142)</f>
        <v>#DIV/0!</v>
      </c>
      <c r="N136" s="103"/>
      <c r="O136" s="103"/>
      <c r="P136" s="103"/>
      <c r="Q136" s="103"/>
      <c r="R136" s="103"/>
      <c r="S136" s="103"/>
      <c r="T136" s="103"/>
      <c r="X136" s="103"/>
      <c r="AC136" s="103"/>
      <c r="AH136" s="103"/>
      <c r="AM136" s="103"/>
    </row>
    <row r="137" spans="2:39">
      <c r="B137" s="395"/>
      <c r="C137" s="182">
        <v>10</v>
      </c>
      <c r="D137" s="203"/>
      <c r="E137" s="182"/>
      <c r="F137" s="182"/>
      <c r="G137" s="182"/>
      <c r="H137" s="402"/>
      <c r="I137" s="166" t="e">
        <f t="shared" si="114"/>
        <v>#DIV/0!</v>
      </c>
      <c r="J137" s="166" t="e">
        <f t="shared" si="114"/>
        <v>#DIV/0!</v>
      </c>
      <c r="K137" s="166" t="e">
        <f t="shared" si="115"/>
        <v>#DIV/0!</v>
      </c>
      <c r="L137" s="488"/>
      <c r="M137" s="166" t="e">
        <f>RANK(K137, K$128:$K$142)</f>
        <v>#DIV/0!</v>
      </c>
      <c r="N137" s="103"/>
      <c r="O137" s="103"/>
      <c r="P137" s="103"/>
      <c r="Q137" s="103"/>
      <c r="R137" s="103"/>
      <c r="S137" s="103"/>
      <c r="T137" s="103"/>
      <c r="X137" s="103"/>
      <c r="AC137" s="103"/>
      <c r="AH137" s="103"/>
      <c r="AM137" s="103"/>
    </row>
    <row r="138" spans="2:39">
      <c r="B138" s="395"/>
      <c r="C138" s="182">
        <v>11</v>
      </c>
      <c r="D138" s="203"/>
      <c r="E138" s="182"/>
      <c r="F138" s="182"/>
      <c r="G138" s="182"/>
      <c r="H138" s="402"/>
      <c r="I138" s="166" t="e">
        <f t="shared" si="114"/>
        <v>#DIV/0!</v>
      </c>
      <c r="J138" s="166" t="e">
        <f t="shared" si="114"/>
        <v>#DIV/0!</v>
      </c>
      <c r="K138" s="166" t="e">
        <f t="shared" si="115"/>
        <v>#DIV/0!</v>
      </c>
      <c r="L138" s="488"/>
      <c r="M138" s="166" t="e">
        <f>RANK(K138, K$128:$K$142)</f>
        <v>#DIV/0!</v>
      </c>
      <c r="N138" s="103"/>
      <c r="O138" s="103"/>
      <c r="P138" s="103"/>
      <c r="Q138" s="103"/>
      <c r="R138" s="103"/>
      <c r="S138" s="103"/>
      <c r="T138" s="103"/>
      <c r="X138" s="103"/>
      <c r="AC138" s="103"/>
      <c r="AH138" s="103"/>
      <c r="AM138" s="103"/>
    </row>
    <row r="139" spans="2:39">
      <c r="B139" s="395"/>
      <c r="C139" s="182">
        <v>12</v>
      </c>
      <c r="D139" s="203"/>
      <c r="E139" s="182"/>
      <c r="F139" s="182"/>
      <c r="G139" s="182"/>
      <c r="H139" s="402"/>
      <c r="I139" s="166"/>
      <c r="J139" s="166"/>
      <c r="K139" s="166"/>
      <c r="L139" s="488"/>
      <c r="M139" s="166" t="e">
        <f>RANK(K139, K$128:$K$142)</f>
        <v>#DIV/0!</v>
      </c>
      <c r="N139" s="103"/>
      <c r="O139" s="103"/>
      <c r="P139" s="103"/>
      <c r="Q139" s="103"/>
      <c r="R139" s="103"/>
      <c r="S139" s="103"/>
      <c r="T139" s="103"/>
      <c r="X139" s="103"/>
      <c r="AC139" s="103"/>
      <c r="AH139" s="103"/>
      <c r="AM139" s="103"/>
    </row>
    <row r="140" spans="2:39">
      <c r="B140" s="395"/>
      <c r="C140" s="182">
        <v>13</v>
      </c>
      <c r="D140" s="203"/>
      <c r="E140" s="182"/>
      <c r="F140" s="182"/>
      <c r="G140" s="182"/>
      <c r="H140" s="402"/>
      <c r="I140" s="166"/>
      <c r="J140" s="166"/>
      <c r="K140" s="166"/>
      <c r="L140" s="488"/>
      <c r="M140" s="166" t="e">
        <f>RANK(K140, K$128:$K$142)</f>
        <v>#DIV/0!</v>
      </c>
      <c r="N140" s="103"/>
      <c r="O140" s="103"/>
      <c r="P140" s="103"/>
      <c r="Q140" s="103"/>
      <c r="R140" s="103"/>
      <c r="S140" s="103"/>
      <c r="T140" s="103"/>
      <c r="X140" s="103"/>
      <c r="AC140" s="103"/>
      <c r="AH140" s="103"/>
      <c r="AM140" s="103"/>
    </row>
    <row r="141" spans="2:39">
      <c r="B141" s="395"/>
      <c r="C141" s="182">
        <v>14</v>
      </c>
      <c r="D141" s="203"/>
      <c r="E141" s="182"/>
      <c r="F141" s="182"/>
      <c r="G141" s="182"/>
      <c r="H141" s="402"/>
      <c r="I141" s="166"/>
      <c r="J141" s="166"/>
      <c r="K141" s="166"/>
      <c r="L141" s="488"/>
      <c r="M141" s="166" t="e">
        <f>RANK(K141, K$128:$K$142)</f>
        <v>#DIV/0!</v>
      </c>
      <c r="N141" s="103"/>
      <c r="O141" s="103"/>
      <c r="P141" s="103"/>
      <c r="Q141" s="103"/>
      <c r="R141" s="103"/>
      <c r="S141" s="103"/>
      <c r="T141" s="103"/>
      <c r="X141" s="103"/>
      <c r="AC141" s="103"/>
      <c r="AH141" s="103"/>
      <c r="AM141" s="103"/>
    </row>
    <row r="142" spans="2:39">
      <c r="B142" s="395"/>
      <c r="C142" s="182">
        <v>15</v>
      </c>
      <c r="D142" s="203"/>
      <c r="E142" s="182"/>
      <c r="F142" s="182"/>
      <c r="G142" s="182"/>
      <c r="H142" s="403"/>
      <c r="I142" s="166"/>
      <c r="J142" s="166"/>
      <c r="K142" s="166"/>
      <c r="L142" s="489"/>
      <c r="M142" s="166" t="e">
        <f>RANK(K142, K$128:$K$142)</f>
        <v>#DIV/0!</v>
      </c>
      <c r="N142" s="103"/>
      <c r="O142" s="103"/>
      <c r="P142" s="103"/>
      <c r="Q142" s="103"/>
      <c r="R142" s="103"/>
      <c r="S142" s="103"/>
      <c r="T142" s="103"/>
      <c r="X142" s="103"/>
      <c r="AC142" s="103"/>
      <c r="AH142" s="103"/>
      <c r="AM142" s="103"/>
    </row>
  </sheetData>
  <mergeCells count="381"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T47:AT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E7:AE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BA142"/>
  <sheetViews>
    <sheetView topLeftCell="A61" zoomScale="55" zoomScaleNormal="55" workbookViewId="0">
      <pane xSplit="15" topLeftCell="R1" activePane="topRight" state="frozen"/>
      <selection activeCell="T7" activeCellId="4" sqref="AM7:AN36 AH7:AI36 AC7:AD36 X7:Y36 S7:T36"/>
      <selection pane="topRight" activeCell="T87" activeCellId="6" sqref="AM87:AN101 AW87:AX101 AR87:AS101 AH87:AI101 AC87:AD101 X87:Y101 S87:T101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51" width="8.85546875" style="103"/>
    <col min="52" max="52" width="5.42578125" style="103" customWidth="1"/>
    <col min="53" max="53" width="13.140625" style="103" customWidth="1"/>
    <col min="54" max="16384" width="8.85546875" style="103"/>
  </cols>
  <sheetData>
    <row r="1" spans="1:53" ht="24">
      <c r="A1" s="74"/>
      <c r="B1" s="198" t="s">
        <v>314</v>
      </c>
      <c r="C1" s="197">
        <f>AVERAGE(L7,L27,L47,L67,L87,L107)</f>
        <v>102.50970556821407</v>
      </c>
    </row>
    <row r="2" spans="1:53" ht="15.75">
      <c r="A2" s="79"/>
      <c r="B2" s="414" t="s">
        <v>163</v>
      </c>
      <c r="C2" s="414"/>
      <c r="D2" s="414"/>
      <c r="E2" s="414"/>
      <c r="F2" s="414"/>
      <c r="G2" s="414"/>
      <c r="H2" s="414"/>
      <c r="I2" s="183"/>
      <c r="J2" s="183"/>
      <c r="K2" s="183"/>
      <c r="L2" s="183"/>
      <c r="M2" s="178"/>
      <c r="N2" s="391" t="s">
        <v>156</v>
      </c>
      <c r="O2" s="391" t="s">
        <v>155</v>
      </c>
      <c r="P2" s="496">
        <v>46140</v>
      </c>
      <c r="Q2" s="497"/>
      <c r="R2" s="497"/>
      <c r="S2" s="497"/>
      <c r="T2" s="498"/>
      <c r="U2" s="413">
        <f>P2+1</f>
        <v>46141</v>
      </c>
      <c r="V2" s="395"/>
      <c r="W2" s="395"/>
      <c r="X2" s="395"/>
      <c r="Y2" s="395"/>
      <c r="Z2" s="413">
        <f>U2+1</f>
        <v>46142</v>
      </c>
      <c r="AA2" s="395"/>
      <c r="AB2" s="395"/>
      <c r="AC2" s="395"/>
      <c r="AD2" s="395"/>
      <c r="AE2" s="413">
        <f>Z2+1</f>
        <v>46143</v>
      </c>
      <c r="AF2" s="395"/>
      <c r="AG2" s="395"/>
      <c r="AH2" s="395"/>
      <c r="AI2" s="395"/>
      <c r="AJ2" s="413">
        <f>AE2+1</f>
        <v>46144</v>
      </c>
      <c r="AK2" s="395"/>
      <c r="AL2" s="395"/>
      <c r="AM2" s="395"/>
      <c r="AN2" s="395"/>
      <c r="AO2" s="413">
        <f>AJ2+1</f>
        <v>46145</v>
      </c>
      <c r="AP2" s="395"/>
      <c r="AQ2" s="395"/>
      <c r="AR2" s="395"/>
      <c r="AS2" s="395"/>
      <c r="AT2" s="410">
        <f>AO2+1</f>
        <v>46146</v>
      </c>
      <c r="AU2" s="411"/>
      <c r="AV2" s="411"/>
      <c r="AW2" s="411"/>
      <c r="AX2" s="412"/>
    </row>
    <row r="3" spans="1:53" ht="15.75">
      <c r="A3" s="79"/>
      <c r="B3" s="420"/>
      <c r="C3" s="420"/>
      <c r="D3" s="420"/>
      <c r="E3" s="420"/>
      <c r="F3" s="420"/>
      <c r="G3" s="420"/>
      <c r="H3" s="420"/>
      <c r="I3" s="184"/>
      <c r="J3" s="184"/>
      <c r="K3" s="184"/>
      <c r="L3" s="184"/>
      <c r="M3" s="179"/>
      <c r="N3" s="393"/>
      <c r="O3" s="393"/>
      <c r="P3" s="410" t="s">
        <v>158</v>
      </c>
      <c r="Q3" s="411"/>
      <c r="R3" s="411"/>
      <c r="S3" s="411"/>
      <c r="T3" s="412"/>
      <c r="U3" s="410" t="s">
        <v>114</v>
      </c>
      <c r="V3" s="411"/>
      <c r="W3" s="411"/>
      <c r="X3" s="411"/>
      <c r="Y3" s="412"/>
      <c r="Z3" s="410" t="s">
        <v>159</v>
      </c>
      <c r="AA3" s="411"/>
      <c r="AB3" s="411"/>
      <c r="AC3" s="411"/>
      <c r="AD3" s="412"/>
      <c r="AE3" s="410" t="s">
        <v>157</v>
      </c>
      <c r="AF3" s="411"/>
      <c r="AG3" s="411"/>
      <c r="AH3" s="411"/>
      <c r="AI3" s="412"/>
      <c r="AJ3" s="410" t="s">
        <v>160</v>
      </c>
      <c r="AK3" s="411"/>
      <c r="AL3" s="411"/>
      <c r="AM3" s="411"/>
      <c r="AN3" s="412"/>
      <c r="AO3" s="410" t="s">
        <v>161</v>
      </c>
      <c r="AP3" s="411"/>
      <c r="AQ3" s="411"/>
      <c r="AR3" s="411"/>
      <c r="AS3" s="412"/>
      <c r="AT3" s="410" t="s">
        <v>162</v>
      </c>
      <c r="AU3" s="411"/>
      <c r="AV3" s="411"/>
      <c r="AW3" s="411"/>
      <c r="AX3" s="412"/>
    </row>
    <row r="4" spans="1:53" ht="14.25">
      <c r="A4" s="79"/>
      <c r="B4" s="389" t="s">
        <v>401</v>
      </c>
      <c r="C4" s="389" t="s">
        <v>386</v>
      </c>
      <c r="D4" s="389"/>
      <c r="E4" s="389" t="s">
        <v>377</v>
      </c>
      <c r="F4" s="389"/>
      <c r="G4" s="389"/>
      <c r="H4" s="417" t="s">
        <v>373</v>
      </c>
      <c r="I4" s="389" t="s">
        <v>378</v>
      </c>
      <c r="J4" s="389"/>
      <c r="K4" s="389"/>
      <c r="L4" s="417" t="s">
        <v>373</v>
      </c>
      <c r="M4" s="391" t="s">
        <v>374</v>
      </c>
      <c r="N4" s="389"/>
      <c r="O4" s="389" t="s">
        <v>379</v>
      </c>
      <c r="P4" s="404" t="s">
        <v>375</v>
      </c>
      <c r="Q4" s="405"/>
      <c r="R4" s="405"/>
      <c r="S4" s="406"/>
      <c r="T4" s="389" t="s">
        <v>373</v>
      </c>
      <c r="U4" s="404" t="s">
        <v>375</v>
      </c>
      <c r="V4" s="405"/>
      <c r="W4" s="405"/>
      <c r="X4" s="406"/>
      <c r="Y4" s="389" t="s">
        <v>373</v>
      </c>
      <c r="Z4" s="404" t="s">
        <v>375</v>
      </c>
      <c r="AA4" s="405"/>
      <c r="AB4" s="405"/>
      <c r="AC4" s="406"/>
      <c r="AD4" s="389" t="s">
        <v>373</v>
      </c>
      <c r="AE4" s="404" t="s">
        <v>375</v>
      </c>
      <c r="AF4" s="405"/>
      <c r="AG4" s="405"/>
      <c r="AH4" s="406"/>
      <c r="AI4" s="389" t="s">
        <v>373</v>
      </c>
      <c r="AJ4" s="404" t="s">
        <v>375</v>
      </c>
      <c r="AK4" s="405"/>
      <c r="AL4" s="405"/>
      <c r="AM4" s="406"/>
      <c r="AN4" s="389" t="s">
        <v>373</v>
      </c>
      <c r="AO4" s="404" t="s">
        <v>375</v>
      </c>
      <c r="AP4" s="405"/>
      <c r="AQ4" s="405"/>
      <c r="AR4" s="406"/>
      <c r="AS4" s="389" t="s">
        <v>373</v>
      </c>
      <c r="AT4" s="404" t="s">
        <v>375</v>
      </c>
      <c r="AU4" s="405"/>
      <c r="AV4" s="405"/>
      <c r="AW4" s="406"/>
      <c r="AX4" s="389" t="s">
        <v>373</v>
      </c>
      <c r="BA4" s="389" t="s">
        <v>373</v>
      </c>
    </row>
    <row r="5" spans="1:53" ht="14.25">
      <c r="A5" s="79"/>
      <c r="B5" s="389"/>
      <c r="C5" s="389"/>
      <c r="D5" s="389"/>
      <c r="E5" s="389" t="s">
        <v>380</v>
      </c>
      <c r="F5" s="389"/>
      <c r="G5" s="389"/>
      <c r="H5" s="418"/>
      <c r="I5" s="389" t="s">
        <v>380</v>
      </c>
      <c r="J5" s="389"/>
      <c r="K5" s="389"/>
      <c r="L5" s="418"/>
      <c r="M5" s="392"/>
      <c r="N5" s="389"/>
      <c r="O5" s="389"/>
      <c r="P5" s="404" t="s">
        <v>381</v>
      </c>
      <c r="Q5" s="405"/>
      <c r="R5" s="405"/>
      <c r="S5" s="406"/>
      <c r="T5" s="389"/>
      <c r="U5" s="404" t="s">
        <v>381</v>
      </c>
      <c r="V5" s="405"/>
      <c r="W5" s="405"/>
      <c r="X5" s="406"/>
      <c r="Y5" s="389"/>
      <c r="Z5" s="404" t="s">
        <v>381</v>
      </c>
      <c r="AA5" s="405"/>
      <c r="AB5" s="405"/>
      <c r="AC5" s="406"/>
      <c r="AD5" s="389"/>
      <c r="AE5" s="404" t="s">
        <v>381</v>
      </c>
      <c r="AF5" s="405"/>
      <c r="AG5" s="405"/>
      <c r="AH5" s="406"/>
      <c r="AI5" s="389"/>
      <c r="AJ5" s="404" t="s">
        <v>381</v>
      </c>
      <c r="AK5" s="405"/>
      <c r="AL5" s="405"/>
      <c r="AM5" s="406"/>
      <c r="AN5" s="389"/>
      <c r="AO5" s="404" t="s">
        <v>381</v>
      </c>
      <c r="AP5" s="405"/>
      <c r="AQ5" s="405"/>
      <c r="AR5" s="406"/>
      <c r="AS5" s="389"/>
      <c r="AT5" s="404" t="s">
        <v>381</v>
      </c>
      <c r="AU5" s="405"/>
      <c r="AV5" s="405"/>
      <c r="AW5" s="406"/>
      <c r="AX5" s="389"/>
      <c r="BA5" s="389"/>
    </row>
    <row r="6" spans="1:53" ht="14.25">
      <c r="A6" s="77"/>
      <c r="B6" s="389"/>
      <c r="C6" s="389"/>
      <c r="D6" s="389"/>
      <c r="E6" s="258" t="s">
        <v>382</v>
      </c>
      <c r="F6" s="258" t="s">
        <v>383</v>
      </c>
      <c r="G6" s="258" t="s">
        <v>384</v>
      </c>
      <c r="H6" s="419"/>
      <c r="I6" s="258" t="s">
        <v>382</v>
      </c>
      <c r="J6" s="258" t="s">
        <v>383</v>
      </c>
      <c r="K6" s="258" t="s">
        <v>384</v>
      </c>
      <c r="L6" s="419"/>
      <c r="M6" s="393"/>
      <c r="N6" s="389"/>
      <c r="O6" s="389"/>
      <c r="P6" s="258" t="s">
        <v>382</v>
      </c>
      <c r="Q6" s="258" t="s">
        <v>383</v>
      </c>
      <c r="R6" s="258" t="s">
        <v>384</v>
      </c>
      <c r="S6" s="258" t="s">
        <v>374</v>
      </c>
      <c r="T6" s="389"/>
      <c r="U6" s="258" t="s">
        <v>382</v>
      </c>
      <c r="V6" s="258" t="s">
        <v>383</v>
      </c>
      <c r="W6" s="258" t="s">
        <v>384</v>
      </c>
      <c r="X6" s="258" t="s">
        <v>374</v>
      </c>
      <c r="Y6" s="389"/>
      <c r="Z6" s="258" t="s">
        <v>382</v>
      </c>
      <c r="AA6" s="258" t="s">
        <v>383</v>
      </c>
      <c r="AB6" s="258" t="s">
        <v>384</v>
      </c>
      <c r="AC6" s="258" t="s">
        <v>374</v>
      </c>
      <c r="AD6" s="389"/>
      <c r="AE6" s="258" t="s">
        <v>382</v>
      </c>
      <c r="AF6" s="258" t="s">
        <v>383</v>
      </c>
      <c r="AG6" s="258" t="s">
        <v>384</v>
      </c>
      <c r="AH6" s="258" t="s">
        <v>374</v>
      </c>
      <c r="AI6" s="389"/>
      <c r="AJ6" s="258" t="s">
        <v>382</v>
      </c>
      <c r="AK6" s="258" t="s">
        <v>383</v>
      </c>
      <c r="AL6" s="258" t="s">
        <v>384</v>
      </c>
      <c r="AM6" s="258" t="s">
        <v>374</v>
      </c>
      <c r="AN6" s="389"/>
      <c r="AO6" s="258" t="s">
        <v>382</v>
      </c>
      <c r="AP6" s="258" t="s">
        <v>383</v>
      </c>
      <c r="AQ6" s="258" t="s">
        <v>384</v>
      </c>
      <c r="AR6" s="258" t="s">
        <v>374</v>
      </c>
      <c r="AS6" s="389"/>
      <c r="AT6" s="258" t="s">
        <v>382</v>
      </c>
      <c r="AU6" s="258" t="s">
        <v>383</v>
      </c>
      <c r="AV6" s="258" t="s">
        <v>384</v>
      </c>
      <c r="AW6" s="258" t="s">
        <v>374</v>
      </c>
      <c r="AX6" s="389"/>
      <c r="AZ6" s="258" t="s">
        <v>374</v>
      </c>
      <c r="BA6" s="389"/>
    </row>
    <row r="7" spans="1:53" ht="14.25">
      <c r="A7" s="79"/>
      <c r="B7" s="389" t="s">
        <v>416</v>
      </c>
      <c r="C7" s="182">
        <v>1</v>
      </c>
      <c r="D7" s="203" t="s">
        <v>642</v>
      </c>
      <c r="E7" s="166">
        <v>15</v>
      </c>
      <c r="F7" s="182">
        <v>1500</v>
      </c>
      <c r="G7" s="180">
        <v>100</v>
      </c>
      <c r="H7" s="401">
        <f>AVERAGE(G7:G21)</f>
        <v>93.333333333333329</v>
      </c>
      <c r="I7" s="166" t="str">
        <f t="shared" ref="I7:I20" si="0">IFERROR(AVERAGE(P7,U7,Z7,AE7,AJ7,AO7,AT7),"-")</f>
        <v>-</v>
      </c>
      <c r="J7" s="166">
        <f t="shared" ref="J7:J20" si="1">IFERROR(AVERAGE(Q7,V7,AA7,AF7,AK7,AP7,AU7),"-")</f>
        <v>1186.1966945356075</v>
      </c>
      <c r="K7" s="180">
        <f t="shared" ref="K7:K20" si="2">IFERROR(AVERAGE(R7,W7,AB7,AG7,AL7,AQ7,AV7),"-")</f>
        <v>79.079779635707155</v>
      </c>
      <c r="L7" s="401">
        <f>IFERROR(AVERAGE(K7:K21),"-")</f>
        <v>90.130272335127458</v>
      </c>
      <c r="M7" s="181">
        <f>RANK(K7, K$7:$K$21)</f>
        <v>3</v>
      </c>
      <c r="N7" s="389"/>
      <c r="O7" s="389"/>
      <c r="P7" s="182">
        <v>15</v>
      </c>
      <c r="Q7" s="166">
        <v>1103.4146341463411</v>
      </c>
      <c r="R7" s="166">
        <v>73.560975609756071</v>
      </c>
      <c r="S7" s="182">
        <f t="shared" ref="S7:S21" si="3">RANK(R7, R$7:R$21)</f>
        <v>2</v>
      </c>
      <c r="T7" s="390">
        <f t="shared" ref="T7" si="4">AVERAGE(R7:R21)</f>
        <v>82.60699925271679</v>
      </c>
      <c r="U7" s="182">
        <v>15</v>
      </c>
      <c r="V7" s="166">
        <v>1158.3050847457637</v>
      </c>
      <c r="W7" s="166">
        <v>77.220338983050908</v>
      </c>
      <c r="X7" s="182">
        <f t="shared" ref="X7:X21" si="5">RANK(W7, W$7:W$21)</f>
        <v>3</v>
      </c>
      <c r="Y7" s="390">
        <f t="shared" ref="Y7" si="6">AVERAGE(W7:W21)</f>
        <v>86.002634583296739</v>
      </c>
      <c r="Z7" s="182">
        <v>15</v>
      </c>
      <c r="AA7" s="166">
        <v>1124.5714285714328</v>
      </c>
      <c r="AB7" s="166">
        <v>74.971428571428845</v>
      </c>
      <c r="AC7" s="182">
        <f t="shared" ref="AC7:AC21" si="7">RANK(AB7, AB$7:AB$21)</f>
        <v>3</v>
      </c>
      <c r="AD7" s="390">
        <f t="shared" ref="AD7" si="8">AVERAGE(AB7:AB21)</f>
        <v>89.381386195503978</v>
      </c>
      <c r="AE7" s="390" t="e">
        <f t="shared" ref="AE7" si="9">AVERAGE(AC7:AC21)</f>
        <v>#VALUE!</v>
      </c>
      <c r="AF7" s="166">
        <v>1240.7999999999965</v>
      </c>
      <c r="AG7" s="166">
        <v>82.719999999999771</v>
      </c>
      <c r="AH7" s="182">
        <f t="shared" ref="AH7:AH21" si="10">RANK(AG7, AG$7:AG$21)</f>
        <v>3</v>
      </c>
      <c r="AI7" s="390">
        <f t="shared" ref="AI7" si="11">AVERAGE(AG7:AG21)</f>
        <v>107.5238095238094</v>
      </c>
      <c r="AJ7" s="182">
        <v>15</v>
      </c>
      <c r="AK7" s="166">
        <v>1192.0000000000011</v>
      </c>
      <c r="AL7" s="166">
        <v>79.46666666666674</v>
      </c>
      <c r="AM7" s="182">
        <f t="shared" ref="AM7:AM21" si="12">RANK(AL7, AL$7:AL$21)</f>
        <v>3</v>
      </c>
      <c r="AN7" s="390">
        <f t="shared" ref="AN7" si="13">AVERAGE(AL7:AL21)</f>
        <v>86.02442002442001</v>
      </c>
      <c r="AO7" s="182">
        <v>15</v>
      </c>
      <c r="AP7" s="166">
        <v>1274.0000000000045</v>
      </c>
      <c r="AQ7" s="166">
        <v>84.933333333333636</v>
      </c>
      <c r="AR7" s="182">
        <f t="shared" ref="AR7:AR21" si="14">RANK(AQ7, AQ$7:AQ$21)</f>
        <v>3</v>
      </c>
      <c r="AS7" s="390">
        <f t="shared" ref="AS7" si="15">AVERAGE(AQ7:AQ21)</f>
        <v>90.654056847545419</v>
      </c>
      <c r="AT7" s="182">
        <v>15</v>
      </c>
      <c r="AU7" s="166">
        <v>1210.2857142857129</v>
      </c>
      <c r="AV7" s="166">
        <v>80.685714285714184</v>
      </c>
      <c r="AW7" s="182">
        <f t="shared" ref="AW7:AW21" si="16">RANK(AV7, AV$7:AV$21)</f>
        <v>3</v>
      </c>
      <c r="AX7" s="390">
        <f t="shared" ref="AX7" si="17">AVERAGE(AV7:AV21)</f>
        <v>88.718599918599878</v>
      </c>
      <c r="AZ7" s="182" t="e">
        <f t="shared" ref="AZ7:AZ21" si="18">RANK(AY7, AY$7:AY$21)</f>
        <v>#N/A</v>
      </c>
      <c r="BA7" s="390" t="e">
        <f t="shared" ref="BA7" si="19">AVERAGE(AY7:AY21)</f>
        <v>#DIV/0!</v>
      </c>
    </row>
    <row r="8" spans="1:53" ht="15" customHeight="1">
      <c r="A8" s="79"/>
      <c r="B8" s="395"/>
      <c r="C8" s="182">
        <v>2</v>
      </c>
      <c r="D8" s="203" t="s">
        <v>659</v>
      </c>
      <c r="E8" s="166">
        <v>15</v>
      </c>
      <c r="F8" s="182">
        <v>1200</v>
      </c>
      <c r="G8" s="180">
        <v>80</v>
      </c>
      <c r="H8" s="402"/>
      <c r="I8" s="166">
        <f t="shared" si="0"/>
        <v>15</v>
      </c>
      <c r="J8" s="166">
        <f t="shared" si="1"/>
        <v>1210.8707482993207</v>
      </c>
      <c r="K8" s="180">
        <f t="shared" si="2"/>
        <v>80.724716553288047</v>
      </c>
      <c r="L8" s="402"/>
      <c r="M8" s="181">
        <f>RANK(K8, K$7:$K$21)</f>
        <v>2</v>
      </c>
      <c r="N8" s="389"/>
      <c r="O8" s="389"/>
      <c r="P8" s="182">
        <v>15</v>
      </c>
      <c r="Q8" s="166">
        <v>1085.7142857142867</v>
      </c>
      <c r="R8" s="166">
        <v>72.380952380952451</v>
      </c>
      <c r="S8" s="182">
        <f t="shared" si="3"/>
        <v>3</v>
      </c>
      <c r="T8" s="390"/>
      <c r="U8" s="182">
        <v>15</v>
      </c>
      <c r="V8" s="166">
        <v>1199.9999999999986</v>
      </c>
      <c r="W8" s="166">
        <v>79.999999999999915</v>
      </c>
      <c r="X8" s="182">
        <f t="shared" si="5"/>
        <v>2</v>
      </c>
      <c r="Y8" s="390"/>
      <c r="Z8" s="182">
        <v>15</v>
      </c>
      <c r="AA8" s="166">
        <v>1165.600000000002</v>
      </c>
      <c r="AB8" s="166">
        <v>77.706666666666791</v>
      </c>
      <c r="AC8" s="182">
        <f t="shared" si="7"/>
        <v>2</v>
      </c>
      <c r="AD8" s="390"/>
      <c r="AE8" s="390"/>
      <c r="AF8" s="166">
        <v>1249.2000000000005</v>
      </c>
      <c r="AG8" s="166">
        <v>83.28000000000003</v>
      </c>
      <c r="AH8" s="182">
        <f t="shared" si="10"/>
        <v>2</v>
      </c>
      <c r="AI8" s="390"/>
      <c r="AJ8" s="182">
        <v>15</v>
      </c>
      <c r="AK8" s="166">
        <v>1201.7142857142844</v>
      </c>
      <c r="AL8" s="166">
        <v>80.114285714285629</v>
      </c>
      <c r="AM8" s="182">
        <f t="shared" si="12"/>
        <v>2</v>
      </c>
      <c r="AN8" s="390"/>
      <c r="AO8" s="182">
        <v>15</v>
      </c>
      <c r="AP8" s="166">
        <v>1291.2000000000046</v>
      </c>
      <c r="AQ8" s="166">
        <v>86.080000000000311</v>
      </c>
      <c r="AR8" s="182">
        <f t="shared" si="14"/>
        <v>2</v>
      </c>
      <c r="AS8" s="390"/>
      <c r="AT8" s="182">
        <v>15</v>
      </c>
      <c r="AU8" s="166">
        <v>1282.6666666666665</v>
      </c>
      <c r="AV8" s="166">
        <v>85.511111111111106</v>
      </c>
      <c r="AW8" s="182">
        <f t="shared" si="16"/>
        <v>2</v>
      </c>
      <c r="AX8" s="390"/>
      <c r="AZ8" s="182" t="e">
        <f t="shared" si="18"/>
        <v>#N/A</v>
      </c>
      <c r="BA8" s="390"/>
    </row>
    <row r="9" spans="1:53" ht="14.25">
      <c r="A9" s="79"/>
      <c r="B9" s="395"/>
      <c r="C9" s="182">
        <v>3</v>
      </c>
      <c r="D9" s="203" t="s">
        <v>656</v>
      </c>
      <c r="E9" s="166">
        <v>15</v>
      </c>
      <c r="F9" s="182">
        <v>1500</v>
      </c>
      <c r="G9" s="180">
        <v>100</v>
      </c>
      <c r="H9" s="402"/>
      <c r="I9" s="166">
        <f t="shared" si="0"/>
        <v>14.666666666666666</v>
      </c>
      <c r="J9" s="166">
        <f t="shared" si="1"/>
        <v>1625.8045084319745</v>
      </c>
      <c r="K9" s="180">
        <f t="shared" si="2"/>
        <v>110.5863208163872</v>
      </c>
      <c r="L9" s="402"/>
      <c r="M9" s="181">
        <f>RANK(K9, K$7:$K$21)</f>
        <v>1</v>
      </c>
      <c r="N9" s="389"/>
      <c r="O9" s="389"/>
      <c r="P9" s="182">
        <v>15</v>
      </c>
      <c r="Q9" s="166">
        <v>1528.1860465116276</v>
      </c>
      <c r="R9" s="166">
        <v>101.87906976744185</v>
      </c>
      <c r="S9" s="182">
        <f t="shared" si="3"/>
        <v>1</v>
      </c>
      <c r="T9" s="390"/>
      <c r="U9" s="182">
        <v>15</v>
      </c>
      <c r="V9" s="166">
        <v>1511.8134715025906</v>
      </c>
      <c r="W9" s="166">
        <v>100.78756476683937</v>
      </c>
      <c r="X9" s="182">
        <f t="shared" si="5"/>
        <v>1</v>
      </c>
      <c r="Y9" s="390"/>
      <c r="Z9" s="182">
        <v>13</v>
      </c>
      <c r="AA9" s="166">
        <v>1501.0588235294115</v>
      </c>
      <c r="AB9" s="166">
        <v>115.46606334841627</v>
      </c>
      <c r="AC9" s="182">
        <f t="shared" si="7"/>
        <v>1</v>
      </c>
      <c r="AD9" s="390"/>
      <c r="AE9" s="390"/>
      <c r="AF9" s="166">
        <v>2348.5714285714262</v>
      </c>
      <c r="AG9" s="166">
        <v>156.57142857142841</v>
      </c>
      <c r="AH9" s="182">
        <f t="shared" si="10"/>
        <v>1</v>
      </c>
      <c r="AI9" s="390"/>
      <c r="AJ9" s="182">
        <v>15</v>
      </c>
      <c r="AK9" s="166">
        <v>1477.3846153846152</v>
      </c>
      <c r="AL9" s="166">
        <v>98.492307692307676</v>
      </c>
      <c r="AM9" s="182">
        <f t="shared" si="12"/>
        <v>1</v>
      </c>
      <c r="AN9" s="390"/>
      <c r="AO9" s="182">
        <v>15</v>
      </c>
      <c r="AP9" s="166">
        <v>1514.2325581395353</v>
      </c>
      <c r="AQ9" s="166">
        <v>100.94883720930235</v>
      </c>
      <c r="AR9" s="182">
        <f t="shared" si="14"/>
        <v>1</v>
      </c>
      <c r="AS9" s="390"/>
      <c r="AT9" s="182">
        <v>15</v>
      </c>
      <c r="AU9" s="166">
        <v>1499.3846153846152</v>
      </c>
      <c r="AV9" s="166">
        <v>99.958974358974345</v>
      </c>
      <c r="AW9" s="182">
        <f t="shared" si="16"/>
        <v>1</v>
      </c>
      <c r="AX9" s="390"/>
      <c r="AZ9" s="182" t="e">
        <f t="shared" si="18"/>
        <v>#N/A</v>
      </c>
      <c r="BA9" s="390"/>
    </row>
    <row r="10" spans="1:53" ht="14.25">
      <c r="A10" s="79"/>
      <c r="B10" s="395"/>
      <c r="C10" s="182">
        <v>4</v>
      </c>
      <c r="D10" s="203"/>
      <c r="E10" s="166"/>
      <c r="F10" s="182"/>
      <c r="G10" s="180"/>
      <c r="H10" s="402"/>
      <c r="I10" s="166" t="str">
        <f t="shared" si="0"/>
        <v>-</v>
      </c>
      <c r="J10" s="166" t="str">
        <f t="shared" si="1"/>
        <v>-</v>
      </c>
      <c r="K10" s="180" t="str">
        <f t="shared" si="2"/>
        <v>-</v>
      </c>
      <c r="L10" s="402"/>
      <c r="M10" s="181" t="e">
        <f>RANK(K10, K$7:$K$21)</f>
        <v>#VALUE!</v>
      </c>
      <c r="N10" s="389"/>
      <c r="O10" s="389"/>
      <c r="P10" s="182" t="s">
        <v>634</v>
      </c>
      <c r="Q10" s="166" t="s">
        <v>634</v>
      </c>
      <c r="R10" s="166" t="s">
        <v>634</v>
      </c>
      <c r="S10" s="182" t="e">
        <f t="shared" si="3"/>
        <v>#VALUE!</v>
      </c>
      <c r="T10" s="390"/>
      <c r="U10" s="182" t="s">
        <v>634</v>
      </c>
      <c r="V10" s="166" t="s">
        <v>634</v>
      </c>
      <c r="W10" s="166" t="s">
        <v>634</v>
      </c>
      <c r="X10" s="182" t="e">
        <f t="shared" si="5"/>
        <v>#VALUE!</v>
      </c>
      <c r="Y10" s="390"/>
      <c r="Z10" s="182" t="s">
        <v>634</v>
      </c>
      <c r="AA10" s="166" t="s">
        <v>634</v>
      </c>
      <c r="AB10" s="166" t="s">
        <v>634</v>
      </c>
      <c r="AC10" s="182" t="e">
        <f t="shared" si="7"/>
        <v>#VALUE!</v>
      </c>
      <c r="AD10" s="390"/>
      <c r="AE10" s="390"/>
      <c r="AF10" s="166" t="s">
        <v>634</v>
      </c>
      <c r="AG10" s="166" t="s">
        <v>634</v>
      </c>
      <c r="AH10" s="182" t="e">
        <f t="shared" si="10"/>
        <v>#VALUE!</v>
      </c>
      <c r="AI10" s="390"/>
      <c r="AJ10" s="182" t="s">
        <v>634</v>
      </c>
      <c r="AK10" s="166" t="s">
        <v>634</v>
      </c>
      <c r="AL10" s="166" t="s">
        <v>634</v>
      </c>
      <c r="AM10" s="182" t="e">
        <f t="shared" si="12"/>
        <v>#VALUE!</v>
      </c>
      <c r="AN10" s="390"/>
      <c r="AO10" s="182" t="s">
        <v>634</v>
      </c>
      <c r="AP10" s="166" t="s">
        <v>634</v>
      </c>
      <c r="AQ10" s="166" t="s">
        <v>634</v>
      </c>
      <c r="AR10" s="182" t="e">
        <f t="shared" si="14"/>
        <v>#VALUE!</v>
      </c>
      <c r="AS10" s="390"/>
      <c r="AT10" s="182" t="s">
        <v>634</v>
      </c>
      <c r="AU10" s="166" t="s">
        <v>634</v>
      </c>
      <c r="AV10" s="166" t="s">
        <v>634</v>
      </c>
      <c r="AW10" s="182" t="e">
        <f t="shared" si="16"/>
        <v>#VALUE!</v>
      </c>
      <c r="AX10" s="390"/>
      <c r="AZ10" s="182" t="e">
        <f t="shared" si="18"/>
        <v>#N/A</v>
      </c>
      <c r="BA10" s="390"/>
    </row>
    <row r="11" spans="1:53" ht="14.25">
      <c r="A11" s="79"/>
      <c r="B11" s="395"/>
      <c r="C11" s="182">
        <v>5</v>
      </c>
      <c r="D11" s="203"/>
      <c r="E11" s="166"/>
      <c r="F11" s="182"/>
      <c r="G11" s="180"/>
      <c r="H11" s="402"/>
      <c r="I11" s="166" t="str">
        <f t="shared" si="0"/>
        <v>-</v>
      </c>
      <c r="J11" s="166" t="str">
        <f t="shared" si="1"/>
        <v>-</v>
      </c>
      <c r="K11" s="180" t="str">
        <f t="shared" si="2"/>
        <v>-</v>
      </c>
      <c r="L11" s="402"/>
      <c r="M11" s="181" t="e">
        <f>RANK(K11, K$7:$K$21)</f>
        <v>#VALUE!</v>
      </c>
      <c r="N11" s="389"/>
      <c r="O11" s="389"/>
      <c r="P11" s="182" t="s">
        <v>634</v>
      </c>
      <c r="Q11" s="166" t="s">
        <v>634</v>
      </c>
      <c r="R11" s="166" t="s">
        <v>634</v>
      </c>
      <c r="S11" s="182" t="e">
        <f t="shared" si="3"/>
        <v>#VALUE!</v>
      </c>
      <c r="T11" s="390"/>
      <c r="U11" s="182" t="s">
        <v>634</v>
      </c>
      <c r="V11" s="166" t="s">
        <v>634</v>
      </c>
      <c r="W11" s="166" t="s">
        <v>634</v>
      </c>
      <c r="X11" s="182" t="e">
        <f t="shared" si="5"/>
        <v>#VALUE!</v>
      </c>
      <c r="Y11" s="390"/>
      <c r="Z11" s="182" t="s">
        <v>634</v>
      </c>
      <c r="AA11" s="166" t="s">
        <v>634</v>
      </c>
      <c r="AB11" s="166" t="s">
        <v>634</v>
      </c>
      <c r="AC11" s="182" t="e">
        <f t="shared" si="7"/>
        <v>#VALUE!</v>
      </c>
      <c r="AD11" s="390"/>
      <c r="AE11" s="390"/>
      <c r="AF11" s="166" t="s">
        <v>634</v>
      </c>
      <c r="AG11" s="166" t="s">
        <v>634</v>
      </c>
      <c r="AH11" s="182" t="e">
        <f t="shared" si="10"/>
        <v>#VALUE!</v>
      </c>
      <c r="AI11" s="390"/>
      <c r="AJ11" s="182" t="s">
        <v>634</v>
      </c>
      <c r="AK11" s="166" t="s">
        <v>634</v>
      </c>
      <c r="AL11" s="166" t="s">
        <v>634</v>
      </c>
      <c r="AM11" s="182" t="e">
        <f t="shared" si="12"/>
        <v>#VALUE!</v>
      </c>
      <c r="AN11" s="390"/>
      <c r="AO11" s="182" t="s">
        <v>634</v>
      </c>
      <c r="AP11" s="166" t="s">
        <v>634</v>
      </c>
      <c r="AQ11" s="166" t="s">
        <v>634</v>
      </c>
      <c r="AR11" s="182" t="e">
        <f t="shared" si="14"/>
        <v>#VALUE!</v>
      </c>
      <c r="AS11" s="390"/>
      <c r="AT11" s="182" t="s">
        <v>634</v>
      </c>
      <c r="AU11" s="166" t="s">
        <v>634</v>
      </c>
      <c r="AV11" s="166" t="s">
        <v>634</v>
      </c>
      <c r="AW11" s="182" t="e">
        <f t="shared" si="16"/>
        <v>#VALUE!</v>
      </c>
      <c r="AX11" s="390"/>
      <c r="AZ11" s="182" t="e">
        <f t="shared" si="18"/>
        <v>#N/A</v>
      </c>
      <c r="BA11" s="390"/>
    </row>
    <row r="12" spans="1:53" ht="14.25">
      <c r="A12" s="79"/>
      <c r="B12" s="395"/>
      <c r="C12" s="182">
        <v>6</v>
      </c>
      <c r="D12" s="203"/>
      <c r="E12" s="166"/>
      <c r="F12" s="182"/>
      <c r="G12" s="180"/>
      <c r="H12" s="402"/>
      <c r="I12" s="166" t="str">
        <f t="shared" si="0"/>
        <v>-</v>
      </c>
      <c r="J12" s="166" t="str">
        <f t="shared" si="1"/>
        <v>-</v>
      </c>
      <c r="K12" s="180" t="str">
        <f t="shared" si="2"/>
        <v>-</v>
      </c>
      <c r="L12" s="402"/>
      <c r="M12" s="181" t="e">
        <f>RANK(K12, K$7:$K$21)</f>
        <v>#VALUE!</v>
      </c>
      <c r="N12" s="389"/>
      <c r="O12" s="389"/>
      <c r="P12" s="182" t="s">
        <v>634</v>
      </c>
      <c r="Q12" s="166" t="s">
        <v>634</v>
      </c>
      <c r="R12" s="166" t="s">
        <v>634</v>
      </c>
      <c r="S12" s="182" t="e">
        <f t="shared" si="3"/>
        <v>#VALUE!</v>
      </c>
      <c r="T12" s="390"/>
      <c r="U12" s="182" t="s">
        <v>634</v>
      </c>
      <c r="V12" s="166" t="s">
        <v>634</v>
      </c>
      <c r="W12" s="166" t="s">
        <v>634</v>
      </c>
      <c r="X12" s="182" t="e">
        <f t="shared" si="5"/>
        <v>#VALUE!</v>
      </c>
      <c r="Y12" s="390"/>
      <c r="Z12" s="182" t="s">
        <v>634</v>
      </c>
      <c r="AA12" s="166" t="s">
        <v>634</v>
      </c>
      <c r="AB12" s="166" t="s">
        <v>634</v>
      </c>
      <c r="AC12" s="182" t="e">
        <f t="shared" si="7"/>
        <v>#VALUE!</v>
      </c>
      <c r="AD12" s="390"/>
      <c r="AE12" s="390"/>
      <c r="AF12" s="166" t="s">
        <v>634</v>
      </c>
      <c r="AG12" s="166" t="s">
        <v>634</v>
      </c>
      <c r="AH12" s="182" t="e">
        <f t="shared" si="10"/>
        <v>#VALUE!</v>
      </c>
      <c r="AI12" s="390"/>
      <c r="AJ12" s="182" t="s">
        <v>634</v>
      </c>
      <c r="AK12" s="166" t="s">
        <v>634</v>
      </c>
      <c r="AL12" s="166" t="s">
        <v>634</v>
      </c>
      <c r="AM12" s="182" t="e">
        <f t="shared" si="12"/>
        <v>#VALUE!</v>
      </c>
      <c r="AN12" s="390"/>
      <c r="AO12" s="182" t="s">
        <v>634</v>
      </c>
      <c r="AP12" s="166" t="s">
        <v>634</v>
      </c>
      <c r="AQ12" s="166" t="s">
        <v>634</v>
      </c>
      <c r="AR12" s="182" t="e">
        <f t="shared" si="14"/>
        <v>#VALUE!</v>
      </c>
      <c r="AS12" s="390"/>
      <c r="AT12" s="182" t="s">
        <v>634</v>
      </c>
      <c r="AU12" s="166" t="s">
        <v>634</v>
      </c>
      <c r="AV12" s="166" t="s">
        <v>634</v>
      </c>
      <c r="AW12" s="182" t="e">
        <f t="shared" si="16"/>
        <v>#VALUE!</v>
      </c>
      <c r="AX12" s="390"/>
      <c r="AZ12" s="182" t="e">
        <f t="shared" si="18"/>
        <v>#N/A</v>
      </c>
      <c r="BA12" s="390"/>
    </row>
    <row r="13" spans="1:53" ht="14.25">
      <c r="A13" s="79"/>
      <c r="B13" s="395"/>
      <c r="C13" s="182">
        <v>7</v>
      </c>
      <c r="D13" s="203"/>
      <c r="E13" s="166"/>
      <c r="F13" s="182"/>
      <c r="G13" s="180"/>
      <c r="H13" s="402"/>
      <c r="I13" s="166" t="str">
        <f t="shared" si="0"/>
        <v>-</v>
      </c>
      <c r="J13" s="166" t="str">
        <f t="shared" si="1"/>
        <v>-</v>
      </c>
      <c r="K13" s="180" t="str">
        <f t="shared" si="2"/>
        <v>-</v>
      </c>
      <c r="L13" s="402"/>
      <c r="M13" s="181" t="e">
        <f>RANK(K13, K$7:$K$21)</f>
        <v>#VALUE!</v>
      </c>
      <c r="N13" s="389"/>
      <c r="O13" s="389"/>
      <c r="P13" s="182" t="s">
        <v>634</v>
      </c>
      <c r="Q13" s="166" t="s">
        <v>634</v>
      </c>
      <c r="R13" s="166" t="s">
        <v>634</v>
      </c>
      <c r="S13" s="182" t="e">
        <f t="shared" si="3"/>
        <v>#VALUE!</v>
      </c>
      <c r="T13" s="390"/>
      <c r="U13" s="182" t="s">
        <v>634</v>
      </c>
      <c r="V13" s="166" t="s">
        <v>634</v>
      </c>
      <c r="W13" s="166" t="s">
        <v>634</v>
      </c>
      <c r="X13" s="182" t="e">
        <f t="shared" si="5"/>
        <v>#VALUE!</v>
      </c>
      <c r="Y13" s="390"/>
      <c r="Z13" s="182" t="s">
        <v>634</v>
      </c>
      <c r="AA13" s="166" t="s">
        <v>634</v>
      </c>
      <c r="AB13" s="166" t="s">
        <v>634</v>
      </c>
      <c r="AC13" s="182" t="e">
        <f t="shared" si="7"/>
        <v>#VALUE!</v>
      </c>
      <c r="AD13" s="390"/>
      <c r="AE13" s="390"/>
      <c r="AF13" s="166" t="s">
        <v>634</v>
      </c>
      <c r="AG13" s="166" t="s">
        <v>634</v>
      </c>
      <c r="AH13" s="182" t="e">
        <f t="shared" si="10"/>
        <v>#VALUE!</v>
      </c>
      <c r="AI13" s="390"/>
      <c r="AJ13" s="182" t="s">
        <v>634</v>
      </c>
      <c r="AK13" s="166" t="s">
        <v>634</v>
      </c>
      <c r="AL13" s="166" t="s">
        <v>634</v>
      </c>
      <c r="AM13" s="182" t="e">
        <f t="shared" si="12"/>
        <v>#VALUE!</v>
      </c>
      <c r="AN13" s="390"/>
      <c r="AO13" s="182" t="s">
        <v>634</v>
      </c>
      <c r="AP13" s="166" t="s">
        <v>634</v>
      </c>
      <c r="AQ13" s="166" t="s">
        <v>634</v>
      </c>
      <c r="AR13" s="182" t="e">
        <f t="shared" si="14"/>
        <v>#VALUE!</v>
      </c>
      <c r="AS13" s="390"/>
      <c r="AT13" s="182" t="s">
        <v>634</v>
      </c>
      <c r="AU13" s="166" t="s">
        <v>634</v>
      </c>
      <c r="AV13" s="166" t="s">
        <v>634</v>
      </c>
      <c r="AW13" s="182" t="e">
        <f t="shared" si="16"/>
        <v>#VALUE!</v>
      </c>
      <c r="AX13" s="390"/>
      <c r="AZ13" s="182" t="e">
        <f t="shared" si="18"/>
        <v>#N/A</v>
      </c>
      <c r="BA13" s="390"/>
    </row>
    <row r="14" spans="1:53" ht="14.25">
      <c r="A14" s="79"/>
      <c r="B14" s="395"/>
      <c r="C14" s="182">
        <v>8</v>
      </c>
      <c r="D14" s="203"/>
      <c r="E14" s="166"/>
      <c r="F14" s="182"/>
      <c r="G14" s="180"/>
      <c r="H14" s="402"/>
      <c r="I14" s="166" t="str">
        <f t="shared" si="0"/>
        <v>-</v>
      </c>
      <c r="J14" s="166" t="str">
        <f t="shared" si="1"/>
        <v>-</v>
      </c>
      <c r="K14" s="180" t="str">
        <f t="shared" si="2"/>
        <v>-</v>
      </c>
      <c r="L14" s="402"/>
      <c r="M14" s="181" t="e">
        <f>RANK(K14, K$7:$K$21)</f>
        <v>#VALUE!</v>
      </c>
      <c r="N14" s="389"/>
      <c r="O14" s="389"/>
      <c r="P14" s="182" t="s">
        <v>634</v>
      </c>
      <c r="Q14" s="166" t="s">
        <v>634</v>
      </c>
      <c r="R14" s="166" t="s">
        <v>634</v>
      </c>
      <c r="S14" s="182" t="e">
        <f t="shared" si="3"/>
        <v>#VALUE!</v>
      </c>
      <c r="T14" s="390"/>
      <c r="U14" s="182" t="s">
        <v>634</v>
      </c>
      <c r="V14" s="166" t="s">
        <v>634</v>
      </c>
      <c r="W14" s="166" t="s">
        <v>634</v>
      </c>
      <c r="X14" s="182" t="e">
        <f t="shared" si="5"/>
        <v>#VALUE!</v>
      </c>
      <c r="Y14" s="390"/>
      <c r="Z14" s="182" t="s">
        <v>634</v>
      </c>
      <c r="AA14" s="166" t="s">
        <v>634</v>
      </c>
      <c r="AB14" s="166" t="s">
        <v>634</v>
      </c>
      <c r="AC14" s="182" t="e">
        <f t="shared" si="7"/>
        <v>#VALUE!</v>
      </c>
      <c r="AD14" s="390"/>
      <c r="AE14" s="390"/>
      <c r="AF14" s="166" t="s">
        <v>634</v>
      </c>
      <c r="AG14" s="166" t="s">
        <v>634</v>
      </c>
      <c r="AH14" s="182" t="e">
        <f t="shared" si="10"/>
        <v>#VALUE!</v>
      </c>
      <c r="AI14" s="390"/>
      <c r="AJ14" s="182" t="s">
        <v>634</v>
      </c>
      <c r="AK14" s="166" t="s">
        <v>634</v>
      </c>
      <c r="AL14" s="166" t="s">
        <v>634</v>
      </c>
      <c r="AM14" s="182" t="e">
        <f t="shared" si="12"/>
        <v>#VALUE!</v>
      </c>
      <c r="AN14" s="390"/>
      <c r="AO14" s="182" t="s">
        <v>634</v>
      </c>
      <c r="AP14" s="166" t="s">
        <v>634</v>
      </c>
      <c r="AQ14" s="166" t="s">
        <v>634</v>
      </c>
      <c r="AR14" s="182" t="e">
        <f t="shared" si="14"/>
        <v>#VALUE!</v>
      </c>
      <c r="AS14" s="390"/>
      <c r="AT14" s="182" t="s">
        <v>634</v>
      </c>
      <c r="AU14" s="166" t="s">
        <v>634</v>
      </c>
      <c r="AV14" s="166" t="s">
        <v>634</v>
      </c>
      <c r="AW14" s="182" t="e">
        <f t="shared" si="16"/>
        <v>#VALUE!</v>
      </c>
      <c r="AX14" s="390"/>
      <c r="AZ14" s="182" t="e">
        <f t="shared" si="18"/>
        <v>#N/A</v>
      </c>
      <c r="BA14" s="390"/>
    </row>
    <row r="15" spans="1:53" ht="14.25">
      <c r="A15" s="79"/>
      <c r="B15" s="395"/>
      <c r="C15" s="182">
        <v>9</v>
      </c>
      <c r="D15" s="203"/>
      <c r="E15" s="166"/>
      <c r="F15" s="182"/>
      <c r="G15" s="180"/>
      <c r="H15" s="402"/>
      <c r="I15" s="166" t="str">
        <f t="shared" si="0"/>
        <v>-</v>
      </c>
      <c r="J15" s="166" t="str">
        <f t="shared" si="1"/>
        <v>-</v>
      </c>
      <c r="K15" s="180" t="str">
        <f t="shared" si="2"/>
        <v>-</v>
      </c>
      <c r="L15" s="402"/>
      <c r="M15" s="181" t="e">
        <f>RANK(K15, K$7:$K$21)</f>
        <v>#VALUE!</v>
      </c>
      <c r="N15" s="389"/>
      <c r="O15" s="389"/>
      <c r="P15" s="182" t="s">
        <v>634</v>
      </c>
      <c r="Q15" s="166" t="s">
        <v>634</v>
      </c>
      <c r="R15" s="166" t="s">
        <v>634</v>
      </c>
      <c r="S15" s="182" t="e">
        <f t="shared" si="3"/>
        <v>#VALUE!</v>
      </c>
      <c r="T15" s="390"/>
      <c r="U15" s="182" t="s">
        <v>634</v>
      </c>
      <c r="V15" s="166" t="s">
        <v>634</v>
      </c>
      <c r="W15" s="166" t="s">
        <v>634</v>
      </c>
      <c r="X15" s="182" t="e">
        <f t="shared" si="5"/>
        <v>#VALUE!</v>
      </c>
      <c r="Y15" s="390"/>
      <c r="Z15" s="182" t="s">
        <v>634</v>
      </c>
      <c r="AA15" s="166" t="s">
        <v>634</v>
      </c>
      <c r="AB15" s="166" t="s">
        <v>634</v>
      </c>
      <c r="AC15" s="182" t="e">
        <f t="shared" si="7"/>
        <v>#VALUE!</v>
      </c>
      <c r="AD15" s="390"/>
      <c r="AE15" s="390"/>
      <c r="AF15" s="166" t="s">
        <v>634</v>
      </c>
      <c r="AG15" s="166" t="s">
        <v>634</v>
      </c>
      <c r="AH15" s="182" t="e">
        <f t="shared" si="10"/>
        <v>#VALUE!</v>
      </c>
      <c r="AI15" s="390"/>
      <c r="AJ15" s="182" t="s">
        <v>634</v>
      </c>
      <c r="AK15" s="166" t="s">
        <v>634</v>
      </c>
      <c r="AL15" s="166" t="s">
        <v>634</v>
      </c>
      <c r="AM15" s="182" t="e">
        <f t="shared" si="12"/>
        <v>#VALUE!</v>
      </c>
      <c r="AN15" s="390"/>
      <c r="AO15" s="182" t="s">
        <v>634</v>
      </c>
      <c r="AP15" s="166" t="s">
        <v>634</v>
      </c>
      <c r="AQ15" s="166" t="s">
        <v>634</v>
      </c>
      <c r="AR15" s="182" t="e">
        <f t="shared" si="14"/>
        <v>#VALUE!</v>
      </c>
      <c r="AS15" s="390"/>
      <c r="AT15" s="182" t="s">
        <v>634</v>
      </c>
      <c r="AU15" s="166" t="s">
        <v>634</v>
      </c>
      <c r="AV15" s="166" t="s">
        <v>634</v>
      </c>
      <c r="AW15" s="182" t="e">
        <f t="shared" si="16"/>
        <v>#VALUE!</v>
      </c>
      <c r="AX15" s="390"/>
      <c r="AZ15" s="182" t="e">
        <f t="shared" si="18"/>
        <v>#N/A</v>
      </c>
      <c r="BA15" s="390"/>
    </row>
    <row r="16" spans="1:53" ht="14.25">
      <c r="A16" s="79"/>
      <c r="B16" s="395"/>
      <c r="C16" s="182">
        <v>10</v>
      </c>
      <c r="D16" s="203"/>
      <c r="E16" s="166"/>
      <c r="F16" s="182"/>
      <c r="G16" s="180"/>
      <c r="H16" s="402"/>
      <c r="I16" s="166" t="str">
        <f t="shared" si="0"/>
        <v>-</v>
      </c>
      <c r="J16" s="166" t="str">
        <f t="shared" si="1"/>
        <v>-</v>
      </c>
      <c r="K16" s="180" t="str">
        <f t="shared" si="2"/>
        <v>-</v>
      </c>
      <c r="L16" s="402"/>
      <c r="M16" s="181" t="e">
        <f>RANK(K16, K$7:$K$21)</f>
        <v>#VALUE!</v>
      </c>
      <c r="N16" s="389"/>
      <c r="O16" s="389"/>
      <c r="P16" s="182" t="s">
        <v>634</v>
      </c>
      <c r="Q16" s="166" t="s">
        <v>634</v>
      </c>
      <c r="R16" s="166" t="s">
        <v>634</v>
      </c>
      <c r="S16" s="182" t="e">
        <f t="shared" si="3"/>
        <v>#VALUE!</v>
      </c>
      <c r="T16" s="390"/>
      <c r="U16" s="182" t="s">
        <v>634</v>
      </c>
      <c r="V16" s="166" t="s">
        <v>634</v>
      </c>
      <c r="W16" s="166" t="s">
        <v>634</v>
      </c>
      <c r="X16" s="182" t="e">
        <f t="shared" si="5"/>
        <v>#VALUE!</v>
      </c>
      <c r="Y16" s="390"/>
      <c r="Z16" s="182" t="s">
        <v>634</v>
      </c>
      <c r="AA16" s="166" t="s">
        <v>634</v>
      </c>
      <c r="AB16" s="166" t="s">
        <v>634</v>
      </c>
      <c r="AC16" s="182" t="e">
        <f t="shared" si="7"/>
        <v>#VALUE!</v>
      </c>
      <c r="AD16" s="390"/>
      <c r="AE16" s="390"/>
      <c r="AF16" s="166" t="s">
        <v>634</v>
      </c>
      <c r="AG16" s="166" t="s">
        <v>634</v>
      </c>
      <c r="AH16" s="182" t="e">
        <f t="shared" si="10"/>
        <v>#VALUE!</v>
      </c>
      <c r="AI16" s="390"/>
      <c r="AJ16" s="182" t="s">
        <v>634</v>
      </c>
      <c r="AK16" s="166" t="s">
        <v>634</v>
      </c>
      <c r="AL16" s="166" t="s">
        <v>634</v>
      </c>
      <c r="AM16" s="182" t="e">
        <f t="shared" si="12"/>
        <v>#VALUE!</v>
      </c>
      <c r="AN16" s="390"/>
      <c r="AO16" s="182" t="s">
        <v>634</v>
      </c>
      <c r="AP16" s="166" t="s">
        <v>634</v>
      </c>
      <c r="AQ16" s="166" t="s">
        <v>634</v>
      </c>
      <c r="AR16" s="182" t="e">
        <f t="shared" si="14"/>
        <v>#VALUE!</v>
      </c>
      <c r="AS16" s="390"/>
      <c r="AT16" s="182" t="s">
        <v>634</v>
      </c>
      <c r="AU16" s="166" t="s">
        <v>634</v>
      </c>
      <c r="AV16" s="166" t="s">
        <v>634</v>
      </c>
      <c r="AW16" s="182" t="e">
        <f t="shared" si="16"/>
        <v>#VALUE!</v>
      </c>
      <c r="AX16" s="390"/>
      <c r="AZ16" s="182" t="e">
        <f t="shared" si="18"/>
        <v>#N/A</v>
      </c>
      <c r="BA16" s="390"/>
    </row>
    <row r="17" spans="2:53">
      <c r="B17" s="395"/>
      <c r="C17" s="182">
        <v>11</v>
      </c>
      <c r="D17" s="203"/>
      <c r="E17" s="166"/>
      <c r="F17" s="182"/>
      <c r="G17" s="180"/>
      <c r="H17" s="402"/>
      <c r="I17" s="166" t="str">
        <f t="shared" si="0"/>
        <v>-</v>
      </c>
      <c r="J17" s="166" t="str">
        <f t="shared" si="1"/>
        <v>-</v>
      </c>
      <c r="K17" s="180" t="str">
        <f t="shared" si="2"/>
        <v>-</v>
      </c>
      <c r="L17" s="402"/>
      <c r="M17" s="181" t="e">
        <f>RANK(K17, K$7:$K$21)</f>
        <v>#VALUE!</v>
      </c>
      <c r="N17" s="389"/>
      <c r="O17" s="389"/>
      <c r="P17" s="182" t="s">
        <v>634</v>
      </c>
      <c r="Q17" s="166" t="s">
        <v>634</v>
      </c>
      <c r="R17" s="166" t="s">
        <v>634</v>
      </c>
      <c r="S17" s="182" t="e">
        <f t="shared" si="3"/>
        <v>#VALUE!</v>
      </c>
      <c r="T17" s="390"/>
      <c r="U17" s="182" t="s">
        <v>634</v>
      </c>
      <c r="V17" s="166" t="s">
        <v>634</v>
      </c>
      <c r="W17" s="166" t="s">
        <v>634</v>
      </c>
      <c r="X17" s="182" t="e">
        <f t="shared" si="5"/>
        <v>#VALUE!</v>
      </c>
      <c r="Y17" s="390"/>
      <c r="Z17" s="182" t="s">
        <v>634</v>
      </c>
      <c r="AA17" s="166" t="s">
        <v>634</v>
      </c>
      <c r="AB17" s="166" t="s">
        <v>634</v>
      </c>
      <c r="AC17" s="182" t="e">
        <f t="shared" si="7"/>
        <v>#VALUE!</v>
      </c>
      <c r="AD17" s="390"/>
      <c r="AE17" s="390"/>
      <c r="AF17" s="166" t="s">
        <v>634</v>
      </c>
      <c r="AG17" s="166" t="s">
        <v>634</v>
      </c>
      <c r="AH17" s="182" t="e">
        <f t="shared" si="10"/>
        <v>#VALUE!</v>
      </c>
      <c r="AI17" s="390"/>
      <c r="AJ17" s="182" t="s">
        <v>634</v>
      </c>
      <c r="AK17" s="166" t="s">
        <v>634</v>
      </c>
      <c r="AL17" s="166" t="s">
        <v>634</v>
      </c>
      <c r="AM17" s="182" t="e">
        <f t="shared" si="12"/>
        <v>#VALUE!</v>
      </c>
      <c r="AN17" s="390"/>
      <c r="AO17" s="182" t="s">
        <v>634</v>
      </c>
      <c r="AP17" s="166" t="s">
        <v>634</v>
      </c>
      <c r="AQ17" s="166" t="s">
        <v>634</v>
      </c>
      <c r="AR17" s="182" t="e">
        <f t="shared" si="14"/>
        <v>#VALUE!</v>
      </c>
      <c r="AS17" s="390"/>
      <c r="AT17" s="182" t="s">
        <v>634</v>
      </c>
      <c r="AU17" s="166" t="s">
        <v>634</v>
      </c>
      <c r="AV17" s="166" t="s">
        <v>634</v>
      </c>
      <c r="AW17" s="182" t="e">
        <f t="shared" si="16"/>
        <v>#VALUE!</v>
      </c>
      <c r="AX17" s="390"/>
      <c r="AZ17" s="182" t="e">
        <f t="shared" si="18"/>
        <v>#N/A</v>
      </c>
      <c r="BA17" s="390"/>
    </row>
    <row r="18" spans="2:53">
      <c r="B18" s="395"/>
      <c r="C18" s="182">
        <v>12</v>
      </c>
      <c r="D18" s="203"/>
      <c r="E18" s="166"/>
      <c r="F18" s="182"/>
      <c r="G18" s="180"/>
      <c r="H18" s="402"/>
      <c r="I18" s="166" t="str">
        <f t="shared" si="0"/>
        <v>-</v>
      </c>
      <c r="J18" s="166" t="str">
        <f t="shared" si="1"/>
        <v>-</v>
      </c>
      <c r="K18" s="180" t="str">
        <f t="shared" si="2"/>
        <v>-</v>
      </c>
      <c r="L18" s="402"/>
      <c r="M18" s="181" t="e">
        <f>RANK(K18, K$7:$K$21)</f>
        <v>#VALUE!</v>
      </c>
      <c r="N18" s="389"/>
      <c r="O18" s="389"/>
      <c r="P18" s="182" t="s">
        <v>634</v>
      </c>
      <c r="Q18" s="166" t="s">
        <v>634</v>
      </c>
      <c r="R18" s="166" t="s">
        <v>634</v>
      </c>
      <c r="S18" s="182" t="e">
        <f t="shared" si="3"/>
        <v>#VALUE!</v>
      </c>
      <c r="T18" s="390"/>
      <c r="U18" s="182" t="s">
        <v>634</v>
      </c>
      <c r="V18" s="166" t="s">
        <v>634</v>
      </c>
      <c r="W18" s="166" t="s">
        <v>634</v>
      </c>
      <c r="X18" s="182" t="e">
        <f t="shared" si="5"/>
        <v>#VALUE!</v>
      </c>
      <c r="Y18" s="390"/>
      <c r="Z18" s="182" t="s">
        <v>634</v>
      </c>
      <c r="AA18" s="166" t="s">
        <v>634</v>
      </c>
      <c r="AB18" s="166" t="s">
        <v>634</v>
      </c>
      <c r="AC18" s="182" t="e">
        <f t="shared" si="7"/>
        <v>#VALUE!</v>
      </c>
      <c r="AD18" s="390"/>
      <c r="AE18" s="390"/>
      <c r="AF18" s="166" t="s">
        <v>634</v>
      </c>
      <c r="AG18" s="166" t="s">
        <v>634</v>
      </c>
      <c r="AH18" s="182" t="e">
        <f t="shared" si="10"/>
        <v>#VALUE!</v>
      </c>
      <c r="AI18" s="390"/>
      <c r="AJ18" s="182" t="s">
        <v>634</v>
      </c>
      <c r="AK18" s="166" t="s">
        <v>634</v>
      </c>
      <c r="AL18" s="166" t="s">
        <v>634</v>
      </c>
      <c r="AM18" s="182" t="e">
        <f t="shared" si="12"/>
        <v>#VALUE!</v>
      </c>
      <c r="AN18" s="390"/>
      <c r="AO18" s="182" t="s">
        <v>634</v>
      </c>
      <c r="AP18" s="166" t="s">
        <v>634</v>
      </c>
      <c r="AQ18" s="166" t="s">
        <v>634</v>
      </c>
      <c r="AR18" s="182" t="e">
        <f t="shared" si="14"/>
        <v>#VALUE!</v>
      </c>
      <c r="AS18" s="390"/>
      <c r="AT18" s="182"/>
      <c r="AU18" s="166"/>
      <c r="AV18" s="166"/>
      <c r="AW18" s="182" t="e">
        <f t="shared" si="16"/>
        <v>#N/A</v>
      </c>
      <c r="AX18" s="390"/>
      <c r="AZ18" s="182" t="e">
        <f t="shared" si="18"/>
        <v>#N/A</v>
      </c>
      <c r="BA18" s="390"/>
    </row>
    <row r="19" spans="2:53">
      <c r="B19" s="395"/>
      <c r="C19" s="182">
        <v>13</v>
      </c>
      <c r="D19" s="203"/>
      <c r="E19" s="166"/>
      <c r="F19" s="182"/>
      <c r="G19" s="180"/>
      <c r="H19" s="402"/>
      <c r="I19" s="166" t="str">
        <f t="shared" si="0"/>
        <v>-</v>
      </c>
      <c r="J19" s="166" t="str">
        <f t="shared" si="1"/>
        <v>-</v>
      </c>
      <c r="K19" s="180" t="str">
        <f t="shared" si="2"/>
        <v>-</v>
      </c>
      <c r="L19" s="402"/>
      <c r="M19" s="181" t="e">
        <f>RANK(K19, K$7:$K$21)</f>
        <v>#VALUE!</v>
      </c>
      <c r="N19" s="389"/>
      <c r="O19" s="389"/>
      <c r="P19" s="182" t="s">
        <v>634</v>
      </c>
      <c r="Q19" s="166" t="s">
        <v>634</v>
      </c>
      <c r="R19" s="166" t="s">
        <v>634</v>
      </c>
      <c r="S19" s="182" t="e">
        <f t="shared" si="3"/>
        <v>#VALUE!</v>
      </c>
      <c r="T19" s="390"/>
      <c r="U19" s="182" t="s">
        <v>634</v>
      </c>
      <c r="V19" s="166" t="s">
        <v>634</v>
      </c>
      <c r="W19" s="166" t="s">
        <v>634</v>
      </c>
      <c r="X19" s="182" t="e">
        <f t="shared" si="5"/>
        <v>#VALUE!</v>
      </c>
      <c r="Y19" s="390"/>
      <c r="Z19" s="182" t="s">
        <v>634</v>
      </c>
      <c r="AA19" s="166" t="s">
        <v>634</v>
      </c>
      <c r="AB19" s="166" t="s">
        <v>634</v>
      </c>
      <c r="AC19" s="182" t="e">
        <f t="shared" si="7"/>
        <v>#VALUE!</v>
      </c>
      <c r="AD19" s="390"/>
      <c r="AE19" s="390"/>
      <c r="AF19" s="166" t="s">
        <v>634</v>
      </c>
      <c r="AG19" s="166" t="s">
        <v>634</v>
      </c>
      <c r="AH19" s="182" t="e">
        <f t="shared" si="10"/>
        <v>#VALUE!</v>
      </c>
      <c r="AI19" s="390"/>
      <c r="AJ19" s="182" t="s">
        <v>634</v>
      </c>
      <c r="AK19" s="166" t="s">
        <v>634</v>
      </c>
      <c r="AL19" s="166" t="s">
        <v>634</v>
      </c>
      <c r="AM19" s="182" t="e">
        <f t="shared" si="12"/>
        <v>#VALUE!</v>
      </c>
      <c r="AN19" s="390"/>
      <c r="AO19" s="182" t="s">
        <v>634</v>
      </c>
      <c r="AP19" s="166" t="s">
        <v>634</v>
      </c>
      <c r="AQ19" s="166" t="s">
        <v>634</v>
      </c>
      <c r="AR19" s="182" t="e">
        <f t="shared" si="14"/>
        <v>#VALUE!</v>
      </c>
      <c r="AS19" s="390"/>
      <c r="AT19" s="182"/>
      <c r="AU19" s="166"/>
      <c r="AV19" s="166"/>
      <c r="AW19" s="182" t="e">
        <f t="shared" si="16"/>
        <v>#N/A</v>
      </c>
      <c r="AX19" s="390"/>
      <c r="AZ19" s="182" t="e">
        <f t="shared" si="18"/>
        <v>#N/A</v>
      </c>
      <c r="BA19" s="390"/>
    </row>
    <row r="20" spans="2:53">
      <c r="B20" s="395"/>
      <c r="C20" s="182">
        <v>14</v>
      </c>
      <c r="D20" s="203"/>
      <c r="E20" s="166"/>
      <c r="F20" s="182"/>
      <c r="G20" s="180"/>
      <c r="H20" s="402"/>
      <c r="I20" s="166" t="str">
        <f t="shared" si="0"/>
        <v>-</v>
      </c>
      <c r="J20" s="166" t="str">
        <f t="shared" si="1"/>
        <v>-</v>
      </c>
      <c r="K20" s="180" t="str">
        <f t="shared" si="2"/>
        <v>-</v>
      </c>
      <c r="L20" s="402"/>
      <c r="M20" s="181" t="e">
        <f>RANK(K20, K$7:$K$21)</f>
        <v>#VALUE!</v>
      </c>
      <c r="N20" s="389"/>
      <c r="O20" s="389"/>
      <c r="P20" s="182" t="s">
        <v>634</v>
      </c>
      <c r="Q20" s="166" t="s">
        <v>634</v>
      </c>
      <c r="R20" s="166" t="s">
        <v>634</v>
      </c>
      <c r="S20" s="182" t="e">
        <f t="shared" si="3"/>
        <v>#VALUE!</v>
      </c>
      <c r="T20" s="390"/>
      <c r="U20" s="182" t="s">
        <v>634</v>
      </c>
      <c r="V20" s="166" t="s">
        <v>634</v>
      </c>
      <c r="W20" s="166" t="s">
        <v>634</v>
      </c>
      <c r="X20" s="182" t="e">
        <f t="shared" si="5"/>
        <v>#VALUE!</v>
      </c>
      <c r="Y20" s="390"/>
      <c r="Z20" s="182" t="s">
        <v>634</v>
      </c>
      <c r="AA20" s="166" t="s">
        <v>634</v>
      </c>
      <c r="AB20" s="166" t="s">
        <v>634</v>
      </c>
      <c r="AC20" s="182" t="e">
        <f t="shared" si="7"/>
        <v>#VALUE!</v>
      </c>
      <c r="AD20" s="390"/>
      <c r="AE20" s="390"/>
      <c r="AF20" s="166" t="s">
        <v>634</v>
      </c>
      <c r="AG20" s="166" t="s">
        <v>634</v>
      </c>
      <c r="AH20" s="182" t="e">
        <f t="shared" si="10"/>
        <v>#VALUE!</v>
      </c>
      <c r="AI20" s="390"/>
      <c r="AJ20" s="182" t="s">
        <v>634</v>
      </c>
      <c r="AK20" s="166" t="s">
        <v>634</v>
      </c>
      <c r="AL20" s="166" t="s">
        <v>634</v>
      </c>
      <c r="AM20" s="182" t="e">
        <f t="shared" si="12"/>
        <v>#VALUE!</v>
      </c>
      <c r="AN20" s="390"/>
      <c r="AO20" s="182" t="s">
        <v>634</v>
      </c>
      <c r="AP20" s="166" t="s">
        <v>634</v>
      </c>
      <c r="AQ20" s="166" t="s">
        <v>634</v>
      </c>
      <c r="AR20" s="182" t="e">
        <f t="shared" si="14"/>
        <v>#VALUE!</v>
      </c>
      <c r="AS20" s="390"/>
      <c r="AT20" s="182"/>
      <c r="AU20" s="166"/>
      <c r="AV20" s="166"/>
      <c r="AW20" s="182" t="e">
        <f t="shared" si="16"/>
        <v>#N/A</v>
      </c>
      <c r="AX20" s="390"/>
      <c r="AZ20" s="182" t="e">
        <f t="shared" si="18"/>
        <v>#N/A</v>
      </c>
      <c r="BA20" s="390"/>
    </row>
    <row r="21" spans="2:53">
      <c r="B21" s="395"/>
      <c r="C21" s="182">
        <v>15</v>
      </c>
      <c r="D21" s="203"/>
      <c r="E21" s="166"/>
      <c r="F21" s="182"/>
      <c r="G21" s="180"/>
      <c r="H21" s="403"/>
      <c r="I21" s="182"/>
      <c r="J21" s="182"/>
      <c r="K21" s="182"/>
      <c r="L21" s="403"/>
      <c r="M21" s="166" t="e">
        <f>RANK(K21, K$7:$K$21)</f>
        <v>#N/A</v>
      </c>
      <c r="N21" s="389"/>
      <c r="O21" s="389"/>
      <c r="P21" s="182" t="s">
        <v>634</v>
      </c>
      <c r="Q21" s="166" t="s">
        <v>634</v>
      </c>
      <c r="R21" s="166" t="s">
        <v>634</v>
      </c>
      <c r="S21" s="182" t="e">
        <f t="shared" si="3"/>
        <v>#VALUE!</v>
      </c>
      <c r="T21" s="390"/>
      <c r="U21" s="182" t="s">
        <v>634</v>
      </c>
      <c r="V21" s="166" t="s">
        <v>634</v>
      </c>
      <c r="W21" s="166" t="s">
        <v>634</v>
      </c>
      <c r="X21" s="182" t="e">
        <f t="shared" si="5"/>
        <v>#VALUE!</v>
      </c>
      <c r="Y21" s="390"/>
      <c r="Z21" s="182" t="s">
        <v>634</v>
      </c>
      <c r="AA21" s="166" t="s">
        <v>634</v>
      </c>
      <c r="AB21" s="166" t="s">
        <v>634</v>
      </c>
      <c r="AC21" s="182" t="e">
        <f t="shared" si="7"/>
        <v>#VALUE!</v>
      </c>
      <c r="AD21" s="390"/>
      <c r="AE21" s="390"/>
      <c r="AF21" s="166" t="s">
        <v>634</v>
      </c>
      <c r="AG21" s="166" t="s">
        <v>634</v>
      </c>
      <c r="AH21" s="182" t="e">
        <f t="shared" si="10"/>
        <v>#VALUE!</v>
      </c>
      <c r="AI21" s="390"/>
      <c r="AJ21" s="182" t="s">
        <v>634</v>
      </c>
      <c r="AK21" s="166" t="s">
        <v>634</v>
      </c>
      <c r="AL21" s="166" t="s">
        <v>634</v>
      </c>
      <c r="AM21" s="182" t="e">
        <f t="shared" si="12"/>
        <v>#VALUE!</v>
      </c>
      <c r="AN21" s="390"/>
      <c r="AO21" s="182" t="s">
        <v>634</v>
      </c>
      <c r="AP21" s="166" t="s">
        <v>634</v>
      </c>
      <c r="AQ21" s="166" t="s">
        <v>634</v>
      </c>
      <c r="AR21" s="182" t="e">
        <f t="shared" si="14"/>
        <v>#VALUE!</v>
      </c>
      <c r="AS21" s="390"/>
      <c r="AT21" s="182"/>
      <c r="AU21" s="166"/>
      <c r="AV21" s="166"/>
      <c r="AW21" s="182" t="e">
        <f t="shared" si="16"/>
        <v>#N/A</v>
      </c>
      <c r="AX21" s="390"/>
      <c r="AZ21" s="182" t="e">
        <f t="shared" si="18"/>
        <v>#N/A</v>
      </c>
      <c r="BA21" s="390"/>
    </row>
    <row r="22" spans="2:53" ht="15.75">
      <c r="B22" s="424" t="s">
        <v>163</v>
      </c>
      <c r="C22" s="425"/>
      <c r="D22" s="425"/>
      <c r="E22" s="425"/>
      <c r="F22" s="425"/>
      <c r="G22" s="425"/>
      <c r="H22" s="425"/>
      <c r="I22" s="183"/>
      <c r="J22" s="183"/>
      <c r="K22" s="183"/>
      <c r="L22" s="183"/>
      <c r="M22" s="178"/>
      <c r="N22" s="391" t="s">
        <v>156</v>
      </c>
      <c r="O22" s="391" t="s">
        <v>105</v>
      </c>
      <c r="P22" s="413">
        <f>P2+7</f>
        <v>46147</v>
      </c>
      <c r="Q22" s="395"/>
      <c r="R22" s="395"/>
      <c r="S22" s="395"/>
      <c r="T22" s="395"/>
      <c r="U22" s="410">
        <f>P22+1</f>
        <v>46148</v>
      </c>
      <c r="V22" s="411"/>
      <c r="W22" s="411"/>
      <c r="X22" s="411"/>
      <c r="Y22" s="412"/>
      <c r="Z22" s="410">
        <f>U22+1</f>
        <v>46149</v>
      </c>
      <c r="AA22" s="411"/>
      <c r="AB22" s="411"/>
      <c r="AC22" s="411"/>
      <c r="AD22" s="412"/>
      <c r="AE22" s="410">
        <f>Z22+1</f>
        <v>46150</v>
      </c>
      <c r="AF22" s="411"/>
      <c r="AG22" s="411"/>
      <c r="AH22" s="411"/>
      <c r="AI22" s="412"/>
      <c r="AJ22" s="410">
        <f>AE22+1</f>
        <v>46151</v>
      </c>
      <c r="AK22" s="411"/>
      <c r="AL22" s="411"/>
      <c r="AM22" s="411"/>
      <c r="AN22" s="412"/>
      <c r="AO22" s="410">
        <f>AJ22+1</f>
        <v>46152</v>
      </c>
      <c r="AP22" s="411"/>
      <c r="AQ22" s="411"/>
      <c r="AR22" s="411"/>
      <c r="AS22" s="412"/>
      <c r="AT22" s="410">
        <f>AO22+1</f>
        <v>46153</v>
      </c>
      <c r="AU22" s="411"/>
      <c r="AV22" s="411"/>
      <c r="AW22" s="411"/>
      <c r="AX22" s="412"/>
    </row>
    <row r="23" spans="2:53" ht="15.75">
      <c r="B23" s="416"/>
      <c r="C23" s="416"/>
      <c r="D23" s="416"/>
      <c r="E23" s="416"/>
      <c r="F23" s="416"/>
      <c r="G23" s="416"/>
      <c r="H23" s="416"/>
      <c r="I23" s="184"/>
      <c r="J23" s="184"/>
      <c r="K23" s="184"/>
      <c r="L23" s="184"/>
      <c r="M23" s="179"/>
      <c r="N23" s="393"/>
      <c r="O23" s="393"/>
      <c r="P23" s="413" t="s">
        <v>318</v>
      </c>
      <c r="Q23" s="395"/>
      <c r="R23" s="395"/>
      <c r="S23" s="395"/>
      <c r="T23" s="395"/>
      <c r="U23" s="413" t="s">
        <v>319</v>
      </c>
      <c r="V23" s="395"/>
      <c r="W23" s="395"/>
      <c r="X23" s="395"/>
      <c r="Y23" s="395"/>
      <c r="Z23" s="413" t="s">
        <v>320</v>
      </c>
      <c r="AA23" s="395"/>
      <c r="AB23" s="395"/>
      <c r="AC23" s="395"/>
      <c r="AD23" s="395"/>
      <c r="AE23" s="413" t="s">
        <v>321</v>
      </c>
      <c r="AF23" s="395"/>
      <c r="AG23" s="395"/>
      <c r="AH23" s="395"/>
      <c r="AI23" s="395"/>
      <c r="AJ23" s="413" t="s">
        <v>322</v>
      </c>
      <c r="AK23" s="395"/>
      <c r="AL23" s="395"/>
      <c r="AM23" s="395"/>
      <c r="AN23" s="395"/>
      <c r="AO23" s="413" t="s">
        <v>323</v>
      </c>
      <c r="AP23" s="395"/>
      <c r="AQ23" s="395"/>
      <c r="AR23" s="395"/>
      <c r="AS23" s="395"/>
      <c r="AT23" s="413" t="s">
        <v>324</v>
      </c>
      <c r="AU23" s="395"/>
      <c r="AV23" s="395"/>
      <c r="AW23" s="395"/>
      <c r="AX23" s="395"/>
    </row>
    <row r="24" spans="2:53">
      <c r="B24" s="389" t="s">
        <v>154</v>
      </c>
      <c r="C24" s="389" t="s">
        <v>386</v>
      </c>
      <c r="D24" s="389"/>
      <c r="E24" s="389" t="s">
        <v>377</v>
      </c>
      <c r="F24" s="389"/>
      <c r="G24" s="389"/>
      <c r="H24" s="417" t="s">
        <v>373</v>
      </c>
      <c r="I24" s="389" t="s">
        <v>378</v>
      </c>
      <c r="J24" s="389"/>
      <c r="K24" s="389"/>
      <c r="L24" s="417" t="s">
        <v>373</v>
      </c>
      <c r="M24" s="391" t="s">
        <v>374</v>
      </c>
      <c r="N24" s="389"/>
      <c r="O24" s="389" t="s">
        <v>379</v>
      </c>
      <c r="P24" s="404" t="s">
        <v>375</v>
      </c>
      <c r="Q24" s="405"/>
      <c r="R24" s="405"/>
      <c r="S24" s="406"/>
      <c r="T24" s="389" t="s">
        <v>373</v>
      </c>
      <c r="U24" s="404" t="s">
        <v>375</v>
      </c>
      <c r="V24" s="405"/>
      <c r="W24" s="405"/>
      <c r="X24" s="406"/>
      <c r="Y24" s="389" t="s">
        <v>373</v>
      </c>
      <c r="Z24" s="404" t="s">
        <v>375</v>
      </c>
      <c r="AA24" s="405"/>
      <c r="AB24" s="405"/>
      <c r="AC24" s="406"/>
      <c r="AD24" s="389" t="s">
        <v>373</v>
      </c>
      <c r="AE24" s="404" t="s">
        <v>375</v>
      </c>
      <c r="AF24" s="405"/>
      <c r="AG24" s="405"/>
      <c r="AH24" s="406"/>
      <c r="AI24" s="389" t="s">
        <v>373</v>
      </c>
      <c r="AJ24" s="404" t="s">
        <v>375</v>
      </c>
      <c r="AK24" s="405"/>
      <c r="AL24" s="405"/>
      <c r="AM24" s="406"/>
      <c r="AN24" s="389" t="s">
        <v>373</v>
      </c>
      <c r="AO24" s="404" t="s">
        <v>375</v>
      </c>
      <c r="AP24" s="405"/>
      <c r="AQ24" s="405"/>
      <c r="AR24" s="406"/>
      <c r="AS24" s="389" t="s">
        <v>373</v>
      </c>
      <c r="AT24" s="404" t="s">
        <v>375</v>
      </c>
      <c r="AU24" s="405"/>
      <c r="AV24" s="405"/>
      <c r="AW24" s="406"/>
      <c r="AX24" s="389" t="s">
        <v>373</v>
      </c>
      <c r="BA24" s="389" t="s">
        <v>373</v>
      </c>
    </row>
    <row r="25" spans="2:53">
      <c r="B25" s="389"/>
      <c r="C25" s="389"/>
      <c r="D25" s="389"/>
      <c r="E25" s="389" t="s">
        <v>380</v>
      </c>
      <c r="F25" s="389"/>
      <c r="G25" s="389"/>
      <c r="H25" s="418"/>
      <c r="I25" s="389" t="s">
        <v>380</v>
      </c>
      <c r="J25" s="389"/>
      <c r="K25" s="389"/>
      <c r="L25" s="418"/>
      <c r="M25" s="392"/>
      <c r="N25" s="389"/>
      <c r="O25" s="389"/>
      <c r="P25" s="404" t="s">
        <v>381</v>
      </c>
      <c r="Q25" s="405"/>
      <c r="R25" s="405"/>
      <c r="S25" s="406"/>
      <c r="T25" s="389"/>
      <c r="U25" s="404" t="s">
        <v>381</v>
      </c>
      <c r="V25" s="405"/>
      <c r="W25" s="405"/>
      <c r="X25" s="406"/>
      <c r="Y25" s="389"/>
      <c r="Z25" s="404" t="s">
        <v>381</v>
      </c>
      <c r="AA25" s="405"/>
      <c r="AB25" s="405"/>
      <c r="AC25" s="406"/>
      <c r="AD25" s="389"/>
      <c r="AE25" s="404" t="s">
        <v>381</v>
      </c>
      <c r="AF25" s="405"/>
      <c r="AG25" s="405"/>
      <c r="AH25" s="406"/>
      <c r="AI25" s="389"/>
      <c r="AJ25" s="404" t="s">
        <v>381</v>
      </c>
      <c r="AK25" s="405"/>
      <c r="AL25" s="405"/>
      <c r="AM25" s="406"/>
      <c r="AN25" s="389"/>
      <c r="AO25" s="404" t="s">
        <v>381</v>
      </c>
      <c r="AP25" s="405"/>
      <c r="AQ25" s="405"/>
      <c r="AR25" s="406"/>
      <c r="AS25" s="389"/>
      <c r="AT25" s="404" t="s">
        <v>381</v>
      </c>
      <c r="AU25" s="405"/>
      <c r="AV25" s="405"/>
      <c r="AW25" s="406"/>
      <c r="AX25" s="389"/>
      <c r="BA25" s="389"/>
    </row>
    <row r="26" spans="2:53">
      <c r="B26" s="389"/>
      <c r="C26" s="389"/>
      <c r="D26" s="389"/>
      <c r="E26" s="258" t="s">
        <v>382</v>
      </c>
      <c r="F26" s="258" t="s">
        <v>383</v>
      </c>
      <c r="G26" s="258" t="s">
        <v>384</v>
      </c>
      <c r="H26" s="419"/>
      <c r="I26" s="258" t="s">
        <v>382</v>
      </c>
      <c r="J26" s="258" t="s">
        <v>383</v>
      </c>
      <c r="K26" s="258" t="s">
        <v>384</v>
      </c>
      <c r="L26" s="419"/>
      <c r="M26" s="393"/>
      <c r="N26" s="389"/>
      <c r="O26" s="389"/>
      <c r="P26" s="258" t="s">
        <v>382</v>
      </c>
      <c r="Q26" s="258" t="s">
        <v>383</v>
      </c>
      <c r="R26" s="258" t="s">
        <v>384</v>
      </c>
      <c r="S26" s="258" t="s">
        <v>374</v>
      </c>
      <c r="T26" s="389"/>
      <c r="U26" s="258" t="s">
        <v>382</v>
      </c>
      <c r="V26" s="258" t="s">
        <v>383</v>
      </c>
      <c r="W26" s="258" t="s">
        <v>384</v>
      </c>
      <c r="X26" s="258" t="s">
        <v>374</v>
      </c>
      <c r="Y26" s="389"/>
      <c r="Z26" s="258" t="s">
        <v>382</v>
      </c>
      <c r="AA26" s="258" t="s">
        <v>383</v>
      </c>
      <c r="AB26" s="258" t="s">
        <v>384</v>
      </c>
      <c r="AC26" s="258" t="s">
        <v>374</v>
      </c>
      <c r="AD26" s="389"/>
      <c r="AE26" s="258" t="s">
        <v>382</v>
      </c>
      <c r="AF26" s="258" t="s">
        <v>383</v>
      </c>
      <c r="AG26" s="258" t="s">
        <v>384</v>
      </c>
      <c r="AH26" s="258" t="s">
        <v>374</v>
      </c>
      <c r="AI26" s="389"/>
      <c r="AJ26" s="258" t="s">
        <v>382</v>
      </c>
      <c r="AK26" s="258" t="s">
        <v>383</v>
      </c>
      <c r="AL26" s="258" t="s">
        <v>384</v>
      </c>
      <c r="AM26" s="258" t="s">
        <v>374</v>
      </c>
      <c r="AN26" s="389"/>
      <c r="AO26" s="258" t="s">
        <v>382</v>
      </c>
      <c r="AP26" s="258" t="s">
        <v>383</v>
      </c>
      <c r="AQ26" s="258" t="s">
        <v>384</v>
      </c>
      <c r="AR26" s="258" t="s">
        <v>374</v>
      </c>
      <c r="AS26" s="389"/>
      <c r="AT26" s="258" t="s">
        <v>382</v>
      </c>
      <c r="AU26" s="258" t="s">
        <v>383</v>
      </c>
      <c r="AV26" s="258" t="s">
        <v>384</v>
      </c>
      <c r="AW26" s="258" t="s">
        <v>374</v>
      </c>
      <c r="AX26" s="389"/>
      <c r="AZ26" s="258" t="s">
        <v>374</v>
      </c>
      <c r="BA26" s="389"/>
    </row>
    <row r="27" spans="2:53">
      <c r="B27" s="389" t="s">
        <v>387</v>
      </c>
      <c r="C27" s="182">
        <v>1</v>
      </c>
      <c r="D27" s="203" t="s">
        <v>642</v>
      </c>
      <c r="E27" s="166">
        <v>15</v>
      </c>
      <c r="F27" s="182">
        <v>1500</v>
      </c>
      <c r="G27" s="180">
        <v>100</v>
      </c>
      <c r="H27" s="401">
        <f>AVERAGE(G27:G41)</f>
        <v>93.333333333333329</v>
      </c>
      <c r="I27" s="166">
        <f t="shared" ref="I27:I40" si="20">IFERROR(AVERAGE(P27,U27,Z27,AE27,AJ27,AO27,AT27),"-")</f>
        <v>15</v>
      </c>
      <c r="J27" s="166">
        <f t="shared" ref="J27:J40" si="21">IFERROR(AVERAGE(Q27,V27,AA27,AF27,AK27,AP27,AU27),"-")</f>
        <v>1233.3428571428547</v>
      </c>
      <c r="K27" s="180">
        <f t="shared" ref="K27:K40" si="22">IFERROR(AVERAGE(R27,W27,AB27,AG27,AL27,AQ27,AV27),"-")</f>
        <v>82.222857142856967</v>
      </c>
      <c r="L27" s="401">
        <f>IFERROR(AVERAGE(K27:K41),"-")</f>
        <v>93.229387943211421</v>
      </c>
      <c r="M27" s="181">
        <f>RANK(K27, K$24:$K$41)</f>
        <v>3</v>
      </c>
      <c r="N27" s="389"/>
      <c r="O27" s="389"/>
      <c r="P27" s="166">
        <v>15</v>
      </c>
      <c r="Q27" s="166">
        <v>1370.9999999999939</v>
      </c>
      <c r="R27" s="180">
        <v>91.399999999999594</v>
      </c>
      <c r="S27" s="182">
        <f>RANK(R27, R$24:R$41)</f>
        <v>2</v>
      </c>
      <c r="T27" s="390">
        <f>AVERAGE(R27:R41)</f>
        <v>92.268518518518377</v>
      </c>
      <c r="U27" s="166">
        <v>15</v>
      </c>
      <c r="V27" s="166">
        <v>1250.3999999999965</v>
      </c>
      <c r="W27" s="180">
        <v>83.359999999999758</v>
      </c>
      <c r="X27" s="182">
        <f>RANK(W27, W$24:W$41)</f>
        <v>2</v>
      </c>
      <c r="Y27" s="390">
        <f>AVERAGE(W27:W41)</f>
        <v>87.086666666666588</v>
      </c>
      <c r="Z27" s="166">
        <v>15</v>
      </c>
      <c r="AA27" s="166">
        <v>1130.0000000000041</v>
      </c>
      <c r="AB27" s="180">
        <v>75.333333333333613</v>
      </c>
      <c r="AC27" s="182">
        <f>RANK(AB27, AB$24:AB$41)</f>
        <v>3</v>
      </c>
      <c r="AD27" s="390">
        <f>AVERAGE(AB27:AB41)</f>
        <v>94.122777777777969</v>
      </c>
      <c r="AE27" s="166">
        <v>15</v>
      </c>
      <c r="AF27" s="166">
        <v>1145.999999999995</v>
      </c>
      <c r="AG27" s="180">
        <v>76.399999999999665</v>
      </c>
      <c r="AH27" s="182">
        <f>RANK(AG27, AG$24:AG$41)</f>
        <v>3</v>
      </c>
      <c r="AI27" s="390">
        <f>AVERAGE(AG27:AG41)</f>
        <v>93.602413273001346</v>
      </c>
      <c r="AJ27" s="166">
        <v>15</v>
      </c>
      <c r="AK27" s="166">
        <v>1160.9999999999948</v>
      </c>
      <c r="AL27" s="180">
        <v>77.39999999999965</v>
      </c>
      <c r="AM27" s="182">
        <f>RANK(AL27, AL$24:AL$41)</f>
        <v>3</v>
      </c>
      <c r="AN27" s="390">
        <f>AVERAGE(AL27:AL41)</f>
        <v>91.970940170940025</v>
      </c>
      <c r="AO27" s="166">
        <v>15</v>
      </c>
      <c r="AP27" s="166">
        <v>1288.0000000000045</v>
      </c>
      <c r="AQ27" s="180">
        <v>85.866666666666973</v>
      </c>
      <c r="AR27" s="182">
        <f>RANK(AQ27, AQ$24:AQ$41)</f>
        <v>3</v>
      </c>
      <c r="AS27" s="390">
        <f>AVERAGE(AQ27:AQ41)</f>
        <v>98.136752136752349</v>
      </c>
      <c r="AT27" s="166">
        <v>15</v>
      </c>
      <c r="AU27" s="166">
        <v>1286.9999999999941</v>
      </c>
      <c r="AV27" s="180">
        <v>85.799999999999599</v>
      </c>
      <c r="AW27" s="182">
        <f>RANK(AV27, AV$24:AV$41)</f>
        <v>2</v>
      </c>
      <c r="AX27" s="390">
        <f>AVERAGE(AV27:AV41)</f>
        <v>95.417647058823377</v>
      </c>
      <c r="AZ27" s="182" t="e">
        <f t="shared" ref="AZ27:AZ41" si="23">RANK(AY27, AY$27:AY$41)</f>
        <v>#N/A</v>
      </c>
      <c r="BA27" s="384" t="e">
        <f t="shared" ref="BA27" si="24">AVERAGE(AY27:AY41)</f>
        <v>#DIV/0!</v>
      </c>
    </row>
    <row r="28" spans="2:53">
      <c r="B28" s="395"/>
      <c r="C28" s="182">
        <v>2</v>
      </c>
      <c r="D28" s="203" t="s">
        <v>659</v>
      </c>
      <c r="E28" s="166">
        <v>15</v>
      </c>
      <c r="F28" s="182">
        <v>1200</v>
      </c>
      <c r="G28" s="180">
        <v>80</v>
      </c>
      <c r="H28" s="402"/>
      <c r="I28" s="166">
        <f t="shared" si="20"/>
        <v>15</v>
      </c>
      <c r="J28" s="166">
        <f t="shared" si="21"/>
        <v>1251.7476190476195</v>
      </c>
      <c r="K28" s="180">
        <f t="shared" si="22"/>
        <v>83.449841269841301</v>
      </c>
      <c r="L28" s="402"/>
      <c r="M28" s="181">
        <f>RANK(K28, K$24:$K$41)</f>
        <v>2</v>
      </c>
      <c r="N28" s="389"/>
      <c r="O28" s="389"/>
      <c r="P28" s="182">
        <v>15</v>
      </c>
      <c r="Q28" s="166">
        <v>1253.3333333333333</v>
      </c>
      <c r="R28" s="180">
        <v>83.555555555555557</v>
      </c>
      <c r="S28" s="182">
        <f t="shared" ref="S28:S41" si="25">RANK(R28, R$24:R$41)</f>
        <v>3</v>
      </c>
      <c r="T28" s="390"/>
      <c r="U28" s="182">
        <v>15</v>
      </c>
      <c r="V28" s="166">
        <v>1167.0000000000009</v>
      </c>
      <c r="W28" s="180">
        <v>77.800000000000054</v>
      </c>
      <c r="X28" s="182">
        <f t="shared" ref="X28:X41" si="26">RANK(W28, W$24:W$41)</f>
        <v>3</v>
      </c>
      <c r="Y28" s="390"/>
      <c r="Z28" s="182">
        <v>15</v>
      </c>
      <c r="AA28" s="166">
        <v>1202.4000000000042</v>
      </c>
      <c r="AB28" s="180">
        <v>80.160000000000281</v>
      </c>
      <c r="AC28" s="182">
        <f t="shared" ref="AC28:AC41" si="27">RANK(AB28, AB$24:AB$41)</f>
        <v>2</v>
      </c>
      <c r="AD28" s="390"/>
      <c r="AE28" s="182">
        <v>15</v>
      </c>
      <c r="AF28" s="166">
        <v>1349.9999999999977</v>
      </c>
      <c r="AG28" s="180">
        <v>89.999999999999844</v>
      </c>
      <c r="AH28" s="182">
        <f t="shared" ref="AH28:AH41" si="28">RANK(AG28, AG$24:AG$41)</f>
        <v>2</v>
      </c>
      <c r="AI28" s="390"/>
      <c r="AJ28" s="182">
        <v>15</v>
      </c>
      <c r="AK28" s="166">
        <v>1269.9999999999977</v>
      </c>
      <c r="AL28" s="180">
        <v>84.666666666666515</v>
      </c>
      <c r="AM28" s="182">
        <f t="shared" ref="AM28:AM41" si="29">RANK(AL28, AL$24:AL$41)</f>
        <v>2</v>
      </c>
      <c r="AN28" s="390"/>
      <c r="AO28" s="182">
        <v>15</v>
      </c>
      <c r="AP28" s="166">
        <v>1378.0000000000048</v>
      </c>
      <c r="AQ28" s="180">
        <v>91.866666666666987</v>
      </c>
      <c r="AR28" s="182">
        <f t="shared" ref="AR28:AR41" si="30">RANK(AQ28, AQ$24:AQ$41)</f>
        <v>2</v>
      </c>
      <c r="AS28" s="390"/>
      <c r="AT28" s="182">
        <v>15</v>
      </c>
      <c r="AU28" s="166">
        <v>1141.4999999999995</v>
      </c>
      <c r="AV28" s="180">
        <v>76.099999999999966</v>
      </c>
      <c r="AW28" s="182">
        <f t="shared" ref="AW28:AW41" si="31">RANK(AV28, AV$24:AV$41)</f>
        <v>3</v>
      </c>
      <c r="AX28" s="390"/>
      <c r="AZ28" s="182" t="e">
        <f t="shared" si="23"/>
        <v>#N/A</v>
      </c>
      <c r="BA28" s="385"/>
    </row>
    <row r="29" spans="2:53">
      <c r="B29" s="395"/>
      <c r="C29" s="182">
        <v>3</v>
      </c>
      <c r="D29" s="203" t="s">
        <v>656</v>
      </c>
      <c r="E29" s="166">
        <v>15</v>
      </c>
      <c r="F29" s="182">
        <v>1500</v>
      </c>
      <c r="G29" s="180">
        <v>100</v>
      </c>
      <c r="H29" s="402"/>
      <c r="I29" s="166">
        <f t="shared" si="20"/>
        <v>13.285714285714286</v>
      </c>
      <c r="J29" s="166">
        <f t="shared" si="21"/>
        <v>1504.0113445378154</v>
      </c>
      <c r="K29" s="180">
        <f t="shared" si="22"/>
        <v>114.01546541693604</v>
      </c>
      <c r="L29" s="402"/>
      <c r="M29" s="181">
        <f>RANK(K29, K$24:$K$41)</f>
        <v>1</v>
      </c>
      <c r="N29" s="389"/>
      <c r="O29" s="389"/>
      <c r="P29" s="182">
        <v>15</v>
      </c>
      <c r="Q29" s="166">
        <v>1527.75</v>
      </c>
      <c r="R29" s="180">
        <v>101.85</v>
      </c>
      <c r="S29" s="182">
        <f t="shared" si="25"/>
        <v>1</v>
      </c>
      <c r="T29" s="390"/>
      <c r="U29" s="182">
        <v>15</v>
      </c>
      <c r="V29" s="166">
        <v>1501.5</v>
      </c>
      <c r="W29" s="182">
        <v>100.1</v>
      </c>
      <c r="X29" s="182">
        <f t="shared" si="26"/>
        <v>1</v>
      </c>
      <c r="Y29" s="390"/>
      <c r="Z29" s="182">
        <v>12</v>
      </c>
      <c r="AA29" s="166">
        <v>1522.5</v>
      </c>
      <c r="AB29" s="180">
        <v>126.875</v>
      </c>
      <c r="AC29" s="182">
        <f t="shared" si="27"/>
        <v>1</v>
      </c>
      <c r="AD29" s="390"/>
      <c r="AE29" s="182">
        <v>13</v>
      </c>
      <c r="AF29" s="166">
        <v>1487.2941176470592</v>
      </c>
      <c r="AG29" s="180">
        <v>114.40723981900456</v>
      </c>
      <c r="AH29" s="182">
        <f t="shared" si="28"/>
        <v>1</v>
      </c>
      <c r="AI29" s="390"/>
      <c r="AJ29" s="182">
        <v>13</v>
      </c>
      <c r="AK29" s="182">
        <v>1480.0000000000014</v>
      </c>
      <c r="AL29" s="180">
        <v>113.84615384615395</v>
      </c>
      <c r="AM29" s="182">
        <f t="shared" si="29"/>
        <v>1</v>
      </c>
      <c r="AN29" s="390"/>
      <c r="AO29" s="182">
        <v>13</v>
      </c>
      <c r="AP29" s="166">
        <v>1516.8</v>
      </c>
      <c r="AQ29" s="180">
        <v>116.67692307692307</v>
      </c>
      <c r="AR29" s="182">
        <f t="shared" si="30"/>
        <v>1</v>
      </c>
      <c r="AS29" s="390"/>
      <c r="AT29" s="182">
        <v>12</v>
      </c>
      <c r="AU29" s="166">
        <v>1492.2352941176468</v>
      </c>
      <c r="AV29" s="180">
        <v>124.35294117647057</v>
      </c>
      <c r="AW29" s="182">
        <f t="shared" si="31"/>
        <v>1</v>
      </c>
      <c r="AX29" s="390"/>
      <c r="AZ29" s="182" t="e">
        <f t="shared" si="23"/>
        <v>#N/A</v>
      </c>
      <c r="BA29" s="385"/>
    </row>
    <row r="30" spans="2:53">
      <c r="B30" s="395"/>
      <c r="C30" s="182">
        <v>4</v>
      </c>
      <c r="D30" s="203"/>
      <c r="E30" s="166"/>
      <c r="F30" s="182"/>
      <c r="G30" s="180"/>
      <c r="H30" s="402"/>
      <c r="I30" s="166" t="str">
        <f t="shared" si="20"/>
        <v>-</v>
      </c>
      <c r="J30" s="166" t="str">
        <f t="shared" si="21"/>
        <v>-</v>
      </c>
      <c r="K30" s="180" t="str">
        <f t="shared" si="22"/>
        <v>-</v>
      </c>
      <c r="L30" s="402"/>
      <c r="M30" s="181" t="e">
        <f>RANK(K30, K$24:$K$41)</f>
        <v>#VALUE!</v>
      </c>
      <c r="N30" s="389"/>
      <c r="O30" s="389"/>
      <c r="P30" s="182"/>
      <c r="Q30" s="182"/>
      <c r="R30" s="182"/>
      <c r="S30" s="182" t="e">
        <f t="shared" si="25"/>
        <v>#N/A</v>
      </c>
      <c r="T30" s="390"/>
      <c r="U30" s="182"/>
      <c r="V30" s="182"/>
      <c r="W30" s="182"/>
      <c r="X30" s="182" t="e">
        <f t="shared" si="26"/>
        <v>#N/A</v>
      </c>
      <c r="Y30" s="390"/>
      <c r="Z30" s="182"/>
      <c r="AA30" s="182"/>
      <c r="AB30" s="182"/>
      <c r="AC30" s="182" t="e">
        <f t="shared" si="27"/>
        <v>#N/A</v>
      </c>
      <c r="AD30" s="390"/>
      <c r="AE30" s="182"/>
      <c r="AF30" s="182"/>
      <c r="AG30" s="182"/>
      <c r="AH30" s="182" t="e">
        <f t="shared" si="28"/>
        <v>#N/A</v>
      </c>
      <c r="AI30" s="390"/>
      <c r="AJ30" s="182"/>
      <c r="AK30" s="182"/>
      <c r="AL30" s="182"/>
      <c r="AM30" s="182" t="e">
        <f t="shared" si="29"/>
        <v>#N/A</v>
      </c>
      <c r="AN30" s="390"/>
      <c r="AO30" s="182"/>
      <c r="AP30" s="182"/>
      <c r="AQ30" s="182"/>
      <c r="AR30" s="182" t="e">
        <f t="shared" si="30"/>
        <v>#N/A</v>
      </c>
      <c r="AS30" s="390"/>
      <c r="AT30" s="182"/>
      <c r="AU30" s="182"/>
      <c r="AV30" s="182"/>
      <c r="AW30" s="182" t="e">
        <f t="shared" si="31"/>
        <v>#N/A</v>
      </c>
      <c r="AX30" s="390"/>
      <c r="AZ30" s="182" t="e">
        <f t="shared" si="23"/>
        <v>#N/A</v>
      </c>
      <c r="BA30" s="385"/>
    </row>
    <row r="31" spans="2:53">
      <c r="B31" s="395"/>
      <c r="C31" s="182">
        <v>5</v>
      </c>
      <c r="D31" s="203"/>
      <c r="E31" s="166"/>
      <c r="F31" s="182"/>
      <c r="G31" s="180"/>
      <c r="H31" s="402"/>
      <c r="I31" s="166" t="str">
        <f t="shared" si="20"/>
        <v>-</v>
      </c>
      <c r="J31" s="166" t="str">
        <f t="shared" si="21"/>
        <v>-</v>
      </c>
      <c r="K31" s="180" t="str">
        <f t="shared" si="22"/>
        <v>-</v>
      </c>
      <c r="L31" s="402"/>
      <c r="M31" s="181" t="e">
        <f>RANK(K31, K$24:$K$41)</f>
        <v>#VALUE!</v>
      </c>
      <c r="N31" s="389"/>
      <c r="O31" s="389"/>
      <c r="P31" s="182"/>
      <c r="Q31" s="182"/>
      <c r="R31" s="182"/>
      <c r="S31" s="182" t="e">
        <f t="shared" si="25"/>
        <v>#N/A</v>
      </c>
      <c r="T31" s="390"/>
      <c r="U31" s="182"/>
      <c r="V31" s="182"/>
      <c r="W31" s="182"/>
      <c r="X31" s="182" t="e">
        <f t="shared" si="26"/>
        <v>#N/A</v>
      </c>
      <c r="Y31" s="390"/>
      <c r="Z31" s="182"/>
      <c r="AA31" s="182"/>
      <c r="AB31" s="182"/>
      <c r="AC31" s="182" t="e">
        <f t="shared" si="27"/>
        <v>#N/A</v>
      </c>
      <c r="AD31" s="390"/>
      <c r="AE31" s="182"/>
      <c r="AF31" s="182"/>
      <c r="AG31" s="182"/>
      <c r="AH31" s="182" t="e">
        <f t="shared" si="28"/>
        <v>#N/A</v>
      </c>
      <c r="AI31" s="390"/>
      <c r="AJ31" s="182"/>
      <c r="AK31" s="182"/>
      <c r="AL31" s="182"/>
      <c r="AM31" s="182" t="e">
        <f t="shared" si="29"/>
        <v>#N/A</v>
      </c>
      <c r="AN31" s="390"/>
      <c r="AO31" s="182"/>
      <c r="AP31" s="182"/>
      <c r="AQ31" s="182"/>
      <c r="AR31" s="182" t="e">
        <f t="shared" si="30"/>
        <v>#N/A</v>
      </c>
      <c r="AS31" s="390"/>
      <c r="AT31" s="182"/>
      <c r="AU31" s="182"/>
      <c r="AV31" s="182"/>
      <c r="AW31" s="182" t="e">
        <f t="shared" si="31"/>
        <v>#N/A</v>
      </c>
      <c r="AX31" s="390"/>
      <c r="AZ31" s="182" t="e">
        <f t="shared" si="23"/>
        <v>#N/A</v>
      </c>
      <c r="BA31" s="385"/>
    </row>
    <row r="32" spans="2:53">
      <c r="B32" s="395"/>
      <c r="C32" s="182">
        <v>6</v>
      </c>
      <c r="D32" s="203"/>
      <c r="E32" s="166"/>
      <c r="F32" s="182"/>
      <c r="G32" s="180"/>
      <c r="H32" s="402"/>
      <c r="I32" s="166" t="str">
        <f t="shared" si="20"/>
        <v>-</v>
      </c>
      <c r="J32" s="166" t="str">
        <f t="shared" si="21"/>
        <v>-</v>
      </c>
      <c r="K32" s="180" t="str">
        <f t="shared" si="22"/>
        <v>-</v>
      </c>
      <c r="L32" s="402"/>
      <c r="M32" s="181" t="e">
        <f>RANK(K32, K$24:$K$41)</f>
        <v>#VALUE!</v>
      </c>
      <c r="N32" s="389"/>
      <c r="O32" s="389"/>
      <c r="P32" s="182"/>
      <c r="Q32" s="182"/>
      <c r="R32" s="182"/>
      <c r="S32" s="182" t="e">
        <f t="shared" si="25"/>
        <v>#N/A</v>
      </c>
      <c r="T32" s="390"/>
      <c r="U32" s="182"/>
      <c r="V32" s="182"/>
      <c r="W32" s="182"/>
      <c r="X32" s="182" t="e">
        <f t="shared" si="26"/>
        <v>#N/A</v>
      </c>
      <c r="Y32" s="390"/>
      <c r="Z32" s="182"/>
      <c r="AA32" s="182"/>
      <c r="AB32" s="182"/>
      <c r="AC32" s="182" t="e">
        <f t="shared" si="27"/>
        <v>#N/A</v>
      </c>
      <c r="AD32" s="390"/>
      <c r="AE32" s="182"/>
      <c r="AF32" s="182"/>
      <c r="AG32" s="182"/>
      <c r="AH32" s="182" t="e">
        <f t="shared" si="28"/>
        <v>#N/A</v>
      </c>
      <c r="AI32" s="390"/>
      <c r="AJ32" s="182"/>
      <c r="AK32" s="182"/>
      <c r="AL32" s="182"/>
      <c r="AM32" s="182" t="e">
        <f t="shared" si="29"/>
        <v>#N/A</v>
      </c>
      <c r="AN32" s="390"/>
      <c r="AO32" s="182"/>
      <c r="AP32" s="182"/>
      <c r="AQ32" s="182"/>
      <c r="AR32" s="182" t="e">
        <f t="shared" si="30"/>
        <v>#N/A</v>
      </c>
      <c r="AS32" s="390"/>
      <c r="AT32" s="182"/>
      <c r="AU32" s="182"/>
      <c r="AV32" s="182"/>
      <c r="AW32" s="182" t="e">
        <f t="shared" si="31"/>
        <v>#N/A</v>
      </c>
      <c r="AX32" s="390"/>
      <c r="AZ32" s="182" t="e">
        <f t="shared" si="23"/>
        <v>#N/A</v>
      </c>
      <c r="BA32" s="385"/>
    </row>
    <row r="33" spans="2:53">
      <c r="B33" s="395"/>
      <c r="C33" s="182">
        <v>7</v>
      </c>
      <c r="D33" s="203"/>
      <c r="E33" s="166"/>
      <c r="F33" s="182"/>
      <c r="G33" s="180"/>
      <c r="H33" s="402"/>
      <c r="I33" s="166" t="str">
        <f t="shared" si="20"/>
        <v>-</v>
      </c>
      <c r="J33" s="166" t="str">
        <f t="shared" si="21"/>
        <v>-</v>
      </c>
      <c r="K33" s="180" t="str">
        <f t="shared" si="22"/>
        <v>-</v>
      </c>
      <c r="L33" s="402"/>
      <c r="M33" s="181" t="e">
        <f>RANK(K33, K$24:$K$41)</f>
        <v>#VALUE!</v>
      </c>
      <c r="N33" s="389"/>
      <c r="O33" s="389"/>
      <c r="P33" s="182"/>
      <c r="Q33" s="182"/>
      <c r="R33" s="182"/>
      <c r="S33" s="182" t="e">
        <f t="shared" si="25"/>
        <v>#N/A</v>
      </c>
      <c r="T33" s="390"/>
      <c r="U33" s="182"/>
      <c r="V33" s="182"/>
      <c r="W33" s="182"/>
      <c r="X33" s="182" t="e">
        <f t="shared" si="26"/>
        <v>#N/A</v>
      </c>
      <c r="Y33" s="390"/>
      <c r="Z33" s="182"/>
      <c r="AA33" s="182"/>
      <c r="AB33" s="182"/>
      <c r="AC33" s="182" t="e">
        <f t="shared" si="27"/>
        <v>#N/A</v>
      </c>
      <c r="AD33" s="390"/>
      <c r="AE33" s="182"/>
      <c r="AF33" s="182"/>
      <c r="AG33" s="182"/>
      <c r="AH33" s="182" t="e">
        <f t="shared" si="28"/>
        <v>#N/A</v>
      </c>
      <c r="AI33" s="390"/>
      <c r="AJ33" s="182"/>
      <c r="AK33" s="182"/>
      <c r="AL33" s="182"/>
      <c r="AM33" s="182" t="e">
        <f t="shared" si="29"/>
        <v>#N/A</v>
      </c>
      <c r="AN33" s="390"/>
      <c r="AO33" s="182"/>
      <c r="AP33" s="182"/>
      <c r="AQ33" s="182"/>
      <c r="AR33" s="182" t="e">
        <f t="shared" si="30"/>
        <v>#N/A</v>
      </c>
      <c r="AS33" s="390"/>
      <c r="AT33" s="182"/>
      <c r="AU33" s="182"/>
      <c r="AV33" s="182"/>
      <c r="AW33" s="182" t="e">
        <f t="shared" si="31"/>
        <v>#N/A</v>
      </c>
      <c r="AX33" s="390"/>
      <c r="AZ33" s="182" t="e">
        <f t="shared" si="23"/>
        <v>#N/A</v>
      </c>
      <c r="BA33" s="385"/>
    </row>
    <row r="34" spans="2:53">
      <c r="B34" s="395"/>
      <c r="C34" s="182">
        <v>8</v>
      </c>
      <c r="D34" s="203"/>
      <c r="E34" s="166"/>
      <c r="F34" s="182"/>
      <c r="G34" s="180"/>
      <c r="H34" s="402"/>
      <c r="I34" s="166" t="str">
        <f t="shared" si="20"/>
        <v>-</v>
      </c>
      <c r="J34" s="166" t="str">
        <f t="shared" si="21"/>
        <v>-</v>
      </c>
      <c r="K34" s="180" t="str">
        <f t="shared" si="22"/>
        <v>-</v>
      </c>
      <c r="L34" s="402"/>
      <c r="M34" s="181" t="e">
        <f>RANK(K34, K$24:$K$41)</f>
        <v>#VALUE!</v>
      </c>
      <c r="N34" s="389"/>
      <c r="O34" s="389"/>
      <c r="P34" s="182"/>
      <c r="Q34" s="182"/>
      <c r="R34" s="182"/>
      <c r="S34" s="182" t="e">
        <f t="shared" si="25"/>
        <v>#N/A</v>
      </c>
      <c r="T34" s="390"/>
      <c r="U34" s="182"/>
      <c r="V34" s="182"/>
      <c r="W34" s="182"/>
      <c r="X34" s="182" t="e">
        <f t="shared" si="26"/>
        <v>#N/A</v>
      </c>
      <c r="Y34" s="390"/>
      <c r="Z34" s="182"/>
      <c r="AA34" s="182"/>
      <c r="AB34" s="182"/>
      <c r="AC34" s="182" t="e">
        <f t="shared" si="27"/>
        <v>#N/A</v>
      </c>
      <c r="AD34" s="390"/>
      <c r="AE34" s="182"/>
      <c r="AF34" s="182"/>
      <c r="AG34" s="182"/>
      <c r="AH34" s="182" t="e">
        <f t="shared" si="28"/>
        <v>#N/A</v>
      </c>
      <c r="AI34" s="390"/>
      <c r="AJ34" s="182"/>
      <c r="AK34" s="182"/>
      <c r="AL34" s="182"/>
      <c r="AM34" s="182" t="e">
        <f t="shared" si="29"/>
        <v>#N/A</v>
      </c>
      <c r="AN34" s="390"/>
      <c r="AO34" s="182"/>
      <c r="AP34" s="182"/>
      <c r="AQ34" s="182"/>
      <c r="AR34" s="182" t="e">
        <f t="shared" si="30"/>
        <v>#N/A</v>
      </c>
      <c r="AS34" s="390"/>
      <c r="AT34" s="182"/>
      <c r="AU34" s="182"/>
      <c r="AV34" s="182"/>
      <c r="AW34" s="182" t="e">
        <f t="shared" si="31"/>
        <v>#N/A</v>
      </c>
      <c r="AX34" s="390"/>
      <c r="AZ34" s="182" t="e">
        <f t="shared" si="23"/>
        <v>#N/A</v>
      </c>
      <c r="BA34" s="385"/>
    </row>
    <row r="35" spans="2:53">
      <c r="B35" s="395"/>
      <c r="C35" s="182">
        <v>9</v>
      </c>
      <c r="D35" s="203"/>
      <c r="E35" s="166"/>
      <c r="F35" s="182"/>
      <c r="G35" s="180"/>
      <c r="H35" s="402"/>
      <c r="I35" s="166" t="str">
        <f t="shared" si="20"/>
        <v>-</v>
      </c>
      <c r="J35" s="166" t="str">
        <f t="shared" si="21"/>
        <v>-</v>
      </c>
      <c r="K35" s="180" t="str">
        <f t="shared" si="22"/>
        <v>-</v>
      </c>
      <c r="L35" s="402"/>
      <c r="M35" s="181" t="e">
        <f>RANK(K35, K$24:$K$41)</f>
        <v>#VALUE!</v>
      </c>
      <c r="N35" s="389"/>
      <c r="O35" s="389"/>
      <c r="P35" s="182"/>
      <c r="Q35" s="182"/>
      <c r="R35" s="182"/>
      <c r="S35" s="182" t="e">
        <f t="shared" si="25"/>
        <v>#N/A</v>
      </c>
      <c r="T35" s="390"/>
      <c r="U35" s="182"/>
      <c r="V35" s="182"/>
      <c r="W35" s="182"/>
      <c r="X35" s="182" t="e">
        <f t="shared" si="26"/>
        <v>#N/A</v>
      </c>
      <c r="Y35" s="390"/>
      <c r="Z35" s="182"/>
      <c r="AA35" s="182"/>
      <c r="AB35" s="182"/>
      <c r="AC35" s="182" t="e">
        <f t="shared" si="27"/>
        <v>#N/A</v>
      </c>
      <c r="AD35" s="390"/>
      <c r="AE35" s="182"/>
      <c r="AF35" s="182"/>
      <c r="AG35" s="182"/>
      <c r="AH35" s="182" t="e">
        <f t="shared" si="28"/>
        <v>#N/A</v>
      </c>
      <c r="AI35" s="390"/>
      <c r="AJ35" s="182"/>
      <c r="AK35" s="182"/>
      <c r="AL35" s="182"/>
      <c r="AM35" s="182" t="e">
        <f t="shared" si="29"/>
        <v>#N/A</v>
      </c>
      <c r="AN35" s="390"/>
      <c r="AO35" s="182"/>
      <c r="AP35" s="182"/>
      <c r="AQ35" s="182"/>
      <c r="AR35" s="182" t="e">
        <f t="shared" si="30"/>
        <v>#N/A</v>
      </c>
      <c r="AS35" s="390"/>
      <c r="AT35" s="182"/>
      <c r="AU35" s="182"/>
      <c r="AV35" s="182"/>
      <c r="AW35" s="182" t="e">
        <f t="shared" si="31"/>
        <v>#N/A</v>
      </c>
      <c r="AX35" s="390"/>
      <c r="AZ35" s="182" t="e">
        <f t="shared" si="23"/>
        <v>#N/A</v>
      </c>
      <c r="BA35" s="385"/>
    </row>
    <row r="36" spans="2:53">
      <c r="B36" s="395"/>
      <c r="C36" s="182">
        <v>10</v>
      </c>
      <c r="D36" s="203"/>
      <c r="E36" s="166"/>
      <c r="F36" s="182"/>
      <c r="G36" s="180"/>
      <c r="H36" s="402"/>
      <c r="I36" s="166" t="str">
        <f t="shared" si="20"/>
        <v>-</v>
      </c>
      <c r="J36" s="166" t="str">
        <f t="shared" si="21"/>
        <v>-</v>
      </c>
      <c r="K36" s="180" t="str">
        <f t="shared" si="22"/>
        <v>-</v>
      </c>
      <c r="L36" s="402"/>
      <c r="M36" s="181" t="e">
        <f>RANK(K36, K$24:$K$41)</f>
        <v>#VALUE!</v>
      </c>
      <c r="N36" s="389"/>
      <c r="O36" s="389"/>
      <c r="P36" s="182"/>
      <c r="Q36" s="182"/>
      <c r="R36" s="182"/>
      <c r="S36" s="182" t="e">
        <f t="shared" si="25"/>
        <v>#N/A</v>
      </c>
      <c r="T36" s="390"/>
      <c r="U36" s="182"/>
      <c r="V36" s="182"/>
      <c r="W36" s="182"/>
      <c r="X36" s="182" t="e">
        <f t="shared" si="26"/>
        <v>#N/A</v>
      </c>
      <c r="Y36" s="390"/>
      <c r="Z36" s="182"/>
      <c r="AA36" s="182"/>
      <c r="AB36" s="182"/>
      <c r="AC36" s="182" t="e">
        <f t="shared" si="27"/>
        <v>#N/A</v>
      </c>
      <c r="AD36" s="390"/>
      <c r="AE36" s="182"/>
      <c r="AF36" s="182"/>
      <c r="AG36" s="182"/>
      <c r="AH36" s="182" t="e">
        <f t="shared" si="28"/>
        <v>#N/A</v>
      </c>
      <c r="AI36" s="390"/>
      <c r="AJ36" s="182"/>
      <c r="AK36" s="182"/>
      <c r="AL36" s="182"/>
      <c r="AM36" s="182" t="e">
        <f t="shared" si="29"/>
        <v>#N/A</v>
      </c>
      <c r="AN36" s="390"/>
      <c r="AO36" s="182"/>
      <c r="AP36" s="182"/>
      <c r="AQ36" s="182"/>
      <c r="AR36" s="182" t="e">
        <f t="shared" si="30"/>
        <v>#N/A</v>
      </c>
      <c r="AS36" s="390"/>
      <c r="AT36" s="182"/>
      <c r="AU36" s="182"/>
      <c r="AV36" s="182"/>
      <c r="AW36" s="182" t="e">
        <f t="shared" si="31"/>
        <v>#N/A</v>
      </c>
      <c r="AX36" s="390"/>
      <c r="AZ36" s="182" t="e">
        <f t="shared" si="23"/>
        <v>#N/A</v>
      </c>
      <c r="BA36" s="385"/>
    </row>
    <row r="37" spans="2:53">
      <c r="B37" s="395"/>
      <c r="C37" s="182">
        <v>11</v>
      </c>
      <c r="D37" s="203"/>
      <c r="E37" s="166"/>
      <c r="F37" s="182"/>
      <c r="G37" s="180"/>
      <c r="H37" s="402"/>
      <c r="I37" s="166" t="str">
        <f t="shared" si="20"/>
        <v>-</v>
      </c>
      <c r="J37" s="166" t="str">
        <f t="shared" si="21"/>
        <v>-</v>
      </c>
      <c r="K37" s="180" t="str">
        <f t="shared" si="22"/>
        <v>-</v>
      </c>
      <c r="L37" s="402"/>
      <c r="M37" s="181" t="e">
        <f>RANK(K37, K$24:$K$41)</f>
        <v>#VALUE!</v>
      </c>
      <c r="N37" s="389"/>
      <c r="O37" s="389"/>
      <c r="P37" s="182"/>
      <c r="Q37" s="182"/>
      <c r="R37" s="182"/>
      <c r="S37" s="182" t="e">
        <f t="shared" si="25"/>
        <v>#N/A</v>
      </c>
      <c r="T37" s="390"/>
      <c r="U37" s="182"/>
      <c r="V37" s="182"/>
      <c r="W37" s="182"/>
      <c r="X37" s="182" t="e">
        <f t="shared" si="26"/>
        <v>#N/A</v>
      </c>
      <c r="Y37" s="390"/>
      <c r="Z37" s="182"/>
      <c r="AA37" s="182"/>
      <c r="AB37" s="182"/>
      <c r="AC37" s="182" t="e">
        <f t="shared" si="27"/>
        <v>#N/A</v>
      </c>
      <c r="AD37" s="390"/>
      <c r="AE37" s="182"/>
      <c r="AF37" s="182"/>
      <c r="AG37" s="182"/>
      <c r="AH37" s="182" t="e">
        <f t="shared" si="28"/>
        <v>#N/A</v>
      </c>
      <c r="AI37" s="390"/>
      <c r="AJ37" s="182"/>
      <c r="AK37" s="182"/>
      <c r="AL37" s="182"/>
      <c r="AM37" s="182" t="e">
        <f t="shared" si="29"/>
        <v>#N/A</v>
      </c>
      <c r="AN37" s="390"/>
      <c r="AO37" s="182"/>
      <c r="AP37" s="182"/>
      <c r="AQ37" s="182"/>
      <c r="AR37" s="182" t="e">
        <f t="shared" si="30"/>
        <v>#N/A</v>
      </c>
      <c r="AS37" s="390"/>
      <c r="AT37" s="182"/>
      <c r="AU37" s="182"/>
      <c r="AV37" s="182"/>
      <c r="AW37" s="182" t="e">
        <f t="shared" si="31"/>
        <v>#N/A</v>
      </c>
      <c r="AX37" s="390"/>
      <c r="AZ37" s="182" t="e">
        <f t="shared" si="23"/>
        <v>#N/A</v>
      </c>
      <c r="BA37" s="385"/>
    </row>
    <row r="38" spans="2:53">
      <c r="B38" s="395"/>
      <c r="C38" s="182">
        <v>12</v>
      </c>
      <c r="D38" s="203"/>
      <c r="E38" s="166"/>
      <c r="F38" s="182"/>
      <c r="G38" s="180"/>
      <c r="H38" s="402"/>
      <c r="I38" s="166" t="str">
        <f t="shared" si="20"/>
        <v>-</v>
      </c>
      <c r="J38" s="166" t="str">
        <f t="shared" si="21"/>
        <v>-</v>
      </c>
      <c r="K38" s="180" t="str">
        <f t="shared" si="22"/>
        <v>-</v>
      </c>
      <c r="L38" s="402"/>
      <c r="M38" s="181" t="e">
        <f>RANK(K38, K$24:$K$41)</f>
        <v>#VALUE!</v>
      </c>
      <c r="N38" s="389"/>
      <c r="O38" s="389"/>
      <c r="P38" s="182"/>
      <c r="Q38" s="182"/>
      <c r="R38" s="182"/>
      <c r="S38" s="182" t="e">
        <f t="shared" si="25"/>
        <v>#N/A</v>
      </c>
      <c r="T38" s="390"/>
      <c r="U38" s="182"/>
      <c r="V38" s="182"/>
      <c r="W38" s="182"/>
      <c r="X38" s="182" t="e">
        <f t="shared" si="26"/>
        <v>#N/A</v>
      </c>
      <c r="Y38" s="390"/>
      <c r="Z38" s="182"/>
      <c r="AA38" s="182"/>
      <c r="AB38" s="182"/>
      <c r="AC38" s="182" t="e">
        <f t="shared" si="27"/>
        <v>#N/A</v>
      </c>
      <c r="AD38" s="390"/>
      <c r="AE38" s="182"/>
      <c r="AF38" s="182"/>
      <c r="AG38" s="182"/>
      <c r="AH38" s="182" t="e">
        <f t="shared" si="28"/>
        <v>#N/A</v>
      </c>
      <c r="AI38" s="390"/>
      <c r="AJ38" s="182"/>
      <c r="AK38" s="182"/>
      <c r="AL38" s="182"/>
      <c r="AM38" s="182" t="e">
        <f t="shared" si="29"/>
        <v>#N/A</v>
      </c>
      <c r="AN38" s="390"/>
      <c r="AO38" s="182"/>
      <c r="AP38" s="182"/>
      <c r="AQ38" s="182"/>
      <c r="AR38" s="182" t="e">
        <f t="shared" si="30"/>
        <v>#N/A</v>
      </c>
      <c r="AS38" s="390"/>
      <c r="AT38" s="182"/>
      <c r="AU38" s="182"/>
      <c r="AV38" s="182"/>
      <c r="AW38" s="182" t="e">
        <f t="shared" si="31"/>
        <v>#N/A</v>
      </c>
      <c r="AX38" s="390"/>
      <c r="AZ38" s="182" t="e">
        <f t="shared" si="23"/>
        <v>#N/A</v>
      </c>
      <c r="BA38" s="385"/>
    </row>
    <row r="39" spans="2:53">
      <c r="B39" s="395"/>
      <c r="C39" s="182">
        <v>13</v>
      </c>
      <c r="D39" s="203"/>
      <c r="E39" s="166"/>
      <c r="F39" s="182"/>
      <c r="G39" s="180"/>
      <c r="H39" s="402"/>
      <c r="I39" s="166" t="str">
        <f t="shared" si="20"/>
        <v>-</v>
      </c>
      <c r="J39" s="166" t="str">
        <f t="shared" si="21"/>
        <v>-</v>
      </c>
      <c r="K39" s="180" t="str">
        <f t="shared" si="22"/>
        <v>-</v>
      </c>
      <c r="L39" s="402"/>
      <c r="M39" s="181" t="e">
        <f>RANK(K39, K$24:$K$41)</f>
        <v>#VALUE!</v>
      </c>
      <c r="N39" s="389"/>
      <c r="O39" s="389"/>
      <c r="P39" s="182"/>
      <c r="Q39" s="182"/>
      <c r="R39" s="182"/>
      <c r="S39" s="182" t="e">
        <f t="shared" si="25"/>
        <v>#N/A</v>
      </c>
      <c r="T39" s="390"/>
      <c r="U39" s="182"/>
      <c r="V39" s="182"/>
      <c r="W39" s="182"/>
      <c r="X39" s="182" t="e">
        <f t="shared" si="26"/>
        <v>#N/A</v>
      </c>
      <c r="Y39" s="390"/>
      <c r="Z39" s="182"/>
      <c r="AA39" s="182"/>
      <c r="AB39" s="182"/>
      <c r="AC39" s="182" t="e">
        <f t="shared" si="27"/>
        <v>#N/A</v>
      </c>
      <c r="AD39" s="390"/>
      <c r="AE39" s="182"/>
      <c r="AF39" s="182"/>
      <c r="AG39" s="182"/>
      <c r="AH39" s="182" t="e">
        <f t="shared" si="28"/>
        <v>#N/A</v>
      </c>
      <c r="AI39" s="390"/>
      <c r="AJ39" s="182"/>
      <c r="AK39" s="182"/>
      <c r="AL39" s="182"/>
      <c r="AM39" s="182" t="e">
        <f t="shared" si="29"/>
        <v>#N/A</v>
      </c>
      <c r="AN39" s="390"/>
      <c r="AO39" s="182"/>
      <c r="AP39" s="182"/>
      <c r="AQ39" s="182"/>
      <c r="AR39" s="182" t="e">
        <f t="shared" si="30"/>
        <v>#N/A</v>
      </c>
      <c r="AS39" s="390"/>
      <c r="AT39" s="182"/>
      <c r="AU39" s="182"/>
      <c r="AV39" s="182"/>
      <c r="AW39" s="182" t="e">
        <f t="shared" si="31"/>
        <v>#N/A</v>
      </c>
      <c r="AX39" s="390"/>
      <c r="AZ39" s="182" t="e">
        <f t="shared" si="23"/>
        <v>#N/A</v>
      </c>
      <c r="BA39" s="385"/>
    </row>
    <row r="40" spans="2:53">
      <c r="B40" s="395"/>
      <c r="C40" s="182">
        <v>14</v>
      </c>
      <c r="D40" s="203"/>
      <c r="E40" s="166"/>
      <c r="F40" s="182"/>
      <c r="G40" s="180"/>
      <c r="H40" s="402"/>
      <c r="I40" s="166" t="str">
        <f t="shared" si="20"/>
        <v>-</v>
      </c>
      <c r="J40" s="166" t="str">
        <f t="shared" si="21"/>
        <v>-</v>
      </c>
      <c r="K40" s="180" t="str">
        <f t="shared" si="22"/>
        <v>-</v>
      </c>
      <c r="L40" s="402"/>
      <c r="M40" s="181" t="e">
        <f>RANK(K40, K$24:$K$41)</f>
        <v>#VALUE!</v>
      </c>
      <c r="N40" s="389"/>
      <c r="O40" s="389"/>
      <c r="P40" s="182"/>
      <c r="Q40" s="182"/>
      <c r="R40" s="182"/>
      <c r="S40" s="182" t="e">
        <f t="shared" si="25"/>
        <v>#N/A</v>
      </c>
      <c r="T40" s="390"/>
      <c r="U40" s="182"/>
      <c r="V40" s="182"/>
      <c r="W40" s="182"/>
      <c r="X40" s="182" t="e">
        <f t="shared" si="26"/>
        <v>#N/A</v>
      </c>
      <c r="Y40" s="390"/>
      <c r="Z40" s="182"/>
      <c r="AA40" s="182"/>
      <c r="AB40" s="182"/>
      <c r="AC40" s="182" t="e">
        <f t="shared" si="27"/>
        <v>#N/A</v>
      </c>
      <c r="AD40" s="390"/>
      <c r="AE40" s="182"/>
      <c r="AF40" s="182"/>
      <c r="AG40" s="182"/>
      <c r="AH40" s="182" t="e">
        <f t="shared" si="28"/>
        <v>#N/A</v>
      </c>
      <c r="AI40" s="390"/>
      <c r="AJ40" s="182"/>
      <c r="AK40" s="182"/>
      <c r="AL40" s="182"/>
      <c r="AM40" s="182" t="e">
        <f t="shared" si="29"/>
        <v>#N/A</v>
      </c>
      <c r="AN40" s="390"/>
      <c r="AO40" s="182"/>
      <c r="AP40" s="182"/>
      <c r="AQ40" s="182"/>
      <c r="AR40" s="182" t="e">
        <f t="shared" si="30"/>
        <v>#N/A</v>
      </c>
      <c r="AS40" s="390"/>
      <c r="AT40" s="182"/>
      <c r="AU40" s="182"/>
      <c r="AV40" s="182"/>
      <c r="AW40" s="182" t="e">
        <f t="shared" si="31"/>
        <v>#N/A</v>
      </c>
      <c r="AX40" s="390"/>
      <c r="AZ40" s="182" t="e">
        <f t="shared" si="23"/>
        <v>#N/A</v>
      </c>
      <c r="BA40" s="385"/>
    </row>
    <row r="41" spans="2:53">
      <c r="B41" s="395"/>
      <c r="C41" s="182">
        <v>15</v>
      </c>
      <c r="D41" s="203"/>
      <c r="E41" s="166"/>
      <c r="F41" s="182"/>
      <c r="G41" s="180"/>
      <c r="H41" s="403"/>
      <c r="I41" s="182"/>
      <c r="J41" s="182"/>
      <c r="K41" s="182"/>
      <c r="L41" s="403"/>
      <c r="M41" s="166" t="e">
        <f>RANK(K41, K$24:$K$41)</f>
        <v>#N/A</v>
      </c>
      <c r="N41" s="389"/>
      <c r="O41" s="389"/>
      <c r="P41" s="182"/>
      <c r="Q41" s="182"/>
      <c r="R41" s="182"/>
      <c r="S41" s="182" t="e">
        <f t="shared" si="25"/>
        <v>#N/A</v>
      </c>
      <c r="T41" s="390"/>
      <c r="U41" s="182"/>
      <c r="V41" s="182"/>
      <c r="W41" s="182"/>
      <c r="X41" s="182" t="e">
        <f t="shared" si="26"/>
        <v>#N/A</v>
      </c>
      <c r="Y41" s="390"/>
      <c r="Z41" s="182"/>
      <c r="AA41" s="182"/>
      <c r="AB41" s="182"/>
      <c r="AC41" s="182" t="e">
        <f t="shared" si="27"/>
        <v>#N/A</v>
      </c>
      <c r="AD41" s="390"/>
      <c r="AE41" s="182"/>
      <c r="AF41" s="182"/>
      <c r="AG41" s="182"/>
      <c r="AH41" s="182" t="e">
        <f t="shared" si="28"/>
        <v>#N/A</v>
      </c>
      <c r="AI41" s="390"/>
      <c r="AJ41" s="182"/>
      <c r="AK41" s="182"/>
      <c r="AL41" s="182"/>
      <c r="AM41" s="182" t="e">
        <f t="shared" si="29"/>
        <v>#N/A</v>
      </c>
      <c r="AN41" s="390"/>
      <c r="AO41" s="182"/>
      <c r="AP41" s="182"/>
      <c r="AQ41" s="182"/>
      <c r="AR41" s="182" t="e">
        <f t="shared" si="30"/>
        <v>#N/A</v>
      </c>
      <c r="AS41" s="390"/>
      <c r="AT41" s="182"/>
      <c r="AU41" s="182"/>
      <c r="AV41" s="182"/>
      <c r="AW41" s="182" t="e">
        <f t="shared" si="31"/>
        <v>#N/A</v>
      </c>
      <c r="AX41" s="390"/>
      <c r="AZ41" s="182" t="e">
        <f t="shared" si="23"/>
        <v>#N/A</v>
      </c>
      <c r="BA41" s="386"/>
    </row>
    <row r="42" spans="2:53" ht="15.75">
      <c r="B42" s="424" t="s">
        <v>163</v>
      </c>
      <c r="C42" s="425"/>
      <c r="D42" s="425"/>
      <c r="E42" s="425"/>
      <c r="F42" s="425"/>
      <c r="G42" s="425"/>
      <c r="H42" s="425"/>
      <c r="I42" s="186"/>
      <c r="J42" s="183"/>
      <c r="K42" s="186"/>
      <c r="L42" s="186"/>
      <c r="M42" s="178"/>
      <c r="N42" s="391" t="s">
        <v>156</v>
      </c>
      <c r="O42" s="391" t="s">
        <v>105</v>
      </c>
      <c r="P42" s="413">
        <f>P22+7</f>
        <v>46154</v>
      </c>
      <c r="Q42" s="395"/>
      <c r="R42" s="395"/>
      <c r="S42" s="395"/>
      <c r="T42" s="395"/>
      <c r="U42" s="410">
        <f>P42+1</f>
        <v>46155</v>
      </c>
      <c r="V42" s="411"/>
      <c r="W42" s="411"/>
      <c r="X42" s="411"/>
      <c r="Y42" s="412"/>
      <c r="Z42" s="410">
        <f>U42+1</f>
        <v>46156</v>
      </c>
      <c r="AA42" s="411"/>
      <c r="AB42" s="411"/>
      <c r="AC42" s="411"/>
      <c r="AD42" s="412"/>
      <c r="AE42" s="410">
        <f>Z42+1</f>
        <v>46157</v>
      </c>
      <c r="AF42" s="411"/>
      <c r="AG42" s="411"/>
      <c r="AH42" s="411"/>
      <c r="AI42" s="412"/>
      <c r="AJ42" s="410">
        <f>AE42+1</f>
        <v>46158</v>
      </c>
      <c r="AK42" s="411"/>
      <c r="AL42" s="411"/>
      <c r="AM42" s="411"/>
      <c r="AN42" s="412"/>
      <c r="AO42" s="410">
        <f>AJ42+1</f>
        <v>46159</v>
      </c>
      <c r="AP42" s="411"/>
      <c r="AQ42" s="411"/>
      <c r="AR42" s="411"/>
      <c r="AS42" s="412"/>
      <c r="AT42" s="410">
        <f>AO42+1</f>
        <v>46160</v>
      </c>
      <c r="AU42" s="411"/>
      <c r="AV42" s="411"/>
      <c r="AW42" s="411"/>
      <c r="AX42" s="412"/>
    </row>
    <row r="43" spans="2:53" ht="15.75">
      <c r="B43" s="416"/>
      <c r="C43" s="416"/>
      <c r="D43" s="416"/>
      <c r="E43" s="416"/>
      <c r="F43" s="416"/>
      <c r="G43" s="416"/>
      <c r="H43" s="416"/>
      <c r="I43" s="184"/>
      <c r="J43" s="184"/>
      <c r="K43" s="184"/>
      <c r="L43" s="184"/>
      <c r="M43" s="179"/>
      <c r="N43" s="393"/>
      <c r="O43" s="393"/>
      <c r="P43" s="413" t="s">
        <v>318</v>
      </c>
      <c r="Q43" s="395"/>
      <c r="R43" s="395"/>
      <c r="S43" s="395"/>
      <c r="T43" s="395"/>
      <c r="U43" s="413" t="s">
        <v>319</v>
      </c>
      <c r="V43" s="395"/>
      <c r="W43" s="395"/>
      <c r="X43" s="395"/>
      <c r="Y43" s="395"/>
      <c r="Z43" s="413" t="s">
        <v>320</v>
      </c>
      <c r="AA43" s="395"/>
      <c r="AB43" s="395"/>
      <c r="AC43" s="395"/>
      <c r="AD43" s="395"/>
      <c r="AE43" s="413" t="s">
        <v>321</v>
      </c>
      <c r="AF43" s="395"/>
      <c r="AG43" s="395"/>
      <c r="AH43" s="395"/>
      <c r="AI43" s="395"/>
      <c r="AJ43" s="413" t="s">
        <v>322</v>
      </c>
      <c r="AK43" s="395"/>
      <c r="AL43" s="395"/>
      <c r="AM43" s="395"/>
      <c r="AN43" s="395"/>
      <c r="AO43" s="413" t="s">
        <v>323</v>
      </c>
      <c r="AP43" s="395"/>
      <c r="AQ43" s="395"/>
      <c r="AR43" s="395"/>
      <c r="AS43" s="395"/>
      <c r="AT43" s="413" t="s">
        <v>324</v>
      </c>
      <c r="AU43" s="395"/>
      <c r="AV43" s="395"/>
      <c r="AW43" s="395"/>
      <c r="AX43" s="395"/>
    </row>
    <row r="44" spans="2:53">
      <c r="B44" s="389" t="s">
        <v>467</v>
      </c>
      <c r="C44" s="389" t="s">
        <v>386</v>
      </c>
      <c r="D44" s="389"/>
      <c r="E44" s="389" t="s">
        <v>377</v>
      </c>
      <c r="F44" s="389"/>
      <c r="G44" s="389"/>
      <c r="H44" s="417" t="s">
        <v>373</v>
      </c>
      <c r="I44" s="389" t="s">
        <v>378</v>
      </c>
      <c r="J44" s="389"/>
      <c r="K44" s="389"/>
      <c r="L44" s="417" t="s">
        <v>373</v>
      </c>
      <c r="M44" s="391" t="s">
        <v>374</v>
      </c>
      <c r="N44" s="389"/>
      <c r="O44" s="389" t="s">
        <v>379</v>
      </c>
      <c r="P44" s="404" t="s">
        <v>375</v>
      </c>
      <c r="Q44" s="405"/>
      <c r="R44" s="405"/>
      <c r="S44" s="406"/>
      <c r="T44" s="389" t="s">
        <v>373</v>
      </c>
      <c r="U44" s="404" t="s">
        <v>375</v>
      </c>
      <c r="V44" s="405"/>
      <c r="W44" s="405"/>
      <c r="X44" s="406"/>
      <c r="Y44" s="389" t="s">
        <v>373</v>
      </c>
      <c r="Z44" s="404" t="s">
        <v>375</v>
      </c>
      <c r="AA44" s="405"/>
      <c r="AB44" s="405"/>
      <c r="AC44" s="406"/>
      <c r="AD44" s="389" t="s">
        <v>373</v>
      </c>
      <c r="AE44" s="404" t="s">
        <v>375</v>
      </c>
      <c r="AF44" s="405"/>
      <c r="AG44" s="405"/>
      <c r="AH44" s="406"/>
      <c r="AI44" s="389" t="s">
        <v>373</v>
      </c>
      <c r="AJ44" s="404" t="s">
        <v>375</v>
      </c>
      <c r="AK44" s="405"/>
      <c r="AL44" s="405"/>
      <c r="AM44" s="406"/>
      <c r="AN44" s="389" t="s">
        <v>373</v>
      </c>
      <c r="AO44" s="404" t="s">
        <v>375</v>
      </c>
      <c r="AP44" s="405"/>
      <c r="AQ44" s="405"/>
      <c r="AR44" s="406"/>
      <c r="AS44" s="389" t="s">
        <v>373</v>
      </c>
      <c r="AT44" s="404" t="s">
        <v>375</v>
      </c>
      <c r="AU44" s="405"/>
      <c r="AV44" s="405"/>
      <c r="AW44" s="406"/>
      <c r="AX44" s="389" t="s">
        <v>373</v>
      </c>
      <c r="BA44" s="389" t="s">
        <v>373</v>
      </c>
    </row>
    <row r="45" spans="2:53">
      <c r="B45" s="389"/>
      <c r="C45" s="389"/>
      <c r="D45" s="389"/>
      <c r="E45" s="389" t="s">
        <v>380</v>
      </c>
      <c r="F45" s="389"/>
      <c r="G45" s="389"/>
      <c r="H45" s="418"/>
      <c r="I45" s="389" t="s">
        <v>380</v>
      </c>
      <c r="J45" s="389"/>
      <c r="K45" s="389"/>
      <c r="L45" s="418"/>
      <c r="M45" s="392"/>
      <c r="N45" s="389"/>
      <c r="O45" s="389"/>
      <c r="P45" s="404" t="s">
        <v>381</v>
      </c>
      <c r="Q45" s="405"/>
      <c r="R45" s="405"/>
      <c r="S45" s="406"/>
      <c r="T45" s="389"/>
      <c r="U45" s="404" t="s">
        <v>381</v>
      </c>
      <c r="V45" s="405"/>
      <c r="W45" s="405"/>
      <c r="X45" s="406"/>
      <c r="Y45" s="389"/>
      <c r="Z45" s="404" t="s">
        <v>381</v>
      </c>
      <c r="AA45" s="405"/>
      <c r="AB45" s="405"/>
      <c r="AC45" s="406"/>
      <c r="AD45" s="389"/>
      <c r="AE45" s="404" t="s">
        <v>381</v>
      </c>
      <c r="AF45" s="405"/>
      <c r="AG45" s="405"/>
      <c r="AH45" s="406"/>
      <c r="AI45" s="389"/>
      <c r="AJ45" s="404" t="s">
        <v>381</v>
      </c>
      <c r="AK45" s="405"/>
      <c r="AL45" s="405"/>
      <c r="AM45" s="406"/>
      <c r="AN45" s="389"/>
      <c r="AO45" s="404" t="s">
        <v>381</v>
      </c>
      <c r="AP45" s="405"/>
      <c r="AQ45" s="405"/>
      <c r="AR45" s="406"/>
      <c r="AS45" s="389"/>
      <c r="AT45" s="404" t="s">
        <v>381</v>
      </c>
      <c r="AU45" s="405"/>
      <c r="AV45" s="405"/>
      <c r="AW45" s="406"/>
      <c r="AX45" s="389"/>
      <c r="BA45" s="389"/>
    </row>
    <row r="46" spans="2:53">
      <c r="B46" s="389"/>
      <c r="C46" s="389"/>
      <c r="D46" s="389"/>
      <c r="E46" s="258" t="s">
        <v>382</v>
      </c>
      <c r="F46" s="258" t="s">
        <v>383</v>
      </c>
      <c r="G46" s="258" t="s">
        <v>384</v>
      </c>
      <c r="H46" s="419"/>
      <c r="I46" s="258" t="s">
        <v>382</v>
      </c>
      <c r="J46" s="258" t="s">
        <v>383</v>
      </c>
      <c r="K46" s="258" t="s">
        <v>384</v>
      </c>
      <c r="L46" s="419"/>
      <c r="M46" s="393"/>
      <c r="N46" s="389"/>
      <c r="O46" s="389"/>
      <c r="P46" s="258" t="s">
        <v>382</v>
      </c>
      <c r="Q46" s="258" t="s">
        <v>383</v>
      </c>
      <c r="R46" s="258" t="s">
        <v>384</v>
      </c>
      <c r="S46" s="258" t="s">
        <v>374</v>
      </c>
      <c r="T46" s="389"/>
      <c r="U46" s="258" t="s">
        <v>382</v>
      </c>
      <c r="V46" s="258" t="s">
        <v>383</v>
      </c>
      <c r="W46" s="258" t="s">
        <v>384</v>
      </c>
      <c r="X46" s="258" t="s">
        <v>374</v>
      </c>
      <c r="Y46" s="389"/>
      <c r="Z46" s="258" t="s">
        <v>382</v>
      </c>
      <c r="AA46" s="258" t="s">
        <v>383</v>
      </c>
      <c r="AB46" s="258" t="s">
        <v>384</v>
      </c>
      <c r="AC46" s="258" t="s">
        <v>374</v>
      </c>
      <c r="AD46" s="389"/>
      <c r="AE46" s="258" t="s">
        <v>382</v>
      </c>
      <c r="AF46" s="258" t="s">
        <v>383</v>
      </c>
      <c r="AG46" s="258" t="s">
        <v>384</v>
      </c>
      <c r="AH46" s="258" t="s">
        <v>374</v>
      </c>
      <c r="AI46" s="389"/>
      <c r="AJ46" s="258" t="s">
        <v>382</v>
      </c>
      <c r="AK46" s="258" t="s">
        <v>383</v>
      </c>
      <c r="AL46" s="258" t="s">
        <v>384</v>
      </c>
      <c r="AM46" s="258" t="s">
        <v>374</v>
      </c>
      <c r="AN46" s="389"/>
      <c r="AO46" s="258" t="s">
        <v>382</v>
      </c>
      <c r="AP46" s="258" t="s">
        <v>383</v>
      </c>
      <c r="AQ46" s="258" t="s">
        <v>384</v>
      </c>
      <c r="AR46" s="258" t="s">
        <v>374</v>
      </c>
      <c r="AS46" s="389"/>
      <c r="AT46" s="258" t="s">
        <v>382</v>
      </c>
      <c r="AU46" s="258" t="s">
        <v>383</v>
      </c>
      <c r="AV46" s="258" t="s">
        <v>384</v>
      </c>
      <c r="AW46" s="258" t="s">
        <v>374</v>
      </c>
      <c r="AX46" s="389"/>
      <c r="AZ46" s="258" t="s">
        <v>374</v>
      </c>
      <c r="BA46" s="389"/>
    </row>
    <row r="47" spans="2:53">
      <c r="B47" s="389" t="s">
        <v>480</v>
      </c>
      <c r="C47" s="182">
        <v>1</v>
      </c>
      <c r="D47" s="203" t="s">
        <v>642</v>
      </c>
      <c r="E47" s="166">
        <v>15</v>
      </c>
      <c r="F47" s="182">
        <v>1500</v>
      </c>
      <c r="G47" s="180">
        <v>100</v>
      </c>
      <c r="H47" s="401">
        <f>AVERAGE(G47:G61)</f>
        <v>93.333333333333329</v>
      </c>
      <c r="I47" s="166">
        <f t="shared" ref="I47:I60" si="32">IFERROR(AVERAGE(P47,U47,Z47,AE47,AJ47,AO47,AT47),"-")</f>
        <v>15</v>
      </c>
      <c r="J47" s="166">
        <f t="shared" ref="J47:J60" si="33">IFERROR(AVERAGE(Q47,V47,AA47,AF47,AK47,AP47,AU47),"-")</f>
        <v>1288.3333333333348</v>
      </c>
      <c r="K47" s="180">
        <f t="shared" ref="K47:K60" si="34">IFERROR(AVERAGE(R47,W47,AB47,AG47,AL47,AQ47,AV47),"-")</f>
        <v>85.888888888888985</v>
      </c>
      <c r="L47" s="401">
        <f>IFERROR(AVERAGE(K47:K61),"-")</f>
        <v>95.324941591005029</v>
      </c>
      <c r="M47" s="181">
        <f>RANK(K47, K$47:$K$61)</f>
        <v>2</v>
      </c>
      <c r="N47" s="389"/>
      <c r="O47" s="389"/>
      <c r="P47" s="182">
        <v>15</v>
      </c>
      <c r="Q47" s="166">
        <v>1109.999999999995</v>
      </c>
      <c r="R47" s="166">
        <v>73.999999999999673</v>
      </c>
      <c r="S47" s="182">
        <f t="shared" ref="S47:S61" si="35">RANK(R47, R$47:R$61)</f>
        <v>3</v>
      </c>
      <c r="T47" s="384">
        <f t="shared" ref="T47" si="36">AVERAGE(R47:R61)</f>
        <v>91.574603174603155</v>
      </c>
      <c r="U47" s="182">
        <v>15</v>
      </c>
      <c r="V47" s="166">
        <v>1540.0000000000055</v>
      </c>
      <c r="W47" s="166">
        <v>102.66666666666703</v>
      </c>
      <c r="X47" s="182">
        <f t="shared" ref="X47:X61" si="37">RANK(W47, W$47:W$61)</f>
        <v>2</v>
      </c>
      <c r="Y47" s="384">
        <f t="shared" ref="Y47" si="38">AVERAGE(W47:W61)</f>
        <v>98.969474969475058</v>
      </c>
      <c r="Z47" s="182">
        <v>15</v>
      </c>
      <c r="AA47" s="166">
        <v>1215.0000000000043</v>
      </c>
      <c r="AB47" s="166">
        <v>81.000000000000284</v>
      </c>
      <c r="AC47" s="182">
        <f t="shared" ref="AC47:AC61" si="39">RANK(AB47, AB$47:AB$61)</f>
        <v>3</v>
      </c>
      <c r="AD47" s="384">
        <f t="shared" ref="AD47" si="40">AVERAGE(AB47:AB61)</f>
        <v>95.615384615384826</v>
      </c>
      <c r="AE47" s="182"/>
      <c r="AF47" s="166"/>
      <c r="AG47" s="166"/>
      <c r="AH47" s="182" t="e">
        <f t="shared" ref="AH47:AH61" si="41">RANK(AG47, AG$47:AG$61)</f>
        <v>#N/A</v>
      </c>
      <c r="AI47" s="384">
        <f t="shared" ref="AI47" si="42">AVERAGE(AG47:AG61)</f>
        <v>122.07692307692305</v>
      </c>
      <c r="AJ47" s="182"/>
      <c r="AK47" s="166"/>
      <c r="AL47" s="166"/>
      <c r="AM47" s="182" t="e">
        <f t="shared" ref="AM47:AM61" si="43">RANK(AL47, AL$47:AL$61)</f>
        <v>#N/A</v>
      </c>
      <c r="AN47" s="384">
        <f t="shared" ref="AN47" si="44">AVERAGE(AL47:AL61)</f>
        <v>116.57918552036197</v>
      </c>
      <c r="AO47" s="182"/>
      <c r="AP47" s="166"/>
      <c r="AQ47" s="166"/>
      <c r="AR47" s="182" t="e">
        <f t="shared" ref="AR47:AR61" si="45">RANK(AQ47, AQ$47:AQ$61)</f>
        <v>#N/A</v>
      </c>
      <c r="AS47" s="384">
        <f t="shared" ref="AS47" si="46">AVERAGE(AQ47:AQ61)</f>
        <v>115.88811188811187</v>
      </c>
      <c r="AT47" s="182"/>
      <c r="AU47" s="166"/>
      <c r="AV47" s="166"/>
      <c r="AW47" s="182" t="e">
        <f t="shared" ref="AW47:AW61" si="47">RANK(AV47, AV$47:AV$61)</f>
        <v>#N/A</v>
      </c>
      <c r="AX47" s="384">
        <f t="shared" ref="AX47" si="48">AVERAGE(AV47:AV61)</f>
        <v>114.07100591715974</v>
      </c>
      <c r="AZ47" s="182" t="e">
        <f t="shared" ref="AZ47:AZ61" si="49">RANK(AY47, AY$47:AY$61)</f>
        <v>#N/A</v>
      </c>
      <c r="BA47" s="384" t="e">
        <f t="shared" ref="BA47" si="50">AVERAGE(AY47:AY61)</f>
        <v>#DIV/0!</v>
      </c>
    </row>
    <row r="48" spans="2:53">
      <c r="B48" s="395"/>
      <c r="C48" s="182">
        <v>2</v>
      </c>
      <c r="D48" s="203" t="s">
        <v>659</v>
      </c>
      <c r="E48" s="166">
        <v>15</v>
      </c>
      <c r="F48" s="182">
        <v>1200</v>
      </c>
      <c r="G48" s="180">
        <v>80</v>
      </c>
      <c r="H48" s="402"/>
      <c r="I48" s="166">
        <f t="shared" si="32"/>
        <v>15</v>
      </c>
      <c r="J48" s="166">
        <f t="shared" si="33"/>
        <v>1241.9047619047644</v>
      </c>
      <c r="K48" s="180">
        <f t="shared" si="34"/>
        <v>82.793650793650968</v>
      </c>
      <c r="L48" s="402"/>
      <c r="M48" s="181">
        <f>RANK(K48, K$47:$K$61)</f>
        <v>3</v>
      </c>
      <c r="N48" s="389"/>
      <c r="O48" s="389"/>
      <c r="P48" s="182">
        <v>15</v>
      </c>
      <c r="Q48" s="166">
        <v>1288.0000000000045</v>
      </c>
      <c r="R48" s="166">
        <v>85.866666666666973</v>
      </c>
      <c r="S48" s="182">
        <f t="shared" si="35"/>
        <v>2</v>
      </c>
      <c r="T48" s="385"/>
      <c r="U48" s="182">
        <v>15</v>
      </c>
      <c r="V48" s="166">
        <v>1177.7142857142844</v>
      </c>
      <c r="W48" s="166">
        <v>78.514285714285634</v>
      </c>
      <c r="X48" s="182">
        <f t="shared" si="37"/>
        <v>3</v>
      </c>
      <c r="Y48" s="385"/>
      <c r="Z48" s="182">
        <v>15</v>
      </c>
      <c r="AA48" s="166">
        <v>1260.0000000000048</v>
      </c>
      <c r="AB48" s="166">
        <v>84.000000000000313</v>
      </c>
      <c r="AC48" s="182">
        <f t="shared" si="39"/>
        <v>2</v>
      </c>
      <c r="AD48" s="385"/>
      <c r="AE48" s="182"/>
      <c r="AF48" s="166"/>
      <c r="AG48" s="166"/>
      <c r="AH48" s="182" t="e">
        <f t="shared" si="41"/>
        <v>#N/A</v>
      </c>
      <c r="AI48" s="385"/>
      <c r="AJ48" s="182"/>
      <c r="AK48" s="166"/>
      <c r="AL48" s="166"/>
      <c r="AM48" s="182" t="e">
        <f t="shared" si="43"/>
        <v>#N/A</v>
      </c>
      <c r="AN48" s="385"/>
      <c r="AO48" s="182"/>
      <c r="AP48" s="166"/>
      <c r="AQ48" s="166"/>
      <c r="AR48" s="182" t="e">
        <f t="shared" si="45"/>
        <v>#N/A</v>
      </c>
      <c r="AS48" s="385"/>
      <c r="AT48" s="182"/>
      <c r="AU48" s="166"/>
      <c r="AV48" s="166"/>
      <c r="AW48" s="182" t="e">
        <f t="shared" si="47"/>
        <v>#N/A</v>
      </c>
      <c r="AX48" s="385"/>
      <c r="AZ48" s="182" t="e">
        <f t="shared" si="49"/>
        <v>#N/A</v>
      </c>
      <c r="BA48" s="385"/>
    </row>
    <row r="49" spans="2:53">
      <c r="B49" s="395"/>
      <c r="C49" s="182">
        <v>3</v>
      </c>
      <c r="D49" s="203" t="s">
        <v>656</v>
      </c>
      <c r="E49" s="166">
        <v>15</v>
      </c>
      <c r="F49" s="182">
        <v>1500</v>
      </c>
      <c r="G49" s="180">
        <v>100</v>
      </c>
      <c r="H49" s="402"/>
      <c r="I49" s="166">
        <f t="shared" si="32"/>
        <v>12.857142857142858</v>
      </c>
      <c r="J49" s="166">
        <f t="shared" si="33"/>
        <v>1507.3601457366162</v>
      </c>
      <c r="K49" s="180">
        <f t="shared" si="34"/>
        <v>117.29228509047512</v>
      </c>
      <c r="L49" s="402"/>
      <c r="M49" s="181">
        <f>RANK(K49, K$47:$K$61)</f>
        <v>1</v>
      </c>
      <c r="N49" s="389"/>
      <c r="O49" s="389"/>
      <c r="P49" s="182">
        <v>13</v>
      </c>
      <c r="Q49" s="166">
        <v>1493.1428571428569</v>
      </c>
      <c r="R49" s="166">
        <v>114.85714285714283</v>
      </c>
      <c r="S49" s="182">
        <f t="shared" si="35"/>
        <v>1</v>
      </c>
      <c r="T49" s="385"/>
      <c r="U49" s="182">
        <v>13</v>
      </c>
      <c r="V49" s="166">
        <v>1504.4571428571426</v>
      </c>
      <c r="W49" s="166">
        <v>115.7274725274725</v>
      </c>
      <c r="X49" s="182">
        <f t="shared" si="37"/>
        <v>1</v>
      </c>
      <c r="Y49" s="385"/>
      <c r="Z49" s="182">
        <v>13</v>
      </c>
      <c r="AA49" s="166">
        <v>1584.0000000000005</v>
      </c>
      <c r="AB49" s="166">
        <v>121.84615384615388</v>
      </c>
      <c r="AC49" s="182">
        <f t="shared" si="39"/>
        <v>1</v>
      </c>
      <c r="AD49" s="385"/>
      <c r="AE49" s="182">
        <v>12</v>
      </c>
      <c r="AF49" s="166">
        <v>1464.9230769230767</v>
      </c>
      <c r="AG49" s="166">
        <v>122.07692307692305</v>
      </c>
      <c r="AH49" s="182">
        <f t="shared" si="41"/>
        <v>1</v>
      </c>
      <c r="AI49" s="385"/>
      <c r="AJ49" s="182">
        <v>13</v>
      </c>
      <c r="AK49" s="166">
        <v>1515.5294117647056</v>
      </c>
      <c r="AL49" s="166">
        <v>116.57918552036197</v>
      </c>
      <c r="AM49" s="182">
        <f t="shared" si="43"/>
        <v>1</v>
      </c>
      <c r="AN49" s="385"/>
      <c r="AO49" s="182">
        <v>13</v>
      </c>
      <c r="AP49" s="166">
        <v>1506.5454545454543</v>
      </c>
      <c r="AQ49" s="166">
        <v>115.88811188811187</v>
      </c>
      <c r="AR49" s="182">
        <f t="shared" si="45"/>
        <v>1</v>
      </c>
      <c r="AS49" s="385"/>
      <c r="AT49" s="182">
        <v>13</v>
      </c>
      <c r="AU49" s="166">
        <v>1482.9230769230767</v>
      </c>
      <c r="AV49" s="166">
        <v>114.07100591715974</v>
      </c>
      <c r="AW49" s="182">
        <f t="shared" si="47"/>
        <v>1</v>
      </c>
      <c r="AX49" s="385"/>
      <c r="AZ49" s="182" t="e">
        <f t="shared" si="49"/>
        <v>#N/A</v>
      </c>
      <c r="BA49" s="385"/>
    </row>
    <row r="50" spans="2:53">
      <c r="B50" s="395"/>
      <c r="C50" s="182">
        <v>4</v>
      </c>
      <c r="D50" s="203"/>
      <c r="E50" s="166"/>
      <c r="F50" s="182"/>
      <c r="G50" s="180"/>
      <c r="H50" s="402"/>
      <c r="I50" s="166" t="str">
        <f t="shared" si="32"/>
        <v>-</v>
      </c>
      <c r="J50" s="166" t="str">
        <f t="shared" si="33"/>
        <v>-</v>
      </c>
      <c r="K50" s="180" t="str">
        <f t="shared" si="34"/>
        <v>-</v>
      </c>
      <c r="L50" s="402"/>
      <c r="M50" s="181" t="e">
        <f>RANK(K50, K$47:$K$61)</f>
        <v>#VALUE!</v>
      </c>
      <c r="N50" s="389"/>
      <c r="O50" s="389"/>
      <c r="P50" s="182" t="s">
        <v>634</v>
      </c>
      <c r="Q50" s="166" t="s">
        <v>634</v>
      </c>
      <c r="R50" s="166" t="s">
        <v>634</v>
      </c>
      <c r="S50" s="182" t="e">
        <f t="shared" si="35"/>
        <v>#VALUE!</v>
      </c>
      <c r="T50" s="385"/>
      <c r="U50" s="182"/>
      <c r="V50" s="182"/>
      <c r="W50" s="182"/>
      <c r="X50" s="182" t="e">
        <f t="shared" si="37"/>
        <v>#N/A</v>
      </c>
      <c r="Y50" s="385"/>
      <c r="Z50" s="182"/>
      <c r="AA50" s="182"/>
      <c r="AB50" s="182"/>
      <c r="AC50" s="182" t="e">
        <f t="shared" si="39"/>
        <v>#N/A</v>
      </c>
      <c r="AD50" s="385"/>
      <c r="AE50" s="182"/>
      <c r="AF50" s="182"/>
      <c r="AG50" s="182"/>
      <c r="AH50" s="182" t="e">
        <f t="shared" si="41"/>
        <v>#N/A</v>
      </c>
      <c r="AI50" s="385"/>
      <c r="AJ50" s="182"/>
      <c r="AK50" s="182"/>
      <c r="AL50" s="182"/>
      <c r="AM50" s="182" t="e">
        <f t="shared" si="43"/>
        <v>#N/A</v>
      </c>
      <c r="AN50" s="385"/>
      <c r="AO50" s="182"/>
      <c r="AP50" s="182"/>
      <c r="AQ50" s="182"/>
      <c r="AR50" s="182" t="e">
        <f t="shared" si="45"/>
        <v>#N/A</v>
      </c>
      <c r="AS50" s="385"/>
      <c r="AT50" s="182"/>
      <c r="AU50" s="182"/>
      <c r="AV50" s="182"/>
      <c r="AW50" s="182" t="e">
        <f t="shared" si="47"/>
        <v>#N/A</v>
      </c>
      <c r="AX50" s="385"/>
      <c r="AZ50" s="182" t="e">
        <f t="shared" si="49"/>
        <v>#N/A</v>
      </c>
      <c r="BA50" s="385"/>
    </row>
    <row r="51" spans="2:53">
      <c r="B51" s="395"/>
      <c r="C51" s="182">
        <v>5</v>
      </c>
      <c r="D51" s="203"/>
      <c r="E51" s="166"/>
      <c r="F51" s="182"/>
      <c r="G51" s="180"/>
      <c r="H51" s="402"/>
      <c r="I51" s="166" t="str">
        <f t="shared" si="32"/>
        <v>-</v>
      </c>
      <c r="J51" s="166" t="str">
        <f t="shared" si="33"/>
        <v>-</v>
      </c>
      <c r="K51" s="180" t="str">
        <f t="shared" si="34"/>
        <v>-</v>
      </c>
      <c r="L51" s="402"/>
      <c r="M51" s="181" t="e">
        <f>RANK(K51, K$47:$K$61)</f>
        <v>#VALUE!</v>
      </c>
      <c r="N51" s="389"/>
      <c r="O51" s="389"/>
      <c r="P51" s="182" t="s">
        <v>634</v>
      </c>
      <c r="Q51" s="166" t="s">
        <v>634</v>
      </c>
      <c r="R51" s="166" t="s">
        <v>634</v>
      </c>
      <c r="S51" s="182" t="e">
        <f t="shared" si="35"/>
        <v>#VALUE!</v>
      </c>
      <c r="T51" s="385"/>
      <c r="U51" s="182"/>
      <c r="V51" s="182"/>
      <c r="W51" s="182"/>
      <c r="X51" s="182" t="e">
        <f t="shared" si="37"/>
        <v>#N/A</v>
      </c>
      <c r="Y51" s="385"/>
      <c r="Z51" s="182"/>
      <c r="AA51" s="182"/>
      <c r="AB51" s="182"/>
      <c r="AC51" s="182" t="e">
        <f t="shared" si="39"/>
        <v>#N/A</v>
      </c>
      <c r="AD51" s="385"/>
      <c r="AE51" s="182"/>
      <c r="AF51" s="182"/>
      <c r="AG51" s="182"/>
      <c r="AH51" s="182" t="e">
        <f t="shared" si="41"/>
        <v>#N/A</v>
      </c>
      <c r="AI51" s="385"/>
      <c r="AJ51" s="182"/>
      <c r="AK51" s="182"/>
      <c r="AL51" s="182"/>
      <c r="AM51" s="182" t="e">
        <f t="shared" si="43"/>
        <v>#N/A</v>
      </c>
      <c r="AN51" s="385"/>
      <c r="AO51" s="182"/>
      <c r="AP51" s="182"/>
      <c r="AQ51" s="182"/>
      <c r="AR51" s="182" t="e">
        <f t="shared" si="45"/>
        <v>#N/A</v>
      </c>
      <c r="AS51" s="385"/>
      <c r="AT51" s="182"/>
      <c r="AU51" s="182"/>
      <c r="AV51" s="182"/>
      <c r="AW51" s="182" t="e">
        <f t="shared" si="47"/>
        <v>#N/A</v>
      </c>
      <c r="AX51" s="385"/>
      <c r="AZ51" s="182" t="e">
        <f t="shared" si="49"/>
        <v>#N/A</v>
      </c>
      <c r="BA51" s="385"/>
    </row>
    <row r="52" spans="2:53">
      <c r="B52" s="395"/>
      <c r="C52" s="182">
        <v>6</v>
      </c>
      <c r="D52" s="203"/>
      <c r="E52" s="166"/>
      <c r="F52" s="182"/>
      <c r="G52" s="180"/>
      <c r="H52" s="402"/>
      <c r="I52" s="166" t="str">
        <f t="shared" si="32"/>
        <v>-</v>
      </c>
      <c r="J52" s="166" t="str">
        <f t="shared" si="33"/>
        <v>-</v>
      </c>
      <c r="K52" s="180" t="str">
        <f t="shared" si="34"/>
        <v>-</v>
      </c>
      <c r="L52" s="402"/>
      <c r="M52" s="181" t="e">
        <f>RANK(K52, K$47:$K$61)</f>
        <v>#VALUE!</v>
      </c>
      <c r="N52" s="389"/>
      <c r="O52" s="389"/>
      <c r="P52" s="182" t="s">
        <v>634</v>
      </c>
      <c r="Q52" s="166" t="s">
        <v>634</v>
      </c>
      <c r="R52" s="166" t="s">
        <v>634</v>
      </c>
      <c r="S52" s="182" t="e">
        <f t="shared" si="35"/>
        <v>#VALUE!</v>
      </c>
      <c r="T52" s="385"/>
      <c r="U52" s="182"/>
      <c r="V52" s="182"/>
      <c r="W52" s="182"/>
      <c r="X52" s="182" t="e">
        <f t="shared" si="37"/>
        <v>#N/A</v>
      </c>
      <c r="Y52" s="385"/>
      <c r="Z52" s="182"/>
      <c r="AA52" s="182"/>
      <c r="AB52" s="182"/>
      <c r="AC52" s="182" t="e">
        <f t="shared" si="39"/>
        <v>#N/A</v>
      </c>
      <c r="AD52" s="385"/>
      <c r="AE52" s="182"/>
      <c r="AF52" s="182"/>
      <c r="AG52" s="182"/>
      <c r="AH52" s="182" t="e">
        <f t="shared" si="41"/>
        <v>#N/A</v>
      </c>
      <c r="AI52" s="385"/>
      <c r="AJ52" s="182"/>
      <c r="AK52" s="182"/>
      <c r="AL52" s="182"/>
      <c r="AM52" s="182" t="e">
        <f t="shared" si="43"/>
        <v>#N/A</v>
      </c>
      <c r="AN52" s="385"/>
      <c r="AO52" s="182"/>
      <c r="AP52" s="182"/>
      <c r="AQ52" s="182"/>
      <c r="AR52" s="182" t="e">
        <f t="shared" si="45"/>
        <v>#N/A</v>
      </c>
      <c r="AS52" s="385"/>
      <c r="AT52" s="182"/>
      <c r="AU52" s="182"/>
      <c r="AV52" s="182"/>
      <c r="AW52" s="182" t="e">
        <f t="shared" si="47"/>
        <v>#N/A</v>
      </c>
      <c r="AX52" s="385"/>
      <c r="AZ52" s="182" t="e">
        <f t="shared" si="49"/>
        <v>#N/A</v>
      </c>
      <c r="BA52" s="385"/>
    </row>
    <row r="53" spans="2:53">
      <c r="B53" s="395"/>
      <c r="C53" s="182">
        <v>7</v>
      </c>
      <c r="D53" s="203"/>
      <c r="E53" s="166"/>
      <c r="F53" s="182"/>
      <c r="G53" s="180"/>
      <c r="H53" s="402"/>
      <c r="I53" s="166" t="str">
        <f t="shared" si="32"/>
        <v>-</v>
      </c>
      <c r="J53" s="166" t="str">
        <f t="shared" si="33"/>
        <v>-</v>
      </c>
      <c r="K53" s="180" t="str">
        <f t="shared" si="34"/>
        <v>-</v>
      </c>
      <c r="L53" s="402"/>
      <c r="M53" s="181" t="e">
        <f>RANK(K53, K$47:$K$61)</f>
        <v>#VALUE!</v>
      </c>
      <c r="N53" s="389"/>
      <c r="O53" s="389"/>
      <c r="P53" s="182" t="s">
        <v>634</v>
      </c>
      <c r="Q53" s="166" t="s">
        <v>634</v>
      </c>
      <c r="R53" s="166" t="s">
        <v>634</v>
      </c>
      <c r="S53" s="182" t="e">
        <f t="shared" si="35"/>
        <v>#VALUE!</v>
      </c>
      <c r="T53" s="385"/>
      <c r="U53" s="182"/>
      <c r="V53" s="182"/>
      <c r="W53" s="182"/>
      <c r="X53" s="182" t="e">
        <f t="shared" si="37"/>
        <v>#N/A</v>
      </c>
      <c r="Y53" s="385"/>
      <c r="Z53" s="182"/>
      <c r="AA53" s="182"/>
      <c r="AB53" s="182"/>
      <c r="AC53" s="182" t="e">
        <f t="shared" si="39"/>
        <v>#N/A</v>
      </c>
      <c r="AD53" s="385"/>
      <c r="AE53" s="182"/>
      <c r="AF53" s="182"/>
      <c r="AG53" s="182"/>
      <c r="AH53" s="182" t="e">
        <f t="shared" si="41"/>
        <v>#N/A</v>
      </c>
      <c r="AI53" s="385"/>
      <c r="AJ53" s="182"/>
      <c r="AK53" s="182"/>
      <c r="AL53" s="182"/>
      <c r="AM53" s="182" t="e">
        <f t="shared" si="43"/>
        <v>#N/A</v>
      </c>
      <c r="AN53" s="385"/>
      <c r="AO53" s="182"/>
      <c r="AP53" s="182"/>
      <c r="AQ53" s="182"/>
      <c r="AR53" s="182" t="e">
        <f t="shared" si="45"/>
        <v>#N/A</v>
      </c>
      <c r="AS53" s="385"/>
      <c r="AT53" s="182"/>
      <c r="AU53" s="182"/>
      <c r="AV53" s="182"/>
      <c r="AW53" s="182" t="e">
        <f t="shared" si="47"/>
        <v>#N/A</v>
      </c>
      <c r="AX53" s="385"/>
      <c r="AZ53" s="182" t="e">
        <f t="shared" si="49"/>
        <v>#N/A</v>
      </c>
      <c r="BA53" s="385"/>
    </row>
    <row r="54" spans="2:53">
      <c r="B54" s="395"/>
      <c r="C54" s="182">
        <v>8</v>
      </c>
      <c r="D54" s="203"/>
      <c r="E54" s="166"/>
      <c r="F54" s="182"/>
      <c r="G54" s="180"/>
      <c r="H54" s="402"/>
      <c r="I54" s="166" t="str">
        <f t="shared" si="32"/>
        <v>-</v>
      </c>
      <c r="J54" s="166" t="str">
        <f t="shared" si="33"/>
        <v>-</v>
      </c>
      <c r="K54" s="180" t="str">
        <f t="shared" si="34"/>
        <v>-</v>
      </c>
      <c r="L54" s="402"/>
      <c r="M54" s="181" t="e">
        <f>RANK(K54, K$47:$K$61)</f>
        <v>#VALUE!</v>
      </c>
      <c r="N54" s="389"/>
      <c r="O54" s="389"/>
      <c r="P54" s="182" t="s">
        <v>634</v>
      </c>
      <c r="Q54" s="166" t="s">
        <v>634</v>
      </c>
      <c r="R54" s="166" t="s">
        <v>634</v>
      </c>
      <c r="S54" s="182" t="e">
        <f t="shared" si="35"/>
        <v>#VALUE!</v>
      </c>
      <c r="T54" s="385"/>
      <c r="U54" s="182"/>
      <c r="V54" s="182"/>
      <c r="W54" s="182"/>
      <c r="X54" s="182" t="e">
        <f t="shared" si="37"/>
        <v>#N/A</v>
      </c>
      <c r="Y54" s="385"/>
      <c r="Z54" s="182"/>
      <c r="AA54" s="182"/>
      <c r="AB54" s="182"/>
      <c r="AC54" s="182" t="e">
        <f t="shared" si="39"/>
        <v>#N/A</v>
      </c>
      <c r="AD54" s="385"/>
      <c r="AE54" s="182"/>
      <c r="AF54" s="182"/>
      <c r="AG54" s="182"/>
      <c r="AH54" s="182" t="e">
        <f t="shared" si="41"/>
        <v>#N/A</v>
      </c>
      <c r="AI54" s="385"/>
      <c r="AJ54" s="182"/>
      <c r="AK54" s="182"/>
      <c r="AL54" s="182"/>
      <c r="AM54" s="182" t="e">
        <f t="shared" si="43"/>
        <v>#N/A</v>
      </c>
      <c r="AN54" s="385"/>
      <c r="AO54" s="182"/>
      <c r="AP54" s="182"/>
      <c r="AQ54" s="182"/>
      <c r="AR54" s="182" t="e">
        <f t="shared" si="45"/>
        <v>#N/A</v>
      </c>
      <c r="AS54" s="385"/>
      <c r="AT54" s="182"/>
      <c r="AU54" s="182"/>
      <c r="AV54" s="182"/>
      <c r="AW54" s="182" t="e">
        <f t="shared" si="47"/>
        <v>#N/A</v>
      </c>
      <c r="AX54" s="385"/>
      <c r="AZ54" s="182" t="e">
        <f t="shared" si="49"/>
        <v>#N/A</v>
      </c>
      <c r="BA54" s="385"/>
    </row>
    <row r="55" spans="2:53">
      <c r="B55" s="395"/>
      <c r="C55" s="182">
        <v>9</v>
      </c>
      <c r="D55" s="203"/>
      <c r="E55" s="166"/>
      <c r="F55" s="182"/>
      <c r="G55" s="180"/>
      <c r="H55" s="402"/>
      <c r="I55" s="166" t="str">
        <f t="shared" si="32"/>
        <v>-</v>
      </c>
      <c r="J55" s="166" t="str">
        <f t="shared" si="33"/>
        <v>-</v>
      </c>
      <c r="K55" s="180" t="str">
        <f t="shared" si="34"/>
        <v>-</v>
      </c>
      <c r="L55" s="402"/>
      <c r="M55" s="181" t="e">
        <f>RANK(K55, K$47:$K$61)</f>
        <v>#VALUE!</v>
      </c>
      <c r="N55" s="389"/>
      <c r="O55" s="389"/>
      <c r="P55" s="182" t="s">
        <v>634</v>
      </c>
      <c r="Q55" s="166" t="s">
        <v>634</v>
      </c>
      <c r="R55" s="166" t="s">
        <v>634</v>
      </c>
      <c r="S55" s="182" t="e">
        <f t="shared" si="35"/>
        <v>#VALUE!</v>
      </c>
      <c r="T55" s="385"/>
      <c r="U55" s="182"/>
      <c r="V55" s="182"/>
      <c r="W55" s="182"/>
      <c r="X55" s="182" t="e">
        <f t="shared" si="37"/>
        <v>#N/A</v>
      </c>
      <c r="Y55" s="385"/>
      <c r="Z55" s="182"/>
      <c r="AA55" s="182"/>
      <c r="AB55" s="182"/>
      <c r="AC55" s="182" t="e">
        <f t="shared" si="39"/>
        <v>#N/A</v>
      </c>
      <c r="AD55" s="385"/>
      <c r="AE55" s="182"/>
      <c r="AF55" s="182"/>
      <c r="AG55" s="182"/>
      <c r="AH55" s="182" t="e">
        <f t="shared" si="41"/>
        <v>#N/A</v>
      </c>
      <c r="AI55" s="385"/>
      <c r="AJ55" s="182"/>
      <c r="AK55" s="182"/>
      <c r="AL55" s="182"/>
      <c r="AM55" s="182" t="e">
        <f t="shared" si="43"/>
        <v>#N/A</v>
      </c>
      <c r="AN55" s="385"/>
      <c r="AO55" s="182"/>
      <c r="AP55" s="182"/>
      <c r="AQ55" s="182"/>
      <c r="AR55" s="182" t="e">
        <f t="shared" si="45"/>
        <v>#N/A</v>
      </c>
      <c r="AS55" s="385"/>
      <c r="AT55" s="182"/>
      <c r="AU55" s="182"/>
      <c r="AV55" s="182"/>
      <c r="AW55" s="182" t="e">
        <f t="shared" si="47"/>
        <v>#N/A</v>
      </c>
      <c r="AX55" s="385"/>
      <c r="AZ55" s="182" t="e">
        <f t="shared" si="49"/>
        <v>#N/A</v>
      </c>
      <c r="BA55" s="385"/>
    </row>
    <row r="56" spans="2:53">
      <c r="B56" s="395"/>
      <c r="C56" s="182">
        <v>10</v>
      </c>
      <c r="D56" s="203"/>
      <c r="E56" s="166"/>
      <c r="F56" s="182"/>
      <c r="G56" s="180"/>
      <c r="H56" s="402"/>
      <c r="I56" s="166" t="str">
        <f t="shared" si="32"/>
        <v>-</v>
      </c>
      <c r="J56" s="166" t="str">
        <f t="shared" si="33"/>
        <v>-</v>
      </c>
      <c r="K56" s="180" t="str">
        <f t="shared" si="34"/>
        <v>-</v>
      </c>
      <c r="L56" s="402"/>
      <c r="M56" s="181" t="e">
        <f>RANK(K56, K$47:$K$61)</f>
        <v>#VALUE!</v>
      </c>
      <c r="N56" s="389"/>
      <c r="O56" s="389"/>
      <c r="P56" s="182" t="s">
        <v>634</v>
      </c>
      <c r="Q56" s="166" t="s">
        <v>634</v>
      </c>
      <c r="R56" s="166" t="s">
        <v>634</v>
      </c>
      <c r="S56" s="182" t="e">
        <f t="shared" si="35"/>
        <v>#VALUE!</v>
      </c>
      <c r="T56" s="385"/>
      <c r="U56" s="182"/>
      <c r="V56" s="182"/>
      <c r="W56" s="182"/>
      <c r="X56" s="182" t="e">
        <f t="shared" si="37"/>
        <v>#N/A</v>
      </c>
      <c r="Y56" s="385"/>
      <c r="Z56" s="182"/>
      <c r="AA56" s="182"/>
      <c r="AB56" s="182"/>
      <c r="AC56" s="182" t="e">
        <f t="shared" si="39"/>
        <v>#N/A</v>
      </c>
      <c r="AD56" s="385"/>
      <c r="AE56" s="182"/>
      <c r="AF56" s="182"/>
      <c r="AG56" s="182"/>
      <c r="AH56" s="182" t="e">
        <f t="shared" si="41"/>
        <v>#N/A</v>
      </c>
      <c r="AI56" s="385"/>
      <c r="AJ56" s="182"/>
      <c r="AK56" s="182"/>
      <c r="AL56" s="182"/>
      <c r="AM56" s="182" t="e">
        <f t="shared" si="43"/>
        <v>#N/A</v>
      </c>
      <c r="AN56" s="385"/>
      <c r="AO56" s="182"/>
      <c r="AP56" s="182"/>
      <c r="AQ56" s="182"/>
      <c r="AR56" s="182" t="e">
        <f t="shared" si="45"/>
        <v>#N/A</v>
      </c>
      <c r="AS56" s="385"/>
      <c r="AT56" s="182"/>
      <c r="AU56" s="182"/>
      <c r="AV56" s="182"/>
      <c r="AW56" s="182" t="e">
        <f t="shared" si="47"/>
        <v>#N/A</v>
      </c>
      <c r="AX56" s="385"/>
      <c r="AZ56" s="182" t="e">
        <f t="shared" si="49"/>
        <v>#N/A</v>
      </c>
      <c r="BA56" s="385"/>
    </row>
    <row r="57" spans="2:53">
      <c r="B57" s="395"/>
      <c r="C57" s="182">
        <v>11</v>
      </c>
      <c r="D57" s="203"/>
      <c r="E57" s="166"/>
      <c r="F57" s="182"/>
      <c r="G57" s="180"/>
      <c r="H57" s="402"/>
      <c r="I57" s="166" t="str">
        <f t="shared" si="32"/>
        <v>-</v>
      </c>
      <c r="J57" s="166" t="str">
        <f t="shared" si="33"/>
        <v>-</v>
      </c>
      <c r="K57" s="180" t="str">
        <f t="shared" si="34"/>
        <v>-</v>
      </c>
      <c r="L57" s="402"/>
      <c r="M57" s="181" t="e">
        <f>RANK(K57, K$47:$K$61)</f>
        <v>#VALUE!</v>
      </c>
      <c r="N57" s="389"/>
      <c r="O57" s="389"/>
      <c r="P57" s="182" t="s">
        <v>634</v>
      </c>
      <c r="Q57" s="166" t="s">
        <v>634</v>
      </c>
      <c r="R57" s="166" t="s">
        <v>634</v>
      </c>
      <c r="S57" s="182" t="e">
        <f t="shared" si="35"/>
        <v>#VALUE!</v>
      </c>
      <c r="T57" s="385"/>
      <c r="U57" s="182"/>
      <c r="V57" s="182"/>
      <c r="W57" s="182"/>
      <c r="X57" s="182" t="e">
        <f t="shared" si="37"/>
        <v>#N/A</v>
      </c>
      <c r="Y57" s="385"/>
      <c r="Z57" s="182"/>
      <c r="AA57" s="182"/>
      <c r="AB57" s="182"/>
      <c r="AC57" s="182" t="e">
        <f t="shared" si="39"/>
        <v>#N/A</v>
      </c>
      <c r="AD57" s="385"/>
      <c r="AE57" s="182"/>
      <c r="AF57" s="182"/>
      <c r="AG57" s="182"/>
      <c r="AH57" s="182" t="e">
        <f t="shared" si="41"/>
        <v>#N/A</v>
      </c>
      <c r="AI57" s="385"/>
      <c r="AJ57" s="182"/>
      <c r="AK57" s="182"/>
      <c r="AL57" s="182"/>
      <c r="AM57" s="182" t="e">
        <f t="shared" si="43"/>
        <v>#N/A</v>
      </c>
      <c r="AN57" s="385"/>
      <c r="AO57" s="182"/>
      <c r="AP57" s="182"/>
      <c r="AQ57" s="182"/>
      <c r="AR57" s="182" t="e">
        <f t="shared" si="45"/>
        <v>#N/A</v>
      </c>
      <c r="AS57" s="385"/>
      <c r="AT57" s="182"/>
      <c r="AU57" s="182"/>
      <c r="AV57" s="182"/>
      <c r="AW57" s="182" t="e">
        <f t="shared" si="47"/>
        <v>#N/A</v>
      </c>
      <c r="AX57" s="385"/>
      <c r="AZ57" s="182" t="e">
        <f t="shared" si="49"/>
        <v>#N/A</v>
      </c>
      <c r="BA57" s="385"/>
    </row>
    <row r="58" spans="2:53">
      <c r="B58" s="395"/>
      <c r="C58" s="182">
        <v>12</v>
      </c>
      <c r="D58" s="203"/>
      <c r="E58" s="166"/>
      <c r="F58" s="182"/>
      <c r="G58" s="180"/>
      <c r="H58" s="402"/>
      <c r="I58" s="166" t="str">
        <f t="shared" si="32"/>
        <v>-</v>
      </c>
      <c r="J58" s="166" t="str">
        <f t="shared" si="33"/>
        <v>-</v>
      </c>
      <c r="K58" s="180" t="str">
        <f t="shared" si="34"/>
        <v>-</v>
      </c>
      <c r="L58" s="402"/>
      <c r="M58" s="181" t="e">
        <f>RANK(K58, K$47:$K$61)</f>
        <v>#VALUE!</v>
      </c>
      <c r="N58" s="389"/>
      <c r="O58" s="389"/>
      <c r="P58" s="182" t="s">
        <v>634</v>
      </c>
      <c r="Q58" s="166" t="s">
        <v>634</v>
      </c>
      <c r="R58" s="166" t="s">
        <v>634</v>
      </c>
      <c r="S58" s="182" t="e">
        <f t="shared" si="35"/>
        <v>#VALUE!</v>
      </c>
      <c r="T58" s="385"/>
      <c r="U58" s="182"/>
      <c r="V58" s="182"/>
      <c r="W58" s="182"/>
      <c r="X58" s="182" t="e">
        <f t="shared" si="37"/>
        <v>#N/A</v>
      </c>
      <c r="Y58" s="385"/>
      <c r="Z58" s="182"/>
      <c r="AA58" s="182"/>
      <c r="AB58" s="182"/>
      <c r="AC58" s="182" t="e">
        <f t="shared" si="39"/>
        <v>#N/A</v>
      </c>
      <c r="AD58" s="385"/>
      <c r="AE58" s="182"/>
      <c r="AF58" s="182"/>
      <c r="AG58" s="182"/>
      <c r="AH58" s="182" t="e">
        <f t="shared" si="41"/>
        <v>#N/A</v>
      </c>
      <c r="AI58" s="385"/>
      <c r="AJ58" s="182"/>
      <c r="AK58" s="182"/>
      <c r="AL58" s="182"/>
      <c r="AM58" s="182" t="e">
        <f t="shared" si="43"/>
        <v>#N/A</v>
      </c>
      <c r="AN58" s="385"/>
      <c r="AO58" s="182"/>
      <c r="AP58" s="182"/>
      <c r="AQ58" s="182"/>
      <c r="AR58" s="182" t="e">
        <f t="shared" si="45"/>
        <v>#N/A</v>
      </c>
      <c r="AS58" s="385"/>
      <c r="AT58" s="182"/>
      <c r="AU58" s="182"/>
      <c r="AV58" s="182"/>
      <c r="AW58" s="182" t="e">
        <f t="shared" si="47"/>
        <v>#N/A</v>
      </c>
      <c r="AX58" s="385"/>
      <c r="AZ58" s="182" t="e">
        <f t="shared" si="49"/>
        <v>#N/A</v>
      </c>
      <c r="BA58" s="385"/>
    </row>
    <row r="59" spans="2:53">
      <c r="B59" s="395"/>
      <c r="C59" s="182">
        <v>13</v>
      </c>
      <c r="D59" s="203"/>
      <c r="E59" s="166"/>
      <c r="F59" s="182"/>
      <c r="G59" s="180"/>
      <c r="H59" s="402"/>
      <c r="I59" s="166" t="str">
        <f t="shared" si="32"/>
        <v>-</v>
      </c>
      <c r="J59" s="166" t="str">
        <f t="shared" si="33"/>
        <v>-</v>
      </c>
      <c r="K59" s="180" t="str">
        <f t="shared" si="34"/>
        <v>-</v>
      </c>
      <c r="L59" s="402"/>
      <c r="M59" s="181" t="e">
        <f>RANK(K59, K$47:$K$61)</f>
        <v>#VALUE!</v>
      </c>
      <c r="N59" s="389"/>
      <c r="O59" s="389"/>
      <c r="P59" s="182" t="s">
        <v>634</v>
      </c>
      <c r="Q59" s="166" t="s">
        <v>634</v>
      </c>
      <c r="R59" s="166" t="s">
        <v>634</v>
      </c>
      <c r="S59" s="182" t="e">
        <f t="shared" si="35"/>
        <v>#VALUE!</v>
      </c>
      <c r="T59" s="385"/>
      <c r="U59" s="182"/>
      <c r="V59" s="182"/>
      <c r="W59" s="182"/>
      <c r="X59" s="182" t="e">
        <f t="shared" si="37"/>
        <v>#N/A</v>
      </c>
      <c r="Y59" s="385"/>
      <c r="Z59" s="182"/>
      <c r="AA59" s="182"/>
      <c r="AB59" s="182"/>
      <c r="AC59" s="182" t="e">
        <f t="shared" si="39"/>
        <v>#N/A</v>
      </c>
      <c r="AD59" s="385"/>
      <c r="AE59" s="182"/>
      <c r="AF59" s="182"/>
      <c r="AG59" s="182"/>
      <c r="AH59" s="182" t="e">
        <f t="shared" si="41"/>
        <v>#N/A</v>
      </c>
      <c r="AI59" s="385"/>
      <c r="AJ59" s="182"/>
      <c r="AK59" s="182"/>
      <c r="AL59" s="182"/>
      <c r="AM59" s="182" t="e">
        <f t="shared" si="43"/>
        <v>#N/A</v>
      </c>
      <c r="AN59" s="385"/>
      <c r="AO59" s="182"/>
      <c r="AP59" s="182"/>
      <c r="AQ59" s="182"/>
      <c r="AR59" s="182" t="e">
        <f t="shared" si="45"/>
        <v>#N/A</v>
      </c>
      <c r="AS59" s="385"/>
      <c r="AT59" s="182"/>
      <c r="AU59" s="182"/>
      <c r="AV59" s="182"/>
      <c r="AW59" s="182" t="e">
        <f t="shared" si="47"/>
        <v>#N/A</v>
      </c>
      <c r="AX59" s="385"/>
      <c r="AZ59" s="182" t="e">
        <f t="shared" si="49"/>
        <v>#N/A</v>
      </c>
      <c r="BA59" s="385"/>
    </row>
    <row r="60" spans="2:53">
      <c r="B60" s="395"/>
      <c r="C60" s="182">
        <v>14</v>
      </c>
      <c r="D60" s="203"/>
      <c r="E60" s="166"/>
      <c r="F60" s="182"/>
      <c r="G60" s="180"/>
      <c r="H60" s="402"/>
      <c r="I60" s="166" t="str">
        <f t="shared" si="32"/>
        <v>-</v>
      </c>
      <c r="J60" s="166" t="str">
        <f t="shared" si="33"/>
        <v>-</v>
      </c>
      <c r="K60" s="180" t="str">
        <f t="shared" si="34"/>
        <v>-</v>
      </c>
      <c r="L60" s="402"/>
      <c r="M60" s="181" t="e">
        <f>RANK(K60, K$47:$K$61)</f>
        <v>#VALUE!</v>
      </c>
      <c r="N60" s="389"/>
      <c r="O60" s="389"/>
      <c r="P60" s="182" t="s">
        <v>634</v>
      </c>
      <c r="Q60" s="166" t="s">
        <v>634</v>
      </c>
      <c r="R60" s="166" t="s">
        <v>634</v>
      </c>
      <c r="S60" s="182" t="e">
        <f t="shared" si="35"/>
        <v>#VALUE!</v>
      </c>
      <c r="T60" s="385"/>
      <c r="U60" s="182"/>
      <c r="V60" s="182"/>
      <c r="W60" s="182"/>
      <c r="X60" s="182" t="e">
        <f t="shared" si="37"/>
        <v>#N/A</v>
      </c>
      <c r="Y60" s="385"/>
      <c r="Z60" s="182"/>
      <c r="AA60" s="182"/>
      <c r="AB60" s="182"/>
      <c r="AC60" s="182" t="e">
        <f t="shared" si="39"/>
        <v>#N/A</v>
      </c>
      <c r="AD60" s="385"/>
      <c r="AE60" s="182"/>
      <c r="AF60" s="182"/>
      <c r="AG60" s="182"/>
      <c r="AH60" s="182" t="e">
        <f t="shared" si="41"/>
        <v>#N/A</v>
      </c>
      <c r="AI60" s="385"/>
      <c r="AJ60" s="182"/>
      <c r="AK60" s="182"/>
      <c r="AL60" s="182"/>
      <c r="AM60" s="182" t="e">
        <f t="shared" si="43"/>
        <v>#N/A</v>
      </c>
      <c r="AN60" s="385"/>
      <c r="AO60" s="182"/>
      <c r="AP60" s="182"/>
      <c r="AQ60" s="182"/>
      <c r="AR60" s="182" t="e">
        <f t="shared" si="45"/>
        <v>#N/A</v>
      </c>
      <c r="AS60" s="385"/>
      <c r="AT60" s="182"/>
      <c r="AU60" s="182"/>
      <c r="AV60" s="182"/>
      <c r="AW60" s="182" t="e">
        <f t="shared" si="47"/>
        <v>#N/A</v>
      </c>
      <c r="AX60" s="385"/>
      <c r="AZ60" s="182" t="e">
        <f t="shared" si="49"/>
        <v>#N/A</v>
      </c>
      <c r="BA60" s="385"/>
    </row>
    <row r="61" spans="2:53">
      <c r="B61" s="395"/>
      <c r="C61" s="182">
        <v>15</v>
      </c>
      <c r="D61" s="203"/>
      <c r="E61" s="166"/>
      <c r="F61" s="182"/>
      <c r="G61" s="180"/>
      <c r="H61" s="403"/>
      <c r="I61" s="182"/>
      <c r="J61" s="182"/>
      <c r="K61" s="182"/>
      <c r="L61" s="403"/>
      <c r="M61" s="181" t="e">
        <f>RANK(K61, K$47:$K$61)</f>
        <v>#N/A</v>
      </c>
      <c r="N61" s="389"/>
      <c r="O61" s="389"/>
      <c r="P61" s="182" t="s">
        <v>634</v>
      </c>
      <c r="Q61" s="166" t="s">
        <v>634</v>
      </c>
      <c r="R61" s="166" t="s">
        <v>634</v>
      </c>
      <c r="S61" s="182" t="e">
        <f t="shared" si="35"/>
        <v>#VALUE!</v>
      </c>
      <c r="T61" s="386"/>
      <c r="U61" s="182"/>
      <c r="V61" s="182"/>
      <c r="W61" s="182"/>
      <c r="X61" s="182" t="e">
        <f t="shared" si="37"/>
        <v>#N/A</v>
      </c>
      <c r="Y61" s="386"/>
      <c r="Z61" s="182"/>
      <c r="AA61" s="182"/>
      <c r="AB61" s="182"/>
      <c r="AC61" s="182" t="e">
        <f t="shared" si="39"/>
        <v>#N/A</v>
      </c>
      <c r="AD61" s="386"/>
      <c r="AE61" s="182"/>
      <c r="AF61" s="182"/>
      <c r="AG61" s="182"/>
      <c r="AH61" s="182" t="e">
        <f t="shared" si="41"/>
        <v>#N/A</v>
      </c>
      <c r="AI61" s="386"/>
      <c r="AJ61" s="182"/>
      <c r="AK61" s="182"/>
      <c r="AL61" s="182"/>
      <c r="AM61" s="182" t="e">
        <f t="shared" si="43"/>
        <v>#N/A</v>
      </c>
      <c r="AN61" s="386"/>
      <c r="AO61" s="182"/>
      <c r="AP61" s="182"/>
      <c r="AQ61" s="182"/>
      <c r="AR61" s="182" t="e">
        <f t="shared" si="45"/>
        <v>#N/A</v>
      </c>
      <c r="AS61" s="386"/>
      <c r="AT61" s="182"/>
      <c r="AU61" s="182"/>
      <c r="AV61" s="182"/>
      <c r="AW61" s="182" t="e">
        <f t="shared" si="47"/>
        <v>#N/A</v>
      </c>
      <c r="AX61" s="386"/>
      <c r="AZ61" s="182" t="e">
        <f t="shared" si="49"/>
        <v>#N/A</v>
      </c>
      <c r="BA61" s="386"/>
    </row>
    <row r="62" spans="2:53" ht="15.75">
      <c r="B62" s="414" t="s">
        <v>163</v>
      </c>
      <c r="C62" s="415"/>
      <c r="D62" s="415"/>
      <c r="E62" s="415"/>
      <c r="F62" s="415"/>
      <c r="G62" s="415"/>
      <c r="H62" s="415"/>
      <c r="I62" s="186"/>
      <c r="J62" s="186"/>
      <c r="K62" s="186"/>
      <c r="L62" s="186"/>
      <c r="M62" s="185"/>
      <c r="N62" s="391" t="s">
        <v>156</v>
      </c>
      <c r="O62" s="391" t="s">
        <v>105</v>
      </c>
      <c r="P62" s="413">
        <f>P42+7</f>
        <v>46161</v>
      </c>
      <c r="Q62" s="395"/>
      <c r="R62" s="395"/>
      <c r="S62" s="395"/>
      <c r="T62" s="395"/>
      <c r="U62" s="410">
        <f>P62+1</f>
        <v>46162</v>
      </c>
      <c r="V62" s="411"/>
      <c r="W62" s="411"/>
      <c r="X62" s="411"/>
      <c r="Y62" s="412"/>
      <c r="Z62" s="410">
        <f>U62+1</f>
        <v>46163</v>
      </c>
      <c r="AA62" s="411"/>
      <c r="AB62" s="411"/>
      <c r="AC62" s="411"/>
      <c r="AD62" s="412"/>
      <c r="AE62" s="410">
        <f>Z62+1</f>
        <v>46164</v>
      </c>
      <c r="AF62" s="411"/>
      <c r="AG62" s="411"/>
      <c r="AH62" s="411"/>
      <c r="AI62" s="412"/>
      <c r="AJ62" s="410">
        <f>AE62+1</f>
        <v>46165</v>
      </c>
      <c r="AK62" s="411"/>
      <c r="AL62" s="411"/>
      <c r="AM62" s="411"/>
      <c r="AN62" s="412"/>
      <c r="AO62" s="410">
        <f>AJ62+1</f>
        <v>46166</v>
      </c>
      <c r="AP62" s="411"/>
      <c r="AQ62" s="411"/>
      <c r="AR62" s="411"/>
      <c r="AS62" s="412"/>
      <c r="AT62" s="410">
        <f>AO62+1</f>
        <v>46167</v>
      </c>
      <c r="AU62" s="411"/>
      <c r="AV62" s="411"/>
      <c r="AW62" s="411"/>
      <c r="AX62" s="412"/>
    </row>
    <row r="63" spans="2:53" ht="15.75">
      <c r="B63" s="416"/>
      <c r="C63" s="416"/>
      <c r="D63" s="416"/>
      <c r="E63" s="416"/>
      <c r="F63" s="416"/>
      <c r="G63" s="416"/>
      <c r="H63" s="416"/>
      <c r="I63" s="184"/>
      <c r="J63" s="184"/>
      <c r="K63" s="184"/>
      <c r="L63" s="184"/>
      <c r="M63" s="179"/>
      <c r="N63" s="393"/>
      <c r="O63" s="393"/>
      <c r="P63" s="413" t="s">
        <v>318</v>
      </c>
      <c r="Q63" s="395"/>
      <c r="R63" s="395"/>
      <c r="S63" s="395"/>
      <c r="T63" s="395"/>
      <c r="U63" s="413" t="s">
        <v>319</v>
      </c>
      <c r="V63" s="395"/>
      <c r="W63" s="395"/>
      <c r="X63" s="395"/>
      <c r="Y63" s="395"/>
      <c r="Z63" s="413" t="s">
        <v>320</v>
      </c>
      <c r="AA63" s="395"/>
      <c r="AB63" s="395"/>
      <c r="AC63" s="395"/>
      <c r="AD63" s="395"/>
      <c r="AE63" s="413" t="s">
        <v>321</v>
      </c>
      <c r="AF63" s="395"/>
      <c r="AG63" s="395"/>
      <c r="AH63" s="395"/>
      <c r="AI63" s="395"/>
      <c r="AJ63" s="413" t="s">
        <v>322</v>
      </c>
      <c r="AK63" s="395"/>
      <c r="AL63" s="395"/>
      <c r="AM63" s="395"/>
      <c r="AN63" s="395"/>
      <c r="AO63" s="413" t="s">
        <v>323</v>
      </c>
      <c r="AP63" s="395"/>
      <c r="AQ63" s="395"/>
      <c r="AR63" s="395"/>
      <c r="AS63" s="395"/>
      <c r="AT63" s="413" t="s">
        <v>324</v>
      </c>
      <c r="AU63" s="395"/>
      <c r="AV63" s="395"/>
      <c r="AW63" s="395"/>
      <c r="AX63" s="395"/>
    </row>
    <row r="64" spans="2:53">
      <c r="B64" s="389" t="s">
        <v>376</v>
      </c>
      <c r="C64" s="389" t="s">
        <v>386</v>
      </c>
      <c r="D64" s="389"/>
      <c r="E64" s="389" t="s">
        <v>377</v>
      </c>
      <c r="F64" s="389"/>
      <c r="G64" s="389"/>
      <c r="H64" s="417" t="s">
        <v>373</v>
      </c>
      <c r="I64" s="389" t="s">
        <v>378</v>
      </c>
      <c r="J64" s="389"/>
      <c r="K64" s="389"/>
      <c r="L64" s="417" t="s">
        <v>373</v>
      </c>
      <c r="M64" s="391" t="s">
        <v>374</v>
      </c>
      <c r="N64" s="389"/>
      <c r="O64" s="389" t="s">
        <v>379</v>
      </c>
      <c r="P64" s="404" t="s">
        <v>375</v>
      </c>
      <c r="Q64" s="405"/>
      <c r="R64" s="405"/>
      <c r="S64" s="406"/>
      <c r="T64" s="389" t="s">
        <v>373</v>
      </c>
      <c r="U64" s="404" t="s">
        <v>375</v>
      </c>
      <c r="V64" s="405"/>
      <c r="W64" s="405"/>
      <c r="X64" s="406"/>
      <c r="Y64" s="389" t="s">
        <v>373</v>
      </c>
      <c r="Z64" s="404" t="s">
        <v>375</v>
      </c>
      <c r="AA64" s="405"/>
      <c r="AB64" s="405"/>
      <c r="AC64" s="406"/>
      <c r="AD64" s="389" t="s">
        <v>373</v>
      </c>
      <c r="AE64" s="404" t="s">
        <v>375</v>
      </c>
      <c r="AF64" s="405"/>
      <c r="AG64" s="405"/>
      <c r="AH64" s="406"/>
      <c r="AI64" s="389" t="s">
        <v>373</v>
      </c>
      <c r="AJ64" s="404" t="s">
        <v>375</v>
      </c>
      <c r="AK64" s="405"/>
      <c r="AL64" s="405"/>
      <c r="AM64" s="406"/>
      <c r="AN64" s="389" t="s">
        <v>373</v>
      </c>
      <c r="AO64" s="404" t="s">
        <v>375</v>
      </c>
      <c r="AP64" s="405"/>
      <c r="AQ64" s="405"/>
      <c r="AR64" s="406"/>
      <c r="AS64" s="389" t="s">
        <v>373</v>
      </c>
      <c r="AT64" s="404" t="s">
        <v>375</v>
      </c>
      <c r="AU64" s="405"/>
      <c r="AV64" s="405"/>
      <c r="AW64" s="406"/>
      <c r="AX64" s="389" t="s">
        <v>373</v>
      </c>
      <c r="BA64" s="389" t="s">
        <v>373</v>
      </c>
    </row>
    <row r="65" spans="2:53">
      <c r="B65" s="389"/>
      <c r="C65" s="389"/>
      <c r="D65" s="389"/>
      <c r="E65" s="389" t="s">
        <v>380</v>
      </c>
      <c r="F65" s="389"/>
      <c r="G65" s="389"/>
      <c r="H65" s="418"/>
      <c r="I65" s="389" t="s">
        <v>380</v>
      </c>
      <c r="J65" s="389"/>
      <c r="K65" s="389"/>
      <c r="L65" s="418"/>
      <c r="M65" s="392"/>
      <c r="N65" s="389"/>
      <c r="O65" s="389"/>
      <c r="P65" s="404" t="s">
        <v>381</v>
      </c>
      <c r="Q65" s="405"/>
      <c r="R65" s="405"/>
      <c r="S65" s="406"/>
      <c r="T65" s="389"/>
      <c r="U65" s="404" t="s">
        <v>381</v>
      </c>
      <c r="V65" s="405"/>
      <c r="W65" s="405"/>
      <c r="X65" s="406"/>
      <c r="Y65" s="389"/>
      <c r="Z65" s="404" t="s">
        <v>381</v>
      </c>
      <c r="AA65" s="405"/>
      <c r="AB65" s="405"/>
      <c r="AC65" s="406"/>
      <c r="AD65" s="389"/>
      <c r="AE65" s="404" t="s">
        <v>381</v>
      </c>
      <c r="AF65" s="405"/>
      <c r="AG65" s="405"/>
      <c r="AH65" s="406"/>
      <c r="AI65" s="389"/>
      <c r="AJ65" s="404" t="s">
        <v>381</v>
      </c>
      <c r="AK65" s="405"/>
      <c r="AL65" s="405"/>
      <c r="AM65" s="406"/>
      <c r="AN65" s="389"/>
      <c r="AO65" s="404" t="s">
        <v>381</v>
      </c>
      <c r="AP65" s="405"/>
      <c r="AQ65" s="405"/>
      <c r="AR65" s="406"/>
      <c r="AS65" s="389"/>
      <c r="AT65" s="404" t="s">
        <v>381</v>
      </c>
      <c r="AU65" s="405"/>
      <c r="AV65" s="405"/>
      <c r="AW65" s="406"/>
      <c r="AX65" s="389"/>
      <c r="BA65" s="389"/>
    </row>
    <row r="66" spans="2:53">
      <c r="B66" s="389"/>
      <c r="C66" s="389"/>
      <c r="D66" s="389"/>
      <c r="E66" s="258" t="s">
        <v>382</v>
      </c>
      <c r="F66" s="258" t="s">
        <v>383</v>
      </c>
      <c r="G66" s="258" t="s">
        <v>384</v>
      </c>
      <c r="H66" s="419"/>
      <c r="I66" s="258" t="s">
        <v>382</v>
      </c>
      <c r="J66" s="258" t="s">
        <v>383</v>
      </c>
      <c r="K66" s="258" t="s">
        <v>384</v>
      </c>
      <c r="L66" s="419"/>
      <c r="M66" s="393"/>
      <c r="N66" s="389"/>
      <c r="O66" s="389"/>
      <c r="P66" s="258" t="s">
        <v>382</v>
      </c>
      <c r="Q66" s="258" t="s">
        <v>383</v>
      </c>
      <c r="R66" s="258" t="s">
        <v>384</v>
      </c>
      <c r="S66" s="258" t="s">
        <v>374</v>
      </c>
      <c r="T66" s="389"/>
      <c r="U66" s="258" t="s">
        <v>382</v>
      </c>
      <c r="V66" s="258" t="s">
        <v>383</v>
      </c>
      <c r="W66" s="258" t="s">
        <v>384</v>
      </c>
      <c r="X66" s="258" t="s">
        <v>374</v>
      </c>
      <c r="Y66" s="389"/>
      <c r="Z66" s="258" t="s">
        <v>382</v>
      </c>
      <c r="AA66" s="258" t="s">
        <v>383</v>
      </c>
      <c r="AB66" s="258" t="s">
        <v>384</v>
      </c>
      <c r="AC66" s="258" t="s">
        <v>374</v>
      </c>
      <c r="AD66" s="389"/>
      <c r="AE66" s="258" t="s">
        <v>382</v>
      </c>
      <c r="AF66" s="258" t="s">
        <v>383</v>
      </c>
      <c r="AG66" s="258" t="s">
        <v>384</v>
      </c>
      <c r="AH66" s="258" t="s">
        <v>374</v>
      </c>
      <c r="AI66" s="389"/>
      <c r="AJ66" s="258" t="s">
        <v>382</v>
      </c>
      <c r="AK66" s="258" t="s">
        <v>383</v>
      </c>
      <c r="AL66" s="258" t="s">
        <v>384</v>
      </c>
      <c r="AM66" s="258" t="s">
        <v>374</v>
      </c>
      <c r="AN66" s="389"/>
      <c r="AO66" s="258" t="s">
        <v>382</v>
      </c>
      <c r="AP66" s="258" t="s">
        <v>383</v>
      </c>
      <c r="AQ66" s="258" t="s">
        <v>384</v>
      </c>
      <c r="AR66" s="258" t="s">
        <v>374</v>
      </c>
      <c r="AS66" s="389"/>
      <c r="AT66" s="258" t="s">
        <v>382</v>
      </c>
      <c r="AU66" s="258" t="s">
        <v>383</v>
      </c>
      <c r="AV66" s="258" t="s">
        <v>384</v>
      </c>
      <c r="AW66" s="258" t="s">
        <v>374</v>
      </c>
      <c r="AX66" s="389"/>
      <c r="AZ66" s="258" t="s">
        <v>374</v>
      </c>
      <c r="BA66" s="389"/>
    </row>
    <row r="67" spans="2:53">
      <c r="B67" s="389" t="s">
        <v>387</v>
      </c>
      <c r="C67" s="182">
        <v>1</v>
      </c>
      <c r="D67" s="203" t="s">
        <v>656</v>
      </c>
      <c r="E67" s="166">
        <v>15</v>
      </c>
      <c r="F67" s="182">
        <v>1500</v>
      </c>
      <c r="G67" s="180">
        <v>100</v>
      </c>
      <c r="H67" s="401">
        <f>AVERAGE(G67:G81)</f>
        <v>100</v>
      </c>
      <c r="I67" s="166">
        <f t="shared" ref="I67:I80" si="51">IFERROR(AVERAGE(P67,U67,Z67,AE67,AJ67,AO67,AT67),"-")</f>
        <v>12.857142857142858</v>
      </c>
      <c r="J67" s="166">
        <f t="shared" ref="J67:J80" si="52">IFERROR(AVERAGE(Q67,V67,AA67,AF67,AK67,AP67,AU67),"-")</f>
        <v>1492.4748447204968</v>
      </c>
      <c r="K67" s="180">
        <f t="shared" ref="K67:K80" si="53">IFERROR(AVERAGE(R67,W67,AB67,AG67,AL67,AQ67,AV67),"-")</f>
        <v>116.15358337314856</v>
      </c>
      <c r="L67" s="401">
        <f>IFERROR(AVERAGE(K67:K81),"-")</f>
        <v>116.15358337314856</v>
      </c>
      <c r="M67" s="181">
        <f>RANK(K67, K$67:$K$81)</f>
        <v>1</v>
      </c>
      <c r="N67" s="389"/>
      <c r="O67" s="389"/>
      <c r="P67" s="182">
        <v>13</v>
      </c>
      <c r="Q67" s="166">
        <v>1510.2000000000005</v>
      </c>
      <c r="R67" s="166">
        <v>116.16923076923081</v>
      </c>
      <c r="S67" s="182">
        <f t="shared" ref="S67:S81" si="54">RANK(R67, R$67:R$81)</f>
        <v>1</v>
      </c>
      <c r="T67" s="384">
        <f t="shared" ref="T67" si="55">AVERAGE(R67:R81)</f>
        <v>116.16923076923081</v>
      </c>
      <c r="U67" s="182">
        <v>13</v>
      </c>
      <c r="V67" s="166">
        <v>1472.3478260869576</v>
      </c>
      <c r="W67" s="166">
        <v>113.25752508361212</v>
      </c>
      <c r="X67" s="182">
        <f t="shared" ref="X67:X81" si="56">RANK(W67, W$67:W$81)</f>
        <v>1</v>
      </c>
      <c r="Y67" s="384">
        <f t="shared" ref="Y67" si="57">AVERAGE(W67:W81)</f>
        <v>113.25752508361212</v>
      </c>
      <c r="Z67" s="182">
        <v>12</v>
      </c>
      <c r="AA67" s="166">
        <v>1471.8260869565217</v>
      </c>
      <c r="AB67" s="166">
        <v>122.65217391304348</v>
      </c>
      <c r="AC67" s="182">
        <f t="shared" ref="AC67:AC81" si="58">RANK(AB67, AB$67:AB$81)</f>
        <v>1</v>
      </c>
      <c r="AD67" s="384">
        <f t="shared" ref="AD67" si="59">AVERAGE(AB67:AB81)</f>
        <v>122.65217391304348</v>
      </c>
      <c r="AE67" s="182">
        <v>13</v>
      </c>
      <c r="AF67" s="166">
        <v>1485.5999999999988</v>
      </c>
      <c r="AG67" s="166">
        <v>114.27692307692298</v>
      </c>
      <c r="AH67" s="182">
        <f t="shared" ref="AH67:AH81" si="60">RANK(AG67, AG$67:AG$81)</f>
        <v>1</v>
      </c>
      <c r="AI67" s="384">
        <f t="shared" ref="AI67" si="61">AVERAGE(AG67:AG81)</f>
        <v>114.27692307692298</v>
      </c>
      <c r="AJ67" s="182">
        <v>13</v>
      </c>
      <c r="AK67" s="166">
        <v>1503.7499999999993</v>
      </c>
      <c r="AL67" s="166">
        <v>115.67307692307688</v>
      </c>
      <c r="AM67" s="182">
        <f t="shared" ref="AM67:AM81" si="62">RANK(AL67, AL$67:AL$81)</f>
        <v>1</v>
      </c>
      <c r="AN67" s="384">
        <f t="shared" ref="AN67" si="63">AVERAGE(AL67:AL81)</f>
        <v>115.67307692307688</v>
      </c>
      <c r="AO67" s="182">
        <v>13</v>
      </c>
      <c r="AP67" s="166">
        <v>1470.5999999999995</v>
      </c>
      <c r="AQ67" s="166">
        <v>113.12307692307688</v>
      </c>
      <c r="AR67" s="182">
        <f t="shared" ref="AR67:AR81" si="64">RANK(AQ67, AQ$67:AQ$81)</f>
        <v>1</v>
      </c>
      <c r="AS67" s="384">
        <f t="shared" ref="AS67" si="65">AVERAGE(AQ67:AQ81)</f>
        <v>113.12307692307688</v>
      </c>
      <c r="AT67" s="182">
        <v>13</v>
      </c>
      <c r="AU67" s="166">
        <v>1532.9999999999993</v>
      </c>
      <c r="AV67" s="166">
        <v>117.92307692307688</v>
      </c>
      <c r="AW67" s="182">
        <f t="shared" ref="AW67:AW81" si="66">RANK(AV67, AV$67:AV$81)</f>
        <v>1</v>
      </c>
      <c r="AX67" s="384">
        <f t="shared" ref="AX67" si="67">AVERAGE(AV67:AV81)</f>
        <v>117.92307692307688</v>
      </c>
      <c r="AZ67" s="182" t="e">
        <f t="shared" ref="AZ67:AZ81" si="68">RANK(AY67, AY$67:AY$81)</f>
        <v>#N/A</v>
      </c>
      <c r="BA67" s="384" t="e">
        <f t="shared" ref="BA67" si="69">AVERAGE(AY67:AY81)</f>
        <v>#DIV/0!</v>
      </c>
    </row>
    <row r="68" spans="2:53">
      <c r="B68" s="395"/>
      <c r="C68" s="182">
        <v>2</v>
      </c>
      <c r="D68" s="203"/>
      <c r="E68" s="166"/>
      <c r="F68" s="182"/>
      <c r="G68" s="180"/>
      <c r="H68" s="402"/>
      <c r="I68" s="166" t="str">
        <f t="shared" si="51"/>
        <v>-</v>
      </c>
      <c r="J68" s="166" t="str">
        <f t="shared" si="52"/>
        <v>-</v>
      </c>
      <c r="K68" s="180" t="str">
        <f t="shared" si="53"/>
        <v>-</v>
      </c>
      <c r="L68" s="402"/>
      <c r="M68" s="181" t="e">
        <f>RANK(K68, K$87:$K$101)</f>
        <v>#VALUE!</v>
      </c>
      <c r="N68" s="389"/>
      <c r="O68" s="389"/>
      <c r="P68" s="182" t="s">
        <v>634</v>
      </c>
      <c r="Q68" s="166" t="s">
        <v>634</v>
      </c>
      <c r="R68" s="166" t="s">
        <v>634</v>
      </c>
      <c r="S68" s="182" t="e">
        <f t="shared" si="54"/>
        <v>#VALUE!</v>
      </c>
      <c r="T68" s="385"/>
      <c r="U68" s="182" t="s">
        <v>634</v>
      </c>
      <c r="V68" s="166" t="s">
        <v>634</v>
      </c>
      <c r="W68" s="166" t="s">
        <v>634</v>
      </c>
      <c r="X68" s="182" t="e">
        <f t="shared" si="56"/>
        <v>#VALUE!</v>
      </c>
      <c r="Y68" s="385"/>
      <c r="Z68" s="182" t="s">
        <v>634</v>
      </c>
      <c r="AA68" s="166" t="s">
        <v>634</v>
      </c>
      <c r="AB68" s="166" t="s">
        <v>634</v>
      </c>
      <c r="AC68" s="182" t="e">
        <f t="shared" si="58"/>
        <v>#VALUE!</v>
      </c>
      <c r="AD68" s="385"/>
      <c r="AE68" s="182" t="s">
        <v>634</v>
      </c>
      <c r="AF68" s="166" t="s">
        <v>634</v>
      </c>
      <c r="AG68" s="166" t="s">
        <v>634</v>
      </c>
      <c r="AH68" s="182" t="e">
        <f t="shared" si="60"/>
        <v>#VALUE!</v>
      </c>
      <c r="AI68" s="385"/>
      <c r="AJ68" s="182" t="s">
        <v>634</v>
      </c>
      <c r="AK68" s="166" t="s">
        <v>634</v>
      </c>
      <c r="AL68" s="166" t="s">
        <v>634</v>
      </c>
      <c r="AM68" s="182" t="e">
        <f t="shared" si="62"/>
        <v>#VALUE!</v>
      </c>
      <c r="AN68" s="385"/>
      <c r="AO68" s="182" t="s">
        <v>634</v>
      </c>
      <c r="AP68" s="166" t="s">
        <v>634</v>
      </c>
      <c r="AQ68" s="166" t="s">
        <v>634</v>
      </c>
      <c r="AR68" s="182" t="e">
        <f t="shared" si="64"/>
        <v>#VALUE!</v>
      </c>
      <c r="AS68" s="385"/>
      <c r="AT68" s="182" t="s">
        <v>634</v>
      </c>
      <c r="AU68" s="166" t="s">
        <v>634</v>
      </c>
      <c r="AV68" s="166" t="s">
        <v>634</v>
      </c>
      <c r="AW68" s="182" t="e">
        <f t="shared" si="66"/>
        <v>#VALUE!</v>
      </c>
      <c r="AX68" s="385"/>
      <c r="AZ68" s="182" t="e">
        <f t="shared" si="68"/>
        <v>#N/A</v>
      </c>
      <c r="BA68" s="385"/>
    </row>
    <row r="69" spans="2:53">
      <c r="B69" s="395"/>
      <c r="C69" s="182">
        <v>3</v>
      </c>
      <c r="D69" s="203"/>
      <c r="E69" s="166"/>
      <c r="F69" s="182"/>
      <c r="G69" s="180"/>
      <c r="H69" s="402"/>
      <c r="I69" s="166" t="str">
        <f t="shared" si="51"/>
        <v>-</v>
      </c>
      <c r="J69" s="166" t="str">
        <f t="shared" si="52"/>
        <v>-</v>
      </c>
      <c r="K69" s="180" t="str">
        <f t="shared" si="53"/>
        <v>-</v>
      </c>
      <c r="L69" s="402"/>
      <c r="M69" s="181" t="e">
        <f>RANK(K69, K$87:$K$101)</f>
        <v>#VALUE!</v>
      </c>
      <c r="N69" s="389"/>
      <c r="O69" s="389"/>
      <c r="P69" s="182" t="s">
        <v>634</v>
      </c>
      <c r="Q69" s="166" t="s">
        <v>634</v>
      </c>
      <c r="R69" s="166" t="s">
        <v>634</v>
      </c>
      <c r="S69" s="182" t="e">
        <f t="shared" si="54"/>
        <v>#VALUE!</v>
      </c>
      <c r="T69" s="385"/>
      <c r="U69" s="182" t="s">
        <v>634</v>
      </c>
      <c r="V69" s="166" t="s">
        <v>634</v>
      </c>
      <c r="W69" s="166" t="s">
        <v>634</v>
      </c>
      <c r="X69" s="182" t="e">
        <f t="shared" si="56"/>
        <v>#VALUE!</v>
      </c>
      <c r="Y69" s="385"/>
      <c r="Z69" s="182" t="s">
        <v>634</v>
      </c>
      <c r="AA69" s="166" t="s">
        <v>634</v>
      </c>
      <c r="AB69" s="166" t="s">
        <v>634</v>
      </c>
      <c r="AC69" s="182" t="e">
        <f t="shared" si="58"/>
        <v>#VALUE!</v>
      </c>
      <c r="AD69" s="385"/>
      <c r="AE69" s="182" t="s">
        <v>634</v>
      </c>
      <c r="AF69" s="166" t="s">
        <v>634</v>
      </c>
      <c r="AG69" s="166" t="s">
        <v>634</v>
      </c>
      <c r="AH69" s="182" t="e">
        <f t="shared" si="60"/>
        <v>#VALUE!</v>
      </c>
      <c r="AI69" s="385"/>
      <c r="AJ69" s="182" t="s">
        <v>634</v>
      </c>
      <c r="AK69" s="166" t="s">
        <v>634</v>
      </c>
      <c r="AL69" s="166" t="s">
        <v>634</v>
      </c>
      <c r="AM69" s="182" t="e">
        <f t="shared" si="62"/>
        <v>#VALUE!</v>
      </c>
      <c r="AN69" s="385"/>
      <c r="AO69" s="182" t="s">
        <v>634</v>
      </c>
      <c r="AP69" s="166" t="s">
        <v>634</v>
      </c>
      <c r="AQ69" s="166" t="s">
        <v>634</v>
      </c>
      <c r="AR69" s="182" t="e">
        <f t="shared" si="64"/>
        <v>#VALUE!</v>
      </c>
      <c r="AS69" s="385"/>
      <c r="AT69" s="182" t="s">
        <v>634</v>
      </c>
      <c r="AU69" s="166" t="s">
        <v>634</v>
      </c>
      <c r="AV69" s="166" t="s">
        <v>634</v>
      </c>
      <c r="AW69" s="182" t="e">
        <f t="shared" si="66"/>
        <v>#VALUE!</v>
      </c>
      <c r="AX69" s="385"/>
      <c r="AZ69" s="182" t="e">
        <f t="shared" si="68"/>
        <v>#N/A</v>
      </c>
      <c r="BA69" s="385"/>
    </row>
    <row r="70" spans="2:53">
      <c r="B70" s="395"/>
      <c r="C70" s="182">
        <v>4</v>
      </c>
      <c r="D70" s="203"/>
      <c r="E70" s="166"/>
      <c r="F70" s="182"/>
      <c r="G70" s="180"/>
      <c r="H70" s="402"/>
      <c r="I70" s="166" t="str">
        <f t="shared" si="51"/>
        <v>-</v>
      </c>
      <c r="J70" s="166" t="str">
        <f t="shared" si="52"/>
        <v>-</v>
      </c>
      <c r="K70" s="180" t="str">
        <f t="shared" si="53"/>
        <v>-</v>
      </c>
      <c r="L70" s="402"/>
      <c r="M70" s="181" t="e">
        <f>RANK(K70, K$87:$K$101)</f>
        <v>#VALUE!</v>
      </c>
      <c r="N70" s="389"/>
      <c r="O70" s="389"/>
      <c r="P70" s="182" t="s">
        <v>634</v>
      </c>
      <c r="Q70" s="166" t="s">
        <v>634</v>
      </c>
      <c r="R70" s="166" t="s">
        <v>634</v>
      </c>
      <c r="S70" s="182" t="e">
        <f t="shared" si="54"/>
        <v>#VALUE!</v>
      </c>
      <c r="T70" s="385"/>
      <c r="U70" s="182" t="s">
        <v>634</v>
      </c>
      <c r="V70" s="166" t="s">
        <v>634</v>
      </c>
      <c r="W70" s="166" t="s">
        <v>634</v>
      </c>
      <c r="X70" s="182" t="e">
        <f t="shared" si="56"/>
        <v>#VALUE!</v>
      </c>
      <c r="Y70" s="385"/>
      <c r="Z70" s="182" t="s">
        <v>634</v>
      </c>
      <c r="AA70" s="166" t="s">
        <v>634</v>
      </c>
      <c r="AB70" s="166" t="s">
        <v>634</v>
      </c>
      <c r="AC70" s="182" t="e">
        <f t="shared" si="58"/>
        <v>#VALUE!</v>
      </c>
      <c r="AD70" s="385"/>
      <c r="AE70" s="182" t="s">
        <v>634</v>
      </c>
      <c r="AF70" s="166" t="s">
        <v>634</v>
      </c>
      <c r="AG70" s="166" t="s">
        <v>634</v>
      </c>
      <c r="AH70" s="182" t="e">
        <f t="shared" si="60"/>
        <v>#VALUE!</v>
      </c>
      <c r="AI70" s="385"/>
      <c r="AJ70" s="182" t="s">
        <v>634</v>
      </c>
      <c r="AK70" s="166" t="s">
        <v>634</v>
      </c>
      <c r="AL70" s="166" t="s">
        <v>634</v>
      </c>
      <c r="AM70" s="182" t="e">
        <f t="shared" si="62"/>
        <v>#VALUE!</v>
      </c>
      <c r="AN70" s="385"/>
      <c r="AO70" s="182" t="s">
        <v>634</v>
      </c>
      <c r="AP70" s="166" t="s">
        <v>634</v>
      </c>
      <c r="AQ70" s="166" t="s">
        <v>634</v>
      </c>
      <c r="AR70" s="182" t="e">
        <f t="shared" si="64"/>
        <v>#VALUE!</v>
      </c>
      <c r="AS70" s="385"/>
      <c r="AT70" s="182" t="s">
        <v>634</v>
      </c>
      <c r="AU70" s="166" t="s">
        <v>634</v>
      </c>
      <c r="AV70" s="166" t="s">
        <v>634</v>
      </c>
      <c r="AW70" s="182" t="e">
        <f t="shared" si="66"/>
        <v>#VALUE!</v>
      </c>
      <c r="AX70" s="385"/>
      <c r="AZ70" s="182" t="e">
        <f t="shared" si="68"/>
        <v>#N/A</v>
      </c>
      <c r="BA70" s="385"/>
    </row>
    <row r="71" spans="2:53">
      <c r="B71" s="395"/>
      <c r="C71" s="182">
        <v>5</v>
      </c>
      <c r="D71" s="203"/>
      <c r="E71" s="166"/>
      <c r="F71" s="182"/>
      <c r="G71" s="180"/>
      <c r="H71" s="402"/>
      <c r="I71" s="166" t="str">
        <f t="shared" si="51"/>
        <v>-</v>
      </c>
      <c r="J71" s="166" t="str">
        <f t="shared" si="52"/>
        <v>-</v>
      </c>
      <c r="K71" s="180" t="str">
        <f t="shared" si="53"/>
        <v>-</v>
      </c>
      <c r="L71" s="402"/>
      <c r="M71" s="181" t="e">
        <f>RANK(K71, K$87:$K$101)</f>
        <v>#VALUE!</v>
      </c>
      <c r="N71" s="389"/>
      <c r="O71" s="389"/>
      <c r="P71" s="182" t="s">
        <v>634</v>
      </c>
      <c r="Q71" s="166" t="s">
        <v>634</v>
      </c>
      <c r="R71" s="166" t="s">
        <v>634</v>
      </c>
      <c r="S71" s="182" t="e">
        <f t="shared" si="54"/>
        <v>#VALUE!</v>
      </c>
      <c r="T71" s="385"/>
      <c r="U71" s="182" t="s">
        <v>634</v>
      </c>
      <c r="V71" s="166" t="s">
        <v>634</v>
      </c>
      <c r="W71" s="166" t="s">
        <v>634</v>
      </c>
      <c r="X71" s="182" t="e">
        <f t="shared" si="56"/>
        <v>#VALUE!</v>
      </c>
      <c r="Y71" s="385"/>
      <c r="Z71" s="182" t="s">
        <v>634</v>
      </c>
      <c r="AA71" s="166" t="s">
        <v>634</v>
      </c>
      <c r="AB71" s="166" t="s">
        <v>634</v>
      </c>
      <c r="AC71" s="182" t="e">
        <f t="shared" si="58"/>
        <v>#VALUE!</v>
      </c>
      <c r="AD71" s="385"/>
      <c r="AE71" s="182" t="s">
        <v>634</v>
      </c>
      <c r="AF71" s="166" t="s">
        <v>634</v>
      </c>
      <c r="AG71" s="166" t="s">
        <v>634</v>
      </c>
      <c r="AH71" s="182" t="e">
        <f t="shared" si="60"/>
        <v>#VALUE!</v>
      </c>
      <c r="AI71" s="385"/>
      <c r="AJ71" s="182" t="s">
        <v>634</v>
      </c>
      <c r="AK71" s="166" t="s">
        <v>634</v>
      </c>
      <c r="AL71" s="166" t="s">
        <v>634</v>
      </c>
      <c r="AM71" s="182" t="e">
        <f t="shared" si="62"/>
        <v>#VALUE!</v>
      </c>
      <c r="AN71" s="385"/>
      <c r="AO71" s="182" t="s">
        <v>634</v>
      </c>
      <c r="AP71" s="166" t="s">
        <v>634</v>
      </c>
      <c r="AQ71" s="166" t="s">
        <v>634</v>
      </c>
      <c r="AR71" s="182" t="e">
        <f t="shared" si="64"/>
        <v>#VALUE!</v>
      </c>
      <c r="AS71" s="385"/>
      <c r="AT71" s="182" t="s">
        <v>634</v>
      </c>
      <c r="AU71" s="166" t="s">
        <v>634</v>
      </c>
      <c r="AV71" s="166" t="s">
        <v>634</v>
      </c>
      <c r="AW71" s="182" t="e">
        <f t="shared" si="66"/>
        <v>#VALUE!</v>
      </c>
      <c r="AX71" s="385"/>
      <c r="AZ71" s="182" t="e">
        <f t="shared" si="68"/>
        <v>#N/A</v>
      </c>
      <c r="BA71" s="385"/>
    </row>
    <row r="72" spans="2:53">
      <c r="B72" s="395"/>
      <c r="C72" s="182">
        <v>6</v>
      </c>
      <c r="D72" s="203"/>
      <c r="E72" s="166"/>
      <c r="F72" s="182"/>
      <c r="G72" s="180"/>
      <c r="H72" s="402"/>
      <c r="I72" s="166" t="str">
        <f t="shared" si="51"/>
        <v>-</v>
      </c>
      <c r="J72" s="166" t="str">
        <f t="shared" si="52"/>
        <v>-</v>
      </c>
      <c r="K72" s="180" t="str">
        <f t="shared" si="53"/>
        <v>-</v>
      </c>
      <c r="L72" s="402"/>
      <c r="M72" s="181" t="e">
        <f>RANK(K72, K$87:$K$101)</f>
        <v>#VALUE!</v>
      </c>
      <c r="N72" s="389"/>
      <c r="O72" s="389"/>
      <c r="P72" s="182" t="s">
        <v>634</v>
      </c>
      <c r="Q72" s="166" t="s">
        <v>634</v>
      </c>
      <c r="R72" s="166" t="s">
        <v>634</v>
      </c>
      <c r="S72" s="182" t="e">
        <f t="shared" si="54"/>
        <v>#VALUE!</v>
      </c>
      <c r="T72" s="385"/>
      <c r="U72" s="182" t="s">
        <v>634</v>
      </c>
      <c r="V72" s="166" t="s">
        <v>634</v>
      </c>
      <c r="W72" s="166" t="s">
        <v>634</v>
      </c>
      <c r="X72" s="182" t="e">
        <f t="shared" si="56"/>
        <v>#VALUE!</v>
      </c>
      <c r="Y72" s="385"/>
      <c r="Z72" s="182" t="s">
        <v>634</v>
      </c>
      <c r="AA72" s="166" t="s">
        <v>634</v>
      </c>
      <c r="AB72" s="166" t="s">
        <v>634</v>
      </c>
      <c r="AC72" s="182" t="e">
        <f t="shared" si="58"/>
        <v>#VALUE!</v>
      </c>
      <c r="AD72" s="385"/>
      <c r="AE72" s="182" t="s">
        <v>634</v>
      </c>
      <c r="AF72" s="166" t="s">
        <v>634</v>
      </c>
      <c r="AG72" s="166" t="s">
        <v>634</v>
      </c>
      <c r="AH72" s="182" t="e">
        <f t="shared" si="60"/>
        <v>#VALUE!</v>
      </c>
      <c r="AI72" s="385"/>
      <c r="AJ72" s="182" t="s">
        <v>634</v>
      </c>
      <c r="AK72" s="166" t="s">
        <v>634</v>
      </c>
      <c r="AL72" s="166" t="s">
        <v>634</v>
      </c>
      <c r="AM72" s="182" t="e">
        <f t="shared" si="62"/>
        <v>#VALUE!</v>
      </c>
      <c r="AN72" s="385"/>
      <c r="AO72" s="182" t="s">
        <v>634</v>
      </c>
      <c r="AP72" s="166" t="s">
        <v>634</v>
      </c>
      <c r="AQ72" s="166" t="s">
        <v>634</v>
      </c>
      <c r="AR72" s="182" t="e">
        <f t="shared" si="64"/>
        <v>#VALUE!</v>
      </c>
      <c r="AS72" s="385"/>
      <c r="AT72" s="182" t="s">
        <v>634</v>
      </c>
      <c r="AU72" s="166" t="s">
        <v>634</v>
      </c>
      <c r="AV72" s="166" t="s">
        <v>634</v>
      </c>
      <c r="AW72" s="182" t="e">
        <f t="shared" si="66"/>
        <v>#VALUE!</v>
      </c>
      <c r="AX72" s="385"/>
      <c r="AZ72" s="182" t="e">
        <f t="shared" si="68"/>
        <v>#N/A</v>
      </c>
      <c r="BA72" s="385"/>
    </row>
    <row r="73" spans="2:53">
      <c r="B73" s="395"/>
      <c r="C73" s="182">
        <v>7</v>
      </c>
      <c r="D73" s="203"/>
      <c r="E73" s="166"/>
      <c r="F73" s="182"/>
      <c r="G73" s="180"/>
      <c r="H73" s="402"/>
      <c r="I73" s="166" t="str">
        <f t="shared" si="51"/>
        <v>-</v>
      </c>
      <c r="J73" s="166" t="str">
        <f t="shared" si="52"/>
        <v>-</v>
      </c>
      <c r="K73" s="180" t="str">
        <f t="shared" si="53"/>
        <v>-</v>
      </c>
      <c r="L73" s="402"/>
      <c r="M73" s="181" t="e">
        <f>RANK(K73, K$87:$K$101)</f>
        <v>#VALUE!</v>
      </c>
      <c r="N73" s="389"/>
      <c r="O73" s="389"/>
      <c r="P73" s="182" t="s">
        <v>634</v>
      </c>
      <c r="Q73" s="166" t="s">
        <v>634</v>
      </c>
      <c r="R73" s="166" t="s">
        <v>634</v>
      </c>
      <c r="S73" s="182" t="e">
        <f t="shared" si="54"/>
        <v>#VALUE!</v>
      </c>
      <c r="T73" s="385"/>
      <c r="U73" s="182" t="s">
        <v>634</v>
      </c>
      <c r="V73" s="166" t="s">
        <v>634</v>
      </c>
      <c r="W73" s="166" t="s">
        <v>634</v>
      </c>
      <c r="X73" s="182" t="e">
        <f t="shared" si="56"/>
        <v>#VALUE!</v>
      </c>
      <c r="Y73" s="385"/>
      <c r="Z73" s="182" t="s">
        <v>634</v>
      </c>
      <c r="AA73" s="166" t="s">
        <v>634</v>
      </c>
      <c r="AB73" s="166" t="s">
        <v>634</v>
      </c>
      <c r="AC73" s="182" t="e">
        <f t="shared" si="58"/>
        <v>#VALUE!</v>
      </c>
      <c r="AD73" s="385"/>
      <c r="AE73" s="182" t="s">
        <v>634</v>
      </c>
      <c r="AF73" s="166" t="s">
        <v>634</v>
      </c>
      <c r="AG73" s="166" t="s">
        <v>634</v>
      </c>
      <c r="AH73" s="182" t="e">
        <f t="shared" si="60"/>
        <v>#VALUE!</v>
      </c>
      <c r="AI73" s="385"/>
      <c r="AJ73" s="182" t="s">
        <v>634</v>
      </c>
      <c r="AK73" s="166" t="s">
        <v>634</v>
      </c>
      <c r="AL73" s="166" t="s">
        <v>634</v>
      </c>
      <c r="AM73" s="182" t="e">
        <f t="shared" si="62"/>
        <v>#VALUE!</v>
      </c>
      <c r="AN73" s="385"/>
      <c r="AO73" s="182" t="s">
        <v>634</v>
      </c>
      <c r="AP73" s="166" t="s">
        <v>634</v>
      </c>
      <c r="AQ73" s="166" t="s">
        <v>634</v>
      </c>
      <c r="AR73" s="182" t="e">
        <f t="shared" si="64"/>
        <v>#VALUE!</v>
      </c>
      <c r="AS73" s="385"/>
      <c r="AT73" s="182" t="s">
        <v>634</v>
      </c>
      <c r="AU73" s="166" t="s">
        <v>634</v>
      </c>
      <c r="AV73" s="166" t="s">
        <v>634</v>
      </c>
      <c r="AW73" s="182" t="e">
        <f t="shared" si="66"/>
        <v>#VALUE!</v>
      </c>
      <c r="AX73" s="385"/>
      <c r="AZ73" s="182" t="e">
        <f t="shared" si="68"/>
        <v>#N/A</v>
      </c>
      <c r="BA73" s="385"/>
    </row>
    <row r="74" spans="2:53">
      <c r="B74" s="395"/>
      <c r="C74" s="182">
        <v>8</v>
      </c>
      <c r="D74" s="203"/>
      <c r="E74" s="166"/>
      <c r="F74" s="182"/>
      <c r="G74" s="180"/>
      <c r="H74" s="402"/>
      <c r="I74" s="166" t="str">
        <f t="shared" si="51"/>
        <v>-</v>
      </c>
      <c r="J74" s="166" t="str">
        <f t="shared" si="52"/>
        <v>-</v>
      </c>
      <c r="K74" s="180" t="str">
        <f t="shared" si="53"/>
        <v>-</v>
      </c>
      <c r="L74" s="402"/>
      <c r="M74" s="181" t="e">
        <f>RANK(K74, K$87:$K$101)</f>
        <v>#VALUE!</v>
      </c>
      <c r="N74" s="389"/>
      <c r="O74" s="389"/>
      <c r="P74" s="182" t="s">
        <v>634</v>
      </c>
      <c r="Q74" s="166" t="s">
        <v>634</v>
      </c>
      <c r="R74" s="166" t="s">
        <v>634</v>
      </c>
      <c r="S74" s="182" t="e">
        <f t="shared" si="54"/>
        <v>#VALUE!</v>
      </c>
      <c r="T74" s="385"/>
      <c r="U74" s="182" t="s">
        <v>634</v>
      </c>
      <c r="V74" s="166" t="s">
        <v>634</v>
      </c>
      <c r="W74" s="166" t="s">
        <v>634</v>
      </c>
      <c r="X74" s="182" t="e">
        <f t="shared" si="56"/>
        <v>#VALUE!</v>
      </c>
      <c r="Y74" s="385"/>
      <c r="Z74" s="182" t="s">
        <v>634</v>
      </c>
      <c r="AA74" s="166" t="s">
        <v>634</v>
      </c>
      <c r="AB74" s="166" t="s">
        <v>634</v>
      </c>
      <c r="AC74" s="182" t="e">
        <f t="shared" si="58"/>
        <v>#VALUE!</v>
      </c>
      <c r="AD74" s="385"/>
      <c r="AE74" s="182" t="s">
        <v>634</v>
      </c>
      <c r="AF74" s="166" t="s">
        <v>634</v>
      </c>
      <c r="AG74" s="166" t="s">
        <v>634</v>
      </c>
      <c r="AH74" s="182" t="e">
        <f t="shared" si="60"/>
        <v>#VALUE!</v>
      </c>
      <c r="AI74" s="385"/>
      <c r="AJ74" s="182" t="s">
        <v>634</v>
      </c>
      <c r="AK74" s="166" t="s">
        <v>634</v>
      </c>
      <c r="AL74" s="166" t="s">
        <v>634</v>
      </c>
      <c r="AM74" s="182" t="e">
        <f t="shared" si="62"/>
        <v>#VALUE!</v>
      </c>
      <c r="AN74" s="385"/>
      <c r="AO74" s="182" t="s">
        <v>634</v>
      </c>
      <c r="AP74" s="166" t="s">
        <v>634</v>
      </c>
      <c r="AQ74" s="166" t="s">
        <v>634</v>
      </c>
      <c r="AR74" s="182" t="e">
        <f t="shared" si="64"/>
        <v>#VALUE!</v>
      </c>
      <c r="AS74" s="385"/>
      <c r="AT74" s="182" t="s">
        <v>634</v>
      </c>
      <c r="AU74" s="166" t="s">
        <v>634</v>
      </c>
      <c r="AV74" s="166" t="s">
        <v>634</v>
      </c>
      <c r="AW74" s="182" t="e">
        <f t="shared" si="66"/>
        <v>#VALUE!</v>
      </c>
      <c r="AX74" s="385"/>
      <c r="AZ74" s="182" t="e">
        <f t="shared" si="68"/>
        <v>#N/A</v>
      </c>
      <c r="BA74" s="385"/>
    </row>
    <row r="75" spans="2:53">
      <c r="B75" s="395"/>
      <c r="C75" s="182">
        <v>9</v>
      </c>
      <c r="D75" s="203"/>
      <c r="E75" s="166"/>
      <c r="F75" s="182"/>
      <c r="G75" s="180"/>
      <c r="H75" s="402"/>
      <c r="I75" s="166" t="str">
        <f t="shared" si="51"/>
        <v>-</v>
      </c>
      <c r="J75" s="166" t="str">
        <f t="shared" si="52"/>
        <v>-</v>
      </c>
      <c r="K75" s="180" t="str">
        <f t="shared" si="53"/>
        <v>-</v>
      </c>
      <c r="L75" s="402"/>
      <c r="M75" s="181" t="e">
        <f>RANK(K75, K$87:$K$101)</f>
        <v>#VALUE!</v>
      </c>
      <c r="N75" s="389"/>
      <c r="O75" s="389"/>
      <c r="P75" s="182" t="s">
        <v>634</v>
      </c>
      <c r="Q75" s="166" t="s">
        <v>634</v>
      </c>
      <c r="R75" s="166" t="s">
        <v>634</v>
      </c>
      <c r="S75" s="182" t="e">
        <f t="shared" si="54"/>
        <v>#VALUE!</v>
      </c>
      <c r="T75" s="385"/>
      <c r="U75" s="182" t="s">
        <v>634</v>
      </c>
      <c r="V75" s="166" t="s">
        <v>634</v>
      </c>
      <c r="W75" s="166" t="s">
        <v>634</v>
      </c>
      <c r="X75" s="182" t="e">
        <f t="shared" si="56"/>
        <v>#VALUE!</v>
      </c>
      <c r="Y75" s="385"/>
      <c r="Z75" s="182" t="s">
        <v>634</v>
      </c>
      <c r="AA75" s="166" t="s">
        <v>634</v>
      </c>
      <c r="AB75" s="166" t="s">
        <v>634</v>
      </c>
      <c r="AC75" s="182" t="e">
        <f t="shared" si="58"/>
        <v>#VALUE!</v>
      </c>
      <c r="AD75" s="385"/>
      <c r="AE75" s="182" t="s">
        <v>634</v>
      </c>
      <c r="AF75" s="166" t="s">
        <v>634</v>
      </c>
      <c r="AG75" s="166" t="s">
        <v>634</v>
      </c>
      <c r="AH75" s="182" t="e">
        <f t="shared" si="60"/>
        <v>#VALUE!</v>
      </c>
      <c r="AI75" s="385"/>
      <c r="AJ75" s="182" t="s">
        <v>634</v>
      </c>
      <c r="AK75" s="166" t="s">
        <v>634</v>
      </c>
      <c r="AL75" s="166" t="s">
        <v>634</v>
      </c>
      <c r="AM75" s="182" t="e">
        <f t="shared" si="62"/>
        <v>#VALUE!</v>
      </c>
      <c r="AN75" s="385"/>
      <c r="AO75" s="182" t="s">
        <v>634</v>
      </c>
      <c r="AP75" s="166" t="s">
        <v>634</v>
      </c>
      <c r="AQ75" s="166" t="s">
        <v>634</v>
      </c>
      <c r="AR75" s="182" t="e">
        <f t="shared" si="64"/>
        <v>#VALUE!</v>
      </c>
      <c r="AS75" s="385"/>
      <c r="AT75" s="182" t="s">
        <v>634</v>
      </c>
      <c r="AU75" s="166" t="s">
        <v>634</v>
      </c>
      <c r="AV75" s="166" t="s">
        <v>634</v>
      </c>
      <c r="AW75" s="182" t="e">
        <f t="shared" si="66"/>
        <v>#VALUE!</v>
      </c>
      <c r="AX75" s="385"/>
      <c r="AZ75" s="182" t="e">
        <f t="shared" si="68"/>
        <v>#N/A</v>
      </c>
      <c r="BA75" s="385"/>
    </row>
    <row r="76" spans="2:53">
      <c r="B76" s="395"/>
      <c r="C76" s="182">
        <v>10</v>
      </c>
      <c r="D76" s="203"/>
      <c r="E76" s="166"/>
      <c r="F76" s="182"/>
      <c r="G76" s="180"/>
      <c r="H76" s="402"/>
      <c r="I76" s="166" t="str">
        <f t="shared" si="51"/>
        <v>-</v>
      </c>
      <c r="J76" s="166" t="str">
        <f t="shared" si="52"/>
        <v>-</v>
      </c>
      <c r="K76" s="180" t="str">
        <f t="shared" si="53"/>
        <v>-</v>
      </c>
      <c r="L76" s="402"/>
      <c r="M76" s="181" t="e">
        <f>RANK(K76, K$87:$K$101)</f>
        <v>#VALUE!</v>
      </c>
      <c r="N76" s="389"/>
      <c r="O76" s="389"/>
      <c r="P76" s="182" t="s">
        <v>634</v>
      </c>
      <c r="Q76" s="166" t="s">
        <v>634</v>
      </c>
      <c r="R76" s="166" t="s">
        <v>634</v>
      </c>
      <c r="S76" s="182" t="e">
        <f t="shared" si="54"/>
        <v>#VALUE!</v>
      </c>
      <c r="T76" s="385"/>
      <c r="U76" s="182" t="s">
        <v>634</v>
      </c>
      <c r="V76" s="166" t="s">
        <v>634</v>
      </c>
      <c r="W76" s="166" t="s">
        <v>634</v>
      </c>
      <c r="X76" s="182" t="e">
        <f t="shared" si="56"/>
        <v>#VALUE!</v>
      </c>
      <c r="Y76" s="385"/>
      <c r="Z76" s="182" t="s">
        <v>634</v>
      </c>
      <c r="AA76" s="166" t="s">
        <v>634</v>
      </c>
      <c r="AB76" s="166" t="s">
        <v>634</v>
      </c>
      <c r="AC76" s="182" t="e">
        <f t="shared" si="58"/>
        <v>#VALUE!</v>
      </c>
      <c r="AD76" s="385"/>
      <c r="AE76" s="182" t="s">
        <v>634</v>
      </c>
      <c r="AF76" s="166" t="s">
        <v>634</v>
      </c>
      <c r="AG76" s="166" t="s">
        <v>634</v>
      </c>
      <c r="AH76" s="182" t="e">
        <f t="shared" si="60"/>
        <v>#VALUE!</v>
      </c>
      <c r="AI76" s="385"/>
      <c r="AJ76" s="182" t="s">
        <v>634</v>
      </c>
      <c r="AK76" s="166" t="s">
        <v>634</v>
      </c>
      <c r="AL76" s="166" t="s">
        <v>634</v>
      </c>
      <c r="AM76" s="182" t="e">
        <f t="shared" si="62"/>
        <v>#VALUE!</v>
      </c>
      <c r="AN76" s="385"/>
      <c r="AO76" s="182" t="s">
        <v>634</v>
      </c>
      <c r="AP76" s="166" t="s">
        <v>634</v>
      </c>
      <c r="AQ76" s="166" t="s">
        <v>634</v>
      </c>
      <c r="AR76" s="182" t="e">
        <f t="shared" si="64"/>
        <v>#VALUE!</v>
      </c>
      <c r="AS76" s="385"/>
      <c r="AT76" s="182" t="s">
        <v>634</v>
      </c>
      <c r="AU76" s="166" t="s">
        <v>634</v>
      </c>
      <c r="AV76" s="166" t="s">
        <v>634</v>
      </c>
      <c r="AW76" s="182" t="e">
        <f t="shared" si="66"/>
        <v>#VALUE!</v>
      </c>
      <c r="AX76" s="385"/>
      <c r="AZ76" s="182" t="e">
        <f t="shared" si="68"/>
        <v>#N/A</v>
      </c>
      <c r="BA76" s="385"/>
    </row>
    <row r="77" spans="2:53">
      <c r="B77" s="395"/>
      <c r="C77" s="182">
        <v>11</v>
      </c>
      <c r="D77" s="203"/>
      <c r="E77" s="166"/>
      <c r="F77" s="182"/>
      <c r="G77" s="180"/>
      <c r="H77" s="402"/>
      <c r="I77" s="166" t="str">
        <f t="shared" si="51"/>
        <v>-</v>
      </c>
      <c r="J77" s="166" t="str">
        <f t="shared" si="52"/>
        <v>-</v>
      </c>
      <c r="K77" s="180" t="str">
        <f t="shared" si="53"/>
        <v>-</v>
      </c>
      <c r="L77" s="402"/>
      <c r="M77" s="181" t="e">
        <f>RANK(K77, K$87:$K$101)</f>
        <v>#VALUE!</v>
      </c>
      <c r="N77" s="389"/>
      <c r="O77" s="389"/>
      <c r="P77" s="182" t="s">
        <v>634</v>
      </c>
      <c r="Q77" s="166" t="s">
        <v>634</v>
      </c>
      <c r="R77" s="166" t="s">
        <v>634</v>
      </c>
      <c r="S77" s="182" t="e">
        <f t="shared" si="54"/>
        <v>#VALUE!</v>
      </c>
      <c r="T77" s="385"/>
      <c r="U77" s="182" t="s">
        <v>634</v>
      </c>
      <c r="V77" s="166" t="s">
        <v>634</v>
      </c>
      <c r="W77" s="166" t="s">
        <v>634</v>
      </c>
      <c r="X77" s="182" t="e">
        <f t="shared" si="56"/>
        <v>#VALUE!</v>
      </c>
      <c r="Y77" s="385"/>
      <c r="Z77" s="182" t="s">
        <v>634</v>
      </c>
      <c r="AA77" s="166" t="s">
        <v>634</v>
      </c>
      <c r="AB77" s="166" t="s">
        <v>634</v>
      </c>
      <c r="AC77" s="182" t="e">
        <f t="shared" si="58"/>
        <v>#VALUE!</v>
      </c>
      <c r="AD77" s="385"/>
      <c r="AE77" s="182" t="s">
        <v>634</v>
      </c>
      <c r="AF77" s="166" t="s">
        <v>634</v>
      </c>
      <c r="AG77" s="166" t="s">
        <v>634</v>
      </c>
      <c r="AH77" s="182" t="e">
        <f t="shared" si="60"/>
        <v>#VALUE!</v>
      </c>
      <c r="AI77" s="385"/>
      <c r="AJ77" s="182" t="s">
        <v>634</v>
      </c>
      <c r="AK77" s="166" t="s">
        <v>634</v>
      </c>
      <c r="AL77" s="166" t="s">
        <v>634</v>
      </c>
      <c r="AM77" s="182" t="e">
        <f t="shared" si="62"/>
        <v>#VALUE!</v>
      </c>
      <c r="AN77" s="385"/>
      <c r="AO77" s="182" t="s">
        <v>634</v>
      </c>
      <c r="AP77" s="166" t="s">
        <v>634</v>
      </c>
      <c r="AQ77" s="166" t="s">
        <v>634</v>
      </c>
      <c r="AR77" s="182" t="e">
        <f t="shared" si="64"/>
        <v>#VALUE!</v>
      </c>
      <c r="AS77" s="385"/>
      <c r="AT77" s="182" t="s">
        <v>634</v>
      </c>
      <c r="AU77" s="166" t="s">
        <v>634</v>
      </c>
      <c r="AV77" s="166" t="s">
        <v>634</v>
      </c>
      <c r="AW77" s="182" t="e">
        <f t="shared" si="66"/>
        <v>#VALUE!</v>
      </c>
      <c r="AX77" s="385"/>
      <c r="AZ77" s="182" t="e">
        <f t="shared" si="68"/>
        <v>#N/A</v>
      </c>
      <c r="BA77" s="385"/>
    </row>
    <row r="78" spans="2:53">
      <c r="B78" s="395"/>
      <c r="C78" s="182">
        <v>12</v>
      </c>
      <c r="D78" s="203"/>
      <c r="E78" s="166"/>
      <c r="F78" s="182"/>
      <c r="G78" s="180"/>
      <c r="H78" s="402"/>
      <c r="I78" s="166" t="str">
        <f t="shared" si="51"/>
        <v>-</v>
      </c>
      <c r="J78" s="166" t="str">
        <f t="shared" si="52"/>
        <v>-</v>
      </c>
      <c r="K78" s="180" t="str">
        <f t="shared" si="53"/>
        <v>-</v>
      </c>
      <c r="L78" s="402"/>
      <c r="M78" s="181" t="e">
        <f>RANK(K78, K$87:$K$101)</f>
        <v>#VALUE!</v>
      </c>
      <c r="N78" s="389"/>
      <c r="O78" s="389"/>
      <c r="P78" s="182" t="s">
        <v>634</v>
      </c>
      <c r="Q78" s="166" t="s">
        <v>634</v>
      </c>
      <c r="R78" s="166" t="s">
        <v>634</v>
      </c>
      <c r="S78" s="182" t="e">
        <f t="shared" si="54"/>
        <v>#VALUE!</v>
      </c>
      <c r="T78" s="385"/>
      <c r="U78" s="182" t="s">
        <v>634</v>
      </c>
      <c r="V78" s="166" t="s">
        <v>634</v>
      </c>
      <c r="W78" s="166" t="s">
        <v>634</v>
      </c>
      <c r="X78" s="182" t="e">
        <f t="shared" si="56"/>
        <v>#VALUE!</v>
      </c>
      <c r="Y78" s="385"/>
      <c r="Z78" s="182" t="s">
        <v>634</v>
      </c>
      <c r="AA78" s="166" t="s">
        <v>634</v>
      </c>
      <c r="AB78" s="166" t="s">
        <v>634</v>
      </c>
      <c r="AC78" s="182" t="e">
        <f t="shared" si="58"/>
        <v>#VALUE!</v>
      </c>
      <c r="AD78" s="385"/>
      <c r="AE78" s="182" t="s">
        <v>634</v>
      </c>
      <c r="AF78" s="166" t="s">
        <v>634</v>
      </c>
      <c r="AG78" s="166" t="s">
        <v>634</v>
      </c>
      <c r="AH78" s="182" t="e">
        <f t="shared" si="60"/>
        <v>#VALUE!</v>
      </c>
      <c r="AI78" s="385"/>
      <c r="AJ78" s="182" t="s">
        <v>634</v>
      </c>
      <c r="AK78" s="166" t="s">
        <v>634</v>
      </c>
      <c r="AL78" s="166" t="s">
        <v>634</v>
      </c>
      <c r="AM78" s="182" t="e">
        <f t="shared" si="62"/>
        <v>#VALUE!</v>
      </c>
      <c r="AN78" s="385"/>
      <c r="AO78" s="182" t="s">
        <v>634</v>
      </c>
      <c r="AP78" s="166" t="s">
        <v>634</v>
      </c>
      <c r="AQ78" s="166" t="s">
        <v>634</v>
      </c>
      <c r="AR78" s="182" t="e">
        <f t="shared" si="64"/>
        <v>#VALUE!</v>
      </c>
      <c r="AS78" s="385"/>
      <c r="AT78" s="182" t="s">
        <v>634</v>
      </c>
      <c r="AU78" s="166" t="s">
        <v>634</v>
      </c>
      <c r="AV78" s="166" t="s">
        <v>634</v>
      </c>
      <c r="AW78" s="182" t="e">
        <f t="shared" si="66"/>
        <v>#VALUE!</v>
      </c>
      <c r="AX78" s="385"/>
      <c r="AZ78" s="182" t="e">
        <f t="shared" si="68"/>
        <v>#N/A</v>
      </c>
      <c r="BA78" s="385"/>
    </row>
    <row r="79" spans="2:53">
      <c r="B79" s="395"/>
      <c r="C79" s="182">
        <v>13</v>
      </c>
      <c r="D79" s="203"/>
      <c r="E79" s="166"/>
      <c r="F79" s="182"/>
      <c r="G79" s="180"/>
      <c r="H79" s="402"/>
      <c r="I79" s="166" t="str">
        <f t="shared" si="51"/>
        <v>-</v>
      </c>
      <c r="J79" s="166" t="str">
        <f t="shared" si="52"/>
        <v>-</v>
      </c>
      <c r="K79" s="180" t="str">
        <f t="shared" si="53"/>
        <v>-</v>
      </c>
      <c r="L79" s="402"/>
      <c r="M79" s="181" t="e">
        <f>RANK(K79, K$87:$K$101)</f>
        <v>#VALUE!</v>
      </c>
      <c r="N79" s="389"/>
      <c r="O79" s="389"/>
      <c r="P79" s="182" t="s">
        <v>634</v>
      </c>
      <c r="Q79" s="166" t="s">
        <v>634</v>
      </c>
      <c r="R79" s="166" t="s">
        <v>634</v>
      </c>
      <c r="S79" s="182" t="e">
        <f t="shared" si="54"/>
        <v>#VALUE!</v>
      </c>
      <c r="T79" s="385"/>
      <c r="U79" s="182" t="s">
        <v>634</v>
      </c>
      <c r="V79" s="166" t="s">
        <v>634</v>
      </c>
      <c r="W79" s="166" t="s">
        <v>634</v>
      </c>
      <c r="X79" s="182" t="e">
        <f t="shared" si="56"/>
        <v>#VALUE!</v>
      </c>
      <c r="Y79" s="385"/>
      <c r="Z79" s="182" t="s">
        <v>634</v>
      </c>
      <c r="AA79" s="166" t="s">
        <v>634</v>
      </c>
      <c r="AB79" s="166" t="s">
        <v>634</v>
      </c>
      <c r="AC79" s="182" t="e">
        <f t="shared" si="58"/>
        <v>#VALUE!</v>
      </c>
      <c r="AD79" s="385"/>
      <c r="AE79" s="182" t="s">
        <v>634</v>
      </c>
      <c r="AF79" s="166" t="s">
        <v>634</v>
      </c>
      <c r="AG79" s="166" t="s">
        <v>634</v>
      </c>
      <c r="AH79" s="182" t="e">
        <f t="shared" si="60"/>
        <v>#VALUE!</v>
      </c>
      <c r="AI79" s="385"/>
      <c r="AJ79" s="182" t="s">
        <v>634</v>
      </c>
      <c r="AK79" s="166" t="s">
        <v>634</v>
      </c>
      <c r="AL79" s="166" t="s">
        <v>634</v>
      </c>
      <c r="AM79" s="182" t="e">
        <f t="shared" si="62"/>
        <v>#VALUE!</v>
      </c>
      <c r="AN79" s="385"/>
      <c r="AO79" s="182" t="s">
        <v>634</v>
      </c>
      <c r="AP79" s="166" t="s">
        <v>634</v>
      </c>
      <c r="AQ79" s="166" t="s">
        <v>634</v>
      </c>
      <c r="AR79" s="182" t="e">
        <f t="shared" si="64"/>
        <v>#VALUE!</v>
      </c>
      <c r="AS79" s="385"/>
      <c r="AT79" s="182" t="s">
        <v>634</v>
      </c>
      <c r="AU79" s="166" t="s">
        <v>634</v>
      </c>
      <c r="AV79" s="166" t="s">
        <v>634</v>
      </c>
      <c r="AW79" s="182" t="e">
        <f t="shared" si="66"/>
        <v>#VALUE!</v>
      </c>
      <c r="AX79" s="385"/>
      <c r="AZ79" s="182" t="e">
        <f t="shared" si="68"/>
        <v>#N/A</v>
      </c>
      <c r="BA79" s="385"/>
    </row>
    <row r="80" spans="2:53">
      <c r="B80" s="395"/>
      <c r="C80" s="182">
        <v>14</v>
      </c>
      <c r="D80" s="203"/>
      <c r="E80" s="166"/>
      <c r="F80" s="182"/>
      <c r="G80" s="180"/>
      <c r="H80" s="402"/>
      <c r="I80" s="166" t="str">
        <f t="shared" si="51"/>
        <v>-</v>
      </c>
      <c r="J80" s="166" t="str">
        <f t="shared" si="52"/>
        <v>-</v>
      </c>
      <c r="K80" s="180" t="str">
        <f t="shared" si="53"/>
        <v>-</v>
      </c>
      <c r="L80" s="402"/>
      <c r="M80" s="181" t="e">
        <f>RANK(K80, K$87:$K$101)</f>
        <v>#VALUE!</v>
      </c>
      <c r="N80" s="389"/>
      <c r="O80" s="389"/>
      <c r="P80" s="182" t="s">
        <v>634</v>
      </c>
      <c r="Q80" s="166" t="s">
        <v>634</v>
      </c>
      <c r="R80" s="166" t="s">
        <v>634</v>
      </c>
      <c r="S80" s="182" t="e">
        <f t="shared" si="54"/>
        <v>#VALUE!</v>
      </c>
      <c r="T80" s="385"/>
      <c r="U80" s="182" t="s">
        <v>634</v>
      </c>
      <c r="V80" s="166" t="s">
        <v>634</v>
      </c>
      <c r="W80" s="166" t="s">
        <v>634</v>
      </c>
      <c r="X80" s="182" t="e">
        <f t="shared" si="56"/>
        <v>#VALUE!</v>
      </c>
      <c r="Y80" s="385"/>
      <c r="Z80" s="182" t="s">
        <v>634</v>
      </c>
      <c r="AA80" s="166" t="s">
        <v>634</v>
      </c>
      <c r="AB80" s="166" t="s">
        <v>634</v>
      </c>
      <c r="AC80" s="182" t="e">
        <f t="shared" si="58"/>
        <v>#VALUE!</v>
      </c>
      <c r="AD80" s="385"/>
      <c r="AE80" s="182" t="s">
        <v>634</v>
      </c>
      <c r="AF80" s="166" t="s">
        <v>634</v>
      </c>
      <c r="AG80" s="166" t="s">
        <v>634</v>
      </c>
      <c r="AH80" s="182" t="e">
        <f t="shared" si="60"/>
        <v>#VALUE!</v>
      </c>
      <c r="AI80" s="385"/>
      <c r="AJ80" s="182" t="s">
        <v>634</v>
      </c>
      <c r="AK80" s="166" t="s">
        <v>634</v>
      </c>
      <c r="AL80" s="166" t="s">
        <v>634</v>
      </c>
      <c r="AM80" s="182" t="e">
        <f t="shared" si="62"/>
        <v>#VALUE!</v>
      </c>
      <c r="AN80" s="385"/>
      <c r="AO80" s="182" t="s">
        <v>634</v>
      </c>
      <c r="AP80" s="166" t="s">
        <v>634</v>
      </c>
      <c r="AQ80" s="166" t="s">
        <v>634</v>
      </c>
      <c r="AR80" s="182" t="e">
        <f t="shared" si="64"/>
        <v>#VALUE!</v>
      </c>
      <c r="AS80" s="385"/>
      <c r="AT80" s="182" t="s">
        <v>634</v>
      </c>
      <c r="AU80" s="166" t="s">
        <v>634</v>
      </c>
      <c r="AV80" s="166" t="s">
        <v>634</v>
      </c>
      <c r="AW80" s="182" t="e">
        <f t="shared" si="66"/>
        <v>#VALUE!</v>
      </c>
      <c r="AX80" s="385"/>
      <c r="AZ80" s="182" t="e">
        <f t="shared" si="68"/>
        <v>#N/A</v>
      </c>
      <c r="BA80" s="385"/>
    </row>
    <row r="81" spans="2:53">
      <c r="B81" s="395"/>
      <c r="C81" s="182">
        <v>15</v>
      </c>
      <c r="D81" s="203"/>
      <c r="E81" s="166"/>
      <c r="F81" s="182"/>
      <c r="G81" s="180"/>
      <c r="H81" s="403"/>
      <c r="I81" s="166" t="str">
        <f t="shared" ref="I81" si="70">IFERROR(AVERAGE(P81,U81,Z81,AE81,AJ81,AO81,AT81),"-")</f>
        <v>-</v>
      </c>
      <c r="J81" s="166" t="str">
        <f t="shared" ref="J81" si="71">IFERROR(AVERAGE(Q81,V81,AA81,AF81,AK81,AP81,AU81),"-")</f>
        <v>-</v>
      </c>
      <c r="K81" s="180" t="str">
        <f t="shared" ref="K81" si="72">IFERROR(AVERAGE(R81,W81,AB81,AG81,AL81,AQ81,AV81),"-")</f>
        <v>-</v>
      </c>
      <c r="L81" s="403"/>
      <c r="M81" s="166" t="e">
        <f>RANK(K81, K$87:$K$101)</f>
        <v>#VALUE!</v>
      </c>
      <c r="N81" s="389"/>
      <c r="O81" s="389"/>
      <c r="P81" s="182" t="s">
        <v>634</v>
      </c>
      <c r="Q81" s="166" t="s">
        <v>634</v>
      </c>
      <c r="R81" s="166" t="s">
        <v>634</v>
      </c>
      <c r="S81" s="182" t="e">
        <f t="shared" si="54"/>
        <v>#VALUE!</v>
      </c>
      <c r="T81" s="386"/>
      <c r="U81" s="182" t="s">
        <v>634</v>
      </c>
      <c r="V81" s="166" t="s">
        <v>634</v>
      </c>
      <c r="W81" s="166" t="s">
        <v>634</v>
      </c>
      <c r="X81" s="182" t="e">
        <f t="shared" si="56"/>
        <v>#VALUE!</v>
      </c>
      <c r="Y81" s="386"/>
      <c r="Z81" s="182" t="s">
        <v>634</v>
      </c>
      <c r="AA81" s="166" t="s">
        <v>634</v>
      </c>
      <c r="AB81" s="166" t="s">
        <v>634</v>
      </c>
      <c r="AC81" s="182" t="e">
        <f t="shared" si="58"/>
        <v>#VALUE!</v>
      </c>
      <c r="AD81" s="386"/>
      <c r="AE81" s="182" t="s">
        <v>634</v>
      </c>
      <c r="AF81" s="166" t="s">
        <v>634</v>
      </c>
      <c r="AG81" s="166" t="s">
        <v>634</v>
      </c>
      <c r="AH81" s="182" t="e">
        <f t="shared" si="60"/>
        <v>#VALUE!</v>
      </c>
      <c r="AI81" s="386"/>
      <c r="AJ81" s="182" t="s">
        <v>634</v>
      </c>
      <c r="AK81" s="166" t="s">
        <v>634</v>
      </c>
      <c r="AL81" s="166" t="s">
        <v>634</v>
      </c>
      <c r="AM81" s="182" t="e">
        <f t="shared" si="62"/>
        <v>#VALUE!</v>
      </c>
      <c r="AN81" s="386"/>
      <c r="AO81" s="182" t="s">
        <v>634</v>
      </c>
      <c r="AP81" s="166" t="s">
        <v>634</v>
      </c>
      <c r="AQ81" s="166" t="s">
        <v>634</v>
      </c>
      <c r="AR81" s="182" t="e">
        <f t="shared" si="64"/>
        <v>#VALUE!</v>
      </c>
      <c r="AS81" s="386"/>
      <c r="AT81" s="182" t="s">
        <v>634</v>
      </c>
      <c r="AU81" s="166" t="s">
        <v>634</v>
      </c>
      <c r="AV81" s="166" t="s">
        <v>634</v>
      </c>
      <c r="AW81" s="182" t="e">
        <f t="shared" si="66"/>
        <v>#VALUE!</v>
      </c>
      <c r="AX81" s="386"/>
      <c r="AZ81" s="182" t="e">
        <f t="shared" si="68"/>
        <v>#N/A</v>
      </c>
      <c r="BA81" s="386"/>
    </row>
    <row r="82" spans="2:53" ht="15.75">
      <c r="B82" s="414" t="s">
        <v>163</v>
      </c>
      <c r="C82" s="415"/>
      <c r="D82" s="415"/>
      <c r="E82" s="415"/>
      <c r="F82" s="415"/>
      <c r="G82" s="415"/>
      <c r="H82" s="415"/>
      <c r="I82" s="186"/>
      <c r="J82" s="186"/>
      <c r="K82" s="186"/>
      <c r="L82" s="186"/>
      <c r="M82" s="185"/>
      <c r="N82" s="391" t="s">
        <v>156</v>
      </c>
      <c r="O82" s="391" t="s">
        <v>105</v>
      </c>
      <c r="P82" s="413">
        <f>P62+7</f>
        <v>46168</v>
      </c>
      <c r="Q82" s="395"/>
      <c r="R82" s="395"/>
      <c r="S82" s="395"/>
      <c r="T82" s="395"/>
      <c r="U82" s="410">
        <f>P82+1</f>
        <v>46169</v>
      </c>
      <c r="V82" s="411"/>
      <c r="W82" s="411"/>
      <c r="X82" s="411"/>
      <c r="Y82" s="412"/>
      <c r="Z82" s="410">
        <f>U82+1</f>
        <v>46170</v>
      </c>
      <c r="AA82" s="411"/>
      <c r="AB82" s="411"/>
      <c r="AC82" s="411"/>
      <c r="AD82" s="412"/>
      <c r="AE82" s="410">
        <f>Z82+1</f>
        <v>46171</v>
      </c>
      <c r="AF82" s="411"/>
      <c r="AG82" s="411"/>
      <c r="AH82" s="411"/>
      <c r="AI82" s="412"/>
      <c r="AJ82" s="410">
        <f>AE82+1</f>
        <v>46172</v>
      </c>
      <c r="AK82" s="411"/>
      <c r="AL82" s="411"/>
      <c r="AM82" s="411"/>
      <c r="AN82" s="412"/>
      <c r="AO82" s="410">
        <f>AJ82+1</f>
        <v>46173</v>
      </c>
      <c r="AP82" s="411"/>
      <c r="AQ82" s="411"/>
      <c r="AR82" s="411"/>
      <c r="AS82" s="412"/>
      <c r="AT82" s="410">
        <f>AO82+1</f>
        <v>46174</v>
      </c>
      <c r="AU82" s="411"/>
      <c r="AV82" s="411"/>
      <c r="AW82" s="411"/>
      <c r="AX82" s="412"/>
    </row>
    <row r="83" spans="2:53" ht="15.75">
      <c r="B83" s="416"/>
      <c r="C83" s="416"/>
      <c r="D83" s="416"/>
      <c r="E83" s="416"/>
      <c r="F83" s="416"/>
      <c r="G83" s="416"/>
      <c r="H83" s="416"/>
      <c r="I83" s="184"/>
      <c r="J83" s="184"/>
      <c r="K83" s="184"/>
      <c r="L83" s="184"/>
      <c r="M83" s="179"/>
      <c r="N83" s="393"/>
      <c r="O83" s="393"/>
      <c r="P83" s="413" t="s">
        <v>318</v>
      </c>
      <c r="Q83" s="395"/>
      <c r="R83" s="395"/>
      <c r="S83" s="395"/>
      <c r="T83" s="395"/>
      <c r="U83" s="413" t="s">
        <v>319</v>
      </c>
      <c r="V83" s="395"/>
      <c r="W83" s="395"/>
      <c r="X83" s="395"/>
      <c r="Y83" s="395"/>
      <c r="Z83" s="413" t="s">
        <v>320</v>
      </c>
      <c r="AA83" s="395"/>
      <c r="AB83" s="395"/>
      <c r="AC83" s="395"/>
      <c r="AD83" s="395"/>
      <c r="AE83" s="413" t="s">
        <v>321</v>
      </c>
      <c r="AF83" s="395"/>
      <c r="AG83" s="395"/>
      <c r="AH83" s="395"/>
      <c r="AI83" s="395"/>
      <c r="AJ83" s="413" t="s">
        <v>322</v>
      </c>
      <c r="AK83" s="395"/>
      <c r="AL83" s="395"/>
      <c r="AM83" s="395"/>
      <c r="AN83" s="395"/>
      <c r="AO83" s="413" t="s">
        <v>323</v>
      </c>
      <c r="AP83" s="395"/>
      <c r="AQ83" s="395"/>
      <c r="AR83" s="395"/>
      <c r="AS83" s="395"/>
      <c r="AT83" s="413" t="s">
        <v>324</v>
      </c>
      <c r="AU83" s="395"/>
      <c r="AV83" s="395"/>
      <c r="AW83" s="395"/>
      <c r="AX83" s="395"/>
    </row>
    <row r="84" spans="2:53">
      <c r="B84" s="389" t="s">
        <v>401</v>
      </c>
      <c r="C84" s="389" t="s">
        <v>386</v>
      </c>
      <c r="D84" s="389"/>
      <c r="E84" s="389" t="s">
        <v>377</v>
      </c>
      <c r="F84" s="389"/>
      <c r="G84" s="389"/>
      <c r="H84" s="417" t="s">
        <v>373</v>
      </c>
      <c r="I84" s="389" t="s">
        <v>378</v>
      </c>
      <c r="J84" s="389"/>
      <c r="K84" s="389"/>
      <c r="L84" s="417" t="s">
        <v>373</v>
      </c>
      <c r="M84" s="391" t="s">
        <v>374</v>
      </c>
      <c r="N84" s="389"/>
      <c r="O84" s="389" t="s">
        <v>379</v>
      </c>
      <c r="P84" s="404" t="s">
        <v>375</v>
      </c>
      <c r="Q84" s="405"/>
      <c r="R84" s="405"/>
      <c r="S84" s="406"/>
      <c r="T84" s="389" t="s">
        <v>373</v>
      </c>
      <c r="U84" s="404" t="s">
        <v>375</v>
      </c>
      <c r="V84" s="405"/>
      <c r="W84" s="405"/>
      <c r="X84" s="406"/>
      <c r="Y84" s="389" t="s">
        <v>373</v>
      </c>
      <c r="Z84" s="404" t="s">
        <v>375</v>
      </c>
      <c r="AA84" s="405"/>
      <c r="AB84" s="405"/>
      <c r="AC84" s="406"/>
      <c r="AD84" s="389" t="s">
        <v>373</v>
      </c>
      <c r="AE84" s="404" t="s">
        <v>375</v>
      </c>
      <c r="AF84" s="405"/>
      <c r="AG84" s="405"/>
      <c r="AH84" s="406"/>
      <c r="AI84" s="389" t="s">
        <v>373</v>
      </c>
      <c r="AJ84" s="404" t="s">
        <v>375</v>
      </c>
      <c r="AK84" s="405"/>
      <c r="AL84" s="405"/>
      <c r="AM84" s="406"/>
      <c r="AN84" s="389" t="s">
        <v>373</v>
      </c>
      <c r="AO84" s="404" t="s">
        <v>375</v>
      </c>
      <c r="AP84" s="405"/>
      <c r="AQ84" s="405"/>
      <c r="AR84" s="406"/>
      <c r="AS84" s="389" t="s">
        <v>373</v>
      </c>
      <c r="AT84" s="404" t="s">
        <v>375</v>
      </c>
      <c r="AU84" s="405"/>
      <c r="AV84" s="405"/>
      <c r="AW84" s="406"/>
      <c r="AX84" s="389" t="s">
        <v>373</v>
      </c>
      <c r="BA84" s="389" t="s">
        <v>373</v>
      </c>
    </row>
    <row r="85" spans="2:53">
      <c r="B85" s="389"/>
      <c r="C85" s="389"/>
      <c r="D85" s="389"/>
      <c r="E85" s="389" t="s">
        <v>380</v>
      </c>
      <c r="F85" s="389"/>
      <c r="G85" s="389"/>
      <c r="H85" s="418"/>
      <c r="I85" s="389" t="s">
        <v>380</v>
      </c>
      <c r="J85" s="389"/>
      <c r="K85" s="389"/>
      <c r="L85" s="418"/>
      <c r="M85" s="392"/>
      <c r="N85" s="389"/>
      <c r="O85" s="389"/>
      <c r="P85" s="404" t="s">
        <v>381</v>
      </c>
      <c r="Q85" s="405"/>
      <c r="R85" s="405"/>
      <c r="S85" s="406"/>
      <c r="T85" s="389"/>
      <c r="U85" s="404" t="s">
        <v>381</v>
      </c>
      <c r="V85" s="405"/>
      <c r="W85" s="405"/>
      <c r="X85" s="406"/>
      <c r="Y85" s="389"/>
      <c r="Z85" s="404" t="s">
        <v>381</v>
      </c>
      <c r="AA85" s="405"/>
      <c r="AB85" s="405"/>
      <c r="AC85" s="406"/>
      <c r="AD85" s="389"/>
      <c r="AE85" s="404" t="s">
        <v>381</v>
      </c>
      <c r="AF85" s="405"/>
      <c r="AG85" s="405"/>
      <c r="AH85" s="406"/>
      <c r="AI85" s="389"/>
      <c r="AJ85" s="404" t="s">
        <v>381</v>
      </c>
      <c r="AK85" s="405"/>
      <c r="AL85" s="405"/>
      <c r="AM85" s="406"/>
      <c r="AN85" s="389"/>
      <c r="AO85" s="404" t="s">
        <v>381</v>
      </c>
      <c r="AP85" s="405"/>
      <c r="AQ85" s="405"/>
      <c r="AR85" s="406"/>
      <c r="AS85" s="389"/>
      <c r="AT85" s="404" t="s">
        <v>381</v>
      </c>
      <c r="AU85" s="405"/>
      <c r="AV85" s="405"/>
      <c r="AW85" s="406"/>
      <c r="AX85" s="389"/>
      <c r="BA85" s="389"/>
    </row>
    <row r="86" spans="2:53">
      <c r="B86" s="389"/>
      <c r="C86" s="389"/>
      <c r="D86" s="389"/>
      <c r="E86" s="258" t="s">
        <v>382</v>
      </c>
      <c r="F86" s="258" t="s">
        <v>383</v>
      </c>
      <c r="G86" s="258" t="s">
        <v>384</v>
      </c>
      <c r="H86" s="419"/>
      <c r="I86" s="258" t="s">
        <v>382</v>
      </c>
      <c r="J86" s="258" t="s">
        <v>383</v>
      </c>
      <c r="K86" s="258" t="s">
        <v>384</v>
      </c>
      <c r="L86" s="419"/>
      <c r="M86" s="393"/>
      <c r="N86" s="389"/>
      <c r="O86" s="389"/>
      <c r="P86" s="258" t="s">
        <v>382</v>
      </c>
      <c r="Q86" s="258" t="s">
        <v>383</v>
      </c>
      <c r="R86" s="258" t="s">
        <v>384</v>
      </c>
      <c r="S86" s="258" t="s">
        <v>374</v>
      </c>
      <c r="T86" s="389"/>
      <c r="U86" s="258" t="s">
        <v>382</v>
      </c>
      <c r="V86" s="258" t="s">
        <v>383</v>
      </c>
      <c r="W86" s="258" t="s">
        <v>384</v>
      </c>
      <c r="X86" s="258" t="s">
        <v>374</v>
      </c>
      <c r="Y86" s="389"/>
      <c r="Z86" s="258" t="s">
        <v>382</v>
      </c>
      <c r="AA86" s="258" t="s">
        <v>383</v>
      </c>
      <c r="AB86" s="258" t="s">
        <v>384</v>
      </c>
      <c r="AC86" s="258" t="s">
        <v>374</v>
      </c>
      <c r="AD86" s="389"/>
      <c r="AE86" s="258" t="s">
        <v>382</v>
      </c>
      <c r="AF86" s="258" t="s">
        <v>383</v>
      </c>
      <c r="AG86" s="258" t="s">
        <v>384</v>
      </c>
      <c r="AH86" s="258" t="s">
        <v>374</v>
      </c>
      <c r="AI86" s="389"/>
      <c r="AJ86" s="258" t="s">
        <v>382</v>
      </c>
      <c r="AK86" s="258" t="s">
        <v>383</v>
      </c>
      <c r="AL86" s="258" t="s">
        <v>384</v>
      </c>
      <c r="AM86" s="258" t="s">
        <v>374</v>
      </c>
      <c r="AN86" s="389"/>
      <c r="AO86" s="258" t="s">
        <v>382</v>
      </c>
      <c r="AP86" s="258" t="s">
        <v>383</v>
      </c>
      <c r="AQ86" s="258" t="s">
        <v>384</v>
      </c>
      <c r="AR86" s="258" t="s">
        <v>374</v>
      </c>
      <c r="AS86" s="389"/>
      <c r="AT86" s="258" t="s">
        <v>382</v>
      </c>
      <c r="AU86" s="258" t="s">
        <v>383</v>
      </c>
      <c r="AV86" s="258" t="s">
        <v>384</v>
      </c>
      <c r="AW86" s="258" t="s">
        <v>374</v>
      </c>
      <c r="AX86" s="389"/>
      <c r="AZ86" s="258" t="s">
        <v>374</v>
      </c>
      <c r="BA86" s="389"/>
    </row>
    <row r="87" spans="2:53">
      <c r="B87" s="389" t="s">
        <v>416</v>
      </c>
      <c r="C87" s="182">
        <v>1</v>
      </c>
      <c r="D87" s="203" t="s">
        <v>656</v>
      </c>
      <c r="E87" s="166">
        <v>13</v>
      </c>
      <c r="F87" s="182">
        <v>1500</v>
      </c>
      <c r="G87" s="180">
        <v>116</v>
      </c>
      <c r="H87" s="401">
        <f>AVERAGE(G87:G101)</f>
        <v>116</v>
      </c>
      <c r="I87" s="166">
        <f t="shared" ref="I87:I100" si="73">IFERROR(AVERAGE(P87,U87,Z87,AE87,AJ87,AO87,AT87),"-")</f>
        <v>12.857142857142858</v>
      </c>
      <c r="J87" s="166">
        <f t="shared" ref="J87:J100" si="74">IFERROR(AVERAGE(Q87,V87,AA87,AF87,AK87,AP87,AU87),"-")</f>
        <v>1512.5915966386551</v>
      </c>
      <c r="K87" s="180">
        <f t="shared" ref="K87:K100" si="75">IFERROR(AVERAGE(R87,W87,AB87,AG87,AL87,AQ87,AV87),"-")</f>
        <v>117.71034259857785</v>
      </c>
      <c r="L87" s="401">
        <f>IFERROR(AVERAGE(K87:K101),"-")</f>
        <v>117.71034259857785</v>
      </c>
      <c r="M87" s="181">
        <f>RANK(K87, K$87:$K$101)</f>
        <v>1</v>
      </c>
      <c r="N87" s="389"/>
      <c r="O87" s="389"/>
      <c r="P87" s="182">
        <v>13</v>
      </c>
      <c r="Q87" s="166">
        <v>1504.7999999999993</v>
      </c>
      <c r="R87" s="166">
        <v>115.7538461538461</v>
      </c>
      <c r="S87" s="182">
        <f t="shared" ref="S87:S101" si="76">RANK(R87, R$87:R$101)</f>
        <v>1</v>
      </c>
      <c r="T87" s="390">
        <f t="shared" ref="T87" si="77">AVERAGE(R87:R101)</f>
        <v>115.7538461538461</v>
      </c>
      <c r="U87" s="182">
        <v>13</v>
      </c>
      <c r="V87" s="166">
        <v>1504.2000000000005</v>
      </c>
      <c r="W87" s="166">
        <v>115.70769230769234</v>
      </c>
      <c r="X87" s="182">
        <f t="shared" ref="X87:X101" si="78">RANK(W87, W$87:W$101)</f>
        <v>1</v>
      </c>
      <c r="Y87" s="390">
        <f t="shared" ref="Y87" si="79">AVERAGE(W87:W101)</f>
        <v>115.70769230769234</v>
      </c>
      <c r="Z87" s="182">
        <v>12</v>
      </c>
      <c r="AA87" s="166">
        <v>1482</v>
      </c>
      <c r="AB87" s="166">
        <v>123.5</v>
      </c>
      <c r="AC87" s="182">
        <f t="shared" ref="AC87:AC101" si="80">RANK(AB87, AB$87:AB$101)</f>
        <v>1</v>
      </c>
      <c r="AD87" s="390">
        <f t="shared" ref="AD87" si="81">AVERAGE(AB87:AB101)</f>
        <v>123.5</v>
      </c>
      <c r="AE87" s="182">
        <v>13</v>
      </c>
      <c r="AF87" s="166">
        <v>1580.9999999999993</v>
      </c>
      <c r="AG87" s="166">
        <v>121.61538461538456</v>
      </c>
      <c r="AH87" s="182">
        <f t="shared" ref="AH87:AH101" si="82">RANK(AG87, AG$87:AG$101)</f>
        <v>1</v>
      </c>
      <c r="AI87" s="390">
        <f t="shared" ref="AI87" si="83">AVERAGE(AG87:AG101)</f>
        <v>121.61538461538456</v>
      </c>
      <c r="AJ87" s="182">
        <v>13</v>
      </c>
      <c r="AK87" s="166">
        <v>1455.1999999999989</v>
      </c>
      <c r="AL87" s="166">
        <v>111.93846153846145</v>
      </c>
      <c r="AM87" s="182">
        <f t="shared" ref="AM87:AM101" si="84">RANK(AL87, AL$87:AL$101)</f>
        <v>1</v>
      </c>
      <c r="AN87" s="390">
        <f t="shared" ref="AN87" si="85">AVERAGE(AL87:AL101)</f>
        <v>111.93846153846145</v>
      </c>
      <c r="AO87" s="182">
        <v>13</v>
      </c>
      <c r="AP87" s="166">
        <v>1516.9411764705881</v>
      </c>
      <c r="AQ87" s="166">
        <v>116.68778280542985</v>
      </c>
      <c r="AR87" s="182">
        <f t="shared" ref="AR87:AR101" si="86">RANK(AQ87, AQ$87:AQ$101)</f>
        <v>1</v>
      </c>
      <c r="AS87" s="390">
        <f t="shared" ref="AS87" si="87">AVERAGE(AQ87:AQ101)</f>
        <v>116.68778280542985</v>
      </c>
      <c r="AT87" s="182">
        <v>13</v>
      </c>
      <c r="AU87" s="166">
        <v>1544</v>
      </c>
      <c r="AV87" s="166">
        <v>118.76923076923077</v>
      </c>
      <c r="AW87" s="182">
        <f t="shared" ref="AW87:AW101" si="88">RANK(AV87, AV$87:AV$101)</f>
        <v>1</v>
      </c>
      <c r="AX87" s="390">
        <f t="shared" ref="AX87" si="89">AVERAGE(AV87:AV101)</f>
        <v>118.76923076923077</v>
      </c>
      <c r="AZ87" s="182" t="e">
        <f t="shared" ref="AZ87:AZ101" si="90">RANK(AY87, AY$87:AY$101)</f>
        <v>#N/A</v>
      </c>
      <c r="BA87" s="390" t="e">
        <f t="shared" ref="BA87" si="91">AVERAGE(AY87:AY101)</f>
        <v>#DIV/0!</v>
      </c>
    </row>
    <row r="88" spans="2:53">
      <c r="B88" s="395"/>
      <c r="C88" s="182">
        <v>2</v>
      </c>
      <c r="D88" s="203"/>
      <c r="E88" s="166"/>
      <c r="F88" s="182"/>
      <c r="G88" s="180"/>
      <c r="H88" s="402"/>
      <c r="I88" s="166" t="str">
        <f t="shared" si="73"/>
        <v>-</v>
      </c>
      <c r="J88" s="166" t="str">
        <f t="shared" si="74"/>
        <v>-</v>
      </c>
      <c r="K88" s="180" t="str">
        <f t="shared" si="75"/>
        <v>-</v>
      </c>
      <c r="L88" s="402"/>
      <c r="M88" s="181" t="e">
        <f>RANK(K88, K$87:$K$101)</f>
        <v>#VALUE!</v>
      </c>
      <c r="N88" s="389"/>
      <c r="O88" s="389"/>
      <c r="P88" s="182"/>
      <c r="Q88" s="166"/>
      <c r="R88" s="166"/>
      <c r="S88" s="182" t="e">
        <f t="shared" si="76"/>
        <v>#N/A</v>
      </c>
      <c r="T88" s="390"/>
      <c r="U88" s="182"/>
      <c r="V88" s="166"/>
      <c r="W88" s="166"/>
      <c r="X88" s="182" t="e">
        <f t="shared" si="78"/>
        <v>#N/A</v>
      </c>
      <c r="Y88" s="390"/>
      <c r="Z88" s="182"/>
      <c r="AA88" s="166"/>
      <c r="AB88" s="166"/>
      <c r="AC88" s="182" t="e">
        <f t="shared" si="80"/>
        <v>#N/A</v>
      </c>
      <c r="AD88" s="390"/>
      <c r="AE88" s="182"/>
      <c r="AF88" s="166"/>
      <c r="AG88" s="166"/>
      <c r="AH88" s="182" t="e">
        <f t="shared" si="82"/>
        <v>#N/A</v>
      </c>
      <c r="AI88" s="390"/>
      <c r="AJ88" s="182"/>
      <c r="AK88" s="166"/>
      <c r="AL88" s="166"/>
      <c r="AM88" s="182" t="e">
        <f t="shared" si="84"/>
        <v>#N/A</v>
      </c>
      <c r="AN88" s="390"/>
      <c r="AO88" s="182"/>
      <c r="AP88" s="166"/>
      <c r="AQ88" s="166"/>
      <c r="AR88" s="182" t="e">
        <f t="shared" si="86"/>
        <v>#N/A</v>
      </c>
      <c r="AS88" s="390"/>
      <c r="AT88" s="182"/>
      <c r="AU88" s="166"/>
      <c r="AV88" s="166"/>
      <c r="AW88" s="182" t="e">
        <f t="shared" si="88"/>
        <v>#N/A</v>
      </c>
      <c r="AX88" s="390"/>
      <c r="AZ88" s="182" t="e">
        <f t="shared" si="90"/>
        <v>#N/A</v>
      </c>
      <c r="BA88" s="390"/>
    </row>
    <row r="89" spans="2:53">
      <c r="B89" s="395"/>
      <c r="C89" s="182">
        <v>3</v>
      </c>
      <c r="D89" s="203"/>
      <c r="E89" s="166"/>
      <c r="F89" s="182"/>
      <c r="G89" s="180"/>
      <c r="H89" s="402"/>
      <c r="I89" s="166" t="str">
        <f t="shared" si="73"/>
        <v>-</v>
      </c>
      <c r="J89" s="166" t="str">
        <f t="shared" si="74"/>
        <v>-</v>
      </c>
      <c r="K89" s="180" t="str">
        <f t="shared" si="75"/>
        <v>-</v>
      </c>
      <c r="L89" s="402"/>
      <c r="M89" s="181" t="e">
        <f>RANK(K89, K$87:$K$101)</f>
        <v>#VALUE!</v>
      </c>
      <c r="N89" s="389"/>
      <c r="O89" s="389"/>
      <c r="P89" s="182"/>
      <c r="Q89" s="166"/>
      <c r="R89" s="166"/>
      <c r="S89" s="182" t="e">
        <f t="shared" si="76"/>
        <v>#N/A</v>
      </c>
      <c r="T89" s="390"/>
      <c r="U89" s="182"/>
      <c r="V89" s="166"/>
      <c r="W89" s="166"/>
      <c r="X89" s="182" t="e">
        <f t="shared" si="78"/>
        <v>#N/A</v>
      </c>
      <c r="Y89" s="390"/>
      <c r="Z89" s="182"/>
      <c r="AA89" s="166"/>
      <c r="AB89" s="166"/>
      <c r="AC89" s="182" t="e">
        <f t="shared" si="80"/>
        <v>#N/A</v>
      </c>
      <c r="AD89" s="390"/>
      <c r="AE89" s="182"/>
      <c r="AF89" s="166"/>
      <c r="AG89" s="166"/>
      <c r="AH89" s="182" t="e">
        <f t="shared" si="82"/>
        <v>#N/A</v>
      </c>
      <c r="AI89" s="390"/>
      <c r="AJ89" s="182"/>
      <c r="AK89" s="166"/>
      <c r="AL89" s="166"/>
      <c r="AM89" s="182" t="e">
        <f t="shared" si="84"/>
        <v>#N/A</v>
      </c>
      <c r="AN89" s="390"/>
      <c r="AO89" s="182"/>
      <c r="AP89" s="166"/>
      <c r="AQ89" s="166"/>
      <c r="AR89" s="182" t="e">
        <f t="shared" si="86"/>
        <v>#N/A</v>
      </c>
      <c r="AS89" s="390"/>
      <c r="AT89" s="182"/>
      <c r="AU89" s="166"/>
      <c r="AV89" s="166"/>
      <c r="AW89" s="182" t="e">
        <f t="shared" si="88"/>
        <v>#N/A</v>
      </c>
      <c r="AX89" s="390"/>
      <c r="AZ89" s="182" t="e">
        <f t="shared" si="90"/>
        <v>#N/A</v>
      </c>
      <c r="BA89" s="390"/>
    </row>
    <row r="90" spans="2:53">
      <c r="B90" s="395"/>
      <c r="C90" s="182">
        <v>4</v>
      </c>
      <c r="D90" s="203"/>
      <c r="E90" s="166"/>
      <c r="F90" s="182"/>
      <c r="G90" s="180"/>
      <c r="H90" s="402"/>
      <c r="I90" s="166" t="str">
        <f t="shared" si="73"/>
        <v>-</v>
      </c>
      <c r="J90" s="166" t="str">
        <f t="shared" si="74"/>
        <v>-</v>
      </c>
      <c r="K90" s="180" t="str">
        <f t="shared" si="75"/>
        <v>-</v>
      </c>
      <c r="L90" s="402"/>
      <c r="M90" s="181" t="e">
        <f>RANK(K90, K$87:$K$101)</f>
        <v>#VALUE!</v>
      </c>
      <c r="N90" s="389"/>
      <c r="O90" s="389"/>
      <c r="P90" s="182"/>
      <c r="Q90" s="166"/>
      <c r="R90" s="166"/>
      <c r="S90" s="182" t="e">
        <f t="shared" si="76"/>
        <v>#N/A</v>
      </c>
      <c r="T90" s="390"/>
      <c r="U90" s="182"/>
      <c r="V90" s="166"/>
      <c r="W90" s="166"/>
      <c r="X90" s="182" t="e">
        <f t="shared" si="78"/>
        <v>#N/A</v>
      </c>
      <c r="Y90" s="390"/>
      <c r="Z90" s="182"/>
      <c r="AA90" s="166"/>
      <c r="AB90" s="166"/>
      <c r="AC90" s="182" t="e">
        <f t="shared" si="80"/>
        <v>#N/A</v>
      </c>
      <c r="AD90" s="390"/>
      <c r="AE90" s="182"/>
      <c r="AF90" s="166"/>
      <c r="AG90" s="166"/>
      <c r="AH90" s="182" t="e">
        <f t="shared" si="82"/>
        <v>#N/A</v>
      </c>
      <c r="AI90" s="390"/>
      <c r="AJ90" s="182"/>
      <c r="AK90" s="166"/>
      <c r="AL90" s="166"/>
      <c r="AM90" s="182" t="e">
        <f t="shared" si="84"/>
        <v>#N/A</v>
      </c>
      <c r="AN90" s="390"/>
      <c r="AO90" s="182"/>
      <c r="AP90" s="166"/>
      <c r="AQ90" s="166"/>
      <c r="AR90" s="182" t="e">
        <f t="shared" si="86"/>
        <v>#N/A</v>
      </c>
      <c r="AS90" s="390"/>
      <c r="AT90" s="182"/>
      <c r="AU90" s="166"/>
      <c r="AV90" s="166"/>
      <c r="AW90" s="182" t="e">
        <f t="shared" si="88"/>
        <v>#N/A</v>
      </c>
      <c r="AX90" s="390"/>
      <c r="AZ90" s="182" t="e">
        <f t="shared" si="90"/>
        <v>#N/A</v>
      </c>
      <c r="BA90" s="390"/>
    </row>
    <row r="91" spans="2:53">
      <c r="B91" s="395"/>
      <c r="C91" s="182">
        <v>5</v>
      </c>
      <c r="D91" s="203"/>
      <c r="E91" s="166"/>
      <c r="F91" s="182"/>
      <c r="G91" s="180"/>
      <c r="H91" s="402"/>
      <c r="I91" s="166" t="str">
        <f t="shared" si="73"/>
        <v>-</v>
      </c>
      <c r="J91" s="166" t="str">
        <f t="shared" si="74"/>
        <v>-</v>
      </c>
      <c r="K91" s="180" t="str">
        <f t="shared" si="75"/>
        <v>-</v>
      </c>
      <c r="L91" s="402"/>
      <c r="M91" s="181" t="e">
        <f>RANK(K91, K$87:$K$101)</f>
        <v>#VALUE!</v>
      </c>
      <c r="N91" s="389"/>
      <c r="O91" s="389"/>
      <c r="P91" s="182"/>
      <c r="Q91" s="166"/>
      <c r="R91" s="166"/>
      <c r="S91" s="182" t="e">
        <f t="shared" si="76"/>
        <v>#N/A</v>
      </c>
      <c r="T91" s="390"/>
      <c r="U91" s="182"/>
      <c r="V91" s="166"/>
      <c r="W91" s="166"/>
      <c r="X91" s="182" t="e">
        <f t="shared" si="78"/>
        <v>#N/A</v>
      </c>
      <c r="Y91" s="390"/>
      <c r="Z91" s="182"/>
      <c r="AA91" s="166"/>
      <c r="AB91" s="166"/>
      <c r="AC91" s="182" t="e">
        <f t="shared" si="80"/>
        <v>#N/A</v>
      </c>
      <c r="AD91" s="390"/>
      <c r="AE91" s="182"/>
      <c r="AF91" s="166"/>
      <c r="AG91" s="166"/>
      <c r="AH91" s="182" t="e">
        <f t="shared" si="82"/>
        <v>#N/A</v>
      </c>
      <c r="AI91" s="390"/>
      <c r="AJ91" s="182"/>
      <c r="AK91" s="166"/>
      <c r="AL91" s="166"/>
      <c r="AM91" s="182" t="e">
        <f t="shared" si="84"/>
        <v>#N/A</v>
      </c>
      <c r="AN91" s="390"/>
      <c r="AO91" s="182"/>
      <c r="AP91" s="166"/>
      <c r="AQ91" s="166"/>
      <c r="AR91" s="182" t="e">
        <f t="shared" si="86"/>
        <v>#N/A</v>
      </c>
      <c r="AS91" s="390"/>
      <c r="AT91" s="182"/>
      <c r="AU91" s="166"/>
      <c r="AV91" s="166"/>
      <c r="AW91" s="182" t="e">
        <f t="shared" si="88"/>
        <v>#N/A</v>
      </c>
      <c r="AX91" s="390"/>
      <c r="AZ91" s="182" t="e">
        <f t="shared" si="90"/>
        <v>#N/A</v>
      </c>
      <c r="BA91" s="390"/>
    </row>
    <row r="92" spans="2:53">
      <c r="B92" s="395"/>
      <c r="C92" s="182">
        <v>6</v>
      </c>
      <c r="D92" s="203"/>
      <c r="E92" s="166"/>
      <c r="F92" s="182"/>
      <c r="G92" s="180"/>
      <c r="H92" s="402"/>
      <c r="I92" s="166" t="str">
        <f t="shared" si="73"/>
        <v>-</v>
      </c>
      <c r="J92" s="166" t="str">
        <f t="shared" si="74"/>
        <v>-</v>
      </c>
      <c r="K92" s="180" t="str">
        <f t="shared" si="75"/>
        <v>-</v>
      </c>
      <c r="L92" s="402"/>
      <c r="M92" s="181" t="e">
        <f>RANK(K92, K$87:$K$101)</f>
        <v>#VALUE!</v>
      </c>
      <c r="N92" s="389"/>
      <c r="O92" s="389"/>
      <c r="P92" s="182"/>
      <c r="Q92" s="166"/>
      <c r="R92" s="166"/>
      <c r="S92" s="182" t="e">
        <f t="shared" si="76"/>
        <v>#N/A</v>
      </c>
      <c r="T92" s="390"/>
      <c r="U92" s="182"/>
      <c r="V92" s="166"/>
      <c r="W92" s="166"/>
      <c r="X92" s="182" t="e">
        <f t="shared" si="78"/>
        <v>#N/A</v>
      </c>
      <c r="Y92" s="390"/>
      <c r="Z92" s="182"/>
      <c r="AA92" s="166"/>
      <c r="AB92" s="166"/>
      <c r="AC92" s="182" t="e">
        <f t="shared" si="80"/>
        <v>#N/A</v>
      </c>
      <c r="AD92" s="390"/>
      <c r="AE92" s="182"/>
      <c r="AF92" s="166"/>
      <c r="AG92" s="166"/>
      <c r="AH92" s="182" t="e">
        <f t="shared" si="82"/>
        <v>#N/A</v>
      </c>
      <c r="AI92" s="390"/>
      <c r="AJ92" s="182"/>
      <c r="AK92" s="166"/>
      <c r="AL92" s="166"/>
      <c r="AM92" s="182" t="e">
        <f t="shared" si="84"/>
        <v>#N/A</v>
      </c>
      <c r="AN92" s="390"/>
      <c r="AO92" s="182"/>
      <c r="AP92" s="166"/>
      <c r="AQ92" s="166"/>
      <c r="AR92" s="182" t="e">
        <f t="shared" si="86"/>
        <v>#N/A</v>
      </c>
      <c r="AS92" s="390"/>
      <c r="AT92" s="182"/>
      <c r="AU92" s="166"/>
      <c r="AV92" s="166"/>
      <c r="AW92" s="182" t="e">
        <f t="shared" si="88"/>
        <v>#N/A</v>
      </c>
      <c r="AX92" s="390"/>
      <c r="AZ92" s="182" t="e">
        <f t="shared" si="90"/>
        <v>#N/A</v>
      </c>
      <c r="BA92" s="390"/>
    </row>
    <row r="93" spans="2:53">
      <c r="B93" s="395"/>
      <c r="C93" s="182">
        <v>7</v>
      </c>
      <c r="D93" s="203"/>
      <c r="E93" s="166"/>
      <c r="F93" s="182"/>
      <c r="G93" s="180"/>
      <c r="H93" s="402"/>
      <c r="I93" s="166" t="str">
        <f t="shared" si="73"/>
        <v>-</v>
      </c>
      <c r="J93" s="166" t="str">
        <f t="shared" si="74"/>
        <v>-</v>
      </c>
      <c r="K93" s="180" t="str">
        <f t="shared" si="75"/>
        <v>-</v>
      </c>
      <c r="L93" s="402"/>
      <c r="M93" s="181" t="e">
        <f>RANK(K93, K$87:$K$101)</f>
        <v>#VALUE!</v>
      </c>
      <c r="N93" s="389"/>
      <c r="O93" s="389"/>
      <c r="P93" s="182"/>
      <c r="Q93" s="166"/>
      <c r="R93" s="166"/>
      <c r="S93" s="182" t="e">
        <f t="shared" si="76"/>
        <v>#N/A</v>
      </c>
      <c r="T93" s="390"/>
      <c r="U93" s="182"/>
      <c r="V93" s="166"/>
      <c r="W93" s="166"/>
      <c r="X93" s="182" t="e">
        <f t="shared" si="78"/>
        <v>#N/A</v>
      </c>
      <c r="Y93" s="390"/>
      <c r="Z93" s="182"/>
      <c r="AA93" s="166"/>
      <c r="AB93" s="166"/>
      <c r="AC93" s="182" t="e">
        <f t="shared" si="80"/>
        <v>#N/A</v>
      </c>
      <c r="AD93" s="390"/>
      <c r="AE93" s="182"/>
      <c r="AF93" s="166"/>
      <c r="AG93" s="166"/>
      <c r="AH93" s="182" t="e">
        <f t="shared" si="82"/>
        <v>#N/A</v>
      </c>
      <c r="AI93" s="390"/>
      <c r="AJ93" s="182"/>
      <c r="AK93" s="166"/>
      <c r="AL93" s="166"/>
      <c r="AM93" s="182" t="e">
        <f t="shared" si="84"/>
        <v>#N/A</v>
      </c>
      <c r="AN93" s="390"/>
      <c r="AO93" s="182"/>
      <c r="AP93" s="166"/>
      <c r="AQ93" s="166"/>
      <c r="AR93" s="182" t="e">
        <f t="shared" si="86"/>
        <v>#N/A</v>
      </c>
      <c r="AS93" s="390"/>
      <c r="AT93" s="182"/>
      <c r="AU93" s="166"/>
      <c r="AV93" s="166"/>
      <c r="AW93" s="182" t="e">
        <f t="shared" si="88"/>
        <v>#N/A</v>
      </c>
      <c r="AX93" s="390"/>
      <c r="AZ93" s="182" t="e">
        <f t="shared" si="90"/>
        <v>#N/A</v>
      </c>
      <c r="BA93" s="390"/>
    </row>
    <row r="94" spans="2:53">
      <c r="B94" s="395"/>
      <c r="C94" s="182">
        <v>8</v>
      </c>
      <c r="D94" s="203"/>
      <c r="E94" s="166"/>
      <c r="F94" s="182"/>
      <c r="G94" s="180"/>
      <c r="H94" s="402"/>
      <c r="I94" s="166" t="str">
        <f t="shared" si="73"/>
        <v>-</v>
      </c>
      <c r="J94" s="166" t="str">
        <f t="shared" si="74"/>
        <v>-</v>
      </c>
      <c r="K94" s="180" t="str">
        <f t="shared" si="75"/>
        <v>-</v>
      </c>
      <c r="L94" s="402"/>
      <c r="M94" s="181" t="e">
        <f>RANK(K94, K$87:$K$101)</f>
        <v>#VALUE!</v>
      </c>
      <c r="N94" s="389"/>
      <c r="O94" s="389"/>
      <c r="P94" s="182"/>
      <c r="Q94" s="166"/>
      <c r="R94" s="166"/>
      <c r="S94" s="182" t="e">
        <f t="shared" si="76"/>
        <v>#N/A</v>
      </c>
      <c r="T94" s="390"/>
      <c r="U94" s="182"/>
      <c r="V94" s="166"/>
      <c r="W94" s="166"/>
      <c r="X94" s="182" t="e">
        <f t="shared" si="78"/>
        <v>#N/A</v>
      </c>
      <c r="Y94" s="390"/>
      <c r="Z94" s="182"/>
      <c r="AA94" s="166"/>
      <c r="AB94" s="166"/>
      <c r="AC94" s="182" t="e">
        <f t="shared" si="80"/>
        <v>#N/A</v>
      </c>
      <c r="AD94" s="390"/>
      <c r="AE94" s="182"/>
      <c r="AF94" s="166"/>
      <c r="AG94" s="166"/>
      <c r="AH94" s="182" t="e">
        <f t="shared" si="82"/>
        <v>#N/A</v>
      </c>
      <c r="AI94" s="390"/>
      <c r="AJ94" s="182"/>
      <c r="AK94" s="166"/>
      <c r="AL94" s="166"/>
      <c r="AM94" s="182" t="e">
        <f t="shared" si="84"/>
        <v>#N/A</v>
      </c>
      <c r="AN94" s="390"/>
      <c r="AO94" s="182"/>
      <c r="AP94" s="166"/>
      <c r="AQ94" s="166"/>
      <c r="AR94" s="182" t="e">
        <f t="shared" si="86"/>
        <v>#N/A</v>
      </c>
      <c r="AS94" s="390"/>
      <c r="AT94" s="182"/>
      <c r="AU94" s="166"/>
      <c r="AV94" s="166"/>
      <c r="AW94" s="182" t="e">
        <f t="shared" si="88"/>
        <v>#N/A</v>
      </c>
      <c r="AX94" s="390"/>
      <c r="AZ94" s="182" t="e">
        <f t="shared" si="90"/>
        <v>#N/A</v>
      </c>
      <c r="BA94" s="390"/>
    </row>
    <row r="95" spans="2:53">
      <c r="B95" s="395"/>
      <c r="C95" s="182">
        <v>9</v>
      </c>
      <c r="D95" s="203"/>
      <c r="E95" s="166"/>
      <c r="F95" s="182"/>
      <c r="G95" s="180"/>
      <c r="H95" s="402"/>
      <c r="I95" s="166" t="str">
        <f t="shared" si="73"/>
        <v>-</v>
      </c>
      <c r="J95" s="166" t="str">
        <f t="shared" si="74"/>
        <v>-</v>
      </c>
      <c r="K95" s="180" t="str">
        <f t="shared" si="75"/>
        <v>-</v>
      </c>
      <c r="L95" s="402"/>
      <c r="M95" s="181" t="e">
        <f>RANK(K95, K$87:$K$101)</f>
        <v>#VALUE!</v>
      </c>
      <c r="N95" s="389"/>
      <c r="O95" s="389"/>
      <c r="P95" s="182"/>
      <c r="Q95" s="166"/>
      <c r="R95" s="166"/>
      <c r="S95" s="182" t="e">
        <f t="shared" si="76"/>
        <v>#N/A</v>
      </c>
      <c r="T95" s="390"/>
      <c r="U95" s="182"/>
      <c r="V95" s="166"/>
      <c r="W95" s="166"/>
      <c r="X95" s="182" t="e">
        <f t="shared" si="78"/>
        <v>#N/A</v>
      </c>
      <c r="Y95" s="390"/>
      <c r="Z95" s="182"/>
      <c r="AA95" s="166"/>
      <c r="AB95" s="166"/>
      <c r="AC95" s="182" t="e">
        <f t="shared" si="80"/>
        <v>#N/A</v>
      </c>
      <c r="AD95" s="390"/>
      <c r="AE95" s="182"/>
      <c r="AF95" s="166"/>
      <c r="AG95" s="166"/>
      <c r="AH95" s="182" t="e">
        <f t="shared" si="82"/>
        <v>#N/A</v>
      </c>
      <c r="AI95" s="390"/>
      <c r="AJ95" s="182"/>
      <c r="AK95" s="166"/>
      <c r="AL95" s="166"/>
      <c r="AM95" s="182" t="e">
        <f t="shared" si="84"/>
        <v>#N/A</v>
      </c>
      <c r="AN95" s="390"/>
      <c r="AO95" s="182"/>
      <c r="AP95" s="166"/>
      <c r="AQ95" s="166"/>
      <c r="AR95" s="182" t="e">
        <f t="shared" si="86"/>
        <v>#N/A</v>
      </c>
      <c r="AS95" s="390"/>
      <c r="AT95" s="182"/>
      <c r="AU95" s="166"/>
      <c r="AV95" s="166"/>
      <c r="AW95" s="182" t="e">
        <f t="shared" si="88"/>
        <v>#N/A</v>
      </c>
      <c r="AX95" s="390"/>
      <c r="AZ95" s="182" t="e">
        <f t="shared" si="90"/>
        <v>#N/A</v>
      </c>
      <c r="BA95" s="390"/>
    </row>
    <row r="96" spans="2:53">
      <c r="B96" s="395"/>
      <c r="C96" s="182">
        <v>10</v>
      </c>
      <c r="D96" s="203"/>
      <c r="E96" s="166"/>
      <c r="F96" s="182"/>
      <c r="G96" s="180"/>
      <c r="H96" s="402"/>
      <c r="I96" s="166" t="str">
        <f t="shared" si="73"/>
        <v>-</v>
      </c>
      <c r="J96" s="166" t="str">
        <f t="shared" si="74"/>
        <v>-</v>
      </c>
      <c r="K96" s="180" t="str">
        <f t="shared" si="75"/>
        <v>-</v>
      </c>
      <c r="L96" s="402"/>
      <c r="M96" s="181" t="e">
        <f>RANK(K96, K$87:$K$101)</f>
        <v>#VALUE!</v>
      </c>
      <c r="N96" s="389"/>
      <c r="O96" s="389"/>
      <c r="P96" s="182"/>
      <c r="Q96" s="166"/>
      <c r="R96" s="166"/>
      <c r="S96" s="182" t="e">
        <f t="shared" si="76"/>
        <v>#N/A</v>
      </c>
      <c r="T96" s="390"/>
      <c r="U96" s="182"/>
      <c r="V96" s="166"/>
      <c r="W96" s="166"/>
      <c r="X96" s="182" t="e">
        <f t="shared" si="78"/>
        <v>#N/A</v>
      </c>
      <c r="Y96" s="390"/>
      <c r="Z96" s="182"/>
      <c r="AA96" s="166"/>
      <c r="AB96" s="166"/>
      <c r="AC96" s="182" t="e">
        <f t="shared" si="80"/>
        <v>#N/A</v>
      </c>
      <c r="AD96" s="390"/>
      <c r="AE96" s="182"/>
      <c r="AF96" s="166"/>
      <c r="AG96" s="166"/>
      <c r="AH96" s="182" t="e">
        <f t="shared" si="82"/>
        <v>#N/A</v>
      </c>
      <c r="AI96" s="390"/>
      <c r="AJ96" s="182"/>
      <c r="AK96" s="166"/>
      <c r="AL96" s="166"/>
      <c r="AM96" s="182" t="e">
        <f t="shared" si="84"/>
        <v>#N/A</v>
      </c>
      <c r="AN96" s="390"/>
      <c r="AO96" s="182"/>
      <c r="AP96" s="166"/>
      <c r="AQ96" s="166"/>
      <c r="AR96" s="182" t="e">
        <f t="shared" si="86"/>
        <v>#N/A</v>
      </c>
      <c r="AS96" s="390"/>
      <c r="AT96" s="182"/>
      <c r="AU96" s="166"/>
      <c r="AV96" s="166"/>
      <c r="AW96" s="182" t="e">
        <f t="shared" si="88"/>
        <v>#N/A</v>
      </c>
      <c r="AX96" s="390"/>
      <c r="AZ96" s="182" t="e">
        <f t="shared" si="90"/>
        <v>#N/A</v>
      </c>
      <c r="BA96" s="390"/>
    </row>
    <row r="97" spans="2:53">
      <c r="B97" s="395"/>
      <c r="C97" s="182">
        <v>11</v>
      </c>
      <c r="D97" s="203"/>
      <c r="E97" s="166"/>
      <c r="F97" s="182"/>
      <c r="G97" s="180"/>
      <c r="H97" s="402"/>
      <c r="I97" s="166" t="str">
        <f t="shared" si="73"/>
        <v>-</v>
      </c>
      <c r="J97" s="166" t="str">
        <f t="shared" si="74"/>
        <v>-</v>
      </c>
      <c r="K97" s="180" t="str">
        <f t="shared" si="75"/>
        <v>-</v>
      </c>
      <c r="L97" s="402"/>
      <c r="M97" s="181" t="e">
        <f>RANK(K97, K$87:$K$101)</f>
        <v>#VALUE!</v>
      </c>
      <c r="N97" s="389"/>
      <c r="O97" s="389"/>
      <c r="P97" s="182"/>
      <c r="Q97" s="166"/>
      <c r="R97" s="166"/>
      <c r="S97" s="182" t="e">
        <f t="shared" si="76"/>
        <v>#N/A</v>
      </c>
      <c r="T97" s="390"/>
      <c r="U97" s="182"/>
      <c r="V97" s="166"/>
      <c r="W97" s="166"/>
      <c r="X97" s="182" t="e">
        <f t="shared" si="78"/>
        <v>#N/A</v>
      </c>
      <c r="Y97" s="390"/>
      <c r="Z97" s="182"/>
      <c r="AA97" s="166"/>
      <c r="AB97" s="166"/>
      <c r="AC97" s="182" t="e">
        <f t="shared" si="80"/>
        <v>#N/A</v>
      </c>
      <c r="AD97" s="390"/>
      <c r="AE97" s="182"/>
      <c r="AF97" s="166"/>
      <c r="AG97" s="166"/>
      <c r="AH97" s="182" t="e">
        <f t="shared" si="82"/>
        <v>#N/A</v>
      </c>
      <c r="AI97" s="390"/>
      <c r="AJ97" s="182"/>
      <c r="AK97" s="166"/>
      <c r="AL97" s="166"/>
      <c r="AM97" s="182" t="e">
        <f t="shared" si="84"/>
        <v>#N/A</v>
      </c>
      <c r="AN97" s="390"/>
      <c r="AO97" s="182"/>
      <c r="AP97" s="166"/>
      <c r="AQ97" s="166"/>
      <c r="AR97" s="182" t="e">
        <f t="shared" si="86"/>
        <v>#N/A</v>
      </c>
      <c r="AS97" s="390"/>
      <c r="AT97" s="182"/>
      <c r="AU97" s="166"/>
      <c r="AV97" s="166"/>
      <c r="AW97" s="182" t="e">
        <f t="shared" si="88"/>
        <v>#N/A</v>
      </c>
      <c r="AX97" s="390"/>
      <c r="AZ97" s="182" t="e">
        <f t="shared" si="90"/>
        <v>#N/A</v>
      </c>
      <c r="BA97" s="390"/>
    </row>
    <row r="98" spans="2:53">
      <c r="B98" s="395"/>
      <c r="C98" s="182">
        <v>12</v>
      </c>
      <c r="D98" s="203"/>
      <c r="E98" s="166"/>
      <c r="F98" s="182"/>
      <c r="G98" s="180"/>
      <c r="H98" s="402"/>
      <c r="I98" s="166" t="str">
        <f t="shared" si="73"/>
        <v>-</v>
      </c>
      <c r="J98" s="166" t="str">
        <f t="shared" si="74"/>
        <v>-</v>
      </c>
      <c r="K98" s="180" t="str">
        <f t="shared" si="75"/>
        <v>-</v>
      </c>
      <c r="L98" s="402"/>
      <c r="M98" s="181" t="e">
        <f>RANK(K98, K$87:$K$101)</f>
        <v>#VALUE!</v>
      </c>
      <c r="N98" s="389"/>
      <c r="O98" s="389"/>
      <c r="P98" s="182"/>
      <c r="Q98" s="166"/>
      <c r="R98" s="166"/>
      <c r="S98" s="182" t="e">
        <f t="shared" si="76"/>
        <v>#N/A</v>
      </c>
      <c r="T98" s="390"/>
      <c r="U98" s="182"/>
      <c r="V98" s="166"/>
      <c r="W98" s="166"/>
      <c r="X98" s="182" t="e">
        <f t="shared" si="78"/>
        <v>#N/A</v>
      </c>
      <c r="Y98" s="390"/>
      <c r="Z98" s="182"/>
      <c r="AA98" s="166"/>
      <c r="AB98" s="166"/>
      <c r="AC98" s="182" t="e">
        <f t="shared" si="80"/>
        <v>#N/A</v>
      </c>
      <c r="AD98" s="390"/>
      <c r="AE98" s="182"/>
      <c r="AF98" s="166"/>
      <c r="AG98" s="166"/>
      <c r="AH98" s="182" t="e">
        <f t="shared" si="82"/>
        <v>#N/A</v>
      </c>
      <c r="AI98" s="390"/>
      <c r="AJ98" s="182"/>
      <c r="AK98" s="166"/>
      <c r="AL98" s="166"/>
      <c r="AM98" s="182" t="e">
        <f t="shared" si="84"/>
        <v>#N/A</v>
      </c>
      <c r="AN98" s="390"/>
      <c r="AO98" s="182"/>
      <c r="AP98" s="166"/>
      <c r="AQ98" s="166"/>
      <c r="AR98" s="182" t="e">
        <f t="shared" si="86"/>
        <v>#N/A</v>
      </c>
      <c r="AS98" s="390"/>
      <c r="AT98" s="182"/>
      <c r="AU98" s="166"/>
      <c r="AV98" s="166"/>
      <c r="AW98" s="182" t="e">
        <f t="shared" si="88"/>
        <v>#N/A</v>
      </c>
      <c r="AX98" s="390"/>
      <c r="AZ98" s="182" t="e">
        <f t="shared" si="90"/>
        <v>#N/A</v>
      </c>
      <c r="BA98" s="390"/>
    </row>
    <row r="99" spans="2:53">
      <c r="B99" s="395"/>
      <c r="C99" s="182">
        <v>13</v>
      </c>
      <c r="D99" s="203"/>
      <c r="E99" s="166"/>
      <c r="F99" s="182"/>
      <c r="G99" s="180"/>
      <c r="H99" s="402"/>
      <c r="I99" s="166" t="str">
        <f t="shared" si="73"/>
        <v>-</v>
      </c>
      <c r="J99" s="166" t="str">
        <f t="shared" si="74"/>
        <v>-</v>
      </c>
      <c r="K99" s="180" t="str">
        <f t="shared" si="75"/>
        <v>-</v>
      </c>
      <c r="L99" s="402"/>
      <c r="M99" s="181" t="e">
        <f>RANK(K99, K$87:$K$101)</f>
        <v>#VALUE!</v>
      </c>
      <c r="N99" s="389"/>
      <c r="O99" s="389"/>
      <c r="P99" s="182"/>
      <c r="Q99" s="166"/>
      <c r="R99" s="166"/>
      <c r="S99" s="182" t="e">
        <f t="shared" si="76"/>
        <v>#N/A</v>
      </c>
      <c r="T99" s="390"/>
      <c r="U99" s="182"/>
      <c r="V99" s="166"/>
      <c r="W99" s="166"/>
      <c r="X99" s="182" t="e">
        <f t="shared" si="78"/>
        <v>#N/A</v>
      </c>
      <c r="Y99" s="390"/>
      <c r="Z99" s="182"/>
      <c r="AA99" s="166"/>
      <c r="AB99" s="166"/>
      <c r="AC99" s="182" t="e">
        <f t="shared" si="80"/>
        <v>#N/A</v>
      </c>
      <c r="AD99" s="390"/>
      <c r="AE99" s="182"/>
      <c r="AF99" s="166"/>
      <c r="AG99" s="166"/>
      <c r="AH99" s="182" t="e">
        <f t="shared" si="82"/>
        <v>#N/A</v>
      </c>
      <c r="AI99" s="390"/>
      <c r="AJ99" s="182"/>
      <c r="AK99" s="166"/>
      <c r="AL99" s="166"/>
      <c r="AM99" s="182" t="e">
        <f t="shared" si="84"/>
        <v>#N/A</v>
      </c>
      <c r="AN99" s="390"/>
      <c r="AO99" s="182"/>
      <c r="AP99" s="166"/>
      <c r="AQ99" s="166"/>
      <c r="AR99" s="182" t="e">
        <f t="shared" si="86"/>
        <v>#N/A</v>
      </c>
      <c r="AS99" s="390"/>
      <c r="AT99" s="182"/>
      <c r="AU99" s="166"/>
      <c r="AV99" s="166"/>
      <c r="AW99" s="182" t="e">
        <f t="shared" si="88"/>
        <v>#N/A</v>
      </c>
      <c r="AX99" s="390"/>
      <c r="AZ99" s="182" t="e">
        <f t="shared" si="90"/>
        <v>#N/A</v>
      </c>
      <c r="BA99" s="390"/>
    </row>
    <row r="100" spans="2:53">
      <c r="B100" s="395"/>
      <c r="C100" s="182">
        <v>14</v>
      </c>
      <c r="D100" s="203"/>
      <c r="E100" s="166"/>
      <c r="F100" s="182"/>
      <c r="G100" s="180"/>
      <c r="H100" s="402"/>
      <c r="I100" s="166" t="str">
        <f t="shared" si="73"/>
        <v>-</v>
      </c>
      <c r="J100" s="166" t="str">
        <f t="shared" si="74"/>
        <v>-</v>
      </c>
      <c r="K100" s="180" t="str">
        <f t="shared" si="75"/>
        <v>-</v>
      </c>
      <c r="L100" s="402"/>
      <c r="M100" s="181" t="e">
        <f>RANK(K100, K$87:$K$101)</f>
        <v>#VALUE!</v>
      </c>
      <c r="N100" s="389"/>
      <c r="O100" s="389"/>
      <c r="P100" s="182"/>
      <c r="Q100" s="166"/>
      <c r="R100" s="166"/>
      <c r="S100" s="182" t="e">
        <f t="shared" si="76"/>
        <v>#N/A</v>
      </c>
      <c r="T100" s="390"/>
      <c r="U100" s="182"/>
      <c r="V100" s="166"/>
      <c r="W100" s="166"/>
      <c r="X100" s="182" t="e">
        <f t="shared" si="78"/>
        <v>#N/A</v>
      </c>
      <c r="Y100" s="390"/>
      <c r="Z100" s="182"/>
      <c r="AA100" s="166"/>
      <c r="AB100" s="166"/>
      <c r="AC100" s="182" t="e">
        <f t="shared" si="80"/>
        <v>#N/A</v>
      </c>
      <c r="AD100" s="390"/>
      <c r="AE100" s="182"/>
      <c r="AF100" s="166"/>
      <c r="AG100" s="166"/>
      <c r="AH100" s="182" t="e">
        <f t="shared" si="82"/>
        <v>#N/A</v>
      </c>
      <c r="AI100" s="390"/>
      <c r="AJ100" s="182"/>
      <c r="AK100" s="166"/>
      <c r="AL100" s="166"/>
      <c r="AM100" s="182" t="e">
        <f t="shared" si="84"/>
        <v>#N/A</v>
      </c>
      <c r="AN100" s="390"/>
      <c r="AO100" s="182"/>
      <c r="AP100" s="166"/>
      <c r="AQ100" s="166"/>
      <c r="AR100" s="182" t="e">
        <f t="shared" si="86"/>
        <v>#N/A</v>
      </c>
      <c r="AS100" s="390"/>
      <c r="AT100" s="182"/>
      <c r="AU100" s="166"/>
      <c r="AV100" s="166"/>
      <c r="AW100" s="182" t="e">
        <f t="shared" si="88"/>
        <v>#N/A</v>
      </c>
      <c r="AX100" s="390"/>
      <c r="AZ100" s="182" t="e">
        <f t="shared" si="90"/>
        <v>#N/A</v>
      </c>
      <c r="BA100" s="390"/>
    </row>
    <row r="101" spans="2:53">
      <c r="B101" s="395"/>
      <c r="C101" s="182">
        <v>15</v>
      </c>
      <c r="D101" s="203"/>
      <c r="E101" s="166"/>
      <c r="F101" s="182"/>
      <c r="G101" s="180"/>
      <c r="H101" s="403"/>
      <c r="I101" s="182"/>
      <c r="J101" s="182"/>
      <c r="K101" s="182"/>
      <c r="L101" s="403"/>
      <c r="M101" s="166" t="e">
        <f>RANK(K101, K$87:$K$101)</f>
        <v>#N/A</v>
      </c>
      <c r="N101" s="389"/>
      <c r="O101" s="389"/>
      <c r="P101" s="182"/>
      <c r="Q101" s="166"/>
      <c r="R101" s="166"/>
      <c r="S101" s="182" t="e">
        <f t="shared" si="76"/>
        <v>#N/A</v>
      </c>
      <c r="T101" s="390"/>
      <c r="U101" s="182"/>
      <c r="V101" s="166"/>
      <c r="W101" s="166"/>
      <c r="X101" s="182" t="e">
        <f t="shared" si="78"/>
        <v>#N/A</v>
      </c>
      <c r="Y101" s="390"/>
      <c r="Z101" s="182"/>
      <c r="AA101" s="166"/>
      <c r="AB101" s="166"/>
      <c r="AC101" s="182" t="e">
        <f t="shared" si="80"/>
        <v>#N/A</v>
      </c>
      <c r="AD101" s="390"/>
      <c r="AE101" s="182"/>
      <c r="AF101" s="166"/>
      <c r="AG101" s="166"/>
      <c r="AH101" s="182" t="e">
        <f t="shared" si="82"/>
        <v>#N/A</v>
      </c>
      <c r="AI101" s="390"/>
      <c r="AJ101" s="182"/>
      <c r="AK101" s="166"/>
      <c r="AL101" s="166"/>
      <c r="AM101" s="182" t="e">
        <f t="shared" si="84"/>
        <v>#N/A</v>
      </c>
      <c r="AN101" s="390"/>
      <c r="AO101" s="182"/>
      <c r="AP101" s="166"/>
      <c r="AQ101" s="166"/>
      <c r="AR101" s="182" t="e">
        <f t="shared" si="86"/>
        <v>#N/A</v>
      </c>
      <c r="AS101" s="390"/>
      <c r="AT101" s="182"/>
      <c r="AU101" s="166"/>
      <c r="AV101" s="166"/>
      <c r="AW101" s="182" t="e">
        <f t="shared" si="88"/>
        <v>#N/A</v>
      </c>
      <c r="AX101" s="390"/>
      <c r="AZ101" s="182" t="e">
        <f t="shared" si="90"/>
        <v>#N/A</v>
      </c>
      <c r="BA101" s="390"/>
    </row>
    <row r="102" spans="2:53" ht="15.75">
      <c r="B102" s="414" t="s">
        <v>163</v>
      </c>
      <c r="C102" s="415"/>
      <c r="D102" s="415"/>
      <c r="E102" s="415"/>
      <c r="F102" s="415"/>
      <c r="G102" s="415"/>
      <c r="H102" s="415"/>
      <c r="I102" s="186"/>
      <c r="J102" s="186"/>
      <c r="K102" s="186"/>
      <c r="L102" s="186"/>
      <c r="M102" s="185"/>
      <c r="N102" s="391" t="s">
        <v>156</v>
      </c>
      <c r="O102" s="391" t="s">
        <v>105</v>
      </c>
      <c r="P102" s="413">
        <f>P82+7</f>
        <v>46175</v>
      </c>
      <c r="Q102" s="395"/>
      <c r="R102" s="395"/>
      <c r="S102" s="395"/>
      <c r="T102" s="395"/>
      <c r="U102" s="410">
        <f>P102+1</f>
        <v>46176</v>
      </c>
      <c r="V102" s="411"/>
      <c r="W102" s="411"/>
      <c r="X102" s="411"/>
      <c r="Y102" s="412"/>
      <c r="Z102" s="410">
        <f>U102+1</f>
        <v>46177</v>
      </c>
      <c r="AA102" s="411"/>
      <c r="AB102" s="411"/>
      <c r="AC102" s="411"/>
      <c r="AD102" s="412"/>
      <c r="AE102" s="410">
        <f>Z102+1</f>
        <v>46178</v>
      </c>
      <c r="AF102" s="411"/>
      <c r="AG102" s="411"/>
      <c r="AH102" s="411"/>
      <c r="AI102" s="412"/>
      <c r="AJ102" s="410">
        <f>AE102+1</f>
        <v>46179</v>
      </c>
      <c r="AK102" s="411"/>
      <c r="AL102" s="411"/>
      <c r="AM102" s="411"/>
      <c r="AN102" s="412"/>
      <c r="AO102" s="410">
        <f>AJ102+1</f>
        <v>46180</v>
      </c>
      <c r="AP102" s="411"/>
      <c r="AQ102" s="411"/>
      <c r="AR102" s="411"/>
      <c r="AS102" s="412"/>
      <c r="AT102" s="410">
        <f>AO102+1</f>
        <v>46181</v>
      </c>
      <c r="AU102" s="411"/>
      <c r="AV102" s="411"/>
      <c r="AW102" s="411"/>
      <c r="AX102" s="412"/>
    </row>
    <row r="103" spans="2:53" ht="15.75">
      <c r="B103" s="416"/>
      <c r="C103" s="416"/>
      <c r="D103" s="416"/>
      <c r="E103" s="416"/>
      <c r="F103" s="416"/>
      <c r="G103" s="416"/>
      <c r="H103" s="416"/>
      <c r="I103" s="184"/>
      <c r="J103" s="184"/>
      <c r="K103" s="184"/>
      <c r="L103" s="184"/>
      <c r="M103" s="179"/>
      <c r="N103" s="393"/>
      <c r="O103" s="393"/>
      <c r="P103" s="413" t="s">
        <v>158</v>
      </c>
      <c r="Q103" s="395"/>
      <c r="R103" s="395"/>
      <c r="S103" s="395"/>
      <c r="T103" s="395"/>
      <c r="U103" s="413" t="s">
        <v>114</v>
      </c>
      <c r="V103" s="395"/>
      <c r="W103" s="395"/>
      <c r="X103" s="395"/>
      <c r="Y103" s="395"/>
      <c r="Z103" s="413" t="s">
        <v>159</v>
      </c>
      <c r="AA103" s="395"/>
      <c r="AB103" s="395"/>
      <c r="AC103" s="395"/>
      <c r="AD103" s="395"/>
      <c r="AE103" s="413" t="s">
        <v>157</v>
      </c>
      <c r="AF103" s="395"/>
      <c r="AG103" s="395"/>
      <c r="AH103" s="395"/>
      <c r="AI103" s="395"/>
      <c r="AJ103" s="413" t="s">
        <v>160</v>
      </c>
      <c r="AK103" s="395"/>
      <c r="AL103" s="395"/>
      <c r="AM103" s="395"/>
      <c r="AN103" s="395"/>
      <c r="AO103" s="413" t="s">
        <v>115</v>
      </c>
      <c r="AP103" s="395"/>
      <c r="AQ103" s="395"/>
      <c r="AR103" s="395"/>
      <c r="AS103" s="395"/>
      <c r="AT103" s="413" t="s">
        <v>162</v>
      </c>
      <c r="AU103" s="395"/>
      <c r="AV103" s="395"/>
      <c r="AW103" s="395"/>
      <c r="AX103" s="395"/>
    </row>
    <row r="104" spans="2:53">
      <c r="B104" s="389" t="s">
        <v>154</v>
      </c>
      <c r="C104" s="389" t="s">
        <v>386</v>
      </c>
      <c r="D104" s="389"/>
      <c r="E104" s="389" t="s">
        <v>377</v>
      </c>
      <c r="F104" s="389"/>
      <c r="G104" s="389"/>
      <c r="H104" s="417" t="s">
        <v>373</v>
      </c>
      <c r="I104" s="389" t="s">
        <v>378</v>
      </c>
      <c r="J104" s="389"/>
      <c r="K104" s="389"/>
      <c r="L104" s="417" t="s">
        <v>373</v>
      </c>
      <c r="M104" s="391" t="s">
        <v>374</v>
      </c>
      <c r="N104" s="389"/>
      <c r="O104" s="389" t="s">
        <v>379</v>
      </c>
      <c r="P104" s="404" t="s">
        <v>375</v>
      </c>
      <c r="Q104" s="405"/>
      <c r="R104" s="405"/>
      <c r="S104" s="406"/>
      <c r="T104" s="389" t="s">
        <v>373</v>
      </c>
      <c r="U104" s="404" t="s">
        <v>375</v>
      </c>
      <c r="V104" s="405"/>
      <c r="W104" s="405"/>
      <c r="X104" s="406"/>
      <c r="Y104" s="389" t="s">
        <v>373</v>
      </c>
      <c r="Z104" s="404" t="s">
        <v>375</v>
      </c>
      <c r="AA104" s="405"/>
      <c r="AB104" s="405"/>
      <c r="AC104" s="406"/>
      <c r="AD104" s="389" t="s">
        <v>373</v>
      </c>
      <c r="AE104" s="404" t="s">
        <v>375</v>
      </c>
      <c r="AF104" s="405"/>
      <c r="AG104" s="405"/>
      <c r="AH104" s="406"/>
      <c r="AI104" s="389" t="s">
        <v>373</v>
      </c>
      <c r="AJ104" s="404" t="s">
        <v>375</v>
      </c>
      <c r="AK104" s="405"/>
      <c r="AL104" s="405"/>
      <c r="AM104" s="406"/>
      <c r="AN104" s="389" t="s">
        <v>373</v>
      </c>
      <c r="AO104" s="404" t="s">
        <v>375</v>
      </c>
      <c r="AP104" s="405"/>
      <c r="AQ104" s="405"/>
      <c r="AR104" s="406"/>
      <c r="AS104" s="389" t="s">
        <v>373</v>
      </c>
      <c r="AT104" s="404" t="s">
        <v>375</v>
      </c>
      <c r="AU104" s="405"/>
      <c r="AV104" s="405"/>
      <c r="AW104" s="406"/>
      <c r="AX104" s="389" t="s">
        <v>373</v>
      </c>
      <c r="BA104" s="389" t="s">
        <v>373</v>
      </c>
    </row>
    <row r="105" spans="2:53">
      <c r="B105" s="389"/>
      <c r="C105" s="389"/>
      <c r="D105" s="389"/>
      <c r="E105" s="389" t="s">
        <v>380</v>
      </c>
      <c r="F105" s="389"/>
      <c r="G105" s="389"/>
      <c r="H105" s="418"/>
      <c r="I105" s="389" t="s">
        <v>380</v>
      </c>
      <c r="J105" s="389"/>
      <c r="K105" s="389"/>
      <c r="L105" s="418"/>
      <c r="M105" s="392"/>
      <c r="N105" s="389"/>
      <c r="O105" s="389"/>
      <c r="P105" s="404" t="s">
        <v>381</v>
      </c>
      <c r="Q105" s="405"/>
      <c r="R105" s="405"/>
      <c r="S105" s="406"/>
      <c r="T105" s="389"/>
      <c r="U105" s="404" t="s">
        <v>381</v>
      </c>
      <c r="V105" s="405"/>
      <c r="W105" s="405"/>
      <c r="X105" s="406"/>
      <c r="Y105" s="389"/>
      <c r="Z105" s="404" t="s">
        <v>381</v>
      </c>
      <c r="AA105" s="405"/>
      <c r="AB105" s="405"/>
      <c r="AC105" s="406"/>
      <c r="AD105" s="389"/>
      <c r="AE105" s="404" t="s">
        <v>381</v>
      </c>
      <c r="AF105" s="405"/>
      <c r="AG105" s="405"/>
      <c r="AH105" s="406"/>
      <c r="AI105" s="389"/>
      <c r="AJ105" s="404" t="s">
        <v>381</v>
      </c>
      <c r="AK105" s="405"/>
      <c r="AL105" s="405"/>
      <c r="AM105" s="406"/>
      <c r="AN105" s="389"/>
      <c r="AO105" s="404" t="s">
        <v>381</v>
      </c>
      <c r="AP105" s="405"/>
      <c r="AQ105" s="405"/>
      <c r="AR105" s="406"/>
      <c r="AS105" s="389"/>
      <c r="AT105" s="404" t="s">
        <v>381</v>
      </c>
      <c r="AU105" s="405"/>
      <c r="AV105" s="405"/>
      <c r="AW105" s="406"/>
      <c r="AX105" s="389"/>
      <c r="BA105" s="389"/>
    </row>
    <row r="106" spans="2:53">
      <c r="B106" s="389"/>
      <c r="C106" s="389"/>
      <c r="D106" s="389"/>
      <c r="E106" s="258" t="s">
        <v>382</v>
      </c>
      <c r="F106" s="258" t="s">
        <v>383</v>
      </c>
      <c r="G106" s="258" t="s">
        <v>384</v>
      </c>
      <c r="H106" s="419"/>
      <c r="I106" s="258" t="s">
        <v>382</v>
      </c>
      <c r="J106" s="258" t="s">
        <v>383</v>
      </c>
      <c r="K106" s="258" t="s">
        <v>384</v>
      </c>
      <c r="L106" s="419"/>
      <c r="M106" s="393"/>
      <c r="N106" s="389"/>
      <c r="O106" s="389"/>
      <c r="P106" s="258" t="s">
        <v>382</v>
      </c>
      <c r="Q106" s="258" t="s">
        <v>383</v>
      </c>
      <c r="R106" s="258" t="s">
        <v>384</v>
      </c>
      <c r="S106" s="258" t="s">
        <v>374</v>
      </c>
      <c r="T106" s="389"/>
      <c r="U106" s="258" t="s">
        <v>382</v>
      </c>
      <c r="V106" s="258" t="s">
        <v>383</v>
      </c>
      <c r="W106" s="258" t="s">
        <v>384</v>
      </c>
      <c r="X106" s="258" t="s">
        <v>374</v>
      </c>
      <c r="Y106" s="389"/>
      <c r="Z106" s="258" t="s">
        <v>382</v>
      </c>
      <c r="AA106" s="258" t="s">
        <v>383</v>
      </c>
      <c r="AB106" s="258" t="s">
        <v>384</v>
      </c>
      <c r="AC106" s="258" t="s">
        <v>374</v>
      </c>
      <c r="AD106" s="389"/>
      <c r="AE106" s="258" t="s">
        <v>382</v>
      </c>
      <c r="AF106" s="258" t="s">
        <v>383</v>
      </c>
      <c r="AG106" s="258" t="s">
        <v>384</v>
      </c>
      <c r="AH106" s="258" t="s">
        <v>374</v>
      </c>
      <c r="AI106" s="389"/>
      <c r="AJ106" s="258" t="s">
        <v>382</v>
      </c>
      <c r="AK106" s="258" t="s">
        <v>383</v>
      </c>
      <c r="AL106" s="258" t="s">
        <v>384</v>
      </c>
      <c r="AM106" s="258" t="s">
        <v>374</v>
      </c>
      <c r="AN106" s="389"/>
      <c r="AO106" s="258" t="s">
        <v>382</v>
      </c>
      <c r="AP106" s="258" t="s">
        <v>383</v>
      </c>
      <c r="AQ106" s="258" t="s">
        <v>384</v>
      </c>
      <c r="AR106" s="258" t="s">
        <v>374</v>
      </c>
      <c r="AS106" s="389"/>
      <c r="AT106" s="258" t="s">
        <v>382</v>
      </c>
      <c r="AU106" s="258" t="s">
        <v>383</v>
      </c>
      <c r="AV106" s="258" t="s">
        <v>384</v>
      </c>
      <c r="AW106" s="258" t="s">
        <v>374</v>
      </c>
      <c r="AX106" s="389"/>
      <c r="AZ106" s="258" t="s">
        <v>374</v>
      </c>
      <c r="BA106" s="389"/>
    </row>
    <row r="107" spans="2:53">
      <c r="B107" s="389" t="s">
        <v>387</v>
      </c>
      <c r="C107" s="182">
        <v>1</v>
      </c>
      <c r="D107" s="203"/>
      <c r="E107" s="166"/>
      <c r="F107" s="182"/>
      <c r="G107" s="180"/>
      <c r="H107" s="401" t="e">
        <f>AVERAGE(G107:G121)</f>
        <v>#DIV/0!</v>
      </c>
      <c r="I107" s="166" t="str">
        <f t="shared" ref="I107:I120" si="92">IFERROR(AVERAGE(P107,U107,Z107,AE107,AJ107,AO107,AT107),"-")</f>
        <v>-</v>
      </c>
      <c r="J107" s="166" t="str">
        <f t="shared" ref="J107:J120" si="93">IFERROR(AVERAGE(Q107,V107,AA107,AF107,AK107,AP107,AU107),"-")</f>
        <v>-</v>
      </c>
      <c r="K107" s="180" t="str">
        <f t="shared" ref="K107:K120" si="94">IFERROR(AVERAGE(R107,W107,AB107,AG107,AL107,AQ107,AV107),"-")</f>
        <v>-</v>
      </c>
      <c r="L107" s="401" t="str">
        <f>IFERROR(AVERAGE(K107:K121),"-")</f>
        <v>-</v>
      </c>
      <c r="M107" s="181" t="e">
        <f>RANK(K107, K$87:$K$101)</f>
        <v>#VALUE!</v>
      </c>
      <c r="N107" s="389"/>
      <c r="O107" s="389"/>
      <c r="P107" s="166"/>
      <c r="Q107" s="166"/>
      <c r="R107" s="180"/>
      <c r="S107" s="182" t="e">
        <f>RANK(R107, R$107:R$121)</f>
        <v>#N/A</v>
      </c>
      <c r="T107" s="390" t="e">
        <f>AVERAGE(R107:R121)</f>
        <v>#DIV/0!</v>
      </c>
      <c r="U107" s="166"/>
      <c r="V107" s="166"/>
      <c r="W107" s="180"/>
      <c r="X107" s="182" t="e">
        <f>RANK(W107, W$107:W$121)</f>
        <v>#N/A</v>
      </c>
      <c r="Y107" s="390" t="e">
        <f>AVERAGE(W107:W121)</f>
        <v>#DIV/0!</v>
      </c>
      <c r="Z107" s="166"/>
      <c r="AA107" s="166"/>
      <c r="AB107" s="180"/>
      <c r="AC107" s="182" t="e">
        <f>RANK(AB107, AB$107:AB$121)</f>
        <v>#N/A</v>
      </c>
      <c r="AD107" s="390" t="e">
        <f>AVERAGE(AB107:AB121)</f>
        <v>#DIV/0!</v>
      </c>
      <c r="AE107" s="166"/>
      <c r="AF107" s="166"/>
      <c r="AG107" s="180"/>
      <c r="AH107" s="182" t="e">
        <f>RANK(AG107, AG$107:AG$121)</f>
        <v>#N/A</v>
      </c>
      <c r="AI107" s="390" t="e">
        <f>AVERAGE(AG107:AG121)</f>
        <v>#DIV/0!</v>
      </c>
      <c r="AJ107" s="166"/>
      <c r="AK107" s="166"/>
      <c r="AL107" s="180"/>
      <c r="AM107" s="182" t="e">
        <f>RANK(AL107, AL$107:AL$121)</f>
        <v>#N/A</v>
      </c>
      <c r="AN107" s="390" t="e">
        <f>AVERAGE(AL107:AL121)</f>
        <v>#DIV/0!</v>
      </c>
      <c r="AO107" s="166"/>
      <c r="AP107" s="166"/>
      <c r="AQ107" s="180"/>
      <c r="AR107" s="182" t="e">
        <f>RANK(AQ107, AQ$107:AQ$121)</f>
        <v>#N/A</v>
      </c>
      <c r="AS107" s="390" t="e">
        <f>AVERAGE(AQ107:AQ121)</f>
        <v>#DIV/0!</v>
      </c>
      <c r="AT107" s="166"/>
      <c r="AU107" s="166"/>
      <c r="AV107" s="180"/>
      <c r="AW107" s="182" t="e">
        <f>RANK(AV107, AV$107:AV$121)</f>
        <v>#N/A</v>
      </c>
      <c r="AX107" s="390" t="e">
        <f>AVERAGE(AV107:AV121)</f>
        <v>#DIV/0!</v>
      </c>
      <c r="AZ107" s="182" t="e">
        <f>RANK(AY107, AY$107:AY$121)</f>
        <v>#N/A</v>
      </c>
      <c r="BA107" s="390" t="e">
        <f>AVERAGE(AY107:AY121)</f>
        <v>#DIV/0!</v>
      </c>
    </row>
    <row r="108" spans="2:53">
      <c r="B108" s="395"/>
      <c r="C108" s="182">
        <v>2</v>
      </c>
      <c r="D108" s="203"/>
      <c r="E108" s="166"/>
      <c r="F108" s="182"/>
      <c r="G108" s="180"/>
      <c r="H108" s="402"/>
      <c r="I108" s="166" t="str">
        <f t="shared" si="92"/>
        <v>-</v>
      </c>
      <c r="J108" s="166" t="str">
        <f t="shared" si="93"/>
        <v>-</v>
      </c>
      <c r="K108" s="180" t="str">
        <f t="shared" si="94"/>
        <v>-</v>
      </c>
      <c r="L108" s="402"/>
      <c r="M108" s="181" t="e">
        <f>RANK(K108, K$87:$K$101)</f>
        <v>#VALUE!</v>
      </c>
      <c r="N108" s="389"/>
      <c r="O108" s="389"/>
      <c r="P108" s="182"/>
      <c r="Q108" s="166"/>
      <c r="R108" s="180"/>
      <c r="S108" s="182" t="e">
        <f t="shared" ref="S108:S121" si="95">RANK(R108, R$107:R$121)</f>
        <v>#N/A</v>
      </c>
      <c r="T108" s="390"/>
      <c r="U108" s="182"/>
      <c r="V108" s="166"/>
      <c r="W108" s="180"/>
      <c r="X108" s="182" t="e">
        <f t="shared" ref="X108:X121" si="96">RANK(W108, W$107:W$121)</f>
        <v>#N/A</v>
      </c>
      <c r="Y108" s="390"/>
      <c r="Z108" s="182"/>
      <c r="AA108" s="166"/>
      <c r="AB108" s="180"/>
      <c r="AC108" s="182" t="e">
        <f t="shared" ref="AC108:AC121" si="97">RANK(AB108, AB$107:AB$121)</f>
        <v>#N/A</v>
      </c>
      <c r="AD108" s="390"/>
      <c r="AE108" s="182"/>
      <c r="AF108" s="166"/>
      <c r="AG108" s="180"/>
      <c r="AH108" s="182" t="e">
        <f t="shared" ref="AH108:AH121" si="98">RANK(AG108, AG$107:AG$121)</f>
        <v>#N/A</v>
      </c>
      <c r="AI108" s="390"/>
      <c r="AJ108" s="182"/>
      <c r="AK108" s="166"/>
      <c r="AL108" s="180"/>
      <c r="AM108" s="182" t="e">
        <f t="shared" ref="AM108:AM121" si="99">RANK(AL108, AL$107:AL$121)</f>
        <v>#N/A</v>
      </c>
      <c r="AN108" s="390"/>
      <c r="AO108" s="182"/>
      <c r="AP108" s="166"/>
      <c r="AQ108" s="180"/>
      <c r="AR108" s="182" t="e">
        <f t="shared" ref="AR108:AR121" si="100">RANK(AQ108, AQ$107:AQ$121)</f>
        <v>#N/A</v>
      </c>
      <c r="AS108" s="390"/>
      <c r="AT108" s="182"/>
      <c r="AU108" s="166"/>
      <c r="AV108" s="180"/>
      <c r="AW108" s="182" t="e">
        <f t="shared" ref="AW108:AW121" si="101">RANK(AV108, AV$107:AV$121)</f>
        <v>#N/A</v>
      </c>
      <c r="AX108" s="390"/>
      <c r="AZ108" s="182" t="e">
        <f t="shared" ref="AZ108:AZ121" si="102">RANK(AY108, AY$107:AY$121)</f>
        <v>#N/A</v>
      </c>
      <c r="BA108" s="390"/>
    </row>
    <row r="109" spans="2:53">
      <c r="B109" s="395"/>
      <c r="C109" s="182">
        <v>3</v>
      </c>
      <c r="D109" s="203"/>
      <c r="E109" s="166"/>
      <c r="F109" s="182"/>
      <c r="G109" s="180"/>
      <c r="H109" s="402"/>
      <c r="I109" s="166" t="str">
        <f t="shared" si="92"/>
        <v>-</v>
      </c>
      <c r="J109" s="166" t="str">
        <f t="shared" si="93"/>
        <v>-</v>
      </c>
      <c r="K109" s="180" t="str">
        <f t="shared" si="94"/>
        <v>-</v>
      </c>
      <c r="L109" s="402"/>
      <c r="M109" s="181" t="e">
        <f>RANK(K109, K$87:$K$101)</f>
        <v>#VALUE!</v>
      </c>
      <c r="N109" s="389"/>
      <c r="O109" s="389"/>
      <c r="P109" s="182"/>
      <c r="Q109" s="182"/>
      <c r="R109" s="182"/>
      <c r="S109" s="182" t="e">
        <f t="shared" si="95"/>
        <v>#N/A</v>
      </c>
      <c r="T109" s="390"/>
      <c r="U109" s="182"/>
      <c r="V109" s="182"/>
      <c r="W109" s="182"/>
      <c r="X109" s="182" t="e">
        <f t="shared" si="96"/>
        <v>#N/A</v>
      </c>
      <c r="Y109" s="390"/>
      <c r="Z109" s="182"/>
      <c r="AA109" s="182"/>
      <c r="AB109" s="182"/>
      <c r="AC109" s="182" t="e">
        <f t="shared" si="97"/>
        <v>#N/A</v>
      </c>
      <c r="AD109" s="390"/>
      <c r="AE109" s="182"/>
      <c r="AF109" s="182"/>
      <c r="AG109" s="182"/>
      <c r="AH109" s="182" t="e">
        <f t="shared" si="98"/>
        <v>#N/A</v>
      </c>
      <c r="AI109" s="390"/>
      <c r="AJ109" s="182"/>
      <c r="AK109" s="182"/>
      <c r="AL109" s="182"/>
      <c r="AM109" s="182" t="e">
        <f t="shared" si="99"/>
        <v>#N/A</v>
      </c>
      <c r="AN109" s="390"/>
      <c r="AO109" s="182"/>
      <c r="AP109" s="182"/>
      <c r="AQ109" s="182"/>
      <c r="AR109" s="182" t="e">
        <f t="shared" si="100"/>
        <v>#N/A</v>
      </c>
      <c r="AS109" s="390"/>
      <c r="AT109" s="182"/>
      <c r="AU109" s="182"/>
      <c r="AV109" s="182"/>
      <c r="AW109" s="182" t="e">
        <f t="shared" si="101"/>
        <v>#N/A</v>
      </c>
      <c r="AX109" s="390"/>
      <c r="AZ109" s="182" t="e">
        <f t="shared" si="102"/>
        <v>#N/A</v>
      </c>
      <c r="BA109" s="390"/>
    </row>
    <row r="110" spans="2:53">
      <c r="B110" s="395"/>
      <c r="C110" s="182">
        <v>4</v>
      </c>
      <c r="D110" s="203"/>
      <c r="E110" s="166"/>
      <c r="F110" s="182"/>
      <c r="G110" s="180"/>
      <c r="H110" s="402"/>
      <c r="I110" s="166" t="str">
        <f t="shared" si="92"/>
        <v>-</v>
      </c>
      <c r="J110" s="166" t="str">
        <f t="shared" si="93"/>
        <v>-</v>
      </c>
      <c r="K110" s="180" t="str">
        <f t="shared" si="94"/>
        <v>-</v>
      </c>
      <c r="L110" s="402"/>
      <c r="M110" s="181" t="e">
        <f>RANK(K110, K$87:$K$101)</f>
        <v>#VALUE!</v>
      </c>
      <c r="N110" s="389"/>
      <c r="O110" s="389"/>
      <c r="P110" s="182"/>
      <c r="Q110" s="182"/>
      <c r="R110" s="182"/>
      <c r="S110" s="182" t="e">
        <f t="shared" si="95"/>
        <v>#N/A</v>
      </c>
      <c r="T110" s="390"/>
      <c r="U110" s="182"/>
      <c r="V110" s="182"/>
      <c r="W110" s="182"/>
      <c r="X110" s="182" t="e">
        <f t="shared" si="96"/>
        <v>#N/A</v>
      </c>
      <c r="Y110" s="390"/>
      <c r="Z110" s="182"/>
      <c r="AA110" s="182"/>
      <c r="AB110" s="182"/>
      <c r="AC110" s="182" t="e">
        <f t="shared" si="97"/>
        <v>#N/A</v>
      </c>
      <c r="AD110" s="390"/>
      <c r="AE110" s="182"/>
      <c r="AF110" s="182"/>
      <c r="AG110" s="182"/>
      <c r="AH110" s="182" t="e">
        <f t="shared" si="98"/>
        <v>#N/A</v>
      </c>
      <c r="AI110" s="390"/>
      <c r="AJ110" s="182"/>
      <c r="AK110" s="182"/>
      <c r="AL110" s="182"/>
      <c r="AM110" s="182" t="e">
        <f t="shared" si="99"/>
        <v>#N/A</v>
      </c>
      <c r="AN110" s="390"/>
      <c r="AO110" s="182"/>
      <c r="AP110" s="182"/>
      <c r="AQ110" s="182"/>
      <c r="AR110" s="182" t="e">
        <f t="shared" si="100"/>
        <v>#N/A</v>
      </c>
      <c r="AS110" s="390"/>
      <c r="AT110" s="182"/>
      <c r="AU110" s="182"/>
      <c r="AV110" s="182"/>
      <c r="AW110" s="182" t="e">
        <f t="shared" si="101"/>
        <v>#N/A</v>
      </c>
      <c r="AX110" s="390"/>
      <c r="AZ110" s="182" t="e">
        <f t="shared" si="102"/>
        <v>#N/A</v>
      </c>
      <c r="BA110" s="390"/>
    </row>
    <row r="111" spans="2:53">
      <c r="B111" s="395"/>
      <c r="C111" s="182">
        <v>5</v>
      </c>
      <c r="D111" s="203"/>
      <c r="E111" s="166"/>
      <c r="F111" s="182"/>
      <c r="G111" s="180"/>
      <c r="H111" s="402"/>
      <c r="I111" s="166" t="str">
        <f t="shared" si="92"/>
        <v>-</v>
      </c>
      <c r="J111" s="166" t="str">
        <f t="shared" si="93"/>
        <v>-</v>
      </c>
      <c r="K111" s="180" t="str">
        <f t="shared" si="94"/>
        <v>-</v>
      </c>
      <c r="L111" s="402"/>
      <c r="M111" s="181" t="e">
        <f>RANK(K111, K$87:$K$101)</f>
        <v>#VALUE!</v>
      </c>
      <c r="N111" s="389"/>
      <c r="O111" s="389"/>
      <c r="P111" s="182"/>
      <c r="Q111" s="182"/>
      <c r="R111" s="182"/>
      <c r="S111" s="182" t="e">
        <f t="shared" si="95"/>
        <v>#N/A</v>
      </c>
      <c r="T111" s="390"/>
      <c r="U111" s="182"/>
      <c r="V111" s="182"/>
      <c r="W111" s="182"/>
      <c r="X111" s="182" t="e">
        <f t="shared" si="96"/>
        <v>#N/A</v>
      </c>
      <c r="Y111" s="390"/>
      <c r="Z111" s="182"/>
      <c r="AA111" s="182"/>
      <c r="AB111" s="182"/>
      <c r="AC111" s="182" t="e">
        <f t="shared" si="97"/>
        <v>#N/A</v>
      </c>
      <c r="AD111" s="390"/>
      <c r="AE111" s="182"/>
      <c r="AF111" s="182"/>
      <c r="AG111" s="182"/>
      <c r="AH111" s="182" t="e">
        <f t="shared" si="98"/>
        <v>#N/A</v>
      </c>
      <c r="AI111" s="390"/>
      <c r="AJ111" s="182"/>
      <c r="AK111" s="182"/>
      <c r="AL111" s="182"/>
      <c r="AM111" s="182" t="e">
        <f t="shared" si="99"/>
        <v>#N/A</v>
      </c>
      <c r="AN111" s="390"/>
      <c r="AO111" s="182"/>
      <c r="AP111" s="182"/>
      <c r="AQ111" s="182"/>
      <c r="AR111" s="182" t="e">
        <f t="shared" si="100"/>
        <v>#N/A</v>
      </c>
      <c r="AS111" s="390"/>
      <c r="AT111" s="182"/>
      <c r="AU111" s="182"/>
      <c r="AV111" s="182"/>
      <c r="AW111" s="182" t="e">
        <f t="shared" si="101"/>
        <v>#N/A</v>
      </c>
      <c r="AX111" s="390"/>
      <c r="AZ111" s="182" t="e">
        <f t="shared" si="102"/>
        <v>#N/A</v>
      </c>
      <c r="BA111" s="390"/>
    </row>
    <row r="112" spans="2:53">
      <c r="B112" s="395"/>
      <c r="C112" s="182">
        <v>6</v>
      </c>
      <c r="D112" s="203"/>
      <c r="E112" s="166"/>
      <c r="F112" s="182"/>
      <c r="G112" s="180"/>
      <c r="H112" s="402"/>
      <c r="I112" s="166" t="str">
        <f t="shared" si="92"/>
        <v>-</v>
      </c>
      <c r="J112" s="166" t="str">
        <f t="shared" si="93"/>
        <v>-</v>
      </c>
      <c r="K112" s="180" t="str">
        <f t="shared" si="94"/>
        <v>-</v>
      </c>
      <c r="L112" s="402"/>
      <c r="M112" s="181" t="e">
        <f>RANK(K112, K$87:$K$101)</f>
        <v>#VALUE!</v>
      </c>
      <c r="N112" s="389"/>
      <c r="O112" s="389"/>
      <c r="P112" s="182"/>
      <c r="Q112" s="182"/>
      <c r="R112" s="182"/>
      <c r="S112" s="182" t="e">
        <f t="shared" si="95"/>
        <v>#N/A</v>
      </c>
      <c r="T112" s="390"/>
      <c r="U112" s="182"/>
      <c r="V112" s="182"/>
      <c r="W112" s="182"/>
      <c r="X112" s="182" t="e">
        <f t="shared" si="96"/>
        <v>#N/A</v>
      </c>
      <c r="Y112" s="390"/>
      <c r="Z112" s="182"/>
      <c r="AA112" s="182"/>
      <c r="AB112" s="182"/>
      <c r="AC112" s="182" t="e">
        <f t="shared" si="97"/>
        <v>#N/A</v>
      </c>
      <c r="AD112" s="390"/>
      <c r="AE112" s="182"/>
      <c r="AF112" s="182"/>
      <c r="AG112" s="182"/>
      <c r="AH112" s="182" t="e">
        <f t="shared" si="98"/>
        <v>#N/A</v>
      </c>
      <c r="AI112" s="390"/>
      <c r="AJ112" s="182"/>
      <c r="AK112" s="182"/>
      <c r="AL112" s="182"/>
      <c r="AM112" s="182" t="e">
        <f t="shared" si="99"/>
        <v>#N/A</v>
      </c>
      <c r="AN112" s="390"/>
      <c r="AO112" s="182"/>
      <c r="AP112" s="182"/>
      <c r="AQ112" s="182"/>
      <c r="AR112" s="182" t="e">
        <f t="shared" si="100"/>
        <v>#N/A</v>
      </c>
      <c r="AS112" s="390"/>
      <c r="AT112" s="182"/>
      <c r="AU112" s="182"/>
      <c r="AV112" s="182"/>
      <c r="AW112" s="182" t="e">
        <f t="shared" si="101"/>
        <v>#N/A</v>
      </c>
      <c r="AX112" s="390"/>
      <c r="AZ112" s="182" t="e">
        <f t="shared" si="102"/>
        <v>#N/A</v>
      </c>
      <c r="BA112" s="390"/>
    </row>
    <row r="113" spans="2:53">
      <c r="B113" s="395"/>
      <c r="C113" s="182">
        <v>7</v>
      </c>
      <c r="D113" s="203"/>
      <c r="E113" s="166"/>
      <c r="F113" s="182"/>
      <c r="G113" s="180"/>
      <c r="H113" s="402"/>
      <c r="I113" s="166" t="str">
        <f t="shared" si="92"/>
        <v>-</v>
      </c>
      <c r="J113" s="166" t="str">
        <f t="shared" si="93"/>
        <v>-</v>
      </c>
      <c r="K113" s="180" t="str">
        <f t="shared" si="94"/>
        <v>-</v>
      </c>
      <c r="L113" s="402"/>
      <c r="M113" s="181" t="e">
        <f>RANK(K113, K$87:$K$101)</f>
        <v>#VALUE!</v>
      </c>
      <c r="N113" s="389"/>
      <c r="O113" s="389"/>
      <c r="P113" s="182"/>
      <c r="Q113" s="182"/>
      <c r="R113" s="182"/>
      <c r="S113" s="182" t="e">
        <f t="shared" si="95"/>
        <v>#N/A</v>
      </c>
      <c r="T113" s="390"/>
      <c r="U113" s="182"/>
      <c r="V113" s="182"/>
      <c r="W113" s="182"/>
      <c r="X113" s="182" t="e">
        <f t="shared" si="96"/>
        <v>#N/A</v>
      </c>
      <c r="Y113" s="390"/>
      <c r="Z113" s="182"/>
      <c r="AA113" s="182"/>
      <c r="AB113" s="182"/>
      <c r="AC113" s="182" t="e">
        <f t="shared" si="97"/>
        <v>#N/A</v>
      </c>
      <c r="AD113" s="390"/>
      <c r="AE113" s="182"/>
      <c r="AF113" s="182"/>
      <c r="AG113" s="182"/>
      <c r="AH113" s="182" t="e">
        <f t="shared" si="98"/>
        <v>#N/A</v>
      </c>
      <c r="AI113" s="390"/>
      <c r="AJ113" s="182"/>
      <c r="AK113" s="182"/>
      <c r="AL113" s="182"/>
      <c r="AM113" s="182" t="e">
        <f t="shared" si="99"/>
        <v>#N/A</v>
      </c>
      <c r="AN113" s="390"/>
      <c r="AO113" s="182"/>
      <c r="AP113" s="182"/>
      <c r="AQ113" s="182"/>
      <c r="AR113" s="182" t="e">
        <f t="shared" si="100"/>
        <v>#N/A</v>
      </c>
      <c r="AS113" s="390"/>
      <c r="AT113" s="182"/>
      <c r="AU113" s="182"/>
      <c r="AV113" s="182"/>
      <c r="AW113" s="182" t="e">
        <f t="shared" si="101"/>
        <v>#N/A</v>
      </c>
      <c r="AX113" s="390"/>
      <c r="AZ113" s="182" t="e">
        <f t="shared" si="102"/>
        <v>#N/A</v>
      </c>
      <c r="BA113" s="390"/>
    </row>
    <row r="114" spans="2:53">
      <c r="B114" s="395"/>
      <c r="C114" s="182">
        <v>8</v>
      </c>
      <c r="D114" s="203"/>
      <c r="E114" s="166"/>
      <c r="F114" s="182"/>
      <c r="G114" s="180"/>
      <c r="H114" s="402"/>
      <c r="I114" s="166" t="str">
        <f t="shared" si="92"/>
        <v>-</v>
      </c>
      <c r="J114" s="166" t="str">
        <f t="shared" si="93"/>
        <v>-</v>
      </c>
      <c r="K114" s="180" t="str">
        <f t="shared" si="94"/>
        <v>-</v>
      </c>
      <c r="L114" s="402"/>
      <c r="M114" s="181" t="e">
        <f>RANK(K114, K$87:$K$101)</f>
        <v>#VALUE!</v>
      </c>
      <c r="N114" s="389"/>
      <c r="O114" s="389"/>
      <c r="P114" s="182"/>
      <c r="Q114" s="182"/>
      <c r="R114" s="182"/>
      <c r="S114" s="182" t="e">
        <f t="shared" si="95"/>
        <v>#N/A</v>
      </c>
      <c r="T114" s="390"/>
      <c r="U114" s="182"/>
      <c r="V114" s="182"/>
      <c r="W114" s="182"/>
      <c r="X114" s="182" t="e">
        <f t="shared" si="96"/>
        <v>#N/A</v>
      </c>
      <c r="Y114" s="390"/>
      <c r="Z114" s="182"/>
      <c r="AA114" s="182"/>
      <c r="AB114" s="182"/>
      <c r="AC114" s="182" t="e">
        <f t="shared" si="97"/>
        <v>#N/A</v>
      </c>
      <c r="AD114" s="390"/>
      <c r="AE114" s="182"/>
      <c r="AF114" s="182"/>
      <c r="AG114" s="182"/>
      <c r="AH114" s="182" t="e">
        <f t="shared" si="98"/>
        <v>#N/A</v>
      </c>
      <c r="AI114" s="390"/>
      <c r="AJ114" s="182"/>
      <c r="AK114" s="182"/>
      <c r="AL114" s="182"/>
      <c r="AM114" s="182" t="e">
        <f t="shared" si="99"/>
        <v>#N/A</v>
      </c>
      <c r="AN114" s="390"/>
      <c r="AO114" s="182"/>
      <c r="AP114" s="182"/>
      <c r="AQ114" s="182"/>
      <c r="AR114" s="182" t="e">
        <f t="shared" si="100"/>
        <v>#N/A</v>
      </c>
      <c r="AS114" s="390"/>
      <c r="AT114" s="182"/>
      <c r="AU114" s="182"/>
      <c r="AV114" s="182"/>
      <c r="AW114" s="182" t="e">
        <f t="shared" si="101"/>
        <v>#N/A</v>
      </c>
      <c r="AX114" s="390"/>
      <c r="AZ114" s="182" t="e">
        <f t="shared" si="102"/>
        <v>#N/A</v>
      </c>
      <c r="BA114" s="390"/>
    </row>
    <row r="115" spans="2:53">
      <c r="B115" s="395"/>
      <c r="C115" s="182">
        <v>9</v>
      </c>
      <c r="D115" s="203"/>
      <c r="E115" s="166"/>
      <c r="F115" s="182"/>
      <c r="G115" s="180"/>
      <c r="H115" s="402"/>
      <c r="I115" s="166" t="str">
        <f t="shared" si="92"/>
        <v>-</v>
      </c>
      <c r="J115" s="166" t="str">
        <f t="shared" si="93"/>
        <v>-</v>
      </c>
      <c r="K115" s="180" t="str">
        <f t="shared" si="94"/>
        <v>-</v>
      </c>
      <c r="L115" s="402"/>
      <c r="M115" s="181" t="e">
        <f>RANK(K115, K$87:$K$101)</f>
        <v>#VALUE!</v>
      </c>
      <c r="N115" s="389"/>
      <c r="O115" s="389"/>
      <c r="P115" s="182"/>
      <c r="Q115" s="182"/>
      <c r="R115" s="182"/>
      <c r="S115" s="182" t="e">
        <f t="shared" si="95"/>
        <v>#N/A</v>
      </c>
      <c r="T115" s="390"/>
      <c r="U115" s="182"/>
      <c r="V115" s="182"/>
      <c r="W115" s="182"/>
      <c r="X115" s="182" t="e">
        <f t="shared" si="96"/>
        <v>#N/A</v>
      </c>
      <c r="Y115" s="390"/>
      <c r="Z115" s="182"/>
      <c r="AA115" s="182"/>
      <c r="AB115" s="182"/>
      <c r="AC115" s="182" t="e">
        <f t="shared" si="97"/>
        <v>#N/A</v>
      </c>
      <c r="AD115" s="390"/>
      <c r="AE115" s="182"/>
      <c r="AF115" s="182"/>
      <c r="AG115" s="182"/>
      <c r="AH115" s="182" t="e">
        <f t="shared" si="98"/>
        <v>#N/A</v>
      </c>
      <c r="AI115" s="390"/>
      <c r="AJ115" s="182"/>
      <c r="AK115" s="182"/>
      <c r="AL115" s="182"/>
      <c r="AM115" s="182" t="e">
        <f t="shared" si="99"/>
        <v>#N/A</v>
      </c>
      <c r="AN115" s="390"/>
      <c r="AO115" s="182"/>
      <c r="AP115" s="182"/>
      <c r="AQ115" s="182"/>
      <c r="AR115" s="182" t="e">
        <f t="shared" si="100"/>
        <v>#N/A</v>
      </c>
      <c r="AS115" s="390"/>
      <c r="AT115" s="182"/>
      <c r="AU115" s="182"/>
      <c r="AV115" s="182"/>
      <c r="AW115" s="182" t="e">
        <f t="shared" si="101"/>
        <v>#N/A</v>
      </c>
      <c r="AX115" s="390"/>
      <c r="AZ115" s="182" t="e">
        <f t="shared" si="102"/>
        <v>#N/A</v>
      </c>
      <c r="BA115" s="390"/>
    </row>
    <row r="116" spans="2:53">
      <c r="B116" s="395"/>
      <c r="C116" s="182">
        <v>10</v>
      </c>
      <c r="D116" s="203"/>
      <c r="E116" s="166"/>
      <c r="F116" s="182"/>
      <c r="G116" s="180"/>
      <c r="H116" s="402"/>
      <c r="I116" s="166" t="str">
        <f t="shared" si="92"/>
        <v>-</v>
      </c>
      <c r="J116" s="166" t="str">
        <f t="shared" si="93"/>
        <v>-</v>
      </c>
      <c r="K116" s="180" t="str">
        <f t="shared" si="94"/>
        <v>-</v>
      </c>
      <c r="L116" s="402"/>
      <c r="M116" s="181" t="e">
        <f>RANK(K116, K$87:$K$101)</f>
        <v>#VALUE!</v>
      </c>
      <c r="N116" s="389"/>
      <c r="O116" s="389"/>
      <c r="P116" s="182"/>
      <c r="Q116" s="182"/>
      <c r="R116" s="182"/>
      <c r="S116" s="182" t="e">
        <f t="shared" si="95"/>
        <v>#N/A</v>
      </c>
      <c r="T116" s="390"/>
      <c r="U116" s="182"/>
      <c r="V116" s="182"/>
      <c r="W116" s="182"/>
      <c r="X116" s="182" t="e">
        <f t="shared" si="96"/>
        <v>#N/A</v>
      </c>
      <c r="Y116" s="390"/>
      <c r="Z116" s="182"/>
      <c r="AA116" s="182"/>
      <c r="AB116" s="182"/>
      <c r="AC116" s="182" t="e">
        <f t="shared" si="97"/>
        <v>#N/A</v>
      </c>
      <c r="AD116" s="390"/>
      <c r="AE116" s="182"/>
      <c r="AF116" s="182"/>
      <c r="AG116" s="182"/>
      <c r="AH116" s="182" t="e">
        <f t="shared" si="98"/>
        <v>#N/A</v>
      </c>
      <c r="AI116" s="390"/>
      <c r="AJ116" s="182"/>
      <c r="AK116" s="182"/>
      <c r="AL116" s="182"/>
      <c r="AM116" s="182" t="e">
        <f t="shared" si="99"/>
        <v>#N/A</v>
      </c>
      <c r="AN116" s="390"/>
      <c r="AO116" s="182"/>
      <c r="AP116" s="182"/>
      <c r="AQ116" s="182"/>
      <c r="AR116" s="182" t="e">
        <f t="shared" si="100"/>
        <v>#N/A</v>
      </c>
      <c r="AS116" s="390"/>
      <c r="AT116" s="182"/>
      <c r="AU116" s="182"/>
      <c r="AV116" s="182"/>
      <c r="AW116" s="182" t="e">
        <f t="shared" si="101"/>
        <v>#N/A</v>
      </c>
      <c r="AX116" s="390"/>
      <c r="AZ116" s="182" t="e">
        <f t="shared" si="102"/>
        <v>#N/A</v>
      </c>
      <c r="BA116" s="390"/>
    </row>
    <row r="117" spans="2:53">
      <c r="B117" s="395"/>
      <c r="C117" s="182">
        <v>11</v>
      </c>
      <c r="D117" s="203"/>
      <c r="E117" s="166"/>
      <c r="F117" s="182"/>
      <c r="G117" s="180"/>
      <c r="H117" s="402"/>
      <c r="I117" s="166" t="str">
        <f t="shared" si="92"/>
        <v>-</v>
      </c>
      <c r="J117" s="166" t="str">
        <f t="shared" si="93"/>
        <v>-</v>
      </c>
      <c r="K117" s="180" t="str">
        <f t="shared" si="94"/>
        <v>-</v>
      </c>
      <c r="L117" s="402"/>
      <c r="M117" s="181" t="e">
        <f>RANK(K117, K$87:$K$101)</f>
        <v>#VALUE!</v>
      </c>
      <c r="N117" s="389"/>
      <c r="O117" s="389"/>
      <c r="P117" s="182"/>
      <c r="Q117" s="182"/>
      <c r="R117" s="182"/>
      <c r="S117" s="182" t="e">
        <f t="shared" si="95"/>
        <v>#N/A</v>
      </c>
      <c r="T117" s="390"/>
      <c r="U117" s="182"/>
      <c r="V117" s="182"/>
      <c r="W117" s="182"/>
      <c r="X117" s="182" t="e">
        <f t="shared" si="96"/>
        <v>#N/A</v>
      </c>
      <c r="Y117" s="390"/>
      <c r="Z117" s="182"/>
      <c r="AA117" s="182"/>
      <c r="AB117" s="182"/>
      <c r="AC117" s="182" t="e">
        <f t="shared" si="97"/>
        <v>#N/A</v>
      </c>
      <c r="AD117" s="390"/>
      <c r="AE117" s="182"/>
      <c r="AF117" s="182"/>
      <c r="AG117" s="182"/>
      <c r="AH117" s="182" t="e">
        <f t="shared" si="98"/>
        <v>#N/A</v>
      </c>
      <c r="AI117" s="390"/>
      <c r="AJ117" s="182"/>
      <c r="AK117" s="182"/>
      <c r="AL117" s="182"/>
      <c r="AM117" s="182" t="e">
        <f t="shared" si="99"/>
        <v>#N/A</v>
      </c>
      <c r="AN117" s="390"/>
      <c r="AO117" s="182"/>
      <c r="AP117" s="182"/>
      <c r="AQ117" s="182"/>
      <c r="AR117" s="182" t="e">
        <f t="shared" si="100"/>
        <v>#N/A</v>
      </c>
      <c r="AS117" s="390"/>
      <c r="AT117" s="182"/>
      <c r="AU117" s="182"/>
      <c r="AV117" s="182"/>
      <c r="AW117" s="182" t="e">
        <f t="shared" si="101"/>
        <v>#N/A</v>
      </c>
      <c r="AX117" s="390"/>
      <c r="AZ117" s="182" t="e">
        <f t="shared" si="102"/>
        <v>#N/A</v>
      </c>
      <c r="BA117" s="390"/>
    </row>
    <row r="118" spans="2:53">
      <c r="B118" s="395"/>
      <c r="C118" s="182">
        <v>12</v>
      </c>
      <c r="D118" s="203"/>
      <c r="E118" s="166"/>
      <c r="F118" s="182"/>
      <c r="G118" s="180"/>
      <c r="H118" s="402"/>
      <c r="I118" s="166" t="str">
        <f t="shared" si="92"/>
        <v>-</v>
      </c>
      <c r="J118" s="166" t="str">
        <f t="shared" si="93"/>
        <v>-</v>
      </c>
      <c r="K118" s="180" t="str">
        <f t="shared" si="94"/>
        <v>-</v>
      </c>
      <c r="L118" s="402"/>
      <c r="M118" s="181" t="e">
        <f>RANK(K118, K$87:$K$101)</f>
        <v>#VALUE!</v>
      </c>
      <c r="N118" s="389"/>
      <c r="O118" s="389"/>
      <c r="P118" s="182"/>
      <c r="Q118" s="182"/>
      <c r="R118" s="182"/>
      <c r="S118" s="182" t="e">
        <f t="shared" si="95"/>
        <v>#N/A</v>
      </c>
      <c r="T118" s="390"/>
      <c r="U118" s="182"/>
      <c r="V118" s="182"/>
      <c r="W118" s="182"/>
      <c r="X118" s="182" t="e">
        <f t="shared" si="96"/>
        <v>#N/A</v>
      </c>
      <c r="Y118" s="390"/>
      <c r="Z118" s="182"/>
      <c r="AA118" s="182"/>
      <c r="AB118" s="182"/>
      <c r="AC118" s="182" t="e">
        <f t="shared" si="97"/>
        <v>#N/A</v>
      </c>
      <c r="AD118" s="390"/>
      <c r="AE118" s="182"/>
      <c r="AF118" s="182"/>
      <c r="AG118" s="182"/>
      <c r="AH118" s="182" t="e">
        <f t="shared" si="98"/>
        <v>#N/A</v>
      </c>
      <c r="AI118" s="390"/>
      <c r="AJ118" s="182"/>
      <c r="AK118" s="182"/>
      <c r="AL118" s="182"/>
      <c r="AM118" s="182" t="e">
        <f t="shared" si="99"/>
        <v>#N/A</v>
      </c>
      <c r="AN118" s="390"/>
      <c r="AO118" s="182"/>
      <c r="AP118" s="182"/>
      <c r="AQ118" s="182"/>
      <c r="AR118" s="182" t="e">
        <f t="shared" si="100"/>
        <v>#N/A</v>
      </c>
      <c r="AS118" s="390"/>
      <c r="AT118" s="182"/>
      <c r="AU118" s="182"/>
      <c r="AV118" s="182"/>
      <c r="AW118" s="182" t="e">
        <f t="shared" si="101"/>
        <v>#N/A</v>
      </c>
      <c r="AX118" s="390"/>
      <c r="AZ118" s="182" t="e">
        <f t="shared" si="102"/>
        <v>#N/A</v>
      </c>
      <c r="BA118" s="390"/>
    </row>
    <row r="119" spans="2:53">
      <c r="B119" s="395"/>
      <c r="C119" s="182">
        <v>13</v>
      </c>
      <c r="D119" s="203"/>
      <c r="E119" s="166"/>
      <c r="F119" s="182"/>
      <c r="G119" s="180"/>
      <c r="H119" s="402"/>
      <c r="I119" s="166" t="str">
        <f t="shared" si="92"/>
        <v>-</v>
      </c>
      <c r="J119" s="166" t="str">
        <f t="shared" si="93"/>
        <v>-</v>
      </c>
      <c r="K119" s="180" t="str">
        <f t="shared" si="94"/>
        <v>-</v>
      </c>
      <c r="L119" s="402"/>
      <c r="M119" s="181" t="e">
        <f>RANK(K119, K$87:$K$101)</f>
        <v>#VALUE!</v>
      </c>
      <c r="N119" s="389"/>
      <c r="O119" s="389"/>
      <c r="P119" s="182"/>
      <c r="Q119" s="182"/>
      <c r="R119" s="182"/>
      <c r="S119" s="182" t="e">
        <f t="shared" si="95"/>
        <v>#N/A</v>
      </c>
      <c r="T119" s="390"/>
      <c r="U119" s="182"/>
      <c r="V119" s="182"/>
      <c r="W119" s="182"/>
      <c r="X119" s="182" t="e">
        <f t="shared" si="96"/>
        <v>#N/A</v>
      </c>
      <c r="Y119" s="390"/>
      <c r="Z119" s="182"/>
      <c r="AA119" s="182"/>
      <c r="AB119" s="182"/>
      <c r="AC119" s="182" t="e">
        <f t="shared" si="97"/>
        <v>#N/A</v>
      </c>
      <c r="AD119" s="390"/>
      <c r="AE119" s="182"/>
      <c r="AF119" s="182"/>
      <c r="AG119" s="182"/>
      <c r="AH119" s="182" t="e">
        <f t="shared" si="98"/>
        <v>#N/A</v>
      </c>
      <c r="AI119" s="390"/>
      <c r="AJ119" s="182"/>
      <c r="AK119" s="182"/>
      <c r="AL119" s="182"/>
      <c r="AM119" s="182" t="e">
        <f t="shared" si="99"/>
        <v>#N/A</v>
      </c>
      <c r="AN119" s="390"/>
      <c r="AO119" s="182"/>
      <c r="AP119" s="182"/>
      <c r="AQ119" s="182"/>
      <c r="AR119" s="182" t="e">
        <f t="shared" si="100"/>
        <v>#N/A</v>
      </c>
      <c r="AS119" s="390"/>
      <c r="AT119" s="182"/>
      <c r="AU119" s="182"/>
      <c r="AV119" s="182"/>
      <c r="AW119" s="182" t="e">
        <f t="shared" si="101"/>
        <v>#N/A</v>
      </c>
      <c r="AX119" s="390"/>
      <c r="AZ119" s="182" t="e">
        <f t="shared" si="102"/>
        <v>#N/A</v>
      </c>
      <c r="BA119" s="390"/>
    </row>
    <row r="120" spans="2:53">
      <c r="B120" s="395"/>
      <c r="C120" s="182">
        <v>14</v>
      </c>
      <c r="D120" s="203"/>
      <c r="E120" s="166"/>
      <c r="F120" s="182"/>
      <c r="G120" s="180"/>
      <c r="H120" s="402"/>
      <c r="I120" s="166" t="str">
        <f t="shared" si="92"/>
        <v>-</v>
      </c>
      <c r="J120" s="166" t="str">
        <f t="shared" si="93"/>
        <v>-</v>
      </c>
      <c r="K120" s="180" t="str">
        <f t="shared" si="94"/>
        <v>-</v>
      </c>
      <c r="L120" s="402"/>
      <c r="M120" s="181" t="e">
        <f>RANK(K120, K$87:$K$101)</f>
        <v>#VALUE!</v>
      </c>
      <c r="N120" s="389"/>
      <c r="O120" s="389"/>
      <c r="P120" s="182"/>
      <c r="Q120" s="182"/>
      <c r="R120" s="182"/>
      <c r="S120" s="182" t="e">
        <f t="shared" si="95"/>
        <v>#N/A</v>
      </c>
      <c r="T120" s="390"/>
      <c r="U120" s="182"/>
      <c r="V120" s="182"/>
      <c r="W120" s="182"/>
      <c r="X120" s="182" t="e">
        <f t="shared" si="96"/>
        <v>#N/A</v>
      </c>
      <c r="Y120" s="390"/>
      <c r="Z120" s="182"/>
      <c r="AA120" s="182"/>
      <c r="AB120" s="182"/>
      <c r="AC120" s="182" t="e">
        <f t="shared" si="97"/>
        <v>#N/A</v>
      </c>
      <c r="AD120" s="390"/>
      <c r="AE120" s="182"/>
      <c r="AF120" s="182"/>
      <c r="AG120" s="182"/>
      <c r="AH120" s="182" t="e">
        <f t="shared" si="98"/>
        <v>#N/A</v>
      </c>
      <c r="AI120" s="390"/>
      <c r="AJ120" s="182"/>
      <c r="AK120" s="182"/>
      <c r="AL120" s="182"/>
      <c r="AM120" s="182" t="e">
        <f t="shared" si="99"/>
        <v>#N/A</v>
      </c>
      <c r="AN120" s="390"/>
      <c r="AO120" s="182"/>
      <c r="AP120" s="182"/>
      <c r="AQ120" s="182"/>
      <c r="AR120" s="182" t="e">
        <f t="shared" si="100"/>
        <v>#N/A</v>
      </c>
      <c r="AS120" s="390"/>
      <c r="AT120" s="182"/>
      <c r="AU120" s="182"/>
      <c r="AV120" s="182"/>
      <c r="AW120" s="182" t="e">
        <f t="shared" si="101"/>
        <v>#N/A</v>
      </c>
      <c r="AX120" s="390"/>
      <c r="AZ120" s="182" t="e">
        <f t="shared" si="102"/>
        <v>#N/A</v>
      </c>
      <c r="BA120" s="390"/>
    </row>
    <row r="121" spans="2:53">
      <c r="B121" s="395"/>
      <c r="C121" s="182">
        <v>15</v>
      </c>
      <c r="D121" s="203"/>
      <c r="E121" s="166"/>
      <c r="F121" s="182"/>
      <c r="G121" s="180"/>
      <c r="H121" s="403"/>
      <c r="I121" s="182"/>
      <c r="J121" s="182"/>
      <c r="K121" s="182"/>
      <c r="L121" s="403"/>
      <c r="M121" s="166" t="e">
        <f>RANK(K121, K$87:$K$101)</f>
        <v>#N/A</v>
      </c>
      <c r="N121" s="389"/>
      <c r="O121" s="389"/>
      <c r="P121" s="182"/>
      <c r="Q121" s="182"/>
      <c r="R121" s="182"/>
      <c r="S121" s="182" t="e">
        <f t="shared" si="95"/>
        <v>#N/A</v>
      </c>
      <c r="T121" s="390"/>
      <c r="U121" s="182"/>
      <c r="V121" s="182"/>
      <c r="W121" s="182"/>
      <c r="X121" s="182" t="e">
        <f t="shared" si="96"/>
        <v>#N/A</v>
      </c>
      <c r="Y121" s="390"/>
      <c r="Z121" s="182"/>
      <c r="AA121" s="182"/>
      <c r="AB121" s="182"/>
      <c r="AC121" s="182" t="e">
        <f t="shared" si="97"/>
        <v>#N/A</v>
      </c>
      <c r="AD121" s="390"/>
      <c r="AE121" s="182"/>
      <c r="AF121" s="182"/>
      <c r="AG121" s="182"/>
      <c r="AH121" s="182" t="e">
        <f t="shared" si="98"/>
        <v>#N/A</v>
      </c>
      <c r="AI121" s="390"/>
      <c r="AJ121" s="182"/>
      <c r="AK121" s="182"/>
      <c r="AL121" s="182"/>
      <c r="AM121" s="182" t="e">
        <f t="shared" si="99"/>
        <v>#N/A</v>
      </c>
      <c r="AN121" s="390"/>
      <c r="AO121" s="182"/>
      <c r="AP121" s="182"/>
      <c r="AQ121" s="182"/>
      <c r="AR121" s="182" t="e">
        <f t="shared" si="100"/>
        <v>#N/A</v>
      </c>
      <c r="AS121" s="390"/>
      <c r="AT121" s="182"/>
      <c r="AU121" s="182"/>
      <c r="AV121" s="182"/>
      <c r="AW121" s="182" t="e">
        <f t="shared" si="101"/>
        <v>#N/A</v>
      </c>
      <c r="AX121" s="390"/>
      <c r="AZ121" s="182" t="e">
        <f t="shared" si="102"/>
        <v>#N/A</v>
      </c>
      <c r="BA121" s="390"/>
    </row>
    <row r="123" spans="2:53" ht="15.75">
      <c r="B123" s="397" t="s">
        <v>486</v>
      </c>
      <c r="C123" s="398"/>
      <c r="D123" s="398"/>
      <c r="E123" s="398"/>
      <c r="F123" s="398"/>
      <c r="G123" s="398"/>
      <c r="H123" s="398"/>
      <c r="I123" s="273"/>
      <c r="J123" s="273"/>
      <c r="K123" s="273"/>
      <c r="L123" s="273"/>
      <c r="M123" s="274"/>
    </row>
    <row r="124" spans="2:53" ht="15.75">
      <c r="B124" s="399"/>
      <c r="C124" s="399"/>
      <c r="D124" s="399"/>
      <c r="E124" s="399"/>
      <c r="F124" s="399"/>
      <c r="G124" s="399"/>
      <c r="H124" s="399"/>
      <c r="I124" s="275"/>
      <c r="J124" s="275"/>
      <c r="K124" s="275"/>
      <c r="L124" s="275"/>
      <c r="M124" s="276"/>
    </row>
    <row r="125" spans="2:53">
      <c r="B125" s="389" t="s">
        <v>487</v>
      </c>
      <c r="C125" s="389" t="s">
        <v>488</v>
      </c>
      <c r="D125" s="389"/>
      <c r="E125" s="389" t="s">
        <v>489</v>
      </c>
      <c r="F125" s="389"/>
      <c r="G125" s="389"/>
      <c r="H125" s="417" t="s">
        <v>490</v>
      </c>
      <c r="I125" s="400" t="s">
        <v>491</v>
      </c>
      <c r="J125" s="400"/>
      <c r="K125" s="400"/>
      <c r="L125" s="490" t="s">
        <v>490</v>
      </c>
      <c r="M125" s="493" t="s">
        <v>492</v>
      </c>
    </row>
    <row r="126" spans="2:53">
      <c r="B126" s="389"/>
      <c r="C126" s="389"/>
      <c r="D126" s="389"/>
      <c r="E126" s="389" t="s">
        <v>493</v>
      </c>
      <c r="F126" s="389"/>
      <c r="G126" s="389"/>
      <c r="H126" s="418"/>
      <c r="I126" s="400" t="s">
        <v>493</v>
      </c>
      <c r="J126" s="400"/>
      <c r="K126" s="400"/>
      <c r="L126" s="491"/>
      <c r="M126" s="494"/>
    </row>
    <row r="127" spans="2:53">
      <c r="B127" s="389"/>
      <c r="C127" s="389"/>
      <c r="D127" s="389"/>
      <c r="E127" s="258" t="s">
        <v>494</v>
      </c>
      <c r="F127" s="258" t="s">
        <v>495</v>
      </c>
      <c r="G127" s="258" t="s">
        <v>496</v>
      </c>
      <c r="H127" s="419"/>
      <c r="I127" s="277" t="s">
        <v>494</v>
      </c>
      <c r="J127" s="277" t="s">
        <v>495</v>
      </c>
      <c r="K127" s="277" t="s">
        <v>496</v>
      </c>
      <c r="L127" s="492"/>
      <c r="M127" s="495"/>
    </row>
    <row r="128" spans="2:53">
      <c r="B128" s="389" t="s">
        <v>500</v>
      </c>
      <c r="C128" s="182">
        <v>1</v>
      </c>
      <c r="D128" s="203"/>
      <c r="E128" s="166"/>
      <c r="F128" s="182"/>
      <c r="G128" s="180"/>
      <c r="H128" s="401" t="e">
        <f>AVERAGE(G128:G142)</f>
        <v>#DIV/0!</v>
      </c>
      <c r="I128" s="166" t="e">
        <f t="shared" ref="I128:J128" si="103">AVERAGEIF($D$7:$D$121,$D128,I$7:I$121)</f>
        <v>#DIV/0!</v>
      </c>
      <c r="J128" s="166" t="e">
        <f t="shared" si="103"/>
        <v>#DIV/0!</v>
      </c>
      <c r="K128" s="166" t="e">
        <f>AVERAGEIF($D$7:$D$121,$D128,K$7:K$121)</f>
        <v>#DIV/0!</v>
      </c>
      <c r="L128" s="487" t="e">
        <f>AVERAGE(K128:K142)</f>
        <v>#DIV/0!</v>
      </c>
      <c r="M128" s="166" t="e">
        <f>RANK(K128, K$128:$K$142)</f>
        <v>#DIV/0!</v>
      </c>
    </row>
    <row r="129" spans="2:39">
      <c r="B129" s="395"/>
      <c r="C129" s="182">
        <v>2</v>
      </c>
      <c r="D129" s="203"/>
      <c r="E129" s="166"/>
      <c r="F129" s="182"/>
      <c r="G129" s="180"/>
      <c r="H129" s="402"/>
      <c r="I129" s="166"/>
      <c r="J129" s="166"/>
      <c r="K129" s="166"/>
      <c r="L129" s="488"/>
      <c r="M129" s="166" t="e">
        <f>RANK(K129, K$128:$K$142)</f>
        <v>#DIV/0!</v>
      </c>
      <c r="N129" s="103"/>
      <c r="O129" s="103"/>
      <c r="P129" s="103"/>
      <c r="Q129" s="103"/>
      <c r="R129" s="103"/>
      <c r="S129" s="103"/>
      <c r="T129" s="103"/>
      <c r="X129" s="103"/>
      <c r="AC129" s="103"/>
      <c r="AH129" s="103"/>
      <c r="AM129" s="103"/>
    </row>
    <row r="130" spans="2:39">
      <c r="B130" s="395"/>
      <c r="C130" s="182">
        <v>3</v>
      </c>
      <c r="D130" s="203"/>
      <c r="E130" s="166"/>
      <c r="F130" s="182"/>
      <c r="G130" s="180"/>
      <c r="H130" s="402"/>
      <c r="I130" s="166"/>
      <c r="J130" s="166"/>
      <c r="K130" s="166"/>
      <c r="L130" s="488"/>
      <c r="M130" s="166" t="e">
        <f>RANK(K130, K$128:$K$142)</f>
        <v>#DIV/0!</v>
      </c>
      <c r="N130" s="103"/>
      <c r="O130" s="103"/>
      <c r="P130" s="103"/>
      <c r="Q130" s="103"/>
      <c r="R130" s="103"/>
      <c r="S130" s="103"/>
      <c r="T130" s="103"/>
      <c r="X130" s="103"/>
      <c r="AC130" s="103"/>
      <c r="AH130" s="103"/>
      <c r="AM130" s="103"/>
    </row>
    <row r="131" spans="2:39">
      <c r="B131" s="395"/>
      <c r="C131" s="182">
        <v>4</v>
      </c>
      <c r="D131" s="203"/>
      <c r="E131" s="166"/>
      <c r="F131" s="182"/>
      <c r="G131" s="180"/>
      <c r="H131" s="402"/>
      <c r="I131" s="166"/>
      <c r="J131" s="166"/>
      <c r="K131" s="166"/>
      <c r="L131" s="488"/>
      <c r="M131" s="166" t="e">
        <f>RANK(K131, K$128:$K$142)</f>
        <v>#DIV/0!</v>
      </c>
      <c r="N131" s="103"/>
      <c r="O131" s="103"/>
      <c r="P131" s="103"/>
      <c r="Q131" s="103"/>
      <c r="R131" s="103"/>
      <c r="S131" s="103"/>
      <c r="T131" s="103"/>
      <c r="X131" s="103"/>
      <c r="AC131" s="103"/>
      <c r="AH131" s="103"/>
      <c r="AM131" s="103"/>
    </row>
    <row r="132" spans="2:39">
      <c r="B132" s="395"/>
      <c r="C132" s="182">
        <v>5</v>
      </c>
      <c r="D132" s="203"/>
      <c r="E132" s="166"/>
      <c r="F132" s="182"/>
      <c r="G132" s="180"/>
      <c r="H132" s="402"/>
      <c r="I132" s="166"/>
      <c r="J132" s="166"/>
      <c r="K132" s="166"/>
      <c r="L132" s="488"/>
      <c r="M132" s="166" t="e">
        <f>RANK(K132, K$128:$K$142)</f>
        <v>#DIV/0!</v>
      </c>
      <c r="N132" s="103"/>
      <c r="O132" s="103"/>
      <c r="P132" s="103"/>
      <c r="Q132" s="103"/>
      <c r="R132" s="103"/>
      <c r="S132" s="103"/>
      <c r="T132" s="103"/>
      <c r="X132" s="103"/>
      <c r="AC132" s="103"/>
      <c r="AH132" s="103"/>
      <c r="AM132" s="103"/>
    </row>
    <row r="133" spans="2:39">
      <c r="B133" s="395"/>
      <c r="C133" s="182">
        <v>6</v>
      </c>
      <c r="D133" s="278"/>
      <c r="E133" s="166"/>
      <c r="F133" s="182"/>
      <c r="G133" s="180"/>
      <c r="H133" s="402"/>
      <c r="I133" s="166"/>
      <c r="J133" s="166"/>
      <c r="K133" s="166"/>
      <c r="L133" s="488"/>
      <c r="M133" s="166" t="e">
        <f>RANK(K133, K$128:$K$142)</f>
        <v>#DIV/0!</v>
      </c>
      <c r="N133" s="103"/>
      <c r="O133" s="103"/>
      <c r="P133" s="103"/>
      <c r="Q133" s="103"/>
      <c r="R133" s="103"/>
      <c r="S133" s="103"/>
      <c r="T133" s="103"/>
      <c r="X133" s="103"/>
      <c r="AC133" s="103"/>
      <c r="AH133" s="103"/>
      <c r="AM133" s="103"/>
    </row>
    <row r="134" spans="2:39">
      <c r="B134" s="395"/>
      <c r="C134" s="182">
        <v>7</v>
      </c>
      <c r="D134" s="203"/>
      <c r="E134" s="166"/>
      <c r="F134" s="182"/>
      <c r="G134" s="180"/>
      <c r="H134" s="402"/>
      <c r="I134" s="166"/>
      <c r="J134" s="166"/>
      <c r="K134" s="166"/>
      <c r="L134" s="488"/>
      <c r="M134" s="166" t="e">
        <f>RANK(K134, K$128:$K$142)</f>
        <v>#DIV/0!</v>
      </c>
      <c r="N134" s="103"/>
      <c r="O134" s="103"/>
      <c r="P134" s="103"/>
      <c r="Q134" s="103"/>
      <c r="R134" s="103"/>
      <c r="S134" s="103"/>
      <c r="T134" s="103"/>
      <c r="X134" s="103"/>
      <c r="AC134" s="103"/>
      <c r="AH134" s="103"/>
      <c r="AM134" s="103"/>
    </row>
    <row r="135" spans="2:39">
      <c r="B135" s="395"/>
      <c r="C135" s="182">
        <v>8</v>
      </c>
      <c r="D135" s="203"/>
      <c r="E135" s="166"/>
      <c r="F135" s="182"/>
      <c r="G135" s="180"/>
      <c r="H135" s="402"/>
      <c r="I135" s="166"/>
      <c r="J135" s="166"/>
      <c r="K135" s="166"/>
      <c r="L135" s="488"/>
      <c r="M135" s="166" t="e">
        <f>RANK(K135, K$128:$K$142)</f>
        <v>#DIV/0!</v>
      </c>
      <c r="N135" s="103"/>
      <c r="O135" s="103"/>
      <c r="P135" s="103"/>
      <c r="Q135" s="103"/>
      <c r="R135" s="103"/>
      <c r="S135" s="103"/>
      <c r="T135" s="103"/>
      <c r="X135" s="103"/>
      <c r="AC135" s="103"/>
      <c r="AH135" s="103"/>
      <c r="AM135" s="103"/>
    </row>
    <row r="136" spans="2:39">
      <c r="B136" s="395"/>
      <c r="C136" s="182">
        <v>9</v>
      </c>
      <c r="D136" s="203"/>
      <c r="E136" s="182"/>
      <c r="F136" s="182"/>
      <c r="G136" s="182"/>
      <c r="H136" s="402"/>
      <c r="I136" s="166"/>
      <c r="J136" s="166"/>
      <c r="K136" s="166"/>
      <c r="L136" s="488"/>
      <c r="M136" s="166" t="e">
        <f>RANK(K136, K$128:$K$142)</f>
        <v>#DIV/0!</v>
      </c>
      <c r="N136" s="103"/>
      <c r="O136" s="103"/>
      <c r="P136" s="103"/>
      <c r="Q136" s="103"/>
      <c r="R136" s="103"/>
      <c r="S136" s="103"/>
      <c r="T136" s="103"/>
      <c r="X136" s="103"/>
      <c r="AC136" s="103"/>
      <c r="AH136" s="103"/>
      <c r="AM136" s="103"/>
    </row>
    <row r="137" spans="2:39">
      <c r="B137" s="395"/>
      <c r="C137" s="182">
        <v>10</v>
      </c>
      <c r="D137" s="203"/>
      <c r="E137" s="182"/>
      <c r="F137" s="182"/>
      <c r="G137" s="182"/>
      <c r="H137" s="402"/>
      <c r="I137" s="166"/>
      <c r="J137" s="166"/>
      <c r="K137" s="166"/>
      <c r="L137" s="488"/>
      <c r="M137" s="166" t="e">
        <f>RANK(K137, K$128:$K$142)</f>
        <v>#DIV/0!</v>
      </c>
      <c r="N137" s="103"/>
      <c r="O137" s="103"/>
      <c r="P137" s="103"/>
      <c r="Q137" s="103"/>
      <c r="R137" s="103"/>
      <c r="S137" s="103"/>
      <c r="T137" s="103"/>
      <c r="X137" s="103"/>
      <c r="AC137" s="103"/>
      <c r="AH137" s="103"/>
      <c r="AM137" s="103"/>
    </row>
    <row r="138" spans="2:39">
      <c r="B138" s="395"/>
      <c r="C138" s="182">
        <v>11</v>
      </c>
      <c r="D138" s="203"/>
      <c r="E138" s="182"/>
      <c r="F138" s="182"/>
      <c r="G138" s="182"/>
      <c r="H138" s="402"/>
      <c r="I138" s="166"/>
      <c r="J138" s="166"/>
      <c r="K138" s="166"/>
      <c r="L138" s="488"/>
      <c r="M138" s="166" t="e">
        <f>RANK(K138, K$128:$K$142)</f>
        <v>#DIV/0!</v>
      </c>
      <c r="N138" s="103"/>
      <c r="O138" s="103"/>
      <c r="P138" s="103"/>
      <c r="Q138" s="103"/>
      <c r="R138" s="103"/>
      <c r="S138" s="103"/>
      <c r="T138" s="103"/>
      <c r="X138" s="103"/>
      <c r="AC138" s="103"/>
      <c r="AH138" s="103"/>
      <c r="AM138" s="103"/>
    </row>
    <row r="139" spans="2:39">
      <c r="B139" s="395"/>
      <c r="C139" s="182">
        <v>12</v>
      </c>
      <c r="D139" s="203"/>
      <c r="E139" s="182"/>
      <c r="F139" s="182"/>
      <c r="G139" s="182"/>
      <c r="H139" s="402"/>
      <c r="I139" s="166"/>
      <c r="J139" s="166"/>
      <c r="K139" s="166"/>
      <c r="L139" s="488"/>
      <c r="M139" s="166" t="e">
        <f>RANK(K139, K$128:$K$142)</f>
        <v>#DIV/0!</v>
      </c>
      <c r="N139" s="103"/>
      <c r="O139" s="103"/>
      <c r="P139" s="103"/>
      <c r="Q139" s="103"/>
      <c r="R139" s="103"/>
      <c r="S139" s="103"/>
      <c r="T139" s="103"/>
      <c r="X139" s="103"/>
      <c r="AC139" s="103"/>
      <c r="AH139" s="103"/>
      <c r="AM139" s="103"/>
    </row>
    <row r="140" spans="2:39">
      <c r="B140" s="395"/>
      <c r="C140" s="182">
        <v>13</v>
      </c>
      <c r="D140" s="203"/>
      <c r="E140" s="182"/>
      <c r="F140" s="182"/>
      <c r="G140" s="182"/>
      <c r="H140" s="402"/>
      <c r="I140" s="166"/>
      <c r="J140" s="166"/>
      <c r="K140" s="166"/>
      <c r="L140" s="488"/>
      <c r="M140" s="166" t="e">
        <f>RANK(K140, K$128:$K$142)</f>
        <v>#DIV/0!</v>
      </c>
      <c r="N140" s="103"/>
      <c r="O140" s="103"/>
      <c r="P140" s="103"/>
      <c r="Q140" s="103"/>
      <c r="R140" s="103"/>
      <c r="S140" s="103"/>
      <c r="T140" s="103"/>
      <c r="X140" s="103"/>
      <c r="AC140" s="103"/>
      <c r="AH140" s="103"/>
      <c r="AM140" s="103"/>
    </row>
    <row r="141" spans="2:39">
      <c r="B141" s="395"/>
      <c r="C141" s="182">
        <v>14</v>
      </c>
      <c r="D141" s="203"/>
      <c r="E141" s="182"/>
      <c r="F141" s="182"/>
      <c r="G141" s="182"/>
      <c r="H141" s="402"/>
      <c r="I141" s="166"/>
      <c r="J141" s="166"/>
      <c r="K141" s="166"/>
      <c r="L141" s="488"/>
      <c r="M141" s="166" t="e">
        <f>RANK(K141, K$128:$K$142)</f>
        <v>#DIV/0!</v>
      </c>
      <c r="N141" s="103"/>
      <c r="O141" s="103"/>
      <c r="P141" s="103"/>
      <c r="Q141" s="103"/>
      <c r="R141" s="103"/>
      <c r="S141" s="103"/>
      <c r="T141" s="103"/>
      <c r="X141" s="103"/>
      <c r="AC141" s="103"/>
      <c r="AH141" s="103"/>
      <c r="AM141" s="103"/>
    </row>
    <row r="142" spans="2:39">
      <c r="B142" s="395"/>
      <c r="C142" s="182">
        <v>15</v>
      </c>
      <c r="D142" s="203"/>
      <c r="E142" s="182"/>
      <c r="F142" s="182"/>
      <c r="G142" s="182"/>
      <c r="H142" s="403"/>
      <c r="I142" s="166"/>
      <c r="J142" s="166"/>
      <c r="K142" s="166"/>
      <c r="L142" s="489"/>
      <c r="M142" s="166" t="e">
        <f>RANK(K142, K$128:$K$142)</f>
        <v>#DIV/0!</v>
      </c>
      <c r="N142" s="103"/>
      <c r="O142" s="103"/>
      <c r="P142" s="103"/>
      <c r="Q142" s="103"/>
      <c r="R142" s="103"/>
      <c r="S142" s="103"/>
      <c r="T142" s="103"/>
      <c r="X142" s="103"/>
      <c r="AC142" s="103"/>
      <c r="AH142" s="103"/>
      <c r="AM142" s="103"/>
    </row>
  </sheetData>
  <mergeCells count="380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E7:AE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BA247"/>
  <sheetViews>
    <sheetView topLeftCell="A130" zoomScale="55" zoomScaleNormal="55" workbookViewId="0">
      <pane xSplit="15" topLeftCell="Q1" activePane="topRight" state="frozen"/>
      <selection activeCell="L87" sqref="L87:L101"/>
      <selection pane="topRight" activeCell="Y147" sqref="Y147:Y176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51" width="8.85546875" style="103"/>
    <col min="52" max="52" width="5.42578125" style="103" customWidth="1"/>
    <col min="53" max="53" width="13.140625" style="103" customWidth="1"/>
    <col min="54" max="16384" width="8.85546875" style="103"/>
  </cols>
  <sheetData>
    <row r="1" spans="1:53" ht="24">
      <c r="A1" s="74"/>
      <c r="B1" s="198" t="s">
        <v>314</v>
      </c>
      <c r="C1" s="197">
        <f>AVERAGE(L7,L42,L77,L112,L147,L182)</f>
        <v>88.002950992743735</v>
      </c>
    </row>
    <row r="2" spans="1:53" ht="15.75">
      <c r="A2" s="79"/>
      <c r="B2" s="414" t="s">
        <v>163</v>
      </c>
      <c r="C2" s="414"/>
      <c r="D2" s="414"/>
      <c r="E2" s="414"/>
      <c r="F2" s="414"/>
      <c r="G2" s="414"/>
      <c r="H2" s="414"/>
      <c r="I2" s="183"/>
      <c r="J2" s="183"/>
      <c r="K2" s="183"/>
      <c r="L2" s="183"/>
      <c r="M2" s="178"/>
      <c r="N2" s="391" t="s">
        <v>156</v>
      </c>
      <c r="O2" s="391" t="s">
        <v>155</v>
      </c>
      <c r="P2" s="421">
        <v>46140</v>
      </c>
      <c r="Q2" s="422"/>
      <c r="R2" s="422"/>
      <c r="S2" s="422"/>
      <c r="T2" s="423"/>
      <c r="U2" s="413">
        <f>P2+1</f>
        <v>46141</v>
      </c>
      <c r="V2" s="395"/>
      <c r="W2" s="395"/>
      <c r="X2" s="395"/>
      <c r="Y2" s="395"/>
      <c r="Z2" s="413">
        <f>U2+1</f>
        <v>46142</v>
      </c>
      <c r="AA2" s="395"/>
      <c r="AB2" s="395"/>
      <c r="AC2" s="395"/>
      <c r="AD2" s="395"/>
      <c r="AE2" s="413">
        <f>Z2+1</f>
        <v>46143</v>
      </c>
      <c r="AF2" s="395"/>
      <c r="AG2" s="395"/>
      <c r="AH2" s="395"/>
      <c r="AI2" s="395"/>
      <c r="AJ2" s="413">
        <f>AE2+1</f>
        <v>46144</v>
      </c>
      <c r="AK2" s="395"/>
      <c r="AL2" s="395"/>
      <c r="AM2" s="395"/>
      <c r="AN2" s="395"/>
      <c r="AO2" s="413">
        <f>AJ2+1</f>
        <v>46145</v>
      </c>
      <c r="AP2" s="395"/>
      <c r="AQ2" s="395"/>
      <c r="AR2" s="395"/>
      <c r="AS2" s="395"/>
      <c r="AT2" s="410">
        <f>AO2+1</f>
        <v>46146</v>
      </c>
      <c r="AU2" s="411"/>
      <c r="AV2" s="411"/>
      <c r="AW2" s="411"/>
      <c r="AX2" s="412"/>
    </row>
    <row r="3" spans="1:53" ht="15.75">
      <c r="A3" s="79"/>
      <c r="B3" s="420"/>
      <c r="C3" s="420"/>
      <c r="D3" s="420"/>
      <c r="E3" s="420"/>
      <c r="F3" s="420"/>
      <c r="G3" s="420"/>
      <c r="H3" s="420"/>
      <c r="I3" s="184"/>
      <c r="J3" s="184"/>
      <c r="K3" s="184"/>
      <c r="L3" s="184"/>
      <c r="M3" s="179"/>
      <c r="N3" s="393"/>
      <c r="O3" s="393"/>
      <c r="P3" s="410" t="s">
        <v>158</v>
      </c>
      <c r="Q3" s="411"/>
      <c r="R3" s="411"/>
      <c r="S3" s="411"/>
      <c r="T3" s="412"/>
      <c r="U3" s="410" t="s">
        <v>114</v>
      </c>
      <c r="V3" s="411"/>
      <c r="W3" s="411"/>
      <c r="X3" s="411"/>
      <c r="Y3" s="412"/>
      <c r="Z3" s="410" t="s">
        <v>159</v>
      </c>
      <c r="AA3" s="411"/>
      <c r="AB3" s="411"/>
      <c r="AC3" s="411"/>
      <c r="AD3" s="412"/>
      <c r="AE3" s="410" t="s">
        <v>157</v>
      </c>
      <c r="AF3" s="411"/>
      <c r="AG3" s="411"/>
      <c r="AH3" s="411"/>
      <c r="AI3" s="412"/>
      <c r="AJ3" s="410" t="s">
        <v>160</v>
      </c>
      <c r="AK3" s="411"/>
      <c r="AL3" s="411"/>
      <c r="AM3" s="411"/>
      <c r="AN3" s="412"/>
      <c r="AO3" s="410" t="s">
        <v>161</v>
      </c>
      <c r="AP3" s="411"/>
      <c r="AQ3" s="411"/>
      <c r="AR3" s="411"/>
      <c r="AS3" s="412"/>
      <c r="AT3" s="410" t="s">
        <v>162</v>
      </c>
      <c r="AU3" s="411"/>
      <c r="AV3" s="411"/>
      <c r="AW3" s="411"/>
      <c r="AX3" s="412"/>
    </row>
    <row r="4" spans="1:53" ht="14.25">
      <c r="A4" s="79"/>
      <c r="B4" s="389" t="s">
        <v>154</v>
      </c>
      <c r="C4" s="389" t="s">
        <v>386</v>
      </c>
      <c r="D4" s="389"/>
      <c r="E4" s="389" t="s">
        <v>377</v>
      </c>
      <c r="F4" s="389"/>
      <c r="G4" s="389"/>
      <c r="H4" s="417" t="s">
        <v>373</v>
      </c>
      <c r="I4" s="389" t="s">
        <v>378</v>
      </c>
      <c r="J4" s="389"/>
      <c r="K4" s="389"/>
      <c r="L4" s="417" t="s">
        <v>373</v>
      </c>
      <c r="M4" s="391" t="s">
        <v>374</v>
      </c>
      <c r="N4" s="389"/>
      <c r="O4" s="389" t="s">
        <v>379</v>
      </c>
      <c r="P4" s="404" t="s">
        <v>375</v>
      </c>
      <c r="Q4" s="405"/>
      <c r="R4" s="405"/>
      <c r="S4" s="406"/>
      <c r="T4" s="389" t="s">
        <v>373</v>
      </c>
      <c r="U4" s="404" t="s">
        <v>375</v>
      </c>
      <c r="V4" s="405"/>
      <c r="W4" s="405"/>
      <c r="X4" s="406"/>
      <c r="Y4" s="389" t="s">
        <v>373</v>
      </c>
      <c r="Z4" s="404" t="s">
        <v>375</v>
      </c>
      <c r="AA4" s="405"/>
      <c r="AB4" s="405"/>
      <c r="AC4" s="406"/>
      <c r="AD4" s="389" t="s">
        <v>373</v>
      </c>
      <c r="AE4" s="404" t="s">
        <v>375</v>
      </c>
      <c r="AF4" s="405"/>
      <c r="AG4" s="405"/>
      <c r="AH4" s="406"/>
      <c r="AI4" s="389" t="s">
        <v>373</v>
      </c>
      <c r="AJ4" s="404" t="s">
        <v>375</v>
      </c>
      <c r="AK4" s="405"/>
      <c r="AL4" s="405"/>
      <c r="AM4" s="406"/>
      <c r="AN4" s="389" t="s">
        <v>373</v>
      </c>
      <c r="AO4" s="404" t="s">
        <v>375</v>
      </c>
      <c r="AP4" s="405"/>
      <c r="AQ4" s="405"/>
      <c r="AR4" s="406"/>
      <c r="AS4" s="389" t="s">
        <v>373</v>
      </c>
      <c r="AT4" s="404" t="s">
        <v>375</v>
      </c>
      <c r="AU4" s="405"/>
      <c r="AV4" s="405"/>
      <c r="AW4" s="406"/>
      <c r="AX4" s="389" t="s">
        <v>373</v>
      </c>
      <c r="BA4" s="389" t="s">
        <v>373</v>
      </c>
    </row>
    <row r="5" spans="1:53" ht="14.25">
      <c r="A5" s="79"/>
      <c r="B5" s="389"/>
      <c r="C5" s="389"/>
      <c r="D5" s="389"/>
      <c r="E5" s="389" t="s">
        <v>380</v>
      </c>
      <c r="F5" s="389"/>
      <c r="G5" s="389"/>
      <c r="H5" s="418"/>
      <c r="I5" s="389" t="s">
        <v>380</v>
      </c>
      <c r="J5" s="389"/>
      <c r="K5" s="389"/>
      <c r="L5" s="418"/>
      <c r="M5" s="392"/>
      <c r="N5" s="389"/>
      <c r="O5" s="389"/>
      <c r="P5" s="404" t="s">
        <v>381</v>
      </c>
      <c r="Q5" s="405"/>
      <c r="R5" s="405"/>
      <c r="S5" s="406"/>
      <c r="T5" s="389"/>
      <c r="U5" s="404" t="s">
        <v>381</v>
      </c>
      <c r="V5" s="405"/>
      <c r="W5" s="405"/>
      <c r="X5" s="406"/>
      <c r="Y5" s="389"/>
      <c r="Z5" s="404" t="s">
        <v>381</v>
      </c>
      <c r="AA5" s="405"/>
      <c r="AB5" s="405"/>
      <c r="AC5" s="406"/>
      <c r="AD5" s="389"/>
      <c r="AE5" s="404" t="s">
        <v>381</v>
      </c>
      <c r="AF5" s="405"/>
      <c r="AG5" s="405"/>
      <c r="AH5" s="406"/>
      <c r="AI5" s="389"/>
      <c r="AJ5" s="404" t="s">
        <v>381</v>
      </c>
      <c r="AK5" s="405"/>
      <c r="AL5" s="405"/>
      <c r="AM5" s="406"/>
      <c r="AN5" s="389"/>
      <c r="AO5" s="404" t="s">
        <v>381</v>
      </c>
      <c r="AP5" s="405"/>
      <c r="AQ5" s="405"/>
      <c r="AR5" s="406"/>
      <c r="AS5" s="389"/>
      <c r="AT5" s="404" t="s">
        <v>381</v>
      </c>
      <c r="AU5" s="405"/>
      <c r="AV5" s="405"/>
      <c r="AW5" s="406"/>
      <c r="AX5" s="389"/>
      <c r="BA5" s="389"/>
    </row>
    <row r="6" spans="1:53" ht="14.25">
      <c r="A6" s="77"/>
      <c r="B6" s="389"/>
      <c r="C6" s="389"/>
      <c r="D6" s="389"/>
      <c r="E6" s="258" t="s">
        <v>382</v>
      </c>
      <c r="F6" s="258" t="s">
        <v>383</v>
      </c>
      <c r="G6" s="258" t="s">
        <v>384</v>
      </c>
      <c r="H6" s="419"/>
      <c r="I6" s="258" t="s">
        <v>382</v>
      </c>
      <c r="J6" s="258" t="s">
        <v>383</v>
      </c>
      <c r="K6" s="258" t="s">
        <v>384</v>
      </c>
      <c r="L6" s="419"/>
      <c r="M6" s="393"/>
      <c r="N6" s="389"/>
      <c r="O6" s="389"/>
      <c r="P6" s="258" t="s">
        <v>382</v>
      </c>
      <c r="Q6" s="258" t="s">
        <v>383</v>
      </c>
      <c r="R6" s="258" t="s">
        <v>384</v>
      </c>
      <c r="S6" s="258" t="s">
        <v>374</v>
      </c>
      <c r="T6" s="389"/>
      <c r="U6" s="258" t="s">
        <v>382</v>
      </c>
      <c r="V6" s="258" t="s">
        <v>383</v>
      </c>
      <c r="W6" s="258" t="s">
        <v>384</v>
      </c>
      <c r="X6" s="258" t="s">
        <v>374</v>
      </c>
      <c r="Y6" s="389"/>
      <c r="Z6" s="258" t="s">
        <v>382</v>
      </c>
      <c r="AA6" s="258" t="s">
        <v>383</v>
      </c>
      <c r="AB6" s="258" t="s">
        <v>384</v>
      </c>
      <c r="AC6" s="258" t="s">
        <v>374</v>
      </c>
      <c r="AD6" s="389"/>
      <c r="AE6" s="258" t="s">
        <v>382</v>
      </c>
      <c r="AF6" s="258" t="s">
        <v>383</v>
      </c>
      <c r="AG6" s="258" t="s">
        <v>384</v>
      </c>
      <c r="AH6" s="258" t="s">
        <v>374</v>
      </c>
      <c r="AI6" s="389"/>
      <c r="AJ6" s="258" t="s">
        <v>382</v>
      </c>
      <c r="AK6" s="258" t="s">
        <v>383</v>
      </c>
      <c r="AL6" s="258" t="s">
        <v>384</v>
      </c>
      <c r="AM6" s="258" t="s">
        <v>374</v>
      </c>
      <c r="AN6" s="389"/>
      <c r="AO6" s="258" t="s">
        <v>382</v>
      </c>
      <c r="AP6" s="258" t="s">
        <v>383</v>
      </c>
      <c r="AQ6" s="258" t="s">
        <v>384</v>
      </c>
      <c r="AR6" s="258" t="s">
        <v>374</v>
      </c>
      <c r="AS6" s="389"/>
      <c r="AT6" s="258" t="s">
        <v>382</v>
      </c>
      <c r="AU6" s="258" t="s">
        <v>383</v>
      </c>
      <c r="AV6" s="258" t="s">
        <v>384</v>
      </c>
      <c r="AW6" s="258" t="s">
        <v>374</v>
      </c>
      <c r="AX6" s="389"/>
      <c r="AZ6" s="258" t="s">
        <v>374</v>
      </c>
      <c r="BA6" s="389"/>
    </row>
    <row r="7" spans="1:53" ht="14.25">
      <c r="A7" s="79"/>
      <c r="B7" s="389" t="s">
        <v>134</v>
      </c>
      <c r="C7" s="182">
        <v>1</v>
      </c>
      <c r="D7" s="203" t="s">
        <v>346</v>
      </c>
      <c r="E7" s="166">
        <v>6</v>
      </c>
      <c r="F7" s="182">
        <v>1500</v>
      </c>
      <c r="G7" s="180">
        <v>250</v>
      </c>
      <c r="H7" s="401">
        <f>AVERAGE(G7:G36)</f>
        <v>97.670370370370378</v>
      </c>
      <c r="I7" s="166">
        <f>IFERROR(AVERAGE(P7,U7,Z7,AE7,AJ7,AO7,AT7),"-")</f>
        <v>6</v>
      </c>
      <c r="J7" s="166">
        <f>IFERROR(AVERAGE(Q7,V7,AA7,AF7,AK7,AP7,AU7),"-")</f>
        <v>1476.7648215373902</v>
      </c>
      <c r="K7" s="180">
        <f>IFERROR(AVERAGE(R7,W7,AB7,AG7,AL7,AQ7,AV7),"-")</f>
        <v>246.12747025623165</v>
      </c>
      <c r="L7" s="401">
        <f>IFERROR(AVERAGE(K7:K36),"-")</f>
        <v>85.436032289039062</v>
      </c>
      <c r="M7" s="181">
        <f>RANK(K7, K$7:$K$36)</f>
        <v>1</v>
      </c>
      <c r="N7" s="389"/>
      <c r="O7" s="389"/>
      <c r="P7" s="182">
        <v>6</v>
      </c>
      <c r="Q7" s="166">
        <v>1460.7209302325575</v>
      </c>
      <c r="R7" s="166">
        <v>243.45348837209292</v>
      </c>
      <c r="S7" s="182">
        <f>RANK(R7, R$7:R$36)</f>
        <v>2</v>
      </c>
      <c r="T7" s="390">
        <f>AVERAGE(R7:R36)</f>
        <v>89.19047216546231</v>
      </c>
      <c r="U7" s="166">
        <v>6</v>
      </c>
      <c r="V7" s="166">
        <v>1493.5609756097565</v>
      </c>
      <c r="W7" s="166">
        <v>248.92682926829275</v>
      </c>
      <c r="X7" s="182">
        <f>RANK(W7, W$7:W$36)</f>
        <v>1</v>
      </c>
      <c r="Y7" s="390">
        <f>AVERAGE(W7:W36)</f>
        <v>88.200947801479344</v>
      </c>
      <c r="Z7" s="182">
        <v>6</v>
      </c>
      <c r="AA7" s="166">
        <v>1474.413559322034</v>
      </c>
      <c r="AB7" s="166">
        <v>245.73559322033898</v>
      </c>
      <c r="AC7" s="182">
        <f>RANK(AB7, AB$7:AB$36)</f>
        <v>2</v>
      </c>
      <c r="AD7" s="390">
        <f>AVERAGE(AB7:AB36)</f>
        <v>88.050704727688</v>
      </c>
      <c r="AE7" s="182">
        <v>6</v>
      </c>
      <c r="AF7" s="166">
        <v>1475.4375</v>
      </c>
      <c r="AG7" s="166">
        <v>245.90625</v>
      </c>
      <c r="AH7" s="182">
        <f>RANK(AG7, AG$7:AG$36)</f>
        <v>1</v>
      </c>
      <c r="AI7" s="390">
        <f>AVERAGE(AG7:AG36)</f>
        <v>88.109433644924195</v>
      </c>
      <c r="AJ7" s="182">
        <v>6</v>
      </c>
      <c r="AK7" s="166">
        <v>1471.7249999999999</v>
      </c>
      <c r="AL7" s="166">
        <v>245.28749999999999</v>
      </c>
      <c r="AM7" s="182">
        <f>RANK(AL7, AL$7:AL$36)</f>
        <v>1</v>
      </c>
      <c r="AN7" s="390">
        <f>AVERAGE(AL7:AL36)</f>
        <v>87.955702665574677</v>
      </c>
      <c r="AO7" s="182">
        <v>6</v>
      </c>
      <c r="AP7" s="166">
        <v>1491.5361702127661</v>
      </c>
      <c r="AQ7" s="166">
        <v>248.58936170212769</v>
      </c>
      <c r="AR7" s="182">
        <f>RANK(AQ7, AQ$7:AQ$36)</f>
        <v>1</v>
      </c>
      <c r="AS7" s="390">
        <f>AVERAGE(AQ7:AQ36)</f>
        <v>89.381477108928792</v>
      </c>
      <c r="AT7" s="182">
        <v>6</v>
      </c>
      <c r="AU7" s="166">
        <v>1469.9596153846162</v>
      </c>
      <c r="AV7" s="166">
        <v>244.99326923076936</v>
      </c>
      <c r="AW7" s="182">
        <f>RANK(AV7, AV$7:AV$36)</f>
        <v>2</v>
      </c>
      <c r="AX7" s="390">
        <f>AVERAGE(AV7:AV36)</f>
        <v>86.123799984718104</v>
      </c>
      <c r="AZ7" s="182" t="e">
        <f>RANK(AY7, AY$7:AY$36)</f>
        <v>#N/A</v>
      </c>
      <c r="BA7" s="390" t="e">
        <f>AVERAGE(AY7:AY36)</f>
        <v>#DIV/0!</v>
      </c>
    </row>
    <row r="8" spans="1:53" ht="15" customHeight="1">
      <c r="A8" s="79"/>
      <c r="B8" s="395"/>
      <c r="C8" s="182">
        <v>2</v>
      </c>
      <c r="D8" s="203" t="s">
        <v>635</v>
      </c>
      <c r="E8" s="166">
        <v>6</v>
      </c>
      <c r="F8" s="182">
        <v>1500</v>
      </c>
      <c r="G8" s="180">
        <v>250</v>
      </c>
      <c r="H8" s="402"/>
      <c r="I8" s="166">
        <f t="shared" ref="I8:I36" si="0">IFERROR(AVERAGE(P8,U8,Z8,AE8,AJ8,AO8,AT8),"-")</f>
        <v>6</v>
      </c>
      <c r="J8" s="166">
        <f t="shared" ref="J8:J36" si="1">IFERROR(AVERAGE(Q8,V8,AA8,AF8,AK8,AP8,AU8),"-")</f>
        <v>1468.7718884302587</v>
      </c>
      <c r="K8" s="180">
        <f t="shared" ref="K8:K36" si="2">IFERROR(AVERAGE(R8,W8,AB8,AG8,AL8,AQ8,AV8),"-")</f>
        <v>244.79531473837645</v>
      </c>
      <c r="L8" s="402"/>
      <c r="M8" s="181">
        <f>RANK(K8, K$7:$K$36)</f>
        <v>2</v>
      </c>
      <c r="N8" s="389"/>
      <c r="O8" s="389"/>
      <c r="P8" s="182">
        <v>6</v>
      </c>
      <c r="Q8" s="166">
        <v>1472.7835051546397</v>
      </c>
      <c r="R8" s="166">
        <v>245.46391752577327</v>
      </c>
      <c r="S8" s="182">
        <f t="shared" ref="S8:S36" si="3">RANK(R8, R$7:R$36)</f>
        <v>1</v>
      </c>
      <c r="T8" s="390"/>
      <c r="U8" s="166">
        <v>6</v>
      </c>
      <c r="V8" s="166">
        <v>1459.3548387096778</v>
      </c>
      <c r="W8" s="166">
        <v>243.22580645161295</v>
      </c>
      <c r="X8" s="182">
        <f t="shared" ref="X8:X36" si="4">RANK(W8, W$7:W$36)</f>
        <v>2</v>
      </c>
      <c r="Y8" s="390"/>
      <c r="Z8" s="182">
        <v>6</v>
      </c>
      <c r="AA8" s="166">
        <v>1486.9879518072282</v>
      </c>
      <c r="AB8" s="166">
        <v>247.83132530120471</v>
      </c>
      <c r="AC8" s="182">
        <f t="shared" ref="AC8:AC36" si="5">RANK(AB8, AB$7:AB$36)</f>
        <v>1</v>
      </c>
      <c r="AD8" s="390"/>
      <c r="AE8" s="182">
        <v>6</v>
      </c>
      <c r="AF8" s="166">
        <v>1459.7468354430373</v>
      </c>
      <c r="AG8" s="166">
        <v>243.29113924050623</v>
      </c>
      <c r="AH8" s="182">
        <f t="shared" ref="AH8:AH36" si="6">RANK(AG8, AG$7:AG$36)</f>
        <v>2</v>
      </c>
      <c r="AI8" s="390"/>
      <c r="AJ8" s="182">
        <v>6</v>
      </c>
      <c r="AK8" s="166">
        <v>1444.1379310344823</v>
      </c>
      <c r="AL8" s="166">
        <v>240.68965517241372</v>
      </c>
      <c r="AM8" s="182">
        <f t="shared" ref="AM8:AM36" si="7">RANK(AL8, AL$7:AL$36)</f>
        <v>2</v>
      </c>
      <c r="AN8" s="390"/>
      <c r="AO8" s="182">
        <v>6</v>
      </c>
      <c r="AP8" s="166">
        <v>1471.0588235294115</v>
      </c>
      <c r="AQ8" s="166">
        <v>245.17647058823525</v>
      </c>
      <c r="AR8" s="182">
        <f t="shared" ref="AR8:AR36" si="8">RANK(AQ8, AQ$7:AQ$36)</f>
        <v>2</v>
      </c>
      <c r="AS8" s="390"/>
      <c r="AT8" s="182">
        <v>6</v>
      </c>
      <c r="AU8" s="166">
        <v>1487.3333333333333</v>
      </c>
      <c r="AV8" s="166">
        <v>247.88888888888889</v>
      </c>
      <c r="AW8" s="182">
        <f t="shared" ref="AW8:AW36" si="9">RANK(AV8, AV$7:AV$36)</f>
        <v>1</v>
      </c>
      <c r="AX8" s="390"/>
      <c r="AZ8" s="182" t="e">
        <f t="shared" ref="AZ8:AZ36" si="10">RANK(AY8, AY$7:AY$36)</f>
        <v>#N/A</v>
      </c>
      <c r="BA8" s="390"/>
    </row>
    <row r="9" spans="1:53" ht="14.25">
      <c r="A9" s="79"/>
      <c r="B9" s="395"/>
      <c r="C9" s="182">
        <v>3</v>
      </c>
      <c r="D9" s="203" t="s">
        <v>619</v>
      </c>
      <c r="E9" s="166">
        <v>18</v>
      </c>
      <c r="F9" s="182">
        <v>1500</v>
      </c>
      <c r="G9" s="180">
        <v>83.3</v>
      </c>
      <c r="H9" s="402"/>
      <c r="I9" s="166">
        <f t="shared" si="0"/>
        <v>18</v>
      </c>
      <c r="J9" s="166">
        <f t="shared" si="1"/>
        <v>1252.0803431262611</v>
      </c>
      <c r="K9" s="180">
        <f t="shared" si="2"/>
        <v>69.560019062570078</v>
      </c>
      <c r="L9" s="402"/>
      <c r="M9" s="181">
        <f>RANK(K9, K$7:$K$36)</f>
        <v>22</v>
      </c>
      <c r="N9" s="389"/>
      <c r="O9" s="389"/>
      <c r="P9" s="182">
        <v>18</v>
      </c>
      <c r="Q9" s="166">
        <v>1223.2499999999984</v>
      </c>
      <c r="R9" s="166">
        <v>67.958333333333243</v>
      </c>
      <c r="S9" s="182">
        <f t="shared" si="3"/>
        <v>22</v>
      </c>
      <c r="T9" s="390"/>
      <c r="U9" s="166">
        <v>18</v>
      </c>
      <c r="V9" s="166">
        <v>1229.9999999999975</v>
      </c>
      <c r="W9" s="166">
        <v>68.333333333333201</v>
      </c>
      <c r="X9" s="182">
        <f t="shared" si="4"/>
        <v>22</v>
      </c>
      <c r="Y9" s="390"/>
      <c r="Z9" s="182">
        <v>18</v>
      </c>
      <c r="AA9" s="166">
        <v>1270.9090909090924</v>
      </c>
      <c r="AB9" s="166">
        <v>70.60606060606068</v>
      </c>
      <c r="AC9" s="182">
        <f t="shared" si="5"/>
        <v>21</v>
      </c>
      <c r="AD9" s="390"/>
      <c r="AE9" s="182">
        <v>18</v>
      </c>
      <c r="AF9" s="166">
        <v>1261.0909090909104</v>
      </c>
      <c r="AG9" s="166">
        <v>70.060606060606133</v>
      </c>
      <c r="AH9" s="182">
        <f t="shared" si="6"/>
        <v>21</v>
      </c>
      <c r="AI9" s="390"/>
      <c r="AJ9" s="182">
        <v>18</v>
      </c>
      <c r="AK9" s="166">
        <v>1251.2307692307686</v>
      </c>
      <c r="AL9" s="166">
        <v>69.512820512820483</v>
      </c>
      <c r="AM9" s="182">
        <f t="shared" si="7"/>
        <v>22</v>
      </c>
      <c r="AN9" s="390"/>
      <c r="AO9" s="182">
        <v>18</v>
      </c>
      <c r="AP9" s="166">
        <v>1273.5918367346942</v>
      </c>
      <c r="AQ9" s="166">
        <v>70.75510204081634</v>
      </c>
      <c r="AR9" s="182">
        <f t="shared" si="8"/>
        <v>22</v>
      </c>
      <c r="AS9" s="390"/>
      <c r="AT9" s="182">
        <v>18</v>
      </c>
      <c r="AU9" s="166">
        <v>1254.4897959183677</v>
      </c>
      <c r="AV9" s="166">
        <v>69.693877551020421</v>
      </c>
      <c r="AW9" s="182">
        <f t="shared" si="9"/>
        <v>22</v>
      </c>
      <c r="AX9" s="390"/>
      <c r="AZ9" s="182" t="e">
        <f t="shared" si="10"/>
        <v>#N/A</v>
      </c>
      <c r="BA9" s="390"/>
    </row>
    <row r="10" spans="1:53" ht="14.25">
      <c r="A10" s="79"/>
      <c r="B10" s="395"/>
      <c r="C10" s="182">
        <v>4</v>
      </c>
      <c r="D10" s="203" t="s">
        <v>578</v>
      </c>
      <c r="E10" s="166">
        <v>18</v>
      </c>
      <c r="F10" s="182">
        <v>1500</v>
      </c>
      <c r="G10" s="180">
        <v>83.3</v>
      </c>
      <c r="H10" s="402"/>
      <c r="I10" s="166">
        <f t="shared" si="0"/>
        <v>18</v>
      </c>
      <c r="J10" s="166">
        <f t="shared" si="1"/>
        <v>1322.4985113929208</v>
      </c>
      <c r="K10" s="180">
        <f t="shared" si="2"/>
        <v>73.472139521828922</v>
      </c>
      <c r="L10" s="402"/>
      <c r="M10" s="181">
        <f>RANK(K10, K$7:$K$36)</f>
        <v>18</v>
      </c>
      <c r="N10" s="389"/>
      <c r="O10" s="389"/>
      <c r="P10" s="182">
        <v>18</v>
      </c>
      <c r="Q10" s="166">
        <v>1335.6521739130435</v>
      </c>
      <c r="R10" s="166">
        <v>74.20289855072464</v>
      </c>
      <c r="S10" s="182">
        <f t="shared" si="3"/>
        <v>18</v>
      </c>
      <c r="T10" s="390"/>
      <c r="U10" s="166">
        <v>18</v>
      </c>
      <c r="V10" s="166">
        <v>1321.7142857142844</v>
      </c>
      <c r="W10" s="166">
        <v>73.42857142857136</v>
      </c>
      <c r="X10" s="182">
        <f t="shared" si="4"/>
        <v>18</v>
      </c>
      <c r="Y10" s="390"/>
      <c r="Z10" s="182">
        <v>18</v>
      </c>
      <c r="AA10" s="166">
        <v>1309.9999999999989</v>
      </c>
      <c r="AB10" s="166">
        <v>72.777777777777715</v>
      </c>
      <c r="AC10" s="182">
        <f t="shared" si="5"/>
        <v>19</v>
      </c>
      <c r="AD10" s="390"/>
      <c r="AE10" s="182">
        <v>18</v>
      </c>
      <c r="AF10" s="166">
        <v>1321.6216216216205</v>
      </c>
      <c r="AG10" s="166">
        <v>73.423423423423358</v>
      </c>
      <c r="AH10" s="182">
        <f t="shared" si="6"/>
        <v>19</v>
      </c>
      <c r="AI10" s="390"/>
      <c r="AJ10" s="182">
        <v>18</v>
      </c>
      <c r="AK10" s="166">
        <v>1315.3846153846148</v>
      </c>
      <c r="AL10" s="166">
        <v>73.076923076923038</v>
      </c>
      <c r="AM10" s="182">
        <f t="shared" si="7"/>
        <v>18</v>
      </c>
      <c r="AN10" s="390"/>
      <c r="AO10" s="182">
        <v>18</v>
      </c>
      <c r="AP10" s="166">
        <v>1308.5714285714282</v>
      </c>
      <c r="AQ10" s="166">
        <v>72.698412698412682</v>
      </c>
      <c r="AR10" s="182">
        <f t="shared" si="8"/>
        <v>19</v>
      </c>
      <c r="AS10" s="390"/>
      <c r="AT10" s="182">
        <v>18</v>
      </c>
      <c r="AU10" s="166">
        <v>1344.5454545454545</v>
      </c>
      <c r="AV10" s="166">
        <v>74.696969696969688</v>
      </c>
      <c r="AW10" s="182">
        <f t="shared" si="9"/>
        <v>18</v>
      </c>
      <c r="AX10" s="390"/>
      <c r="AZ10" s="182" t="e">
        <f t="shared" si="10"/>
        <v>#N/A</v>
      </c>
      <c r="BA10" s="390"/>
    </row>
    <row r="11" spans="1:53" ht="14.25">
      <c r="A11" s="79"/>
      <c r="B11" s="395"/>
      <c r="C11" s="182">
        <v>5</v>
      </c>
      <c r="D11" s="203" t="s">
        <v>334</v>
      </c>
      <c r="E11" s="166">
        <v>16</v>
      </c>
      <c r="F11" s="182">
        <v>1500</v>
      </c>
      <c r="G11" s="180">
        <v>93.8</v>
      </c>
      <c r="H11" s="402"/>
      <c r="I11" s="166">
        <f t="shared" si="0"/>
        <v>16</v>
      </c>
      <c r="J11" s="166">
        <f t="shared" si="1"/>
        <v>1323.5842680505932</v>
      </c>
      <c r="K11" s="180">
        <f t="shared" si="2"/>
        <v>82.724016753162076</v>
      </c>
      <c r="L11" s="402"/>
      <c r="M11" s="181">
        <f>RANK(K11, K$7:$K$36)</f>
        <v>8</v>
      </c>
      <c r="N11" s="389"/>
      <c r="O11" s="389"/>
      <c r="P11" s="182">
        <v>16</v>
      </c>
      <c r="Q11" s="166">
        <v>1329.7674418604647</v>
      </c>
      <c r="R11" s="166">
        <v>83.110465116279045</v>
      </c>
      <c r="S11" s="182">
        <f t="shared" si="3"/>
        <v>10</v>
      </c>
      <c r="T11" s="390"/>
      <c r="U11" s="166">
        <v>16</v>
      </c>
      <c r="V11" s="166">
        <v>1318.2352941176455</v>
      </c>
      <c r="W11" s="166">
        <v>82.389705882352843</v>
      </c>
      <c r="X11" s="182">
        <f t="shared" si="4"/>
        <v>8</v>
      </c>
      <c r="Y11" s="390"/>
      <c r="Z11" s="182">
        <v>16</v>
      </c>
      <c r="AA11" s="166">
        <v>1323.9999999999977</v>
      </c>
      <c r="AB11" s="166">
        <v>82.749999999999858</v>
      </c>
      <c r="AC11" s="182">
        <f t="shared" si="5"/>
        <v>6</v>
      </c>
      <c r="AD11" s="390"/>
      <c r="AE11" s="182">
        <v>16</v>
      </c>
      <c r="AF11" s="166">
        <v>1314.7058823529396</v>
      </c>
      <c r="AG11" s="166">
        <v>82.169117647058727</v>
      </c>
      <c r="AH11" s="182">
        <f t="shared" si="6"/>
        <v>7</v>
      </c>
      <c r="AI11" s="390"/>
      <c r="AJ11" s="182">
        <v>16</v>
      </c>
      <c r="AK11" s="166">
        <v>1334.2105263157885</v>
      </c>
      <c r="AL11" s="166">
        <v>83.388157894736779</v>
      </c>
      <c r="AM11" s="182">
        <f t="shared" si="7"/>
        <v>6</v>
      </c>
      <c r="AN11" s="390"/>
      <c r="AO11" s="182">
        <v>16</v>
      </c>
      <c r="AP11" s="166">
        <v>1310.9999999999995</v>
      </c>
      <c r="AQ11" s="166">
        <v>81.937499999999972</v>
      </c>
      <c r="AR11" s="182">
        <f t="shared" si="8"/>
        <v>10</v>
      </c>
      <c r="AS11" s="390"/>
      <c r="AT11" s="182">
        <v>16</v>
      </c>
      <c r="AU11" s="166">
        <v>1333.1707317073167</v>
      </c>
      <c r="AV11" s="166">
        <v>83.323170731707293</v>
      </c>
      <c r="AW11" s="182">
        <f t="shared" si="9"/>
        <v>9</v>
      </c>
      <c r="AX11" s="390"/>
      <c r="AZ11" s="182" t="e">
        <f t="shared" si="10"/>
        <v>#N/A</v>
      </c>
      <c r="BA11" s="390"/>
    </row>
    <row r="12" spans="1:53" ht="14.25">
      <c r="A12" s="79"/>
      <c r="B12" s="395"/>
      <c r="C12" s="182">
        <v>6</v>
      </c>
      <c r="D12" s="203" t="s">
        <v>348</v>
      </c>
      <c r="E12" s="166">
        <v>16</v>
      </c>
      <c r="F12" s="182">
        <v>1565</v>
      </c>
      <c r="G12" s="180">
        <v>97.8</v>
      </c>
      <c r="H12" s="402"/>
      <c r="I12" s="166">
        <f t="shared" si="0"/>
        <v>16</v>
      </c>
      <c r="J12" s="166">
        <f t="shared" si="1"/>
        <v>1390.7530412710578</v>
      </c>
      <c r="K12" s="180">
        <f t="shared" si="2"/>
        <v>86.922065079441111</v>
      </c>
      <c r="L12" s="402"/>
      <c r="M12" s="181">
        <f>RANK(K12, K$7:$K$36)</f>
        <v>4</v>
      </c>
      <c r="N12" s="389"/>
      <c r="O12" s="389"/>
      <c r="P12" s="182">
        <v>16</v>
      </c>
      <c r="Q12" s="166">
        <v>1397.8378378378368</v>
      </c>
      <c r="R12" s="166">
        <v>87.364864864864799</v>
      </c>
      <c r="S12" s="182">
        <f t="shared" si="3"/>
        <v>6</v>
      </c>
      <c r="T12" s="390"/>
      <c r="U12" s="166">
        <v>16</v>
      </c>
      <c r="V12" s="166">
        <v>1407.5409836065587</v>
      </c>
      <c r="W12" s="166">
        <v>87.971311475409919</v>
      </c>
      <c r="X12" s="182">
        <f t="shared" si="4"/>
        <v>5</v>
      </c>
      <c r="Y12" s="390"/>
      <c r="Z12" s="182">
        <v>16</v>
      </c>
      <c r="AA12" s="166">
        <v>1371.2903225806465</v>
      </c>
      <c r="AB12" s="166">
        <v>85.705645161290406</v>
      </c>
      <c r="AC12" s="182">
        <f t="shared" si="5"/>
        <v>5</v>
      </c>
      <c r="AD12" s="390"/>
      <c r="AE12" s="182">
        <v>16</v>
      </c>
      <c r="AF12" s="166">
        <v>1414.8387096774206</v>
      </c>
      <c r="AG12" s="166">
        <v>88.42741935483879</v>
      </c>
      <c r="AH12" s="182">
        <f t="shared" si="6"/>
        <v>3</v>
      </c>
      <c r="AI12" s="390"/>
      <c r="AJ12" s="182">
        <v>16</v>
      </c>
      <c r="AK12" s="166">
        <v>1378.1538461538476</v>
      </c>
      <c r="AL12" s="166">
        <v>86.134615384615472</v>
      </c>
      <c r="AM12" s="182">
        <f t="shared" si="7"/>
        <v>4</v>
      </c>
      <c r="AN12" s="390"/>
      <c r="AO12" s="182">
        <v>16</v>
      </c>
      <c r="AP12" s="166">
        <v>1381.4999999999995</v>
      </c>
      <c r="AQ12" s="166">
        <v>86.343749999999972</v>
      </c>
      <c r="AR12" s="182">
        <f t="shared" si="8"/>
        <v>6</v>
      </c>
      <c r="AS12" s="390"/>
      <c r="AT12" s="182">
        <v>16</v>
      </c>
      <c r="AU12" s="166">
        <v>1384.1095890410948</v>
      </c>
      <c r="AV12" s="166">
        <v>86.506849315068422</v>
      </c>
      <c r="AW12" s="182">
        <f t="shared" si="9"/>
        <v>6</v>
      </c>
      <c r="AX12" s="390"/>
      <c r="AZ12" s="182" t="e">
        <f t="shared" si="10"/>
        <v>#N/A</v>
      </c>
      <c r="BA12" s="390"/>
    </row>
    <row r="13" spans="1:53" ht="14.25">
      <c r="A13" s="79"/>
      <c r="B13" s="395"/>
      <c r="C13" s="182">
        <v>7</v>
      </c>
      <c r="D13" s="203" t="s">
        <v>327</v>
      </c>
      <c r="E13" s="166">
        <v>14</v>
      </c>
      <c r="F13" s="182">
        <v>1440</v>
      </c>
      <c r="G13" s="180">
        <v>102.9</v>
      </c>
      <c r="H13" s="402"/>
      <c r="I13" s="166">
        <f t="shared" si="0"/>
        <v>15</v>
      </c>
      <c r="J13" s="166">
        <f t="shared" si="1"/>
        <v>1220.0211709155271</v>
      </c>
      <c r="K13" s="180">
        <f t="shared" si="2"/>
        <v>81.334744727701818</v>
      </c>
      <c r="L13" s="402"/>
      <c r="M13" s="181">
        <f>RANK(K13, K$7:$K$36)</f>
        <v>10</v>
      </c>
      <c r="N13" s="389"/>
      <c r="O13" s="389"/>
      <c r="P13" s="182">
        <v>15</v>
      </c>
      <c r="Q13" s="166">
        <v>1348.9655172413768</v>
      </c>
      <c r="R13" s="166">
        <v>89.931034482758449</v>
      </c>
      <c r="S13" s="182">
        <f t="shared" si="3"/>
        <v>4</v>
      </c>
      <c r="T13" s="390"/>
      <c r="U13" s="166">
        <v>15</v>
      </c>
      <c r="V13" s="166">
        <v>1130.3225806451594</v>
      </c>
      <c r="W13" s="166">
        <v>75.354838709677296</v>
      </c>
      <c r="X13" s="182">
        <f t="shared" si="4"/>
        <v>17</v>
      </c>
      <c r="Y13" s="390"/>
      <c r="Z13" s="182">
        <v>15</v>
      </c>
      <c r="AA13" s="166">
        <v>1123.1999999999966</v>
      </c>
      <c r="AB13" s="166">
        <v>74.879999999999782</v>
      </c>
      <c r="AC13" s="182">
        <f t="shared" si="5"/>
        <v>17</v>
      </c>
      <c r="AD13" s="390"/>
      <c r="AE13" s="182">
        <v>15</v>
      </c>
      <c r="AF13" s="166">
        <v>1150.7142857142833</v>
      </c>
      <c r="AG13" s="166">
        <v>76.714285714285552</v>
      </c>
      <c r="AH13" s="182">
        <f t="shared" si="6"/>
        <v>17</v>
      </c>
      <c r="AI13" s="390"/>
      <c r="AJ13" s="182">
        <v>15</v>
      </c>
      <c r="AK13" s="166">
        <v>1115.1724137931012</v>
      </c>
      <c r="AL13" s="166">
        <v>74.344827586206748</v>
      </c>
      <c r="AM13" s="182">
        <f t="shared" si="7"/>
        <v>17</v>
      </c>
      <c r="AN13" s="390"/>
      <c r="AO13" s="182">
        <v>15</v>
      </c>
      <c r="AP13" s="166">
        <v>1341.4285714285684</v>
      </c>
      <c r="AQ13" s="166">
        <v>89.428571428571232</v>
      </c>
      <c r="AR13" s="182">
        <f t="shared" si="8"/>
        <v>5</v>
      </c>
      <c r="AS13" s="390"/>
      <c r="AT13" s="182">
        <v>15</v>
      </c>
      <c r="AU13" s="166">
        <v>1330.3448275862042</v>
      </c>
      <c r="AV13" s="166">
        <v>88.689655172413623</v>
      </c>
      <c r="AW13" s="182">
        <f t="shared" si="9"/>
        <v>4</v>
      </c>
      <c r="AX13" s="390"/>
      <c r="AZ13" s="182" t="e">
        <f t="shared" si="10"/>
        <v>#N/A</v>
      </c>
      <c r="BA13" s="390"/>
    </row>
    <row r="14" spans="1:53" ht="14.25">
      <c r="A14" s="79"/>
      <c r="B14" s="395"/>
      <c r="C14" s="182">
        <v>8</v>
      </c>
      <c r="D14" s="203" t="s">
        <v>606</v>
      </c>
      <c r="E14" s="166">
        <v>16</v>
      </c>
      <c r="F14" s="182">
        <v>1440</v>
      </c>
      <c r="G14" s="180">
        <v>90</v>
      </c>
      <c r="H14" s="402"/>
      <c r="I14" s="166">
        <f t="shared" si="0"/>
        <v>16</v>
      </c>
      <c r="J14" s="166">
        <f t="shared" si="1"/>
        <v>1327.9493881920002</v>
      </c>
      <c r="K14" s="180">
        <f t="shared" si="2"/>
        <v>82.996836762000015</v>
      </c>
      <c r="L14" s="402"/>
      <c r="M14" s="181">
        <f>RANK(K14, K$7:$K$36)</f>
        <v>7</v>
      </c>
      <c r="N14" s="389"/>
      <c r="O14" s="389"/>
      <c r="P14" s="182">
        <v>16</v>
      </c>
      <c r="Q14" s="166">
        <v>1332.8571428571424</v>
      </c>
      <c r="R14" s="166">
        <v>83.303571428571402</v>
      </c>
      <c r="S14" s="182">
        <f t="shared" si="3"/>
        <v>9</v>
      </c>
      <c r="T14" s="390"/>
      <c r="U14" s="166">
        <v>16</v>
      </c>
      <c r="V14" s="166">
        <v>1346.4705882352923</v>
      </c>
      <c r="W14" s="166">
        <v>84.15441176470577</v>
      </c>
      <c r="X14" s="182">
        <f t="shared" si="4"/>
        <v>7</v>
      </c>
      <c r="Y14" s="390"/>
      <c r="Z14" s="182">
        <v>16</v>
      </c>
      <c r="AA14" s="166">
        <v>1302.5806451612882</v>
      </c>
      <c r="AB14" s="166">
        <v>81.411290322580513</v>
      </c>
      <c r="AC14" s="182">
        <f t="shared" si="5"/>
        <v>8</v>
      </c>
      <c r="AD14" s="390"/>
      <c r="AE14" s="182">
        <v>16</v>
      </c>
      <c r="AF14" s="166">
        <v>1318.3333333333321</v>
      </c>
      <c r="AG14" s="166">
        <v>82.395833333333258</v>
      </c>
      <c r="AH14" s="182">
        <f t="shared" si="6"/>
        <v>6</v>
      </c>
      <c r="AI14" s="390"/>
      <c r="AJ14" s="182">
        <v>16</v>
      </c>
      <c r="AK14" s="166">
        <v>1325.2941176470572</v>
      </c>
      <c r="AL14" s="166">
        <v>82.830882352941074</v>
      </c>
      <c r="AM14" s="182">
        <f t="shared" si="7"/>
        <v>9</v>
      </c>
      <c r="AN14" s="390"/>
      <c r="AO14" s="182">
        <v>16</v>
      </c>
      <c r="AP14" s="166">
        <v>1308.5714285714282</v>
      </c>
      <c r="AQ14" s="166">
        <v>81.785714285714263</v>
      </c>
      <c r="AR14" s="182">
        <f t="shared" si="8"/>
        <v>11</v>
      </c>
      <c r="AS14" s="390"/>
      <c r="AT14" s="182">
        <v>16</v>
      </c>
      <c r="AU14" s="166">
        <v>1361.5384615384608</v>
      </c>
      <c r="AV14" s="166">
        <v>85.096153846153797</v>
      </c>
      <c r="AW14" s="182">
        <f t="shared" si="9"/>
        <v>7</v>
      </c>
      <c r="AX14" s="390"/>
      <c r="AZ14" s="182" t="e">
        <f t="shared" si="10"/>
        <v>#N/A</v>
      </c>
      <c r="BA14" s="390"/>
    </row>
    <row r="15" spans="1:53" ht="14.25">
      <c r="A15" s="79"/>
      <c r="B15" s="395"/>
      <c r="C15" s="182">
        <v>9</v>
      </c>
      <c r="D15" s="203" t="s">
        <v>654</v>
      </c>
      <c r="E15" s="166">
        <v>16</v>
      </c>
      <c r="F15" s="182">
        <v>1440</v>
      </c>
      <c r="G15" s="180">
        <v>90</v>
      </c>
      <c r="H15" s="402"/>
      <c r="I15" s="166">
        <f t="shared" si="0"/>
        <v>16</v>
      </c>
      <c r="J15" s="166">
        <f t="shared" si="1"/>
        <v>1372.9353300130456</v>
      </c>
      <c r="K15" s="180">
        <f t="shared" si="2"/>
        <v>85.808458125815349</v>
      </c>
      <c r="L15" s="402"/>
      <c r="M15" s="181">
        <f>RANK(K15, K$7:$K$36)</f>
        <v>5</v>
      </c>
      <c r="N15" s="389"/>
      <c r="O15" s="389"/>
      <c r="P15" s="182">
        <v>16</v>
      </c>
      <c r="Q15" s="166">
        <v>1357.4025974025967</v>
      </c>
      <c r="R15" s="166">
        <v>84.837662337662294</v>
      </c>
      <c r="S15" s="182">
        <f t="shared" si="3"/>
        <v>7</v>
      </c>
      <c r="T15" s="390"/>
      <c r="U15" s="166">
        <v>16</v>
      </c>
      <c r="V15" s="166">
        <v>1386.0869565217376</v>
      </c>
      <c r="W15" s="166">
        <v>86.630434782608603</v>
      </c>
      <c r="X15" s="182">
        <f t="shared" si="4"/>
        <v>6</v>
      </c>
      <c r="Y15" s="390"/>
      <c r="Z15" s="182">
        <v>16</v>
      </c>
      <c r="AA15" s="166">
        <v>1430.5882352941182</v>
      </c>
      <c r="AB15" s="166">
        <v>89.411764705882391</v>
      </c>
      <c r="AC15" s="182">
        <f t="shared" si="5"/>
        <v>4</v>
      </c>
      <c r="AD15" s="390"/>
      <c r="AE15" s="182">
        <v>16</v>
      </c>
      <c r="AF15" s="166">
        <v>1361.6129032258077</v>
      </c>
      <c r="AG15" s="166">
        <v>85.100806451612982</v>
      </c>
      <c r="AH15" s="182">
        <f t="shared" si="6"/>
        <v>5</v>
      </c>
      <c r="AI15" s="390"/>
      <c r="AJ15" s="182">
        <v>16</v>
      </c>
      <c r="AK15" s="166">
        <v>1355.2941176470592</v>
      </c>
      <c r="AL15" s="166">
        <v>84.705882352941202</v>
      </c>
      <c r="AM15" s="182">
        <f t="shared" si="7"/>
        <v>5</v>
      </c>
      <c r="AN15" s="390"/>
      <c r="AO15" s="182">
        <v>16</v>
      </c>
      <c r="AP15" s="166">
        <v>1377.9999999999975</v>
      </c>
      <c r="AQ15" s="166">
        <v>86.124999999999844</v>
      </c>
      <c r="AR15" s="182">
        <f t="shared" si="8"/>
        <v>7</v>
      </c>
      <c r="AS15" s="390"/>
      <c r="AT15" s="182">
        <v>16</v>
      </c>
      <c r="AU15" s="166">
        <v>1341.5625000000016</v>
      </c>
      <c r="AV15" s="166">
        <v>83.847656250000099</v>
      </c>
      <c r="AW15" s="182">
        <f t="shared" si="9"/>
        <v>8</v>
      </c>
      <c r="AX15" s="390"/>
      <c r="AZ15" s="182" t="e">
        <f t="shared" si="10"/>
        <v>#N/A</v>
      </c>
      <c r="BA15" s="390"/>
    </row>
    <row r="16" spans="1:53" ht="14.25">
      <c r="A16" s="79"/>
      <c r="B16" s="395"/>
      <c r="C16" s="182">
        <v>10</v>
      </c>
      <c r="D16" s="203" t="s">
        <v>607</v>
      </c>
      <c r="E16" s="166">
        <v>18</v>
      </c>
      <c r="F16" s="182">
        <v>1636</v>
      </c>
      <c r="G16" s="180">
        <v>90.9</v>
      </c>
      <c r="H16" s="402"/>
      <c r="I16" s="166">
        <f t="shared" si="0"/>
        <v>18</v>
      </c>
      <c r="J16" s="166">
        <f t="shared" si="1"/>
        <v>1445.7024278771371</v>
      </c>
      <c r="K16" s="180">
        <f t="shared" si="2"/>
        <v>80.316801548729813</v>
      </c>
      <c r="L16" s="402"/>
      <c r="M16" s="181">
        <f>RANK(K16, K$7:$K$36)</f>
        <v>12</v>
      </c>
      <c r="N16" s="389"/>
      <c r="O16" s="389"/>
      <c r="P16" s="182">
        <v>18</v>
      </c>
      <c r="Q16" s="166">
        <v>1471.5254237288148</v>
      </c>
      <c r="R16" s="166">
        <v>81.751412429378604</v>
      </c>
      <c r="S16" s="182">
        <f t="shared" si="3"/>
        <v>11</v>
      </c>
      <c r="T16" s="390"/>
      <c r="U16" s="166">
        <v>18</v>
      </c>
      <c r="V16" s="166">
        <v>1376.5384615384623</v>
      </c>
      <c r="W16" s="166">
        <v>76.474358974359021</v>
      </c>
      <c r="X16" s="182">
        <f t="shared" si="4"/>
        <v>16</v>
      </c>
      <c r="Y16" s="390"/>
      <c r="Z16" s="182">
        <v>18</v>
      </c>
      <c r="AA16" s="166">
        <v>1420</v>
      </c>
      <c r="AB16" s="166">
        <v>78.888888888888886</v>
      </c>
      <c r="AC16" s="182">
        <f t="shared" si="5"/>
        <v>12</v>
      </c>
      <c r="AD16" s="390"/>
      <c r="AE16" s="182">
        <v>18</v>
      </c>
      <c r="AF16" s="166">
        <v>1452.6923076923085</v>
      </c>
      <c r="AG16" s="166">
        <v>80.705128205128247</v>
      </c>
      <c r="AH16" s="182">
        <f t="shared" si="6"/>
        <v>10</v>
      </c>
      <c r="AI16" s="390"/>
      <c r="AJ16" s="182">
        <v>18</v>
      </c>
      <c r="AK16" s="166">
        <v>1483.8461538461547</v>
      </c>
      <c r="AL16" s="166">
        <v>82.435897435897488</v>
      </c>
      <c r="AM16" s="182">
        <f t="shared" si="7"/>
        <v>10</v>
      </c>
      <c r="AN16" s="390"/>
      <c r="AO16" s="182">
        <v>18</v>
      </c>
      <c r="AP16" s="166">
        <v>1445.8064516129045</v>
      </c>
      <c r="AQ16" s="166">
        <v>80.322580645161366</v>
      </c>
      <c r="AR16" s="182">
        <f t="shared" si="8"/>
        <v>13</v>
      </c>
      <c r="AS16" s="390"/>
      <c r="AT16" s="182">
        <v>18</v>
      </c>
      <c r="AU16" s="166">
        <v>1469.5081967213127</v>
      </c>
      <c r="AV16" s="166">
        <v>81.639344262295154</v>
      </c>
      <c r="AW16" s="182">
        <f t="shared" si="9"/>
        <v>12</v>
      </c>
      <c r="AX16" s="390"/>
      <c r="AZ16" s="182" t="e">
        <f t="shared" si="10"/>
        <v>#N/A</v>
      </c>
      <c r="BA16" s="390"/>
    </row>
    <row r="17" spans="2:53">
      <c r="B17" s="395"/>
      <c r="C17" s="182">
        <v>11</v>
      </c>
      <c r="D17" s="203" t="s">
        <v>608</v>
      </c>
      <c r="E17" s="166">
        <v>18</v>
      </c>
      <c r="F17" s="182">
        <v>1636</v>
      </c>
      <c r="G17" s="180">
        <v>90.9</v>
      </c>
      <c r="H17" s="402"/>
      <c r="I17" s="166">
        <f t="shared" si="0"/>
        <v>18</v>
      </c>
      <c r="J17" s="166">
        <f t="shared" si="1"/>
        <v>1439.6714373061134</v>
      </c>
      <c r="K17" s="180">
        <f t="shared" si="2"/>
        <v>79.9817465170063</v>
      </c>
      <c r="L17" s="402"/>
      <c r="M17" s="181">
        <f>RANK(K17, K$7:$K$36)</f>
        <v>13</v>
      </c>
      <c r="N17" s="389"/>
      <c r="O17" s="389"/>
      <c r="P17" s="182">
        <v>18</v>
      </c>
      <c r="Q17" s="166">
        <v>1464</v>
      </c>
      <c r="R17" s="166">
        <v>81.333333333333329</v>
      </c>
      <c r="S17" s="182">
        <f t="shared" si="3"/>
        <v>14</v>
      </c>
      <c r="T17" s="390"/>
      <c r="U17" s="166">
        <v>18</v>
      </c>
      <c r="V17" s="166">
        <v>1391.3513513513503</v>
      </c>
      <c r="W17" s="166">
        <v>77.297297297297234</v>
      </c>
      <c r="X17" s="182">
        <f t="shared" si="4"/>
        <v>14</v>
      </c>
      <c r="Y17" s="390"/>
      <c r="Z17" s="182">
        <v>18</v>
      </c>
      <c r="AA17" s="166">
        <v>1403.9999999999986</v>
      </c>
      <c r="AB17" s="166">
        <v>77.999999999999929</v>
      </c>
      <c r="AC17" s="182">
        <f t="shared" si="5"/>
        <v>13</v>
      </c>
      <c r="AD17" s="390"/>
      <c r="AE17" s="182">
        <v>18</v>
      </c>
      <c r="AF17" s="166">
        <v>1466.3414634146336</v>
      </c>
      <c r="AG17" s="166">
        <v>81.463414634146318</v>
      </c>
      <c r="AH17" s="182">
        <f t="shared" si="6"/>
        <v>8</v>
      </c>
      <c r="AI17" s="390"/>
      <c r="AJ17" s="182">
        <v>18</v>
      </c>
      <c r="AK17" s="166">
        <v>1432.4999999999995</v>
      </c>
      <c r="AL17" s="166">
        <v>79.583333333333314</v>
      </c>
      <c r="AM17" s="182">
        <f t="shared" si="7"/>
        <v>12</v>
      </c>
      <c r="AN17" s="390"/>
      <c r="AO17" s="182">
        <v>18</v>
      </c>
      <c r="AP17" s="166">
        <v>1457.3333333333333</v>
      </c>
      <c r="AQ17" s="166">
        <v>80.962962962962962</v>
      </c>
      <c r="AR17" s="182">
        <f t="shared" si="8"/>
        <v>12</v>
      </c>
      <c r="AS17" s="390"/>
      <c r="AT17" s="182">
        <v>18</v>
      </c>
      <c r="AU17" s="166">
        <v>1462.1739130434783</v>
      </c>
      <c r="AV17" s="166">
        <v>81.231884057971016</v>
      </c>
      <c r="AW17" s="182">
        <f t="shared" si="9"/>
        <v>13</v>
      </c>
      <c r="AX17" s="390"/>
      <c r="AZ17" s="182" t="e">
        <f t="shared" si="10"/>
        <v>#N/A</v>
      </c>
      <c r="BA17" s="390"/>
    </row>
    <row r="18" spans="2:53">
      <c r="B18" s="395"/>
      <c r="C18" s="182">
        <v>12</v>
      </c>
      <c r="D18" s="203" t="s">
        <v>336</v>
      </c>
      <c r="E18" s="166">
        <v>17</v>
      </c>
      <c r="F18" s="182">
        <v>1500</v>
      </c>
      <c r="G18" s="180">
        <v>88.2</v>
      </c>
      <c r="H18" s="402"/>
      <c r="I18" s="166">
        <f t="shared" si="0"/>
        <v>17</v>
      </c>
      <c r="J18" s="166">
        <f t="shared" si="1"/>
        <v>1402.9575636292025</v>
      </c>
      <c r="K18" s="180">
        <f t="shared" si="2"/>
        <v>82.526915507600137</v>
      </c>
      <c r="L18" s="402"/>
      <c r="M18" s="181">
        <f>RANK(K18, K$7:$K$36)</f>
        <v>9</v>
      </c>
      <c r="N18" s="389"/>
      <c r="O18" s="389"/>
      <c r="P18" s="182">
        <v>17</v>
      </c>
      <c r="Q18" s="166">
        <v>1422.4390243902435</v>
      </c>
      <c r="R18" s="166">
        <v>83.672883787661377</v>
      </c>
      <c r="S18" s="182">
        <f t="shared" si="3"/>
        <v>8</v>
      </c>
      <c r="T18" s="390"/>
      <c r="U18" s="166">
        <v>17</v>
      </c>
      <c r="V18" s="166">
        <v>1395.4285714285702</v>
      </c>
      <c r="W18" s="166">
        <v>82.0840336134453</v>
      </c>
      <c r="X18" s="182">
        <f t="shared" si="4"/>
        <v>9</v>
      </c>
      <c r="Y18" s="390"/>
      <c r="Z18" s="182">
        <v>17</v>
      </c>
      <c r="AA18" s="166">
        <v>1391.6129032258043</v>
      </c>
      <c r="AB18" s="166">
        <v>81.859582542694369</v>
      </c>
      <c r="AC18" s="182">
        <f t="shared" si="5"/>
        <v>7</v>
      </c>
      <c r="AD18" s="390"/>
      <c r="AE18" s="182">
        <v>17</v>
      </c>
      <c r="AF18" s="166">
        <v>1373.6842105263147</v>
      </c>
      <c r="AG18" s="166">
        <v>80.804953560371459</v>
      </c>
      <c r="AH18" s="182">
        <f t="shared" si="6"/>
        <v>9</v>
      </c>
      <c r="AI18" s="390"/>
      <c r="AJ18" s="182">
        <v>17</v>
      </c>
      <c r="AK18" s="166">
        <v>1409.1428571428557</v>
      </c>
      <c r="AL18" s="166">
        <v>82.890756302520927</v>
      </c>
      <c r="AM18" s="182">
        <f t="shared" si="7"/>
        <v>8</v>
      </c>
      <c r="AN18" s="390"/>
      <c r="AO18" s="182">
        <v>17</v>
      </c>
      <c r="AP18" s="166">
        <v>1414.736842105262</v>
      </c>
      <c r="AQ18" s="166">
        <v>83.219814241486006</v>
      </c>
      <c r="AR18" s="182">
        <f t="shared" si="8"/>
        <v>8</v>
      </c>
      <c r="AS18" s="390"/>
      <c r="AT18" s="182">
        <v>17</v>
      </c>
      <c r="AU18" s="166">
        <v>1413.6585365853653</v>
      </c>
      <c r="AV18" s="166">
        <v>83.156384505021492</v>
      </c>
      <c r="AW18" s="182">
        <f t="shared" si="9"/>
        <v>10</v>
      </c>
      <c r="AX18" s="390"/>
      <c r="AZ18" s="182" t="e">
        <f t="shared" si="10"/>
        <v>#N/A</v>
      </c>
      <c r="BA18" s="390"/>
    </row>
    <row r="19" spans="2:53">
      <c r="B19" s="395"/>
      <c r="C19" s="182">
        <v>13</v>
      </c>
      <c r="D19" s="203" t="s">
        <v>531</v>
      </c>
      <c r="E19" s="166">
        <v>20</v>
      </c>
      <c r="F19" s="182">
        <v>1440</v>
      </c>
      <c r="G19" s="180">
        <v>72</v>
      </c>
      <c r="H19" s="402"/>
      <c r="I19" s="166">
        <f t="shared" si="0"/>
        <v>20</v>
      </c>
      <c r="J19" s="166">
        <f t="shared" si="1"/>
        <v>1349.6070232523434</v>
      </c>
      <c r="K19" s="180">
        <f t="shared" si="2"/>
        <v>67.480351162617168</v>
      </c>
      <c r="L19" s="402"/>
      <c r="M19" s="181">
        <f>RANK(K19, K$7:$K$36)</f>
        <v>23</v>
      </c>
      <c r="N19" s="389"/>
      <c r="O19" s="389"/>
      <c r="P19" s="182">
        <v>20</v>
      </c>
      <c r="Q19" s="166">
        <v>1348.3783783783772</v>
      </c>
      <c r="R19" s="166">
        <v>67.418918918918862</v>
      </c>
      <c r="S19" s="182">
        <f t="shared" si="3"/>
        <v>23</v>
      </c>
      <c r="T19" s="390"/>
      <c r="U19" s="166">
        <v>20</v>
      </c>
      <c r="V19" s="166">
        <v>1324.761904761906</v>
      </c>
      <c r="W19" s="166">
        <v>66.238095238095298</v>
      </c>
      <c r="X19" s="182">
        <f t="shared" si="4"/>
        <v>24</v>
      </c>
      <c r="Y19" s="390"/>
      <c r="Z19" s="182">
        <v>20</v>
      </c>
      <c r="AA19" s="166">
        <v>1348.8461538461547</v>
      </c>
      <c r="AB19" s="166">
        <v>67.442307692307736</v>
      </c>
      <c r="AC19" s="182">
        <f t="shared" si="5"/>
        <v>23</v>
      </c>
      <c r="AD19" s="390"/>
      <c r="AE19" s="182">
        <v>20</v>
      </c>
      <c r="AF19" s="166">
        <v>1359.3103448275872</v>
      </c>
      <c r="AG19" s="166">
        <v>67.965517241379359</v>
      </c>
      <c r="AH19" s="182">
        <f t="shared" si="6"/>
        <v>23</v>
      </c>
      <c r="AI19" s="390"/>
      <c r="AJ19" s="182">
        <v>20</v>
      </c>
      <c r="AK19" s="166">
        <v>1354.0000000000014</v>
      </c>
      <c r="AL19" s="166">
        <v>67.700000000000074</v>
      </c>
      <c r="AM19" s="182">
        <f t="shared" si="7"/>
        <v>23</v>
      </c>
      <c r="AN19" s="390"/>
      <c r="AO19" s="182">
        <v>20</v>
      </c>
      <c r="AP19" s="166">
        <v>1360.2857142857129</v>
      </c>
      <c r="AQ19" s="166">
        <v>68.014285714285649</v>
      </c>
      <c r="AR19" s="182">
        <f t="shared" si="8"/>
        <v>23</v>
      </c>
      <c r="AS19" s="390"/>
      <c r="AT19" s="182">
        <v>20</v>
      </c>
      <c r="AU19" s="166">
        <v>1351.6666666666656</v>
      </c>
      <c r="AV19" s="166">
        <v>67.583333333333286</v>
      </c>
      <c r="AW19" s="182">
        <f t="shared" si="9"/>
        <v>23</v>
      </c>
      <c r="AX19" s="390"/>
      <c r="AZ19" s="182" t="e">
        <f t="shared" si="10"/>
        <v>#N/A</v>
      </c>
      <c r="BA19" s="390"/>
    </row>
    <row r="20" spans="2:53">
      <c r="B20" s="395"/>
      <c r="C20" s="182">
        <v>14</v>
      </c>
      <c r="D20" s="203" t="s">
        <v>349</v>
      </c>
      <c r="E20" s="166">
        <v>14</v>
      </c>
      <c r="F20" s="182">
        <v>1440</v>
      </c>
      <c r="G20" s="180">
        <v>102.9</v>
      </c>
      <c r="H20" s="402"/>
      <c r="I20" s="166">
        <f t="shared" si="0"/>
        <v>15</v>
      </c>
      <c r="J20" s="166">
        <f t="shared" si="1"/>
        <v>1344.0480279543515</v>
      </c>
      <c r="K20" s="180">
        <f t="shared" si="2"/>
        <v>89.603201863623426</v>
      </c>
      <c r="L20" s="402"/>
      <c r="M20" s="181">
        <f>RANK(K20, K$7:$K$36)</f>
        <v>3</v>
      </c>
      <c r="N20" s="389"/>
      <c r="O20" s="389"/>
      <c r="P20" s="182">
        <v>15</v>
      </c>
      <c r="Q20" s="166">
        <v>1352.9999999999977</v>
      </c>
      <c r="R20" s="166">
        <v>90.199999999999847</v>
      </c>
      <c r="S20" s="182">
        <f t="shared" si="3"/>
        <v>3</v>
      </c>
      <c r="T20" s="390"/>
      <c r="U20" s="166">
        <v>15</v>
      </c>
      <c r="V20" s="166">
        <v>1347.857142857144</v>
      </c>
      <c r="W20" s="166">
        <v>89.857142857142932</v>
      </c>
      <c r="X20" s="182">
        <f t="shared" si="4"/>
        <v>3</v>
      </c>
      <c r="Y20" s="390"/>
      <c r="Z20" s="182">
        <v>15</v>
      </c>
      <c r="AA20" s="166">
        <v>1357.3333333333335</v>
      </c>
      <c r="AB20" s="166">
        <v>90.488888888888894</v>
      </c>
      <c r="AC20" s="182">
        <f t="shared" si="5"/>
        <v>3</v>
      </c>
      <c r="AD20" s="390"/>
      <c r="AE20" s="182">
        <v>15</v>
      </c>
      <c r="AF20" s="166">
        <v>1326.0000000000002</v>
      </c>
      <c r="AG20" s="166">
        <v>88.40000000000002</v>
      </c>
      <c r="AH20" s="182">
        <f t="shared" si="6"/>
        <v>4</v>
      </c>
      <c r="AI20" s="390"/>
      <c r="AJ20" s="182">
        <v>15</v>
      </c>
      <c r="AK20" s="166">
        <v>1315.5555555555563</v>
      </c>
      <c r="AL20" s="166">
        <v>87.703703703703752</v>
      </c>
      <c r="AM20" s="182">
        <f t="shared" si="7"/>
        <v>3</v>
      </c>
      <c r="AN20" s="390"/>
      <c r="AO20" s="182">
        <v>15</v>
      </c>
      <c r="AP20" s="166">
        <v>1344.5901639344274</v>
      </c>
      <c r="AQ20" s="166">
        <v>89.639344262295168</v>
      </c>
      <c r="AR20" s="182">
        <f t="shared" si="8"/>
        <v>4</v>
      </c>
      <c r="AS20" s="390"/>
      <c r="AT20" s="182">
        <v>15</v>
      </c>
      <c r="AU20" s="166">
        <v>1364.0000000000014</v>
      </c>
      <c r="AV20" s="166">
        <v>90.933333333333422</v>
      </c>
      <c r="AW20" s="182">
        <f t="shared" si="9"/>
        <v>3</v>
      </c>
      <c r="AX20" s="390"/>
      <c r="AZ20" s="182" t="e">
        <f t="shared" si="10"/>
        <v>#N/A</v>
      </c>
      <c r="BA20" s="390"/>
    </row>
    <row r="21" spans="2:53">
      <c r="B21" s="395"/>
      <c r="C21" s="182">
        <v>15</v>
      </c>
      <c r="D21" s="203" t="s">
        <v>329</v>
      </c>
      <c r="E21" s="166">
        <v>19</v>
      </c>
      <c r="F21" s="182">
        <v>1440</v>
      </c>
      <c r="G21" s="180">
        <v>75.8</v>
      </c>
      <c r="H21" s="402"/>
      <c r="I21" s="166">
        <f t="shared" si="0"/>
        <v>19</v>
      </c>
      <c r="J21" s="166">
        <f t="shared" si="1"/>
        <v>1345.4829698914202</v>
      </c>
      <c r="K21" s="180">
        <f t="shared" si="2"/>
        <v>70.814893152180019</v>
      </c>
      <c r="L21" s="402"/>
      <c r="M21" s="181">
        <f>RANK(K21, K$7:$K$36)</f>
        <v>21</v>
      </c>
      <c r="N21" s="389"/>
      <c r="O21" s="389"/>
      <c r="P21" s="182">
        <v>19</v>
      </c>
      <c r="Q21" s="166">
        <v>1313.8636363636365</v>
      </c>
      <c r="R21" s="166">
        <v>69.150717703349287</v>
      </c>
      <c r="S21" s="182">
        <f t="shared" si="3"/>
        <v>21</v>
      </c>
      <c r="T21" s="390"/>
      <c r="U21" s="166">
        <v>19</v>
      </c>
      <c r="V21" s="166">
        <v>1352.4324324324314</v>
      </c>
      <c r="W21" s="166">
        <v>71.180654338549019</v>
      </c>
      <c r="X21" s="182">
        <f t="shared" si="4"/>
        <v>20</v>
      </c>
      <c r="Y21" s="390"/>
      <c r="Z21" s="182">
        <v>19</v>
      </c>
      <c r="AA21" s="166">
        <v>1329.5238095238108</v>
      </c>
      <c r="AB21" s="166">
        <v>69.974937343358462</v>
      </c>
      <c r="AC21" s="182">
        <f t="shared" si="5"/>
        <v>22</v>
      </c>
      <c r="AD21" s="390"/>
      <c r="AE21" s="182">
        <v>19</v>
      </c>
      <c r="AF21" s="166">
        <v>1340.2816901408437</v>
      </c>
      <c r="AG21" s="166">
        <v>70.541141586360197</v>
      </c>
      <c r="AH21" s="182">
        <f t="shared" si="6"/>
        <v>20</v>
      </c>
      <c r="AI21" s="390"/>
      <c r="AJ21" s="182">
        <v>19</v>
      </c>
      <c r="AK21" s="166">
        <v>1361.1428571428557</v>
      </c>
      <c r="AL21" s="166">
        <v>71.639097744360825</v>
      </c>
      <c r="AM21" s="182">
        <f t="shared" si="7"/>
        <v>21</v>
      </c>
      <c r="AN21" s="390"/>
      <c r="AO21" s="182">
        <v>19</v>
      </c>
      <c r="AP21" s="166">
        <v>1347.9545454545455</v>
      </c>
      <c r="AQ21" s="166">
        <v>70.944976076555022</v>
      </c>
      <c r="AR21" s="182">
        <f t="shared" si="8"/>
        <v>21</v>
      </c>
      <c r="AS21" s="390"/>
      <c r="AT21" s="182">
        <v>19</v>
      </c>
      <c r="AU21" s="166">
        <v>1373.1818181818182</v>
      </c>
      <c r="AV21" s="166">
        <v>72.27272727272728</v>
      </c>
      <c r="AW21" s="182">
        <f t="shared" si="9"/>
        <v>20</v>
      </c>
      <c r="AX21" s="390"/>
      <c r="AZ21" s="182" t="e">
        <f t="shared" si="10"/>
        <v>#N/A</v>
      </c>
      <c r="BA21" s="390"/>
    </row>
    <row r="22" spans="2:53">
      <c r="B22" s="395"/>
      <c r="C22" s="182">
        <v>16</v>
      </c>
      <c r="D22" s="203" t="s">
        <v>347</v>
      </c>
      <c r="E22" s="166">
        <v>19</v>
      </c>
      <c r="F22" s="182">
        <v>1440</v>
      </c>
      <c r="G22" s="180">
        <v>75.8</v>
      </c>
      <c r="H22" s="402"/>
      <c r="I22" s="166">
        <f t="shared" si="0"/>
        <v>19</v>
      </c>
      <c r="J22" s="166">
        <f t="shared" si="1"/>
        <v>1348.2404260636963</v>
      </c>
      <c r="K22" s="180">
        <f t="shared" si="2"/>
        <v>70.960022424405068</v>
      </c>
      <c r="L22" s="402"/>
      <c r="M22" s="181">
        <f>RANK(K22, K$7:$K$36)</f>
        <v>20</v>
      </c>
      <c r="N22" s="389"/>
      <c r="O22" s="389"/>
      <c r="P22" s="182">
        <v>19</v>
      </c>
      <c r="Q22" s="166">
        <v>1343.0769230769245</v>
      </c>
      <c r="R22" s="166">
        <v>70.688259109311815</v>
      </c>
      <c r="S22" s="182">
        <f t="shared" si="3"/>
        <v>20</v>
      </c>
      <c r="T22" s="390"/>
      <c r="U22" s="166">
        <v>19</v>
      </c>
      <c r="V22" s="166">
        <v>1331.3207547169818</v>
      </c>
      <c r="W22" s="166">
        <v>70.069513406156943</v>
      </c>
      <c r="X22" s="182">
        <f t="shared" si="4"/>
        <v>21</v>
      </c>
      <c r="Y22" s="390"/>
      <c r="Z22" s="182">
        <v>19</v>
      </c>
      <c r="AA22" s="166">
        <v>1351.836734693878</v>
      </c>
      <c r="AB22" s="166">
        <v>71.149301825993575</v>
      </c>
      <c r="AC22" s="182">
        <f t="shared" si="5"/>
        <v>20</v>
      </c>
      <c r="AD22" s="390"/>
      <c r="AE22" s="182">
        <v>19</v>
      </c>
      <c r="AF22" s="166">
        <v>1328.2758620689665</v>
      </c>
      <c r="AG22" s="166">
        <v>69.909255898366652</v>
      </c>
      <c r="AH22" s="182">
        <f t="shared" si="6"/>
        <v>22</v>
      </c>
      <c r="AI22" s="390"/>
      <c r="AJ22" s="182">
        <v>19</v>
      </c>
      <c r="AK22" s="166">
        <v>1380.0000000000011</v>
      </c>
      <c r="AL22" s="166">
        <v>72.631578947368482</v>
      </c>
      <c r="AM22" s="182">
        <f t="shared" si="7"/>
        <v>19</v>
      </c>
      <c r="AN22" s="390"/>
      <c r="AO22" s="182">
        <v>19</v>
      </c>
      <c r="AP22" s="166">
        <v>1354.0298507462669</v>
      </c>
      <c r="AQ22" s="166">
        <v>71.264728986645622</v>
      </c>
      <c r="AR22" s="182">
        <f t="shared" si="8"/>
        <v>20</v>
      </c>
      <c r="AS22" s="390"/>
      <c r="AT22" s="182">
        <v>19</v>
      </c>
      <c r="AU22" s="166">
        <v>1349.1428571428557</v>
      </c>
      <c r="AV22" s="166">
        <v>71.007518796992414</v>
      </c>
      <c r="AW22" s="182">
        <f t="shared" si="9"/>
        <v>21</v>
      </c>
      <c r="AX22" s="390"/>
      <c r="AZ22" s="182" t="e">
        <f t="shared" si="10"/>
        <v>#N/A</v>
      </c>
      <c r="BA22" s="390"/>
    </row>
    <row r="23" spans="2:53">
      <c r="B23" s="395"/>
      <c r="C23" s="182">
        <v>17</v>
      </c>
      <c r="D23" s="203" t="s">
        <v>609</v>
      </c>
      <c r="E23" s="166">
        <v>19</v>
      </c>
      <c r="F23" s="182">
        <v>1500</v>
      </c>
      <c r="G23" s="180">
        <v>78.900000000000006</v>
      </c>
      <c r="H23" s="402"/>
      <c r="I23" s="166">
        <f t="shared" si="0"/>
        <v>19</v>
      </c>
      <c r="J23" s="166">
        <f t="shared" si="1"/>
        <v>1389.5158018981533</v>
      </c>
      <c r="K23" s="180">
        <f t="shared" si="2"/>
        <v>73.132410626218615</v>
      </c>
      <c r="L23" s="402"/>
      <c r="M23" s="181">
        <f>RANK(K23, K$7:$K$36)</f>
        <v>19</v>
      </c>
      <c r="N23" s="389"/>
      <c r="O23" s="389"/>
      <c r="P23" s="182">
        <v>19</v>
      </c>
      <c r="Q23" s="166">
        <v>1390.4999999999993</v>
      </c>
      <c r="R23" s="166">
        <v>73.184210526315752</v>
      </c>
      <c r="S23" s="182">
        <f t="shared" si="3"/>
        <v>19</v>
      </c>
      <c r="T23" s="390"/>
      <c r="U23" s="166">
        <v>19</v>
      </c>
      <c r="V23" s="166">
        <v>1385.4545454545437</v>
      </c>
      <c r="W23" s="166">
        <v>72.918660287081252</v>
      </c>
      <c r="X23" s="182">
        <f t="shared" si="4"/>
        <v>19</v>
      </c>
      <c r="Y23" s="390"/>
      <c r="Z23" s="182">
        <v>19</v>
      </c>
      <c r="AA23" s="166">
        <v>1383.9999999999977</v>
      </c>
      <c r="AB23" s="166">
        <v>72.842105263157777</v>
      </c>
      <c r="AC23" s="182">
        <f t="shared" si="5"/>
        <v>18</v>
      </c>
      <c r="AD23" s="390"/>
      <c r="AE23" s="182">
        <v>19</v>
      </c>
      <c r="AF23" s="166">
        <v>1403.3333333333323</v>
      </c>
      <c r="AG23" s="166">
        <v>73.859649122806971</v>
      </c>
      <c r="AH23" s="182">
        <f t="shared" si="6"/>
        <v>18</v>
      </c>
      <c r="AI23" s="390"/>
      <c r="AJ23" s="182">
        <v>19</v>
      </c>
      <c r="AK23" s="166">
        <v>1367.6470588235277</v>
      </c>
      <c r="AL23" s="166">
        <v>71.98142414860672</v>
      </c>
      <c r="AM23" s="182">
        <f t="shared" si="7"/>
        <v>20</v>
      </c>
      <c r="AN23" s="390"/>
      <c r="AO23" s="182">
        <v>19</v>
      </c>
      <c r="AP23" s="166">
        <v>1402.7027027027016</v>
      </c>
      <c r="AQ23" s="166">
        <v>73.826458036984292</v>
      </c>
      <c r="AR23" s="182">
        <f t="shared" si="8"/>
        <v>18</v>
      </c>
      <c r="AS23" s="390"/>
      <c r="AT23" s="182">
        <v>19</v>
      </c>
      <c r="AU23" s="166">
        <v>1392.972972972972</v>
      </c>
      <c r="AV23" s="166">
        <v>73.314366998577469</v>
      </c>
      <c r="AW23" s="182">
        <f t="shared" si="9"/>
        <v>19</v>
      </c>
      <c r="AX23" s="390"/>
      <c r="AZ23" s="182" t="e">
        <f t="shared" si="10"/>
        <v>#N/A</v>
      </c>
      <c r="BA23" s="390"/>
    </row>
    <row r="24" spans="2:53">
      <c r="B24" s="395"/>
      <c r="C24" s="182">
        <v>18</v>
      </c>
      <c r="D24" s="203" t="s">
        <v>623</v>
      </c>
      <c r="E24" s="166">
        <v>18</v>
      </c>
      <c r="F24" s="182">
        <v>1500</v>
      </c>
      <c r="G24" s="180">
        <v>83.3</v>
      </c>
      <c r="H24" s="402"/>
      <c r="I24" s="166">
        <f t="shared" si="0"/>
        <v>18</v>
      </c>
      <c r="J24" s="166">
        <f t="shared" si="1"/>
        <v>1395.0186028065273</v>
      </c>
      <c r="K24" s="180">
        <f t="shared" si="2"/>
        <v>77.501033489251512</v>
      </c>
      <c r="L24" s="402"/>
      <c r="M24" s="181">
        <f>RANK(K24, K$7:$K$36)</f>
        <v>16</v>
      </c>
      <c r="N24" s="389"/>
      <c r="O24" s="389"/>
      <c r="P24" s="182">
        <v>18</v>
      </c>
      <c r="Q24" s="166">
        <v>1383.7499999999995</v>
      </c>
      <c r="R24" s="166">
        <v>76.874999999999972</v>
      </c>
      <c r="S24" s="182">
        <f t="shared" si="3"/>
        <v>17</v>
      </c>
      <c r="T24" s="390"/>
      <c r="U24" s="166">
        <v>18</v>
      </c>
      <c r="V24" s="166">
        <v>1388.5714285714273</v>
      </c>
      <c r="W24" s="166">
        <v>77.142857142857068</v>
      </c>
      <c r="X24" s="182">
        <f t="shared" si="4"/>
        <v>15</v>
      </c>
      <c r="Y24" s="390"/>
      <c r="Z24" s="182">
        <v>18</v>
      </c>
      <c r="AA24" s="166">
        <v>1425.8181818181829</v>
      </c>
      <c r="AB24" s="166">
        <v>79.212121212121275</v>
      </c>
      <c r="AC24" s="182">
        <f t="shared" si="5"/>
        <v>10</v>
      </c>
      <c r="AD24" s="390"/>
      <c r="AE24" s="182">
        <v>18</v>
      </c>
      <c r="AF24" s="166">
        <v>1403.7931034482767</v>
      </c>
      <c r="AG24" s="166">
        <v>77.988505747126482</v>
      </c>
      <c r="AH24" s="182">
        <f t="shared" si="6"/>
        <v>14</v>
      </c>
      <c r="AI24" s="390"/>
      <c r="AJ24" s="182">
        <v>18</v>
      </c>
      <c r="AK24" s="166">
        <v>1392.7868852459028</v>
      </c>
      <c r="AL24" s="166">
        <v>77.37704918032793</v>
      </c>
      <c r="AM24" s="182">
        <f t="shared" si="7"/>
        <v>14</v>
      </c>
      <c r="AN24" s="390"/>
      <c r="AO24" s="182">
        <v>18</v>
      </c>
      <c r="AP24" s="166">
        <v>1385.853658536585</v>
      </c>
      <c r="AQ24" s="166">
        <v>76.991869918699166</v>
      </c>
      <c r="AR24" s="182">
        <f t="shared" si="8"/>
        <v>16</v>
      </c>
      <c r="AS24" s="390"/>
      <c r="AT24" s="182">
        <v>18</v>
      </c>
      <c r="AU24" s="166">
        <v>1384.5569620253157</v>
      </c>
      <c r="AV24" s="166">
        <v>76.919831223628648</v>
      </c>
      <c r="AW24" s="182">
        <f t="shared" si="9"/>
        <v>16</v>
      </c>
      <c r="AX24" s="390"/>
      <c r="AZ24" s="182" t="e">
        <f t="shared" si="10"/>
        <v>#N/A</v>
      </c>
      <c r="BA24" s="390"/>
    </row>
    <row r="25" spans="2:53">
      <c r="B25" s="395"/>
      <c r="C25" s="182">
        <v>19</v>
      </c>
      <c r="D25" s="203" t="s">
        <v>528</v>
      </c>
      <c r="E25" s="166">
        <v>17</v>
      </c>
      <c r="F25" s="182">
        <v>1440</v>
      </c>
      <c r="G25" s="180">
        <v>84.7</v>
      </c>
      <c r="H25" s="402"/>
      <c r="I25" s="166">
        <f t="shared" si="0"/>
        <v>17</v>
      </c>
      <c r="J25" s="166">
        <f t="shared" si="1"/>
        <v>1348.2092259564467</v>
      </c>
      <c r="K25" s="180">
        <f t="shared" si="2"/>
        <v>79.30642505626156</v>
      </c>
      <c r="L25" s="402"/>
      <c r="M25" s="181">
        <f>RANK(K25, K$7:$K$36)</f>
        <v>15</v>
      </c>
      <c r="N25" s="389"/>
      <c r="O25" s="389"/>
      <c r="P25" s="182">
        <v>17</v>
      </c>
      <c r="Q25" s="166">
        <v>1370.8695652173915</v>
      </c>
      <c r="R25" s="166">
        <v>80.639386189258317</v>
      </c>
      <c r="S25" s="182">
        <f t="shared" si="3"/>
        <v>15</v>
      </c>
      <c r="T25" s="390"/>
      <c r="U25" s="166">
        <v>17</v>
      </c>
      <c r="V25" s="166">
        <v>1370.5263157894726</v>
      </c>
      <c r="W25" s="166">
        <v>80.619195046439572</v>
      </c>
      <c r="X25" s="182">
        <f t="shared" si="4"/>
        <v>10</v>
      </c>
      <c r="Y25" s="390"/>
      <c r="Z25" s="182">
        <v>17</v>
      </c>
      <c r="AA25" s="166">
        <v>1346.2499999999982</v>
      </c>
      <c r="AB25" s="166">
        <v>79.191176470588132</v>
      </c>
      <c r="AC25" s="182">
        <f t="shared" si="5"/>
        <v>11</v>
      </c>
      <c r="AD25" s="390"/>
      <c r="AE25" s="182">
        <v>17</v>
      </c>
      <c r="AF25" s="166">
        <v>1336.2162162162151</v>
      </c>
      <c r="AG25" s="166">
        <v>78.600953895071484</v>
      </c>
      <c r="AH25" s="182">
        <f t="shared" si="6"/>
        <v>13</v>
      </c>
      <c r="AI25" s="390"/>
      <c r="AJ25" s="182">
        <v>17</v>
      </c>
      <c r="AK25" s="166">
        <v>1321.4285714285709</v>
      </c>
      <c r="AL25" s="166">
        <v>77.731092436974762</v>
      </c>
      <c r="AM25" s="182">
        <f t="shared" si="7"/>
        <v>13</v>
      </c>
      <c r="AN25" s="390"/>
      <c r="AO25" s="182">
        <v>17</v>
      </c>
      <c r="AP25" s="166">
        <v>1350.0000000000005</v>
      </c>
      <c r="AQ25" s="166">
        <v>79.411764705882376</v>
      </c>
      <c r="AR25" s="182">
        <f t="shared" si="8"/>
        <v>14</v>
      </c>
      <c r="AS25" s="390"/>
      <c r="AT25" s="182">
        <v>17</v>
      </c>
      <c r="AU25" s="166">
        <v>1342.1739130434783</v>
      </c>
      <c r="AV25" s="166">
        <v>78.951406649616374</v>
      </c>
      <c r="AW25" s="182">
        <f t="shared" si="9"/>
        <v>15</v>
      </c>
      <c r="AX25" s="390"/>
      <c r="AZ25" s="182" t="e">
        <f t="shared" si="10"/>
        <v>#N/A</v>
      </c>
      <c r="BA25" s="390"/>
    </row>
    <row r="26" spans="2:53">
      <c r="B26" s="395"/>
      <c r="C26" s="182">
        <v>20</v>
      </c>
      <c r="D26" s="203" t="s">
        <v>532</v>
      </c>
      <c r="E26" s="166">
        <v>18</v>
      </c>
      <c r="F26" s="182">
        <v>1500</v>
      </c>
      <c r="G26" s="180">
        <v>83.3</v>
      </c>
      <c r="H26" s="402"/>
      <c r="I26" s="166">
        <f t="shared" si="0"/>
        <v>18</v>
      </c>
      <c r="J26" s="166">
        <f t="shared" si="1"/>
        <v>1394.4561253143438</v>
      </c>
      <c r="K26" s="180">
        <f t="shared" si="2"/>
        <v>77.469784739685764</v>
      </c>
      <c r="L26" s="402"/>
      <c r="M26" s="181">
        <f>RANK(K26, K$7:$K$36)</f>
        <v>17</v>
      </c>
      <c r="N26" s="389"/>
      <c r="O26" s="389"/>
      <c r="P26" s="182">
        <v>18</v>
      </c>
      <c r="Q26" s="166">
        <v>1420.677966101696</v>
      </c>
      <c r="R26" s="166">
        <v>78.926553672316444</v>
      </c>
      <c r="S26" s="182">
        <f t="shared" si="3"/>
        <v>16</v>
      </c>
      <c r="T26" s="390"/>
      <c r="U26" s="166">
        <v>18</v>
      </c>
      <c r="V26" s="166">
        <v>1405.3846153846162</v>
      </c>
      <c r="W26" s="166">
        <v>78.076923076923123</v>
      </c>
      <c r="X26" s="182">
        <f t="shared" si="4"/>
        <v>12</v>
      </c>
      <c r="Y26" s="390"/>
      <c r="Z26" s="182">
        <v>18</v>
      </c>
      <c r="AA26" s="166">
        <v>1399.4999999999995</v>
      </c>
      <c r="AB26" s="166">
        <v>77.749999999999972</v>
      </c>
      <c r="AC26" s="182">
        <f t="shared" si="5"/>
        <v>14</v>
      </c>
      <c r="AD26" s="390"/>
      <c r="AE26" s="182">
        <v>18</v>
      </c>
      <c r="AF26" s="166">
        <v>1399.5348837209301</v>
      </c>
      <c r="AG26" s="166">
        <v>77.751937984496124</v>
      </c>
      <c r="AH26" s="182">
        <f t="shared" si="6"/>
        <v>15</v>
      </c>
      <c r="AI26" s="390"/>
      <c r="AJ26" s="182">
        <v>18</v>
      </c>
      <c r="AK26" s="166">
        <v>1373.207547169812</v>
      </c>
      <c r="AL26" s="166">
        <v>76.289308176100661</v>
      </c>
      <c r="AM26" s="182">
        <f t="shared" si="7"/>
        <v>15</v>
      </c>
      <c r="AN26" s="390"/>
      <c r="AO26" s="182">
        <v>18</v>
      </c>
      <c r="AP26" s="166">
        <v>1381.9354838709689</v>
      </c>
      <c r="AQ26" s="166">
        <v>76.77419354838716</v>
      </c>
      <c r="AR26" s="182">
        <f t="shared" si="8"/>
        <v>17</v>
      </c>
      <c r="AS26" s="390"/>
      <c r="AT26" s="182">
        <v>18</v>
      </c>
      <c r="AU26" s="166">
        <v>1380.9523809523826</v>
      </c>
      <c r="AV26" s="166">
        <v>76.719576719576807</v>
      </c>
      <c r="AW26" s="182">
        <f t="shared" si="9"/>
        <v>17</v>
      </c>
      <c r="AX26" s="390"/>
      <c r="AZ26" s="182" t="e">
        <f t="shared" si="10"/>
        <v>#N/A</v>
      </c>
      <c r="BA26" s="390"/>
    </row>
    <row r="27" spans="2:53">
      <c r="B27" s="395"/>
      <c r="C27" s="182">
        <v>21</v>
      </c>
      <c r="D27" s="203" t="s">
        <v>613</v>
      </c>
      <c r="E27" s="166">
        <v>18</v>
      </c>
      <c r="F27" s="182">
        <v>1636</v>
      </c>
      <c r="G27" s="180">
        <v>90.9</v>
      </c>
      <c r="H27" s="402"/>
      <c r="I27" s="166">
        <f t="shared" si="0"/>
        <v>18</v>
      </c>
      <c r="J27" s="166">
        <f t="shared" si="1"/>
        <v>1437.6554321137487</v>
      </c>
      <c r="K27" s="180">
        <f t="shared" si="2"/>
        <v>79.869746228541615</v>
      </c>
      <c r="L27" s="402"/>
      <c r="M27" s="181">
        <f>RANK(K27, K$7:$K$36)</f>
        <v>14</v>
      </c>
      <c r="N27" s="389"/>
      <c r="O27" s="389"/>
      <c r="P27" s="182">
        <v>18</v>
      </c>
      <c r="Q27" s="166">
        <v>1465.3333333333333</v>
      </c>
      <c r="R27" s="166">
        <v>81.407407407407405</v>
      </c>
      <c r="S27" s="182">
        <f t="shared" si="3"/>
        <v>13</v>
      </c>
      <c r="T27" s="390"/>
      <c r="U27" s="166">
        <v>18</v>
      </c>
      <c r="V27" s="166">
        <v>1439.9999999999995</v>
      </c>
      <c r="W27" s="166">
        <v>79.999999999999972</v>
      </c>
      <c r="X27" s="182">
        <f t="shared" si="4"/>
        <v>11</v>
      </c>
      <c r="Y27" s="390"/>
      <c r="Z27" s="182">
        <v>18</v>
      </c>
      <c r="AA27" s="166">
        <v>1398.0000000000002</v>
      </c>
      <c r="AB27" s="166">
        <v>77.666666666666686</v>
      </c>
      <c r="AC27" s="182">
        <f t="shared" si="5"/>
        <v>15</v>
      </c>
      <c r="AD27" s="390"/>
      <c r="AE27" s="182">
        <v>18</v>
      </c>
      <c r="AF27" s="166">
        <v>1430.4761904761901</v>
      </c>
      <c r="AG27" s="166">
        <v>79.470899470899454</v>
      </c>
      <c r="AH27" s="182">
        <f t="shared" si="6"/>
        <v>12</v>
      </c>
      <c r="AI27" s="390"/>
      <c r="AJ27" s="182">
        <v>18</v>
      </c>
      <c r="AK27" s="166">
        <v>1456.7088607594928</v>
      </c>
      <c r="AL27" s="166">
        <v>80.928270042194043</v>
      </c>
      <c r="AM27" s="182">
        <f t="shared" si="7"/>
        <v>11</v>
      </c>
      <c r="AN27" s="390"/>
      <c r="AO27" s="182">
        <v>18</v>
      </c>
      <c r="AP27" s="166">
        <v>1420.8247422680417</v>
      </c>
      <c r="AQ27" s="166">
        <v>78.934707903780094</v>
      </c>
      <c r="AR27" s="182">
        <f t="shared" si="8"/>
        <v>15</v>
      </c>
      <c r="AS27" s="390"/>
      <c r="AT27" s="182">
        <v>18</v>
      </c>
      <c r="AU27" s="166">
        <v>1452.2448979591841</v>
      </c>
      <c r="AV27" s="166">
        <v>80.680272108843553</v>
      </c>
      <c r="AW27" s="182">
        <f t="shared" si="9"/>
        <v>14</v>
      </c>
      <c r="AX27" s="390"/>
      <c r="AZ27" s="182" t="e">
        <f t="shared" si="10"/>
        <v>#N/A</v>
      </c>
      <c r="BA27" s="390"/>
    </row>
    <row r="28" spans="2:53">
      <c r="B28" s="395"/>
      <c r="C28" s="182">
        <v>22</v>
      </c>
      <c r="D28" s="203" t="s">
        <v>533</v>
      </c>
      <c r="E28" s="166">
        <v>20</v>
      </c>
      <c r="F28" s="182">
        <v>1500</v>
      </c>
      <c r="G28" s="180">
        <v>75</v>
      </c>
      <c r="H28" s="402"/>
      <c r="I28" s="166">
        <f t="shared" si="0"/>
        <v>20</v>
      </c>
      <c r="J28" s="166">
        <f t="shared" si="1"/>
        <v>1242.3339655783122</v>
      </c>
      <c r="K28" s="180">
        <f t="shared" si="2"/>
        <v>62.116698278915599</v>
      </c>
      <c r="L28" s="402"/>
      <c r="M28" s="181">
        <f>RANK(K28, K$7:$K$36)</f>
        <v>25</v>
      </c>
      <c r="N28" s="389"/>
      <c r="O28" s="389"/>
      <c r="P28" s="182">
        <v>20</v>
      </c>
      <c r="Q28" s="166">
        <v>1269.6000000000004</v>
      </c>
      <c r="R28" s="166">
        <v>63.480000000000018</v>
      </c>
      <c r="S28" s="182">
        <f t="shared" si="3"/>
        <v>25</v>
      </c>
      <c r="T28" s="390"/>
      <c r="U28" s="166">
        <v>20</v>
      </c>
      <c r="V28" s="166">
        <v>1232.7272727272727</v>
      </c>
      <c r="W28" s="166">
        <v>61.63636363636364</v>
      </c>
      <c r="X28" s="182">
        <f t="shared" si="4"/>
        <v>25</v>
      </c>
      <c r="Y28" s="390"/>
      <c r="Z28" s="182">
        <v>20</v>
      </c>
      <c r="AA28" s="166">
        <v>1231.5789473684201</v>
      </c>
      <c r="AB28" s="166">
        <v>61.578947368421005</v>
      </c>
      <c r="AC28" s="182">
        <f t="shared" si="5"/>
        <v>26</v>
      </c>
      <c r="AD28" s="390"/>
      <c r="AE28" s="182">
        <v>20</v>
      </c>
      <c r="AF28" s="166">
        <v>1219.5348837209301</v>
      </c>
      <c r="AG28" s="166">
        <v>60.976744186046503</v>
      </c>
      <c r="AH28" s="182">
        <f t="shared" si="6"/>
        <v>26</v>
      </c>
      <c r="AI28" s="390"/>
      <c r="AJ28" s="182">
        <v>20</v>
      </c>
      <c r="AK28" s="166">
        <v>1261.3636363636365</v>
      </c>
      <c r="AL28" s="166">
        <v>63.068181818181827</v>
      </c>
      <c r="AM28" s="182">
        <f t="shared" si="7"/>
        <v>25</v>
      </c>
      <c r="AN28" s="390"/>
      <c r="AO28" s="182">
        <v>20</v>
      </c>
      <c r="AP28" s="166">
        <v>1245.2830188679252</v>
      </c>
      <c r="AQ28" s="166">
        <v>62.26415094339626</v>
      </c>
      <c r="AR28" s="182">
        <f t="shared" si="8"/>
        <v>26</v>
      </c>
      <c r="AS28" s="390"/>
      <c r="AT28" s="182">
        <v>20</v>
      </c>
      <c r="AU28" s="166">
        <v>1236.2500000000002</v>
      </c>
      <c r="AV28" s="166">
        <v>61.812500000000014</v>
      </c>
      <c r="AW28" s="182">
        <f t="shared" si="9"/>
        <v>25</v>
      </c>
      <c r="AX28" s="390"/>
      <c r="AZ28" s="182" t="e">
        <f t="shared" si="10"/>
        <v>#N/A</v>
      </c>
      <c r="BA28" s="390"/>
    </row>
    <row r="29" spans="2:53">
      <c r="B29" s="395"/>
      <c r="C29" s="182">
        <v>23</v>
      </c>
      <c r="D29" s="203" t="s">
        <v>610</v>
      </c>
      <c r="E29" s="166">
        <v>17</v>
      </c>
      <c r="F29" s="182">
        <v>1565</v>
      </c>
      <c r="G29" s="180">
        <v>92.1</v>
      </c>
      <c r="H29" s="402"/>
      <c r="I29" s="166">
        <f t="shared" si="0"/>
        <v>17</v>
      </c>
      <c r="J29" s="166">
        <f t="shared" si="1"/>
        <v>1380.5999362499192</v>
      </c>
      <c r="K29" s="180">
        <f t="shared" si="2"/>
        <v>81.211760955877594</v>
      </c>
      <c r="L29" s="402"/>
      <c r="M29" s="181">
        <f>RANK(K29, K$7:$K$36)</f>
        <v>11</v>
      </c>
      <c r="N29" s="389"/>
      <c r="O29" s="389"/>
      <c r="P29" s="182">
        <v>17</v>
      </c>
      <c r="Q29" s="166">
        <v>1385.7142857142853</v>
      </c>
      <c r="R29" s="166">
        <v>81.512605042016787</v>
      </c>
      <c r="S29" s="182">
        <f t="shared" si="3"/>
        <v>12</v>
      </c>
      <c r="T29" s="390"/>
      <c r="U29" s="166">
        <v>17</v>
      </c>
      <c r="V29" s="166">
        <v>1323.2432432432422</v>
      </c>
      <c r="W29" s="166">
        <v>77.837837837837782</v>
      </c>
      <c r="X29" s="182">
        <f t="shared" si="4"/>
        <v>13</v>
      </c>
      <c r="Y29" s="390"/>
      <c r="Z29" s="182">
        <v>17</v>
      </c>
      <c r="AA29" s="166">
        <v>1368.3870967741914</v>
      </c>
      <c r="AB29" s="166">
        <v>80.493358633775969</v>
      </c>
      <c r="AC29" s="182">
        <f t="shared" si="5"/>
        <v>9</v>
      </c>
      <c r="AD29" s="390"/>
      <c r="AE29" s="182">
        <v>17</v>
      </c>
      <c r="AF29" s="166">
        <v>1371.42857142857</v>
      </c>
      <c r="AG29" s="166">
        <v>80.672268907562938</v>
      </c>
      <c r="AH29" s="182">
        <f t="shared" si="6"/>
        <v>11</v>
      </c>
      <c r="AI29" s="390"/>
      <c r="AJ29" s="182">
        <v>17</v>
      </c>
      <c r="AK29" s="166">
        <v>1413.3333333333321</v>
      </c>
      <c r="AL29" s="166">
        <v>83.137254901960716</v>
      </c>
      <c r="AM29" s="182">
        <f t="shared" si="7"/>
        <v>7</v>
      </c>
      <c r="AN29" s="390"/>
      <c r="AO29" s="182">
        <v>17</v>
      </c>
      <c r="AP29" s="166">
        <v>1412.0930232558137</v>
      </c>
      <c r="AQ29" s="166">
        <v>83.064295485636094</v>
      </c>
      <c r="AR29" s="182">
        <f t="shared" si="8"/>
        <v>9</v>
      </c>
      <c r="AS29" s="390"/>
      <c r="AT29" s="182">
        <v>17</v>
      </c>
      <c r="AU29" s="166">
        <v>1389.9999999999995</v>
      </c>
      <c r="AV29" s="166">
        <v>81.764705882352914</v>
      </c>
      <c r="AW29" s="182">
        <f t="shared" si="9"/>
        <v>11</v>
      </c>
      <c r="AX29" s="390"/>
      <c r="AZ29" s="182" t="e">
        <f t="shared" si="10"/>
        <v>#N/A</v>
      </c>
      <c r="BA29" s="390"/>
    </row>
    <row r="30" spans="2:53">
      <c r="B30" s="395"/>
      <c r="C30" s="182">
        <v>24</v>
      </c>
      <c r="D30" s="203" t="s">
        <v>611</v>
      </c>
      <c r="E30" s="166">
        <v>15</v>
      </c>
      <c r="F30" s="182">
        <v>1440</v>
      </c>
      <c r="G30" s="180">
        <v>96</v>
      </c>
      <c r="H30" s="402"/>
      <c r="I30" s="166">
        <f t="shared" si="0"/>
        <v>15</v>
      </c>
      <c r="J30" s="166">
        <f t="shared" si="1"/>
        <v>1248.1921402969767</v>
      </c>
      <c r="K30" s="180">
        <f t="shared" si="2"/>
        <v>83.212809353131789</v>
      </c>
      <c r="L30" s="402"/>
      <c r="M30" s="181">
        <f>RANK(K30, K$7:$K$36)</f>
        <v>6</v>
      </c>
      <c r="N30" s="389"/>
      <c r="O30" s="389"/>
      <c r="P30" s="182">
        <v>15</v>
      </c>
      <c r="Q30" s="166">
        <v>1338.7499999999982</v>
      </c>
      <c r="R30" s="166">
        <v>89.249999999999872</v>
      </c>
      <c r="S30" s="182">
        <f t="shared" si="3"/>
        <v>5</v>
      </c>
      <c r="T30" s="390"/>
      <c r="U30" s="166">
        <v>15</v>
      </c>
      <c r="V30" s="166">
        <v>1319.9999999999975</v>
      </c>
      <c r="W30" s="166">
        <v>87.999999999999829</v>
      </c>
      <c r="X30" s="182">
        <f t="shared" si="4"/>
        <v>4</v>
      </c>
      <c r="Y30" s="390"/>
      <c r="Z30" s="182">
        <v>15</v>
      </c>
      <c r="AA30" s="166">
        <v>1131.1111111111086</v>
      </c>
      <c r="AB30" s="166">
        <v>75.407407407407234</v>
      </c>
      <c r="AC30" s="182">
        <f t="shared" si="5"/>
        <v>16</v>
      </c>
      <c r="AD30" s="390"/>
      <c r="AE30" s="182">
        <v>15</v>
      </c>
      <c r="AF30" s="166">
        <v>1151.999999999998</v>
      </c>
      <c r="AG30" s="166">
        <v>76.799999999999869</v>
      </c>
      <c r="AH30" s="182">
        <f t="shared" si="6"/>
        <v>16</v>
      </c>
      <c r="AI30" s="390"/>
      <c r="AJ30" s="182">
        <v>15</v>
      </c>
      <c r="AK30" s="166">
        <v>1139.999999999998</v>
      </c>
      <c r="AL30" s="166">
        <v>75.999999999999858</v>
      </c>
      <c r="AM30" s="182">
        <f t="shared" si="7"/>
        <v>16</v>
      </c>
      <c r="AN30" s="390"/>
      <c r="AO30" s="182">
        <v>15</v>
      </c>
      <c r="AP30" s="166">
        <v>1347.096774193546</v>
      </c>
      <c r="AQ30" s="166">
        <v>89.806451612903075</v>
      </c>
      <c r="AR30" s="182">
        <f t="shared" si="8"/>
        <v>3</v>
      </c>
      <c r="AS30" s="390"/>
      <c r="AT30" s="182">
        <v>15</v>
      </c>
      <c r="AU30" s="166">
        <v>1308.3870967741916</v>
      </c>
      <c r="AV30" s="166">
        <v>87.225806451612769</v>
      </c>
      <c r="AW30" s="182">
        <f t="shared" si="9"/>
        <v>5</v>
      </c>
      <c r="AX30" s="390"/>
      <c r="AZ30" s="182" t="e">
        <f t="shared" si="10"/>
        <v>#N/A</v>
      </c>
      <c r="BA30" s="390"/>
    </row>
    <row r="31" spans="2:53">
      <c r="B31" s="395"/>
      <c r="C31" s="182">
        <v>25</v>
      </c>
      <c r="D31" s="203" t="s">
        <v>579</v>
      </c>
      <c r="E31" s="166">
        <v>21</v>
      </c>
      <c r="F31" s="182">
        <v>1500</v>
      </c>
      <c r="G31" s="180">
        <v>71.400000000000006</v>
      </c>
      <c r="H31" s="402"/>
      <c r="I31" s="166">
        <f t="shared" si="0"/>
        <v>21</v>
      </c>
      <c r="J31" s="166">
        <f t="shared" si="1"/>
        <v>1299.0589993623416</v>
      </c>
      <c r="K31" s="180">
        <f t="shared" si="2"/>
        <v>61.859952350587704</v>
      </c>
      <c r="L31" s="402"/>
      <c r="M31" s="181">
        <f>RANK(K31, K$7:$K$36)</f>
        <v>26</v>
      </c>
      <c r="N31" s="389"/>
      <c r="O31" s="389"/>
      <c r="P31" s="182">
        <v>21</v>
      </c>
      <c r="Q31" s="166">
        <v>1257.391304347826</v>
      </c>
      <c r="R31" s="166">
        <v>59.875776397515523</v>
      </c>
      <c r="S31" s="182">
        <f t="shared" si="3"/>
        <v>26</v>
      </c>
      <c r="T31" s="390"/>
      <c r="U31" s="166">
        <v>21</v>
      </c>
      <c r="V31" s="166">
        <v>1267.8947368421043</v>
      </c>
      <c r="W31" s="166">
        <v>60.375939849624011</v>
      </c>
      <c r="X31" s="182">
        <f t="shared" si="4"/>
        <v>26</v>
      </c>
      <c r="Y31" s="390"/>
      <c r="Z31" s="182">
        <v>21</v>
      </c>
      <c r="AA31" s="166">
        <v>1319.9999999999982</v>
      </c>
      <c r="AB31" s="166">
        <v>62.857142857142769</v>
      </c>
      <c r="AC31" s="182">
        <f t="shared" si="5"/>
        <v>25</v>
      </c>
      <c r="AD31" s="390"/>
      <c r="AE31" s="182">
        <v>21</v>
      </c>
      <c r="AF31" s="166">
        <v>1338.3333333333323</v>
      </c>
      <c r="AG31" s="166">
        <v>63.730158730158685</v>
      </c>
      <c r="AH31" s="182">
        <f t="shared" si="6"/>
        <v>25</v>
      </c>
      <c r="AI31" s="390"/>
      <c r="AJ31" s="182">
        <v>21</v>
      </c>
      <c r="AK31" s="166">
        <v>1310.76923076923</v>
      </c>
      <c r="AL31" s="166">
        <v>62.417582417582381</v>
      </c>
      <c r="AM31" s="182">
        <f t="shared" si="7"/>
        <v>26</v>
      </c>
      <c r="AN31" s="390"/>
      <c r="AO31" s="182">
        <v>21</v>
      </c>
      <c r="AP31" s="166">
        <v>1339.024390243902</v>
      </c>
      <c r="AQ31" s="166">
        <v>63.76306620209057</v>
      </c>
      <c r="AR31" s="182">
        <f t="shared" si="8"/>
        <v>25</v>
      </c>
      <c r="AS31" s="390"/>
      <c r="AT31" s="182">
        <v>21</v>
      </c>
      <c r="AU31" s="166">
        <v>1260</v>
      </c>
      <c r="AV31" s="166">
        <v>60</v>
      </c>
      <c r="AW31" s="182">
        <f t="shared" si="9"/>
        <v>26</v>
      </c>
      <c r="AX31" s="390"/>
      <c r="AZ31" s="182" t="e">
        <f t="shared" si="10"/>
        <v>#N/A</v>
      </c>
      <c r="BA31" s="390"/>
    </row>
    <row r="32" spans="2:53">
      <c r="B32" s="395"/>
      <c r="C32" s="182">
        <v>26</v>
      </c>
      <c r="D32" s="203" t="s">
        <v>612</v>
      </c>
      <c r="E32" s="166">
        <v>19</v>
      </c>
      <c r="F32" s="182">
        <v>1500</v>
      </c>
      <c r="G32" s="180">
        <v>78.900000000000006</v>
      </c>
      <c r="H32" s="402"/>
      <c r="I32" s="166">
        <f t="shared" si="0"/>
        <v>19.142857142857142</v>
      </c>
      <c r="J32" s="166">
        <f t="shared" si="1"/>
        <v>1256.0145576566704</v>
      </c>
      <c r="K32" s="180">
        <f t="shared" si="2"/>
        <v>65.624611520061066</v>
      </c>
      <c r="L32" s="402"/>
      <c r="M32" s="181">
        <f>RANK(K32, K$7:$K$36)</f>
        <v>24</v>
      </c>
      <c r="N32" s="389"/>
      <c r="O32" s="389"/>
      <c r="P32" s="182">
        <v>20</v>
      </c>
      <c r="Q32" s="166">
        <v>1280.5714285714273</v>
      </c>
      <c r="R32" s="166">
        <v>64.028571428571368</v>
      </c>
      <c r="S32" s="182">
        <f t="shared" si="3"/>
        <v>24</v>
      </c>
      <c r="T32" s="390"/>
      <c r="U32" s="166">
        <v>19</v>
      </c>
      <c r="V32" s="166">
        <v>1264.0677966101705</v>
      </c>
      <c r="W32" s="166">
        <v>66.529884032114239</v>
      </c>
      <c r="X32" s="182">
        <f t="shared" si="4"/>
        <v>23</v>
      </c>
      <c r="Y32" s="390"/>
      <c r="Z32" s="182">
        <v>19</v>
      </c>
      <c r="AA32" s="166">
        <v>1262.264150943397</v>
      </c>
      <c r="AB32" s="166">
        <v>66.434955312810374</v>
      </c>
      <c r="AC32" s="182">
        <f t="shared" si="5"/>
        <v>24</v>
      </c>
      <c r="AD32" s="390"/>
      <c r="AE32" s="182">
        <v>19</v>
      </c>
      <c r="AF32" s="166">
        <v>1254.736842105264</v>
      </c>
      <c r="AG32" s="166">
        <v>66.038781163434948</v>
      </c>
      <c r="AH32" s="182">
        <f t="shared" si="6"/>
        <v>24</v>
      </c>
      <c r="AI32" s="390"/>
      <c r="AJ32" s="182">
        <v>19</v>
      </c>
      <c r="AK32" s="166">
        <v>1253.8983050847467</v>
      </c>
      <c r="AL32" s="166">
        <v>65.994647636039304</v>
      </c>
      <c r="AM32" s="182">
        <f t="shared" si="7"/>
        <v>24</v>
      </c>
      <c r="AN32" s="390"/>
      <c r="AO32" s="182">
        <v>19</v>
      </c>
      <c r="AP32" s="166">
        <v>1240.5633802816888</v>
      </c>
      <c r="AQ32" s="166">
        <v>65.292809488509931</v>
      </c>
      <c r="AR32" s="182">
        <f t="shared" si="8"/>
        <v>24</v>
      </c>
      <c r="AS32" s="390"/>
      <c r="AT32" s="182">
        <v>19</v>
      </c>
      <c r="AU32" s="166">
        <v>1235.9999999999989</v>
      </c>
      <c r="AV32" s="166">
        <v>65.052631578947313</v>
      </c>
      <c r="AW32" s="182">
        <f t="shared" si="9"/>
        <v>24</v>
      </c>
      <c r="AX32" s="390"/>
      <c r="AZ32" s="182" t="e">
        <f t="shared" si="10"/>
        <v>#N/A</v>
      </c>
      <c r="BA32" s="390"/>
    </row>
    <row r="33" spans="2:53">
      <c r="B33" s="395"/>
      <c r="C33" s="182">
        <v>27</v>
      </c>
      <c r="D33" s="203" t="s">
        <v>660</v>
      </c>
      <c r="E33" s="166">
        <v>20</v>
      </c>
      <c r="F33" s="182">
        <v>1300</v>
      </c>
      <c r="G33" s="180">
        <v>65</v>
      </c>
      <c r="H33" s="402"/>
      <c r="I33" s="166">
        <f t="shared" si="0"/>
        <v>20</v>
      </c>
      <c r="J33" s="166">
        <f t="shared" si="1"/>
        <v>1109.5734858254209</v>
      </c>
      <c r="K33" s="180">
        <f t="shared" si="2"/>
        <v>55.478674291271069</v>
      </c>
      <c r="L33" s="402"/>
      <c r="M33" s="181">
        <f>RANK(K33, K$7:$K$36)</f>
        <v>27</v>
      </c>
      <c r="N33" s="389"/>
      <c r="O33" s="389"/>
      <c r="P33" s="182">
        <v>20</v>
      </c>
      <c r="Q33" s="166">
        <v>1102.4295302013427</v>
      </c>
      <c r="R33" s="166">
        <v>55.121476510067133</v>
      </c>
      <c r="S33" s="182">
        <f t="shared" si="3"/>
        <v>27</v>
      </c>
      <c r="T33" s="390"/>
      <c r="U33" s="166">
        <v>20</v>
      </c>
      <c r="V33" s="166">
        <v>1093.431818181818</v>
      </c>
      <c r="W33" s="166">
        <v>54.671590909090902</v>
      </c>
      <c r="X33" s="182">
        <f t="shared" si="4"/>
        <v>27</v>
      </c>
      <c r="Y33" s="390"/>
      <c r="Z33" s="182">
        <v>20</v>
      </c>
      <c r="AA33" s="166">
        <v>1100.435643564357</v>
      </c>
      <c r="AB33" s="166">
        <v>55.021782178217848</v>
      </c>
      <c r="AC33" s="182">
        <f t="shared" si="5"/>
        <v>27</v>
      </c>
      <c r="AD33" s="390"/>
      <c r="AE33" s="182">
        <v>20</v>
      </c>
      <c r="AF33" s="166">
        <v>1115.7303370786517</v>
      </c>
      <c r="AG33" s="166">
        <v>55.786516853932582</v>
      </c>
      <c r="AH33" s="182">
        <f t="shared" si="6"/>
        <v>27</v>
      </c>
      <c r="AI33" s="390"/>
      <c r="AJ33" s="182">
        <v>20</v>
      </c>
      <c r="AK33" s="166">
        <v>1106.4705882352946</v>
      </c>
      <c r="AL33" s="166">
        <v>55.323529411764731</v>
      </c>
      <c r="AM33" s="182">
        <f t="shared" si="7"/>
        <v>27</v>
      </c>
      <c r="AN33" s="390"/>
      <c r="AO33" s="182">
        <v>20</v>
      </c>
      <c r="AP33" s="166">
        <v>1119.2307692307697</v>
      </c>
      <c r="AQ33" s="166">
        <v>55.961538461538488</v>
      </c>
      <c r="AR33" s="182">
        <f t="shared" si="8"/>
        <v>27</v>
      </c>
      <c r="AS33" s="390"/>
      <c r="AT33" s="182">
        <v>20</v>
      </c>
      <c r="AU33" s="166">
        <v>1129.285714285714</v>
      </c>
      <c r="AV33" s="166">
        <v>56.464285714285701</v>
      </c>
      <c r="AW33" s="182">
        <f t="shared" si="9"/>
        <v>27</v>
      </c>
      <c r="AX33" s="390"/>
      <c r="AZ33" s="182" t="e">
        <f t="shared" si="10"/>
        <v>#N/A</v>
      </c>
      <c r="BA33" s="390"/>
    </row>
    <row r="34" spans="2:53">
      <c r="B34" s="395"/>
      <c r="C34" s="182">
        <v>28</v>
      </c>
      <c r="D34" s="203"/>
      <c r="E34" s="166"/>
      <c r="F34" s="182"/>
      <c r="G34" s="180"/>
      <c r="H34" s="402"/>
      <c r="I34" s="166" t="str">
        <f t="shared" si="0"/>
        <v>-</v>
      </c>
      <c r="J34" s="166" t="str">
        <f t="shared" si="1"/>
        <v>-</v>
      </c>
      <c r="K34" s="180" t="str">
        <f t="shared" si="2"/>
        <v>-</v>
      </c>
      <c r="L34" s="402"/>
      <c r="M34" s="181" t="e">
        <f>RANK(K34, K$7:$K$36)</f>
        <v>#VALUE!</v>
      </c>
      <c r="N34" s="389"/>
      <c r="O34" s="389"/>
      <c r="P34" s="182" t="s">
        <v>634</v>
      </c>
      <c r="Q34" s="166" t="s">
        <v>634</v>
      </c>
      <c r="R34" s="166" t="s">
        <v>634</v>
      </c>
      <c r="S34" s="182" t="e">
        <f t="shared" si="3"/>
        <v>#VALUE!</v>
      </c>
      <c r="T34" s="390"/>
      <c r="U34" s="166" t="s">
        <v>634</v>
      </c>
      <c r="V34" s="166" t="s">
        <v>634</v>
      </c>
      <c r="W34" s="166" t="s">
        <v>634</v>
      </c>
      <c r="X34" s="182" t="e">
        <f t="shared" si="4"/>
        <v>#VALUE!</v>
      </c>
      <c r="Y34" s="390"/>
      <c r="Z34" s="182" t="s">
        <v>634</v>
      </c>
      <c r="AA34" s="166" t="s">
        <v>634</v>
      </c>
      <c r="AB34" s="166" t="s">
        <v>634</v>
      </c>
      <c r="AC34" s="182" t="e">
        <f t="shared" si="5"/>
        <v>#VALUE!</v>
      </c>
      <c r="AD34" s="390"/>
      <c r="AE34" s="182" t="s">
        <v>634</v>
      </c>
      <c r="AF34" s="166" t="s">
        <v>634</v>
      </c>
      <c r="AG34" s="166" t="s">
        <v>634</v>
      </c>
      <c r="AH34" s="182" t="e">
        <f t="shared" si="6"/>
        <v>#VALUE!</v>
      </c>
      <c r="AI34" s="390"/>
      <c r="AJ34" s="182" t="s">
        <v>634</v>
      </c>
      <c r="AK34" s="166" t="s">
        <v>634</v>
      </c>
      <c r="AL34" s="166" t="s">
        <v>634</v>
      </c>
      <c r="AM34" s="182" t="e">
        <f t="shared" si="7"/>
        <v>#VALUE!</v>
      </c>
      <c r="AN34" s="390"/>
      <c r="AO34" s="182" t="s">
        <v>634</v>
      </c>
      <c r="AP34" s="166" t="s">
        <v>634</v>
      </c>
      <c r="AQ34" s="166" t="s">
        <v>634</v>
      </c>
      <c r="AR34" s="182" t="e">
        <f t="shared" si="8"/>
        <v>#VALUE!</v>
      </c>
      <c r="AS34" s="390"/>
      <c r="AT34" s="182" t="s">
        <v>634</v>
      </c>
      <c r="AU34" s="166" t="s">
        <v>634</v>
      </c>
      <c r="AV34" s="166" t="s">
        <v>634</v>
      </c>
      <c r="AW34" s="182" t="e">
        <f t="shared" si="9"/>
        <v>#VALUE!</v>
      </c>
      <c r="AX34" s="390"/>
      <c r="AZ34" s="182" t="e">
        <f t="shared" si="10"/>
        <v>#N/A</v>
      </c>
      <c r="BA34" s="390"/>
    </row>
    <row r="35" spans="2:53">
      <c r="B35" s="395"/>
      <c r="C35" s="182">
        <v>29</v>
      </c>
      <c r="D35" s="203"/>
      <c r="E35" s="166"/>
      <c r="F35" s="182"/>
      <c r="G35" s="180"/>
      <c r="H35" s="402"/>
      <c r="I35" s="166" t="str">
        <f t="shared" si="0"/>
        <v>-</v>
      </c>
      <c r="J35" s="166" t="str">
        <f t="shared" si="1"/>
        <v>-</v>
      </c>
      <c r="K35" s="180" t="str">
        <f t="shared" si="2"/>
        <v>-</v>
      </c>
      <c r="L35" s="402"/>
      <c r="M35" s="181" t="e">
        <f>RANK(K35, K$7:$K$36)</f>
        <v>#VALUE!</v>
      </c>
      <c r="N35" s="389"/>
      <c r="O35" s="389"/>
      <c r="P35" s="182" t="s">
        <v>634</v>
      </c>
      <c r="Q35" s="166" t="s">
        <v>634</v>
      </c>
      <c r="R35" s="166" t="s">
        <v>634</v>
      </c>
      <c r="S35" s="182" t="e">
        <f t="shared" si="3"/>
        <v>#VALUE!</v>
      </c>
      <c r="T35" s="390"/>
      <c r="U35" s="166" t="s">
        <v>634</v>
      </c>
      <c r="V35" s="166" t="s">
        <v>634</v>
      </c>
      <c r="W35" s="166" t="s">
        <v>634</v>
      </c>
      <c r="X35" s="182" t="e">
        <f t="shared" si="4"/>
        <v>#VALUE!</v>
      </c>
      <c r="Y35" s="390"/>
      <c r="Z35" s="182" t="s">
        <v>634</v>
      </c>
      <c r="AA35" s="166" t="s">
        <v>634</v>
      </c>
      <c r="AB35" s="166" t="s">
        <v>634</v>
      </c>
      <c r="AC35" s="182" t="e">
        <f t="shared" si="5"/>
        <v>#VALUE!</v>
      </c>
      <c r="AD35" s="390"/>
      <c r="AE35" s="182" t="s">
        <v>634</v>
      </c>
      <c r="AF35" s="166" t="s">
        <v>634</v>
      </c>
      <c r="AG35" s="166" t="s">
        <v>634</v>
      </c>
      <c r="AH35" s="182" t="e">
        <f t="shared" si="6"/>
        <v>#VALUE!</v>
      </c>
      <c r="AI35" s="390"/>
      <c r="AJ35" s="182" t="s">
        <v>634</v>
      </c>
      <c r="AK35" s="166" t="s">
        <v>634</v>
      </c>
      <c r="AL35" s="166" t="s">
        <v>634</v>
      </c>
      <c r="AM35" s="182" t="e">
        <f t="shared" si="7"/>
        <v>#VALUE!</v>
      </c>
      <c r="AN35" s="390"/>
      <c r="AO35" s="182" t="s">
        <v>634</v>
      </c>
      <c r="AP35" s="166" t="s">
        <v>634</v>
      </c>
      <c r="AQ35" s="166" t="s">
        <v>634</v>
      </c>
      <c r="AR35" s="182" t="e">
        <f t="shared" si="8"/>
        <v>#VALUE!</v>
      </c>
      <c r="AS35" s="390"/>
      <c r="AT35" s="182" t="s">
        <v>634</v>
      </c>
      <c r="AU35" s="166" t="s">
        <v>634</v>
      </c>
      <c r="AV35" s="166" t="s">
        <v>634</v>
      </c>
      <c r="AW35" s="182" t="e">
        <f t="shared" si="9"/>
        <v>#VALUE!</v>
      </c>
      <c r="AX35" s="390"/>
      <c r="AZ35" s="182" t="e">
        <f t="shared" si="10"/>
        <v>#N/A</v>
      </c>
      <c r="BA35" s="390"/>
    </row>
    <row r="36" spans="2:53">
      <c r="B36" s="395"/>
      <c r="C36" s="182">
        <v>30</v>
      </c>
      <c r="D36" s="203"/>
      <c r="E36" s="166"/>
      <c r="F36" s="182"/>
      <c r="G36" s="180"/>
      <c r="H36" s="403"/>
      <c r="I36" s="166">
        <f t="shared" si="0"/>
        <v>0</v>
      </c>
      <c r="J36" s="166">
        <f t="shared" si="1"/>
        <v>0</v>
      </c>
      <c r="K36" s="180">
        <f t="shared" si="2"/>
        <v>0</v>
      </c>
      <c r="L36" s="403"/>
      <c r="M36" s="181">
        <f>RANK(K36, K$7:$K$36)</f>
        <v>28</v>
      </c>
      <c r="N36" s="389"/>
      <c r="O36" s="389"/>
      <c r="P36" s="182" t="s">
        <v>634</v>
      </c>
      <c r="Q36" s="166" t="s">
        <v>634</v>
      </c>
      <c r="R36" s="166" t="s">
        <v>634</v>
      </c>
      <c r="S36" s="182" t="e">
        <f t="shared" si="3"/>
        <v>#VALUE!</v>
      </c>
      <c r="T36" s="390"/>
      <c r="U36" s="166" t="s">
        <v>634</v>
      </c>
      <c r="V36" s="166" t="s">
        <v>634</v>
      </c>
      <c r="W36" s="166" t="s">
        <v>634</v>
      </c>
      <c r="X36" s="182" t="e">
        <f t="shared" si="4"/>
        <v>#VALUE!</v>
      </c>
      <c r="Y36" s="390"/>
      <c r="Z36" s="182" t="s">
        <v>634</v>
      </c>
      <c r="AA36" s="166" t="s">
        <v>634</v>
      </c>
      <c r="AB36" s="166" t="s">
        <v>634</v>
      </c>
      <c r="AC36" s="182" t="e">
        <f t="shared" si="5"/>
        <v>#VALUE!</v>
      </c>
      <c r="AD36" s="390"/>
      <c r="AE36" s="182" t="s">
        <v>634</v>
      </c>
      <c r="AF36" s="166" t="s">
        <v>634</v>
      </c>
      <c r="AG36" s="166" t="s">
        <v>634</v>
      </c>
      <c r="AH36" s="182" t="e">
        <f t="shared" si="6"/>
        <v>#VALUE!</v>
      </c>
      <c r="AI36" s="390"/>
      <c r="AJ36" s="182" t="s">
        <v>634</v>
      </c>
      <c r="AK36" s="166" t="s">
        <v>634</v>
      </c>
      <c r="AL36" s="166" t="s">
        <v>634</v>
      </c>
      <c r="AM36" s="182" t="e">
        <f t="shared" si="7"/>
        <v>#VALUE!</v>
      </c>
      <c r="AN36" s="390"/>
      <c r="AO36" s="182" t="s">
        <v>634</v>
      </c>
      <c r="AP36" s="166" t="s">
        <v>634</v>
      </c>
      <c r="AQ36" s="166" t="s">
        <v>634</v>
      </c>
      <c r="AR36" s="182" t="e">
        <f t="shared" si="8"/>
        <v>#VALUE!</v>
      </c>
      <c r="AS36" s="390"/>
      <c r="AT36" s="166">
        <v>0</v>
      </c>
      <c r="AU36" s="166">
        <v>0</v>
      </c>
      <c r="AV36" s="166">
        <v>0</v>
      </c>
      <c r="AW36" s="182">
        <f t="shared" si="9"/>
        <v>28</v>
      </c>
      <c r="AX36" s="390"/>
      <c r="AZ36" s="182" t="e">
        <f t="shared" si="10"/>
        <v>#N/A</v>
      </c>
      <c r="BA36" s="390"/>
    </row>
    <row r="37" spans="2:53" ht="15.75">
      <c r="B37" s="424" t="s">
        <v>163</v>
      </c>
      <c r="C37" s="425"/>
      <c r="D37" s="425"/>
      <c r="E37" s="425"/>
      <c r="F37" s="425"/>
      <c r="G37" s="425"/>
      <c r="H37" s="425"/>
      <c r="I37" s="183"/>
      <c r="J37" s="183"/>
      <c r="K37" s="183"/>
      <c r="L37" s="183"/>
      <c r="M37" s="178"/>
      <c r="N37" s="391" t="s">
        <v>156</v>
      </c>
      <c r="O37" s="391" t="s">
        <v>105</v>
      </c>
      <c r="P37" s="413">
        <f>AT2+1</f>
        <v>46147</v>
      </c>
      <c r="Q37" s="395"/>
      <c r="R37" s="395"/>
      <c r="S37" s="395"/>
      <c r="T37" s="395"/>
      <c r="U37" s="413">
        <f>P37+1</f>
        <v>46148</v>
      </c>
      <c r="V37" s="395"/>
      <c r="W37" s="395"/>
      <c r="X37" s="395"/>
      <c r="Y37" s="395"/>
      <c r="Z37" s="413">
        <f>U37+1</f>
        <v>46149</v>
      </c>
      <c r="AA37" s="395"/>
      <c r="AB37" s="395"/>
      <c r="AC37" s="395"/>
      <c r="AD37" s="395"/>
      <c r="AE37" s="413">
        <f>Z37+1</f>
        <v>46150</v>
      </c>
      <c r="AF37" s="395"/>
      <c r="AG37" s="395"/>
      <c r="AH37" s="395"/>
      <c r="AI37" s="395"/>
      <c r="AJ37" s="413">
        <f>AE37+1</f>
        <v>46151</v>
      </c>
      <c r="AK37" s="395"/>
      <c r="AL37" s="395"/>
      <c r="AM37" s="395"/>
      <c r="AN37" s="395"/>
      <c r="AO37" s="413">
        <f>AJ37+1</f>
        <v>46152</v>
      </c>
      <c r="AP37" s="395"/>
      <c r="AQ37" s="395"/>
      <c r="AR37" s="395"/>
      <c r="AS37" s="395"/>
      <c r="AT37" s="413">
        <f>AO37+1</f>
        <v>46153</v>
      </c>
      <c r="AU37" s="395"/>
      <c r="AV37" s="395"/>
      <c r="AW37" s="395"/>
      <c r="AX37" s="395"/>
    </row>
    <row r="38" spans="2:53" ht="15.75">
      <c r="B38" s="416"/>
      <c r="C38" s="416"/>
      <c r="D38" s="416"/>
      <c r="E38" s="416"/>
      <c r="F38" s="416"/>
      <c r="G38" s="416"/>
      <c r="H38" s="416"/>
      <c r="I38" s="184"/>
      <c r="J38" s="184"/>
      <c r="K38" s="184"/>
      <c r="L38" s="184"/>
      <c r="M38" s="179"/>
      <c r="N38" s="393"/>
      <c r="O38" s="393"/>
      <c r="P38" s="413" t="s">
        <v>318</v>
      </c>
      <c r="Q38" s="395"/>
      <c r="R38" s="395"/>
      <c r="S38" s="395"/>
      <c r="T38" s="395"/>
      <c r="U38" s="413" t="s">
        <v>319</v>
      </c>
      <c r="V38" s="395"/>
      <c r="W38" s="395"/>
      <c r="X38" s="395"/>
      <c r="Y38" s="395"/>
      <c r="Z38" s="413" t="s">
        <v>320</v>
      </c>
      <c r="AA38" s="395"/>
      <c r="AB38" s="395"/>
      <c r="AC38" s="395"/>
      <c r="AD38" s="395"/>
      <c r="AE38" s="413" t="s">
        <v>321</v>
      </c>
      <c r="AF38" s="395"/>
      <c r="AG38" s="395"/>
      <c r="AH38" s="395"/>
      <c r="AI38" s="395"/>
      <c r="AJ38" s="413" t="s">
        <v>322</v>
      </c>
      <c r="AK38" s="395"/>
      <c r="AL38" s="395"/>
      <c r="AM38" s="395"/>
      <c r="AN38" s="395"/>
      <c r="AO38" s="413" t="s">
        <v>323</v>
      </c>
      <c r="AP38" s="395"/>
      <c r="AQ38" s="395"/>
      <c r="AR38" s="395"/>
      <c r="AS38" s="395"/>
      <c r="AT38" s="413" t="s">
        <v>324</v>
      </c>
      <c r="AU38" s="395"/>
      <c r="AV38" s="395"/>
      <c r="AW38" s="395"/>
      <c r="AX38" s="395"/>
    </row>
    <row r="39" spans="2:53">
      <c r="B39" s="389" t="s">
        <v>419</v>
      </c>
      <c r="C39" s="389" t="s">
        <v>420</v>
      </c>
      <c r="D39" s="389"/>
      <c r="E39" s="389" t="s">
        <v>421</v>
      </c>
      <c r="F39" s="389"/>
      <c r="G39" s="389"/>
      <c r="H39" s="417" t="s">
        <v>422</v>
      </c>
      <c r="I39" s="389" t="s">
        <v>423</v>
      </c>
      <c r="J39" s="389"/>
      <c r="K39" s="389"/>
      <c r="L39" s="417" t="s">
        <v>422</v>
      </c>
      <c r="M39" s="391" t="s">
        <v>424</v>
      </c>
      <c r="N39" s="389"/>
      <c r="O39" s="389" t="s">
        <v>425</v>
      </c>
      <c r="P39" s="404" t="s">
        <v>426</v>
      </c>
      <c r="Q39" s="405"/>
      <c r="R39" s="405"/>
      <c r="S39" s="406"/>
      <c r="T39" s="389" t="s">
        <v>422</v>
      </c>
      <c r="U39" s="404" t="s">
        <v>426</v>
      </c>
      <c r="V39" s="405"/>
      <c r="W39" s="405"/>
      <c r="X39" s="406"/>
      <c r="Y39" s="389" t="s">
        <v>422</v>
      </c>
      <c r="Z39" s="404" t="s">
        <v>426</v>
      </c>
      <c r="AA39" s="405"/>
      <c r="AB39" s="405"/>
      <c r="AC39" s="406"/>
      <c r="AD39" s="389" t="s">
        <v>422</v>
      </c>
      <c r="AE39" s="404" t="s">
        <v>426</v>
      </c>
      <c r="AF39" s="405"/>
      <c r="AG39" s="405"/>
      <c r="AH39" s="406"/>
      <c r="AI39" s="389" t="s">
        <v>422</v>
      </c>
      <c r="AJ39" s="404" t="s">
        <v>426</v>
      </c>
      <c r="AK39" s="405"/>
      <c r="AL39" s="405"/>
      <c r="AM39" s="406"/>
      <c r="AN39" s="389" t="s">
        <v>422</v>
      </c>
      <c r="AO39" s="404" t="s">
        <v>426</v>
      </c>
      <c r="AP39" s="405"/>
      <c r="AQ39" s="405"/>
      <c r="AR39" s="406"/>
      <c r="AS39" s="389" t="s">
        <v>422</v>
      </c>
      <c r="AT39" s="404" t="s">
        <v>426</v>
      </c>
      <c r="AU39" s="405"/>
      <c r="AV39" s="405"/>
      <c r="AW39" s="406"/>
      <c r="AX39" s="389" t="s">
        <v>422</v>
      </c>
      <c r="BA39" s="389" t="s">
        <v>373</v>
      </c>
    </row>
    <row r="40" spans="2:53">
      <c r="B40" s="389"/>
      <c r="C40" s="389"/>
      <c r="D40" s="389"/>
      <c r="E40" s="389" t="s">
        <v>427</v>
      </c>
      <c r="F40" s="389"/>
      <c r="G40" s="389"/>
      <c r="H40" s="418"/>
      <c r="I40" s="389" t="s">
        <v>427</v>
      </c>
      <c r="J40" s="389"/>
      <c r="K40" s="389"/>
      <c r="L40" s="418"/>
      <c r="M40" s="392"/>
      <c r="N40" s="389"/>
      <c r="O40" s="389"/>
      <c r="P40" s="404" t="s">
        <v>428</v>
      </c>
      <c r="Q40" s="405"/>
      <c r="R40" s="405"/>
      <c r="S40" s="406"/>
      <c r="T40" s="389"/>
      <c r="U40" s="404" t="s">
        <v>428</v>
      </c>
      <c r="V40" s="405"/>
      <c r="W40" s="405"/>
      <c r="X40" s="406"/>
      <c r="Y40" s="389"/>
      <c r="Z40" s="404" t="s">
        <v>428</v>
      </c>
      <c r="AA40" s="405"/>
      <c r="AB40" s="405"/>
      <c r="AC40" s="406"/>
      <c r="AD40" s="389"/>
      <c r="AE40" s="404" t="s">
        <v>428</v>
      </c>
      <c r="AF40" s="405"/>
      <c r="AG40" s="405"/>
      <c r="AH40" s="406"/>
      <c r="AI40" s="389"/>
      <c r="AJ40" s="404" t="s">
        <v>428</v>
      </c>
      <c r="AK40" s="405"/>
      <c r="AL40" s="405"/>
      <c r="AM40" s="406"/>
      <c r="AN40" s="389"/>
      <c r="AO40" s="404" t="s">
        <v>428</v>
      </c>
      <c r="AP40" s="405"/>
      <c r="AQ40" s="405"/>
      <c r="AR40" s="406"/>
      <c r="AS40" s="389"/>
      <c r="AT40" s="404" t="s">
        <v>428</v>
      </c>
      <c r="AU40" s="405"/>
      <c r="AV40" s="405"/>
      <c r="AW40" s="406"/>
      <c r="AX40" s="389"/>
      <c r="BA40" s="389"/>
    </row>
    <row r="41" spans="2:53">
      <c r="B41" s="389"/>
      <c r="C41" s="389"/>
      <c r="D41" s="389"/>
      <c r="E41" s="258" t="s">
        <v>429</v>
      </c>
      <c r="F41" s="258" t="s">
        <v>430</v>
      </c>
      <c r="G41" s="258" t="s">
        <v>431</v>
      </c>
      <c r="H41" s="419"/>
      <c r="I41" s="258" t="s">
        <v>429</v>
      </c>
      <c r="J41" s="258" t="s">
        <v>430</v>
      </c>
      <c r="K41" s="258" t="s">
        <v>431</v>
      </c>
      <c r="L41" s="419"/>
      <c r="M41" s="393"/>
      <c r="N41" s="389"/>
      <c r="O41" s="389"/>
      <c r="P41" s="258" t="s">
        <v>429</v>
      </c>
      <c r="Q41" s="258" t="s">
        <v>430</v>
      </c>
      <c r="R41" s="258" t="s">
        <v>431</v>
      </c>
      <c r="S41" s="258" t="s">
        <v>424</v>
      </c>
      <c r="T41" s="389"/>
      <c r="U41" s="258" t="s">
        <v>429</v>
      </c>
      <c r="V41" s="258" t="s">
        <v>430</v>
      </c>
      <c r="W41" s="258" t="s">
        <v>431</v>
      </c>
      <c r="X41" s="258" t="s">
        <v>424</v>
      </c>
      <c r="Y41" s="389"/>
      <c r="Z41" s="258" t="s">
        <v>429</v>
      </c>
      <c r="AA41" s="258" t="s">
        <v>430</v>
      </c>
      <c r="AB41" s="258" t="s">
        <v>431</v>
      </c>
      <c r="AC41" s="258" t="s">
        <v>424</v>
      </c>
      <c r="AD41" s="389"/>
      <c r="AE41" s="258" t="s">
        <v>429</v>
      </c>
      <c r="AF41" s="258" t="s">
        <v>430</v>
      </c>
      <c r="AG41" s="258" t="s">
        <v>431</v>
      </c>
      <c r="AH41" s="258" t="s">
        <v>424</v>
      </c>
      <c r="AI41" s="389"/>
      <c r="AJ41" s="258" t="s">
        <v>429</v>
      </c>
      <c r="AK41" s="258" t="s">
        <v>430</v>
      </c>
      <c r="AL41" s="258" t="s">
        <v>431</v>
      </c>
      <c r="AM41" s="258" t="s">
        <v>424</v>
      </c>
      <c r="AN41" s="389"/>
      <c r="AO41" s="258" t="s">
        <v>429</v>
      </c>
      <c r="AP41" s="258" t="s">
        <v>430</v>
      </c>
      <c r="AQ41" s="258" t="s">
        <v>431</v>
      </c>
      <c r="AR41" s="258" t="s">
        <v>424</v>
      </c>
      <c r="AS41" s="389"/>
      <c r="AT41" s="258" t="s">
        <v>429</v>
      </c>
      <c r="AU41" s="258" t="s">
        <v>430</v>
      </c>
      <c r="AV41" s="258" t="s">
        <v>431</v>
      </c>
      <c r="AW41" s="258" t="s">
        <v>424</v>
      </c>
      <c r="AX41" s="389"/>
      <c r="AZ41" s="258" t="s">
        <v>374</v>
      </c>
      <c r="BA41" s="389"/>
    </row>
    <row r="42" spans="2:53">
      <c r="B42" s="389" t="s">
        <v>432</v>
      </c>
      <c r="C42" s="182">
        <v>1</v>
      </c>
      <c r="D42" s="203" t="s">
        <v>346</v>
      </c>
      <c r="E42" s="166">
        <v>6</v>
      </c>
      <c r="F42" s="182">
        <v>1500</v>
      </c>
      <c r="G42" s="180">
        <v>250</v>
      </c>
      <c r="H42" s="401">
        <f>AVERAGE(G42:G71)</f>
        <v>97.670370370370378</v>
      </c>
      <c r="I42" s="166">
        <f>IFERROR(AVERAGE(P42,U42,Z42,AE42,AJ42,AO42,AT42),"-")</f>
        <v>6</v>
      </c>
      <c r="J42" s="166">
        <f>IFERROR(AVERAGE(Q42,V42,AA42,AF42,AK42,AP42,AU42),"-")</f>
        <v>1466.6718151975267</v>
      </c>
      <c r="K42" s="180">
        <f>IFERROR(AVERAGE(R42,W42,AB42,AG42,AL42,AQ42,AV42),"-")</f>
        <v>244.44530253292109</v>
      </c>
      <c r="L42" s="401">
        <f>IFERROR(AVERAGE(K42:K71),"-")</f>
        <v>88.084954285471184</v>
      </c>
      <c r="M42" s="181">
        <f>RANK(K42, K$42:$K$71)</f>
        <v>2</v>
      </c>
      <c r="N42" s="389"/>
      <c r="O42" s="389"/>
      <c r="P42" s="166">
        <v>6</v>
      </c>
      <c r="Q42" s="166">
        <v>1482.2470588235287</v>
      </c>
      <c r="R42" s="166">
        <v>247.04117647058811</v>
      </c>
      <c r="S42" s="182">
        <f t="shared" ref="S42:S71" si="11">RANK(R42, R$42:R$71)</f>
        <v>1</v>
      </c>
      <c r="T42" s="390">
        <f>AVERAGE(R42:R71)</f>
        <v>88.833897151232776</v>
      </c>
      <c r="U42" s="166">
        <v>6</v>
      </c>
      <c r="V42" s="166">
        <v>1452.8999999999996</v>
      </c>
      <c r="W42" s="166">
        <v>242.14999999999995</v>
      </c>
      <c r="X42" s="182">
        <f t="shared" ref="X42:X71" si="12">RANK(W42, W$42:W$71)</f>
        <v>2</v>
      </c>
      <c r="Y42" s="390">
        <f>AVERAGE(W42:W71)</f>
        <v>87.876340497831293</v>
      </c>
      <c r="Z42" s="166">
        <v>6</v>
      </c>
      <c r="AA42" s="166">
        <v>1466.5573770491799</v>
      </c>
      <c r="AB42" s="166">
        <v>244.42622950819666</v>
      </c>
      <c r="AC42" s="182">
        <f t="shared" ref="AC42:AC71" si="13">RANK(AB42, AB$42:AB$71)</f>
        <v>2</v>
      </c>
      <c r="AD42" s="390">
        <f>AVERAGE(AB42:AB71)</f>
        <v>87.713574289913936</v>
      </c>
      <c r="AE42" s="166">
        <v>6</v>
      </c>
      <c r="AF42" s="166">
        <v>1480.8436363636363</v>
      </c>
      <c r="AG42" s="166">
        <v>246.8072727272727</v>
      </c>
      <c r="AH42" s="182">
        <f t="shared" ref="AH42:AH71" si="14">RANK(AG42, AG$42:AG$71)</f>
        <v>1</v>
      </c>
      <c r="AI42" s="390">
        <f>AVERAGE(AG42:AG71)</f>
        <v>87.929943797467502</v>
      </c>
      <c r="AJ42" s="166">
        <v>6</v>
      </c>
      <c r="AK42" s="166">
        <v>1462.214634146342</v>
      </c>
      <c r="AL42" s="166">
        <v>243.70243902439032</v>
      </c>
      <c r="AM42" s="182">
        <f t="shared" ref="AM42:AM71" si="15">RANK(AL42, AL$42:AL$71)</f>
        <v>2</v>
      </c>
      <c r="AN42" s="390">
        <f>AVERAGE(AL42:AL71)</f>
        <v>88.392007766825884</v>
      </c>
      <c r="AO42" s="166">
        <v>6</v>
      </c>
      <c r="AP42" s="166">
        <v>1459.44</v>
      </c>
      <c r="AQ42" s="166">
        <v>243.24</v>
      </c>
      <c r="AR42" s="182">
        <f t="shared" ref="AR42:AR71" si="16">RANK(AQ42, AQ$42:AQ$71)</f>
        <v>2</v>
      </c>
      <c r="AS42" s="390">
        <f>AVERAGE(AQ42:AQ71)</f>
        <v>88.892913322443022</v>
      </c>
      <c r="AT42" s="166">
        <v>6</v>
      </c>
      <c r="AU42" s="166">
        <v>1462.4999999999995</v>
      </c>
      <c r="AV42" s="166">
        <v>243.74999999999991</v>
      </c>
      <c r="AW42" s="182">
        <f t="shared" ref="AW42:AW71" si="17">RANK(AV42, AV$42:AV$71)</f>
        <v>2</v>
      </c>
      <c r="AX42" s="390">
        <f>AVERAGE(AV42:AV71)</f>
        <v>88.670571249051974</v>
      </c>
      <c r="AZ42" s="182" t="e">
        <f t="shared" ref="AZ42:AZ71" si="18">RANK(AY42, AY$42:AY$71)</f>
        <v>#N/A</v>
      </c>
      <c r="BA42" s="390" t="e">
        <f>AVERAGE(AY42:AY71)</f>
        <v>#DIV/0!</v>
      </c>
    </row>
    <row r="43" spans="2:53">
      <c r="B43" s="395"/>
      <c r="C43" s="182">
        <v>2</v>
      </c>
      <c r="D43" s="203" t="s">
        <v>635</v>
      </c>
      <c r="E43" s="166">
        <v>6</v>
      </c>
      <c r="F43" s="182">
        <v>1500</v>
      </c>
      <c r="G43" s="180">
        <v>250</v>
      </c>
      <c r="H43" s="402"/>
      <c r="I43" s="166">
        <f t="shared" ref="I43:I71" si="19">IFERROR(AVERAGE(P43,U43,Z43,AE43,AJ43,AO43,AT43),"-")</f>
        <v>6</v>
      </c>
      <c r="J43" s="166">
        <f t="shared" ref="J43:J71" si="20">IFERROR(AVERAGE(Q43,V43,AA43,AF43,AK43,AP43,AU43),"-")</f>
        <v>1467.7130098861205</v>
      </c>
      <c r="K43" s="180">
        <f t="shared" ref="K43:K71" si="21">IFERROR(AVERAGE(R43,W43,AB43,AG43,AL43,AQ43,AV43),"-")</f>
        <v>244.61883498102003</v>
      </c>
      <c r="L43" s="402"/>
      <c r="M43" s="181">
        <f>RANK(K43, K$42:$K$71)</f>
        <v>1</v>
      </c>
      <c r="N43" s="389"/>
      <c r="O43" s="389"/>
      <c r="P43" s="166">
        <v>6</v>
      </c>
      <c r="Q43" s="166">
        <v>1468.3870967741937</v>
      </c>
      <c r="R43" s="166">
        <v>244.73118279569894</v>
      </c>
      <c r="S43" s="182">
        <f t="shared" si="11"/>
        <v>2</v>
      </c>
      <c r="T43" s="390"/>
      <c r="U43" s="166">
        <v>6</v>
      </c>
      <c r="V43" s="166">
        <v>1473.1914893617022</v>
      </c>
      <c r="W43" s="166">
        <v>245.53191489361703</v>
      </c>
      <c r="X43" s="182">
        <f t="shared" si="12"/>
        <v>1</v>
      </c>
      <c r="Y43" s="390"/>
      <c r="Z43" s="166">
        <v>6</v>
      </c>
      <c r="AA43" s="166">
        <v>1480.879120879121</v>
      </c>
      <c r="AB43" s="166">
        <v>246.81318681318683</v>
      </c>
      <c r="AC43" s="182">
        <f t="shared" si="13"/>
        <v>1</v>
      </c>
      <c r="AD43" s="390"/>
      <c r="AE43" s="166">
        <v>6</v>
      </c>
      <c r="AF43" s="166">
        <v>1442.1951219512191</v>
      </c>
      <c r="AG43" s="166">
        <v>240.36585365853651</v>
      </c>
      <c r="AH43" s="182">
        <f t="shared" si="14"/>
        <v>2</v>
      </c>
      <c r="AI43" s="390"/>
      <c r="AJ43" s="166">
        <v>6</v>
      </c>
      <c r="AK43" s="166">
        <v>1469.21052631579</v>
      </c>
      <c r="AL43" s="166">
        <v>244.86842105263167</v>
      </c>
      <c r="AM43" s="182">
        <f t="shared" si="15"/>
        <v>1</v>
      </c>
      <c r="AN43" s="390"/>
      <c r="AO43" s="166">
        <v>6</v>
      </c>
      <c r="AP43" s="166">
        <v>1471.8518518518515</v>
      </c>
      <c r="AQ43" s="166">
        <v>245.30864197530857</v>
      </c>
      <c r="AR43" s="182">
        <f t="shared" si="16"/>
        <v>1</v>
      </c>
      <c r="AS43" s="390"/>
      <c r="AT43" s="166">
        <v>6</v>
      </c>
      <c r="AU43" s="166">
        <v>1468.2758620689651</v>
      </c>
      <c r="AV43" s="166">
        <v>244.71264367816084</v>
      </c>
      <c r="AW43" s="182">
        <f t="shared" si="17"/>
        <v>1</v>
      </c>
      <c r="AX43" s="390"/>
      <c r="AZ43" s="182" t="e">
        <f t="shared" si="18"/>
        <v>#N/A</v>
      </c>
      <c r="BA43" s="390"/>
    </row>
    <row r="44" spans="2:53">
      <c r="B44" s="395"/>
      <c r="C44" s="182">
        <v>3</v>
      </c>
      <c r="D44" s="203" t="s">
        <v>619</v>
      </c>
      <c r="E44" s="166">
        <v>18</v>
      </c>
      <c r="F44" s="182">
        <v>1500</v>
      </c>
      <c r="G44" s="180">
        <v>83.3</v>
      </c>
      <c r="H44" s="402"/>
      <c r="I44" s="166">
        <f t="shared" si="19"/>
        <v>17.714285714285715</v>
      </c>
      <c r="J44" s="166">
        <f t="shared" si="20"/>
        <v>1208.9281847551235</v>
      </c>
      <c r="K44" s="180">
        <f t="shared" si="21"/>
        <v>68.248204475191272</v>
      </c>
      <c r="L44" s="402"/>
      <c r="M44" s="181">
        <f>RANK(K44, K$42:$K$71)</f>
        <v>23</v>
      </c>
      <c r="N44" s="389"/>
      <c r="O44" s="389"/>
      <c r="P44" s="166">
        <v>17</v>
      </c>
      <c r="Q44" s="166">
        <v>1152.0000000000005</v>
      </c>
      <c r="R44" s="166">
        <v>67.76470588235297</v>
      </c>
      <c r="S44" s="182">
        <f t="shared" si="11"/>
        <v>22</v>
      </c>
      <c r="T44" s="390"/>
      <c r="U44" s="166">
        <v>17</v>
      </c>
      <c r="V44" s="166">
        <v>1173.2</v>
      </c>
      <c r="W44" s="166">
        <v>69.011764705882356</v>
      </c>
      <c r="X44" s="182">
        <f t="shared" si="12"/>
        <v>23</v>
      </c>
      <c r="Y44" s="390"/>
      <c r="Z44" s="166">
        <v>18</v>
      </c>
      <c r="AA44" s="166">
        <v>1231.3636363636365</v>
      </c>
      <c r="AB44" s="166">
        <v>68.409090909090921</v>
      </c>
      <c r="AC44" s="182">
        <f t="shared" si="13"/>
        <v>23</v>
      </c>
      <c r="AD44" s="390"/>
      <c r="AE44" s="166">
        <v>18</v>
      </c>
      <c r="AF44" s="166">
        <v>1226.4324324324316</v>
      </c>
      <c r="AG44" s="166">
        <v>68.135135135135087</v>
      </c>
      <c r="AH44" s="182">
        <f t="shared" si="14"/>
        <v>23</v>
      </c>
      <c r="AI44" s="390"/>
      <c r="AJ44" s="166">
        <v>18</v>
      </c>
      <c r="AK44" s="166">
        <v>1229.3999999999996</v>
      </c>
      <c r="AL44" s="166">
        <v>68.299999999999983</v>
      </c>
      <c r="AM44" s="182">
        <f t="shared" si="15"/>
        <v>22</v>
      </c>
      <c r="AN44" s="390"/>
      <c r="AO44" s="166">
        <v>18</v>
      </c>
      <c r="AP44" s="166">
        <v>1221.0612244897961</v>
      </c>
      <c r="AQ44" s="166">
        <v>67.83673469387756</v>
      </c>
      <c r="AR44" s="182">
        <f t="shared" si="16"/>
        <v>21</v>
      </c>
      <c r="AS44" s="390"/>
      <c r="AT44" s="166">
        <v>18</v>
      </c>
      <c r="AU44" s="166">
        <v>1229.0400000000004</v>
      </c>
      <c r="AV44" s="166">
        <v>68.28000000000003</v>
      </c>
      <c r="AW44" s="182">
        <f t="shared" si="17"/>
        <v>20</v>
      </c>
      <c r="AX44" s="390"/>
      <c r="AZ44" s="182" t="e">
        <f t="shared" si="18"/>
        <v>#N/A</v>
      </c>
      <c r="BA44" s="390"/>
    </row>
    <row r="45" spans="2:53">
      <c r="B45" s="395"/>
      <c r="C45" s="182">
        <v>4</v>
      </c>
      <c r="D45" s="203" t="s">
        <v>578</v>
      </c>
      <c r="E45" s="166">
        <v>18</v>
      </c>
      <c r="F45" s="182">
        <v>1500</v>
      </c>
      <c r="G45" s="180">
        <v>83.3</v>
      </c>
      <c r="H45" s="402"/>
      <c r="I45" s="166">
        <f t="shared" si="19"/>
        <v>18</v>
      </c>
      <c r="J45" s="166">
        <f t="shared" si="20"/>
        <v>1333.4450044728785</v>
      </c>
      <c r="K45" s="180">
        <f t="shared" si="21"/>
        <v>74.080278026271017</v>
      </c>
      <c r="L45" s="402"/>
      <c r="M45" s="181">
        <f>RANK(K45, K$42:$K$71)</f>
        <v>16</v>
      </c>
      <c r="N45" s="389"/>
      <c r="O45" s="389"/>
      <c r="P45" s="166">
        <v>18</v>
      </c>
      <c r="Q45" s="166">
        <v>1343.1818181818182</v>
      </c>
      <c r="R45" s="166">
        <v>74.621212121212125</v>
      </c>
      <c r="S45" s="182">
        <f t="shared" si="11"/>
        <v>19</v>
      </c>
      <c r="T45" s="390"/>
      <c r="U45" s="166">
        <v>18</v>
      </c>
      <c r="V45" s="166">
        <v>1315.3846153846148</v>
      </c>
      <c r="W45" s="166">
        <v>73.076923076923038</v>
      </c>
      <c r="X45" s="182">
        <f t="shared" si="12"/>
        <v>19</v>
      </c>
      <c r="Y45" s="390"/>
      <c r="Z45" s="166">
        <v>18</v>
      </c>
      <c r="AA45" s="166">
        <v>1341.5384615384608</v>
      </c>
      <c r="AB45" s="166">
        <v>74.529914529914493</v>
      </c>
      <c r="AC45" s="182">
        <f t="shared" si="13"/>
        <v>16</v>
      </c>
      <c r="AD45" s="390"/>
      <c r="AE45" s="166">
        <v>18</v>
      </c>
      <c r="AF45" s="166">
        <v>1330.9090909090892</v>
      </c>
      <c r="AG45" s="166">
        <v>73.939393939393838</v>
      </c>
      <c r="AH45" s="182">
        <f t="shared" si="14"/>
        <v>16</v>
      </c>
      <c r="AI45" s="390"/>
      <c r="AJ45" s="166">
        <v>18</v>
      </c>
      <c r="AK45" s="166">
        <v>1330.2439024390239</v>
      </c>
      <c r="AL45" s="166">
        <v>73.902439024390219</v>
      </c>
      <c r="AM45" s="182">
        <f t="shared" si="15"/>
        <v>16</v>
      </c>
      <c r="AN45" s="390"/>
      <c r="AO45" s="166">
        <v>18</v>
      </c>
      <c r="AP45" s="166">
        <v>1322.8571428571424</v>
      </c>
      <c r="AQ45" s="166">
        <v>73.492063492063465</v>
      </c>
      <c r="AR45" s="182">
        <f t="shared" si="16"/>
        <v>15</v>
      </c>
      <c r="AS45" s="390"/>
      <c r="AT45" s="166">
        <v>18</v>
      </c>
      <c r="AU45" s="166">
        <v>1350</v>
      </c>
      <c r="AV45" s="166">
        <v>75</v>
      </c>
      <c r="AW45" s="182">
        <f t="shared" si="17"/>
        <v>13</v>
      </c>
      <c r="AX45" s="390"/>
      <c r="AZ45" s="182" t="e">
        <f t="shared" si="18"/>
        <v>#N/A</v>
      </c>
      <c r="BA45" s="390"/>
    </row>
    <row r="46" spans="2:53">
      <c r="B46" s="395"/>
      <c r="C46" s="182">
        <v>5</v>
      </c>
      <c r="D46" s="203" t="s">
        <v>334</v>
      </c>
      <c r="E46" s="166">
        <v>16</v>
      </c>
      <c r="F46" s="182">
        <v>1500</v>
      </c>
      <c r="G46" s="180">
        <v>93.8</v>
      </c>
      <c r="H46" s="402"/>
      <c r="I46" s="166">
        <f t="shared" si="19"/>
        <v>16</v>
      </c>
      <c r="J46" s="166">
        <f t="shared" si="20"/>
        <v>1309.3780225303171</v>
      </c>
      <c r="K46" s="180">
        <f t="shared" si="21"/>
        <v>81.836126408144821</v>
      </c>
      <c r="L46" s="402"/>
      <c r="M46" s="181">
        <f>RANK(K46, K$42:$K$71)</f>
        <v>9</v>
      </c>
      <c r="N46" s="389"/>
      <c r="O46" s="389"/>
      <c r="P46" s="166">
        <v>16</v>
      </c>
      <c r="Q46" s="166">
        <v>1207.6595744680851</v>
      </c>
      <c r="R46" s="166">
        <v>75.478723404255319</v>
      </c>
      <c r="S46" s="182">
        <f t="shared" si="11"/>
        <v>16</v>
      </c>
      <c r="T46" s="390"/>
      <c r="U46" s="166">
        <v>16</v>
      </c>
      <c r="V46" s="166">
        <v>1334.5945945945937</v>
      </c>
      <c r="W46" s="166">
        <v>83.412162162162105</v>
      </c>
      <c r="X46" s="182">
        <f t="shared" si="12"/>
        <v>6</v>
      </c>
      <c r="Y46" s="390"/>
      <c r="Z46" s="166">
        <v>16</v>
      </c>
      <c r="AA46" s="166">
        <v>1321.6216216216205</v>
      </c>
      <c r="AB46" s="166">
        <v>82.601351351351283</v>
      </c>
      <c r="AC46" s="182">
        <f t="shared" si="13"/>
        <v>6</v>
      </c>
      <c r="AD46" s="390"/>
      <c r="AE46" s="166">
        <v>16</v>
      </c>
      <c r="AF46" s="166">
        <v>1338.1818181818164</v>
      </c>
      <c r="AG46" s="166">
        <v>83.636363636363527</v>
      </c>
      <c r="AH46" s="182">
        <f t="shared" si="14"/>
        <v>7</v>
      </c>
      <c r="AI46" s="390"/>
      <c r="AJ46" s="166">
        <v>16</v>
      </c>
      <c r="AK46" s="166">
        <v>1326.3157894736833</v>
      </c>
      <c r="AL46" s="166">
        <v>82.894736842105203</v>
      </c>
      <c r="AM46" s="182">
        <f t="shared" si="15"/>
        <v>8</v>
      </c>
      <c r="AN46" s="390"/>
      <c r="AO46" s="166">
        <v>16</v>
      </c>
      <c r="AP46" s="166">
        <v>1327.8947368421043</v>
      </c>
      <c r="AQ46" s="166">
        <v>82.993421052631518</v>
      </c>
      <c r="AR46" s="182">
        <f t="shared" si="16"/>
        <v>8</v>
      </c>
      <c r="AS46" s="390"/>
      <c r="AT46" s="166" t="s">
        <v>634</v>
      </c>
      <c r="AU46" s="166" t="s">
        <v>634</v>
      </c>
      <c r="AV46" s="166" t="s">
        <v>634</v>
      </c>
      <c r="AW46" s="182" t="e">
        <f t="shared" si="17"/>
        <v>#VALUE!</v>
      </c>
      <c r="AX46" s="390"/>
      <c r="AZ46" s="182" t="e">
        <f t="shared" si="18"/>
        <v>#N/A</v>
      </c>
      <c r="BA46" s="390"/>
    </row>
    <row r="47" spans="2:53">
      <c r="B47" s="395"/>
      <c r="C47" s="182">
        <v>6</v>
      </c>
      <c r="D47" s="203" t="s">
        <v>348</v>
      </c>
      <c r="E47" s="166">
        <v>16</v>
      </c>
      <c r="F47" s="182">
        <v>1565</v>
      </c>
      <c r="G47" s="180">
        <v>97.8</v>
      </c>
      <c r="H47" s="402"/>
      <c r="I47" s="166">
        <f t="shared" si="19"/>
        <v>16</v>
      </c>
      <c r="J47" s="166">
        <f t="shared" si="20"/>
        <v>1396.8986632576266</v>
      </c>
      <c r="K47" s="180">
        <f t="shared" si="21"/>
        <v>87.306166453601662</v>
      </c>
      <c r="L47" s="402"/>
      <c r="M47" s="181">
        <f>RANK(K47, K$42:$K$71)</f>
        <v>3</v>
      </c>
      <c r="N47" s="389"/>
      <c r="O47" s="389"/>
      <c r="P47" s="166">
        <v>16</v>
      </c>
      <c r="Q47" s="166">
        <v>1380.7499999999995</v>
      </c>
      <c r="R47" s="166">
        <v>86.296874999999972</v>
      </c>
      <c r="S47" s="182">
        <f t="shared" si="11"/>
        <v>6</v>
      </c>
      <c r="T47" s="390"/>
      <c r="U47" s="166">
        <v>16</v>
      </c>
      <c r="V47" s="166">
        <v>1400.9090909090924</v>
      </c>
      <c r="W47" s="166">
        <v>87.556818181818272</v>
      </c>
      <c r="X47" s="182">
        <f t="shared" si="12"/>
        <v>4</v>
      </c>
      <c r="Y47" s="390"/>
      <c r="Z47" s="166">
        <v>16</v>
      </c>
      <c r="AA47" s="166">
        <v>1396.8750000000016</v>
      </c>
      <c r="AB47" s="166">
        <v>87.304687500000099</v>
      </c>
      <c r="AC47" s="182">
        <f t="shared" si="13"/>
        <v>3</v>
      </c>
      <c r="AD47" s="390"/>
      <c r="AE47" s="166">
        <v>16</v>
      </c>
      <c r="AF47" s="166">
        <v>1404.5901639344274</v>
      </c>
      <c r="AG47" s="166">
        <v>87.786885245901715</v>
      </c>
      <c r="AH47" s="182">
        <f t="shared" si="14"/>
        <v>3</v>
      </c>
      <c r="AI47" s="390"/>
      <c r="AJ47" s="166">
        <v>16</v>
      </c>
      <c r="AK47" s="166">
        <v>1382.6086956521724</v>
      </c>
      <c r="AL47" s="166">
        <v>86.413043478260775</v>
      </c>
      <c r="AM47" s="182">
        <f t="shared" si="15"/>
        <v>5</v>
      </c>
      <c r="AN47" s="390"/>
      <c r="AO47" s="166">
        <v>16</v>
      </c>
      <c r="AP47" s="166">
        <v>1412.3076923076915</v>
      </c>
      <c r="AQ47" s="166">
        <v>88.269230769230717</v>
      </c>
      <c r="AR47" s="182">
        <f t="shared" si="16"/>
        <v>4</v>
      </c>
      <c r="AS47" s="390"/>
      <c r="AT47" s="166">
        <v>16</v>
      </c>
      <c r="AU47" s="166">
        <v>1400.2499999999995</v>
      </c>
      <c r="AV47" s="166">
        <v>87.515624999999972</v>
      </c>
      <c r="AW47" s="182">
        <f t="shared" si="17"/>
        <v>5</v>
      </c>
      <c r="AX47" s="390"/>
      <c r="AZ47" s="182" t="e">
        <f t="shared" si="18"/>
        <v>#N/A</v>
      </c>
      <c r="BA47" s="390"/>
    </row>
    <row r="48" spans="2:53">
      <c r="B48" s="395"/>
      <c r="C48" s="182">
        <v>7</v>
      </c>
      <c r="D48" s="203" t="s">
        <v>327</v>
      </c>
      <c r="E48" s="166">
        <v>14</v>
      </c>
      <c r="F48" s="182">
        <v>1440</v>
      </c>
      <c r="G48" s="180">
        <v>102.9</v>
      </c>
      <c r="H48" s="402"/>
      <c r="I48" s="166">
        <f t="shared" si="19"/>
        <v>15</v>
      </c>
      <c r="J48" s="166">
        <f t="shared" si="20"/>
        <v>1266.3754061744621</v>
      </c>
      <c r="K48" s="180">
        <f t="shared" si="21"/>
        <v>84.425027078297475</v>
      </c>
      <c r="L48" s="402"/>
      <c r="M48" s="181">
        <f>RANK(K48, K$42:$K$71)</f>
        <v>6</v>
      </c>
      <c r="N48" s="389"/>
      <c r="O48" s="389"/>
      <c r="P48" s="166">
        <v>15</v>
      </c>
      <c r="Q48" s="166">
        <v>1326.4285714285684</v>
      </c>
      <c r="R48" s="166">
        <v>88.428571428571232</v>
      </c>
      <c r="S48" s="182">
        <f t="shared" si="11"/>
        <v>5</v>
      </c>
      <c r="T48" s="390"/>
      <c r="U48" s="166">
        <v>15</v>
      </c>
      <c r="V48" s="166">
        <v>1129.655172413791</v>
      </c>
      <c r="W48" s="166">
        <v>75.310344827586064</v>
      </c>
      <c r="X48" s="182">
        <f t="shared" si="12"/>
        <v>16</v>
      </c>
      <c r="Y48" s="390"/>
      <c r="Z48" s="166">
        <v>15</v>
      </c>
      <c r="AA48" s="166">
        <v>1286.0869565217436</v>
      </c>
      <c r="AB48" s="166">
        <v>85.739130434782908</v>
      </c>
      <c r="AC48" s="182">
        <f t="shared" si="13"/>
        <v>4</v>
      </c>
      <c r="AD48" s="390"/>
      <c r="AE48" s="166">
        <v>15</v>
      </c>
      <c r="AF48" s="166">
        <v>1150.7142857142833</v>
      </c>
      <c r="AG48" s="166">
        <v>76.714285714285552</v>
      </c>
      <c r="AH48" s="182">
        <f t="shared" si="14"/>
        <v>15</v>
      </c>
      <c r="AI48" s="390"/>
      <c r="AJ48" s="166">
        <v>15</v>
      </c>
      <c r="AK48" s="166">
        <v>1329.5999999999963</v>
      </c>
      <c r="AL48" s="166">
        <v>88.639999999999745</v>
      </c>
      <c r="AM48" s="182">
        <f t="shared" si="15"/>
        <v>3</v>
      </c>
      <c r="AN48" s="390"/>
      <c r="AO48" s="166">
        <v>15</v>
      </c>
      <c r="AP48" s="166">
        <v>1328.5714285714257</v>
      </c>
      <c r="AQ48" s="166">
        <v>88.571428571428385</v>
      </c>
      <c r="AR48" s="182">
        <f t="shared" si="16"/>
        <v>3</v>
      </c>
      <c r="AS48" s="390"/>
      <c r="AT48" s="166">
        <v>15</v>
      </c>
      <c r="AU48" s="166">
        <v>1313.5714285714257</v>
      </c>
      <c r="AV48" s="166">
        <v>87.571428571428385</v>
      </c>
      <c r="AW48" s="182">
        <f t="shared" si="17"/>
        <v>4</v>
      </c>
      <c r="AX48" s="390"/>
      <c r="AZ48" s="182" t="e">
        <f t="shared" si="18"/>
        <v>#N/A</v>
      </c>
      <c r="BA48" s="390"/>
    </row>
    <row r="49" spans="2:53">
      <c r="B49" s="395"/>
      <c r="C49" s="182">
        <v>8</v>
      </c>
      <c r="D49" s="203" t="s">
        <v>606</v>
      </c>
      <c r="E49" s="166">
        <v>16</v>
      </c>
      <c r="F49" s="182">
        <v>1440</v>
      </c>
      <c r="G49" s="180">
        <v>90</v>
      </c>
      <c r="H49" s="402"/>
      <c r="I49" s="166">
        <f t="shared" si="19"/>
        <v>16</v>
      </c>
      <c r="J49" s="166">
        <f t="shared" si="20"/>
        <v>1331.8043062973368</v>
      </c>
      <c r="K49" s="180">
        <f t="shared" si="21"/>
        <v>83.237769143583549</v>
      </c>
      <c r="L49" s="402"/>
      <c r="M49" s="181">
        <f>RANK(K49, K$42:$K$71)</f>
        <v>7</v>
      </c>
      <c r="N49" s="389"/>
      <c r="O49" s="389"/>
      <c r="P49" s="166">
        <v>16</v>
      </c>
      <c r="Q49" s="166">
        <v>1365.4054054054045</v>
      </c>
      <c r="R49" s="166">
        <v>85.337837837837782</v>
      </c>
      <c r="S49" s="182">
        <f t="shared" si="11"/>
        <v>7</v>
      </c>
      <c r="T49" s="390"/>
      <c r="U49" s="166">
        <v>16</v>
      </c>
      <c r="V49" s="166">
        <v>1337.1428571428557</v>
      </c>
      <c r="W49" s="166">
        <v>83.571428571428484</v>
      </c>
      <c r="X49" s="182">
        <f t="shared" si="12"/>
        <v>5</v>
      </c>
      <c r="Y49" s="390"/>
      <c r="Z49" s="166">
        <v>16</v>
      </c>
      <c r="AA49" s="166">
        <v>1239.9999999999991</v>
      </c>
      <c r="AB49" s="166">
        <v>77.499999999999943</v>
      </c>
      <c r="AC49" s="182">
        <f t="shared" si="13"/>
        <v>14</v>
      </c>
      <c r="AD49" s="390"/>
      <c r="AE49" s="166">
        <v>16</v>
      </c>
      <c r="AF49" s="166">
        <v>1357.7142857142844</v>
      </c>
      <c r="AG49" s="166">
        <v>84.857142857142776</v>
      </c>
      <c r="AH49" s="182">
        <f t="shared" si="14"/>
        <v>6</v>
      </c>
      <c r="AI49" s="390"/>
      <c r="AJ49" s="166">
        <v>16</v>
      </c>
      <c r="AK49" s="166">
        <v>1371.42857142857</v>
      </c>
      <c r="AL49" s="166">
        <v>85.714285714285623</v>
      </c>
      <c r="AM49" s="182">
        <f t="shared" si="15"/>
        <v>7</v>
      </c>
      <c r="AN49" s="390"/>
      <c r="AO49" s="166">
        <v>16</v>
      </c>
      <c r="AP49" s="166">
        <v>1348.4999999999995</v>
      </c>
      <c r="AQ49" s="166">
        <v>84.281249999999972</v>
      </c>
      <c r="AR49" s="182">
        <f t="shared" si="16"/>
        <v>7</v>
      </c>
      <c r="AS49" s="390"/>
      <c r="AT49" s="166">
        <v>16</v>
      </c>
      <c r="AU49" s="166">
        <v>1302.4390243902435</v>
      </c>
      <c r="AV49" s="166">
        <v>81.402439024390219</v>
      </c>
      <c r="AW49" s="182">
        <f t="shared" si="17"/>
        <v>9</v>
      </c>
      <c r="AX49" s="390"/>
      <c r="AZ49" s="182" t="e">
        <f t="shared" si="18"/>
        <v>#N/A</v>
      </c>
      <c r="BA49" s="390"/>
    </row>
    <row r="50" spans="2:53">
      <c r="B50" s="395"/>
      <c r="C50" s="182">
        <v>9</v>
      </c>
      <c r="D50" s="203" t="s">
        <v>654</v>
      </c>
      <c r="E50" s="166">
        <v>16</v>
      </c>
      <c r="F50" s="182">
        <v>1440</v>
      </c>
      <c r="G50" s="180">
        <v>90</v>
      </c>
      <c r="H50" s="402"/>
      <c r="I50" s="166">
        <f t="shared" si="19"/>
        <v>16</v>
      </c>
      <c r="J50" s="166">
        <f t="shared" si="20"/>
        <v>1326.6792390405305</v>
      </c>
      <c r="K50" s="180">
        <f t="shared" si="21"/>
        <v>82.984227363402013</v>
      </c>
      <c r="L50" s="402"/>
      <c r="M50" s="181">
        <f>RANK(K50, K$42:$K$71)</f>
        <v>8</v>
      </c>
      <c r="N50" s="389"/>
      <c r="O50" s="389"/>
      <c r="P50" s="166">
        <v>16</v>
      </c>
      <c r="Q50" s="166">
        <v>1296.7741935483882</v>
      </c>
      <c r="R50" s="166">
        <v>81.048387096774263</v>
      </c>
      <c r="S50" s="182">
        <f t="shared" si="11"/>
        <v>9</v>
      </c>
      <c r="T50" s="390"/>
      <c r="U50" s="166">
        <v>17</v>
      </c>
      <c r="V50" s="166">
        <v>1379.0322580645175</v>
      </c>
      <c r="W50" s="166">
        <v>81.119544592030437</v>
      </c>
      <c r="X50" s="182">
        <f t="shared" si="12"/>
        <v>7</v>
      </c>
      <c r="Y50" s="390"/>
      <c r="Z50" s="166">
        <v>16</v>
      </c>
      <c r="AA50" s="166">
        <v>1286.6666666666647</v>
      </c>
      <c r="AB50" s="166">
        <v>80.416666666666544</v>
      </c>
      <c r="AC50" s="182">
        <f t="shared" si="13"/>
        <v>10</v>
      </c>
      <c r="AD50" s="390"/>
      <c r="AE50" s="166">
        <v>16</v>
      </c>
      <c r="AF50" s="166">
        <v>1374.0000000000005</v>
      </c>
      <c r="AG50" s="166">
        <v>85.875000000000028</v>
      </c>
      <c r="AH50" s="182">
        <f t="shared" si="14"/>
        <v>5</v>
      </c>
      <c r="AI50" s="390"/>
      <c r="AJ50" s="166">
        <v>15</v>
      </c>
      <c r="AK50" s="166">
        <v>1296.9230769230815</v>
      </c>
      <c r="AL50" s="166">
        <v>86.461538461538765</v>
      </c>
      <c r="AM50" s="182">
        <f t="shared" si="15"/>
        <v>4</v>
      </c>
      <c r="AN50" s="390"/>
      <c r="AO50" s="166" t="s">
        <v>634</v>
      </c>
      <c r="AP50" s="166" t="s">
        <v>634</v>
      </c>
      <c r="AQ50" s="166" t="s">
        <v>634</v>
      </c>
      <c r="AR50" s="182" t="e">
        <f t="shared" si="16"/>
        <v>#VALUE!</v>
      </c>
      <c r="AS50" s="390"/>
      <c r="AT50" s="166" t="s">
        <v>634</v>
      </c>
      <c r="AU50" s="166" t="s">
        <v>634</v>
      </c>
      <c r="AV50" s="166" t="s">
        <v>634</v>
      </c>
      <c r="AW50" s="182" t="e">
        <f t="shared" si="17"/>
        <v>#VALUE!</v>
      </c>
      <c r="AX50" s="390"/>
      <c r="AZ50" s="182" t="e">
        <f t="shared" si="18"/>
        <v>#N/A</v>
      </c>
      <c r="BA50" s="390"/>
    </row>
    <row r="51" spans="2:53">
      <c r="B51" s="395"/>
      <c r="C51" s="182">
        <v>10</v>
      </c>
      <c r="D51" s="203" t="s">
        <v>607</v>
      </c>
      <c r="E51" s="166">
        <v>18</v>
      </c>
      <c r="F51" s="182">
        <v>1636</v>
      </c>
      <c r="G51" s="180">
        <v>90.9</v>
      </c>
      <c r="H51" s="402"/>
      <c r="I51" s="166">
        <f t="shared" si="19"/>
        <v>18</v>
      </c>
      <c r="J51" s="166">
        <f t="shared" si="20"/>
        <v>1439.8741298701309</v>
      </c>
      <c r="K51" s="180">
        <f t="shared" si="21"/>
        <v>79.993007215007282</v>
      </c>
      <c r="L51" s="402"/>
      <c r="M51" s="181">
        <f>RANK(K51, K$42:$K$71)</f>
        <v>11</v>
      </c>
      <c r="N51" s="389"/>
      <c r="O51" s="389"/>
      <c r="P51" s="166">
        <v>18</v>
      </c>
      <c r="Q51" s="166">
        <v>1454.0000000000014</v>
      </c>
      <c r="R51" s="166">
        <v>80.777777777777857</v>
      </c>
      <c r="S51" s="182">
        <f t="shared" si="11"/>
        <v>10</v>
      </c>
      <c r="T51" s="390"/>
      <c r="U51" s="166">
        <v>18</v>
      </c>
      <c r="V51" s="166">
        <v>1452.6923076923085</v>
      </c>
      <c r="W51" s="166">
        <v>80.705128205128247</v>
      </c>
      <c r="X51" s="182">
        <f t="shared" si="12"/>
        <v>8</v>
      </c>
      <c r="Y51" s="390"/>
      <c r="Z51" s="166">
        <v>18</v>
      </c>
      <c r="AA51" s="166">
        <v>1421.5384615384623</v>
      </c>
      <c r="AB51" s="166">
        <v>78.974358974359021</v>
      </c>
      <c r="AC51" s="182">
        <f t="shared" si="13"/>
        <v>12</v>
      </c>
      <c r="AD51" s="390"/>
      <c r="AE51" s="166">
        <v>18</v>
      </c>
      <c r="AF51" s="166">
        <v>1445.7692307692316</v>
      </c>
      <c r="AG51" s="166">
        <v>80.320512820512874</v>
      </c>
      <c r="AH51" s="182">
        <f t="shared" si="14"/>
        <v>11</v>
      </c>
      <c r="AI51" s="390"/>
      <c r="AJ51" s="166">
        <v>18</v>
      </c>
      <c r="AK51" s="166">
        <v>1453.0909090909099</v>
      </c>
      <c r="AL51" s="166">
        <v>80.727272727272776</v>
      </c>
      <c r="AM51" s="182">
        <f t="shared" si="15"/>
        <v>11</v>
      </c>
      <c r="AN51" s="390"/>
      <c r="AO51" s="166">
        <v>18</v>
      </c>
      <c r="AP51" s="166">
        <v>1467.0000000000014</v>
      </c>
      <c r="AQ51" s="166">
        <v>81.500000000000071</v>
      </c>
      <c r="AR51" s="182">
        <f t="shared" si="16"/>
        <v>9</v>
      </c>
      <c r="AS51" s="390"/>
      <c r="AT51" s="166">
        <v>18</v>
      </c>
      <c r="AU51" s="166">
        <v>1385.0280000000005</v>
      </c>
      <c r="AV51" s="166">
        <v>76.946000000000026</v>
      </c>
      <c r="AW51" s="182">
        <f t="shared" si="17"/>
        <v>12</v>
      </c>
      <c r="AX51" s="390"/>
      <c r="AZ51" s="182" t="e">
        <f t="shared" si="18"/>
        <v>#N/A</v>
      </c>
      <c r="BA51" s="390"/>
    </row>
    <row r="52" spans="2:53">
      <c r="B52" s="395"/>
      <c r="C52" s="182">
        <v>11</v>
      </c>
      <c r="D52" s="203" t="s">
        <v>608</v>
      </c>
      <c r="E52" s="166">
        <v>18</v>
      </c>
      <c r="F52" s="182">
        <v>1636</v>
      </c>
      <c r="G52" s="180">
        <v>90.9</v>
      </c>
      <c r="H52" s="402"/>
      <c r="I52" s="166">
        <f t="shared" si="19"/>
        <v>18</v>
      </c>
      <c r="J52" s="166">
        <f t="shared" si="20"/>
        <v>1433.6575367739915</v>
      </c>
      <c r="K52" s="180">
        <f t="shared" si="21"/>
        <v>79.647640931888404</v>
      </c>
      <c r="L52" s="402"/>
      <c r="M52" s="181">
        <f>RANK(K52, K$42:$K$71)</f>
        <v>12</v>
      </c>
      <c r="N52" s="389"/>
      <c r="O52" s="389"/>
      <c r="P52" s="166">
        <v>18</v>
      </c>
      <c r="Q52" s="166">
        <v>1430.8695652173915</v>
      </c>
      <c r="R52" s="166">
        <v>79.49275362318842</v>
      </c>
      <c r="S52" s="182">
        <f t="shared" si="11"/>
        <v>13</v>
      </c>
      <c r="T52" s="390"/>
      <c r="U52" s="166">
        <v>18</v>
      </c>
      <c r="V52" s="166">
        <v>1451.7073170731703</v>
      </c>
      <c r="W52" s="166">
        <v>80.650406504065018</v>
      </c>
      <c r="X52" s="182">
        <f t="shared" si="12"/>
        <v>9</v>
      </c>
      <c r="Y52" s="390"/>
      <c r="Z52" s="166">
        <v>18</v>
      </c>
      <c r="AA52" s="166">
        <v>1452.6315789473672</v>
      </c>
      <c r="AB52" s="166">
        <v>80.701754385964847</v>
      </c>
      <c r="AC52" s="182">
        <f t="shared" si="13"/>
        <v>9</v>
      </c>
      <c r="AD52" s="390"/>
      <c r="AE52" s="166">
        <v>18</v>
      </c>
      <c r="AF52" s="166">
        <v>1414.4999999999995</v>
      </c>
      <c r="AG52" s="166">
        <v>78.583333333333314</v>
      </c>
      <c r="AH52" s="182">
        <f t="shared" si="14"/>
        <v>13</v>
      </c>
      <c r="AI52" s="390"/>
      <c r="AJ52" s="166">
        <v>18</v>
      </c>
      <c r="AK52" s="166">
        <v>1424.6153846153838</v>
      </c>
      <c r="AL52" s="166">
        <v>79.145299145299106</v>
      </c>
      <c r="AM52" s="182">
        <f t="shared" si="15"/>
        <v>12</v>
      </c>
      <c r="AN52" s="390"/>
      <c r="AO52" s="166">
        <v>18</v>
      </c>
      <c r="AP52" s="166">
        <v>1450.6666666666665</v>
      </c>
      <c r="AQ52" s="166">
        <v>80.592592592592581</v>
      </c>
      <c r="AR52" s="182">
        <f t="shared" si="16"/>
        <v>11</v>
      </c>
      <c r="AS52" s="390"/>
      <c r="AT52" s="166">
        <v>18</v>
      </c>
      <c r="AU52" s="166">
        <v>1410.6122448979597</v>
      </c>
      <c r="AV52" s="166">
        <v>78.36734693877554</v>
      </c>
      <c r="AW52" s="182">
        <f t="shared" si="17"/>
        <v>10</v>
      </c>
      <c r="AX52" s="390"/>
      <c r="AZ52" s="182" t="e">
        <f t="shared" si="18"/>
        <v>#N/A</v>
      </c>
      <c r="BA52" s="390"/>
    </row>
    <row r="53" spans="2:53">
      <c r="B53" s="395"/>
      <c r="C53" s="182">
        <v>12</v>
      </c>
      <c r="D53" s="203" t="s">
        <v>336</v>
      </c>
      <c r="E53" s="166">
        <v>17</v>
      </c>
      <c r="F53" s="182">
        <v>1500</v>
      </c>
      <c r="G53" s="180">
        <v>88.2</v>
      </c>
      <c r="H53" s="402"/>
      <c r="I53" s="166">
        <f t="shared" si="19"/>
        <v>17</v>
      </c>
      <c r="J53" s="166">
        <f t="shared" si="20"/>
        <v>1387.9704131116189</v>
      </c>
      <c r="K53" s="180">
        <f t="shared" si="21"/>
        <v>81.645318418330504</v>
      </c>
      <c r="L53" s="402"/>
      <c r="M53" s="181">
        <f>RANK(K53, K$42:$K$71)</f>
        <v>10</v>
      </c>
      <c r="N53" s="389"/>
      <c r="O53" s="389"/>
      <c r="P53" s="166">
        <v>17</v>
      </c>
      <c r="Q53" s="166">
        <v>1406.1538461538455</v>
      </c>
      <c r="R53" s="166">
        <v>82.714932126696795</v>
      </c>
      <c r="S53" s="182">
        <f t="shared" si="11"/>
        <v>8</v>
      </c>
      <c r="T53" s="390"/>
      <c r="U53" s="166">
        <v>17</v>
      </c>
      <c r="V53" s="166">
        <v>1368.6486486486476</v>
      </c>
      <c r="W53" s="166">
        <v>80.50874403815574</v>
      </c>
      <c r="X53" s="182">
        <f t="shared" si="12"/>
        <v>10</v>
      </c>
      <c r="Y53" s="390"/>
      <c r="Z53" s="166">
        <v>17</v>
      </c>
      <c r="AA53" s="166">
        <v>1398.1818181818164</v>
      </c>
      <c r="AB53" s="166">
        <v>82.245989304812724</v>
      </c>
      <c r="AC53" s="182">
        <f t="shared" si="13"/>
        <v>8</v>
      </c>
      <c r="AD53" s="390"/>
      <c r="AE53" s="166">
        <v>17</v>
      </c>
      <c r="AF53" s="166">
        <v>1408.3333333333321</v>
      </c>
      <c r="AG53" s="166">
        <v>82.84313725490189</v>
      </c>
      <c r="AH53" s="182">
        <f t="shared" si="14"/>
        <v>8</v>
      </c>
      <c r="AI53" s="390"/>
      <c r="AJ53" s="166">
        <v>17</v>
      </c>
      <c r="AK53" s="166">
        <v>1373.6842105263147</v>
      </c>
      <c r="AL53" s="166">
        <v>80.804953560371459</v>
      </c>
      <c r="AM53" s="182">
        <f t="shared" si="15"/>
        <v>10</v>
      </c>
      <c r="AN53" s="390"/>
      <c r="AO53" s="166">
        <v>17</v>
      </c>
      <c r="AP53" s="166">
        <v>1372.6829268292679</v>
      </c>
      <c r="AQ53" s="166">
        <v>80.746054519368698</v>
      </c>
      <c r="AR53" s="182">
        <f t="shared" si="16"/>
        <v>10</v>
      </c>
      <c r="AS53" s="390"/>
      <c r="AT53" s="166">
        <v>17</v>
      </c>
      <c r="AU53" s="166">
        <v>1388.1081081081072</v>
      </c>
      <c r="AV53" s="166">
        <v>81.653418124006308</v>
      </c>
      <c r="AW53" s="182">
        <f t="shared" si="17"/>
        <v>8</v>
      </c>
      <c r="AX53" s="390"/>
      <c r="AZ53" s="182" t="e">
        <f t="shared" si="18"/>
        <v>#N/A</v>
      </c>
      <c r="BA53" s="390"/>
    </row>
    <row r="54" spans="2:53">
      <c r="B54" s="395"/>
      <c r="C54" s="182">
        <v>13</v>
      </c>
      <c r="D54" s="203" t="s">
        <v>531</v>
      </c>
      <c r="E54" s="166">
        <v>20</v>
      </c>
      <c r="F54" s="182">
        <v>1440</v>
      </c>
      <c r="G54" s="180">
        <v>72</v>
      </c>
      <c r="H54" s="402"/>
      <c r="I54" s="166">
        <f t="shared" si="19"/>
        <v>19.142857142857142</v>
      </c>
      <c r="J54" s="166">
        <f t="shared" si="20"/>
        <v>1342.7234793141281</v>
      </c>
      <c r="K54" s="180">
        <f t="shared" si="21"/>
        <v>70.204843069788254</v>
      </c>
      <c r="L54" s="402"/>
      <c r="M54" s="181">
        <f>RANK(K54, K$42:$K$71)</f>
        <v>22</v>
      </c>
      <c r="N54" s="389"/>
      <c r="O54" s="389"/>
      <c r="P54" s="166">
        <v>20</v>
      </c>
      <c r="Q54" s="166">
        <v>1341.1267605633789</v>
      </c>
      <c r="R54" s="166">
        <v>67.056338028168938</v>
      </c>
      <c r="S54" s="182">
        <f t="shared" si="11"/>
        <v>23</v>
      </c>
      <c r="T54" s="390"/>
      <c r="U54" s="166">
        <v>19</v>
      </c>
      <c r="V54" s="166">
        <v>1319.9999999999982</v>
      </c>
      <c r="W54" s="166">
        <v>69.473684210526216</v>
      </c>
      <c r="X54" s="182">
        <f t="shared" si="12"/>
        <v>22</v>
      </c>
      <c r="Y54" s="390"/>
      <c r="Z54" s="166">
        <v>18</v>
      </c>
      <c r="AA54" s="166">
        <v>1331.0000000000014</v>
      </c>
      <c r="AB54" s="166">
        <v>73.944444444444514</v>
      </c>
      <c r="AC54" s="182">
        <f t="shared" si="13"/>
        <v>19</v>
      </c>
      <c r="AD54" s="390"/>
      <c r="AE54" s="166">
        <v>19</v>
      </c>
      <c r="AF54" s="166">
        <v>1340.0000000000011</v>
      </c>
      <c r="AG54" s="166">
        <v>70.526315789473742</v>
      </c>
      <c r="AH54" s="182">
        <f t="shared" si="14"/>
        <v>21</v>
      </c>
      <c r="AI54" s="390"/>
      <c r="AJ54" s="166">
        <v>19</v>
      </c>
      <c r="AK54" s="166">
        <v>1340.5970149253749</v>
      </c>
      <c r="AL54" s="166">
        <v>70.557737627651306</v>
      </c>
      <c r="AM54" s="182">
        <f t="shared" si="15"/>
        <v>20</v>
      </c>
      <c r="AN54" s="390"/>
      <c r="AO54" s="166">
        <v>19</v>
      </c>
      <c r="AP54" s="166">
        <v>1352.1739130434769</v>
      </c>
      <c r="AQ54" s="166">
        <v>71.167048054919832</v>
      </c>
      <c r="AR54" s="182">
        <f t="shared" si="16"/>
        <v>18</v>
      </c>
      <c r="AS54" s="390"/>
      <c r="AT54" s="166">
        <v>20</v>
      </c>
      <c r="AU54" s="166">
        <v>1374.1666666666656</v>
      </c>
      <c r="AV54" s="166">
        <v>68.708333333333286</v>
      </c>
      <c r="AW54" s="182">
        <f t="shared" si="17"/>
        <v>19</v>
      </c>
      <c r="AX54" s="390"/>
      <c r="AZ54" s="182" t="e">
        <f t="shared" si="18"/>
        <v>#N/A</v>
      </c>
      <c r="BA54" s="390"/>
    </row>
    <row r="55" spans="2:53">
      <c r="B55" s="395"/>
      <c r="C55" s="182">
        <v>14</v>
      </c>
      <c r="D55" s="203" t="s">
        <v>349</v>
      </c>
      <c r="E55" s="166">
        <v>14</v>
      </c>
      <c r="F55" s="182">
        <v>1440</v>
      </c>
      <c r="G55" s="180">
        <v>102.9</v>
      </c>
      <c r="H55" s="402"/>
      <c r="I55" s="166">
        <f t="shared" si="19"/>
        <v>15</v>
      </c>
      <c r="J55" s="166">
        <f t="shared" si="20"/>
        <v>1283.0199956817471</v>
      </c>
      <c r="K55" s="180">
        <f t="shared" si="21"/>
        <v>85.534666378783157</v>
      </c>
      <c r="L55" s="402"/>
      <c r="M55" s="181">
        <f>RANK(K55, K$42:$K$71)</f>
        <v>5</v>
      </c>
      <c r="N55" s="389"/>
      <c r="O55" s="389"/>
      <c r="P55" s="166">
        <v>15</v>
      </c>
      <c r="Q55" s="166">
        <v>1334.5161290322594</v>
      </c>
      <c r="R55" s="166">
        <v>88.967741935483957</v>
      </c>
      <c r="S55" s="182">
        <f t="shared" si="11"/>
        <v>4</v>
      </c>
      <c r="T55" s="390"/>
      <c r="U55" s="166">
        <v>15</v>
      </c>
      <c r="V55" s="166">
        <v>1340.0000000000009</v>
      </c>
      <c r="W55" s="166">
        <v>89.3333333333334</v>
      </c>
      <c r="X55" s="182">
        <f t="shared" si="12"/>
        <v>3</v>
      </c>
      <c r="Y55" s="390"/>
      <c r="Z55" s="166">
        <v>15</v>
      </c>
      <c r="AA55" s="166">
        <v>1234.8000000000004</v>
      </c>
      <c r="AB55" s="166">
        <v>82.320000000000022</v>
      </c>
      <c r="AC55" s="182">
        <f t="shared" si="13"/>
        <v>7</v>
      </c>
      <c r="AD55" s="390"/>
      <c r="AE55" s="166">
        <v>15</v>
      </c>
      <c r="AF55" s="166">
        <v>1222.2222222222229</v>
      </c>
      <c r="AG55" s="166">
        <v>81.481481481481524</v>
      </c>
      <c r="AH55" s="182">
        <f t="shared" si="14"/>
        <v>10</v>
      </c>
      <c r="AI55" s="390"/>
      <c r="AJ55" s="166">
        <v>15</v>
      </c>
      <c r="AK55" s="166">
        <v>1232.6315789473692</v>
      </c>
      <c r="AL55" s="166">
        <v>82.175438596491276</v>
      </c>
      <c r="AM55" s="182">
        <f t="shared" si="15"/>
        <v>9</v>
      </c>
      <c r="AN55" s="390"/>
      <c r="AO55" s="166">
        <v>15</v>
      </c>
      <c r="AP55" s="166">
        <v>1305.2459016393423</v>
      </c>
      <c r="AQ55" s="166">
        <v>87.016393442622814</v>
      </c>
      <c r="AR55" s="182">
        <f t="shared" si="16"/>
        <v>6</v>
      </c>
      <c r="AS55" s="390"/>
      <c r="AT55" s="166">
        <v>15</v>
      </c>
      <c r="AU55" s="166">
        <v>1311.7241379310353</v>
      </c>
      <c r="AV55" s="166">
        <v>87.448275862069025</v>
      </c>
      <c r="AW55" s="182">
        <f t="shared" si="17"/>
        <v>6</v>
      </c>
      <c r="AX55" s="390"/>
      <c r="AZ55" s="182" t="e">
        <f t="shared" si="18"/>
        <v>#N/A</v>
      </c>
      <c r="BA55" s="390"/>
    </row>
    <row r="56" spans="2:53">
      <c r="B56" s="395"/>
      <c r="C56" s="182">
        <v>15</v>
      </c>
      <c r="D56" s="203" t="s">
        <v>329</v>
      </c>
      <c r="E56" s="166">
        <v>19</v>
      </c>
      <c r="F56" s="182">
        <v>1440</v>
      </c>
      <c r="G56" s="180">
        <v>75.8</v>
      </c>
      <c r="H56" s="402"/>
      <c r="I56" s="166">
        <f t="shared" si="19"/>
        <v>18.142857142857142</v>
      </c>
      <c r="J56" s="166">
        <f t="shared" si="20"/>
        <v>1336.1056098330721</v>
      </c>
      <c r="K56" s="180">
        <f t="shared" si="21"/>
        <v>73.66685488812891</v>
      </c>
      <c r="L56" s="402"/>
      <c r="M56" s="166">
        <f>RANK(K56, K$42:$K$71)</f>
        <v>18</v>
      </c>
      <c r="N56" s="389"/>
      <c r="O56" s="389"/>
      <c r="P56" s="166">
        <v>18</v>
      </c>
      <c r="Q56" s="166">
        <v>1352.7272727272727</v>
      </c>
      <c r="R56" s="166">
        <v>75.151515151515156</v>
      </c>
      <c r="S56" s="182">
        <f t="shared" si="11"/>
        <v>17</v>
      </c>
      <c r="T56" s="390"/>
      <c r="U56" s="166">
        <v>18</v>
      </c>
      <c r="V56" s="166">
        <v>1343.3766233766228</v>
      </c>
      <c r="W56" s="166">
        <v>74.632034632034603</v>
      </c>
      <c r="X56" s="182">
        <f t="shared" si="12"/>
        <v>17</v>
      </c>
      <c r="Y56" s="390"/>
      <c r="Z56" s="166">
        <v>18</v>
      </c>
      <c r="AA56" s="166">
        <v>1339.7142857142842</v>
      </c>
      <c r="AB56" s="166">
        <v>74.428571428571345</v>
      </c>
      <c r="AC56" s="182">
        <f t="shared" si="13"/>
        <v>17</v>
      </c>
      <c r="AD56" s="390"/>
      <c r="AE56" s="166">
        <v>18</v>
      </c>
      <c r="AF56" s="166">
        <v>1317.42857142857</v>
      </c>
      <c r="AG56" s="166">
        <v>73.190476190476105</v>
      </c>
      <c r="AH56" s="182">
        <f t="shared" si="14"/>
        <v>17</v>
      </c>
      <c r="AI56" s="390"/>
      <c r="AJ56" s="166">
        <v>18</v>
      </c>
      <c r="AK56" s="166">
        <v>1313.5714285714282</v>
      </c>
      <c r="AL56" s="166">
        <v>72.976190476190453</v>
      </c>
      <c r="AM56" s="182">
        <f t="shared" si="15"/>
        <v>17</v>
      </c>
      <c r="AN56" s="390"/>
      <c r="AO56" s="166">
        <v>18</v>
      </c>
      <c r="AP56" s="166">
        <v>1342.3255813953488</v>
      </c>
      <c r="AQ56" s="166">
        <v>74.573643410852711</v>
      </c>
      <c r="AR56" s="182">
        <f t="shared" si="16"/>
        <v>14</v>
      </c>
      <c r="AS56" s="390"/>
      <c r="AT56" s="166">
        <v>19</v>
      </c>
      <c r="AU56" s="166">
        <v>1343.5955056179776</v>
      </c>
      <c r="AV56" s="166">
        <v>70.715552927261982</v>
      </c>
      <c r="AW56" s="182">
        <f t="shared" si="17"/>
        <v>16</v>
      </c>
      <c r="AX56" s="390"/>
      <c r="AZ56" s="182" t="e">
        <f t="shared" si="18"/>
        <v>#N/A</v>
      </c>
      <c r="BA56" s="390"/>
    </row>
    <row r="57" spans="2:53">
      <c r="B57" s="395"/>
      <c r="C57" s="182">
        <v>16</v>
      </c>
      <c r="D57" s="203" t="s">
        <v>347</v>
      </c>
      <c r="E57" s="166">
        <v>19</v>
      </c>
      <c r="F57" s="182">
        <v>1440</v>
      </c>
      <c r="G57" s="180">
        <v>75.8</v>
      </c>
      <c r="H57" s="402"/>
      <c r="I57" s="166">
        <f t="shared" si="19"/>
        <v>19</v>
      </c>
      <c r="J57" s="166">
        <f t="shared" si="20"/>
        <v>1339.5644936740578</v>
      </c>
      <c r="K57" s="180">
        <f t="shared" si="21"/>
        <v>70.503394403897786</v>
      </c>
      <c r="L57" s="402"/>
      <c r="M57" s="166">
        <f>RANK(K57, K$42:$K$71)</f>
        <v>21</v>
      </c>
      <c r="N57" s="389"/>
      <c r="O57" s="389"/>
      <c r="P57" s="166">
        <v>19</v>
      </c>
      <c r="Q57" s="166">
        <v>1330.0000000000014</v>
      </c>
      <c r="R57" s="166">
        <v>70.000000000000071</v>
      </c>
      <c r="S57" s="182">
        <f t="shared" si="11"/>
        <v>21</v>
      </c>
      <c r="T57" s="390"/>
      <c r="U57" s="166">
        <v>19</v>
      </c>
      <c r="V57" s="166">
        <v>1364.4827586206907</v>
      </c>
      <c r="W57" s="166">
        <v>71.814882032667924</v>
      </c>
      <c r="X57" s="182">
        <f t="shared" si="12"/>
        <v>21</v>
      </c>
      <c r="Y57" s="390"/>
      <c r="Z57" s="166">
        <v>19</v>
      </c>
      <c r="AA57" s="166">
        <v>1315.7894736842115</v>
      </c>
      <c r="AB57" s="166">
        <v>69.252077562326917</v>
      </c>
      <c r="AC57" s="182">
        <f t="shared" si="13"/>
        <v>22</v>
      </c>
      <c r="AD57" s="390"/>
      <c r="AE57" s="166">
        <v>19</v>
      </c>
      <c r="AF57" s="166">
        <v>1358.5714285714296</v>
      </c>
      <c r="AG57" s="166">
        <v>71.5037593984963</v>
      </c>
      <c r="AH57" s="182">
        <f t="shared" si="14"/>
        <v>20</v>
      </c>
      <c r="AI57" s="390"/>
      <c r="AJ57" s="166">
        <v>19</v>
      </c>
      <c r="AK57" s="166">
        <v>1358.2758620689665</v>
      </c>
      <c r="AL57" s="166">
        <v>71.488203266787707</v>
      </c>
      <c r="AM57" s="182">
        <f t="shared" si="15"/>
        <v>19</v>
      </c>
      <c r="AN57" s="390"/>
      <c r="AO57" s="166">
        <v>19</v>
      </c>
      <c r="AP57" s="166">
        <v>1334.1176470588218</v>
      </c>
      <c r="AQ57" s="166">
        <v>70.216718266253778</v>
      </c>
      <c r="AR57" s="182">
        <f t="shared" si="16"/>
        <v>19</v>
      </c>
      <c r="AS57" s="390"/>
      <c r="AT57" s="166">
        <v>19</v>
      </c>
      <c r="AU57" s="166">
        <v>1315.7142857142844</v>
      </c>
      <c r="AV57" s="166">
        <v>69.248120300751808</v>
      </c>
      <c r="AW57" s="182">
        <f t="shared" si="17"/>
        <v>18</v>
      </c>
      <c r="AX57" s="390"/>
      <c r="AZ57" s="182" t="e">
        <f t="shared" si="18"/>
        <v>#N/A</v>
      </c>
      <c r="BA57" s="390"/>
    </row>
    <row r="58" spans="2:53">
      <c r="B58" s="395"/>
      <c r="C58" s="182">
        <v>17</v>
      </c>
      <c r="D58" s="203" t="s">
        <v>609</v>
      </c>
      <c r="E58" s="166">
        <v>19</v>
      </c>
      <c r="F58" s="182">
        <v>1500</v>
      </c>
      <c r="G58" s="180">
        <v>78.900000000000006</v>
      </c>
      <c r="H58" s="402"/>
      <c r="I58" s="166">
        <f t="shared" si="19"/>
        <v>18.857142857142858</v>
      </c>
      <c r="J58" s="166">
        <f t="shared" si="20"/>
        <v>1395.0487163680427</v>
      </c>
      <c r="K58" s="180">
        <f t="shared" si="21"/>
        <v>74.007218512746945</v>
      </c>
      <c r="L58" s="402"/>
      <c r="M58" s="166">
        <f>RANK(K58, K$42:$K$71)</f>
        <v>17</v>
      </c>
      <c r="N58" s="389"/>
      <c r="O58" s="389"/>
      <c r="P58" s="166">
        <v>19</v>
      </c>
      <c r="Q58" s="166">
        <v>1421.6666666666656</v>
      </c>
      <c r="R58" s="166">
        <v>74.82456140350871</v>
      </c>
      <c r="S58" s="182">
        <f t="shared" si="11"/>
        <v>18</v>
      </c>
      <c r="T58" s="390"/>
      <c r="U58" s="166">
        <v>18</v>
      </c>
      <c r="V58" s="166">
        <v>1397.1428571428557</v>
      </c>
      <c r="W58" s="166">
        <v>77.619047619047535</v>
      </c>
      <c r="X58" s="182">
        <f t="shared" si="12"/>
        <v>14</v>
      </c>
      <c r="Y58" s="390"/>
      <c r="Z58" s="166">
        <v>19</v>
      </c>
      <c r="AA58" s="166">
        <v>1413.9999999999975</v>
      </c>
      <c r="AB58" s="166">
        <v>74.421052631578817</v>
      </c>
      <c r="AC58" s="182">
        <f t="shared" si="13"/>
        <v>18</v>
      </c>
      <c r="AD58" s="390"/>
      <c r="AE58" s="166">
        <v>19</v>
      </c>
      <c r="AF58" s="166">
        <v>1372.9411764705865</v>
      </c>
      <c r="AG58" s="166">
        <v>72.260061919504551</v>
      </c>
      <c r="AH58" s="182">
        <f t="shared" si="14"/>
        <v>18</v>
      </c>
      <c r="AI58" s="390"/>
      <c r="AJ58" s="166">
        <v>19</v>
      </c>
      <c r="AK58" s="166">
        <v>1420.588235294116</v>
      </c>
      <c r="AL58" s="166">
        <v>74.767801857585056</v>
      </c>
      <c r="AM58" s="182">
        <f t="shared" si="15"/>
        <v>15</v>
      </c>
      <c r="AN58" s="390"/>
      <c r="AO58" s="166">
        <v>19</v>
      </c>
      <c r="AP58" s="166">
        <v>1378.4615384615377</v>
      </c>
      <c r="AQ58" s="166">
        <v>72.550607287449353</v>
      </c>
      <c r="AR58" s="182">
        <f t="shared" si="16"/>
        <v>17</v>
      </c>
      <c r="AS58" s="390"/>
      <c r="AT58" s="166">
        <v>19</v>
      </c>
      <c r="AU58" s="166">
        <v>1360.5405405405395</v>
      </c>
      <c r="AV58" s="166">
        <v>71.607396870554709</v>
      </c>
      <c r="AW58" s="182">
        <f t="shared" si="17"/>
        <v>15</v>
      </c>
      <c r="AX58" s="390"/>
      <c r="AZ58" s="182" t="e">
        <f t="shared" si="18"/>
        <v>#N/A</v>
      </c>
      <c r="BA58" s="390"/>
    </row>
    <row r="59" spans="2:53">
      <c r="B59" s="395"/>
      <c r="C59" s="182">
        <v>18</v>
      </c>
      <c r="D59" s="203" t="s">
        <v>623</v>
      </c>
      <c r="E59" s="166">
        <v>18</v>
      </c>
      <c r="F59" s="182">
        <v>1500</v>
      </c>
      <c r="G59" s="180">
        <v>83.3</v>
      </c>
      <c r="H59" s="402"/>
      <c r="I59" s="166">
        <f t="shared" si="19"/>
        <v>18</v>
      </c>
      <c r="J59" s="166">
        <f t="shared" si="20"/>
        <v>1304.6110872429997</v>
      </c>
      <c r="K59" s="180">
        <f t="shared" si="21"/>
        <v>72.478393735722207</v>
      </c>
      <c r="L59" s="402"/>
      <c r="M59" s="166">
        <f>RANK(K59, K$42:$K$71)</f>
        <v>19</v>
      </c>
      <c r="N59" s="389"/>
      <c r="O59" s="389"/>
      <c r="P59" s="166">
        <v>18</v>
      </c>
      <c r="Q59" s="166">
        <v>1302.3529411764705</v>
      </c>
      <c r="R59" s="166">
        <v>72.35294117647058</v>
      </c>
      <c r="S59" s="182">
        <f t="shared" si="11"/>
        <v>20</v>
      </c>
      <c r="T59" s="390"/>
      <c r="U59" s="166">
        <v>18</v>
      </c>
      <c r="V59" s="166">
        <v>1307.6923076923069</v>
      </c>
      <c r="W59" s="166">
        <v>72.649572649572605</v>
      </c>
      <c r="X59" s="182">
        <f t="shared" si="12"/>
        <v>20</v>
      </c>
      <c r="Y59" s="390"/>
      <c r="Z59" s="166">
        <v>18</v>
      </c>
      <c r="AA59" s="166">
        <v>1309.1666666666656</v>
      </c>
      <c r="AB59" s="166">
        <v>72.731481481481424</v>
      </c>
      <c r="AC59" s="182">
        <f t="shared" si="13"/>
        <v>20</v>
      </c>
      <c r="AD59" s="390"/>
      <c r="AE59" s="166">
        <v>18</v>
      </c>
      <c r="AF59" s="166">
        <v>1298.823529411763</v>
      </c>
      <c r="AG59" s="166">
        <v>72.156862745097953</v>
      </c>
      <c r="AH59" s="182">
        <f t="shared" si="14"/>
        <v>19</v>
      </c>
      <c r="AI59" s="390"/>
      <c r="AJ59" s="166">
        <v>18</v>
      </c>
      <c r="AK59" s="166">
        <v>1288.3783783783774</v>
      </c>
      <c r="AL59" s="166">
        <v>71.576576576576528</v>
      </c>
      <c r="AM59" s="182">
        <f t="shared" si="15"/>
        <v>18</v>
      </c>
      <c r="AN59" s="390"/>
      <c r="AO59" s="166">
        <v>18</v>
      </c>
      <c r="AP59" s="166">
        <v>1313.7209302325577</v>
      </c>
      <c r="AQ59" s="166">
        <v>72.984496124030983</v>
      </c>
      <c r="AR59" s="182">
        <f t="shared" si="16"/>
        <v>16</v>
      </c>
      <c r="AS59" s="390"/>
      <c r="AT59" s="166">
        <v>18</v>
      </c>
      <c r="AU59" s="166">
        <v>1312.1428571428569</v>
      </c>
      <c r="AV59" s="166">
        <v>72.896825396825378</v>
      </c>
      <c r="AW59" s="182">
        <f t="shared" si="17"/>
        <v>14</v>
      </c>
      <c r="AX59" s="390"/>
      <c r="AZ59" s="182" t="e">
        <f t="shared" si="18"/>
        <v>#N/A</v>
      </c>
      <c r="BA59" s="390"/>
    </row>
    <row r="60" spans="2:53">
      <c r="B60" s="395"/>
      <c r="C60" s="182">
        <v>19</v>
      </c>
      <c r="D60" s="203" t="s">
        <v>528</v>
      </c>
      <c r="E60" s="166">
        <v>17</v>
      </c>
      <c r="F60" s="182">
        <v>1440</v>
      </c>
      <c r="G60" s="180">
        <v>84.7</v>
      </c>
      <c r="H60" s="402"/>
      <c r="I60" s="166">
        <f t="shared" si="19"/>
        <v>17</v>
      </c>
      <c r="J60" s="166">
        <f t="shared" si="20"/>
        <v>1337.7840309843359</v>
      </c>
      <c r="K60" s="180">
        <f t="shared" si="21"/>
        <v>78.693178293196212</v>
      </c>
      <c r="L60" s="402"/>
      <c r="M60" s="166">
        <f>RANK(K60, K$42:$K$71)</f>
        <v>14</v>
      </c>
      <c r="N60" s="389"/>
      <c r="O60" s="389"/>
      <c r="P60" s="166">
        <v>17</v>
      </c>
      <c r="Q60" s="166">
        <v>1355.744680851064</v>
      </c>
      <c r="R60" s="166">
        <v>79.749687108886121</v>
      </c>
      <c r="S60" s="182">
        <f t="shared" si="11"/>
        <v>12</v>
      </c>
      <c r="T60" s="390"/>
      <c r="U60" s="166">
        <v>17</v>
      </c>
      <c r="V60" s="166">
        <v>1335.6521739130435</v>
      </c>
      <c r="W60" s="166">
        <v>78.567774936061383</v>
      </c>
      <c r="X60" s="182">
        <f t="shared" si="12"/>
        <v>13</v>
      </c>
      <c r="Y60" s="390"/>
      <c r="Z60" s="166">
        <v>17</v>
      </c>
      <c r="AA60" s="166">
        <v>1347.42857142857</v>
      </c>
      <c r="AB60" s="166">
        <v>79.26050420168059</v>
      </c>
      <c r="AC60" s="182">
        <f t="shared" si="13"/>
        <v>11</v>
      </c>
      <c r="AD60" s="390"/>
      <c r="AE60" s="166">
        <v>17</v>
      </c>
      <c r="AF60" s="166">
        <v>1322.9999999999995</v>
      </c>
      <c r="AG60" s="166">
        <v>77.823529411764682</v>
      </c>
      <c r="AH60" s="182">
        <f t="shared" si="14"/>
        <v>14</v>
      </c>
      <c r="AI60" s="390"/>
      <c r="AJ60" s="166">
        <v>17</v>
      </c>
      <c r="AK60" s="166">
        <v>1321.4999999999995</v>
      </c>
      <c r="AL60" s="166">
        <v>77.73529411764703</v>
      </c>
      <c r="AM60" s="182">
        <f t="shared" si="15"/>
        <v>13</v>
      </c>
      <c r="AN60" s="390"/>
      <c r="AO60" s="166">
        <v>17</v>
      </c>
      <c r="AP60" s="166">
        <v>1350</v>
      </c>
      <c r="AQ60" s="166">
        <v>79.411764705882348</v>
      </c>
      <c r="AR60" s="182">
        <f t="shared" si="16"/>
        <v>12</v>
      </c>
      <c r="AS60" s="390"/>
      <c r="AT60" s="166">
        <v>17</v>
      </c>
      <c r="AU60" s="166">
        <v>1331.1627906976742</v>
      </c>
      <c r="AV60" s="166">
        <v>78.303693570451415</v>
      </c>
      <c r="AW60" s="182">
        <f t="shared" si="17"/>
        <v>11</v>
      </c>
      <c r="AX60" s="390"/>
      <c r="AZ60" s="182" t="e">
        <f t="shared" si="18"/>
        <v>#N/A</v>
      </c>
      <c r="BA60" s="390"/>
    </row>
    <row r="61" spans="2:53">
      <c r="B61" s="395"/>
      <c r="C61" s="182">
        <v>20</v>
      </c>
      <c r="D61" s="203" t="s">
        <v>532</v>
      </c>
      <c r="E61" s="166">
        <v>18</v>
      </c>
      <c r="F61" s="182">
        <v>1500</v>
      </c>
      <c r="G61" s="180">
        <v>83.3</v>
      </c>
      <c r="H61" s="402"/>
      <c r="I61" s="166">
        <f t="shared" si="19"/>
        <v>18</v>
      </c>
      <c r="J61" s="166">
        <f t="shared" si="20"/>
        <v>1289.1045983420702</v>
      </c>
      <c r="K61" s="180">
        <f t="shared" si="21"/>
        <v>71.616922130115</v>
      </c>
      <c r="L61" s="402"/>
      <c r="M61" s="166">
        <f>RANK(K61, K$42:$K$71)</f>
        <v>20</v>
      </c>
      <c r="N61" s="389"/>
      <c r="O61" s="389"/>
      <c r="P61" s="166">
        <v>18</v>
      </c>
      <c r="Q61" s="166">
        <v>1409.0000000000014</v>
      </c>
      <c r="R61" s="166">
        <v>78.277777777777857</v>
      </c>
      <c r="S61" s="182">
        <f t="shared" si="11"/>
        <v>15</v>
      </c>
      <c r="T61" s="390"/>
      <c r="U61" s="166">
        <v>18</v>
      </c>
      <c r="V61" s="166">
        <v>1342.0000000000014</v>
      </c>
      <c r="W61" s="166">
        <v>74.555555555555628</v>
      </c>
      <c r="X61" s="182">
        <f t="shared" si="12"/>
        <v>18</v>
      </c>
      <c r="Y61" s="390"/>
      <c r="Z61" s="166">
        <v>18</v>
      </c>
      <c r="AA61" s="166">
        <v>1263.6000000000004</v>
      </c>
      <c r="AB61" s="166">
        <v>70.200000000000017</v>
      </c>
      <c r="AC61" s="182">
        <f t="shared" si="13"/>
        <v>21</v>
      </c>
      <c r="AD61" s="390"/>
      <c r="AE61" s="166">
        <v>18</v>
      </c>
      <c r="AF61" s="166">
        <v>1264.4444444444453</v>
      </c>
      <c r="AG61" s="166">
        <v>70.246913580246954</v>
      </c>
      <c r="AH61" s="182">
        <f t="shared" si="14"/>
        <v>22</v>
      </c>
      <c r="AI61" s="390"/>
      <c r="AJ61" s="166">
        <v>18</v>
      </c>
      <c r="AK61" s="166">
        <v>1245.0000000000009</v>
      </c>
      <c r="AL61" s="166">
        <v>69.166666666666714</v>
      </c>
      <c r="AM61" s="182">
        <f t="shared" si="15"/>
        <v>21</v>
      </c>
      <c r="AN61" s="390"/>
      <c r="AO61" s="166">
        <v>18</v>
      </c>
      <c r="AP61" s="166">
        <v>1250.1639344262308</v>
      </c>
      <c r="AQ61" s="166">
        <v>69.453551912568372</v>
      </c>
      <c r="AR61" s="182">
        <f t="shared" si="16"/>
        <v>20</v>
      </c>
      <c r="AS61" s="390"/>
      <c r="AT61" s="166">
        <v>18</v>
      </c>
      <c r="AU61" s="166">
        <v>1249.5238095238108</v>
      </c>
      <c r="AV61" s="166">
        <v>69.417989417989489</v>
      </c>
      <c r="AW61" s="182">
        <f t="shared" si="17"/>
        <v>17</v>
      </c>
      <c r="AX61" s="390"/>
      <c r="AZ61" s="182" t="e">
        <f t="shared" si="18"/>
        <v>#N/A</v>
      </c>
      <c r="BA61" s="390"/>
    </row>
    <row r="62" spans="2:53">
      <c r="B62" s="395"/>
      <c r="C62" s="182">
        <v>21</v>
      </c>
      <c r="D62" s="203" t="s">
        <v>613</v>
      </c>
      <c r="E62" s="166">
        <v>18</v>
      </c>
      <c r="F62" s="182">
        <v>1636</v>
      </c>
      <c r="G62" s="180">
        <v>90.9</v>
      </c>
      <c r="H62" s="402"/>
      <c r="I62" s="166">
        <f t="shared" si="19"/>
        <v>18</v>
      </c>
      <c r="J62" s="166">
        <f t="shared" si="20"/>
        <v>1428.5497737556561</v>
      </c>
      <c r="K62" s="180">
        <f t="shared" si="21"/>
        <v>79.363876319758674</v>
      </c>
      <c r="L62" s="402"/>
      <c r="M62" s="166">
        <f>RANK(K62, K$42:$K$71)</f>
        <v>13</v>
      </c>
      <c r="N62" s="389"/>
      <c r="O62" s="389"/>
      <c r="P62" s="166">
        <v>18</v>
      </c>
      <c r="Q62" s="166">
        <v>1453.8461538461538</v>
      </c>
      <c r="R62" s="166">
        <v>80.769230769230774</v>
      </c>
      <c r="S62" s="182">
        <f t="shared" si="11"/>
        <v>11</v>
      </c>
      <c r="T62" s="390"/>
      <c r="U62" s="166">
        <v>18</v>
      </c>
      <c r="V62" s="166">
        <v>1429.4117647058822</v>
      </c>
      <c r="W62" s="166">
        <v>79.411764705882348</v>
      </c>
      <c r="X62" s="182">
        <f t="shared" si="12"/>
        <v>11</v>
      </c>
      <c r="Y62" s="390"/>
      <c r="Z62" s="166">
        <v>18</v>
      </c>
      <c r="AA62" s="166">
        <v>1410.3529411764703</v>
      </c>
      <c r="AB62" s="166">
        <v>78.352941176470566</v>
      </c>
      <c r="AC62" s="182">
        <f t="shared" si="13"/>
        <v>13</v>
      </c>
      <c r="AD62" s="390"/>
      <c r="AE62" s="166">
        <v>18</v>
      </c>
      <c r="AF62" s="166">
        <v>1420.5882352941176</v>
      </c>
      <c r="AG62" s="166">
        <v>78.921568627450981</v>
      </c>
      <c r="AH62" s="182">
        <f t="shared" si="14"/>
        <v>12</v>
      </c>
      <c r="AI62" s="390"/>
      <c r="AJ62" s="166" t="s">
        <v>634</v>
      </c>
      <c r="AK62" s="166" t="s">
        <v>634</v>
      </c>
      <c r="AL62" s="166" t="s">
        <v>634</v>
      </c>
      <c r="AM62" s="182" t="e">
        <f t="shared" si="15"/>
        <v>#VALUE!</v>
      </c>
      <c r="AN62" s="390"/>
      <c r="AO62" s="166" t="s">
        <v>634</v>
      </c>
      <c r="AP62" s="166" t="s">
        <v>634</v>
      </c>
      <c r="AQ62" s="166" t="s">
        <v>634</v>
      </c>
      <c r="AR62" s="182" t="e">
        <f t="shared" si="16"/>
        <v>#VALUE!</v>
      </c>
      <c r="AS62" s="390"/>
      <c r="AT62" s="166" t="s">
        <v>634</v>
      </c>
      <c r="AU62" s="166" t="s">
        <v>634</v>
      </c>
      <c r="AV62" s="166" t="s">
        <v>634</v>
      </c>
      <c r="AW62" s="182" t="e">
        <f t="shared" si="17"/>
        <v>#VALUE!</v>
      </c>
      <c r="AX62" s="390"/>
      <c r="AZ62" s="182" t="e">
        <f t="shared" si="18"/>
        <v>#N/A</v>
      </c>
      <c r="BA62" s="390"/>
    </row>
    <row r="63" spans="2:53">
      <c r="B63" s="395"/>
      <c r="C63" s="182">
        <v>22</v>
      </c>
      <c r="D63" s="203" t="s">
        <v>533</v>
      </c>
      <c r="E63" s="166">
        <v>20</v>
      </c>
      <c r="F63" s="182">
        <v>1500</v>
      </c>
      <c r="G63" s="180">
        <v>75</v>
      </c>
      <c r="H63" s="402"/>
      <c r="I63" s="166">
        <f t="shared" si="19"/>
        <v>20</v>
      </c>
      <c r="J63" s="166">
        <f t="shared" si="20"/>
        <v>1252.2930462802967</v>
      </c>
      <c r="K63" s="180">
        <f t="shared" si="21"/>
        <v>62.61465231401484</v>
      </c>
      <c r="L63" s="402"/>
      <c r="M63" s="166">
        <f>RANK(K63, K$42:$K$71)</f>
        <v>25</v>
      </c>
      <c r="N63" s="389"/>
      <c r="O63" s="389"/>
      <c r="P63" s="166">
        <v>20</v>
      </c>
      <c r="Q63" s="166">
        <v>1260.0000000000002</v>
      </c>
      <c r="R63" s="166">
        <v>63.000000000000014</v>
      </c>
      <c r="S63" s="182">
        <f t="shared" si="11"/>
        <v>25</v>
      </c>
      <c r="T63" s="390"/>
      <c r="U63" s="166">
        <v>20</v>
      </c>
      <c r="V63" s="166">
        <v>1251.4285714285711</v>
      </c>
      <c r="W63" s="166">
        <v>62.571428571428555</v>
      </c>
      <c r="X63" s="182">
        <f t="shared" si="12"/>
        <v>25</v>
      </c>
      <c r="Y63" s="390"/>
      <c r="Z63" s="166">
        <v>20</v>
      </c>
      <c r="AA63" s="166">
        <v>1239.4736842105253</v>
      </c>
      <c r="AB63" s="166">
        <v>61.973684210526265</v>
      </c>
      <c r="AC63" s="182">
        <f t="shared" si="13"/>
        <v>26</v>
      </c>
      <c r="AD63" s="390"/>
      <c r="AE63" s="166">
        <v>20</v>
      </c>
      <c r="AF63" s="166">
        <v>1268.9999999999995</v>
      </c>
      <c r="AG63" s="166">
        <v>63.449999999999974</v>
      </c>
      <c r="AH63" s="182">
        <f t="shared" si="14"/>
        <v>25</v>
      </c>
      <c r="AI63" s="390"/>
      <c r="AJ63" s="166">
        <v>20</v>
      </c>
      <c r="AK63" s="166">
        <v>1279.9999999999995</v>
      </c>
      <c r="AL63" s="166">
        <v>63.999999999999979</v>
      </c>
      <c r="AM63" s="182">
        <f t="shared" si="15"/>
        <v>24</v>
      </c>
      <c r="AN63" s="390"/>
      <c r="AO63" s="166">
        <v>20</v>
      </c>
      <c r="AP63" s="166">
        <v>1225.714285714286</v>
      </c>
      <c r="AQ63" s="166">
        <v>61.285714285714299</v>
      </c>
      <c r="AR63" s="182">
        <f t="shared" si="16"/>
        <v>23</v>
      </c>
      <c r="AS63" s="390"/>
      <c r="AT63" s="166">
        <v>20</v>
      </c>
      <c r="AU63" s="166">
        <v>1240.4347826086957</v>
      </c>
      <c r="AV63" s="166">
        <v>62.021739130434788</v>
      </c>
      <c r="AW63" s="182">
        <f t="shared" si="17"/>
        <v>22</v>
      </c>
      <c r="AX63" s="390"/>
      <c r="AZ63" s="182" t="e">
        <f t="shared" si="18"/>
        <v>#N/A</v>
      </c>
      <c r="BA63" s="390"/>
    </row>
    <row r="64" spans="2:53">
      <c r="B64" s="395"/>
      <c r="C64" s="182">
        <v>23</v>
      </c>
      <c r="D64" s="203" t="s">
        <v>610</v>
      </c>
      <c r="E64" s="166">
        <v>17</v>
      </c>
      <c r="F64" s="182">
        <v>1565</v>
      </c>
      <c r="G64" s="180">
        <v>92.1</v>
      </c>
      <c r="H64" s="402"/>
      <c r="I64" s="166">
        <f t="shared" si="19"/>
        <v>17.714285714285715</v>
      </c>
      <c r="J64" s="166">
        <f t="shared" si="20"/>
        <v>1390.9421284075652</v>
      </c>
      <c r="K64" s="180">
        <f t="shared" si="21"/>
        <v>78.574961636766943</v>
      </c>
      <c r="L64" s="402"/>
      <c r="M64" s="166">
        <f>RANK(K64, K$42:$K$71)</f>
        <v>15</v>
      </c>
      <c r="N64" s="389"/>
      <c r="O64" s="389"/>
      <c r="P64" s="166">
        <v>18</v>
      </c>
      <c r="Q64" s="166">
        <v>1426.1538461538453</v>
      </c>
      <c r="R64" s="166">
        <v>79.230769230769184</v>
      </c>
      <c r="S64" s="182">
        <f t="shared" si="11"/>
        <v>14</v>
      </c>
      <c r="T64" s="390"/>
      <c r="U64" s="166">
        <v>18</v>
      </c>
      <c r="V64" s="166">
        <v>1416.6666666666656</v>
      </c>
      <c r="W64" s="166">
        <v>78.703703703703638</v>
      </c>
      <c r="X64" s="182">
        <f t="shared" si="12"/>
        <v>12</v>
      </c>
      <c r="Y64" s="390"/>
      <c r="Z64" s="166">
        <v>18</v>
      </c>
      <c r="AA64" s="166">
        <v>1372.258064516127</v>
      </c>
      <c r="AB64" s="166">
        <v>76.236559139784831</v>
      </c>
      <c r="AC64" s="182">
        <f t="shared" si="13"/>
        <v>15</v>
      </c>
      <c r="AD64" s="390"/>
      <c r="AE64" s="166">
        <v>17</v>
      </c>
      <c r="AF64" s="166">
        <v>1385.4545454545437</v>
      </c>
      <c r="AG64" s="166">
        <v>81.497326203208445</v>
      </c>
      <c r="AH64" s="182">
        <f t="shared" si="14"/>
        <v>9</v>
      </c>
      <c r="AI64" s="390"/>
      <c r="AJ64" s="166">
        <v>18</v>
      </c>
      <c r="AK64" s="166">
        <v>1358.9189189189178</v>
      </c>
      <c r="AL64" s="166">
        <v>75.495495495495433</v>
      </c>
      <c r="AM64" s="182">
        <f t="shared" si="15"/>
        <v>14</v>
      </c>
      <c r="AN64" s="390"/>
      <c r="AO64" s="166">
        <v>18</v>
      </c>
      <c r="AP64" s="166">
        <v>1377.1428571428567</v>
      </c>
      <c r="AQ64" s="166">
        <v>76.507936507936478</v>
      </c>
      <c r="AR64" s="182">
        <f t="shared" si="16"/>
        <v>13</v>
      </c>
      <c r="AS64" s="390"/>
      <c r="AT64" s="166">
        <v>17</v>
      </c>
      <c r="AU64" s="166">
        <v>1399.9999999999995</v>
      </c>
      <c r="AV64" s="166">
        <v>82.352941176470566</v>
      </c>
      <c r="AW64" s="182">
        <f t="shared" si="17"/>
        <v>7</v>
      </c>
      <c r="AX64" s="390"/>
      <c r="AZ64" s="182" t="e">
        <f t="shared" si="18"/>
        <v>#N/A</v>
      </c>
      <c r="BA64" s="390"/>
    </row>
    <row r="65" spans="2:53">
      <c r="B65" s="395"/>
      <c r="C65" s="182">
        <v>24</v>
      </c>
      <c r="D65" s="203" t="s">
        <v>611</v>
      </c>
      <c r="E65" s="166">
        <v>15</v>
      </c>
      <c r="F65" s="182">
        <v>1440</v>
      </c>
      <c r="G65" s="180">
        <v>96</v>
      </c>
      <c r="H65" s="402"/>
      <c r="I65" s="166">
        <f t="shared" si="19"/>
        <v>15</v>
      </c>
      <c r="J65" s="166">
        <f t="shared" si="20"/>
        <v>1287.8877522886744</v>
      </c>
      <c r="K65" s="180">
        <f t="shared" si="21"/>
        <v>85.859183485911643</v>
      </c>
      <c r="L65" s="402"/>
      <c r="M65" s="166">
        <f>RANK(K65, K$42:$K$71)</f>
        <v>4</v>
      </c>
      <c r="N65" s="389"/>
      <c r="O65" s="389"/>
      <c r="P65" s="182">
        <v>15</v>
      </c>
      <c r="Q65" s="166">
        <v>1360.7142857142828</v>
      </c>
      <c r="R65" s="166">
        <v>90.714285714285523</v>
      </c>
      <c r="S65" s="182">
        <f t="shared" si="11"/>
        <v>3</v>
      </c>
      <c r="T65" s="390"/>
      <c r="U65" s="182">
        <v>15</v>
      </c>
      <c r="V65" s="166">
        <v>1143.8709677419338</v>
      </c>
      <c r="W65" s="166">
        <v>76.258064516128925</v>
      </c>
      <c r="X65" s="182">
        <f t="shared" si="12"/>
        <v>15</v>
      </c>
      <c r="Y65" s="390"/>
      <c r="Z65" s="182">
        <v>15</v>
      </c>
      <c r="AA65" s="166">
        <v>1248.4615384615429</v>
      </c>
      <c r="AB65" s="166">
        <v>83.230769230769525</v>
      </c>
      <c r="AC65" s="182">
        <f t="shared" si="13"/>
        <v>5</v>
      </c>
      <c r="AD65" s="390"/>
      <c r="AE65" s="182">
        <v>15</v>
      </c>
      <c r="AF65" s="166">
        <v>1311.1111111111234</v>
      </c>
      <c r="AG65" s="166">
        <v>87.407407407408229</v>
      </c>
      <c r="AH65" s="182">
        <f t="shared" si="14"/>
        <v>4</v>
      </c>
      <c r="AI65" s="390"/>
      <c r="AJ65" s="182">
        <v>15</v>
      </c>
      <c r="AK65" s="166">
        <v>1287.6923076923044</v>
      </c>
      <c r="AL65" s="166">
        <v>85.846153846153626</v>
      </c>
      <c r="AM65" s="182">
        <f t="shared" si="15"/>
        <v>6</v>
      </c>
      <c r="AN65" s="390"/>
      <c r="AO65" s="182">
        <v>15</v>
      </c>
      <c r="AP65" s="166">
        <v>1321.9354838709655</v>
      </c>
      <c r="AQ65" s="166">
        <v>88.12903225806437</v>
      </c>
      <c r="AR65" s="182">
        <f t="shared" si="16"/>
        <v>5</v>
      </c>
      <c r="AS65" s="390"/>
      <c r="AT65" s="182">
        <v>15</v>
      </c>
      <c r="AU65" s="166">
        <v>1341.4285714285684</v>
      </c>
      <c r="AV65" s="166">
        <v>89.428571428571232</v>
      </c>
      <c r="AW65" s="182">
        <f t="shared" si="17"/>
        <v>3</v>
      </c>
      <c r="AX65" s="390"/>
      <c r="AZ65" s="182" t="e">
        <f t="shared" si="18"/>
        <v>#N/A</v>
      </c>
      <c r="BA65" s="390"/>
    </row>
    <row r="66" spans="2:53">
      <c r="B66" s="395"/>
      <c r="C66" s="182">
        <v>25</v>
      </c>
      <c r="D66" s="203" t="s">
        <v>579</v>
      </c>
      <c r="E66" s="166">
        <v>21</v>
      </c>
      <c r="F66" s="182">
        <v>1500</v>
      </c>
      <c r="G66" s="180">
        <v>71.400000000000006</v>
      </c>
      <c r="H66" s="402"/>
      <c r="I66" s="166">
        <f t="shared" si="19"/>
        <v>21</v>
      </c>
      <c r="J66" s="166">
        <f t="shared" si="20"/>
        <v>1296.6660127098257</v>
      </c>
      <c r="K66" s="180">
        <f t="shared" si="21"/>
        <v>61.746000605229789</v>
      </c>
      <c r="L66" s="402"/>
      <c r="M66" s="166">
        <f>RANK(K66, K$42:$K$71)</f>
        <v>26</v>
      </c>
      <c r="N66" s="389"/>
      <c r="O66" s="389"/>
      <c r="P66" s="182">
        <v>21</v>
      </c>
      <c r="Q66" s="166">
        <v>1318.6363636363635</v>
      </c>
      <c r="R66" s="166">
        <v>62.792207792207783</v>
      </c>
      <c r="S66" s="182">
        <f t="shared" si="11"/>
        <v>26</v>
      </c>
      <c r="T66" s="390"/>
      <c r="U66" s="182">
        <v>21</v>
      </c>
      <c r="V66" s="166">
        <v>1300.9756097560971</v>
      </c>
      <c r="W66" s="166">
        <v>61.951219512195102</v>
      </c>
      <c r="X66" s="182">
        <f t="shared" si="12"/>
        <v>26</v>
      </c>
      <c r="Y66" s="390"/>
      <c r="Z66" s="182">
        <v>21</v>
      </c>
      <c r="AA66" s="166">
        <v>1310.2702702702693</v>
      </c>
      <c r="AB66" s="166">
        <v>62.393822393822347</v>
      </c>
      <c r="AC66" s="182">
        <f t="shared" si="13"/>
        <v>25</v>
      </c>
      <c r="AD66" s="390"/>
      <c r="AE66" s="182">
        <v>21</v>
      </c>
      <c r="AF66" s="166">
        <v>1293.3333333333323</v>
      </c>
      <c r="AG66" s="166">
        <v>61.587301587301539</v>
      </c>
      <c r="AH66" s="182">
        <f t="shared" si="14"/>
        <v>26</v>
      </c>
      <c r="AI66" s="390"/>
      <c r="AJ66" s="182">
        <v>21</v>
      </c>
      <c r="AK66" s="166">
        <v>1303.9024390243897</v>
      </c>
      <c r="AL66" s="166">
        <v>62.090592334494744</v>
      </c>
      <c r="AM66" s="182">
        <f t="shared" si="15"/>
        <v>25</v>
      </c>
      <c r="AN66" s="390"/>
      <c r="AO66" s="182">
        <v>21</v>
      </c>
      <c r="AP66" s="166">
        <v>1285.7142857142851</v>
      </c>
      <c r="AQ66" s="166">
        <v>61.224489795918338</v>
      </c>
      <c r="AR66" s="182">
        <f t="shared" si="16"/>
        <v>24</v>
      </c>
      <c r="AS66" s="390"/>
      <c r="AT66" s="182">
        <v>21</v>
      </c>
      <c r="AU66" s="166">
        <v>1263.8297872340427</v>
      </c>
      <c r="AV66" s="166">
        <v>60.182370820668702</v>
      </c>
      <c r="AW66" s="182">
        <f t="shared" si="17"/>
        <v>23</v>
      </c>
      <c r="AX66" s="390"/>
      <c r="AZ66" s="182" t="e">
        <f t="shared" si="18"/>
        <v>#N/A</v>
      </c>
      <c r="BA66" s="390"/>
    </row>
    <row r="67" spans="2:53">
      <c r="B67" s="395"/>
      <c r="C67" s="182">
        <v>26</v>
      </c>
      <c r="D67" s="203" t="s">
        <v>612</v>
      </c>
      <c r="E67" s="166">
        <v>19</v>
      </c>
      <c r="F67" s="182">
        <v>1500</v>
      </c>
      <c r="G67" s="180">
        <v>78.900000000000006</v>
      </c>
      <c r="H67" s="402"/>
      <c r="I67" s="166">
        <f t="shared" si="19"/>
        <v>19</v>
      </c>
      <c r="J67" s="166">
        <f t="shared" si="20"/>
        <v>1254.7247498784179</v>
      </c>
      <c r="K67" s="180">
        <f t="shared" si="21"/>
        <v>66.038144730443051</v>
      </c>
      <c r="L67" s="402"/>
      <c r="M67" s="166">
        <f>RANK(K67, K$42:$K$71)</f>
        <v>24</v>
      </c>
      <c r="N67" s="389"/>
      <c r="O67" s="389"/>
      <c r="P67" s="182">
        <v>19</v>
      </c>
      <c r="Q67" s="166">
        <v>1266.176470588237</v>
      </c>
      <c r="R67" s="166">
        <v>66.640866873065107</v>
      </c>
      <c r="S67" s="182">
        <f t="shared" si="11"/>
        <v>24</v>
      </c>
      <c r="T67" s="390"/>
      <c r="U67" s="182">
        <v>19</v>
      </c>
      <c r="V67" s="166">
        <v>1265.1724137931044</v>
      </c>
      <c r="W67" s="166">
        <v>66.588021778584448</v>
      </c>
      <c r="X67" s="182">
        <f t="shared" si="12"/>
        <v>24</v>
      </c>
      <c r="Y67" s="390"/>
      <c r="Z67" s="182">
        <v>19</v>
      </c>
      <c r="AA67" s="166">
        <v>1224.4444444444453</v>
      </c>
      <c r="AB67" s="166">
        <v>64.444444444444485</v>
      </c>
      <c r="AC67" s="182">
        <f t="shared" si="13"/>
        <v>24</v>
      </c>
      <c r="AD67" s="390"/>
      <c r="AE67" s="182">
        <v>19</v>
      </c>
      <c r="AF67" s="166">
        <v>1273.5849056603779</v>
      </c>
      <c r="AG67" s="166">
        <v>67.030784508440945</v>
      </c>
      <c r="AH67" s="182">
        <f t="shared" si="14"/>
        <v>24</v>
      </c>
      <c r="AI67" s="390"/>
      <c r="AJ67" s="182">
        <v>19</v>
      </c>
      <c r="AK67" s="166">
        <v>1230.9677419354848</v>
      </c>
      <c r="AL67" s="166">
        <v>64.787775891341312</v>
      </c>
      <c r="AM67" s="182">
        <f t="shared" si="15"/>
        <v>23</v>
      </c>
      <c r="AN67" s="390"/>
      <c r="AO67" s="182">
        <v>19</v>
      </c>
      <c r="AP67" s="166">
        <v>1260.9090909090921</v>
      </c>
      <c r="AQ67" s="166">
        <v>66.363636363636431</v>
      </c>
      <c r="AR67" s="182">
        <f t="shared" si="16"/>
        <v>22</v>
      </c>
      <c r="AS67" s="390"/>
      <c r="AT67" s="182">
        <v>19</v>
      </c>
      <c r="AU67" s="166">
        <v>1261.8181818181831</v>
      </c>
      <c r="AV67" s="166">
        <v>66.411483253588585</v>
      </c>
      <c r="AW67" s="182">
        <f t="shared" si="17"/>
        <v>21</v>
      </c>
      <c r="AX67" s="390"/>
      <c r="AZ67" s="182" t="e">
        <f t="shared" si="18"/>
        <v>#N/A</v>
      </c>
      <c r="BA67" s="390"/>
    </row>
    <row r="68" spans="2:53">
      <c r="B68" s="395"/>
      <c r="C68" s="182">
        <v>27</v>
      </c>
      <c r="D68" s="203" t="s">
        <v>660</v>
      </c>
      <c r="E68" s="166">
        <v>20</v>
      </c>
      <c r="F68" s="182">
        <v>1300</v>
      </c>
      <c r="G68" s="180">
        <v>65</v>
      </c>
      <c r="H68" s="402"/>
      <c r="I68" s="166">
        <f t="shared" si="19"/>
        <v>20</v>
      </c>
      <c r="J68" s="166">
        <f t="shared" si="20"/>
        <v>1098.4714435111759</v>
      </c>
      <c r="K68" s="180">
        <f t="shared" si="21"/>
        <v>54.923572175558796</v>
      </c>
      <c r="L68" s="402"/>
      <c r="M68" s="166">
        <f>RANK(K68, K$42:$K$71)</f>
        <v>27</v>
      </c>
      <c r="N68" s="389"/>
      <c r="O68" s="389"/>
      <c r="P68" s="182">
        <v>20</v>
      </c>
      <c r="Q68" s="166">
        <v>1105.0632911392399</v>
      </c>
      <c r="R68" s="166">
        <v>55.253164556961998</v>
      </c>
      <c r="S68" s="182">
        <f t="shared" si="11"/>
        <v>27</v>
      </c>
      <c r="T68" s="390"/>
      <c r="U68" s="182">
        <v>20</v>
      </c>
      <c r="V68" s="166">
        <v>1118.518518518518</v>
      </c>
      <c r="W68" s="166">
        <v>55.925925925925903</v>
      </c>
      <c r="X68" s="182">
        <f t="shared" si="12"/>
        <v>27</v>
      </c>
      <c r="Y68" s="390"/>
      <c r="Z68" s="182">
        <v>20</v>
      </c>
      <c r="AA68" s="166">
        <v>1108.2758620689654</v>
      </c>
      <c r="AB68" s="166">
        <v>55.41379310344827</v>
      </c>
      <c r="AC68" s="182">
        <f t="shared" si="13"/>
        <v>27</v>
      </c>
      <c r="AD68" s="390"/>
      <c r="AE68" s="182">
        <v>20</v>
      </c>
      <c r="AF68" s="166">
        <v>1103.207547169812</v>
      </c>
      <c r="AG68" s="166">
        <v>55.160377358490599</v>
      </c>
      <c r="AH68" s="182">
        <f t="shared" si="14"/>
        <v>27</v>
      </c>
      <c r="AI68" s="390"/>
      <c r="AJ68" s="182">
        <v>20</v>
      </c>
      <c r="AK68" s="166">
        <v>1079.0769230769245</v>
      </c>
      <c r="AL68" s="166">
        <v>53.953846153846222</v>
      </c>
      <c r="AM68" s="182">
        <f t="shared" si="15"/>
        <v>26</v>
      </c>
      <c r="AN68" s="390"/>
      <c r="AO68" s="182">
        <v>20</v>
      </c>
      <c r="AP68" s="166">
        <v>1092.1276595744685</v>
      </c>
      <c r="AQ68" s="166">
        <v>54.606382978723424</v>
      </c>
      <c r="AR68" s="182">
        <f t="shared" si="16"/>
        <v>25</v>
      </c>
      <c r="AS68" s="390"/>
      <c r="AT68" s="182">
        <v>20</v>
      </c>
      <c r="AU68" s="166">
        <v>1083.0303030303032</v>
      </c>
      <c r="AV68" s="166">
        <v>54.151515151515163</v>
      </c>
      <c r="AW68" s="182">
        <f t="shared" si="17"/>
        <v>24</v>
      </c>
      <c r="AX68" s="390"/>
      <c r="AZ68" s="182" t="e">
        <f t="shared" si="18"/>
        <v>#N/A</v>
      </c>
      <c r="BA68" s="390"/>
    </row>
    <row r="69" spans="2:53">
      <c r="B69" s="395"/>
      <c r="C69" s="182">
        <v>28</v>
      </c>
      <c r="D69" s="203"/>
      <c r="E69" s="166"/>
      <c r="F69" s="182"/>
      <c r="G69" s="180"/>
      <c r="H69" s="402"/>
      <c r="I69" s="166" t="str">
        <f t="shared" si="19"/>
        <v>-</v>
      </c>
      <c r="J69" s="166" t="str">
        <f t="shared" si="20"/>
        <v>-</v>
      </c>
      <c r="K69" s="180" t="str">
        <f t="shared" si="21"/>
        <v>-</v>
      </c>
      <c r="L69" s="402"/>
      <c r="M69" s="166" t="e">
        <f>RANK(K69, K$42:$K$71)</f>
        <v>#VALUE!</v>
      </c>
      <c r="N69" s="389"/>
      <c r="O69" s="389"/>
      <c r="P69" s="182"/>
      <c r="Q69" s="180"/>
      <c r="R69" s="180"/>
      <c r="S69" s="182" t="e">
        <f t="shared" si="11"/>
        <v>#N/A</v>
      </c>
      <c r="T69" s="390"/>
      <c r="U69" s="182"/>
      <c r="V69" s="180"/>
      <c r="W69" s="180"/>
      <c r="X69" s="182" t="e">
        <f t="shared" si="12"/>
        <v>#N/A</v>
      </c>
      <c r="Y69" s="390"/>
      <c r="Z69" s="182" t="s">
        <v>634</v>
      </c>
      <c r="AA69" s="180" t="s">
        <v>634</v>
      </c>
      <c r="AB69" s="180" t="s">
        <v>634</v>
      </c>
      <c r="AC69" s="182" t="e">
        <f t="shared" si="13"/>
        <v>#VALUE!</v>
      </c>
      <c r="AD69" s="390"/>
      <c r="AE69" s="182"/>
      <c r="AF69" s="180"/>
      <c r="AG69" s="180"/>
      <c r="AH69" s="182" t="e">
        <f t="shared" si="14"/>
        <v>#N/A</v>
      </c>
      <c r="AI69" s="390"/>
      <c r="AJ69" s="182"/>
      <c r="AK69" s="180"/>
      <c r="AL69" s="180"/>
      <c r="AM69" s="182" t="e">
        <f t="shared" si="15"/>
        <v>#N/A</v>
      </c>
      <c r="AN69" s="390"/>
      <c r="AO69" s="182"/>
      <c r="AP69" s="180"/>
      <c r="AQ69" s="180"/>
      <c r="AR69" s="182" t="e">
        <f t="shared" si="16"/>
        <v>#N/A</v>
      </c>
      <c r="AS69" s="390"/>
      <c r="AT69" s="182"/>
      <c r="AU69" s="180"/>
      <c r="AV69" s="180"/>
      <c r="AW69" s="182" t="e">
        <f t="shared" si="17"/>
        <v>#N/A</v>
      </c>
      <c r="AX69" s="390"/>
      <c r="AZ69" s="182" t="e">
        <f t="shared" si="18"/>
        <v>#N/A</v>
      </c>
      <c r="BA69" s="390"/>
    </row>
    <row r="70" spans="2:53">
      <c r="B70" s="395"/>
      <c r="C70" s="182">
        <v>29</v>
      </c>
      <c r="D70" s="203"/>
      <c r="E70" s="166"/>
      <c r="F70" s="182"/>
      <c r="G70" s="180"/>
      <c r="H70" s="402"/>
      <c r="I70" s="166" t="str">
        <f t="shared" si="19"/>
        <v>-</v>
      </c>
      <c r="J70" s="166" t="str">
        <f t="shared" si="20"/>
        <v>-</v>
      </c>
      <c r="K70" s="180" t="str">
        <f t="shared" si="21"/>
        <v>-</v>
      </c>
      <c r="L70" s="402"/>
      <c r="M70" s="166" t="e">
        <f>RANK(K70, K$42:$K$71)</f>
        <v>#VALUE!</v>
      </c>
      <c r="N70" s="389"/>
      <c r="O70" s="389"/>
      <c r="P70" s="182"/>
      <c r="Q70" s="182"/>
      <c r="R70" s="182"/>
      <c r="S70" s="182" t="e">
        <f t="shared" si="11"/>
        <v>#N/A</v>
      </c>
      <c r="T70" s="390"/>
      <c r="U70" s="182"/>
      <c r="V70" s="182"/>
      <c r="W70" s="182"/>
      <c r="X70" s="182" t="e">
        <f t="shared" si="12"/>
        <v>#N/A</v>
      </c>
      <c r="Y70" s="390"/>
      <c r="Z70" s="182"/>
      <c r="AA70" s="182"/>
      <c r="AB70" s="182"/>
      <c r="AC70" s="182" t="e">
        <f t="shared" si="13"/>
        <v>#N/A</v>
      </c>
      <c r="AD70" s="390"/>
      <c r="AE70" s="182"/>
      <c r="AF70" s="182"/>
      <c r="AG70" s="182"/>
      <c r="AH70" s="182" t="e">
        <f t="shared" si="14"/>
        <v>#N/A</v>
      </c>
      <c r="AI70" s="390"/>
      <c r="AJ70" s="182"/>
      <c r="AK70" s="182"/>
      <c r="AL70" s="182"/>
      <c r="AM70" s="182" t="e">
        <f t="shared" si="15"/>
        <v>#N/A</v>
      </c>
      <c r="AN70" s="390"/>
      <c r="AO70" s="182"/>
      <c r="AP70" s="182"/>
      <c r="AQ70" s="182"/>
      <c r="AR70" s="182" t="e">
        <f t="shared" si="16"/>
        <v>#N/A</v>
      </c>
      <c r="AS70" s="390"/>
      <c r="AT70" s="182"/>
      <c r="AU70" s="182"/>
      <c r="AV70" s="182"/>
      <c r="AW70" s="182" t="e">
        <f t="shared" si="17"/>
        <v>#N/A</v>
      </c>
      <c r="AX70" s="390"/>
      <c r="AZ70" s="182" t="e">
        <f t="shared" si="18"/>
        <v>#N/A</v>
      </c>
      <c r="BA70" s="390"/>
    </row>
    <row r="71" spans="2:53">
      <c r="B71" s="395"/>
      <c r="C71" s="182">
        <v>30</v>
      </c>
      <c r="D71" s="203"/>
      <c r="E71" s="166"/>
      <c r="F71" s="182"/>
      <c r="G71" s="180"/>
      <c r="H71" s="403"/>
      <c r="I71" s="166" t="str">
        <f t="shared" si="19"/>
        <v>-</v>
      </c>
      <c r="J71" s="166" t="str">
        <f t="shared" si="20"/>
        <v>-</v>
      </c>
      <c r="K71" s="180" t="str">
        <f t="shared" si="21"/>
        <v>-</v>
      </c>
      <c r="L71" s="403"/>
      <c r="M71" s="166" t="e">
        <f>RANK(K71, K$42:$K$71)</f>
        <v>#VALUE!</v>
      </c>
      <c r="N71" s="389"/>
      <c r="O71" s="389"/>
      <c r="P71" s="182"/>
      <c r="Q71" s="182"/>
      <c r="R71" s="182"/>
      <c r="S71" s="182" t="e">
        <f t="shared" si="11"/>
        <v>#N/A</v>
      </c>
      <c r="T71" s="390"/>
      <c r="U71" s="182"/>
      <c r="V71" s="182"/>
      <c r="W71" s="182"/>
      <c r="X71" s="182" t="e">
        <f t="shared" si="12"/>
        <v>#N/A</v>
      </c>
      <c r="Y71" s="390"/>
      <c r="Z71" s="182"/>
      <c r="AA71" s="182"/>
      <c r="AB71" s="182"/>
      <c r="AC71" s="182" t="e">
        <f t="shared" si="13"/>
        <v>#N/A</v>
      </c>
      <c r="AD71" s="390"/>
      <c r="AE71" s="182"/>
      <c r="AF71" s="182"/>
      <c r="AG71" s="182"/>
      <c r="AH71" s="182" t="e">
        <f t="shared" si="14"/>
        <v>#N/A</v>
      </c>
      <c r="AI71" s="390"/>
      <c r="AJ71" s="182"/>
      <c r="AK71" s="182"/>
      <c r="AL71" s="182"/>
      <c r="AM71" s="182" t="e">
        <f t="shared" si="15"/>
        <v>#N/A</v>
      </c>
      <c r="AN71" s="390"/>
      <c r="AO71" s="182"/>
      <c r="AP71" s="182"/>
      <c r="AQ71" s="182"/>
      <c r="AR71" s="182" t="e">
        <f t="shared" si="16"/>
        <v>#N/A</v>
      </c>
      <c r="AS71" s="390"/>
      <c r="AT71" s="182"/>
      <c r="AU71" s="182"/>
      <c r="AV71" s="182"/>
      <c r="AW71" s="182" t="e">
        <f t="shared" si="17"/>
        <v>#N/A</v>
      </c>
      <c r="AX71" s="390"/>
      <c r="AZ71" s="182" t="e">
        <f t="shared" si="18"/>
        <v>#N/A</v>
      </c>
      <c r="BA71" s="390"/>
    </row>
    <row r="72" spans="2:53" ht="15.75">
      <c r="B72" s="424" t="s">
        <v>163</v>
      </c>
      <c r="C72" s="425"/>
      <c r="D72" s="425"/>
      <c r="E72" s="425"/>
      <c r="F72" s="425"/>
      <c r="G72" s="425"/>
      <c r="H72" s="425"/>
      <c r="I72" s="186"/>
      <c r="J72" s="183"/>
      <c r="K72" s="186"/>
      <c r="L72" s="186"/>
      <c r="M72" s="178"/>
      <c r="N72" s="391" t="s">
        <v>156</v>
      </c>
      <c r="O72" s="391" t="s">
        <v>105</v>
      </c>
      <c r="P72" s="410">
        <f>P37+7</f>
        <v>46154</v>
      </c>
      <c r="Q72" s="411"/>
      <c r="R72" s="411"/>
      <c r="S72" s="411"/>
      <c r="T72" s="412"/>
      <c r="U72" s="410">
        <f>P72+1</f>
        <v>46155</v>
      </c>
      <c r="V72" s="411"/>
      <c r="W72" s="411"/>
      <c r="X72" s="411"/>
      <c r="Y72" s="412"/>
      <c r="Z72" s="410">
        <f>U72+1</f>
        <v>46156</v>
      </c>
      <c r="AA72" s="411"/>
      <c r="AB72" s="411"/>
      <c r="AC72" s="411"/>
      <c r="AD72" s="412"/>
      <c r="AE72" s="410">
        <f>Z72+1</f>
        <v>46157</v>
      </c>
      <c r="AF72" s="411"/>
      <c r="AG72" s="411"/>
      <c r="AH72" s="411"/>
      <c r="AI72" s="412"/>
      <c r="AJ72" s="410">
        <f>AE72+1</f>
        <v>46158</v>
      </c>
      <c r="AK72" s="411"/>
      <c r="AL72" s="411"/>
      <c r="AM72" s="411"/>
      <c r="AN72" s="412"/>
      <c r="AO72" s="410">
        <f>AJ72+1</f>
        <v>46159</v>
      </c>
      <c r="AP72" s="411"/>
      <c r="AQ72" s="411"/>
      <c r="AR72" s="411"/>
      <c r="AS72" s="412"/>
      <c r="AT72" s="410">
        <f>AO72+1</f>
        <v>46160</v>
      </c>
      <c r="AU72" s="411"/>
      <c r="AV72" s="411"/>
      <c r="AW72" s="411"/>
      <c r="AX72" s="412"/>
    </row>
    <row r="73" spans="2:53" ht="15.75">
      <c r="B73" s="416"/>
      <c r="C73" s="416"/>
      <c r="D73" s="416"/>
      <c r="E73" s="416"/>
      <c r="F73" s="416"/>
      <c r="G73" s="416"/>
      <c r="H73" s="416"/>
      <c r="I73" s="184"/>
      <c r="J73" s="184"/>
      <c r="K73" s="184"/>
      <c r="L73" s="184"/>
      <c r="M73" s="179"/>
      <c r="N73" s="393"/>
      <c r="O73" s="393"/>
      <c r="P73" s="410" t="s">
        <v>318</v>
      </c>
      <c r="Q73" s="411"/>
      <c r="R73" s="411"/>
      <c r="S73" s="411"/>
      <c r="T73" s="412"/>
      <c r="U73" s="410" t="s">
        <v>319</v>
      </c>
      <c r="V73" s="411"/>
      <c r="W73" s="411"/>
      <c r="X73" s="411"/>
      <c r="Y73" s="412"/>
      <c r="Z73" s="410" t="s">
        <v>320</v>
      </c>
      <c r="AA73" s="411"/>
      <c r="AB73" s="411"/>
      <c r="AC73" s="411"/>
      <c r="AD73" s="412"/>
      <c r="AE73" s="410" t="s">
        <v>321</v>
      </c>
      <c r="AF73" s="411"/>
      <c r="AG73" s="411"/>
      <c r="AH73" s="411"/>
      <c r="AI73" s="412"/>
      <c r="AJ73" s="410" t="s">
        <v>322</v>
      </c>
      <c r="AK73" s="411"/>
      <c r="AL73" s="411"/>
      <c r="AM73" s="411"/>
      <c r="AN73" s="412"/>
      <c r="AO73" s="410" t="s">
        <v>323</v>
      </c>
      <c r="AP73" s="411"/>
      <c r="AQ73" s="411"/>
      <c r="AR73" s="411"/>
      <c r="AS73" s="412"/>
      <c r="AT73" s="410" t="s">
        <v>324</v>
      </c>
      <c r="AU73" s="411"/>
      <c r="AV73" s="411"/>
      <c r="AW73" s="411"/>
      <c r="AX73" s="412"/>
    </row>
    <row r="74" spans="2:53">
      <c r="B74" s="389" t="s">
        <v>419</v>
      </c>
      <c r="C74" s="389" t="s">
        <v>420</v>
      </c>
      <c r="D74" s="389"/>
      <c r="E74" s="389" t="s">
        <v>421</v>
      </c>
      <c r="F74" s="389"/>
      <c r="G74" s="389"/>
      <c r="H74" s="417" t="s">
        <v>422</v>
      </c>
      <c r="I74" s="389" t="s">
        <v>423</v>
      </c>
      <c r="J74" s="389"/>
      <c r="K74" s="389"/>
      <c r="L74" s="417" t="s">
        <v>422</v>
      </c>
      <c r="M74" s="391" t="s">
        <v>424</v>
      </c>
      <c r="N74" s="389"/>
      <c r="O74" s="389" t="s">
        <v>425</v>
      </c>
      <c r="P74" s="404" t="s">
        <v>426</v>
      </c>
      <c r="Q74" s="405"/>
      <c r="R74" s="405"/>
      <c r="S74" s="406"/>
      <c r="T74" s="389" t="s">
        <v>422</v>
      </c>
      <c r="U74" s="404" t="s">
        <v>426</v>
      </c>
      <c r="V74" s="405"/>
      <c r="W74" s="405"/>
      <c r="X74" s="406"/>
      <c r="Y74" s="389" t="s">
        <v>422</v>
      </c>
      <c r="Z74" s="404" t="s">
        <v>426</v>
      </c>
      <c r="AA74" s="405"/>
      <c r="AB74" s="405"/>
      <c r="AC74" s="406"/>
      <c r="AD74" s="389" t="s">
        <v>422</v>
      </c>
      <c r="AE74" s="404" t="s">
        <v>426</v>
      </c>
      <c r="AF74" s="405"/>
      <c r="AG74" s="405"/>
      <c r="AH74" s="406"/>
      <c r="AI74" s="389" t="s">
        <v>422</v>
      </c>
      <c r="AJ74" s="404" t="s">
        <v>426</v>
      </c>
      <c r="AK74" s="405"/>
      <c r="AL74" s="405"/>
      <c r="AM74" s="406"/>
      <c r="AN74" s="389" t="s">
        <v>422</v>
      </c>
      <c r="AO74" s="404" t="s">
        <v>426</v>
      </c>
      <c r="AP74" s="405"/>
      <c r="AQ74" s="405"/>
      <c r="AR74" s="406"/>
      <c r="AS74" s="389" t="s">
        <v>422</v>
      </c>
      <c r="AT74" s="404" t="s">
        <v>426</v>
      </c>
      <c r="AU74" s="405"/>
      <c r="AV74" s="405"/>
      <c r="AW74" s="406"/>
      <c r="AX74" s="389" t="s">
        <v>422</v>
      </c>
      <c r="BA74" s="389" t="s">
        <v>373</v>
      </c>
    </row>
    <row r="75" spans="2:53">
      <c r="B75" s="389"/>
      <c r="C75" s="389"/>
      <c r="D75" s="389"/>
      <c r="E75" s="389" t="s">
        <v>427</v>
      </c>
      <c r="F75" s="389"/>
      <c r="G75" s="389"/>
      <c r="H75" s="418"/>
      <c r="I75" s="389" t="s">
        <v>427</v>
      </c>
      <c r="J75" s="389"/>
      <c r="K75" s="389"/>
      <c r="L75" s="418"/>
      <c r="M75" s="392"/>
      <c r="N75" s="389"/>
      <c r="O75" s="389"/>
      <c r="P75" s="404" t="s">
        <v>428</v>
      </c>
      <c r="Q75" s="405"/>
      <c r="R75" s="405"/>
      <c r="S75" s="406"/>
      <c r="T75" s="389"/>
      <c r="U75" s="404" t="s">
        <v>428</v>
      </c>
      <c r="V75" s="405"/>
      <c r="W75" s="405"/>
      <c r="X75" s="406"/>
      <c r="Y75" s="389"/>
      <c r="Z75" s="404" t="s">
        <v>428</v>
      </c>
      <c r="AA75" s="405"/>
      <c r="AB75" s="405"/>
      <c r="AC75" s="406"/>
      <c r="AD75" s="389"/>
      <c r="AE75" s="404" t="s">
        <v>428</v>
      </c>
      <c r="AF75" s="405"/>
      <c r="AG75" s="405"/>
      <c r="AH75" s="406"/>
      <c r="AI75" s="389"/>
      <c r="AJ75" s="404" t="s">
        <v>428</v>
      </c>
      <c r="AK75" s="405"/>
      <c r="AL75" s="405"/>
      <c r="AM75" s="406"/>
      <c r="AN75" s="389"/>
      <c r="AO75" s="404" t="s">
        <v>428</v>
      </c>
      <c r="AP75" s="405"/>
      <c r="AQ75" s="405"/>
      <c r="AR75" s="406"/>
      <c r="AS75" s="389"/>
      <c r="AT75" s="404" t="s">
        <v>428</v>
      </c>
      <c r="AU75" s="405"/>
      <c r="AV75" s="405"/>
      <c r="AW75" s="406"/>
      <c r="AX75" s="389"/>
      <c r="BA75" s="389"/>
    </row>
    <row r="76" spans="2:53">
      <c r="B76" s="389"/>
      <c r="C76" s="389"/>
      <c r="D76" s="389"/>
      <c r="E76" s="258" t="s">
        <v>429</v>
      </c>
      <c r="F76" s="258" t="s">
        <v>430</v>
      </c>
      <c r="G76" s="258" t="s">
        <v>431</v>
      </c>
      <c r="H76" s="419"/>
      <c r="I76" s="258" t="s">
        <v>429</v>
      </c>
      <c r="J76" s="258" t="s">
        <v>430</v>
      </c>
      <c r="K76" s="258" t="s">
        <v>431</v>
      </c>
      <c r="L76" s="419"/>
      <c r="M76" s="393"/>
      <c r="N76" s="389"/>
      <c r="O76" s="389"/>
      <c r="P76" s="258" t="s">
        <v>429</v>
      </c>
      <c r="Q76" s="258" t="s">
        <v>430</v>
      </c>
      <c r="R76" s="258" t="s">
        <v>431</v>
      </c>
      <c r="S76" s="258" t="s">
        <v>424</v>
      </c>
      <c r="T76" s="389"/>
      <c r="U76" s="258" t="s">
        <v>429</v>
      </c>
      <c r="V76" s="258" t="s">
        <v>430</v>
      </c>
      <c r="W76" s="258" t="s">
        <v>431</v>
      </c>
      <c r="X76" s="258" t="s">
        <v>424</v>
      </c>
      <c r="Y76" s="389"/>
      <c r="Z76" s="258" t="s">
        <v>429</v>
      </c>
      <c r="AA76" s="258" t="s">
        <v>430</v>
      </c>
      <c r="AB76" s="258" t="s">
        <v>431</v>
      </c>
      <c r="AC76" s="258" t="s">
        <v>424</v>
      </c>
      <c r="AD76" s="389"/>
      <c r="AE76" s="258" t="s">
        <v>429</v>
      </c>
      <c r="AF76" s="258" t="s">
        <v>430</v>
      </c>
      <c r="AG76" s="258" t="s">
        <v>431</v>
      </c>
      <c r="AH76" s="258" t="s">
        <v>424</v>
      </c>
      <c r="AI76" s="389"/>
      <c r="AJ76" s="258" t="s">
        <v>429</v>
      </c>
      <c r="AK76" s="258" t="s">
        <v>430</v>
      </c>
      <c r="AL76" s="258" t="s">
        <v>431</v>
      </c>
      <c r="AM76" s="258" t="s">
        <v>424</v>
      </c>
      <c r="AN76" s="389"/>
      <c r="AO76" s="258" t="s">
        <v>429</v>
      </c>
      <c r="AP76" s="258" t="s">
        <v>430</v>
      </c>
      <c r="AQ76" s="258" t="s">
        <v>431</v>
      </c>
      <c r="AR76" s="258" t="s">
        <v>424</v>
      </c>
      <c r="AS76" s="389"/>
      <c r="AT76" s="258" t="s">
        <v>429</v>
      </c>
      <c r="AU76" s="258" t="s">
        <v>430</v>
      </c>
      <c r="AV76" s="258" t="s">
        <v>431</v>
      </c>
      <c r="AW76" s="258" t="s">
        <v>424</v>
      </c>
      <c r="AX76" s="389"/>
      <c r="AZ76" s="258" t="s">
        <v>374</v>
      </c>
      <c r="BA76" s="389"/>
    </row>
    <row r="77" spans="2:53">
      <c r="B77" s="389" t="s">
        <v>432</v>
      </c>
      <c r="C77" s="182">
        <v>1</v>
      </c>
      <c r="D77" s="203" t="s">
        <v>346</v>
      </c>
      <c r="E77" s="166">
        <v>6</v>
      </c>
      <c r="F77" s="182">
        <v>1500</v>
      </c>
      <c r="G77" s="180">
        <v>250</v>
      </c>
      <c r="H77" s="401">
        <f>AVERAGE(G77:G106)</f>
        <v>97.930769230769243</v>
      </c>
      <c r="I77" s="166">
        <f>IFERROR(AVERAGE(P77,U77,Z77,AE77,AJ77,AO77,AT77),"-")</f>
        <v>6</v>
      </c>
      <c r="J77" s="166">
        <f>IFERROR(AVERAGE(Q77,V77,AA77,AF77,AK77,AP77,AU77),"-")</f>
        <v>1426.7146642836155</v>
      </c>
      <c r="K77" s="180">
        <f>IFERROR(AVERAGE(R77,W77,AB77,AG77,AL77,AQ77,AV77),"-")</f>
        <v>237.78577738060264</v>
      </c>
      <c r="L77" s="401">
        <f>IFERROR(AVERAGE(K77:K106),"-")</f>
        <v>87.039387110840991</v>
      </c>
      <c r="M77" s="181">
        <f>RANK(K77, K$77:$K$106)</f>
        <v>2</v>
      </c>
      <c r="N77" s="389"/>
      <c r="O77" s="389"/>
      <c r="P77" s="182">
        <v>6</v>
      </c>
      <c r="Q77" s="166">
        <v>1430.5061224489796</v>
      </c>
      <c r="R77" s="166">
        <v>238.41768707482993</v>
      </c>
      <c r="S77" s="182">
        <f>RANK(R77, R$77:R$106)</f>
        <v>2</v>
      </c>
      <c r="T77" s="390">
        <f>AVERAGE(R77:R106)</f>
        <v>87.32402758296206</v>
      </c>
      <c r="U77" s="182">
        <v>6</v>
      </c>
      <c r="V77" s="166">
        <v>1423.125</v>
      </c>
      <c r="W77" s="166">
        <v>237.1875</v>
      </c>
      <c r="X77" s="182">
        <f>RANK(W77, W$77:W$106)</f>
        <v>2</v>
      </c>
      <c r="Y77" s="390">
        <f>AVERAGE(W77:W106)</f>
        <v>88.839312415533072</v>
      </c>
      <c r="Z77" s="182">
        <v>6</v>
      </c>
      <c r="AA77" s="166">
        <v>1406.0766233766235</v>
      </c>
      <c r="AB77" s="166">
        <v>234.34610389610393</v>
      </c>
      <c r="AC77" s="182">
        <f>RANK(AB77, AB$77:AB$106)</f>
        <v>2</v>
      </c>
      <c r="AD77" s="390">
        <f>AVERAGE(AB77:AB106)</f>
        <v>89.212374446960993</v>
      </c>
      <c r="AE77" s="182">
        <v>6</v>
      </c>
      <c r="AF77" s="166">
        <v>1423.8045454545456</v>
      </c>
      <c r="AG77" s="166">
        <v>237.30075757575761</v>
      </c>
      <c r="AH77" s="182">
        <f>RANK(AG77, AG$77:AG$106)</f>
        <v>2</v>
      </c>
      <c r="AI77" s="390">
        <f>AVERAGE(AG77:AG106)</f>
        <v>88.94320798350239</v>
      </c>
      <c r="AJ77" s="182">
        <v>6</v>
      </c>
      <c r="AK77" s="166">
        <v>1449.7155555555557</v>
      </c>
      <c r="AL77" s="166">
        <v>241.61925925925928</v>
      </c>
      <c r="AM77" s="182">
        <f>RANK(AL77, AL$77:AL$106)</f>
        <v>1</v>
      </c>
      <c r="AN77" s="390">
        <f>AVERAGE(AL77:AL106)</f>
        <v>89.798643556943006</v>
      </c>
      <c r="AO77" s="182">
        <v>6</v>
      </c>
      <c r="AP77" s="166">
        <v>1423.4645669291335</v>
      </c>
      <c r="AQ77" s="166">
        <v>237.24409448818892</v>
      </c>
      <c r="AR77" s="182">
        <f>RANK(AQ77, AQ$77:AQ$106)</f>
        <v>2</v>
      </c>
      <c r="AS77" s="390">
        <f>AVERAGE(AQ77:AQ106)</f>
        <v>89.795603900882057</v>
      </c>
      <c r="AT77" s="182">
        <v>6</v>
      </c>
      <c r="AU77" s="166">
        <v>1430.3102362204722</v>
      </c>
      <c r="AV77" s="166">
        <v>238.38503937007872</v>
      </c>
      <c r="AW77" s="182">
        <f>RANK(AV77, AV$77:AV$106)</f>
        <v>2</v>
      </c>
      <c r="AX77" s="390">
        <f>AVERAGE(AV77:AV106)</f>
        <v>88.994164152721154</v>
      </c>
      <c r="AZ77" s="182" t="e">
        <f>RANK(AY77, AY$77:AY$106)</f>
        <v>#N/A</v>
      </c>
      <c r="BA77" s="390" t="e">
        <f>AVERAGE(AY77:AY106)</f>
        <v>#DIV/0!</v>
      </c>
    </row>
    <row r="78" spans="2:53">
      <c r="B78" s="395"/>
      <c r="C78" s="182">
        <v>2</v>
      </c>
      <c r="D78" s="203" t="s">
        <v>635</v>
      </c>
      <c r="E78" s="166">
        <v>6</v>
      </c>
      <c r="F78" s="182">
        <v>1500</v>
      </c>
      <c r="G78" s="180">
        <v>250</v>
      </c>
      <c r="H78" s="402"/>
      <c r="I78" s="166">
        <f t="shared" ref="I78:I106" si="22">IFERROR(AVERAGE(P78,U78,Z78,AE78,AJ78,AO78,AT78),"-")</f>
        <v>6</v>
      </c>
      <c r="J78" s="166">
        <f t="shared" ref="J78:J106" si="23">IFERROR(AVERAGE(Q78,V78,AA78,AF78,AK78,AP78,AU78),"-")</f>
        <v>1444.9084789496478</v>
      </c>
      <c r="K78" s="180">
        <f t="shared" ref="K78:K106" si="24">IFERROR(AVERAGE(R78,W78,AB78,AG78,AL78,AQ78,AV78),"-")</f>
        <v>240.81807982494132</v>
      </c>
      <c r="L78" s="402"/>
      <c r="M78" s="181">
        <f>RANK(K78, K$77:$K$106)</f>
        <v>1</v>
      </c>
      <c r="N78" s="389"/>
      <c r="O78" s="389"/>
      <c r="P78" s="182">
        <v>6</v>
      </c>
      <c r="Q78" s="166">
        <v>1440.6741573033707</v>
      </c>
      <c r="R78" s="166">
        <v>240.11235955056179</v>
      </c>
      <c r="S78" s="182">
        <f t="shared" ref="S78:S106" si="25">RANK(R78, R$77:R$106)</f>
        <v>1</v>
      </c>
      <c r="T78" s="390"/>
      <c r="U78" s="182">
        <v>6</v>
      </c>
      <c r="V78" s="166">
        <v>1460</v>
      </c>
      <c r="W78" s="166">
        <v>243.33333333333334</v>
      </c>
      <c r="X78" s="182">
        <f t="shared" ref="X78:X106" si="26">RANK(W78, W$77:W$106)</f>
        <v>1</v>
      </c>
      <c r="Y78" s="390"/>
      <c r="Z78" s="182">
        <v>6</v>
      </c>
      <c r="AA78" s="166">
        <v>1465.1162790697672</v>
      </c>
      <c r="AB78" s="166">
        <v>244.18604651162786</v>
      </c>
      <c r="AC78" s="182">
        <f t="shared" ref="AC78:AC106" si="27">RANK(AB78, AB$77:AB$106)</f>
        <v>1</v>
      </c>
      <c r="AD78" s="390"/>
      <c r="AE78" s="182">
        <v>6</v>
      </c>
      <c r="AF78" s="166">
        <v>1427.5000000000002</v>
      </c>
      <c r="AG78" s="166">
        <v>237.91666666666671</v>
      </c>
      <c r="AH78" s="182">
        <f t="shared" ref="AH78:AH106" si="28">RANK(AG78, AG$77:AG$106)</f>
        <v>1</v>
      </c>
      <c r="AI78" s="390"/>
      <c r="AJ78" s="182">
        <v>6</v>
      </c>
      <c r="AK78" s="166">
        <v>1427.6712328767126</v>
      </c>
      <c r="AL78" s="166">
        <v>237.94520547945208</v>
      </c>
      <c r="AM78" s="182">
        <f t="shared" ref="AM78:AM106" si="29">RANK(AL78, AL$77:AL$106)</f>
        <v>2</v>
      </c>
      <c r="AN78" s="390"/>
      <c r="AO78" s="182">
        <v>6</v>
      </c>
      <c r="AP78" s="166">
        <v>1450.5405405405411</v>
      </c>
      <c r="AQ78" s="166">
        <v>241.75675675675686</v>
      </c>
      <c r="AR78" s="182">
        <f t="shared" ref="AR78:AR106" si="30">RANK(AQ78, AQ$77:AQ$106)</f>
        <v>1</v>
      </c>
      <c r="AS78" s="390"/>
      <c r="AT78" s="182">
        <v>6</v>
      </c>
      <c r="AU78" s="166">
        <v>1442.8571428571424</v>
      </c>
      <c r="AV78" s="166">
        <v>240.4761904761904</v>
      </c>
      <c r="AW78" s="182">
        <f t="shared" ref="AW78:AW106" si="31">RANK(AV78, AV$77:AV$106)</f>
        <v>1</v>
      </c>
      <c r="AX78" s="390"/>
      <c r="AZ78" s="182" t="e">
        <f t="shared" ref="AZ78:AZ106" si="32">RANK(AY78, AY$77:AY$106)</f>
        <v>#N/A</v>
      </c>
      <c r="BA78" s="390"/>
    </row>
    <row r="79" spans="2:53">
      <c r="B79" s="395"/>
      <c r="C79" s="182">
        <v>3</v>
      </c>
      <c r="D79" s="203" t="s">
        <v>619</v>
      </c>
      <c r="E79" s="166">
        <v>18</v>
      </c>
      <c r="F79" s="182">
        <v>1500</v>
      </c>
      <c r="G79" s="180">
        <v>83.3</v>
      </c>
      <c r="H79" s="402"/>
      <c r="I79" s="166">
        <f t="shared" si="22"/>
        <v>18</v>
      </c>
      <c r="J79" s="166">
        <f t="shared" si="23"/>
        <v>1324.8230641389271</v>
      </c>
      <c r="K79" s="180">
        <f t="shared" si="24"/>
        <v>73.601281341051504</v>
      </c>
      <c r="L79" s="402"/>
      <c r="M79" s="181">
        <f>RANK(K79, K$77:$K$106)</f>
        <v>15</v>
      </c>
      <c r="N79" s="389"/>
      <c r="O79" s="389"/>
      <c r="P79" s="182">
        <v>18</v>
      </c>
      <c r="Q79" s="166">
        <v>1350.6666666666677</v>
      </c>
      <c r="R79" s="166">
        <v>75.037037037037095</v>
      </c>
      <c r="S79" s="182">
        <f t="shared" si="25"/>
        <v>16</v>
      </c>
      <c r="T79" s="390"/>
      <c r="U79" s="182">
        <v>18</v>
      </c>
      <c r="V79" s="166">
        <v>1308.8888888888896</v>
      </c>
      <c r="W79" s="166">
        <v>72.716049382716093</v>
      </c>
      <c r="X79" s="182">
        <f t="shared" si="26"/>
        <v>15</v>
      </c>
      <c r="Y79" s="390"/>
      <c r="Z79" s="182">
        <v>18</v>
      </c>
      <c r="AA79" s="166">
        <v>1309.4400000000005</v>
      </c>
      <c r="AB79" s="166">
        <v>72.746666666666698</v>
      </c>
      <c r="AC79" s="182">
        <f t="shared" si="27"/>
        <v>14</v>
      </c>
      <c r="AD79" s="390"/>
      <c r="AE79" s="182">
        <v>18</v>
      </c>
      <c r="AF79" s="166">
        <v>1340.7272727272727</v>
      </c>
      <c r="AG79" s="166">
        <v>74.484848484848484</v>
      </c>
      <c r="AH79" s="182">
        <f t="shared" si="28"/>
        <v>14</v>
      </c>
      <c r="AI79" s="390"/>
      <c r="AJ79" s="182">
        <v>18</v>
      </c>
      <c r="AK79" s="166">
        <v>1298.8800000000003</v>
      </c>
      <c r="AL79" s="166">
        <v>72.160000000000025</v>
      </c>
      <c r="AM79" s="182">
        <f t="shared" si="29"/>
        <v>15</v>
      </c>
      <c r="AN79" s="390"/>
      <c r="AO79" s="182">
        <v>18</v>
      </c>
      <c r="AP79" s="166">
        <v>1318.7586206896565</v>
      </c>
      <c r="AQ79" s="166">
        <v>73.264367816092033</v>
      </c>
      <c r="AR79" s="182">
        <f t="shared" si="30"/>
        <v>14</v>
      </c>
      <c r="AS79" s="390"/>
      <c r="AT79" s="182">
        <v>18</v>
      </c>
      <c r="AU79" s="166">
        <v>1346.4000000000015</v>
      </c>
      <c r="AV79" s="166">
        <v>74.800000000000082</v>
      </c>
      <c r="AW79" s="182">
        <f t="shared" si="31"/>
        <v>13</v>
      </c>
      <c r="AX79" s="390"/>
      <c r="AZ79" s="182" t="e">
        <f t="shared" si="32"/>
        <v>#N/A</v>
      </c>
      <c r="BA79" s="390"/>
    </row>
    <row r="80" spans="2:53">
      <c r="B80" s="395"/>
      <c r="C80" s="182">
        <v>4</v>
      </c>
      <c r="D80" s="203" t="s">
        <v>578</v>
      </c>
      <c r="E80" s="166">
        <v>18</v>
      </c>
      <c r="F80" s="182">
        <v>1500</v>
      </c>
      <c r="G80" s="180">
        <v>83.3</v>
      </c>
      <c r="H80" s="402"/>
      <c r="I80" s="166">
        <f t="shared" si="22"/>
        <v>18</v>
      </c>
      <c r="J80" s="166">
        <f t="shared" si="23"/>
        <v>1265.8380012987161</v>
      </c>
      <c r="K80" s="180">
        <f t="shared" si="24"/>
        <v>70.324333405484239</v>
      </c>
      <c r="L80" s="402"/>
      <c r="M80" s="181">
        <f>RANK(K80, K$77:$K$106)</f>
        <v>19</v>
      </c>
      <c r="N80" s="389"/>
      <c r="O80" s="389"/>
      <c r="P80" s="182">
        <v>18</v>
      </c>
      <c r="Q80" s="166">
        <v>1265.2173913043478</v>
      </c>
      <c r="R80" s="166">
        <v>70.289855072463766</v>
      </c>
      <c r="S80" s="182">
        <f t="shared" si="25"/>
        <v>20</v>
      </c>
      <c r="T80" s="390"/>
      <c r="U80" s="182">
        <v>18</v>
      </c>
      <c r="V80" s="166">
        <v>1279.4999999999995</v>
      </c>
      <c r="W80" s="166">
        <v>71.083333333333314</v>
      </c>
      <c r="X80" s="182">
        <f t="shared" si="26"/>
        <v>16</v>
      </c>
      <c r="Y80" s="390"/>
      <c r="Z80" s="182">
        <v>18</v>
      </c>
      <c r="AA80" s="166">
        <v>1271.9999999999995</v>
      </c>
      <c r="AB80" s="166">
        <v>70.666666666666643</v>
      </c>
      <c r="AC80" s="182">
        <f t="shared" si="27"/>
        <v>16</v>
      </c>
      <c r="AD80" s="390"/>
      <c r="AE80" s="182">
        <v>18</v>
      </c>
      <c r="AF80" s="166">
        <v>1253.6842105263147</v>
      </c>
      <c r="AG80" s="166">
        <v>69.649122807017477</v>
      </c>
      <c r="AH80" s="182">
        <f t="shared" si="28"/>
        <v>15</v>
      </c>
      <c r="AI80" s="390"/>
      <c r="AJ80" s="182">
        <v>18</v>
      </c>
      <c r="AK80" s="166">
        <v>1255.6097560975604</v>
      </c>
      <c r="AL80" s="166">
        <v>69.756097560975576</v>
      </c>
      <c r="AM80" s="182">
        <f t="shared" si="29"/>
        <v>17</v>
      </c>
      <c r="AN80" s="390"/>
      <c r="AO80" s="182">
        <v>18</v>
      </c>
      <c r="AP80" s="166">
        <v>1258.6046511627906</v>
      </c>
      <c r="AQ80" s="166">
        <v>69.922480620155028</v>
      </c>
      <c r="AR80" s="182">
        <f t="shared" si="30"/>
        <v>17</v>
      </c>
      <c r="AS80" s="390"/>
      <c r="AT80" s="182">
        <v>18</v>
      </c>
      <c r="AU80" s="166">
        <v>1276.2500000000005</v>
      </c>
      <c r="AV80" s="166">
        <v>70.9027777777778</v>
      </c>
      <c r="AW80" s="182">
        <f t="shared" si="31"/>
        <v>16</v>
      </c>
      <c r="AX80" s="390"/>
      <c r="AZ80" s="182" t="e">
        <f t="shared" si="32"/>
        <v>#N/A</v>
      </c>
      <c r="BA80" s="390"/>
    </row>
    <row r="81" spans="2:53">
      <c r="B81" s="395"/>
      <c r="C81" s="182">
        <v>5</v>
      </c>
      <c r="D81" s="203" t="s">
        <v>348</v>
      </c>
      <c r="E81" s="166">
        <v>16</v>
      </c>
      <c r="F81" s="182">
        <v>1565</v>
      </c>
      <c r="G81" s="180">
        <v>97.8</v>
      </c>
      <c r="H81" s="402"/>
      <c r="I81" s="166">
        <f t="shared" si="22"/>
        <v>16</v>
      </c>
      <c r="J81" s="166">
        <f t="shared" si="23"/>
        <v>1386.798410722937</v>
      </c>
      <c r="K81" s="180">
        <f t="shared" si="24"/>
        <v>86.674900670183561</v>
      </c>
      <c r="L81" s="402"/>
      <c r="M81" s="181">
        <f>RANK(K81, K$77:$K$106)</f>
        <v>5</v>
      </c>
      <c r="N81" s="389"/>
      <c r="O81" s="389"/>
      <c r="P81" s="182">
        <v>16</v>
      </c>
      <c r="Q81" s="166">
        <v>1393.1506849315058</v>
      </c>
      <c r="R81" s="166">
        <v>87.071917808219112</v>
      </c>
      <c r="S81" s="182">
        <f t="shared" si="25"/>
        <v>6</v>
      </c>
      <c r="T81" s="390"/>
      <c r="U81" s="182">
        <v>16</v>
      </c>
      <c r="V81" s="166">
        <v>1383.5294117647043</v>
      </c>
      <c r="W81" s="166">
        <v>86.470588235294016</v>
      </c>
      <c r="X81" s="182">
        <f t="shared" si="26"/>
        <v>6</v>
      </c>
      <c r="Y81" s="390"/>
      <c r="Z81" s="182">
        <v>16</v>
      </c>
      <c r="AA81" s="166">
        <v>1360.3125000000016</v>
      </c>
      <c r="AB81" s="166">
        <v>85.019531250000099</v>
      </c>
      <c r="AC81" s="182">
        <f t="shared" si="27"/>
        <v>6</v>
      </c>
      <c r="AD81" s="390"/>
      <c r="AE81" s="182">
        <v>16</v>
      </c>
      <c r="AF81" s="166">
        <v>1396.451612903227</v>
      </c>
      <c r="AG81" s="166">
        <v>87.278225806451687</v>
      </c>
      <c r="AH81" s="182">
        <f t="shared" si="28"/>
        <v>4</v>
      </c>
      <c r="AI81" s="390"/>
      <c r="AJ81" s="182">
        <v>16</v>
      </c>
      <c r="AK81" s="166">
        <v>1399.7142857142842</v>
      </c>
      <c r="AL81" s="166">
        <v>87.482142857142762</v>
      </c>
      <c r="AM81" s="182">
        <f t="shared" si="29"/>
        <v>4</v>
      </c>
      <c r="AN81" s="390"/>
      <c r="AO81" s="182">
        <v>16</v>
      </c>
      <c r="AP81" s="166">
        <v>1378.4810126582272</v>
      </c>
      <c r="AQ81" s="166">
        <v>86.1550632911392</v>
      </c>
      <c r="AR81" s="182">
        <f t="shared" si="30"/>
        <v>4</v>
      </c>
      <c r="AS81" s="390"/>
      <c r="AT81" s="182">
        <v>16</v>
      </c>
      <c r="AU81" s="166">
        <v>1395.949367088607</v>
      </c>
      <c r="AV81" s="166">
        <v>87.246835443037938</v>
      </c>
      <c r="AW81" s="182">
        <f t="shared" si="31"/>
        <v>5</v>
      </c>
      <c r="AX81" s="390"/>
      <c r="AZ81" s="182" t="e">
        <f t="shared" si="32"/>
        <v>#N/A</v>
      </c>
      <c r="BA81" s="390"/>
    </row>
    <row r="82" spans="2:53">
      <c r="B82" s="395"/>
      <c r="C82" s="182">
        <v>6</v>
      </c>
      <c r="D82" s="203" t="s">
        <v>327</v>
      </c>
      <c r="E82" s="166">
        <v>14</v>
      </c>
      <c r="F82" s="182">
        <v>1440</v>
      </c>
      <c r="G82" s="180">
        <v>102.9</v>
      </c>
      <c r="H82" s="402"/>
      <c r="I82" s="166">
        <f t="shared" si="22"/>
        <v>15</v>
      </c>
      <c r="J82" s="166">
        <f t="shared" si="23"/>
        <v>1380.0000000000016</v>
      </c>
      <c r="K82" s="180">
        <f t="shared" si="24"/>
        <v>92.000000000000099</v>
      </c>
      <c r="L82" s="402"/>
      <c r="M82" s="181">
        <f>RANK(K82, K$77:$K$106)</f>
        <v>3</v>
      </c>
      <c r="N82" s="389"/>
      <c r="O82" s="389"/>
      <c r="P82" s="182">
        <v>15</v>
      </c>
      <c r="Q82" s="166">
        <v>1319.9999999999982</v>
      </c>
      <c r="R82" s="166">
        <v>87.999999999999872</v>
      </c>
      <c r="S82" s="182">
        <f t="shared" si="25"/>
        <v>4</v>
      </c>
      <c r="T82" s="390"/>
      <c r="U82" s="182">
        <v>15</v>
      </c>
      <c r="V82" s="166">
        <v>1440.000000000005</v>
      </c>
      <c r="W82" s="166">
        <v>96.000000000000327</v>
      </c>
      <c r="X82" s="182">
        <f t="shared" si="26"/>
        <v>3</v>
      </c>
      <c r="Y82" s="390"/>
      <c r="Z82" s="182" t="s">
        <v>634</v>
      </c>
      <c r="AA82" s="166" t="s">
        <v>634</v>
      </c>
      <c r="AB82" s="166" t="s">
        <v>634</v>
      </c>
      <c r="AC82" s="182" t="e">
        <f t="shared" si="27"/>
        <v>#VALUE!</v>
      </c>
      <c r="AD82" s="390"/>
      <c r="AE82" s="182" t="s">
        <v>634</v>
      </c>
      <c r="AF82" s="166" t="s">
        <v>634</v>
      </c>
      <c r="AG82" s="166" t="s">
        <v>634</v>
      </c>
      <c r="AH82" s="182" t="e">
        <f t="shared" si="28"/>
        <v>#VALUE!</v>
      </c>
      <c r="AI82" s="390"/>
      <c r="AJ82" s="182" t="s">
        <v>634</v>
      </c>
      <c r="AK82" s="166" t="s">
        <v>634</v>
      </c>
      <c r="AL82" s="166" t="s">
        <v>634</v>
      </c>
      <c r="AM82" s="182" t="e">
        <f t="shared" si="29"/>
        <v>#VALUE!</v>
      </c>
      <c r="AN82" s="390"/>
      <c r="AO82" s="182" t="s">
        <v>634</v>
      </c>
      <c r="AP82" s="166" t="s">
        <v>634</v>
      </c>
      <c r="AQ82" s="166" t="s">
        <v>634</v>
      </c>
      <c r="AR82" s="182" t="e">
        <f t="shared" si="30"/>
        <v>#VALUE!</v>
      </c>
      <c r="AS82" s="390"/>
      <c r="AT82" s="182" t="s">
        <v>634</v>
      </c>
      <c r="AU82" s="166" t="s">
        <v>634</v>
      </c>
      <c r="AV82" s="166" t="s">
        <v>634</v>
      </c>
      <c r="AW82" s="182" t="e">
        <f t="shared" si="31"/>
        <v>#VALUE!</v>
      </c>
      <c r="AX82" s="390"/>
      <c r="AZ82" s="182" t="e">
        <f t="shared" si="32"/>
        <v>#N/A</v>
      </c>
      <c r="BA82" s="390"/>
    </row>
    <row r="83" spans="2:53">
      <c r="B83" s="395"/>
      <c r="C83" s="182">
        <v>7</v>
      </c>
      <c r="D83" s="203" t="s">
        <v>606</v>
      </c>
      <c r="E83" s="166">
        <v>16</v>
      </c>
      <c r="F83" s="182">
        <v>1440</v>
      </c>
      <c r="G83" s="180">
        <v>90</v>
      </c>
      <c r="H83" s="402"/>
      <c r="I83" s="166">
        <f t="shared" si="22"/>
        <v>16</v>
      </c>
      <c r="J83" s="166">
        <f t="shared" si="23"/>
        <v>1303.8776602917312</v>
      </c>
      <c r="K83" s="180">
        <f t="shared" si="24"/>
        <v>81.492353768233201</v>
      </c>
      <c r="L83" s="402"/>
      <c r="M83" s="181">
        <f>RANK(K83, K$77:$K$106)</f>
        <v>9</v>
      </c>
      <c r="N83" s="389"/>
      <c r="O83" s="389"/>
      <c r="P83" s="182">
        <v>16</v>
      </c>
      <c r="Q83" s="166">
        <v>1314.6666666666667</v>
      </c>
      <c r="R83" s="166">
        <v>82.166666666666671</v>
      </c>
      <c r="S83" s="182">
        <f t="shared" si="25"/>
        <v>8</v>
      </c>
      <c r="T83" s="390"/>
      <c r="U83" s="182">
        <v>16</v>
      </c>
      <c r="V83" s="166">
        <v>1309.9999999999945</v>
      </c>
      <c r="W83" s="166">
        <v>81.874999999999659</v>
      </c>
      <c r="X83" s="182">
        <f t="shared" si="26"/>
        <v>7</v>
      </c>
      <c r="Y83" s="390"/>
      <c r="Z83" s="182">
        <v>16</v>
      </c>
      <c r="AA83" s="166">
        <v>1376.3636363636413</v>
      </c>
      <c r="AB83" s="166">
        <v>86.022727272727579</v>
      </c>
      <c r="AC83" s="182">
        <f t="shared" si="27"/>
        <v>4</v>
      </c>
      <c r="AD83" s="390"/>
      <c r="AE83" s="182">
        <v>16</v>
      </c>
      <c r="AF83" s="166">
        <v>1277.3684210526305</v>
      </c>
      <c r="AG83" s="166">
        <v>79.835526315789409</v>
      </c>
      <c r="AH83" s="182">
        <f t="shared" si="28"/>
        <v>8</v>
      </c>
      <c r="AI83" s="390"/>
      <c r="AJ83" s="182">
        <v>16</v>
      </c>
      <c r="AK83" s="166">
        <v>1291.4999999999995</v>
      </c>
      <c r="AL83" s="166">
        <v>80.718749999999972</v>
      </c>
      <c r="AM83" s="182">
        <f t="shared" si="29"/>
        <v>8</v>
      </c>
      <c r="AN83" s="390"/>
      <c r="AO83" s="182">
        <v>16</v>
      </c>
      <c r="AP83" s="166">
        <v>1285.0000000000002</v>
      </c>
      <c r="AQ83" s="166">
        <v>80.312500000000014</v>
      </c>
      <c r="AR83" s="182">
        <f t="shared" si="30"/>
        <v>9</v>
      </c>
      <c r="AS83" s="390"/>
      <c r="AT83" s="182">
        <v>16</v>
      </c>
      <c r="AU83" s="166">
        <v>1272.2448979591841</v>
      </c>
      <c r="AV83" s="166">
        <v>79.515306122449005</v>
      </c>
      <c r="AW83" s="182">
        <f t="shared" si="31"/>
        <v>9</v>
      </c>
      <c r="AX83" s="390"/>
      <c r="AZ83" s="182" t="e">
        <f t="shared" si="32"/>
        <v>#N/A</v>
      </c>
      <c r="BA83" s="390"/>
    </row>
    <row r="84" spans="2:53">
      <c r="B84" s="395"/>
      <c r="C84" s="182">
        <v>8</v>
      </c>
      <c r="D84" s="203" t="s">
        <v>607</v>
      </c>
      <c r="E84" s="166">
        <v>18</v>
      </c>
      <c r="F84" s="182">
        <v>1636</v>
      </c>
      <c r="G84" s="180">
        <v>90.9</v>
      </c>
      <c r="H84" s="402"/>
      <c r="I84" s="166">
        <f t="shared" si="22"/>
        <v>17.714285714285715</v>
      </c>
      <c r="J84" s="166">
        <f t="shared" si="23"/>
        <v>1405.1845852307908</v>
      </c>
      <c r="K84" s="180">
        <f t="shared" si="24"/>
        <v>79.364538115062601</v>
      </c>
      <c r="L84" s="402"/>
      <c r="M84" s="181">
        <f>RANK(K84, K$77:$K$106)</f>
        <v>10</v>
      </c>
      <c r="N84" s="389"/>
      <c r="O84" s="389"/>
      <c r="P84" s="182">
        <v>18</v>
      </c>
      <c r="Q84" s="166">
        <v>1438.0645161290336</v>
      </c>
      <c r="R84" s="166">
        <v>79.892473118279639</v>
      </c>
      <c r="S84" s="182">
        <f t="shared" si="25"/>
        <v>9</v>
      </c>
      <c r="T84" s="390"/>
      <c r="U84" s="182">
        <v>18</v>
      </c>
      <c r="V84" s="166">
        <v>1387.1186440677977</v>
      </c>
      <c r="W84" s="166">
        <v>77.062146892655434</v>
      </c>
      <c r="X84" s="182">
        <f t="shared" si="26"/>
        <v>14</v>
      </c>
      <c r="Y84" s="390"/>
      <c r="Z84" s="182">
        <v>17</v>
      </c>
      <c r="AA84" s="166">
        <v>1388.7500000000005</v>
      </c>
      <c r="AB84" s="166">
        <v>81.69117647058826</v>
      </c>
      <c r="AC84" s="182">
        <f t="shared" si="27"/>
        <v>8</v>
      </c>
      <c r="AD84" s="390"/>
      <c r="AE84" s="182">
        <v>18</v>
      </c>
      <c r="AF84" s="166">
        <v>1416.9230769230776</v>
      </c>
      <c r="AG84" s="166">
        <v>78.717948717948758</v>
      </c>
      <c r="AH84" s="182">
        <f t="shared" si="28"/>
        <v>11</v>
      </c>
      <c r="AI84" s="390"/>
      <c r="AJ84" s="182">
        <v>18</v>
      </c>
      <c r="AK84" s="166">
        <v>1402.7586206896563</v>
      </c>
      <c r="AL84" s="166">
        <v>77.931034482758676</v>
      </c>
      <c r="AM84" s="182">
        <f t="shared" si="29"/>
        <v>12</v>
      </c>
      <c r="AN84" s="390"/>
      <c r="AO84" s="182">
        <v>17</v>
      </c>
      <c r="AP84" s="166">
        <v>1393.1250000000016</v>
      </c>
      <c r="AQ84" s="166">
        <v>81.948529411764795</v>
      </c>
      <c r="AR84" s="182">
        <f t="shared" si="30"/>
        <v>8</v>
      </c>
      <c r="AS84" s="390"/>
      <c r="AT84" s="182">
        <v>18</v>
      </c>
      <c r="AU84" s="166">
        <v>1409.5522388059683</v>
      </c>
      <c r="AV84" s="166">
        <v>78.308457711442685</v>
      </c>
      <c r="AW84" s="182">
        <f t="shared" si="31"/>
        <v>11</v>
      </c>
      <c r="AX84" s="390"/>
      <c r="AZ84" s="182" t="e">
        <f t="shared" si="32"/>
        <v>#N/A</v>
      </c>
      <c r="BA84" s="390"/>
    </row>
    <row r="85" spans="2:53">
      <c r="B85" s="395"/>
      <c r="C85" s="182">
        <v>9</v>
      </c>
      <c r="D85" s="203" t="s">
        <v>608</v>
      </c>
      <c r="E85" s="166">
        <v>18</v>
      </c>
      <c r="F85" s="182">
        <v>1636</v>
      </c>
      <c r="G85" s="180">
        <v>90.9</v>
      </c>
      <c r="H85" s="402"/>
      <c r="I85" s="166">
        <f t="shared" si="22"/>
        <v>18</v>
      </c>
      <c r="J85" s="166">
        <f t="shared" si="23"/>
        <v>1387.7896268051941</v>
      </c>
      <c r="K85" s="180">
        <f t="shared" si="24"/>
        <v>77.09942371139968</v>
      </c>
      <c r="L85" s="402"/>
      <c r="M85" s="181">
        <f>RANK(K85, K$77:$K$106)</f>
        <v>14</v>
      </c>
      <c r="N85" s="389"/>
      <c r="O85" s="389"/>
      <c r="P85" s="182">
        <v>18</v>
      </c>
      <c r="Q85" s="166">
        <v>1429.2000000000005</v>
      </c>
      <c r="R85" s="166">
        <v>79.400000000000034</v>
      </c>
      <c r="S85" s="182">
        <f t="shared" si="25"/>
        <v>11</v>
      </c>
      <c r="T85" s="390"/>
      <c r="U85" s="182">
        <v>18</v>
      </c>
      <c r="V85" s="166">
        <v>1411.3636363636365</v>
      </c>
      <c r="W85" s="166">
        <v>78.409090909090921</v>
      </c>
      <c r="X85" s="182">
        <f t="shared" si="26"/>
        <v>12</v>
      </c>
      <c r="Y85" s="390"/>
      <c r="Z85" s="182">
        <v>18</v>
      </c>
      <c r="AA85" s="166">
        <v>1393.8461538461531</v>
      </c>
      <c r="AB85" s="166">
        <v>77.435897435897402</v>
      </c>
      <c r="AC85" s="182">
        <f t="shared" si="27"/>
        <v>12</v>
      </c>
      <c r="AD85" s="390"/>
      <c r="AE85" s="182">
        <v>18</v>
      </c>
      <c r="AF85" s="166">
        <v>1367.4418604651162</v>
      </c>
      <c r="AG85" s="166">
        <v>75.968992248062008</v>
      </c>
      <c r="AH85" s="182">
        <f t="shared" si="28"/>
        <v>13</v>
      </c>
      <c r="AI85" s="390"/>
      <c r="AJ85" s="182">
        <v>18</v>
      </c>
      <c r="AK85" s="166">
        <v>1373.3333333333333</v>
      </c>
      <c r="AL85" s="166">
        <v>76.296296296296291</v>
      </c>
      <c r="AM85" s="182">
        <f t="shared" si="29"/>
        <v>13</v>
      </c>
      <c r="AN85" s="390"/>
      <c r="AO85" s="182">
        <v>18</v>
      </c>
      <c r="AP85" s="166">
        <v>1384.8979591836739</v>
      </c>
      <c r="AQ85" s="166">
        <v>76.93877551020411</v>
      </c>
      <c r="AR85" s="182">
        <f t="shared" si="30"/>
        <v>13</v>
      </c>
      <c r="AS85" s="390"/>
      <c r="AT85" s="182">
        <v>18</v>
      </c>
      <c r="AU85" s="166">
        <v>1354.4444444444453</v>
      </c>
      <c r="AV85" s="166">
        <v>75.246913580246954</v>
      </c>
      <c r="AW85" s="182">
        <f t="shared" si="31"/>
        <v>12</v>
      </c>
      <c r="AX85" s="390"/>
      <c r="AZ85" s="182" t="e">
        <f t="shared" si="32"/>
        <v>#N/A</v>
      </c>
      <c r="BA85" s="390"/>
    </row>
    <row r="86" spans="2:53">
      <c r="B86" s="395"/>
      <c r="C86" s="182">
        <v>10</v>
      </c>
      <c r="D86" s="203" t="s">
        <v>336</v>
      </c>
      <c r="E86" s="166">
        <v>17</v>
      </c>
      <c r="F86" s="182">
        <v>1500</v>
      </c>
      <c r="G86" s="180">
        <v>88.2</v>
      </c>
      <c r="H86" s="402"/>
      <c r="I86" s="166">
        <f t="shared" si="22"/>
        <v>16.857142857142858</v>
      </c>
      <c r="J86" s="166">
        <f t="shared" si="23"/>
        <v>1382.6366094477676</v>
      </c>
      <c r="K86" s="180">
        <f t="shared" si="24"/>
        <v>82.045042960405212</v>
      </c>
      <c r="L86" s="402"/>
      <c r="M86" s="181">
        <f>RANK(K86, K$77:$K$106)</f>
        <v>8</v>
      </c>
      <c r="N86" s="389"/>
      <c r="O86" s="389"/>
      <c r="P86" s="182">
        <v>17</v>
      </c>
      <c r="Q86" s="166">
        <v>1437.1428571428567</v>
      </c>
      <c r="R86" s="166">
        <v>84.53781512605039</v>
      </c>
      <c r="S86" s="182">
        <f t="shared" si="25"/>
        <v>7</v>
      </c>
      <c r="T86" s="390"/>
      <c r="U86" s="182">
        <v>17</v>
      </c>
      <c r="V86" s="166">
        <v>1388.7804878048776</v>
      </c>
      <c r="W86" s="166">
        <v>81.692969870875146</v>
      </c>
      <c r="X86" s="182">
        <f t="shared" si="26"/>
        <v>8</v>
      </c>
      <c r="Y86" s="390"/>
      <c r="Z86" s="182">
        <v>17</v>
      </c>
      <c r="AA86" s="166">
        <v>1346.2499999999982</v>
      </c>
      <c r="AB86" s="166">
        <v>79.191176470588132</v>
      </c>
      <c r="AC86" s="182">
        <f t="shared" si="27"/>
        <v>9</v>
      </c>
      <c r="AD86" s="390"/>
      <c r="AE86" s="182">
        <v>17</v>
      </c>
      <c r="AF86" s="166">
        <v>1367.3684210526305</v>
      </c>
      <c r="AG86" s="166">
        <v>80.433436532507685</v>
      </c>
      <c r="AH86" s="182">
        <f t="shared" si="28"/>
        <v>7</v>
      </c>
      <c r="AI86" s="390"/>
      <c r="AJ86" s="182">
        <v>16</v>
      </c>
      <c r="AK86" s="166">
        <v>1358.4615384615377</v>
      </c>
      <c r="AL86" s="166">
        <v>84.903846153846104</v>
      </c>
      <c r="AM86" s="182">
        <f t="shared" si="29"/>
        <v>7</v>
      </c>
      <c r="AN86" s="390"/>
      <c r="AO86" s="182">
        <v>17</v>
      </c>
      <c r="AP86" s="166">
        <v>1399.024390243902</v>
      </c>
      <c r="AQ86" s="166">
        <v>82.295552367288352</v>
      </c>
      <c r="AR86" s="182">
        <f t="shared" si="30"/>
        <v>7</v>
      </c>
      <c r="AS86" s="390"/>
      <c r="AT86" s="182">
        <v>17</v>
      </c>
      <c r="AU86" s="166">
        <v>1381.4285714285709</v>
      </c>
      <c r="AV86" s="166">
        <v>81.260504201680646</v>
      </c>
      <c r="AW86" s="182">
        <f t="shared" si="31"/>
        <v>7</v>
      </c>
      <c r="AX86" s="390"/>
      <c r="AZ86" s="182" t="e">
        <f t="shared" si="32"/>
        <v>#N/A</v>
      </c>
      <c r="BA86" s="390"/>
    </row>
    <row r="87" spans="2:53">
      <c r="B87" s="395"/>
      <c r="C87" s="182">
        <v>11</v>
      </c>
      <c r="D87" s="203" t="s">
        <v>531</v>
      </c>
      <c r="E87" s="166">
        <v>20</v>
      </c>
      <c r="F87" s="182">
        <v>1440</v>
      </c>
      <c r="G87" s="180">
        <v>72</v>
      </c>
      <c r="H87" s="402"/>
      <c r="I87" s="166">
        <f t="shared" si="22"/>
        <v>19.857142857142858</v>
      </c>
      <c r="J87" s="166">
        <f t="shared" si="23"/>
        <v>1333.58469071016</v>
      </c>
      <c r="K87" s="180">
        <f t="shared" si="24"/>
        <v>67.174186200384483</v>
      </c>
      <c r="L87" s="402"/>
      <c r="M87" s="181">
        <f>RANK(K87, K$77:$K$106)</f>
        <v>21</v>
      </c>
      <c r="N87" s="389"/>
      <c r="O87" s="389"/>
      <c r="P87" s="182">
        <v>20</v>
      </c>
      <c r="Q87" s="166">
        <v>1339.4594594594585</v>
      </c>
      <c r="R87" s="166">
        <v>66.972972972972926</v>
      </c>
      <c r="S87" s="182">
        <f t="shared" si="25"/>
        <v>21</v>
      </c>
      <c r="T87" s="390"/>
      <c r="U87" s="182">
        <v>20</v>
      </c>
      <c r="V87" s="166">
        <v>1328.823529411763</v>
      </c>
      <c r="W87" s="166">
        <v>66.441176470588147</v>
      </c>
      <c r="X87" s="182">
        <f t="shared" si="26"/>
        <v>20</v>
      </c>
      <c r="Y87" s="390"/>
      <c r="Z87" s="182">
        <v>20</v>
      </c>
      <c r="AA87" s="166">
        <v>1333.3333333333342</v>
      </c>
      <c r="AB87" s="166">
        <v>66.666666666666714</v>
      </c>
      <c r="AC87" s="182">
        <f t="shared" si="27"/>
        <v>18</v>
      </c>
      <c r="AD87" s="390"/>
      <c r="AE87" s="182">
        <v>20</v>
      </c>
      <c r="AF87" s="166">
        <v>1309.0909090909104</v>
      </c>
      <c r="AG87" s="166">
        <v>65.454545454545524</v>
      </c>
      <c r="AH87" s="182">
        <f t="shared" si="28"/>
        <v>18</v>
      </c>
      <c r="AI87" s="390"/>
      <c r="AJ87" s="182">
        <v>19</v>
      </c>
      <c r="AK87" s="166">
        <v>1316.5714285714273</v>
      </c>
      <c r="AL87" s="166">
        <v>69.293233082706706</v>
      </c>
      <c r="AM87" s="182">
        <f t="shared" si="29"/>
        <v>18</v>
      </c>
      <c r="AN87" s="390"/>
      <c r="AO87" s="182">
        <v>20</v>
      </c>
      <c r="AP87" s="166">
        <v>1342.6086956521726</v>
      </c>
      <c r="AQ87" s="166">
        <v>67.130434782608631</v>
      </c>
      <c r="AR87" s="182">
        <f t="shared" si="30"/>
        <v>18</v>
      </c>
      <c r="AS87" s="390"/>
      <c r="AT87" s="182">
        <v>20</v>
      </c>
      <c r="AU87" s="166">
        <v>1365.2054794520536</v>
      </c>
      <c r="AV87" s="166">
        <v>68.260273972602675</v>
      </c>
      <c r="AW87" s="182">
        <f t="shared" si="31"/>
        <v>17</v>
      </c>
      <c r="AX87" s="390"/>
      <c r="AZ87" s="182" t="e">
        <f t="shared" si="32"/>
        <v>#N/A</v>
      </c>
      <c r="BA87" s="390"/>
    </row>
    <row r="88" spans="2:53">
      <c r="B88" s="395"/>
      <c r="C88" s="182">
        <v>12</v>
      </c>
      <c r="D88" s="203" t="s">
        <v>349</v>
      </c>
      <c r="E88" s="166">
        <v>14</v>
      </c>
      <c r="F88" s="182">
        <v>1440</v>
      </c>
      <c r="G88" s="180">
        <v>102.9</v>
      </c>
      <c r="H88" s="402"/>
      <c r="I88" s="166">
        <f t="shared" si="22"/>
        <v>15</v>
      </c>
      <c r="J88" s="166">
        <f t="shared" si="23"/>
        <v>1333.3147821725684</v>
      </c>
      <c r="K88" s="180">
        <f t="shared" si="24"/>
        <v>88.887652144837872</v>
      </c>
      <c r="L88" s="402"/>
      <c r="M88" s="181">
        <f>RANK(K88, K$77:$K$106)</f>
        <v>4</v>
      </c>
      <c r="N88" s="389"/>
      <c r="O88" s="389"/>
      <c r="P88" s="182">
        <v>15</v>
      </c>
      <c r="Q88" s="166">
        <v>1312.6315789473695</v>
      </c>
      <c r="R88" s="166">
        <v>87.508771929824633</v>
      </c>
      <c r="S88" s="182">
        <f t="shared" si="25"/>
        <v>5</v>
      </c>
      <c r="T88" s="390"/>
      <c r="U88" s="182">
        <v>15</v>
      </c>
      <c r="V88" s="166">
        <v>1325.0847457627131</v>
      </c>
      <c r="W88" s="166">
        <v>88.338983050847531</v>
      </c>
      <c r="X88" s="182">
        <f t="shared" si="26"/>
        <v>5</v>
      </c>
      <c r="Y88" s="390"/>
      <c r="Z88" s="182">
        <v>15</v>
      </c>
      <c r="AA88" s="166">
        <v>1308</v>
      </c>
      <c r="AB88" s="166">
        <v>87.2</v>
      </c>
      <c r="AC88" s="182">
        <f t="shared" si="27"/>
        <v>3</v>
      </c>
      <c r="AD88" s="390"/>
      <c r="AE88" s="182">
        <v>15</v>
      </c>
      <c r="AF88" s="166">
        <v>1340.7692307692314</v>
      </c>
      <c r="AG88" s="166">
        <v>89.384615384615429</v>
      </c>
      <c r="AH88" s="182">
        <f t="shared" si="28"/>
        <v>3</v>
      </c>
      <c r="AI88" s="390"/>
      <c r="AJ88" s="182">
        <v>15</v>
      </c>
      <c r="AK88" s="166">
        <v>1347.9310344827597</v>
      </c>
      <c r="AL88" s="166">
        <v>89.862068965517309</v>
      </c>
      <c r="AM88" s="182">
        <f t="shared" si="29"/>
        <v>3</v>
      </c>
      <c r="AN88" s="390"/>
      <c r="AO88" s="182">
        <v>15</v>
      </c>
      <c r="AP88" s="166">
        <v>1366.0000000000011</v>
      </c>
      <c r="AQ88" s="166">
        <v>91.066666666666748</v>
      </c>
      <c r="AR88" s="182">
        <f t="shared" si="30"/>
        <v>3</v>
      </c>
      <c r="AS88" s="390"/>
      <c r="AT88" s="182">
        <v>15</v>
      </c>
      <c r="AU88" s="166">
        <v>1332.7868852459028</v>
      </c>
      <c r="AV88" s="166">
        <v>88.852459016393524</v>
      </c>
      <c r="AW88" s="182">
        <f t="shared" si="31"/>
        <v>3</v>
      </c>
      <c r="AX88" s="390"/>
      <c r="AZ88" s="182" t="e">
        <f t="shared" si="32"/>
        <v>#N/A</v>
      </c>
      <c r="BA88" s="390"/>
    </row>
    <row r="89" spans="2:53">
      <c r="B89" s="395"/>
      <c r="C89" s="182">
        <v>13</v>
      </c>
      <c r="D89" s="203" t="s">
        <v>329</v>
      </c>
      <c r="E89" s="166">
        <v>19</v>
      </c>
      <c r="F89" s="182">
        <v>1440</v>
      </c>
      <c r="G89" s="180">
        <v>75.8</v>
      </c>
      <c r="H89" s="402"/>
      <c r="I89" s="166">
        <f t="shared" si="22"/>
        <v>19</v>
      </c>
      <c r="J89" s="166">
        <f t="shared" si="23"/>
        <v>1345.983557791569</v>
      </c>
      <c r="K89" s="180">
        <f t="shared" si="24"/>
        <v>70.841239883766789</v>
      </c>
      <c r="L89" s="402"/>
      <c r="M89" s="181">
        <f>RANK(K89, K$77:$K$106)</f>
        <v>18</v>
      </c>
      <c r="N89" s="389"/>
      <c r="O89" s="389"/>
      <c r="P89" s="182">
        <v>19</v>
      </c>
      <c r="Q89" s="166">
        <v>1346.206896551724</v>
      </c>
      <c r="R89" s="166">
        <v>70.852994555353888</v>
      </c>
      <c r="S89" s="182">
        <f t="shared" si="25"/>
        <v>19</v>
      </c>
      <c r="T89" s="390"/>
      <c r="U89" s="182">
        <v>19</v>
      </c>
      <c r="V89" s="166">
        <v>1345.0632911392397</v>
      </c>
      <c r="W89" s="166">
        <v>70.792804796802088</v>
      </c>
      <c r="X89" s="182">
        <f t="shared" si="26"/>
        <v>17</v>
      </c>
      <c r="Y89" s="390"/>
      <c r="Z89" s="182">
        <v>19</v>
      </c>
      <c r="AA89" s="166">
        <v>1324.8387096774204</v>
      </c>
      <c r="AB89" s="166">
        <v>69.728353140916866</v>
      </c>
      <c r="AC89" s="182">
        <f t="shared" si="27"/>
        <v>17</v>
      </c>
      <c r="AD89" s="390"/>
      <c r="AE89" s="182">
        <v>19</v>
      </c>
      <c r="AF89" s="166">
        <v>1319.1891891891883</v>
      </c>
      <c r="AG89" s="166">
        <v>69.431009957325699</v>
      </c>
      <c r="AH89" s="182">
        <f t="shared" si="28"/>
        <v>16</v>
      </c>
      <c r="AI89" s="390"/>
      <c r="AJ89" s="182">
        <v>19</v>
      </c>
      <c r="AK89" s="166">
        <v>1374.399999999999</v>
      </c>
      <c r="AL89" s="166">
        <v>72.336842105263102</v>
      </c>
      <c r="AM89" s="182">
        <f t="shared" si="29"/>
        <v>14</v>
      </c>
      <c r="AN89" s="390"/>
      <c r="AO89" s="182">
        <v>19</v>
      </c>
      <c r="AP89" s="166">
        <v>1362.5316455696195</v>
      </c>
      <c r="AQ89" s="166">
        <v>71.712191872085242</v>
      </c>
      <c r="AR89" s="182">
        <f t="shared" si="30"/>
        <v>16</v>
      </c>
      <c r="AS89" s="390"/>
      <c r="AT89" s="182">
        <v>19</v>
      </c>
      <c r="AU89" s="166">
        <v>1349.655172413793</v>
      </c>
      <c r="AV89" s="166">
        <v>71.034482758620683</v>
      </c>
      <c r="AW89" s="182">
        <f t="shared" si="31"/>
        <v>15</v>
      </c>
      <c r="AX89" s="390"/>
      <c r="AZ89" s="182" t="e">
        <f t="shared" si="32"/>
        <v>#N/A</v>
      </c>
      <c r="BA89" s="390"/>
    </row>
    <row r="90" spans="2:53">
      <c r="B90" s="395"/>
      <c r="C90" s="182">
        <v>14</v>
      </c>
      <c r="D90" s="203" t="s">
        <v>347</v>
      </c>
      <c r="E90" s="166">
        <v>19</v>
      </c>
      <c r="F90" s="182">
        <v>1440</v>
      </c>
      <c r="G90" s="180">
        <v>75.8</v>
      </c>
      <c r="H90" s="402"/>
      <c r="I90" s="166">
        <f t="shared" si="22"/>
        <v>18.571428571428573</v>
      </c>
      <c r="J90" s="166">
        <f t="shared" si="23"/>
        <v>1299.662690108639</v>
      </c>
      <c r="K90" s="180">
        <f t="shared" si="24"/>
        <v>70.022095715845367</v>
      </c>
      <c r="L90" s="402"/>
      <c r="M90" s="181">
        <f>RANK(K90, K$77:$K$106)</f>
        <v>20</v>
      </c>
      <c r="N90" s="389"/>
      <c r="O90" s="389"/>
      <c r="P90" s="182">
        <v>19</v>
      </c>
      <c r="Q90" s="166">
        <v>1361.538461538463</v>
      </c>
      <c r="R90" s="166">
        <v>71.659919028340155</v>
      </c>
      <c r="S90" s="182">
        <f t="shared" si="25"/>
        <v>17</v>
      </c>
      <c r="T90" s="390"/>
      <c r="U90" s="182">
        <v>19</v>
      </c>
      <c r="V90" s="166">
        <v>1303.8095238095252</v>
      </c>
      <c r="W90" s="166">
        <v>68.621553884711858</v>
      </c>
      <c r="X90" s="182">
        <f t="shared" si="26"/>
        <v>19</v>
      </c>
      <c r="Y90" s="390"/>
      <c r="Z90" s="182">
        <v>18</v>
      </c>
      <c r="AA90" s="166">
        <v>1282.3529411764712</v>
      </c>
      <c r="AB90" s="166">
        <v>71.241830065359508</v>
      </c>
      <c r="AC90" s="182">
        <f t="shared" si="27"/>
        <v>15</v>
      </c>
      <c r="AD90" s="390"/>
      <c r="AE90" s="182">
        <v>19</v>
      </c>
      <c r="AF90" s="166">
        <v>1293.5593220338994</v>
      </c>
      <c r="AG90" s="166">
        <v>68.082069580731556</v>
      </c>
      <c r="AH90" s="182">
        <f t="shared" si="28"/>
        <v>17</v>
      </c>
      <c r="AI90" s="390"/>
      <c r="AJ90" s="182">
        <v>18</v>
      </c>
      <c r="AK90" s="166">
        <v>1275.6923076923092</v>
      </c>
      <c r="AL90" s="166">
        <v>70.871794871794961</v>
      </c>
      <c r="AM90" s="182">
        <f t="shared" si="29"/>
        <v>16</v>
      </c>
      <c r="AN90" s="390"/>
      <c r="AO90" s="182">
        <v>18</v>
      </c>
      <c r="AP90" s="166">
        <v>1317.3529411764721</v>
      </c>
      <c r="AQ90" s="166">
        <v>73.186274509804008</v>
      </c>
      <c r="AR90" s="182">
        <f t="shared" si="30"/>
        <v>15</v>
      </c>
      <c r="AS90" s="390"/>
      <c r="AT90" s="182">
        <v>19</v>
      </c>
      <c r="AU90" s="166">
        <v>1263.3333333333323</v>
      </c>
      <c r="AV90" s="166">
        <v>66.491228070175382</v>
      </c>
      <c r="AW90" s="182">
        <f t="shared" si="31"/>
        <v>18</v>
      </c>
      <c r="AX90" s="390"/>
      <c r="AZ90" s="182" t="e">
        <f t="shared" si="32"/>
        <v>#N/A</v>
      </c>
      <c r="BA90" s="390"/>
    </row>
    <row r="91" spans="2:53">
      <c r="B91" s="395"/>
      <c r="C91" s="182">
        <v>15</v>
      </c>
      <c r="D91" s="203" t="s">
        <v>609</v>
      </c>
      <c r="E91" s="166">
        <v>19</v>
      </c>
      <c r="F91" s="182">
        <v>1500</v>
      </c>
      <c r="G91" s="180">
        <v>78.900000000000006</v>
      </c>
      <c r="H91" s="402"/>
      <c r="I91" s="166">
        <f t="shared" si="22"/>
        <v>19</v>
      </c>
      <c r="J91" s="166">
        <f t="shared" si="23"/>
        <v>1151.2500000000041</v>
      </c>
      <c r="K91" s="180">
        <f t="shared" si="24"/>
        <v>60.592105263158111</v>
      </c>
      <c r="L91" s="402"/>
      <c r="M91" s="181">
        <f>RANK(K91, K$77:$K$106)</f>
        <v>23</v>
      </c>
      <c r="N91" s="389"/>
      <c r="O91" s="389"/>
      <c r="P91" s="182">
        <v>19</v>
      </c>
      <c r="Q91" s="166">
        <v>1151.2500000000041</v>
      </c>
      <c r="R91" s="166">
        <v>60.592105263158111</v>
      </c>
      <c r="S91" s="182">
        <f t="shared" si="25"/>
        <v>24</v>
      </c>
      <c r="T91" s="390"/>
      <c r="U91" s="182" t="s">
        <v>634</v>
      </c>
      <c r="V91" s="166" t="s">
        <v>634</v>
      </c>
      <c r="W91" s="166" t="s">
        <v>634</v>
      </c>
      <c r="X91" s="182" t="e">
        <f t="shared" si="26"/>
        <v>#VALUE!</v>
      </c>
      <c r="Y91" s="390"/>
      <c r="Z91" s="182" t="s">
        <v>634</v>
      </c>
      <c r="AA91" s="166" t="s">
        <v>634</v>
      </c>
      <c r="AB91" s="166" t="s">
        <v>634</v>
      </c>
      <c r="AC91" s="182" t="e">
        <f t="shared" si="27"/>
        <v>#VALUE!</v>
      </c>
      <c r="AD91" s="390"/>
      <c r="AE91" s="182" t="s">
        <v>634</v>
      </c>
      <c r="AF91" s="166" t="s">
        <v>634</v>
      </c>
      <c r="AG91" s="166" t="s">
        <v>634</v>
      </c>
      <c r="AH91" s="182" t="e">
        <f t="shared" si="28"/>
        <v>#VALUE!</v>
      </c>
      <c r="AI91" s="390"/>
      <c r="AJ91" s="182" t="s">
        <v>634</v>
      </c>
      <c r="AK91" s="166" t="s">
        <v>634</v>
      </c>
      <c r="AL91" s="166" t="s">
        <v>634</v>
      </c>
      <c r="AM91" s="182" t="e">
        <f t="shared" si="29"/>
        <v>#VALUE!</v>
      </c>
      <c r="AN91" s="390"/>
      <c r="AO91" s="182" t="s">
        <v>634</v>
      </c>
      <c r="AP91" s="166" t="s">
        <v>634</v>
      </c>
      <c r="AQ91" s="166" t="s">
        <v>634</v>
      </c>
      <c r="AR91" s="182" t="e">
        <f t="shared" si="30"/>
        <v>#VALUE!</v>
      </c>
      <c r="AS91" s="390"/>
      <c r="AT91" s="182" t="s">
        <v>634</v>
      </c>
      <c r="AU91" s="166" t="s">
        <v>634</v>
      </c>
      <c r="AV91" s="166" t="s">
        <v>634</v>
      </c>
      <c r="AW91" s="182" t="e">
        <f t="shared" si="31"/>
        <v>#VALUE!</v>
      </c>
      <c r="AX91" s="390"/>
      <c r="AZ91" s="182" t="e">
        <f t="shared" si="32"/>
        <v>#N/A</v>
      </c>
      <c r="BA91" s="390"/>
    </row>
    <row r="92" spans="2:53">
      <c r="B92" s="395"/>
      <c r="C92" s="182">
        <v>16</v>
      </c>
      <c r="D92" s="203" t="s">
        <v>623</v>
      </c>
      <c r="E92" s="166">
        <v>18</v>
      </c>
      <c r="F92" s="182">
        <v>1500</v>
      </c>
      <c r="G92" s="180">
        <v>83.3</v>
      </c>
      <c r="H92" s="402"/>
      <c r="I92" s="166">
        <f t="shared" si="22"/>
        <v>18</v>
      </c>
      <c r="J92" s="166">
        <f t="shared" si="23"/>
        <v>1399.1956804460915</v>
      </c>
      <c r="K92" s="180">
        <f t="shared" si="24"/>
        <v>77.733093358116193</v>
      </c>
      <c r="L92" s="402"/>
      <c r="M92" s="181">
        <f>RANK(K92, K$77:$K$106)</f>
        <v>13</v>
      </c>
      <c r="N92" s="389"/>
      <c r="O92" s="389"/>
      <c r="P92" s="182">
        <v>18</v>
      </c>
      <c r="Q92" s="166">
        <v>1378.2608695652159</v>
      </c>
      <c r="R92" s="166">
        <v>76.570048309178659</v>
      </c>
      <c r="S92" s="182">
        <f t="shared" si="25"/>
        <v>13</v>
      </c>
      <c r="T92" s="390"/>
      <c r="U92" s="182">
        <v>18</v>
      </c>
      <c r="V92" s="166">
        <v>1422.3529411764687</v>
      </c>
      <c r="W92" s="166">
        <v>79.019607843137152</v>
      </c>
      <c r="X92" s="182">
        <f t="shared" si="26"/>
        <v>11</v>
      </c>
      <c r="Y92" s="390"/>
      <c r="Z92" s="182">
        <v>18</v>
      </c>
      <c r="AA92" s="166">
        <v>1385.6250000000016</v>
      </c>
      <c r="AB92" s="166">
        <v>76.979166666666757</v>
      </c>
      <c r="AC92" s="182">
        <f t="shared" si="27"/>
        <v>13</v>
      </c>
      <c r="AD92" s="390"/>
      <c r="AE92" s="182">
        <v>18</v>
      </c>
      <c r="AF92" s="166">
        <v>1434.0000000000014</v>
      </c>
      <c r="AG92" s="166">
        <v>79.666666666666742</v>
      </c>
      <c r="AH92" s="182">
        <f t="shared" si="28"/>
        <v>9</v>
      </c>
      <c r="AI92" s="390"/>
      <c r="AJ92" s="182">
        <v>18</v>
      </c>
      <c r="AK92" s="166">
        <v>1412.3809523809537</v>
      </c>
      <c r="AL92" s="166">
        <v>78.46560846560854</v>
      </c>
      <c r="AM92" s="182">
        <f t="shared" si="29"/>
        <v>10</v>
      </c>
      <c r="AN92" s="390"/>
      <c r="AO92" s="182">
        <v>18</v>
      </c>
      <c r="AP92" s="166">
        <v>1434.9999999999989</v>
      </c>
      <c r="AQ92" s="166">
        <v>79.722222222222157</v>
      </c>
      <c r="AR92" s="182">
        <f t="shared" si="30"/>
        <v>10</v>
      </c>
      <c r="AS92" s="390"/>
      <c r="AT92" s="182">
        <v>18</v>
      </c>
      <c r="AU92" s="166">
        <v>1326.7499999999995</v>
      </c>
      <c r="AV92" s="166">
        <v>73.708333333333314</v>
      </c>
      <c r="AW92" s="182">
        <f t="shared" si="31"/>
        <v>14</v>
      </c>
      <c r="AX92" s="390"/>
      <c r="AZ92" s="182" t="e">
        <f t="shared" si="32"/>
        <v>#N/A</v>
      </c>
      <c r="BA92" s="390"/>
    </row>
    <row r="93" spans="2:53">
      <c r="B93" s="395"/>
      <c r="C93" s="182">
        <v>17</v>
      </c>
      <c r="D93" s="203" t="s">
        <v>528</v>
      </c>
      <c r="E93" s="166">
        <v>17</v>
      </c>
      <c r="F93" s="182">
        <v>1440</v>
      </c>
      <c r="G93" s="180">
        <v>84.7</v>
      </c>
      <c r="H93" s="402"/>
      <c r="I93" s="166">
        <f t="shared" si="22"/>
        <v>17</v>
      </c>
      <c r="J93" s="166">
        <f t="shared" si="23"/>
        <v>1331.350479987618</v>
      </c>
      <c r="K93" s="180">
        <f t="shared" si="24"/>
        <v>78.3147341169187</v>
      </c>
      <c r="L93" s="402"/>
      <c r="M93" s="181">
        <f>RANK(K93, K$77:$K$106)</f>
        <v>12</v>
      </c>
      <c r="N93" s="389"/>
      <c r="O93" s="389"/>
      <c r="P93" s="182">
        <v>17</v>
      </c>
      <c r="Q93" s="166">
        <v>1337.3333333333333</v>
      </c>
      <c r="R93" s="166">
        <v>78.666666666666657</v>
      </c>
      <c r="S93" s="182">
        <f t="shared" si="25"/>
        <v>12</v>
      </c>
      <c r="T93" s="390"/>
      <c r="U93" s="182">
        <v>17</v>
      </c>
      <c r="V93" s="166">
        <v>1318.695652173913</v>
      </c>
      <c r="W93" s="166">
        <v>77.570332480818408</v>
      </c>
      <c r="X93" s="182">
        <f t="shared" si="26"/>
        <v>13</v>
      </c>
      <c r="Y93" s="390"/>
      <c r="Z93" s="182">
        <v>17</v>
      </c>
      <c r="AA93" s="166">
        <v>1321.7142857142844</v>
      </c>
      <c r="AB93" s="166">
        <v>77.747899159663788</v>
      </c>
      <c r="AC93" s="182">
        <f t="shared" si="27"/>
        <v>11</v>
      </c>
      <c r="AD93" s="390"/>
      <c r="AE93" s="182">
        <v>17</v>
      </c>
      <c r="AF93" s="166">
        <v>1343.4146341463411</v>
      </c>
      <c r="AG93" s="166">
        <v>79.024390243902417</v>
      </c>
      <c r="AH93" s="182">
        <f t="shared" si="28"/>
        <v>10</v>
      </c>
      <c r="AI93" s="390"/>
      <c r="AJ93" s="182">
        <v>17</v>
      </c>
      <c r="AK93" s="166">
        <v>1329.5454545454545</v>
      </c>
      <c r="AL93" s="166">
        <v>78.208556149732615</v>
      </c>
      <c r="AM93" s="182">
        <f t="shared" si="29"/>
        <v>11</v>
      </c>
      <c r="AN93" s="390"/>
      <c r="AO93" s="182">
        <v>17</v>
      </c>
      <c r="AP93" s="166">
        <v>1335.0000000000005</v>
      </c>
      <c r="AQ93" s="166">
        <v>78.529411764705912</v>
      </c>
      <c r="AR93" s="182">
        <f t="shared" si="30"/>
        <v>12</v>
      </c>
      <c r="AS93" s="390"/>
      <c r="AT93" s="182">
        <v>17</v>
      </c>
      <c r="AU93" s="166">
        <v>1333.7500000000005</v>
      </c>
      <c r="AV93" s="166">
        <v>78.455882352941202</v>
      </c>
      <c r="AW93" s="182">
        <f t="shared" si="31"/>
        <v>10</v>
      </c>
      <c r="AX93" s="390"/>
      <c r="AZ93" s="182" t="e">
        <f t="shared" si="32"/>
        <v>#N/A</v>
      </c>
      <c r="BA93" s="390"/>
    </row>
    <row r="94" spans="2:53">
      <c r="B94" s="395"/>
      <c r="C94" s="182">
        <v>18</v>
      </c>
      <c r="D94" s="203" t="s">
        <v>532</v>
      </c>
      <c r="E94" s="166">
        <v>18</v>
      </c>
      <c r="F94" s="182">
        <v>1500</v>
      </c>
      <c r="G94" s="180">
        <v>83.3</v>
      </c>
      <c r="H94" s="402"/>
      <c r="I94" s="166">
        <f t="shared" si="22"/>
        <v>18</v>
      </c>
      <c r="J94" s="166">
        <f t="shared" si="23"/>
        <v>1297.1764705882381</v>
      </c>
      <c r="K94" s="180">
        <f t="shared" si="24"/>
        <v>72.065359477124332</v>
      </c>
      <c r="L94" s="402"/>
      <c r="M94" s="181">
        <f>RANK(K94, K$77:$K$106)</f>
        <v>16</v>
      </c>
      <c r="N94" s="389"/>
      <c r="O94" s="389"/>
      <c r="P94" s="182">
        <v>18</v>
      </c>
      <c r="Q94" s="166">
        <v>1352.0000000000014</v>
      </c>
      <c r="R94" s="166">
        <v>75.111111111111185</v>
      </c>
      <c r="S94" s="182">
        <f t="shared" si="25"/>
        <v>14</v>
      </c>
      <c r="T94" s="390"/>
      <c r="U94" s="182">
        <v>18</v>
      </c>
      <c r="V94" s="166">
        <v>1242.3529411764748</v>
      </c>
      <c r="W94" s="166">
        <v>69.019607843137493</v>
      </c>
      <c r="X94" s="182">
        <f t="shared" si="26"/>
        <v>18</v>
      </c>
      <c r="Y94" s="390"/>
      <c r="Z94" s="182" t="s">
        <v>634</v>
      </c>
      <c r="AA94" s="166" t="s">
        <v>634</v>
      </c>
      <c r="AB94" s="166" t="s">
        <v>634</v>
      </c>
      <c r="AC94" s="182" t="e">
        <f t="shared" si="27"/>
        <v>#VALUE!</v>
      </c>
      <c r="AD94" s="390"/>
      <c r="AE94" s="182" t="s">
        <v>634</v>
      </c>
      <c r="AF94" s="166" t="s">
        <v>634</v>
      </c>
      <c r="AG94" s="166" t="s">
        <v>634</v>
      </c>
      <c r="AH94" s="182" t="e">
        <f t="shared" si="28"/>
        <v>#VALUE!</v>
      </c>
      <c r="AI94" s="390"/>
      <c r="AJ94" s="182" t="s">
        <v>634</v>
      </c>
      <c r="AK94" s="166" t="s">
        <v>634</v>
      </c>
      <c r="AL94" s="166" t="s">
        <v>634</v>
      </c>
      <c r="AM94" s="182" t="e">
        <f t="shared" si="29"/>
        <v>#VALUE!</v>
      </c>
      <c r="AN94" s="390"/>
      <c r="AO94" s="182" t="s">
        <v>634</v>
      </c>
      <c r="AP94" s="166" t="s">
        <v>634</v>
      </c>
      <c r="AQ94" s="166" t="s">
        <v>634</v>
      </c>
      <c r="AR94" s="182" t="e">
        <f t="shared" si="30"/>
        <v>#VALUE!</v>
      </c>
      <c r="AS94" s="390"/>
      <c r="AT94" s="182" t="s">
        <v>634</v>
      </c>
      <c r="AU94" s="166" t="s">
        <v>634</v>
      </c>
      <c r="AV94" s="166" t="s">
        <v>634</v>
      </c>
      <c r="AW94" s="182" t="e">
        <f t="shared" si="31"/>
        <v>#VALUE!</v>
      </c>
      <c r="AX94" s="390"/>
      <c r="AZ94" s="182" t="e">
        <f t="shared" si="32"/>
        <v>#N/A</v>
      </c>
      <c r="BA94" s="390"/>
    </row>
    <row r="95" spans="2:53">
      <c r="B95" s="395"/>
      <c r="C95" s="182">
        <v>19</v>
      </c>
      <c r="D95" s="203" t="s">
        <v>533</v>
      </c>
      <c r="E95" s="166">
        <v>20</v>
      </c>
      <c r="F95" s="182">
        <v>1500</v>
      </c>
      <c r="G95" s="180">
        <v>75</v>
      </c>
      <c r="H95" s="402"/>
      <c r="I95" s="166">
        <f t="shared" si="22"/>
        <v>19.857142857142858</v>
      </c>
      <c r="J95" s="166">
        <f t="shared" si="23"/>
        <v>1192.0643983448922</v>
      </c>
      <c r="K95" s="180">
        <f t="shared" si="24"/>
        <v>60.043821421004004</v>
      </c>
      <c r="L95" s="402"/>
      <c r="M95" s="181">
        <f>RANK(K95, K$77:$K$106)</f>
        <v>24</v>
      </c>
      <c r="N95" s="389"/>
      <c r="O95" s="389"/>
      <c r="P95" s="182">
        <v>20</v>
      </c>
      <c r="Q95" s="166">
        <v>1236.0000000000002</v>
      </c>
      <c r="R95" s="166">
        <v>61.800000000000011</v>
      </c>
      <c r="S95" s="182">
        <f t="shared" si="25"/>
        <v>23</v>
      </c>
      <c r="T95" s="390"/>
      <c r="U95" s="182">
        <v>20</v>
      </c>
      <c r="V95" s="166">
        <v>1181.6326530612248</v>
      </c>
      <c r="W95" s="166">
        <v>59.081632653061241</v>
      </c>
      <c r="X95" s="182">
        <f t="shared" si="26"/>
        <v>22</v>
      </c>
      <c r="Y95" s="390"/>
      <c r="Z95" s="182">
        <v>20</v>
      </c>
      <c r="AA95" s="166">
        <v>1188.5714285714282</v>
      </c>
      <c r="AB95" s="166">
        <v>59.428571428571409</v>
      </c>
      <c r="AC95" s="182">
        <f t="shared" si="27"/>
        <v>20</v>
      </c>
      <c r="AD95" s="390"/>
      <c r="AE95" s="182">
        <v>19</v>
      </c>
      <c r="AF95" s="166">
        <v>1172</v>
      </c>
      <c r="AG95" s="166">
        <v>61.684210526315788</v>
      </c>
      <c r="AH95" s="182">
        <f t="shared" si="28"/>
        <v>20</v>
      </c>
      <c r="AI95" s="390"/>
      <c r="AJ95" s="182">
        <v>20</v>
      </c>
      <c r="AK95" s="166">
        <v>1211.1627906976742</v>
      </c>
      <c r="AL95" s="166">
        <v>60.558139534883708</v>
      </c>
      <c r="AM95" s="182">
        <f t="shared" si="29"/>
        <v>20</v>
      </c>
      <c r="AN95" s="390"/>
      <c r="AO95" s="182">
        <v>20</v>
      </c>
      <c r="AP95" s="166">
        <v>1196.5384615384623</v>
      </c>
      <c r="AQ95" s="166">
        <v>59.826923076923116</v>
      </c>
      <c r="AR95" s="182">
        <f t="shared" si="30"/>
        <v>21</v>
      </c>
      <c r="AS95" s="390"/>
      <c r="AT95" s="182">
        <v>20</v>
      </c>
      <c r="AU95" s="166">
        <v>1158.5454545454554</v>
      </c>
      <c r="AV95" s="166">
        <v>57.927272727272772</v>
      </c>
      <c r="AW95" s="182">
        <f t="shared" si="31"/>
        <v>21</v>
      </c>
      <c r="AX95" s="390"/>
      <c r="AZ95" s="182" t="e">
        <f t="shared" si="32"/>
        <v>#N/A</v>
      </c>
      <c r="BA95" s="390"/>
    </row>
    <row r="96" spans="2:53">
      <c r="B96" s="395"/>
      <c r="C96" s="182">
        <v>20</v>
      </c>
      <c r="D96" s="203" t="s">
        <v>610</v>
      </c>
      <c r="E96" s="166">
        <v>17</v>
      </c>
      <c r="F96" s="182">
        <v>1565</v>
      </c>
      <c r="G96" s="180">
        <v>92.1</v>
      </c>
      <c r="H96" s="402"/>
      <c r="I96" s="166">
        <f t="shared" si="22"/>
        <v>17</v>
      </c>
      <c r="J96" s="166">
        <f t="shared" si="23"/>
        <v>1208.0000000000043</v>
      </c>
      <c r="K96" s="180">
        <f t="shared" si="24"/>
        <v>71.058823529412024</v>
      </c>
      <c r="L96" s="402"/>
      <c r="M96" s="181">
        <f>RANK(K96, K$77:$K$106)</f>
        <v>17</v>
      </c>
      <c r="N96" s="389"/>
      <c r="O96" s="389"/>
      <c r="P96" s="182">
        <v>17</v>
      </c>
      <c r="Q96" s="166">
        <v>1208.0000000000043</v>
      </c>
      <c r="R96" s="166">
        <v>71.058823529412024</v>
      </c>
      <c r="S96" s="182">
        <f t="shared" si="25"/>
        <v>18</v>
      </c>
      <c r="T96" s="390"/>
      <c r="U96" s="182" t="s">
        <v>634</v>
      </c>
      <c r="V96" s="166" t="s">
        <v>634</v>
      </c>
      <c r="W96" s="166" t="s">
        <v>634</v>
      </c>
      <c r="X96" s="182" t="e">
        <f t="shared" si="26"/>
        <v>#VALUE!</v>
      </c>
      <c r="Y96" s="390"/>
      <c r="Z96" s="182" t="s">
        <v>634</v>
      </c>
      <c r="AA96" s="166" t="s">
        <v>634</v>
      </c>
      <c r="AB96" s="166" t="s">
        <v>634</v>
      </c>
      <c r="AC96" s="182" t="e">
        <f t="shared" si="27"/>
        <v>#VALUE!</v>
      </c>
      <c r="AD96" s="390"/>
      <c r="AE96" s="182" t="s">
        <v>634</v>
      </c>
      <c r="AF96" s="166" t="s">
        <v>634</v>
      </c>
      <c r="AG96" s="166" t="s">
        <v>634</v>
      </c>
      <c r="AH96" s="182" t="e">
        <f t="shared" si="28"/>
        <v>#VALUE!</v>
      </c>
      <c r="AI96" s="390"/>
      <c r="AJ96" s="182" t="s">
        <v>634</v>
      </c>
      <c r="AK96" s="166" t="s">
        <v>634</v>
      </c>
      <c r="AL96" s="166" t="s">
        <v>634</v>
      </c>
      <c r="AM96" s="182" t="e">
        <f t="shared" si="29"/>
        <v>#VALUE!</v>
      </c>
      <c r="AN96" s="390"/>
      <c r="AO96" s="182" t="s">
        <v>634</v>
      </c>
      <c r="AP96" s="166" t="s">
        <v>634</v>
      </c>
      <c r="AQ96" s="166" t="s">
        <v>634</v>
      </c>
      <c r="AR96" s="182" t="e">
        <f t="shared" si="30"/>
        <v>#VALUE!</v>
      </c>
      <c r="AS96" s="390"/>
      <c r="AT96" s="182" t="s">
        <v>634</v>
      </c>
      <c r="AU96" s="166" t="s">
        <v>634</v>
      </c>
      <c r="AV96" s="166" t="s">
        <v>634</v>
      </c>
      <c r="AW96" s="182" t="e">
        <f t="shared" si="31"/>
        <v>#VALUE!</v>
      </c>
      <c r="AX96" s="390"/>
      <c r="AZ96" s="182" t="e">
        <f t="shared" si="32"/>
        <v>#N/A</v>
      </c>
      <c r="BA96" s="390"/>
    </row>
    <row r="97" spans="2:53">
      <c r="B97" s="395"/>
      <c r="C97" s="182">
        <v>21</v>
      </c>
      <c r="D97" s="203" t="s">
        <v>611</v>
      </c>
      <c r="E97" s="166">
        <v>15</v>
      </c>
      <c r="F97" s="182">
        <v>1440</v>
      </c>
      <c r="G97" s="180">
        <v>96</v>
      </c>
      <c r="H97" s="402"/>
      <c r="I97" s="166">
        <f t="shared" si="22"/>
        <v>15.142857142857142</v>
      </c>
      <c r="J97" s="166">
        <f t="shared" si="23"/>
        <v>1309.0711613677718</v>
      </c>
      <c r="K97" s="180">
        <f t="shared" si="24"/>
        <v>86.455696472137177</v>
      </c>
      <c r="L97" s="402"/>
      <c r="M97" s="181">
        <f>RANK(K97, K$77:$K$106)</f>
        <v>6</v>
      </c>
      <c r="N97" s="389"/>
      <c r="O97" s="389"/>
      <c r="P97" s="182">
        <v>15</v>
      </c>
      <c r="Q97" s="166">
        <v>1356.774193548385</v>
      </c>
      <c r="R97" s="166">
        <v>90.451612903225666</v>
      </c>
      <c r="S97" s="182">
        <f t="shared" si="25"/>
        <v>3</v>
      </c>
      <c r="T97" s="390"/>
      <c r="U97" s="182">
        <v>15</v>
      </c>
      <c r="V97" s="166">
        <v>1349.9999999999982</v>
      </c>
      <c r="W97" s="166">
        <v>89.999999999999872</v>
      </c>
      <c r="X97" s="182">
        <f t="shared" si="26"/>
        <v>4</v>
      </c>
      <c r="Y97" s="390"/>
      <c r="Z97" s="182">
        <v>16</v>
      </c>
      <c r="AA97" s="166">
        <v>1370.3999999999962</v>
      </c>
      <c r="AB97" s="166">
        <v>85.649999999999764</v>
      </c>
      <c r="AC97" s="182">
        <f t="shared" si="27"/>
        <v>5</v>
      </c>
      <c r="AD97" s="390"/>
      <c r="AE97" s="182">
        <v>15</v>
      </c>
      <c r="AF97" s="166">
        <v>1279.2857142857188</v>
      </c>
      <c r="AG97" s="166">
        <v>85.28571428571459</v>
      </c>
      <c r="AH97" s="182">
        <f t="shared" si="28"/>
        <v>5</v>
      </c>
      <c r="AI97" s="390"/>
      <c r="AJ97" s="182">
        <v>15</v>
      </c>
      <c r="AK97" s="166">
        <v>1281.2903225806431</v>
      </c>
      <c r="AL97" s="166">
        <v>85.419354838709538</v>
      </c>
      <c r="AM97" s="182">
        <f t="shared" si="29"/>
        <v>6</v>
      </c>
      <c r="AN97" s="390"/>
      <c r="AO97" s="182">
        <v>15</v>
      </c>
      <c r="AP97" s="166">
        <v>1281.1764705882338</v>
      </c>
      <c r="AQ97" s="166">
        <v>85.411764705882248</v>
      </c>
      <c r="AR97" s="182">
        <f t="shared" si="30"/>
        <v>5</v>
      </c>
      <c r="AS97" s="390"/>
      <c r="AT97" s="182">
        <v>15</v>
      </c>
      <c r="AU97" s="166">
        <v>1244.5714285714273</v>
      </c>
      <c r="AV97" s="166">
        <v>82.97142857142849</v>
      </c>
      <c r="AW97" s="182">
        <f t="shared" si="31"/>
        <v>6</v>
      </c>
      <c r="AX97" s="390"/>
      <c r="AZ97" s="182" t="e">
        <f t="shared" si="32"/>
        <v>#N/A</v>
      </c>
      <c r="BA97" s="390"/>
    </row>
    <row r="98" spans="2:53">
      <c r="B98" s="395"/>
      <c r="C98" s="182">
        <v>22</v>
      </c>
      <c r="D98" s="203" t="s">
        <v>579</v>
      </c>
      <c r="E98" s="166">
        <v>21</v>
      </c>
      <c r="F98" s="182">
        <v>1500</v>
      </c>
      <c r="G98" s="180">
        <v>71.400000000000006</v>
      </c>
      <c r="H98" s="402"/>
      <c r="I98" s="166">
        <f t="shared" si="22"/>
        <v>21</v>
      </c>
      <c r="J98" s="166">
        <f t="shared" si="23"/>
        <v>1247.9708969343114</v>
      </c>
      <c r="K98" s="180">
        <f t="shared" si="24"/>
        <v>59.427185568300537</v>
      </c>
      <c r="L98" s="402"/>
      <c r="M98" s="181">
        <f>RANK(K98, K$77:$K$106)</f>
        <v>25</v>
      </c>
      <c r="N98" s="389"/>
      <c r="O98" s="389"/>
      <c r="P98" s="182">
        <v>21</v>
      </c>
      <c r="Q98" s="166">
        <v>1254.5454545454545</v>
      </c>
      <c r="R98" s="166">
        <v>59.740259740259738</v>
      </c>
      <c r="S98" s="182">
        <f t="shared" si="25"/>
        <v>25</v>
      </c>
      <c r="T98" s="390"/>
      <c r="U98" s="182">
        <v>21</v>
      </c>
      <c r="V98" s="166">
        <v>1237.4999999999995</v>
      </c>
      <c r="W98" s="166">
        <v>58.928571428571409</v>
      </c>
      <c r="X98" s="182">
        <f t="shared" si="26"/>
        <v>23</v>
      </c>
      <c r="Y98" s="390"/>
      <c r="Z98" s="182">
        <v>21</v>
      </c>
      <c r="AA98" s="166">
        <v>1232.1951219512191</v>
      </c>
      <c r="AB98" s="166">
        <v>58.675958188153288</v>
      </c>
      <c r="AC98" s="182">
        <f t="shared" si="27"/>
        <v>21</v>
      </c>
      <c r="AD98" s="390"/>
      <c r="AE98" s="182">
        <v>21</v>
      </c>
      <c r="AF98" s="166">
        <v>1225.9459459459451</v>
      </c>
      <c r="AG98" s="166">
        <v>58.378378378378343</v>
      </c>
      <c r="AH98" s="182">
        <f t="shared" si="28"/>
        <v>21</v>
      </c>
      <c r="AI98" s="390"/>
      <c r="AJ98" s="182">
        <v>21</v>
      </c>
      <c r="AK98" s="166">
        <v>1255.6097560975604</v>
      </c>
      <c r="AL98" s="166">
        <v>59.790940766550499</v>
      </c>
      <c r="AM98" s="182">
        <f t="shared" si="29"/>
        <v>21</v>
      </c>
      <c r="AN98" s="390"/>
      <c r="AO98" s="182">
        <v>21</v>
      </c>
      <c r="AP98" s="166">
        <v>1259.9999999999998</v>
      </c>
      <c r="AQ98" s="166">
        <v>59.999999999999986</v>
      </c>
      <c r="AR98" s="182">
        <f t="shared" si="30"/>
        <v>20</v>
      </c>
      <c r="AS98" s="390"/>
      <c r="AT98" s="182">
        <v>21</v>
      </c>
      <c r="AU98" s="166">
        <v>1270.0000000000002</v>
      </c>
      <c r="AV98" s="166">
        <v>60.476190476190489</v>
      </c>
      <c r="AW98" s="182">
        <f t="shared" si="31"/>
        <v>20</v>
      </c>
      <c r="AX98" s="390"/>
      <c r="AZ98" s="182" t="e">
        <f t="shared" si="32"/>
        <v>#N/A</v>
      </c>
      <c r="BA98" s="390"/>
    </row>
    <row r="99" spans="2:53">
      <c r="B99" s="395"/>
      <c r="C99" s="182">
        <v>23</v>
      </c>
      <c r="D99" s="203" t="s">
        <v>612</v>
      </c>
      <c r="E99" s="166">
        <v>19</v>
      </c>
      <c r="F99" s="182">
        <v>1500</v>
      </c>
      <c r="G99" s="180">
        <v>78.900000000000006</v>
      </c>
      <c r="H99" s="402"/>
      <c r="I99" s="166">
        <f t="shared" si="22"/>
        <v>19</v>
      </c>
      <c r="J99" s="166">
        <f t="shared" si="23"/>
        <v>1199.1158258758057</v>
      </c>
      <c r="K99" s="180">
        <f t="shared" si="24"/>
        <v>63.111359256621348</v>
      </c>
      <c r="L99" s="402"/>
      <c r="M99" s="181">
        <f>RANK(K99, K$77:$K$106)</f>
        <v>22</v>
      </c>
      <c r="N99" s="389"/>
      <c r="O99" s="389"/>
      <c r="P99" s="182">
        <v>19</v>
      </c>
      <c r="Q99" s="166">
        <v>1269.3750000000016</v>
      </c>
      <c r="R99" s="166">
        <v>66.80921052631588</v>
      </c>
      <c r="S99" s="182">
        <f t="shared" si="25"/>
        <v>22</v>
      </c>
      <c r="T99" s="390"/>
      <c r="U99" s="182">
        <v>19</v>
      </c>
      <c r="V99" s="166">
        <v>1213.1250000000014</v>
      </c>
      <c r="W99" s="166">
        <v>63.848684210526386</v>
      </c>
      <c r="X99" s="182">
        <f t="shared" si="26"/>
        <v>21</v>
      </c>
      <c r="Y99" s="390"/>
      <c r="Z99" s="182">
        <v>19</v>
      </c>
      <c r="AA99" s="166">
        <v>1168.2352941176475</v>
      </c>
      <c r="AB99" s="166">
        <v>61.486068111455133</v>
      </c>
      <c r="AC99" s="182">
        <f t="shared" si="27"/>
        <v>19</v>
      </c>
      <c r="AD99" s="390"/>
      <c r="AE99" s="182">
        <v>19</v>
      </c>
      <c r="AF99" s="166">
        <v>1201.0714285714294</v>
      </c>
      <c r="AG99" s="166">
        <v>63.214285714285758</v>
      </c>
      <c r="AH99" s="182">
        <f t="shared" si="28"/>
        <v>19</v>
      </c>
      <c r="AI99" s="390"/>
      <c r="AJ99" s="182">
        <v>19</v>
      </c>
      <c r="AK99" s="166">
        <v>1191.5625000000014</v>
      </c>
      <c r="AL99" s="166">
        <v>62.713815789473756</v>
      </c>
      <c r="AM99" s="182">
        <f t="shared" si="29"/>
        <v>19</v>
      </c>
      <c r="AN99" s="390"/>
      <c r="AO99" s="182">
        <v>19</v>
      </c>
      <c r="AP99" s="166">
        <v>1172.7272727272741</v>
      </c>
      <c r="AQ99" s="166">
        <v>61.722488038277582</v>
      </c>
      <c r="AR99" s="182">
        <f t="shared" si="30"/>
        <v>19</v>
      </c>
      <c r="AS99" s="390"/>
      <c r="AT99" s="182">
        <v>19</v>
      </c>
      <c r="AU99" s="166">
        <v>1177.7142857142844</v>
      </c>
      <c r="AV99" s="166">
        <v>61.984962406014972</v>
      </c>
      <c r="AW99" s="182">
        <f t="shared" si="31"/>
        <v>19</v>
      </c>
      <c r="AX99" s="390"/>
      <c r="AZ99" s="182" t="e">
        <f t="shared" si="32"/>
        <v>#N/A</v>
      </c>
      <c r="BA99" s="390"/>
    </row>
    <row r="100" spans="2:53">
      <c r="B100" s="395"/>
      <c r="C100" s="182">
        <v>24</v>
      </c>
      <c r="D100" s="203" t="s">
        <v>660</v>
      </c>
      <c r="E100" s="166">
        <v>20</v>
      </c>
      <c r="F100" s="182">
        <v>1300</v>
      </c>
      <c r="G100" s="180">
        <v>65</v>
      </c>
      <c r="H100" s="402"/>
      <c r="I100" s="166">
        <f t="shared" si="22"/>
        <v>20</v>
      </c>
      <c r="J100" s="166">
        <f t="shared" si="23"/>
        <v>1078.5537108288604</v>
      </c>
      <c r="K100" s="180">
        <f t="shared" si="24"/>
        <v>53.927685541443019</v>
      </c>
      <c r="L100" s="402"/>
      <c r="M100" s="181">
        <f>RANK(K100, K$77:$K$106)</f>
        <v>26</v>
      </c>
      <c r="N100" s="389"/>
      <c r="O100" s="389"/>
      <c r="P100" s="182">
        <v>20</v>
      </c>
      <c r="Q100" s="166">
        <v>1063.7037037037032</v>
      </c>
      <c r="R100" s="166">
        <v>53.185185185185162</v>
      </c>
      <c r="S100" s="182">
        <f t="shared" si="25"/>
        <v>26</v>
      </c>
      <c r="T100" s="390"/>
      <c r="U100" s="182">
        <v>20</v>
      </c>
      <c r="V100" s="166">
        <v>1075.3846153846155</v>
      </c>
      <c r="W100" s="166">
        <v>53.769230769230774</v>
      </c>
      <c r="X100" s="182">
        <f t="shared" si="26"/>
        <v>24</v>
      </c>
      <c r="Y100" s="390"/>
      <c r="Z100" s="182">
        <v>20</v>
      </c>
      <c r="AA100" s="166">
        <v>1094.0259740259735</v>
      </c>
      <c r="AB100" s="166">
        <v>54.701298701298676</v>
      </c>
      <c r="AC100" s="182">
        <f t="shared" si="27"/>
        <v>22</v>
      </c>
      <c r="AD100" s="390"/>
      <c r="AE100" s="182">
        <v>20</v>
      </c>
      <c r="AF100" s="166">
        <v>1087.1052631578953</v>
      </c>
      <c r="AG100" s="166">
        <v>54.355263157894761</v>
      </c>
      <c r="AH100" s="182">
        <f t="shared" si="28"/>
        <v>22</v>
      </c>
      <c r="AI100" s="390"/>
      <c r="AJ100" s="182">
        <v>20</v>
      </c>
      <c r="AK100" s="166">
        <v>1067.142857142856</v>
      </c>
      <c r="AL100" s="166">
        <v>53.357142857142797</v>
      </c>
      <c r="AM100" s="182">
        <f t="shared" si="29"/>
        <v>22</v>
      </c>
      <c r="AN100" s="390"/>
      <c r="AO100" s="182">
        <v>20</v>
      </c>
      <c r="AP100" s="166">
        <v>1098.2278481012652</v>
      </c>
      <c r="AQ100" s="166">
        <v>54.91139240506326</v>
      </c>
      <c r="AR100" s="182">
        <f t="shared" si="30"/>
        <v>22</v>
      </c>
      <c r="AS100" s="390"/>
      <c r="AT100" s="182">
        <v>20</v>
      </c>
      <c r="AU100" s="166">
        <v>1064.285714285714</v>
      </c>
      <c r="AV100" s="166">
        <v>53.214285714285701</v>
      </c>
      <c r="AW100" s="182">
        <f t="shared" si="31"/>
        <v>22</v>
      </c>
      <c r="AX100" s="390"/>
      <c r="AZ100" s="182" t="e">
        <f t="shared" si="32"/>
        <v>#N/A</v>
      </c>
      <c r="BA100" s="390"/>
    </row>
    <row r="101" spans="2:53">
      <c r="B101" s="395"/>
      <c r="C101" s="182">
        <v>25</v>
      </c>
      <c r="D101" s="203" t="s">
        <v>730</v>
      </c>
      <c r="E101" s="166">
        <v>16</v>
      </c>
      <c r="F101" s="182">
        <v>1500</v>
      </c>
      <c r="G101" s="180">
        <v>93.8</v>
      </c>
      <c r="H101" s="402"/>
      <c r="I101" s="166">
        <f t="shared" si="22"/>
        <v>16</v>
      </c>
      <c r="J101" s="166">
        <f t="shared" si="23"/>
        <v>1267.6328339906545</v>
      </c>
      <c r="K101" s="180">
        <f t="shared" si="24"/>
        <v>79.227052124415906</v>
      </c>
      <c r="L101" s="402"/>
      <c r="M101" s="181">
        <f>RANK(K101, K$77:$K$106)</f>
        <v>11</v>
      </c>
      <c r="N101" s="389"/>
      <c r="O101" s="389"/>
      <c r="P101" s="182">
        <v>16</v>
      </c>
      <c r="Q101" s="166">
        <v>1271.6560000000004</v>
      </c>
      <c r="R101" s="166">
        <v>79.478500000000025</v>
      </c>
      <c r="S101" s="182">
        <f t="shared" si="25"/>
        <v>10</v>
      </c>
      <c r="T101" s="390"/>
      <c r="U101" s="182">
        <v>16</v>
      </c>
      <c r="V101" s="166">
        <v>1273.1866666666667</v>
      </c>
      <c r="W101" s="166">
        <v>79.57416666666667</v>
      </c>
      <c r="X101" s="182">
        <f t="shared" si="26"/>
        <v>10</v>
      </c>
      <c r="Y101" s="390"/>
      <c r="Z101" s="182">
        <v>16</v>
      </c>
      <c r="AA101" s="166">
        <v>1260.2313253012044</v>
      </c>
      <c r="AB101" s="166">
        <v>78.764457831325274</v>
      </c>
      <c r="AC101" s="182">
        <f t="shared" si="27"/>
        <v>10</v>
      </c>
      <c r="AD101" s="390"/>
      <c r="AE101" s="182">
        <v>16</v>
      </c>
      <c r="AF101" s="166">
        <v>1247.5232876712332</v>
      </c>
      <c r="AG101" s="166">
        <v>77.970205479452076</v>
      </c>
      <c r="AH101" s="182">
        <f t="shared" si="28"/>
        <v>12</v>
      </c>
      <c r="AI101" s="390"/>
      <c r="AJ101" s="182">
        <v>16</v>
      </c>
      <c r="AK101" s="166">
        <v>1272.4137931034481</v>
      </c>
      <c r="AL101" s="166">
        <v>79.525862068965509</v>
      </c>
      <c r="AM101" s="182">
        <f t="shared" si="29"/>
        <v>9</v>
      </c>
      <c r="AN101" s="390"/>
      <c r="AO101" s="182">
        <v>16</v>
      </c>
      <c r="AP101" s="166">
        <v>1261.9834710743796</v>
      </c>
      <c r="AQ101" s="166">
        <v>78.873966942148726</v>
      </c>
      <c r="AR101" s="182">
        <f t="shared" si="30"/>
        <v>11</v>
      </c>
      <c r="AS101" s="390"/>
      <c r="AT101" s="182">
        <v>16</v>
      </c>
      <c r="AU101" s="166">
        <v>1286.4352941176485</v>
      </c>
      <c r="AV101" s="166">
        <v>80.40220588235303</v>
      </c>
      <c r="AW101" s="182">
        <f t="shared" si="31"/>
        <v>8</v>
      </c>
      <c r="AX101" s="390"/>
      <c r="AZ101" s="182" t="e">
        <f t="shared" si="32"/>
        <v>#N/A</v>
      </c>
      <c r="BA101" s="390"/>
    </row>
    <row r="102" spans="2:53">
      <c r="B102" s="395"/>
      <c r="C102" s="182">
        <v>26</v>
      </c>
      <c r="D102" s="203" t="s">
        <v>732</v>
      </c>
      <c r="E102" s="166">
        <v>16</v>
      </c>
      <c r="F102" s="182">
        <v>1440</v>
      </c>
      <c r="G102" s="180">
        <v>90</v>
      </c>
      <c r="H102" s="402"/>
      <c r="I102" s="166">
        <f t="shared" si="22"/>
        <v>16.571428571428573</v>
      </c>
      <c r="J102" s="166">
        <f t="shared" si="23"/>
        <v>1373.124935482391</v>
      </c>
      <c r="K102" s="180">
        <f t="shared" si="24"/>
        <v>82.936243631016197</v>
      </c>
      <c r="L102" s="402"/>
      <c r="M102" s="181">
        <f>RANK(K102, K$77:$K$106)</f>
        <v>7</v>
      </c>
      <c r="N102" s="389"/>
      <c r="O102" s="389"/>
      <c r="P102" s="182">
        <v>17</v>
      </c>
      <c r="Q102" s="166">
        <v>1275.6923076923092</v>
      </c>
      <c r="R102" s="166">
        <v>75.040723981900541</v>
      </c>
      <c r="S102" s="182">
        <f t="shared" si="25"/>
        <v>15</v>
      </c>
      <c r="T102" s="390"/>
      <c r="U102" s="182">
        <v>17</v>
      </c>
      <c r="V102" s="166">
        <v>1382.2212765957449</v>
      </c>
      <c r="W102" s="166">
        <v>81.307133917396754</v>
      </c>
      <c r="X102" s="182">
        <f t="shared" si="26"/>
        <v>9</v>
      </c>
      <c r="Y102" s="390"/>
      <c r="Z102" s="182">
        <v>17</v>
      </c>
      <c r="AA102" s="166">
        <v>1412.6315789473695</v>
      </c>
      <c r="AB102" s="166">
        <v>83.095975232198199</v>
      </c>
      <c r="AC102" s="182">
        <f t="shared" si="27"/>
        <v>7</v>
      </c>
      <c r="AD102" s="390"/>
      <c r="AE102" s="182">
        <v>16</v>
      </c>
      <c r="AF102" s="166">
        <v>1331.7391304347825</v>
      </c>
      <c r="AG102" s="166">
        <v>83.233695652173907</v>
      </c>
      <c r="AH102" s="182">
        <f t="shared" si="28"/>
        <v>6</v>
      </c>
      <c r="AI102" s="390"/>
      <c r="AJ102" s="182">
        <v>16</v>
      </c>
      <c r="AK102" s="166">
        <v>1381.6666666666656</v>
      </c>
      <c r="AL102" s="166">
        <v>86.3541666666666</v>
      </c>
      <c r="AM102" s="182">
        <f t="shared" si="29"/>
        <v>5</v>
      </c>
      <c r="AN102" s="390"/>
      <c r="AO102" s="182">
        <v>17</v>
      </c>
      <c r="AP102" s="166">
        <v>1420.7142857142851</v>
      </c>
      <c r="AQ102" s="166">
        <v>83.571428571428541</v>
      </c>
      <c r="AR102" s="182">
        <f t="shared" si="30"/>
        <v>6</v>
      </c>
      <c r="AS102" s="390"/>
      <c r="AT102" s="182">
        <v>16</v>
      </c>
      <c r="AU102" s="166">
        <v>1407.2093023255811</v>
      </c>
      <c r="AV102" s="166">
        <v>87.95058139534882</v>
      </c>
      <c r="AW102" s="182">
        <f t="shared" si="31"/>
        <v>4</v>
      </c>
      <c r="AX102" s="390"/>
      <c r="AZ102" s="182" t="e">
        <f t="shared" si="32"/>
        <v>#N/A</v>
      </c>
      <c r="BA102" s="390"/>
    </row>
    <row r="103" spans="2:53">
      <c r="B103" s="395"/>
      <c r="C103" s="182">
        <v>27</v>
      </c>
      <c r="D103" s="203"/>
      <c r="E103" s="166"/>
      <c r="F103" s="182"/>
      <c r="G103" s="180"/>
      <c r="H103" s="402"/>
      <c r="I103" s="166" t="str">
        <f t="shared" si="22"/>
        <v>-</v>
      </c>
      <c r="J103" s="166" t="str">
        <f t="shared" si="23"/>
        <v>-</v>
      </c>
      <c r="K103" s="180" t="str">
        <f t="shared" si="24"/>
        <v>-</v>
      </c>
      <c r="L103" s="402"/>
      <c r="M103" s="181" t="e">
        <f>RANK(K103, K$77:$K$106)</f>
        <v>#VALUE!</v>
      </c>
      <c r="N103" s="389"/>
      <c r="O103" s="389"/>
      <c r="P103" s="182" t="s">
        <v>634</v>
      </c>
      <c r="Q103" s="166" t="s">
        <v>634</v>
      </c>
      <c r="R103" s="166" t="s">
        <v>634</v>
      </c>
      <c r="S103" s="182" t="e">
        <f t="shared" si="25"/>
        <v>#VALUE!</v>
      </c>
      <c r="T103" s="390"/>
      <c r="U103" s="182" t="s">
        <v>634</v>
      </c>
      <c r="V103" s="166" t="s">
        <v>634</v>
      </c>
      <c r="W103" s="166" t="s">
        <v>634</v>
      </c>
      <c r="X103" s="182" t="e">
        <f t="shared" si="26"/>
        <v>#VALUE!</v>
      </c>
      <c r="Y103" s="390"/>
      <c r="Z103" s="182" t="s">
        <v>634</v>
      </c>
      <c r="AA103" s="166" t="s">
        <v>634</v>
      </c>
      <c r="AB103" s="166" t="s">
        <v>634</v>
      </c>
      <c r="AC103" s="182" t="e">
        <f t="shared" si="27"/>
        <v>#VALUE!</v>
      </c>
      <c r="AD103" s="390"/>
      <c r="AE103" s="182" t="s">
        <v>634</v>
      </c>
      <c r="AF103" s="166" t="s">
        <v>634</v>
      </c>
      <c r="AG103" s="166" t="s">
        <v>634</v>
      </c>
      <c r="AH103" s="182" t="e">
        <f t="shared" si="28"/>
        <v>#VALUE!</v>
      </c>
      <c r="AI103" s="390"/>
      <c r="AJ103" s="182" t="s">
        <v>634</v>
      </c>
      <c r="AK103" s="166" t="s">
        <v>634</v>
      </c>
      <c r="AL103" s="166" t="s">
        <v>634</v>
      </c>
      <c r="AM103" s="182" t="e">
        <f t="shared" si="29"/>
        <v>#VALUE!</v>
      </c>
      <c r="AN103" s="390"/>
      <c r="AO103" s="182" t="s">
        <v>634</v>
      </c>
      <c r="AP103" s="166" t="s">
        <v>634</v>
      </c>
      <c r="AQ103" s="166" t="s">
        <v>634</v>
      </c>
      <c r="AR103" s="182" t="e">
        <f t="shared" si="30"/>
        <v>#VALUE!</v>
      </c>
      <c r="AS103" s="390"/>
      <c r="AT103" s="182" t="s">
        <v>634</v>
      </c>
      <c r="AU103" s="166" t="s">
        <v>634</v>
      </c>
      <c r="AV103" s="166" t="s">
        <v>634</v>
      </c>
      <c r="AW103" s="182" t="e">
        <f t="shared" si="31"/>
        <v>#VALUE!</v>
      </c>
      <c r="AX103" s="390"/>
      <c r="AZ103" s="182" t="e">
        <f t="shared" si="32"/>
        <v>#N/A</v>
      </c>
      <c r="BA103" s="390"/>
    </row>
    <row r="104" spans="2:53">
      <c r="B104" s="395"/>
      <c r="C104" s="182">
        <v>28</v>
      </c>
      <c r="D104" s="203"/>
      <c r="E104" s="166"/>
      <c r="F104" s="182"/>
      <c r="G104" s="180"/>
      <c r="H104" s="402"/>
      <c r="I104" s="166" t="str">
        <f t="shared" si="22"/>
        <v>-</v>
      </c>
      <c r="J104" s="166" t="str">
        <f t="shared" si="23"/>
        <v>-</v>
      </c>
      <c r="K104" s="180" t="str">
        <f t="shared" si="24"/>
        <v>-</v>
      </c>
      <c r="L104" s="402"/>
      <c r="M104" s="181" t="e">
        <f>RANK(K104, K$77:$K$106)</f>
        <v>#VALUE!</v>
      </c>
      <c r="N104" s="389"/>
      <c r="O104" s="389"/>
      <c r="P104" s="182" t="s">
        <v>634</v>
      </c>
      <c r="Q104" s="166" t="s">
        <v>634</v>
      </c>
      <c r="R104" s="166" t="s">
        <v>634</v>
      </c>
      <c r="S104" s="182" t="e">
        <f t="shared" si="25"/>
        <v>#VALUE!</v>
      </c>
      <c r="T104" s="390"/>
      <c r="U104" s="182" t="s">
        <v>634</v>
      </c>
      <c r="V104" s="166" t="s">
        <v>634</v>
      </c>
      <c r="W104" s="166" t="s">
        <v>634</v>
      </c>
      <c r="X104" s="182" t="e">
        <f t="shared" si="26"/>
        <v>#VALUE!</v>
      </c>
      <c r="Y104" s="390"/>
      <c r="Z104" s="182" t="s">
        <v>634</v>
      </c>
      <c r="AA104" s="166" t="s">
        <v>634</v>
      </c>
      <c r="AB104" s="166" t="s">
        <v>634</v>
      </c>
      <c r="AC104" s="182" t="e">
        <f t="shared" si="27"/>
        <v>#VALUE!</v>
      </c>
      <c r="AD104" s="390"/>
      <c r="AE104" s="182" t="s">
        <v>634</v>
      </c>
      <c r="AF104" s="166" t="s">
        <v>634</v>
      </c>
      <c r="AG104" s="166" t="s">
        <v>634</v>
      </c>
      <c r="AH104" s="182" t="e">
        <f t="shared" si="28"/>
        <v>#VALUE!</v>
      </c>
      <c r="AI104" s="390"/>
      <c r="AJ104" s="182" t="s">
        <v>634</v>
      </c>
      <c r="AK104" s="166" t="s">
        <v>634</v>
      </c>
      <c r="AL104" s="166" t="s">
        <v>634</v>
      </c>
      <c r="AM104" s="182" t="e">
        <f t="shared" si="29"/>
        <v>#VALUE!</v>
      </c>
      <c r="AN104" s="390"/>
      <c r="AO104" s="182" t="s">
        <v>634</v>
      </c>
      <c r="AP104" s="166" t="s">
        <v>634</v>
      </c>
      <c r="AQ104" s="166" t="s">
        <v>634</v>
      </c>
      <c r="AR104" s="182" t="e">
        <f t="shared" si="30"/>
        <v>#VALUE!</v>
      </c>
      <c r="AS104" s="390"/>
      <c r="AT104" s="182" t="s">
        <v>634</v>
      </c>
      <c r="AU104" s="166" t="s">
        <v>634</v>
      </c>
      <c r="AV104" s="166" t="s">
        <v>634</v>
      </c>
      <c r="AW104" s="182" t="e">
        <f t="shared" si="31"/>
        <v>#VALUE!</v>
      </c>
      <c r="AX104" s="390"/>
      <c r="AZ104" s="182" t="e">
        <f t="shared" si="32"/>
        <v>#N/A</v>
      </c>
      <c r="BA104" s="390"/>
    </row>
    <row r="105" spans="2:53">
      <c r="B105" s="395"/>
      <c r="C105" s="182">
        <v>29</v>
      </c>
      <c r="D105" s="203"/>
      <c r="E105" s="166"/>
      <c r="F105" s="182"/>
      <c r="G105" s="180"/>
      <c r="H105" s="402"/>
      <c r="I105" s="166" t="str">
        <f t="shared" si="22"/>
        <v>-</v>
      </c>
      <c r="J105" s="166" t="str">
        <f t="shared" si="23"/>
        <v>-</v>
      </c>
      <c r="K105" s="180" t="str">
        <f t="shared" si="24"/>
        <v>-</v>
      </c>
      <c r="L105" s="402"/>
      <c r="M105" s="181" t="e">
        <f>RANK(K105, K$77:$K$106)</f>
        <v>#VALUE!</v>
      </c>
      <c r="N105" s="389"/>
      <c r="O105" s="389"/>
      <c r="P105" s="182" t="s">
        <v>634</v>
      </c>
      <c r="Q105" s="166" t="s">
        <v>634</v>
      </c>
      <c r="R105" s="166" t="s">
        <v>634</v>
      </c>
      <c r="S105" s="182" t="e">
        <f t="shared" si="25"/>
        <v>#VALUE!</v>
      </c>
      <c r="T105" s="390"/>
      <c r="U105" s="182" t="s">
        <v>634</v>
      </c>
      <c r="V105" s="166" t="s">
        <v>634</v>
      </c>
      <c r="W105" s="166" t="s">
        <v>634</v>
      </c>
      <c r="X105" s="182" t="e">
        <f t="shared" si="26"/>
        <v>#VALUE!</v>
      </c>
      <c r="Y105" s="390"/>
      <c r="Z105" s="182" t="s">
        <v>634</v>
      </c>
      <c r="AA105" s="166" t="s">
        <v>634</v>
      </c>
      <c r="AB105" s="166" t="s">
        <v>634</v>
      </c>
      <c r="AC105" s="182" t="e">
        <f t="shared" si="27"/>
        <v>#VALUE!</v>
      </c>
      <c r="AD105" s="390"/>
      <c r="AE105" s="182" t="s">
        <v>634</v>
      </c>
      <c r="AF105" s="166" t="s">
        <v>634</v>
      </c>
      <c r="AG105" s="166" t="s">
        <v>634</v>
      </c>
      <c r="AH105" s="182" t="e">
        <f t="shared" si="28"/>
        <v>#VALUE!</v>
      </c>
      <c r="AI105" s="390"/>
      <c r="AJ105" s="182" t="s">
        <v>634</v>
      </c>
      <c r="AK105" s="166" t="s">
        <v>634</v>
      </c>
      <c r="AL105" s="166" t="s">
        <v>634</v>
      </c>
      <c r="AM105" s="182" t="e">
        <f t="shared" si="29"/>
        <v>#VALUE!</v>
      </c>
      <c r="AN105" s="390"/>
      <c r="AO105" s="182" t="s">
        <v>634</v>
      </c>
      <c r="AP105" s="166" t="s">
        <v>634</v>
      </c>
      <c r="AQ105" s="166" t="s">
        <v>634</v>
      </c>
      <c r="AR105" s="182" t="e">
        <f t="shared" si="30"/>
        <v>#VALUE!</v>
      </c>
      <c r="AS105" s="390"/>
      <c r="AT105" s="182" t="s">
        <v>634</v>
      </c>
      <c r="AU105" s="166" t="s">
        <v>634</v>
      </c>
      <c r="AV105" s="166" t="s">
        <v>634</v>
      </c>
      <c r="AW105" s="182" t="e">
        <f t="shared" si="31"/>
        <v>#VALUE!</v>
      </c>
      <c r="AX105" s="390"/>
      <c r="AZ105" s="182" t="e">
        <f t="shared" si="32"/>
        <v>#N/A</v>
      </c>
      <c r="BA105" s="390"/>
    </row>
    <row r="106" spans="2:53">
      <c r="B106" s="395"/>
      <c r="C106" s="182">
        <v>30</v>
      </c>
      <c r="D106" s="203"/>
      <c r="E106" s="166"/>
      <c r="F106" s="182"/>
      <c r="G106" s="180"/>
      <c r="H106" s="403"/>
      <c r="I106" s="166" t="str">
        <f t="shared" si="22"/>
        <v>-</v>
      </c>
      <c r="J106" s="166" t="str">
        <f t="shared" si="23"/>
        <v>-</v>
      </c>
      <c r="K106" s="180" t="str">
        <f t="shared" si="24"/>
        <v>-</v>
      </c>
      <c r="L106" s="403"/>
      <c r="M106" s="181" t="e">
        <f>RANK(K106, K$77:$K$106)</f>
        <v>#VALUE!</v>
      </c>
      <c r="N106" s="389"/>
      <c r="O106" s="389"/>
      <c r="P106" s="182" t="s">
        <v>634</v>
      </c>
      <c r="Q106" s="166" t="s">
        <v>634</v>
      </c>
      <c r="R106" s="166" t="s">
        <v>634</v>
      </c>
      <c r="S106" s="182" t="e">
        <f t="shared" si="25"/>
        <v>#VALUE!</v>
      </c>
      <c r="T106" s="390"/>
      <c r="U106" s="182" t="s">
        <v>634</v>
      </c>
      <c r="V106" s="166" t="s">
        <v>634</v>
      </c>
      <c r="W106" s="166" t="s">
        <v>634</v>
      </c>
      <c r="X106" s="182" t="e">
        <f t="shared" si="26"/>
        <v>#VALUE!</v>
      </c>
      <c r="Y106" s="390"/>
      <c r="Z106" s="182" t="s">
        <v>634</v>
      </c>
      <c r="AA106" s="166" t="s">
        <v>634</v>
      </c>
      <c r="AB106" s="166" t="s">
        <v>634</v>
      </c>
      <c r="AC106" s="182" t="e">
        <f t="shared" si="27"/>
        <v>#VALUE!</v>
      </c>
      <c r="AD106" s="390"/>
      <c r="AE106" s="182" t="s">
        <v>634</v>
      </c>
      <c r="AF106" s="166" t="s">
        <v>634</v>
      </c>
      <c r="AG106" s="166" t="s">
        <v>634</v>
      </c>
      <c r="AH106" s="182" t="e">
        <f t="shared" si="28"/>
        <v>#VALUE!</v>
      </c>
      <c r="AI106" s="390"/>
      <c r="AJ106" s="182" t="s">
        <v>634</v>
      </c>
      <c r="AK106" s="166" t="s">
        <v>634</v>
      </c>
      <c r="AL106" s="166" t="s">
        <v>634</v>
      </c>
      <c r="AM106" s="182" t="e">
        <f t="shared" si="29"/>
        <v>#VALUE!</v>
      </c>
      <c r="AN106" s="390"/>
      <c r="AO106" s="182" t="s">
        <v>634</v>
      </c>
      <c r="AP106" s="166" t="s">
        <v>634</v>
      </c>
      <c r="AQ106" s="166" t="s">
        <v>634</v>
      </c>
      <c r="AR106" s="182" t="e">
        <f t="shared" si="30"/>
        <v>#VALUE!</v>
      </c>
      <c r="AS106" s="390"/>
      <c r="AT106" s="182" t="s">
        <v>634</v>
      </c>
      <c r="AU106" s="166" t="s">
        <v>634</v>
      </c>
      <c r="AV106" s="166" t="s">
        <v>634</v>
      </c>
      <c r="AW106" s="182" t="e">
        <f t="shared" si="31"/>
        <v>#VALUE!</v>
      </c>
      <c r="AX106" s="390"/>
      <c r="AZ106" s="182" t="e">
        <f t="shared" si="32"/>
        <v>#N/A</v>
      </c>
      <c r="BA106" s="390"/>
    </row>
    <row r="107" spans="2:53" ht="15.75">
      <c r="B107" s="414" t="s">
        <v>163</v>
      </c>
      <c r="C107" s="415"/>
      <c r="D107" s="415"/>
      <c r="E107" s="415"/>
      <c r="F107" s="415"/>
      <c r="G107" s="415"/>
      <c r="H107" s="415"/>
      <c r="I107" s="186"/>
      <c r="J107" s="186"/>
      <c r="K107" s="186"/>
      <c r="L107" s="186"/>
      <c r="M107" s="185"/>
      <c r="N107" s="391" t="s">
        <v>156</v>
      </c>
      <c r="O107" s="391" t="s">
        <v>105</v>
      </c>
      <c r="P107" s="410">
        <f>P72+7</f>
        <v>46161</v>
      </c>
      <c r="Q107" s="411"/>
      <c r="R107" s="411"/>
      <c r="S107" s="411"/>
      <c r="T107" s="412"/>
      <c r="U107" s="410">
        <f>P107+1</f>
        <v>46162</v>
      </c>
      <c r="V107" s="411"/>
      <c r="W107" s="411"/>
      <c r="X107" s="411"/>
      <c r="Y107" s="412"/>
      <c r="Z107" s="410">
        <f>U107+1</f>
        <v>46163</v>
      </c>
      <c r="AA107" s="411"/>
      <c r="AB107" s="411"/>
      <c r="AC107" s="411"/>
      <c r="AD107" s="412"/>
      <c r="AE107" s="410">
        <f>Z107+1</f>
        <v>46164</v>
      </c>
      <c r="AF107" s="411"/>
      <c r="AG107" s="411"/>
      <c r="AH107" s="411"/>
      <c r="AI107" s="412"/>
      <c r="AJ107" s="410">
        <f>AE107+1</f>
        <v>46165</v>
      </c>
      <c r="AK107" s="411"/>
      <c r="AL107" s="411"/>
      <c r="AM107" s="411"/>
      <c r="AN107" s="412"/>
      <c r="AO107" s="410">
        <f>AJ107+1</f>
        <v>46166</v>
      </c>
      <c r="AP107" s="411"/>
      <c r="AQ107" s="411"/>
      <c r="AR107" s="411"/>
      <c r="AS107" s="412"/>
      <c r="AT107" s="410">
        <f>AO107+1</f>
        <v>46167</v>
      </c>
      <c r="AU107" s="411"/>
      <c r="AV107" s="411"/>
      <c r="AW107" s="411"/>
      <c r="AX107" s="412"/>
    </row>
    <row r="108" spans="2:53" ht="15.75">
      <c r="B108" s="416"/>
      <c r="C108" s="416"/>
      <c r="D108" s="416"/>
      <c r="E108" s="416"/>
      <c r="F108" s="416"/>
      <c r="G108" s="416"/>
      <c r="H108" s="416"/>
      <c r="I108" s="184"/>
      <c r="J108" s="184"/>
      <c r="K108" s="184"/>
      <c r="L108" s="184"/>
      <c r="M108" s="179"/>
      <c r="N108" s="393"/>
      <c r="O108" s="393"/>
      <c r="P108" s="410" t="s">
        <v>318</v>
      </c>
      <c r="Q108" s="411"/>
      <c r="R108" s="411"/>
      <c r="S108" s="411"/>
      <c r="T108" s="412"/>
      <c r="U108" s="410" t="s">
        <v>319</v>
      </c>
      <c r="V108" s="411"/>
      <c r="W108" s="411"/>
      <c r="X108" s="411"/>
      <c r="Y108" s="412"/>
      <c r="Z108" s="410" t="s">
        <v>320</v>
      </c>
      <c r="AA108" s="411"/>
      <c r="AB108" s="411"/>
      <c r="AC108" s="411"/>
      <c r="AD108" s="412"/>
      <c r="AE108" s="410" t="s">
        <v>321</v>
      </c>
      <c r="AF108" s="411"/>
      <c r="AG108" s="411"/>
      <c r="AH108" s="411"/>
      <c r="AI108" s="412"/>
      <c r="AJ108" s="410" t="s">
        <v>322</v>
      </c>
      <c r="AK108" s="411"/>
      <c r="AL108" s="411"/>
      <c r="AM108" s="411"/>
      <c r="AN108" s="412"/>
      <c r="AO108" s="410" t="s">
        <v>323</v>
      </c>
      <c r="AP108" s="411"/>
      <c r="AQ108" s="411"/>
      <c r="AR108" s="411"/>
      <c r="AS108" s="412"/>
      <c r="AT108" s="410" t="s">
        <v>324</v>
      </c>
      <c r="AU108" s="411"/>
      <c r="AV108" s="411"/>
      <c r="AW108" s="411"/>
      <c r="AX108" s="412"/>
    </row>
    <row r="109" spans="2:53">
      <c r="B109" s="389" t="s">
        <v>419</v>
      </c>
      <c r="C109" s="389" t="s">
        <v>420</v>
      </c>
      <c r="D109" s="389"/>
      <c r="E109" s="389" t="s">
        <v>421</v>
      </c>
      <c r="F109" s="389"/>
      <c r="G109" s="389"/>
      <c r="H109" s="417" t="s">
        <v>422</v>
      </c>
      <c r="I109" s="389" t="s">
        <v>423</v>
      </c>
      <c r="J109" s="389"/>
      <c r="K109" s="389"/>
      <c r="L109" s="417" t="s">
        <v>422</v>
      </c>
      <c r="M109" s="391" t="s">
        <v>424</v>
      </c>
      <c r="N109" s="389"/>
      <c r="O109" s="389" t="s">
        <v>425</v>
      </c>
      <c r="P109" s="404" t="s">
        <v>426</v>
      </c>
      <c r="Q109" s="405"/>
      <c r="R109" s="405"/>
      <c r="S109" s="406"/>
      <c r="T109" s="389" t="s">
        <v>422</v>
      </c>
      <c r="U109" s="404" t="s">
        <v>426</v>
      </c>
      <c r="V109" s="405"/>
      <c r="W109" s="405"/>
      <c r="X109" s="406"/>
      <c r="Y109" s="389" t="s">
        <v>422</v>
      </c>
      <c r="Z109" s="404" t="s">
        <v>426</v>
      </c>
      <c r="AA109" s="405"/>
      <c r="AB109" s="405"/>
      <c r="AC109" s="406"/>
      <c r="AD109" s="389" t="s">
        <v>422</v>
      </c>
      <c r="AE109" s="404" t="s">
        <v>426</v>
      </c>
      <c r="AF109" s="405"/>
      <c r="AG109" s="405"/>
      <c r="AH109" s="406"/>
      <c r="AI109" s="389" t="s">
        <v>422</v>
      </c>
      <c r="AJ109" s="404" t="s">
        <v>426</v>
      </c>
      <c r="AK109" s="405"/>
      <c r="AL109" s="405"/>
      <c r="AM109" s="406"/>
      <c r="AN109" s="389" t="s">
        <v>422</v>
      </c>
      <c r="AO109" s="404" t="s">
        <v>426</v>
      </c>
      <c r="AP109" s="405"/>
      <c r="AQ109" s="405"/>
      <c r="AR109" s="406"/>
      <c r="AS109" s="389" t="s">
        <v>422</v>
      </c>
      <c r="AT109" s="404" t="s">
        <v>426</v>
      </c>
      <c r="AU109" s="405"/>
      <c r="AV109" s="405"/>
      <c r="AW109" s="406"/>
      <c r="AX109" s="389" t="s">
        <v>422</v>
      </c>
      <c r="BA109" s="389" t="s">
        <v>373</v>
      </c>
    </row>
    <row r="110" spans="2:53">
      <c r="B110" s="389"/>
      <c r="C110" s="389"/>
      <c r="D110" s="389"/>
      <c r="E110" s="389" t="s">
        <v>427</v>
      </c>
      <c r="F110" s="389"/>
      <c r="G110" s="389"/>
      <c r="H110" s="418"/>
      <c r="I110" s="389" t="s">
        <v>427</v>
      </c>
      <c r="J110" s="389"/>
      <c r="K110" s="389"/>
      <c r="L110" s="418"/>
      <c r="M110" s="392"/>
      <c r="N110" s="389"/>
      <c r="O110" s="389"/>
      <c r="P110" s="404" t="s">
        <v>428</v>
      </c>
      <c r="Q110" s="405"/>
      <c r="R110" s="405"/>
      <c r="S110" s="406"/>
      <c r="T110" s="389"/>
      <c r="U110" s="404" t="s">
        <v>428</v>
      </c>
      <c r="V110" s="405"/>
      <c r="W110" s="405"/>
      <c r="X110" s="406"/>
      <c r="Y110" s="389"/>
      <c r="Z110" s="404" t="s">
        <v>428</v>
      </c>
      <c r="AA110" s="405"/>
      <c r="AB110" s="405"/>
      <c r="AC110" s="406"/>
      <c r="AD110" s="389"/>
      <c r="AE110" s="404" t="s">
        <v>428</v>
      </c>
      <c r="AF110" s="405"/>
      <c r="AG110" s="405"/>
      <c r="AH110" s="406"/>
      <c r="AI110" s="389"/>
      <c r="AJ110" s="404" t="s">
        <v>428</v>
      </c>
      <c r="AK110" s="405"/>
      <c r="AL110" s="405"/>
      <c r="AM110" s="406"/>
      <c r="AN110" s="389"/>
      <c r="AO110" s="404" t="s">
        <v>428</v>
      </c>
      <c r="AP110" s="405"/>
      <c r="AQ110" s="405"/>
      <c r="AR110" s="406"/>
      <c r="AS110" s="389"/>
      <c r="AT110" s="404" t="s">
        <v>428</v>
      </c>
      <c r="AU110" s="405"/>
      <c r="AV110" s="405"/>
      <c r="AW110" s="406"/>
      <c r="AX110" s="389"/>
      <c r="BA110" s="389"/>
    </row>
    <row r="111" spans="2:53">
      <c r="B111" s="389"/>
      <c r="C111" s="389"/>
      <c r="D111" s="389"/>
      <c r="E111" s="258" t="s">
        <v>429</v>
      </c>
      <c r="F111" s="258" t="s">
        <v>430</v>
      </c>
      <c r="G111" s="258" t="s">
        <v>431</v>
      </c>
      <c r="H111" s="419"/>
      <c r="I111" s="258" t="s">
        <v>429</v>
      </c>
      <c r="J111" s="258" t="s">
        <v>430</v>
      </c>
      <c r="K111" s="258" t="s">
        <v>431</v>
      </c>
      <c r="L111" s="419"/>
      <c r="M111" s="393"/>
      <c r="N111" s="389"/>
      <c r="O111" s="389"/>
      <c r="P111" s="258" t="s">
        <v>429</v>
      </c>
      <c r="Q111" s="258" t="s">
        <v>430</v>
      </c>
      <c r="R111" s="258" t="s">
        <v>431</v>
      </c>
      <c r="S111" s="258" t="s">
        <v>424</v>
      </c>
      <c r="T111" s="389"/>
      <c r="U111" s="258" t="s">
        <v>429</v>
      </c>
      <c r="V111" s="258" t="s">
        <v>430</v>
      </c>
      <c r="W111" s="258" t="s">
        <v>431</v>
      </c>
      <c r="X111" s="258" t="s">
        <v>424</v>
      </c>
      <c r="Y111" s="389"/>
      <c r="Z111" s="258" t="s">
        <v>429</v>
      </c>
      <c r="AA111" s="258" t="s">
        <v>430</v>
      </c>
      <c r="AB111" s="258" t="s">
        <v>431</v>
      </c>
      <c r="AC111" s="258" t="s">
        <v>424</v>
      </c>
      <c r="AD111" s="389"/>
      <c r="AE111" s="258" t="s">
        <v>429</v>
      </c>
      <c r="AF111" s="258" t="s">
        <v>430</v>
      </c>
      <c r="AG111" s="258" t="s">
        <v>431</v>
      </c>
      <c r="AH111" s="258" t="s">
        <v>424</v>
      </c>
      <c r="AI111" s="389"/>
      <c r="AJ111" s="258" t="s">
        <v>429</v>
      </c>
      <c r="AK111" s="258" t="s">
        <v>430</v>
      </c>
      <c r="AL111" s="258" t="s">
        <v>431</v>
      </c>
      <c r="AM111" s="258" t="s">
        <v>424</v>
      </c>
      <c r="AN111" s="389"/>
      <c r="AO111" s="258" t="s">
        <v>429</v>
      </c>
      <c r="AP111" s="258" t="s">
        <v>430</v>
      </c>
      <c r="AQ111" s="258" t="s">
        <v>431</v>
      </c>
      <c r="AR111" s="258" t="s">
        <v>424</v>
      </c>
      <c r="AS111" s="389"/>
      <c r="AT111" s="258" t="s">
        <v>429</v>
      </c>
      <c r="AU111" s="258" t="s">
        <v>430</v>
      </c>
      <c r="AV111" s="258" t="s">
        <v>431</v>
      </c>
      <c r="AW111" s="258" t="s">
        <v>424</v>
      </c>
      <c r="AX111" s="389"/>
      <c r="AZ111" s="258" t="s">
        <v>374</v>
      </c>
      <c r="BA111" s="389"/>
    </row>
    <row r="112" spans="2:53">
      <c r="B112" s="389" t="s">
        <v>432</v>
      </c>
      <c r="C112" s="182">
        <v>1</v>
      </c>
      <c r="D112" s="203" t="s">
        <v>346</v>
      </c>
      <c r="E112" s="166">
        <v>6</v>
      </c>
      <c r="F112" s="182">
        <v>1500</v>
      </c>
      <c r="G112" s="180">
        <v>250</v>
      </c>
      <c r="H112" s="401">
        <f>AVERAGE(G112:G141)</f>
        <v>99.5</v>
      </c>
      <c r="I112" s="166">
        <f>IFERROR(AVERAGE(P112,U112,Z112,AE112,AJ112,AO112,AT112),"-")</f>
        <v>6</v>
      </c>
      <c r="J112" s="166">
        <f>IFERROR(AVERAGE(Q112,V112,AA112,AF112,AK112,AP112,AU112),"-")</f>
        <v>1481.2408714859027</v>
      </c>
      <c r="K112" s="180">
        <f>IFERROR(AVERAGE(R112,W112,AB112,AG112,AL112,AQ112,AV112),"-")</f>
        <v>246.8734785809838</v>
      </c>
      <c r="L112" s="401">
        <f>IFERROR(AVERAGE(K112:K141),"-")</f>
        <v>90.211004878582841</v>
      </c>
      <c r="M112" s="181">
        <f>RANK(K112, K$112:$K$141)</f>
        <v>1</v>
      </c>
      <c r="N112" s="389"/>
      <c r="O112" s="389"/>
      <c r="P112" s="182">
        <v>6</v>
      </c>
      <c r="Q112" s="166">
        <v>1485.2095238095235</v>
      </c>
      <c r="R112" s="166">
        <v>247.53492063492058</v>
      </c>
      <c r="S112" s="182">
        <f>RANK(R112, R$112:R$141)</f>
        <v>1</v>
      </c>
      <c r="T112" s="390">
        <f>AVERAGE(R112:R141)</f>
        <v>90.453802488615878</v>
      </c>
      <c r="U112" s="182">
        <v>6</v>
      </c>
      <c r="V112" s="166">
        <v>1487.7116279069764</v>
      </c>
      <c r="W112" s="166">
        <v>247.95193798449608</v>
      </c>
      <c r="X112" s="182">
        <f>RANK(W112, W$112:W$141)</f>
        <v>1</v>
      </c>
      <c r="Y112" s="390">
        <f>AVERAGE(W112:W141)</f>
        <v>91.091618421031342</v>
      </c>
      <c r="Z112" s="182">
        <v>6</v>
      </c>
      <c r="AA112" s="166">
        <v>1464.4724409448818</v>
      </c>
      <c r="AB112" s="166">
        <v>244.0787401574803</v>
      </c>
      <c r="AC112" s="182">
        <f>RANK(AB112, AB$112:AB$141)</f>
        <v>2</v>
      </c>
      <c r="AD112" s="390">
        <f>AVERAGE(AB112:AB141)</f>
        <v>89.972895528544058</v>
      </c>
      <c r="AE112" s="182">
        <v>6</v>
      </c>
      <c r="AF112" s="166">
        <v>1473.3052631578948</v>
      </c>
      <c r="AG112" s="166">
        <v>245.55087719298248</v>
      </c>
      <c r="AH112" s="182">
        <f>RANK(AG112, AG$112:AG$141)</f>
        <v>2</v>
      </c>
      <c r="AI112" s="390">
        <f>AVERAGE(AG112:AG141)</f>
        <v>90.520714931202292</v>
      </c>
      <c r="AJ112" s="182">
        <v>6</v>
      </c>
      <c r="AK112" s="166">
        <v>1476.9599999999989</v>
      </c>
      <c r="AL112" s="166">
        <v>246.15999999999983</v>
      </c>
      <c r="AM112" s="182">
        <f>RANK(AL112, AL$112:AL$141)</f>
        <v>2</v>
      </c>
      <c r="AN112" s="390">
        <f>AVERAGE(AL112:AL141)</f>
        <v>91.055360344515364</v>
      </c>
      <c r="AO112" s="182">
        <v>6</v>
      </c>
      <c r="AP112" s="166">
        <v>1484.7684210526327</v>
      </c>
      <c r="AQ112" s="166">
        <v>247.46140350877212</v>
      </c>
      <c r="AR112" s="182">
        <f>RANK(AQ112, AQ$112:AQ$141)</f>
        <v>1</v>
      </c>
      <c r="AS112" s="390">
        <f>AVERAGE(AQ112:AQ141)</f>
        <v>87.714932848195446</v>
      </c>
      <c r="AT112" s="182">
        <v>6</v>
      </c>
      <c r="AU112" s="166">
        <v>1496.2588235294111</v>
      </c>
      <c r="AV112" s="166">
        <v>249.37647058823518</v>
      </c>
      <c r="AW112" s="182">
        <f>RANK(AV112, AV$112:AV$141)</f>
        <v>1</v>
      </c>
      <c r="AX112" s="390">
        <f>AVERAGE(AV112:AV141)</f>
        <v>90.667709587975409</v>
      </c>
      <c r="AZ112" s="182" t="e">
        <f>RANK(AY112, AY$112:AY$141)</f>
        <v>#N/A</v>
      </c>
      <c r="BA112" s="390" t="e">
        <f>AVERAGE(AY112:AY141)</f>
        <v>#DIV/0!</v>
      </c>
    </row>
    <row r="113" spans="2:53">
      <c r="B113" s="395"/>
      <c r="C113" s="182">
        <v>2</v>
      </c>
      <c r="D113" s="203" t="s">
        <v>635</v>
      </c>
      <c r="E113" s="166">
        <v>6</v>
      </c>
      <c r="F113" s="182">
        <v>1500</v>
      </c>
      <c r="G113" s="180">
        <v>250</v>
      </c>
      <c r="H113" s="402"/>
      <c r="I113" s="166">
        <f t="shared" ref="I113:I141" si="33">IFERROR(AVERAGE(P113,U113,Z113,AE113,AJ113,AO113,AT113),"-")</f>
        <v>6</v>
      </c>
      <c r="J113" s="166">
        <f t="shared" ref="J113:J141" si="34">IFERROR(AVERAGE(Q113,V113,AA113,AF113,AK113,AP113,AU113),"-")</f>
        <v>1473.7121524971742</v>
      </c>
      <c r="K113" s="180">
        <f t="shared" ref="K113:K141" si="35">IFERROR(AVERAGE(R113,W113,AB113,AG113,AL113,AQ113,AV113),"-")</f>
        <v>245.61869208286234</v>
      </c>
      <c r="L113" s="402"/>
      <c r="M113" s="181">
        <f>RANK(K113, K$112:$K$141)</f>
        <v>2</v>
      </c>
      <c r="N113" s="389"/>
      <c r="O113" s="389"/>
      <c r="P113" s="182">
        <v>6</v>
      </c>
      <c r="Q113" s="166">
        <v>1476.8674698795191</v>
      </c>
      <c r="R113" s="166">
        <v>246.14457831325319</v>
      </c>
      <c r="S113" s="182">
        <f t="shared" ref="S113:S141" si="36">RANK(R113, R$112:R$141)</f>
        <v>2</v>
      </c>
      <c r="T113" s="390"/>
      <c r="U113" s="182">
        <v>6</v>
      </c>
      <c r="V113" s="166">
        <v>1466.511627906978</v>
      </c>
      <c r="W113" s="166">
        <v>244.41860465116301</v>
      </c>
      <c r="X113" s="182">
        <f t="shared" ref="X113:X141" si="37">RANK(W113, W$112:W$141)</f>
        <v>2</v>
      </c>
      <c r="Y113" s="390"/>
      <c r="Z113" s="182">
        <v>6</v>
      </c>
      <c r="AA113" s="166">
        <v>1483.6363636363642</v>
      </c>
      <c r="AB113" s="166">
        <v>247.27272727272737</v>
      </c>
      <c r="AC113" s="182">
        <f t="shared" ref="AC113:AC141" si="38">RANK(AB113, AB$112:AB$141)</f>
        <v>1</v>
      </c>
      <c r="AD113" s="390"/>
      <c r="AE113" s="182">
        <v>6</v>
      </c>
      <c r="AF113" s="166">
        <v>1498.0327868852453</v>
      </c>
      <c r="AG113" s="166">
        <v>249.67213114754088</v>
      </c>
      <c r="AH113" s="182">
        <f t="shared" ref="AH113:AH141" si="39">RANK(AG113, AG$112:AG$141)</f>
        <v>1</v>
      </c>
      <c r="AI113" s="390"/>
      <c r="AJ113" s="182">
        <v>6</v>
      </c>
      <c r="AK113" s="166">
        <v>1480.5882352941176</v>
      </c>
      <c r="AL113" s="166">
        <v>246.76470588235293</v>
      </c>
      <c r="AM113" s="182">
        <f t="shared" ref="AM113:AM141" si="40">RANK(AL113, AL$112:AL$141)</f>
        <v>1</v>
      </c>
      <c r="AN113" s="390"/>
      <c r="AO113" s="182">
        <v>6</v>
      </c>
      <c r="AP113" s="166">
        <v>1462.9411764705883</v>
      </c>
      <c r="AQ113" s="166">
        <v>243.82352941176472</v>
      </c>
      <c r="AR113" s="182">
        <f t="shared" ref="AR113:AR141" si="41">RANK(AQ113, AQ$112:AQ$141)</f>
        <v>2</v>
      </c>
      <c r="AS113" s="390"/>
      <c r="AT113" s="182">
        <v>6</v>
      </c>
      <c r="AU113" s="166">
        <v>1447.4074074074069</v>
      </c>
      <c r="AV113" s="166">
        <v>241.2345679012345</v>
      </c>
      <c r="AW113" s="182">
        <f t="shared" ref="AW113:AW141" si="42">RANK(AV113, AV$112:AV$141)</f>
        <v>2</v>
      </c>
      <c r="AX113" s="390"/>
      <c r="AZ113" s="182" t="e">
        <f t="shared" ref="AZ113:AZ141" si="43">RANK(AY113, AY$112:AY$141)</f>
        <v>#N/A</v>
      </c>
      <c r="BA113" s="390"/>
    </row>
    <row r="114" spans="2:53">
      <c r="B114" s="395"/>
      <c r="C114" s="182">
        <v>3</v>
      </c>
      <c r="D114" s="203" t="s">
        <v>619</v>
      </c>
      <c r="E114" s="166">
        <v>18</v>
      </c>
      <c r="F114" s="182">
        <v>1500</v>
      </c>
      <c r="G114" s="180">
        <v>83.3</v>
      </c>
      <c r="H114" s="402"/>
      <c r="I114" s="166">
        <f t="shared" si="33"/>
        <v>18</v>
      </c>
      <c r="J114" s="166">
        <f t="shared" si="34"/>
        <v>1281.1781414320124</v>
      </c>
      <c r="K114" s="180">
        <f t="shared" si="35"/>
        <v>71.176563412889564</v>
      </c>
      <c r="L114" s="402"/>
      <c r="M114" s="181">
        <f>RANK(K114, K$112:$K$141)</f>
        <v>15</v>
      </c>
      <c r="N114" s="389"/>
      <c r="O114" s="389"/>
      <c r="P114" s="182">
        <v>18</v>
      </c>
      <c r="Q114" s="166">
        <v>1242.0000000000011</v>
      </c>
      <c r="R114" s="166">
        <v>69.000000000000057</v>
      </c>
      <c r="S114" s="182">
        <f t="shared" si="36"/>
        <v>17</v>
      </c>
      <c r="T114" s="390"/>
      <c r="U114" s="182">
        <v>18</v>
      </c>
      <c r="V114" s="166">
        <v>1246.2222222222231</v>
      </c>
      <c r="W114" s="166">
        <v>69.234567901234612</v>
      </c>
      <c r="X114" s="182">
        <f t="shared" si="37"/>
        <v>17</v>
      </c>
      <c r="Y114" s="390"/>
      <c r="Z114" s="182">
        <v>18</v>
      </c>
      <c r="AA114" s="166">
        <v>1270.421052631578</v>
      </c>
      <c r="AB114" s="166">
        <v>70.578947368420998</v>
      </c>
      <c r="AC114" s="182">
        <f t="shared" si="38"/>
        <v>16</v>
      </c>
      <c r="AD114" s="390"/>
      <c r="AE114" s="182">
        <v>18</v>
      </c>
      <c r="AF114" s="166">
        <v>1275.0000000000014</v>
      </c>
      <c r="AG114" s="166">
        <v>70.833333333333414</v>
      </c>
      <c r="AH114" s="182">
        <f t="shared" si="39"/>
        <v>16</v>
      </c>
      <c r="AI114" s="390"/>
      <c r="AJ114" s="182">
        <v>18</v>
      </c>
      <c r="AK114" s="166">
        <v>1278.5294117647077</v>
      </c>
      <c r="AL114" s="166">
        <v>71.029411764705984</v>
      </c>
      <c r="AM114" s="182">
        <f t="shared" si="40"/>
        <v>16</v>
      </c>
      <c r="AN114" s="390"/>
      <c r="AO114" s="182">
        <v>18</v>
      </c>
      <c r="AP114" s="166">
        <v>1332.7058823529417</v>
      </c>
      <c r="AQ114" s="166">
        <v>74.039215686274531</v>
      </c>
      <c r="AR114" s="182">
        <f t="shared" si="41"/>
        <v>13</v>
      </c>
      <c r="AS114" s="390"/>
      <c r="AT114" s="182">
        <v>18</v>
      </c>
      <c r="AU114" s="166">
        <v>1323.3684210526326</v>
      </c>
      <c r="AV114" s="166">
        <v>73.520467836257367</v>
      </c>
      <c r="AW114" s="182">
        <f t="shared" si="42"/>
        <v>14</v>
      </c>
      <c r="AX114" s="390"/>
      <c r="AZ114" s="182" t="e">
        <f t="shared" si="43"/>
        <v>#N/A</v>
      </c>
      <c r="BA114" s="390"/>
    </row>
    <row r="115" spans="2:53">
      <c r="B115" s="395"/>
      <c r="C115" s="182">
        <v>4</v>
      </c>
      <c r="D115" s="203" t="s">
        <v>578</v>
      </c>
      <c r="E115" s="166">
        <v>18</v>
      </c>
      <c r="F115" s="182">
        <v>1500</v>
      </c>
      <c r="G115" s="180">
        <v>83.3</v>
      </c>
      <c r="H115" s="402"/>
      <c r="I115" s="166">
        <f t="shared" si="33"/>
        <v>18</v>
      </c>
      <c r="J115" s="166">
        <f t="shared" si="34"/>
        <v>1322.1426077450717</v>
      </c>
      <c r="K115" s="180">
        <f t="shared" si="35"/>
        <v>73.452367096948436</v>
      </c>
      <c r="L115" s="402"/>
      <c r="M115" s="181">
        <f>RANK(K115, K$112:$K$141)</f>
        <v>14</v>
      </c>
      <c r="N115" s="389"/>
      <c r="O115" s="389"/>
      <c r="P115" s="182">
        <v>18</v>
      </c>
      <c r="Q115" s="166">
        <v>1345.7142857142851</v>
      </c>
      <c r="R115" s="166">
        <v>74.761904761904731</v>
      </c>
      <c r="S115" s="182">
        <f t="shared" si="36"/>
        <v>12</v>
      </c>
      <c r="T115" s="390"/>
      <c r="U115" s="182">
        <v>18</v>
      </c>
      <c r="V115" s="166">
        <v>1318.4999999999995</v>
      </c>
      <c r="W115" s="166">
        <v>73.249999999999972</v>
      </c>
      <c r="X115" s="182">
        <f t="shared" si="37"/>
        <v>14</v>
      </c>
      <c r="Y115" s="390"/>
      <c r="Z115" s="182">
        <v>18</v>
      </c>
      <c r="AA115" s="166">
        <v>1324.7368421052622</v>
      </c>
      <c r="AB115" s="166">
        <v>73.596491228070121</v>
      </c>
      <c r="AC115" s="182">
        <f t="shared" si="38"/>
        <v>14</v>
      </c>
      <c r="AD115" s="390"/>
      <c r="AE115" s="182">
        <v>18</v>
      </c>
      <c r="AF115" s="166">
        <v>1321.8181818181802</v>
      </c>
      <c r="AG115" s="166">
        <v>73.434343434343347</v>
      </c>
      <c r="AH115" s="182">
        <f t="shared" si="39"/>
        <v>14</v>
      </c>
      <c r="AI115" s="390"/>
      <c r="AJ115" s="182">
        <v>18</v>
      </c>
      <c r="AK115" s="166">
        <v>1323.1578947368412</v>
      </c>
      <c r="AL115" s="166">
        <v>73.508771929824505</v>
      </c>
      <c r="AM115" s="182">
        <f t="shared" si="40"/>
        <v>14</v>
      </c>
      <c r="AN115" s="390"/>
      <c r="AO115" s="182">
        <v>18</v>
      </c>
      <c r="AP115" s="166">
        <v>1325.853658536585</v>
      </c>
      <c r="AQ115" s="166">
        <v>73.658536585365837</v>
      </c>
      <c r="AR115" s="182">
        <f t="shared" si="41"/>
        <v>14</v>
      </c>
      <c r="AS115" s="390"/>
      <c r="AT115" s="182">
        <v>18</v>
      </c>
      <c r="AU115" s="166">
        <v>1295.2173913043478</v>
      </c>
      <c r="AV115" s="166">
        <v>71.956521739130437</v>
      </c>
      <c r="AW115" s="182">
        <f t="shared" si="42"/>
        <v>15</v>
      </c>
      <c r="AX115" s="390"/>
      <c r="AZ115" s="182" t="e">
        <f t="shared" si="43"/>
        <v>#N/A</v>
      </c>
      <c r="BA115" s="390"/>
    </row>
    <row r="116" spans="2:53">
      <c r="B116" s="395"/>
      <c r="C116" s="182">
        <v>5</v>
      </c>
      <c r="D116" s="203" t="s">
        <v>348</v>
      </c>
      <c r="E116" s="166">
        <v>16</v>
      </c>
      <c r="F116" s="182">
        <v>1565</v>
      </c>
      <c r="G116" s="180">
        <v>97.8</v>
      </c>
      <c r="H116" s="402"/>
      <c r="I116" s="166">
        <f t="shared" si="33"/>
        <v>16</v>
      </c>
      <c r="J116" s="166">
        <f t="shared" si="34"/>
        <v>1385.9637553718862</v>
      </c>
      <c r="K116" s="180">
        <f t="shared" si="35"/>
        <v>86.62273471074289</v>
      </c>
      <c r="L116" s="402"/>
      <c r="M116" s="181">
        <f>RANK(K116, K$112:$K$141)</f>
        <v>4</v>
      </c>
      <c r="N116" s="389"/>
      <c r="O116" s="389"/>
      <c r="P116" s="182">
        <v>16</v>
      </c>
      <c r="Q116" s="166">
        <v>1367.3684210526305</v>
      </c>
      <c r="R116" s="166">
        <v>85.460526315789409</v>
      </c>
      <c r="S116" s="182">
        <f t="shared" si="36"/>
        <v>5</v>
      </c>
      <c r="T116" s="390"/>
      <c r="U116" s="182">
        <v>16</v>
      </c>
      <c r="V116" s="166">
        <v>1377.2727272727286</v>
      </c>
      <c r="W116" s="166">
        <v>86.079545454545539</v>
      </c>
      <c r="X116" s="182">
        <f t="shared" si="37"/>
        <v>6</v>
      </c>
      <c r="Y116" s="390"/>
      <c r="Z116" s="182">
        <v>16</v>
      </c>
      <c r="AA116" s="166">
        <v>1370.1639344262308</v>
      </c>
      <c r="AB116" s="166">
        <v>85.635245901639422</v>
      </c>
      <c r="AC116" s="182">
        <f t="shared" si="38"/>
        <v>4</v>
      </c>
      <c r="AD116" s="390"/>
      <c r="AE116" s="182">
        <v>16</v>
      </c>
      <c r="AF116" s="166">
        <v>1398.6206896551735</v>
      </c>
      <c r="AG116" s="166">
        <v>87.413793103448342</v>
      </c>
      <c r="AH116" s="182">
        <f t="shared" si="39"/>
        <v>5</v>
      </c>
      <c r="AI116" s="390"/>
      <c r="AJ116" s="182">
        <v>16</v>
      </c>
      <c r="AK116" s="166">
        <v>1381.8750000000016</v>
      </c>
      <c r="AL116" s="166">
        <v>86.367187500000099</v>
      </c>
      <c r="AM116" s="182">
        <f t="shared" si="40"/>
        <v>6</v>
      </c>
      <c r="AN116" s="390"/>
      <c r="AO116" s="182">
        <v>16</v>
      </c>
      <c r="AP116" s="166">
        <v>1401.971830985914</v>
      </c>
      <c r="AQ116" s="166">
        <v>87.623239436619627</v>
      </c>
      <c r="AR116" s="182">
        <f t="shared" si="41"/>
        <v>5</v>
      </c>
      <c r="AS116" s="390"/>
      <c r="AT116" s="182">
        <v>16</v>
      </c>
      <c r="AU116" s="166">
        <v>1404.4736842105253</v>
      </c>
      <c r="AV116" s="166">
        <v>87.779605263157833</v>
      </c>
      <c r="AW116" s="182">
        <f t="shared" si="42"/>
        <v>4</v>
      </c>
      <c r="AX116" s="390"/>
      <c r="AZ116" s="182" t="e">
        <f t="shared" si="43"/>
        <v>#N/A</v>
      </c>
      <c r="BA116" s="390"/>
    </row>
    <row r="117" spans="2:53">
      <c r="B117" s="395"/>
      <c r="C117" s="182">
        <v>6</v>
      </c>
      <c r="D117" s="203" t="s">
        <v>579</v>
      </c>
      <c r="E117" s="166">
        <v>21</v>
      </c>
      <c r="F117" s="182">
        <v>1500</v>
      </c>
      <c r="G117" s="180">
        <v>71.400000000000006</v>
      </c>
      <c r="H117" s="402"/>
      <c r="I117" s="166">
        <f t="shared" si="33"/>
        <v>21</v>
      </c>
      <c r="J117" s="166">
        <f t="shared" si="34"/>
        <v>1322.0652412573138</v>
      </c>
      <c r="K117" s="180">
        <f t="shared" si="35"/>
        <v>62.955487678919688</v>
      </c>
      <c r="L117" s="402"/>
      <c r="M117" s="181">
        <f>RANK(K117, K$112:$K$141)</f>
        <v>20</v>
      </c>
      <c r="N117" s="389"/>
      <c r="O117" s="389"/>
      <c r="P117" s="182">
        <v>21</v>
      </c>
      <c r="Q117" s="166">
        <v>1324.090909090909</v>
      </c>
      <c r="R117" s="166">
        <v>63.051948051948045</v>
      </c>
      <c r="S117" s="182">
        <f t="shared" si="36"/>
        <v>20</v>
      </c>
      <c r="T117" s="390"/>
      <c r="U117" s="182">
        <v>21</v>
      </c>
      <c r="V117" s="166">
        <v>1326.4864864864855</v>
      </c>
      <c r="W117" s="166">
        <v>63.166023166023123</v>
      </c>
      <c r="X117" s="182">
        <f t="shared" si="37"/>
        <v>20</v>
      </c>
      <c r="Y117" s="390"/>
      <c r="Z117" s="182">
        <v>21</v>
      </c>
      <c r="AA117" s="166">
        <v>1308.3333333333323</v>
      </c>
      <c r="AB117" s="166">
        <v>62.301587301587254</v>
      </c>
      <c r="AC117" s="182">
        <f t="shared" si="38"/>
        <v>20</v>
      </c>
      <c r="AD117" s="390"/>
      <c r="AE117" s="182">
        <v>21</v>
      </c>
      <c r="AF117" s="166">
        <v>1306.8749999999982</v>
      </c>
      <c r="AG117" s="166">
        <v>62.232142857142769</v>
      </c>
      <c r="AH117" s="182">
        <f t="shared" si="39"/>
        <v>21</v>
      </c>
      <c r="AI117" s="390"/>
      <c r="AJ117" s="182">
        <v>21</v>
      </c>
      <c r="AK117" s="166">
        <v>1328.1081081081072</v>
      </c>
      <c r="AL117" s="166">
        <v>63.243243243243199</v>
      </c>
      <c r="AM117" s="182">
        <f t="shared" si="40"/>
        <v>20</v>
      </c>
      <c r="AN117" s="390"/>
      <c r="AO117" s="182">
        <v>21</v>
      </c>
      <c r="AP117" s="166">
        <v>1321.538461538461</v>
      </c>
      <c r="AQ117" s="166">
        <v>62.930402930402906</v>
      </c>
      <c r="AR117" s="182">
        <f t="shared" si="41"/>
        <v>19</v>
      </c>
      <c r="AS117" s="390"/>
      <c r="AT117" s="182">
        <v>21</v>
      </c>
      <c r="AU117" s="166">
        <v>1339.024390243902</v>
      </c>
      <c r="AV117" s="166">
        <v>63.76306620209057</v>
      </c>
      <c r="AW117" s="182">
        <f t="shared" si="42"/>
        <v>20</v>
      </c>
      <c r="AX117" s="390"/>
      <c r="AZ117" s="182" t="e">
        <f t="shared" si="43"/>
        <v>#N/A</v>
      </c>
      <c r="BA117" s="390"/>
    </row>
    <row r="118" spans="2:53">
      <c r="B118" s="395"/>
      <c r="C118" s="182">
        <v>7</v>
      </c>
      <c r="D118" s="203" t="s">
        <v>660</v>
      </c>
      <c r="E118" s="166">
        <v>20</v>
      </c>
      <c r="F118" s="182">
        <v>1300</v>
      </c>
      <c r="G118" s="180">
        <v>65</v>
      </c>
      <c r="H118" s="402"/>
      <c r="I118" s="166">
        <f t="shared" si="33"/>
        <v>20</v>
      </c>
      <c r="J118" s="166">
        <f t="shared" si="34"/>
        <v>1076.7409506946772</v>
      </c>
      <c r="K118" s="180">
        <f t="shared" si="35"/>
        <v>53.837047534733856</v>
      </c>
      <c r="L118" s="402"/>
      <c r="M118" s="181">
        <f>RANK(K118, K$112:$K$141)</f>
        <v>22</v>
      </c>
      <c r="N118" s="389"/>
      <c r="O118" s="389"/>
      <c r="P118" s="182">
        <v>20</v>
      </c>
      <c r="Q118" s="166">
        <v>1091.538461538461</v>
      </c>
      <c r="R118" s="166">
        <v>54.576923076923052</v>
      </c>
      <c r="S118" s="182">
        <f t="shared" si="36"/>
        <v>22</v>
      </c>
      <c r="T118" s="390"/>
      <c r="U118" s="182">
        <v>20</v>
      </c>
      <c r="V118" s="166">
        <v>1080.7999999999993</v>
      </c>
      <c r="W118" s="166">
        <v>54.039999999999964</v>
      </c>
      <c r="X118" s="182">
        <f t="shared" si="37"/>
        <v>22</v>
      </c>
      <c r="Y118" s="390"/>
      <c r="Z118" s="182">
        <v>20</v>
      </c>
      <c r="AA118" s="166">
        <v>1070.0000000000011</v>
      </c>
      <c r="AB118" s="166">
        <v>53.500000000000057</v>
      </c>
      <c r="AC118" s="182">
        <f t="shared" si="38"/>
        <v>22</v>
      </c>
      <c r="AD118" s="390"/>
      <c r="AE118" s="182">
        <v>20</v>
      </c>
      <c r="AF118" s="166">
        <v>1074.8275862068958</v>
      </c>
      <c r="AG118" s="166">
        <v>53.74137931034479</v>
      </c>
      <c r="AH118" s="182">
        <f t="shared" si="39"/>
        <v>22</v>
      </c>
      <c r="AI118" s="390"/>
      <c r="AJ118" s="182">
        <v>20</v>
      </c>
      <c r="AK118" s="166">
        <v>1077.0967741935492</v>
      </c>
      <c r="AL118" s="166">
        <v>53.854838709677459</v>
      </c>
      <c r="AM118" s="182">
        <f t="shared" si="40"/>
        <v>22</v>
      </c>
      <c r="AN118" s="390"/>
      <c r="AO118" s="182">
        <v>20</v>
      </c>
      <c r="AP118" s="166">
        <v>1064.5454545454556</v>
      </c>
      <c r="AQ118" s="166">
        <v>53.227272727272783</v>
      </c>
      <c r="AR118" s="182">
        <f t="shared" si="41"/>
        <v>21</v>
      </c>
      <c r="AS118" s="390"/>
      <c r="AT118" s="182">
        <v>20</v>
      </c>
      <c r="AU118" s="166">
        <v>1078.3783783783774</v>
      </c>
      <c r="AV118" s="166">
        <v>53.91891891891887</v>
      </c>
      <c r="AW118" s="182">
        <f t="shared" si="42"/>
        <v>22</v>
      </c>
      <c r="AX118" s="390"/>
      <c r="AZ118" s="182" t="e">
        <f t="shared" si="43"/>
        <v>#N/A</v>
      </c>
      <c r="BA118" s="390"/>
    </row>
    <row r="119" spans="2:53">
      <c r="B119" s="395"/>
      <c r="C119" s="182">
        <v>8</v>
      </c>
      <c r="D119" s="203" t="s">
        <v>730</v>
      </c>
      <c r="E119" s="166">
        <v>16</v>
      </c>
      <c r="F119" s="182">
        <v>1500</v>
      </c>
      <c r="G119" s="180">
        <v>93.8</v>
      </c>
      <c r="H119" s="402"/>
      <c r="I119" s="166">
        <f t="shared" si="33"/>
        <v>16</v>
      </c>
      <c r="J119" s="166">
        <f t="shared" si="34"/>
        <v>1233.9081882379726</v>
      </c>
      <c r="K119" s="180">
        <f t="shared" si="35"/>
        <v>77.119261764873286</v>
      </c>
      <c r="L119" s="402"/>
      <c r="M119" s="181">
        <f>RANK(K119, K$112:$K$141)</f>
        <v>11</v>
      </c>
      <c r="N119" s="389"/>
      <c r="O119" s="389"/>
      <c r="P119" s="182">
        <v>16</v>
      </c>
      <c r="Q119" s="166">
        <v>1193.6470588235293</v>
      </c>
      <c r="R119" s="166">
        <v>74.60294117647058</v>
      </c>
      <c r="S119" s="182">
        <f t="shared" si="36"/>
        <v>13</v>
      </c>
      <c r="T119" s="390"/>
      <c r="U119" s="182">
        <v>16</v>
      </c>
      <c r="V119" s="166">
        <v>1237.4025974025967</v>
      </c>
      <c r="W119" s="166">
        <v>77.337662337662294</v>
      </c>
      <c r="X119" s="182">
        <f t="shared" si="37"/>
        <v>13</v>
      </c>
      <c r="Y119" s="390"/>
      <c r="Z119" s="182">
        <v>16</v>
      </c>
      <c r="AA119" s="166">
        <v>1200.76923076923</v>
      </c>
      <c r="AB119" s="166">
        <v>75.048076923076877</v>
      </c>
      <c r="AC119" s="182">
        <f t="shared" si="38"/>
        <v>13</v>
      </c>
      <c r="AD119" s="390"/>
      <c r="AE119" s="182">
        <v>16</v>
      </c>
      <c r="AF119" s="166">
        <v>1209.2307692307691</v>
      </c>
      <c r="AG119" s="166">
        <v>75.576923076923066</v>
      </c>
      <c r="AH119" s="182">
        <f t="shared" si="39"/>
        <v>13</v>
      </c>
      <c r="AI119" s="390"/>
      <c r="AJ119" s="182">
        <v>16</v>
      </c>
      <c r="AK119" s="166">
        <v>1205.934065934066</v>
      </c>
      <c r="AL119" s="166">
        <v>75.370879120879124</v>
      </c>
      <c r="AM119" s="182">
        <f t="shared" si="40"/>
        <v>13</v>
      </c>
      <c r="AN119" s="390"/>
      <c r="AO119" s="182">
        <v>16</v>
      </c>
      <c r="AP119" s="166">
        <v>1349.2499999999995</v>
      </c>
      <c r="AQ119" s="166">
        <v>84.328124999999972</v>
      </c>
      <c r="AR119" s="182">
        <f t="shared" si="41"/>
        <v>7</v>
      </c>
      <c r="AS119" s="390"/>
      <c r="AT119" s="182">
        <v>16</v>
      </c>
      <c r="AU119" s="166">
        <v>1241.1235955056179</v>
      </c>
      <c r="AV119" s="166">
        <v>77.57022471910112</v>
      </c>
      <c r="AW119" s="182">
        <f t="shared" si="42"/>
        <v>13</v>
      </c>
      <c r="AX119" s="390"/>
      <c r="AZ119" s="182" t="e">
        <f t="shared" si="43"/>
        <v>#N/A</v>
      </c>
      <c r="BA119" s="390"/>
    </row>
    <row r="120" spans="2:53">
      <c r="B120" s="395"/>
      <c r="C120" s="182">
        <v>9</v>
      </c>
      <c r="D120" s="203" t="s">
        <v>606</v>
      </c>
      <c r="E120" s="166">
        <v>16</v>
      </c>
      <c r="F120" s="182">
        <v>1440</v>
      </c>
      <c r="G120" s="180">
        <v>90</v>
      </c>
      <c r="H120" s="402"/>
      <c r="I120" s="166">
        <f t="shared" si="33"/>
        <v>16</v>
      </c>
      <c r="J120" s="166">
        <f t="shared" si="34"/>
        <v>1336.31389975506</v>
      </c>
      <c r="K120" s="180">
        <f t="shared" si="35"/>
        <v>83.51961873469125</v>
      </c>
      <c r="L120" s="402"/>
      <c r="M120" s="181">
        <f>RANK(K120, K$112:$K$141)</f>
        <v>6</v>
      </c>
      <c r="N120" s="389"/>
      <c r="O120" s="389"/>
      <c r="P120" s="182">
        <v>16</v>
      </c>
      <c r="Q120" s="166">
        <v>1344.2857142857138</v>
      </c>
      <c r="R120" s="166">
        <v>84.01785714285711</v>
      </c>
      <c r="S120" s="182">
        <f t="shared" si="36"/>
        <v>7</v>
      </c>
      <c r="T120" s="390"/>
      <c r="U120" s="182">
        <v>16</v>
      </c>
      <c r="V120" s="166">
        <v>1357.2972972972962</v>
      </c>
      <c r="W120" s="166">
        <v>84.83108108108101</v>
      </c>
      <c r="X120" s="182">
        <f t="shared" si="37"/>
        <v>7</v>
      </c>
      <c r="Y120" s="390"/>
      <c r="Z120" s="182">
        <v>16</v>
      </c>
      <c r="AA120" s="166">
        <v>1319.9999999999989</v>
      </c>
      <c r="AB120" s="166">
        <v>82.499999999999929</v>
      </c>
      <c r="AC120" s="182">
        <f t="shared" si="38"/>
        <v>6</v>
      </c>
      <c r="AD120" s="390"/>
      <c r="AE120" s="182">
        <v>16</v>
      </c>
      <c r="AF120" s="166">
        <v>1326.3157894736833</v>
      </c>
      <c r="AG120" s="166">
        <v>82.894736842105203</v>
      </c>
      <c r="AH120" s="182">
        <f t="shared" si="39"/>
        <v>6</v>
      </c>
      <c r="AI120" s="390"/>
      <c r="AJ120" s="182">
        <v>16</v>
      </c>
      <c r="AK120" s="166">
        <v>1331.3513513513503</v>
      </c>
      <c r="AL120" s="166">
        <v>83.209459459459396</v>
      </c>
      <c r="AM120" s="182">
        <f t="shared" si="40"/>
        <v>7</v>
      </c>
      <c r="AN120" s="390"/>
      <c r="AO120" s="182">
        <v>16</v>
      </c>
      <c r="AP120" s="166">
        <v>1357.674418604651</v>
      </c>
      <c r="AQ120" s="166">
        <v>84.854651162790688</v>
      </c>
      <c r="AR120" s="182">
        <f t="shared" si="41"/>
        <v>6</v>
      </c>
      <c r="AS120" s="390"/>
      <c r="AT120" s="182">
        <v>16</v>
      </c>
      <c r="AU120" s="166">
        <v>1317.2727272727273</v>
      </c>
      <c r="AV120" s="166">
        <v>82.329545454545453</v>
      </c>
      <c r="AW120" s="182">
        <f t="shared" si="42"/>
        <v>7</v>
      </c>
      <c r="AX120" s="390"/>
      <c r="AZ120" s="182" t="e">
        <f t="shared" si="43"/>
        <v>#N/A</v>
      </c>
      <c r="BA120" s="390"/>
    </row>
    <row r="121" spans="2:53">
      <c r="B121" s="395"/>
      <c r="C121" s="182">
        <v>10</v>
      </c>
      <c r="D121" s="203" t="s">
        <v>607</v>
      </c>
      <c r="E121" s="166">
        <v>18</v>
      </c>
      <c r="F121" s="182">
        <v>1636</v>
      </c>
      <c r="G121" s="180">
        <v>90.9</v>
      </c>
      <c r="H121" s="402"/>
      <c r="I121" s="166">
        <f t="shared" si="33"/>
        <v>18</v>
      </c>
      <c r="J121" s="166">
        <f t="shared" si="34"/>
        <v>1435.6275239942966</v>
      </c>
      <c r="K121" s="180">
        <f t="shared" si="35"/>
        <v>79.757084666349812</v>
      </c>
      <c r="L121" s="402"/>
      <c r="M121" s="181">
        <f>RANK(K121, K$112:$K$141)</f>
        <v>8</v>
      </c>
      <c r="N121" s="389"/>
      <c r="O121" s="389"/>
      <c r="P121" s="182">
        <v>18</v>
      </c>
      <c r="Q121" s="166">
        <v>1463.3898305084758</v>
      </c>
      <c r="R121" s="166">
        <v>81.299435028248652</v>
      </c>
      <c r="S121" s="182">
        <f t="shared" si="36"/>
        <v>8</v>
      </c>
      <c r="T121" s="390"/>
      <c r="U121" s="182">
        <v>18</v>
      </c>
      <c r="V121" s="166">
        <v>1416.4705882352946</v>
      </c>
      <c r="W121" s="166">
        <v>78.692810457516373</v>
      </c>
      <c r="X121" s="182">
        <f t="shared" si="37"/>
        <v>12</v>
      </c>
      <c r="Y121" s="390"/>
      <c r="Z121" s="182">
        <v>18</v>
      </c>
      <c r="AA121" s="166">
        <v>1418.1818181818182</v>
      </c>
      <c r="AB121" s="166">
        <v>78.787878787878796</v>
      </c>
      <c r="AC121" s="182">
        <f t="shared" si="38"/>
        <v>9</v>
      </c>
      <c r="AD121" s="390"/>
      <c r="AE121" s="182">
        <v>18</v>
      </c>
      <c r="AF121" s="166">
        <v>1417.2000000000005</v>
      </c>
      <c r="AG121" s="166">
        <v>78.733333333333363</v>
      </c>
      <c r="AH121" s="182">
        <f t="shared" si="39"/>
        <v>10</v>
      </c>
      <c r="AI121" s="390"/>
      <c r="AJ121" s="182">
        <v>18</v>
      </c>
      <c r="AK121" s="166">
        <v>1447.2000000000005</v>
      </c>
      <c r="AL121" s="166">
        <v>80.400000000000034</v>
      </c>
      <c r="AM121" s="182">
        <f t="shared" si="40"/>
        <v>9</v>
      </c>
      <c r="AN121" s="390"/>
      <c r="AO121" s="182">
        <v>18</v>
      </c>
      <c r="AP121" s="166">
        <v>1474.1379310344839</v>
      </c>
      <c r="AQ121" s="166">
        <v>81.896551724137993</v>
      </c>
      <c r="AR121" s="182">
        <f t="shared" si="41"/>
        <v>8</v>
      </c>
      <c r="AS121" s="390"/>
      <c r="AT121" s="182">
        <v>18</v>
      </c>
      <c r="AU121" s="166">
        <v>1412.8125000000016</v>
      </c>
      <c r="AV121" s="166">
        <v>78.489583333333428</v>
      </c>
      <c r="AW121" s="182">
        <f t="shared" si="42"/>
        <v>11</v>
      </c>
      <c r="AX121" s="390"/>
      <c r="AZ121" s="182" t="e">
        <f t="shared" si="43"/>
        <v>#N/A</v>
      </c>
      <c r="BA121" s="390"/>
    </row>
    <row r="122" spans="2:53">
      <c r="B122" s="395"/>
      <c r="C122" s="182">
        <v>11</v>
      </c>
      <c r="D122" s="203" t="s">
        <v>608</v>
      </c>
      <c r="E122" s="166">
        <v>18</v>
      </c>
      <c r="F122" s="182">
        <v>1636</v>
      </c>
      <c r="G122" s="180">
        <v>90.9</v>
      </c>
      <c r="H122" s="402"/>
      <c r="I122" s="166">
        <f t="shared" si="33"/>
        <v>18</v>
      </c>
      <c r="J122" s="166">
        <f t="shared" si="34"/>
        <v>1434.8106022896959</v>
      </c>
      <c r="K122" s="180">
        <f t="shared" si="35"/>
        <v>79.711700127205333</v>
      </c>
      <c r="L122" s="402"/>
      <c r="M122" s="181">
        <f>RANK(K122, K$112:$K$141)</f>
        <v>9</v>
      </c>
      <c r="N122" s="389"/>
      <c r="O122" s="389"/>
      <c r="P122" s="182">
        <v>18</v>
      </c>
      <c r="Q122" s="166">
        <v>1422.5000000000005</v>
      </c>
      <c r="R122" s="166">
        <v>79.0277777777778</v>
      </c>
      <c r="S122" s="182">
        <f t="shared" si="36"/>
        <v>11</v>
      </c>
      <c r="T122" s="390"/>
      <c r="U122" s="182">
        <v>18</v>
      </c>
      <c r="V122" s="166">
        <v>1430.9999999999995</v>
      </c>
      <c r="W122" s="166">
        <v>79.499999999999972</v>
      </c>
      <c r="X122" s="182">
        <f t="shared" si="37"/>
        <v>9</v>
      </c>
      <c r="Y122" s="390"/>
      <c r="Z122" s="182">
        <v>18</v>
      </c>
      <c r="AA122" s="166">
        <v>1410.8571428571415</v>
      </c>
      <c r="AB122" s="166">
        <v>78.380952380952309</v>
      </c>
      <c r="AC122" s="182">
        <f t="shared" si="38"/>
        <v>10</v>
      </c>
      <c r="AD122" s="390"/>
      <c r="AE122" s="182">
        <v>18</v>
      </c>
      <c r="AF122" s="166">
        <v>1447.3170731707312</v>
      </c>
      <c r="AG122" s="166">
        <v>80.406504065040622</v>
      </c>
      <c r="AH122" s="182">
        <f t="shared" si="39"/>
        <v>8</v>
      </c>
      <c r="AI122" s="390"/>
      <c r="AJ122" s="182">
        <v>18</v>
      </c>
      <c r="AK122" s="166">
        <v>1436.9999999999995</v>
      </c>
      <c r="AL122" s="166">
        <v>79.833333333333314</v>
      </c>
      <c r="AM122" s="182">
        <f t="shared" si="40"/>
        <v>10</v>
      </c>
      <c r="AN122" s="390"/>
      <c r="AO122" s="182">
        <v>18</v>
      </c>
      <c r="AP122" s="166">
        <v>1448.7500000000005</v>
      </c>
      <c r="AQ122" s="166">
        <v>80.486111111111143</v>
      </c>
      <c r="AR122" s="182">
        <f t="shared" si="41"/>
        <v>10</v>
      </c>
      <c r="AS122" s="390"/>
      <c r="AT122" s="182">
        <v>18</v>
      </c>
      <c r="AU122" s="166">
        <v>1446.2500000000005</v>
      </c>
      <c r="AV122" s="166">
        <v>80.347222222222243</v>
      </c>
      <c r="AW122" s="182">
        <f t="shared" si="42"/>
        <v>9</v>
      </c>
      <c r="AX122" s="390"/>
      <c r="AZ122" s="182" t="e">
        <f t="shared" si="43"/>
        <v>#N/A</v>
      </c>
      <c r="BA122" s="390"/>
    </row>
    <row r="123" spans="2:53">
      <c r="B123" s="395"/>
      <c r="C123" s="182">
        <v>12</v>
      </c>
      <c r="D123" s="203" t="s">
        <v>336</v>
      </c>
      <c r="E123" s="166">
        <v>17</v>
      </c>
      <c r="F123" s="182">
        <v>1500</v>
      </c>
      <c r="G123" s="180">
        <v>88.2</v>
      </c>
      <c r="H123" s="402"/>
      <c r="I123" s="166">
        <f t="shared" si="33"/>
        <v>17</v>
      </c>
      <c r="J123" s="166">
        <f t="shared" si="34"/>
        <v>1387.8293949158601</v>
      </c>
      <c r="K123" s="180">
        <f t="shared" si="35"/>
        <v>81.637023230344724</v>
      </c>
      <c r="L123" s="402"/>
      <c r="M123" s="181">
        <f>RANK(K123, K$112:$K$141)</f>
        <v>7</v>
      </c>
      <c r="N123" s="389"/>
      <c r="O123" s="389"/>
      <c r="P123" s="182">
        <v>17</v>
      </c>
      <c r="Q123" s="166">
        <v>1375.7142857142851</v>
      </c>
      <c r="R123" s="166">
        <v>80.924369747899121</v>
      </c>
      <c r="S123" s="182">
        <f t="shared" si="36"/>
        <v>10</v>
      </c>
      <c r="T123" s="390"/>
      <c r="U123" s="182">
        <v>17</v>
      </c>
      <c r="V123" s="166">
        <v>1394.2105263157885</v>
      </c>
      <c r="W123" s="166">
        <v>82.012383900928739</v>
      </c>
      <c r="X123" s="182">
        <f t="shared" si="37"/>
        <v>8</v>
      </c>
      <c r="Y123" s="390"/>
      <c r="Z123" s="182">
        <v>17</v>
      </c>
      <c r="AA123" s="166">
        <v>1379.9999999999982</v>
      </c>
      <c r="AB123" s="166">
        <v>81.17647058823519</v>
      </c>
      <c r="AC123" s="182">
        <f t="shared" si="38"/>
        <v>7</v>
      </c>
      <c r="AD123" s="390"/>
      <c r="AE123" s="182">
        <v>17</v>
      </c>
      <c r="AF123" s="166">
        <v>1393.7142857142844</v>
      </c>
      <c r="AG123" s="166">
        <v>81.983193277310846</v>
      </c>
      <c r="AH123" s="182">
        <f t="shared" si="39"/>
        <v>7</v>
      </c>
      <c r="AI123" s="390"/>
      <c r="AJ123" s="182">
        <v>17</v>
      </c>
      <c r="AK123" s="166">
        <v>1391.6666666666656</v>
      </c>
      <c r="AL123" s="166">
        <v>81.862745098039156</v>
      </c>
      <c r="AM123" s="182">
        <f t="shared" si="40"/>
        <v>8</v>
      </c>
      <c r="AN123" s="390"/>
      <c r="AO123" s="182">
        <v>17</v>
      </c>
      <c r="AP123" s="166">
        <v>1388.9999999999995</v>
      </c>
      <c r="AQ123" s="166">
        <v>81.705882352941146</v>
      </c>
      <c r="AR123" s="182">
        <f t="shared" si="41"/>
        <v>9</v>
      </c>
      <c r="AS123" s="390"/>
      <c r="AT123" s="182">
        <v>17</v>
      </c>
      <c r="AU123" s="166">
        <v>1390.4999999999993</v>
      </c>
      <c r="AV123" s="166">
        <v>81.794117647058783</v>
      </c>
      <c r="AW123" s="182">
        <f t="shared" si="42"/>
        <v>8</v>
      </c>
      <c r="AX123" s="390"/>
      <c r="AZ123" s="182" t="e">
        <f t="shared" si="43"/>
        <v>#N/A</v>
      </c>
      <c r="BA123" s="390"/>
    </row>
    <row r="124" spans="2:53">
      <c r="B124" s="395"/>
      <c r="C124" s="182">
        <v>13</v>
      </c>
      <c r="D124" s="203" t="s">
        <v>531</v>
      </c>
      <c r="E124" s="166">
        <v>20</v>
      </c>
      <c r="F124" s="182">
        <v>1440</v>
      </c>
      <c r="G124" s="180">
        <v>72</v>
      </c>
      <c r="H124" s="402"/>
      <c r="I124" s="166">
        <f t="shared" si="33"/>
        <v>20</v>
      </c>
      <c r="J124" s="166">
        <f t="shared" si="34"/>
        <v>1341.2962974128586</v>
      </c>
      <c r="K124" s="180">
        <f t="shared" si="35"/>
        <v>67.064814870642948</v>
      </c>
      <c r="L124" s="402"/>
      <c r="M124" s="181">
        <f>RANK(K124, K$112:$K$141)</f>
        <v>18</v>
      </c>
      <c r="N124" s="389"/>
      <c r="O124" s="389"/>
      <c r="P124" s="182">
        <v>20</v>
      </c>
      <c r="Q124" s="166">
        <v>1336.799999999999</v>
      </c>
      <c r="R124" s="166">
        <v>66.839999999999947</v>
      </c>
      <c r="S124" s="182">
        <f t="shared" si="36"/>
        <v>18</v>
      </c>
      <c r="T124" s="390"/>
      <c r="U124" s="182">
        <v>20</v>
      </c>
      <c r="V124" s="166">
        <v>1335.6923076923092</v>
      </c>
      <c r="W124" s="166">
        <v>66.784615384615464</v>
      </c>
      <c r="X124" s="182">
        <f t="shared" si="37"/>
        <v>18</v>
      </c>
      <c r="Y124" s="390"/>
      <c r="Z124" s="182">
        <v>20</v>
      </c>
      <c r="AA124" s="166">
        <v>1357.9591836734696</v>
      </c>
      <c r="AB124" s="166">
        <v>67.897959183673478</v>
      </c>
      <c r="AC124" s="182">
        <f t="shared" si="38"/>
        <v>18</v>
      </c>
      <c r="AD124" s="390"/>
      <c r="AE124" s="182">
        <v>20</v>
      </c>
      <c r="AF124" s="166">
        <v>1332.8571428571438</v>
      </c>
      <c r="AG124" s="166">
        <v>66.642857142857196</v>
      </c>
      <c r="AH124" s="182">
        <f t="shared" si="39"/>
        <v>18</v>
      </c>
      <c r="AI124" s="390"/>
      <c r="AJ124" s="182">
        <v>20</v>
      </c>
      <c r="AK124" s="166">
        <v>1338.6885245901651</v>
      </c>
      <c r="AL124" s="166">
        <v>66.934426229508261</v>
      </c>
      <c r="AM124" s="182">
        <f t="shared" si="40"/>
        <v>19</v>
      </c>
      <c r="AN124" s="390"/>
      <c r="AO124" s="182">
        <v>20</v>
      </c>
      <c r="AP124" s="166">
        <v>1355.0769230769247</v>
      </c>
      <c r="AQ124" s="166">
        <v>67.75384615384624</v>
      </c>
      <c r="AR124" s="182">
        <f t="shared" si="41"/>
        <v>17</v>
      </c>
      <c r="AS124" s="390"/>
      <c r="AT124" s="182">
        <v>20</v>
      </c>
      <c r="AU124" s="166">
        <v>1331.9999999999998</v>
      </c>
      <c r="AV124" s="166">
        <v>66.599999999999994</v>
      </c>
      <c r="AW124" s="182">
        <f t="shared" si="42"/>
        <v>18</v>
      </c>
      <c r="AX124" s="390"/>
      <c r="AZ124" s="182" t="e">
        <f t="shared" si="43"/>
        <v>#N/A</v>
      </c>
      <c r="BA124" s="390"/>
    </row>
    <row r="125" spans="2:53">
      <c r="B125" s="395"/>
      <c r="C125" s="182">
        <v>14</v>
      </c>
      <c r="D125" s="203" t="s">
        <v>349</v>
      </c>
      <c r="E125" s="166">
        <v>14</v>
      </c>
      <c r="F125" s="182">
        <v>1440</v>
      </c>
      <c r="G125" s="180">
        <v>102.9</v>
      </c>
      <c r="H125" s="402"/>
      <c r="I125" s="166">
        <f t="shared" si="33"/>
        <v>15</v>
      </c>
      <c r="J125" s="166">
        <f t="shared" si="34"/>
        <v>1344.2634403101413</v>
      </c>
      <c r="K125" s="180">
        <f t="shared" si="35"/>
        <v>89.617562687342755</v>
      </c>
      <c r="L125" s="402"/>
      <c r="M125" s="181">
        <f>RANK(K125, K$112:$K$141)</f>
        <v>3</v>
      </c>
      <c r="N125" s="389"/>
      <c r="O125" s="389"/>
      <c r="P125" s="182">
        <v>15</v>
      </c>
      <c r="Q125" s="166">
        <v>1361.6949152542386</v>
      </c>
      <c r="R125" s="166">
        <v>90.779661016949234</v>
      </c>
      <c r="S125" s="182">
        <f t="shared" si="36"/>
        <v>3</v>
      </c>
      <c r="T125" s="390"/>
      <c r="U125" s="182">
        <v>15</v>
      </c>
      <c r="V125" s="166">
        <v>1330.0000000000007</v>
      </c>
      <c r="W125" s="166">
        <v>88.666666666666714</v>
      </c>
      <c r="X125" s="182">
        <f t="shared" si="37"/>
        <v>5</v>
      </c>
      <c r="Y125" s="390"/>
      <c r="Z125" s="182">
        <v>15</v>
      </c>
      <c r="AA125" s="166">
        <v>1348.4999999999995</v>
      </c>
      <c r="AB125" s="166">
        <v>89.899999999999963</v>
      </c>
      <c r="AC125" s="182">
        <f t="shared" si="38"/>
        <v>3</v>
      </c>
      <c r="AD125" s="390"/>
      <c r="AE125" s="182">
        <v>15</v>
      </c>
      <c r="AF125" s="166">
        <v>1334.0425531914896</v>
      </c>
      <c r="AG125" s="166">
        <v>88.936170212765973</v>
      </c>
      <c r="AH125" s="182">
        <f t="shared" si="39"/>
        <v>4</v>
      </c>
      <c r="AI125" s="390"/>
      <c r="AJ125" s="182">
        <v>15</v>
      </c>
      <c r="AK125" s="166">
        <v>1337.3076923076931</v>
      </c>
      <c r="AL125" s="166">
        <v>89.153846153846203</v>
      </c>
      <c r="AM125" s="182">
        <f t="shared" si="40"/>
        <v>4</v>
      </c>
      <c r="AN125" s="390"/>
      <c r="AO125" s="182">
        <v>15</v>
      </c>
      <c r="AP125" s="166">
        <v>1343.3898305084758</v>
      </c>
      <c r="AQ125" s="166">
        <v>89.559322033898383</v>
      </c>
      <c r="AR125" s="182">
        <f t="shared" si="41"/>
        <v>3</v>
      </c>
      <c r="AS125" s="390"/>
      <c r="AT125" s="182">
        <v>15</v>
      </c>
      <c r="AU125" s="166">
        <v>1354.9090909090917</v>
      </c>
      <c r="AV125" s="166">
        <v>90.327272727272785</v>
      </c>
      <c r="AW125" s="182">
        <f t="shared" si="42"/>
        <v>3</v>
      </c>
      <c r="AX125" s="390"/>
      <c r="AZ125" s="182" t="e">
        <f t="shared" si="43"/>
        <v>#N/A</v>
      </c>
      <c r="BA125" s="390"/>
    </row>
    <row r="126" spans="2:53">
      <c r="B126" s="395"/>
      <c r="C126" s="182">
        <v>15</v>
      </c>
      <c r="D126" s="203" t="s">
        <v>329</v>
      </c>
      <c r="E126" s="166">
        <v>19</v>
      </c>
      <c r="F126" s="182">
        <v>1440</v>
      </c>
      <c r="G126" s="180">
        <v>75.8</v>
      </c>
      <c r="H126" s="402"/>
      <c r="I126" s="166">
        <f t="shared" si="33"/>
        <v>19</v>
      </c>
      <c r="J126" s="166">
        <f t="shared" si="34"/>
        <v>1344.0653587679501</v>
      </c>
      <c r="K126" s="180">
        <f t="shared" si="35"/>
        <v>70.740282040418421</v>
      </c>
      <c r="L126" s="402"/>
      <c r="M126" s="181">
        <f>RANK(K126, K$112:$K$141)</f>
        <v>17</v>
      </c>
      <c r="N126" s="389"/>
      <c r="O126" s="389"/>
      <c r="P126" s="182">
        <v>19</v>
      </c>
      <c r="Q126" s="166">
        <v>1358.3720930232557</v>
      </c>
      <c r="R126" s="166">
        <v>71.493268053855559</v>
      </c>
      <c r="S126" s="182">
        <f t="shared" si="36"/>
        <v>14</v>
      </c>
      <c r="T126" s="390"/>
      <c r="U126" s="182">
        <v>19</v>
      </c>
      <c r="V126" s="166">
        <v>1371.7808219178071</v>
      </c>
      <c r="W126" s="166">
        <v>72.198990627253011</v>
      </c>
      <c r="X126" s="182">
        <f t="shared" si="37"/>
        <v>15</v>
      </c>
      <c r="Y126" s="390"/>
      <c r="Z126" s="182">
        <v>19</v>
      </c>
      <c r="AA126" s="166">
        <v>1332.3809523809539</v>
      </c>
      <c r="AB126" s="166">
        <v>70.125313283208101</v>
      </c>
      <c r="AC126" s="182">
        <f t="shared" si="38"/>
        <v>17</v>
      </c>
      <c r="AD126" s="390"/>
      <c r="AE126" s="182">
        <v>19</v>
      </c>
      <c r="AF126" s="166">
        <v>1350.4477611940317</v>
      </c>
      <c r="AG126" s="166">
        <v>71.076197957580618</v>
      </c>
      <c r="AH126" s="182">
        <f t="shared" si="39"/>
        <v>15</v>
      </c>
      <c r="AI126" s="390"/>
      <c r="AJ126" s="182">
        <v>19</v>
      </c>
      <c r="AK126" s="166">
        <v>1360.8333333333323</v>
      </c>
      <c r="AL126" s="166">
        <v>71.622807017543806</v>
      </c>
      <c r="AM126" s="182">
        <f t="shared" si="40"/>
        <v>15</v>
      </c>
      <c r="AN126" s="390"/>
      <c r="AO126" s="182">
        <v>19</v>
      </c>
      <c r="AP126" s="166">
        <v>1311.8518518518513</v>
      </c>
      <c r="AQ126" s="166">
        <v>69.044834307992176</v>
      </c>
      <c r="AR126" s="182">
        <f t="shared" si="41"/>
        <v>16</v>
      </c>
      <c r="AS126" s="390"/>
      <c r="AT126" s="182">
        <v>19</v>
      </c>
      <c r="AU126" s="166">
        <v>1322.7906976744184</v>
      </c>
      <c r="AV126" s="166">
        <v>69.620563035495707</v>
      </c>
      <c r="AW126" s="182">
        <f t="shared" si="42"/>
        <v>17</v>
      </c>
      <c r="AX126" s="390"/>
      <c r="AZ126" s="182" t="e">
        <f t="shared" si="43"/>
        <v>#N/A</v>
      </c>
      <c r="BA126" s="390"/>
    </row>
    <row r="127" spans="2:53">
      <c r="B127" s="395"/>
      <c r="C127" s="182">
        <v>16</v>
      </c>
      <c r="D127" s="203" t="s">
        <v>347</v>
      </c>
      <c r="E127" s="166">
        <v>19</v>
      </c>
      <c r="F127" s="182">
        <v>1440</v>
      </c>
      <c r="G127" s="180">
        <v>75.8</v>
      </c>
      <c r="H127" s="402"/>
      <c r="I127" s="166">
        <f t="shared" si="33"/>
        <v>19</v>
      </c>
      <c r="J127" s="166">
        <f t="shared" si="34"/>
        <v>1347.0226402779233</v>
      </c>
      <c r="K127" s="180">
        <f t="shared" si="35"/>
        <v>70.895928435680162</v>
      </c>
      <c r="L127" s="402"/>
      <c r="M127" s="181">
        <f>RANK(K127, K$112:$K$141)</f>
        <v>16</v>
      </c>
      <c r="N127" s="389"/>
      <c r="O127" s="389"/>
      <c r="P127" s="182">
        <v>19</v>
      </c>
      <c r="Q127" s="166">
        <v>1338.4615384615399</v>
      </c>
      <c r="R127" s="166">
        <v>70.445344129554726</v>
      </c>
      <c r="S127" s="182">
        <f t="shared" si="36"/>
        <v>15</v>
      </c>
      <c r="T127" s="390"/>
      <c r="U127" s="182">
        <v>19</v>
      </c>
      <c r="V127" s="166">
        <v>1346.7857142857151</v>
      </c>
      <c r="W127" s="166">
        <v>70.883458646616589</v>
      </c>
      <c r="X127" s="182">
        <f t="shared" si="37"/>
        <v>16</v>
      </c>
      <c r="Y127" s="390"/>
      <c r="Z127" s="182">
        <v>19</v>
      </c>
      <c r="AA127" s="166">
        <v>1352.5000000000005</v>
      </c>
      <c r="AB127" s="166">
        <v>71.184210526315809</v>
      </c>
      <c r="AC127" s="182">
        <f t="shared" si="38"/>
        <v>15</v>
      </c>
      <c r="AD127" s="390"/>
      <c r="AE127" s="182">
        <v>19</v>
      </c>
      <c r="AF127" s="166">
        <v>1335.8490566037742</v>
      </c>
      <c r="AG127" s="166">
        <v>70.307845084409166</v>
      </c>
      <c r="AH127" s="182">
        <f t="shared" si="39"/>
        <v>17</v>
      </c>
      <c r="AI127" s="390"/>
      <c r="AJ127" s="182">
        <v>19</v>
      </c>
      <c r="AK127" s="166">
        <v>1342.2222222222229</v>
      </c>
      <c r="AL127" s="166">
        <v>70.643274853801202</v>
      </c>
      <c r="AM127" s="182">
        <f t="shared" si="40"/>
        <v>17</v>
      </c>
      <c r="AN127" s="390"/>
      <c r="AO127" s="182">
        <v>19</v>
      </c>
      <c r="AP127" s="166">
        <v>1349.0322580645175</v>
      </c>
      <c r="AQ127" s="166">
        <v>71.001697792869336</v>
      </c>
      <c r="AR127" s="182">
        <f t="shared" si="41"/>
        <v>15</v>
      </c>
      <c r="AS127" s="390"/>
      <c r="AT127" s="182">
        <v>19</v>
      </c>
      <c r="AU127" s="166">
        <v>1364.3076923076937</v>
      </c>
      <c r="AV127" s="166">
        <v>71.805668016194403</v>
      </c>
      <c r="AW127" s="182">
        <f t="shared" si="42"/>
        <v>16</v>
      </c>
      <c r="AX127" s="390"/>
      <c r="AZ127" s="182" t="e">
        <f t="shared" si="43"/>
        <v>#N/A</v>
      </c>
      <c r="BA127" s="390"/>
    </row>
    <row r="128" spans="2:53">
      <c r="B128" s="395"/>
      <c r="C128" s="182">
        <v>17</v>
      </c>
      <c r="D128" s="203" t="s">
        <v>623</v>
      </c>
      <c r="E128" s="166">
        <v>18</v>
      </c>
      <c r="F128" s="182">
        <v>1500</v>
      </c>
      <c r="G128" s="180">
        <v>83.3</v>
      </c>
      <c r="H128" s="402"/>
      <c r="I128" s="166">
        <f t="shared" si="33"/>
        <v>18</v>
      </c>
      <c r="J128" s="166">
        <f t="shared" si="34"/>
        <v>1386.0608685427012</v>
      </c>
      <c r="K128" s="180">
        <f t="shared" si="35"/>
        <v>77.003381585705611</v>
      </c>
      <c r="L128" s="402"/>
      <c r="M128" s="181">
        <f>RANK(K128, K$112:$K$141)</f>
        <v>12</v>
      </c>
      <c r="N128" s="389"/>
      <c r="O128" s="389"/>
      <c r="P128" s="182">
        <v>18</v>
      </c>
      <c r="Q128" s="166">
        <v>1246.0975609756094</v>
      </c>
      <c r="R128" s="166">
        <v>69.227642276422742</v>
      </c>
      <c r="S128" s="182">
        <f t="shared" si="36"/>
        <v>16</v>
      </c>
      <c r="T128" s="390"/>
      <c r="U128" s="182">
        <v>18</v>
      </c>
      <c r="V128" s="166">
        <v>1429.0909090909106</v>
      </c>
      <c r="W128" s="166">
        <v>79.393939393939476</v>
      </c>
      <c r="X128" s="182">
        <f t="shared" si="37"/>
        <v>11</v>
      </c>
      <c r="Y128" s="390"/>
      <c r="Z128" s="182">
        <v>18</v>
      </c>
      <c r="AA128" s="166">
        <v>1382.9032258064528</v>
      </c>
      <c r="AB128" s="166">
        <v>76.827956989247383</v>
      </c>
      <c r="AC128" s="182">
        <f t="shared" si="38"/>
        <v>12</v>
      </c>
      <c r="AD128" s="390"/>
      <c r="AE128" s="182">
        <v>18</v>
      </c>
      <c r="AF128" s="166">
        <v>1411.1538461538469</v>
      </c>
      <c r="AG128" s="166">
        <v>78.39743589743594</v>
      </c>
      <c r="AH128" s="182">
        <f t="shared" si="39"/>
        <v>11</v>
      </c>
      <c r="AI128" s="390"/>
      <c r="AJ128" s="182">
        <v>18</v>
      </c>
      <c r="AK128" s="166">
        <v>1404.0000000000014</v>
      </c>
      <c r="AL128" s="166">
        <v>78.000000000000071</v>
      </c>
      <c r="AM128" s="182">
        <f t="shared" si="40"/>
        <v>11</v>
      </c>
      <c r="AN128" s="390"/>
      <c r="AO128" s="182">
        <v>18</v>
      </c>
      <c r="AP128" s="166">
        <v>1426.3636363636379</v>
      </c>
      <c r="AQ128" s="166">
        <v>79.24242424242432</v>
      </c>
      <c r="AR128" s="182">
        <f t="shared" si="41"/>
        <v>12</v>
      </c>
      <c r="AS128" s="390"/>
      <c r="AT128" s="182">
        <v>18</v>
      </c>
      <c r="AU128" s="166">
        <v>1402.8169014084494</v>
      </c>
      <c r="AV128" s="166">
        <v>77.934272300469416</v>
      </c>
      <c r="AW128" s="182">
        <f t="shared" si="42"/>
        <v>12</v>
      </c>
      <c r="AX128" s="390"/>
      <c r="AZ128" s="182" t="e">
        <f t="shared" si="43"/>
        <v>#N/A</v>
      </c>
      <c r="BA128" s="390"/>
    </row>
    <row r="129" spans="2:53">
      <c r="B129" s="395"/>
      <c r="C129" s="182">
        <v>18</v>
      </c>
      <c r="D129" s="203" t="s">
        <v>528</v>
      </c>
      <c r="E129" s="166">
        <v>17</v>
      </c>
      <c r="F129" s="182">
        <v>1440</v>
      </c>
      <c r="G129" s="180">
        <v>84.7</v>
      </c>
      <c r="H129" s="402"/>
      <c r="I129" s="166">
        <f t="shared" si="33"/>
        <v>17</v>
      </c>
      <c r="J129" s="166">
        <f t="shared" si="34"/>
        <v>1348.8350602885482</v>
      </c>
      <c r="K129" s="180">
        <f t="shared" si="35"/>
        <v>79.343238840502835</v>
      </c>
      <c r="L129" s="402"/>
      <c r="M129" s="181">
        <f>RANK(K129, K$112:$K$141)</f>
        <v>10</v>
      </c>
      <c r="N129" s="389"/>
      <c r="O129" s="389"/>
      <c r="P129" s="182">
        <v>17</v>
      </c>
      <c r="Q129" s="166">
        <v>1375.8139534883717</v>
      </c>
      <c r="R129" s="166">
        <v>80.930232558139508</v>
      </c>
      <c r="S129" s="182">
        <f t="shared" si="36"/>
        <v>9</v>
      </c>
      <c r="T129" s="390"/>
      <c r="U129" s="182">
        <v>17</v>
      </c>
      <c r="V129" s="166">
        <v>1349.9999999999995</v>
      </c>
      <c r="W129" s="166">
        <v>79.41176470588232</v>
      </c>
      <c r="X129" s="182">
        <f t="shared" si="37"/>
        <v>10</v>
      </c>
      <c r="Y129" s="390"/>
      <c r="Z129" s="182">
        <v>17</v>
      </c>
      <c r="AA129" s="166">
        <v>1356.3636363636347</v>
      </c>
      <c r="AB129" s="166">
        <v>79.786096256684388</v>
      </c>
      <c r="AC129" s="182">
        <f t="shared" si="38"/>
        <v>8</v>
      </c>
      <c r="AD129" s="390"/>
      <c r="AE129" s="182">
        <v>17</v>
      </c>
      <c r="AF129" s="166">
        <v>1343.0769230769224</v>
      </c>
      <c r="AG129" s="166">
        <v>79.004524886877789</v>
      </c>
      <c r="AH129" s="182">
        <f t="shared" si="39"/>
        <v>9</v>
      </c>
      <c r="AI129" s="390"/>
      <c r="AJ129" s="182">
        <v>17</v>
      </c>
      <c r="AK129" s="166">
        <v>1312.4999999999995</v>
      </c>
      <c r="AL129" s="166">
        <v>77.205882352941146</v>
      </c>
      <c r="AM129" s="182">
        <f t="shared" si="40"/>
        <v>12</v>
      </c>
      <c r="AN129" s="390"/>
      <c r="AO129" s="182">
        <v>17</v>
      </c>
      <c r="AP129" s="166">
        <v>1367.7272727272727</v>
      </c>
      <c r="AQ129" s="166">
        <v>80.454545454545453</v>
      </c>
      <c r="AR129" s="182">
        <f t="shared" si="41"/>
        <v>11</v>
      </c>
      <c r="AS129" s="390"/>
      <c r="AT129" s="182">
        <v>17</v>
      </c>
      <c r="AU129" s="166">
        <v>1336.3636363636365</v>
      </c>
      <c r="AV129" s="166">
        <v>78.609625668449212</v>
      </c>
      <c r="AW129" s="182">
        <f t="shared" si="42"/>
        <v>10</v>
      </c>
      <c r="AX129" s="390"/>
      <c r="AZ129" s="182" t="e">
        <f t="shared" si="43"/>
        <v>#N/A</v>
      </c>
      <c r="BA129" s="390"/>
    </row>
    <row r="130" spans="2:53">
      <c r="B130" s="395"/>
      <c r="C130" s="182">
        <v>19</v>
      </c>
      <c r="D130" s="203" t="s">
        <v>533</v>
      </c>
      <c r="E130" s="166">
        <v>20</v>
      </c>
      <c r="F130" s="182">
        <v>1500</v>
      </c>
      <c r="G130" s="180">
        <v>75</v>
      </c>
      <c r="H130" s="402"/>
      <c r="I130" s="166">
        <f t="shared" si="33"/>
        <v>20</v>
      </c>
      <c r="J130" s="166">
        <f t="shared" si="34"/>
        <v>1238.9883204293858</v>
      </c>
      <c r="K130" s="180">
        <f t="shared" si="35"/>
        <v>61.94941602146929</v>
      </c>
      <c r="L130" s="402"/>
      <c r="M130" s="181">
        <f>RANK(K130, K$112:$K$141)</f>
        <v>21</v>
      </c>
      <c r="N130" s="389"/>
      <c r="O130" s="389"/>
      <c r="P130" s="182">
        <v>20</v>
      </c>
      <c r="Q130" s="166">
        <v>1241.2500000000005</v>
      </c>
      <c r="R130" s="166">
        <v>62.062500000000021</v>
      </c>
      <c r="S130" s="182">
        <f t="shared" si="36"/>
        <v>21</v>
      </c>
      <c r="T130" s="390"/>
      <c r="U130" s="182">
        <v>20</v>
      </c>
      <c r="V130" s="166">
        <v>1225.7142857142851</v>
      </c>
      <c r="W130" s="166">
        <v>61.285714285714256</v>
      </c>
      <c r="X130" s="182">
        <f t="shared" si="37"/>
        <v>21</v>
      </c>
      <c r="Y130" s="390"/>
      <c r="Z130" s="182">
        <v>20</v>
      </c>
      <c r="AA130" s="166">
        <v>1240.5882352941162</v>
      </c>
      <c r="AB130" s="166">
        <v>62.029411764705813</v>
      </c>
      <c r="AC130" s="182">
        <f t="shared" si="38"/>
        <v>21</v>
      </c>
      <c r="AD130" s="390"/>
      <c r="AE130" s="182">
        <v>20</v>
      </c>
      <c r="AF130" s="166">
        <v>1250.7692307692303</v>
      </c>
      <c r="AG130" s="166">
        <v>62.538461538461512</v>
      </c>
      <c r="AH130" s="182">
        <f t="shared" si="39"/>
        <v>20</v>
      </c>
      <c r="AI130" s="390"/>
      <c r="AJ130" s="182">
        <v>20</v>
      </c>
      <c r="AK130" s="166">
        <v>1255.2631578947357</v>
      </c>
      <c r="AL130" s="166">
        <v>62.763157894736786</v>
      </c>
      <c r="AM130" s="182">
        <f t="shared" si="40"/>
        <v>21</v>
      </c>
      <c r="AN130" s="390"/>
      <c r="AO130" s="182">
        <v>20</v>
      </c>
      <c r="AP130" s="166">
        <v>1229.3333333333333</v>
      </c>
      <c r="AQ130" s="166">
        <v>61.466666666666661</v>
      </c>
      <c r="AR130" s="182">
        <f t="shared" si="41"/>
        <v>20</v>
      </c>
      <c r="AS130" s="390"/>
      <c r="AT130" s="182">
        <v>20</v>
      </c>
      <c r="AU130" s="166">
        <v>1230.0000000000005</v>
      </c>
      <c r="AV130" s="166">
        <v>61.500000000000021</v>
      </c>
      <c r="AW130" s="182">
        <f t="shared" si="42"/>
        <v>21</v>
      </c>
      <c r="AX130" s="390"/>
      <c r="AZ130" s="182" t="e">
        <f t="shared" si="43"/>
        <v>#N/A</v>
      </c>
      <c r="BA130" s="390"/>
    </row>
    <row r="131" spans="2:53">
      <c r="B131" s="395"/>
      <c r="C131" s="182">
        <v>20</v>
      </c>
      <c r="D131" s="203" t="s">
        <v>611</v>
      </c>
      <c r="E131" s="166">
        <v>15</v>
      </c>
      <c r="F131" s="182">
        <v>1440</v>
      </c>
      <c r="G131" s="180">
        <v>96</v>
      </c>
      <c r="H131" s="402"/>
      <c r="I131" s="166">
        <f t="shared" si="33"/>
        <v>15</v>
      </c>
      <c r="J131" s="166">
        <f t="shared" si="34"/>
        <v>1283.6002729790448</v>
      </c>
      <c r="K131" s="180">
        <f t="shared" si="35"/>
        <v>85.573351531936311</v>
      </c>
      <c r="L131" s="402"/>
      <c r="M131" s="181">
        <f>RANK(K131, K$112:$K$141)</f>
        <v>5</v>
      </c>
      <c r="N131" s="389"/>
      <c r="O131" s="389"/>
      <c r="P131" s="182">
        <v>15</v>
      </c>
      <c r="Q131" s="166">
        <v>1336.8749999999982</v>
      </c>
      <c r="R131" s="166">
        <v>89.124999999999872</v>
      </c>
      <c r="S131" s="182">
        <f t="shared" si="36"/>
        <v>4</v>
      </c>
      <c r="T131" s="390"/>
      <c r="U131" s="182">
        <v>15</v>
      </c>
      <c r="V131" s="166">
        <v>1354.2857142857115</v>
      </c>
      <c r="W131" s="166">
        <v>90.285714285714093</v>
      </c>
      <c r="X131" s="182">
        <f t="shared" si="37"/>
        <v>3</v>
      </c>
      <c r="Y131" s="390"/>
      <c r="Z131" s="182">
        <v>15</v>
      </c>
      <c r="AA131" s="166">
        <v>1158.6206896551701</v>
      </c>
      <c r="AB131" s="166">
        <v>77.241379310344669</v>
      </c>
      <c r="AC131" s="182">
        <f t="shared" si="38"/>
        <v>11</v>
      </c>
      <c r="AD131" s="390"/>
      <c r="AE131" s="182">
        <v>15</v>
      </c>
      <c r="AF131" s="166">
        <v>1149.999999999998</v>
      </c>
      <c r="AG131" s="166">
        <v>76.666666666666529</v>
      </c>
      <c r="AH131" s="182">
        <f t="shared" si="39"/>
        <v>12</v>
      </c>
      <c r="AI131" s="390"/>
      <c r="AJ131" s="182">
        <v>15</v>
      </c>
      <c r="AK131" s="166">
        <v>1341.4285714285684</v>
      </c>
      <c r="AL131" s="166">
        <v>89.428571428571232</v>
      </c>
      <c r="AM131" s="182">
        <f t="shared" si="40"/>
        <v>3</v>
      </c>
      <c r="AN131" s="390"/>
      <c r="AO131" s="182">
        <v>15</v>
      </c>
      <c r="AP131" s="166">
        <v>1327.7419354838689</v>
      </c>
      <c r="AQ131" s="166">
        <v>88.516129032257922</v>
      </c>
      <c r="AR131" s="182">
        <f t="shared" si="41"/>
        <v>4</v>
      </c>
      <c r="AS131" s="390"/>
      <c r="AT131" s="182">
        <v>15</v>
      </c>
      <c r="AU131" s="166">
        <v>1316.2499999999982</v>
      </c>
      <c r="AV131" s="166">
        <v>87.749999999999872</v>
      </c>
      <c r="AW131" s="182">
        <f t="shared" si="42"/>
        <v>5</v>
      </c>
      <c r="AX131" s="390"/>
      <c r="AZ131" s="182" t="e">
        <f t="shared" si="43"/>
        <v>#N/A</v>
      </c>
      <c r="BA131" s="390"/>
    </row>
    <row r="132" spans="2:53">
      <c r="B132" s="395"/>
      <c r="C132" s="182">
        <v>21</v>
      </c>
      <c r="D132" s="203" t="s">
        <v>612</v>
      </c>
      <c r="E132" s="166">
        <v>19</v>
      </c>
      <c r="F132" s="182">
        <v>1500</v>
      </c>
      <c r="G132" s="180">
        <v>78.900000000000006</v>
      </c>
      <c r="H132" s="402"/>
      <c r="I132" s="166">
        <f t="shared" si="33"/>
        <v>19</v>
      </c>
      <c r="J132" s="166">
        <f t="shared" si="34"/>
        <v>1251.3848307427093</v>
      </c>
      <c r="K132" s="180">
        <f t="shared" si="35"/>
        <v>65.862359512774177</v>
      </c>
      <c r="L132" s="402"/>
      <c r="M132" s="181">
        <f>RANK(K132, K$112:$K$141)</f>
        <v>19</v>
      </c>
      <c r="N132" s="389"/>
      <c r="O132" s="389"/>
      <c r="P132" s="182">
        <v>19</v>
      </c>
      <c r="Q132" s="166">
        <v>1223.2835820895536</v>
      </c>
      <c r="R132" s="166">
        <v>64.383346425765978</v>
      </c>
      <c r="S132" s="182">
        <f t="shared" si="36"/>
        <v>19</v>
      </c>
      <c r="T132" s="390"/>
      <c r="U132" s="182">
        <v>19</v>
      </c>
      <c r="V132" s="166">
        <v>1230.5263157894747</v>
      </c>
      <c r="W132" s="166">
        <v>64.764542936288137</v>
      </c>
      <c r="X132" s="182">
        <f t="shared" si="37"/>
        <v>19</v>
      </c>
      <c r="Y132" s="390"/>
      <c r="Z132" s="182">
        <v>19</v>
      </c>
      <c r="AA132" s="166">
        <v>1252.8571428571424</v>
      </c>
      <c r="AB132" s="166">
        <v>65.93984962406013</v>
      </c>
      <c r="AC132" s="182">
        <f t="shared" si="38"/>
        <v>19</v>
      </c>
      <c r="AD132" s="390"/>
      <c r="AE132" s="182">
        <v>19</v>
      </c>
      <c r="AF132" s="166">
        <v>1253.0232558139533</v>
      </c>
      <c r="AG132" s="166">
        <v>65.948592411260691</v>
      </c>
      <c r="AH132" s="182">
        <f t="shared" si="39"/>
        <v>19</v>
      </c>
      <c r="AI132" s="390"/>
      <c r="AJ132" s="182">
        <v>19</v>
      </c>
      <c r="AK132" s="166">
        <v>1280.8163265306125</v>
      </c>
      <c r="AL132" s="166">
        <v>67.411385606874347</v>
      </c>
      <c r="AM132" s="182">
        <f t="shared" si="40"/>
        <v>18</v>
      </c>
      <c r="AN132" s="390"/>
      <c r="AO132" s="182">
        <v>19</v>
      </c>
      <c r="AP132" s="166">
        <v>1266.4285714285722</v>
      </c>
      <c r="AQ132" s="166">
        <v>66.65413533834591</v>
      </c>
      <c r="AR132" s="182">
        <f t="shared" si="41"/>
        <v>18</v>
      </c>
      <c r="AS132" s="390"/>
      <c r="AT132" s="182">
        <v>19</v>
      </c>
      <c r="AU132" s="166">
        <v>1252.758620689656</v>
      </c>
      <c r="AV132" s="166">
        <v>65.934664246823999</v>
      </c>
      <c r="AW132" s="182">
        <f t="shared" si="42"/>
        <v>19</v>
      </c>
      <c r="AX132" s="390"/>
      <c r="AZ132" s="182" t="e">
        <f t="shared" si="43"/>
        <v>#N/A</v>
      </c>
      <c r="BA132" s="390"/>
    </row>
    <row r="133" spans="2:53">
      <c r="B133" s="395"/>
      <c r="C133" s="182">
        <v>22</v>
      </c>
      <c r="D133" s="203" t="s">
        <v>732</v>
      </c>
      <c r="E133" s="166">
        <v>16</v>
      </c>
      <c r="F133" s="182">
        <v>1440</v>
      </c>
      <c r="G133" s="180">
        <v>90</v>
      </c>
      <c r="H133" s="402"/>
      <c r="I133" s="166">
        <f t="shared" si="33"/>
        <v>16.142857142857142</v>
      </c>
      <c r="J133" s="166">
        <f t="shared" si="34"/>
        <v>1200.7609996236554</v>
      </c>
      <c r="K133" s="180">
        <f t="shared" si="35"/>
        <v>74.310712180804657</v>
      </c>
      <c r="L133" s="402"/>
      <c r="M133" s="181">
        <f>RANK(K133, K$112:$K$141)</f>
        <v>13</v>
      </c>
      <c r="N133" s="389"/>
      <c r="O133" s="389"/>
      <c r="P133" s="182">
        <v>16</v>
      </c>
      <c r="Q133" s="166">
        <v>1348.6956521739107</v>
      </c>
      <c r="R133" s="166">
        <v>84.293478260869421</v>
      </c>
      <c r="S133" s="182">
        <f t="shared" si="36"/>
        <v>6</v>
      </c>
      <c r="T133" s="390"/>
      <c r="U133" s="182">
        <v>16</v>
      </c>
      <c r="V133" s="166">
        <v>1437.2093023255811</v>
      </c>
      <c r="W133" s="166">
        <v>89.82558139534882</v>
      </c>
      <c r="X133" s="182">
        <f t="shared" si="37"/>
        <v>4</v>
      </c>
      <c r="Y133" s="390"/>
      <c r="Z133" s="182">
        <v>16</v>
      </c>
      <c r="AA133" s="166">
        <v>1369.8305084745737</v>
      </c>
      <c r="AB133" s="166">
        <v>85.614406779660854</v>
      </c>
      <c r="AC133" s="182">
        <f t="shared" si="38"/>
        <v>5</v>
      </c>
      <c r="AD133" s="390"/>
      <c r="AE133" s="182">
        <v>16</v>
      </c>
      <c r="AF133" s="166">
        <v>1431.4285714285729</v>
      </c>
      <c r="AG133" s="166">
        <v>89.464285714285808</v>
      </c>
      <c r="AH133" s="182">
        <f t="shared" si="39"/>
        <v>3</v>
      </c>
      <c r="AI133" s="390"/>
      <c r="AJ133" s="182">
        <v>16</v>
      </c>
      <c r="AK133" s="166">
        <v>1415.199999999996</v>
      </c>
      <c r="AL133" s="166">
        <v>88.449999999999747</v>
      </c>
      <c r="AM133" s="182">
        <f t="shared" si="40"/>
        <v>5</v>
      </c>
      <c r="AN133" s="390"/>
      <c r="AO133" s="182">
        <v>16</v>
      </c>
      <c r="AP133" s="166">
        <v>0</v>
      </c>
      <c r="AQ133" s="166">
        <v>0</v>
      </c>
      <c r="AR133" s="182">
        <f t="shared" si="41"/>
        <v>22</v>
      </c>
      <c r="AS133" s="390"/>
      <c r="AT133" s="182">
        <v>17</v>
      </c>
      <c r="AU133" s="166">
        <v>1402.9629629629542</v>
      </c>
      <c r="AV133" s="166">
        <v>82.527233115467894</v>
      </c>
      <c r="AW133" s="182">
        <f t="shared" si="42"/>
        <v>6</v>
      </c>
      <c r="AX133" s="390"/>
      <c r="AZ133" s="182" t="e">
        <f t="shared" si="43"/>
        <v>#N/A</v>
      </c>
      <c r="BA133" s="390"/>
    </row>
    <row r="134" spans="2:53">
      <c r="B134" s="395"/>
      <c r="C134" s="182">
        <v>23</v>
      </c>
      <c r="D134" s="203"/>
      <c r="E134" s="166"/>
      <c r="F134" s="182"/>
      <c r="G134" s="180"/>
      <c r="H134" s="402"/>
      <c r="I134" s="166" t="str">
        <f t="shared" si="33"/>
        <v>-</v>
      </c>
      <c r="J134" s="166" t="str">
        <f t="shared" si="34"/>
        <v>-</v>
      </c>
      <c r="K134" s="180" t="str">
        <f t="shared" si="35"/>
        <v>-</v>
      </c>
      <c r="L134" s="402"/>
      <c r="M134" s="181" t="e">
        <f>RANK(K134, K$112:$K$141)</f>
        <v>#VALUE!</v>
      </c>
      <c r="N134" s="389"/>
      <c r="O134" s="389"/>
      <c r="P134" s="182" t="s">
        <v>634</v>
      </c>
      <c r="Q134" s="166" t="s">
        <v>634</v>
      </c>
      <c r="R134" s="166" t="s">
        <v>634</v>
      </c>
      <c r="S134" s="182" t="e">
        <f t="shared" si="36"/>
        <v>#VALUE!</v>
      </c>
      <c r="T134" s="390"/>
      <c r="U134" s="182" t="s">
        <v>634</v>
      </c>
      <c r="V134" s="166" t="s">
        <v>634</v>
      </c>
      <c r="W134" s="166" t="s">
        <v>634</v>
      </c>
      <c r="X134" s="182" t="e">
        <f t="shared" si="37"/>
        <v>#VALUE!</v>
      </c>
      <c r="Y134" s="390"/>
      <c r="Z134" s="182" t="s">
        <v>634</v>
      </c>
      <c r="AA134" s="166" t="s">
        <v>634</v>
      </c>
      <c r="AB134" s="166" t="s">
        <v>634</v>
      </c>
      <c r="AC134" s="182" t="e">
        <f t="shared" si="38"/>
        <v>#VALUE!</v>
      </c>
      <c r="AD134" s="390"/>
      <c r="AE134" s="182" t="s">
        <v>634</v>
      </c>
      <c r="AF134" s="166" t="s">
        <v>634</v>
      </c>
      <c r="AG134" s="166" t="s">
        <v>634</v>
      </c>
      <c r="AH134" s="182" t="e">
        <f t="shared" si="39"/>
        <v>#VALUE!</v>
      </c>
      <c r="AI134" s="390"/>
      <c r="AJ134" s="182" t="s">
        <v>634</v>
      </c>
      <c r="AK134" s="166" t="s">
        <v>634</v>
      </c>
      <c r="AL134" s="166" t="s">
        <v>634</v>
      </c>
      <c r="AM134" s="182" t="e">
        <f t="shared" si="40"/>
        <v>#VALUE!</v>
      </c>
      <c r="AN134" s="390"/>
      <c r="AO134" s="182" t="s">
        <v>634</v>
      </c>
      <c r="AP134" s="166" t="s">
        <v>634</v>
      </c>
      <c r="AQ134" s="166" t="s">
        <v>634</v>
      </c>
      <c r="AR134" s="182" t="e">
        <f t="shared" si="41"/>
        <v>#VALUE!</v>
      </c>
      <c r="AS134" s="390"/>
      <c r="AT134" s="182" t="s">
        <v>634</v>
      </c>
      <c r="AU134" s="166" t="s">
        <v>634</v>
      </c>
      <c r="AV134" s="166" t="s">
        <v>634</v>
      </c>
      <c r="AW134" s="182" t="e">
        <f t="shared" si="42"/>
        <v>#VALUE!</v>
      </c>
      <c r="AX134" s="390"/>
      <c r="AZ134" s="182" t="e">
        <f t="shared" si="43"/>
        <v>#N/A</v>
      </c>
      <c r="BA134" s="390"/>
    </row>
    <row r="135" spans="2:53">
      <c r="B135" s="395"/>
      <c r="C135" s="182">
        <v>24</v>
      </c>
      <c r="D135" s="203"/>
      <c r="E135" s="166"/>
      <c r="F135" s="182"/>
      <c r="G135" s="180"/>
      <c r="H135" s="402"/>
      <c r="I135" s="166" t="str">
        <f t="shared" si="33"/>
        <v>-</v>
      </c>
      <c r="J135" s="166" t="str">
        <f t="shared" si="34"/>
        <v>-</v>
      </c>
      <c r="K135" s="180" t="str">
        <f t="shared" si="35"/>
        <v>-</v>
      </c>
      <c r="L135" s="402"/>
      <c r="M135" s="181" t="e">
        <f>RANK(K135, K$112:$K$141)</f>
        <v>#VALUE!</v>
      </c>
      <c r="N135" s="389"/>
      <c r="O135" s="389"/>
      <c r="P135" s="182" t="s">
        <v>634</v>
      </c>
      <c r="Q135" s="166" t="s">
        <v>634</v>
      </c>
      <c r="R135" s="166" t="s">
        <v>634</v>
      </c>
      <c r="S135" s="182" t="e">
        <f t="shared" si="36"/>
        <v>#VALUE!</v>
      </c>
      <c r="T135" s="390"/>
      <c r="U135" s="182" t="s">
        <v>634</v>
      </c>
      <c r="V135" s="166" t="s">
        <v>634</v>
      </c>
      <c r="W135" s="166" t="s">
        <v>634</v>
      </c>
      <c r="X135" s="182" t="e">
        <f t="shared" si="37"/>
        <v>#VALUE!</v>
      </c>
      <c r="Y135" s="390"/>
      <c r="Z135" s="182" t="s">
        <v>634</v>
      </c>
      <c r="AA135" s="166" t="s">
        <v>634</v>
      </c>
      <c r="AB135" s="166" t="s">
        <v>634</v>
      </c>
      <c r="AC135" s="182" t="e">
        <f t="shared" si="38"/>
        <v>#VALUE!</v>
      </c>
      <c r="AD135" s="390"/>
      <c r="AE135" s="182" t="s">
        <v>634</v>
      </c>
      <c r="AF135" s="166" t="s">
        <v>634</v>
      </c>
      <c r="AG135" s="166" t="s">
        <v>634</v>
      </c>
      <c r="AH135" s="182" t="e">
        <f t="shared" si="39"/>
        <v>#VALUE!</v>
      </c>
      <c r="AI135" s="390"/>
      <c r="AJ135" s="182" t="s">
        <v>634</v>
      </c>
      <c r="AK135" s="166" t="s">
        <v>634</v>
      </c>
      <c r="AL135" s="166" t="s">
        <v>634</v>
      </c>
      <c r="AM135" s="182" t="e">
        <f t="shared" si="40"/>
        <v>#VALUE!</v>
      </c>
      <c r="AN135" s="390"/>
      <c r="AO135" s="182" t="s">
        <v>634</v>
      </c>
      <c r="AP135" s="166" t="s">
        <v>634</v>
      </c>
      <c r="AQ135" s="166" t="s">
        <v>634</v>
      </c>
      <c r="AR135" s="182" t="e">
        <f t="shared" si="41"/>
        <v>#VALUE!</v>
      </c>
      <c r="AS135" s="390"/>
      <c r="AT135" s="182" t="s">
        <v>634</v>
      </c>
      <c r="AU135" s="166" t="s">
        <v>634</v>
      </c>
      <c r="AV135" s="166" t="s">
        <v>634</v>
      </c>
      <c r="AW135" s="182" t="e">
        <f t="shared" si="42"/>
        <v>#VALUE!</v>
      </c>
      <c r="AX135" s="390"/>
      <c r="AZ135" s="182" t="e">
        <f t="shared" si="43"/>
        <v>#N/A</v>
      </c>
      <c r="BA135" s="390"/>
    </row>
    <row r="136" spans="2:53">
      <c r="B136" s="395"/>
      <c r="C136" s="182">
        <v>25</v>
      </c>
      <c r="D136" s="203"/>
      <c r="E136" s="166"/>
      <c r="F136" s="182"/>
      <c r="G136" s="180"/>
      <c r="H136" s="402"/>
      <c r="I136" s="166" t="str">
        <f t="shared" si="33"/>
        <v>-</v>
      </c>
      <c r="J136" s="166" t="str">
        <f t="shared" si="34"/>
        <v>-</v>
      </c>
      <c r="K136" s="180" t="str">
        <f t="shared" si="35"/>
        <v>-</v>
      </c>
      <c r="L136" s="402"/>
      <c r="M136" s="181" t="e">
        <f>RANK(K136, K$112:$K$141)</f>
        <v>#VALUE!</v>
      </c>
      <c r="N136" s="389"/>
      <c r="O136" s="389"/>
      <c r="P136" s="182" t="s">
        <v>634</v>
      </c>
      <c r="Q136" s="166" t="s">
        <v>634</v>
      </c>
      <c r="R136" s="166" t="s">
        <v>634</v>
      </c>
      <c r="S136" s="182" t="e">
        <f t="shared" si="36"/>
        <v>#VALUE!</v>
      </c>
      <c r="T136" s="390"/>
      <c r="U136" s="182" t="s">
        <v>634</v>
      </c>
      <c r="V136" s="166" t="s">
        <v>634</v>
      </c>
      <c r="W136" s="166" t="s">
        <v>634</v>
      </c>
      <c r="X136" s="182" t="e">
        <f t="shared" si="37"/>
        <v>#VALUE!</v>
      </c>
      <c r="Y136" s="390"/>
      <c r="Z136" s="182" t="s">
        <v>634</v>
      </c>
      <c r="AA136" s="166" t="s">
        <v>634</v>
      </c>
      <c r="AB136" s="166" t="s">
        <v>634</v>
      </c>
      <c r="AC136" s="182" t="e">
        <f t="shared" si="38"/>
        <v>#VALUE!</v>
      </c>
      <c r="AD136" s="390"/>
      <c r="AE136" s="182" t="s">
        <v>634</v>
      </c>
      <c r="AF136" s="166" t="s">
        <v>634</v>
      </c>
      <c r="AG136" s="166" t="s">
        <v>634</v>
      </c>
      <c r="AH136" s="182" t="e">
        <f t="shared" si="39"/>
        <v>#VALUE!</v>
      </c>
      <c r="AI136" s="390"/>
      <c r="AJ136" s="182" t="s">
        <v>634</v>
      </c>
      <c r="AK136" s="166" t="s">
        <v>634</v>
      </c>
      <c r="AL136" s="166" t="s">
        <v>634</v>
      </c>
      <c r="AM136" s="182" t="e">
        <f t="shared" si="40"/>
        <v>#VALUE!</v>
      </c>
      <c r="AN136" s="390"/>
      <c r="AO136" s="182" t="s">
        <v>634</v>
      </c>
      <c r="AP136" s="166" t="s">
        <v>634</v>
      </c>
      <c r="AQ136" s="166" t="s">
        <v>634</v>
      </c>
      <c r="AR136" s="182" t="e">
        <f t="shared" si="41"/>
        <v>#VALUE!</v>
      </c>
      <c r="AS136" s="390"/>
      <c r="AT136" s="182" t="s">
        <v>634</v>
      </c>
      <c r="AU136" s="166" t="s">
        <v>634</v>
      </c>
      <c r="AV136" s="166" t="s">
        <v>634</v>
      </c>
      <c r="AW136" s="182" t="e">
        <f t="shared" si="42"/>
        <v>#VALUE!</v>
      </c>
      <c r="AX136" s="390"/>
      <c r="AZ136" s="182" t="e">
        <f t="shared" si="43"/>
        <v>#N/A</v>
      </c>
      <c r="BA136" s="390"/>
    </row>
    <row r="137" spans="2:53">
      <c r="B137" s="395"/>
      <c r="C137" s="182">
        <v>26</v>
      </c>
      <c r="D137" s="203"/>
      <c r="E137" s="166"/>
      <c r="F137" s="182"/>
      <c r="G137" s="180"/>
      <c r="H137" s="402"/>
      <c r="I137" s="166" t="str">
        <f t="shared" si="33"/>
        <v>-</v>
      </c>
      <c r="J137" s="166" t="str">
        <f t="shared" si="34"/>
        <v>-</v>
      </c>
      <c r="K137" s="180" t="str">
        <f t="shared" si="35"/>
        <v>-</v>
      </c>
      <c r="L137" s="402"/>
      <c r="M137" s="181" t="e">
        <f>RANK(K137, K$112:$K$141)</f>
        <v>#VALUE!</v>
      </c>
      <c r="N137" s="389"/>
      <c r="O137" s="389"/>
      <c r="P137" s="182" t="s">
        <v>634</v>
      </c>
      <c r="Q137" s="166" t="s">
        <v>634</v>
      </c>
      <c r="R137" s="166" t="s">
        <v>634</v>
      </c>
      <c r="S137" s="182" t="e">
        <f t="shared" si="36"/>
        <v>#VALUE!</v>
      </c>
      <c r="T137" s="390"/>
      <c r="U137" s="182" t="s">
        <v>634</v>
      </c>
      <c r="V137" s="166" t="s">
        <v>634</v>
      </c>
      <c r="W137" s="166" t="s">
        <v>634</v>
      </c>
      <c r="X137" s="182" t="e">
        <f t="shared" si="37"/>
        <v>#VALUE!</v>
      </c>
      <c r="Y137" s="390"/>
      <c r="Z137" s="182" t="s">
        <v>634</v>
      </c>
      <c r="AA137" s="166" t="s">
        <v>634</v>
      </c>
      <c r="AB137" s="166" t="s">
        <v>634</v>
      </c>
      <c r="AC137" s="182" t="e">
        <f t="shared" si="38"/>
        <v>#VALUE!</v>
      </c>
      <c r="AD137" s="390"/>
      <c r="AE137" s="182" t="s">
        <v>634</v>
      </c>
      <c r="AF137" s="166" t="s">
        <v>634</v>
      </c>
      <c r="AG137" s="166" t="s">
        <v>634</v>
      </c>
      <c r="AH137" s="182" t="e">
        <f t="shared" si="39"/>
        <v>#VALUE!</v>
      </c>
      <c r="AI137" s="390"/>
      <c r="AJ137" s="182" t="s">
        <v>634</v>
      </c>
      <c r="AK137" s="166" t="s">
        <v>634</v>
      </c>
      <c r="AL137" s="166" t="s">
        <v>634</v>
      </c>
      <c r="AM137" s="182" t="e">
        <f t="shared" si="40"/>
        <v>#VALUE!</v>
      </c>
      <c r="AN137" s="390"/>
      <c r="AO137" s="182" t="s">
        <v>634</v>
      </c>
      <c r="AP137" s="166" t="s">
        <v>634</v>
      </c>
      <c r="AQ137" s="166" t="s">
        <v>634</v>
      </c>
      <c r="AR137" s="182" t="e">
        <f t="shared" si="41"/>
        <v>#VALUE!</v>
      </c>
      <c r="AS137" s="390"/>
      <c r="AT137" s="182" t="s">
        <v>634</v>
      </c>
      <c r="AU137" s="166" t="s">
        <v>634</v>
      </c>
      <c r="AV137" s="166" t="s">
        <v>634</v>
      </c>
      <c r="AW137" s="182" t="e">
        <f t="shared" si="42"/>
        <v>#VALUE!</v>
      </c>
      <c r="AX137" s="390"/>
      <c r="AZ137" s="182" t="e">
        <f t="shared" si="43"/>
        <v>#N/A</v>
      </c>
      <c r="BA137" s="390"/>
    </row>
    <row r="138" spans="2:53">
      <c r="B138" s="395"/>
      <c r="C138" s="182">
        <v>27</v>
      </c>
      <c r="D138" s="203"/>
      <c r="E138" s="166"/>
      <c r="F138" s="182"/>
      <c r="G138" s="180"/>
      <c r="H138" s="402"/>
      <c r="I138" s="166" t="str">
        <f t="shared" si="33"/>
        <v>-</v>
      </c>
      <c r="J138" s="166" t="str">
        <f t="shared" si="34"/>
        <v>-</v>
      </c>
      <c r="K138" s="180" t="str">
        <f t="shared" si="35"/>
        <v>-</v>
      </c>
      <c r="L138" s="402"/>
      <c r="M138" s="181" t="e">
        <f>RANK(K138, K$112:$K$141)</f>
        <v>#VALUE!</v>
      </c>
      <c r="N138" s="389"/>
      <c r="O138" s="389"/>
      <c r="P138" s="182" t="s">
        <v>634</v>
      </c>
      <c r="Q138" s="166" t="s">
        <v>634</v>
      </c>
      <c r="R138" s="166" t="s">
        <v>634</v>
      </c>
      <c r="S138" s="182" t="e">
        <f t="shared" si="36"/>
        <v>#VALUE!</v>
      </c>
      <c r="T138" s="390"/>
      <c r="U138" s="182" t="s">
        <v>634</v>
      </c>
      <c r="V138" s="166" t="s">
        <v>634</v>
      </c>
      <c r="W138" s="166" t="s">
        <v>634</v>
      </c>
      <c r="X138" s="182" t="e">
        <f t="shared" si="37"/>
        <v>#VALUE!</v>
      </c>
      <c r="Y138" s="390"/>
      <c r="Z138" s="182" t="s">
        <v>634</v>
      </c>
      <c r="AA138" s="166" t="s">
        <v>634</v>
      </c>
      <c r="AB138" s="166" t="s">
        <v>634</v>
      </c>
      <c r="AC138" s="182" t="e">
        <f t="shared" si="38"/>
        <v>#VALUE!</v>
      </c>
      <c r="AD138" s="390"/>
      <c r="AE138" s="182" t="s">
        <v>634</v>
      </c>
      <c r="AF138" s="166" t="s">
        <v>634</v>
      </c>
      <c r="AG138" s="166" t="s">
        <v>634</v>
      </c>
      <c r="AH138" s="182" t="e">
        <f t="shared" si="39"/>
        <v>#VALUE!</v>
      </c>
      <c r="AI138" s="390"/>
      <c r="AJ138" s="182" t="s">
        <v>634</v>
      </c>
      <c r="AK138" s="166" t="s">
        <v>634</v>
      </c>
      <c r="AL138" s="166" t="s">
        <v>634</v>
      </c>
      <c r="AM138" s="182" t="e">
        <f t="shared" si="40"/>
        <v>#VALUE!</v>
      </c>
      <c r="AN138" s="390"/>
      <c r="AO138" s="182" t="s">
        <v>634</v>
      </c>
      <c r="AP138" s="166" t="s">
        <v>634</v>
      </c>
      <c r="AQ138" s="166" t="s">
        <v>634</v>
      </c>
      <c r="AR138" s="182" t="e">
        <f t="shared" si="41"/>
        <v>#VALUE!</v>
      </c>
      <c r="AS138" s="390"/>
      <c r="AT138" s="182" t="s">
        <v>634</v>
      </c>
      <c r="AU138" s="166" t="s">
        <v>634</v>
      </c>
      <c r="AV138" s="166" t="s">
        <v>634</v>
      </c>
      <c r="AW138" s="182" t="e">
        <f t="shared" si="42"/>
        <v>#VALUE!</v>
      </c>
      <c r="AX138" s="390"/>
      <c r="AZ138" s="182" t="e">
        <f t="shared" si="43"/>
        <v>#N/A</v>
      </c>
      <c r="BA138" s="390"/>
    </row>
    <row r="139" spans="2:53">
      <c r="B139" s="395"/>
      <c r="C139" s="182">
        <v>28</v>
      </c>
      <c r="D139" s="203"/>
      <c r="E139" s="166"/>
      <c r="F139" s="182"/>
      <c r="G139" s="180"/>
      <c r="H139" s="402"/>
      <c r="I139" s="166" t="str">
        <f t="shared" si="33"/>
        <v>-</v>
      </c>
      <c r="J139" s="166" t="str">
        <f t="shared" si="34"/>
        <v>-</v>
      </c>
      <c r="K139" s="180" t="str">
        <f t="shared" si="35"/>
        <v>-</v>
      </c>
      <c r="L139" s="402"/>
      <c r="M139" s="181" t="e">
        <f>RANK(K139, K$112:$K$141)</f>
        <v>#VALUE!</v>
      </c>
      <c r="N139" s="389"/>
      <c r="O139" s="389"/>
      <c r="P139" s="182" t="s">
        <v>634</v>
      </c>
      <c r="Q139" s="166" t="s">
        <v>634</v>
      </c>
      <c r="R139" s="166" t="s">
        <v>634</v>
      </c>
      <c r="S139" s="182" t="e">
        <f t="shared" si="36"/>
        <v>#VALUE!</v>
      </c>
      <c r="T139" s="390"/>
      <c r="U139" s="182" t="s">
        <v>634</v>
      </c>
      <c r="V139" s="166" t="s">
        <v>634</v>
      </c>
      <c r="W139" s="166" t="s">
        <v>634</v>
      </c>
      <c r="X139" s="182" t="e">
        <f t="shared" si="37"/>
        <v>#VALUE!</v>
      </c>
      <c r="Y139" s="390"/>
      <c r="Z139" s="182" t="s">
        <v>634</v>
      </c>
      <c r="AA139" s="166" t="s">
        <v>634</v>
      </c>
      <c r="AB139" s="166" t="s">
        <v>634</v>
      </c>
      <c r="AC139" s="182" t="e">
        <f t="shared" si="38"/>
        <v>#VALUE!</v>
      </c>
      <c r="AD139" s="390"/>
      <c r="AE139" s="182" t="s">
        <v>634</v>
      </c>
      <c r="AF139" s="166" t="s">
        <v>634</v>
      </c>
      <c r="AG139" s="166" t="s">
        <v>634</v>
      </c>
      <c r="AH139" s="182" t="e">
        <f t="shared" si="39"/>
        <v>#VALUE!</v>
      </c>
      <c r="AI139" s="390"/>
      <c r="AJ139" s="182" t="s">
        <v>634</v>
      </c>
      <c r="AK139" s="166" t="s">
        <v>634</v>
      </c>
      <c r="AL139" s="166" t="s">
        <v>634</v>
      </c>
      <c r="AM139" s="182" t="e">
        <f t="shared" si="40"/>
        <v>#VALUE!</v>
      </c>
      <c r="AN139" s="390"/>
      <c r="AO139" s="182" t="s">
        <v>634</v>
      </c>
      <c r="AP139" s="166" t="s">
        <v>634</v>
      </c>
      <c r="AQ139" s="166" t="s">
        <v>634</v>
      </c>
      <c r="AR139" s="182" t="e">
        <f t="shared" si="41"/>
        <v>#VALUE!</v>
      </c>
      <c r="AS139" s="390"/>
      <c r="AT139" s="182" t="s">
        <v>634</v>
      </c>
      <c r="AU139" s="166" t="s">
        <v>634</v>
      </c>
      <c r="AV139" s="166" t="s">
        <v>634</v>
      </c>
      <c r="AW139" s="182" t="e">
        <f t="shared" si="42"/>
        <v>#VALUE!</v>
      </c>
      <c r="AX139" s="390"/>
      <c r="AZ139" s="182" t="e">
        <f t="shared" si="43"/>
        <v>#N/A</v>
      </c>
      <c r="BA139" s="390"/>
    </row>
    <row r="140" spans="2:53">
      <c r="B140" s="395"/>
      <c r="C140" s="182">
        <v>29</v>
      </c>
      <c r="D140" s="203"/>
      <c r="E140" s="166"/>
      <c r="F140" s="182"/>
      <c r="G140" s="180"/>
      <c r="H140" s="402"/>
      <c r="I140" s="166" t="str">
        <f t="shared" si="33"/>
        <v>-</v>
      </c>
      <c r="J140" s="166" t="str">
        <f t="shared" si="34"/>
        <v>-</v>
      </c>
      <c r="K140" s="180" t="str">
        <f t="shared" si="35"/>
        <v>-</v>
      </c>
      <c r="L140" s="402"/>
      <c r="M140" s="181" t="e">
        <f>RANK(K140, K$112:$K$141)</f>
        <v>#VALUE!</v>
      </c>
      <c r="N140" s="389"/>
      <c r="O140" s="389"/>
      <c r="P140" s="182" t="s">
        <v>634</v>
      </c>
      <c r="Q140" s="166" t="s">
        <v>634</v>
      </c>
      <c r="R140" s="166" t="s">
        <v>634</v>
      </c>
      <c r="S140" s="182" t="e">
        <f t="shared" si="36"/>
        <v>#VALUE!</v>
      </c>
      <c r="T140" s="390"/>
      <c r="U140" s="182" t="s">
        <v>634</v>
      </c>
      <c r="V140" s="166" t="s">
        <v>634</v>
      </c>
      <c r="W140" s="166" t="s">
        <v>634</v>
      </c>
      <c r="X140" s="182" t="e">
        <f t="shared" si="37"/>
        <v>#VALUE!</v>
      </c>
      <c r="Y140" s="390"/>
      <c r="Z140" s="182" t="s">
        <v>634</v>
      </c>
      <c r="AA140" s="166" t="s">
        <v>634</v>
      </c>
      <c r="AB140" s="166" t="s">
        <v>634</v>
      </c>
      <c r="AC140" s="182" t="e">
        <f t="shared" si="38"/>
        <v>#VALUE!</v>
      </c>
      <c r="AD140" s="390"/>
      <c r="AE140" s="182" t="s">
        <v>634</v>
      </c>
      <c r="AF140" s="166" t="s">
        <v>634</v>
      </c>
      <c r="AG140" s="166" t="s">
        <v>634</v>
      </c>
      <c r="AH140" s="182" t="e">
        <f t="shared" si="39"/>
        <v>#VALUE!</v>
      </c>
      <c r="AI140" s="390"/>
      <c r="AJ140" s="182" t="s">
        <v>634</v>
      </c>
      <c r="AK140" s="166" t="s">
        <v>634</v>
      </c>
      <c r="AL140" s="166" t="s">
        <v>634</v>
      </c>
      <c r="AM140" s="182" t="e">
        <f t="shared" si="40"/>
        <v>#VALUE!</v>
      </c>
      <c r="AN140" s="390"/>
      <c r="AO140" s="182" t="s">
        <v>634</v>
      </c>
      <c r="AP140" s="166" t="s">
        <v>634</v>
      </c>
      <c r="AQ140" s="166" t="s">
        <v>634</v>
      </c>
      <c r="AR140" s="182" t="e">
        <f t="shared" si="41"/>
        <v>#VALUE!</v>
      </c>
      <c r="AS140" s="390"/>
      <c r="AT140" s="182" t="s">
        <v>634</v>
      </c>
      <c r="AU140" s="166" t="s">
        <v>634</v>
      </c>
      <c r="AV140" s="166" t="s">
        <v>634</v>
      </c>
      <c r="AW140" s="182" t="e">
        <f t="shared" si="42"/>
        <v>#VALUE!</v>
      </c>
      <c r="AX140" s="390"/>
      <c r="AZ140" s="182" t="e">
        <f t="shared" si="43"/>
        <v>#N/A</v>
      </c>
      <c r="BA140" s="390"/>
    </row>
    <row r="141" spans="2:53">
      <c r="B141" s="395"/>
      <c r="C141" s="182">
        <v>30</v>
      </c>
      <c r="D141" s="203"/>
      <c r="E141" s="166"/>
      <c r="F141" s="182"/>
      <c r="G141" s="180"/>
      <c r="H141" s="403"/>
      <c r="I141" s="166" t="str">
        <f t="shared" si="33"/>
        <v>-</v>
      </c>
      <c r="J141" s="166" t="str">
        <f t="shared" si="34"/>
        <v>-</v>
      </c>
      <c r="K141" s="180" t="str">
        <f t="shared" si="35"/>
        <v>-</v>
      </c>
      <c r="L141" s="403"/>
      <c r="M141" s="181" t="e">
        <f>RANK(K141, K$112:$K$141)</f>
        <v>#VALUE!</v>
      </c>
      <c r="N141" s="389"/>
      <c r="O141" s="389"/>
      <c r="P141" s="182" t="s">
        <v>634</v>
      </c>
      <c r="Q141" s="166" t="s">
        <v>634</v>
      </c>
      <c r="R141" s="166" t="s">
        <v>634</v>
      </c>
      <c r="S141" s="182" t="e">
        <f t="shared" si="36"/>
        <v>#VALUE!</v>
      </c>
      <c r="T141" s="390"/>
      <c r="U141" s="182" t="s">
        <v>634</v>
      </c>
      <c r="V141" s="166" t="s">
        <v>634</v>
      </c>
      <c r="W141" s="166" t="s">
        <v>634</v>
      </c>
      <c r="X141" s="182" t="e">
        <f t="shared" si="37"/>
        <v>#VALUE!</v>
      </c>
      <c r="Y141" s="390"/>
      <c r="Z141" s="182" t="s">
        <v>634</v>
      </c>
      <c r="AA141" s="166" t="s">
        <v>634</v>
      </c>
      <c r="AB141" s="166" t="s">
        <v>634</v>
      </c>
      <c r="AC141" s="182" t="e">
        <f t="shared" si="38"/>
        <v>#VALUE!</v>
      </c>
      <c r="AD141" s="390"/>
      <c r="AE141" s="182" t="s">
        <v>634</v>
      </c>
      <c r="AF141" s="166" t="s">
        <v>634</v>
      </c>
      <c r="AG141" s="166" t="s">
        <v>634</v>
      </c>
      <c r="AH141" s="182" t="e">
        <f t="shared" si="39"/>
        <v>#VALUE!</v>
      </c>
      <c r="AI141" s="390"/>
      <c r="AJ141" s="182" t="s">
        <v>634</v>
      </c>
      <c r="AK141" s="166" t="s">
        <v>634</v>
      </c>
      <c r="AL141" s="166" t="s">
        <v>634</v>
      </c>
      <c r="AM141" s="182" t="e">
        <f t="shared" si="40"/>
        <v>#VALUE!</v>
      </c>
      <c r="AN141" s="390"/>
      <c r="AO141" s="182" t="s">
        <v>634</v>
      </c>
      <c r="AP141" s="166" t="s">
        <v>634</v>
      </c>
      <c r="AQ141" s="166" t="s">
        <v>634</v>
      </c>
      <c r="AR141" s="182" t="e">
        <f t="shared" si="41"/>
        <v>#VALUE!</v>
      </c>
      <c r="AS141" s="390"/>
      <c r="AT141" s="182" t="s">
        <v>634</v>
      </c>
      <c r="AU141" s="166" t="s">
        <v>634</v>
      </c>
      <c r="AV141" s="166" t="s">
        <v>634</v>
      </c>
      <c r="AW141" s="182" t="e">
        <f t="shared" si="42"/>
        <v>#VALUE!</v>
      </c>
      <c r="AX141" s="390"/>
      <c r="AZ141" s="182" t="e">
        <f t="shared" si="43"/>
        <v>#N/A</v>
      </c>
      <c r="BA141" s="390"/>
    </row>
    <row r="142" spans="2:53" ht="15.75">
      <c r="B142" s="414" t="s">
        <v>163</v>
      </c>
      <c r="C142" s="415"/>
      <c r="D142" s="415"/>
      <c r="E142" s="415"/>
      <c r="F142" s="415"/>
      <c r="G142" s="415"/>
      <c r="H142" s="415"/>
      <c r="I142" s="186"/>
      <c r="J142" s="186"/>
      <c r="K142" s="186"/>
      <c r="L142" s="186"/>
      <c r="M142" s="185"/>
      <c r="N142" s="391" t="s">
        <v>156</v>
      </c>
      <c r="O142" s="391" t="s">
        <v>105</v>
      </c>
      <c r="P142" s="413">
        <f>P107+7</f>
        <v>46168</v>
      </c>
      <c r="Q142" s="395"/>
      <c r="R142" s="395"/>
      <c r="S142" s="395"/>
      <c r="T142" s="395"/>
      <c r="U142" s="410">
        <f>P142+1</f>
        <v>46169</v>
      </c>
      <c r="V142" s="411"/>
      <c r="W142" s="411"/>
      <c r="X142" s="411"/>
      <c r="Y142" s="412"/>
      <c r="Z142" s="410">
        <f>U142+1</f>
        <v>46170</v>
      </c>
      <c r="AA142" s="411"/>
      <c r="AB142" s="411"/>
      <c r="AC142" s="411"/>
      <c r="AD142" s="412"/>
      <c r="AE142" s="410">
        <f>Z142+1</f>
        <v>46171</v>
      </c>
      <c r="AF142" s="411"/>
      <c r="AG142" s="411"/>
      <c r="AH142" s="411"/>
      <c r="AI142" s="412"/>
      <c r="AJ142" s="410">
        <f>AE142+1</f>
        <v>46172</v>
      </c>
      <c r="AK142" s="411"/>
      <c r="AL142" s="411"/>
      <c r="AM142" s="411"/>
      <c r="AN142" s="412"/>
      <c r="AO142" s="410">
        <f>AJ142+1</f>
        <v>46173</v>
      </c>
      <c r="AP142" s="411"/>
      <c r="AQ142" s="411"/>
      <c r="AR142" s="411"/>
      <c r="AS142" s="412"/>
      <c r="AT142" s="410">
        <f>AO142+1</f>
        <v>46174</v>
      </c>
      <c r="AU142" s="411"/>
      <c r="AV142" s="411"/>
      <c r="AW142" s="411"/>
      <c r="AX142" s="412"/>
    </row>
    <row r="143" spans="2:53" ht="15.75">
      <c r="B143" s="416"/>
      <c r="C143" s="416"/>
      <c r="D143" s="416"/>
      <c r="E143" s="416"/>
      <c r="F143" s="416"/>
      <c r="G143" s="416"/>
      <c r="H143" s="416"/>
      <c r="I143" s="184"/>
      <c r="J143" s="184"/>
      <c r="K143" s="184"/>
      <c r="L143" s="184"/>
      <c r="M143" s="179"/>
      <c r="N143" s="393"/>
      <c r="O143" s="393"/>
      <c r="P143" s="413" t="s">
        <v>318</v>
      </c>
      <c r="Q143" s="395"/>
      <c r="R143" s="395"/>
      <c r="S143" s="395"/>
      <c r="T143" s="395"/>
      <c r="U143" s="413" t="s">
        <v>319</v>
      </c>
      <c r="V143" s="395"/>
      <c r="W143" s="395"/>
      <c r="X143" s="395"/>
      <c r="Y143" s="395"/>
      <c r="Z143" s="413" t="s">
        <v>320</v>
      </c>
      <c r="AA143" s="395"/>
      <c r="AB143" s="395"/>
      <c r="AC143" s="395"/>
      <c r="AD143" s="395"/>
      <c r="AE143" s="413" t="s">
        <v>321</v>
      </c>
      <c r="AF143" s="395"/>
      <c r="AG143" s="395"/>
      <c r="AH143" s="395"/>
      <c r="AI143" s="395"/>
      <c r="AJ143" s="413" t="s">
        <v>322</v>
      </c>
      <c r="AK143" s="395"/>
      <c r="AL143" s="395"/>
      <c r="AM143" s="395"/>
      <c r="AN143" s="395"/>
      <c r="AO143" s="413" t="s">
        <v>323</v>
      </c>
      <c r="AP143" s="395"/>
      <c r="AQ143" s="395"/>
      <c r="AR143" s="395"/>
      <c r="AS143" s="395"/>
      <c r="AT143" s="413" t="s">
        <v>324</v>
      </c>
      <c r="AU143" s="395"/>
      <c r="AV143" s="395"/>
      <c r="AW143" s="395"/>
      <c r="AX143" s="395"/>
    </row>
    <row r="144" spans="2:53">
      <c r="B144" s="389" t="s">
        <v>419</v>
      </c>
      <c r="C144" s="389" t="s">
        <v>420</v>
      </c>
      <c r="D144" s="389"/>
      <c r="E144" s="389" t="s">
        <v>421</v>
      </c>
      <c r="F144" s="389"/>
      <c r="G144" s="389"/>
      <c r="H144" s="417" t="s">
        <v>422</v>
      </c>
      <c r="I144" s="389" t="s">
        <v>423</v>
      </c>
      <c r="J144" s="389"/>
      <c r="K144" s="389"/>
      <c r="L144" s="417" t="s">
        <v>422</v>
      </c>
      <c r="M144" s="391" t="s">
        <v>424</v>
      </c>
      <c r="N144" s="389"/>
      <c r="O144" s="389" t="s">
        <v>425</v>
      </c>
      <c r="P144" s="404" t="s">
        <v>426</v>
      </c>
      <c r="Q144" s="405"/>
      <c r="R144" s="405"/>
      <c r="S144" s="406"/>
      <c r="T144" s="389" t="s">
        <v>422</v>
      </c>
      <c r="U144" s="404" t="s">
        <v>426</v>
      </c>
      <c r="V144" s="405"/>
      <c r="W144" s="405"/>
      <c r="X144" s="406"/>
      <c r="Y144" s="389" t="s">
        <v>422</v>
      </c>
      <c r="Z144" s="404" t="s">
        <v>426</v>
      </c>
      <c r="AA144" s="405"/>
      <c r="AB144" s="405"/>
      <c r="AC144" s="406"/>
      <c r="AD144" s="389" t="s">
        <v>422</v>
      </c>
      <c r="AE144" s="404" t="s">
        <v>426</v>
      </c>
      <c r="AF144" s="405"/>
      <c r="AG144" s="405"/>
      <c r="AH144" s="406"/>
      <c r="AI144" s="389" t="s">
        <v>422</v>
      </c>
      <c r="AJ144" s="404" t="s">
        <v>426</v>
      </c>
      <c r="AK144" s="405"/>
      <c r="AL144" s="405"/>
      <c r="AM144" s="406"/>
      <c r="AN144" s="389" t="s">
        <v>422</v>
      </c>
      <c r="AO144" s="404" t="s">
        <v>426</v>
      </c>
      <c r="AP144" s="405"/>
      <c r="AQ144" s="405"/>
      <c r="AR144" s="406"/>
      <c r="AS144" s="389" t="s">
        <v>422</v>
      </c>
      <c r="AT144" s="404" t="s">
        <v>426</v>
      </c>
      <c r="AU144" s="405"/>
      <c r="AV144" s="405"/>
      <c r="AW144" s="406"/>
      <c r="AX144" s="389" t="s">
        <v>422</v>
      </c>
      <c r="BA144" s="389" t="s">
        <v>373</v>
      </c>
    </row>
    <row r="145" spans="2:53">
      <c r="B145" s="389"/>
      <c r="C145" s="389"/>
      <c r="D145" s="389"/>
      <c r="E145" s="389" t="s">
        <v>427</v>
      </c>
      <c r="F145" s="389"/>
      <c r="G145" s="389"/>
      <c r="H145" s="418"/>
      <c r="I145" s="389" t="s">
        <v>427</v>
      </c>
      <c r="J145" s="389"/>
      <c r="K145" s="389"/>
      <c r="L145" s="418"/>
      <c r="M145" s="392"/>
      <c r="N145" s="389"/>
      <c r="O145" s="389"/>
      <c r="P145" s="404" t="s">
        <v>428</v>
      </c>
      <c r="Q145" s="405"/>
      <c r="R145" s="405"/>
      <c r="S145" s="406"/>
      <c r="T145" s="389"/>
      <c r="U145" s="404" t="s">
        <v>428</v>
      </c>
      <c r="V145" s="405"/>
      <c r="W145" s="405"/>
      <c r="X145" s="406"/>
      <c r="Y145" s="389"/>
      <c r="Z145" s="404" t="s">
        <v>428</v>
      </c>
      <c r="AA145" s="405"/>
      <c r="AB145" s="405"/>
      <c r="AC145" s="406"/>
      <c r="AD145" s="389"/>
      <c r="AE145" s="404" t="s">
        <v>428</v>
      </c>
      <c r="AF145" s="405"/>
      <c r="AG145" s="405"/>
      <c r="AH145" s="406"/>
      <c r="AI145" s="389"/>
      <c r="AJ145" s="404" t="s">
        <v>428</v>
      </c>
      <c r="AK145" s="405"/>
      <c r="AL145" s="405"/>
      <c r="AM145" s="406"/>
      <c r="AN145" s="389"/>
      <c r="AO145" s="404" t="s">
        <v>428</v>
      </c>
      <c r="AP145" s="405"/>
      <c r="AQ145" s="405"/>
      <c r="AR145" s="406"/>
      <c r="AS145" s="389"/>
      <c r="AT145" s="404" t="s">
        <v>428</v>
      </c>
      <c r="AU145" s="405"/>
      <c r="AV145" s="405"/>
      <c r="AW145" s="406"/>
      <c r="AX145" s="389"/>
      <c r="BA145" s="389"/>
    </row>
    <row r="146" spans="2:53">
      <c r="B146" s="389"/>
      <c r="C146" s="389"/>
      <c r="D146" s="389"/>
      <c r="E146" s="258" t="s">
        <v>429</v>
      </c>
      <c r="F146" s="258" t="s">
        <v>430</v>
      </c>
      <c r="G146" s="258" t="s">
        <v>431</v>
      </c>
      <c r="H146" s="419"/>
      <c r="I146" s="258" t="s">
        <v>429</v>
      </c>
      <c r="J146" s="258" t="s">
        <v>430</v>
      </c>
      <c r="K146" s="258" t="s">
        <v>431</v>
      </c>
      <c r="L146" s="419"/>
      <c r="M146" s="393"/>
      <c r="N146" s="389"/>
      <c r="O146" s="389"/>
      <c r="P146" s="258" t="s">
        <v>429</v>
      </c>
      <c r="Q146" s="258" t="s">
        <v>430</v>
      </c>
      <c r="R146" s="258" t="s">
        <v>431</v>
      </c>
      <c r="S146" s="258" t="s">
        <v>424</v>
      </c>
      <c r="T146" s="389"/>
      <c r="U146" s="258" t="s">
        <v>429</v>
      </c>
      <c r="V146" s="258" t="s">
        <v>430</v>
      </c>
      <c r="W146" s="258" t="s">
        <v>431</v>
      </c>
      <c r="X146" s="258" t="s">
        <v>424</v>
      </c>
      <c r="Y146" s="389"/>
      <c r="Z146" s="258" t="s">
        <v>429</v>
      </c>
      <c r="AA146" s="258" t="s">
        <v>430</v>
      </c>
      <c r="AB146" s="258" t="s">
        <v>431</v>
      </c>
      <c r="AC146" s="258" t="s">
        <v>424</v>
      </c>
      <c r="AD146" s="389"/>
      <c r="AE146" s="258" t="s">
        <v>429</v>
      </c>
      <c r="AF146" s="258" t="s">
        <v>430</v>
      </c>
      <c r="AG146" s="258" t="s">
        <v>431</v>
      </c>
      <c r="AH146" s="258" t="s">
        <v>424</v>
      </c>
      <c r="AI146" s="389"/>
      <c r="AJ146" s="258" t="s">
        <v>429</v>
      </c>
      <c r="AK146" s="258" t="s">
        <v>430</v>
      </c>
      <c r="AL146" s="258" t="s">
        <v>431</v>
      </c>
      <c r="AM146" s="258" t="s">
        <v>424</v>
      </c>
      <c r="AN146" s="389"/>
      <c r="AO146" s="258" t="s">
        <v>429</v>
      </c>
      <c r="AP146" s="258" t="s">
        <v>430</v>
      </c>
      <c r="AQ146" s="258" t="s">
        <v>431</v>
      </c>
      <c r="AR146" s="258" t="s">
        <v>424</v>
      </c>
      <c r="AS146" s="389"/>
      <c r="AT146" s="258" t="s">
        <v>429</v>
      </c>
      <c r="AU146" s="258" t="s">
        <v>430</v>
      </c>
      <c r="AV146" s="258" t="s">
        <v>431</v>
      </c>
      <c r="AW146" s="258" t="s">
        <v>424</v>
      </c>
      <c r="AX146" s="389"/>
      <c r="AZ146" s="258" t="s">
        <v>374</v>
      </c>
      <c r="BA146" s="389"/>
    </row>
    <row r="147" spans="2:53">
      <c r="B147" s="389" t="s">
        <v>432</v>
      </c>
      <c r="C147" s="182">
        <v>1</v>
      </c>
      <c r="D147" s="203" t="s">
        <v>346</v>
      </c>
      <c r="E147" s="166">
        <v>6</v>
      </c>
      <c r="F147" s="182">
        <v>1500</v>
      </c>
      <c r="G147" s="180">
        <v>250</v>
      </c>
      <c r="H147" s="401">
        <f>AVERAGE(G147:G176)</f>
        <v>98.712228513481406</v>
      </c>
      <c r="I147" s="166">
        <f>IFERROR(AVERAGE(P147,U147,Z147,AE147,AJ147,AO147,AT147),"-")</f>
        <v>6</v>
      </c>
      <c r="J147" s="166">
        <f>IFERROR(AVERAGE(Q147,V147,AA147,AF147,AK147,AP147,AU147),"-")</f>
        <v>1453.3133487713797</v>
      </c>
      <c r="K147" s="180">
        <f>IFERROR(AVERAGE(R147,W147,AB147,AG147,AL147,AQ147,AV147),"-")</f>
        <v>242.21889146189662</v>
      </c>
      <c r="L147" s="401">
        <f>IFERROR(AVERAGE(K147:K176),"-")</f>
        <v>89.243376399784552</v>
      </c>
      <c r="M147" s="181">
        <f>RANK(K147, K$147:$K$176)</f>
        <v>2</v>
      </c>
      <c r="N147" s="389"/>
      <c r="O147" s="389"/>
      <c r="P147" s="182">
        <v>6</v>
      </c>
      <c r="Q147" s="166">
        <v>1439.5897435897439</v>
      </c>
      <c r="R147" s="166">
        <v>239.93162393162399</v>
      </c>
      <c r="S147" s="182">
        <f>RANK(R147, R$147:R$176)</f>
        <v>2</v>
      </c>
      <c r="T147" s="390">
        <f>AVERAGE(R147:R176)</f>
        <v>89.772411691297734</v>
      </c>
      <c r="U147" s="182">
        <v>6</v>
      </c>
      <c r="V147" s="166">
        <v>1425.5409836065576</v>
      </c>
      <c r="W147" s="166">
        <v>237.59016393442627</v>
      </c>
      <c r="X147" s="182">
        <f>RANK(W147, W$147:W$176)</f>
        <v>2</v>
      </c>
      <c r="Y147" s="390">
        <f>AVERAGE(W147:W176)</f>
        <v>89.441790272911575</v>
      </c>
      <c r="Z147" s="182">
        <v>6</v>
      </c>
      <c r="AA147" s="166">
        <v>1478.7898089171974</v>
      </c>
      <c r="AB147" s="166">
        <v>246.46496815286625</v>
      </c>
      <c r="AC147" s="182">
        <f>RANK(AB147, AB$147:AB$176)</f>
        <v>1</v>
      </c>
      <c r="AD147" s="390">
        <f>AVERAGE(AB147:AB176)</f>
        <v>89.725823990114151</v>
      </c>
      <c r="AE147" s="182">
        <v>6</v>
      </c>
      <c r="AF147" s="166">
        <v>1458.4931506849312</v>
      </c>
      <c r="AG147" s="166">
        <v>243.08219178082186</v>
      </c>
      <c r="AH147" s="182">
        <f>RANK(AG147, AG$147:AG$176)</f>
        <v>2</v>
      </c>
      <c r="AI147" s="390">
        <f>AVERAGE(AG147:AG176)</f>
        <v>88.905380831508552</v>
      </c>
      <c r="AJ147" s="182">
        <v>6</v>
      </c>
      <c r="AK147" s="166">
        <v>1443.0000000000002</v>
      </c>
      <c r="AL147" s="166">
        <v>240.50000000000003</v>
      </c>
      <c r="AM147" s="182">
        <f>RANK(AL147, AL$147:AL$176)</f>
        <v>2</v>
      </c>
      <c r="AN147" s="390">
        <f>AVERAGE(AL147:AL176)</f>
        <v>89.113911550948714</v>
      </c>
      <c r="AO147" s="182">
        <v>6</v>
      </c>
      <c r="AP147" s="166">
        <v>1469.0797546012263</v>
      </c>
      <c r="AQ147" s="166">
        <v>244.84662576687106</v>
      </c>
      <c r="AR147" s="182">
        <f>RANK(AQ147, AQ$147:AQ$176)</f>
        <v>2</v>
      </c>
      <c r="AS147" s="390">
        <f>AVERAGE(AQ147:AQ176)</f>
        <v>88.789141253318334</v>
      </c>
      <c r="AT147" s="182">
        <v>6</v>
      </c>
      <c r="AU147" s="166">
        <v>1458.7000000000005</v>
      </c>
      <c r="AV147" s="166">
        <v>243.11666666666676</v>
      </c>
      <c r="AW147" s="182">
        <f>RANK(AV147, AV$147:AV$176)</f>
        <v>2</v>
      </c>
      <c r="AX147" s="390">
        <f>AVERAGE(AV147:AV176)</f>
        <v>88.908706647836965</v>
      </c>
      <c r="AZ147" s="182" t="e">
        <f>RANK(AY147, AY$147:AY$176)</f>
        <v>#N/A</v>
      </c>
      <c r="BA147" s="390" t="e">
        <f>AVERAGE(AY147:AY176)</f>
        <v>#DIV/0!</v>
      </c>
    </row>
    <row r="148" spans="2:53">
      <c r="B148" s="395"/>
      <c r="C148" s="182">
        <v>2</v>
      </c>
      <c r="D148" s="203" t="s">
        <v>635</v>
      </c>
      <c r="E148" s="166">
        <v>6</v>
      </c>
      <c r="F148" s="182">
        <v>1500</v>
      </c>
      <c r="G148" s="180">
        <v>250</v>
      </c>
      <c r="H148" s="402"/>
      <c r="I148" s="166">
        <f t="shared" ref="I148:I176" si="44">IFERROR(AVERAGE(P148,U148,Z148,AE148,AJ148,AO148,AT148),"-")</f>
        <v>6</v>
      </c>
      <c r="J148" s="166">
        <f t="shared" ref="J148:J176" si="45">IFERROR(AVERAGE(Q148,V148,AA148,AF148,AK148,AP148,AU148),"-")</f>
        <v>1464.7524102761367</v>
      </c>
      <c r="K148" s="180">
        <f t="shared" ref="K148:K176" si="46">IFERROR(AVERAGE(R148,W148,AB148,AG148,AL148,AQ148,AV148),"-")</f>
        <v>244.12540171268947</v>
      </c>
      <c r="L148" s="402"/>
      <c r="M148" s="181">
        <f>RANK(K148, K$147:$K$176)</f>
        <v>1</v>
      </c>
      <c r="N148" s="389"/>
      <c r="O148" s="389"/>
      <c r="P148" s="182">
        <v>6</v>
      </c>
      <c r="Q148" s="166">
        <v>1474.1772151898726</v>
      </c>
      <c r="R148" s="166">
        <v>245.69620253164544</v>
      </c>
      <c r="S148" s="182">
        <f t="shared" ref="S148:S176" si="47">RANK(R148, R$147:R$176)</f>
        <v>1</v>
      </c>
      <c r="T148" s="390"/>
      <c r="U148" s="182">
        <v>6</v>
      </c>
      <c r="V148" s="166">
        <v>1456.2962962962958</v>
      </c>
      <c r="W148" s="166">
        <v>242.71604938271597</v>
      </c>
      <c r="X148" s="182">
        <f t="shared" ref="X148:X176" si="48">RANK(W148, W$147:W$176)</f>
        <v>1</v>
      </c>
      <c r="Y148" s="390"/>
      <c r="Z148" s="182">
        <v>6</v>
      </c>
      <c r="AA148" s="166">
        <v>1446.1538461538471</v>
      </c>
      <c r="AB148" s="166">
        <v>241.02564102564119</v>
      </c>
      <c r="AC148" s="182">
        <f t="shared" ref="AC148:AC176" si="49">RANK(AB148, AB$147:AB$176)</f>
        <v>2</v>
      </c>
      <c r="AD148" s="390"/>
      <c r="AE148" s="182">
        <v>6</v>
      </c>
      <c r="AF148" s="166">
        <v>1461.3559322033891</v>
      </c>
      <c r="AG148" s="166">
        <v>243.55932203389818</v>
      </c>
      <c r="AH148" s="182">
        <f t="shared" ref="AH148:AH176" si="50">RANK(AG148, AG$147:AG$176)</f>
        <v>1</v>
      </c>
      <c r="AI148" s="390"/>
      <c r="AJ148" s="182">
        <v>6</v>
      </c>
      <c r="AK148" s="166">
        <v>1463.2835820895523</v>
      </c>
      <c r="AL148" s="166">
        <v>243.88059701492537</v>
      </c>
      <c r="AM148" s="182">
        <f t="shared" ref="AM148:AM176" si="51">RANK(AL148, AL$147:AL$176)</f>
        <v>1</v>
      </c>
      <c r="AN148" s="390"/>
      <c r="AO148" s="182">
        <v>6</v>
      </c>
      <c r="AP148" s="166">
        <v>1480</v>
      </c>
      <c r="AQ148" s="166">
        <v>246.66666666666666</v>
      </c>
      <c r="AR148" s="182">
        <f t="shared" ref="AR148:AR176" si="52">RANK(AQ148, AQ$147:AQ$176)</f>
        <v>1</v>
      </c>
      <c r="AS148" s="390"/>
      <c r="AT148" s="182">
        <v>6</v>
      </c>
      <c r="AU148" s="166">
        <v>1472.0000000000005</v>
      </c>
      <c r="AV148" s="166">
        <v>245.3333333333334</v>
      </c>
      <c r="AW148" s="182">
        <f t="shared" ref="AW148:AW176" si="53">RANK(AV148, AV$147:AV$176)</f>
        <v>1</v>
      </c>
      <c r="AX148" s="390"/>
      <c r="AZ148" s="182" t="e">
        <f t="shared" ref="AZ148:AZ176" si="54">RANK(AY148, AY$147:AY$176)</f>
        <v>#N/A</v>
      </c>
      <c r="BA148" s="390"/>
    </row>
    <row r="149" spans="2:53">
      <c r="B149" s="395"/>
      <c r="C149" s="182">
        <v>3</v>
      </c>
      <c r="D149" s="203" t="s">
        <v>619</v>
      </c>
      <c r="E149" s="166">
        <v>18</v>
      </c>
      <c r="F149" s="182">
        <v>1500</v>
      </c>
      <c r="G149" s="180">
        <v>83.333333333333329</v>
      </c>
      <c r="H149" s="402"/>
      <c r="I149" s="166">
        <f t="shared" si="44"/>
        <v>18</v>
      </c>
      <c r="J149" s="166">
        <f t="shared" si="45"/>
        <v>1251.6802542270525</v>
      </c>
      <c r="K149" s="180">
        <f t="shared" si="46"/>
        <v>69.537791901502914</v>
      </c>
      <c r="L149" s="402"/>
      <c r="M149" s="181">
        <f>RANK(K149, K$147:$K$176)</f>
        <v>18</v>
      </c>
      <c r="N149" s="389"/>
      <c r="O149" s="389"/>
      <c r="P149" s="182">
        <v>18</v>
      </c>
      <c r="Q149" s="166">
        <v>1259.5714285714298</v>
      </c>
      <c r="R149" s="166">
        <v>69.976190476190538</v>
      </c>
      <c r="S149" s="182">
        <f t="shared" si="47"/>
        <v>17</v>
      </c>
      <c r="T149" s="390"/>
      <c r="U149" s="182">
        <v>18</v>
      </c>
      <c r="V149" s="166">
        <v>1266.2222222222231</v>
      </c>
      <c r="W149" s="166">
        <v>70.345679012345727</v>
      </c>
      <c r="X149" s="182">
        <f t="shared" si="48"/>
        <v>16</v>
      </c>
      <c r="Y149" s="390"/>
      <c r="Z149" s="182">
        <v>18</v>
      </c>
      <c r="AA149" s="166">
        <v>1224.461538461539</v>
      </c>
      <c r="AB149" s="166">
        <v>68.02564102564105</v>
      </c>
      <c r="AC149" s="182">
        <f t="shared" si="49"/>
        <v>18</v>
      </c>
      <c r="AD149" s="390"/>
      <c r="AE149" s="182">
        <v>18</v>
      </c>
      <c r="AF149" s="166">
        <v>1257.0000000000005</v>
      </c>
      <c r="AG149" s="166">
        <v>69.833333333333357</v>
      </c>
      <c r="AH149" s="182">
        <f t="shared" si="50"/>
        <v>16</v>
      </c>
      <c r="AI149" s="390"/>
      <c r="AJ149" s="182">
        <v>18</v>
      </c>
      <c r="AK149" s="166">
        <v>1241.896551724139</v>
      </c>
      <c r="AL149" s="166">
        <v>68.994252873563283</v>
      </c>
      <c r="AM149" s="182">
        <f t="shared" si="51"/>
        <v>17</v>
      </c>
      <c r="AN149" s="390"/>
      <c r="AO149" s="182">
        <v>18</v>
      </c>
      <c r="AP149" s="166">
        <v>1258.2857142857131</v>
      </c>
      <c r="AQ149" s="166">
        <v>69.904761904761841</v>
      </c>
      <c r="AR149" s="182">
        <f t="shared" si="52"/>
        <v>17</v>
      </c>
      <c r="AS149" s="390"/>
      <c r="AT149" s="182">
        <v>18</v>
      </c>
      <c r="AU149" s="166">
        <v>1254.3243243243232</v>
      </c>
      <c r="AV149" s="166">
        <v>69.684684684684626</v>
      </c>
      <c r="AW149" s="182">
        <f t="shared" si="53"/>
        <v>17</v>
      </c>
      <c r="AX149" s="390"/>
      <c r="AZ149" s="182" t="e">
        <f t="shared" si="54"/>
        <v>#N/A</v>
      </c>
      <c r="BA149" s="390"/>
    </row>
    <row r="150" spans="2:53">
      <c r="B150" s="395"/>
      <c r="C150" s="182">
        <v>4</v>
      </c>
      <c r="D150" s="203" t="s">
        <v>578</v>
      </c>
      <c r="E150" s="166">
        <v>18</v>
      </c>
      <c r="F150" s="182">
        <v>1500</v>
      </c>
      <c r="G150" s="180">
        <v>83.333333333333329</v>
      </c>
      <c r="H150" s="402"/>
      <c r="I150" s="166">
        <f t="shared" si="44"/>
        <v>18</v>
      </c>
      <c r="J150" s="166">
        <f t="shared" si="45"/>
        <v>1304.8968181037874</v>
      </c>
      <c r="K150" s="180">
        <f t="shared" si="46"/>
        <v>72.494267672432628</v>
      </c>
      <c r="L150" s="402"/>
      <c r="M150" s="181">
        <f>RANK(K150, K$147:$K$176)</f>
        <v>16</v>
      </c>
      <c r="N150" s="389"/>
      <c r="O150" s="389"/>
      <c r="P150" s="182">
        <v>18</v>
      </c>
      <c r="Q150" s="166">
        <v>1307.4418604651162</v>
      </c>
      <c r="R150" s="166">
        <v>72.63565891472868</v>
      </c>
      <c r="S150" s="182">
        <f t="shared" si="47"/>
        <v>16</v>
      </c>
      <c r="T150" s="390"/>
      <c r="U150" s="182">
        <v>18</v>
      </c>
      <c r="V150" s="166">
        <v>1333.4999999999995</v>
      </c>
      <c r="W150" s="166">
        <v>74.083333333333314</v>
      </c>
      <c r="X150" s="182">
        <f t="shared" si="48"/>
        <v>15</v>
      </c>
      <c r="Y150" s="390"/>
      <c r="Z150" s="182">
        <v>18</v>
      </c>
      <c r="AA150" s="166">
        <v>1309.4999999999995</v>
      </c>
      <c r="AB150" s="166">
        <v>72.749999999999972</v>
      </c>
      <c r="AC150" s="182">
        <f t="shared" si="49"/>
        <v>15</v>
      </c>
      <c r="AD150" s="390"/>
      <c r="AE150" s="182">
        <v>18</v>
      </c>
      <c r="AF150" s="166">
        <v>1301.1428571428557</v>
      </c>
      <c r="AG150" s="166">
        <v>72.285714285714207</v>
      </c>
      <c r="AH150" s="182">
        <f t="shared" si="50"/>
        <v>15</v>
      </c>
      <c r="AI150" s="390"/>
      <c r="AJ150" s="182">
        <v>18</v>
      </c>
      <c r="AK150" s="166">
        <v>1295.7142857142853</v>
      </c>
      <c r="AL150" s="166">
        <v>71.984126984126959</v>
      </c>
      <c r="AM150" s="182">
        <f t="shared" si="51"/>
        <v>15</v>
      </c>
      <c r="AN150" s="390"/>
      <c r="AO150" s="182">
        <v>18</v>
      </c>
      <c r="AP150" s="166">
        <v>1304</v>
      </c>
      <c r="AQ150" s="166">
        <v>72.444444444444443</v>
      </c>
      <c r="AR150" s="182">
        <f t="shared" si="52"/>
        <v>15</v>
      </c>
      <c r="AS150" s="390"/>
      <c r="AT150" s="182">
        <v>18</v>
      </c>
      <c r="AU150" s="166">
        <v>1282.9787234042553</v>
      </c>
      <c r="AV150" s="166">
        <v>71.276595744680847</v>
      </c>
      <c r="AW150" s="182">
        <f t="shared" si="53"/>
        <v>16</v>
      </c>
      <c r="AX150" s="390"/>
      <c r="AZ150" s="182" t="e">
        <f t="shared" si="54"/>
        <v>#N/A</v>
      </c>
      <c r="BA150" s="390"/>
    </row>
    <row r="151" spans="2:53">
      <c r="B151" s="395"/>
      <c r="C151" s="182">
        <v>5</v>
      </c>
      <c r="D151" s="203" t="s">
        <v>348</v>
      </c>
      <c r="E151" s="166">
        <v>16</v>
      </c>
      <c r="F151" s="182">
        <v>1565</v>
      </c>
      <c r="G151" s="180">
        <v>97.8125</v>
      </c>
      <c r="H151" s="402"/>
      <c r="I151" s="166">
        <f t="shared" si="44"/>
        <v>16</v>
      </c>
      <c r="J151" s="166">
        <f t="shared" si="45"/>
        <v>1358.4068030434262</v>
      </c>
      <c r="K151" s="180">
        <f t="shared" si="46"/>
        <v>84.900425190214136</v>
      </c>
      <c r="L151" s="402"/>
      <c r="M151" s="181">
        <f>RANK(K151, K$147:$K$176)</f>
        <v>6</v>
      </c>
      <c r="N151" s="389"/>
      <c r="O151" s="389"/>
      <c r="P151" s="182">
        <v>16</v>
      </c>
      <c r="Q151" s="166">
        <v>1359.4736842105253</v>
      </c>
      <c r="R151" s="166">
        <v>84.967105263157833</v>
      </c>
      <c r="S151" s="182">
        <f t="shared" si="47"/>
        <v>7</v>
      </c>
      <c r="T151" s="390"/>
      <c r="U151" s="182">
        <v>16</v>
      </c>
      <c r="V151" s="166">
        <v>1355.8333333333321</v>
      </c>
      <c r="W151" s="166">
        <v>84.739583333333258</v>
      </c>
      <c r="X151" s="182">
        <f t="shared" si="48"/>
        <v>6</v>
      </c>
      <c r="Y151" s="390"/>
      <c r="Z151" s="182">
        <v>16</v>
      </c>
      <c r="AA151" s="166">
        <v>1367.4193548387109</v>
      </c>
      <c r="AB151" s="166">
        <v>85.46370967741943</v>
      </c>
      <c r="AC151" s="182">
        <f t="shared" si="49"/>
        <v>4</v>
      </c>
      <c r="AD151" s="390"/>
      <c r="AE151" s="182">
        <v>16</v>
      </c>
      <c r="AF151" s="166">
        <v>1384.1379310344837</v>
      </c>
      <c r="AG151" s="166">
        <v>86.508620689655231</v>
      </c>
      <c r="AH151" s="182">
        <f t="shared" si="50"/>
        <v>4</v>
      </c>
      <c r="AI151" s="390"/>
      <c r="AJ151" s="182">
        <v>16</v>
      </c>
      <c r="AK151" s="166">
        <v>1389.2307692307706</v>
      </c>
      <c r="AL151" s="166">
        <v>86.826923076923165</v>
      </c>
      <c r="AM151" s="182">
        <f t="shared" si="51"/>
        <v>4</v>
      </c>
      <c r="AN151" s="390"/>
      <c r="AO151" s="182">
        <v>16</v>
      </c>
      <c r="AP151" s="166">
        <v>1327.6923076923069</v>
      </c>
      <c r="AQ151" s="166">
        <v>82.980769230769184</v>
      </c>
      <c r="AR151" s="182">
        <f t="shared" si="52"/>
        <v>5</v>
      </c>
      <c r="AS151" s="390"/>
      <c r="AT151" s="182">
        <v>16</v>
      </c>
      <c r="AU151" s="166">
        <v>1325.060240963855</v>
      </c>
      <c r="AV151" s="166">
        <v>82.816265060240937</v>
      </c>
      <c r="AW151" s="182">
        <f t="shared" si="53"/>
        <v>5</v>
      </c>
      <c r="AX151" s="390"/>
      <c r="AZ151" s="182" t="e">
        <f t="shared" si="54"/>
        <v>#N/A</v>
      </c>
      <c r="BA151" s="390"/>
    </row>
    <row r="152" spans="2:53">
      <c r="B152" s="395"/>
      <c r="C152" s="182">
        <v>6</v>
      </c>
      <c r="D152" s="203" t="s">
        <v>579</v>
      </c>
      <c r="E152" s="166">
        <v>21</v>
      </c>
      <c r="F152" s="182">
        <v>1500</v>
      </c>
      <c r="G152" s="180">
        <v>71.428571428571431</v>
      </c>
      <c r="H152" s="402"/>
      <c r="I152" s="166">
        <f t="shared" si="44"/>
        <v>21</v>
      </c>
      <c r="J152" s="166">
        <f t="shared" si="45"/>
        <v>1256.1541112103459</v>
      </c>
      <c r="K152" s="180">
        <f t="shared" si="46"/>
        <v>59.816862438587904</v>
      </c>
      <c r="L152" s="402"/>
      <c r="M152" s="181">
        <f>RANK(K152, K$147:$K$176)</f>
        <v>23</v>
      </c>
      <c r="N152" s="389"/>
      <c r="O152" s="389"/>
      <c r="P152" s="182">
        <v>21</v>
      </c>
      <c r="Q152" s="166">
        <v>1237.674418604651</v>
      </c>
      <c r="R152" s="166">
        <v>58.936877076411953</v>
      </c>
      <c r="S152" s="182">
        <f t="shared" si="47"/>
        <v>23</v>
      </c>
      <c r="T152" s="390"/>
      <c r="U152" s="182">
        <v>21</v>
      </c>
      <c r="V152" s="166">
        <v>1255.6097560975604</v>
      </c>
      <c r="W152" s="166">
        <v>59.790940766550499</v>
      </c>
      <c r="X152" s="182">
        <f t="shared" si="48"/>
        <v>22</v>
      </c>
      <c r="Y152" s="390"/>
      <c r="Z152" s="182">
        <v>21</v>
      </c>
      <c r="AA152" s="166">
        <v>1275.3846153846148</v>
      </c>
      <c r="AB152" s="166">
        <v>60.732600732600702</v>
      </c>
      <c r="AC152" s="182">
        <f t="shared" si="49"/>
        <v>22</v>
      </c>
      <c r="AD152" s="390"/>
      <c r="AE152" s="182">
        <v>21</v>
      </c>
      <c r="AF152" s="166">
        <v>1244.9999999999989</v>
      </c>
      <c r="AG152" s="166">
        <v>59.285714285714235</v>
      </c>
      <c r="AH152" s="182">
        <f t="shared" si="50"/>
        <v>22</v>
      </c>
      <c r="AI152" s="390"/>
      <c r="AJ152" s="182">
        <v>21</v>
      </c>
      <c r="AK152" s="166">
        <v>1251.2195121951215</v>
      </c>
      <c r="AL152" s="166">
        <v>59.581881533101026</v>
      </c>
      <c r="AM152" s="182">
        <f t="shared" si="51"/>
        <v>22</v>
      </c>
      <c r="AN152" s="390"/>
      <c r="AO152" s="182">
        <v>21</v>
      </c>
      <c r="AP152" s="166">
        <v>1262.8571428571424</v>
      </c>
      <c r="AQ152" s="166">
        <v>60.136054421768691</v>
      </c>
      <c r="AR152" s="182">
        <f t="shared" si="52"/>
        <v>21</v>
      </c>
      <c r="AS152" s="390"/>
      <c r="AT152" s="182">
        <v>21</v>
      </c>
      <c r="AU152" s="166">
        <v>1265.3333333333333</v>
      </c>
      <c r="AV152" s="166">
        <v>60.253968253968253</v>
      </c>
      <c r="AW152" s="182">
        <f t="shared" si="53"/>
        <v>22</v>
      </c>
      <c r="AX152" s="390"/>
      <c r="AZ152" s="182" t="e">
        <f t="shared" si="54"/>
        <v>#N/A</v>
      </c>
      <c r="BA152" s="390"/>
    </row>
    <row r="153" spans="2:53">
      <c r="B153" s="395"/>
      <c r="C153" s="182">
        <v>7</v>
      </c>
      <c r="D153" s="203" t="s">
        <v>660</v>
      </c>
      <c r="E153" s="166">
        <v>20</v>
      </c>
      <c r="F153" s="182">
        <v>1300</v>
      </c>
      <c r="G153" s="180">
        <v>65</v>
      </c>
      <c r="H153" s="402"/>
      <c r="I153" s="166">
        <f t="shared" si="44"/>
        <v>20</v>
      </c>
      <c r="J153" s="166">
        <f t="shared" si="45"/>
        <v>1077.160419186934</v>
      </c>
      <c r="K153" s="180">
        <f t="shared" si="46"/>
        <v>53.858020959346696</v>
      </c>
      <c r="L153" s="402"/>
      <c r="M153" s="181">
        <f>RANK(K153, K$147:$K$176)</f>
        <v>24</v>
      </c>
      <c r="N153" s="389"/>
      <c r="O153" s="389"/>
      <c r="P153" s="182">
        <v>20</v>
      </c>
      <c r="Q153" s="166">
        <v>1091.6417910447776</v>
      </c>
      <c r="R153" s="166">
        <v>54.582089552238884</v>
      </c>
      <c r="S153" s="182">
        <f t="shared" si="47"/>
        <v>24</v>
      </c>
      <c r="T153" s="390"/>
      <c r="U153" s="182">
        <v>20</v>
      </c>
      <c r="V153" s="166">
        <v>1065.882352941175</v>
      </c>
      <c r="W153" s="166">
        <v>53.294117647058748</v>
      </c>
      <c r="X153" s="182">
        <f t="shared" si="48"/>
        <v>23</v>
      </c>
      <c r="Y153" s="390"/>
      <c r="Z153" s="182">
        <v>20</v>
      </c>
      <c r="AA153" s="166">
        <v>1075.1612903225816</v>
      </c>
      <c r="AB153" s="166">
        <v>53.758064516129082</v>
      </c>
      <c r="AC153" s="182">
        <f t="shared" si="49"/>
        <v>23</v>
      </c>
      <c r="AD153" s="390"/>
      <c r="AE153" s="182">
        <v>20</v>
      </c>
      <c r="AF153" s="166">
        <v>1092.0000000000005</v>
      </c>
      <c r="AG153" s="166">
        <v>54.600000000000023</v>
      </c>
      <c r="AH153" s="182">
        <f t="shared" si="50"/>
        <v>23</v>
      </c>
      <c r="AI153" s="390"/>
      <c r="AJ153" s="182">
        <v>20</v>
      </c>
      <c r="AK153" s="166">
        <v>1062.0000000000009</v>
      </c>
      <c r="AL153" s="166">
        <v>53.100000000000044</v>
      </c>
      <c r="AM153" s="182">
        <f t="shared" si="51"/>
        <v>23</v>
      </c>
      <c r="AN153" s="390"/>
      <c r="AO153" s="182">
        <v>20</v>
      </c>
      <c r="AP153" s="166">
        <v>1071.5625000000014</v>
      </c>
      <c r="AQ153" s="166">
        <v>53.578125000000071</v>
      </c>
      <c r="AR153" s="182">
        <f t="shared" si="52"/>
        <v>23</v>
      </c>
      <c r="AS153" s="390"/>
      <c r="AT153" s="182">
        <v>20</v>
      </c>
      <c r="AU153" s="166">
        <v>1081.8750000000014</v>
      </c>
      <c r="AV153" s="166">
        <v>54.093750000000071</v>
      </c>
      <c r="AW153" s="182">
        <f t="shared" si="53"/>
        <v>23</v>
      </c>
      <c r="AX153" s="390"/>
      <c r="AZ153" s="182" t="e">
        <f t="shared" si="54"/>
        <v>#N/A</v>
      </c>
      <c r="BA153" s="390"/>
    </row>
    <row r="154" spans="2:53">
      <c r="B154" s="395"/>
      <c r="C154" s="182">
        <v>8</v>
      </c>
      <c r="D154" s="203" t="s">
        <v>730</v>
      </c>
      <c r="E154" s="166">
        <v>16</v>
      </c>
      <c r="F154" s="182">
        <v>1500</v>
      </c>
      <c r="G154" s="180">
        <v>93.75</v>
      </c>
      <c r="H154" s="402"/>
      <c r="I154" s="166">
        <f t="shared" si="44"/>
        <v>16</v>
      </c>
      <c r="J154" s="166">
        <f t="shared" si="45"/>
        <v>1297.2898666181761</v>
      </c>
      <c r="K154" s="180">
        <f t="shared" si="46"/>
        <v>81.080616663636008</v>
      </c>
      <c r="L154" s="402"/>
      <c r="M154" s="181">
        <f>RANK(K154, K$147:$K$176)</f>
        <v>10</v>
      </c>
      <c r="N154" s="389"/>
      <c r="O154" s="389"/>
      <c r="P154" s="182">
        <v>16</v>
      </c>
      <c r="Q154" s="166">
        <v>1318.0952380952394</v>
      </c>
      <c r="R154" s="166">
        <v>82.380952380952465</v>
      </c>
      <c r="S154" s="182">
        <f t="shared" si="47"/>
        <v>10</v>
      </c>
      <c r="T154" s="390"/>
      <c r="U154" s="182">
        <v>16</v>
      </c>
      <c r="V154" s="166">
        <v>1339.4366197183085</v>
      </c>
      <c r="W154" s="166">
        <v>83.714788732394283</v>
      </c>
      <c r="X154" s="182">
        <f t="shared" si="48"/>
        <v>7</v>
      </c>
      <c r="Y154" s="390"/>
      <c r="Z154" s="182">
        <v>16</v>
      </c>
      <c r="AA154" s="166">
        <v>1277.4999999999991</v>
      </c>
      <c r="AB154" s="166">
        <v>79.843749999999943</v>
      </c>
      <c r="AC154" s="182">
        <f t="shared" si="49"/>
        <v>11</v>
      </c>
      <c r="AD154" s="390"/>
      <c r="AE154" s="182">
        <v>16</v>
      </c>
      <c r="AF154" s="166">
        <v>1289.5652173913031</v>
      </c>
      <c r="AG154" s="166">
        <v>80.597826086956445</v>
      </c>
      <c r="AH154" s="182">
        <f t="shared" si="50"/>
        <v>9</v>
      </c>
      <c r="AI154" s="390"/>
      <c r="AJ154" s="182">
        <v>16</v>
      </c>
      <c r="AK154" s="166">
        <v>1293.1578947368412</v>
      </c>
      <c r="AL154" s="166">
        <v>80.822368421052573</v>
      </c>
      <c r="AM154" s="182">
        <f t="shared" si="51"/>
        <v>7</v>
      </c>
      <c r="AN154" s="390"/>
      <c r="AO154" s="182">
        <v>16</v>
      </c>
      <c r="AP154" s="166">
        <v>1286.0240963855417</v>
      </c>
      <c r="AQ154" s="166">
        <v>80.376506024096358</v>
      </c>
      <c r="AR154" s="182">
        <f t="shared" si="52"/>
        <v>10</v>
      </c>
      <c r="AS154" s="390"/>
      <c r="AT154" s="182">
        <v>16</v>
      </c>
      <c r="AU154" s="166">
        <v>1277.2499999999995</v>
      </c>
      <c r="AV154" s="166">
        <v>79.828124999999972</v>
      </c>
      <c r="AW154" s="182">
        <f t="shared" si="53"/>
        <v>11</v>
      </c>
      <c r="AX154" s="390"/>
      <c r="AZ154" s="182" t="e">
        <f t="shared" si="54"/>
        <v>#N/A</v>
      </c>
      <c r="BA154" s="390"/>
    </row>
    <row r="155" spans="2:53">
      <c r="B155" s="395"/>
      <c r="C155" s="182">
        <v>9</v>
      </c>
      <c r="D155" s="203" t="s">
        <v>606</v>
      </c>
      <c r="E155" s="166">
        <v>16</v>
      </c>
      <c r="F155" s="182">
        <v>1440</v>
      </c>
      <c r="G155" s="180">
        <v>90</v>
      </c>
      <c r="H155" s="402"/>
      <c r="I155" s="166">
        <f t="shared" si="44"/>
        <v>16</v>
      </c>
      <c r="J155" s="166">
        <f t="shared" si="45"/>
        <v>1316.1766627069851</v>
      </c>
      <c r="K155" s="180">
        <f t="shared" si="46"/>
        <v>82.261041419186569</v>
      </c>
      <c r="L155" s="402"/>
      <c r="M155" s="181">
        <f>RANK(K155, K$147:$K$176)</f>
        <v>8</v>
      </c>
      <c r="N155" s="389"/>
      <c r="O155" s="389"/>
      <c r="P155" s="182">
        <v>16</v>
      </c>
      <c r="Q155" s="166">
        <v>1342.9787234042553</v>
      </c>
      <c r="R155" s="166">
        <v>83.936170212765958</v>
      </c>
      <c r="S155" s="182">
        <f t="shared" si="47"/>
        <v>8</v>
      </c>
      <c r="T155" s="390"/>
      <c r="U155" s="182">
        <v>16</v>
      </c>
      <c r="V155" s="166">
        <v>1333.6363636363635</v>
      </c>
      <c r="W155" s="166">
        <v>83.35227272727272</v>
      </c>
      <c r="X155" s="182">
        <f t="shared" si="48"/>
        <v>8</v>
      </c>
      <c r="Y155" s="390"/>
      <c r="Z155" s="182">
        <v>16</v>
      </c>
      <c r="AA155" s="166">
        <v>1328.1081081081072</v>
      </c>
      <c r="AB155" s="166">
        <v>83.006756756756701</v>
      </c>
      <c r="AC155" s="182">
        <f t="shared" si="49"/>
        <v>7</v>
      </c>
      <c r="AD155" s="390"/>
      <c r="AE155" s="182">
        <v>16</v>
      </c>
      <c r="AF155" s="166">
        <v>1311.627906976744</v>
      </c>
      <c r="AG155" s="166">
        <v>81.976744186046503</v>
      </c>
      <c r="AH155" s="182">
        <f t="shared" si="50"/>
        <v>7</v>
      </c>
      <c r="AI155" s="390"/>
      <c r="AJ155" s="182">
        <v>16</v>
      </c>
      <c r="AK155" s="166">
        <v>1289.9999999999995</v>
      </c>
      <c r="AL155" s="166">
        <v>80.624999999999972</v>
      </c>
      <c r="AM155" s="182">
        <f t="shared" si="51"/>
        <v>9</v>
      </c>
      <c r="AN155" s="390"/>
      <c r="AO155" s="182">
        <v>16</v>
      </c>
      <c r="AP155" s="166">
        <v>1307.7551020408168</v>
      </c>
      <c r="AQ155" s="166">
        <v>81.734693877551052</v>
      </c>
      <c r="AR155" s="182">
        <f t="shared" si="52"/>
        <v>7</v>
      </c>
      <c r="AS155" s="390"/>
      <c r="AT155" s="182">
        <v>16</v>
      </c>
      <c r="AU155" s="166">
        <v>1299.1304347826085</v>
      </c>
      <c r="AV155" s="166">
        <v>81.195652173913032</v>
      </c>
      <c r="AW155" s="182">
        <f t="shared" si="53"/>
        <v>6</v>
      </c>
      <c r="AX155" s="390"/>
      <c r="AZ155" s="182" t="e">
        <f t="shared" si="54"/>
        <v>#N/A</v>
      </c>
      <c r="BA155" s="390"/>
    </row>
    <row r="156" spans="2:53">
      <c r="B156" s="395"/>
      <c r="C156" s="182">
        <v>10</v>
      </c>
      <c r="D156" s="203" t="s">
        <v>607</v>
      </c>
      <c r="E156" s="166">
        <v>18</v>
      </c>
      <c r="F156" s="182">
        <v>1636</v>
      </c>
      <c r="G156" s="180">
        <v>90.888888888888886</v>
      </c>
      <c r="H156" s="402"/>
      <c r="I156" s="166">
        <f t="shared" si="44"/>
        <v>18</v>
      </c>
      <c r="J156" s="166">
        <f t="shared" si="45"/>
        <v>1426.6130671572478</v>
      </c>
      <c r="K156" s="180">
        <f t="shared" si="46"/>
        <v>79.256281508735967</v>
      </c>
      <c r="L156" s="402"/>
      <c r="M156" s="181">
        <f>RANK(K156, K$147:$K$176)</f>
        <v>11</v>
      </c>
      <c r="N156" s="389"/>
      <c r="O156" s="389"/>
      <c r="P156" s="182">
        <v>18</v>
      </c>
      <c r="Q156" s="166">
        <v>1393.5483870967755</v>
      </c>
      <c r="R156" s="166">
        <v>77.419354838709751</v>
      </c>
      <c r="S156" s="182">
        <f t="shared" si="47"/>
        <v>12</v>
      </c>
      <c r="T156" s="390"/>
      <c r="U156" s="182">
        <v>18</v>
      </c>
      <c r="V156" s="166">
        <v>1416.0000000000009</v>
      </c>
      <c r="W156" s="166">
        <v>78.666666666666714</v>
      </c>
      <c r="X156" s="182">
        <f t="shared" si="48"/>
        <v>13</v>
      </c>
      <c r="Y156" s="390"/>
      <c r="Z156" s="182">
        <v>18</v>
      </c>
      <c r="AA156" s="166">
        <v>1425.6521739130435</v>
      </c>
      <c r="AB156" s="166">
        <v>79.20289855072464</v>
      </c>
      <c r="AC156" s="182">
        <f t="shared" si="49"/>
        <v>12</v>
      </c>
      <c r="AD156" s="390"/>
      <c r="AE156" s="182">
        <v>18</v>
      </c>
      <c r="AF156" s="166">
        <v>1380.0000000000005</v>
      </c>
      <c r="AG156" s="166">
        <v>76.666666666666686</v>
      </c>
      <c r="AH156" s="182">
        <f t="shared" si="50"/>
        <v>13</v>
      </c>
      <c r="AI156" s="390"/>
      <c r="AJ156" s="182">
        <v>18</v>
      </c>
      <c r="AK156" s="166">
        <v>1453.0909090909099</v>
      </c>
      <c r="AL156" s="166">
        <v>80.727272727272776</v>
      </c>
      <c r="AM156" s="182">
        <f t="shared" si="51"/>
        <v>8</v>
      </c>
      <c r="AN156" s="390"/>
      <c r="AO156" s="182">
        <v>18</v>
      </c>
      <c r="AP156" s="166">
        <v>1470.0000000000014</v>
      </c>
      <c r="AQ156" s="166">
        <v>81.666666666666742</v>
      </c>
      <c r="AR156" s="182">
        <f t="shared" si="52"/>
        <v>8</v>
      </c>
      <c r="AS156" s="390"/>
      <c r="AT156" s="182">
        <v>18</v>
      </c>
      <c r="AU156" s="166">
        <v>1448.0000000000014</v>
      </c>
      <c r="AV156" s="166">
        <v>80.444444444444514</v>
      </c>
      <c r="AW156" s="182">
        <f t="shared" si="53"/>
        <v>10</v>
      </c>
      <c r="AX156" s="390"/>
      <c r="AZ156" s="182" t="e">
        <f t="shared" si="54"/>
        <v>#N/A</v>
      </c>
      <c r="BA156" s="390"/>
    </row>
    <row r="157" spans="2:53">
      <c r="B157" s="395"/>
      <c r="C157" s="182">
        <v>11</v>
      </c>
      <c r="D157" s="203" t="s">
        <v>608</v>
      </c>
      <c r="E157" s="166">
        <v>18</v>
      </c>
      <c r="F157" s="182">
        <v>1636</v>
      </c>
      <c r="G157" s="180">
        <v>90.888888888888886</v>
      </c>
      <c r="H157" s="402"/>
      <c r="I157" s="166">
        <f t="shared" si="44"/>
        <v>18</v>
      </c>
      <c r="J157" s="166">
        <f t="shared" si="45"/>
        <v>1420.950276227559</v>
      </c>
      <c r="K157" s="180">
        <f t="shared" si="46"/>
        <v>78.941682012642175</v>
      </c>
      <c r="L157" s="402"/>
      <c r="M157" s="181">
        <f>RANK(K157, K$147:$K$176)</f>
        <v>13</v>
      </c>
      <c r="N157" s="389"/>
      <c r="O157" s="389"/>
      <c r="P157" s="182">
        <v>18</v>
      </c>
      <c r="Q157" s="166">
        <v>1372.8000000000004</v>
      </c>
      <c r="R157" s="166">
        <v>76.266666666666694</v>
      </c>
      <c r="S157" s="182">
        <f t="shared" si="47"/>
        <v>15</v>
      </c>
      <c r="T157" s="390"/>
      <c r="U157" s="182">
        <v>18</v>
      </c>
      <c r="V157" s="166">
        <v>1423.0434782608695</v>
      </c>
      <c r="W157" s="166">
        <v>79.05797101449275</v>
      </c>
      <c r="X157" s="182">
        <f t="shared" si="48"/>
        <v>12</v>
      </c>
      <c r="Y157" s="390"/>
      <c r="Z157" s="182">
        <v>18</v>
      </c>
      <c r="AA157" s="166">
        <v>1444.6153846153838</v>
      </c>
      <c r="AB157" s="166">
        <v>80.25641025641022</v>
      </c>
      <c r="AC157" s="182">
        <f t="shared" si="49"/>
        <v>10</v>
      </c>
      <c r="AD157" s="390"/>
      <c r="AE157" s="182">
        <v>18</v>
      </c>
      <c r="AF157" s="166">
        <v>1393.9534883720928</v>
      </c>
      <c r="AG157" s="166">
        <v>77.441860465116264</v>
      </c>
      <c r="AH157" s="182">
        <f t="shared" si="50"/>
        <v>12</v>
      </c>
      <c r="AI157" s="390"/>
      <c r="AJ157" s="182">
        <v>18</v>
      </c>
      <c r="AK157" s="166">
        <v>1433.0232558139533</v>
      </c>
      <c r="AL157" s="166">
        <v>79.612403100775182</v>
      </c>
      <c r="AM157" s="182">
        <f t="shared" si="51"/>
        <v>11</v>
      </c>
      <c r="AN157" s="390"/>
      <c r="AO157" s="182">
        <v>18</v>
      </c>
      <c r="AP157" s="166">
        <v>1418.4000000000005</v>
      </c>
      <c r="AQ157" s="166">
        <v>78.800000000000026</v>
      </c>
      <c r="AR157" s="182">
        <f t="shared" si="52"/>
        <v>11</v>
      </c>
      <c r="AS157" s="390"/>
      <c r="AT157" s="182">
        <v>18</v>
      </c>
      <c r="AU157" s="166">
        <v>1460.8163265306125</v>
      </c>
      <c r="AV157" s="166">
        <v>81.156462585034035</v>
      </c>
      <c r="AW157" s="182">
        <f t="shared" si="53"/>
        <v>7</v>
      </c>
      <c r="AX157" s="390"/>
      <c r="AZ157" s="182" t="e">
        <f t="shared" si="54"/>
        <v>#N/A</v>
      </c>
      <c r="BA157" s="390"/>
    </row>
    <row r="158" spans="2:53">
      <c r="B158" s="395"/>
      <c r="C158" s="182">
        <v>12</v>
      </c>
      <c r="D158" s="203" t="s">
        <v>336</v>
      </c>
      <c r="E158" s="166">
        <v>17</v>
      </c>
      <c r="F158" s="182">
        <v>1500</v>
      </c>
      <c r="G158" s="180">
        <v>88.235294117647058</v>
      </c>
      <c r="H158" s="402"/>
      <c r="I158" s="166">
        <f t="shared" si="44"/>
        <v>17</v>
      </c>
      <c r="J158" s="166">
        <f t="shared" si="45"/>
        <v>1346.7186005308924</v>
      </c>
      <c r="K158" s="180">
        <f t="shared" si="46"/>
        <v>79.218741207699551</v>
      </c>
      <c r="L158" s="402"/>
      <c r="M158" s="181">
        <f>RANK(K158, K$147:$K$176)</f>
        <v>12</v>
      </c>
      <c r="N158" s="389"/>
      <c r="O158" s="389"/>
      <c r="P158" s="182">
        <v>17</v>
      </c>
      <c r="Q158" s="166">
        <v>1336</v>
      </c>
      <c r="R158" s="166">
        <v>78.588235294117652</v>
      </c>
      <c r="S158" s="182">
        <f t="shared" si="47"/>
        <v>11</v>
      </c>
      <c r="T158" s="390"/>
      <c r="U158" s="182">
        <v>17</v>
      </c>
      <c r="V158" s="166">
        <v>1375.4999999999995</v>
      </c>
      <c r="W158" s="166">
        <v>80.91176470588232</v>
      </c>
      <c r="X158" s="182">
        <f t="shared" si="48"/>
        <v>10</v>
      </c>
      <c r="Y158" s="390"/>
      <c r="Z158" s="182">
        <v>17</v>
      </c>
      <c r="AA158" s="166">
        <v>1390.9090909090892</v>
      </c>
      <c r="AB158" s="166">
        <v>81.818181818181714</v>
      </c>
      <c r="AC158" s="182">
        <f t="shared" si="49"/>
        <v>8</v>
      </c>
      <c r="AD158" s="390"/>
      <c r="AE158" s="182">
        <v>17</v>
      </c>
      <c r="AF158" s="166">
        <v>1344.3243243243232</v>
      </c>
      <c r="AG158" s="166">
        <v>79.077901430842545</v>
      </c>
      <c r="AH158" s="182">
        <f t="shared" si="50"/>
        <v>10</v>
      </c>
      <c r="AI158" s="390"/>
      <c r="AJ158" s="182">
        <v>17</v>
      </c>
      <c r="AK158" s="166">
        <v>1339.5348837209301</v>
      </c>
      <c r="AL158" s="166">
        <v>78.79616963064295</v>
      </c>
      <c r="AM158" s="182">
        <f t="shared" si="51"/>
        <v>12</v>
      </c>
      <c r="AN158" s="390"/>
      <c r="AO158" s="182">
        <v>17</v>
      </c>
      <c r="AP158" s="166">
        <v>1311.4285714285718</v>
      </c>
      <c r="AQ158" s="166">
        <v>77.142857142857167</v>
      </c>
      <c r="AR158" s="182">
        <f t="shared" si="52"/>
        <v>12</v>
      </c>
      <c r="AS158" s="390"/>
      <c r="AT158" s="182">
        <v>17</v>
      </c>
      <c r="AU158" s="166">
        <v>1329.3333333333333</v>
      </c>
      <c r="AV158" s="166">
        <v>78.196078431372541</v>
      </c>
      <c r="AW158" s="182">
        <f t="shared" si="53"/>
        <v>12</v>
      </c>
      <c r="AX158" s="390"/>
      <c r="AZ158" s="182" t="e">
        <f t="shared" si="54"/>
        <v>#N/A</v>
      </c>
      <c r="BA158" s="390"/>
    </row>
    <row r="159" spans="2:53">
      <c r="B159" s="395"/>
      <c r="C159" s="182">
        <v>13</v>
      </c>
      <c r="D159" s="203" t="s">
        <v>531</v>
      </c>
      <c r="E159" s="166">
        <v>20</v>
      </c>
      <c r="F159" s="182">
        <v>1440</v>
      </c>
      <c r="G159" s="180">
        <v>72</v>
      </c>
      <c r="H159" s="402"/>
      <c r="I159" s="166">
        <f t="shared" si="44"/>
        <v>20</v>
      </c>
      <c r="J159" s="166">
        <f t="shared" si="45"/>
        <v>1314.9140138106525</v>
      </c>
      <c r="K159" s="180">
        <f t="shared" si="46"/>
        <v>65.745700690532615</v>
      </c>
      <c r="L159" s="402"/>
      <c r="M159" s="181">
        <f>RANK(K159, K$147:$K$176)</f>
        <v>20</v>
      </c>
      <c r="N159" s="389"/>
      <c r="O159" s="389"/>
      <c r="P159" s="182">
        <v>20</v>
      </c>
      <c r="Q159" s="166">
        <v>1334.399999999999</v>
      </c>
      <c r="R159" s="166">
        <v>66.719999999999942</v>
      </c>
      <c r="S159" s="182">
        <f t="shared" si="47"/>
        <v>20</v>
      </c>
      <c r="T159" s="390"/>
      <c r="U159" s="182">
        <v>20</v>
      </c>
      <c r="V159" s="166">
        <v>1299.1666666666656</v>
      </c>
      <c r="W159" s="166">
        <v>64.958333333333286</v>
      </c>
      <c r="X159" s="182">
        <f t="shared" si="48"/>
        <v>19</v>
      </c>
      <c r="Y159" s="390"/>
      <c r="Z159" s="182">
        <v>20</v>
      </c>
      <c r="AA159" s="166">
        <v>1344.4444444444453</v>
      </c>
      <c r="AB159" s="166">
        <v>67.222222222222257</v>
      </c>
      <c r="AC159" s="182">
        <f t="shared" si="49"/>
        <v>19</v>
      </c>
      <c r="AD159" s="390"/>
      <c r="AE159" s="182">
        <v>20</v>
      </c>
      <c r="AF159" s="166">
        <v>1303.3333333333339</v>
      </c>
      <c r="AG159" s="166">
        <v>65.1666666666667</v>
      </c>
      <c r="AH159" s="182">
        <f t="shared" si="50"/>
        <v>19</v>
      </c>
      <c r="AI159" s="390"/>
      <c r="AJ159" s="182">
        <v>20</v>
      </c>
      <c r="AK159" s="166">
        <v>1311.6923076923092</v>
      </c>
      <c r="AL159" s="166">
        <v>65.584615384615461</v>
      </c>
      <c r="AM159" s="182">
        <f t="shared" si="51"/>
        <v>20</v>
      </c>
      <c r="AN159" s="390"/>
      <c r="AO159" s="182">
        <v>20</v>
      </c>
      <c r="AP159" s="166">
        <v>1309.7142857142844</v>
      </c>
      <c r="AQ159" s="166">
        <v>65.485714285714224</v>
      </c>
      <c r="AR159" s="182">
        <f t="shared" si="52"/>
        <v>20</v>
      </c>
      <c r="AS159" s="390"/>
      <c r="AT159" s="182">
        <v>20</v>
      </c>
      <c r="AU159" s="166">
        <v>1301.6470588235293</v>
      </c>
      <c r="AV159" s="166">
        <v>65.082352941176467</v>
      </c>
      <c r="AW159" s="182">
        <f t="shared" si="53"/>
        <v>19</v>
      </c>
      <c r="AX159" s="390"/>
      <c r="AZ159" s="182" t="e">
        <f t="shared" si="54"/>
        <v>#N/A</v>
      </c>
      <c r="BA159" s="390"/>
    </row>
    <row r="160" spans="2:53">
      <c r="B160" s="395"/>
      <c r="C160" s="182">
        <v>14</v>
      </c>
      <c r="D160" s="203" t="s">
        <v>349</v>
      </c>
      <c r="E160" s="166">
        <v>14</v>
      </c>
      <c r="F160" s="182">
        <v>1440</v>
      </c>
      <c r="G160" s="180">
        <v>102.85714285714286</v>
      </c>
      <c r="H160" s="402"/>
      <c r="I160" s="166">
        <f t="shared" si="44"/>
        <v>14.571428571428571</v>
      </c>
      <c r="J160" s="166">
        <f t="shared" si="45"/>
        <v>1300.0526275305542</v>
      </c>
      <c r="K160" s="180">
        <f t="shared" si="46"/>
        <v>89.350048736287206</v>
      </c>
      <c r="L160" s="402"/>
      <c r="M160" s="181">
        <f>RANK(K160, K$147:$K$176)</f>
        <v>3</v>
      </c>
      <c r="N160" s="389"/>
      <c r="O160" s="389"/>
      <c r="P160" s="182">
        <v>14</v>
      </c>
      <c r="Q160" s="166">
        <v>1327.3684210526326</v>
      </c>
      <c r="R160" s="166">
        <v>94.812030075188048</v>
      </c>
      <c r="S160" s="182">
        <f t="shared" si="47"/>
        <v>3</v>
      </c>
      <c r="T160" s="390"/>
      <c r="U160" s="182">
        <v>15</v>
      </c>
      <c r="V160" s="166">
        <v>1292.2222222222229</v>
      </c>
      <c r="W160" s="166">
        <v>86.148148148148195</v>
      </c>
      <c r="X160" s="182">
        <f t="shared" si="48"/>
        <v>4</v>
      </c>
      <c r="Y160" s="390"/>
      <c r="Z160" s="182">
        <v>14</v>
      </c>
      <c r="AA160" s="166">
        <v>1314.4186046511625</v>
      </c>
      <c r="AB160" s="166">
        <v>93.887043189368754</v>
      </c>
      <c r="AC160" s="182">
        <f t="shared" si="49"/>
        <v>3</v>
      </c>
      <c r="AD160" s="390"/>
      <c r="AE160" s="182">
        <v>15</v>
      </c>
      <c r="AF160" s="166">
        <v>1281.1764705882358</v>
      </c>
      <c r="AG160" s="166">
        <v>85.411764705882391</v>
      </c>
      <c r="AH160" s="182">
        <f t="shared" si="50"/>
        <v>5</v>
      </c>
      <c r="AI160" s="390"/>
      <c r="AJ160" s="182">
        <v>15</v>
      </c>
      <c r="AK160" s="166">
        <v>1295.5555555555561</v>
      </c>
      <c r="AL160" s="166">
        <v>86.370370370370409</v>
      </c>
      <c r="AM160" s="182">
        <f t="shared" si="51"/>
        <v>5</v>
      </c>
      <c r="AN160" s="390"/>
      <c r="AO160" s="182">
        <v>15</v>
      </c>
      <c r="AP160" s="166">
        <v>1292.0000000000011</v>
      </c>
      <c r="AQ160" s="166">
        <v>86.133333333333411</v>
      </c>
      <c r="AR160" s="182">
        <f t="shared" si="52"/>
        <v>3</v>
      </c>
      <c r="AS160" s="390"/>
      <c r="AT160" s="182">
        <v>14</v>
      </c>
      <c r="AU160" s="166">
        <v>1297.6271186440688</v>
      </c>
      <c r="AV160" s="166">
        <v>92.687651331719195</v>
      </c>
      <c r="AW160" s="182">
        <f t="shared" si="53"/>
        <v>3</v>
      </c>
      <c r="AX160" s="390"/>
      <c r="AZ160" s="182" t="e">
        <f t="shared" si="54"/>
        <v>#N/A</v>
      </c>
      <c r="BA160" s="390"/>
    </row>
    <row r="161" spans="2:53">
      <c r="B161" s="395"/>
      <c r="C161" s="182">
        <v>15</v>
      </c>
      <c r="D161" s="203" t="s">
        <v>329</v>
      </c>
      <c r="E161" s="166">
        <v>19</v>
      </c>
      <c r="F161" s="182">
        <v>1440</v>
      </c>
      <c r="G161" s="180">
        <v>75.78947368421052</v>
      </c>
      <c r="H161" s="402"/>
      <c r="I161" s="166">
        <f t="shared" si="44"/>
        <v>19</v>
      </c>
      <c r="J161" s="166">
        <f t="shared" si="45"/>
        <v>1298.7760009602248</v>
      </c>
      <c r="K161" s="180">
        <f t="shared" si="46"/>
        <v>68.35663162948552</v>
      </c>
      <c r="L161" s="402"/>
      <c r="M161" s="166">
        <f>RANK(K161, K$147:$K$176)</f>
        <v>19</v>
      </c>
      <c r="N161" s="389"/>
      <c r="O161" s="389"/>
      <c r="P161" s="182">
        <v>19</v>
      </c>
      <c r="Q161" s="166">
        <v>1320</v>
      </c>
      <c r="R161" s="166">
        <v>69.473684210526315</v>
      </c>
      <c r="S161" s="182">
        <f t="shared" si="47"/>
        <v>19</v>
      </c>
      <c r="T161" s="390"/>
      <c r="U161" s="182">
        <v>19</v>
      </c>
      <c r="V161" s="166">
        <v>1306.32911392405</v>
      </c>
      <c r="W161" s="166">
        <v>68.754163890739477</v>
      </c>
      <c r="X161" s="182">
        <f t="shared" si="48"/>
        <v>18</v>
      </c>
      <c r="Y161" s="390"/>
      <c r="Z161" s="182">
        <v>19</v>
      </c>
      <c r="AA161" s="166">
        <v>1305.0000000000016</v>
      </c>
      <c r="AB161" s="166">
        <v>68.68421052631588</v>
      </c>
      <c r="AC161" s="182">
        <f t="shared" si="49"/>
        <v>17</v>
      </c>
      <c r="AD161" s="390"/>
      <c r="AE161" s="182">
        <v>19</v>
      </c>
      <c r="AF161" s="166">
        <v>1311.6923076923092</v>
      </c>
      <c r="AG161" s="166">
        <v>69.036437246963644</v>
      </c>
      <c r="AH161" s="182">
        <f t="shared" si="50"/>
        <v>17</v>
      </c>
      <c r="AI161" s="390"/>
      <c r="AJ161" s="182">
        <v>19</v>
      </c>
      <c r="AK161" s="166">
        <v>1301.917808219177</v>
      </c>
      <c r="AL161" s="166">
        <v>68.521989906272481</v>
      </c>
      <c r="AM161" s="182">
        <f t="shared" si="51"/>
        <v>18</v>
      </c>
      <c r="AN161" s="390"/>
      <c r="AO161" s="182">
        <v>19</v>
      </c>
      <c r="AP161" s="166">
        <v>1263.5714285714282</v>
      </c>
      <c r="AQ161" s="166">
        <v>66.503759398496229</v>
      </c>
      <c r="AR161" s="182">
        <f t="shared" si="52"/>
        <v>18</v>
      </c>
      <c r="AS161" s="390"/>
      <c r="AT161" s="182">
        <v>19</v>
      </c>
      <c r="AU161" s="166">
        <v>1282.9213483146068</v>
      </c>
      <c r="AV161" s="166">
        <v>67.522176227084572</v>
      </c>
      <c r="AW161" s="182">
        <f t="shared" si="53"/>
        <v>18</v>
      </c>
      <c r="AX161" s="390"/>
      <c r="AZ161" s="182" t="e">
        <f t="shared" si="54"/>
        <v>#N/A</v>
      </c>
      <c r="BA161" s="390"/>
    </row>
    <row r="162" spans="2:53">
      <c r="B162" s="395"/>
      <c r="C162" s="182">
        <v>16</v>
      </c>
      <c r="D162" s="203" t="s">
        <v>347</v>
      </c>
      <c r="E162" s="166">
        <v>19</v>
      </c>
      <c r="F162" s="182">
        <v>1440</v>
      </c>
      <c r="G162" s="180">
        <v>75.78947368421052</v>
      </c>
      <c r="H162" s="402"/>
      <c r="I162" s="166">
        <f t="shared" si="44"/>
        <v>19</v>
      </c>
      <c r="J162" s="166">
        <f t="shared" si="45"/>
        <v>1331.467299506209</v>
      </c>
      <c r="K162" s="180">
        <f t="shared" si="46"/>
        <v>70.077226289800478</v>
      </c>
      <c r="L162" s="402"/>
      <c r="M162" s="166">
        <f>RANK(K162, K$147:$K$176)</f>
        <v>17</v>
      </c>
      <c r="N162" s="389"/>
      <c r="O162" s="389"/>
      <c r="P162" s="182">
        <v>19</v>
      </c>
      <c r="Q162" s="166">
        <v>1320.9375000000016</v>
      </c>
      <c r="R162" s="166">
        <v>69.523026315789551</v>
      </c>
      <c r="S162" s="182">
        <f t="shared" si="47"/>
        <v>18</v>
      </c>
      <c r="T162" s="390"/>
      <c r="U162" s="182">
        <v>19</v>
      </c>
      <c r="V162" s="166">
        <v>1327.8688524590175</v>
      </c>
      <c r="W162" s="166">
        <v>69.887834339948284</v>
      </c>
      <c r="X162" s="182">
        <f t="shared" si="48"/>
        <v>17</v>
      </c>
      <c r="Y162" s="390"/>
      <c r="Z162" s="182">
        <v>19</v>
      </c>
      <c r="AA162" s="166">
        <v>1348.8461538461547</v>
      </c>
      <c r="AB162" s="166">
        <v>70.991902834008144</v>
      </c>
      <c r="AC162" s="182">
        <f t="shared" si="49"/>
        <v>16</v>
      </c>
      <c r="AD162" s="390"/>
      <c r="AE162" s="182">
        <v>19</v>
      </c>
      <c r="AF162" s="166">
        <v>1307.3684210526326</v>
      </c>
      <c r="AG162" s="166">
        <v>68.808864265928037</v>
      </c>
      <c r="AH162" s="182">
        <f t="shared" si="50"/>
        <v>18</v>
      </c>
      <c r="AI162" s="390"/>
      <c r="AJ162" s="182">
        <v>19</v>
      </c>
      <c r="AK162" s="166">
        <v>1321.9354838709689</v>
      </c>
      <c r="AL162" s="166">
        <v>69.575551782682581</v>
      </c>
      <c r="AM162" s="182">
        <f t="shared" si="51"/>
        <v>16</v>
      </c>
      <c r="AN162" s="390"/>
      <c r="AO162" s="182">
        <v>19</v>
      </c>
      <c r="AP162" s="166">
        <v>1334.5454545454561</v>
      </c>
      <c r="AQ162" s="166">
        <v>70.239234449760843</v>
      </c>
      <c r="AR162" s="182">
        <f t="shared" si="52"/>
        <v>16</v>
      </c>
      <c r="AS162" s="390"/>
      <c r="AT162" s="182">
        <v>19</v>
      </c>
      <c r="AU162" s="166">
        <v>1358.7692307692323</v>
      </c>
      <c r="AV162" s="166">
        <v>71.514170040485908</v>
      </c>
      <c r="AW162" s="182">
        <f t="shared" si="53"/>
        <v>15</v>
      </c>
      <c r="AX162" s="390"/>
      <c r="AZ162" s="182" t="e">
        <f t="shared" si="54"/>
        <v>#N/A</v>
      </c>
      <c r="BA162" s="390"/>
    </row>
    <row r="163" spans="2:53">
      <c r="B163" s="395"/>
      <c r="C163" s="182">
        <v>17</v>
      </c>
      <c r="D163" s="203" t="s">
        <v>623</v>
      </c>
      <c r="E163" s="166">
        <v>18</v>
      </c>
      <c r="F163" s="182">
        <v>1500</v>
      </c>
      <c r="G163" s="180">
        <v>83.333333333333329</v>
      </c>
      <c r="H163" s="402"/>
      <c r="I163" s="166">
        <f t="shared" si="44"/>
        <v>18</v>
      </c>
      <c r="J163" s="166">
        <f t="shared" si="45"/>
        <v>1382.9043249115982</v>
      </c>
      <c r="K163" s="180">
        <f t="shared" si="46"/>
        <v>76.828018050644332</v>
      </c>
      <c r="L163" s="402"/>
      <c r="M163" s="166">
        <f>RANK(K163, K$147:$K$176)</f>
        <v>14</v>
      </c>
      <c r="N163" s="389"/>
      <c r="O163" s="389"/>
      <c r="P163" s="182">
        <v>18</v>
      </c>
      <c r="Q163" s="166">
        <v>1391.3043478260854</v>
      </c>
      <c r="R163" s="166">
        <v>77.294685990338081</v>
      </c>
      <c r="S163" s="182">
        <f t="shared" si="47"/>
        <v>13</v>
      </c>
      <c r="T163" s="390"/>
      <c r="U163" s="182">
        <v>18</v>
      </c>
      <c r="V163" s="166">
        <v>1424.0625000000016</v>
      </c>
      <c r="W163" s="166">
        <v>79.114583333333428</v>
      </c>
      <c r="X163" s="182">
        <f t="shared" si="48"/>
        <v>11</v>
      </c>
      <c r="Y163" s="390"/>
      <c r="Z163" s="182">
        <v>18</v>
      </c>
      <c r="AA163" s="166">
        <v>1361.9047619047633</v>
      </c>
      <c r="AB163" s="166">
        <v>75.661375661375743</v>
      </c>
      <c r="AC163" s="182">
        <f t="shared" si="49"/>
        <v>14</v>
      </c>
      <c r="AD163" s="390"/>
      <c r="AE163" s="182">
        <v>18</v>
      </c>
      <c r="AF163" s="166">
        <v>1369.8113207547178</v>
      </c>
      <c r="AG163" s="166">
        <v>76.100628930817663</v>
      </c>
      <c r="AH163" s="182">
        <f t="shared" si="50"/>
        <v>14</v>
      </c>
      <c r="AI163" s="390"/>
      <c r="AJ163" s="182">
        <v>18</v>
      </c>
      <c r="AK163" s="166">
        <v>1382.0689655172425</v>
      </c>
      <c r="AL163" s="166">
        <v>76.781609195402368</v>
      </c>
      <c r="AM163" s="182">
        <f t="shared" si="51"/>
        <v>14</v>
      </c>
      <c r="AN163" s="390"/>
      <c r="AO163" s="182">
        <v>18</v>
      </c>
      <c r="AP163" s="166">
        <v>1378.3783783783772</v>
      </c>
      <c r="AQ163" s="166">
        <v>76.576576576576514</v>
      </c>
      <c r="AR163" s="182">
        <f t="shared" si="52"/>
        <v>13</v>
      </c>
      <c r="AS163" s="390"/>
      <c r="AT163" s="182">
        <v>18</v>
      </c>
      <c r="AU163" s="166">
        <v>1372.7999999999988</v>
      </c>
      <c r="AV163" s="166">
        <v>76.266666666666595</v>
      </c>
      <c r="AW163" s="182">
        <f t="shared" si="53"/>
        <v>13</v>
      </c>
      <c r="AX163" s="390"/>
      <c r="AZ163" s="182" t="e">
        <f t="shared" si="54"/>
        <v>#N/A</v>
      </c>
      <c r="BA163" s="390"/>
    </row>
    <row r="164" spans="2:53">
      <c r="B164" s="395"/>
      <c r="C164" s="182">
        <v>18</v>
      </c>
      <c r="D164" s="203" t="s">
        <v>528</v>
      </c>
      <c r="E164" s="166">
        <v>17</v>
      </c>
      <c r="F164" s="182">
        <v>1440</v>
      </c>
      <c r="G164" s="180">
        <v>84.705882352941174</v>
      </c>
      <c r="H164" s="402"/>
      <c r="I164" s="166">
        <f t="shared" si="44"/>
        <v>17</v>
      </c>
      <c r="J164" s="166">
        <f t="shared" si="45"/>
        <v>1304.0182662865584</v>
      </c>
      <c r="K164" s="180">
        <f t="shared" si="46"/>
        <v>76.706956840385786</v>
      </c>
      <c r="L164" s="402"/>
      <c r="M164" s="166">
        <f>RANK(K164, K$147:$K$176)</f>
        <v>15</v>
      </c>
      <c r="N164" s="389"/>
      <c r="O164" s="389"/>
      <c r="P164" s="182">
        <v>17</v>
      </c>
      <c r="Q164" s="166">
        <v>1310.6666666666667</v>
      </c>
      <c r="R164" s="166">
        <v>77.098039215686285</v>
      </c>
      <c r="S164" s="182">
        <f t="shared" si="47"/>
        <v>14</v>
      </c>
      <c r="T164" s="390"/>
      <c r="U164" s="182">
        <v>17</v>
      </c>
      <c r="V164" s="166">
        <v>1309.090909090909</v>
      </c>
      <c r="W164" s="166">
        <v>77.005347593582883</v>
      </c>
      <c r="X164" s="182">
        <f t="shared" si="48"/>
        <v>14</v>
      </c>
      <c r="Y164" s="390"/>
      <c r="Z164" s="182">
        <v>17</v>
      </c>
      <c r="AA164" s="166">
        <v>1331.9999999999986</v>
      </c>
      <c r="AB164" s="166">
        <v>78.352941176470509</v>
      </c>
      <c r="AC164" s="182">
        <f t="shared" si="49"/>
        <v>13</v>
      </c>
      <c r="AD164" s="390"/>
      <c r="AE164" s="182">
        <v>17</v>
      </c>
      <c r="AF164" s="166">
        <v>1336.0975609756094</v>
      </c>
      <c r="AG164" s="166">
        <v>78.593974175035854</v>
      </c>
      <c r="AH164" s="182">
        <f t="shared" si="50"/>
        <v>11</v>
      </c>
      <c r="AI164" s="390"/>
      <c r="AJ164" s="182">
        <v>17</v>
      </c>
      <c r="AK164" s="166">
        <v>1315.4999999999995</v>
      </c>
      <c r="AL164" s="166">
        <v>77.38235294117645</v>
      </c>
      <c r="AM164" s="182">
        <f t="shared" si="51"/>
        <v>13</v>
      </c>
      <c r="AN164" s="390"/>
      <c r="AO164" s="182">
        <v>17</v>
      </c>
      <c r="AP164" s="166">
        <v>1267.4999999999961</v>
      </c>
      <c r="AQ164" s="166">
        <v>74.558823529411541</v>
      </c>
      <c r="AR164" s="182">
        <f t="shared" si="52"/>
        <v>14</v>
      </c>
      <c r="AS164" s="390"/>
      <c r="AT164" s="182">
        <v>17</v>
      </c>
      <c r="AU164" s="166">
        <v>1257.2727272727273</v>
      </c>
      <c r="AV164" s="166">
        <v>73.957219251336895</v>
      </c>
      <c r="AW164" s="182">
        <f t="shared" si="53"/>
        <v>14</v>
      </c>
      <c r="AX164" s="390"/>
      <c r="AZ164" s="182" t="e">
        <f t="shared" si="54"/>
        <v>#N/A</v>
      </c>
      <c r="BA164" s="390"/>
    </row>
    <row r="165" spans="2:53">
      <c r="B165" s="395"/>
      <c r="C165" s="182">
        <v>19</v>
      </c>
      <c r="D165" s="203" t="s">
        <v>533</v>
      </c>
      <c r="E165" s="166">
        <v>20</v>
      </c>
      <c r="F165" s="182">
        <v>1500</v>
      </c>
      <c r="G165" s="180">
        <v>75</v>
      </c>
      <c r="H165" s="402"/>
      <c r="I165" s="166">
        <f t="shared" si="44"/>
        <v>20</v>
      </c>
      <c r="J165" s="166">
        <f t="shared" si="45"/>
        <v>1226.5251700680269</v>
      </c>
      <c r="K165" s="180">
        <f t="shared" si="46"/>
        <v>61.326258503401341</v>
      </c>
      <c r="L165" s="402"/>
      <c r="M165" s="166">
        <f>RANK(K165, K$147:$K$176)</f>
        <v>22</v>
      </c>
      <c r="N165" s="389"/>
      <c r="O165" s="389"/>
      <c r="P165" s="182">
        <v>20</v>
      </c>
      <c r="Q165" s="166">
        <v>1239.1836734693879</v>
      </c>
      <c r="R165" s="166">
        <v>61.959183673469397</v>
      </c>
      <c r="S165" s="182">
        <f t="shared" si="47"/>
        <v>22</v>
      </c>
      <c r="T165" s="390"/>
      <c r="U165" s="182">
        <v>20</v>
      </c>
      <c r="V165" s="166">
        <v>1259.9999999999998</v>
      </c>
      <c r="W165" s="166">
        <v>62.999999999999986</v>
      </c>
      <c r="X165" s="182">
        <f t="shared" si="48"/>
        <v>21</v>
      </c>
      <c r="Y165" s="390"/>
      <c r="Z165" s="182">
        <v>20</v>
      </c>
      <c r="AA165" s="166">
        <v>1217.1428571428557</v>
      </c>
      <c r="AB165" s="166">
        <v>60.85714285714279</v>
      </c>
      <c r="AC165" s="182">
        <f t="shared" si="49"/>
        <v>21</v>
      </c>
      <c r="AD165" s="390"/>
      <c r="AE165" s="182">
        <v>20</v>
      </c>
      <c r="AF165" s="166">
        <v>1243.3333333333323</v>
      </c>
      <c r="AG165" s="166">
        <v>62.166666666666615</v>
      </c>
      <c r="AH165" s="182">
        <f t="shared" si="50"/>
        <v>21</v>
      </c>
      <c r="AI165" s="390"/>
      <c r="AJ165" s="182">
        <v>20</v>
      </c>
      <c r="AK165" s="166">
        <v>1209.9999999999995</v>
      </c>
      <c r="AL165" s="166">
        <v>60.499999999999979</v>
      </c>
      <c r="AM165" s="182">
        <f t="shared" si="51"/>
        <v>21</v>
      </c>
      <c r="AN165" s="390"/>
      <c r="AO165" s="182">
        <v>20</v>
      </c>
      <c r="AP165" s="166">
        <v>1195.2000000000003</v>
      </c>
      <c r="AQ165" s="166">
        <v>59.760000000000012</v>
      </c>
      <c r="AR165" s="182">
        <f t="shared" si="52"/>
        <v>22</v>
      </c>
      <c r="AS165" s="390"/>
      <c r="AT165" s="182">
        <v>20</v>
      </c>
      <c r="AU165" s="166">
        <v>1220.8163265306125</v>
      </c>
      <c r="AV165" s="166">
        <v>61.040816326530624</v>
      </c>
      <c r="AW165" s="182">
        <f t="shared" si="53"/>
        <v>21</v>
      </c>
      <c r="AX165" s="390"/>
      <c r="AZ165" s="182" t="e">
        <f t="shared" si="54"/>
        <v>#N/A</v>
      </c>
      <c r="BA165" s="390"/>
    </row>
    <row r="166" spans="2:53">
      <c r="B166" s="395"/>
      <c r="C166" s="182">
        <v>20</v>
      </c>
      <c r="D166" s="203" t="s">
        <v>611</v>
      </c>
      <c r="E166" s="166">
        <v>15</v>
      </c>
      <c r="F166" s="182">
        <v>1440</v>
      </c>
      <c r="G166" s="180">
        <v>96</v>
      </c>
      <c r="H166" s="402"/>
      <c r="I166" s="166">
        <f t="shared" si="44"/>
        <v>15</v>
      </c>
      <c r="J166" s="166">
        <f t="shared" si="45"/>
        <v>1339.9999999999511</v>
      </c>
      <c r="K166" s="180">
        <f t="shared" si="46"/>
        <v>89.333333333330074</v>
      </c>
      <c r="L166" s="402"/>
      <c r="M166" s="166">
        <f>RANK(K166, K$147:$K$176)</f>
        <v>4</v>
      </c>
      <c r="N166" s="389"/>
      <c r="O166" s="389"/>
      <c r="P166" s="182">
        <v>15</v>
      </c>
      <c r="Q166" s="166">
        <v>1339.9999999999511</v>
      </c>
      <c r="R166" s="166">
        <v>89.333333333330074</v>
      </c>
      <c r="S166" s="182">
        <f t="shared" si="47"/>
        <v>4</v>
      </c>
      <c r="T166" s="390"/>
      <c r="U166" s="182" t="s">
        <v>634</v>
      </c>
      <c r="V166" s="166" t="s">
        <v>634</v>
      </c>
      <c r="W166" s="166" t="s">
        <v>634</v>
      </c>
      <c r="X166" s="182" t="e">
        <f t="shared" si="48"/>
        <v>#VALUE!</v>
      </c>
      <c r="Y166" s="390"/>
      <c r="Z166" s="182" t="s">
        <v>634</v>
      </c>
      <c r="AA166" s="166" t="s">
        <v>634</v>
      </c>
      <c r="AB166" s="166" t="s">
        <v>634</v>
      </c>
      <c r="AC166" s="182" t="e">
        <f t="shared" si="49"/>
        <v>#VALUE!</v>
      </c>
      <c r="AD166" s="390"/>
      <c r="AE166" s="182" t="s">
        <v>634</v>
      </c>
      <c r="AF166" s="166" t="s">
        <v>634</v>
      </c>
      <c r="AG166" s="166" t="s">
        <v>634</v>
      </c>
      <c r="AH166" s="182" t="e">
        <f t="shared" si="50"/>
        <v>#VALUE!</v>
      </c>
      <c r="AI166" s="390"/>
      <c r="AJ166" s="182" t="s">
        <v>634</v>
      </c>
      <c r="AK166" s="166" t="s">
        <v>634</v>
      </c>
      <c r="AL166" s="166" t="s">
        <v>634</v>
      </c>
      <c r="AM166" s="182" t="e">
        <f t="shared" si="51"/>
        <v>#VALUE!</v>
      </c>
      <c r="AN166" s="390"/>
      <c r="AO166" s="182" t="s">
        <v>634</v>
      </c>
      <c r="AP166" s="166" t="s">
        <v>634</v>
      </c>
      <c r="AQ166" s="166" t="s">
        <v>634</v>
      </c>
      <c r="AR166" s="182" t="e">
        <f t="shared" si="52"/>
        <v>#VALUE!</v>
      </c>
      <c r="AS166" s="390"/>
      <c r="AT166" s="182" t="s">
        <v>634</v>
      </c>
      <c r="AU166" s="166" t="s">
        <v>634</v>
      </c>
      <c r="AV166" s="166" t="s">
        <v>634</v>
      </c>
      <c r="AW166" s="182" t="e">
        <f t="shared" si="53"/>
        <v>#VALUE!</v>
      </c>
      <c r="AX166" s="390"/>
      <c r="AZ166" s="182" t="e">
        <f t="shared" si="54"/>
        <v>#N/A</v>
      </c>
      <c r="BA166" s="390"/>
    </row>
    <row r="167" spans="2:53">
      <c r="B167" s="395"/>
      <c r="C167" s="182">
        <v>21</v>
      </c>
      <c r="D167" s="203" t="s">
        <v>612</v>
      </c>
      <c r="E167" s="166">
        <v>19</v>
      </c>
      <c r="F167" s="182">
        <v>1500</v>
      </c>
      <c r="G167" s="180">
        <v>78.94736842105263</v>
      </c>
      <c r="H167" s="402"/>
      <c r="I167" s="166">
        <f t="shared" si="44"/>
        <v>19</v>
      </c>
      <c r="J167" s="166">
        <f t="shared" si="45"/>
        <v>1232.6298479845282</v>
      </c>
      <c r="K167" s="180">
        <f t="shared" si="46"/>
        <v>64.875255157080446</v>
      </c>
      <c r="L167" s="402"/>
      <c r="M167" s="166">
        <f>RANK(K167, K$147:$K$176)</f>
        <v>21</v>
      </c>
      <c r="N167" s="389"/>
      <c r="O167" s="389"/>
      <c r="P167" s="182">
        <v>19</v>
      </c>
      <c r="Q167" s="166">
        <v>1221.7241379310353</v>
      </c>
      <c r="R167" s="166">
        <v>64.301270417422913</v>
      </c>
      <c r="S167" s="182">
        <f t="shared" si="47"/>
        <v>21</v>
      </c>
      <c r="T167" s="390"/>
      <c r="U167" s="182">
        <v>19</v>
      </c>
      <c r="V167" s="166">
        <v>1221.8181818181827</v>
      </c>
      <c r="W167" s="166">
        <v>64.306220095693831</v>
      </c>
      <c r="X167" s="182">
        <f t="shared" si="48"/>
        <v>20</v>
      </c>
      <c r="Y167" s="390"/>
      <c r="Z167" s="182">
        <v>19</v>
      </c>
      <c r="AA167" s="166">
        <v>1254.2857142857138</v>
      </c>
      <c r="AB167" s="166">
        <v>66.015037593984928</v>
      </c>
      <c r="AC167" s="182">
        <f t="shared" si="49"/>
        <v>20</v>
      </c>
      <c r="AD167" s="390"/>
      <c r="AE167" s="182">
        <v>19</v>
      </c>
      <c r="AF167" s="166">
        <v>1200.0000000000005</v>
      </c>
      <c r="AG167" s="166">
        <v>63.157894736842131</v>
      </c>
      <c r="AH167" s="182">
        <f t="shared" si="50"/>
        <v>20</v>
      </c>
      <c r="AI167" s="390"/>
      <c r="AJ167" s="182">
        <v>19</v>
      </c>
      <c r="AK167" s="166">
        <v>1249.6153846153852</v>
      </c>
      <c r="AL167" s="166">
        <v>65.769230769230802</v>
      </c>
      <c r="AM167" s="182">
        <f t="shared" si="51"/>
        <v>19</v>
      </c>
      <c r="AN167" s="390"/>
      <c r="AO167" s="182">
        <v>19</v>
      </c>
      <c r="AP167" s="166">
        <v>1252.0000000000011</v>
      </c>
      <c r="AQ167" s="166">
        <v>65.894736842105317</v>
      </c>
      <c r="AR167" s="182">
        <f t="shared" si="52"/>
        <v>19</v>
      </c>
      <c r="AS167" s="390"/>
      <c r="AT167" s="182">
        <v>19</v>
      </c>
      <c r="AU167" s="166">
        <v>1228.9655172413802</v>
      </c>
      <c r="AV167" s="166">
        <v>64.682395644283176</v>
      </c>
      <c r="AW167" s="182">
        <f t="shared" si="53"/>
        <v>20</v>
      </c>
      <c r="AX167" s="390"/>
      <c r="AZ167" s="182" t="e">
        <f t="shared" si="54"/>
        <v>#N/A</v>
      </c>
      <c r="BA167" s="390"/>
    </row>
    <row r="168" spans="2:53">
      <c r="B168" s="395"/>
      <c r="C168" s="182">
        <v>22</v>
      </c>
      <c r="D168" s="203" t="s">
        <v>732</v>
      </c>
      <c r="E168" s="166">
        <v>16</v>
      </c>
      <c r="F168" s="182">
        <v>1440</v>
      </c>
      <c r="G168" s="180">
        <v>90</v>
      </c>
      <c r="H168" s="402"/>
      <c r="I168" s="166">
        <f t="shared" si="44"/>
        <v>16.142857142857142</v>
      </c>
      <c r="J168" s="166">
        <f t="shared" si="45"/>
        <v>1391.5967567718665</v>
      </c>
      <c r="K168" s="180">
        <f t="shared" si="46"/>
        <v>86.238190155384501</v>
      </c>
      <c r="L168" s="402"/>
      <c r="M168" s="166">
        <f>RANK(K168, K$147:$K$176)</f>
        <v>5</v>
      </c>
      <c r="N168" s="389"/>
      <c r="O168" s="389"/>
      <c r="P168" s="182">
        <v>16</v>
      </c>
      <c r="Q168" s="166">
        <v>1390.6849315068512</v>
      </c>
      <c r="R168" s="166">
        <v>86.917808219178198</v>
      </c>
      <c r="S168" s="182">
        <f t="shared" si="47"/>
        <v>6</v>
      </c>
      <c r="T168" s="390"/>
      <c r="U168" s="182">
        <v>16</v>
      </c>
      <c r="V168" s="166">
        <v>1436.5714285714271</v>
      </c>
      <c r="W168" s="166">
        <v>89.785714285714192</v>
      </c>
      <c r="X168" s="182">
        <f t="shared" si="48"/>
        <v>3</v>
      </c>
      <c r="Y168" s="390"/>
      <c r="Z168" s="182">
        <v>16</v>
      </c>
      <c r="AA168" s="166">
        <v>1352.4590163934404</v>
      </c>
      <c r="AB168" s="166">
        <v>84.528688524590024</v>
      </c>
      <c r="AC168" s="182">
        <f t="shared" si="49"/>
        <v>5</v>
      </c>
      <c r="AD168" s="390"/>
      <c r="AE168" s="182">
        <v>16</v>
      </c>
      <c r="AF168" s="166">
        <v>1403.5714285714296</v>
      </c>
      <c r="AG168" s="166">
        <v>87.723214285714349</v>
      </c>
      <c r="AH168" s="182">
        <f t="shared" si="50"/>
        <v>3</v>
      </c>
      <c r="AI168" s="390"/>
      <c r="AJ168" s="182">
        <v>16</v>
      </c>
      <c r="AK168" s="166">
        <v>1423.5483870967755</v>
      </c>
      <c r="AL168" s="166">
        <v>88.97177419354847</v>
      </c>
      <c r="AM168" s="182">
        <f t="shared" si="51"/>
        <v>3</v>
      </c>
      <c r="AN168" s="390"/>
      <c r="AO168" s="182">
        <v>17</v>
      </c>
      <c r="AP168" s="166">
        <v>1402.4999999999895</v>
      </c>
      <c r="AQ168" s="166">
        <v>82.499999999999389</v>
      </c>
      <c r="AR168" s="182">
        <f t="shared" si="52"/>
        <v>6</v>
      </c>
      <c r="AS168" s="390"/>
      <c r="AT168" s="182">
        <v>16</v>
      </c>
      <c r="AU168" s="166">
        <v>1331.8421052631513</v>
      </c>
      <c r="AV168" s="166">
        <v>83.240131578946958</v>
      </c>
      <c r="AW168" s="182">
        <f t="shared" si="53"/>
        <v>4</v>
      </c>
      <c r="AX168" s="390"/>
      <c r="AZ168" s="182" t="e">
        <f t="shared" si="54"/>
        <v>#N/A</v>
      </c>
      <c r="BA168" s="390"/>
    </row>
    <row r="169" spans="2:53">
      <c r="B169" s="395"/>
      <c r="C169" s="182">
        <v>23</v>
      </c>
      <c r="D169" s="203" t="s">
        <v>754</v>
      </c>
      <c r="E169" s="166">
        <v>16</v>
      </c>
      <c r="F169" s="182">
        <v>1440</v>
      </c>
      <c r="G169" s="180">
        <v>90</v>
      </c>
      <c r="H169" s="402"/>
      <c r="I169" s="166">
        <f t="shared" si="44"/>
        <v>16</v>
      </c>
      <c r="J169" s="166">
        <f t="shared" si="45"/>
        <v>1332.4507536014175</v>
      </c>
      <c r="K169" s="180">
        <f t="shared" si="46"/>
        <v>83.278172100088597</v>
      </c>
      <c r="L169" s="402"/>
      <c r="M169" s="166">
        <f>RANK(K169, K$147:$K$176)</f>
        <v>7</v>
      </c>
      <c r="N169" s="389"/>
      <c r="O169" s="389"/>
      <c r="P169" s="182">
        <v>16</v>
      </c>
      <c r="Q169" s="166">
        <v>1325.282608695652</v>
      </c>
      <c r="R169" s="166">
        <v>82.830163043478251</v>
      </c>
      <c r="S169" s="182">
        <f t="shared" si="47"/>
        <v>9</v>
      </c>
      <c r="T169" s="390"/>
      <c r="U169" s="182">
        <v>16</v>
      </c>
      <c r="V169" s="166">
        <v>1356.9230769230765</v>
      </c>
      <c r="W169" s="166">
        <v>84.807692307692278</v>
      </c>
      <c r="X169" s="182">
        <f t="shared" si="48"/>
        <v>5</v>
      </c>
      <c r="Y169" s="390"/>
      <c r="Z169" s="182">
        <v>16</v>
      </c>
      <c r="AA169" s="166">
        <v>1343.6065573770504</v>
      </c>
      <c r="AB169" s="166">
        <v>83.975409836065651</v>
      </c>
      <c r="AC169" s="182">
        <f t="shared" si="49"/>
        <v>6</v>
      </c>
      <c r="AD169" s="390"/>
      <c r="AE169" s="182">
        <v>16</v>
      </c>
      <c r="AF169" s="166">
        <v>1329.5454545454545</v>
      </c>
      <c r="AG169" s="166">
        <v>83.096590909090907</v>
      </c>
      <c r="AH169" s="182">
        <f t="shared" si="50"/>
        <v>6</v>
      </c>
      <c r="AI169" s="390"/>
      <c r="AJ169" s="182">
        <v>16</v>
      </c>
      <c r="AK169" s="166">
        <v>1347.9069767441858</v>
      </c>
      <c r="AL169" s="166">
        <v>84.244186046511615</v>
      </c>
      <c r="AM169" s="182">
        <f t="shared" si="51"/>
        <v>6</v>
      </c>
      <c r="AN169" s="390"/>
      <c r="AO169" s="182">
        <v>16</v>
      </c>
      <c r="AP169" s="166">
        <v>1335.2542372881367</v>
      </c>
      <c r="AQ169" s="166">
        <v>83.453389830508542</v>
      </c>
      <c r="AR169" s="182">
        <f t="shared" si="52"/>
        <v>4</v>
      </c>
      <c r="AS169" s="390"/>
      <c r="AT169" s="182">
        <v>16</v>
      </c>
      <c r="AU169" s="166">
        <v>1288.6363636363683</v>
      </c>
      <c r="AV169" s="166">
        <v>80.539772727273018</v>
      </c>
      <c r="AW169" s="182">
        <f t="shared" si="53"/>
        <v>9</v>
      </c>
      <c r="AX169" s="390"/>
      <c r="AZ169" s="182" t="e">
        <f t="shared" si="54"/>
        <v>#N/A</v>
      </c>
      <c r="BA169" s="390"/>
    </row>
    <row r="170" spans="2:53">
      <c r="B170" s="395"/>
      <c r="C170" s="182">
        <v>24</v>
      </c>
      <c r="D170" s="203" t="s">
        <v>745</v>
      </c>
      <c r="E170" s="166">
        <v>16</v>
      </c>
      <c r="F170" s="182">
        <v>1440</v>
      </c>
      <c r="G170" s="180">
        <v>90</v>
      </c>
      <c r="H170" s="402"/>
      <c r="I170" s="166">
        <f t="shared" si="44"/>
        <v>15.714285714285714</v>
      </c>
      <c r="J170" s="166">
        <f t="shared" si="45"/>
        <v>1286.8270505123978</v>
      </c>
      <c r="K170" s="180">
        <f t="shared" si="46"/>
        <v>82.015217959837869</v>
      </c>
      <c r="L170" s="402"/>
      <c r="M170" s="166">
        <f>RANK(K170, K$147:$K$176)</f>
        <v>9</v>
      </c>
      <c r="N170" s="389"/>
      <c r="O170" s="389"/>
      <c r="P170" s="182">
        <v>14</v>
      </c>
      <c r="Q170" s="166">
        <v>1245.4054054054027</v>
      </c>
      <c r="R170" s="166">
        <v>88.957528957528766</v>
      </c>
      <c r="S170" s="182">
        <f t="shared" si="47"/>
        <v>5</v>
      </c>
      <c r="T170" s="390"/>
      <c r="U170" s="182">
        <v>16</v>
      </c>
      <c r="V170" s="166">
        <v>1298.0769230769238</v>
      </c>
      <c r="W170" s="166">
        <v>81.129807692307736</v>
      </c>
      <c r="X170" s="182">
        <f t="shared" si="48"/>
        <v>9</v>
      </c>
      <c r="Y170" s="390"/>
      <c r="Z170" s="182">
        <v>16</v>
      </c>
      <c r="AA170" s="166">
        <v>1298.7096774193551</v>
      </c>
      <c r="AB170" s="166">
        <v>81.169354838709694</v>
      </c>
      <c r="AC170" s="182">
        <f t="shared" si="49"/>
        <v>9</v>
      </c>
      <c r="AD170" s="390"/>
      <c r="AE170" s="182">
        <v>16</v>
      </c>
      <c r="AF170" s="166">
        <v>1290.3225806451615</v>
      </c>
      <c r="AG170" s="166">
        <v>80.645161290322591</v>
      </c>
      <c r="AH170" s="182">
        <f t="shared" si="50"/>
        <v>8</v>
      </c>
      <c r="AI170" s="390"/>
      <c r="AJ170" s="182">
        <v>16</v>
      </c>
      <c r="AK170" s="166">
        <v>1287.4766355140193</v>
      </c>
      <c r="AL170" s="166">
        <v>80.467289719626208</v>
      </c>
      <c r="AM170" s="182">
        <f t="shared" si="51"/>
        <v>10</v>
      </c>
      <c r="AN170" s="390"/>
      <c r="AO170" s="182">
        <v>16</v>
      </c>
      <c r="AP170" s="166">
        <v>1292.264150943397</v>
      </c>
      <c r="AQ170" s="166">
        <v>80.766509433962312</v>
      </c>
      <c r="AR170" s="182">
        <f t="shared" si="52"/>
        <v>9</v>
      </c>
      <c r="AS170" s="390"/>
      <c r="AT170" s="182">
        <v>16</v>
      </c>
      <c r="AU170" s="166">
        <v>1295.5339805825247</v>
      </c>
      <c r="AV170" s="166">
        <v>80.970873786407793</v>
      </c>
      <c r="AW170" s="182">
        <f t="shared" si="53"/>
        <v>8</v>
      </c>
      <c r="AX170" s="390"/>
      <c r="AZ170" s="182" t="e">
        <f t="shared" si="54"/>
        <v>#N/A</v>
      </c>
      <c r="BA170" s="390"/>
    </row>
    <row r="171" spans="2:53">
      <c r="B171" s="395"/>
      <c r="C171" s="182">
        <v>25</v>
      </c>
      <c r="D171" s="203"/>
      <c r="E171" s="166"/>
      <c r="F171" s="182"/>
      <c r="G171" s="180"/>
      <c r="H171" s="402"/>
      <c r="I171" s="166" t="str">
        <f t="shared" si="44"/>
        <v>-</v>
      </c>
      <c r="J171" s="166" t="str">
        <f t="shared" si="45"/>
        <v>-</v>
      </c>
      <c r="K171" s="180" t="str">
        <f t="shared" si="46"/>
        <v>-</v>
      </c>
      <c r="L171" s="402"/>
      <c r="M171" s="166" t="e">
        <f>RANK(K171, K$147:$K$176)</f>
        <v>#VALUE!</v>
      </c>
      <c r="N171" s="389"/>
      <c r="O171" s="389"/>
      <c r="P171" s="182"/>
      <c r="Q171" s="166"/>
      <c r="R171" s="166"/>
      <c r="S171" s="182" t="e">
        <f t="shared" si="47"/>
        <v>#N/A</v>
      </c>
      <c r="T171" s="390"/>
      <c r="U171" s="182"/>
      <c r="V171" s="166"/>
      <c r="W171" s="166"/>
      <c r="X171" s="182" t="e">
        <f t="shared" si="48"/>
        <v>#N/A</v>
      </c>
      <c r="Y171" s="390"/>
      <c r="Z171" s="182"/>
      <c r="AA171" s="166"/>
      <c r="AB171" s="166"/>
      <c r="AC171" s="182" t="e">
        <f t="shared" si="49"/>
        <v>#N/A</v>
      </c>
      <c r="AD171" s="390"/>
      <c r="AE171" s="182"/>
      <c r="AF171" s="166"/>
      <c r="AG171" s="166"/>
      <c r="AH171" s="182" t="e">
        <f t="shared" si="50"/>
        <v>#N/A</v>
      </c>
      <c r="AI171" s="390"/>
      <c r="AJ171" s="182"/>
      <c r="AK171" s="166"/>
      <c r="AL171" s="166"/>
      <c r="AM171" s="182" t="e">
        <f t="shared" si="51"/>
        <v>#N/A</v>
      </c>
      <c r="AN171" s="390"/>
      <c r="AO171" s="182"/>
      <c r="AP171" s="166"/>
      <c r="AQ171" s="166"/>
      <c r="AR171" s="182" t="e">
        <f t="shared" si="52"/>
        <v>#N/A</v>
      </c>
      <c r="AS171" s="390"/>
      <c r="AT171" s="182"/>
      <c r="AU171" s="166"/>
      <c r="AV171" s="166"/>
      <c r="AW171" s="182" t="e">
        <f t="shared" si="53"/>
        <v>#N/A</v>
      </c>
      <c r="AX171" s="390"/>
      <c r="AZ171" s="182" t="e">
        <f t="shared" si="54"/>
        <v>#N/A</v>
      </c>
      <c r="BA171" s="390"/>
    </row>
    <row r="172" spans="2:53">
      <c r="B172" s="395"/>
      <c r="C172" s="182">
        <v>26</v>
      </c>
      <c r="D172" s="203"/>
      <c r="E172" s="166"/>
      <c r="F172" s="182"/>
      <c r="G172" s="180"/>
      <c r="H172" s="402"/>
      <c r="I172" s="166" t="str">
        <f t="shared" si="44"/>
        <v>-</v>
      </c>
      <c r="J172" s="166" t="str">
        <f t="shared" si="45"/>
        <v>-</v>
      </c>
      <c r="K172" s="180" t="str">
        <f t="shared" si="46"/>
        <v>-</v>
      </c>
      <c r="L172" s="402"/>
      <c r="M172" s="166" t="e">
        <f>RANK(K172, K$147:$K$176)</f>
        <v>#VALUE!</v>
      </c>
      <c r="N172" s="389"/>
      <c r="O172" s="389"/>
      <c r="P172" s="182"/>
      <c r="Q172" s="166"/>
      <c r="R172" s="166"/>
      <c r="S172" s="182" t="e">
        <f t="shared" si="47"/>
        <v>#N/A</v>
      </c>
      <c r="T172" s="390"/>
      <c r="U172" s="182"/>
      <c r="V172" s="166"/>
      <c r="W172" s="166"/>
      <c r="X172" s="182" t="e">
        <f t="shared" si="48"/>
        <v>#N/A</v>
      </c>
      <c r="Y172" s="390"/>
      <c r="Z172" s="182"/>
      <c r="AA172" s="166"/>
      <c r="AB172" s="166"/>
      <c r="AC172" s="182" t="e">
        <f t="shared" si="49"/>
        <v>#N/A</v>
      </c>
      <c r="AD172" s="390"/>
      <c r="AE172" s="182"/>
      <c r="AF172" s="166"/>
      <c r="AG172" s="166"/>
      <c r="AH172" s="182" t="e">
        <f t="shared" si="50"/>
        <v>#N/A</v>
      </c>
      <c r="AI172" s="390"/>
      <c r="AJ172" s="182"/>
      <c r="AK172" s="166"/>
      <c r="AL172" s="166"/>
      <c r="AM172" s="182" t="e">
        <f t="shared" si="51"/>
        <v>#N/A</v>
      </c>
      <c r="AN172" s="390"/>
      <c r="AO172" s="182"/>
      <c r="AP172" s="166"/>
      <c r="AQ172" s="166"/>
      <c r="AR172" s="182" t="e">
        <f t="shared" si="52"/>
        <v>#N/A</v>
      </c>
      <c r="AS172" s="390"/>
      <c r="AT172" s="182"/>
      <c r="AU172" s="166"/>
      <c r="AV172" s="166"/>
      <c r="AW172" s="182" t="e">
        <f t="shared" si="53"/>
        <v>#N/A</v>
      </c>
      <c r="AX172" s="390"/>
      <c r="AZ172" s="182" t="e">
        <f t="shared" si="54"/>
        <v>#N/A</v>
      </c>
      <c r="BA172" s="390"/>
    </row>
    <row r="173" spans="2:53">
      <c r="B173" s="395"/>
      <c r="C173" s="182">
        <v>27</v>
      </c>
      <c r="D173" s="203"/>
      <c r="E173" s="166"/>
      <c r="F173" s="182"/>
      <c r="G173" s="180"/>
      <c r="H173" s="402"/>
      <c r="I173" s="166" t="str">
        <f t="shared" si="44"/>
        <v>-</v>
      </c>
      <c r="J173" s="166" t="str">
        <f t="shared" si="45"/>
        <v>-</v>
      </c>
      <c r="K173" s="180" t="str">
        <f t="shared" si="46"/>
        <v>-</v>
      </c>
      <c r="L173" s="402"/>
      <c r="M173" s="166" t="e">
        <f>RANK(K173, K$147:$K$176)</f>
        <v>#VALUE!</v>
      </c>
      <c r="N173" s="389"/>
      <c r="O173" s="389"/>
      <c r="P173" s="182"/>
      <c r="Q173" s="166"/>
      <c r="R173" s="166"/>
      <c r="S173" s="182" t="e">
        <f t="shared" si="47"/>
        <v>#N/A</v>
      </c>
      <c r="T173" s="390"/>
      <c r="U173" s="182"/>
      <c r="V173" s="166"/>
      <c r="W173" s="166"/>
      <c r="X173" s="182" t="e">
        <f t="shared" si="48"/>
        <v>#N/A</v>
      </c>
      <c r="Y173" s="390"/>
      <c r="Z173" s="182"/>
      <c r="AA173" s="166"/>
      <c r="AB173" s="166"/>
      <c r="AC173" s="182" t="e">
        <f t="shared" si="49"/>
        <v>#N/A</v>
      </c>
      <c r="AD173" s="390"/>
      <c r="AE173" s="182"/>
      <c r="AF173" s="166"/>
      <c r="AG173" s="166"/>
      <c r="AH173" s="182" t="e">
        <f t="shared" si="50"/>
        <v>#N/A</v>
      </c>
      <c r="AI173" s="390"/>
      <c r="AJ173" s="182"/>
      <c r="AK173" s="166"/>
      <c r="AL173" s="166"/>
      <c r="AM173" s="182" t="e">
        <f t="shared" si="51"/>
        <v>#N/A</v>
      </c>
      <c r="AN173" s="390"/>
      <c r="AO173" s="182"/>
      <c r="AP173" s="166"/>
      <c r="AQ173" s="166"/>
      <c r="AR173" s="182" t="e">
        <f t="shared" si="52"/>
        <v>#N/A</v>
      </c>
      <c r="AS173" s="390"/>
      <c r="AT173" s="182"/>
      <c r="AU173" s="166"/>
      <c r="AV173" s="166"/>
      <c r="AW173" s="182" t="e">
        <f t="shared" si="53"/>
        <v>#N/A</v>
      </c>
      <c r="AX173" s="390"/>
      <c r="AZ173" s="182" t="e">
        <f t="shared" si="54"/>
        <v>#N/A</v>
      </c>
      <c r="BA173" s="390"/>
    </row>
    <row r="174" spans="2:53">
      <c r="B174" s="395"/>
      <c r="C174" s="182">
        <v>28</v>
      </c>
      <c r="D174" s="203"/>
      <c r="E174" s="166"/>
      <c r="F174" s="182"/>
      <c r="G174" s="180"/>
      <c r="H174" s="402"/>
      <c r="I174" s="166" t="str">
        <f t="shared" si="44"/>
        <v>-</v>
      </c>
      <c r="J174" s="166" t="str">
        <f t="shared" si="45"/>
        <v>-</v>
      </c>
      <c r="K174" s="180" t="str">
        <f t="shared" si="46"/>
        <v>-</v>
      </c>
      <c r="L174" s="402"/>
      <c r="M174" s="166" t="e">
        <f>RANK(K174, K$147:$K$176)</f>
        <v>#VALUE!</v>
      </c>
      <c r="N174" s="389"/>
      <c r="O174" s="389"/>
      <c r="P174" s="182"/>
      <c r="Q174" s="166"/>
      <c r="R174" s="166"/>
      <c r="S174" s="182" t="e">
        <f t="shared" si="47"/>
        <v>#N/A</v>
      </c>
      <c r="T174" s="390"/>
      <c r="U174" s="182"/>
      <c r="V174" s="166"/>
      <c r="W174" s="166"/>
      <c r="X174" s="182" t="e">
        <f t="shared" si="48"/>
        <v>#N/A</v>
      </c>
      <c r="Y174" s="390"/>
      <c r="Z174" s="182"/>
      <c r="AA174" s="166"/>
      <c r="AB174" s="166"/>
      <c r="AC174" s="182" t="e">
        <f t="shared" si="49"/>
        <v>#N/A</v>
      </c>
      <c r="AD174" s="390"/>
      <c r="AE174" s="182"/>
      <c r="AF174" s="166"/>
      <c r="AG174" s="166"/>
      <c r="AH174" s="182" t="e">
        <f t="shared" si="50"/>
        <v>#N/A</v>
      </c>
      <c r="AI174" s="390"/>
      <c r="AJ174" s="182"/>
      <c r="AK174" s="166"/>
      <c r="AL174" s="166"/>
      <c r="AM174" s="182" t="e">
        <f t="shared" si="51"/>
        <v>#N/A</v>
      </c>
      <c r="AN174" s="390"/>
      <c r="AO174" s="182"/>
      <c r="AP174" s="166"/>
      <c r="AQ174" s="166"/>
      <c r="AR174" s="182" t="e">
        <f t="shared" si="52"/>
        <v>#N/A</v>
      </c>
      <c r="AS174" s="390"/>
      <c r="AT174" s="182"/>
      <c r="AU174" s="166"/>
      <c r="AV174" s="166"/>
      <c r="AW174" s="182" t="e">
        <f t="shared" si="53"/>
        <v>#N/A</v>
      </c>
      <c r="AX174" s="390"/>
      <c r="AZ174" s="182" t="e">
        <f t="shared" si="54"/>
        <v>#N/A</v>
      </c>
      <c r="BA174" s="390"/>
    </row>
    <row r="175" spans="2:53">
      <c r="B175" s="395"/>
      <c r="C175" s="182">
        <v>29</v>
      </c>
      <c r="D175" s="203"/>
      <c r="E175" s="166"/>
      <c r="F175" s="182"/>
      <c r="G175" s="180"/>
      <c r="H175" s="402"/>
      <c r="I175" s="166" t="str">
        <f t="shared" si="44"/>
        <v>-</v>
      </c>
      <c r="J175" s="166" t="str">
        <f t="shared" si="45"/>
        <v>-</v>
      </c>
      <c r="K175" s="180" t="str">
        <f t="shared" si="46"/>
        <v>-</v>
      </c>
      <c r="L175" s="402"/>
      <c r="M175" s="166" t="e">
        <f>RANK(K175, K$147:$K$176)</f>
        <v>#VALUE!</v>
      </c>
      <c r="N175" s="389"/>
      <c r="O175" s="389"/>
      <c r="P175" s="182"/>
      <c r="Q175" s="166"/>
      <c r="R175" s="166"/>
      <c r="S175" s="182" t="e">
        <f t="shared" si="47"/>
        <v>#N/A</v>
      </c>
      <c r="T175" s="390"/>
      <c r="U175" s="182"/>
      <c r="V175" s="166"/>
      <c r="W175" s="166"/>
      <c r="X175" s="182" t="e">
        <f t="shared" si="48"/>
        <v>#N/A</v>
      </c>
      <c r="Y175" s="390"/>
      <c r="Z175" s="182"/>
      <c r="AA175" s="166"/>
      <c r="AB175" s="166"/>
      <c r="AC175" s="182" t="e">
        <f t="shared" si="49"/>
        <v>#N/A</v>
      </c>
      <c r="AD175" s="390"/>
      <c r="AE175" s="182"/>
      <c r="AF175" s="166"/>
      <c r="AG175" s="166"/>
      <c r="AH175" s="182" t="e">
        <f t="shared" si="50"/>
        <v>#N/A</v>
      </c>
      <c r="AI175" s="390"/>
      <c r="AJ175" s="182"/>
      <c r="AK175" s="166"/>
      <c r="AL175" s="166"/>
      <c r="AM175" s="182" t="e">
        <f t="shared" si="51"/>
        <v>#N/A</v>
      </c>
      <c r="AN175" s="390"/>
      <c r="AO175" s="182"/>
      <c r="AP175" s="166"/>
      <c r="AQ175" s="166"/>
      <c r="AR175" s="182" t="e">
        <f t="shared" si="52"/>
        <v>#N/A</v>
      </c>
      <c r="AS175" s="390"/>
      <c r="AT175" s="182"/>
      <c r="AU175" s="166"/>
      <c r="AV175" s="166"/>
      <c r="AW175" s="182" t="e">
        <f t="shared" si="53"/>
        <v>#N/A</v>
      </c>
      <c r="AX175" s="390"/>
      <c r="AZ175" s="182" t="e">
        <f t="shared" si="54"/>
        <v>#N/A</v>
      </c>
      <c r="BA175" s="390"/>
    </row>
    <row r="176" spans="2:53">
      <c r="B176" s="395"/>
      <c r="C176" s="182">
        <v>30</v>
      </c>
      <c r="D176" s="203"/>
      <c r="E176" s="166"/>
      <c r="F176" s="182"/>
      <c r="G176" s="180"/>
      <c r="H176" s="403"/>
      <c r="I176" s="166" t="str">
        <f t="shared" si="44"/>
        <v>-</v>
      </c>
      <c r="J176" s="166" t="str">
        <f t="shared" si="45"/>
        <v>-</v>
      </c>
      <c r="K176" s="180" t="str">
        <f t="shared" si="46"/>
        <v>-</v>
      </c>
      <c r="L176" s="403"/>
      <c r="M176" s="166" t="e">
        <f>RANK(K176, K$147:$K$176)</f>
        <v>#VALUE!</v>
      </c>
      <c r="N176" s="389"/>
      <c r="O176" s="389"/>
      <c r="P176" s="182"/>
      <c r="Q176" s="166"/>
      <c r="R176" s="166"/>
      <c r="S176" s="182" t="e">
        <f t="shared" si="47"/>
        <v>#N/A</v>
      </c>
      <c r="T176" s="390"/>
      <c r="U176" s="182"/>
      <c r="V176" s="166"/>
      <c r="W176" s="166"/>
      <c r="X176" s="182" t="e">
        <f t="shared" si="48"/>
        <v>#N/A</v>
      </c>
      <c r="Y176" s="390"/>
      <c r="Z176" s="182"/>
      <c r="AA176" s="166"/>
      <c r="AB176" s="166"/>
      <c r="AC176" s="182" t="e">
        <f t="shared" si="49"/>
        <v>#N/A</v>
      </c>
      <c r="AD176" s="390"/>
      <c r="AE176" s="182"/>
      <c r="AF176" s="166"/>
      <c r="AG176" s="166"/>
      <c r="AH176" s="182" t="e">
        <f t="shared" si="50"/>
        <v>#N/A</v>
      </c>
      <c r="AI176" s="390"/>
      <c r="AJ176" s="182"/>
      <c r="AK176" s="166"/>
      <c r="AL176" s="166"/>
      <c r="AM176" s="182" t="e">
        <f t="shared" si="51"/>
        <v>#N/A</v>
      </c>
      <c r="AN176" s="390"/>
      <c r="AO176" s="182"/>
      <c r="AP176" s="166"/>
      <c r="AQ176" s="166"/>
      <c r="AR176" s="182" t="e">
        <f t="shared" si="52"/>
        <v>#N/A</v>
      </c>
      <c r="AS176" s="390"/>
      <c r="AT176" s="182"/>
      <c r="AU176" s="166"/>
      <c r="AV176" s="166"/>
      <c r="AW176" s="182" t="e">
        <f t="shared" si="53"/>
        <v>#N/A</v>
      </c>
      <c r="AX176" s="390"/>
      <c r="AZ176" s="182" t="e">
        <f t="shared" si="54"/>
        <v>#N/A</v>
      </c>
      <c r="BA176" s="390"/>
    </row>
    <row r="177" spans="2:53" ht="15.75">
      <c r="B177" s="414" t="s">
        <v>163</v>
      </c>
      <c r="C177" s="415"/>
      <c r="D177" s="415"/>
      <c r="E177" s="415"/>
      <c r="F177" s="415"/>
      <c r="G177" s="415"/>
      <c r="H177" s="415"/>
      <c r="I177" s="186"/>
      <c r="J177" s="186"/>
      <c r="K177" s="186"/>
      <c r="L177" s="186"/>
      <c r="M177" s="185"/>
      <c r="N177" s="391" t="s">
        <v>156</v>
      </c>
      <c r="O177" s="391" t="s">
        <v>105</v>
      </c>
      <c r="P177" s="413">
        <f>P142+7</f>
        <v>46175</v>
      </c>
      <c r="Q177" s="395"/>
      <c r="R177" s="395"/>
      <c r="S177" s="395"/>
      <c r="T177" s="395"/>
      <c r="U177" s="410">
        <f>P177+1</f>
        <v>46176</v>
      </c>
      <c r="V177" s="411"/>
      <c r="W177" s="411"/>
      <c r="X177" s="411"/>
      <c r="Y177" s="412"/>
      <c r="Z177" s="410">
        <f>U177+1</f>
        <v>46177</v>
      </c>
      <c r="AA177" s="411"/>
      <c r="AB177" s="411"/>
      <c r="AC177" s="411"/>
      <c r="AD177" s="412"/>
      <c r="AE177" s="410">
        <f>Z177+1</f>
        <v>46178</v>
      </c>
      <c r="AF177" s="411"/>
      <c r="AG177" s="411"/>
      <c r="AH177" s="411"/>
      <c r="AI177" s="412"/>
      <c r="AJ177" s="410">
        <f>AE177+1</f>
        <v>46179</v>
      </c>
      <c r="AK177" s="411"/>
      <c r="AL177" s="411"/>
      <c r="AM177" s="411"/>
      <c r="AN177" s="412"/>
      <c r="AO177" s="410">
        <f>AJ177+1</f>
        <v>46180</v>
      </c>
      <c r="AP177" s="411"/>
      <c r="AQ177" s="411"/>
      <c r="AR177" s="411"/>
      <c r="AS177" s="412"/>
      <c r="AT177" s="410">
        <f>AO177+1</f>
        <v>46181</v>
      </c>
      <c r="AU177" s="411"/>
      <c r="AV177" s="411"/>
      <c r="AW177" s="411"/>
      <c r="AX177" s="412"/>
    </row>
    <row r="178" spans="2:53" ht="15.75">
      <c r="B178" s="416"/>
      <c r="C178" s="416"/>
      <c r="D178" s="416"/>
      <c r="E178" s="416"/>
      <c r="F178" s="416"/>
      <c r="G178" s="416"/>
      <c r="H178" s="416"/>
      <c r="I178" s="184"/>
      <c r="J178" s="184"/>
      <c r="K178" s="184"/>
      <c r="L178" s="184"/>
      <c r="M178" s="179"/>
      <c r="N178" s="393"/>
      <c r="O178" s="393"/>
      <c r="P178" s="413" t="s">
        <v>158</v>
      </c>
      <c r="Q178" s="395"/>
      <c r="R178" s="395"/>
      <c r="S178" s="395"/>
      <c r="T178" s="395"/>
      <c r="U178" s="413" t="s">
        <v>114</v>
      </c>
      <c r="V178" s="395"/>
      <c r="W178" s="395"/>
      <c r="X178" s="395"/>
      <c r="Y178" s="395"/>
      <c r="Z178" s="413" t="s">
        <v>159</v>
      </c>
      <c r="AA178" s="395"/>
      <c r="AB178" s="395"/>
      <c r="AC178" s="395"/>
      <c r="AD178" s="395"/>
      <c r="AE178" s="413" t="s">
        <v>157</v>
      </c>
      <c r="AF178" s="395"/>
      <c r="AG178" s="395"/>
      <c r="AH178" s="395"/>
      <c r="AI178" s="395"/>
      <c r="AJ178" s="413" t="s">
        <v>160</v>
      </c>
      <c r="AK178" s="395"/>
      <c r="AL178" s="395"/>
      <c r="AM178" s="395"/>
      <c r="AN178" s="395"/>
      <c r="AO178" s="413" t="s">
        <v>115</v>
      </c>
      <c r="AP178" s="395"/>
      <c r="AQ178" s="395"/>
      <c r="AR178" s="395"/>
      <c r="AS178" s="395"/>
      <c r="AT178" s="413" t="s">
        <v>162</v>
      </c>
      <c r="AU178" s="395"/>
      <c r="AV178" s="395"/>
      <c r="AW178" s="395"/>
      <c r="AX178" s="395"/>
    </row>
    <row r="179" spans="2:53">
      <c r="B179" s="389" t="s">
        <v>154</v>
      </c>
      <c r="C179" s="389" t="s">
        <v>386</v>
      </c>
      <c r="D179" s="389"/>
      <c r="E179" s="389" t="s">
        <v>377</v>
      </c>
      <c r="F179" s="389"/>
      <c r="G179" s="389"/>
      <c r="H179" s="417" t="s">
        <v>373</v>
      </c>
      <c r="I179" s="389" t="s">
        <v>378</v>
      </c>
      <c r="J179" s="389"/>
      <c r="K179" s="389"/>
      <c r="L179" s="417" t="s">
        <v>373</v>
      </c>
      <c r="M179" s="391" t="s">
        <v>374</v>
      </c>
      <c r="N179" s="389"/>
      <c r="O179" s="389" t="s">
        <v>379</v>
      </c>
      <c r="P179" s="404" t="s">
        <v>375</v>
      </c>
      <c r="Q179" s="405"/>
      <c r="R179" s="405"/>
      <c r="S179" s="406"/>
      <c r="T179" s="389" t="s">
        <v>373</v>
      </c>
      <c r="U179" s="404" t="s">
        <v>375</v>
      </c>
      <c r="V179" s="405"/>
      <c r="W179" s="405"/>
      <c r="X179" s="406"/>
      <c r="Y179" s="389" t="s">
        <v>373</v>
      </c>
      <c r="Z179" s="404" t="s">
        <v>375</v>
      </c>
      <c r="AA179" s="405"/>
      <c r="AB179" s="405"/>
      <c r="AC179" s="406"/>
      <c r="AD179" s="389" t="s">
        <v>373</v>
      </c>
      <c r="AE179" s="404" t="s">
        <v>375</v>
      </c>
      <c r="AF179" s="405"/>
      <c r="AG179" s="405"/>
      <c r="AH179" s="406"/>
      <c r="AI179" s="389" t="s">
        <v>373</v>
      </c>
      <c r="AJ179" s="404" t="s">
        <v>375</v>
      </c>
      <c r="AK179" s="405"/>
      <c r="AL179" s="405"/>
      <c r="AM179" s="406"/>
      <c r="AN179" s="389" t="s">
        <v>373</v>
      </c>
      <c r="AO179" s="404" t="s">
        <v>375</v>
      </c>
      <c r="AP179" s="405"/>
      <c r="AQ179" s="405"/>
      <c r="AR179" s="406"/>
      <c r="AS179" s="389" t="s">
        <v>373</v>
      </c>
      <c r="AT179" s="404" t="s">
        <v>375</v>
      </c>
      <c r="AU179" s="405"/>
      <c r="AV179" s="405"/>
      <c r="AW179" s="406"/>
      <c r="AX179" s="389" t="s">
        <v>373</v>
      </c>
      <c r="BA179" s="389" t="s">
        <v>373</v>
      </c>
    </row>
    <row r="180" spans="2:53">
      <c r="B180" s="389"/>
      <c r="C180" s="389"/>
      <c r="D180" s="389"/>
      <c r="E180" s="389" t="s">
        <v>380</v>
      </c>
      <c r="F180" s="389"/>
      <c r="G180" s="389"/>
      <c r="H180" s="418"/>
      <c r="I180" s="389" t="s">
        <v>380</v>
      </c>
      <c r="J180" s="389"/>
      <c r="K180" s="389"/>
      <c r="L180" s="418"/>
      <c r="M180" s="392"/>
      <c r="N180" s="389"/>
      <c r="O180" s="389"/>
      <c r="P180" s="404" t="s">
        <v>381</v>
      </c>
      <c r="Q180" s="405"/>
      <c r="R180" s="405"/>
      <c r="S180" s="406"/>
      <c r="T180" s="389"/>
      <c r="U180" s="404" t="s">
        <v>381</v>
      </c>
      <c r="V180" s="405"/>
      <c r="W180" s="405"/>
      <c r="X180" s="406"/>
      <c r="Y180" s="389"/>
      <c r="Z180" s="404" t="s">
        <v>381</v>
      </c>
      <c r="AA180" s="405"/>
      <c r="AB180" s="405"/>
      <c r="AC180" s="406"/>
      <c r="AD180" s="389"/>
      <c r="AE180" s="404" t="s">
        <v>381</v>
      </c>
      <c r="AF180" s="405"/>
      <c r="AG180" s="405"/>
      <c r="AH180" s="406"/>
      <c r="AI180" s="389"/>
      <c r="AJ180" s="404" t="s">
        <v>381</v>
      </c>
      <c r="AK180" s="405"/>
      <c r="AL180" s="405"/>
      <c r="AM180" s="406"/>
      <c r="AN180" s="389"/>
      <c r="AO180" s="404" t="s">
        <v>381</v>
      </c>
      <c r="AP180" s="405"/>
      <c r="AQ180" s="405"/>
      <c r="AR180" s="406"/>
      <c r="AS180" s="389"/>
      <c r="AT180" s="404" t="s">
        <v>381</v>
      </c>
      <c r="AU180" s="405"/>
      <c r="AV180" s="405"/>
      <c r="AW180" s="406"/>
      <c r="AX180" s="389"/>
      <c r="BA180" s="389"/>
    </row>
    <row r="181" spans="2:53">
      <c r="B181" s="389"/>
      <c r="C181" s="389"/>
      <c r="D181" s="389"/>
      <c r="E181" s="258" t="s">
        <v>382</v>
      </c>
      <c r="F181" s="258" t="s">
        <v>383</v>
      </c>
      <c r="G181" s="258" t="s">
        <v>384</v>
      </c>
      <c r="H181" s="419"/>
      <c r="I181" s="258" t="s">
        <v>382</v>
      </c>
      <c r="J181" s="258" t="s">
        <v>383</v>
      </c>
      <c r="K181" s="258" t="s">
        <v>384</v>
      </c>
      <c r="L181" s="419"/>
      <c r="M181" s="393"/>
      <c r="N181" s="389"/>
      <c r="O181" s="389"/>
      <c r="P181" s="258" t="s">
        <v>382</v>
      </c>
      <c r="Q181" s="258" t="s">
        <v>383</v>
      </c>
      <c r="R181" s="258" t="s">
        <v>384</v>
      </c>
      <c r="S181" s="258" t="s">
        <v>374</v>
      </c>
      <c r="T181" s="389"/>
      <c r="U181" s="258" t="s">
        <v>382</v>
      </c>
      <c r="V181" s="258" t="s">
        <v>383</v>
      </c>
      <c r="W181" s="258" t="s">
        <v>384</v>
      </c>
      <c r="X181" s="258" t="s">
        <v>374</v>
      </c>
      <c r="Y181" s="389"/>
      <c r="Z181" s="258" t="s">
        <v>382</v>
      </c>
      <c r="AA181" s="258" t="s">
        <v>383</v>
      </c>
      <c r="AB181" s="258" t="s">
        <v>384</v>
      </c>
      <c r="AC181" s="258" t="s">
        <v>374</v>
      </c>
      <c r="AD181" s="389"/>
      <c r="AE181" s="258" t="s">
        <v>382</v>
      </c>
      <c r="AF181" s="258" t="s">
        <v>383</v>
      </c>
      <c r="AG181" s="258" t="s">
        <v>384</v>
      </c>
      <c r="AH181" s="258" t="s">
        <v>374</v>
      </c>
      <c r="AI181" s="389"/>
      <c r="AJ181" s="258" t="s">
        <v>382</v>
      </c>
      <c r="AK181" s="258" t="s">
        <v>383</v>
      </c>
      <c r="AL181" s="258" t="s">
        <v>384</v>
      </c>
      <c r="AM181" s="258" t="s">
        <v>374</v>
      </c>
      <c r="AN181" s="389"/>
      <c r="AO181" s="258" t="s">
        <v>382</v>
      </c>
      <c r="AP181" s="258" t="s">
        <v>383</v>
      </c>
      <c r="AQ181" s="258" t="s">
        <v>384</v>
      </c>
      <c r="AR181" s="258" t="s">
        <v>374</v>
      </c>
      <c r="AS181" s="389"/>
      <c r="AT181" s="258" t="s">
        <v>382</v>
      </c>
      <c r="AU181" s="258" t="s">
        <v>383</v>
      </c>
      <c r="AV181" s="258" t="s">
        <v>384</v>
      </c>
      <c r="AW181" s="258" t="s">
        <v>374</v>
      </c>
      <c r="AX181" s="389"/>
      <c r="AZ181" s="258" t="s">
        <v>374</v>
      </c>
      <c r="BA181" s="389"/>
    </row>
    <row r="182" spans="2:53">
      <c r="B182" s="389" t="s">
        <v>134</v>
      </c>
      <c r="C182" s="182">
        <v>1</v>
      </c>
      <c r="D182" s="203"/>
      <c r="E182" s="166"/>
      <c r="F182" s="182"/>
      <c r="G182" s="180"/>
      <c r="H182" s="401" t="e">
        <f>AVERAGE(G182:G211)</f>
        <v>#DIV/0!</v>
      </c>
      <c r="I182" s="166" t="str">
        <f>IFERROR(AVERAGE(P182,U182,Z182,AE182,AJ182,AO182,AT182),"-")</f>
        <v>-</v>
      </c>
      <c r="J182" s="166" t="str">
        <f>IFERROR(AVERAGE(Q182,V182,AA182,AF182,AK182,AP182,AU182),"-")</f>
        <v>-</v>
      </c>
      <c r="K182" s="180" t="str">
        <f>IFERROR(AVERAGE(R182,W182,AB182,AG182,AL182,AQ182,AV182),"-")</f>
        <v>-</v>
      </c>
      <c r="L182" s="401" t="str">
        <f>IFERROR(AVERAGE(K182:K211),"-")</f>
        <v>-</v>
      </c>
      <c r="M182" s="181" t="e">
        <f>RANK(K182, K$147:$K$176)</f>
        <v>#VALUE!</v>
      </c>
      <c r="N182" s="389"/>
      <c r="O182" s="389"/>
      <c r="P182" s="166"/>
      <c r="Q182" s="166"/>
      <c r="R182" s="166"/>
      <c r="S182" s="182" t="e">
        <f>RANK(R182, R$182:R$211)</f>
        <v>#N/A</v>
      </c>
      <c r="T182" s="390" t="e">
        <f>AVERAGE(R182:R211)</f>
        <v>#DIV/0!</v>
      </c>
      <c r="U182" s="166"/>
      <c r="V182" s="166"/>
      <c r="W182" s="166"/>
      <c r="X182" s="182" t="e">
        <f>RANK(W182, W$182:W$211)</f>
        <v>#N/A</v>
      </c>
      <c r="Y182" s="390" t="e">
        <f>AVERAGE(W182:W211)</f>
        <v>#DIV/0!</v>
      </c>
      <c r="Z182" s="166"/>
      <c r="AA182" s="166"/>
      <c r="AB182" s="166"/>
      <c r="AC182" s="182" t="e">
        <f>RANK(AB182, AB$182:AB$211)</f>
        <v>#N/A</v>
      </c>
      <c r="AD182" s="390" t="e">
        <f>AVERAGE(AB182:AB211)</f>
        <v>#DIV/0!</v>
      </c>
      <c r="AE182" s="166"/>
      <c r="AF182" s="166"/>
      <c r="AG182" s="166"/>
      <c r="AH182" s="182" t="e">
        <f>RANK(AG182, AG$182:AG$211)</f>
        <v>#N/A</v>
      </c>
      <c r="AI182" s="390" t="e">
        <f>AVERAGE(AG182:AG211)</f>
        <v>#DIV/0!</v>
      </c>
      <c r="AJ182" s="166"/>
      <c r="AK182" s="166"/>
      <c r="AL182" s="166"/>
      <c r="AM182" s="182" t="e">
        <f>RANK(AL182, AL$182:AL$211)</f>
        <v>#N/A</v>
      </c>
      <c r="AN182" s="390" t="e">
        <f>AVERAGE(AL182:AL211)</f>
        <v>#DIV/0!</v>
      </c>
      <c r="AO182" s="166"/>
      <c r="AP182" s="166"/>
      <c r="AQ182" s="166"/>
      <c r="AR182" s="182" t="e">
        <f>RANK(AQ182, AQ$182:AQ$211)</f>
        <v>#N/A</v>
      </c>
      <c r="AS182" s="390" t="e">
        <f>AVERAGE(AQ182:AQ211)</f>
        <v>#DIV/0!</v>
      </c>
      <c r="AT182" s="166"/>
      <c r="AU182" s="166"/>
      <c r="AV182" s="166"/>
      <c r="AW182" s="182" t="e">
        <f>RANK(AV182, AV$182:AV$211)</f>
        <v>#N/A</v>
      </c>
      <c r="AX182" s="390" t="e">
        <f>AVERAGE(AV182:AV211)</f>
        <v>#DIV/0!</v>
      </c>
      <c r="AZ182" s="182" t="e">
        <f>RANK(AY182, AY$182:AY$211)</f>
        <v>#N/A</v>
      </c>
      <c r="BA182" s="390" t="e">
        <f>AVERAGE(AY182:AY211)</f>
        <v>#DIV/0!</v>
      </c>
    </row>
    <row r="183" spans="2:53">
      <c r="B183" s="395"/>
      <c r="C183" s="182">
        <v>2</v>
      </c>
      <c r="D183" s="203"/>
      <c r="E183" s="166"/>
      <c r="F183" s="182"/>
      <c r="G183" s="180"/>
      <c r="H183" s="402"/>
      <c r="I183" s="166" t="str">
        <f t="shared" ref="I183:I211" si="55">IFERROR(AVERAGE(P183,U183,Z183,AE183,AJ183,AO183,AT183),"-")</f>
        <v>-</v>
      </c>
      <c r="J183" s="166" t="str">
        <f t="shared" ref="J183:J211" si="56">IFERROR(AVERAGE(Q183,V183,AA183,AF183,AK183,AP183,AU183),"-")</f>
        <v>-</v>
      </c>
      <c r="K183" s="180" t="str">
        <f t="shared" ref="K183:K211" si="57">IFERROR(AVERAGE(R183,W183,AB183,AG183,AL183,AQ183,AV183),"-")</f>
        <v>-</v>
      </c>
      <c r="L183" s="402"/>
      <c r="M183" s="181" t="e">
        <f>RANK(K183, K$147:$K$176)</f>
        <v>#VALUE!</v>
      </c>
      <c r="N183" s="389"/>
      <c r="O183" s="389"/>
      <c r="P183" s="166"/>
      <c r="Q183" s="166"/>
      <c r="R183" s="166"/>
      <c r="S183" s="182" t="e">
        <f t="shared" ref="S183:S211" si="58">RANK(R183, R$182:R$211)</f>
        <v>#N/A</v>
      </c>
      <c r="T183" s="390"/>
      <c r="U183" s="166"/>
      <c r="V183" s="166"/>
      <c r="W183" s="166"/>
      <c r="X183" s="182" t="e">
        <f t="shared" ref="X183:X211" si="59">RANK(W183, W$182:W$211)</f>
        <v>#N/A</v>
      </c>
      <c r="Y183" s="390"/>
      <c r="Z183" s="166"/>
      <c r="AA183" s="166"/>
      <c r="AB183" s="166"/>
      <c r="AC183" s="182" t="e">
        <f t="shared" ref="AC183:AC211" si="60">RANK(AB183, AB$182:AB$211)</f>
        <v>#N/A</v>
      </c>
      <c r="AD183" s="390"/>
      <c r="AE183" s="166"/>
      <c r="AF183" s="166"/>
      <c r="AG183" s="166"/>
      <c r="AH183" s="182" t="e">
        <f t="shared" ref="AH183:AH211" si="61">RANK(AG183, AG$182:AG$211)</f>
        <v>#N/A</v>
      </c>
      <c r="AI183" s="390"/>
      <c r="AJ183" s="166"/>
      <c r="AK183" s="166"/>
      <c r="AL183" s="166"/>
      <c r="AM183" s="182" t="e">
        <f t="shared" ref="AM183:AM211" si="62">RANK(AL183, AL$182:AL$211)</f>
        <v>#N/A</v>
      </c>
      <c r="AN183" s="390"/>
      <c r="AO183" s="166"/>
      <c r="AP183" s="166"/>
      <c r="AQ183" s="166"/>
      <c r="AR183" s="182" t="e">
        <f t="shared" ref="AR183:AR211" si="63">RANK(AQ183, AQ$182:AQ$211)</f>
        <v>#N/A</v>
      </c>
      <c r="AS183" s="390"/>
      <c r="AT183" s="166"/>
      <c r="AU183" s="166"/>
      <c r="AV183" s="166"/>
      <c r="AW183" s="182" t="e">
        <f t="shared" ref="AW183:AW211" si="64">RANK(AV183, AV$182:AV$211)</f>
        <v>#N/A</v>
      </c>
      <c r="AX183" s="390"/>
      <c r="AZ183" s="182" t="e">
        <f t="shared" ref="AZ183:AZ211" si="65">RANK(AY183, AY$182:AY$211)</f>
        <v>#N/A</v>
      </c>
      <c r="BA183" s="390"/>
    </row>
    <row r="184" spans="2:53">
      <c r="B184" s="395"/>
      <c r="C184" s="182">
        <v>3</v>
      </c>
      <c r="D184" s="203"/>
      <c r="E184" s="166"/>
      <c r="F184" s="182"/>
      <c r="G184" s="180"/>
      <c r="H184" s="402"/>
      <c r="I184" s="166" t="str">
        <f t="shared" si="55"/>
        <v>-</v>
      </c>
      <c r="J184" s="166" t="str">
        <f t="shared" si="56"/>
        <v>-</v>
      </c>
      <c r="K184" s="180" t="str">
        <f t="shared" si="57"/>
        <v>-</v>
      </c>
      <c r="L184" s="402"/>
      <c r="M184" s="181" t="e">
        <f>RANK(K184, K$147:$K$176)</f>
        <v>#VALUE!</v>
      </c>
      <c r="N184" s="389"/>
      <c r="O184" s="389"/>
      <c r="P184" s="166"/>
      <c r="Q184" s="166"/>
      <c r="R184" s="166"/>
      <c r="S184" s="182" t="e">
        <f t="shared" si="58"/>
        <v>#N/A</v>
      </c>
      <c r="T184" s="390"/>
      <c r="U184" s="166"/>
      <c r="V184" s="166"/>
      <c r="W184" s="166"/>
      <c r="X184" s="182" t="e">
        <f t="shared" si="59"/>
        <v>#N/A</v>
      </c>
      <c r="Y184" s="390"/>
      <c r="Z184" s="166"/>
      <c r="AA184" s="166"/>
      <c r="AB184" s="166"/>
      <c r="AC184" s="182" t="e">
        <f t="shared" si="60"/>
        <v>#N/A</v>
      </c>
      <c r="AD184" s="390"/>
      <c r="AE184" s="166"/>
      <c r="AF184" s="166"/>
      <c r="AG184" s="166"/>
      <c r="AH184" s="182" t="e">
        <f t="shared" si="61"/>
        <v>#N/A</v>
      </c>
      <c r="AI184" s="390"/>
      <c r="AJ184" s="166"/>
      <c r="AK184" s="166"/>
      <c r="AL184" s="166"/>
      <c r="AM184" s="182" t="e">
        <f t="shared" si="62"/>
        <v>#N/A</v>
      </c>
      <c r="AN184" s="390"/>
      <c r="AO184" s="166"/>
      <c r="AP184" s="166"/>
      <c r="AQ184" s="166"/>
      <c r="AR184" s="182" t="e">
        <f t="shared" si="63"/>
        <v>#N/A</v>
      </c>
      <c r="AS184" s="390"/>
      <c r="AT184" s="166"/>
      <c r="AU184" s="166"/>
      <c r="AV184" s="166"/>
      <c r="AW184" s="182" t="e">
        <f t="shared" si="64"/>
        <v>#N/A</v>
      </c>
      <c r="AX184" s="390"/>
      <c r="AZ184" s="182" t="e">
        <f t="shared" si="65"/>
        <v>#N/A</v>
      </c>
      <c r="BA184" s="390"/>
    </row>
    <row r="185" spans="2:53">
      <c r="B185" s="395"/>
      <c r="C185" s="182">
        <v>4</v>
      </c>
      <c r="D185" s="203"/>
      <c r="E185" s="166"/>
      <c r="F185" s="182"/>
      <c r="G185" s="180"/>
      <c r="H185" s="402"/>
      <c r="I185" s="166" t="str">
        <f t="shared" si="55"/>
        <v>-</v>
      </c>
      <c r="J185" s="166" t="str">
        <f t="shared" si="56"/>
        <v>-</v>
      </c>
      <c r="K185" s="180" t="str">
        <f t="shared" si="57"/>
        <v>-</v>
      </c>
      <c r="L185" s="402"/>
      <c r="M185" s="181" t="e">
        <f>RANK(K185, K$147:$K$176)</f>
        <v>#VALUE!</v>
      </c>
      <c r="N185" s="389"/>
      <c r="O185" s="389"/>
      <c r="P185" s="166"/>
      <c r="Q185" s="166"/>
      <c r="R185" s="166"/>
      <c r="S185" s="182" t="e">
        <f t="shared" si="58"/>
        <v>#N/A</v>
      </c>
      <c r="T185" s="390"/>
      <c r="U185" s="166"/>
      <c r="V185" s="166"/>
      <c r="W185" s="166"/>
      <c r="X185" s="182" t="e">
        <f t="shared" si="59"/>
        <v>#N/A</v>
      </c>
      <c r="Y185" s="390"/>
      <c r="Z185" s="166"/>
      <c r="AA185" s="166"/>
      <c r="AB185" s="166"/>
      <c r="AC185" s="182" t="e">
        <f t="shared" si="60"/>
        <v>#N/A</v>
      </c>
      <c r="AD185" s="390"/>
      <c r="AE185" s="166"/>
      <c r="AF185" s="166"/>
      <c r="AG185" s="166"/>
      <c r="AH185" s="182" t="e">
        <f t="shared" si="61"/>
        <v>#N/A</v>
      </c>
      <c r="AI185" s="390"/>
      <c r="AJ185" s="166"/>
      <c r="AK185" s="166"/>
      <c r="AL185" s="166"/>
      <c r="AM185" s="182" t="e">
        <f t="shared" si="62"/>
        <v>#N/A</v>
      </c>
      <c r="AN185" s="390"/>
      <c r="AO185" s="166"/>
      <c r="AP185" s="166"/>
      <c r="AQ185" s="166"/>
      <c r="AR185" s="182" t="e">
        <f t="shared" si="63"/>
        <v>#N/A</v>
      </c>
      <c r="AS185" s="390"/>
      <c r="AT185" s="166"/>
      <c r="AU185" s="166"/>
      <c r="AV185" s="166"/>
      <c r="AW185" s="182" t="e">
        <f t="shared" si="64"/>
        <v>#N/A</v>
      </c>
      <c r="AX185" s="390"/>
      <c r="AZ185" s="182" t="e">
        <f t="shared" si="65"/>
        <v>#N/A</v>
      </c>
      <c r="BA185" s="390"/>
    </row>
    <row r="186" spans="2:53">
      <c r="B186" s="395"/>
      <c r="C186" s="182">
        <v>5</v>
      </c>
      <c r="D186" s="203"/>
      <c r="E186" s="166"/>
      <c r="F186" s="182"/>
      <c r="G186" s="180"/>
      <c r="H186" s="402"/>
      <c r="I186" s="166" t="str">
        <f t="shared" si="55"/>
        <v>-</v>
      </c>
      <c r="J186" s="166" t="str">
        <f t="shared" si="56"/>
        <v>-</v>
      </c>
      <c r="K186" s="180" t="str">
        <f t="shared" si="57"/>
        <v>-</v>
      </c>
      <c r="L186" s="402"/>
      <c r="M186" s="181" t="e">
        <f>RANK(K186, K$147:$K$176)</f>
        <v>#VALUE!</v>
      </c>
      <c r="N186" s="389"/>
      <c r="O186" s="389"/>
      <c r="P186" s="166"/>
      <c r="Q186" s="166"/>
      <c r="R186" s="166"/>
      <c r="S186" s="182" t="e">
        <f t="shared" si="58"/>
        <v>#N/A</v>
      </c>
      <c r="T186" s="390"/>
      <c r="U186" s="166"/>
      <c r="V186" s="166"/>
      <c r="W186" s="166"/>
      <c r="X186" s="182" t="e">
        <f t="shared" si="59"/>
        <v>#N/A</v>
      </c>
      <c r="Y186" s="390"/>
      <c r="Z186" s="166"/>
      <c r="AA186" s="166"/>
      <c r="AB186" s="166"/>
      <c r="AC186" s="182" t="e">
        <f t="shared" si="60"/>
        <v>#N/A</v>
      </c>
      <c r="AD186" s="390"/>
      <c r="AE186" s="166"/>
      <c r="AF186" s="166"/>
      <c r="AG186" s="166"/>
      <c r="AH186" s="182" t="e">
        <f t="shared" si="61"/>
        <v>#N/A</v>
      </c>
      <c r="AI186" s="390"/>
      <c r="AJ186" s="166"/>
      <c r="AK186" s="166"/>
      <c r="AL186" s="166"/>
      <c r="AM186" s="182" t="e">
        <f t="shared" si="62"/>
        <v>#N/A</v>
      </c>
      <c r="AN186" s="390"/>
      <c r="AO186" s="166"/>
      <c r="AP186" s="166"/>
      <c r="AQ186" s="166"/>
      <c r="AR186" s="182" t="e">
        <f t="shared" si="63"/>
        <v>#N/A</v>
      </c>
      <c r="AS186" s="390"/>
      <c r="AT186" s="166"/>
      <c r="AU186" s="166"/>
      <c r="AV186" s="166"/>
      <c r="AW186" s="182" t="e">
        <f t="shared" si="64"/>
        <v>#N/A</v>
      </c>
      <c r="AX186" s="390"/>
      <c r="AZ186" s="182" t="e">
        <f t="shared" si="65"/>
        <v>#N/A</v>
      </c>
      <c r="BA186" s="390"/>
    </row>
    <row r="187" spans="2:53">
      <c r="B187" s="395"/>
      <c r="C187" s="182">
        <v>6</v>
      </c>
      <c r="D187" s="203"/>
      <c r="E187" s="166"/>
      <c r="F187" s="182"/>
      <c r="G187" s="180"/>
      <c r="H187" s="402"/>
      <c r="I187" s="166" t="str">
        <f t="shared" si="55"/>
        <v>-</v>
      </c>
      <c r="J187" s="166" t="str">
        <f t="shared" si="56"/>
        <v>-</v>
      </c>
      <c r="K187" s="180" t="str">
        <f t="shared" si="57"/>
        <v>-</v>
      </c>
      <c r="L187" s="402"/>
      <c r="M187" s="181" t="e">
        <f>RANK(K187, K$147:$K$176)</f>
        <v>#VALUE!</v>
      </c>
      <c r="N187" s="389"/>
      <c r="O187" s="389"/>
      <c r="P187" s="166"/>
      <c r="Q187" s="166"/>
      <c r="R187" s="166"/>
      <c r="S187" s="182" t="e">
        <f t="shared" si="58"/>
        <v>#N/A</v>
      </c>
      <c r="T187" s="390"/>
      <c r="U187" s="166"/>
      <c r="V187" s="166"/>
      <c r="W187" s="166"/>
      <c r="X187" s="182" t="e">
        <f t="shared" si="59"/>
        <v>#N/A</v>
      </c>
      <c r="Y187" s="390"/>
      <c r="Z187" s="166"/>
      <c r="AA187" s="166"/>
      <c r="AB187" s="166"/>
      <c r="AC187" s="182" t="e">
        <f t="shared" si="60"/>
        <v>#N/A</v>
      </c>
      <c r="AD187" s="390"/>
      <c r="AE187" s="166"/>
      <c r="AF187" s="166"/>
      <c r="AG187" s="166"/>
      <c r="AH187" s="182" t="e">
        <f t="shared" si="61"/>
        <v>#N/A</v>
      </c>
      <c r="AI187" s="390"/>
      <c r="AJ187" s="166"/>
      <c r="AK187" s="166"/>
      <c r="AL187" s="166"/>
      <c r="AM187" s="182" t="e">
        <f t="shared" si="62"/>
        <v>#N/A</v>
      </c>
      <c r="AN187" s="390"/>
      <c r="AO187" s="166"/>
      <c r="AP187" s="166"/>
      <c r="AQ187" s="166"/>
      <c r="AR187" s="182" t="e">
        <f t="shared" si="63"/>
        <v>#N/A</v>
      </c>
      <c r="AS187" s="390"/>
      <c r="AT187" s="166"/>
      <c r="AU187" s="166"/>
      <c r="AV187" s="166"/>
      <c r="AW187" s="182" t="e">
        <f t="shared" si="64"/>
        <v>#N/A</v>
      </c>
      <c r="AX187" s="390"/>
      <c r="AZ187" s="182" t="e">
        <f t="shared" si="65"/>
        <v>#N/A</v>
      </c>
      <c r="BA187" s="390"/>
    </row>
    <row r="188" spans="2:53">
      <c r="B188" s="395"/>
      <c r="C188" s="182">
        <v>7</v>
      </c>
      <c r="D188" s="203"/>
      <c r="E188" s="166"/>
      <c r="F188" s="182"/>
      <c r="G188" s="180"/>
      <c r="H188" s="402"/>
      <c r="I188" s="166" t="str">
        <f t="shared" si="55"/>
        <v>-</v>
      </c>
      <c r="J188" s="166" t="str">
        <f t="shared" si="56"/>
        <v>-</v>
      </c>
      <c r="K188" s="180" t="str">
        <f t="shared" si="57"/>
        <v>-</v>
      </c>
      <c r="L188" s="402"/>
      <c r="M188" s="181" t="e">
        <f>RANK(K188, K$147:$K$176)</f>
        <v>#VALUE!</v>
      </c>
      <c r="N188" s="389"/>
      <c r="O188" s="389"/>
      <c r="P188" s="166"/>
      <c r="Q188" s="166"/>
      <c r="R188" s="166"/>
      <c r="S188" s="182" t="e">
        <f t="shared" si="58"/>
        <v>#N/A</v>
      </c>
      <c r="T188" s="390"/>
      <c r="U188" s="166"/>
      <c r="V188" s="166"/>
      <c r="W188" s="166"/>
      <c r="X188" s="182" t="e">
        <f t="shared" si="59"/>
        <v>#N/A</v>
      </c>
      <c r="Y188" s="390"/>
      <c r="Z188" s="166"/>
      <c r="AA188" s="166"/>
      <c r="AB188" s="166"/>
      <c r="AC188" s="182" t="e">
        <f t="shared" si="60"/>
        <v>#N/A</v>
      </c>
      <c r="AD188" s="390"/>
      <c r="AE188" s="166"/>
      <c r="AF188" s="166"/>
      <c r="AG188" s="166"/>
      <c r="AH188" s="182" t="e">
        <f t="shared" si="61"/>
        <v>#N/A</v>
      </c>
      <c r="AI188" s="390"/>
      <c r="AJ188" s="166"/>
      <c r="AK188" s="166"/>
      <c r="AL188" s="166"/>
      <c r="AM188" s="182" t="e">
        <f t="shared" si="62"/>
        <v>#N/A</v>
      </c>
      <c r="AN188" s="390"/>
      <c r="AO188" s="166"/>
      <c r="AP188" s="166"/>
      <c r="AQ188" s="166"/>
      <c r="AR188" s="182" t="e">
        <f t="shared" si="63"/>
        <v>#N/A</v>
      </c>
      <c r="AS188" s="390"/>
      <c r="AT188" s="166"/>
      <c r="AU188" s="166"/>
      <c r="AV188" s="166"/>
      <c r="AW188" s="182" t="e">
        <f t="shared" si="64"/>
        <v>#N/A</v>
      </c>
      <c r="AX188" s="390"/>
      <c r="AZ188" s="182" t="e">
        <f t="shared" si="65"/>
        <v>#N/A</v>
      </c>
      <c r="BA188" s="390"/>
    </row>
    <row r="189" spans="2:53">
      <c r="B189" s="395"/>
      <c r="C189" s="182">
        <v>8</v>
      </c>
      <c r="D189" s="203"/>
      <c r="E189" s="166"/>
      <c r="F189" s="182"/>
      <c r="G189" s="180"/>
      <c r="H189" s="402"/>
      <c r="I189" s="166" t="str">
        <f t="shared" si="55"/>
        <v>-</v>
      </c>
      <c r="J189" s="166" t="str">
        <f t="shared" si="56"/>
        <v>-</v>
      </c>
      <c r="K189" s="180" t="str">
        <f t="shared" si="57"/>
        <v>-</v>
      </c>
      <c r="L189" s="402"/>
      <c r="M189" s="181" t="e">
        <f>RANK(K189, K$147:$K$176)</f>
        <v>#VALUE!</v>
      </c>
      <c r="N189" s="389"/>
      <c r="O189" s="389"/>
      <c r="P189" s="166"/>
      <c r="Q189" s="166"/>
      <c r="R189" s="166"/>
      <c r="S189" s="182" t="e">
        <f t="shared" si="58"/>
        <v>#N/A</v>
      </c>
      <c r="T189" s="390"/>
      <c r="U189" s="166"/>
      <c r="V189" s="166"/>
      <c r="W189" s="166"/>
      <c r="X189" s="182" t="e">
        <f t="shared" si="59"/>
        <v>#N/A</v>
      </c>
      <c r="Y189" s="390"/>
      <c r="Z189" s="166"/>
      <c r="AA189" s="166"/>
      <c r="AB189" s="166"/>
      <c r="AC189" s="182" t="e">
        <f t="shared" si="60"/>
        <v>#N/A</v>
      </c>
      <c r="AD189" s="390"/>
      <c r="AE189" s="166"/>
      <c r="AF189" s="166"/>
      <c r="AG189" s="166"/>
      <c r="AH189" s="182" t="e">
        <f t="shared" si="61"/>
        <v>#N/A</v>
      </c>
      <c r="AI189" s="390"/>
      <c r="AJ189" s="166"/>
      <c r="AK189" s="166"/>
      <c r="AL189" s="166"/>
      <c r="AM189" s="182" t="e">
        <f t="shared" si="62"/>
        <v>#N/A</v>
      </c>
      <c r="AN189" s="390"/>
      <c r="AO189" s="166"/>
      <c r="AP189" s="166"/>
      <c r="AQ189" s="166"/>
      <c r="AR189" s="182" t="e">
        <f t="shared" si="63"/>
        <v>#N/A</v>
      </c>
      <c r="AS189" s="390"/>
      <c r="AT189" s="166"/>
      <c r="AU189" s="166"/>
      <c r="AV189" s="166"/>
      <c r="AW189" s="182" t="e">
        <f t="shared" si="64"/>
        <v>#N/A</v>
      </c>
      <c r="AX189" s="390"/>
      <c r="AZ189" s="182" t="e">
        <f t="shared" si="65"/>
        <v>#N/A</v>
      </c>
      <c r="BA189" s="390"/>
    </row>
    <row r="190" spans="2:53">
      <c r="B190" s="395"/>
      <c r="C190" s="182">
        <v>9</v>
      </c>
      <c r="D190" s="203"/>
      <c r="E190" s="166"/>
      <c r="F190" s="182"/>
      <c r="G190" s="180"/>
      <c r="H190" s="402"/>
      <c r="I190" s="166" t="str">
        <f t="shared" si="55"/>
        <v>-</v>
      </c>
      <c r="J190" s="166" t="str">
        <f t="shared" si="56"/>
        <v>-</v>
      </c>
      <c r="K190" s="180" t="str">
        <f t="shared" si="57"/>
        <v>-</v>
      </c>
      <c r="L190" s="402"/>
      <c r="M190" s="181" t="e">
        <f>RANK(K190, K$147:$K$176)</f>
        <v>#VALUE!</v>
      </c>
      <c r="N190" s="389"/>
      <c r="O190" s="389"/>
      <c r="P190" s="166"/>
      <c r="Q190" s="166"/>
      <c r="R190" s="166"/>
      <c r="S190" s="182" t="e">
        <f t="shared" si="58"/>
        <v>#N/A</v>
      </c>
      <c r="T190" s="390"/>
      <c r="U190" s="166"/>
      <c r="V190" s="166"/>
      <c r="W190" s="166"/>
      <c r="X190" s="182" t="e">
        <f t="shared" si="59"/>
        <v>#N/A</v>
      </c>
      <c r="Y190" s="390"/>
      <c r="Z190" s="166"/>
      <c r="AA190" s="166"/>
      <c r="AB190" s="166"/>
      <c r="AC190" s="182" t="e">
        <f t="shared" si="60"/>
        <v>#N/A</v>
      </c>
      <c r="AD190" s="390"/>
      <c r="AE190" s="166"/>
      <c r="AF190" s="166"/>
      <c r="AG190" s="166"/>
      <c r="AH190" s="182" t="e">
        <f t="shared" si="61"/>
        <v>#N/A</v>
      </c>
      <c r="AI190" s="390"/>
      <c r="AJ190" s="166"/>
      <c r="AK190" s="166"/>
      <c r="AL190" s="166"/>
      <c r="AM190" s="182" t="e">
        <f t="shared" si="62"/>
        <v>#N/A</v>
      </c>
      <c r="AN190" s="390"/>
      <c r="AO190" s="166"/>
      <c r="AP190" s="166"/>
      <c r="AQ190" s="166"/>
      <c r="AR190" s="182" t="e">
        <f t="shared" si="63"/>
        <v>#N/A</v>
      </c>
      <c r="AS190" s="390"/>
      <c r="AT190" s="166"/>
      <c r="AU190" s="166"/>
      <c r="AV190" s="166"/>
      <c r="AW190" s="182" t="e">
        <f t="shared" si="64"/>
        <v>#N/A</v>
      </c>
      <c r="AX190" s="390"/>
      <c r="AZ190" s="182" t="e">
        <f t="shared" si="65"/>
        <v>#N/A</v>
      </c>
      <c r="BA190" s="390"/>
    </row>
    <row r="191" spans="2:53">
      <c r="B191" s="395"/>
      <c r="C191" s="182">
        <v>10</v>
      </c>
      <c r="D191" s="203"/>
      <c r="E191" s="166"/>
      <c r="F191" s="182"/>
      <c r="G191" s="180"/>
      <c r="H191" s="402"/>
      <c r="I191" s="166" t="str">
        <f t="shared" si="55"/>
        <v>-</v>
      </c>
      <c r="J191" s="166" t="str">
        <f t="shared" si="56"/>
        <v>-</v>
      </c>
      <c r="K191" s="180" t="str">
        <f t="shared" si="57"/>
        <v>-</v>
      </c>
      <c r="L191" s="402"/>
      <c r="M191" s="181" t="e">
        <f>RANK(K191, K$147:$K$176)</f>
        <v>#VALUE!</v>
      </c>
      <c r="N191" s="389"/>
      <c r="O191" s="389"/>
      <c r="P191" s="166"/>
      <c r="Q191" s="166"/>
      <c r="R191" s="166"/>
      <c r="S191" s="182" t="e">
        <f t="shared" si="58"/>
        <v>#N/A</v>
      </c>
      <c r="T191" s="390"/>
      <c r="U191" s="166"/>
      <c r="V191" s="166"/>
      <c r="W191" s="166"/>
      <c r="X191" s="182" t="e">
        <f t="shared" si="59"/>
        <v>#N/A</v>
      </c>
      <c r="Y191" s="390"/>
      <c r="Z191" s="166"/>
      <c r="AA191" s="166"/>
      <c r="AB191" s="166"/>
      <c r="AC191" s="182" t="e">
        <f t="shared" si="60"/>
        <v>#N/A</v>
      </c>
      <c r="AD191" s="390"/>
      <c r="AE191" s="166"/>
      <c r="AF191" s="166"/>
      <c r="AG191" s="166"/>
      <c r="AH191" s="182" t="e">
        <f t="shared" si="61"/>
        <v>#N/A</v>
      </c>
      <c r="AI191" s="390"/>
      <c r="AJ191" s="166"/>
      <c r="AK191" s="166"/>
      <c r="AL191" s="166"/>
      <c r="AM191" s="182" t="e">
        <f t="shared" si="62"/>
        <v>#N/A</v>
      </c>
      <c r="AN191" s="390"/>
      <c r="AO191" s="166"/>
      <c r="AP191" s="166"/>
      <c r="AQ191" s="166"/>
      <c r="AR191" s="182" t="e">
        <f t="shared" si="63"/>
        <v>#N/A</v>
      </c>
      <c r="AS191" s="390"/>
      <c r="AT191" s="166"/>
      <c r="AU191" s="166"/>
      <c r="AV191" s="166"/>
      <c r="AW191" s="182" t="e">
        <f t="shared" si="64"/>
        <v>#N/A</v>
      </c>
      <c r="AX191" s="390"/>
      <c r="AZ191" s="182" t="e">
        <f t="shared" si="65"/>
        <v>#N/A</v>
      </c>
      <c r="BA191" s="390"/>
    </row>
    <row r="192" spans="2:53">
      <c r="B192" s="395"/>
      <c r="C192" s="182">
        <v>11</v>
      </c>
      <c r="D192" s="203"/>
      <c r="E192" s="166"/>
      <c r="F192" s="182"/>
      <c r="G192" s="180"/>
      <c r="H192" s="402"/>
      <c r="I192" s="166" t="str">
        <f t="shared" si="55"/>
        <v>-</v>
      </c>
      <c r="J192" s="166" t="str">
        <f t="shared" si="56"/>
        <v>-</v>
      </c>
      <c r="K192" s="180" t="str">
        <f t="shared" si="57"/>
        <v>-</v>
      </c>
      <c r="L192" s="402"/>
      <c r="M192" s="181" t="e">
        <f>RANK(K192, K$147:$K$176)</f>
        <v>#VALUE!</v>
      </c>
      <c r="N192" s="389"/>
      <c r="O192" s="389"/>
      <c r="P192" s="166"/>
      <c r="Q192" s="166"/>
      <c r="R192" s="166"/>
      <c r="S192" s="182" t="e">
        <f t="shared" si="58"/>
        <v>#N/A</v>
      </c>
      <c r="T192" s="390"/>
      <c r="U192" s="166"/>
      <c r="V192" s="166"/>
      <c r="W192" s="166"/>
      <c r="X192" s="182" t="e">
        <f t="shared" si="59"/>
        <v>#N/A</v>
      </c>
      <c r="Y192" s="390"/>
      <c r="Z192" s="166"/>
      <c r="AA192" s="166"/>
      <c r="AB192" s="166"/>
      <c r="AC192" s="182" t="e">
        <f t="shared" si="60"/>
        <v>#N/A</v>
      </c>
      <c r="AD192" s="390"/>
      <c r="AE192" s="166"/>
      <c r="AF192" s="166"/>
      <c r="AG192" s="166"/>
      <c r="AH192" s="182" t="e">
        <f t="shared" si="61"/>
        <v>#N/A</v>
      </c>
      <c r="AI192" s="390"/>
      <c r="AJ192" s="166"/>
      <c r="AK192" s="166"/>
      <c r="AL192" s="166"/>
      <c r="AM192" s="182" t="e">
        <f t="shared" si="62"/>
        <v>#N/A</v>
      </c>
      <c r="AN192" s="390"/>
      <c r="AO192" s="166"/>
      <c r="AP192" s="166"/>
      <c r="AQ192" s="166"/>
      <c r="AR192" s="182" t="e">
        <f t="shared" si="63"/>
        <v>#N/A</v>
      </c>
      <c r="AS192" s="390"/>
      <c r="AT192" s="166"/>
      <c r="AU192" s="166"/>
      <c r="AV192" s="166"/>
      <c r="AW192" s="182" t="e">
        <f t="shared" si="64"/>
        <v>#N/A</v>
      </c>
      <c r="AX192" s="390"/>
      <c r="AZ192" s="182" t="e">
        <f t="shared" si="65"/>
        <v>#N/A</v>
      </c>
      <c r="BA192" s="390"/>
    </row>
    <row r="193" spans="2:53">
      <c r="B193" s="395"/>
      <c r="C193" s="182">
        <v>12</v>
      </c>
      <c r="D193" s="203"/>
      <c r="E193" s="166"/>
      <c r="F193" s="182"/>
      <c r="G193" s="180"/>
      <c r="H193" s="402"/>
      <c r="I193" s="166" t="str">
        <f t="shared" si="55"/>
        <v>-</v>
      </c>
      <c r="J193" s="166" t="str">
        <f t="shared" si="56"/>
        <v>-</v>
      </c>
      <c r="K193" s="180" t="str">
        <f t="shared" si="57"/>
        <v>-</v>
      </c>
      <c r="L193" s="402"/>
      <c r="M193" s="181" t="e">
        <f>RANK(K193, K$147:$K$176)</f>
        <v>#VALUE!</v>
      </c>
      <c r="N193" s="389"/>
      <c r="O193" s="389"/>
      <c r="P193" s="166"/>
      <c r="Q193" s="166"/>
      <c r="R193" s="166"/>
      <c r="S193" s="182" t="e">
        <f t="shared" si="58"/>
        <v>#N/A</v>
      </c>
      <c r="T193" s="390"/>
      <c r="U193" s="166"/>
      <c r="V193" s="166"/>
      <c r="W193" s="166"/>
      <c r="X193" s="182" t="e">
        <f t="shared" si="59"/>
        <v>#N/A</v>
      </c>
      <c r="Y193" s="390"/>
      <c r="Z193" s="166"/>
      <c r="AA193" s="166"/>
      <c r="AB193" s="166"/>
      <c r="AC193" s="182" t="e">
        <f t="shared" si="60"/>
        <v>#N/A</v>
      </c>
      <c r="AD193" s="390"/>
      <c r="AE193" s="166"/>
      <c r="AF193" s="166"/>
      <c r="AG193" s="166"/>
      <c r="AH193" s="182" t="e">
        <f t="shared" si="61"/>
        <v>#N/A</v>
      </c>
      <c r="AI193" s="390"/>
      <c r="AJ193" s="166"/>
      <c r="AK193" s="166"/>
      <c r="AL193" s="166"/>
      <c r="AM193" s="182" t="e">
        <f t="shared" si="62"/>
        <v>#N/A</v>
      </c>
      <c r="AN193" s="390"/>
      <c r="AO193" s="166"/>
      <c r="AP193" s="166"/>
      <c r="AQ193" s="166"/>
      <c r="AR193" s="182" t="e">
        <f t="shared" si="63"/>
        <v>#N/A</v>
      </c>
      <c r="AS193" s="390"/>
      <c r="AT193" s="166"/>
      <c r="AU193" s="166"/>
      <c r="AV193" s="166"/>
      <c r="AW193" s="182" t="e">
        <f t="shared" si="64"/>
        <v>#N/A</v>
      </c>
      <c r="AX193" s="390"/>
      <c r="AZ193" s="182" t="e">
        <f t="shared" si="65"/>
        <v>#N/A</v>
      </c>
      <c r="BA193" s="390"/>
    </row>
    <row r="194" spans="2:53">
      <c r="B194" s="395"/>
      <c r="C194" s="182">
        <v>13</v>
      </c>
      <c r="D194" s="203"/>
      <c r="E194" s="166"/>
      <c r="F194" s="182"/>
      <c r="G194" s="180"/>
      <c r="H194" s="402"/>
      <c r="I194" s="166" t="str">
        <f t="shared" si="55"/>
        <v>-</v>
      </c>
      <c r="J194" s="166" t="str">
        <f t="shared" si="56"/>
        <v>-</v>
      </c>
      <c r="K194" s="180" t="str">
        <f t="shared" si="57"/>
        <v>-</v>
      </c>
      <c r="L194" s="402"/>
      <c r="M194" s="181" t="e">
        <f>RANK(K194, K$147:$K$176)</f>
        <v>#VALUE!</v>
      </c>
      <c r="N194" s="389"/>
      <c r="O194" s="389"/>
      <c r="P194" s="166"/>
      <c r="Q194" s="166"/>
      <c r="R194" s="166"/>
      <c r="S194" s="182" t="e">
        <f t="shared" si="58"/>
        <v>#N/A</v>
      </c>
      <c r="T194" s="390"/>
      <c r="U194" s="166"/>
      <c r="V194" s="166"/>
      <c r="W194" s="166"/>
      <c r="X194" s="182" t="e">
        <f t="shared" si="59"/>
        <v>#N/A</v>
      </c>
      <c r="Y194" s="390"/>
      <c r="Z194" s="166"/>
      <c r="AA194" s="166"/>
      <c r="AB194" s="166"/>
      <c r="AC194" s="182" t="e">
        <f t="shared" si="60"/>
        <v>#N/A</v>
      </c>
      <c r="AD194" s="390"/>
      <c r="AE194" s="166"/>
      <c r="AF194" s="166"/>
      <c r="AG194" s="166"/>
      <c r="AH194" s="182" t="e">
        <f t="shared" si="61"/>
        <v>#N/A</v>
      </c>
      <c r="AI194" s="390"/>
      <c r="AJ194" s="166"/>
      <c r="AK194" s="166"/>
      <c r="AL194" s="166"/>
      <c r="AM194" s="182" t="e">
        <f t="shared" si="62"/>
        <v>#N/A</v>
      </c>
      <c r="AN194" s="390"/>
      <c r="AO194" s="166"/>
      <c r="AP194" s="166"/>
      <c r="AQ194" s="166"/>
      <c r="AR194" s="182" t="e">
        <f t="shared" si="63"/>
        <v>#N/A</v>
      </c>
      <c r="AS194" s="390"/>
      <c r="AT194" s="166"/>
      <c r="AU194" s="166"/>
      <c r="AV194" s="166"/>
      <c r="AW194" s="182" t="e">
        <f t="shared" si="64"/>
        <v>#N/A</v>
      </c>
      <c r="AX194" s="390"/>
      <c r="AZ194" s="182" t="e">
        <f t="shared" si="65"/>
        <v>#N/A</v>
      </c>
      <c r="BA194" s="390"/>
    </row>
    <row r="195" spans="2:53">
      <c r="B195" s="395"/>
      <c r="C195" s="182">
        <v>14</v>
      </c>
      <c r="D195" s="203"/>
      <c r="E195" s="166"/>
      <c r="F195" s="182"/>
      <c r="G195" s="180"/>
      <c r="H195" s="402"/>
      <c r="I195" s="166" t="str">
        <f t="shared" si="55"/>
        <v>-</v>
      </c>
      <c r="J195" s="166" t="str">
        <f t="shared" si="56"/>
        <v>-</v>
      </c>
      <c r="K195" s="180" t="str">
        <f t="shared" si="57"/>
        <v>-</v>
      </c>
      <c r="L195" s="402"/>
      <c r="M195" s="181" t="e">
        <f>RANK(K195, K$147:$K$176)</f>
        <v>#VALUE!</v>
      </c>
      <c r="N195" s="389"/>
      <c r="O195" s="389"/>
      <c r="P195" s="166"/>
      <c r="Q195" s="166"/>
      <c r="R195" s="166"/>
      <c r="S195" s="182" t="e">
        <f t="shared" si="58"/>
        <v>#N/A</v>
      </c>
      <c r="T195" s="390"/>
      <c r="U195" s="166"/>
      <c r="V195" s="166"/>
      <c r="W195" s="166"/>
      <c r="X195" s="182" t="e">
        <f t="shared" si="59"/>
        <v>#N/A</v>
      </c>
      <c r="Y195" s="390"/>
      <c r="Z195" s="166"/>
      <c r="AA195" s="166"/>
      <c r="AB195" s="166"/>
      <c r="AC195" s="182" t="e">
        <f t="shared" si="60"/>
        <v>#N/A</v>
      </c>
      <c r="AD195" s="390"/>
      <c r="AE195" s="166"/>
      <c r="AF195" s="166"/>
      <c r="AG195" s="166"/>
      <c r="AH195" s="182" t="e">
        <f t="shared" si="61"/>
        <v>#N/A</v>
      </c>
      <c r="AI195" s="390"/>
      <c r="AJ195" s="166"/>
      <c r="AK195" s="166"/>
      <c r="AL195" s="166"/>
      <c r="AM195" s="182" t="e">
        <f t="shared" si="62"/>
        <v>#N/A</v>
      </c>
      <c r="AN195" s="390"/>
      <c r="AO195" s="166"/>
      <c r="AP195" s="166"/>
      <c r="AQ195" s="166"/>
      <c r="AR195" s="182" t="e">
        <f t="shared" si="63"/>
        <v>#N/A</v>
      </c>
      <c r="AS195" s="390"/>
      <c r="AT195" s="166"/>
      <c r="AU195" s="166"/>
      <c r="AV195" s="166"/>
      <c r="AW195" s="182" t="e">
        <f t="shared" si="64"/>
        <v>#N/A</v>
      </c>
      <c r="AX195" s="390"/>
      <c r="AZ195" s="182" t="e">
        <f t="shared" si="65"/>
        <v>#N/A</v>
      </c>
      <c r="BA195" s="390"/>
    </row>
    <row r="196" spans="2:53">
      <c r="B196" s="395"/>
      <c r="C196" s="182">
        <v>15</v>
      </c>
      <c r="D196" s="203"/>
      <c r="E196" s="166"/>
      <c r="F196" s="182"/>
      <c r="G196" s="180"/>
      <c r="H196" s="402"/>
      <c r="I196" s="166" t="str">
        <f t="shared" si="55"/>
        <v>-</v>
      </c>
      <c r="J196" s="166" t="str">
        <f t="shared" si="56"/>
        <v>-</v>
      </c>
      <c r="K196" s="180" t="str">
        <f t="shared" si="57"/>
        <v>-</v>
      </c>
      <c r="L196" s="402"/>
      <c r="M196" s="166" t="e">
        <f>RANK(K196, K$147:$K$176)</f>
        <v>#VALUE!</v>
      </c>
      <c r="N196" s="389"/>
      <c r="O196" s="389"/>
      <c r="P196" s="166"/>
      <c r="Q196" s="166"/>
      <c r="R196" s="166"/>
      <c r="S196" s="182" t="e">
        <f t="shared" si="58"/>
        <v>#N/A</v>
      </c>
      <c r="T196" s="390"/>
      <c r="U196" s="166"/>
      <c r="V196" s="166"/>
      <c r="W196" s="166"/>
      <c r="X196" s="182" t="e">
        <f t="shared" si="59"/>
        <v>#N/A</v>
      </c>
      <c r="Y196" s="390"/>
      <c r="Z196" s="166"/>
      <c r="AA196" s="166"/>
      <c r="AB196" s="166"/>
      <c r="AC196" s="182" t="e">
        <f t="shared" si="60"/>
        <v>#N/A</v>
      </c>
      <c r="AD196" s="390"/>
      <c r="AE196" s="166"/>
      <c r="AF196" s="166"/>
      <c r="AG196" s="166"/>
      <c r="AH196" s="182" t="e">
        <f t="shared" si="61"/>
        <v>#N/A</v>
      </c>
      <c r="AI196" s="390"/>
      <c r="AJ196" s="166"/>
      <c r="AK196" s="166"/>
      <c r="AL196" s="166"/>
      <c r="AM196" s="182" t="e">
        <f t="shared" si="62"/>
        <v>#N/A</v>
      </c>
      <c r="AN196" s="390"/>
      <c r="AO196" s="166"/>
      <c r="AP196" s="166"/>
      <c r="AQ196" s="166"/>
      <c r="AR196" s="182" t="e">
        <f t="shared" si="63"/>
        <v>#N/A</v>
      </c>
      <c r="AS196" s="390"/>
      <c r="AT196" s="166"/>
      <c r="AU196" s="166"/>
      <c r="AV196" s="166"/>
      <c r="AW196" s="182" t="e">
        <f t="shared" si="64"/>
        <v>#N/A</v>
      </c>
      <c r="AX196" s="390"/>
      <c r="AZ196" s="182" t="e">
        <f t="shared" si="65"/>
        <v>#N/A</v>
      </c>
      <c r="BA196" s="390"/>
    </row>
    <row r="197" spans="2:53">
      <c r="B197" s="395"/>
      <c r="C197" s="182">
        <v>16</v>
      </c>
      <c r="D197" s="203"/>
      <c r="E197" s="166"/>
      <c r="F197" s="182"/>
      <c r="G197" s="180"/>
      <c r="H197" s="402"/>
      <c r="I197" s="166" t="str">
        <f t="shared" si="55"/>
        <v>-</v>
      </c>
      <c r="J197" s="166" t="str">
        <f t="shared" si="56"/>
        <v>-</v>
      </c>
      <c r="K197" s="180" t="str">
        <f t="shared" si="57"/>
        <v>-</v>
      </c>
      <c r="L197" s="402"/>
      <c r="M197" s="166" t="e">
        <f>RANK(K197, K$147:$K$176)</f>
        <v>#VALUE!</v>
      </c>
      <c r="N197" s="389"/>
      <c r="O197" s="389"/>
      <c r="P197" s="166"/>
      <c r="Q197" s="166"/>
      <c r="R197" s="166"/>
      <c r="S197" s="182" t="e">
        <f t="shared" si="58"/>
        <v>#N/A</v>
      </c>
      <c r="T197" s="390"/>
      <c r="U197" s="166"/>
      <c r="V197" s="166"/>
      <c r="W197" s="166"/>
      <c r="X197" s="182" t="e">
        <f t="shared" si="59"/>
        <v>#N/A</v>
      </c>
      <c r="Y197" s="390"/>
      <c r="Z197" s="166"/>
      <c r="AA197" s="166"/>
      <c r="AB197" s="166"/>
      <c r="AC197" s="182" t="e">
        <f t="shared" si="60"/>
        <v>#N/A</v>
      </c>
      <c r="AD197" s="390"/>
      <c r="AE197" s="166"/>
      <c r="AF197" s="166"/>
      <c r="AG197" s="166"/>
      <c r="AH197" s="182" t="e">
        <f t="shared" si="61"/>
        <v>#N/A</v>
      </c>
      <c r="AI197" s="390"/>
      <c r="AJ197" s="166"/>
      <c r="AK197" s="166"/>
      <c r="AL197" s="166"/>
      <c r="AM197" s="182" t="e">
        <f t="shared" si="62"/>
        <v>#N/A</v>
      </c>
      <c r="AN197" s="390"/>
      <c r="AO197" s="166"/>
      <c r="AP197" s="166"/>
      <c r="AQ197" s="166"/>
      <c r="AR197" s="182" t="e">
        <f t="shared" si="63"/>
        <v>#N/A</v>
      </c>
      <c r="AS197" s="390"/>
      <c r="AT197" s="166"/>
      <c r="AU197" s="166"/>
      <c r="AV197" s="166"/>
      <c r="AW197" s="182" t="e">
        <f t="shared" si="64"/>
        <v>#N/A</v>
      </c>
      <c r="AX197" s="390"/>
      <c r="AZ197" s="182" t="e">
        <f t="shared" si="65"/>
        <v>#N/A</v>
      </c>
      <c r="BA197" s="390"/>
    </row>
    <row r="198" spans="2:53">
      <c r="B198" s="395"/>
      <c r="C198" s="182">
        <v>17</v>
      </c>
      <c r="D198" s="203"/>
      <c r="E198" s="166"/>
      <c r="F198" s="182"/>
      <c r="G198" s="180"/>
      <c r="H198" s="402"/>
      <c r="I198" s="166" t="str">
        <f t="shared" si="55"/>
        <v>-</v>
      </c>
      <c r="J198" s="166" t="str">
        <f t="shared" si="56"/>
        <v>-</v>
      </c>
      <c r="K198" s="180" t="str">
        <f t="shared" si="57"/>
        <v>-</v>
      </c>
      <c r="L198" s="402"/>
      <c r="M198" s="166" t="e">
        <f>RANK(K198, K$147:$K$176)</f>
        <v>#VALUE!</v>
      </c>
      <c r="N198" s="389"/>
      <c r="O198" s="389"/>
      <c r="P198" s="166"/>
      <c r="Q198" s="166"/>
      <c r="R198" s="166"/>
      <c r="S198" s="182" t="e">
        <f t="shared" si="58"/>
        <v>#N/A</v>
      </c>
      <c r="T198" s="390"/>
      <c r="U198" s="166"/>
      <c r="V198" s="166"/>
      <c r="W198" s="166"/>
      <c r="X198" s="182" t="e">
        <f t="shared" si="59"/>
        <v>#N/A</v>
      </c>
      <c r="Y198" s="390"/>
      <c r="Z198" s="166"/>
      <c r="AA198" s="166"/>
      <c r="AB198" s="166"/>
      <c r="AC198" s="182" t="e">
        <f t="shared" si="60"/>
        <v>#N/A</v>
      </c>
      <c r="AD198" s="390"/>
      <c r="AE198" s="166"/>
      <c r="AF198" s="166"/>
      <c r="AG198" s="166"/>
      <c r="AH198" s="182" t="e">
        <f t="shared" si="61"/>
        <v>#N/A</v>
      </c>
      <c r="AI198" s="390"/>
      <c r="AJ198" s="166"/>
      <c r="AK198" s="166"/>
      <c r="AL198" s="166"/>
      <c r="AM198" s="182" t="e">
        <f t="shared" si="62"/>
        <v>#N/A</v>
      </c>
      <c r="AN198" s="390"/>
      <c r="AO198" s="166"/>
      <c r="AP198" s="166"/>
      <c r="AQ198" s="166"/>
      <c r="AR198" s="182" t="e">
        <f t="shared" si="63"/>
        <v>#N/A</v>
      </c>
      <c r="AS198" s="390"/>
      <c r="AT198" s="166"/>
      <c r="AU198" s="166"/>
      <c r="AV198" s="166"/>
      <c r="AW198" s="182" t="e">
        <f t="shared" si="64"/>
        <v>#N/A</v>
      </c>
      <c r="AX198" s="390"/>
      <c r="AZ198" s="182" t="e">
        <f t="shared" si="65"/>
        <v>#N/A</v>
      </c>
      <c r="BA198" s="390"/>
    </row>
    <row r="199" spans="2:53">
      <c r="B199" s="395"/>
      <c r="C199" s="182">
        <v>18</v>
      </c>
      <c r="D199" s="203"/>
      <c r="E199" s="166"/>
      <c r="F199" s="182"/>
      <c r="G199" s="180"/>
      <c r="H199" s="402"/>
      <c r="I199" s="166" t="str">
        <f t="shared" si="55"/>
        <v>-</v>
      </c>
      <c r="J199" s="166" t="str">
        <f t="shared" si="56"/>
        <v>-</v>
      </c>
      <c r="K199" s="180" t="str">
        <f t="shared" si="57"/>
        <v>-</v>
      </c>
      <c r="L199" s="402"/>
      <c r="M199" s="166" t="e">
        <f>RANK(K199, K$147:$K$176)</f>
        <v>#VALUE!</v>
      </c>
      <c r="N199" s="389"/>
      <c r="O199" s="389"/>
      <c r="P199" s="166"/>
      <c r="Q199" s="166"/>
      <c r="R199" s="166"/>
      <c r="S199" s="182" t="e">
        <f t="shared" si="58"/>
        <v>#N/A</v>
      </c>
      <c r="T199" s="390"/>
      <c r="U199" s="166"/>
      <c r="V199" s="166"/>
      <c r="W199" s="166"/>
      <c r="X199" s="182" t="e">
        <f t="shared" si="59"/>
        <v>#N/A</v>
      </c>
      <c r="Y199" s="390"/>
      <c r="Z199" s="166"/>
      <c r="AA199" s="166"/>
      <c r="AB199" s="166"/>
      <c r="AC199" s="182" t="e">
        <f t="shared" si="60"/>
        <v>#N/A</v>
      </c>
      <c r="AD199" s="390"/>
      <c r="AE199" s="166"/>
      <c r="AF199" s="166"/>
      <c r="AG199" s="166"/>
      <c r="AH199" s="182" t="e">
        <f t="shared" si="61"/>
        <v>#N/A</v>
      </c>
      <c r="AI199" s="390"/>
      <c r="AJ199" s="166"/>
      <c r="AK199" s="166"/>
      <c r="AL199" s="166"/>
      <c r="AM199" s="182" t="e">
        <f t="shared" si="62"/>
        <v>#N/A</v>
      </c>
      <c r="AN199" s="390"/>
      <c r="AO199" s="166"/>
      <c r="AP199" s="166"/>
      <c r="AQ199" s="166"/>
      <c r="AR199" s="182" t="e">
        <f t="shared" si="63"/>
        <v>#N/A</v>
      </c>
      <c r="AS199" s="390"/>
      <c r="AT199" s="166"/>
      <c r="AU199" s="166"/>
      <c r="AV199" s="166"/>
      <c r="AW199" s="182" t="e">
        <f t="shared" si="64"/>
        <v>#N/A</v>
      </c>
      <c r="AX199" s="390"/>
      <c r="AZ199" s="182" t="e">
        <f t="shared" si="65"/>
        <v>#N/A</v>
      </c>
      <c r="BA199" s="390"/>
    </row>
    <row r="200" spans="2:53">
      <c r="B200" s="395"/>
      <c r="C200" s="182">
        <v>19</v>
      </c>
      <c r="D200" s="203"/>
      <c r="E200" s="166"/>
      <c r="F200" s="182"/>
      <c r="G200" s="180"/>
      <c r="H200" s="402"/>
      <c r="I200" s="166" t="str">
        <f t="shared" si="55"/>
        <v>-</v>
      </c>
      <c r="J200" s="166" t="str">
        <f t="shared" si="56"/>
        <v>-</v>
      </c>
      <c r="K200" s="180" t="str">
        <f t="shared" si="57"/>
        <v>-</v>
      </c>
      <c r="L200" s="402"/>
      <c r="M200" s="166" t="e">
        <f>RANK(K200, K$147:$K$176)</f>
        <v>#VALUE!</v>
      </c>
      <c r="N200" s="389"/>
      <c r="O200" s="389"/>
      <c r="P200" s="166"/>
      <c r="Q200" s="166"/>
      <c r="R200" s="166"/>
      <c r="S200" s="182" t="e">
        <f t="shared" si="58"/>
        <v>#N/A</v>
      </c>
      <c r="T200" s="390"/>
      <c r="U200" s="166"/>
      <c r="V200" s="166"/>
      <c r="W200" s="166"/>
      <c r="X200" s="182" t="e">
        <f t="shared" si="59"/>
        <v>#N/A</v>
      </c>
      <c r="Y200" s="390"/>
      <c r="Z200" s="166"/>
      <c r="AA200" s="166"/>
      <c r="AB200" s="166"/>
      <c r="AC200" s="182" t="e">
        <f t="shared" si="60"/>
        <v>#N/A</v>
      </c>
      <c r="AD200" s="390"/>
      <c r="AE200" s="166"/>
      <c r="AF200" s="166"/>
      <c r="AG200" s="166"/>
      <c r="AH200" s="182" t="e">
        <f t="shared" si="61"/>
        <v>#N/A</v>
      </c>
      <c r="AI200" s="390"/>
      <c r="AJ200" s="166"/>
      <c r="AK200" s="166"/>
      <c r="AL200" s="166"/>
      <c r="AM200" s="182" t="e">
        <f t="shared" si="62"/>
        <v>#N/A</v>
      </c>
      <c r="AN200" s="390"/>
      <c r="AO200" s="166"/>
      <c r="AP200" s="166"/>
      <c r="AQ200" s="166"/>
      <c r="AR200" s="182" t="e">
        <f t="shared" si="63"/>
        <v>#N/A</v>
      </c>
      <c r="AS200" s="390"/>
      <c r="AT200" s="166"/>
      <c r="AU200" s="166"/>
      <c r="AV200" s="166"/>
      <c r="AW200" s="182" t="e">
        <f t="shared" si="64"/>
        <v>#N/A</v>
      </c>
      <c r="AX200" s="390"/>
      <c r="AZ200" s="182" t="e">
        <f t="shared" si="65"/>
        <v>#N/A</v>
      </c>
      <c r="BA200" s="390"/>
    </row>
    <row r="201" spans="2:53">
      <c r="B201" s="395"/>
      <c r="C201" s="182">
        <v>20</v>
      </c>
      <c r="D201" s="203"/>
      <c r="E201" s="166"/>
      <c r="F201" s="182"/>
      <c r="G201" s="180"/>
      <c r="H201" s="402"/>
      <c r="I201" s="166" t="str">
        <f t="shared" si="55"/>
        <v>-</v>
      </c>
      <c r="J201" s="166" t="str">
        <f t="shared" si="56"/>
        <v>-</v>
      </c>
      <c r="K201" s="180" t="str">
        <f t="shared" si="57"/>
        <v>-</v>
      </c>
      <c r="L201" s="402"/>
      <c r="M201" s="166" t="e">
        <f>RANK(K201, K$147:$K$176)</f>
        <v>#VALUE!</v>
      </c>
      <c r="N201" s="389"/>
      <c r="O201" s="389"/>
      <c r="P201" s="166"/>
      <c r="Q201" s="166"/>
      <c r="R201" s="166"/>
      <c r="S201" s="182" t="e">
        <f t="shared" si="58"/>
        <v>#N/A</v>
      </c>
      <c r="T201" s="390"/>
      <c r="U201" s="166"/>
      <c r="V201" s="166"/>
      <c r="W201" s="166"/>
      <c r="X201" s="182" t="e">
        <f t="shared" si="59"/>
        <v>#N/A</v>
      </c>
      <c r="Y201" s="390"/>
      <c r="Z201" s="166"/>
      <c r="AA201" s="166"/>
      <c r="AB201" s="166"/>
      <c r="AC201" s="182" t="e">
        <f t="shared" si="60"/>
        <v>#N/A</v>
      </c>
      <c r="AD201" s="390"/>
      <c r="AE201" s="166"/>
      <c r="AF201" s="166"/>
      <c r="AG201" s="166"/>
      <c r="AH201" s="182" t="e">
        <f t="shared" si="61"/>
        <v>#N/A</v>
      </c>
      <c r="AI201" s="390"/>
      <c r="AJ201" s="166"/>
      <c r="AK201" s="166"/>
      <c r="AL201" s="166"/>
      <c r="AM201" s="182" t="e">
        <f t="shared" si="62"/>
        <v>#N/A</v>
      </c>
      <c r="AN201" s="390"/>
      <c r="AO201" s="166"/>
      <c r="AP201" s="166"/>
      <c r="AQ201" s="166"/>
      <c r="AR201" s="182" t="e">
        <f t="shared" si="63"/>
        <v>#N/A</v>
      </c>
      <c r="AS201" s="390"/>
      <c r="AT201" s="166"/>
      <c r="AU201" s="166"/>
      <c r="AV201" s="166"/>
      <c r="AW201" s="182" t="e">
        <f t="shared" si="64"/>
        <v>#N/A</v>
      </c>
      <c r="AX201" s="390"/>
      <c r="AZ201" s="182" t="e">
        <f t="shared" si="65"/>
        <v>#N/A</v>
      </c>
      <c r="BA201" s="390"/>
    </row>
    <row r="202" spans="2:53">
      <c r="B202" s="395"/>
      <c r="C202" s="182">
        <v>21</v>
      </c>
      <c r="D202" s="203"/>
      <c r="E202" s="166"/>
      <c r="F202" s="182"/>
      <c r="G202" s="180"/>
      <c r="H202" s="402"/>
      <c r="I202" s="166" t="str">
        <f t="shared" si="55"/>
        <v>-</v>
      </c>
      <c r="J202" s="166" t="str">
        <f t="shared" si="56"/>
        <v>-</v>
      </c>
      <c r="K202" s="180" t="str">
        <f t="shared" si="57"/>
        <v>-</v>
      </c>
      <c r="L202" s="402"/>
      <c r="M202" s="166" t="e">
        <f>RANK(K202, K$147:$K$176)</f>
        <v>#VALUE!</v>
      </c>
      <c r="N202" s="389"/>
      <c r="O202" s="389"/>
      <c r="P202" s="166"/>
      <c r="Q202" s="166"/>
      <c r="R202" s="166"/>
      <c r="S202" s="182" t="e">
        <f t="shared" si="58"/>
        <v>#N/A</v>
      </c>
      <c r="T202" s="390"/>
      <c r="U202" s="166"/>
      <c r="V202" s="166"/>
      <c r="W202" s="166"/>
      <c r="X202" s="182" t="e">
        <f t="shared" si="59"/>
        <v>#N/A</v>
      </c>
      <c r="Y202" s="390"/>
      <c r="Z202" s="166"/>
      <c r="AA202" s="166"/>
      <c r="AB202" s="166"/>
      <c r="AC202" s="182" t="e">
        <f t="shared" si="60"/>
        <v>#N/A</v>
      </c>
      <c r="AD202" s="390"/>
      <c r="AE202" s="166"/>
      <c r="AF202" s="166"/>
      <c r="AG202" s="166"/>
      <c r="AH202" s="182" t="e">
        <f t="shared" si="61"/>
        <v>#N/A</v>
      </c>
      <c r="AI202" s="390"/>
      <c r="AJ202" s="166"/>
      <c r="AK202" s="166"/>
      <c r="AL202" s="166"/>
      <c r="AM202" s="182" t="e">
        <f t="shared" si="62"/>
        <v>#N/A</v>
      </c>
      <c r="AN202" s="390"/>
      <c r="AO202" s="166"/>
      <c r="AP202" s="166"/>
      <c r="AQ202" s="166"/>
      <c r="AR202" s="182" t="e">
        <f t="shared" si="63"/>
        <v>#N/A</v>
      </c>
      <c r="AS202" s="390"/>
      <c r="AT202" s="166"/>
      <c r="AU202" s="166"/>
      <c r="AV202" s="166"/>
      <c r="AW202" s="182" t="e">
        <f t="shared" si="64"/>
        <v>#N/A</v>
      </c>
      <c r="AX202" s="390"/>
      <c r="AZ202" s="182" t="e">
        <f t="shared" si="65"/>
        <v>#N/A</v>
      </c>
      <c r="BA202" s="390"/>
    </row>
    <row r="203" spans="2:53">
      <c r="B203" s="395"/>
      <c r="C203" s="182">
        <v>22</v>
      </c>
      <c r="D203" s="203"/>
      <c r="E203" s="166"/>
      <c r="F203" s="182"/>
      <c r="G203" s="180"/>
      <c r="H203" s="402"/>
      <c r="I203" s="166" t="str">
        <f t="shared" si="55"/>
        <v>-</v>
      </c>
      <c r="J203" s="166" t="str">
        <f t="shared" si="56"/>
        <v>-</v>
      </c>
      <c r="K203" s="180" t="str">
        <f t="shared" si="57"/>
        <v>-</v>
      </c>
      <c r="L203" s="402"/>
      <c r="M203" s="166" t="e">
        <f>RANK(K203, K$147:$K$176)</f>
        <v>#VALUE!</v>
      </c>
      <c r="N203" s="389"/>
      <c r="O203" s="389"/>
      <c r="P203" s="166"/>
      <c r="Q203" s="166"/>
      <c r="R203" s="166"/>
      <c r="S203" s="182" t="e">
        <f t="shared" si="58"/>
        <v>#N/A</v>
      </c>
      <c r="T203" s="390"/>
      <c r="U203" s="166"/>
      <c r="V203" s="166"/>
      <c r="W203" s="166"/>
      <c r="X203" s="182" t="e">
        <f t="shared" si="59"/>
        <v>#N/A</v>
      </c>
      <c r="Y203" s="390"/>
      <c r="Z203" s="166"/>
      <c r="AA203" s="166"/>
      <c r="AB203" s="166"/>
      <c r="AC203" s="182" t="e">
        <f t="shared" si="60"/>
        <v>#N/A</v>
      </c>
      <c r="AD203" s="390"/>
      <c r="AE203" s="166"/>
      <c r="AF203" s="166"/>
      <c r="AG203" s="166"/>
      <c r="AH203" s="182" t="e">
        <f t="shared" si="61"/>
        <v>#N/A</v>
      </c>
      <c r="AI203" s="390"/>
      <c r="AJ203" s="166"/>
      <c r="AK203" s="166"/>
      <c r="AL203" s="166"/>
      <c r="AM203" s="182" t="e">
        <f t="shared" si="62"/>
        <v>#N/A</v>
      </c>
      <c r="AN203" s="390"/>
      <c r="AO203" s="166"/>
      <c r="AP203" s="166"/>
      <c r="AQ203" s="166"/>
      <c r="AR203" s="182" t="e">
        <f t="shared" si="63"/>
        <v>#N/A</v>
      </c>
      <c r="AS203" s="390"/>
      <c r="AT203" s="166"/>
      <c r="AU203" s="166"/>
      <c r="AV203" s="166"/>
      <c r="AW203" s="182" t="e">
        <f t="shared" si="64"/>
        <v>#N/A</v>
      </c>
      <c r="AX203" s="390"/>
      <c r="AZ203" s="182" t="e">
        <f t="shared" si="65"/>
        <v>#N/A</v>
      </c>
      <c r="BA203" s="390"/>
    </row>
    <row r="204" spans="2:53">
      <c r="B204" s="395"/>
      <c r="C204" s="182">
        <v>23</v>
      </c>
      <c r="D204" s="203"/>
      <c r="E204" s="166"/>
      <c r="F204" s="182"/>
      <c r="G204" s="180"/>
      <c r="H204" s="402"/>
      <c r="I204" s="166" t="str">
        <f t="shared" si="55"/>
        <v>-</v>
      </c>
      <c r="J204" s="166" t="str">
        <f t="shared" si="56"/>
        <v>-</v>
      </c>
      <c r="K204" s="180" t="str">
        <f t="shared" si="57"/>
        <v>-</v>
      </c>
      <c r="L204" s="402"/>
      <c r="M204" s="166" t="e">
        <f>RANK(K204, K$147:$K$176)</f>
        <v>#VALUE!</v>
      </c>
      <c r="N204" s="389"/>
      <c r="O204" s="389"/>
      <c r="P204" s="166"/>
      <c r="Q204" s="166"/>
      <c r="R204" s="166"/>
      <c r="S204" s="182" t="e">
        <f t="shared" si="58"/>
        <v>#N/A</v>
      </c>
      <c r="T204" s="390"/>
      <c r="U204" s="166"/>
      <c r="V204" s="166"/>
      <c r="W204" s="166"/>
      <c r="X204" s="182" t="e">
        <f t="shared" si="59"/>
        <v>#N/A</v>
      </c>
      <c r="Y204" s="390"/>
      <c r="Z204" s="166"/>
      <c r="AA204" s="166"/>
      <c r="AB204" s="166"/>
      <c r="AC204" s="182" t="e">
        <f t="shared" si="60"/>
        <v>#N/A</v>
      </c>
      <c r="AD204" s="390"/>
      <c r="AE204" s="166"/>
      <c r="AF204" s="166"/>
      <c r="AG204" s="166"/>
      <c r="AH204" s="182" t="e">
        <f t="shared" si="61"/>
        <v>#N/A</v>
      </c>
      <c r="AI204" s="390"/>
      <c r="AJ204" s="166"/>
      <c r="AK204" s="166"/>
      <c r="AL204" s="166"/>
      <c r="AM204" s="182" t="e">
        <f t="shared" si="62"/>
        <v>#N/A</v>
      </c>
      <c r="AN204" s="390"/>
      <c r="AO204" s="166"/>
      <c r="AP204" s="166"/>
      <c r="AQ204" s="166"/>
      <c r="AR204" s="182" t="e">
        <f t="shared" si="63"/>
        <v>#N/A</v>
      </c>
      <c r="AS204" s="390"/>
      <c r="AT204" s="166"/>
      <c r="AU204" s="166"/>
      <c r="AV204" s="166"/>
      <c r="AW204" s="182" t="e">
        <f t="shared" si="64"/>
        <v>#N/A</v>
      </c>
      <c r="AX204" s="390"/>
      <c r="AZ204" s="182" t="e">
        <f t="shared" si="65"/>
        <v>#N/A</v>
      </c>
      <c r="BA204" s="390"/>
    </row>
    <row r="205" spans="2:53">
      <c r="B205" s="395"/>
      <c r="C205" s="182">
        <v>24</v>
      </c>
      <c r="D205" s="203"/>
      <c r="E205" s="166"/>
      <c r="F205" s="182"/>
      <c r="G205" s="180"/>
      <c r="H205" s="402"/>
      <c r="I205" s="166" t="str">
        <f t="shared" si="55"/>
        <v>-</v>
      </c>
      <c r="J205" s="166" t="str">
        <f t="shared" si="56"/>
        <v>-</v>
      </c>
      <c r="K205" s="180" t="str">
        <f t="shared" si="57"/>
        <v>-</v>
      </c>
      <c r="L205" s="402"/>
      <c r="M205" s="166" t="e">
        <f>RANK(K205, K$147:$K$176)</f>
        <v>#VALUE!</v>
      </c>
      <c r="N205" s="389"/>
      <c r="O205" s="389"/>
      <c r="P205" s="182"/>
      <c r="Q205" s="180"/>
      <c r="R205" s="180"/>
      <c r="S205" s="182" t="e">
        <f t="shared" si="58"/>
        <v>#N/A</v>
      </c>
      <c r="T205" s="390"/>
      <c r="U205" s="182"/>
      <c r="V205" s="180"/>
      <c r="W205" s="180"/>
      <c r="X205" s="182" t="e">
        <f t="shared" si="59"/>
        <v>#N/A</v>
      </c>
      <c r="Y205" s="390"/>
      <c r="Z205" s="182"/>
      <c r="AA205" s="180"/>
      <c r="AB205" s="180"/>
      <c r="AC205" s="182" t="e">
        <f t="shared" si="60"/>
        <v>#N/A</v>
      </c>
      <c r="AD205" s="390"/>
      <c r="AE205" s="182"/>
      <c r="AF205" s="180"/>
      <c r="AG205" s="180"/>
      <c r="AH205" s="182" t="e">
        <f t="shared" si="61"/>
        <v>#N/A</v>
      </c>
      <c r="AI205" s="390"/>
      <c r="AJ205" s="182"/>
      <c r="AK205" s="180"/>
      <c r="AL205" s="180"/>
      <c r="AM205" s="182" t="e">
        <f t="shared" si="62"/>
        <v>#N/A</v>
      </c>
      <c r="AN205" s="390"/>
      <c r="AO205" s="182"/>
      <c r="AP205" s="180"/>
      <c r="AQ205" s="180"/>
      <c r="AR205" s="182" t="e">
        <f t="shared" si="63"/>
        <v>#N/A</v>
      </c>
      <c r="AS205" s="390"/>
      <c r="AT205" s="182"/>
      <c r="AU205" s="180"/>
      <c r="AV205" s="180"/>
      <c r="AW205" s="182" t="e">
        <f t="shared" si="64"/>
        <v>#N/A</v>
      </c>
      <c r="AX205" s="390"/>
      <c r="AZ205" s="182" t="e">
        <f t="shared" si="65"/>
        <v>#N/A</v>
      </c>
      <c r="BA205" s="390"/>
    </row>
    <row r="206" spans="2:53">
      <c r="B206" s="395"/>
      <c r="C206" s="182">
        <v>25</v>
      </c>
      <c r="D206" s="203"/>
      <c r="E206" s="166"/>
      <c r="F206" s="182"/>
      <c r="G206" s="180"/>
      <c r="H206" s="402"/>
      <c r="I206" s="166" t="str">
        <f t="shared" si="55"/>
        <v>-</v>
      </c>
      <c r="J206" s="166" t="str">
        <f t="shared" si="56"/>
        <v>-</v>
      </c>
      <c r="K206" s="180" t="str">
        <f t="shared" si="57"/>
        <v>-</v>
      </c>
      <c r="L206" s="402"/>
      <c r="M206" s="166" t="e">
        <f>RANK(K206, K$147:$K$176)</f>
        <v>#VALUE!</v>
      </c>
      <c r="N206" s="389"/>
      <c r="O206" s="389"/>
      <c r="P206" s="182"/>
      <c r="Q206" s="180"/>
      <c r="R206" s="180"/>
      <c r="S206" s="182" t="e">
        <f t="shared" si="58"/>
        <v>#N/A</v>
      </c>
      <c r="T206" s="390"/>
      <c r="U206" s="182"/>
      <c r="V206" s="180"/>
      <c r="W206" s="180"/>
      <c r="X206" s="182" t="e">
        <f t="shared" si="59"/>
        <v>#N/A</v>
      </c>
      <c r="Y206" s="390"/>
      <c r="Z206" s="182"/>
      <c r="AA206" s="180"/>
      <c r="AB206" s="180"/>
      <c r="AC206" s="182" t="e">
        <f t="shared" si="60"/>
        <v>#N/A</v>
      </c>
      <c r="AD206" s="390"/>
      <c r="AE206" s="182"/>
      <c r="AF206" s="180"/>
      <c r="AG206" s="180"/>
      <c r="AH206" s="182" t="e">
        <f t="shared" si="61"/>
        <v>#N/A</v>
      </c>
      <c r="AI206" s="390"/>
      <c r="AJ206" s="182"/>
      <c r="AK206" s="180"/>
      <c r="AL206" s="180"/>
      <c r="AM206" s="182" t="e">
        <f t="shared" si="62"/>
        <v>#N/A</v>
      </c>
      <c r="AN206" s="390"/>
      <c r="AO206" s="182"/>
      <c r="AP206" s="180"/>
      <c r="AQ206" s="180"/>
      <c r="AR206" s="182" t="e">
        <f t="shared" si="63"/>
        <v>#N/A</v>
      </c>
      <c r="AS206" s="390"/>
      <c r="AT206" s="182"/>
      <c r="AU206" s="180"/>
      <c r="AV206" s="180"/>
      <c r="AW206" s="182" t="e">
        <f t="shared" si="64"/>
        <v>#N/A</v>
      </c>
      <c r="AX206" s="390"/>
      <c r="AZ206" s="182" t="e">
        <f t="shared" si="65"/>
        <v>#N/A</v>
      </c>
      <c r="BA206" s="390"/>
    </row>
    <row r="207" spans="2:53">
      <c r="B207" s="395"/>
      <c r="C207" s="182">
        <v>26</v>
      </c>
      <c r="D207" s="203"/>
      <c r="E207" s="166"/>
      <c r="F207" s="182"/>
      <c r="G207" s="180"/>
      <c r="H207" s="402"/>
      <c r="I207" s="166" t="str">
        <f t="shared" si="55"/>
        <v>-</v>
      </c>
      <c r="J207" s="166" t="str">
        <f t="shared" si="56"/>
        <v>-</v>
      </c>
      <c r="K207" s="180" t="str">
        <f t="shared" si="57"/>
        <v>-</v>
      </c>
      <c r="L207" s="402"/>
      <c r="M207" s="166" t="e">
        <f>RANK(K207, K$147:$K$176)</f>
        <v>#VALUE!</v>
      </c>
      <c r="N207" s="389"/>
      <c r="O207" s="389"/>
      <c r="P207" s="182"/>
      <c r="Q207" s="180"/>
      <c r="R207" s="180"/>
      <c r="S207" s="182" t="e">
        <f t="shared" si="58"/>
        <v>#N/A</v>
      </c>
      <c r="T207" s="390"/>
      <c r="U207" s="182"/>
      <c r="V207" s="180"/>
      <c r="W207" s="180"/>
      <c r="X207" s="182" t="e">
        <f t="shared" si="59"/>
        <v>#N/A</v>
      </c>
      <c r="Y207" s="390"/>
      <c r="Z207" s="182"/>
      <c r="AA207" s="180"/>
      <c r="AB207" s="180"/>
      <c r="AC207" s="182" t="e">
        <f t="shared" si="60"/>
        <v>#N/A</v>
      </c>
      <c r="AD207" s="390"/>
      <c r="AE207" s="182"/>
      <c r="AF207" s="180"/>
      <c r="AG207" s="180"/>
      <c r="AH207" s="182" t="e">
        <f t="shared" si="61"/>
        <v>#N/A</v>
      </c>
      <c r="AI207" s="390"/>
      <c r="AJ207" s="182"/>
      <c r="AK207" s="180"/>
      <c r="AL207" s="180"/>
      <c r="AM207" s="182" t="e">
        <f t="shared" si="62"/>
        <v>#N/A</v>
      </c>
      <c r="AN207" s="390"/>
      <c r="AO207" s="182"/>
      <c r="AP207" s="180"/>
      <c r="AQ207" s="180"/>
      <c r="AR207" s="182" t="e">
        <f t="shared" si="63"/>
        <v>#N/A</v>
      </c>
      <c r="AS207" s="390"/>
      <c r="AT207" s="182"/>
      <c r="AU207" s="180"/>
      <c r="AV207" s="180"/>
      <c r="AW207" s="182" t="e">
        <f t="shared" si="64"/>
        <v>#N/A</v>
      </c>
      <c r="AX207" s="390"/>
      <c r="AZ207" s="182" t="e">
        <f t="shared" si="65"/>
        <v>#N/A</v>
      </c>
      <c r="BA207" s="390"/>
    </row>
    <row r="208" spans="2:53">
      <c r="B208" s="395"/>
      <c r="C208" s="182">
        <v>27</v>
      </c>
      <c r="D208" s="203"/>
      <c r="E208" s="166"/>
      <c r="F208" s="182"/>
      <c r="G208" s="180"/>
      <c r="H208" s="402"/>
      <c r="I208" s="166" t="str">
        <f t="shared" si="55"/>
        <v>-</v>
      </c>
      <c r="J208" s="166" t="str">
        <f t="shared" si="56"/>
        <v>-</v>
      </c>
      <c r="K208" s="180" t="str">
        <f t="shared" si="57"/>
        <v>-</v>
      </c>
      <c r="L208" s="402"/>
      <c r="M208" s="166" t="e">
        <f>RANK(K208, K$147:$K$176)</f>
        <v>#VALUE!</v>
      </c>
      <c r="N208" s="389"/>
      <c r="O208" s="389"/>
      <c r="P208" s="182"/>
      <c r="Q208" s="180"/>
      <c r="R208" s="180"/>
      <c r="S208" s="182" t="e">
        <f t="shared" si="58"/>
        <v>#N/A</v>
      </c>
      <c r="T208" s="390"/>
      <c r="U208" s="182"/>
      <c r="V208" s="180"/>
      <c r="W208" s="180"/>
      <c r="X208" s="182" t="e">
        <f t="shared" si="59"/>
        <v>#N/A</v>
      </c>
      <c r="Y208" s="390"/>
      <c r="Z208" s="182"/>
      <c r="AA208" s="180"/>
      <c r="AB208" s="180"/>
      <c r="AC208" s="182" t="e">
        <f t="shared" si="60"/>
        <v>#N/A</v>
      </c>
      <c r="AD208" s="390"/>
      <c r="AE208" s="182"/>
      <c r="AF208" s="180"/>
      <c r="AG208" s="180"/>
      <c r="AH208" s="182" t="e">
        <f t="shared" si="61"/>
        <v>#N/A</v>
      </c>
      <c r="AI208" s="390"/>
      <c r="AJ208" s="182"/>
      <c r="AK208" s="180"/>
      <c r="AL208" s="180"/>
      <c r="AM208" s="182" t="e">
        <f t="shared" si="62"/>
        <v>#N/A</v>
      </c>
      <c r="AN208" s="390"/>
      <c r="AO208" s="182"/>
      <c r="AP208" s="180"/>
      <c r="AQ208" s="180"/>
      <c r="AR208" s="182" t="e">
        <f t="shared" si="63"/>
        <v>#N/A</v>
      </c>
      <c r="AS208" s="390"/>
      <c r="AT208" s="182"/>
      <c r="AU208" s="180"/>
      <c r="AV208" s="180"/>
      <c r="AW208" s="182" t="e">
        <f t="shared" si="64"/>
        <v>#N/A</v>
      </c>
      <c r="AX208" s="390"/>
      <c r="AZ208" s="182" t="e">
        <f t="shared" si="65"/>
        <v>#N/A</v>
      </c>
      <c r="BA208" s="390"/>
    </row>
    <row r="209" spans="2:53">
      <c r="B209" s="395"/>
      <c r="C209" s="182">
        <v>28</v>
      </c>
      <c r="D209" s="203"/>
      <c r="E209" s="166"/>
      <c r="F209" s="182"/>
      <c r="G209" s="180"/>
      <c r="H209" s="402"/>
      <c r="I209" s="166" t="str">
        <f t="shared" si="55"/>
        <v>-</v>
      </c>
      <c r="J209" s="166" t="str">
        <f t="shared" si="56"/>
        <v>-</v>
      </c>
      <c r="K209" s="180" t="str">
        <f t="shared" si="57"/>
        <v>-</v>
      </c>
      <c r="L209" s="402"/>
      <c r="M209" s="166" t="e">
        <f>RANK(K209, K$147:$K$176)</f>
        <v>#VALUE!</v>
      </c>
      <c r="N209" s="389"/>
      <c r="O209" s="389"/>
      <c r="P209" s="182"/>
      <c r="Q209" s="180"/>
      <c r="R209" s="180"/>
      <c r="S209" s="182" t="e">
        <f t="shared" si="58"/>
        <v>#N/A</v>
      </c>
      <c r="T209" s="390"/>
      <c r="U209" s="182"/>
      <c r="V209" s="180"/>
      <c r="W209" s="180"/>
      <c r="X209" s="182" t="e">
        <f t="shared" si="59"/>
        <v>#N/A</v>
      </c>
      <c r="Y209" s="390"/>
      <c r="Z209" s="182"/>
      <c r="AA209" s="180"/>
      <c r="AB209" s="180"/>
      <c r="AC209" s="182" t="e">
        <f t="shared" si="60"/>
        <v>#N/A</v>
      </c>
      <c r="AD209" s="390"/>
      <c r="AE209" s="182"/>
      <c r="AF209" s="180"/>
      <c r="AG209" s="180"/>
      <c r="AH209" s="182" t="e">
        <f t="shared" si="61"/>
        <v>#N/A</v>
      </c>
      <c r="AI209" s="390"/>
      <c r="AJ209" s="182"/>
      <c r="AK209" s="180"/>
      <c r="AL209" s="180"/>
      <c r="AM209" s="182" t="e">
        <f t="shared" si="62"/>
        <v>#N/A</v>
      </c>
      <c r="AN209" s="390"/>
      <c r="AO209" s="182"/>
      <c r="AP209" s="180"/>
      <c r="AQ209" s="180"/>
      <c r="AR209" s="182" t="e">
        <f t="shared" si="63"/>
        <v>#N/A</v>
      </c>
      <c r="AS209" s="390"/>
      <c r="AT209" s="182"/>
      <c r="AU209" s="180"/>
      <c r="AV209" s="180"/>
      <c r="AW209" s="182" t="e">
        <f t="shared" si="64"/>
        <v>#N/A</v>
      </c>
      <c r="AX209" s="390"/>
      <c r="AZ209" s="182" t="e">
        <f t="shared" si="65"/>
        <v>#N/A</v>
      </c>
      <c r="BA209" s="390"/>
    </row>
    <row r="210" spans="2:53">
      <c r="B210" s="395"/>
      <c r="C210" s="182">
        <v>29</v>
      </c>
      <c r="D210" s="203"/>
      <c r="E210" s="166"/>
      <c r="F210" s="182"/>
      <c r="G210" s="180"/>
      <c r="H210" s="402"/>
      <c r="I210" s="166" t="str">
        <f t="shared" si="55"/>
        <v>-</v>
      </c>
      <c r="J210" s="166" t="str">
        <f t="shared" si="56"/>
        <v>-</v>
      </c>
      <c r="K210" s="180" t="str">
        <f t="shared" si="57"/>
        <v>-</v>
      </c>
      <c r="L210" s="402"/>
      <c r="M210" s="166" t="e">
        <f>RANK(K210, K$147:$K$176)</f>
        <v>#VALUE!</v>
      </c>
      <c r="N210" s="389"/>
      <c r="O210" s="389"/>
      <c r="P210" s="182"/>
      <c r="Q210" s="182"/>
      <c r="R210" s="182"/>
      <c r="S210" s="182" t="e">
        <f t="shared" si="58"/>
        <v>#N/A</v>
      </c>
      <c r="T210" s="390"/>
      <c r="U210" s="182"/>
      <c r="V210" s="182"/>
      <c r="W210" s="182"/>
      <c r="X210" s="182" t="e">
        <f t="shared" si="59"/>
        <v>#N/A</v>
      </c>
      <c r="Y210" s="390"/>
      <c r="Z210" s="182"/>
      <c r="AA210" s="182"/>
      <c r="AB210" s="182"/>
      <c r="AC210" s="182" t="e">
        <f t="shared" si="60"/>
        <v>#N/A</v>
      </c>
      <c r="AD210" s="390"/>
      <c r="AE210" s="182"/>
      <c r="AF210" s="182"/>
      <c r="AG210" s="182"/>
      <c r="AH210" s="182" t="e">
        <f t="shared" si="61"/>
        <v>#N/A</v>
      </c>
      <c r="AI210" s="390"/>
      <c r="AJ210" s="182"/>
      <c r="AK210" s="182"/>
      <c r="AL210" s="182"/>
      <c r="AM210" s="182" t="e">
        <f t="shared" si="62"/>
        <v>#N/A</v>
      </c>
      <c r="AN210" s="390"/>
      <c r="AO210" s="182"/>
      <c r="AP210" s="182"/>
      <c r="AQ210" s="182"/>
      <c r="AR210" s="182" t="e">
        <f t="shared" si="63"/>
        <v>#N/A</v>
      </c>
      <c r="AS210" s="390"/>
      <c r="AT210" s="182"/>
      <c r="AU210" s="182"/>
      <c r="AV210" s="182"/>
      <c r="AW210" s="182" t="e">
        <f t="shared" si="64"/>
        <v>#N/A</v>
      </c>
      <c r="AX210" s="390"/>
      <c r="AZ210" s="182" t="e">
        <f t="shared" si="65"/>
        <v>#N/A</v>
      </c>
      <c r="BA210" s="390"/>
    </row>
    <row r="211" spans="2:53">
      <c r="B211" s="395"/>
      <c r="C211" s="182">
        <v>30</v>
      </c>
      <c r="D211" s="203"/>
      <c r="E211" s="166"/>
      <c r="F211" s="182"/>
      <c r="G211" s="180"/>
      <c r="H211" s="403"/>
      <c r="I211" s="166" t="str">
        <f t="shared" si="55"/>
        <v>-</v>
      </c>
      <c r="J211" s="166" t="str">
        <f t="shared" si="56"/>
        <v>-</v>
      </c>
      <c r="K211" s="180" t="str">
        <f t="shared" si="57"/>
        <v>-</v>
      </c>
      <c r="L211" s="403"/>
      <c r="M211" s="166" t="e">
        <f>RANK(K211, K$147:$K$176)</f>
        <v>#VALUE!</v>
      </c>
      <c r="N211" s="389"/>
      <c r="O211" s="389"/>
      <c r="P211" s="182"/>
      <c r="Q211" s="182"/>
      <c r="R211" s="182"/>
      <c r="S211" s="182" t="e">
        <f t="shared" si="58"/>
        <v>#N/A</v>
      </c>
      <c r="T211" s="390"/>
      <c r="U211" s="182"/>
      <c r="V211" s="182"/>
      <c r="W211" s="182"/>
      <c r="X211" s="182" t="e">
        <f t="shared" si="59"/>
        <v>#N/A</v>
      </c>
      <c r="Y211" s="390"/>
      <c r="Z211" s="182"/>
      <c r="AA211" s="182"/>
      <c r="AB211" s="182"/>
      <c r="AC211" s="182" t="e">
        <f t="shared" si="60"/>
        <v>#N/A</v>
      </c>
      <c r="AD211" s="390"/>
      <c r="AE211" s="182"/>
      <c r="AF211" s="182"/>
      <c r="AG211" s="182"/>
      <c r="AH211" s="182" t="e">
        <f t="shared" si="61"/>
        <v>#N/A</v>
      </c>
      <c r="AI211" s="390"/>
      <c r="AJ211" s="182"/>
      <c r="AK211" s="182"/>
      <c r="AL211" s="182"/>
      <c r="AM211" s="182" t="e">
        <f t="shared" si="62"/>
        <v>#N/A</v>
      </c>
      <c r="AN211" s="390"/>
      <c r="AO211" s="182"/>
      <c r="AP211" s="182"/>
      <c r="AQ211" s="182"/>
      <c r="AR211" s="182" t="e">
        <f t="shared" si="63"/>
        <v>#N/A</v>
      </c>
      <c r="AS211" s="390"/>
      <c r="AT211" s="182"/>
      <c r="AU211" s="182"/>
      <c r="AV211" s="182"/>
      <c r="AW211" s="182" t="e">
        <f t="shared" si="64"/>
        <v>#N/A</v>
      </c>
      <c r="AX211" s="390"/>
      <c r="AZ211" s="182" t="e">
        <f t="shared" si="65"/>
        <v>#N/A</v>
      </c>
      <c r="BA211" s="390"/>
    </row>
    <row r="213" spans="2:53" ht="15.75">
      <c r="B213" s="397" t="s">
        <v>486</v>
      </c>
      <c r="C213" s="398"/>
      <c r="D213" s="398"/>
      <c r="E213" s="398"/>
      <c r="F213" s="398"/>
      <c r="G213" s="398"/>
      <c r="H213" s="398"/>
      <c r="I213" s="273"/>
      <c r="J213" s="273"/>
      <c r="K213" s="273"/>
      <c r="L213" s="273"/>
      <c r="M213" s="274"/>
    </row>
    <row r="214" spans="2:53" ht="15.75">
      <c r="B214" s="399"/>
      <c r="C214" s="399"/>
      <c r="D214" s="399"/>
      <c r="E214" s="399"/>
      <c r="F214" s="399"/>
      <c r="G214" s="399"/>
      <c r="H214" s="399"/>
      <c r="I214" s="275"/>
      <c r="J214" s="275"/>
      <c r="K214" s="275"/>
      <c r="L214" s="275"/>
      <c r="M214" s="276"/>
    </row>
    <row r="215" spans="2:53">
      <c r="B215" s="389" t="s">
        <v>487</v>
      </c>
      <c r="C215" s="389" t="s">
        <v>488</v>
      </c>
      <c r="D215" s="389"/>
      <c r="E215" s="389" t="s">
        <v>489</v>
      </c>
      <c r="F215" s="389"/>
      <c r="G215" s="389"/>
      <c r="H215" s="389" t="s">
        <v>490</v>
      </c>
      <c r="I215" s="400" t="s">
        <v>491</v>
      </c>
      <c r="J215" s="400"/>
      <c r="K215" s="400"/>
      <c r="L215" s="400" t="s">
        <v>490</v>
      </c>
      <c r="M215" s="400" t="s">
        <v>492</v>
      </c>
    </row>
    <row r="216" spans="2:53">
      <c r="B216" s="389"/>
      <c r="C216" s="389"/>
      <c r="D216" s="389"/>
      <c r="E216" s="389" t="s">
        <v>493</v>
      </c>
      <c r="F216" s="389"/>
      <c r="G216" s="389"/>
      <c r="H216" s="389"/>
      <c r="I216" s="400" t="s">
        <v>493</v>
      </c>
      <c r="J216" s="400"/>
      <c r="K216" s="400"/>
      <c r="L216" s="400"/>
      <c r="M216" s="400"/>
    </row>
    <row r="217" spans="2:53">
      <c r="B217" s="389"/>
      <c r="C217" s="389"/>
      <c r="D217" s="389"/>
      <c r="E217" s="258" t="s">
        <v>494</v>
      </c>
      <c r="F217" s="258" t="s">
        <v>495</v>
      </c>
      <c r="G217" s="258" t="s">
        <v>496</v>
      </c>
      <c r="H217" s="389"/>
      <c r="I217" s="277" t="s">
        <v>494</v>
      </c>
      <c r="J217" s="277" t="s">
        <v>495</v>
      </c>
      <c r="K217" s="277" t="s">
        <v>496</v>
      </c>
      <c r="L217" s="400"/>
      <c r="M217" s="400"/>
    </row>
    <row r="218" spans="2:53">
      <c r="B218" s="389" t="s">
        <v>501</v>
      </c>
      <c r="C218" s="182">
        <v>1</v>
      </c>
      <c r="D218" s="182"/>
      <c r="E218" s="166"/>
      <c r="F218" s="182"/>
      <c r="G218" s="180"/>
      <c r="H218" s="390" t="e">
        <f>AVERAGE(G218:G247)</f>
        <v>#DIV/0!</v>
      </c>
      <c r="I218" s="166" t="e">
        <f t="shared" ref="I218:J241" si="66">AVERAGEIF($D$7:$D$211,$D218,I$7:I$211)</f>
        <v>#DIV/0!</v>
      </c>
      <c r="J218" s="166" t="e">
        <f t="shared" si="66"/>
        <v>#DIV/0!</v>
      </c>
      <c r="K218" s="166" t="e">
        <f t="shared" ref="K218:K241" si="67">AVERAGEIF($D$7:$D$211,$D218,K$7:K$211)</f>
        <v>#DIV/0!</v>
      </c>
      <c r="L218" s="396" t="e">
        <f>AVERAGE(K218:K247)</f>
        <v>#DIV/0!</v>
      </c>
      <c r="M218" s="166" t="e">
        <f>RANK(K218, K$218:$K$247)</f>
        <v>#DIV/0!</v>
      </c>
    </row>
    <row r="219" spans="2:53">
      <c r="B219" s="395"/>
      <c r="C219" s="182">
        <v>2</v>
      </c>
      <c r="D219" s="182"/>
      <c r="E219" s="166"/>
      <c r="F219" s="182"/>
      <c r="G219" s="180"/>
      <c r="H219" s="390"/>
      <c r="I219" s="166" t="e">
        <f t="shared" si="66"/>
        <v>#DIV/0!</v>
      </c>
      <c r="J219" s="166" t="e">
        <f t="shared" si="66"/>
        <v>#DIV/0!</v>
      </c>
      <c r="K219" s="166" t="e">
        <f t="shared" si="67"/>
        <v>#DIV/0!</v>
      </c>
      <c r="L219" s="396"/>
      <c r="M219" s="166" t="e">
        <f>RANK(K219, K$218:$K$247)</f>
        <v>#DIV/0!</v>
      </c>
    </row>
    <row r="220" spans="2:53">
      <c r="B220" s="395"/>
      <c r="C220" s="182">
        <v>3</v>
      </c>
      <c r="D220" s="182"/>
      <c r="E220" s="166"/>
      <c r="F220" s="182"/>
      <c r="G220" s="180"/>
      <c r="H220" s="390"/>
      <c r="I220" s="166" t="e">
        <f t="shared" si="66"/>
        <v>#DIV/0!</v>
      </c>
      <c r="J220" s="166" t="e">
        <f t="shared" si="66"/>
        <v>#DIV/0!</v>
      </c>
      <c r="K220" s="166" t="e">
        <f t="shared" si="67"/>
        <v>#DIV/0!</v>
      </c>
      <c r="L220" s="396"/>
      <c r="M220" s="166" t="e">
        <f>RANK(K220, K$218:$K$247)</f>
        <v>#DIV/0!</v>
      </c>
    </row>
    <row r="221" spans="2:53">
      <c r="B221" s="395"/>
      <c r="C221" s="182">
        <v>4</v>
      </c>
      <c r="D221" s="182"/>
      <c r="E221" s="166"/>
      <c r="F221" s="182"/>
      <c r="G221" s="180"/>
      <c r="H221" s="390"/>
      <c r="I221" s="166" t="e">
        <f t="shared" si="66"/>
        <v>#DIV/0!</v>
      </c>
      <c r="J221" s="166" t="e">
        <f t="shared" si="66"/>
        <v>#DIV/0!</v>
      </c>
      <c r="K221" s="166" t="e">
        <f t="shared" si="67"/>
        <v>#DIV/0!</v>
      </c>
      <c r="L221" s="396"/>
      <c r="M221" s="166" t="e">
        <f>RANK(K221, K$218:$K$247)</f>
        <v>#DIV/0!</v>
      </c>
    </row>
    <row r="222" spans="2:53">
      <c r="B222" s="395"/>
      <c r="C222" s="182">
        <v>5</v>
      </c>
      <c r="D222" s="182"/>
      <c r="E222" s="166"/>
      <c r="F222" s="182"/>
      <c r="G222" s="180"/>
      <c r="H222" s="390"/>
      <c r="I222" s="166" t="e">
        <f t="shared" si="66"/>
        <v>#DIV/0!</v>
      </c>
      <c r="J222" s="166" t="e">
        <f t="shared" si="66"/>
        <v>#DIV/0!</v>
      </c>
      <c r="K222" s="166" t="e">
        <f t="shared" si="67"/>
        <v>#DIV/0!</v>
      </c>
      <c r="L222" s="396"/>
      <c r="M222" s="166" t="e">
        <f>RANK(K222, K$218:$K$247)</f>
        <v>#DIV/0!</v>
      </c>
    </row>
    <row r="223" spans="2:53">
      <c r="B223" s="395"/>
      <c r="C223" s="182">
        <v>6</v>
      </c>
      <c r="D223" s="182"/>
      <c r="E223" s="166"/>
      <c r="F223" s="182"/>
      <c r="G223" s="180"/>
      <c r="H223" s="390"/>
      <c r="I223" s="166" t="e">
        <f t="shared" si="66"/>
        <v>#DIV/0!</v>
      </c>
      <c r="J223" s="166" t="e">
        <f t="shared" si="66"/>
        <v>#DIV/0!</v>
      </c>
      <c r="K223" s="166" t="e">
        <f t="shared" si="67"/>
        <v>#DIV/0!</v>
      </c>
      <c r="L223" s="396"/>
      <c r="M223" s="166" t="e">
        <f>RANK(K223, K$218:$K$247)</f>
        <v>#DIV/0!</v>
      </c>
    </row>
    <row r="224" spans="2:53">
      <c r="B224" s="395"/>
      <c r="C224" s="182">
        <v>7</v>
      </c>
      <c r="D224" s="182"/>
      <c r="E224" s="166"/>
      <c r="F224" s="182"/>
      <c r="G224" s="180"/>
      <c r="H224" s="390"/>
      <c r="I224" s="166" t="e">
        <f t="shared" si="66"/>
        <v>#DIV/0!</v>
      </c>
      <c r="J224" s="166" t="e">
        <f t="shared" si="66"/>
        <v>#DIV/0!</v>
      </c>
      <c r="K224" s="166" t="e">
        <f t="shared" si="67"/>
        <v>#DIV/0!</v>
      </c>
      <c r="L224" s="396"/>
      <c r="M224" s="166" t="e">
        <f>RANK(K224, K$218:$K$247)</f>
        <v>#DIV/0!</v>
      </c>
    </row>
    <row r="225" spans="2:39">
      <c r="B225" s="395"/>
      <c r="C225" s="182">
        <v>8</v>
      </c>
      <c r="D225" s="182"/>
      <c r="E225" s="166"/>
      <c r="F225" s="182"/>
      <c r="G225" s="180"/>
      <c r="H225" s="390"/>
      <c r="I225" s="166" t="e">
        <f t="shared" si="66"/>
        <v>#DIV/0!</v>
      </c>
      <c r="J225" s="166" t="e">
        <f t="shared" si="66"/>
        <v>#DIV/0!</v>
      </c>
      <c r="K225" s="166" t="e">
        <f t="shared" si="67"/>
        <v>#DIV/0!</v>
      </c>
      <c r="L225" s="396"/>
      <c r="M225" s="166" t="e">
        <f>RANK(K225, K$218:$K$247)</f>
        <v>#DIV/0!</v>
      </c>
      <c r="N225" s="103"/>
      <c r="O225" s="103"/>
      <c r="P225" s="103"/>
      <c r="Q225" s="103"/>
      <c r="R225" s="103"/>
      <c r="S225" s="103"/>
      <c r="T225" s="103"/>
      <c r="X225" s="103"/>
      <c r="AC225" s="103"/>
      <c r="AH225" s="103"/>
      <c r="AM225" s="103"/>
    </row>
    <row r="226" spans="2:39">
      <c r="B226" s="395"/>
      <c r="C226" s="182">
        <v>9</v>
      </c>
      <c r="D226" s="182"/>
      <c r="E226" s="166"/>
      <c r="F226" s="182"/>
      <c r="G226" s="180"/>
      <c r="H226" s="390"/>
      <c r="I226" s="166" t="e">
        <f t="shared" si="66"/>
        <v>#DIV/0!</v>
      </c>
      <c r="J226" s="166" t="e">
        <f t="shared" si="66"/>
        <v>#DIV/0!</v>
      </c>
      <c r="K226" s="166" t="e">
        <f t="shared" si="67"/>
        <v>#DIV/0!</v>
      </c>
      <c r="L226" s="396"/>
      <c r="M226" s="166" t="e">
        <f>RANK(K226, K$218:$K$247)</f>
        <v>#DIV/0!</v>
      </c>
      <c r="N226" s="103"/>
      <c r="O226" s="103"/>
      <c r="P226" s="103"/>
      <c r="Q226" s="103"/>
      <c r="R226" s="103"/>
      <c r="S226" s="103"/>
      <c r="T226" s="103"/>
      <c r="X226" s="103"/>
      <c r="AC226" s="103"/>
      <c r="AH226" s="103"/>
      <c r="AM226" s="103"/>
    </row>
    <row r="227" spans="2:39">
      <c r="B227" s="395"/>
      <c r="C227" s="182">
        <v>10</v>
      </c>
      <c r="D227" s="182"/>
      <c r="E227" s="166"/>
      <c r="F227" s="182"/>
      <c r="G227" s="180"/>
      <c r="H227" s="390"/>
      <c r="I227" s="166" t="e">
        <f t="shared" si="66"/>
        <v>#DIV/0!</v>
      </c>
      <c r="J227" s="166" t="e">
        <f t="shared" si="66"/>
        <v>#DIV/0!</v>
      </c>
      <c r="K227" s="166" t="e">
        <f t="shared" si="67"/>
        <v>#DIV/0!</v>
      </c>
      <c r="L227" s="396"/>
      <c r="M227" s="166" t="e">
        <f>RANK(K227, K$218:$K$247)</f>
        <v>#DIV/0!</v>
      </c>
      <c r="N227" s="103"/>
      <c r="O227" s="103"/>
      <c r="P227" s="103"/>
      <c r="Q227" s="103"/>
      <c r="R227" s="103"/>
      <c r="S227" s="103"/>
      <c r="T227" s="103"/>
      <c r="X227" s="103"/>
      <c r="AC227" s="103"/>
      <c r="AH227" s="103"/>
      <c r="AM227" s="103"/>
    </row>
    <row r="228" spans="2:39">
      <c r="B228" s="395"/>
      <c r="C228" s="182">
        <v>11</v>
      </c>
      <c r="D228" s="182"/>
      <c r="E228" s="166"/>
      <c r="F228" s="182"/>
      <c r="G228" s="180"/>
      <c r="H228" s="390"/>
      <c r="I228" s="166" t="e">
        <f t="shared" si="66"/>
        <v>#DIV/0!</v>
      </c>
      <c r="J228" s="166" t="e">
        <f t="shared" si="66"/>
        <v>#DIV/0!</v>
      </c>
      <c r="K228" s="166" t="e">
        <f t="shared" si="67"/>
        <v>#DIV/0!</v>
      </c>
      <c r="L228" s="396"/>
      <c r="M228" s="166" t="e">
        <f>RANK(K228, K$218:$K$247)</f>
        <v>#DIV/0!</v>
      </c>
      <c r="N228" s="103"/>
      <c r="O228" s="103"/>
      <c r="P228" s="103"/>
      <c r="Q228" s="103"/>
      <c r="R228" s="103"/>
      <c r="S228" s="103"/>
      <c r="T228" s="103"/>
      <c r="X228" s="103"/>
      <c r="AC228" s="103"/>
      <c r="AH228" s="103"/>
      <c r="AM228" s="103"/>
    </row>
    <row r="229" spans="2:39">
      <c r="B229" s="395"/>
      <c r="C229" s="182">
        <v>12</v>
      </c>
      <c r="D229" s="182"/>
      <c r="E229" s="166"/>
      <c r="F229" s="182"/>
      <c r="G229" s="180"/>
      <c r="H229" s="390"/>
      <c r="I229" s="166" t="e">
        <f t="shared" si="66"/>
        <v>#DIV/0!</v>
      </c>
      <c r="J229" s="166" t="e">
        <f t="shared" si="66"/>
        <v>#DIV/0!</v>
      </c>
      <c r="K229" s="166" t="e">
        <f t="shared" si="67"/>
        <v>#DIV/0!</v>
      </c>
      <c r="L229" s="396"/>
      <c r="M229" s="166" t="e">
        <f>RANK(K229, K$218:$K$247)</f>
        <v>#DIV/0!</v>
      </c>
      <c r="N229" s="103"/>
      <c r="O229" s="103"/>
      <c r="P229" s="103"/>
      <c r="Q229" s="103"/>
      <c r="R229" s="103"/>
      <c r="S229" s="103"/>
      <c r="T229" s="103"/>
      <c r="X229" s="103"/>
      <c r="AC229" s="103"/>
      <c r="AH229" s="103"/>
      <c r="AM229" s="103"/>
    </row>
    <row r="230" spans="2:39">
      <c r="B230" s="395"/>
      <c r="C230" s="182">
        <v>13</v>
      </c>
      <c r="D230" s="182"/>
      <c r="E230" s="166"/>
      <c r="F230" s="182"/>
      <c r="G230" s="180"/>
      <c r="H230" s="390"/>
      <c r="I230" s="166" t="e">
        <f t="shared" si="66"/>
        <v>#DIV/0!</v>
      </c>
      <c r="J230" s="166" t="e">
        <f t="shared" si="66"/>
        <v>#DIV/0!</v>
      </c>
      <c r="K230" s="166" t="e">
        <f t="shared" si="67"/>
        <v>#DIV/0!</v>
      </c>
      <c r="L230" s="396"/>
      <c r="M230" s="166" t="e">
        <f>RANK(K230, K$218:$K$247)</f>
        <v>#DIV/0!</v>
      </c>
      <c r="N230" s="103"/>
      <c r="O230" s="103"/>
      <c r="P230" s="103"/>
      <c r="Q230" s="103"/>
      <c r="R230" s="103"/>
      <c r="S230" s="103"/>
      <c r="T230" s="103"/>
      <c r="X230" s="103"/>
      <c r="AC230" s="103"/>
      <c r="AH230" s="103"/>
      <c r="AM230" s="103"/>
    </row>
    <row r="231" spans="2:39">
      <c r="B231" s="395"/>
      <c r="C231" s="182">
        <v>14</v>
      </c>
      <c r="D231" s="182"/>
      <c r="E231" s="166"/>
      <c r="F231" s="182"/>
      <c r="G231" s="180"/>
      <c r="H231" s="390"/>
      <c r="I231" s="166" t="e">
        <f t="shared" si="66"/>
        <v>#DIV/0!</v>
      </c>
      <c r="J231" s="166" t="e">
        <f t="shared" si="66"/>
        <v>#DIV/0!</v>
      </c>
      <c r="K231" s="166" t="e">
        <f t="shared" si="67"/>
        <v>#DIV/0!</v>
      </c>
      <c r="L231" s="396"/>
      <c r="M231" s="166" t="e">
        <f>RANK(K231, K$218:$K$247)</f>
        <v>#DIV/0!</v>
      </c>
      <c r="N231" s="103"/>
      <c r="O231" s="103"/>
      <c r="P231" s="103"/>
      <c r="Q231" s="103"/>
      <c r="R231" s="103"/>
      <c r="S231" s="103"/>
      <c r="T231" s="103"/>
      <c r="X231" s="103"/>
      <c r="AC231" s="103"/>
      <c r="AH231" s="103"/>
      <c r="AM231" s="103"/>
    </row>
    <row r="232" spans="2:39">
      <c r="B232" s="395"/>
      <c r="C232" s="182">
        <v>15</v>
      </c>
      <c r="D232" s="182"/>
      <c r="E232" s="166"/>
      <c r="F232" s="182"/>
      <c r="G232" s="180"/>
      <c r="H232" s="390"/>
      <c r="I232" s="166" t="e">
        <f t="shared" si="66"/>
        <v>#DIV/0!</v>
      </c>
      <c r="J232" s="166" t="e">
        <f t="shared" si="66"/>
        <v>#DIV/0!</v>
      </c>
      <c r="K232" s="166" t="e">
        <f t="shared" si="67"/>
        <v>#DIV/0!</v>
      </c>
      <c r="L232" s="396"/>
      <c r="M232" s="166" t="e">
        <f>RANK(K232, K$218:$K$247)</f>
        <v>#DIV/0!</v>
      </c>
      <c r="N232" s="103"/>
      <c r="O232" s="103"/>
      <c r="P232" s="103"/>
      <c r="Q232" s="103"/>
      <c r="R232" s="103"/>
      <c r="S232" s="103"/>
      <c r="T232" s="103"/>
      <c r="X232" s="103"/>
      <c r="AC232" s="103"/>
      <c r="AH232" s="103"/>
      <c r="AM232" s="103"/>
    </row>
    <row r="233" spans="2:39">
      <c r="B233" s="395"/>
      <c r="C233" s="182">
        <v>16</v>
      </c>
      <c r="D233" s="182"/>
      <c r="E233" s="166"/>
      <c r="F233" s="182"/>
      <c r="G233" s="180"/>
      <c r="H233" s="390"/>
      <c r="I233" s="166" t="e">
        <f t="shared" si="66"/>
        <v>#DIV/0!</v>
      </c>
      <c r="J233" s="166" t="e">
        <f t="shared" si="66"/>
        <v>#DIV/0!</v>
      </c>
      <c r="K233" s="166" t="e">
        <f t="shared" si="67"/>
        <v>#DIV/0!</v>
      </c>
      <c r="L233" s="396"/>
      <c r="M233" s="166" t="e">
        <f>RANK(K233, K$218:$K$247)</f>
        <v>#DIV/0!</v>
      </c>
      <c r="N233" s="103"/>
      <c r="O233" s="103"/>
      <c r="P233" s="103"/>
      <c r="Q233" s="103"/>
      <c r="R233" s="103"/>
      <c r="S233" s="103"/>
      <c r="T233" s="103"/>
      <c r="X233" s="103"/>
      <c r="AC233" s="103"/>
      <c r="AH233" s="103"/>
      <c r="AM233" s="103"/>
    </row>
    <row r="234" spans="2:39">
      <c r="B234" s="395"/>
      <c r="C234" s="182">
        <v>17</v>
      </c>
      <c r="D234" s="182"/>
      <c r="E234" s="166"/>
      <c r="F234" s="182"/>
      <c r="G234" s="180"/>
      <c r="H234" s="390"/>
      <c r="I234" s="166" t="e">
        <f t="shared" si="66"/>
        <v>#DIV/0!</v>
      </c>
      <c r="J234" s="166" t="e">
        <f t="shared" si="66"/>
        <v>#DIV/0!</v>
      </c>
      <c r="K234" s="166" t="e">
        <f t="shared" si="67"/>
        <v>#DIV/0!</v>
      </c>
      <c r="L234" s="396"/>
      <c r="M234" s="166" t="e">
        <f>RANK(K234, K$218:$K$247)</f>
        <v>#DIV/0!</v>
      </c>
      <c r="N234" s="103"/>
      <c r="O234" s="103"/>
      <c r="P234" s="103"/>
      <c r="Q234" s="103"/>
      <c r="R234" s="103"/>
      <c r="S234" s="103"/>
      <c r="T234" s="103"/>
      <c r="X234" s="103"/>
      <c r="AC234" s="103"/>
      <c r="AH234" s="103"/>
      <c r="AM234" s="103"/>
    </row>
    <row r="235" spans="2:39">
      <c r="B235" s="395"/>
      <c r="C235" s="182">
        <v>18</v>
      </c>
      <c r="D235" s="182"/>
      <c r="E235" s="166"/>
      <c r="F235" s="182"/>
      <c r="G235" s="180"/>
      <c r="H235" s="390"/>
      <c r="I235" s="166" t="e">
        <f t="shared" si="66"/>
        <v>#DIV/0!</v>
      </c>
      <c r="J235" s="166" t="e">
        <f t="shared" si="66"/>
        <v>#DIV/0!</v>
      </c>
      <c r="K235" s="166" t="e">
        <f t="shared" si="67"/>
        <v>#DIV/0!</v>
      </c>
      <c r="L235" s="396"/>
      <c r="M235" s="166" t="e">
        <f>RANK(K235, K$218:$K$247)</f>
        <v>#DIV/0!</v>
      </c>
      <c r="N235" s="103"/>
      <c r="O235" s="103"/>
      <c r="P235" s="103"/>
      <c r="Q235" s="103"/>
      <c r="R235" s="103"/>
      <c r="S235" s="103"/>
      <c r="T235" s="103"/>
      <c r="X235" s="103"/>
      <c r="AC235" s="103"/>
      <c r="AH235" s="103"/>
      <c r="AM235" s="103"/>
    </row>
    <row r="236" spans="2:39">
      <c r="B236" s="395"/>
      <c r="C236" s="182">
        <v>19</v>
      </c>
      <c r="D236" s="182"/>
      <c r="E236" s="166"/>
      <c r="F236" s="182"/>
      <c r="G236" s="180"/>
      <c r="H236" s="390"/>
      <c r="I236" s="166" t="e">
        <f t="shared" si="66"/>
        <v>#DIV/0!</v>
      </c>
      <c r="J236" s="166" t="e">
        <f t="shared" si="66"/>
        <v>#DIV/0!</v>
      </c>
      <c r="K236" s="166" t="e">
        <f t="shared" si="67"/>
        <v>#DIV/0!</v>
      </c>
      <c r="L236" s="396"/>
      <c r="M236" s="166" t="e">
        <f>RANK(K236, K$218:$K$247)</f>
        <v>#DIV/0!</v>
      </c>
      <c r="N236" s="103"/>
      <c r="O236" s="103"/>
      <c r="P236" s="103"/>
      <c r="Q236" s="103"/>
      <c r="R236" s="103"/>
      <c r="S236" s="103"/>
      <c r="T236" s="103"/>
      <c r="X236" s="103"/>
      <c r="AC236" s="103"/>
      <c r="AH236" s="103"/>
      <c r="AM236" s="103"/>
    </row>
    <row r="237" spans="2:39">
      <c r="B237" s="395"/>
      <c r="C237" s="182">
        <v>20</v>
      </c>
      <c r="D237" s="182"/>
      <c r="E237" s="166"/>
      <c r="F237" s="182"/>
      <c r="G237" s="180"/>
      <c r="H237" s="390"/>
      <c r="I237" s="166" t="e">
        <f t="shared" si="66"/>
        <v>#DIV/0!</v>
      </c>
      <c r="J237" s="166" t="e">
        <f t="shared" si="66"/>
        <v>#DIV/0!</v>
      </c>
      <c r="K237" s="166" t="e">
        <f t="shared" si="67"/>
        <v>#DIV/0!</v>
      </c>
      <c r="L237" s="396"/>
      <c r="M237" s="166" t="e">
        <f>RANK(K237, K$218:$K$247)</f>
        <v>#DIV/0!</v>
      </c>
      <c r="N237" s="103"/>
      <c r="O237" s="103"/>
      <c r="P237" s="103"/>
      <c r="Q237" s="103"/>
      <c r="R237" s="103"/>
      <c r="S237" s="103"/>
      <c r="T237" s="103"/>
      <c r="X237" s="103"/>
      <c r="AC237" s="103"/>
      <c r="AH237" s="103"/>
      <c r="AM237" s="103"/>
    </row>
    <row r="238" spans="2:39">
      <c r="B238" s="395"/>
      <c r="C238" s="182">
        <v>21</v>
      </c>
      <c r="D238" s="182"/>
      <c r="E238" s="166"/>
      <c r="F238" s="182"/>
      <c r="G238" s="180"/>
      <c r="H238" s="390"/>
      <c r="I238" s="166" t="e">
        <f t="shared" si="66"/>
        <v>#DIV/0!</v>
      </c>
      <c r="J238" s="166" t="e">
        <f t="shared" si="66"/>
        <v>#DIV/0!</v>
      </c>
      <c r="K238" s="166" t="e">
        <f t="shared" si="67"/>
        <v>#DIV/0!</v>
      </c>
      <c r="L238" s="396"/>
      <c r="M238" s="166" t="e">
        <f>RANK(K238, K$218:$K$247)</f>
        <v>#DIV/0!</v>
      </c>
      <c r="N238" s="103"/>
      <c r="O238" s="103"/>
      <c r="P238" s="103"/>
      <c r="Q238" s="103"/>
      <c r="R238" s="103"/>
      <c r="S238" s="103"/>
      <c r="T238" s="103"/>
      <c r="X238" s="103"/>
      <c r="AC238" s="103"/>
      <c r="AH238" s="103"/>
      <c r="AM238" s="103"/>
    </row>
    <row r="239" spans="2:39">
      <c r="B239" s="395"/>
      <c r="C239" s="182">
        <v>22</v>
      </c>
      <c r="D239" s="182"/>
      <c r="E239" s="166"/>
      <c r="F239" s="182"/>
      <c r="G239" s="180"/>
      <c r="H239" s="390"/>
      <c r="I239" s="166" t="e">
        <f t="shared" si="66"/>
        <v>#DIV/0!</v>
      </c>
      <c r="J239" s="166" t="e">
        <f t="shared" si="66"/>
        <v>#DIV/0!</v>
      </c>
      <c r="K239" s="166" t="e">
        <f t="shared" si="67"/>
        <v>#DIV/0!</v>
      </c>
      <c r="L239" s="396"/>
      <c r="M239" s="166" t="e">
        <f>RANK(K239, K$218:$K$247)</f>
        <v>#DIV/0!</v>
      </c>
      <c r="N239" s="103"/>
      <c r="O239" s="103"/>
      <c r="P239" s="103"/>
      <c r="Q239" s="103"/>
      <c r="R239" s="103"/>
      <c r="S239" s="103"/>
      <c r="T239" s="103"/>
      <c r="X239" s="103"/>
      <c r="AC239" s="103"/>
      <c r="AH239" s="103"/>
      <c r="AM239" s="103"/>
    </row>
    <row r="240" spans="2:39">
      <c r="B240" s="395"/>
      <c r="C240" s="182">
        <v>23</v>
      </c>
      <c r="D240" s="182"/>
      <c r="E240" s="166"/>
      <c r="F240" s="182"/>
      <c r="G240" s="180"/>
      <c r="H240" s="390"/>
      <c r="I240" s="166" t="e">
        <f t="shared" si="66"/>
        <v>#DIV/0!</v>
      </c>
      <c r="J240" s="166" t="e">
        <f t="shared" si="66"/>
        <v>#DIV/0!</v>
      </c>
      <c r="K240" s="166" t="e">
        <f t="shared" si="67"/>
        <v>#DIV/0!</v>
      </c>
      <c r="L240" s="396"/>
      <c r="M240" s="166" t="e">
        <f>RANK(K240, K$218:$K$247)</f>
        <v>#DIV/0!</v>
      </c>
      <c r="N240" s="103"/>
      <c r="O240" s="103"/>
      <c r="P240" s="103"/>
      <c r="Q240" s="103"/>
      <c r="R240" s="103"/>
      <c r="S240" s="103"/>
      <c r="T240" s="103"/>
      <c r="X240" s="103"/>
      <c r="AC240" s="103"/>
      <c r="AH240" s="103"/>
      <c r="AM240" s="103"/>
    </row>
    <row r="241" spans="2:39">
      <c r="B241" s="395"/>
      <c r="C241" s="182">
        <v>24</v>
      </c>
      <c r="D241" s="182"/>
      <c r="E241" s="166"/>
      <c r="F241" s="182"/>
      <c r="G241" s="180"/>
      <c r="H241" s="390"/>
      <c r="I241" s="166" t="e">
        <f t="shared" si="66"/>
        <v>#DIV/0!</v>
      </c>
      <c r="J241" s="166" t="e">
        <f t="shared" si="66"/>
        <v>#DIV/0!</v>
      </c>
      <c r="K241" s="166" t="e">
        <f t="shared" si="67"/>
        <v>#DIV/0!</v>
      </c>
      <c r="L241" s="396"/>
      <c r="M241" s="166" t="e">
        <f>RANK(K241, K$218:$K$247)</f>
        <v>#DIV/0!</v>
      </c>
      <c r="N241" s="103"/>
      <c r="O241" s="103"/>
      <c r="P241" s="103"/>
      <c r="Q241" s="103"/>
      <c r="R241" s="103"/>
      <c r="S241" s="103"/>
      <c r="T241" s="103"/>
      <c r="X241" s="103"/>
      <c r="AC241" s="103"/>
      <c r="AH241" s="103"/>
      <c r="AM241" s="103"/>
    </row>
    <row r="242" spans="2:39">
      <c r="B242" s="395"/>
      <c r="C242" s="182">
        <v>25</v>
      </c>
      <c r="D242" s="182"/>
      <c r="E242" s="166"/>
      <c r="F242" s="182"/>
      <c r="G242" s="180"/>
      <c r="H242" s="390"/>
      <c r="I242" s="166"/>
      <c r="J242" s="166"/>
      <c r="K242" s="166"/>
      <c r="L242" s="396"/>
      <c r="M242" s="166" t="e">
        <f>RANK(K242, K$218:$K$247)</f>
        <v>#DIV/0!</v>
      </c>
      <c r="N242" s="103"/>
      <c r="O242" s="103"/>
      <c r="P242" s="103"/>
      <c r="Q242" s="103"/>
      <c r="R242" s="103"/>
      <c r="S242" s="103"/>
      <c r="T242" s="103"/>
      <c r="X242" s="103"/>
      <c r="AC242" s="103"/>
      <c r="AH242" s="103"/>
      <c r="AM242" s="103"/>
    </row>
    <row r="243" spans="2:39">
      <c r="B243" s="395"/>
      <c r="C243" s="182">
        <v>26</v>
      </c>
      <c r="D243" s="182"/>
      <c r="E243" s="166"/>
      <c r="F243" s="182"/>
      <c r="G243" s="180"/>
      <c r="H243" s="390"/>
      <c r="I243" s="166"/>
      <c r="J243" s="166"/>
      <c r="K243" s="166"/>
      <c r="L243" s="396"/>
      <c r="M243" s="166" t="e">
        <f>RANK(K243, K$218:$K$247)</f>
        <v>#DIV/0!</v>
      </c>
      <c r="N243" s="103"/>
      <c r="O243" s="103"/>
      <c r="P243" s="103"/>
      <c r="Q243" s="103"/>
      <c r="R243" s="103"/>
      <c r="S243" s="103"/>
      <c r="T243" s="103"/>
      <c r="X243" s="103"/>
      <c r="AC243" s="103"/>
      <c r="AH243" s="103"/>
      <c r="AM243" s="103"/>
    </row>
    <row r="244" spans="2:39">
      <c r="B244" s="395"/>
      <c r="C244" s="182">
        <v>27</v>
      </c>
      <c r="D244" s="182"/>
      <c r="E244" s="166"/>
      <c r="F244" s="182"/>
      <c r="G244" s="180"/>
      <c r="H244" s="390"/>
      <c r="I244" s="166"/>
      <c r="J244" s="166"/>
      <c r="K244" s="166"/>
      <c r="L244" s="396"/>
      <c r="M244" s="166" t="e">
        <f>RANK(K244, K$218:$K$247)</f>
        <v>#DIV/0!</v>
      </c>
      <c r="N244" s="103"/>
      <c r="O244" s="103"/>
      <c r="P244" s="103"/>
      <c r="Q244" s="103"/>
      <c r="R244" s="103"/>
      <c r="S244" s="103"/>
      <c r="T244" s="103"/>
      <c r="X244" s="103"/>
      <c r="AC244" s="103"/>
      <c r="AH244" s="103"/>
      <c r="AM244" s="103"/>
    </row>
    <row r="245" spans="2:39">
      <c r="B245" s="395"/>
      <c r="C245" s="182">
        <v>28</v>
      </c>
      <c r="D245" s="182"/>
      <c r="E245" s="166"/>
      <c r="F245" s="182"/>
      <c r="G245" s="180"/>
      <c r="H245" s="390"/>
      <c r="I245" s="166"/>
      <c r="J245" s="166"/>
      <c r="K245" s="166"/>
      <c r="L245" s="396"/>
      <c r="M245" s="166" t="e">
        <f>RANK(K245, K$218:$K$247)</f>
        <v>#DIV/0!</v>
      </c>
      <c r="N245" s="103"/>
      <c r="O245" s="103"/>
      <c r="P245" s="103"/>
      <c r="Q245" s="103"/>
      <c r="R245" s="103"/>
      <c r="S245" s="103"/>
      <c r="T245" s="103"/>
      <c r="X245" s="103"/>
      <c r="AC245" s="103"/>
      <c r="AH245" s="103"/>
      <c r="AM245" s="103"/>
    </row>
    <row r="246" spans="2:39">
      <c r="B246" s="395"/>
      <c r="C246" s="182">
        <v>29</v>
      </c>
      <c r="D246" s="182"/>
      <c r="E246" s="166"/>
      <c r="F246" s="182"/>
      <c r="G246" s="180"/>
      <c r="H246" s="390"/>
      <c r="I246" s="166"/>
      <c r="J246" s="166"/>
      <c r="K246" s="166"/>
      <c r="L246" s="396"/>
      <c r="M246" s="166" t="e">
        <f>RANK(K246, K$218:$K$247)</f>
        <v>#DIV/0!</v>
      </c>
      <c r="N246" s="103"/>
      <c r="O246" s="103"/>
      <c r="P246" s="103"/>
      <c r="Q246" s="103"/>
      <c r="R246" s="103"/>
      <c r="S246" s="103"/>
      <c r="T246" s="103"/>
      <c r="X246" s="103"/>
      <c r="AC246" s="103"/>
      <c r="AH246" s="103"/>
      <c r="AM246" s="103"/>
    </row>
    <row r="247" spans="2:39">
      <c r="B247" s="395"/>
      <c r="C247" s="182">
        <v>30</v>
      </c>
      <c r="D247" s="182"/>
      <c r="E247" s="166"/>
      <c r="F247" s="182"/>
      <c r="G247" s="180"/>
      <c r="H247" s="390"/>
      <c r="I247" s="166"/>
      <c r="J247" s="166"/>
      <c r="K247" s="166"/>
      <c r="L247" s="396"/>
      <c r="M247" s="166" t="e">
        <f>RANK(K247, K$218:$K$247)</f>
        <v>#DIV/0!</v>
      </c>
      <c r="N247" s="103"/>
      <c r="O247" s="103"/>
      <c r="P247" s="103"/>
      <c r="Q247" s="103"/>
      <c r="R247" s="103"/>
      <c r="S247" s="103"/>
      <c r="T247" s="103"/>
      <c r="X247" s="103"/>
      <c r="AC247" s="103"/>
      <c r="AH247" s="103"/>
      <c r="AM247" s="103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BA142"/>
  <sheetViews>
    <sheetView topLeftCell="A54" zoomScale="55" zoomScaleNormal="55" workbookViewId="0">
      <pane xSplit="15" topLeftCell="P1" activePane="topRight" state="frozen"/>
      <selection activeCell="I107" activeCellId="2" sqref="I67:K81 I87:K101 I107:K121"/>
      <selection pane="topRight" activeCell="T87" sqref="S87:T101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51" width="8.85546875" style="103"/>
    <col min="52" max="52" width="5.42578125" style="103" customWidth="1"/>
    <col min="53" max="53" width="13.140625" style="103" customWidth="1"/>
    <col min="54" max="16384" width="8.85546875" style="103"/>
  </cols>
  <sheetData>
    <row r="1" spans="1:53" ht="24">
      <c r="A1" s="74"/>
      <c r="B1" s="198" t="s">
        <v>314</v>
      </c>
      <c r="C1" s="197">
        <f>AVERAGE(L7,L27,L47,L67,L87,L107)</f>
        <v>72.830724924037057</v>
      </c>
    </row>
    <row r="2" spans="1:53" ht="15.75">
      <c r="A2" s="79"/>
      <c r="B2" s="414" t="s">
        <v>163</v>
      </c>
      <c r="C2" s="414"/>
      <c r="D2" s="414"/>
      <c r="E2" s="414"/>
      <c r="F2" s="414"/>
      <c r="G2" s="414"/>
      <c r="H2" s="414"/>
      <c r="I2" s="183"/>
      <c r="J2" s="183"/>
      <c r="K2" s="183"/>
      <c r="L2" s="183"/>
      <c r="M2" s="178"/>
      <c r="N2" s="391" t="s">
        <v>156</v>
      </c>
      <c r="O2" s="391" t="s">
        <v>155</v>
      </c>
      <c r="P2" s="421">
        <v>46140</v>
      </c>
      <c r="Q2" s="422"/>
      <c r="R2" s="422"/>
      <c r="S2" s="422"/>
      <c r="T2" s="423"/>
      <c r="U2" s="413">
        <f>P2+1</f>
        <v>46141</v>
      </c>
      <c r="V2" s="395"/>
      <c r="W2" s="395"/>
      <c r="X2" s="395"/>
      <c r="Y2" s="395"/>
      <c r="Z2" s="413">
        <f>U2+1</f>
        <v>46142</v>
      </c>
      <c r="AA2" s="395"/>
      <c r="AB2" s="395"/>
      <c r="AC2" s="395"/>
      <c r="AD2" s="395"/>
      <c r="AE2" s="413">
        <f>Z2+1</f>
        <v>46143</v>
      </c>
      <c r="AF2" s="395"/>
      <c r="AG2" s="395"/>
      <c r="AH2" s="395"/>
      <c r="AI2" s="395"/>
      <c r="AJ2" s="413">
        <f>AE2+1</f>
        <v>46144</v>
      </c>
      <c r="AK2" s="395"/>
      <c r="AL2" s="395"/>
      <c r="AM2" s="395"/>
      <c r="AN2" s="395"/>
      <c r="AO2" s="413">
        <f>AJ2+1</f>
        <v>46145</v>
      </c>
      <c r="AP2" s="395"/>
      <c r="AQ2" s="395"/>
      <c r="AR2" s="395"/>
      <c r="AS2" s="395"/>
      <c r="AT2" s="410">
        <f>AO2+1</f>
        <v>46146</v>
      </c>
      <c r="AU2" s="411"/>
      <c r="AV2" s="411"/>
      <c r="AW2" s="411"/>
      <c r="AX2" s="412"/>
    </row>
    <row r="3" spans="1:53" ht="15.75">
      <c r="A3" s="79"/>
      <c r="B3" s="420"/>
      <c r="C3" s="420"/>
      <c r="D3" s="420"/>
      <c r="E3" s="420"/>
      <c r="F3" s="420"/>
      <c r="G3" s="420"/>
      <c r="H3" s="420"/>
      <c r="I3" s="184"/>
      <c r="J3" s="184"/>
      <c r="K3" s="184"/>
      <c r="L3" s="184"/>
      <c r="M3" s="179"/>
      <c r="N3" s="393"/>
      <c r="O3" s="393"/>
      <c r="P3" s="410" t="s">
        <v>158</v>
      </c>
      <c r="Q3" s="411"/>
      <c r="R3" s="411"/>
      <c r="S3" s="411"/>
      <c r="T3" s="412"/>
      <c r="U3" s="410" t="s">
        <v>114</v>
      </c>
      <c r="V3" s="411"/>
      <c r="W3" s="411"/>
      <c r="X3" s="411"/>
      <c r="Y3" s="412"/>
      <c r="Z3" s="410" t="s">
        <v>159</v>
      </c>
      <c r="AA3" s="411"/>
      <c r="AB3" s="411"/>
      <c r="AC3" s="411"/>
      <c r="AD3" s="412"/>
      <c r="AE3" s="410" t="s">
        <v>157</v>
      </c>
      <c r="AF3" s="411"/>
      <c r="AG3" s="411"/>
      <c r="AH3" s="411"/>
      <c r="AI3" s="412"/>
      <c r="AJ3" s="410" t="s">
        <v>160</v>
      </c>
      <c r="AK3" s="411"/>
      <c r="AL3" s="411"/>
      <c r="AM3" s="411"/>
      <c r="AN3" s="412"/>
      <c r="AO3" s="410" t="s">
        <v>161</v>
      </c>
      <c r="AP3" s="411"/>
      <c r="AQ3" s="411"/>
      <c r="AR3" s="411"/>
      <c r="AS3" s="412"/>
      <c r="AT3" s="410" t="s">
        <v>162</v>
      </c>
      <c r="AU3" s="411"/>
      <c r="AV3" s="411"/>
      <c r="AW3" s="411"/>
      <c r="AX3" s="412"/>
    </row>
    <row r="4" spans="1:53" ht="14.25">
      <c r="A4" s="79"/>
      <c r="B4" s="389" t="s">
        <v>154</v>
      </c>
      <c r="C4" s="389" t="s">
        <v>386</v>
      </c>
      <c r="D4" s="389"/>
      <c r="E4" s="389" t="s">
        <v>377</v>
      </c>
      <c r="F4" s="389"/>
      <c r="G4" s="389"/>
      <c r="H4" s="417" t="s">
        <v>373</v>
      </c>
      <c r="I4" s="389" t="s">
        <v>378</v>
      </c>
      <c r="J4" s="389"/>
      <c r="K4" s="389"/>
      <c r="L4" s="417" t="s">
        <v>373</v>
      </c>
      <c r="M4" s="391" t="s">
        <v>374</v>
      </c>
      <c r="N4" s="389"/>
      <c r="O4" s="389" t="s">
        <v>379</v>
      </c>
      <c r="P4" s="404" t="s">
        <v>375</v>
      </c>
      <c r="Q4" s="405"/>
      <c r="R4" s="405"/>
      <c r="S4" s="406"/>
      <c r="T4" s="389" t="s">
        <v>373</v>
      </c>
      <c r="U4" s="404" t="s">
        <v>375</v>
      </c>
      <c r="V4" s="405"/>
      <c r="W4" s="405"/>
      <c r="X4" s="406"/>
      <c r="Y4" s="389" t="s">
        <v>373</v>
      </c>
      <c r="Z4" s="404" t="s">
        <v>375</v>
      </c>
      <c r="AA4" s="405"/>
      <c r="AB4" s="405"/>
      <c r="AC4" s="406"/>
      <c r="AD4" s="389" t="s">
        <v>373</v>
      </c>
      <c r="AE4" s="404" t="s">
        <v>375</v>
      </c>
      <c r="AF4" s="405"/>
      <c r="AG4" s="405"/>
      <c r="AH4" s="406"/>
      <c r="AI4" s="389" t="s">
        <v>373</v>
      </c>
      <c r="AJ4" s="404" t="s">
        <v>375</v>
      </c>
      <c r="AK4" s="405"/>
      <c r="AL4" s="405"/>
      <c r="AM4" s="406"/>
      <c r="AN4" s="389" t="s">
        <v>373</v>
      </c>
      <c r="AO4" s="404" t="s">
        <v>375</v>
      </c>
      <c r="AP4" s="405"/>
      <c r="AQ4" s="405"/>
      <c r="AR4" s="406"/>
      <c r="AS4" s="389" t="s">
        <v>373</v>
      </c>
      <c r="AT4" s="404" t="s">
        <v>375</v>
      </c>
      <c r="AU4" s="405"/>
      <c r="AV4" s="405"/>
      <c r="AW4" s="406"/>
      <c r="AX4" s="389" t="s">
        <v>373</v>
      </c>
      <c r="BA4" s="389" t="s">
        <v>373</v>
      </c>
    </row>
    <row r="5" spans="1:53" ht="14.25">
      <c r="A5" s="79"/>
      <c r="B5" s="389"/>
      <c r="C5" s="389"/>
      <c r="D5" s="389"/>
      <c r="E5" s="389" t="s">
        <v>380</v>
      </c>
      <c r="F5" s="389"/>
      <c r="G5" s="389"/>
      <c r="H5" s="418"/>
      <c r="I5" s="389" t="s">
        <v>380</v>
      </c>
      <c r="J5" s="389"/>
      <c r="K5" s="389"/>
      <c r="L5" s="418"/>
      <c r="M5" s="392"/>
      <c r="N5" s="389"/>
      <c r="O5" s="389"/>
      <c r="P5" s="404" t="s">
        <v>381</v>
      </c>
      <c r="Q5" s="405"/>
      <c r="R5" s="405"/>
      <c r="S5" s="406"/>
      <c r="T5" s="389"/>
      <c r="U5" s="404" t="s">
        <v>381</v>
      </c>
      <c r="V5" s="405"/>
      <c r="W5" s="405"/>
      <c r="X5" s="406"/>
      <c r="Y5" s="389"/>
      <c r="Z5" s="404" t="s">
        <v>381</v>
      </c>
      <c r="AA5" s="405"/>
      <c r="AB5" s="405"/>
      <c r="AC5" s="406"/>
      <c r="AD5" s="389"/>
      <c r="AE5" s="404" t="s">
        <v>381</v>
      </c>
      <c r="AF5" s="405"/>
      <c r="AG5" s="405"/>
      <c r="AH5" s="406"/>
      <c r="AI5" s="389"/>
      <c r="AJ5" s="404" t="s">
        <v>381</v>
      </c>
      <c r="AK5" s="405"/>
      <c r="AL5" s="405"/>
      <c r="AM5" s="406"/>
      <c r="AN5" s="389"/>
      <c r="AO5" s="404" t="s">
        <v>381</v>
      </c>
      <c r="AP5" s="405"/>
      <c r="AQ5" s="405"/>
      <c r="AR5" s="406"/>
      <c r="AS5" s="389"/>
      <c r="AT5" s="404" t="s">
        <v>381</v>
      </c>
      <c r="AU5" s="405"/>
      <c r="AV5" s="405"/>
      <c r="AW5" s="406"/>
      <c r="AX5" s="389"/>
      <c r="BA5" s="389"/>
    </row>
    <row r="6" spans="1:53" ht="14.25">
      <c r="A6" s="77"/>
      <c r="B6" s="389"/>
      <c r="C6" s="389"/>
      <c r="D6" s="389"/>
      <c r="E6" s="258" t="s">
        <v>382</v>
      </c>
      <c r="F6" s="258" t="s">
        <v>383</v>
      </c>
      <c r="G6" s="258" t="s">
        <v>384</v>
      </c>
      <c r="H6" s="419"/>
      <c r="I6" s="258" t="s">
        <v>382</v>
      </c>
      <c r="J6" s="258" t="s">
        <v>383</v>
      </c>
      <c r="K6" s="258" t="s">
        <v>384</v>
      </c>
      <c r="L6" s="419"/>
      <c r="M6" s="393"/>
      <c r="N6" s="389"/>
      <c r="O6" s="389"/>
      <c r="P6" s="258" t="s">
        <v>382</v>
      </c>
      <c r="Q6" s="258" t="s">
        <v>383</v>
      </c>
      <c r="R6" s="258" t="s">
        <v>384</v>
      </c>
      <c r="S6" s="258" t="s">
        <v>374</v>
      </c>
      <c r="T6" s="389"/>
      <c r="U6" s="258" t="s">
        <v>382</v>
      </c>
      <c r="V6" s="258" t="s">
        <v>383</v>
      </c>
      <c r="W6" s="258" t="s">
        <v>384</v>
      </c>
      <c r="X6" s="258" t="s">
        <v>374</v>
      </c>
      <c r="Y6" s="389"/>
      <c r="Z6" s="258" t="s">
        <v>382</v>
      </c>
      <c r="AA6" s="258" t="s">
        <v>383</v>
      </c>
      <c r="AB6" s="258" t="s">
        <v>384</v>
      </c>
      <c r="AC6" s="258" t="s">
        <v>374</v>
      </c>
      <c r="AD6" s="389"/>
      <c r="AE6" s="258" t="s">
        <v>382</v>
      </c>
      <c r="AF6" s="258" t="s">
        <v>383</v>
      </c>
      <c r="AG6" s="258" t="s">
        <v>384</v>
      </c>
      <c r="AH6" s="258" t="s">
        <v>374</v>
      </c>
      <c r="AI6" s="389"/>
      <c r="AJ6" s="258" t="s">
        <v>382</v>
      </c>
      <c r="AK6" s="258" t="s">
        <v>383</v>
      </c>
      <c r="AL6" s="258" t="s">
        <v>384</v>
      </c>
      <c r="AM6" s="258" t="s">
        <v>374</v>
      </c>
      <c r="AN6" s="389"/>
      <c r="AO6" s="258" t="s">
        <v>382</v>
      </c>
      <c r="AP6" s="258" t="s">
        <v>383</v>
      </c>
      <c r="AQ6" s="258" t="s">
        <v>384</v>
      </c>
      <c r="AR6" s="258" t="s">
        <v>374</v>
      </c>
      <c r="AS6" s="389"/>
      <c r="AT6" s="258" t="s">
        <v>382</v>
      </c>
      <c r="AU6" s="258" t="s">
        <v>383</v>
      </c>
      <c r="AV6" s="258" t="s">
        <v>384</v>
      </c>
      <c r="AW6" s="258" t="s">
        <v>374</v>
      </c>
      <c r="AX6" s="389"/>
      <c r="AZ6" s="258" t="s">
        <v>374</v>
      </c>
      <c r="BA6" s="389"/>
    </row>
    <row r="7" spans="1:53" ht="14.25">
      <c r="A7" s="79"/>
      <c r="B7" s="389" t="s">
        <v>132</v>
      </c>
      <c r="C7" s="182">
        <v>1</v>
      </c>
      <c r="D7" s="203" t="s">
        <v>350</v>
      </c>
      <c r="E7" s="166">
        <v>18</v>
      </c>
      <c r="F7" s="182">
        <v>1440</v>
      </c>
      <c r="G7" s="180">
        <v>80</v>
      </c>
      <c r="H7" s="401">
        <f>AVERAGE(G7:G21)</f>
        <v>80.208333333333329</v>
      </c>
      <c r="I7" s="166">
        <f t="shared" ref="I7:I20" si="0">IFERROR(AVERAGE(P7,U7,Z7,AE7,AJ7,AO7,AT7),"-")</f>
        <v>18</v>
      </c>
      <c r="J7" s="166">
        <f t="shared" ref="J7:J20" si="1">IFERROR(AVERAGE(Q7,V7,AA7,AF7,AK7,AP7,AU7),"-")</f>
        <v>1334.4739616436698</v>
      </c>
      <c r="K7" s="180">
        <f t="shared" ref="K7:K20" si="2">IFERROR(AVERAGE(R7,W7,AB7,AG7,AL7,AQ7,AV7),"-")</f>
        <v>74.137442313537221</v>
      </c>
      <c r="L7" s="401">
        <f>IFERROR(AVERAGE(K7:K21),"-")</f>
        <v>73.404729698098677</v>
      </c>
      <c r="M7" s="181">
        <f>RANK(K7, K$7:$K$21)</f>
        <v>5</v>
      </c>
      <c r="N7" s="389"/>
      <c r="O7" s="389"/>
      <c r="P7" s="182">
        <v>18</v>
      </c>
      <c r="Q7" s="166">
        <v>1343.6307692307689</v>
      </c>
      <c r="R7" s="166">
        <v>74.646153846153823</v>
      </c>
      <c r="S7" s="182">
        <f t="shared" ref="S7:S21" si="3">RANK(R7, R$7:R$21)</f>
        <v>4</v>
      </c>
      <c r="T7" s="390">
        <f t="shared" ref="T7" si="4">AVERAGE(R7:R21)</f>
        <v>73.635611224418639</v>
      </c>
      <c r="U7" s="182">
        <v>18</v>
      </c>
      <c r="V7" s="166">
        <v>1331.3333333333339</v>
      </c>
      <c r="W7" s="166">
        <v>73.96296296296299</v>
      </c>
      <c r="X7" s="182">
        <f t="shared" ref="X7:X21" si="5">RANK(W7, W$7:W$21)</f>
        <v>4</v>
      </c>
      <c r="Y7" s="390">
        <f t="shared" ref="Y7" si="6">AVERAGE(W7:W21)</f>
        <v>72.783904717189714</v>
      </c>
      <c r="Z7" s="182">
        <v>18</v>
      </c>
      <c r="AA7" s="166">
        <v>1296.1643835616442</v>
      </c>
      <c r="AB7" s="166">
        <v>72.009132420091348</v>
      </c>
      <c r="AC7" s="182">
        <f t="shared" ref="AC7:AC21" si="7">RANK(AB7, AB$7:AB$21)</f>
        <v>5</v>
      </c>
      <c r="AD7" s="390">
        <f t="shared" ref="AD7" si="8">AVERAGE(AB7:AB21)</f>
        <v>72.482568976463043</v>
      </c>
      <c r="AE7" s="182">
        <v>18</v>
      </c>
      <c r="AF7" s="166">
        <v>1348.7323943661975</v>
      </c>
      <c r="AG7" s="166">
        <v>74.92957746478875</v>
      </c>
      <c r="AH7" s="182">
        <f t="shared" ref="AH7:AH21" si="9">RANK(AG7, AG$7:AG$21)</f>
        <v>5</v>
      </c>
      <c r="AI7" s="390">
        <f t="shared" ref="AI7" si="10">AVERAGE(AG7:AG21)</f>
        <v>73.384109416998868</v>
      </c>
      <c r="AJ7" s="182">
        <v>18</v>
      </c>
      <c r="AK7" s="166">
        <v>1335.1724137931033</v>
      </c>
      <c r="AL7" s="166">
        <v>74.176245210727956</v>
      </c>
      <c r="AM7" s="182">
        <f t="shared" ref="AM7:AM21" si="11">RANK(AL7, AL$7:AL$21)</f>
        <v>4</v>
      </c>
      <c r="AN7" s="390">
        <f t="shared" ref="AN7" si="12">AVERAGE(AL7:AL21)</f>
        <v>74.223105914127729</v>
      </c>
      <c r="AO7" s="182">
        <v>18</v>
      </c>
      <c r="AP7" s="166">
        <v>1314.6956521739132</v>
      </c>
      <c r="AQ7" s="166">
        <v>73.038647342995176</v>
      </c>
      <c r="AR7" s="182">
        <f t="shared" ref="AR7:AR21" si="13">RANK(AQ7, AQ$7:AQ$21)</f>
        <v>5</v>
      </c>
      <c r="AS7" s="390">
        <f t="shared" ref="AS7" si="14">AVERAGE(AQ7:AQ21)</f>
        <v>74.176462862110341</v>
      </c>
      <c r="AT7" s="182">
        <v>18</v>
      </c>
      <c r="AU7" s="166">
        <v>1371.5887850467288</v>
      </c>
      <c r="AV7" s="166">
        <v>76.199376947040491</v>
      </c>
      <c r="AW7" s="182">
        <f t="shared" ref="AW7:AW21" si="15">RANK(AV7, AV$7:AV$21)</f>
        <v>4</v>
      </c>
      <c r="AX7" s="390">
        <f t="shared" ref="AX7" si="16">AVERAGE(AV7:AV21)</f>
        <v>73.147344775382393</v>
      </c>
      <c r="AZ7" s="182" t="e">
        <f t="shared" ref="AZ7:AZ21" si="17">RANK(AY7, AY$7:AY$21)</f>
        <v>#N/A</v>
      </c>
      <c r="BA7" s="390" t="e">
        <f t="shared" ref="BA7" si="18">AVERAGE(AY7:AY21)</f>
        <v>#DIV/0!</v>
      </c>
    </row>
    <row r="8" spans="1:53" ht="15" customHeight="1">
      <c r="A8" s="79"/>
      <c r="B8" s="395"/>
      <c r="C8" s="182">
        <v>2</v>
      </c>
      <c r="D8" s="203" t="s">
        <v>351</v>
      </c>
      <c r="E8" s="166">
        <v>18</v>
      </c>
      <c r="F8" s="182">
        <v>1440</v>
      </c>
      <c r="G8" s="180">
        <v>80</v>
      </c>
      <c r="H8" s="402"/>
      <c r="I8" s="166">
        <f t="shared" si="0"/>
        <v>18</v>
      </c>
      <c r="J8" s="166">
        <f t="shared" si="1"/>
        <v>1254.7335044849667</v>
      </c>
      <c r="K8" s="180">
        <f t="shared" si="2"/>
        <v>69.707416915831487</v>
      </c>
      <c r="L8" s="402"/>
      <c r="M8" s="181">
        <f>RANK(K8, K$7:$K$21)</f>
        <v>8</v>
      </c>
      <c r="N8" s="389"/>
      <c r="O8" s="389"/>
      <c r="P8" s="182">
        <v>18</v>
      </c>
      <c r="Q8" s="166">
        <v>1257.1428571428585</v>
      </c>
      <c r="R8" s="166">
        <v>69.84126984126992</v>
      </c>
      <c r="S8" s="182">
        <f t="shared" si="3"/>
        <v>8</v>
      </c>
      <c r="T8" s="390"/>
      <c r="U8" s="182">
        <v>18</v>
      </c>
      <c r="V8" s="166">
        <v>1225.5319148936173</v>
      </c>
      <c r="W8" s="166">
        <v>68.085106382978736</v>
      </c>
      <c r="X8" s="182">
        <f t="shared" si="5"/>
        <v>9</v>
      </c>
      <c r="Y8" s="390"/>
      <c r="Z8" s="182">
        <v>18</v>
      </c>
      <c r="AA8" s="166">
        <v>1252.8000000000045</v>
      </c>
      <c r="AB8" s="166">
        <v>69.60000000000025</v>
      </c>
      <c r="AC8" s="182">
        <f t="shared" si="7"/>
        <v>8</v>
      </c>
      <c r="AD8" s="390"/>
      <c r="AE8" s="182">
        <v>18</v>
      </c>
      <c r="AF8" s="166">
        <v>1243.1249999999982</v>
      </c>
      <c r="AG8" s="166">
        <v>69.062499999999901</v>
      </c>
      <c r="AH8" s="182">
        <f t="shared" si="9"/>
        <v>9</v>
      </c>
      <c r="AI8" s="390"/>
      <c r="AJ8" s="182">
        <v>18</v>
      </c>
      <c r="AK8" s="166">
        <v>1267.0588235294103</v>
      </c>
      <c r="AL8" s="166">
        <v>70.392156862745026</v>
      </c>
      <c r="AM8" s="182">
        <f t="shared" si="11"/>
        <v>8</v>
      </c>
      <c r="AN8" s="390"/>
      <c r="AO8" s="182">
        <v>18</v>
      </c>
      <c r="AP8" s="166">
        <v>1275.2941176470595</v>
      </c>
      <c r="AQ8" s="166">
        <v>70.849673202614412</v>
      </c>
      <c r="AR8" s="182">
        <f t="shared" si="13"/>
        <v>8</v>
      </c>
      <c r="AS8" s="390"/>
      <c r="AT8" s="182">
        <v>18</v>
      </c>
      <c r="AU8" s="166">
        <v>1262.1818181818189</v>
      </c>
      <c r="AV8" s="166">
        <v>70.121212121212167</v>
      </c>
      <c r="AW8" s="182">
        <f t="shared" si="15"/>
        <v>7</v>
      </c>
      <c r="AX8" s="390"/>
      <c r="AZ8" s="182" t="e">
        <f t="shared" si="17"/>
        <v>#N/A</v>
      </c>
      <c r="BA8" s="390"/>
    </row>
    <row r="9" spans="1:53" ht="14.25">
      <c r="A9" s="79"/>
      <c r="B9" s="395"/>
      <c r="C9" s="182">
        <v>3</v>
      </c>
      <c r="D9" s="203" t="s">
        <v>352</v>
      </c>
      <c r="E9" s="166">
        <v>17</v>
      </c>
      <c r="F9" s="182">
        <v>1440</v>
      </c>
      <c r="G9" s="180">
        <v>84.7</v>
      </c>
      <c r="H9" s="402"/>
      <c r="I9" s="166">
        <f t="shared" si="0"/>
        <v>17</v>
      </c>
      <c r="J9" s="166">
        <f t="shared" si="1"/>
        <v>1346.8972995546394</v>
      </c>
      <c r="K9" s="180">
        <f t="shared" si="2"/>
        <v>79.229252914978787</v>
      </c>
      <c r="L9" s="402"/>
      <c r="M9" s="181">
        <f>RANK(K9, K$7:$K$21)</f>
        <v>3</v>
      </c>
      <c r="N9" s="389"/>
      <c r="O9" s="389"/>
      <c r="P9" s="182">
        <v>17</v>
      </c>
      <c r="Q9" s="166">
        <v>1368.4999999999993</v>
      </c>
      <c r="R9" s="166">
        <v>80.499999999999957</v>
      </c>
      <c r="S9" s="182">
        <f t="shared" si="3"/>
        <v>3</v>
      </c>
      <c r="T9" s="390"/>
      <c r="U9" s="182">
        <v>17</v>
      </c>
      <c r="V9" s="166">
        <v>1373.6538461538469</v>
      </c>
      <c r="W9" s="166">
        <v>80.803167420814518</v>
      </c>
      <c r="X9" s="182">
        <f t="shared" si="5"/>
        <v>3</v>
      </c>
      <c r="Y9" s="390"/>
      <c r="Z9" s="182">
        <v>17</v>
      </c>
      <c r="AA9" s="166">
        <v>1305.1764705882351</v>
      </c>
      <c r="AB9" s="166">
        <v>76.775086505190302</v>
      </c>
      <c r="AC9" s="182">
        <f t="shared" si="7"/>
        <v>3</v>
      </c>
      <c r="AD9" s="390"/>
      <c r="AE9" s="182">
        <v>17</v>
      </c>
      <c r="AF9" s="166">
        <v>1351.4285714285709</v>
      </c>
      <c r="AG9" s="166">
        <v>79.495798319327704</v>
      </c>
      <c r="AH9" s="182">
        <f t="shared" si="9"/>
        <v>3</v>
      </c>
      <c r="AI9" s="390"/>
      <c r="AJ9" s="182">
        <v>17</v>
      </c>
      <c r="AK9" s="166">
        <v>1349.677419354839</v>
      </c>
      <c r="AL9" s="166">
        <v>79.392789373814054</v>
      </c>
      <c r="AM9" s="182">
        <f t="shared" si="11"/>
        <v>3</v>
      </c>
      <c r="AN9" s="390"/>
      <c r="AO9" s="182">
        <v>17</v>
      </c>
      <c r="AP9" s="166">
        <v>1335.4545454545455</v>
      </c>
      <c r="AQ9" s="166">
        <v>78.556149732620327</v>
      </c>
      <c r="AR9" s="182">
        <f t="shared" si="13"/>
        <v>3</v>
      </c>
      <c r="AS9" s="390"/>
      <c r="AT9" s="182">
        <v>17</v>
      </c>
      <c r="AU9" s="166">
        <v>1344.3902439024387</v>
      </c>
      <c r="AV9" s="166">
        <v>79.081779053084631</v>
      </c>
      <c r="AW9" s="182">
        <f t="shared" si="15"/>
        <v>3</v>
      </c>
      <c r="AX9" s="390"/>
      <c r="AZ9" s="182" t="e">
        <f t="shared" si="17"/>
        <v>#N/A</v>
      </c>
      <c r="BA9" s="390"/>
    </row>
    <row r="10" spans="1:53" ht="14.25">
      <c r="A10" s="79"/>
      <c r="B10" s="395"/>
      <c r="C10" s="182">
        <v>4</v>
      </c>
      <c r="D10" s="203" t="s">
        <v>353</v>
      </c>
      <c r="E10" s="166">
        <v>17</v>
      </c>
      <c r="F10" s="182">
        <v>1440</v>
      </c>
      <c r="G10" s="180">
        <v>84.7</v>
      </c>
      <c r="H10" s="402"/>
      <c r="I10" s="166">
        <f t="shared" si="0"/>
        <v>17</v>
      </c>
      <c r="J10" s="166">
        <f t="shared" si="1"/>
        <v>1266.6582261638644</v>
      </c>
      <c r="K10" s="180">
        <f t="shared" si="2"/>
        <v>74.50930742140379</v>
      </c>
      <c r="L10" s="402"/>
      <c r="M10" s="181">
        <f>RANK(K10, K$7:$K$21)</f>
        <v>4</v>
      </c>
      <c r="N10" s="389"/>
      <c r="O10" s="389"/>
      <c r="P10" s="182">
        <v>17</v>
      </c>
      <c r="Q10" s="166">
        <v>1250.6666666666667</v>
      </c>
      <c r="R10" s="166">
        <v>73.568627450980401</v>
      </c>
      <c r="S10" s="182">
        <f t="shared" si="3"/>
        <v>5</v>
      </c>
      <c r="T10" s="390"/>
      <c r="U10" s="182">
        <v>17</v>
      </c>
      <c r="V10" s="166">
        <v>1238.9999999999995</v>
      </c>
      <c r="W10" s="166">
        <v>72.88235294117645</v>
      </c>
      <c r="X10" s="182">
        <f t="shared" si="5"/>
        <v>5</v>
      </c>
      <c r="Y10" s="390"/>
      <c r="Z10" s="182">
        <v>17</v>
      </c>
      <c r="AA10" s="166">
        <v>1286.2499999999982</v>
      </c>
      <c r="AB10" s="166">
        <v>75.661764705882248</v>
      </c>
      <c r="AC10" s="182">
        <f t="shared" si="7"/>
        <v>4</v>
      </c>
      <c r="AD10" s="390"/>
      <c r="AE10" s="182">
        <v>17</v>
      </c>
      <c r="AF10" s="166">
        <v>1298.5714285714257</v>
      </c>
      <c r="AG10" s="166">
        <v>76.386554621848575</v>
      </c>
      <c r="AH10" s="182">
        <f t="shared" si="9"/>
        <v>4</v>
      </c>
      <c r="AI10" s="390"/>
      <c r="AJ10" s="182">
        <v>17</v>
      </c>
      <c r="AK10" s="166">
        <v>1240.5405405405395</v>
      </c>
      <c r="AL10" s="166">
        <v>72.972972972972912</v>
      </c>
      <c r="AM10" s="182">
        <f t="shared" si="11"/>
        <v>5</v>
      </c>
      <c r="AN10" s="390"/>
      <c r="AO10" s="182">
        <v>17</v>
      </c>
      <c r="AP10" s="166">
        <v>1291.5789473684201</v>
      </c>
      <c r="AQ10" s="166">
        <v>75.975232198142365</v>
      </c>
      <c r="AR10" s="182">
        <f t="shared" si="13"/>
        <v>4</v>
      </c>
      <c r="AS10" s="390"/>
      <c r="AT10" s="182">
        <v>17</v>
      </c>
      <c r="AU10" s="166">
        <v>1260</v>
      </c>
      <c r="AV10" s="166">
        <v>74.117647058823536</v>
      </c>
      <c r="AW10" s="182">
        <f t="shared" si="15"/>
        <v>5</v>
      </c>
      <c r="AX10" s="390"/>
      <c r="AZ10" s="182" t="e">
        <f t="shared" si="17"/>
        <v>#N/A</v>
      </c>
      <c r="BA10" s="390"/>
    </row>
    <row r="11" spans="1:53" ht="14.25">
      <c r="A11" s="79"/>
      <c r="B11" s="395"/>
      <c r="C11" s="182">
        <v>5</v>
      </c>
      <c r="D11" s="203" t="s">
        <v>354</v>
      </c>
      <c r="E11" s="166">
        <v>21</v>
      </c>
      <c r="F11" s="182">
        <v>1385</v>
      </c>
      <c r="G11" s="180">
        <v>65.900000000000006</v>
      </c>
      <c r="H11" s="402"/>
      <c r="I11" s="166">
        <f t="shared" si="0"/>
        <v>21</v>
      </c>
      <c r="J11" s="166">
        <f t="shared" si="1"/>
        <v>1302.139277288826</v>
      </c>
      <c r="K11" s="180">
        <f t="shared" si="2"/>
        <v>62.006632251848828</v>
      </c>
      <c r="L11" s="402"/>
      <c r="M11" s="181">
        <f>RANK(K11, K$7:$K$21)</f>
        <v>12</v>
      </c>
      <c r="N11" s="389"/>
      <c r="O11" s="389"/>
      <c r="P11" s="182">
        <v>21</v>
      </c>
      <c r="Q11" s="166">
        <v>1303.2203389830502</v>
      </c>
      <c r="R11" s="166">
        <v>62.058111380145249</v>
      </c>
      <c r="S11" s="182">
        <f t="shared" si="3"/>
        <v>12</v>
      </c>
      <c r="T11" s="390"/>
      <c r="U11" s="182">
        <v>21</v>
      </c>
      <c r="V11" s="166">
        <v>1284.3243243243251</v>
      </c>
      <c r="W11" s="166">
        <v>61.158301158301192</v>
      </c>
      <c r="X11" s="182">
        <f t="shared" si="5"/>
        <v>12</v>
      </c>
      <c r="Y11" s="390"/>
      <c r="Z11" s="182">
        <v>21</v>
      </c>
      <c r="AA11" s="166">
        <v>1315.862068965517</v>
      </c>
      <c r="AB11" s="166">
        <v>62.660098522167473</v>
      </c>
      <c r="AC11" s="182">
        <f t="shared" si="7"/>
        <v>11</v>
      </c>
      <c r="AD11" s="390"/>
      <c r="AE11" s="182">
        <v>21</v>
      </c>
      <c r="AF11" s="166">
        <v>1297.1052631578939</v>
      </c>
      <c r="AG11" s="166">
        <v>61.766917293233043</v>
      </c>
      <c r="AH11" s="182">
        <f t="shared" si="9"/>
        <v>12</v>
      </c>
      <c r="AI11" s="390"/>
      <c r="AJ11" s="182">
        <v>21</v>
      </c>
      <c r="AK11" s="166">
        <v>1293.7499999999995</v>
      </c>
      <c r="AL11" s="166">
        <v>61.607142857142833</v>
      </c>
      <c r="AM11" s="182">
        <f t="shared" si="11"/>
        <v>12</v>
      </c>
      <c r="AN11" s="390"/>
      <c r="AO11" s="182">
        <v>21</v>
      </c>
      <c r="AP11" s="166">
        <v>1316.0975609756092</v>
      </c>
      <c r="AQ11" s="166">
        <v>62.671312427409966</v>
      </c>
      <c r="AR11" s="182">
        <f t="shared" si="13"/>
        <v>12</v>
      </c>
      <c r="AS11" s="390"/>
      <c r="AT11" s="182">
        <v>21</v>
      </c>
      <c r="AU11" s="166">
        <v>1304.6153846153841</v>
      </c>
      <c r="AV11" s="166">
        <v>62.124542124542096</v>
      </c>
      <c r="AW11" s="182">
        <f t="shared" si="15"/>
        <v>12</v>
      </c>
      <c r="AX11" s="390"/>
      <c r="AZ11" s="182" t="e">
        <f t="shared" si="17"/>
        <v>#N/A</v>
      </c>
      <c r="BA11" s="390"/>
    </row>
    <row r="12" spans="1:53" ht="14.25">
      <c r="A12" s="79"/>
      <c r="B12" s="395"/>
      <c r="C12" s="182">
        <v>6</v>
      </c>
      <c r="D12" s="203" t="s">
        <v>355</v>
      </c>
      <c r="E12" s="166">
        <v>19</v>
      </c>
      <c r="F12" s="182">
        <v>1440</v>
      </c>
      <c r="G12" s="180">
        <v>75.8</v>
      </c>
      <c r="H12" s="402"/>
      <c r="I12" s="166">
        <f t="shared" si="0"/>
        <v>19</v>
      </c>
      <c r="J12" s="166">
        <f t="shared" si="1"/>
        <v>1348.9671568674091</v>
      </c>
      <c r="K12" s="180">
        <f t="shared" si="2"/>
        <v>70.998271414074154</v>
      </c>
      <c r="L12" s="402"/>
      <c r="M12" s="181">
        <f>RANK(K12, K$7:$K$21)</f>
        <v>6</v>
      </c>
      <c r="N12" s="389"/>
      <c r="O12" s="389"/>
      <c r="P12" s="182">
        <v>19</v>
      </c>
      <c r="Q12" s="166">
        <v>1344.9438202247193</v>
      </c>
      <c r="R12" s="166">
        <v>70.786516853932596</v>
      </c>
      <c r="S12" s="182">
        <f t="shared" si="3"/>
        <v>6</v>
      </c>
      <c r="T12" s="390"/>
      <c r="U12" s="182">
        <v>19</v>
      </c>
      <c r="V12" s="166">
        <v>1360.4819277108429</v>
      </c>
      <c r="W12" s="166">
        <v>71.604311984781205</v>
      </c>
      <c r="X12" s="182">
        <f t="shared" si="5"/>
        <v>6</v>
      </c>
      <c r="Y12" s="390"/>
      <c r="Z12" s="182">
        <v>19</v>
      </c>
      <c r="AA12" s="166">
        <v>1365.4545454545469</v>
      </c>
      <c r="AB12" s="166">
        <v>71.866028708134039</v>
      </c>
      <c r="AC12" s="182">
        <f t="shared" si="7"/>
        <v>6</v>
      </c>
      <c r="AD12" s="390"/>
      <c r="AE12" s="182">
        <v>19</v>
      </c>
      <c r="AF12" s="166">
        <v>1347.4576271186452</v>
      </c>
      <c r="AG12" s="166">
        <v>70.918822479928693</v>
      </c>
      <c r="AH12" s="182">
        <f t="shared" si="9"/>
        <v>7</v>
      </c>
      <c r="AI12" s="390"/>
      <c r="AJ12" s="182">
        <v>19</v>
      </c>
      <c r="AK12" s="166">
        <v>1335.4838709677433</v>
      </c>
      <c r="AL12" s="166">
        <v>70.288624787775959</v>
      </c>
      <c r="AM12" s="182">
        <f t="shared" si="11"/>
        <v>9</v>
      </c>
      <c r="AN12" s="390"/>
      <c r="AO12" s="182">
        <v>19</v>
      </c>
      <c r="AP12" s="166">
        <v>1344.2424242424247</v>
      </c>
      <c r="AQ12" s="166">
        <v>70.749601275917087</v>
      </c>
      <c r="AR12" s="182">
        <f t="shared" si="13"/>
        <v>9</v>
      </c>
      <c r="AS12" s="390"/>
      <c r="AT12" s="182">
        <v>19</v>
      </c>
      <c r="AU12" s="166">
        <v>1344.705882352941</v>
      </c>
      <c r="AV12" s="166">
        <v>70.773993808049525</v>
      </c>
      <c r="AW12" s="182">
        <f t="shared" si="15"/>
        <v>6</v>
      </c>
      <c r="AX12" s="390"/>
      <c r="AZ12" s="182" t="e">
        <f t="shared" si="17"/>
        <v>#N/A</v>
      </c>
      <c r="BA12" s="390"/>
    </row>
    <row r="13" spans="1:53" ht="14.25">
      <c r="A13" s="79"/>
      <c r="B13" s="395"/>
      <c r="C13" s="182">
        <v>7</v>
      </c>
      <c r="D13" s="203" t="s">
        <v>505</v>
      </c>
      <c r="E13" s="166">
        <v>18</v>
      </c>
      <c r="F13" s="182">
        <v>1385</v>
      </c>
      <c r="G13" s="180">
        <v>76.900000000000006</v>
      </c>
      <c r="H13" s="402"/>
      <c r="I13" s="166">
        <f t="shared" si="0"/>
        <v>18</v>
      </c>
      <c r="J13" s="166">
        <f t="shared" si="1"/>
        <v>1266.2144432387017</v>
      </c>
      <c r="K13" s="180">
        <f t="shared" si="2"/>
        <v>70.345246846594549</v>
      </c>
      <c r="L13" s="402"/>
      <c r="M13" s="181">
        <f>RANK(K13, K$7:$K$21)</f>
        <v>7</v>
      </c>
      <c r="N13" s="389"/>
      <c r="O13" s="389"/>
      <c r="P13" s="182">
        <v>18</v>
      </c>
      <c r="Q13" s="166">
        <v>1229.9999999999995</v>
      </c>
      <c r="R13" s="166">
        <v>68.333333333333314</v>
      </c>
      <c r="S13" s="182">
        <f t="shared" si="3"/>
        <v>10</v>
      </c>
      <c r="T13" s="390"/>
      <c r="U13" s="182">
        <v>18</v>
      </c>
      <c r="V13" s="166">
        <v>1233.4285714285702</v>
      </c>
      <c r="W13" s="166">
        <v>68.523809523809462</v>
      </c>
      <c r="X13" s="182">
        <f t="shared" si="5"/>
        <v>8</v>
      </c>
      <c r="Y13" s="390"/>
      <c r="Z13" s="182">
        <v>18</v>
      </c>
      <c r="AA13" s="166">
        <v>1292.7272727272737</v>
      </c>
      <c r="AB13" s="166">
        <v>71.81818181818187</v>
      </c>
      <c r="AC13" s="182">
        <f t="shared" si="7"/>
        <v>7</v>
      </c>
      <c r="AD13" s="390"/>
      <c r="AE13" s="182">
        <v>18</v>
      </c>
      <c r="AF13" s="166">
        <v>1290.5660377358497</v>
      </c>
      <c r="AG13" s="166">
        <v>71.698113207547209</v>
      </c>
      <c r="AH13" s="182">
        <f t="shared" si="9"/>
        <v>6</v>
      </c>
      <c r="AI13" s="390"/>
      <c r="AJ13" s="182">
        <v>18</v>
      </c>
      <c r="AK13" s="166">
        <v>1312.3636363636372</v>
      </c>
      <c r="AL13" s="166">
        <v>72.909090909090949</v>
      </c>
      <c r="AM13" s="182">
        <f t="shared" si="11"/>
        <v>6</v>
      </c>
      <c r="AN13" s="390"/>
      <c r="AO13" s="182">
        <v>18</v>
      </c>
      <c r="AP13" s="166">
        <v>1300.5194805194799</v>
      </c>
      <c r="AQ13" s="166">
        <v>72.251082251082209</v>
      </c>
      <c r="AR13" s="182">
        <f t="shared" si="13"/>
        <v>6</v>
      </c>
      <c r="AS13" s="390"/>
      <c r="AT13" s="182">
        <v>18</v>
      </c>
      <c r="AU13" s="166">
        <v>1203.8961038961031</v>
      </c>
      <c r="AV13" s="166">
        <v>66.883116883116841</v>
      </c>
      <c r="AW13" s="182">
        <f t="shared" si="15"/>
        <v>10</v>
      </c>
      <c r="AX13" s="390"/>
      <c r="AZ13" s="182" t="e">
        <f t="shared" si="17"/>
        <v>#N/A</v>
      </c>
      <c r="BA13" s="390"/>
    </row>
    <row r="14" spans="1:53" ht="14.25">
      <c r="A14" s="79"/>
      <c r="B14" s="395"/>
      <c r="C14" s="182">
        <v>8</v>
      </c>
      <c r="D14" s="203" t="s">
        <v>508</v>
      </c>
      <c r="E14" s="166">
        <v>18</v>
      </c>
      <c r="F14" s="182">
        <v>1385</v>
      </c>
      <c r="G14" s="180">
        <v>76.900000000000006</v>
      </c>
      <c r="H14" s="402"/>
      <c r="I14" s="166">
        <f t="shared" si="0"/>
        <v>18</v>
      </c>
      <c r="J14" s="166">
        <f t="shared" si="1"/>
        <v>1218.611889576126</v>
      </c>
      <c r="K14" s="180">
        <f t="shared" si="2"/>
        <v>67.700660532007007</v>
      </c>
      <c r="L14" s="402"/>
      <c r="M14" s="181">
        <f>RANK(K14, K$7:$K$21)</f>
        <v>11</v>
      </c>
      <c r="N14" s="389"/>
      <c r="O14" s="389"/>
      <c r="P14" s="182">
        <v>18</v>
      </c>
      <c r="Q14" s="166">
        <v>1187.0588235294122</v>
      </c>
      <c r="R14" s="166">
        <v>65.947712418300682</v>
      </c>
      <c r="S14" s="182">
        <f t="shared" si="3"/>
        <v>11</v>
      </c>
      <c r="T14" s="390"/>
      <c r="U14" s="182">
        <v>18</v>
      </c>
      <c r="V14" s="166">
        <v>1169.3023255813951</v>
      </c>
      <c r="W14" s="166">
        <v>64.9612403100775</v>
      </c>
      <c r="X14" s="182">
        <f t="shared" si="5"/>
        <v>11</v>
      </c>
      <c r="Y14" s="390"/>
      <c r="Z14" s="182">
        <v>18</v>
      </c>
      <c r="AA14" s="166">
        <v>1243.6363636363621</v>
      </c>
      <c r="AB14" s="166">
        <v>69.090909090909008</v>
      </c>
      <c r="AC14" s="182">
        <f t="shared" si="7"/>
        <v>9</v>
      </c>
      <c r="AD14" s="390"/>
      <c r="AE14" s="182">
        <v>18</v>
      </c>
      <c r="AF14" s="166">
        <v>1234.2857142857131</v>
      </c>
      <c r="AG14" s="166">
        <v>68.571428571428498</v>
      </c>
      <c r="AH14" s="182">
        <f t="shared" si="9"/>
        <v>10</v>
      </c>
      <c r="AI14" s="390"/>
      <c r="AJ14" s="182">
        <v>18</v>
      </c>
      <c r="AK14" s="166">
        <v>1228.4999999999995</v>
      </c>
      <c r="AL14" s="166">
        <v>68.249999999999972</v>
      </c>
      <c r="AM14" s="182">
        <f t="shared" si="11"/>
        <v>11</v>
      </c>
      <c r="AN14" s="390"/>
      <c r="AO14" s="182">
        <v>18</v>
      </c>
      <c r="AP14" s="166">
        <v>1226.2500000000005</v>
      </c>
      <c r="AQ14" s="166">
        <v>68.125000000000028</v>
      </c>
      <c r="AR14" s="182">
        <f t="shared" si="13"/>
        <v>11</v>
      </c>
      <c r="AS14" s="390"/>
      <c r="AT14" s="182">
        <v>18</v>
      </c>
      <c r="AU14" s="166">
        <v>1241.2500000000005</v>
      </c>
      <c r="AV14" s="166">
        <v>68.958333333333357</v>
      </c>
      <c r="AW14" s="182">
        <f t="shared" si="15"/>
        <v>9</v>
      </c>
      <c r="AX14" s="390"/>
      <c r="AZ14" s="182" t="e">
        <f t="shared" si="17"/>
        <v>#N/A</v>
      </c>
      <c r="BA14" s="390"/>
    </row>
    <row r="15" spans="1:53" ht="14.25">
      <c r="A15" s="79"/>
      <c r="B15" s="395"/>
      <c r="C15" s="182">
        <v>9</v>
      </c>
      <c r="D15" s="203" t="s">
        <v>529</v>
      </c>
      <c r="E15" s="166">
        <v>16</v>
      </c>
      <c r="F15" s="182">
        <v>1440</v>
      </c>
      <c r="G15" s="180">
        <v>90</v>
      </c>
      <c r="H15" s="402"/>
      <c r="I15" s="166">
        <f t="shared" si="0"/>
        <v>16</v>
      </c>
      <c r="J15" s="166">
        <f t="shared" si="1"/>
        <v>1343.9603738566877</v>
      </c>
      <c r="K15" s="180">
        <f t="shared" si="2"/>
        <v>83.997523366042984</v>
      </c>
      <c r="L15" s="402"/>
      <c r="M15" s="181">
        <f>RANK(K15, K$7:$K$21)</f>
        <v>2</v>
      </c>
      <c r="N15" s="389"/>
      <c r="O15" s="389"/>
      <c r="P15" s="182">
        <v>16</v>
      </c>
      <c r="Q15" s="166">
        <v>1344.4067796610163</v>
      </c>
      <c r="R15" s="166">
        <v>84.025423728813522</v>
      </c>
      <c r="S15" s="182">
        <f t="shared" si="3"/>
        <v>2</v>
      </c>
      <c r="T15" s="390"/>
      <c r="U15" s="182">
        <v>16</v>
      </c>
      <c r="V15" s="166">
        <v>1367.2566371681426</v>
      </c>
      <c r="W15" s="166">
        <v>85.45353982300891</v>
      </c>
      <c r="X15" s="182">
        <f t="shared" si="5"/>
        <v>2</v>
      </c>
      <c r="Y15" s="390"/>
      <c r="Z15" s="182">
        <v>16</v>
      </c>
      <c r="AA15" s="166">
        <v>1325.0322580645159</v>
      </c>
      <c r="AB15" s="166">
        <v>82.814516129032242</v>
      </c>
      <c r="AC15" s="182">
        <f t="shared" si="7"/>
        <v>2</v>
      </c>
      <c r="AD15" s="390"/>
      <c r="AE15" s="182">
        <v>16</v>
      </c>
      <c r="AF15" s="166">
        <v>1348.4210526315799</v>
      </c>
      <c r="AG15" s="166">
        <v>84.276315789473742</v>
      </c>
      <c r="AH15" s="182">
        <f t="shared" si="9"/>
        <v>2</v>
      </c>
      <c r="AI15" s="390"/>
      <c r="AJ15" s="182">
        <v>16</v>
      </c>
      <c r="AK15" s="166">
        <v>1353.9999999999986</v>
      </c>
      <c r="AL15" s="166">
        <v>84.624999999999915</v>
      </c>
      <c r="AM15" s="182">
        <f t="shared" si="11"/>
        <v>2</v>
      </c>
      <c r="AN15" s="390"/>
      <c r="AO15" s="182">
        <v>16</v>
      </c>
      <c r="AP15" s="166">
        <v>1336.1194029850747</v>
      </c>
      <c r="AQ15" s="166">
        <v>83.507462686567166</v>
      </c>
      <c r="AR15" s="182">
        <f t="shared" si="13"/>
        <v>2</v>
      </c>
      <c r="AS15" s="390"/>
      <c r="AT15" s="182">
        <v>16</v>
      </c>
      <c r="AU15" s="166">
        <v>1332.4864864864853</v>
      </c>
      <c r="AV15" s="166">
        <v>83.280405405405332</v>
      </c>
      <c r="AW15" s="182">
        <f t="shared" si="15"/>
        <v>2</v>
      </c>
      <c r="AX15" s="390"/>
      <c r="AZ15" s="182" t="e">
        <f t="shared" si="17"/>
        <v>#N/A</v>
      </c>
      <c r="BA15" s="390"/>
    </row>
    <row r="16" spans="1:53" ht="14.25">
      <c r="A16" s="79"/>
      <c r="B16" s="395"/>
      <c r="C16" s="182">
        <v>10</v>
      </c>
      <c r="D16" s="203" t="s">
        <v>593</v>
      </c>
      <c r="E16" s="166">
        <v>19</v>
      </c>
      <c r="F16" s="182">
        <v>1440</v>
      </c>
      <c r="G16" s="180">
        <v>75.8</v>
      </c>
      <c r="H16" s="402"/>
      <c r="I16" s="166">
        <f t="shared" si="0"/>
        <v>19</v>
      </c>
      <c r="J16" s="166">
        <f t="shared" si="1"/>
        <v>1312.3944681127737</v>
      </c>
      <c r="K16" s="180">
        <f t="shared" si="2"/>
        <v>69.073393058567049</v>
      </c>
      <c r="L16" s="402"/>
      <c r="M16" s="181">
        <f>RANK(K16, K$7:$K$21)</f>
        <v>9</v>
      </c>
      <c r="N16" s="389"/>
      <c r="O16" s="389"/>
      <c r="P16" s="182">
        <v>19</v>
      </c>
      <c r="Q16" s="166">
        <v>1301.4545454545457</v>
      </c>
      <c r="R16" s="166">
        <v>68.497607655502406</v>
      </c>
      <c r="S16" s="182">
        <f t="shared" si="3"/>
        <v>9</v>
      </c>
      <c r="T16" s="390"/>
      <c r="U16" s="182">
        <v>19</v>
      </c>
      <c r="V16" s="166">
        <v>1323.0215827338129</v>
      </c>
      <c r="W16" s="166">
        <v>69.632714880726994</v>
      </c>
      <c r="X16" s="182">
        <f t="shared" si="5"/>
        <v>7</v>
      </c>
      <c r="Y16" s="390"/>
      <c r="Z16" s="182">
        <v>19</v>
      </c>
      <c r="AA16" s="166">
        <v>1299.2810126582278</v>
      </c>
      <c r="AB16" s="166">
        <v>68.383211192538312</v>
      </c>
      <c r="AC16" s="182">
        <f t="shared" si="7"/>
        <v>10</v>
      </c>
      <c r="AD16" s="390"/>
      <c r="AE16" s="182">
        <v>19</v>
      </c>
      <c r="AF16" s="166">
        <v>1321.9249999999995</v>
      </c>
      <c r="AG16" s="166">
        <v>69.574999999999974</v>
      </c>
      <c r="AH16" s="182">
        <f t="shared" si="9"/>
        <v>8</v>
      </c>
      <c r="AI16" s="390"/>
      <c r="AJ16" s="182">
        <v>19</v>
      </c>
      <c r="AK16" s="166">
        <v>1326.1787234042556</v>
      </c>
      <c r="AL16" s="166">
        <v>69.798880179171348</v>
      </c>
      <c r="AM16" s="182">
        <f t="shared" si="11"/>
        <v>10</v>
      </c>
      <c r="AN16" s="390"/>
      <c r="AO16" s="182">
        <v>19</v>
      </c>
      <c r="AP16" s="166">
        <v>1300.396595744681</v>
      </c>
      <c r="AQ16" s="166">
        <v>68.441926091825323</v>
      </c>
      <c r="AR16" s="182">
        <f t="shared" si="13"/>
        <v>10</v>
      </c>
      <c r="AS16" s="390"/>
      <c r="AT16" s="182">
        <v>19</v>
      </c>
      <c r="AU16" s="166">
        <v>1314.5038167938931</v>
      </c>
      <c r="AV16" s="166">
        <v>69.184411410204902</v>
      </c>
      <c r="AW16" s="182">
        <f t="shared" si="15"/>
        <v>8</v>
      </c>
      <c r="AX16" s="390"/>
      <c r="AZ16" s="182" t="e">
        <f t="shared" si="17"/>
        <v>#N/A</v>
      </c>
      <c r="BA16" s="390"/>
    </row>
    <row r="17" spans="2:53">
      <c r="B17" s="395"/>
      <c r="C17" s="182">
        <v>11</v>
      </c>
      <c r="D17" s="203" t="s">
        <v>631</v>
      </c>
      <c r="E17" s="166">
        <v>19</v>
      </c>
      <c r="F17" s="182">
        <v>1440</v>
      </c>
      <c r="G17" s="180">
        <v>75.8</v>
      </c>
      <c r="H17" s="402"/>
      <c r="I17" s="166">
        <f t="shared" si="0"/>
        <v>18.142857142857142</v>
      </c>
      <c r="J17" s="166">
        <f t="shared" si="1"/>
        <v>1228.2492840777236</v>
      </c>
      <c r="K17" s="180">
        <f t="shared" si="2"/>
        <v>67.706807000337449</v>
      </c>
      <c r="L17" s="402"/>
      <c r="M17" s="181">
        <f>RANK(K17, K$7:$K$21)</f>
        <v>10</v>
      </c>
      <c r="N17" s="389"/>
      <c r="O17" s="389"/>
      <c r="P17" s="182">
        <v>18</v>
      </c>
      <c r="Q17" s="166">
        <v>1264.7368421052622</v>
      </c>
      <c r="R17" s="166">
        <v>70.263157894736793</v>
      </c>
      <c r="S17" s="182">
        <f t="shared" si="3"/>
        <v>7</v>
      </c>
      <c r="T17" s="390"/>
      <c r="U17" s="182">
        <v>18</v>
      </c>
      <c r="V17" s="166">
        <v>1217.3684210526305</v>
      </c>
      <c r="W17" s="166">
        <v>67.631578947368368</v>
      </c>
      <c r="X17" s="182">
        <f t="shared" si="5"/>
        <v>10</v>
      </c>
      <c r="Y17" s="390"/>
      <c r="Z17" s="182">
        <v>18</v>
      </c>
      <c r="AA17" s="166">
        <v>1104.3749999999984</v>
      </c>
      <c r="AB17" s="166">
        <v>61.354166666666579</v>
      </c>
      <c r="AC17" s="182">
        <f t="shared" si="7"/>
        <v>12</v>
      </c>
      <c r="AD17" s="390"/>
      <c r="AE17" s="182">
        <v>18</v>
      </c>
      <c r="AF17" s="166">
        <v>1174.6153846153888</v>
      </c>
      <c r="AG17" s="166">
        <v>65.25641025641049</v>
      </c>
      <c r="AH17" s="182">
        <f t="shared" si="9"/>
        <v>11</v>
      </c>
      <c r="AI17" s="390"/>
      <c r="AJ17" s="182">
        <v>18</v>
      </c>
      <c r="AK17" s="166">
        <v>1288.9655172413768</v>
      </c>
      <c r="AL17" s="166">
        <v>71.60919540229871</v>
      </c>
      <c r="AM17" s="182">
        <f t="shared" si="11"/>
        <v>7</v>
      </c>
      <c r="AN17" s="390"/>
      <c r="AO17" s="182">
        <v>18</v>
      </c>
      <c r="AP17" s="166">
        <v>1280.6249999999982</v>
      </c>
      <c r="AQ17" s="166">
        <v>71.145833333333229</v>
      </c>
      <c r="AR17" s="182">
        <f t="shared" si="13"/>
        <v>7</v>
      </c>
      <c r="AS17" s="390"/>
      <c r="AT17" s="182">
        <v>19</v>
      </c>
      <c r="AU17" s="166">
        <v>1267.0588235294103</v>
      </c>
      <c r="AV17" s="166">
        <v>66.687306501547909</v>
      </c>
      <c r="AW17" s="182">
        <f t="shared" si="15"/>
        <v>11</v>
      </c>
      <c r="AX17" s="390"/>
      <c r="AZ17" s="182" t="e">
        <f t="shared" si="17"/>
        <v>#N/A</v>
      </c>
      <c r="BA17" s="390"/>
    </row>
    <row r="18" spans="2:53">
      <c r="B18" s="395"/>
      <c r="C18" s="182">
        <v>12</v>
      </c>
      <c r="D18" s="203" t="s">
        <v>638</v>
      </c>
      <c r="E18" s="166">
        <v>15</v>
      </c>
      <c r="F18" s="182">
        <v>1440</v>
      </c>
      <c r="G18" s="180">
        <v>96</v>
      </c>
      <c r="H18" s="402"/>
      <c r="I18" s="166">
        <f t="shared" si="0"/>
        <v>15.571428571428571</v>
      </c>
      <c r="J18" s="166">
        <f t="shared" si="1"/>
        <v>1422.4568051133078</v>
      </c>
      <c r="K18" s="180">
        <f t="shared" si="2"/>
        <v>91.44480234196088</v>
      </c>
      <c r="L18" s="402"/>
      <c r="M18" s="181">
        <f>RANK(K18, K$7:$K$21)</f>
        <v>1</v>
      </c>
      <c r="N18" s="389"/>
      <c r="O18" s="389"/>
      <c r="P18" s="182">
        <v>15</v>
      </c>
      <c r="Q18" s="166">
        <v>1427.3913043478262</v>
      </c>
      <c r="R18" s="166">
        <v>95.159420289855078</v>
      </c>
      <c r="S18" s="182">
        <f t="shared" si="3"/>
        <v>1</v>
      </c>
      <c r="T18" s="390"/>
      <c r="U18" s="182">
        <v>16</v>
      </c>
      <c r="V18" s="166">
        <v>1419.3243243243248</v>
      </c>
      <c r="W18" s="166">
        <v>88.707770270270302</v>
      </c>
      <c r="X18" s="182">
        <f t="shared" si="5"/>
        <v>1</v>
      </c>
      <c r="Y18" s="390"/>
      <c r="Z18" s="182">
        <v>16</v>
      </c>
      <c r="AA18" s="166">
        <v>1404.1237113402065</v>
      </c>
      <c r="AB18" s="166">
        <v>87.757731958762903</v>
      </c>
      <c r="AC18" s="182">
        <f t="shared" si="7"/>
        <v>1</v>
      </c>
      <c r="AD18" s="390"/>
      <c r="AE18" s="182">
        <v>16</v>
      </c>
      <c r="AF18" s="166">
        <v>1418.7500000000005</v>
      </c>
      <c r="AG18" s="166">
        <v>88.671875000000028</v>
      </c>
      <c r="AH18" s="182">
        <f t="shared" si="9"/>
        <v>1</v>
      </c>
      <c r="AI18" s="390"/>
      <c r="AJ18" s="182">
        <v>15</v>
      </c>
      <c r="AK18" s="166">
        <v>1419.8275862068967</v>
      </c>
      <c r="AL18" s="166">
        <v>94.65517241379311</v>
      </c>
      <c r="AM18" s="182">
        <f t="shared" si="11"/>
        <v>1</v>
      </c>
      <c r="AN18" s="390"/>
      <c r="AO18" s="182">
        <v>15</v>
      </c>
      <c r="AP18" s="166">
        <v>1422.0845070422531</v>
      </c>
      <c r="AQ18" s="166">
        <v>94.805633802816871</v>
      </c>
      <c r="AR18" s="182">
        <f t="shared" si="13"/>
        <v>1</v>
      </c>
      <c r="AS18" s="390"/>
      <c r="AT18" s="182">
        <v>16</v>
      </c>
      <c r="AU18" s="166">
        <v>1445.6962025316457</v>
      </c>
      <c r="AV18" s="166">
        <v>90.356012658227854</v>
      </c>
      <c r="AW18" s="182">
        <f t="shared" si="15"/>
        <v>1</v>
      </c>
      <c r="AX18" s="390"/>
      <c r="AZ18" s="182" t="e">
        <f t="shared" si="17"/>
        <v>#N/A</v>
      </c>
      <c r="BA18" s="390"/>
    </row>
    <row r="19" spans="2:53">
      <c r="B19" s="395"/>
      <c r="C19" s="182">
        <v>13</v>
      </c>
      <c r="D19" s="203"/>
      <c r="E19" s="166"/>
      <c r="F19" s="182"/>
      <c r="G19" s="180"/>
      <c r="H19" s="402"/>
      <c r="I19" s="166" t="str">
        <f t="shared" si="0"/>
        <v>-</v>
      </c>
      <c r="J19" s="166" t="str">
        <f t="shared" si="1"/>
        <v>-</v>
      </c>
      <c r="K19" s="180" t="str">
        <f t="shared" si="2"/>
        <v>-</v>
      </c>
      <c r="L19" s="402"/>
      <c r="M19" s="181" t="e">
        <f>RANK(K19, K$7:$K$21)</f>
        <v>#VALUE!</v>
      </c>
      <c r="N19" s="389"/>
      <c r="O19" s="389"/>
      <c r="P19" s="182" t="s">
        <v>634</v>
      </c>
      <c r="Q19" s="166" t="s">
        <v>634</v>
      </c>
      <c r="R19" s="166" t="s">
        <v>634</v>
      </c>
      <c r="S19" s="182" t="e">
        <f t="shared" si="3"/>
        <v>#VALUE!</v>
      </c>
      <c r="T19" s="390"/>
      <c r="U19" s="182" t="s">
        <v>634</v>
      </c>
      <c r="V19" s="166" t="s">
        <v>634</v>
      </c>
      <c r="W19" s="166" t="s">
        <v>634</v>
      </c>
      <c r="X19" s="182" t="e">
        <f t="shared" si="5"/>
        <v>#VALUE!</v>
      </c>
      <c r="Y19" s="390"/>
      <c r="Z19" s="182" t="s">
        <v>634</v>
      </c>
      <c r="AA19" s="166" t="s">
        <v>634</v>
      </c>
      <c r="AB19" s="166" t="s">
        <v>634</v>
      </c>
      <c r="AC19" s="182" t="e">
        <f t="shared" si="7"/>
        <v>#VALUE!</v>
      </c>
      <c r="AD19" s="390"/>
      <c r="AE19" s="182" t="s">
        <v>634</v>
      </c>
      <c r="AF19" s="166" t="s">
        <v>634</v>
      </c>
      <c r="AG19" s="166" t="s">
        <v>634</v>
      </c>
      <c r="AH19" s="182" t="e">
        <f t="shared" si="9"/>
        <v>#VALUE!</v>
      </c>
      <c r="AI19" s="390"/>
      <c r="AJ19" s="182" t="s">
        <v>634</v>
      </c>
      <c r="AK19" s="166" t="s">
        <v>634</v>
      </c>
      <c r="AL19" s="166" t="s">
        <v>634</v>
      </c>
      <c r="AM19" s="182" t="e">
        <f t="shared" si="11"/>
        <v>#VALUE!</v>
      </c>
      <c r="AN19" s="390"/>
      <c r="AO19" s="182" t="s">
        <v>634</v>
      </c>
      <c r="AP19" s="166" t="s">
        <v>634</v>
      </c>
      <c r="AQ19" s="166" t="s">
        <v>634</v>
      </c>
      <c r="AR19" s="182" t="e">
        <f t="shared" si="13"/>
        <v>#VALUE!</v>
      </c>
      <c r="AS19" s="390"/>
      <c r="AT19" s="182" t="s">
        <v>634</v>
      </c>
      <c r="AU19" s="166" t="s">
        <v>634</v>
      </c>
      <c r="AV19" s="166" t="s">
        <v>634</v>
      </c>
      <c r="AW19" s="182" t="e">
        <f t="shared" si="15"/>
        <v>#VALUE!</v>
      </c>
      <c r="AX19" s="390"/>
      <c r="AZ19" s="182" t="e">
        <f t="shared" si="17"/>
        <v>#N/A</v>
      </c>
      <c r="BA19" s="390"/>
    </row>
    <row r="20" spans="2:53">
      <c r="B20" s="395"/>
      <c r="C20" s="182">
        <v>14</v>
      </c>
      <c r="D20" s="203"/>
      <c r="E20" s="166"/>
      <c r="F20" s="182"/>
      <c r="G20" s="180"/>
      <c r="H20" s="402"/>
      <c r="I20" s="166" t="str">
        <f t="shared" si="0"/>
        <v>-</v>
      </c>
      <c r="J20" s="166" t="str">
        <f t="shared" si="1"/>
        <v>-</v>
      </c>
      <c r="K20" s="180" t="str">
        <f t="shared" si="2"/>
        <v>-</v>
      </c>
      <c r="L20" s="402"/>
      <c r="M20" s="181" t="e">
        <f>RANK(K20, K$7:$K$21)</f>
        <v>#VALUE!</v>
      </c>
      <c r="N20" s="389"/>
      <c r="O20" s="389"/>
      <c r="P20" s="182" t="s">
        <v>634</v>
      </c>
      <c r="Q20" s="166" t="s">
        <v>634</v>
      </c>
      <c r="R20" s="166" t="s">
        <v>634</v>
      </c>
      <c r="S20" s="182" t="e">
        <f t="shared" si="3"/>
        <v>#VALUE!</v>
      </c>
      <c r="T20" s="390"/>
      <c r="U20" s="182" t="s">
        <v>634</v>
      </c>
      <c r="V20" s="166" t="s">
        <v>634</v>
      </c>
      <c r="W20" s="166" t="s">
        <v>634</v>
      </c>
      <c r="X20" s="182" t="e">
        <f t="shared" si="5"/>
        <v>#VALUE!</v>
      </c>
      <c r="Y20" s="390"/>
      <c r="Z20" s="182" t="s">
        <v>634</v>
      </c>
      <c r="AA20" s="166" t="s">
        <v>634</v>
      </c>
      <c r="AB20" s="166" t="s">
        <v>634</v>
      </c>
      <c r="AC20" s="182" t="e">
        <f t="shared" si="7"/>
        <v>#VALUE!</v>
      </c>
      <c r="AD20" s="390"/>
      <c r="AE20" s="182" t="s">
        <v>634</v>
      </c>
      <c r="AF20" s="166" t="s">
        <v>634</v>
      </c>
      <c r="AG20" s="166" t="s">
        <v>634</v>
      </c>
      <c r="AH20" s="182" t="e">
        <f t="shared" si="9"/>
        <v>#VALUE!</v>
      </c>
      <c r="AI20" s="390"/>
      <c r="AJ20" s="182" t="s">
        <v>634</v>
      </c>
      <c r="AK20" s="166" t="s">
        <v>634</v>
      </c>
      <c r="AL20" s="166" t="s">
        <v>634</v>
      </c>
      <c r="AM20" s="182" t="e">
        <f t="shared" si="11"/>
        <v>#VALUE!</v>
      </c>
      <c r="AN20" s="390"/>
      <c r="AO20" s="182" t="s">
        <v>634</v>
      </c>
      <c r="AP20" s="166" t="s">
        <v>634</v>
      </c>
      <c r="AQ20" s="166" t="s">
        <v>634</v>
      </c>
      <c r="AR20" s="182" t="e">
        <f t="shared" si="13"/>
        <v>#VALUE!</v>
      </c>
      <c r="AS20" s="390"/>
      <c r="AT20" s="182" t="s">
        <v>634</v>
      </c>
      <c r="AU20" s="166" t="s">
        <v>634</v>
      </c>
      <c r="AV20" s="166" t="s">
        <v>634</v>
      </c>
      <c r="AW20" s="182" t="e">
        <f t="shared" si="15"/>
        <v>#VALUE!</v>
      </c>
      <c r="AX20" s="390"/>
      <c r="AZ20" s="182" t="e">
        <f t="shared" si="17"/>
        <v>#N/A</v>
      </c>
      <c r="BA20" s="390"/>
    </row>
    <row r="21" spans="2:53">
      <c r="B21" s="395"/>
      <c r="C21" s="182">
        <v>15</v>
      </c>
      <c r="D21" s="203"/>
      <c r="E21" s="166"/>
      <c r="F21" s="182"/>
      <c r="G21" s="180"/>
      <c r="H21" s="403"/>
      <c r="I21" s="182"/>
      <c r="J21" s="182"/>
      <c r="K21" s="182"/>
      <c r="L21" s="403"/>
      <c r="M21" s="166" t="e">
        <f>RANK(K21, K$7:$K$21)</f>
        <v>#N/A</v>
      </c>
      <c r="N21" s="389"/>
      <c r="O21" s="389"/>
      <c r="P21" s="182" t="s">
        <v>634</v>
      </c>
      <c r="Q21" s="166" t="s">
        <v>634</v>
      </c>
      <c r="R21" s="166" t="s">
        <v>634</v>
      </c>
      <c r="S21" s="182" t="e">
        <f t="shared" si="3"/>
        <v>#VALUE!</v>
      </c>
      <c r="T21" s="390"/>
      <c r="U21" s="182" t="s">
        <v>634</v>
      </c>
      <c r="V21" s="166" t="s">
        <v>634</v>
      </c>
      <c r="W21" s="166" t="s">
        <v>634</v>
      </c>
      <c r="X21" s="182" t="e">
        <f t="shared" si="5"/>
        <v>#VALUE!</v>
      </c>
      <c r="Y21" s="390"/>
      <c r="Z21" s="182" t="s">
        <v>634</v>
      </c>
      <c r="AA21" s="166" t="s">
        <v>634</v>
      </c>
      <c r="AB21" s="166" t="s">
        <v>634</v>
      </c>
      <c r="AC21" s="182" t="e">
        <f t="shared" si="7"/>
        <v>#VALUE!</v>
      </c>
      <c r="AD21" s="390"/>
      <c r="AE21" s="182" t="s">
        <v>634</v>
      </c>
      <c r="AF21" s="166" t="s">
        <v>634</v>
      </c>
      <c r="AG21" s="166" t="s">
        <v>634</v>
      </c>
      <c r="AH21" s="182" t="e">
        <f t="shared" si="9"/>
        <v>#VALUE!</v>
      </c>
      <c r="AI21" s="390"/>
      <c r="AJ21" s="182" t="s">
        <v>634</v>
      </c>
      <c r="AK21" s="166" t="s">
        <v>634</v>
      </c>
      <c r="AL21" s="166" t="s">
        <v>634</v>
      </c>
      <c r="AM21" s="182" t="e">
        <f t="shared" si="11"/>
        <v>#VALUE!</v>
      </c>
      <c r="AN21" s="390"/>
      <c r="AO21" s="182" t="s">
        <v>634</v>
      </c>
      <c r="AP21" s="166" t="s">
        <v>634</v>
      </c>
      <c r="AQ21" s="166" t="s">
        <v>634</v>
      </c>
      <c r="AR21" s="182" t="e">
        <f t="shared" si="13"/>
        <v>#VALUE!</v>
      </c>
      <c r="AS21" s="390"/>
      <c r="AT21" s="182" t="s">
        <v>634</v>
      </c>
      <c r="AU21" s="166" t="s">
        <v>634</v>
      </c>
      <c r="AV21" s="166" t="s">
        <v>634</v>
      </c>
      <c r="AW21" s="182" t="e">
        <f t="shared" si="15"/>
        <v>#VALUE!</v>
      </c>
      <c r="AX21" s="390"/>
      <c r="AZ21" s="182" t="e">
        <f t="shared" si="17"/>
        <v>#N/A</v>
      </c>
      <c r="BA21" s="390"/>
    </row>
    <row r="22" spans="2:53" ht="15.75">
      <c r="B22" s="424" t="s">
        <v>163</v>
      </c>
      <c r="C22" s="425"/>
      <c r="D22" s="425"/>
      <c r="E22" s="425"/>
      <c r="F22" s="425"/>
      <c r="G22" s="425"/>
      <c r="H22" s="425"/>
      <c r="I22" s="183"/>
      <c r="J22" s="183"/>
      <c r="K22" s="183"/>
      <c r="L22" s="183"/>
      <c r="M22" s="178"/>
      <c r="N22" s="391" t="s">
        <v>156</v>
      </c>
      <c r="O22" s="391" t="s">
        <v>105</v>
      </c>
      <c r="P22" s="413">
        <f>P2+7</f>
        <v>46147</v>
      </c>
      <c r="Q22" s="395"/>
      <c r="R22" s="395"/>
      <c r="S22" s="395"/>
      <c r="T22" s="395"/>
      <c r="U22" s="410">
        <f>P22+1</f>
        <v>46148</v>
      </c>
      <c r="V22" s="411"/>
      <c r="W22" s="411"/>
      <c r="X22" s="411"/>
      <c r="Y22" s="412"/>
      <c r="Z22" s="410">
        <f>U22+1</f>
        <v>46149</v>
      </c>
      <c r="AA22" s="411"/>
      <c r="AB22" s="411"/>
      <c r="AC22" s="411"/>
      <c r="AD22" s="412"/>
      <c r="AE22" s="410">
        <f>Z22+1</f>
        <v>46150</v>
      </c>
      <c r="AF22" s="411"/>
      <c r="AG22" s="411"/>
      <c r="AH22" s="411"/>
      <c r="AI22" s="412"/>
      <c r="AJ22" s="410">
        <f>AE22+1</f>
        <v>46151</v>
      </c>
      <c r="AK22" s="411"/>
      <c r="AL22" s="411"/>
      <c r="AM22" s="411"/>
      <c r="AN22" s="412"/>
      <c r="AO22" s="410">
        <f>AJ22+1</f>
        <v>46152</v>
      </c>
      <c r="AP22" s="411"/>
      <c r="AQ22" s="411"/>
      <c r="AR22" s="411"/>
      <c r="AS22" s="412"/>
      <c r="AT22" s="410">
        <f>AO22+1</f>
        <v>46153</v>
      </c>
      <c r="AU22" s="411"/>
      <c r="AV22" s="411"/>
      <c r="AW22" s="411"/>
      <c r="AX22" s="412"/>
    </row>
    <row r="23" spans="2:53" ht="15.75">
      <c r="B23" s="416"/>
      <c r="C23" s="416"/>
      <c r="D23" s="416"/>
      <c r="E23" s="416"/>
      <c r="F23" s="416"/>
      <c r="G23" s="416"/>
      <c r="H23" s="416"/>
      <c r="I23" s="184"/>
      <c r="J23" s="184"/>
      <c r="K23" s="184"/>
      <c r="L23" s="184"/>
      <c r="M23" s="179"/>
      <c r="N23" s="393"/>
      <c r="O23" s="393"/>
      <c r="P23" s="413" t="s">
        <v>318</v>
      </c>
      <c r="Q23" s="395"/>
      <c r="R23" s="395"/>
      <c r="S23" s="395"/>
      <c r="T23" s="395"/>
      <c r="U23" s="413" t="s">
        <v>319</v>
      </c>
      <c r="V23" s="395"/>
      <c r="W23" s="395"/>
      <c r="X23" s="395"/>
      <c r="Y23" s="395"/>
      <c r="Z23" s="413" t="s">
        <v>320</v>
      </c>
      <c r="AA23" s="395"/>
      <c r="AB23" s="395"/>
      <c r="AC23" s="395"/>
      <c r="AD23" s="395"/>
      <c r="AE23" s="413" t="s">
        <v>321</v>
      </c>
      <c r="AF23" s="395"/>
      <c r="AG23" s="395"/>
      <c r="AH23" s="395"/>
      <c r="AI23" s="395"/>
      <c r="AJ23" s="413" t="s">
        <v>322</v>
      </c>
      <c r="AK23" s="395"/>
      <c r="AL23" s="395"/>
      <c r="AM23" s="395"/>
      <c r="AN23" s="395"/>
      <c r="AO23" s="413" t="s">
        <v>323</v>
      </c>
      <c r="AP23" s="395"/>
      <c r="AQ23" s="395"/>
      <c r="AR23" s="395"/>
      <c r="AS23" s="395"/>
      <c r="AT23" s="413" t="s">
        <v>324</v>
      </c>
      <c r="AU23" s="395"/>
      <c r="AV23" s="395"/>
      <c r="AW23" s="395"/>
      <c r="AX23" s="395"/>
    </row>
    <row r="24" spans="2:53">
      <c r="B24" s="389" t="s">
        <v>154</v>
      </c>
      <c r="C24" s="389" t="s">
        <v>386</v>
      </c>
      <c r="D24" s="389"/>
      <c r="E24" s="389" t="s">
        <v>377</v>
      </c>
      <c r="F24" s="389"/>
      <c r="G24" s="389"/>
      <c r="H24" s="417" t="s">
        <v>373</v>
      </c>
      <c r="I24" s="389" t="s">
        <v>378</v>
      </c>
      <c r="J24" s="389"/>
      <c r="K24" s="389"/>
      <c r="L24" s="417" t="s">
        <v>373</v>
      </c>
      <c r="M24" s="391" t="s">
        <v>374</v>
      </c>
      <c r="N24" s="389"/>
      <c r="O24" s="389" t="s">
        <v>379</v>
      </c>
      <c r="P24" s="404" t="s">
        <v>375</v>
      </c>
      <c r="Q24" s="405"/>
      <c r="R24" s="405"/>
      <c r="S24" s="406"/>
      <c r="T24" s="389" t="s">
        <v>373</v>
      </c>
      <c r="U24" s="404" t="s">
        <v>375</v>
      </c>
      <c r="V24" s="405"/>
      <c r="W24" s="405"/>
      <c r="X24" s="406"/>
      <c r="Y24" s="389" t="s">
        <v>373</v>
      </c>
      <c r="Z24" s="404" t="s">
        <v>375</v>
      </c>
      <c r="AA24" s="405"/>
      <c r="AB24" s="405"/>
      <c r="AC24" s="406"/>
      <c r="AD24" s="389" t="s">
        <v>373</v>
      </c>
      <c r="AE24" s="404" t="s">
        <v>375</v>
      </c>
      <c r="AF24" s="405"/>
      <c r="AG24" s="405"/>
      <c r="AH24" s="406"/>
      <c r="AI24" s="389" t="s">
        <v>373</v>
      </c>
      <c r="AJ24" s="404" t="s">
        <v>375</v>
      </c>
      <c r="AK24" s="405"/>
      <c r="AL24" s="405"/>
      <c r="AM24" s="406"/>
      <c r="AN24" s="389" t="s">
        <v>373</v>
      </c>
      <c r="AO24" s="404" t="s">
        <v>375</v>
      </c>
      <c r="AP24" s="405"/>
      <c r="AQ24" s="405"/>
      <c r="AR24" s="406"/>
      <c r="AS24" s="389" t="s">
        <v>373</v>
      </c>
      <c r="AT24" s="404" t="s">
        <v>375</v>
      </c>
      <c r="AU24" s="405"/>
      <c r="AV24" s="405"/>
      <c r="AW24" s="406"/>
      <c r="AX24" s="389" t="s">
        <v>373</v>
      </c>
      <c r="BA24" s="389" t="s">
        <v>373</v>
      </c>
    </row>
    <row r="25" spans="2:53">
      <c r="B25" s="389"/>
      <c r="C25" s="389"/>
      <c r="D25" s="389"/>
      <c r="E25" s="389" t="s">
        <v>380</v>
      </c>
      <c r="F25" s="389"/>
      <c r="G25" s="389"/>
      <c r="H25" s="418"/>
      <c r="I25" s="389" t="s">
        <v>380</v>
      </c>
      <c r="J25" s="389"/>
      <c r="K25" s="389"/>
      <c r="L25" s="418"/>
      <c r="M25" s="392"/>
      <c r="N25" s="389"/>
      <c r="O25" s="389"/>
      <c r="P25" s="404" t="s">
        <v>381</v>
      </c>
      <c r="Q25" s="405"/>
      <c r="R25" s="405"/>
      <c r="S25" s="406"/>
      <c r="T25" s="389"/>
      <c r="U25" s="404" t="s">
        <v>381</v>
      </c>
      <c r="V25" s="405"/>
      <c r="W25" s="405"/>
      <c r="X25" s="406"/>
      <c r="Y25" s="389"/>
      <c r="Z25" s="404" t="s">
        <v>381</v>
      </c>
      <c r="AA25" s="405"/>
      <c r="AB25" s="405"/>
      <c r="AC25" s="406"/>
      <c r="AD25" s="389"/>
      <c r="AE25" s="404" t="s">
        <v>381</v>
      </c>
      <c r="AF25" s="405"/>
      <c r="AG25" s="405"/>
      <c r="AH25" s="406"/>
      <c r="AI25" s="389"/>
      <c r="AJ25" s="404" t="s">
        <v>381</v>
      </c>
      <c r="AK25" s="405"/>
      <c r="AL25" s="405"/>
      <c r="AM25" s="406"/>
      <c r="AN25" s="389"/>
      <c r="AO25" s="404" t="s">
        <v>381</v>
      </c>
      <c r="AP25" s="405"/>
      <c r="AQ25" s="405"/>
      <c r="AR25" s="406"/>
      <c r="AS25" s="389"/>
      <c r="AT25" s="404" t="s">
        <v>381</v>
      </c>
      <c r="AU25" s="405"/>
      <c r="AV25" s="405"/>
      <c r="AW25" s="406"/>
      <c r="AX25" s="389"/>
      <c r="BA25" s="389"/>
    </row>
    <row r="26" spans="2:53">
      <c r="B26" s="389"/>
      <c r="C26" s="389"/>
      <c r="D26" s="389"/>
      <c r="E26" s="258" t="s">
        <v>382</v>
      </c>
      <c r="F26" s="258" t="s">
        <v>383</v>
      </c>
      <c r="G26" s="258" t="s">
        <v>384</v>
      </c>
      <c r="H26" s="419"/>
      <c r="I26" s="258" t="s">
        <v>382</v>
      </c>
      <c r="J26" s="258" t="s">
        <v>383</v>
      </c>
      <c r="K26" s="258" t="s">
        <v>384</v>
      </c>
      <c r="L26" s="419"/>
      <c r="M26" s="393"/>
      <c r="N26" s="389"/>
      <c r="O26" s="389"/>
      <c r="P26" s="258" t="s">
        <v>382</v>
      </c>
      <c r="Q26" s="258" t="s">
        <v>383</v>
      </c>
      <c r="R26" s="258" t="s">
        <v>384</v>
      </c>
      <c r="S26" s="258" t="s">
        <v>374</v>
      </c>
      <c r="T26" s="389"/>
      <c r="U26" s="258" t="s">
        <v>382</v>
      </c>
      <c r="V26" s="258" t="s">
        <v>383</v>
      </c>
      <c r="W26" s="258" t="s">
        <v>384</v>
      </c>
      <c r="X26" s="258" t="s">
        <v>374</v>
      </c>
      <c r="Y26" s="389"/>
      <c r="Z26" s="258" t="s">
        <v>382</v>
      </c>
      <c r="AA26" s="258" t="s">
        <v>383</v>
      </c>
      <c r="AB26" s="258" t="s">
        <v>384</v>
      </c>
      <c r="AC26" s="258" t="s">
        <v>374</v>
      </c>
      <c r="AD26" s="389"/>
      <c r="AE26" s="258" t="s">
        <v>382</v>
      </c>
      <c r="AF26" s="258" t="s">
        <v>383</v>
      </c>
      <c r="AG26" s="258" t="s">
        <v>384</v>
      </c>
      <c r="AH26" s="258" t="s">
        <v>374</v>
      </c>
      <c r="AI26" s="389"/>
      <c r="AJ26" s="258" t="s">
        <v>382</v>
      </c>
      <c r="AK26" s="258" t="s">
        <v>383</v>
      </c>
      <c r="AL26" s="258" t="s">
        <v>384</v>
      </c>
      <c r="AM26" s="258" t="s">
        <v>374</v>
      </c>
      <c r="AN26" s="389"/>
      <c r="AO26" s="258" t="s">
        <v>382</v>
      </c>
      <c r="AP26" s="258" t="s">
        <v>383</v>
      </c>
      <c r="AQ26" s="258" t="s">
        <v>384</v>
      </c>
      <c r="AR26" s="258" t="s">
        <v>374</v>
      </c>
      <c r="AS26" s="389"/>
      <c r="AT26" s="258" t="s">
        <v>382</v>
      </c>
      <c r="AU26" s="258" t="s">
        <v>383</v>
      </c>
      <c r="AV26" s="258" t="s">
        <v>384</v>
      </c>
      <c r="AW26" s="258" t="s">
        <v>374</v>
      </c>
      <c r="AX26" s="389"/>
      <c r="AZ26" s="258" t="s">
        <v>374</v>
      </c>
      <c r="BA26" s="389"/>
    </row>
    <row r="27" spans="2:53">
      <c r="B27" s="389" t="s">
        <v>132</v>
      </c>
      <c r="C27" s="182">
        <v>1</v>
      </c>
      <c r="D27" s="203" t="s">
        <v>350</v>
      </c>
      <c r="E27" s="166">
        <v>18</v>
      </c>
      <c r="F27" s="182">
        <v>1440</v>
      </c>
      <c r="G27" s="180">
        <v>80</v>
      </c>
      <c r="H27" s="401">
        <f>AVERAGE(G27:G41)</f>
        <v>80.208333333333329</v>
      </c>
      <c r="I27" s="166">
        <f t="shared" ref="I27:I40" si="19">IFERROR(AVERAGE(P27,U27,Z27,AE27,AJ27,AO27,AT27),"-")</f>
        <v>18</v>
      </c>
      <c r="J27" s="166">
        <f t="shared" ref="J27:J40" si="20">IFERROR(AVERAGE(Q27,V27,AA27,AF27,AK27,AP27,AU27),"-")</f>
        <v>1341.1480143933316</v>
      </c>
      <c r="K27" s="180">
        <f t="shared" ref="K27:K40" si="21">IFERROR(AVERAGE(R27,W27,AB27,AG27,AL27,AQ27,AV27),"-")</f>
        <v>74.508223021851748</v>
      </c>
      <c r="L27" s="401">
        <f>IFERROR(AVERAGE(K27:K41),"-")</f>
        <v>73.74303227310692</v>
      </c>
      <c r="M27" s="181">
        <f>RANK(K27, K$24:$K$41)</f>
        <v>5</v>
      </c>
      <c r="N27" s="389"/>
      <c r="O27" s="389"/>
      <c r="P27" s="166">
        <v>18</v>
      </c>
      <c r="Q27" s="180">
        <v>1345.2089552238808</v>
      </c>
      <c r="R27" s="180">
        <v>74.733830845771152</v>
      </c>
      <c r="S27" s="182">
        <f>RANK(R27, R$24:R$41)</f>
        <v>4</v>
      </c>
      <c r="T27" s="401">
        <f>AVERAGE(R27:R41)</f>
        <v>73.774728653684463</v>
      </c>
      <c r="U27" s="166">
        <v>18</v>
      </c>
      <c r="V27" s="180">
        <v>1343.9523809523807</v>
      </c>
      <c r="W27" s="180">
        <v>74.66402116402115</v>
      </c>
      <c r="X27" s="182">
        <f>RANK(W27, W$24:W$41)</f>
        <v>4</v>
      </c>
      <c r="Y27" s="401">
        <f>AVERAGE(W27:W41)</f>
        <v>74.054812386821681</v>
      </c>
      <c r="Z27" s="166">
        <v>18</v>
      </c>
      <c r="AA27" s="180">
        <v>1333.93220338983</v>
      </c>
      <c r="AB27" s="180">
        <v>74.107344632768331</v>
      </c>
      <c r="AC27" s="182">
        <f>RANK(AB27, AB$24:AB$41)</f>
        <v>5</v>
      </c>
      <c r="AD27" s="401">
        <f>AVERAGE(AB27:AB41)</f>
        <v>74.270697841708582</v>
      </c>
      <c r="AE27" s="166">
        <v>18</v>
      </c>
      <c r="AF27" s="180">
        <v>1349.0816326530617</v>
      </c>
      <c r="AG27" s="180">
        <v>74.948979591836761</v>
      </c>
      <c r="AH27" s="182">
        <f>RANK(AG27, AG$24:AG$41)</f>
        <v>4</v>
      </c>
      <c r="AI27" s="401">
        <f>AVERAGE(AG27:AG41)</f>
        <v>72.992919587944243</v>
      </c>
      <c r="AJ27" s="166">
        <v>18</v>
      </c>
      <c r="AK27" s="180">
        <v>1335.3333333333335</v>
      </c>
      <c r="AL27" s="180">
        <v>74.18518518518519</v>
      </c>
      <c r="AM27" s="182">
        <f>RANK(AL27, AL$24:AL$41)</f>
        <v>4</v>
      </c>
      <c r="AN27" s="401">
        <f>AVERAGE(AL27:AL41)</f>
        <v>72.89207255179717</v>
      </c>
      <c r="AO27" s="166">
        <v>18</v>
      </c>
      <c r="AP27" s="180">
        <v>1338.0740740740737</v>
      </c>
      <c r="AQ27" s="180">
        <v>74.337448559670761</v>
      </c>
      <c r="AR27" s="182">
        <f>RANK(AQ27, AQ$24:AQ$41)</f>
        <v>5</v>
      </c>
      <c r="AS27" s="401">
        <f>AVERAGE(AQ27:AQ41)</f>
        <v>74.420847477611858</v>
      </c>
      <c r="AT27" s="166">
        <v>18</v>
      </c>
      <c r="AU27" s="180">
        <v>1342.453521126761</v>
      </c>
      <c r="AV27" s="180">
        <v>74.580751173708947</v>
      </c>
      <c r="AW27" s="182">
        <f>RANK(AV27, AV$24:AV$41)</f>
        <v>5</v>
      </c>
      <c r="AX27" s="390">
        <f>AVERAGE(AV27:AV41)</f>
        <v>73.795147412180327</v>
      </c>
      <c r="AZ27" s="182" t="e">
        <f t="shared" ref="AZ27:AZ41" si="22">RANK(AY27, AY$27:AY$41)</f>
        <v>#N/A</v>
      </c>
      <c r="BA27" s="384" t="e">
        <f t="shared" ref="BA27" si="23">AVERAGE(AY27:AY41)</f>
        <v>#DIV/0!</v>
      </c>
    </row>
    <row r="28" spans="2:53">
      <c r="B28" s="395"/>
      <c r="C28" s="182">
        <v>2</v>
      </c>
      <c r="D28" s="203" t="s">
        <v>351</v>
      </c>
      <c r="E28" s="166">
        <v>18</v>
      </c>
      <c r="F28" s="182">
        <v>1440</v>
      </c>
      <c r="G28" s="180">
        <v>80</v>
      </c>
      <c r="H28" s="402"/>
      <c r="I28" s="166">
        <f t="shared" si="19"/>
        <v>18</v>
      </c>
      <c r="J28" s="166">
        <f t="shared" si="20"/>
        <v>1295.7626140791369</v>
      </c>
      <c r="K28" s="180">
        <f t="shared" si="21"/>
        <v>71.986811893285392</v>
      </c>
      <c r="L28" s="402"/>
      <c r="M28" s="181">
        <f>RANK(K28, K$24:$K$41)</f>
        <v>6</v>
      </c>
      <c r="N28" s="389"/>
      <c r="O28" s="389"/>
      <c r="P28" s="182">
        <v>18</v>
      </c>
      <c r="Q28" s="180">
        <v>1304.5454545454561</v>
      </c>
      <c r="R28" s="180">
        <v>72.474747474747559</v>
      </c>
      <c r="S28" s="182">
        <f t="shared" ref="S28:S41" si="24">RANK(R28, R$24:R$41)</f>
        <v>5</v>
      </c>
      <c r="T28" s="402"/>
      <c r="U28" s="182">
        <v>18</v>
      </c>
      <c r="V28" s="180">
        <v>1307.0270270270262</v>
      </c>
      <c r="W28" s="180">
        <v>72.612612612612565</v>
      </c>
      <c r="X28" s="182">
        <f t="shared" ref="X28:X41" si="25">RANK(W28, W$24:W$41)</f>
        <v>5</v>
      </c>
      <c r="Y28" s="402"/>
      <c r="Z28" s="182">
        <v>18</v>
      </c>
      <c r="AA28" s="180">
        <v>1296.585365853658</v>
      </c>
      <c r="AB28" s="180">
        <v>72.032520325203222</v>
      </c>
      <c r="AC28" s="182">
        <f t="shared" ref="AC28:AC41" si="26">RANK(AB28, AB$24:AB$41)</f>
        <v>7</v>
      </c>
      <c r="AD28" s="402"/>
      <c r="AE28" s="182">
        <v>18</v>
      </c>
      <c r="AF28" s="180">
        <v>1297.8947368421043</v>
      </c>
      <c r="AG28" s="180">
        <v>72.105263157894683</v>
      </c>
      <c r="AH28" s="182">
        <f t="shared" ref="AH28:AH41" si="27">RANK(AG28, AG$24:AG$41)</f>
        <v>6</v>
      </c>
      <c r="AI28" s="402"/>
      <c r="AJ28" s="182">
        <v>18</v>
      </c>
      <c r="AK28" s="180">
        <v>1301.4285714285709</v>
      </c>
      <c r="AL28" s="180">
        <v>72.301587301587276</v>
      </c>
      <c r="AM28" s="182">
        <f t="shared" ref="AM28:AM41" si="28">RANK(AL28, AL$24:AL$41)</f>
        <v>7</v>
      </c>
      <c r="AN28" s="402"/>
      <c r="AO28" s="182">
        <v>18</v>
      </c>
      <c r="AP28" s="180">
        <v>1294.2857142857147</v>
      </c>
      <c r="AQ28" s="180">
        <v>71.904761904761926</v>
      </c>
      <c r="AR28" s="182">
        <f t="shared" ref="AR28:AR41" si="29">RANK(AQ28, AQ$24:AQ$41)</f>
        <v>7</v>
      </c>
      <c r="AS28" s="402"/>
      <c r="AT28" s="182">
        <v>18</v>
      </c>
      <c r="AU28" s="180">
        <v>1268.5714285714289</v>
      </c>
      <c r="AV28" s="180">
        <v>70.476190476190496</v>
      </c>
      <c r="AW28" s="182">
        <f t="shared" ref="AW28:AW41" si="30">RANK(AV28, AV$24:AV$41)</f>
        <v>9</v>
      </c>
      <c r="AX28" s="390"/>
      <c r="AZ28" s="182" t="e">
        <f t="shared" si="22"/>
        <v>#N/A</v>
      </c>
      <c r="BA28" s="385"/>
    </row>
    <row r="29" spans="2:53">
      <c r="B29" s="395"/>
      <c r="C29" s="182">
        <v>3</v>
      </c>
      <c r="D29" s="203" t="s">
        <v>352</v>
      </c>
      <c r="E29" s="166">
        <v>17</v>
      </c>
      <c r="F29" s="182">
        <v>1440</v>
      </c>
      <c r="G29" s="180">
        <v>84.7</v>
      </c>
      <c r="H29" s="402"/>
      <c r="I29" s="166">
        <f t="shared" si="19"/>
        <v>17</v>
      </c>
      <c r="J29" s="166">
        <f t="shared" si="20"/>
        <v>1344.4815778118577</v>
      </c>
      <c r="K29" s="180">
        <f t="shared" si="21"/>
        <v>79.08715163599166</v>
      </c>
      <c r="L29" s="402"/>
      <c r="M29" s="181">
        <f>RANK(K29, K$24:$K$41)</f>
        <v>3</v>
      </c>
      <c r="N29" s="389"/>
      <c r="O29" s="389"/>
      <c r="P29" s="182">
        <v>17</v>
      </c>
      <c r="Q29" s="180">
        <v>1378.5245901639339</v>
      </c>
      <c r="R29" s="180">
        <v>81.08968177434906</v>
      </c>
      <c r="S29" s="182">
        <f t="shared" si="24"/>
        <v>3</v>
      </c>
      <c r="T29" s="402"/>
      <c r="U29" s="182">
        <v>17</v>
      </c>
      <c r="V29" s="180">
        <v>1356.2264150943402</v>
      </c>
      <c r="W29" s="180">
        <v>79.778024417314128</v>
      </c>
      <c r="X29" s="182">
        <f t="shared" si="25"/>
        <v>3</v>
      </c>
      <c r="Y29" s="402"/>
      <c r="Z29" s="182">
        <v>17</v>
      </c>
      <c r="AA29" s="180">
        <v>1322.9702970297035</v>
      </c>
      <c r="AB29" s="180">
        <v>77.821782178217859</v>
      </c>
      <c r="AC29" s="182">
        <f t="shared" si="26"/>
        <v>4</v>
      </c>
      <c r="AD29" s="402"/>
      <c r="AE29" s="182">
        <v>17</v>
      </c>
      <c r="AF29" s="180">
        <v>1320.6185567010314</v>
      </c>
      <c r="AG29" s="180">
        <v>77.683444511825371</v>
      </c>
      <c r="AH29" s="182">
        <f t="shared" si="27"/>
        <v>3</v>
      </c>
      <c r="AI29" s="402"/>
      <c r="AJ29" s="182">
        <v>17</v>
      </c>
      <c r="AK29" s="180">
        <v>1331.8867924528308</v>
      </c>
      <c r="AL29" s="180">
        <v>78.346281908990051</v>
      </c>
      <c r="AM29" s="182">
        <f t="shared" si="28"/>
        <v>3</v>
      </c>
      <c r="AN29" s="402"/>
      <c r="AO29" s="182">
        <v>17</v>
      </c>
      <c r="AP29" s="180">
        <v>1362.0967741935478</v>
      </c>
      <c r="AQ29" s="180">
        <v>80.123339658443996</v>
      </c>
      <c r="AR29" s="182">
        <f t="shared" si="29"/>
        <v>3</v>
      </c>
      <c r="AS29" s="402"/>
      <c r="AT29" s="182">
        <v>17</v>
      </c>
      <c r="AU29" s="180">
        <v>1339.0476190476188</v>
      </c>
      <c r="AV29" s="180">
        <v>78.767507002801111</v>
      </c>
      <c r="AW29" s="182">
        <f t="shared" si="30"/>
        <v>3</v>
      </c>
      <c r="AX29" s="390"/>
      <c r="AZ29" s="182" t="e">
        <f t="shared" si="22"/>
        <v>#N/A</v>
      </c>
      <c r="BA29" s="385"/>
    </row>
    <row r="30" spans="2:53">
      <c r="B30" s="395"/>
      <c r="C30" s="182">
        <v>4</v>
      </c>
      <c r="D30" s="203" t="s">
        <v>353</v>
      </c>
      <c r="E30" s="166">
        <v>17</v>
      </c>
      <c r="F30" s="182">
        <v>1440</v>
      </c>
      <c r="G30" s="180">
        <v>84.7</v>
      </c>
      <c r="H30" s="402"/>
      <c r="I30" s="166">
        <f t="shared" si="19"/>
        <v>17.285714285714285</v>
      </c>
      <c r="J30" s="166">
        <f t="shared" si="20"/>
        <v>1290.1024861806072</v>
      </c>
      <c r="K30" s="180">
        <f t="shared" si="21"/>
        <v>74.678072855158263</v>
      </c>
      <c r="L30" s="402"/>
      <c r="M30" s="181">
        <f>RANK(K30, K$24:$K$41)</f>
        <v>4</v>
      </c>
      <c r="N30" s="389"/>
      <c r="O30" s="389"/>
      <c r="P30" s="182">
        <v>18</v>
      </c>
      <c r="Q30" s="180">
        <v>1291.4285714285709</v>
      </c>
      <c r="R30" s="180">
        <v>71.746031746031719</v>
      </c>
      <c r="S30" s="182">
        <f t="shared" si="24"/>
        <v>7</v>
      </c>
      <c r="T30" s="402"/>
      <c r="U30" s="182">
        <v>18</v>
      </c>
      <c r="V30" s="180">
        <v>1301.0526315789464</v>
      </c>
      <c r="W30" s="180">
        <v>72.280701754385916</v>
      </c>
      <c r="X30" s="182">
        <f t="shared" si="25"/>
        <v>7</v>
      </c>
      <c r="Y30" s="402"/>
      <c r="Z30" s="182">
        <v>17</v>
      </c>
      <c r="AA30" s="180">
        <v>1323.1578947368412</v>
      </c>
      <c r="AB30" s="180">
        <v>77.83281733746125</v>
      </c>
      <c r="AC30" s="182">
        <f t="shared" si="26"/>
        <v>3</v>
      </c>
      <c r="AD30" s="402"/>
      <c r="AE30" s="182">
        <v>17</v>
      </c>
      <c r="AF30" s="180">
        <v>1273.9999999999977</v>
      </c>
      <c r="AG30" s="180">
        <v>74.941176470588104</v>
      </c>
      <c r="AH30" s="182">
        <f t="shared" si="27"/>
        <v>5</v>
      </c>
      <c r="AI30" s="402"/>
      <c r="AJ30" s="182">
        <v>17</v>
      </c>
      <c r="AK30" s="180">
        <v>1256.842105263157</v>
      </c>
      <c r="AL30" s="180">
        <v>73.931888544891592</v>
      </c>
      <c r="AM30" s="182">
        <f t="shared" si="28"/>
        <v>5</v>
      </c>
      <c r="AN30" s="402"/>
      <c r="AO30" s="182">
        <v>17</v>
      </c>
      <c r="AP30" s="180">
        <v>1297.8947368421043</v>
      </c>
      <c r="AQ30" s="180">
        <v>76.346749226006139</v>
      </c>
      <c r="AR30" s="182">
        <f t="shared" si="29"/>
        <v>4</v>
      </c>
      <c r="AS30" s="402"/>
      <c r="AT30" s="182">
        <v>17</v>
      </c>
      <c r="AU30" s="180">
        <v>1286.3414634146336</v>
      </c>
      <c r="AV30" s="180">
        <v>75.667144906743147</v>
      </c>
      <c r="AW30" s="182">
        <f t="shared" si="30"/>
        <v>4</v>
      </c>
      <c r="AX30" s="390"/>
      <c r="AZ30" s="182" t="e">
        <f t="shared" si="22"/>
        <v>#N/A</v>
      </c>
      <c r="BA30" s="385"/>
    </row>
    <row r="31" spans="2:53">
      <c r="B31" s="395"/>
      <c r="C31" s="182">
        <v>5</v>
      </c>
      <c r="D31" s="203" t="s">
        <v>354</v>
      </c>
      <c r="E31" s="166">
        <v>21</v>
      </c>
      <c r="F31" s="182">
        <v>1385</v>
      </c>
      <c r="G31" s="180">
        <v>65.900000000000006</v>
      </c>
      <c r="H31" s="402"/>
      <c r="I31" s="166">
        <f t="shared" si="19"/>
        <v>21</v>
      </c>
      <c r="J31" s="166">
        <f t="shared" si="20"/>
        <v>1283.090940774468</v>
      </c>
      <c r="K31" s="180">
        <f t="shared" si="21"/>
        <v>61.099568608308005</v>
      </c>
      <c r="L31" s="402"/>
      <c r="M31" s="181">
        <f>RANK(K31, K$24:$K$41)</f>
        <v>12</v>
      </c>
      <c r="N31" s="389"/>
      <c r="O31" s="389"/>
      <c r="P31" s="182">
        <v>21</v>
      </c>
      <c r="Q31" s="180">
        <v>1182.2800000000041</v>
      </c>
      <c r="R31" s="180">
        <v>56.299047619047812</v>
      </c>
      <c r="S31" s="182">
        <f t="shared" si="24"/>
        <v>12</v>
      </c>
      <c r="T31" s="402"/>
      <c r="U31" s="182">
        <v>21</v>
      </c>
      <c r="V31" s="180">
        <v>1281.5094339622649</v>
      </c>
      <c r="W31" s="180">
        <v>61.024258760107855</v>
      </c>
      <c r="X31" s="182">
        <f t="shared" si="25"/>
        <v>12</v>
      </c>
      <c r="Y31" s="402"/>
      <c r="Z31" s="182">
        <v>21</v>
      </c>
      <c r="AA31" s="180">
        <v>1287.1428571428567</v>
      </c>
      <c r="AB31" s="180">
        <v>61.292517006802697</v>
      </c>
      <c r="AC31" s="182">
        <f t="shared" si="26"/>
        <v>12</v>
      </c>
      <c r="AD31" s="402"/>
      <c r="AE31" s="182">
        <v>21</v>
      </c>
      <c r="AF31" s="180">
        <v>1304.4705882352939</v>
      </c>
      <c r="AG31" s="180">
        <v>62.117647058823522</v>
      </c>
      <c r="AH31" s="182">
        <f t="shared" si="27"/>
        <v>11</v>
      </c>
      <c r="AI31" s="402"/>
      <c r="AJ31" s="182">
        <v>21</v>
      </c>
      <c r="AK31" s="180">
        <v>1315.882352941177</v>
      </c>
      <c r="AL31" s="180">
        <v>62.661064425770334</v>
      </c>
      <c r="AM31" s="182">
        <f t="shared" si="28"/>
        <v>11</v>
      </c>
      <c r="AN31" s="402"/>
      <c r="AO31" s="182">
        <v>21</v>
      </c>
      <c r="AP31" s="180">
        <v>1311.0236220472439</v>
      </c>
      <c r="AQ31" s="180">
        <v>62.429696287963992</v>
      </c>
      <c r="AR31" s="182">
        <f t="shared" si="29"/>
        <v>12</v>
      </c>
      <c r="AS31" s="402"/>
      <c r="AT31" s="182">
        <v>21</v>
      </c>
      <c r="AU31" s="180">
        <v>1299.3277310924364</v>
      </c>
      <c r="AV31" s="180">
        <v>61.872749099639826</v>
      </c>
      <c r="AW31" s="182">
        <f t="shared" si="30"/>
        <v>12</v>
      </c>
      <c r="AX31" s="390"/>
      <c r="AZ31" s="182" t="e">
        <f t="shared" si="22"/>
        <v>#N/A</v>
      </c>
      <c r="BA31" s="385"/>
    </row>
    <row r="32" spans="2:53">
      <c r="B32" s="395"/>
      <c r="C32" s="182">
        <v>6</v>
      </c>
      <c r="D32" s="203" t="s">
        <v>355</v>
      </c>
      <c r="E32" s="166">
        <v>19</v>
      </c>
      <c r="F32" s="182">
        <v>1440</v>
      </c>
      <c r="G32" s="180">
        <v>75.8</v>
      </c>
      <c r="H32" s="402"/>
      <c r="I32" s="166">
        <f t="shared" si="19"/>
        <v>19</v>
      </c>
      <c r="J32" s="166">
        <f t="shared" si="20"/>
        <v>1358.2887102663028</v>
      </c>
      <c r="K32" s="180">
        <f t="shared" si="21"/>
        <v>71.488879487700146</v>
      </c>
      <c r="L32" s="402"/>
      <c r="M32" s="181">
        <f>RANK(K32, K$24:$K$41)</f>
        <v>8</v>
      </c>
      <c r="N32" s="389"/>
      <c r="O32" s="389"/>
      <c r="P32" s="182">
        <v>19</v>
      </c>
      <c r="Q32" s="180">
        <v>1361.842105263157</v>
      </c>
      <c r="R32" s="180">
        <v>71.675900277008267</v>
      </c>
      <c r="S32" s="182">
        <f t="shared" si="24"/>
        <v>8</v>
      </c>
      <c r="T32" s="402"/>
      <c r="U32" s="182">
        <v>19</v>
      </c>
      <c r="V32" s="180">
        <v>1358.4615384615377</v>
      </c>
      <c r="W32" s="180">
        <v>71.497975708501983</v>
      </c>
      <c r="X32" s="182">
        <f t="shared" si="25"/>
        <v>8</v>
      </c>
      <c r="Y32" s="402"/>
      <c r="Z32" s="182">
        <v>19</v>
      </c>
      <c r="AA32" s="180">
        <v>1336.6666666666656</v>
      </c>
      <c r="AB32" s="180">
        <v>70.350877192982395</v>
      </c>
      <c r="AC32" s="182">
        <f t="shared" si="26"/>
        <v>9</v>
      </c>
      <c r="AD32" s="402"/>
      <c r="AE32" s="182">
        <v>19</v>
      </c>
      <c r="AF32" s="180">
        <v>1363.1250000000016</v>
      </c>
      <c r="AG32" s="180">
        <v>71.74342105263166</v>
      </c>
      <c r="AH32" s="182">
        <f t="shared" si="27"/>
        <v>8</v>
      </c>
      <c r="AI32" s="402"/>
      <c r="AJ32" s="182">
        <v>19</v>
      </c>
      <c r="AK32" s="180">
        <v>1369.411764705884</v>
      </c>
      <c r="AL32" s="180">
        <v>72.074303405572849</v>
      </c>
      <c r="AM32" s="182">
        <f t="shared" si="28"/>
        <v>8</v>
      </c>
      <c r="AN32" s="402"/>
      <c r="AO32" s="182">
        <v>19</v>
      </c>
      <c r="AP32" s="180">
        <v>1360.4651162790694</v>
      </c>
      <c r="AQ32" s="180">
        <v>71.603427172582599</v>
      </c>
      <c r="AR32" s="182">
        <f t="shared" si="29"/>
        <v>8</v>
      </c>
      <c r="AS32" s="402"/>
      <c r="AT32" s="182">
        <v>19</v>
      </c>
      <c r="AU32" s="180">
        <v>1358.0487804878044</v>
      </c>
      <c r="AV32" s="180">
        <v>71.476251604621282</v>
      </c>
      <c r="AW32" s="182">
        <f t="shared" si="30"/>
        <v>8</v>
      </c>
      <c r="AX32" s="390"/>
      <c r="AZ32" s="182" t="e">
        <f t="shared" si="22"/>
        <v>#N/A</v>
      </c>
      <c r="BA32" s="385"/>
    </row>
    <row r="33" spans="2:53">
      <c r="B33" s="395"/>
      <c r="C33" s="182">
        <v>7</v>
      </c>
      <c r="D33" s="203" t="s">
        <v>505</v>
      </c>
      <c r="E33" s="166">
        <v>18</v>
      </c>
      <c r="F33" s="182">
        <v>1385</v>
      </c>
      <c r="G33" s="180">
        <v>76.900000000000006</v>
      </c>
      <c r="H33" s="402"/>
      <c r="I33" s="166">
        <f t="shared" si="19"/>
        <v>18</v>
      </c>
      <c r="J33" s="166">
        <f t="shared" si="20"/>
        <v>1291.9152538937608</v>
      </c>
      <c r="K33" s="180">
        <f t="shared" si="21"/>
        <v>71.773069660764477</v>
      </c>
      <c r="L33" s="402"/>
      <c r="M33" s="181">
        <f>RANK(K33, K$24:$K$41)</f>
        <v>7</v>
      </c>
      <c r="N33" s="389"/>
      <c r="O33" s="389"/>
      <c r="P33" s="182">
        <v>18</v>
      </c>
      <c r="Q33" s="180">
        <v>1238.2499999999995</v>
      </c>
      <c r="R33" s="180">
        <v>68.791666666666643</v>
      </c>
      <c r="S33" s="182">
        <f t="shared" si="24"/>
        <v>11</v>
      </c>
      <c r="T33" s="402"/>
      <c r="U33" s="182">
        <v>18</v>
      </c>
      <c r="V33" s="180">
        <v>1304.9999999999982</v>
      </c>
      <c r="W33" s="180">
        <v>72.499999999999901</v>
      </c>
      <c r="X33" s="182">
        <f t="shared" si="25"/>
        <v>6</v>
      </c>
      <c r="Y33" s="402"/>
      <c r="Z33" s="182">
        <v>18</v>
      </c>
      <c r="AA33" s="180">
        <v>1312.3809523809537</v>
      </c>
      <c r="AB33" s="180">
        <v>72.910052910052983</v>
      </c>
      <c r="AC33" s="182">
        <f t="shared" si="26"/>
        <v>6</v>
      </c>
      <c r="AD33" s="402"/>
      <c r="AE33" s="182">
        <v>18</v>
      </c>
      <c r="AF33" s="180">
        <v>1292.5423728813571</v>
      </c>
      <c r="AG33" s="180">
        <v>71.807909604519836</v>
      </c>
      <c r="AH33" s="182">
        <f t="shared" si="27"/>
        <v>7</v>
      </c>
      <c r="AI33" s="402"/>
      <c r="AJ33" s="182">
        <v>18</v>
      </c>
      <c r="AK33" s="180">
        <v>1309.5238095238108</v>
      </c>
      <c r="AL33" s="180">
        <v>72.751322751322817</v>
      </c>
      <c r="AM33" s="182">
        <f t="shared" si="28"/>
        <v>6</v>
      </c>
      <c r="AN33" s="402"/>
      <c r="AO33" s="182">
        <v>18</v>
      </c>
      <c r="AP33" s="180">
        <v>1279.2307692307686</v>
      </c>
      <c r="AQ33" s="180">
        <v>71.06837606837604</v>
      </c>
      <c r="AR33" s="182">
        <f t="shared" si="29"/>
        <v>9</v>
      </c>
      <c r="AS33" s="402"/>
      <c r="AT33" s="182">
        <v>18</v>
      </c>
      <c r="AU33" s="180">
        <v>1306.4788732394354</v>
      </c>
      <c r="AV33" s="180">
        <v>72.58215962441308</v>
      </c>
      <c r="AW33" s="182">
        <f t="shared" si="30"/>
        <v>6</v>
      </c>
      <c r="AX33" s="390"/>
      <c r="AZ33" s="182" t="e">
        <f t="shared" si="22"/>
        <v>#N/A</v>
      </c>
      <c r="BA33" s="385"/>
    </row>
    <row r="34" spans="2:53">
      <c r="B34" s="395"/>
      <c r="C34" s="182">
        <v>8</v>
      </c>
      <c r="D34" s="203" t="s">
        <v>508</v>
      </c>
      <c r="E34" s="166">
        <v>18</v>
      </c>
      <c r="F34" s="182">
        <v>1385</v>
      </c>
      <c r="G34" s="180">
        <v>76.900000000000006</v>
      </c>
      <c r="H34" s="402"/>
      <c r="I34" s="166">
        <f t="shared" si="19"/>
        <v>18</v>
      </c>
      <c r="J34" s="166">
        <f t="shared" si="20"/>
        <v>1238.2471620333511</v>
      </c>
      <c r="K34" s="180">
        <f t="shared" si="21"/>
        <v>68.791509001852845</v>
      </c>
      <c r="L34" s="402"/>
      <c r="M34" s="181">
        <f>RANK(K34, K$24:$K$41)</f>
        <v>10</v>
      </c>
      <c r="N34" s="389"/>
      <c r="O34" s="389"/>
      <c r="P34" s="182">
        <v>18</v>
      </c>
      <c r="Q34" s="180">
        <v>1256.0869565217392</v>
      </c>
      <c r="R34" s="180">
        <v>69.782608695652186</v>
      </c>
      <c r="S34" s="182">
        <f t="shared" si="24"/>
        <v>10</v>
      </c>
      <c r="T34" s="402"/>
      <c r="U34" s="182">
        <v>18</v>
      </c>
      <c r="V34" s="180">
        <v>1232.8571428571424</v>
      </c>
      <c r="W34" s="180">
        <v>68.492063492063465</v>
      </c>
      <c r="X34" s="182">
        <f t="shared" si="25"/>
        <v>11</v>
      </c>
      <c r="Y34" s="402"/>
      <c r="Z34" s="182">
        <v>18</v>
      </c>
      <c r="AA34" s="180">
        <v>1248.5714285714282</v>
      </c>
      <c r="AB34" s="180">
        <v>69.365079365079339</v>
      </c>
      <c r="AC34" s="182">
        <f t="shared" si="26"/>
        <v>11</v>
      </c>
      <c r="AD34" s="402"/>
      <c r="AE34" s="182">
        <v>18</v>
      </c>
      <c r="AF34" s="180">
        <v>1231.5789473684201</v>
      </c>
      <c r="AG34" s="180">
        <v>68.421052631578902</v>
      </c>
      <c r="AH34" s="182">
        <f t="shared" si="27"/>
        <v>10</v>
      </c>
      <c r="AI34" s="402"/>
      <c r="AJ34" s="182">
        <v>18</v>
      </c>
      <c r="AK34" s="180">
        <v>1229.3023255813951</v>
      </c>
      <c r="AL34" s="180">
        <v>68.294573643410843</v>
      </c>
      <c r="AM34" s="182">
        <f t="shared" si="28"/>
        <v>10</v>
      </c>
      <c r="AN34" s="402"/>
      <c r="AO34" s="182">
        <v>18</v>
      </c>
      <c r="AP34" s="180">
        <v>1240</v>
      </c>
      <c r="AQ34" s="180">
        <v>68.888888888888886</v>
      </c>
      <c r="AR34" s="182">
        <f t="shared" si="29"/>
        <v>11</v>
      </c>
      <c r="AS34" s="402"/>
      <c r="AT34" s="182">
        <v>18</v>
      </c>
      <c r="AU34" s="180">
        <v>1229.3333333333333</v>
      </c>
      <c r="AV34" s="180">
        <v>68.296296296296291</v>
      </c>
      <c r="AW34" s="182">
        <f t="shared" si="30"/>
        <v>11</v>
      </c>
      <c r="AX34" s="390"/>
      <c r="AZ34" s="182" t="e">
        <f t="shared" si="22"/>
        <v>#N/A</v>
      </c>
      <c r="BA34" s="385"/>
    </row>
    <row r="35" spans="2:53">
      <c r="B35" s="395"/>
      <c r="C35" s="182">
        <v>9</v>
      </c>
      <c r="D35" s="203" t="s">
        <v>529</v>
      </c>
      <c r="E35" s="166">
        <v>16</v>
      </c>
      <c r="F35" s="182">
        <v>1440</v>
      </c>
      <c r="G35" s="180">
        <v>90</v>
      </c>
      <c r="H35" s="402"/>
      <c r="I35" s="166">
        <f t="shared" si="19"/>
        <v>16</v>
      </c>
      <c r="J35" s="166">
        <f t="shared" si="20"/>
        <v>1340.274685964617</v>
      </c>
      <c r="K35" s="180">
        <f t="shared" si="21"/>
        <v>83.767167872788562</v>
      </c>
      <c r="L35" s="402"/>
      <c r="M35" s="181">
        <f>RANK(K35, K$24:$K$41)</f>
        <v>2</v>
      </c>
      <c r="N35" s="389"/>
      <c r="O35" s="389"/>
      <c r="P35" s="182">
        <v>16</v>
      </c>
      <c r="Q35" s="180">
        <v>1368.4799999999998</v>
      </c>
      <c r="R35" s="180">
        <v>85.529999999999987</v>
      </c>
      <c r="S35" s="182">
        <f t="shared" si="24"/>
        <v>2</v>
      </c>
      <c r="T35" s="402"/>
      <c r="U35" s="182">
        <v>16</v>
      </c>
      <c r="V35" s="180">
        <v>1353.6842105263167</v>
      </c>
      <c r="W35" s="180">
        <v>84.605263157894797</v>
      </c>
      <c r="X35" s="182">
        <f t="shared" si="25"/>
        <v>2</v>
      </c>
      <c r="Y35" s="402"/>
      <c r="Z35" s="182">
        <v>16</v>
      </c>
      <c r="AA35" s="180">
        <v>1330.8510638297876</v>
      </c>
      <c r="AB35" s="180">
        <v>83.178191489361723</v>
      </c>
      <c r="AC35" s="182">
        <f t="shared" si="26"/>
        <v>2</v>
      </c>
      <c r="AD35" s="402"/>
      <c r="AE35" s="182">
        <v>16</v>
      </c>
      <c r="AF35" s="180">
        <v>1326.1855670103096</v>
      </c>
      <c r="AG35" s="180">
        <v>82.886597938144348</v>
      </c>
      <c r="AH35" s="182">
        <f t="shared" si="27"/>
        <v>2</v>
      </c>
      <c r="AI35" s="402"/>
      <c r="AJ35" s="182">
        <v>16</v>
      </c>
      <c r="AK35" s="180">
        <v>1319.4174757281558</v>
      </c>
      <c r="AL35" s="180">
        <v>82.463592233009734</v>
      </c>
      <c r="AM35" s="182">
        <f t="shared" si="28"/>
        <v>2</v>
      </c>
      <c r="AN35" s="402"/>
      <c r="AO35" s="182">
        <v>16</v>
      </c>
      <c r="AP35" s="180">
        <v>1349.7560975609751</v>
      </c>
      <c r="AQ35" s="180">
        <v>84.359756097560947</v>
      </c>
      <c r="AR35" s="182">
        <f t="shared" si="29"/>
        <v>2</v>
      </c>
      <c r="AS35" s="402"/>
      <c r="AT35" s="182">
        <v>16</v>
      </c>
      <c r="AU35" s="180">
        <v>1333.5483870967737</v>
      </c>
      <c r="AV35" s="180">
        <v>83.346774193548356</v>
      </c>
      <c r="AW35" s="182">
        <f t="shared" si="30"/>
        <v>2</v>
      </c>
      <c r="AX35" s="390"/>
      <c r="AZ35" s="182" t="e">
        <f t="shared" si="22"/>
        <v>#N/A</v>
      </c>
      <c r="BA35" s="385"/>
    </row>
    <row r="36" spans="2:53">
      <c r="B36" s="395"/>
      <c r="C36" s="182">
        <v>10</v>
      </c>
      <c r="D36" s="203" t="s">
        <v>593</v>
      </c>
      <c r="E36" s="166">
        <v>19</v>
      </c>
      <c r="F36" s="182">
        <v>1440</v>
      </c>
      <c r="G36" s="180">
        <v>75.8</v>
      </c>
      <c r="H36" s="402"/>
      <c r="I36" s="166">
        <f t="shared" si="19"/>
        <v>19</v>
      </c>
      <c r="J36" s="166">
        <f t="shared" si="20"/>
        <v>1324.7081938717179</v>
      </c>
      <c r="K36" s="180">
        <f t="shared" si="21"/>
        <v>69.721483887985158</v>
      </c>
      <c r="L36" s="402"/>
      <c r="M36" s="181">
        <f>RANK(K36, K$24:$K$41)</f>
        <v>9</v>
      </c>
      <c r="N36" s="389"/>
      <c r="O36" s="389"/>
      <c r="P36" s="182">
        <v>19</v>
      </c>
      <c r="Q36" s="180">
        <v>1334.9538461538459</v>
      </c>
      <c r="R36" s="180">
        <v>70.260728744939257</v>
      </c>
      <c r="S36" s="182">
        <f t="shared" si="24"/>
        <v>9</v>
      </c>
      <c r="T36" s="402"/>
      <c r="U36" s="182">
        <v>19</v>
      </c>
      <c r="V36" s="180">
        <v>1319.3818181818185</v>
      </c>
      <c r="W36" s="180">
        <v>69.441148325358867</v>
      </c>
      <c r="X36" s="182">
        <f t="shared" si="25"/>
        <v>10</v>
      </c>
      <c r="Y36" s="402"/>
      <c r="Z36" s="182">
        <v>19</v>
      </c>
      <c r="AA36" s="180">
        <v>1324.7658227848101</v>
      </c>
      <c r="AB36" s="180">
        <v>69.72451698867421</v>
      </c>
      <c r="AC36" s="182">
        <f t="shared" si="26"/>
        <v>10</v>
      </c>
      <c r="AD36" s="402"/>
      <c r="AE36" s="182">
        <v>19</v>
      </c>
      <c r="AF36" s="180">
        <v>1317.2448979591834</v>
      </c>
      <c r="AG36" s="180">
        <v>69.328678839957021</v>
      </c>
      <c r="AH36" s="182">
        <f t="shared" si="27"/>
        <v>9</v>
      </c>
      <c r="AI36" s="402"/>
      <c r="AJ36" s="182">
        <v>19</v>
      </c>
      <c r="AK36" s="180">
        <v>1333.5974025974026</v>
      </c>
      <c r="AL36" s="180">
        <v>70.189336978810658</v>
      </c>
      <c r="AM36" s="182">
        <f t="shared" si="28"/>
        <v>9</v>
      </c>
      <c r="AN36" s="402"/>
      <c r="AO36" s="182">
        <v>19</v>
      </c>
      <c r="AP36" s="180">
        <v>1318.4516129032256</v>
      </c>
      <c r="AQ36" s="180">
        <v>69.392190152801348</v>
      </c>
      <c r="AR36" s="182">
        <f t="shared" si="29"/>
        <v>10</v>
      </c>
      <c r="AS36" s="402"/>
      <c r="AT36" s="182">
        <v>19</v>
      </c>
      <c r="AU36" s="180">
        <v>1324.5619565217391</v>
      </c>
      <c r="AV36" s="180">
        <v>69.71378718535469</v>
      </c>
      <c r="AW36" s="182">
        <f t="shared" si="30"/>
        <v>10</v>
      </c>
      <c r="AX36" s="390"/>
      <c r="AZ36" s="182" t="e">
        <f t="shared" si="22"/>
        <v>#N/A</v>
      </c>
      <c r="BA36" s="385"/>
    </row>
    <row r="37" spans="2:53">
      <c r="B37" s="395"/>
      <c r="C37" s="182">
        <v>11</v>
      </c>
      <c r="D37" s="203" t="s">
        <v>631</v>
      </c>
      <c r="E37" s="166">
        <v>19</v>
      </c>
      <c r="F37" s="182">
        <v>1440</v>
      </c>
      <c r="G37" s="180">
        <v>75.8</v>
      </c>
      <c r="H37" s="402"/>
      <c r="I37" s="166">
        <f t="shared" si="19"/>
        <v>18.142857142857142</v>
      </c>
      <c r="J37" s="166">
        <f t="shared" si="20"/>
        <v>1237.7642644006041</v>
      </c>
      <c r="K37" s="180">
        <f t="shared" si="21"/>
        <v>68.308071079899904</v>
      </c>
      <c r="L37" s="402"/>
      <c r="M37" s="181">
        <f>RANK(K37, K$24:$K$41)</f>
        <v>11</v>
      </c>
      <c r="N37" s="389"/>
      <c r="O37" s="389"/>
      <c r="P37" s="182">
        <v>18</v>
      </c>
      <c r="Q37" s="180">
        <v>1299.3749999999982</v>
      </c>
      <c r="R37" s="180">
        <v>72.187499999999901</v>
      </c>
      <c r="S37" s="182">
        <f t="shared" si="24"/>
        <v>6</v>
      </c>
      <c r="T37" s="402"/>
      <c r="U37" s="182">
        <v>18</v>
      </c>
      <c r="V37" s="180">
        <v>1285.1612903225787</v>
      </c>
      <c r="W37" s="180">
        <v>71.397849462365485</v>
      </c>
      <c r="X37" s="182">
        <f t="shared" si="25"/>
        <v>9</v>
      </c>
      <c r="Y37" s="402"/>
      <c r="Z37" s="182">
        <v>18</v>
      </c>
      <c r="AA37" s="180">
        <v>1295.172413793101</v>
      </c>
      <c r="AB37" s="180">
        <v>71.954022988505614</v>
      </c>
      <c r="AC37" s="182">
        <f t="shared" si="26"/>
        <v>8</v>
      </c>
      <c r="AD37" s="402"/>
      <c r="AE37" s="182">
        <v>18</v>
      </c>
      <c r="AF37" s="180">
        <v>1095.5555555555529</v>
      </c>
      <c r="AG37" s="180">
        <v>60.864197530864054</v>
      </c>
      <c r="AH37" s="182">
        <f t="shared" si="27"/>
        <v>12</v>
      </c>
      <c r="AI37" s="402"/>
      <c r="AJ37" s="182">
        <v>19</v>
      </c>
      <c r="AK37" s="180">
        <v>1093.1249999999984</v>
      </c>
      <c r="AL37" s="180">
        <v>57.532894736842024</v>
      </c>
      <c r="AM37" s="182">
        <f t="shared" si="28"/>
        <v>12</v>
      </c>
      <c r="AN37" s="402"/>
      <c r="AO37" s="182">
        <v>18</v>
      </c>
      <c r="AP37" s="180">
        <v>1302.8571428571402</v>
      </c>
      <c r="AQ37" s="180">
        <v>72.380952380952237</v>
      </c>
      <c r="AR37" s="182">
        <f t="shared" si="29"/>
        <v>6</v>
      </c>
      <c r="AS37" s="402"/>
      <c r="AT37" s="182">
        <v>18</v>
      </c>
      <c r="AU37" s="180">
        <v>1293.1034482758596</v>
      </c>
      <c r="AV37" s="180">
        <v>71.839080459769974</v>
      </c>
      <c r="AW37" s="182">
        <f t="shared" si="30"/>
        <v>7</v>
      </c>
      <c r="AX37" s="390"/>
      <c r="AZ37" s="182" t="e">
        <f t="shared" si="22"/>
        <v>#N/A</v>
      </c>
      <c r="BA37" s="385"/>
    </row>
    <row r="38" spans="2:53">
      <c r="B38" s="395"/>
      <c r="C38" s="182">
        <v>12</v>
      </c>
      <c r="D38" s="203" t="s">
        <v>638</v>
      </c>
      <c r="E38" s="166">
        <v>15</v>
      </c>
      <c r="F38" s="182">
        <v>1440</v>
      </c>
      <c r="G38" s="180">
        <v>96</v>
      </c>
      <c r="H38" s="402"/>
      <c r="I38" s="166">
        <f t="shared" si="19"/>
        <v>15</v>
      </c>
      <c r="J38" s="166">
        <f t="shared" si="20"/>
        <v>1345.5956740754511</v>
      </c>
      <c r="K38" s="180">
        <f t="shared" si="21"/>
        <v>89.706378271696735</v>
      </c>
      <c r="L38" s="402"/>
      <c r="M38" s="181">
        <f>RANK(K38, K$24:$K$41)</f>
        <v>1</v>
      </c>
      <c r="N38" s="389"/>
      <c r="O38" s="389"/>
      <c r="P38" s="182">
        <v>15</v>
      </c>
      <c r="Q38" s="180">
        <v>1360.8750000000007</v>
      </c>
      <c r="R38" s="180">
        <v>90.725000000000051</v>
      </c>
      <c r="S38" s="182">
        <f t="shared" si="24"/>
        <v>1</v>
      </c>
      <c r="T38" s="402"/>
      <c r="U38" s="182">
        <v>15</v>
      </c>
      <c r="V38" s="180">
        <v>1355.4574468085111</v>
      </c>
      <c r="W38" s="180">
        <v>90.363829787234081</v>
      </c>
      <c r="X38" s="182">
        <f t="shared" si="25"/>
        <v>1</v>
      </c>
      <c r="Y38" s="402"/>
      <c r="Z38" s="182">
        <v>15</v>
      </c>
      <c r="AA38" s="180">
        <v>1360.1797752808989</v>
      </c>
      <c r="AB38" s="180">
        <v>90.678651685393262</v>
      </c>
      <c r="AC38" s="182">
        <f t="shared" si="26"/>
        <v>1</v>
      </c>
      <c r="AD38" s="402"/>
      <c r="AE38" s="182">
        <v>15</v>
      </c>
      <c r="AF38" s="180">
        <v>1335.9999999999993</v>
      </c>
      <c r="AG38" s="180">
        <v>89.06666666666662</v>
      </c>
      <c r="AH38" s="182">
        <f t="shared" si="27"/>
        <v>1</v>
      </c>
      <c r="AI38" s="402"/>
      <c r="AJ38" s="182">
        <v>15</v>
      </c>
      <c r="AK38" s="180">
        <v>1349.5925925925922</v>
      </c>
      <c r="AL38" s="180">
        <v>89.972839506172804</v>
      </c>
      <c r="AM38" s="182">
        <f t="shared" si="28"/>
        <v>1</v>
      </c>
      <c r="AN38" s="402"/>
      <c r="AO38" s="182">
        <v>15</v>
      </c>
      <c r="AP38" s="180">
        <v>1353.2187500000005</v>
      </c>
      <c r="AQ38" s="180">
        <v>90.214583333333366</v>
      </c>
      <c r="AR38" s="182">
        <f t="shared" si="29"/>
        <v>1</v>
      </c>
      <c r="AS38" s="402"/>
      <c r="AT38" s="182">
        <v>15</v>
      </c>
      <c r="AU38" s="180">
        <v>1303.8461538461538</v>
      </c>
      <c r="AV38" s="180">
        <v>86.92307692307692</v>
      </c>
      <c r="AW38" s="182">
        <f t="shared" si="30"/>
        <v>1</v>
      </c>
      <c r="AX38" s="390"/>
      <c r="AZ38" s="182" t="e">
        <f t="shared" si="22"/>
        <v>#N/A</v>
      </c>
      <c r="BA38" s="385"/>
    </row>
    <row r="39" spans="2:53">
      <c r="B39" s="395"/>
      <c r="C39" s="182">
        <v>13</v>
      </c>
      <c r="D39" s="203"/>
      <c r="E39" s="166"/>
      <c r="F39" s="182"/>
      <c r="G39" s="180"/>
      <c r="H39" s="402"/>
      <c r="I39" s="166" t="str">
        <f t="shared" si="19"/>
        <v>-</v>
      </c>
      <c r="J39" s="166" t="str">
        <f t="shared" si="20"/>
        <v>-</v>
      </c>
      <c r="K39" s="180" t="str">
        <f t="shared" si="21"/>
        <v>-</v>
      </c>
      <c r="L39" s="402"/>
      <c r="M39" s="181" t="e">
        <f>RANK(K39, K$24:$K$41)</f>
        <v>#VALUE!</v>
      </c>
      <c r="N39" s="389"/>
      <c r="O39" s="389"/>
      <c r="P39" s="182"/>
      <c r="Q39" s="180"/>
      <c r="R39" s="180"/>
      <c r="S39" s="182" t="e">
        <f t="shared" si="24"/>
        <v>#N/A</v>
      </c>
      <c r="T39" s="402"/>
      <c r="U39" s="182"/>
      <c r="V39" s="180"/>
      <c r="W39" s="180"/>
      <c r="X39" s="182" t="e">
        <f t="shared" si="25"/>
        <v>#N/A</v>
      </c>
      <c r="Y39" s="402"/>
      <c r="Z39" s="182"/>
      <c r="AA39" s="180"/>
      <c r="AB39" s="180"/>
      <c r="AC39" s="182" t="e">
        <f t="shared" si="26"/>
        <v>#N/A</v>
      </c>
      <c r="AD39" s="402"/>
      <c r="AE39" s="182"/>
      <c r="AF39" s="180"/>
      <c r="AG39" s="180"/>
      <c r="AH39" s="182" t="e">
        <f t="shared" si="27"/>
        <v>#N/A</v>
      </c>
      <c r="AI39" s="402"/>
      <c r="AJ39" s="182"/>
      <c r="AK39" s="180"/>
      <c r="AL39" s="180"/>
      <c r="AM39" s="182" t="e">
        <f t="shared" si="28"/>
        <v>#N/A</v>
      </c>
      <c r="AN39" s="402"/>
      <c r="AO39" s="182"/>
      <c r="AP39" s="180"/>
      <c r="AQ39" s="180"/>
      <c r="AR39" s="182" t="e">
        <f t="shared" si="29"/>
        <v>#N/A</v>
      </c>
      <c r="AS39" s="402"/>
      <c r="AT39" s="182"/>
      <c r="AU39" s="180"/>
      <c r="AV39" s="180"/>
      <c r="AW39" s="182" t="e">
        <f t="shared" si="30"/>
        <v>#N/A</v>
      </c>
      <c r="AX39" s="390"/>
      <c r="AZ39" s="182" t="e">
        <f t="shared" si="22"/>
        <v>#N/A</v>
      </c>
      <c r="BA39" s="385"/>
    </row>
    <row r="40" spans="2:53">
      <c r="B40" s="395"/>
      <c r="C40" s="182">
        <v>14</v>
      </c>
      <c r="D40" s="203"/>
      <c r="E40" s="166"/>
      <c r="F40" s="182"/>
      <c r="G40" s="180"/>
      <c r="H40" s="402"/>
      <c r="I40" s="166" t="str">
        <f t="shared" si="19"/>
        <v>-</v>
      </c>
      <c r="J40" s="166" t="str">
        <f t="shared" si="20"/>
        <v>-</v>
      </c>
      <c r="K40" s="180" t="str">
        <f t="shared" si="21"/>
        <v>-</v>
      </c>
      <c r="L40" s="402"/>
      <c r="M40" s="181" t="e">
        <f>RANK(K40, K$24:$K$41)</f>
        <v>#VALUE!</v>
      </c>
      <c r="N40" s="389"/>
      <c r="O40" s="389"/>
      <c r="P40" s="182"/>
      <c r="Q40" s="180"/>
      <c r="R40" s="180"/>
      <c r="S40" s="182" t="e">
        <f t="shared" si="24"/>
        <v>#N/A</v>
      </c>
      <c r="T40" s="402"/>
      <c r="U40" s="182"/>
      <c r="V40" s="180"/>
      <c r="W40" s="180"/>
      <c r="X40" s="182" t="e">
        <f t="shared" si="25"/>
        <v>#N/A</v>
      </c>
      <c r="Y40" s="402"/>
      <c r="Z40" s="182"/>
      <c r="AA40" s="180"/>
      <c r="AB40" s="180"/>
      <c r="AC40" s="182" t="e">
        <f t="shared" si="26"/>
        <v>#N/A</v>
      </c>
      <c r="AD40" s="402"/>
      <c r="AE40" s="182"/>
      <c r="AF40" s="180"/>
      <c r="AG40" s="180"/>
      <c r="AH40" s="182" t="e">
        <f t="shared" si="27"/>
        <v>#N/A</v>
      </c>
      <c r="AI40" s="402"/>
      <c r="AJ40" s="182"/>
      <c r="AK40" s="180"/>
      <c r="AL40" s="180"/>
      <c r="AM40" s="182" t="e">
        <f t="shared" si="28"/>
        <v>#N/A</v>
      </c>
      <c r="AN40" s="402"/>
      <c r="AO40" s="182"/>
      <c r="AP40" s="180"/>
      <c r="AQ40" s="180"/>
      <c r="AR40" s="182" t="e">
        <f t="shared" si="29"/>
        <v>#N/A</v>
      </c>
      <c r="AS40" s="402"/>
      <c r="AT40" s="182"/>
      <c r="AU40" s="180"/>
      <c r="AV40" s="180"/>
      <c r="AW40" s="182" t="e">
        <f t="shared" si="30"/>
        <v>#N/A</v>
      </c>
      <c r="AX40" s="390"/>
      <c r="AZ40" s="182" t="e">
        <f t="shared" si="22"/>
        <v>#N/A</v>
      </c>
      <c r="BA40" s="385"/>
    </row>
    <row r="41" spans="2:53">
      <c r="B41" s="395"/>
      <c r="C41" s="182">
        <v>15</v>
      </c>
      <c r="D41" s="203"/>
      <c r="E41" s="166"/>
      <c r="F41" s="182"/>
      <c r="G41" s="180"/>
      <c r="H41" s="403"/>
      <c r="I41" s="182"/>
      <c r="J41" s="182"/>
      <c r="K41" s="182"/>
      <c r="L41" s="403"/>
      <c r="M41" s="166" t="e">
        <f>RANK(K41, K$24:$K$41)</f>
        <v>#N/A</v>
      </c>
      <c r="N41" s="389"/>
      <c r="O41" s="389"/>
      <c r="P41" s="182"/>
      <c r="Q41" s="180"/>
      <c r="R41" s="180"/>
      <c r="S41" s="182" t="e">
        <f t="shared" si="24"/>
        <v>#N/A</v>
      </c>
      <c r="T41" s="403"/>
      <c r="U41" s="182"/>
      <c r="V41" s="180"/>
      <c r="W41" s="180"/>
      <c r="X41" s="182" t="e">
        <f t="shared" si="25"/>
        <v>#N/A</v>
      </c>
      <c r="Y41" s="403"/>
      <c r="Z41" s="182"/>
      <c r="AA41" s="180"/>
      <c r="AB41" s="180"/>
      <c r="AC41" s="182" t="e">
        <f t="shared" si="26"/>
        <v>#N/A</v>
      </c>
      <c r="AD41" s="403"/>
      <c r="AE41" s="182"/>
      <c r="AF41" s="180"/>
      <c r="AG41" s="180"/>
      <c r="AH41" s="182" t="e">
        <f t="shared" si="27"/>
        <v>#N/A</v>
      </c>
      <c r="AI41" s="403"/>
      <c r="AJ41" s="182"/>
      <c r="AK41" s="180"/>
      <c r="AL41" s="180"/>
      <c r="AM41" s="182" t="e">
        <f t="shared" si="28"/>
        <v>#N/A</v>
      </c>
      <c r="AN41" s="403"/>
      <c r="AO41" s="182"/>
      <c r="AP41" s="180"/>
      <c r="AQ41" s="180"/>
      <c r="AR41" s="182" t="e">
        <f t="shared" si="29"/>
        <v>#N/A</v>
      </c>
      <c r="AS41" s="403"/>
      <c r="AT41" s="182"/>
      <c r="AU41" s="180"/>
      <c r="AV41" s="180"/>
      <c r="AW41" s="182" t="e">
        <f t="shared" si="30"/>
        <v>#N/A</v>
      </c>
      <c r="AX41" s="390"/>
      <c r="AZ41" s="182" t="e">
        <f t="shared" si="22"/>
        <v>#N/A</v>
      </c>
      <c r="BA41" s="386"/>
    </row>
    <row r="42" spans="2:53" ht="15.75">
      <c r="B42" s="424" t="s">
        <v>163</v>
      </c>
      <c r="C42" s="425"/>
      <c r="D42" s="425"/>
      <c r="E42" s="425"/>
      <c r="F42" s="425"/>
      <c r="G42" s="425"/>
      <c r="H42" s="425"/>
      <c r="I42" s="186"/>
      <c r="J42" s="183"/>
      <c r="K42" s="186"/>
      <c r="L42" s="186"/>
      <c r="M42" s="178"/>
      <c r="N42" s="391" t="s">
        <v>156</v>
      </c>
      <c r="O42" s="391" t="s">
        <v>105</v>
      </c>
      <c r="P42" s="413">
        <f>P22+7</f>
        <v>46154</v>
      </c>
      <c r="Q42" s="395"/>
      <c r="R42" s="395"/>
      <c r="S42" s="395"/>
      <c r="T42" s="395"/>
      <c r="U42" s="410">
        <f>P42+1</f>
        <v>46155</v>
      </c>
      <c r="V42" s="411"/>
      <c r="W42" s="411"/>
      <c r="X42" s="411"/>
      <c r="Y42" s="412"/>
      <c r="Z42" s="410">
        <f>U42+1</f>
        <v>46156</v>
      </c>
      <c r="AA42" s="411"/>
      <c r="AB42" s="411"/>
      <c r="AC42" s="411"/>
      <c r="AD42" s="412"/>
      <c r="AE42" s="410">
        <f>Z42+1</f>
        <v>46157</v>
      </c>
      <c r="AF42" s="411"/>
      <c r="AG42" s="411"/>
      <c r="AH42" s="411"/>
      <c r="AI42" s="412"/>
      <c r="AJ42" s="410">
        <f>AE42+1</f>
        <v>46158</v>
      </c>
      <c r="AK42" s="411"/>
      <c r="AL42" s="411"/>
      <c r="AM42" s="411"/>
      <c r="AN42" s="412"/>
      <c r="AO42" s="410">
        <f>AJ42+1</f>
        <v>46159</v>
      </c>
      <c r="AP42" s="411"/>
      <c r="AQ42" s="411"/>
      <c r="AR42" s="411"/>
      <c r="AS42" s="412"/>
      <c r="AT42" s="410">
        <f>AO42+1</f>
        <v>46160</v>
      </c>
      <c r="AU42" s="411"/>
      <c r="AV42" s="411"/>
      <c r="AW42" s="411"/>
      <c r="AX42" s="412"/>
    </row>
    <row r="43" spans="2:53" ht="15.75">
      <c r="B43" s="416"/>
      <c r="C43" s="416"/>
      <c r="D43" s="416"/>
      <c r="E43" s="416"/>
      <c r="F43" s="416"/>
      <c r="G43" s="416"/>
      <c r="H43" s="416"/>
      <c r="I43" s="184"/>
      <c r="J43" s="184"/>
      <c r="K43" s="184"/>
      <c r="L43" s="184"/>
      <c r="M43" s="179"/>
      <c r="N43" s="393"/>
      <c r="O43" s="393"/>
      <c r="P43" s="413" t="s">
        <v>318</v>
      </c>
      <c r="Q43" s="395"/>
      <c r="R43" s="395"/>
      <c r="S43" s="395"/>
      <c r="T43" s="395"/>
      <c r="U43" s="413" t="s">
        <v>319</v>
      </c>
      <c r="V43" s="395"/>
      <c r="W43" s="395"/>
      <c r="X43" s="395"/>
      <c r="Y43" s="395"/>
      <c r="Z43" s="413" t="s">
        <v>320</v>
      </c>
      <c r="AA43" s="395"/>
      <c r="AB43" s="395"/>
      <c r="AC43" s="395"/>
      <c r="AD43" s="395"/>
      <c r="AE43" s="413" t="s">
        <v>321</v>
      </c>
      <c r="AF43" s="395"/>
      <c r="AG43" s="395"/>
      <c r="AH43" s="395"/>
      <c r="AI43" s="395"/>
      <c r="AJ43" s="413" t="s">
        <v>322</v>
      </c>
      <c r="AK43" s="395"/>
      <c r="AL43" s="395"/>
      <c r="AM43" s="395"/>
      <c r="AN43" s="395"/>
      <c r="AO43" s="413" t="s">
        <v>323</v>
      </c>
      <c r="AP43" s="395"/>
      <c r="AQ43" s="395"/>
      <c r="AR43" s="395"/>
      <c r="AS43" s="395"/>
      <c r="AT43" s="413" t="s">
        <v>324</v>
      </c>
      <c r="AU43" s="395"/>
      <c r="AV43" s="395"/>
      <c r="AW43" s="395"/>
      <c r="AX43" s="395"/>
    </row>
    <row r="44" spans="2:53">
      <c r="B44" s="389" t="s">
        <v>467</v>
      </c>
      <c r="C44" s="389" t="s">
        <v>386</v>
      </c>
      <c r="D44" s="389"/>
      <c r="E44" s="389" t="s">
        <v>377</v>
      </c>
      <c r="F44" s="389"/>
      <c r="G44" s="389"/>
      <c r="H44" s="417" t="s">
        <v>373</v>
      </c>
      <c r="I44" s="389" t="s">
        <v>378</v>
      </c>
      <c r="J44" s="389"/>
      <c r="K44" s="389"/>
      <c r="L44" s="417" t="s">
        <v>373</v>
      </c>
      <c r="M44" s="391" t="s">
        <v>374</v>
      </c>
      <c r="N44" s="389"/>
      <c r="O44" s="389" t="s">
        <v>379</v>
      </c>
      <c r="P44" s="404" t="s">
        <v>375</v>
      </c>
      <c r="Q44" s="405"/>
      <c r="R44" s="405"/>
      <c r="S44" s="406"/>
      <c r="T44" s="389" t="s">
        <v>373</v>
      </c>
      <c r="U44" s="404" t="s">
        <v>375</v>
      </c>
      <c r="V44" s="405"/>
      <c r="W44" s="405"/>
      <c r="X44" s="406"/>
      <c r="Y44" s="389" t="s">
        <v>373</v>
      </c>
      <c r="Z44" s="404" t="s">
        <v>375</v>
      </c>
      <c r="AA44" s="405"/>
      <c r="AB44" s="405"/>
      <c r="AC44" s="406"/>
      <c r="AD44" s="389" t="s">
        <v>373</v>
      </c>
      <c r="AE44" s="404" t="s">
        <v>375</v>
      </c>
      <c r="AF44" s="405"/>
      <c r="AG44" s="405"/>
      <c r="AH44" s="406"/>
      <c r="AI44" s="389" t="s">
        <v>373</v>
      </c>
      <c r="AJ44" s="404" t="s">
        <v>375</v>
      </c>
      <c r="AK44" s="405"/>
      <c r="AL44" s="405"/>
      <c r="AM44" s="406"/>
      <c r="AN44" s="389" t="s">
        <v>373</v>
      </c>
      <c r="AO44" s="404" t="s">
        <v>375</v>
      </c>
      <c r="AP44" s="405"/>
      <c r="AQ44" s="405"/>
      <c r="AR44" s="406"/>
      <c r="AS44" s="389" t="s">
        <v>373</v>
      </c>
      <c r="AT44" s="404" t="s">
        <v>375</v>
      </c>
      <c r="AU44" s="405"/>
      <c r="AV44" s="405"/>
      <c r="AW44" s="406"/>
      <c r="AX44" s="389" t="s">
        <v>373</v>
      </c>
      <c r="BA44" s="389" t="s">
        <v>373</v>
      </c>
    </row>
    <row r="45" spans="2:53">
      <c r="B45" s="389"/>
      <c r="C45" s="389"/>
      <c r="D45" s="389"/>
      <c r="E45" s="389" t="s">
        <v>380</v>
      </c>
      <c r="F45" s="389"/>
      <c r="G45" s="389"/>
      <c r="H45" s="418"/>
      <c r="I45" s="389" t="s">
        <v>380</v>
      </c>
      <c r="J45" s="389"/>
      <c r="K45" s="389"/>
      <c r="L45" s="418"/>
      <c r="M45" s="392"/>
      <c r="N45" s="389"/>
      <c r="O45" s="389"/>
      <c r="P45" s="404" t="s">
        <v>381</v>
      </c>
      <c r="Q45" s="405"/>
      <c r="R45" s="405"/>
      <c r="S45" s="406"/>
      <c r="T45" s="389"/>
      <c r="U45" s="404" t="s">
        <v>381</v>
      </c>
      <c r="V45" s="405"/>
      <c r="W45" s="405"/>
      <c r="X45" s="406"/>
      <c r="Y45" s="389"/>
      <c r="Z45" s="404" t="s">
        <v>381</v>
      </c>
      <c r="AA45" s="405"/>
      <c r="AB45" s="405"/>
      <c r="AC45" s="406"/>
      <c r="AD45" s="389"/>
      <c r="AE45" s="404" t="s">
        <v>381</v>
      </c>
      <c r="AF45" s="405"/>
      <c r="AG45" s="405"/>
      <c r="AH45" s="406"/>
      <c r="AI45" s="389"/>
      <c r="AJ45" s="404" t="s">
        <v>381</v>
      </c>
      <c r="AK45" s="405"/>
      <c r="AL45" s="405"/>
      <c r="AM45" s="406"/>
      <c r="AN45" s="389"/>
      <c r="AO45" s="404" t="s">
        <v>381</v>
      </c>
      <c r="AP45" s="405"/>
      <c r="AQ45" s="405"/>
      <c r="AR45" s="406"/>
      <c r="AS45" s="389"/>
      <c r="AT45" s="404" t="s">
        <v>381</v>
      </c>
      <c r="AU45" s="405"/>
      <c r="AV45" s="405"/>
      <c r="AW45" s="406"/>
      <c r="AX45" s="389"/>
      <c r="BA45" s="389"/>
    </row>
    <row r="46" spans="2:53">
      <c r="B46" s="389"/>
      <c r="C46" s="389"/>
      <c r="D46" s="389"/>
      <c r="E46" s="258" t="s">
        <v>382</v>
      </c>
      <c r="F46" s="258" t="s">
        <v>383</v>
      </c>
      <c r="G46" s="258" t="s">
        <v>384</v>
      </c>
      <c r="H46" s="419"/>
      <c r="I46" s="258" t="s">
        <v>382</v>
      </c>
      <c r="J46" s="258" t="s">
        <v>383</v>
      </c>
      <c r="K46" s="258" t="s">
        <v>384</v>
      </c>
      <c r="L46" s="419"/>
      <c r="M46" s="393"/>
      <c r="N46" s="389"/>
      <c r="O46" s="389"/>
      <c r="P46" s="258" t="s">
        <v>382</v>
      </c>
      <c r="Q46" s="258" t="s">
        <v>383</v>
      </c>
      <c r="R46" s="258" t="s">
        <v>384</v>
      </c>
      <c r="S46" s="258" t="s">
        <v>374</v>
      </c>
      <c r="T46" s="389"/>
      <c r="U46" s="258" t="s">
        <v>382</v>
      </c>
      <c r="V46" s="258" t="s">
        <v>383</v>
      </c>
      <c r="W46" s="258" t="s">
        <v>384</v>
      </c>
      <c r="X46" s="258" t="s">
        <v>374</v>
      </c>
      <c r="Y46" s="389"/>
      <c r="Z46" s="258" t="s">
        <v>382</v>
      </c>
      <c r="AA46" s="258" t="s">
        <v>383</v>
      </c>
      <c r="AB46" s="258" t="s">
        <v>384</v>
      </c>
      <c r="AC46" s="258" t="s">
        <v>374</v>
      </c>
      <c r="AD46" s="389"/>
      <c r="AE46" s="258" t="s">
        <v>382</v>
      </c>
      <c r="AF46" s="258" t="s">
        <v>383</v>
      </c>
      <c r="AG46" s="258" t="s">
        <v>384</v>
      </c>
      <c r="AH46" s="258" t="s">
        <v>374</v>
      </c>
      <c r="AI46" s="389"/>
      <c r="AJ46" s="258" t="s">
        <v>382</v>
      </c>
      <c r="AK46" s="258" t="s">
        <v>383</v>
      </c>
      <c r="AL46" s="258" t="s">
        <v>384</v>
      </c>
      <c r="AM46" s="258" t="s">
        <v>374</v>
      </c>
      <c r="AN46" s="389"/>
      <c r="AO46" s="258" t="s">
        <v>382</v>
      </c>
      <c r="AP46" s="258" t="s">
        <v>383</v>
      </c>
      <c r="AQ46" s="258" t="s">
        <v>384</v>
      </c>
      <c r="AR46" s="258" t="s">
        <v>374</v>
      </c>
      <c r="AS46" s="389"/>
      <c r="AT46" s="258" t="s">
        <v>382</v>
      </c>
      <c r="AU46" s="258" t="s">
        <v>383</v>
      </c>
      <c r="AV46" s="258" t="s">
        <v>384</v>
      </c>
      <c r="AW46" s="258" t="s">
        <v>374</v>
      </c>
      <c r="AX46" s="389"/>
      <c r="AZ46" s="258" t="s">
        <v>591</v>
      </c>
      <c r="BA46" s="389"/>
    </row>
    <row r="47" spans="2:53">
      <c r="B47" s="389" t="s">
        <v>481</v>
      </c>
      <c r="C47" s="182">
        <v>1</v>
      </c>
      <c r="D47" s="203" t="s">
        <v>733</v>
      </c>
      <c r="E47" s="166">
        <v>17</v>
      </c>
      <c r="F47" s="182">
        <v>1440</v>
      </c>
      <c r="G47" s="180">
        <v>96</v>
      </c>
      <c r="H47" s="401">
        <f>AVERAGE(G47:G61)</f>
        <v>81.423076923076906</v>
      </c>
      <c r="I47" s="166">
        <f t="shared" ref="I47:I60" si="31">IFERROR(AVERAGE(P47,U47,Z47,AE47,AJ47,AO47,AT47),"-")</f>
        <v>17</v>
      </c>
      <c r="J47" s="166">
        <f t="shared" ref="J47:J60" si="32">IFERROR(AVERAGE(Q47,V47,AA47,AF47,AK47,AP47,AU47),"-")</f>
        <v>1289.9784833886392</v>
      </c>
      <c r="K47" s="180">
        <f t="shared" ref="K47:K60" si="33">IFERROR(AVERAGE(R47,W47,AB47,AG47,AL47,AQ47,AV47),"-")</f>
        <v>75.881087258155247</v>
      </c>
      <c r="L47" s="401">
        <f>IFERROR(AVERAGE(K47:K61),"-")</f>
        <v>72.018958031120206</v>
      </c>
      <c r="M47" s="181">
        <f>RANK(K47, K$47:$K$61)</f>
        <v>4</v>
      </c>
      <c r="N47" s="389"/>
      <c r="O47" s="389"/>
      <c r="P47" s="182">
        <v>17</v>
      </c>
      <c r="Q47" s="166">
        <v>1292.6652631578947</v>
      </c>
      <c r="R47" s="166">
        <v>76.039133126934985</v>
      </c>
      <c r="S47" s="182">
        <f t="shared" ref="S47:S61" si="34">RANK(R47, R$47:R$61)</f>
        <v>4</v>
      </c>
      <c r="T47" s="384">
        <f t="shared" ref="T47" si="35">AVERAGE(R47:R61)</f>
        <v>72.216362399116008</v>
      </c>
      <c r="U47" s="182">
        <v>17</v>
      </c>
      <c r="V47" s="166">
        <v>1278.0865979381447</v>
      </c>
      <c r="W47" s="166">
        <v>75.181564584596742</v>
      </c>
      <c r="X47" s="182">
        <f t="shared" ref="X47:X61" si="36">RANK(W47, W$47:W$61)</f>
        <v>5</v>
      </c>
      <c r="Y47" s="384">
        <f t="shared" ref="Y47" si="37">AVERAGE(W47:W61)</f>
        <v>72.531197906457635</v>
      </c>
      <c r="Z47" s="182">
        <v>17</v>
      </c>
      <c r="AA47" s="166">
        <v>1306.2000000000005</v>
      </c>
      <c r="AB47" s="166">
        <v>76.835294117647095</v>
      </c>
      <c r="AC47" s="182">
        <f t="shared" ref="AC47:AC61" si="38">RANK(AB47, AB$47:AB$61)</f>
        <v>4</v>
      </c>
      <c r="AD47" s="384">
        <f t="shared" ref="AD47" si="39">AVERAGE(AB47:AB61)</f>
        <v>72.048532639893565</v>
      </c>
      <c r="AE47" s="182">
        <v>17</v>
      </c>
      <c r="AF47" s="166">
        <v>1302.8399999999997</v>
      </c>
      <c r="AG47" s="166">
        <v>76.637647058823518</v>
      </c>
      <c r="AH47" s="182">
        <f t="shared" ref="AH47:AH61" si="40">RANK(AG47, AG$47:AG$61)</f>
        <v>4</v>
      </c>
      <c r="AI47" s="384">
        <f t="shared" ref="AI47" si="41">AVERAGE(AG47:AG61)</f>
        <v>70.822723926414852</v>
      </c>
      <c r="AJ47" s="182">
        <v>17</v>
      </c>
      <c r="AK47" s="166">
        <v>1291.1538461538469</v>
      </c>
      <c r="AL47" s="166">
        <v>75.950226244343938</v>
      </c>
      <c r="AM47" s="182">
        <f t="shared" ref="AM47:AM61" si="42">RANK(AL47, AL$47:AL$61)</f>
        <v>5</v>
      </c>
      <c r="AN47" s="384">
        <f t="shared" ref="AN47" si="43">AVERAGE(AL47:AL61)</f>
        <v>72.325799639715427</v>
      </c>
      <c r="AO47" s="182">
        <v>17</v>
      </c>
      <c r="AP47" s="166">
        <v>1265.9624999999996</v>
      </c>
      <c r="AQ47" s="166">
        <v>74.468382352941148</v>
      </c>
      <c r="AR47" s="182">
        <f t="shared" ref="AR47:AR61" si="44">RANK(AQ47, AQ$47:AQ$61)</f>
        <v>5</v>
      </c>
      <c r="AS47" s="384">
        <f t="shared" ref="AS47" si="45">AVERAGE(AQ47:AQ61)</f>
        <v>72.136463730541962</v>
      </c>
      <c r="AT47" s="182">
        <v>17</v>
      </c>
      <c r="AU47" s="166">
        <v>1292.9411764705887</v>
      </c>
      <c r="AV47" s="166">
        <v>76.055363321799334</v>
      </c>
      <c r="AW47" s="182">
        <f t="shared" ref="AW47:AW61" si="46">RANK(AV47, AV$47:AV$61)</f>
        <v>5</v>
      </c>
      <c r="AX47" s="384">
        <f t="shared" ref="AX47" si="47">AVERAGE(AV47:AV61)</f>
        <v>72.051625975702038</v>
      </c>
      <c r="AZ47" s="182" t="e">
        <f t="shared" ref="AZ47:AZ61" si="48">RANK(AY47, AY$47:AY$61)</f>
        <v>#N/A</v>
      </c>
      <c r="BA47" s="384" t="e">
        <f t="shared" ref="BA47" si="49">AVERAGE(AY47:AY61)</f>
        <v>#DIV/0!</v>
      </c>
    </row>
    <row r="48" spans="2:53">
      <c r="B48" s="395"/>
      <c r="C48" s="182">
        <v>2</v>
      </c>
      <c r="D48" s="203" t="s">
        <v>350</v>
      </c>
      <c r="E48" s="166">
        <v>18</v>
      </c>
      <c r="F48" s="182">
        <v>1440</v>
      </c>
      <c r="G48" s="180">
        <v>80</v>
      </c>
      <c r="H48" s="402"/>
      <c r="I48" s="166">
        <f t="shared" si="31"/>
        <v>18</v>
      </c>
      <c r="J48" s="166">
        <f t="shared" si="32"/>
        <v>1319.8933658930584</v>
      </c>
      <c r="K48" s="180">
        <f t="shared" si="33"/>
        <v>73.327409216281026</v>
      </c>
      <c r="L48" s="402"/>
      <c r="M48" s="181">
        <f>RANK(K48, K$47:$K$61)</f>
        <v>6</v>
      </c>
      <c r="N48" s="389"/>
      <c r="O48" s="389"/>
      <c r="P48" s="182">
        <v>18</v>
      </c>
      <c r="Q48" s="166">
        <v>1304.150943396226</v>
      </c>
      <c r="R48" s="166">
        <v>72.452830188679229</v>
      </c>
      <c r="S48" s="182">
        <f t="shared" si="34"/>
        <v>7</v>
      </c>
      <c r="T48" s="385"/>
      <c r="U48" s="182">
        <v>18</v>
      </c>
      <c r="V48" s="166">
        <v>1335.3333333333335</v>
      </c>
      <c r="W48" s="166">
        <v>74.18518518518519</v>
      </c>
      <c r="X48" s="182">
        <f t="shared" si="36"/>
        <v>6</v>
      </c>
      <c r="Y48" s="385"/>
      <c r="Z48" s="182">
        <v>18</v>
      </c>
      <c r="AA48" s="166">
        <v>1338.6206896551721</v>
      </c>
      <c r="AB48" s="166">
        <v>74.367816091954012</v>
      </c>
      <c r="AC48" s="182">
        <f t="shared" si="38"/>
        <v>6</v>
      </c>
      <c r="AD48" s="385"/>
      <c r="AE48" s="182">
        <v>18</v>
      </c>
      <c r="AF48" s="166">
        <v>1301.8421052631584</v>
      </c>
      <c r="AG48" s="166">
        <v>72.324561403508795</v>
      </c>
      <c r="AH48" s="182">
        <f t="shared" si="40"/>
        <v>6</v>
      </c>
      <c r="AI48" s="385"/>
      <c r="AJ48" s="182">
        <v>18</v>
      </c>
      <c r="AK48" s="166">
        <v>1314.7252747252746</v>
      </c>
      <c r="AL48" s="166">
        <v>73.040293040293037</v>
      </c>
      <c r="AM48" s="182">
        <f t="shared" si="42"/>
        <v>7</v>
      </c>
      <c r="AN48" s="385"/>
      <c r="AO48" s="182">
        <v>18</v>
      </c>
      <c r="AP48" s="166">
        <v>1334.8514851485154</v>
      </c>
      <c r="AQ48" s="166">
        <v>74.158415841584187</v>
      </c>
      <c r="AR48" s="182">
        <f t="shared" si="44"/>
        <v>6</v>
      </c>
      <c r="AS48" s="385"/>
      <c r="AT48" s="182">
        <v>18</v>
      </c>
      <c r="AU48" s="166">
        <v>1309.7297297297298</v>
      </c>
      <c r="AV48" s="166">
        <v>72.762762762762762</v>
      </c>
      <c r="AW48" s="182">
        <f t="shared" si="46"/>
        <v>7</v>
      </c>
      <c r="AX48" s="385"/>
      <c r="AZ48" s="182" t="e">
        <f t="shared" si="48"/>
        <v>#N/A</v>
      </c>
      <c r="BA48" s="385"/>
    </row>
    <row r="49" spans="2:53">
      <c r="B49" s="395"/>
      <c r="C49" s="182">
        <v>3</v>
      </c>
      <c r="D49" s="203" t="s">
        <v>351</v>
      </c>
      <c r="E49" s="166">
        <v>18</v>
      </c>
      <c r="F49" s="182">
        <v>1440</v>
      </c>
      <c r="G49" s="180">
        <v>80</v>
      </c>
      <c r="H49" s="402"/>
      <c r="I49" s="166">
        <f t="shared" si="31"/>
        <v>18</v>
      </c>
      <c r="J49" s="166">
        <f t="shared" si="32"/>
        <v>1316.0228724680344</v>
      </c>
      <c r="K49" s="180">
        <f t="shared" si="33"/>
        <v>73.112381803779684</v>
      </c>
      <c r="L49" s="402"/>
      <c r="M49" s="181">
        <f>RANK(K49, K$47:$K$61)</f>
        <v>7</v>
      </c>
      <c r="N49" s="389"/>
      <c r="O49" s="389"/>
      <c r="P49" s="182">
        <v>18</v>
      </c>
      <c r="Q49" s="166">
        <v>1304.5161290322594</v>
      </c>
      <c r="R49" s="166">
        <v>72.473118279569974</v>
      </c>
      <c r="S49" s="182">
        <f t="shared" si="34"/>
        <v>6</v>
      </c>
      <c r="T49" s="385"/>
      <c r="U49" s="182">
        <v>18</v>
      </c>
      <c r="V49" s="166">
        <v>1304.4000000000003</v>
      </c>
      <c r="W49" s="166">
        <v>72.466666666666683</v>
      </c>
      <c r="X49" s="182">
        <f t="shared" si="36"/>
        <v>7</v>
      </c>
      <c r="Y49" s="385"/>
      <c r="Z49" s="182">
        <v>18</v>
      </c>
      <c r="AA49" s="166">
        <v>1320.0000000000011</v>
      </c>
      <c r="AB49" s="166">
        <v>73.3333333333334</v>
      </c>
      <c r="AC49" s="182">
        <f t="shared" si="38"/>
        <v>7</v>
      </c>
      <c r="AD49" s="385"/>
      <c r="AE49" s="182">
        <v>18</v>
      </c>
      <c r="AF49" s="166">
        <v>1321.6666666666656</v>
      </c>
      <c r="AG49" s="166">
        <v>73.425925925925867</v>
      </c>
      <c r="AH49" s="182">
        <f t="shared" si="40"/>
        <v>5</v>
      </c>
      <c r="AI49" s="385"/>
      <c r="AJ49" s="182">
        <v>18</v>
      </c>
      <c r="AK49" s="166">
        <v>1330.76923076923</v>
      </c>
      <c r="AL49" s="166">
        <v>73.931623931623889</v>
      </c>
      <c r="AM49" s="182">
        <f t="shared" si="42"/>
        <v>6</v>
      </c>
      <c r="AN49" s="385"/>
      <c r="AO49" s="182">
        <v>18</v>
      </c>
      <c r="AP49" s="166">
        <v>1306.3636363636376</v>
      </c>
      <c r="AQ49" s="166">
        <v>72.575757575757649</v>
      </c>
      <c r="AR49" s="182">
        <f t="shared" si="44"/>
        <v>7</v>
      </c>
      <c r="AS49" s="385"/>
      <c r="AT49" s="182">
        <v>18</v>
      </c>
      <c r="AU49" s="166">
        <v>1324.4444444444453</v>
      </c>
      <c r="AV49" s="166">
        <v>73.580246913580297</v>
      </c>
      <c r="AW49" s="182">
        <f t="shared" si="46"/>
        <v>6</v>
      </c>
      <c r="AX49" s="385"/>
      <c r="AZ49" s="182" t="e">
        <f t="shared" si="48"/>
        <v>#N/A</v>
      </c>
      <c r="BA49" s="385"/>
    </row>
    <row r="50" spans="2:53">
      <c r="B50" s="395"/>
      <c r="C50" s="182">
        <v>4</v>
      </c>
      <c r="D50" s="203" t="s">
        <v>352</v>
      </c>
      <c r="E50" s="166">
        <v>17</v>
      </c>
      <c r="F50" s="182">
        <v>1440</v>
      </c>
      <c r="G50" s="180">
        <v>84.7</v>
      </c>
      <c r="H50" s="402"/>
      <c r="I50" s="166">
        <f t="shared" si="31"/>
        <v>17</v>
      </c>
      <c r="J50" s="166">
        <f t="shared" si="32"/>
        <v>1326.7180518116766</v>
      </c>
      <c r="K50" s="180">
        <f t="shared" si="33"/>
        <v>78.042238341863339</v>
      </c>
      <c r="L50" s="402"/>
      <c r="M50" s="181">
        <f>RANK(K50, K$47:$K$61)</f>
        <v>3</v>
      </c>
      <c r="N50" s="389"/>
      <c r="O50" s="389"/>
      <c r="P50" s="182">
        <v>17</v>
      </c>
      <c r="Q50" s="166">
        <v>1347.5744680851067</v>
      </c>
      <c r="R50" s="166">
        <v>79.269086357947458</v>
      </c>
      <c r="S50" s="182">
        <f t="shared" si="34"/>
        <v>3</v>
      </c>
      <c r="T50" s="385"/>
      <c r="U50" s="182">
        <v>17</v>
      </c>
      <c r="V50" s="166">
        <v>1337.4545454545455</v>
      </c>
      <c r="W50" s="166">
        <v>78.673796791443849</v>
      </c>
      <c r="X50" s="182">
        <f t="shared" si="36"/>
        <v>3</v>
      </c>
      <c r="Y50" s="385"/>
      <c r="Z50" s="182">
        <v>17</v>
      </c>
      <c r="AA50" s="166">
        <v>1315.0769230769224</v>
      </c>
      <c r="AB50" s="166">
        <v>77.357466063348383</v>
      </c>
      <c r="AC50" s="182">
        <f t="shared" si="38"/>
        <v>3</v>
      </c>
      <c r="AD50" s="385"/>
      <c r="AE50" s="182">
        <v>17</v>
      </c>
      <c r="AF50" s="166">
        <v>1311.7894736842095</v>
      </c>
      <c r="AG50" s="166">
        <v>77.164086687306437</v>
      </c>
      <c r="AH50" s="182">
        <f t="shared" si="40"/>
        <v>3</v>
      </c>
      <c r="AI50" s="385"/>
      <c r="AJ50" s="182">
        <v>17</v>
      </c>
      <c r="AK50" s="166">
        <v>1320.6666666666667</v>
      </c>
      <c r="AL50" s="166">
        <v>77.686274509803923</v>
      </c>
      <c r="AM50" s="182">
        <f t="shared" si="42"/>
        <v>3</v>
      </c>
      <c r="AN50" s="385"/>
      <c r="AO50" s="182">
        <v>17</v>
      </c>
      <c r="AP50" s="166">
        <v>1323.7500000000011</v>
      </c>
      <c r="AQ50" s="166">
        <v>77.867647058823593</v>
      </c>
      <c r="AR50" s="182">
        <f t="shared" si="44"/>
        <v>4</v>
      </c>
      <c r="AS50" s="385"/>
      <c r="AT50" s="182">
        <v>17</v>
      </c>
      <c r="AU50" s="166">
        <v>1330.7142857142849</v>
      </c>
      <c r="AV50" s="166">
        <v>78.277310924369701</v>
      </c>
      <c r="AW50" s="182">
        <f t="shared" si="46"/>
        <v>3</v>
      </c>
      <c r="AX50" s="385"/>
      <c r="AZ50" s="182" t="e">
        <f t="shared" si="48"/>
        <v>#N/A</v>
      </c>
      <c r="BA50" s="385"/>
    </row>
    <row r="51" spans="2:53">
      <c r="B51" s="395"/>
      <c r="C51" s="182">
        <v>5</v>
      </c>
      <c r="D51" s="203" t="s">
        <v>353</v>
      </c>
      <c r="E51" s="166">
        <v>17</v>
      </c>
      <c r="F51" s="182">
        <v>1440</v>
      </c>
      <c r="G51" s="180">
        <v>84.7</v>
      </c>
      <c r="H51" s="402"/>
      <c r="I51" s="166">
        <f t="shared" si="31"/>
        <v>17</v>
      </c>
      <c r="J51" s="166">
        <f t="shared" si="32"/>
        <v>1275.2226273155054</v>
      </c>
      <c r="K51" s="180">
        <f t="shared" si="33"/>
        <v>75.013095724441499</v>
      </c>
      <c r="L51" s="402"/>
      <c r="M51" s="181">
        <f>RANK(K51, K$47:$K$61)</f>
        <v>5</v>
      </c>
      <c r="N51" s="389"/>
      <c r="O51" s="389"/>
      <c r="P51" s="182">
        <v>17</v>
      </c>
      <c r="Q51" s="166">
        <v>1271.6666666666656</v>
      </c>
      <c r="R51" s="166">
        <v>74.803921568627388</v>
      </c>
      <c r="S51" s="182">
        <f t="shared" si="34"/>
        <v>5</v>
      </c>
      <c r="T51" s="385"/>
      <c r="U51" s="182">
        <v>17</v>
      </c>
      <c r="V51" s="166">
        <v>1308.9473684210516</v>
      </c>
      <c r="W51" s="166">
        <v>76.996904024767744</v>
      </c>
      <c r="X51" s="182">
        <f t="shared" si="36"/>
        <v>4</v>
      </c>
      <c r="Y51" s="385"/>
      <c r="Z51" s="182">
        <v>17</v>
      </c>
      <c r="AA51" s="166">
        <v>1297.2972972972962</v>
      </c>
      <c r="AB51" s="166">
        <v>76.311605723370363</v>
      </c>
      <c r="AC51" s="182">
        <f t="shared" si="38"/>
        <v>5</v>
      </c>
      <c r="AD51" s="385"/>
      <c r="AE51" s="182">
        <v>17</v>
      </c>
      <c r="AF51" s="166">
        <v>1115.999999999998</v>
      </c>
      <c r="AG51" s="166">
        <v>65.647058823529292</v>
      </c>
      <c r="AH51" s="182">
        <f t="shared" si="40"/>
        <v>11</v>
      </c>
      <c r="AI51" s="385"/>
      <c r="AJ51" s="182">
        <v>17</v>
      </c>
      <c r="AK51" s="166">
        <v>1294.9999999999991</v>
      </c>
      <c r="AL51" s="166">
        <v>76.176470588235247</v>
      </c>
      <c r="AM51" s="182">
        <f t="shared" si="42"/>
        <v>4</v>
      </c>
      <c r="AN51" s="385"/>
      <c r="AO51" s="182">
        <v>17</v>
      </c>
      <c r="AP51" s="166">
        <v>1337.6470588235277</v>
      </c>
      <c r="AQ51" s="166">
        <v>78.68512110726634</v>
      </c>
      <c r="AR51" s="182">
        <f t="shared" si="44"/>
        <v>2</v>
      </c>
      <c r="AS51" s="385"/>
      <c r="AT51" s="182">
        <v>17</v>
      </c>
      <c r="AU51" s="166">
        <v>1299.9999999999993</v>
      </c>
      <c r="AV51" s="166">
        <v>76.470588235294073</v>
      </c>
      <c r="AW51" s="182">
        <f t="shared" si="46"/>
        <v>4</v>
      </c>
      <c r="AX51" s="385"/>
      <c r="AZ51" s="182" t="e">
        <f t="shared" si="48"/>
        <v>#N/A</v>
      </c>
      <c r="BA51" s="385"/>
    </row>
    <row r="52" spans="2:53">
      <c r="B52" s="395"/>
      <c r="C52" s="182">
        <v>6</v>
      </c>
      <c r="D52" s="203" t="s">
        <v>354</v>
      </c>
      <c r="E52" s="166">
        <v>21</v>
      </c>
      <c r="F52" s="182">
        <v>1385</v>
      </c>
      <c r="G52" s="180">
        <v>65.900000000000006</v>
      </c>
      <c r="H52" s="402"/>
      <c r="I52" s="166">
        <f t="shared" si="31"/>
        <v>21</v>
      </c>
      <c r="J52" s="166">
        <f t="shared" si="32"/>
        <v>1258.2547021914295</v>
      </c>
      <c r="K52" s="180">
        <f t="shared" si="33"/>
        <v>59.916890580544255</v>
      </c>
      <c r="L52" s="402"/>
      <c r="M52" s="181">
        <f>RANK(K52, K$47:$K$61)</f>
        <v>13</v>
      </c>
      <c r="N52" s="389"/>
      <c r="O52" s="389"/>
      <c r="P52" s="182">
        <v>21</v>
      </c>
      <c r="Q52" s="166">
        <v>1291.401869158879</v>
      </c>
      <c r="R52" s="166">
        <v>61.495327102803763</v>
      </c>
      <c r="S52" s="182">
        <f t="shared" si="34"/>
        <v>12</v>
      </c>
      <c r="T52" s="385"/>
      <c r="U52" s="182">
        <v>21</v>
      </c>
      <c r="V52" s="166">
        <v>1236.3025210084029</v>
      </c>
      <c r="W52" s="166">
        <v>58.871548619447758</v>
      </c>
      <c r="X52" s="182">
        <f t="shared" si="36"/>
        <v>13</v>
      </c>
      <c r="Y52" s="385"/>
      <c r="Z52" s="182">
        <v>21</v>
      </c>
      <c r="AA52" s="166">
        <v>1264.3636363636372</v>
      </c>
      <c r="AB52" s="166">
        <v>60.207792207792245</v>
      </c>
      <c r="AC52" s="182">
        <f t="shared" si="38"/>
        <v>13</v>
      </c>
      <c r="AD52" s="385"/>
      <c r="AE52" s="182">
        <v>21</v>
      </c>
      <c r="AF52" s="166">
        <v>1242.0689655172414</v>
      </c>
      <c r="AG52" s="166">
        <v>59.146141215106731</v>
      </c>
      <c r="AH52" s="182">
        <f t="shared" si="40"/>
        <v>13</v>
      </c>
      <c r="AI52" s="385"/>
      <c r="AJ52" s="182">
        <v>21</v>
      </c>
      <c r="AK52" s="166">
        <v>1269.6774193548388</v>
      </c>
      <c r="AL52" s="166">
        <v>60.460829493087559</v>
      </c>
      <c r="AM52" s="182">
        <f t="shared" si="42"/>
        <v>13</v>
      </c>
      <c r="AN52" s="385"/>
      <c r="AO52" s="182">
        <v>21</v>
      </c>
      <c r="AP52" s="166">
        <v>1251.9685039370077</v>
      </c>
      <c r="AQ52" s="166">
        <v>59.617547806524172</v>
      </c>
      <c r="AR52" s="182">
        <f t="shared" si="44"/>
        <v>13</v>
      </c>
      <c r="AS52" s="385"/>
      <c r="AT52" s="182">
        <v>21</v>
      </c>
      <c r="AU52" s="166">
        <v>1251.9999999999993</v>
      </c>
      <c r="AV52" s="166">
        <v>59.619047619047585</v>
      </c>
      <c r="AW52" s="182">
        <f t="shared" si="46"/>
        <v>13</v>
      </c>
      <c r="AX52" s="385"/>
      <c r="AZ52" s="182" t="e">
        <f t="shared" si="48"/>
        <v>#N/A</v>
      </c>
      <c r="BA52" s="385"/>
    </row>
    <row r="53" spans="2:53">
      <c r="B53" s="395"/>
      <c r="C53" s="182">
        <v>7</v>
      </c>
      <c r="D53" s="203" t="s">
        <v>355</v>
      </c>
      <c r="E53" s="166">
        <v>19</v>
      </c>
      <c r="F53" s="182">
        <v>1440</v>
      </c>
      <c r="G53" s="180">
        <v>75.8</v>
      </c>
      <c r="H53" s="402"/>
      <c r="I53" s="166">
        <f t="shared" si="31"/>
        <v>19</v>
      </c>
      <c r="J53" s="166">
        <f t="shared" si="32"/>
        <v>1298.9645161787262</v>
      </c>
      <c r="K53" s="180">
        <f t="shared" si="33"/>
        <v>68.36655348309084</v>
      </c>
      <c r="L53" s="402"/>
      <c r="M53" s="181">
        <f>RANK(K53, K$47:$K$61)</f>
        <v>11</v>
      </c>
      <c r="N53" s="389"/>
      <c r="O53" s="389"/>
      <c r="P53" s="182">
        <v>19</v>
      </c>
      <c r="Q53" s="166">
        <v>1366.753246753246</v>
      </c>
      <c r="R53" s="166">
        <v>71.934381408065576</v>
      </c>
      <c r="S53" s="182">
        <f t="shared" si="34"/>
        <v>8</v>
      </c>
      <c r="T53" s="385"/>
      <c r="U53" s="182">
        <v>19</v>
      </c>
      <c r="V53" s="166">
        <v>1289.6842105263158</v>
      </c>
      <c r="W53" s="166">
        <v>67.878116343490305</v>
      </c>
      <c r="X53" s="182">
        <f t="shared" si="36"/>
        <v>12</v>
      </c>
      <c r="Y53" s="385"/>
      <c r="Z53" s="182">
        <v>19</v>
      </c>
      <c r="AA53" s="166">
        <v>1284.9999999999995</v>
      </c>
      <c r="AB53" s="166">
        <v>67.631578947368396</v>
      </c>
      <c r="AC53" s="182">
        <f t="shared" si="38"/>
        <v>10</v>
      </c>
      <c r="AD53" s="385"/>
      <c r="AE53" s="182">
        <v>19</v>
      </c>
      <c r="AF53" s="166">
        <v>1286.2500000000016</v>
      </c>
      <c r="AG53" s="166">
        <v>67.697368421052715</v>
      </c>
      <c r="AH53" s="182">
        <f t="shared" si="40"/>
        <v>10</v>
      </c>
      <c r="AI53" s="385"/>
      <c r="AJ53" s="182">
        <v>19</v>
      </c>
      <c r="AK53" s="166">
        <v>1282.1917808219168</v>
      </c>
      <c r="AL53" s="166">
        <v>67.483777937995626</v>
      </c>
      <c r="AM53" s="182">
        <f t="shared" si="42"/>
        <v>11</v>
      </c>
      <c r="AN53" s="385"/>
      <c r="AO53" s="182">
        <v>19</v>
      </c>
      <c r="AP53" s="166">
        <v>1293.8613861386145</v>
      </c>
      <c r="AQ53" s="166">
        <v>68.097967691506028</v>
      </c>
      <c r="AR53" s="182">
        <f t="shared" si="44"/>
        <v>11</v>
      </c>
      <c r="AS53" s="385"/>
      <c r="AT53" s="182">
        <v>19</v>
      </c>
      <c r="AU53" s="166">
        <v>1289.0109890109889</v>
      </c>
      <c r="AV53" s="166">
        <v>67.842683632157303</v>
      </c>
      <c r="AW53" s="182">
        <f t="shared" si="46"/>
        <v>10</v>
      </c>
      <c r="AX53" s="385"/>
      <c r="AZ53" s="182" t="e">
        <f t="shared" si="48"/>
        <v>#N/A</v>
      </c>
      <c r="BA53" s="385"/>
    </row>
    <row r="54" spans="2:53">
      <c r="B54" s="395"/>
      <c r="C54" s="182">
        <v>8</v>
      </c>
      <c r="D54" s="203" t="s">
        <v>505</v>
      </c>
      <c r="E54" s="166">
        <v>18</v>
      </c>
      <c r="F54" s="182">
        <v>1385</v>
      </c>
      <c r="G54" s="180">
        <v>76.900000000000006</v>
      </c>
      <c r="H54" s="402"/>
      <c r="I54" s="166">
        <f t="shared" si="31"/>
        <v>18</v>
      </c>
      <c r="J54" s="166">
        <f t="shared" si="32"/>
        <v>1234.4835019782254</v>
      </c>
      <c r="K54" s="180">
        <f t="shared" si="33"/>
        <v>68.582416776568067</v>
      </c>
      <c r="L54" s="402"/>
      <c r="M54" s="181">
        <f>RANK(K54, K$47:$K$61)</f>
        <v>10</v>
      </c>
      <c r="N54" s="389"/>
      <c r="O54" s="389"/>
      <c r="P54" s="182">
        <v>18</v>
      </c>
      <c r="Q54" s="166">
        <v>1236.1445783132526</v>
      </c>
      <c r="R54" s="166">
        <v>68.674698795180703</v>
      </c>
      <c r="S54" s="182">
        <f t="shared" si="34"/>
        <v>10</v>
      </c>
      <c r="T54" s="385"/>
      <c r="U54" s="182">
        <v>18</v>
      </c>
      <c r="V54" s="166">
        <v>1247.4999999999991</v>
      </c>
      <c r="W54" s="166">
        <v>69.3055555555555</v>
      </c>
      <c r="X54" s="182">
        <f t="shared" si="36"/>
        <v>9</v>
      </c>
      <c r="Y54" s="385"/>
      <c r="Z54" s="182">
        <v>18</v>
      </c>
      <c r="AA54" s="166">
        <v>1225.3846153846148</v>
      </c>
      <c r="AB54" s="166">
        <v>68.076923076923038</v>
      </c>
      <c r="AC54" s="182">
        <f t="shared" si="38"/>
        <v>9</v>
      </c>
      <c r="AD54" s="385"/>
      <c r="AE54" s="182">
        <v>18</v>
      </c>
      <c r="AF54" s="166">
        <v>1226.3157894736851</v>
      </c>
      <c r="AG54" s="166">
        <v>68.12865497076028</v>
      </c>
      <c r="AH54" s="182">
        <f t="shared" si="40"/>
        <v>9</v>
      </c>
      <c r="AI54" s="385"/>
      <c r="AJ54" s="182">
        <v>18</v>
      </c>
      <c r="AK54" s="166">
        <v>1248.1967213114767</v>
      </c>
      <c r="AL54" s="166">
        <v>69.344262295082046</v>
      </c>
      <c r="AM54" s="182">
        <f t="shared" si="42"/>
        <v>10</v>
      </c>
      <c r="AN54" s="385"/>
      <c r="AO54" s="182">
        <v>18</v>
      </c>
      <c r="AP54" s="166">
        <v>1246.304347826087</v>
      </c>
      <c r="AQ54" s="166">
        <v>69.239130434782609</v>
      </c>
      <c r="AR54" s="182">
        <f t="shared" si="44"/>
        <v>9</v>
      </c>
      <c r="AS54" s="385"/>
      <c r="AT54" s="182">
        <v>18</v>
      </c>
      <c r="AU54" s="166">
        <v>1211.538461538461</v>
      </c>
      <c r="AV54" s="166">
        <v>67.307692307692278</v>
      </c>
      <c r="AW54" s="182">
        <f t="shared" si="46"/>
        <v>11</v>
      </c>
      <c r="AX54" s="385"/>
      <c r="AZ54" s="182" t="e">
        <f t="shared" si="48"/>
        <v>#N/A</v>
      </c>
      <c r="BA54" s="385"/>
    </row>
    <row r="55" spans="2:53">
      <c r="B55" s="395"/>
      <c r="C55" s="182">
        <v>9</v>
      </c>
      <c r="D55" s="203" t="s">
        <v>508</v>
      </c>
      <c r="E55" s="166">
        <v>18</v>
      </c>
      <c r="F55" s="182">
        <v>1385</v>
      </c>
      <c r="G55" s="180">
        <v>76.900000000000006</v>
      </c>
      <c r="H55" s="402"/>
      <c r="I55" s="166">
        <f t="shared" si="31"/>
        <v>18</v>
      </c>
      <c r="J55" s="166">
        <f t="shared" si="32"/>
        <v>1248.4000000000044</v>
      </c>
      <c r="K55" s="180">
        <f t="shared" si="33"/>
        <v>69.35555555555581</v>
      </c>
      <c r="L55" s="402"/>
      <c r="M55" s="181">
        <f>RANK(K55, K$47:$K$61)</f>
        <v>9</v>
      </c>
      <c r="N55" s="389"/>
      <c r="O55" s="389"/>
      <c r="P55" s="182">
        <v>18</v>
      </c>
      <c r="Q55" s="166">
        <v>1206.1875000000041</v>
      </c>
      <c r="R55" s="166">
        <v>67.010416666666899</v>
      </c>
      <c r="S55" s="182">
        <f t="shared" si="34"/>
        <v>11</v>
      </c>
      <c r="T55" s="385"/>
      <c r="U55" s="182">
        <v>18</v>
      </c>
      <c r="V55" s="166">
        <v>1270.5000000000045</v>
      </c>
      <c r="W55" s="166">
        <v>70.583333333333584</v>
      </c>
      <c r="X55" s="182">
        <f t="shared" si="36"/>
        <v>8</v>
      </c>
      <c r="Y55" s="385"/>
      <c r="Z55" s="182">
        <v>18</v>
      </c>
      <c r="AA55" s="166">
        <v>1213.8000000000043</v>
      </c>
      <c r="AB55" s="166">
        <v>67.433333333333564</v>
      </c>
      <c r="AC55" s="182">
        <f t="shared" si="38"/>
        <v>11</v>
      </c>
      <c r="AD55" s="385"/>
      <c r="AE55" s="182">
        <v>18</v>
      </c>
      <c r="AF55" s="166">
        <v>1256.5000000000045</v>
      </c>
      <c r="AG55" s="166">
        <v>69.805555555555813</v>
      </c>
      <c r="AH55" s="182">
        <f t="shared" si="40"/>
        <v>8</v>
      </c>
      <c r="AI55" s="385"/>
      <c r="AJ55" s="182">
        <v>18</v>
      </c>
      <c r="AK55" s="166">
        <v>1270.5000000000045</v>
      </c>
      <c r="AL55" s="166">
        <v>70.583333333333584</v>
      </c>
      <c r="AM55" s="182">
        <f t="shared" si="42"/>
        <v>8</v>
      </c>
      <c r="AN55" s="385"/>
      <c r="AO55" s="182">
        <v>18</v>
      </c>
      <c r="AP55" s="166">
        <v>1242.9375000000045</v>
      </c>
      <c r="AQ55" s="166">
        <v>69.052083333333584</v>
      </c>
      <c r="AR55" s="182">
        <f t="shared" si="44"/>
        <v>10</v>
      </c>
      <c r="AS55" s="385"/>
      <c r="AT55" s="182">
        <v>18</v>
      </c>
      <c r="AU55" s="166">
        <v>1278.3750000000043</v>
      </c>
      <c r="AV55" s="166">
        <v>71.02083333333357</v>
      </c>
      <c r="AW55" s="182">
        <f t="shared" si="46"/>
        <v>8</v>
      </c>
      <c r="AX55" s="385"/>
      <c r="AZ55" s="182" t="e">
        <f t="shared" si="48"/>
        <v>#N/A</v>
      </c>
      <c r="BA55" s="385"/>
    </row>
    <row r="56" spans="2:53">
      <c r="B56" s="395"/>
      <c r="C56" s="182">
        <v>10</v>
      </c>
      <c r="D56" s="203" t="s">
        <v>529</v>
      </c>
      <c r="E56" s="166">
        <v>16</v>
      </c>
      <c r="F56" s="182">
        <v>1440</v>
      </c>
      <c r="G56" s="180">
        <v>90</v>
      </c>
      <c r="H56" s="402"/>
      <c r="I56" s="166">
        <f t="shared" si="31"/>
        <v>16.142857142857142</v>
      </c>
      <c r="J56" s="166">
        <f t="shared" si="32"/>
        <v>1323.6188096357741</v>
      </c>
      <c r="K56" s="180">
        <f t="shared" si="33"/>
        <v>82.025782541785901</v>
      </c>
      <c r="L56" s="402"/>
      <c r="M56" s="181">
        <f>RANK(K56, K$47:$K$61)</f>
        <v>1</v>
      </c>
      <c r="N56" s="389"/>
      <c r="O56" s="389"/>
      <c r="P56" s="182">
        <v>16</v>
      </c>
      <c r="Q56" s="166">
        <v>1312.7586206896544</v>
      </c>
      <c r="R56" s="166">
        <v>82.047413793103402</v>
      </c>
      <c r="S56" s="182">
        <f t="shared" si="34"/>
        <v>1</v>
      </c>
      <c r="T56" s="385"/>
      <c r="U56" s="182">
        <v>16</v>
      </c>
      <c r="V56" s="166">
        <v>1322.830188679246</v>
      </c>
      <c r="W56" s="166">
        <v>82.676886792452876</v>
      </c>
      <c r="X56" s="182">
        <f t="shared" si="36"/>
        <v>1</v>
      </c>
      <c r="Y56" s="385"/>
      <c r="Z56" s="182">
        <v>16</v>
      </c>
      <c r="AA56" s="166">
        <v>1321.304347826087</v>
      </c>
      <c r="AB56" s="166">
        <v>82.581521739130437</v>
      </c>
      <c r="AC56" s="182">
        <f t="shared" si="38"/>
        <v>1</v>
      </c>
      <c r="AD56" s="385"/>
      <c r="AE56" s="182">
        <v>17</v>
      </c>
      <c r="AF56" s="166">
        <v>1333.5483870967744</v>
      </c>
      <c r="AG56" s="166">
        <v>78.44402277039849</v>
      </c>
      <c r="AH56" s="182">
        <f t="shared" si="40"/>
        <v>2</v>
      </c>
      <c r="AI56" s="385"/>
      <c r="AJ56" s="182">
        <v>16</v>
      </c>
      <c r="AK56" s="166">
        <v>1324.1584158415847</v>
      </c>
      <c r="AL56" s="166">
        <v>82.759900990099041</v>
      </c>
      <c r="AM56" s="182">
        <f t="shared" si="42"/>
        <v>1</v>
      </c>
      <c r="AN56" s="385"/>
      <c r="AO56" s="182">
        <v>16</v>
      </c>
      <c r="AP56" s="166">
        <v>1320.0000000000005</v>
      </c>
      <c r="AQ56" s="166">
        <v>82.500000000000028</v>
      </c>
      <c r="AR56" s="182">
        <f t="shared" si="44"/>
        <v>1</v>
      </c>
      <c r="AS56" s="385"/>
      <c r="AT56" s="182">
        <v>16</v>
      </c>
      <c r="AU56" s="166">
        <v>1330.7317073170727</v>
      </c>
      <c r="AV56" s="166">
        <v>83.170731707317046</v>
      </c>
      <c r="AW56" s="182">
        <f t="shared" si="46"/>
        <v>1</v>
      </c>
      <c r="AX56" s="385"/>
      <c r="AZ56" s="182" t="e">
        <f t="shared" si="48"/>
        <v>#N/A</v>
      </c>
      <c r="BA56" s="385"/>
    </row>
    <row r="57" spans="2:53">
      <c r="B57" s="395"/>
      <c r="C57" s="182">
        <v>11</v>
      </c>
      <c r="D57" s="203" t="s">
        <v>593</v>
      </c>
      <c r="E57" s="166">
        <v>19</v>
      </c>
      <c r="F57" s="182">
        <v>1440</v>
      </c>
      <c r="G57" s="180">
        <v>75.8</v>
      </c>
      <c r="H57" s="402"/>
      <c r="I57" s="166">
        <f t="shared" si="31"/>
        <v>19</v>
      </c>
      <c r="J57" s="166">
        <f t="shared" si="32"/>
        <v>1328.9739749737794</v>
      </c>
      <c r="K57" s="180">
        <f t="shared" si="33"/>
        <v>69.945998682830492</v>
      </c>
      <c r="L57" s="402"/>
      <c r="M57" s="181">
        <f>RANK(K57, K$47:$K$61)</f>
        <v>8</v>
      </c>
      <c r="N57" s="389"/>
      <c r="O57" s="389"/>
      <c r="P57" s="182">
        <v>19</v>
      </c>
      <c r="Q57" s="166">
        <v>1342.5741176470594</v>
      </c>
      <c r="R57" s="166">
        <v>70.661795665634713</v>
      </c>
      <c r="S57" s="182">
        <f t="shared" si="34"/>
        <v>9</v>
      </c>
      <c r="T57" s="385"/>
      <c r="U57" s="182">
        <v>19</v>
      </c>
      <c r="V57" s="166">
        <v>1311.7815384615387</v>
      </c>
      <c r="W57" s="166">
        <v>69.041133603238876</v>
      </c>
      <c r="X57" s="182">
        <f t="shared" si="36"/>
        <v>10</v>
      </c>
      <c r="Y57" s="385"/>
      <c r="Z57" s="182">
        <v>19</v>
      </c>
      <c r="AA57" s="166">
        <v>1328.6023255813957</v>
      </c>
      <c r="AB57" s="166">
        <v>69.926438188494515</v>
      </c>
      <c r="AC57" s="182">
        <f t="shared" si="38"/>
        <v>8</v>
      </c>
      <c r="AD57" s="385"/>
      <c r="AE57" s="182">
        <v>19</v>
      </c>
      <c r="AF57" s="166">
        <v>1336.4399999999994</v>
      </c>
      <c r="AG57" s="166">
        <v>70.338947368421017</v>
      </c>
      <c r="AH57" s="182">
        <f t="shared" si="40"/>
        <v>7</v>
      </c>
      <c r="AI57" s="385"/>
      <c r="AJ57" s="182">
        <v>19</v>
      </c>
      <c r="AK57" s="166">
        <v>1340.0930232558137</v>
      </c>
      <c r="AL57" s="166">
        <v>70.531211750305985</v>
      </c>
      <c r="AM57" s="182">
        <f t="shared" si="42"/>
        <v>9</v>
      </c>
      <c r="AN57" s="385"/>
      <c r="AO57" s="182">
        <v>19</v>
      </c>
      <c r="AP57" s="166">
        <v>1332.0710059171602</v>
      </c>
      <c r="AQ57" s="166">
        <v>70.109000311429483</v>
      </c>
      <c r="AR57" s="182">
        <f t="shared" si="44"/>
        <v>8</v>
      </c>
      <c r="AS57" s="385"/>
      <c r="AT57" s="182">
        <v>19</v>
      </c>
      <c r="AU57" s="166">
        <v>1311.2558139534883</v>
      </c>
      <c r="AV57" s="166">
        <v>69.013463892288854</v>
      </c>
      <c r="AW57" s="182">
        <f t="shared" si="46"/>
        <v>9</v>
      </c>
      <c r="AX57" s="385"/>
      <c r="AZ57" s="182" t="e">
        <f t="shared" si="48"/>
        <v>#N/A</v>
      </c>
      <c r="BA57" s="385"/>
    </row>
    <row r="58" spans="2:53">
      <c r="B58" s="395"/>
      <c r="C58" s="182">
        <v>12</v>
      </c>
      <c r="D58" s="203" t="s">
        <v>631</v>
      </c>
      <c r="E58" s="166">
        <v>19</v>
      </c>
      <c r="F58" s="182">
        <v>1440</v>
      </c>
      <c r="G58" s="180">
        <v>75.8</v>
      </c>
      <c r="H58" s="402"/>
      <c r="I58" s="166">
        <f t="shared" si="31"/>
        <v>18.285714285714285</v>
      </c>
      <c r="J58" s="166">
        <f t="shared" si="32"/>
        <v>1144.3530697810045</v>
      </c>
      <c r="K58" s="180">
        <f t="shared" si="33"/>
        <v>62.552424579480466</v>
      </c>
      <c r="L58" s="402"/>
      <c r="M58" s="181">
        <f>RANK(K58, K$47:$K$61)</f>
        <v>12</v>
      </c>
      <c r="N58" s="389"/>
      <c r="O58" s="389"/>
      <c r="P58" s="182">
        <v>18</v>
      </c>
      <c r="Q58" s="166">
        <v>1097.9999999999982</v>
      </c>
      <c r="R58" s="166">
        <v>60.999999999999901</v>
      </c>
      <c r="S58" s="182">
        <f t="shared" si="34"/>
        <v>13</v>
      </c>
      <c r="T58" s="385"/>
      <c r="U58" s="182">
        <v>19</v>
      </c>
      <c r="V58" s="166">
        <v>1291.0344827586182</v>
      </c>
      <c r="W58" s="166">
        <v>67.949183303085164</v>
      </c>
      <c r="X58" s="182">
        <f t="shared" si="36"/>
        <v>11</v>
      </c>
      <c r="Y58" s="385"/>
      <c r="Z58" s="182">
        <v>19</v>
      </c>
      <c r="AA58" s="166">
        <v>1157.4193548387079</v>
      </c>
      <c r="AB58" s="166">
        <v>60.916808149405682</v>
      </c>
      <c r="AC58" s="182">
        <f t="shared" si="38"/>
        <v>12</v>
      </c>
      <c r="AD58" s="385"/>
      <c r="AE58" s="182">
        <v>18</v>
      </c>
      <c r="AF58" s="166">
        <v>1108.5714285714325</v>
      </c>
      <c r="AG58" s="166">
        <v>61.587301587301809</v>
      </c>
      <c r="AH58" s="182">
        <f t="shared" si="40"/>
        <v>12</v>
      </c>
      <c r="AI58" s="385"/>
      <c r="AJ58" s="182">
        <v>18</v>
      </c>
      <c r="AK58" s="166">
        <v>1103.0769230769201</v>
      </c>
      <c r="AL58" s="166">
        <v>61.282051282051121</v>
      </c>
      <c r="AM58" s="182">
        <f t="shared" si="42"/>
        <v>12</v>
      </c>
      <c r="AN58" s="385"/>
      <c r="AO58" s="182">
        <v>18</v>
      </c>
      <c r="AP58" s="166">
        <v>1131.7241379310321</v>
      </c>
      <c r="AQ58" s="166">
        <v>62.873563218390672</v>
      </c>
      <c r="AR58" s="182">
        <f t="shared" si="44"/>
        <v>12</v>
      </c>
      <c r="AS58" s="385"/>
      <c r="AT58" s="182">
        <v>18</v>
      </c>
      <c r="AU58" s="166">
        <v>1120.6451612903209</v>
      </c>
      <c r="AV58" s="166">
        <v>62.25806451612894</v>
      </c>
      <c r="AW58" s="182">
        <f t="shared" si="46"/>
        <v>12</v>
      </c>
      <c r="AX58" s="385"/>
      <c r="AZ58" s="182" t="e">
        <f t="shared" si="48"/>
        <v>#N/A</v>
      </c>
      <c r="BA58" s="385"/>
    </row>
    <row r="59" spans="2:53">
      <c r="B59" s="395"/>
      <c r="C59" s="182">
        <v>13</v>
      </c>
      <c r="D59" s="203" t="s">
        <v>638</v>
      </c>
      <c r="E59" s="166">
        <v>17</v>
      </c>
      <c r="F59" s="182">
        <v>1440</v>
      </c>
      <c r="G59" s="180">
        <v>96</v>
      </c>
      <c r="H59" s="402"/>
      <c r="I59" s="166">
        <f t="shared" si="31"/>
        <v>17</v>
      </c>
      <c r="J59" s="166">
        <f t="shared" si="32"/>
        <v>1362.1185376231638</v>
      </c>
      <c r="K59" s="180">
        <f t="shared" si="33"/>
        <v>80.124619860186087</v>
      </c>
      <c r="L59" s="402"/>
      <c r="M59" s="181">
        <f>RANK(K59, K$47:$K$61)</f>
        <v>2</v>
      </c>
      <c r="N59" s="389"/>
      <c r="O59" s="389"/>
      <c r="P59" s="182">
        <v>17</v>
      </c>
      <c r="Q59" s="166">
        <v>1376.1599999999999</v>
      </c>
      <c r="R59" s="166">
        <v>80.950588235294106</v>
      </c>
      <c r="S59" s="182">
        <f t="shared" si="34"/>
        <v>2</v>
      </c>
      <c r="T59" s="385"/>
      <c r="U59" s="182">
        <v>17</v>
      </c>
      <c r="V59" s="166">
        <v>1344.6268656716418</v>
      </c>
      <c r="W59" s="166">
        <v>79.095697980684804</v>
      </c>
      <c r="X59" s="182">
        <f t="shared" si="36"/>
        <v>2</v>
      </c>
      <c r="Y59" s="385"/>
      <c r="Z59" s="182">
        <v>17</v>
      </c>
      <c r="AA59" s="166">
        <v>1388.0672268907567</v>
      </c>
      <c r="AB59" s="166">
        <v>81.6510133465151</v>
      </c>
      <c r="AC59" s="182">
        <f t="shared" si="38"/>
        <v>2</v>
      </c>
      <c r="AD59" s="385"/>
      <c r="AE59" s="182">
        <v>17</v>
      </c>
      <c r="AF59" s="166">
        <v>1365.9183673469392</v>
      </c>
      <c r="AG59" s="166">
        <v>80.348139255702307</v>
      </c>
      <c r="AH59" s="182">
        <f t="shared" si="40"/>
        <v>1</v>
      </c>
      <c r="AI59" s="385"/>
      <c r="AJ59" s="182">
        <v>17</v>
      </c>
      <c r="AK59" s="166">
        <v>1377.0873786407765</v>
      </c>
      <c r="AL59" s="166">
        <v>81.005139920045679</v>
      </c>
      <c r="AM59" s="182">
        <f t="shared" si="42"/>
        <v>2</v>
      </c>
      <c r="AN59" s="385"/>
      <c r="AO59" s="182">
        <v>17</v>
      </c>
      <c r="AP59" s="166">
        <v>1335.0000000000007</v>
      </c>
      <c r="AQ59" s="166">
        <v>78.529411764705927</v>
      </c>
      <c r="AR59" s="182">
        <f t="shared" si="44"/>
        <v>3</v>
      </c>
      <c r="AS59" s="385"/>
      <c r="AT59" s="182">
        <v>17</v>
      </c>
      <c r="AU59" s="166">
        <v>1347.9699248120301</v>
      </c>
      <c r="AV59" s="166">
        <v>79.292348518354714</v>
      </c>
      <c r="AW59" s="182">
        <f t="shared" si="46"/>
        <v>2</v>
      </c>
      <c r="AX59" s="385"/>
      <c r="AZ59" s="182" t="e">
        <f t="shared" si="48"/>
        <v>#N/A</v>
      </c>
      <c r="BA59" s="385"/>
    </row>
    <row r="60" spans="2:53">
      <c r="B60" s="395"/>
      <c r="C60" s="182">
        <v>14</v>
      </c>
      <c r="D60" s="203"/>
      <c r="E60" s="166"/>
      <c r="F60" s="182"/>
      <c r="G60" s="180"/>
      <c r="H60" s="402"/>
      <c r="I60" s="166" t="str">
        <f t="shared" si="31"/>
        <v>-</v>
      </c>
      <c r="J60" s="166" t="str">
        <f t="shared" si="32"/>
        <v>-</v>
      </c>
      <c r="K60" s="180" t="str">
        <f t="shared" si="33"/>
        <v>-</v>
      </c>
      <c r="L60" s="402"/>
      <c r="M60" s="181" t="e">
        <f>RANK(K60, K$47:$K$61)</f>
        <v>#VALUE!</v>
      </c>
      <c r="N60" s="389"/>
      <c r="O60" s="389"/>
      <c r="P60" s="182" t="s">
        <v>634</v>
      </c>
      <c r="Q60" s="166" t="s">
        <v>634</v>
      </c>
      <c r="R60" s="166" t="s">
        <v>634</v>
      </c>
      <c r="S60" s="182" t="e">
        <f t="shared" si="34"/>
        <v>#VALUE!</v>
      </c>
      <c r="T60" s="385"/>
      <c r="U60" s="182" t="s">
        <v>634</v>
      </c>
      <c r="V60" s="166" t="s">
        <v>634</v>
      </c>
      <c r="W60" s="166" t="s">
        <v>634</v>
      </c>
      <c r="X60" s="182" t="e">
        <f t="shared" si="36"/>
        <v>#VALUE!</v>
      </c>
      <c r="Y60" s="385"/>
      <c r="Z60" s="182" t="s">
        <v>634</v>
      </c>
      <c r="AA60" s="166" t="s">
        <v>634</v>
      </c>
      <c r="AB60" s="166" t="s">
        <v>634</v>
      </c>
      <c r="AC60" s="182" t="e">
        <f t="shared" si="38"/>
        <v>#VALUE!</v>
      </c>
      <c r="AD60" s="385"/>
      <c r="AE60" s="182" t="s">
        <v>634</v>
      </c>
      <c r="AF60" s="166" t="s">
        <v>634</v>
      </c>
      <c r="AG60" s="166" t="s">
        <v>634</v>
      </c>
      <c r="AH60" s="182" t="e">
        <f t="shared" si="40"/>
        <v>#VALUE!</v>
      </c>
      <c r="AI60" s="385"/>
      <c r="AJ60" s="182" t="s">
        <v>634</v>
      </c>
      <c r="AK60" s="166" t="s">
        <v>634</v>
      </c>
      <c r="AL60" s="166" t="s">
        <v>634</v>
      </c>
      <c r="AM60" s="182" t="e">
        <f t="shared" si="42"/>
        <v>#VALUE!</v>
      </c>
      <c r="AN60" s="385"/>
      <c r="AO60" s="182" t="s">
        <v>634</v>
      </c>
      <c r="AP60" s="166" t="s">
        <v>634</v>
      </c>
      <c r="AQ60" s="166" t="s">
        <v>634</v>
      </c>
      <c r="AR60" s="182" t="e">
        <f t="shared" si="44"/>
        <v>#VALUE!</v>
      </c>
      <c r="AS60" s="385"/>
      <c r="AT60" s="182" t="s">
        <v>634</v>
      </c>
      <c r="AU60" s="166" t="s">
        <v>634</v>
      </c>
      <c r="AV60" s="166" t="s">
        <v>634</v>
      </c>
      <c r="AW60" s="182" t="e">
        <f t="shared" si="46"/>
        <v>#VALUE!</v>
      </c>
      <c r="AX60" s="385"/>
      <c r="AZ60" s="182" t="e">
        <f t="shared" si="48"/>
        <v>#N/A</v>
      </c>
      <c r="BA60" s="385"/>
    </row>
    <row r="61" spans="2:53">
      <c r="B61" s="395"/>
      <c r="C61" s="182">
        <v>15</v>
      </c>
      <c r="D61" s="203"/>
      <c r="E61" s="166"/>
      <c r="F61" s="182"/>
      <c r="G61" s="180"/>
      <c r="H61" s="403"/>
      <c r="I61" s="166" t="str">
        <f t="shared" ref="I61" si="50">IFERROR(AVERAGE(P61,U61,Z61,AE61,AJ61,AO61,AT61),"-")</f>
        <v>-</v>
      </c>
      <c r="J61" s="166" t="str">
        <f t="shared" ref="J61" si="51">IFERROR(AVERAGE(Q61,V61,AA61,AF61,AK61,AP61,AU61),"-")</f>
        <v>-</v>
      </c>
      <c r="K61" s="180" t="str">
        <f t="shared" ref="K61" si="52">IFERROR(AVERAGE(R61,W61,AB61,AG61,AL61,AQ61,AV61),"-")</f>
        <v>-</v>
      </c>
      <c r="L61" s="403"/>
      <c r="M61" s="181" t="e">
        <f>RANK(K61, K$47:$K$61)</f>
        <v>#VALUE!</v>
      </c>
      <c r="N61" s="389"/>
      <c r="O61" s="389"/>
      <c r="P61" s="182" t="s">
        <v>634</v>
      </c>
      <c r="Q61" s="166" t="s">
        <v>634</v>
      </c>
      <c r="R61" s="166" t="s">
        <v>634</v>
      </c>
      <c r="S61" s="182" t="e">
        <f t="shared" si="34"/>
        <v>#VALUE!</v>
      </c>
      <c r="T61" s="386"/>
      <c r="U61" s="182" t="s">
        <v>634</v>
      </c>
      <c r="V61" s="166" t="s">
        <v>634</v>
      </c>
      <c r="W61" s="166" t="s">
        <v>634</v>
      </c>
      <c r="X61" s="182" t="e">
        <f t="shared" si="36"/>
        <v>#VALUE!</v>
      </c>
      <c r="Y61" s="386"/>
      <c r="Z61" s="182" t="s">
        <v>634</v>
      </c>
      <c r="AA61" s="166" t="s">
        <v>634</v>
      </c>
      <c r="AB61" s="166" t="s">
        <v>634</v>
      </c>
      <c r="AC61" s="182" t="e">
        <f t="shared" si="38"/>
        <v>#VALUE!</v>
      </c>
      <c r="AD61" s="386"/>
      <c r="AE61" s="182" t="s">
        <v>634</v>
      </c>
      <c r="AF61" s="166" t="s">
        <v>634</v>
      </c>
      <c r="AG61" s="166" t="s">
        <v>634</v>
      </c>
      <c r="AH61" s="182" t="e">
        <f t="shared" si="40"/>
        <v>#VALUE!</v>
      </c>
      <c r="AI61" s="386"/>
      <c r="AJ61" s="182" t="s">
        <v>634</v>
      </c>
      <c r="AK61" s="166" t="s">
        <v>634</v>
      </c>
      <c r="AL61" s="166" t="s">
        <v>634</v>
      </c>
      <c r="AM61" s="182" t="e">
        <f t="shared" si="42"/>
        <v>#VALUE!</v>
      </c>
      <c r="AN61" s="386"/>
      <c r="AO61" s="182" t="s">
        <v>634</v>
      </c>
      <c r="AP61" s="166" t="s">
        <v>634</v>
      </c>
      <c r="AQ61" s="166" t="s">
        <v>634</v>
      </c>
      <c r="AR61" s="182" t="e">
        <f t="shared" si="44"/>
        <v>#VALUE!</v>
      </c>
      <c r="AS61" s="386"/>
      <c r="AT61" s="182" t="s">
        <v>634</v>
      </c>
      <c r="AU61" s="166" t="s">
        <v>634</v>
      </c>
      <c r="AV61" s="166" t="s">
        <v>634</v>
      </c>
      <c r="AW61" s="182" t="e">
        <f t="shared" si="46"/>
        <v>#VALUE!</v>
      </c>
      <c r="AX61" s="386"/>
      <c r="AZ61" s="182" t="e">
        <f t="shared" si="48"/>
        <v>#N/A</v>
      </c>
      <c r="BA61" s="386"/>
    </row>
    <row r="62" spans="2:53" ht="15.75">
      <c r="B62" s="414" t="s">
        <v>163</v>
      </c>
      <c r="C62" s="415"/>
      <c r="D62" s="415"/>
      <c r="E62" s="415"/>
      <c r="F62" s="415"/>
      <c r="G62" s="415"/>
      <c r="H62" s="415"/>
      <c r="I62" s="186"/>
      <c r="J62" s="186"/>
      <c r="K62" s="186"/>
      <c r="L62" s="186"/>
      <c r="M62" s="185"/>
      <c r="N62" s="391" t="s">
        <v>156</v>
      </c>
      <c r="O62" s="391" t="s">
        <v>105</v>
      </c>
      <c r="P62" s="413">
        <f>P42+7</f>
        <v>46161</v>
      </c>
      <c r="Q62" s="395"/>
      <c r="R62" s="395"/>
      <c r="S62" s="395"/>
      <c r="T62" s="395"/>
      <c r="U62" s="410">
        <f>P62+1</f>
        <v>46162</v>
      </c>
      <c r="V62" s="411"/>
      <c r="W62" s="411"/>
      <c r="X62" s="411"/>
      <c r="Y62" s="412"/>
      <c r="Z62" s="410">
        <f>U62+1</f>
        <v>46163</v>
      </c>
      <c r="AA62" s="411"/>
      <c r="AB62" s="411"/>
      <c r="AC62" s="411"/>
      <c r="AD62" s="412"/>
      <c r="AE62" s="410">
        <f>Z62+1</f>
        <v>46164</v>
      </c>
      <c r="AF62" s="411"/>
      <c r="AG62" s="411"/>
      <c r="AH62" s="411"/>
      <c r="AI62" s="412"/>
      <c r="AJ62" s="410">
        <f>AE62+1</f>
        <v>46165</v>
      </c>
      <c r="AK62" s="411"/>
      <c r="AL62" s="411"/>
      <c r="AM62" s="411"/>
      <c r="AN62" s="412"/>
      <c r="AO62" s="410">
        <f>AJ62+1</f>
        <v>46166</v>
      </c>
      <c r="AP62" s="411"/>
      <c r="AQ62" s="411"/>
      <c r="AR62" s="411"/>
      <c r="AS62" s="412"/>
      <c r="AT62" s="410">
        <f>AO62+1</f>
        <v>46167</v>
      </c>
      <c r="AU62" s="411"/>
      <c r="AV62" s="411"/>
      <c r="AW62" s="411"/>
      <c r="AX62" s="412"/>
    </row>
    <row r="63" spans="2:53" ht="15.75">
      <c r="B63" s="416"/>
      <c r="C63" s="416"/>
      <c r="D63" s="416"/>
      <c r="E63" s="416"/>
      <c r="F63" s="416"/>
      <c r="G63" s="416"/>
      <c r="H63" s="416"/>
      <c r="I63" s="184"/>
      <c r="J63" s="184"/>
      <c r="K63" s="184"/>
      <c r="L63" s="184"/>
      <c r="M63" s="179"/>
      <c r="N63" s="393"/>
      <c r="O63" s="393"/>
      <c r="P63" s="413" t="s">
        <v>318</v>
      </c>
      <c r="Q63" s="395"/>
      <c r="R63" s="395"/>
      <c r="S63" s="395"/>
      <c r="T63" s="395"/>
      <c r="U63" s="413" t="s">
        <v>319</v>
      </c>
      <c r="V63" s="395"/>
      <c r="W63" s="395"/>
      <c r="X63" s="395"/>
      <c r="Y63" s="395"/>
      <c r="Z63" s="413" t="s">
        <v>320</v>
      </c>
      <c r="AA63" s="395"/>
      <c r="AB63" s="395"/>
      <c r="AC63" s="395"/>
      <c r="AD63" s="395"/>
      <c r="AE63" s="413" t="s">
        <v>321</v>
      </c>
      <c r="AF63" s="395"/>
      <c r="AG63" s="395"/>
      <c r="AH63" s="395"/>
      <c r="AI63" s="395"/>
      <c r="AJ63" s="413" t="s">
        <v>322</v>
      </c>
      <c r="AK63" s="395"/>
      <c r="AL63" s="395"/>
      <c r="AM63" s="395"/>
      <c r="AN63" s="395"/>
      <c r="AO63" s="413" t="s">
        <v>323</v>
      </c>
      <c r="AP63" s="395"/>
      <c r="AQ63" s="395"/>
      <c r="AR63" s="395"/>
      <c r="AS63" s="395"/>
      <c r="AT63" s="413" t="s">
        <v>324</v>
      </c>
      <c r="AU63" s="395"/>
      <c r="AV63" s="395"/>
      <c r="AW63" s="395"/>
      <c r="AX63" s="395"/>
    </row>
    <row r="64" spans="2:53">
      <c r="B64" s="389" t="s">
        <v>376</v>
      </c>
      <c r="C64" s="389" t="s">
        <v>386</v>
      </c>
      <c r="D64" s="389"/>
      <c r="E64" s="389" t="s">
        <v>377</v>
      </c>
      <c r="F64" s="389"/>
      <c r="G64" s="389"/>
      <c r="H64" s="417" t="s">
        <v>373</v>
      </c>
      <c r="I64" s="389" t="s">
        <v>378</v>
      </c>
      <c r="J64" s="389"/>
      <c r="K64" s="389"/>
      <c r="L64" s="417" t="s">
        <v>373</v>
      </c>
      <c r="M64" s="391" t="s">
        <v>374</v>
      </c>
      <c r="N64" s="389"/>
      <c r="O64" s="389" t="s">
        <v>379</v>
      </c>
      <c r="P64" s="404" t="s">
        <v>375</v>
      </c>
      <c r="Q64" s="405"/>
      <c r="R64" s="405"/>
      <c r="S64" s="406"/>
      <c r="T64" s="389" t="s">
        <v>373</v>
      </c>
      <c r="U64" s="404" t="s">
        <v>375</v>
      </c>
      <c r="V64" s="405"/>
      <c r="W64" s="405"/>
      <c r="X64" s="406"/>
      <c r="Y64" s="389" t="s">
        <v>373</v>
      </c>
      <c r="Z64" s="404" t="s">
        <v>375</v>
      </c>
      <c r="AA64" s="405"/>
      <c r="AB64" s="405"/>
      <c r="AC64" s="406"/>
      <c r="AD64" s="389" t="s">
        <v>373</v>
      </c>
      <c r="AE64" s="404" t="s">
        <v>375</v>
      </c>
      <c r="AF64" s="405"/>
      <c r="AG64" s="405"/>
      <c r="AH64" s="406"/>
      <c r="AI64" s="389" t="s">
        <v>373</v>
      </c>
      <c r="AJ64" s="404" t="s">
        <v>375</v>
      </c>
      <c r="AK64" s="405"/>
      <c r="AL64" s="405"/>
      <c r="AM64" s="406"/>
      <c r="AN64" s="389" t="s">
        <v>373</v>
      </c>
      <c r="AO64" s="404" t="s">
        <v>375</v>
      </c>
      <c r="AP64" s="405"/>
      <c r="AQ64" s="405"/>
      <c r="AR64" s="406"/>
      <c r="AS64" s="389" t="s">
        <v>373</v>
      </c>
      <c r="AT64" s="404" t="s">
        <v>375</v>
      </c>
      <c r="AU64" s="405"/>
      <c r="AV64" s="405"/>
      <c r="AW64" s="406"/>
      <c r="AX64" s="389" t="s">
        <v>373</v>
      </c>
      <c r="BA64" s="389" t="s">
        <v>373</v>
      </c>
    </row>
    <row r="65" spans="2:53">
      <c r="B65" s="389"/>
      <c r="C65" s="389"/>
      <c r="D65" s="389"/>
      <c r="E65" s="389" t="s">
        <v>380</v>
      </c>
      <c r="F65" s="389"/>
      <c r="G65" s="389"/>
      <c r="H65" s="418"/>
      <c r="I65" s="389" t="s">
        <v>380</v>
      </c>
      <c r="J65" s="389"/>
      <c r="K65" s="389"/>
      <c r="L65" s="418"/>
      <c r="M65" s="392"/>
      <c r="N65" s="389"/>
      <c r="O65" s="389"/>
      <c r="P65" s="404" t="s">
        <v>381</v>
      </c>
      <c r="Q65" s="405"/>
      <c r="R65" s="405"/>
      <c r="S65" s="406"/>
      <c r="T65" s="389"/>
      <c r="U65" s="404" t="s">
        <v>381</v>
      </c>
      <c r="V65" s="405"/>
      <c r="W65" s="405"/>
      <c r="X65" s="406"/>
      <c r="Y65" s="389"/>
      <c r="Z65" s="404" t="s">
        <v>381</v>
      </c>
      <c r="AA65" s="405"/>
      <c r="AB65" s="405"/>
      <c r="AC65" s="406"/>
      <c r="AD65" s="389"/>
      <c r="AE65" s="404" t="s">
        <v>381</v>
      </c>
      <c r="AF65" s="405"/>
      <c r="AG65" s="405"/>
      <c r="AH65" s="406"/>
      <c r="AI65" s="389"/>
      <c r="AJ65" s="404" t="s">
        <v>381</v>
      </c>
      <c r="AK65" s="405"/>
      <c r="AL65" s="405"/>
      <c r="AM65" s="406"/>
      <c r="AN65" s="389"/>
      <c r="AO65" s="404" t="s">
        <v>381</v>
      </c>
      <c r="AP65" s="405"/>
      <c r="AQ65" s="405"/>
      <c r="AR65" s="406"/>
      <c r="AS65" s="389"/>
      <c r="AT65" s="404" t="s">
        <v>381</v>
      </c>
      <c r="AU65" s="405"/>
      <c r="AV65" s="405"/>
      <c r="AW65" s="406"/>
      <c r="AX65" s="389"/>
      <c r="BA65" s="389"/>
    </row>
    <row r="66" spans="2:53">
      <c r="B66" s="389"/>
      <c r="C66" s="389"/>
      <c r="D66" s="389"/>
      <c r="E66" s="258" t="s">
        <v>382</v>
      </c>
      <c r="F66" s="258" t="s">
        <v>383</v>
      </c>
      <c r="G66" s="258" t="s">
        <v>384</v>
      </c>
      <c r="H66" s="419"/>
      <c r="I66" s="258" t="s">
        <v>382</v>
      </c>
      <c r="J66" s="258" t="s">
        <v>383</v>
      </c>
      <c r="K66" s="258" t="s">
        <v>384</v>
      </c>
      <c r="L66" s="419"/>
      <c r="M66" s="393"/>
      <c r="N66" s="389"/>
      <c r="O66" s="389"/>
      <c r="P66" s="258" t="s">
        <v>382</v>
      </c>
      <c r="Q66" s="258" t="s">
        <v>383</v>
      </c>
      <c r="R66" s="258" t="s">
        <v>384</v>
      </c>
      <c r="S66" s="258" t="s">
        <v>374</v>
      </c>
      <c r="T66" s="389"/>
      <c r="U66" s="258" t="s">
        <v>382</v>
      </c>
      <c r="V66" s="258" t="s">
        <v>383</v>
      </c>
      <c r="W66" s="258" t="s">
        <v>384</v>
      </c>
      <c r="X66" s="258" t="s">
        <v>374</v>
      </c>
      <c r="Y66" s="389"/>
      <c r="Z66" s="258" t="s">
        <v>382</v>
      </c>
      <c r="AA66" s="258" t="s">
        <v>383</v>
      </c>
      <c r="AB66" s="258" t="s">
        <v>384</v>
      </c>
      <c r="AC66" s="258" t="s">
        <v>374</v>
      </c>
      <c r="AD66" s="389"/>
      <c r="AE66" s="258" t="s">
        <v>382</v>
      </c>
      <c r="AF66" s="258" t="s">
        <v>383</v>
      </c>
      <c r="AG66" s="258" t="s">
        <v>384</v>
      </c>
      <c r="AH66" s="258" t="s">
        <v>374</v>
      </c>
      <c r="AI66" s="389"/>
      <c r="AJ66" s="258" t="s">
        <v>382</v>
      </c>
      <c r="AK66" s="258" t="s">
        <v>383</v>
      </c>
      <c r="AL66" s="258" t="s">
        <v>384</v>
      </c>
      <c r="AM66" s="258" t="s">
        <v>374</v>
      </c>
      <c r="AN66" s="389"/>
      <c r="AO66" s="258" t="s">
        <v>382</v>
      </c>
      <c r="AP66" s="258" t="s">
        <v>383</v>
      </c>
      <c r="AQ66" s="258" t="s">
        <v>384</v>
      </c>
      <c r="AR66" s="258" t="s">
        <v>374</v>
      </c>
      <c r="AS66" s="389"/>
      <c r="AT66" s="258" t="s">
        <v>382</v>
      </c>
      <c r="AU66" s="258" t="s">
        <v>383</v>
      </c>
      <c r="AV66" s="258" t="s">
        <v>384</v>
      </c>
      <c r="AW66" s="258" t="s">
        <v>374</v>
      </c>
      <c r="AX66" s="389"/>
      <c r="AZ66" s="258" t="s">
        <v>374</v>
      </c>
      <c r="BA66" s="389"/>
    </row>
    <row r="67" spans="2:53">
      <c r="B67" s="389" t="s">
        <v>399</v>
      </c>
      <c r="C67" s="182">
        <v>1</v>
      </c>
      <c r="D67" s="203" t="s">
        <v>733</v>
      </c>
      <c r="E67" s="166">
        <v>17</v>
      </c>
      <c r="F67" s="182">
        <v>1440</v>
      </c>
      <c r="G67" s="180">
        <v>96</v>
      </c>
      <c r="H67" s="401">
        <f>AVERAGE(G67:G81)</f>
        <v>81.423076923076906</v>
      </c>
      <c r="I67" s="166">
        <f t="shared" ref="I67:I79" si="53">IFERROR(AVERAGE(P67,U67,Z67,AE67,AJ67,AO67,AT67),"-")</f>
        <v>17</v>
      </c>
      <c r="J67" s="166">
        <f t="shared" ref="J67:J79" si="54">IFERROR(AVERAGE(Q67,V67,AA67,AF67,AK67,AP67,AU67),"-")</f>
        <v>1287.4663141375574</v>
      </c>
      <c r="K67" s="180">
        <f t="shared" ref="K67:K79" si="55">IFERROR(AVERAGE(R67,W67,AB67,AG67,AL67,AQ67,AV67),"-")</f>
        <v>75.733312596326911</v>
      </c>
      <c r="L67" s="401">
        <f>IFERROR(AVERAGE(K67:K81),"-")</f>
        <v>72.518554728044791</v>
      </c>
      <c r="M67" s="181">
        <f>RANK(K67, K$67:$K$81)</f>
        <v>4</v>
      </c>
      <c r="N67" s="389"/>
      <c r="O67" s="389"/>
      <c r="P67" s="182">
        <v>17</v>
      </c>
      <c r="Q67" s="166">
        <v>1294.3750000000002</v>
      </c>
      <c r="R67" s="166">
        <v>76.139705882352956</v>
      </c>
      <c r="S67" s="182">
        <f t="shared" ref="S67:S81" si="56">RANK(R67, R$67:R$81)</f>
        <v>4</v>
      </c>
      <c r="T67" s="384">
        <f t="shared" ref="T67" si="57">AVERAGE(R67:R81)</f>
        <v>72.818087952607812</v>
      </c>
      <c r="U67" s="182">
        <v>17</v>
      </c>
      <c r="V67" s="166">
        <v>1262.975999999999</v>
      </c>
      <c r="W67" s="166">
        <v>74.292705882352877</v>
      </c>
      <c r="X67" s="182">
        <f t="shared" ref="X67:X81" si="58">RANK(W67, W$67:W$81)</f>
        <v>6</v>
      </c>
      <c r="Y67" s="384">
        <f t="shared" ref="Y67" si="59">AVERAGE(W67:W81)</f>
        <v>73.413640336304923</v>
      </c>
      <c r="Z67" s="182">
        <v>17</v>
      </c>
      <c r="AA67" s="166">
        <v>1267.8439024390239</v>
      </c>
      <c r="AB67" s="166">
        <v>74.579053084648464</v>
      </c>
      <c r="AC67" s="182">
        <f t="shared" ref="AC67:AC81" si="60">RANK(AB67, AB$67:AB$81)</f>
        <v>6</v>
      </c>
      <c r="AD67" s="384">
        <f t="shared" ref="AD67" si="61">AVERAGE(AB67:AB81)</f>
        <v>72.138607072674773</v>
      </c>
      <c r="AE67" s="182">
        <v>17</v>
      </c>
      <c r="AF67" s="166">
        <v>1305.8474226804126</v>
      </c>
      <c r="AG67" s="166">
        <v>76.814554275318386</v>
      </c>
      <c r="AH67" s="182">
        <f t="shared" ref="AH67:AH81" si="62">RANK(AG67, AG$67:AG$81)</f>
        <v>4</v>
      </c>
      <c r="AI67" s="384">
        <f t="shared" ref="AI67" si="63">AVERAGE(AG67:AG81)</f>
        <v>72.229116953393458</v>
      </c>
      <c r="AJ67" s="182">
        <v>17</v>
      </c>
      <c r="AK67" s="166">
        <v>1298.7652173913043</v>
      </c>
      <c r="AL67" s="166">
        <v>76.397953964194372</v>
      </c>
      <c r="AM67" s="182">
        <f t="shared" ref="AM67:AM81" si="64">RANK(AL67, AL$67:AL$81)</f>
        <v>4</v>
      </c>
      <c r="AN67" s="384">
        <f t="shared" ref="AN67" si="65">AVERAGE(AL67:AL81)</f>
        <v>72.662903022703048</v>
      </c>
      <c r="AO67" s="182">
        <v>17</v>
      </c>
      <c r="AP67" s="166">
        <v>1279.2808988764048</v>
      </c>
      <c r="AQ67" s="166">
        <v>75.251817580964982</v>
      </c>
      <c r="AR67" s="182">
        <f t="shared" ref="AR67:AR81" si="66">RANK(AQ67, AQ$67:AQ$81)</f>
        <v>5</v>
      </c>
      <c r="AS67" s="384">
        <f t="shared" ref="AS67" si="67">AVERAGE(AQ67:AQ81)</f>
        <v>72.154169783975462</v>
      </c>
      <c r="AT67" s="182">
        <v>17</v>
      </c>
      <c r="AU67" s="166">
        <v>1303.1757575757581</v>
      </c>
      <c r="AV67" s="166">
        <v>76.657397504456355</v>
      </c>
      <c r="AW67" s="182">
        <f t="shared" ref="AW67:AW81" si="68">RANK(AV67, AV$67:AV$81)</f>
        <v>4</v>
      </c>
      <c r="AX67" s="384">
        <f t="shared" ref="AX67" si="69">AVERAGE(AV67:AV81)</f>
        <v>72.213357974654087</v>
      </c>
      <c r="AZ67" s="182" t="e">
        <f t="shared" ref="AZ67:AZ81" si="70">RANK(AY67, AY$67:AY$81)</f>
        <v>#N/A</v>
      </c>
      <c r="BA67" s="384" t="e">
        <f t="shared" ref="BA67" si="71">AVERAGE(AY67:AY81)</f>
        <v>#DIV/0!</v>
      </c>
    </row>
    <row r="68" spans="2:53">
      <c r="B68" s="395"/>
      <c r="C68" s="182">
        <v>2</v>
      </c>
      <c r="D68" s="203" t="s">
        <v>350</v>
      </c>
      <c r="E68" s="166">
        <v>18</v>
      </c>
      <c r="F68" s="182">
        <v>1440</v>
      </c>
      <c r="G68" s="180">
        <v>80</v>
      </c>
      <c r="H68" s="402"/>
      <c r="I68" s="166">
        <f t="shared" si="53"/>
        <v>18</v>
      </c>
      <c r="J68" s="166">
        <f t="shared" si="54"/>
        <v>1351.7891294752826</v>
      </c>
      <c r="K68" s="180">
        <f t="shared" si="55"/>
        <v>75.099396081960137</v>
      </c>
      <c r="L68" s="402"/>
      <c r="M68" s="181">
        <f>RANK(K68, K$67:$K$81)</f>
        <v>5</v>
      </c>
      <c r="N68" s="389"/>
      <c r="O68" s="389"/>
      <c r="P68" s="182">
        <v>18</v>
      </c>
      <c r="Q68" s="166">
        <v>1352.0792079207915</v>
      </c>
      <c r="R68" s="166">
        <v>75.11551155115508</v>
      </c>
      <c r="S68" s="182">
        <f t="shared" si="56"/>
        <v>5</v>
      </c>
      <c r="T68" s="385"/>
      <c r="U68" s="182">
        <v>18</v>
      </c>
      <c r="V68" s="166">
        <v>1359.9384615384608</v>
      </c>
      <c r="W68" s="166">
        <v>75.552136752136718</v>
      </c>
      <c r="X68" s="182">
        <f t="shared" si="58"/>
        <v>5</v>
      </c>
      <c r="Y68" s="385"/>
      <c r="Z68" s="182">
        <v>18</v>
      </c>
      <c r="AA68" s="166">
        <v>1359.9384615384608</v>
      </c>
      <c r="AB68" s="166">
        <v>75.552136752136718</v>
      </c>
      <c r="AC68" s="182">
        <f t="shared" si="60"/>
        <v>4</v>
      </c>
      <c r="AD68" s="385"/>
      <c r="AE68" s="182">
        <v>18</v>
      </c>
      <c r="AF68" s="166">
        <v>1359.9384615384608</v>
      </c>
      <c r="AG68" s="166">
        <v>75.552136752136718</v>
      </c>
      <c r="AH68" s="182">
        <f t="shared" si="62"/>
        <v>5</v>
      </c>
      <c r="AI68" s="385"/>
      <c r="AJ68" s="182">
        <v>18</v>
      </c>
      <c r="AK68" s="166">
        <v>1342.7240506329108</v>
      </c>
      <c r="AL68" s="166">
        <v>74.595780590717268</v>
      </c>
      <c r="AM68" s="182">
        <f t="shared" si="64"/>
        <v>6</v>
      </c>
      <c r="AN68" s="385"/>
      <c r="AO68" s="182">
        <v>18</v>
      </c>
      <c r="AP68" s="166">
        <v>1330.1052631578939</v>
      </c>
      <c r="AQ68" s="166">
        <v>73.894736842105218</v>
      </c>
      <c r="AR68" s="182">
        <f t="shared" si="66"/>
        <v>6</v>
      </c>
      <c r="AS68" s="385"/>
      <c r="AT68" s="182">
        <v>18</v>
      </c>
      <c r="AU68" s="166">
        <v>1357.7999999999997</v>
      </c>
      <c r="AV68" s="166">
        <v>75.433333333333323</v>
      </c>
      <c r="AW68" s="182">
        <f t="shared" si="68"/>
        <v>5</v>
      </c>
      <c r="AX68" s="385"/>
      <c r="AZ68" s="182" t="e">
        <f t="shared" si="70"/>
        <v>#N/A</v>
      </c>
      <c r="BA68" s="385"/>
    </row>
    <row r="69" spans="2:53">
      <c r="B69" s="395"/>
      <c r="C69" s="182">
        <v>3</v>
      </c>
      <c r="D69" s="203" t="s">
        <v>351</v>
      </c>
      <c r="E69" s="166">
        <v>18</v>
      </c>
      <c r="F69" s="182">
        <v>1440</v>
      </c>
      <c r="G69" s="180">
        <v>80</v>
      </c>
      <c r="H69" s="402"/>
      <c r="I69" s="166">
        <f t="shared" si="53"/>
        <v>18</v>
      </c>
      <c r="J69" s="166">
        <f t="shared" si="54"/>
        <v>1252.1864678335462</v>
      </c>
      <c r="K69" s="180">
        <f t="shared" si="55"/>
        <v>69.565914879641468</v>
      </c>
      <c r="L69" s="402"/>
      <c r="M69" s="181">
        <f>RANK(K69, K$67:$K$81)</f>
        <v>10</v>
      </c>
      <c r="N69" s="389"/>
      <c r="O69" s="389"/>
      <c r="P69" s="182">
        <v>18</v>
      </c>
      <c r="Q69" s="166">
        <v>1284.9230769230783</v>
      </c>
      <c r="R69" s="166">
        <v>71.384615384615458</v>
      </c>
      <c r="S69" s="182">
        <f t="shared" si="56"/>
        <v>9</v>
      </c>
      <c r="T69" s="385"/>
      <c r="U69" s="182">
        <v>18</v>
      </c>
      <c r="V69" s="166">
        <v>1290.7317073170727</v>
      </c>
      <c r="W69" s="166">
        <v>71.707317073170714</v>
      </c>
      <c r="X69" s="182">
        <f t="shared" si="58"/>
        <v>8</v>
      </c>
      <c r="Y69" s="385"/>
      <c r="Z69" s="182">
        <v>18</v>
      </c>
      <c r="AA69" s="166">
        <v>1280.4545454545455</v>
      </c>
      <c r="AB69" s="166">
        <v>71.13636363636364</v>
      </c>
      <c r="AC69" s="182">
        <f t="shared" si="60"/>
        <v>8</v>
      </c>
      <c r="AD69" s="385"/>
      <c r="AE69" s="182">
        <v>18</v>
      </c>
      <c r="AF69" s="166">
        <v>1276.9230769230762</v>
      </c>
      <c r="AG69" s="166">
        <v>70.940170940170901</v>
      </c>
      <c r="AH69" s="182">
        <f t="shared" si="62"/>
        <v>8</v>
      </c>
      <c r="AI69" s="385"/>
      <c r="AJ69" s="182">
        <v>18</v>
      </c>
      <c r="AK69" s="166">
        <v>1278.1395348837207</v>
      </c>
      <c r="AL69" s="166">
        <v>71.00775193798448</v>
      </c>
      <c r="AM69" s="182">
        <f t="shared" si="64"/>
        <v>9</v>
      </c>
      <c r="AN69" s="385"/>
      <c r="AO69" s="182">
        <v>18</v>
      </c>
      <c r="AP69" s="166">
        <v>1187.1999999999937</v>
      </c>
      <c r="AQ69" s="166">
        <v>65.955555555555208</v>
      </c>
      <c r="AR69" s="182">
        <f t="shared" si="66"/>
        <v>11</v>
      </c>
      <c r="AS69" s="385"/>
      <c r="AT69" s="182">
        <v>18</v>
      </c>
      <c r="AU69" s="166">
        <v>1166.9333333333373</v>
      </c>
      <c r="AV69" s="166">
        <v>64.829629629629849</v>
      </c>
      <c r="AW69" s="182">
        <f t="shared" si="68"/>
        <v>11</v>
      </c>
      <c r="AX69" s="385"/>
      <c r="AZ69" s="182" t="e">
        <f t="shared" si="70"/>
        <v>#N/A</v>
      </c>
      <c r="BA69" s="385"/>
    </row>
    <row r="70" spans="2:53">
      <c r="B70" s="395"/>
      <c r="C70" s="182">
        <v>4</v>
      </c>
      <c r="D70" s="203" t="s">
        <v>352</v>
      </c>
      <c r="E70" s="166">
        <v>17</v>
      </c>
      <c r="F70" s="182">
        <v>1440</v>
      </c>
      <c r="G70" s="180">
        <v>84.7</v>
      </c>
      <c r="H70" s="402"/>
      <c r="I70" s="166">
        <f t="shared" si="53"/>
        <v>17</v>
      </c>
      <c r="J70" s="166">
        <f t="shared" si="54"/>
        <v>1338.0343787838744</v>
      </c>
      <c r="K70" s="180">
        <f t="shared" si="55"/>
        <v>78.707904634345567</v>
      </c>
      <c r="L70" s="402"/>
      <c r="M70" s="181">
        <f>RANK(K70, K$67:$K$81)</f>
        <v>3</v>
      </c>
      <c r="N70" s="389"/>
      <c r="O70" s="389"/>
      <c r="P70" s="182">
        <v>17</v>
      </c>
      <c r="Q70" s="166">
        <v>1334.1509433962271</v>
      </c>
      <c r="R70" s="166">
        <v>78.479467258601602</v>
      </c>
      <c r="S70" s="182">
        <f t="shared" si="56"/>
        <v>3</v>
      </c>
      <c r="T70" s="385"/>
      <c r="U70" s="182">
        <v>17</v>
      </c>
      <c r="V70" s="166">
        <v>1368.7912087912089</v>
      </c>
      <c r="W70" s="166">
        <v>80.517129928894633</v>
      </c>
      <c r="X70" s="182">
        <f t="shared" si="58"/>
        <v>2</v>
      </c>
      <c r="Y70" s="385"/>
      <c r="Z70" s="182">
        <v>17</v>
      </c>
      <c r="AA70" s="166">
        <v>1314.9818181818227</v>
      </c>
      <c r="AB70" s="166">
        <v>77.351871657754273</v>
      </c>
      <c r="AC70" s="182">
        <f t="shared" si="60"/>
        <v>3</v>
      </c>
      <c r="AD70" s="385"/>
      <c r="AE70" s="182">
        <v>17</v>
      </c>
      <c r="AF70" s="166">
        <v>1314.9818181818227</v>
      </c>
      <c r="AG70" s="166">
        <v>77.351871657754273</v>
      </c>
      <c r="AH70" s="182">
        <f t="shared" si="62"/>
        <v>3</v>
      </c>
      <c r="AI70" s="385"/>
      <c r="AJ70" s="182">
        <v>17</v>
      </c>
      <c r="AK70" s="166">
        <v>1314.9818181818227</v>
      </c>
      <c r="AL70" s="166">
        <v>77.351871657754273</v>
      </c>
      <c r="AM70" s="182">
        <f t="shared" si="64"/>
        <v>3</v>
      </c>
      <c r="AN70" s="385"/>
      <c r="AO70" s="182">
        <v>17</v>
      </c>
      <c r="AP70" s="166">
        <v>1358.2978723404258</v>
      </c>
      <c r="AQ70" s="166">
        <v>79.899874843554457</v>
      </c>
      <c r="AR70" s="182">
        <f t="shared" si="66"/>
        <v>2</v>
      </c>
      <c r="AS70" s="385"/>
      <c r="AT70" s="182">
        <v>17</v>
      </c>
      <c r="AU70" s="166">
        <v>1360.0551724137929</v>
      </c>
      <c r="AV70" s="166">
        <v>80.003245436105459</v>
      </c>
      <c r="AW70" s="182">
        <f t="shared" si="68"/>
        <v>3</v>
      </c>
      <c r="AX70" s="385"/>
      <c r="AZ70" s="182" t="e">
        <f t="shared" si="70"/>
        <v>#N/A</v>
      </c>
      <c r="BA70" s="385"/>
    </row>
    <row r="71" spans="2:53">
      <c r="B71" s="395"/>
      <c r="C71" s="182">
        <v>5</v>
      </c>
      <c r="D71" s="203" t="s">
        <v>353</v>
      </c>
      <c r="E71" s="166">
        <v>17</v>
      </c>
      <c r="F71" s="182">
        <v>1440</v>
      </c>
      <c r="G71" s="180">
        <v>84.7</v>
      </c>
      <c r="H71" s="402"/>
      <c r="I71" s="166">
        <f t="shared" si="53"/>
        <v>17</v>
      </c>
      <c r="J71" s="166">
        <f t="shared" si="54"/>
        <v>1262.1624858702799</v>
      </c>
      <c r="K71" s="180">
        <f t="shared" si="55"/>
        <v>74.244852110016481</v>
      </c>
      <c r="L71" s="402"/>
      <c r="M71" s="181">
        <f>RANK(K71, K$67:$K$81)</f>
        <v>6</v>
      </c>
      <c r="N71" s="389"/>
      <c r="O71" s="389"/>
      <c r="P71" s="182">
        <v>17</v>
      </c>
      <c r="Q71" s="166">
        <v>1264.7368421052622</v>
      </c>
      <c r="R71" s="166">
        <v>74.39628482972131</v>
      </c>
      <c r="S71" s="182">
        <f t="shared" si="56"/>
        <v>6</v>
      </c>
      <c r="T71" s="385"/>
      <c r="U71" s="182">
        <v>17</v>
      </c>
      <c r="V71" s="166">
        <v>1292.5714285714271</v>
      </c>
      <c r="W71" s="166">
        <v>76.033613445378066</v>
      </c>
      <c r="X71" s="182">
        <f t="shared" si="58"/>
        <v>4</v>
      </c>
      <c r="Y71" s="385"/>
      <c r="Z71" s="182">
        <v>17</v>
      </c>
      <c r="AA71" s="166">
        <v>1270.2857142857129</v>
      </c>
      <c r="AB71" s="166">
        <v>74.722689075630171</v>
      </c>
      <c r="AC71" s="182">
        <f t="shared" si="60"/>
        <v>5</v>
      </c>
      <c r="AD71" s="385"/>
      <c r="AE71" s="182">
        <v>17</v>
      </c>
      <c r="AF71" s="166">
        <v>1154.4827586206875</v>
      </c>
      <c r="AG71" s="166">
        <v>67.910750507099266</v>
      </c>
      <c r="AH71" s="182">
        <f t="shared" si="62"/>
        <v>11</v>
      </c>
      <c r="AI71" s="385"/>
      <c r="AJ71" s="182">
        <v>17</v>
      </c>
      <c r="AK71" s="166">
        <v>1281.2903225806431</v>
      </c>
      <c r="AL71" s="166">
        <v>75.370018975331945</v>
      </c>
      <c r="AM71" s="182">
        <f t="shared" si="64"/>
        <v>5</v>
      </c>
      <c r="AN71" s="385"/>
      <c r="AO71" s="182">
        <v>17</v>
      </c>
      <c r="AP71" s="166">
        <v>1305.4545454545437</v>
      </c>
      <c r="AQ71" s="166">
        <v>76.791443850267271</v>
      </c>
      <c r="AR71" s="182">
        <f t="shared" si="66"/>
        <v>4</v>
      </c>
      <c r="AS71" s="385"/>
      <c r="AT71" s="182">
        <v>17</v>
      </c>
      <c r="AU71" s="166">
        <v>1266.3157894736833</v>
      </c>
      <c r="AV71" s="166">
        <v>74.489164086687254</v>
      </c>
      <c r="AW71" s="182">
        <f t="shared" si="68"/>
        <v>6</v>
      </c>
      <c r="AX71" s="385"/>
      <c r="AZ71" s="182" t="e">
        <f t="shared" si="70"/>
        <v>#N/A</v>
      </c>
      <c r="BA71" s="385"/>
    </row>
    <row r="72" spans="2:53">
      <c r="B72" s="395"/>
      <c r="C72" s="182">
        <v>6</v>
      </c>
      <c r="D72" s="203" t="s">
        <v>354</v>
      </c>
      <c r="E72" s="166">
        <v>21</v>
      </c>
      <c r="F72" s="182">
        <v>1385</v>
      </c>
      <c r="G72" s="180">
        <v>65.900000000000006</v>
      </c>
      <c r="H72" s="402"/>
      <c r="I72" s="166">
        <f t="shared" si="53"/>
        <v>21</v>
      </c>
      <c r="J72" s="166">
        <f t="shared" si="54"/>
        <v>1295.0340956839118</v>
      </c>
      <c r="K72" s="180">
        <f t="shared" si="55"/>
        <v>61.668290270662474</v>
      </c>
      <c r="L72" s="402"/>
      <c r="M72" s="181">
        <f>RANK(K72, K$67:$K$81)</f>
        <v>13</v>
      </c>
      <c r="N72" s="389"/>
      <c r="O72" s="389"/>
      <c r="P72" s="182">
        <v>21</v>
      </c>
      <c r="Q72" s="166">
        <v>1290.2912621359228</v>
      </c>
      <c r="R72" s="166">
        <v>61.44244105409156</v>
      </c>
      <c r="S72" s="182">
        <f t="shared" si="56"/>
        <v>13</v>
      </c>
      <c r="T72" s="385"/>
      <c r="U72" s="182">
        <v>21</v>
      </c>
      <c r="V72" s="166">
        <v>1294.7058823529419</v>
      </c>
      <c r="W72" s="166">
        <v>61.652661064425807</v>
      </c>
      <c r="X72" s="182">
        <f t="shared" si="58"/>
        <v>13</v>
      </c>
      <c r="Y72" s="385"/>
      <c r="Z72" s="182">
        <v>21</v>
      </c>
      <c r="AA72" s="166">
        <v>1314.1304347826085</v>
      </c>
      <c r="AB72" s="166">
        <v>62.577639751552788</v>
      </c>
      <c r="AC72" s="182">
        <f t="shared" si="60"/>
        <v>13</v>
      </c>
      <c r="AD72" s="385"/>
      <c r="AE72" s="182">
        <v>21</v>
      </c>
      <c r="AF72" s="166">
        <v>1286.7469879518069</v>
      </c>
      <c r="AG72" s="166">
        <v>61.273666092943188</v>
      </c>
      <c r="AH72" s="182">
        <f t="shared" si="62"/>
        <v>13</v>
      </c>
      <c r="AI72" s="385"/>
      <c r="AJ72" s="182">
        <v>21</v>
      </c>
      <c r="AK72" s="166">
        <v>1281.3333333333333</v>
      </c>
      <c r="AL72" s="166">
        <v>61.015873015873012</v>
      </c>
      <c r="AM72" s="182">
        <f t="shared" si="64"/>
        <v>13</v>
      </c>
      <c r="AN72" s="385"/>
      <c r="AO72" s="182">
        <v>21</v>
      </c>
      <c r="AP72" s="166">
        <v>1303.1736263736263</v>
      </c>
      <c r="AQ72" s="166">
        <v>62.055886970172686</v>
      </c>
      <c r="AR72" s="182">
        <f t="shared" si="66"/>
        <v>13</v>
      </c>
      <c r="AS72" s="385"/>
      <c r="AT72" s="182">
        <v>21</v>
      </c>
      <c r="AU72" s="166">
        <v>1294.8571428571436</v>
      </c>
      <c r="AV72" s="166">
        <v>61.659863945578266</v>
      </c>
      <c r="AW72" s="182">
        <f t="shared" si="68"/>
        <v>12</v>
      </c>
      <c r="AX72" s="385"/>
      <c r="AZ72" s="182" t="e">
        <f t="shared" si="70"/>
        <v>#N/A</v>
      </c>
      <c r="BA72" s="385"/>
    </row>
    <row r="73" spans="2:53">
      <c r="B73" s="395"/>
      <c r="C73" s="182">
        <v>7</v>
      </c>
      <c r="D73" s="203" t="s">
        <v>355</v>
      </c>
      <c r="E73" s="166">
        <v>19</v>
      </c>
      <c r="F73" s="182">
        <v>1440</v>
      </c>
      <c r="G73" s="180">
        <v>75.8</v>
      </c>
      <c r="H73" s="402"/>
      <c r="I73" s="166">
        <f t="shared" si="53"/>
        <v>19</v>
      </c>
      <c r="J73" s="166">
        <f t="shared" si="54"/>
        <v>1348.3263423792025</v>
      </c>
      <c r="K73" s="180">
        <f t="shared" si="55"/>
        <v>70.96454433574749</v>
      </c>
      <c r="L73" s="402"/>
      <c r="M73" s="181">
        <f>RANK(K73, K$67:$K$81)</f>
        <v>8</v>
      </c>
      <c r="N73" s="389"/>
      <c r="O73" s="389"/>
      <c r="P73" s="182">
        <v>19</v>
      </c>
      <c r="Q73" s="166">
        <v>1365</v>
      </c>
      <c r="R73" s="166">
        <v>71.84210526315789</v>
      </c>
      <c r="S73" s="182">
        <f t="shared" si="56"/>
        <v>7</v>
      </c>
      <c r="T73" s="385"/>
      <c r="U73" s="182">
        <v>19</v>
      </c>
      <c r="V73" s="166">
        <v>1345.8227848101258</v>
      </c>
      <c r="W73" s="166">
        <v>70.832778147901351</v>
      </c>
      <c r="X73" s="182">
        <f t="shared" si="58"/>
        <v>10</v>
      </c>
      <c r="Y73" s="385"/>
      <c r="Z73" s="182">
        <v>19</v>
      </c>
      <c r="AA73" s="166">
        <v>1344.0000000000011</v>
      </c>
      <c r="AB73" s="166">
        <v>70.736842105263221</v>
      </c>
      <c r="AC73" s="182">
        <f t="shared" si="60"/>
        <v>10</v>
      </c>
      <c r="AD73" s="385"/>
      <c r="AE73" s="182">
        <v>19</v>
      </c>
      <c r="AF73" s="166">
        <v>1334.7540983606568</v>
      </c>
      <c r="AG73" s="166">
        <v>70.250215703192467</v>
      </c>
      <c r="AH73" s="182">
        <f t="shared" si="62"/>
        <v>9</v>
      </c>
      <c r="AI73" s="385"/>
      <c r="AJ73" s="182">
        <v>19</v>
      </c>
      <c r="AK73" s="166">
        <v>1346.8656716417927</v>
      </c>
      <c r="AL73" s="166">
        <v>70.887666928515401</v>
      </c>
      <c r="AM73" s="182">
        <f t="shared" si="64"/>
        <v>10</v>
      </c>
      <c r="AN73" s="385"/>
      <c r="AO73" s="182">
        <v>19</v>
      </c>
      <c r="AP73" s="166">
        <v>1367.027027027026</v>
      </c>
      <c r="AQ73" s="166">
        <v>71.948790896159267</v>
      </c>
      <c r="AR73" s="182">
        <f t="shared" si="66"/>
        <v>7</v>
      </c>
      <c r="AS73" s="385"/>
      <c r="AT73" s="182">
        <v>19</v>
      </c>
      <c r="AU73" s="166">
        <v>1334.8148148148143</v>
      </c>
      <c r="AV73" s="166">
        <v>70.253411306042864</v>
      </c>
      <c r="AW73" s="182">
        <f t="shared" si="68"/>
        <v>8</v>
      </c>
      <c r="AX73" s="385"/>
      <c r="AZ73" s="182" t="e">
        <f t="shared" si="70"/>
        <v>#N/A</v>
      </c>
      <c r="BA73" s="385"/>
    </row>
    <row r="74" spans="2:53">
      <c r="B74" s="395"/>
      <c r="C74" s="182">
        <v>8</v>
      </c>
      <c r="D74" s="203" t="s">
        <v>505</v>
      </c>
      <c r="E74" s="166">
        <v>18</v>
      </c>
      <c r="F74" s="182">
        <v>1385</v>
      </c>
      <c r="G74" s="180">
        <v>76.900000000000006</v>
      </c>
      <c r="H74" s="402"/>
      <c r="I74" s="166">
        <f t="shared" si="53"/>
        <v>18</v>
      </c>
      <c r="J74" s="166">
        <f t="shared" si="54"/>
        <v>1296.7986838208367</v>
      </c>
      <c r="K74" s="180">
        <f t="shared" si="55"/>
        <v>72.044371323379806</v>
      </c>
      <c r="L74" s="402"/>
      <c r="M74" s="181">
        <f>RANK(K74, K$67:$K$81)</f>
        <v>7</v>
      </c>
      <c r="N74" s="389"/>
      <c r="O74" s="389"/>
      <c r="P74" s="182">
        <v>18</v>
      </c>
      <c r="Q74" s="166">
        <v>1287.4698795180718</v>
      </c>
      <c r="R74" s="166">
        <v>71.526104417670652</v>
      </c>
      <c r="S74" s="182">
        <f t="shared" si="56"/>
        <v>8</v>
      </c>
      <c r="T74" s="385"/>
      <c r="U74" s="182">
        <v>18</v>
      </c>
      <c r="V74" s="166">
        <v>1316.9491525423741</v>
      </c>
      <c r="W74" s="166">
        <v>73.163841807909677</v>
      </c>
      <c r="X74" s="182">
        <f t="shared" si="58"/>
        <v>7</v>
      </c>
      <c r="Y74" s="385"/>
      <c r="Z74" s="182">
        <v>18</v>
      </c>
      <c r="AA74" s="166">
        <v>1288.5245901639357</v>
      </c>
      <c r="AB74" s="166">
        <v>71.584699453551991</v>
      </c>
      <c r="AC74" s="182">
        <f t="shared" si="60"/>
        <v>7</v>
      </c>
      <c r="AD74" s="385"/>
      <c r="AE74" s="182">
        <v>18</v>
      </c>
      <c r="AF74" s="166">
        <v>1293.6842105263167</v>
      </c>
      <c r="AG74" s="166">
        <v>71.871345029239819</v>
      </c>
      <c r="AH74" s="182">
        <f t="shared" si="62"/>
        <v>6</v>
      </c>
      <c r="AI74" s="385"/>
      <c r="AJ74" s="182">
        <v>18</v>
      </c>
      <c r="AK74" s="166">
        <v>1289.4915254237299</v>
      </c>
      <c r="AL74" s="166">
        <v>71.638418079096098</v>
      </c>
      <c r="AM74" s="182">
        <f t="shared" si="64"/>
        <v>7</v>
      </c>
      <c r="AN74" s="385"/>
      <c r="AO74" s="182">
        <v>18</v>
      </c>
      <c r="AP74" s="166">
        <v>1280.5714285714273</v>
      </c>
      <c r="AQ74" s="166">
        <v>71.142857142857068</v>
      </c>
      <c r="AR74" s="182">
        <f t="shared" si="66"/>
        <v>8</v>
      </c>
      <c r="AS74" s="385"/>
      <c r="AT74" s="182">
        <v>18</v>
      </c>
      <c r="AU74" s="166">
        <v>1320.900000000001</v>
      </c>
      <c r="AV74" s="166">
        <v>73.383333333333383</v>
      </c>
      <c r="AW74" s="182">
        <f t="shared" si="68"/>
        <v>7</v>
      </c>
      <c r="AX74" s="385"/>
      <c r="AZ74" s="182" t="e">
        <f t="shared" si="70"/>
        <v>#N/A</v>
      </c>
      <c r="BA74" s="385"/>
    </row>
    <row r="75" spans="2:53">
      <c r="B75" s="395"/>
      <c r="C75" s="182">
        <v>9</v>
      </c>
      <c r="D75" s="203" t="s">
        <v>508</v>
      </c>
      <c r="E75" s="166">
        <v>18</v>
      </c>
      <c r="F75" s="182">
        <v>1385</v>
      </c>
      <c r="G75" s="180">
        <v>76.900000000000006</v>
      </c>
      <c r="H75" s="402"/>
      <c r="I75" s="166">
        <f t="shared" si="53"/>
        <v>18</v>
      </c>
      <c r="J75" s="166">
        <f t="shared" si="54"/>
        <v>1225.0366561800206</v>
      </c>
      <c r="K75" s="180">
        <f t="shared" si="55"/>
        <v>68.057592010001144</v>
      </c>
      <c r="L75" s="402"/>
      <c r="M75" s="181">
        <f>RANK(K75, K$67:$K$81)</f>
        <v>11</v>
      </c>
      <c r="N75" s="389"/>
      <c r="O75" s="389"/>
      <c r="P75" s="182">
        <v>18</v>
      </c>
      <c r="Q75" s="166">
        <v>1216.9565217391305</v>
      </c>
      <c r="R75" s="166">
        <v>67.608695652173921</v>
      </c>
      <c r="S75" s="182">
        <f t="shared" si="56"/>
        <v>11</v>
      </c>
      <c r="T75" s="385"/>
      <c r="U75" s="182">
        <v>18</v>
      </c>
      <c r="V75" s="166">
        <v>1229.2682926829264</v>
      </c>
      <c r="W75" s="166">
        <v>68.292682926829244</v>
      </c>
      <c r="X75" s="182">
        <f t="shared" si="58"/>
        <v>11</v>
      </c>
      <c r="Y75" s="385"/>
      <c r="Z75" s="182">
        <v>18</v>
      </c>
      <c r="AA75" s="166">
        <v>1204.3902439024387</v>
      </c>
      <c r="AB75" s="166">
        <v>66.910569105691039</v>
      </c>
      <c r="AC75" s="182">
        <f t="shared" si="60"/>
        <v>11</v>
      </c>
      <c r="AD75" s="385"/>
      <c r="AE75" s="182">
        <v>18</v>
      </c>
      <c r="AF75" s="166">
        <v>1249.4117647058806</v>
      </c>
      <c r="AG75" s="166">
        <v>69.411764705882263</v>
      </c>
      <c r="AH75" s="182">
        <f t="shared" si="62"/>
        <v>10</v>
      </c>
      <c r="AI75" s="385"/>
      <c r="AJ75" s="182">
        <v>18</v>
      </c>
      <c r="AK75" s="166">
        <v>1232.3076923076915</v>
      </c>
      <c r="AL75" s="166">
        <v>68.46153846153841</v>
      </c>
      <c r="AM75" s="182">
        <f t="shared" si="64"/>
        <v>11</v>
      </c>
      <c r="AN75" s="385"/>
      <c r="AO75" s="182">
        <v>18</v>
      </c>
      <c r="AP75" s="166">
        <v>1214.2857142857138</v>
      </c>
      <c r="AQ75" s="166">
        <v>67.460317460317427</v>
      </c>
      <c r="AR75" s="182">
        <f t="shared" si="66"/>
        <v>9</v>
      </c>
      <c r="AS75" s="385"/>
      <c r="AT75" s="182">
        <v>18</v>
      </c>
      <c r="AU75" s="166">
        <v>1228.6363636363635</v>
      </c>
      <c r="AV75" s="166">
        <v>68.257575757575751</v>
      </c>
      <c r="AW75" s="182">
        <f t="shared" si="68"/>
        <v>9</v>
      </c>
      <c r="AX75" s="385"/>
      <c r="AZ75" s="182" t="e">
        <f t="shared" si="70"/>
        <v>#N/A</v>
      </c>
      <c r="BA75" s="385"/>
    </row>
    <row r="76" spans="2:53">
      <c r="B76" s="395"/>
      <c r="C76" s="182">
        <v>10</v>
      </c>
      <c r="D76" s="203" t="s">
        <v>529</v>
      </c>
      <c r="E76" s="166">
        <v>16</v>
      </c>
      <c r="F76" s="182">
        <v>1440</v>
      </c>
      <c r="G76" s="180">
        <v>90</v>
      </c>
      <c r="H76" s="402"/>
      <c r="I76" s="166">
        <f t="shared" si="53"/>
        <v>16.142857142857142</v>
      </c>
      <c r="J76" s="166">
        <f t="shared" si="54"/>
        <v>1349.3910019282898</v>
      </c>
      <c r="K76" s="180">
        <f t="shared" si="55"/>
        <v>83.62584883717868</v>
      </c>
      <c r="L76" s="402"/>
      <c r="M76" s="181">
        <f>RANK(K76, K$67:$K$81)</f>
        <v>1</v>
      </c>
      <c r="N76" s="389"/>
      <c r="O76" s="389"/>
      <c r="P76" s="182">
        <v>16</v>
      </c>
      <c r="Q76" s="166">
        <v>1336.0714285714296</v>
      </c>
      <c r="R76" s="166">
        <v>83.504464285714349</v>
      </c>
      <c r="S76" s="182">
        <f t="shared" si="56"/>
        <v>1</v>
      </c>
      <c r="T76" s="385"/>
      <c r="U76" s="182">
        <v>16</v>
      </c>
      <c r="V76" s="166">
        <v>1367.2727272727277</v>
      </c>
      <c r="W76" s="166">
        <v>85.454545454545482</v>
      </c>
      <c r="X76" s="182">
        <f t="shared" si="58"/>
        <v>1</v>
      </c>
      <c r="Y76" s="385"/>
      <c r="Z76" s="182">
        <v>17</v>
      </c>
      <c r="AA76" s="166">
        <v>1353.9130434782608</v>
      </c>
      <c r="AB76" s="166">
        <v>79.641943734015342</v>
      </c>
      <c r="AC76" s="182">
        <f t="shared" si="60"/>
        <v>1</v>
      </c>
      <c r="AD76" s="385"/>
      <c r="AE76" s="182">
        <v>16</v>
      </c>
      <c r="AF76" s="166">
        <v>1353.9130434782608</v>
      </c>
      <c r="AG76" s="166">
        <v>84.619565217391298</v>
      </c>
      <c r="AH76" s="182">
        <f t="shared" si="62"/>
        <v>1</v>
      </c>
      <c r="AI76" s="385"/>
      <c r="AJ76" s="182">
        <v>16</v>
      </c>
      <c r="AK76" s="166">
        <v>1339.3548387096778</v>
      </c>
      <c r="AL76" s="166">
        <v>83.709677419354861</v>
      </c>
      <c r="AM76" s="182">
        <f t="shared" si="64"/>
        <v>1</v>
      </c>
      <c r="AN76" s="385"/>
      <c r="AO76" s="182">
        <v>16</v>
      </c>
      <c r="AP76" s="166">
        <v>1350.256179775281</v>
      </c>
      <c r="AQ76" s="166">
        <v>84.391011235955062</v>
      </c>
      <c r="AR76" s="182">
        <f t="shared" si="66"/>
        <v>1</v>
      </c>
      <c r="AS76" s="385"/>
      <c r="AT76" s="182">
        <v>16</v>
      </c>
      <c r="AU76" s="166">
        <v>1344.9557522123903</v>
      </c>
      <c r="AV76" s="166">
        <v>84.059734513274392</v>
      </c>
      <c r="AW76" s="182">
        <f t="shared" si="68"/>
        <v>1</v>
      </c>
      <c r="AX76" s="385"/>
      <c r="AZ76" s="182" t="e">
        <f t="shared" si="70"/>
        <v>#N/A</v>
      </c>
      <c r="BA76" s="385"/>
    </row>
    <row r="77" spans="2:53">
      <c r="B77" s="395"/>
      <c r="C77" s="182">
        <v>11</v>
      </c>
      <c r="D77" s="203" t="s">
        <v>593</v>
      </c>
      <c r="E77" s="166">
        <v>19</v>
      </c>
      <c r="F77" s="182">
        <v>1440</v>
      </c>
      <c r="G77" s="180">
        <v>75.8</v>
      </c>
      <c r="H77" s="402"/>
      <c r="I77" s="166">
        <f t="shared" si="53"/>
        <v>19</v>
      </c>
      <c r="J77" s="166">
        <f t="shared" si="54"/>
        <v>1334.5109811548277</v>
      </c>
      <c r="K77" s="180">
        <f t="shared" si="55"/>
        <v>70.237420060780408</v>
      </c>
      <c r="L77" s="402"/>
      <c r="M77" s="181">
        <f>RANK(K77, K$67:$K$81)</f>
        <v>9</v>
      </c>
      <c r="N77" s="389"/>
      <c r="O77" s="389"/>
      <c r="P77" s="182">
        <v>19</v>
      </c>
      <c r="Q77" s="166">
        <v>1351.3636363636365</v>
      </c>
      <c r="R77" s="166">
        <v>71.124401913875602</v>
      </c>
      <c r="S77" s="182">
        <f t="shared" si="56"/>
        <v>10</v>
      </c>
      <c r="T77" s="385"/>
      <c r="U77" s="182">
        <v>19</v>
      </c>
      <c r="V77" s="166">
        <v>1357.2857142857151</v>
      </c>
      <c r="W77" s="166">
        <v>71.436090225563959</v>
      </c>
      <c r="X77" s="182">
        <f t="shared" si="58"/>
        <v>9</v>
      </c>
      <c r="Y77" s="385"/>
      <c r="Z77" s="182">
        <v>19</v>
      </c>
      <c r="AA77" s="166">
        <v>1349.8688524590161</v>
      </c>
      <c r="AB77" s="166">
        <v>71.045729076790323</v>
      </c>
      <c r="AC77" s="182">
        <f t="shared" si="60"/>
        <v>9</v>
      </c>
      <c r="AD77" s="385"/>
      <c r="AE77" s="182">
        <v>19</v>
      </c>
      <c r="AF77" s="166">
        <v>1357.2857142857138</v>
      </c>
      <c r="AG77" s="166">
        <v>71.436090225563888</v>
      </c>
      <c r="AH77" s="182">
        <f t="shared" si="62"/>
        <v>7</v>
      </c>
      <c r="AI77" s="385"/>
      <c r="AJ77" s="182">
        <v>19</v>
      </c>
      <c r="AK77" s="166">
        <v>1357.2857142857151</v>
      </c>
      <c r="AL77" s="166">
        <v>71.436090225563959</v>
      </c>
      <c r="AM77" s="182">
        <f t="shared" si="64"/>
        <v>8</v>
      </c>
      <c r="AN77" s="385"/>
      <c r="AO77" s="182">
        <v>19</v>
      </c>
      <c r="AP77" s="166">
        <v>1274.4117647058829</v>
      </c>
      <c r="AQ77" s="166">
        <v>67.074303405572778</v>
      </c>
      <c r="AR77" s="182">
        <f t="shared" si="66"/>
        <v>10</v>
      </c>
      <c r="AS77" s="385"/>
      <c r="AT77" s="182">
        <v>19</v>
      </c>
      <c r="AU77" s="166">
        <v>1294.0754716981139</v>
      </c>
      <c r="AV77" s="166">
        <v>68.109235352532309</v>
      </c>
      <c r="AW77" s="182">
        <f t="shared" si="68"/>
        <v>10</v>
      </c>
      <c r="AX77" s="385"/>
      <c r="AZ77" s="182" t="e">
        <f t="shared" si="70"/>
        <v>#N/A</v>
      </c>
      <c r="BA77" s="385"/>
    </row>
    <row r="78" spans="2:53">
      <c r="B78" s="395"/>
      <c r="C78" s="182">
        <v>12</v>
      </c>
      <c r="D78" s="203" t="s">
        <v>631</v>
      </c>
      <c r="E78" s="166">
        <v>19</v>
      </c>
      <c r="F78" s="182">
        <v>1440</v>
      </c>
      <c r="G78" s="180">
        <v>75.8</v>
      </c>
      <c r="H78" s="402"/>
      <c r="I78" s="166">
        <f t="shared" si="53"/>
        <v>18</v>
      </c>
      <c r="J78" s="166">
        <f t="shared" si="54"/>
        <v>1139.5645211930907</v>
      </c>
      <c r="K78" s="180">
        <f t="shared" si="55"/>
        <v>63.309140066282808</v>
      </c>
      <c r="L78" s="402"/>
      <c r="M78" s="181">
        <f>RANK(K78, K$67:$K$81)</f>
        <v>12</v>
      </c>
      <c r="N78" s="389"/>
      <c r="O78" s="389"/>
      <c r="P78" s="182">
        <v>18</v>
      </c>
      <c r="Q78" s="166">
        <v>1176.9230769230737</v>
      </c>
      <c r="R78" s="166">
        <v>65.384615384615202</v>
      </c>
      <c r="S78" s="182">
        <f t="shared" si="56"/>
        <v>12</v>
      </c>
      <c r="T78" s="385"/>
      <c r="U78" s="182">
        <v>18</v>
      </c>
      <c r="V78" s="166">
        <v>1177.7777777777751</v>
      </c>
      <c r="W78" s="166">
        <v>65.432098765431945</v>
      </c>
      <c r="X78" s="182">
        <f t="shared" si="58"/>
        <v>12</v>
      </c>
      <c r="Y78" s="385"/>
      <c r="Z78" s="182">
        <v>18</v>
      </c>
      <c r="AA78" s="166">
        <v>1142.2222222222194</v>
      </c>
      <c r="AB78" s="166">
        <v>63.456790123456635</v>
      </c>
      <c r="AC78" s="182">
        <f t="shared" si="60"/>
        <v>12</v>
      </c>
      <c r="AD78" s="385"/>
      <c r="AE78" s="182">
        <v>18</v>
      </c>
      <c r="AF78" s="166">
        <v>1113.0000000000039</v>
      </c>
      <c r="AG78" s="166">
        <v>61.833333333333549</v>
      </c>
      <c r="AH78" s="182">
        <f t="shared" si="62"/>
        <v>12</v>
      </c>
      <c r="AI78" s="385"/>
      <c r="AJ78" s="182">
        <v>18</v>
      </c>
      <c r="AK78" s="166">
        <v>1139.9999999999964</v>
      </c>
      <c r="AL78" s="166">
        <v>63.33333333333313</v>
      </c>
      <c r="AM78" s="182">
        <f t="shared" si="64"/>
        <v>12</v>
      </c>
      <c r="AN78" s="385"/>
      <c r="AO78" s="182">
        <v>18</v>
      </c>
      <c r="AP78" s="166">
        <v>1125.599999999997</v>
      </c>
      <c r="AQ78" s="166">
        <v>62.533333333333161</v>
      </c>
      <c r="AR78" s="182">
        <f t="shared" si="66"/>
        <v>12</v>
      </c>
      <c r="AS78" s="385"/>
      <c r="AT78" s="182">
        <v>18</v>
      </c>
      <c r="AU78" s="166">
        <v>1101.4285714285691</v>
      </c>
      <c r="AV78" s="166">
        <v>61.190476190476062</v>
      </c>
      <c r="AW78" s="182">
        <f t="shared" si="68"/>
        <v>13</v>
      </c>
      <c r="AX78" s="385"/>
      <c r="AZ78" s="182" t="e">
        <f t="shared" si="70"/>
        <v>#N/A</v>
      </c>
      <c r="BA78" s="385"/>
    </row>
    <row r="79" spans="2:53">
      <c r="B79" s="395"/>
      <c r="C79" s="182">
        <v>13</v>
      </c>
      <c r="D79" s="203" t="s">
        <v>638</v>
      </c>
      <c r="E79" s="166">
        <v>17</v>
      </c>
      <c r="F79" s="182">
        <v>1440</v>
      </c>
      <c r="G79" s="180">
        <v>96</v>
      </c>
      <c r="H79" s="402"/>
      <c r="I79" s="166">
        <f t="shared" si="53"/>
        <v>17</v>
      </c>
      <c r="J79" s="166">
        <f t="shared" si="54"/>
        <v>1351.2046123904008</v>
      </c>
      <c r="K79" s="180">
        <f t="shared" si="55"/>
        <v>79.48262425825888</v>
      </c>
      <c r="L79" s="402"/>
      <c r="M79" s="181">
        <f>RANK(K79, K$67:$K$81)</f>
        <v>2</v>
      </c>
      <c r="N79" s="389"/>
      <c r="O79" s="389"/>
      <c r="P79" s="182">
        <v>17</v>
      </c>
      <c r="Q79" s="166">
        <v>1337.6744186046508</v>
      </c>
      <c r="R79" s="166">
        <v>78.686730506155925</v>
      </c>
      <c r="S79" s="182">
        <f t="shared" si="56"/>
        <v>2</v>
      </c>
      <c r="T79" s="385"/>
      <c r="U79" s="182">
        <v>17</v>
      </c>
      <c r="V79" s="166">
        <v>1360.1652892561988</v>
      </c>
      <c r="W79" s="166">
        <v>80.009722897423458</v>
      </c>
      <c r="X79" s="182">
        <f t="shared" si="58"/>
        <v>3</v>
      </c>
      <c r="Y79" s="385"/>
      <c r="Z79" s="182">
        <v>17</v>
      </c>
      <c r="AA79" s="166">
        <v>1334.5945945945946</v>
      </c>
      <c r="AB79" s="166">
        <v>78.505564387917332</v>
      </c>
      <c r="AC79" s="182">
        <f t="shared" si="60"/>
        <v>2</v>
      </c>
      <c r="AD79" s="385"/>
      <c r="AE79" s="182">
        <v>17</v>
      </c>
      <c r="AF79" s="166">
        <v>1355.1219512195119</v>
      </c>
      <c r="AG79" s="166">
        <v>79.713055954088929</v>
      </c>
      <c r="AH79" s="182">
        <f t="shared" si="62"/>
        <v>2</v>
      </c>
      <c r="AI79" s="385"/>
      <c r="AJ79" s="182">
        <v>17</v>
      </c>
      <c r="AK79" s="166">
        <v>1350</v>
      </c>
      <c r="AL79" s="166">
        <v>79.411764705882348</v>
      </c>
      <c r="AM79" s="182">
        <f t="shared" si="64"/>
        <v>2</v>
      </c>
      <c r="AN79" s="385"/>
      <c r="AO79" s="182">
        <v>17</v>
      </c>
      <c r="AP79" s="166">
        <v>1353.272727272727</v>
      </c>
      <c r="AQ79" s="166">
        <v>79.604278074866301</v>
      </c>
      <c r="AR79" s="182">
        <f t="shared" si="66"/>
        <v>3</v>
      </c>
      <c r="AS79" s="385"/>
      <c r="AT79" s="182">
        <v>17</v>
      </c>
      <c r="AU79" s="166">
        <v>1367.6033057851234</v>
      </c>
      <c r="AV79" s="166">
        <v>80.447253281477856</v>
      </c>
      <c r="AW79" s="182">
        <f t="shared" si="68"/>
        <v>2</v>
      </c>
      <c r="AX79" s="385"/>
      <c r="AZ79" s="182" t="e">
        <f t="shared" si="70"/>
        <v>#N/A</v>
      </c>
      <c r="BA79" s="385"/>
    </row>
    <row r="80" spans="2:53">
      <c r="B80" s="395"/>
      <c r="C80" s="182">
        <v>14</v>
      </c>
      <c r="D80" s="203"/>
      <c r="E80" s="166"/>
      <c r="F80" s="182"/>
      <c r="G80" s="180"/>
      <c r="H80" s="402"/>
      <c r="I80" s="166" t="str">
        <f t="shared" ref="I80:I81" si="72">IFERROR(AVERAGE(P80,U80,Z80,AE80,AJ80,AO80,AT80),"-")</f>
        <v>-</v>
      </c>
      <c r="J80" s="166" t="str">
        <f t="shared" ref="J80:J81" si="73">IFERROR(AVERAGE(Q80,V80,AA80,AF80,AK80,AP80,AU80),"-")</f>
        <v>-</v>
      </c>
      <c r="K80" s="180" t="str">
        <f t="shared" ref="K80:K81" si="74">IFERROR(AVERAGE(R80,W80,AB80,AG80,AL80,AQ80,AV80),"-")</f>
        <v>-</v>
      </c>
      <c r="L80" s="402"/>
      <c r="M80" s="181" t="e">
        <f>RANK(K80, K$67:$K$81)</f>
        <v>#VALUE!</v>
      </c>
      <c r="N80" s="389"/>
      <c r="O80" s="389"/>
      <c r="P80" s="182"/>
      <c r="Q80" s="166"/>
      <c r="R80" s="166"/>
      <c r="S80" s="182" t="e">
        <f t="shared" si="56"/>
        <v>#N/A</v>
      </c>
      <c r="T80" s="385"/>
      <c r="U80" s="182"/>
      <c r="V80" s="166"/>
      <c r="W80" s="166"/>
      <c r="X80" s="182" t="e">
        <f t="shared" si="58"/>
        <v>#N/A</v>
      </c>
      <c r="Y80" s="385"/>
      <c r="Z80" s="182"/>
      <c r="AA80" s="166"/>
      <c r="AB80" s="166"/>
      <c r="AC80" s="182" t="e">
        <f t="shared" si="60"/>
        <v>#N/A</v>
      </c>
      <c r="AD80" s="385"/>
      <c r="AE80" s="182"/>
      <c r="AF80" s="166"/>
      <c r="AG80" s="166"/>
      <c r="AH80" s="182" t="e">
        <f t="shared" si="62"/>
        <v>#N/A</v>
      </c>
      <c r="AI80" s="385"/>
      <c r="AJ80" s="182"/>
      <c r="AK80" s="166"/>
      <c r="AL80" s="166"/>
      <c r="AM80" s="182" t="e">
        <f t="shared" si="64"/>
        <v>#N/A</v>
      </c>
      <c r="AN80" s="385"/>
      <c r="AO80" s="182"/>
      <c r="AP80" s="166"/>
      <c r="AQ80" s="166"/>
      <c r="AR80" s="182" t="e">
        <f t="shared" si="66"/>
        <v>#N/A</v>
      </c>
      <c r="AS80" s="385"/>
      <c r="AT80" s="182"/>
      <c r="AU80" s="166"/>
      <c r="AV80" s="166"/>
      <c r="AW80" s="182" t="e">
        <f t="shared" si="68"/>
        <v>#N/A</v>
      </c>
      <c r="AX80" s="385"/>
      <c r="AZ80" s="182" t="e">
        <f t="shared" si="70"/>
        <v>#N/A</v>
      </c>
      <c r="BA80" s="385"/>
    </row>
    <row r="81" spans="2:53">
      <c r="B81" s="395"/>
      <c r="C81" s="182">
        <v>15</v>
      </c>
      <c r="D81" s="203"/>
      <c r="E81" s="166"/>
      <c r="F81" s="182"/>
      <c r="G81" s="180"/>
      <c r="H81" s="403"/>
      <c r="I81" s="166" t="str">
        <f t="shared" si="72"/>
        <v>-</v>
      </c>
      <c r="J81" s="166" t="str">
        <f t="shared" si="73"/>
        <v>-</v>
      </c>
      <c r="K81" s="180" t="str">
        <f t="shared" si="74"/>
        <v>-</v>
      </c>
      <c r="L81" s="403"/>
      <c r="M81" s="181" t="e">
        <f>RANK(K81, K$67:$K$81)</f>
        <v>#VALUE!</v>
      </c>
      <c r="N81" s="389"/>
      <c r="O81" s="389"/>
      <c r="P81" s="182"/>
      <c r="Q81" s="166"/>
      <c r="R81" s="166"/>
      <c r="S81" s="182" t="e">
        <f t="shared" si="56"/>
        <v>#N/A</v>
      </c>
      <c r="T81" s="386"/>
      <c r="U81" s="182"/>
      <c r="V81" s="166"/>
      <c r="W81" s="166"/>
      <c r="X81" s="182" t="e">
        <f t="shared" si="58"/>
        <v>#N/A</v>
      </c>
      <c r="Y81" s="386"/>
      <c r="Z81" s="182"/>
      <c r="AA81" s="166"/>
      <c r="AB81" s="166"/>
      <c r="AC81" s="182" t="e">
        <f t="shared" si="60"/>
        <v>#N/A</v>
      </c>
      <c r="AD81" s="386"/>
      <c r="AE81" s="182"/>
      <c r="AF81" s="166"/>
      <c r="AG81" s="166"/>
      <c r="AH81" s="182" t="e">
        <f t="shared" si="62"/>
        <v>#N/A</v>
      </c>
      <c r="AI81" s="386"/>
      <c r="AJ81" s="182"/>
      <c r="AK81" s="166"/>
      <c r="AL81" s="166"/>
      <c r="AM81" s="182" t="e">
        <f t="shared" si="64"/>
        <v>#N/A</v>
      </c>
      <c r="AN81" s="386"/>
      <c r="AO81" s="182"/>
      <c r="AP81" s="166"/>
      <c r="AQ81" s="166"/>
      <c r="AR81" s="182" t="e">
        <f t="shared" si="66"/>
        <v>#N/A</v>
      </c>
      <c r="AS81" s="386"/>
      <c r="AT81" s="182"/>
      <c r="AU81" s="166"/>
      <c r="AV81" s="166"/>
      <c r="AW81" s="182" t="e">
        <f t="shared" si="68"/>
        <v>#N/A</v>
      </c>
      <c r="AX81" s="386"/>
      <c r="AZ81" s="182" t="e">
        <f t="shared" si="70"/>
        <v>#N/A</v>
      </c>
      <c r="BA81" s="386"/>
    </row>
    <row r="82" spans="2:53" ht="15.75">
      <c r="B82" s="414" t="s">
        <v>163</v>
      </c>
      <c r="C82" s="415"/>
      <c r="D82" s="415"/>
      <c r="E82" s="415"/>
      <c r="F82" s="415"/>
      <c r="G82" s="415"/>
      <c r="H82" s="415"/>
      <c r="I82" s="186"/>
      <c r="J82" s="186"/>
      <c r="K82" s="186"/>
      <c r="L82" s="186"/>
      <c r="M82" s="185"/>
      <c r="N82" s="391" t="s">
        <v>156</v>
      </c>
      <c r="O82" s="391" t="s">
        <v>105</v>
      </c>
      <c r="P82" s="413">
        <f>P62+7</f>
        <v>46168</v>
      </c>
      <c r="Q82" s="395"/>
      <c r="R82" s="395"/>
      <c r="S82" s="395"/>
      <c r="T82" s="395"/>
      <c r="U82" s="410">
        <f>P82+1</f>
        <v>46169</v>
      </c>
      <c r="V82" s="411"/>
      <c r="W82" s="411"/>
      <c r="X82" s="411"/>
      <c r="Y82" s="412"/>
      <c r="Z82" s="410">
        <f>U82+1</f>
        <v>46170</v>
      </c>
      <c r="AA82" s="411"/>
      <c r="AB82" s="411"/>
      <c r="AC82" s="411"/>
      <c r="AD82" s="412"/>
      <c r="AE82" s="410">
        <f>Z82+1</f>
        <v>46171</v>
      </c>
      <c r="AF82" s="411"/>
      <c r="AG82" s="411"/>
      <c r="AH82" s="411"/>
      <c r="AI82" s="412"/>
      <c r="AJ82" s="410">
        <f>AE82+1</f>
        <v>46172</v>
      </c>
      <c r="AK82" s="411"/>
      <c r="AL82" s="411"/>
      <c r="AM82" s="411"/>
      <c r="AN82" s="412"/>
      <c r="AO82" s="410">
        <f>AJ82+1</f>
        <v>46173</v>
      </c>
      <c r="AP82" s="411"/>
      <c r="AQ82" s="411"/>
      <c r="AR82" s="411"/>
      <c r="AS82" s="412"/>
      <c r="AT82" s="410">
        <f>AO82+1</f>
        <v>46174</v>
      </c>
      <c r="AU82" s="411"/>
      <c r="AV82" s="411"/>
      <c r="AW82" s="411"/>
      <c r="AX82" s="412"/>
    </row>
    <row r="83" spans="2:53" ht="15.75">
      <c r="B83" s="416"/>
      <c r="C83" s="416"/>
      <c r="D83" s="416"/>
      <c r="E83" s="416"/>
      <c r="F83" s="416"/>
      <c r="G83" s="416"/>
      <c r="H83" s="416"/>
      <c r="I83" s="184"/>
      <c r="J83" s="184"/>
      <c r="K83" s="184"/>
      <c r="L83" s="184"/>
      <c r="M83" s="179"/>
      <c r="N83" s="393"/>
      <c r="O83" s="393"/>
      <c r="P83" s="413" t="s">
        <v>318</v>
      </c>
      <c r="Q83" s="395"/>
      <c r="R83" s="395"/>
      <c r="S83" s="395"/>
      <c r="T83" s="395"/>
      <c r="U83" s="413" t="s">
        <v>319</v>
      </c>
      <c r="V83" s="395"/>
      <c r="W83" s="395"/>
      <c r="X83" s="395"/>
      <c r="Y83" s="395"/>
      <c r="Z83" s="413" t="s">
        <v>320</v>
      </c>
      <c r="AA83" s="395"/>
      <c r="AB83" s="395"/>
      <c r="AC83" s="395"/>
      <c r="AD83" s="395"/>
      <c r="AE83" s="413" t="s">
        <v>321</v>
      </c>
      <c r="AF83" s="395"/>
      <c r="AG83" s="395"/>
      <c r="AH83" s="395"/>
      <c r="AI83" s="395"/>
      <c r="AJ83" s="413" t="s">
        <v>322</v>
      </c>
      <c r="AK83" s="395"/>
      <c r="AL83" s="395"/>
      <c r="AM83" s="395"/>
      <c r="AN83" s="395"/>
      <c r="AO83" s="413" t="s">
        <v>323</v>
      </c>
      <c r="AP83" s="395"/>
      <c r="AQ83" s="395"/>
      <c r="AR83" s="395"/>
      <c r="AS83" s="395"/>
      <c r="AT83" s="413" t="s">
        <v>324</v>
      </c>
      <c r="AU83" s="395"/>
      <c r="AV83" s="395"/>
      <c r="AW83" s="395"/>
      <c r="AX83" s="395"/>
    </row>
    <row r="84" spans="2:53">
      <c r="B84" s="389" t="s">
        <v>401</v>
      </c>
      <c r="C84" s="389" t="s">
        <v>386</v>
      </c>
      <c r="D84" s="389"/>
      <c r="E84" s="389" t="s">
        <v>377</v>
      </c>
      <c r="F84" s="389"/>
      <c r="G84" s="389"/>
      <c r="H84" s="417" t="s">
        <v>373</v>
      </c>
      <c r="I84" s="389" t="s">
        <v>378</v>
      </c>
      <c r="J84" s="389"/>
      <c r="K84" s="389"/>
      <c r="L84" s="417" t="s">
        <v>373</v>
      </c>
      <c r="M84" s="391" t="s">
        <v>374</v>
      </c>
      <c r="N84" s="389"/>
      <c r="O84" s="389" t="s">
        <v>379</v>
      </c>
      <c r="P84" s="404" t="s">
        <v>375</v>
      </c>
      <c r="Q84" s="405"/>
      <c r="R84" s="405"/>
      <c r="S84" s="406"/>
      <c r="T84" s="389" t="s">
        <v>373</v>
      </c>
      <c r="U84" s="404" t="s">
        <v>375</v>
      </c>
      <c r="V84" s="405"/>
      <c r="W84" s="405"/>
      <c r="X84" s="406"/>
      <c r="Y84" s="389" t="s">
        <v>373</v>
      </c>
      <c r="Z84" s="404" t="s">
        <v>375</v>
      </c>
      <c r="AA84" s="405"/>
      <c r="AB84" s="405"/>
      <c r="AC84" s="406"/>
      <c r="AD84" s="389" t="s">
        <v>373</v>
      </c>
      <c r="AE84" s="404" t="s">
        <v>375</v>
      </c>
      <c r="AF84" s="405"/>
      <c r="AG84" s="405"/>
      <c r="AH84" s="406"/>
      <c r="AI84" s="389" t="s">
        <v>373</v>
      </c>
      <c r="AJ84" s="404" t="s">
        <v>375</v>
      </c>
      <c r="AK84" s="405"/>
      <c r="AL84" s="405"/>
      <c r="AM84" s="406"/>
      <c r="AN84" s="389" t="s">
        <v>373</v>
      </c>
      <c r="AO84" s="404" t="s">
        <v>375</v>
      </c>
      <c r="AP84" s="405"/>
      <c r="AQ84" s="405"/>
      <c r="AR84" s="406"/>
      <c r="AS84" s="389" t="s">
        <v>373</v>
      </c>
      <c r="AT84" s="404" t="s">
        <v>375</v>
      </c>
      <c r="AU84" s="405"/>
      <c r="AV84" s="405"/>
      <c r="AW84" s="406"/>
      <c r="AX84" s="389" t="s">
        <v>373</v>
      </c>
      <c r="BA84" s="389" t="s">
        <v>373</v>
      </c>
    </row>
    <row r="85" spans="2:53">
      <c r="B85" s="389"/>
      <c r="C85" s="389"/>
      <c r="D85" s="389"/>
      <c r="E85" s="389" t="s">
        <v>380</v>
      </c>
      <c r="F85" s="389"/>
      <c r="G85" s="389"/>
      <c r="H85" s="418"/>
      <c r="I85" s="389" t="s">
        <v>380</v>
      </c>
      <c r="J85" s="389"/>
      <c r="K85" s="389"/>
      <c r="L85" s="418"/>
      <c r="M85" s="392"/>
      <c r="N85" s="389"/>
      <c r="O85" s="389"/>
      <c r="P85" s="404" t="s">
        <v>381</v>
      </c>
      <c r="Q85" s="405"/>
      <c r="R85" s="405"/>
      <c r="S85" s="406"/>
      <c r="T85" s="389"/>
      <c r="U85" s="404" t="s">
        <v>381</v>
      </c>
      <c r="V85" s="405"/>
      <c r="W85" s="405"/>
      <c r="X85" s="406"/>
      <c r="Y85" s="389"/>
      <c r="Z85" s="404" t="s">
        <v>381</v>
      </c>
      <c r="AA85" s="405"/>
      <c r="AB85" s="405"/>
      <c r="AC85" s="406"/>
      <c r="AD85" s="389"/>
      <c r="AE85" s="404" t="s">
        <v>381</v>
      </c>
      <c r="AF85" s="405"/>
      <c r="AG85" s="405"/>
      <c r="AH85" s="406"/>
      <c r="AI85" s="389"/>
      <c r="AJ85" s="404" t="s">
        <v>381</v>
      </c>
      <c r="AK85" s="405"/>
      <c r="AL85" s="405"/>
      <c r="AM85" s="406"/>
      <c r="AN85" s="389"/>
      <c r="AO85" s="404" t="s">
        <v>381</v>
      </c>
      <c r="AP85" s="405"/>
      <c r="AQ85" s="405"/>
      <c r="AR85" s="406"/>
      <c r="AS85" s="389"/>
      <c r="AT85" s="404" t="s">
        <v>381</v>
      </c>
      <c r="AU85" s="405"/>
      <c r="AV85" s="405"/>
      <c r="AW85" s="406"/>
      <c r="AX85" s="389"/>
      <c r="BA85" s="389"/>
    </row>
    <row r="86" spans="2:53">
      <c r="B86" s="389"/>
      <c r="C86" s="389"/>
      <c r="D86" s="389"/>
      <c r="E86" s="258" t="s">
        <v>382</v>
      </c>
      <c r="F86" s="258" t="s">
        <v>383</v>
      </c>
      <c r="G86" s="258" t="s">
        <v>384</v>
      </c>
      <c r="H86" s="419"/>
      <c r="I86" s="258" t="s">
        <v>382</v>
      </c>
      <c r="J86" s="258" t="s">
        <v>383</v>
      </c>
      <c r="K86" s="258" t="s">
        <v>384</v>
      </c>
      <c r="L86" s="419"/>
      <c r="M86" s="393"/>
      <c r="N86" s="389"/>
      <c r="O86" s="389"/>
      <c r="P86" s="258" t="s">
        <v>382</v>
      </c>
      <c r="Q86" s="258" t="s">
        <v>383</v>
      </c>
      <c r="R86" s="258" t="s">
        <v>384</v>
      </c>
      <c r="S86" s="258" t="s">
        <v>374</v>
      </c>
      <c r="T86" s="389"/>
      <c r="U86" s="258" t="s">
        <v>382</v>
      </c>
      <c r="V86" s="258" t="s">
        <v>383</v>
      </c>
      <c r="W86" s="258" t="s">
        <v>384</v>
      </c>
      <c r="X86" s="258" t="s">
        <v>374</v>
      </c>
      <c r="Y86" s="389"/>
      <c r="Z86" s="258" t="s">
        <v>382</v>
      </c>
      <c r="AA86" s="258" t="s">
        <v>383</v>
      </c>
      <c r="AB86" s="258" t="s">
        <v>384</v>
      </c>
      <c r="AC86" s="258" t="s">
        <v>374</v>
      </c>
      <c r="AD86" s="389"/>
      <c r="AE86" s="258" t="s">
        <v>382</v>
      </c>
      <c r="AF86" s="258" t="s">
        <v>383</v>
      </c>
      <c r="AG86" s="258" t="s">
        <v>384</v>
      </c>
      <c r="AH86" s="258" t="s">
        <v>374</v>
      </c>
      <c r="AI86" s="389"/>
      <c r="AJ86" s="258" t="s">
        <v>382</v>
      </c>
      <c r="AK86" s="258" t="s">
        <v>383</v>
      </c>
      <c r="AL86" s="258" t="s">
        <v>384</v>
      </c>
      <c r="AM86" s="258" t="s">
        <v>374</v>
      </c>
      <c r="AN86" s="389"/>
      <c r="AO86" s="258" t="s">
        <v>382</v>
      </c>
      <c r="AP86" s="258" t="s">
        <v>383</v>
      </c>
      <c r="AQ86" s="258" t="s">
        <v>384</v>
      </c>
      <c r="AR86" s="258" t="s">
        <v>374</v>
      </c>
      <c r="AS86" s="389"/>
      <c r="AT86" s="258" t="s">
        <v>382</v>
      </c>
      <c r="AU86" s="258" t="s">
        <v>383</v>
      </c>
      <c r="AV86" s="258" t="s">
        <v>384</v>
      </c>
      <c r="AW86" s="258" t="s">
        <v>374</v>
      </c>
      <c r="AX86" s="389"/>
      <c r="AZ86" s="258" t="s">
        <v>374</v>
      </c>
      <c r="BA86" s="389"/>
    </row>
    <row r="87" spans="2:53">
      <c r="B87" s="389" t="s">
        <v>417</v>
      </c>
      <c r="C87" s="182">
        <v>1</v>
      </c>
      <c r="D87" s="203" t="s">
        <v>733</v>
      </c>
      <c r="E87" s="166">
        <v>17</v>
      </c>
      <c r="F87" s="182">
        <v>1440</v>
      </c>
      <c r="G87" s="180">
        <v>84.705882352941174</v>
      </c>
      <c r="H87" s="401">
        <f>AVERAGE(G87:G101)</f>
        <v>79.694863100435867</v>
      </c>
      <c r="I87" s="166">
        <f t="shared" ref="I87:I100" si="75">IFERROR(AVERAGE(P87,U87,Z87,AE87,AJ87,AO87,AT87),"-")</f>
        <v>17</v>
      </c>
      <c r="J87" s="166">
        <f t="shared" ref="J87:J100" si="76">IFERROR(AVERAGE(Q87,V87,AA87,AF87,AK87,AP87,AU87),"-")</f>
        <v>1286.0602903118672</v>
      </c>
      <c r="K87" s="180">
        <f t="shared" ref="K87:K100" si="77">IFERROR(AVERAGE(R87,W87,AB87,AG87,AL87,AQ87,AV87),"-")</f>
        <v>75.650605312462773</v>
      </c>
      <c r="L87" s="401">
        <f>IFERROR(AVERAGE(K87:K101),"-")</f>
        <v>72.468349889814732</v>
      </c>
      <c r="M87" s="181" t="e">
        <f>RANK(K87, K$107:$K$121)</f>
        <v>#N/A</v>
      </c>
      <c r="N87" s="389"/>
      <c r="O87" s="389"/>
      <c r="P87" s="182">
        <v>17</v>
      </c>
      <c r="Q87" s="166">
        <v>1276.8539325842696</v>
      </c>
      <c r="R87" s="166">
        <v>75.109054857898215</v>
      </c>
      <c r="S87" s="182">
        <f t="shared" ref="S87:S101" si="78">RANK(R87, R$87:R$101)</f>
        <v>5</v>
      </c>
      <c r="T87" s="390">
        <f t="shared" ref="T87" si="79">AVERAGE(R87:R101)</f>
        <v>72.119457095091747</v>
      </c>
      <c r="U87" s="182">
        <v>17</v>
      </c>
      <c r="V87" s="166">
        <v>1296.4948453608251</v>
      </c>
      <c r="W87" s="166">
        <v>76.264402668283836</v>
      </c>
      <c r="X87" s="182">
        <f t="shared" ref="X87:X101" si="80">RANK(W87, W$87:W$101)</f>
        <v>4</v>
      </c>
      <c r="Y87" s="390">
        <f t="shared" ref="Y87" si="81">AVERAGE(W87:W101)</f>
        <v>72.722977097532521</v>
      </c>
      <c r="Z87" s="182">
        <v>17</v>
      </c>
      <c r="AA87" s="166">
        <v>1308.409090909091</v>
      </c>
      <c r="AB87" s="166">
        <v>76.965240641711233</v>
      </c>
      <c r="AC87" s="182">
        <f t="shared" ref="AC87:AC101" si="82">RANK(AB87, AB$87:AB$101)</f>
        <v>4</v>
      </c>
      <c r="AD87" s="390">
        <f t="shared" ref="AD87" si="83">AVERAGE(AB87:AB101)</f>
        <v>72.765739960917713</v>
      </c>
      <c r="AE87" s="182">
        <v>17</v>
      </c>
      <c r="AF87" s="166">
        <v>1286.6666666666665</v>
      </c>
      <c r="AG87" s="166">
        <v>75.686274509803908</v>
      </c>
      <c r="AH87" s="182">
        <f t="shared" ref="AH87:AH101" si="84">RANK(AG87, AG$87:AG$101)</f>
        <v>4</v>
      </c>
      <c r="AI87" s="390">
        <f t="shared" ref="AI87" si="85">AVERAGE(AG87:AG101)</f>
        <v>71.47560682967611</v>
      </c>
      <c r="AJ87" s="182">
        <v>17</v>
      </c>
      <c r="AK87" s="166">
        <v>1280.6250000000005</v>
      </c>
      <c r="AL87" s="166">
        <v>75.330882352941202</v>
      </c>
      <c r="AM87" s="182">
        <f t="shared" ref="AM87:AM101" si="86">RANK(AL87, AL$87:AL$101)</f>
        <v>4</v>
      </c>
      <c r="AN87" s="390">
        <f t="shared" ref="AN87" si="87">AVERAGE(AL87:AL101)</f>
        <v>72.794758091582509</v>
      </c>
      <c r="AO87" s="182">
        <v>17</v>
      </c>
      <c r="AP87" s="166">
        <v>1277.9439252336456</v>
      </c>
      <c r="AQ87" s="166">
        <v>75.173172072567382</v>
      </c>
      <c r="AR87" s="182">
        <f t="shared" ref="AR87:AR101" si="88">RANK(AQ87, AQ$87:AQ$101)</f>
        <v>4</v>
      </c>
      <c r="AS87" s="390">
        <f t="shared" ref="AS87" si="89">AVERAGE(AQ87:AQ101)</f>
        <v>72.522824362763899</v>
      </c>
      <c r="AT87" s="182">
        <v>17</v>
      </c>
      <c r="AU87" s="166">
        <v>1275.428571428572</v>
      </c>
      <c r="AV87" s="166">
        <v>75.025210084033645</v>
      </c>
      <c r="AW87" s="182">
        <f t="shared" ref="AW87:AW101" si="90">RANK(AV87, AV$87:AV$101)</f>
        <v>5</v>
      </c>
      <c r="AX87" s="390">
        <f t="shared" ref="AX87" si="91">AVERAGE(AV87:AV101)</f>
        <v>72.877085791138697</v>
      </c>
      <c r="AZ87" s="182" t="e">
        <f t="shared" ref="AZ87:AZ101" si="92">RANK(AY87, AY$87:AY$101)</f>
        <v>#N/A</v>
      </c>
      <c r="BA87" s="390" t="e">
        <f t="shared" ref="BA87" si="93">AVERAGE(AY87:AY101)</f>
        <v>#DIV/0!</v>
      </c>
    </row>
    <row r="88" spans="2:53">
      <c r="B88" s="395"/>
      <c r="C88" s="182">
        <v>2</v>
      </c>
      <c r="D88" s="203" t="s">
        <v>350</v>
      </c>
      <c r="E88" s="166">
        <v>18</v>
      </c>
      <c r="F88" s="182">
        <v>1440</v>
      </c>
      <c r="G88" s="180">
        <v>80</v>
      </c>
      <c r="H88" s="402"/>
      <c r="I88" s="166">
        <f t="shared" si="75"/>
        <v>18</v>
      </c>
      <c r="J88" s="166">
        <f t="shared" si="76"/>
        <v>1354.3394453516883</v>
      </c>
      <c r="K88" s="180">
        <f t="shared" si="77"/>
        <v>75.241080297316003</v>
      </c>
      <c r="L88" s="402"/>
      <c r="M88" s="181" t="e">
        <f>RANK(K88, K$107:$K$121)</f>
        <v>#N/A</v>
      </c>
      <c r="N88" s="389"/>
      <c r="O88" s="389"/>
      <c r="P88" s="182">
        <v>18</v>
      </c>
      <c r="Q88" s="166">
        <v>1362.9411764705887</v>
      </c>
      <c r="R88" s="166">
        <v>75.718954248366046</v>
      </c>
      <c r="S88" s="182">
        <f t="shared" si="78"/>
        <v>4</v>
      </c>
      <c r="T88" s="390"/>
      <c r="U88" s="182">
        <v>18</v>
      </c>
      <c r="V88" s="166">
        <v>1352.2580645161293</v>
      </c>
      <c r="W88" s="166">
        <v>75.125448028673844</v>
      </c>
      <c r="X88" s="182">
        <f t="shared" si="80"/>
        <v>6</v>
      </c>
      <c r="Y88" s="390"/>
      <c r="Z88" s="182">
        <v>18</v>
      </c>
      <c r="AA88" s="166">
        <v>1358.3720930232557</v>
      </c>
      <c r="AB88" s="166">
        <v>75.465116279069761</v>
      </c>
      <c r="AC88" s="182">
        <f t="shared" si="82"/>
        <v>5</v>
      </c>
      <c r="AD88" s="390"/>
      <c r="AE88" s="182">
        <v>18</v>
      </c>
      <c r="AF88" s="166">
        <v>1356.0000000000002</v>
      </c>
      <c r="AG88" s="166">
        <v>75.333333333333343</v>
      </c>
      <c r="AH88" s="182">
        <f t="shared" si="84"/>
        <v>5</v>
      </c>
      <c r="AI88" s="390"/>
      <c r="AJ88" s="182">
        <v>18</v>
      </c>
      <c r="AK88" s="166">
        <v>1341.098901098901</v>
      </c>
      <c r="AL88" s="166">
        <v>74.505494505494497</v>
      </c>
      <c r="AM88" s="182">
        <f t="shared" si="86"/>
        <v>6</v>
      </c>
      <c r="AN88" s="390"/>
      <c r="AO88" s="182">
        <v>18</v>
      </c>
      <c r="AP88" s="166">
        <v>1344.7058823529417</v>
      </c>
      <c r="AQ88" s="166">
        <v>74.705882352941202</v>
      </c>
      <c r="AR88" s="182">
        <f t="shared" si="88"/>
        <v>5</v>
      </c>
      <c r="AS88" s="390"/>
      <c r="AT88" s="182">
        <v>18</v>
      </c>
      <c r="AU88" s="166">
        <v>1365.0000000000005</v>
      </c>
      <c r="AV88" s="166">
        <v>75.833333333333357</v>
      </c>
      <c r="AW88" s="182">
        <f t="shared" si="90"/>
        <v>4</v>
      </c>
      <c r="AX88" s="390"/>
      <c r="AZ88" s="182" t="e">
        <f t="shared" si="92"/>
        <v>#N/A</v>
      </c>
      <c r="BA88" s="390"/>
    </row>
    <row r="89" spans="2:53">
      <c r="B89" s="395"/>
      <c r="C89" s="182">
        <v>3</v>
      </c>
      <c r="D89" s="203" t="s">
        <v>351</v>
      </c>
      <c r="E89" s="166">
        <v>18</v>
      </c>
      <c r="F89" s="182">
        <v>1440</v>
      </c>
      <c r="G89" s="180">
        <v>80</v>
      </c>
      <c r="H89" s="402"/>
      <c r="I89" s="166">
        <f t="shared" si="75"/>
        <v>18</v>
      </c>
      <c r="J89" s="166">
        <f t="shared" si="76"/>
        <v>1287.8107357228605</v>
      </c>
      <c r="K89" s="180">
        <f t="shared" si="77"/>
        <v>71.545040873492255</v>
      </c>
      <c r="L89" s="402"/>
      <c r="M89" s="181" t="e">
        <f>RANK(K89, K$107:$K$121)</f>
        <v>#N/A</v>
      </c>
      <c r="N89" s="389"/>
      <c r="O89" s="389"/>
      <c r="P89" s="182">
        <v>18</v>
      </c>
      <c r="Q89" s="166">
        <v>1283.5294117647065</v>
      </c>
      <c r="R89" s="166">
        <v>71.307189542483698</v>
      </c>
      <c r="S89" s="182">
        <f t="shared" si="78"/>
        <v>7</v>
      </c>
      <c r="T89" s="390"/>
      <c r="U89" s="182">
        <v>18</v>
      </c>
      <c r="V89" s="166">
        <v>1306.5306122448983</v>
      </c>
      <c r="W89" s="166">
        <v>72.585034013605465</v>
      </c>
      <c r="X89" s="182">
        <f t="shared" si="80"/>
        <v>7</v>
      </c>
      <c r="Y89" s="390"/>
      <c r="Z89" s="182">
        <v>18</v>
      </c>
      <c r="AA89" s="166">
        <v>1263.5294117647065</v>
      </c>
      <c r="AB89" s="166">
        <v>70.196078431372584</v>
      </c>
      <c r="AC89" s="182">
        <f t="shared" si="82"/>
        <v>10</v>
      </c>
      <c r="AD89" s="390"/>
      <c r="AE89" s="182">
        <v>18</v>
      </c>
      <c r="AF89" s="166">
        <v>1304.2857142857138</v>
      </c>
      <c r="AG89" s="166">
        <v>72.460317460317427</v>
      </c>
      <c r="AH89" s="182">
        <f t="shared" si="84"/>
        <v>6</v>
      </c>
      <c r="AI89" s="390"/>
      <c r="AJ89" s="182">
        <v>18</v>
      </c>
      <c r="AK89" s="166">
        <v>1290</v>
      </c>
      <c r="AL89" s="166">
        <v>71.666666666666671</v>
      </c>
      <c r="AM89" s="182">
        <f t="shared" si="86"/>
        <v>8</v>
      </c>
      <c r="AN89" s="390"/>
      <c r="AO89" s="182">
        <v>18</v>
      </c>
      <c r="AP89" s="166">
        <v>1281.5999999999985</v>
      </c>
      <c r="AQ89" s="166">
        <v>71.199999999999918</v>
      </c>
      <c r="AR89" s="182">
        <f t="shared" si="88"/>
        <v>8</v>
      </c>
      <c r="AS89" s="390"/>
      <c r="AT89" s="182">
        <v>18</v>
      </c>
      <c r="AU89" s="166">
        <v>1285.2000000000003</v>
      </c>
      <c r="AV89" s="166">
        <v>71.40000000000002</v>
      </c>
      <c r="AW89" s="182">
        <f t="shared" si="90"/>
        <v>7</v>
      </c>
      <c r="AX89" s="390"/>
      <c r="AZ89" s="182" t="e">
        <f t="shared" si="92"/>
        <v>#N/A</v>
      </c>
      <c r="BA89" s="390"/>
    </row>
    <row r="90" spans="2:53">
      <c r="B90" s="395"/>
      <c r="C90" s="182">
        <v>4</v>
      </c>
      <c r="D90" s="203" t="s">
        <v>352</v>
      </c>
      <c r="E90" s="166">
        <v>17</v>
      </c>
      <c r="F90" s="182">
        <v>1440</v>
      </c>
      <c r="G90" s="180">
        <v>84.705882352941174</v>
      </c>
      <c r="H90" s="402"/>
      <c r="I90" s="166">
        <f t="shared" si="75"/>
        <v>17</v>
      </c>
      <c r="J90" s="166">
        <f t="shared" si="76"/>
        <v>1354.3255360458709</v>
      </c>
      <c r="K90" s="180">
        <f t="shared" si="77"/>
        <v>79.666208002698298</v>
      </c>
      <c r="L90" s="402"/>
      <c r="M90" s="181" t="e">
        <f>RANK(K90, K$107:$K$121)</f>
        <v>#N/A</v>
      </c>
      <c r="N90" s="389"/>
      <c r="O90" s="389"/>
      <c r="P90" s="182">
        <v>17</v>
      </c>
      <c r="Q90" s="166">
        <v>1341.2903225806454</v>
      </c>
      <c r="R90" s="166">
        <v>78.899430740037957</v>
      </c>
      <c r="S90" s="182">
        <f t="shared" si="78"/>
        <v>3</v>
      </c>
      <c r="T90" s="390"/>
      <c r="U90" s="182">
        <v>17</v>
      </c>
      <c r="V90" s="166">
        <v>1361.590909090909</v>
      </c>
      <c r="W90" s="166">
        <v>80.093582887700535</v>
      </c>
      <c r="X90" s="182">
        <f t="shared" si="80"/>
        <v>3</v>
      </c>
      <c r="Y90" s="390"/>
      <c r="Z90" s="182">
        <v>17</v>
      </c>
      <c r="AA90" s="166">
        <v>1366.399999999999</v>
      </c>
      <c r="AB90" s="166">
        <v>80.376470588235236</v>
      </c>
      <c r="AC90" s="182">
        <f t="shared" si="82"/>
        <v>2</v>
      </c>
      <c r="AD90" s="390"/>
      <c r="AE90" s="182">
        <v>17</v>
      </c>
      <c r="AF90" s="166">
        <v>1335.2112676056327</v>
      </c>
      <c r="AG90" s="166">
        <v>78.541839270919567</v>
      </c>
      <c r="AH90" s="182">
        <f t="shared" si="84"/>
        <v>3</v>
      </c>
      <c r="AI90" s="390"/>
      <c r="AJ90" s="182">
        <v>17</v>
      </c>
      <c r="AK90" s="166">
        <v>1361.1627906976742</v>
      </c>
      <c r="AL90" s="166">
        <v>80.068399452804357</v>
      </c>
      <c r="AM90" s="182">
        <f t="shared" si="86"/>
        <v>2</v>
      </c>
      <c r="AN90" s="390"/>
      <c r="AO90" s="182">
        <v>17</v>
      </c>
      <c r="AP90" s="166">
        <v>1346.1386138613868</v>
      </c>
      <c r="AQ90" s="166">
        <v>79.184624344787466</v>
      </c>
      <c r="AR90" s="182">
        <f t="shared" si="88"/>
        <v>2</v>
      </c>
      <c r="AS90" s="390"/>
      <c r="AT90" s="182">
        <v>17</v>
      </c>
      <c r="AU90" s="166">
        <v>1368.4848484848487</v>
      </c>
      <c r="AV90" s="166">
        <v>80.499108734402867</v>
      </c>
      <c r="AW90" s="182">
        <f t="shared" si="90"/>
        <v>2</v>
      </c>
      <c r="AX90" s="390"/>
      <c r="AZ90" s="182" t="e">
        <f t="shared" si="92"/>
        <v>#N/A</v>
      </c>
      <c r="BA90" s="390"/>
    </row>
    <row r="91" spans="2:53">
      <c r="B91" s="395"/>
      <c r="C91" s="182">
        <v>5</v>
      </c>
      <c r="D91" s="203" t="s">
        <v>353</v>
      </c>
      <c r="E91" s="166">
        <v>17</v>
      </c>
      <c r="F91" s="182">
        <v>1440</v>
      </c>
      <c r="G91" s="180">
        <v>84.705882352941174</v>
      </c>
      <c r="H91" s="402"/>
      <c r="I91" s="166">
        <f t="shared" si="75"/>
        <v>17</v>
      </c>
      <c r="J91" s="166">
        <f t="shared" si="76"/>
        <v>1244.4138655462168</v>
      </c>
      <c r="K91" s="180">
        <f t="shared" si="77"/>
        <v>73.200815620365688</v>
      </c>
      <c r="L91" s="402"/>
      <c r="M91" s="181" t="e">
        <f>RANK(K91, K$107:$K$121)</f>
        <v>#N/A</v>
      </c>
      <c r="N91" s="389"/>
      <c r="O91" s="389"/>
      <c r="P91" s="182">
        <v>17</v>
      </c>
      <c r="Q91" s="166">
        <v>1261.7142857142844</v>
      </c>
      <c r="R91" s="166">
        <v>74.218487394957904</v>
      </c>
      <c r="S91" s="182">
        <f t="shared" si="78"/>
        <v>6</v>
      </c>
      <c r="T91" s="390"/>
      <c r="U91" s="182">
        <v>17</v>
      </c>
      <c r="V91" s="166">
        <v>1292.5714285714271</v>
      </c>
      <c r="W91" s="166">
        <v>76.033613445378066</v>
      </c>
      <c r="X91" s="182">
        <f t="shared" si="80"/>
        <v>5</v>
      </c>
      <c r="Y91" s="390"/>
      <c r="Z91" s="182">
        <v>17</v>
      </c>
      <c r="AA91" s="166">
        <v>1265.2941176470572</v>
      </c>
      <c r="AB91" s="166">
        <v>74.429065743944534</v>
      </c>
      <c r="AC91" s="182">
        <f t="shared" si="82"/>
        <v>6</v>
      </c>
      <c r="AD91" s="390"/>
      <c r="AE91" s="182">
        <v>17</v>
      </c>
      <c r="AF91" s="166">
        <v>1105.7142857142833</v>
      </c>
      <c r="AG91" s="166">
        <v>65.042016806722543</v>
      </c>
      <c r="AH91" s="182">
        <f t="shared" si="84"/>
        <v>11</v>
      </c>
      <c r="AI91" s="390"/>
      <c r="AJ91" s="182">
        <v>17</v>
      </c>
      <c r="AK91" s="166">
        <v>1271.2499999999982</v>
      </c>
      <c r="AL91" s="166">
        <v>74.77941176470577</v>
      </c>
      <c r="AM91" s="182">
        <f t="shared" si="86"/>
        <v>5</v>
      </c>
      <c r="AN91" s="390"/>
      <c r="AO91" s="182">
        <v>17</v>
      </c>
      <c r="AP91" s="166">
        <v>1242.3529411764689</v>
      </c>
      <c r="AQ91" s="166">
        <v>73.079584775086403</v>
      </c>
      <c r="AR91" s="182">
        <f t="shared" si="88"/>
        <v>6</v>
      </c>
      <c r="AS91" s="390"/>
      <c r="AT91" s="182">
        <v>17</v>
      </c>
      <c r="AU91" s="166">
        <v>1271.9999999999986</v>
      </c>
      <c r="AV91" s="166">
        <v>74.823529411764625</v>
      </c>
      <c r="AW91" s="182">
        <f t="shared" si="90"/>
        <v>6</v>
      </c>
      <c r="AX91" s="390"/>
      <c r="AZ91" s="182" t="e">
        <f t="shared" si="92"/>
        <v>#N/A</v>
      </c>
      <c r="BA91" s="390"/>
    </row>
    <row r="92" spans="2:53">
      <c r="B92" s="395"/>
      <c r="C92" s="182">
        <v>6</v>
      </c>
      <c r="D92" s="203" t="s">
        <v>354</v>
      </c>
      <c r="E92" s="166">
        <v>21</v>
      </c>
      <c r="F92" s="182">
        <v>1385</v>
      </c>
      <c r="G92" s="180">
        <v>65.952380952380949</v>
      </c>
      <c r="H92" s="402"/>
      <c r="I92" s="166">
        <f t="shared" si="75"/>
        <v>21</v>
      </c>
      <c r="J92" s="166">
        <f t="shared" si="76"/>
        <v>1290.272822855208</v>
      </c>
      <c r="K92" s="180">
        <f t="shared" si="77"/>
        <v>61.441562993105151</v>
      </c>
      <c r="L92" s="402"/>
      <c r="M92" s="181" t="e">
        <f>RANK(K92, K$107:$K$121)</f>
        <v>#N/A</v>
      </c>
      <c r="N92" s="389"/>
      <c r="O92" s="389"/>
      <c r="P92" s="182">
        <v>21</v>
      </c>
      <c r="Q92" s="166">
        <v>1238.1355932203383</v>
      </c>
      <c r="R92" s="166">
        <v>58.958837772397061</v>
      </c>
      <c r="S92" s="182">
        <f t="shared" si="78"/>
        <v>13</v>
      </c>
      <c r="T92" s="390"/>
      <c r="U92" s="182">
        <v>21</v>
      </c>
      <c r="V92" s="166">
        <v>1287.0796460177003</v>
      </c>
      <c r="W92" s="166">
        <v>61.289506953223821</v>
      </c>
      <c r="X92" s="182">
        <f t="shared" si="80"/>
        <v>13</v>
      </c>
      <c r="Y92" s="390"/>
      <c r="Z92" s="182">
        <v>21</v>
      </c>
      <c r="AA92" s="166">
        <v>1298.0198019801985</v>
      </c>
      <c r="AB92" s="166">
        <v>61.81046676096183</v>
      </c>
      <c r="AC92" s="182">
        <f t="shared" si="82"/>
        <v>12</v>
      </c>
      <c r="AD92" s="390"/>
      <c r="AE92" s="182">
        <v>21</v>
      </c>
      <c r="AF92" s="166">
        <v>1272.6315789473686</v>
      </c>
      <c r="AG92" s="166">
        <v>60.601503759398504</v>
      </c>
      <c r="AH92" s="182">
        <f t="shared" si="84"/>
        <v>12</v>
      </c>
      <c r="AI92" s="390"/>
      <c r="AJ92" s="182">
        <v>21</v>
      </c>
      <c r="AK92" s="166">
        <v>1314.8936170212769</v>
      </c>
      <c r="AL92" s="166">
        <v>62.613981762917945</v>
      </c>
      <c r="AM92" s="182">
        <f t="shared" si="86"/>
        <v>12</v>
      </c>
      <c r="AN92" s="390"/>
      <c r="AO92" s="182">
        <v>21</v>
      </c>
      <c r="AP92" s="166">
        <v>1320.9756097560971</v>
      </c>
      <c r="AQ92" s="166">
        <v>62.903600464576051</v>
      </c>
      <c r="AR92" s="182">
        <f t="shared" si="88"/>
        <v>12</v>
      </c>
      <c r="AS92" s="390"/>
      <c r="AT92" s="182">
        <v>21</v>
      </c>
      <c r="AU92" s="166">
        <v>1300.1739130434776</v>
      </c>
      <c r="AV92" s="166">
        <v>61.913043478260839</v>
      </c>
      <c r="AW92" s="182">
        <f t="shared" si="90"/>
        <v>12</v>
      </c>
      <c r="AX92" s="390"/>
      <c r="AZ92" s="182" t="e">
        <f t="shared" si="92"/>
        <v>#N/A</v>
      </c>
      <c r="BA92" s="390"/>
    </row>
    <row r="93" spans="2:53">
      <c r="B93" s="395"/>
      <c r="C93" s="182">
        <v>7</v>
      </c>
      <c r="D93" s="203" t="s">
        <v>355</v>
      </c>
      <c r="E93" s="166">
        <v>19</v>
      </c>
      <c r="F93" s="182">
        <v>1440</v>
      </c>
      <c r="G93" s="180">
        <v>75.78947368421052</v>
      </c>
      <c r="H93" s="402"/>
      <c r="I93" s="166">
        <f t="shared" si="75"/>
        <v>19</v>
      </c>
      <c r="J93" s="166">
        <f t="shared" si="76"/>
        <v>1341.5227808033162</v>
      </c>
      <c r="K93" s="180">
        <f t="shared" si="77"/>
        <v>70.606462147542956</v>
      </c>
      <c r="L93" s="402"/>
      <c r="M93" s="181" t="e">
        <f>RANK(K93, K$107:$K$121)</f>
        <v>#N/A</v>
      </c>
      <c r="N93" s="389"/>
      <c r="O93" s="389"/>
      <c r="P93" s="182">
        <v>19</v>
      </c>
      <c r="Q93" s="166">
        <v>1301.5384615384608</v>
      </c>
      <c r="R93" s="166">
        <v>68.502024291497932</v>
      </c>
      <c r="S93" s="182">
        <f t="shared" si="78"/>
        <v>10</v>
      </c>
      <c r="T93" s="390"/>
      <c r="U93" s="182">
        <v>19</v>
      </c>
      <c r="V93" s="166">
        <v>1338</v>
      </c>
      <c r="W93" s="166">
        <v>70.421052631578945</v>
      </c>
      <c r="X93" s="182">
        <f t="shared" si="80"/>
        <v>10</v>
      </c>
      <c r="Y93" s="390"/>
      <c r="Z93" s="182">
        <v>19</v>
      </c>
      <c r="AA93" s="166">
        <v>1363.8461538461531</v>
      </c>
      <c r="AB93" s="166">
        <v>71.781376518218579</v>
      </c>
      <c r="AC93" s="182">
        <f t="shared" si="82"/>
        <v>8</v>
      </c>
      <c r="AD93" s="390"/>
      <c r="AE93" s="182">
        <v>19</v>
      </c>
      <c r="AF93" s="166">
        <v>1341.4925373134311</v>
      </c>
      <c r="AG93" s="166">
        <v>70.604870384917419</v>
      </c>
      <c r="AH93" s="182">
        <f t="shared" si="84"/>
        <v>9</v>
      </c>
      <c r="AI93" s="390"/>
      <c r="AJ93" s="182">
        <v>19</v>
      </c>
      <c r="AK93" s="166">
        <v>1338.3333333333323</v>
      </c>
      <c r="AL93" s="166">
        <v>70.438596491228012</v>
      </c>
      <c r="AM93" s="182">
        <f t="shared" si="86"/>
        <v>10</v>
      </c>
      <c r="AN93" s="390"/>
      <c r="AO93" s="182">
        <v>19</v>
      </c>
      <c r="AP93" s="166">
        <v>1352.4489795918371</v>
      </c>
      <c r="AQ93" s="166">
        <v>71.181525241675629</v>
      </c>
      <c r="AR93" s="182">
        <f t="shared" si="88"/>
        <v>9</v>
      </c>
      <c r="AS93" s="390"/>
      <c r="AT93" s="182">
        <v>19</v>
      </c>
      <c r="AU93" s="166">
        <v>1354.9999999999995</v>
      </c>
      <c r="AV93" s="166">
        <v>71.315789473684191</v>
      </c>
      <c r="AW93" s="182">
        <f t="shared" si="90"/>
        <v>8</v>
      </c>
      <c r="AX93" s="390"/>
      <c r="AZ93" s="182" t="e">
        <f t="shared" si="92"/>
        <v>#N/A</v>
      </c>
      <c r="BA93" s="390"/>
    </row>
    <row r="94" spans="2:53">
      <c r="B94" s="395"/>
      <c r="C94" s="182">
        <v>8</v>
      </c>
      <c r="D94" s="203" t="s">
        <v>505</v>
      </c>
      <c r="E94" s="166">
        <v>18</v>
      </c>
      <c r="F94" s="182">
        <v>1385</v>
      </c>
      <c r="G94" s="180">
        <v>76.944444444444443</v>
      </c>
      <c r="H94" s="402"/>
      <c r="I94" s="166">
        <f t="shared" si="75"/>
        <v>18</v>
      </c>
      <c r="J94" s="166">
        <f t="shared" si="76"/>
        <v>1277.2508611430053</v>
      </c>
      <c r="K94" s="180">
        <f t="shared" si="77"/>
        <v>70.958381174611404</v>
      </c>
      <c r="L94" s="402"/>
      <c r="M94" s="181" t="e">
        <f>RANK(K94, K$107:$K$121)</f>
        <v>#N/A</v>
      </c>
      <c r="N94" s="389"/>
      <c r="O94" s="389"/>
      <c r="P94" s="182">
        <v>18</v>
      </c>
      <c r="Q94" s="166">
        <v>1274.5714285714273</v>
      </c>
      <c r="R94" s="166">
        <v>70.809523809523739</v>
      </c>
      <c r="S94" s="182">
        <f t="shared" si="78"/>
        <v>8</v>
      </c>
      <c r="T94" s="390"/>
      <c r="U94" s="182">
        <v>18</v>
      </c>
      <c r="V94" s="166">
        <v>1289.1428571428557</v>
      </c>
      <c r="W94" s="166">
        <v>71.619047619047535</v>
      </c>
      <c r="X94" s="182">
        <f t="shared" si="80"/>
        <v>9</v>
      </c>
      <c r="Y94" s="390"/>
      <c r="Z94" s="182">
        <v>18</v>
      </c>
      <c r="AA94" s="166">
        <v>1270.0000000000014</v>
      </c>
      <c r="AB94" s="166">
        <v>70.555555555555628</v>
      </c>
      <c r="AC94" s="182">
        <f t="shared" si="82"/>
        <v>9</v>
      </c>
      <c r="AD94" s="390"/>
      <c r="AE94" s="182">
        <v>18</v>
      </c>
      <c r="AF94" s="166">
        <v>1278.6206896551735</v>
      </c>
      <c r="AG94" s="166">
        <v>71.034482758620754</v>
      </c>
      <c r="AH94" s="182">
        <f t="shared" si="84"/>
        <v>8</v>
      </c>
      <c r="AI94" s="390"/>
      <c r="AJ94" s="182">
        <v>18</v>
      </c>
      <c r="AK94" s="166">
        <v>1273.3333333333346</v>
      </c>
      <c r="AL94" s="166">
        <v>70.740740740740819</v>
      </c>
      <c r="AM94" s="182">
        <f t="shared" si="86"/>
        <v>9</v>
      </c>
      <c r="AN94" s="390"/>
      <c r="AO94" s="182">
        <v>18</v>
      </c>
      <c r="AP94" s="166">
        <v>1273.421052631578</v>
      </c>
      <c r="AQ94" s="166">
        <v>70.745614035087669</v>
      </c>
      <c r="AR94" s="182">
        <f t="shared" si="88"/>
        <v>10</v>
      </c>
      <c r="AS94" s="390"/>
      <c r="AT94" s="182">
        <v>18</v>
      </c>
      <c r="AU94" s="166">
        <v>1281.6666666666656</v>
      </c>
      <c r="AV94" s="166">
        <v>71.203703703703638</v>
      </c>
      <c r="AW94" s="182">
        <f t="shared" si="90"/>
        <v>9</v>
      </c>
      <c r="AX94" s="390"/>
      <c r="AZ94" s="182" t="e">
        <f t="shared" si="92"/>
        <v>#N/A</v>
      </c>
      <c r="BA94" s="390"/>
    </row>
    <row r="95" spans="2:53">
      <c r="B95" s="395"/>
      <c r="C95" s="182">
        <v>9</v>
      </c>
      <c r="D95" s="203" t="s">
        <v>508</v>
      </c>
      <c r="E95" s="166">
        <v>18</v>
      </c>
      <c r="F95" s="182">
        <v>1385</v>
      </c>
      <c r="G95" s="180">
        <v>76.944444444444443</v>
      </c>
      <c r="H95" s="402"/>
      <c r="I95" s="166">
        <f t="shared" si="75"/>
        <v>18</v>
      </c>
      <c r="J95" s="166">
        <f t="shared" si="76"/>
        <v>1219.2263428653057</v>
      </c>
      <c r="K95" s="180">
        <f t="shared" si="77"/>
        <v>67.734796825850296</v>
      </c>
      <c r="L95" s="402"/>
      <c r="M95" s="181" t="e">
        <f>RANK(K95, K$107:$K$121)</f>
        <v>#N/A</v>
      </c>
      <c r="N95" s="389"/>
      <c r="O95" s="389"/>
      <c r="P95" s="182">
        <v>18</v>
      </c>
      <c r="Q95" s="166">
        <v>1220.4545454545455</v>
      </c>
      <c r="R95" s="166">
        <v>67.803030303030312</v>
      </c>
      <c r="S95" s="182">
        <f t="shared" si="78"/>
        <v>11</v>
      </c>
      <c r="T95" s="390"/>
      <c r="U95" s="182">
        <v>18</v>
      </c>
      <c r="V95" s="166">
        <v>1205.7142857142853</v>
      </c>
      <c r="W95" s="166">
        <v>66.984126984126959</v>
      </c>
      <c r="X95" s="182">
        <f t="shared" si="80"/>
        <v>11</v>
      </c>
      <c r="Y95" s="390"/>
      <c r="Z95" s="182">
        <v>18</v>
      </c>
      <c r="AA95" s="166">
        <v>1219.4999999999995</v>
      </c>
      <c r="AB95" s="166">
        <v>67.749999999999972</v>
      </c>
      <c r="AC95" s="182">
        <f t="shared" si="82"/>
        <v>11</v>
      </c>
      <c r="AD95" s="390"/>
      <c r="AE95" s="182">
        <v>18</v>
      </c>
      <c r="AF95" s="166">
        <v>1221.1764705882338</v>
      </c>
      <c r="AG95" s="166">
        <v>67.843137254901876</v>
      </c>
      <c r="AH95" s="182">
        <f t="shared" si="84"/>
        <v>10</v>
      </c>
      <c r="AI95" s="390"/>
      <c r="AJ95" s="182">
        <v>18</v>
      </c>
      <c r="AK95" s="166">
        <v>1221.9512195121947</v>
      </c>
      <c r="AL95" s="166">
        <v>67.886178861788594</v>
      </c>
      <c r="AM95" s="182">
        <f t="shared" si="86"/>
        <v>11</v>
      </c>
      <c r="AN95" s="390"/>
      <c r="AO95" s="182">
        <v>18</v>
      </c>
      <c r="AP95" s="166">
        <v>1220.4545454545455</v>
      </c>
      <c r="AQ95" s="166">
        <v>67.803030303030312</v>
      </c>
      <c r="AR95" s="182">
        <f t="shared" si="88"/>
        <v>11</v>
      </c>
      <c r="AS95" s="390"/>
      <c r="AT95" s="182">
        <v>18</v>
      </c>
      <c r="AU95" s="166">
        <v>1225.3333333333333</v>
      </c>
      <c r="AV95" s="166">
        <v>68.074074074074076</v>
      </c>
      <c r="AW95" s="182">
        <f t="shared" si="90"/>
        <v>11</v>
      </c>
      <c r="AX95" s="390"/>
      <c r="AZ95" s="182" t="e">
        <f t="shared" si="92"/>
        <v>#N/A</v>
      </c>
      <c r="BA95" s="390"/>
    </row>
    <row r="96" spans="2:53">
      <c r="B96" s="395"/>
      <c r="C96" s="182">
        <v>10</v>
      </c>
      <c r="D96" s="203" t="s">
        <v>529</v>
      </c>
      <c r="E96" s="166">
        <v>16</v>
      </c>
      <c r="F96" s="182">
        <v>1440</v>
      </c>
      <c r="G96" s="180">
        <v>90</v>
      </c>
      <c r="H96" s="402"/>
      <c r="I96" s="166">
        <f t="shared" si="75"/>
        <v>16.142857142857142</v>
      </c>
      <c r="J96" s="166">
        <f t="shared" si="76"/>
        <v>1357.9725801348516</v>
      </c>
      <c r="K96" s="180">
        <f t="shared" si="77"/>
        <v>84.154106278744038</v>
      </c>
      <c r="L96" s="402"/>
      <c r="M96" s="181" t="e">
        <f>RANK(K96, K$107:$K$121)</f>
        <v>#N/A</v>
      </c>
      <c r="N96" s="389"/>
      <c r="O96" s="389"/>
      <c r="P96" s="182">
        <v>16</v>
      </c>
      <c r="Q96" s="166">
        <v>1358.6064516129036</v>
      </c>
      <c r="R96" s="166">
        <v>84.912903225806474</v>
      </c>
      <c r="S96" s="182">
        <f t="shared" si="78"/>
        <v>1</v>
      </c>
      <c r="T96" s="390"/>
      <c r="U96" s="182">
        <v>17</v>
      </c>
      <c r="V96" s="166">
        <v>1369.3186813186815</v>
      </c>
      <c r="W96" s="166">
        <v>80.548157724628325</v>
      </c>
      <c r="X96" s="182">
        <f t="shared" si="80"/>
        <v>2</v>
      </c>
      <c r="Y96" s="390"/>
      <c r="Z96" s="182">
        <v>16</v>
      </c>
      <c r="AA96" s="166">
        <v>1357.9245283018877</v>
      </c>
      <c r="AB96" s="166">
        <v>84.87028301886798</v>
      </c>
      <c r="AC96" s="182">
        <f t="shared" si="82"/>
        <v>1</v>
      </c>
      <c r="AD96" s="390"/>
      <c r="AE96" s="182">
        <v>16</v>
      </c>
      <c r="AF96" s="166">
        <v>1349.3750000000005</v>
      </c>
      <c r="AG96" s="166">
        <v>84.335937500000028</v>
      </c>
      <c r="AH96" s="182">
        <f t="shared" si="84"/>
        <v>1</v>
      </c>
      <c r="AI96" s="390"/>
      <c r="AJ96" s="182">
        <v>16</v>
      </c>
      <c r="AK96" s="166">
        <v>1366.6019417475734</v>
      </c>
      <c r="AL96" s="166">
        <v>85.412621359223337</v>
      </c>
      <c r="AM96" s="182">
        <f t="shared" si="86"/>
        <v>1</v>
      </c>
      <c r="AN96" s="390"/>
      <c r="AO96" s="182">
        <v>16</v>
      </c>
      <c r="AP96" s="166">
        <v>1355.4330708661414</v>
      </c>
      <c r="AQ96" s="166">
        <v>84.714566929133838</v>
      </c>
      <c r="AR96" s="182">
        <f t="shared" si="88"/>
        <v>1</v>
      </c>
      <c r="AS96" s="390"/>
      <c r="AT96" s="182">
        <v>16</v>
      </c>
      <c r="AU96" s="166">
        <v>1348.5483870967737</v>
      </c>
      <c r="AV96" s="166">
        <v>84.284274193548356</v>
      </c>
      <c r="AW96" s="182">
        <f t="shared" si="90"/>
        <v>1</v>
      </c>
      <c r="AX96" s="390"/>
      <c r="AZ96" s="182" t="e">
        <f t="shared" si="92"/>
        <v>#N/A</v>
      </c>
      <c r="BA96" s="390"/>
    </row>
    <row r="97" spans="2:53">
      <c r="B97" s="395"/>
      <c r="C97" s="182">
        <v>11</v>
      </c>
      <c r="D97" s="203" t="s">
        <v>593</v>
      </c>
      <c r="E97" s="166">
        <v>19</v>
      </c>
      <c r="F97" s="182">
        <v>1440</v>
      </c>
      <c r="G97" s="180">
        <v>75.78947368421052</v>
      </c>
      <c r="H97" s="402"/>
      <c r="I97" s="166">
        <f t="shared" si="75"/>
        <v>19</v>
      </c>
      <c r="J97" s="166">
        <f t="shared" si="76"/>
        <v>1359.925773952978</v>
      </c>
      <c r="K97" s="180">
        <f t="shared" si="77"/>
        <v>71.575040734367263</v>
      </c>
      <c r="L97" s="402"/>
      <c r="M97" s="181" t="e">
        <f>RANK(K97, K$107:$K$121)</f>
        <v>#N/A</v>
      </c>
      <c r="N97" s="389"/>
      <c r="O97" s="389"/>
      <c r="P97" s="182">
        <v>19</v>
      </c>
      <c r="Q97" s="166">
        <v>1340.2235294117652</v>
      </c>
      <c r="R97" s="166">
        <v>70.538080495356056</v>
      </c>
      <c r="S97" s="182">
        <f t="shared" si="78"/>
        <v>9</v>
      </c>
      <c r="T97" s="390"/>
      <c r="U97" s="182">
        <v>19</v>
      </c>
      <c r="V97" s="166">
        <v>1369.8447204968945</v>
      </c>
      <c r="W97" s="166">
        <v>72.097090552468131</v>
      </c>
      <c r="X97" s="182">
        <f t="shared" si="80"/>
        <v>8</v>
      </c>
      <c r="Y97" s="390"/>
      <c r="Z97" s="182">
        <v>19</v>
      </c>
      <c r="AA97" s="166">
        <v>1364.2040816326537</v>
      </c>
      <c r="AB97" s="166">
        <v>71.800214822771252</v>
      </c>
      <c r="AC97" s="182">
        <f t="shared" si="82"/>
        <v>7</v>
      </c>
      <c r="AD97" s="390"/>
      <c r="AE97" s="182">
        <v>19</v>
      </c>
      <c r="AF97" s="166">
        <v>1360.8</v>
      </c>
      <c r="AG97" s="166">
        <v>71.621052631578948</v>
      </c>
      <c r="AH97" s="182">
        <f t="shared" si="84"/>
        <v>7</v>
      </c>
      <c r="AI97" s="390"/>
      <c r="AJ97" s="182">
        <v>19</v>
      </c>
      <c r="AK97" s="166">
        <v>1370.3712574850304</v>
      </c>
      <c r="AL97" s="166">
        <v>72.12480302552791</v>
      </c>
      <c r="AM97" s="182">
        <f t="shared" si="86"/>
        <v>7</v>
      </c>
      <c r="AN97" s="390"/>
      <c r="AO97" s="182">
        <v>19</v>
      </c>
      <c r="AP97" s="166">
        <v>1362.9411764705881</v>
      </c>
      <c r="AQ97" s="166">
        <v>71.733746130030951</v>
      </c>
      <c r="AR97" s="182">
        <f t="shared" si="88"/>
        <v>7</v>
      </c>
      <c r="AS97" s="390"/>
      <c r="AT97" s="182">
        <v>19</v>
      </c>
      <c r="AU97" s="166">
        <v>1351.0956521739133</v>
      </c>
      <c r="AV97" s="166">
        <v>71.110297482837538</v>
      </c>
      <c r="AW97" s="182">
        <f t="shared" si="90"/>
        <v>10</v>
      </c>
      <c r="AX97" s="390"/>
      <c r="AZ97" s="182" t="e">
        <f t="shared" si="92"/>
        <v>#N/A</v>
      </c>
      <c r="BA97" s="390"/>
    </row>
    <row r="98" spans="2:53">
      <c r="B98" s="395"/>
      <c r="C98" s="182">
        <v>12</v>
      </c>
      <c r="D98" s="203" t="s">
        <v>631</v>
      </c>
      <c r="E98" s="166">
        <v>19</v>
      </c>
      <c r="F98" s="182">
        <v>1440</v>
      </c>
      <c r="G98" s="180">
        <v>75.78947368421052</v>
      </c>
      <c r="H98" s="402"/>
      <c r="I98" s="166">
        <f t="shared" si="75"/>
        <v>18.142857142857142</v>
      </c>
      <c r="J98" s="166">
        <f t="shared" si="76"/>
        <v>1096.2184052662303</v>
      </c>
      <c r="K98" s="180">
        <f t="shared" si="77"/>
        <v>60.453654093737946</v>
      </c>
      <c r="L98" s="402"/>
      <c r="M98" s="181" t="e">
        <f>RANK(K98, K$107:$K$121)</f>
        <v>#N/A</v>
      </c>
      <c r="N98" s="389"/>
      <c r="O98" s="389"/>
      <c r="P98" s="182">
        <v>18</v>
      </c>
      <c r="Q98" s="166">
        <v>1089.2307692307663</v>
      </c>
      <c r="R98" s="166">
        <v>60.512820512820355</v>
      </c>
      <c r="S98" s="182">
        <f t="shared" si="78"/>
        <v>12</v>
      </c>
      <c r="T98" s="390"/>
      <c r="U98" s="182">
        <v>18</v>
      </c>
      <c r="V98" s="166">
        <v>1111.1111111111086</v>
      </c>
      <c r="W98" s="166">
        <v>61.728395061728257</v>
      </c>
      <c r="X98" s="182">
        <f t="shared" si="80"/>
        <v>12</v>
      </c>
      <c r="Y98" s="390"/>
      <c r="Z98" s="182">
        <v>18</v>
      </c>
      <c r="AA98" s="166">
        <v>1079.9999999999975</v>
      </c>
      <c r="AB98" s="166">
        <v>59.999999999999858</v>
      </c>
      <c r="AC98" s="182">
        <f t="shared" si="82"/>
        <v>13</v>
      </c>
      <c r="AD98" s="390"/>
      <c r="AE98" s="182">
        <v>19</v>
      </c>
      <c r="AF98" s="166">
        <v>1071.0000000000036</v>
      </c>
      <c r="AG98" s="166">
        <v>56.368421052631767</v>
      </c>
      <c r="AH98" s="182">
        <f t="shared" si="84"/>
        <v>13</v>
      </c>
      <c r="AI98" s="390"/>
      <c r="AJ98" s="182">
        <v>18</v>
      </c>
      <c r="AK98" s="166">
        <v>1106.0869565217429</v>
      </c>
      <c r="AL98" s="166">
        <v>61.44927536231905</v>
      </c>
      <c r="AM98" s="182">
        <f t="shared" si="86"/>
        <v>13</v>
      </c>
      <c r="AN98" s="390"/>
      <c r="AO98" s="182">
        <v>18</v>
      </c>
      <c r="AP98" s="166">
        <v>1102.4999999999966</v>
      </c>
      <c r="AQ98" s="166">
        <v>61.249999999999808</v>
      </c>
      <c r="AR98" s="182">
        <f t="shared" si="88"/>
        <v>13</v>
      </c>
      <c r="AS98" s="390"/>
      <c r="AT98" s="182">
        <v>18</v>
      </c>
      <c r="AU98" s="166">
        <v>1113.599999999997</v>
      </c>
      <c r="AV98" s="166">
        <v>61.866666666666497</v>
      </c>
      <c r="AW98" s="182">
        <f t="shared" si="90"/>
        <v>13</v>
      </c>
      <c r="AX98" s="390"/>
      <c r="AZ98" s="182" t="e">
        <f t="shared" si="92"/>
        <v>#N/A</v>
      </c>
      <c r="BA98" s="390"/>
    </row>
    <row r="99" spans="2:53">
      <c r="B99" s="395"/>
      <c r="C99" s="182">
        <v>13</v>
      </c>
      <c r="D99" s="203" t="s">
        <v>638</v>
      </c>
      <c r="E99" s="166">
        <v>17</v>
      </c>
      <c r="F99" s="182">
        <v>1440</v>
      </c>
      <c r="G99" s="180">
        <v>84.705882352941174</v>
      </c>
      <c r="H99" s="402"/>
      <c r="I99" s="166">
        <f t="shared" si="75"/>
        <v>17</v>
      </c>
      <c r="J99" s="166">
        <f t="shared" si="76"/>
        <v>1357.6335016260589</v>
      </c>
      <c r="K99" s="180">
        <f t="shared" si="77"/>
        <v>79.860794213297595</v>
      </c>
      <c r="L99" s="402"/>
      <c r="M99" s="181" t="e">
        <f>RANK(K99, K$107:$K$121)</f>
        <v>#N/A</v>
      </c>
      <c r="N99" s="389"/>
      <c r="O99" s="389"/>
      <c r="P99" s="182">
        <v>17</v>
      </c>
      <c r="Q99" s="166">
        <v>1364.4642857142856</v>
      </c>
      <c r="R99" s="166">
        <v>80.262605042016801</v>
      </c>
      <c r="S99" s="182">
        <f t="shared" si="78"/>
        <v>2</v>
      </c>
      <c r="T99" s="390"/>
      <c r="U99" s="182">
        <v>17</v>
      </c>
      <c r="V99" s="166">
        <v>1370.3571428571429</v>
      </c>
      <c r="W99" s="166">
        <v>80.609243697478988</v>
      </c>
      <c r="X99" s="182">
        <f t="shared" si="80"/>
        <v>1</v>
      </c>
      <c r="Y99" s="390"/>
      <c r="Z99" s="182">
        <v>17</v>
      </c>
      <c r="AA99" s="166">
        <v>1359.23076923077</v>
      </c>
      <c r="AB99" s="166">
        <v>79.954751131221769</v>
      </c>
      <c r="AC99" s="182">
        <f t="shared" si="82"/>
        <v>3</v>
      </c>
      <c r="AD99" s="390"/>
      <c r="AE99" s="182">
        <v>17</v>
      </c>
      <c r="AF99" s="166">
        <v>1355.0649350649355</v>
      </c>
      <c r="AG99" s="166">
        <v>79.70970206264326</v>
      </c>
      <c r="AH99" s="182">
        <f t="shared" si="84"/>
        <v>2</v>
      </c>
      <c r="AI99" s="390"/>
      <c r="AJ99" s="182">
        <v>17</v>
      </c>
      <c r="AK99" s="166">
        <v>1348.3516483516482</v>
      </c>
      <c r="AL99" s="166">
        <v>79.314802844214597</v>
      </c>
      <c r="AM99" s="182">
        <f t="shared" si="86"/>
        <v>3</v>
      </c>
      <c r="AN99" s="390"/>
      <c r="AO99" s="182">
        <v>17</v>
      </c>
      <c r="AP99" s="166">
        <v>1345.0632911392411</v>
      </c>
      <c r="AQ99" s="166">
        <v>79.121370067014183</v>
      </c>
      <c r="AR99" s="182">
        <f t="shared" si="88"/>
        <v>3</v>
      </c>
      <c r="AS99" s="390"/>
      <c r="AT99" s="182">
        <v>17</v>
      </c>
      <c r="AU99" s="166">
        <v>1360.9024390243897</v>
      </c>
      <c r="AV99" s="166">
        <v>80.05308464849351</v>
      </c>
      <c r="AW99" s="182">
        <f t="shared" si="90"/>
        <v>3</v>
      </c>
      <c r="AX99" s="390"/>
      <c r="AZ99" s="182" t="e">
        <f t="shared" si="92"/>
        <v>#N/A</v>
      </c>
      <c r="BA99" s="390"/>
    </row>
    <row r="100" spans="2:53">
      <c r="B100" s="395"/>
      <c r="C100" s="182">
        <v>14</v>
      </c>
      <c r="D100" s="203"/>
      <c r="E100" s="166"/>
      <c r="F100" s="182"/>
      <c r="G100" s="180"/>
      <c r="H100" s="402"/>
      <c r="I100" s="166" t="str">
        <f t="shared" si="75"/>
        <v>-</v>
      </c>
      <c r="J100" s="166" t="str">
        <f t="shared" si="76"/>
        <v>-</v>
      </c>
      <c r="K100" s="180" t="str">
        <f t="shared" si="77"/>
        <v>-</v>
      </c>
      <c r="L100" s="402"/>
      <c r="M100" s="181" t="e">
        <f>RANK(K100, K$107:$K$121)</f>
        <v>#VALUE!</v>
      </c>
      <c r="N100" s="389"/>
      <c r="O100" s="389"/>
      <c r="P100" s="182"/>
      <c r="Q100" s="166"/>
      <c r="R100" s="166"/>
      <c r="S100" s="182" t="e">
        <f t="shared" si="78"/>
        <v>#N/A</v>
      </c>
      <c r="T100" s="390"/>
      <c r="U100" s="182"/>
      <c r="V100" s="166"/>
      <c r="W100" s="166"/>
      <c r="X100" s="182" t="e">
        <f t="shared" si="80"/>
        <v>#N/A</v>
      </c>
      <c r="Y100" s="390"/>
      <c r="Z100" s="182"/>
      <c r="AA100" s="166"/>
      <c r="AB100" s="166"/>
      <c r="AC100" s="182" t="e">
        <f t="shared" si="82"/>
        <v>#N/A</v>
      </c>
      <c r="AD100" s="390"/>
      <c r="AE100" s="182"/>
      <c r="AF100" s="166"/>
      <c r="AG100" s="166"/>
      <c r="AH100" s="182" t="e">
        <f t="shared" si="84"/>
        <v>#N/A</v>
      </c>
      <c r="AI100" s="390"/>
      <c r="AJ100" s="182"/>
      <c r="AK100" s="166"/>
      <c r="AL100" s="166"/>
      <c r="AM100" s="182" t="e">
        <f t="shared" si="86"/>
        <v>#N/A</v>
      </c>
      <c r="AN100" s="390"/>
      <c r="AO100" s="182"/>
      <c r="AP100" s="166"/>
      <c r="AQ100" s="166"/>
      <c r="AR100" s="182" t="e">
        <f t="shared" si="88"/>
        <v>#N/A</v>
      </c>
      <c r="AS100" s="390"/>
      <c r="AT100" s="182"/>
      <c r="AU100" s="166"/>
      <c r="AV100" s="166"/>
      <c r="AW100" s="182" t="e">
        <f t="shared" si="90"/>
        <v>#N/A</v>
      </c>
      <c r="AX100" s="390"/>
      <c r="AZ100" s="182" t="e">
        <f t="shared" si="92"/>
        <v>#N/A</v>
      </c>
      <c r="BA100" s="390"/>
    </row>
    <row r="101" spans="2:53">
      <c r="B101" s="395"/>
      <c r="C101" s="182">
        <v>15</v>
      </c>
      <c r="D101" s="203"/>
      <c r="E101" s="166"/>
      <c r="F101" s="182"/>
      <c r="G101" s="180"/>
      <c r="H101" s="403"/>
      <c r="I101" s="166" t="str">
        <f t="shared" ref="I101" si="94">IFERROR(AVERAGE(P101,U101,Z101,AE101,AJ101,AO101,AT101),"-")</f>
        <v>-</v>
      </c>
      <c r="J101" s="166" t="str">
        <f t="shared" ref="J101" si="95">IFERROR(AVERAGE(Q101,V101,AA101,AF101,AK101,AP101,AU101),"-")</f>
        <v>-</v>
      </c>
      <c r="K101" s="180" t="str">
        <f t="shared" ref="K101" si="96">IFERROR(AVERAGE(R101,W101,AB101,AG101,AL101,AQ101,AV101),"-")</f>
        <v>-</v>
      </c>
      <c r="L101" s="403"/>
      <c r="M101" s="181" t="e">
        <f>RANK(K101, K$107:$K$121)</f>
        <v>#VALUE!</v>
      </c>
      <c r="N101" s="389"/>
      <c r="O101" s="389"/>
      <c r="P101" s="182"/>
      <c r="Q101" s="166"/>
      <c r="R101" s="166"/>
      <c r="S101" s="182" t="e">
        <f t="shared" si="78"/>
        <v>#N/A</v>
      </c>
      <c r="T101" s="390"/>
      <c r="U101" s="182"/>
      <c r="V101" s="166"/>
      <c r="W101" s="166"/>
      <c r="X101" s="182" t="e">
        <f t="shared" si="80"/>
        <v>#N/A</v>
      </c>
      <c r="Y101" s="390"/>
      <c r="Z101" s="182"/>
      <c r="AA101" s="166"/>
      <c r="AB101" s="166"/>
      <c r="AC101" s="182" t="e">
        <f t="shared" si="82"/>
        <v>#N/A</v>
      </c>
      <c r="AD101" s="390"/>
      <c r="AE101" s="182"/>
      <c r="AF101" s="166"/>
      <c r="AG101" s="166"/>
      <c r="AH101" s="182" t="e">
        <f t="shared" si="84"/>
        <v>#N/A</v>
      </c>
      <c r="AI101" s="390"/>
      <c r="AJ101" s="182"/>
      <c r="AK101" s="166"/>
      <c r="AL101" s="166"/>
      <c r="AM101" s="182" t="e">
        <f t="shared" si="86"/>
        <v>#N/A</v>
      </c>
      <c r="AN101" s="390"/>
      <c r="AO101" s="182"/>
      <c r="AP101" s="166"/>
      <c r="AQ101" s="166"/>
      <c r="AR101" s="182" t="e">
        <f t="shared" si="88"/>
        <v>#N/A</v>
      </c>
      <c r="AS101" s="390"/>
      <c r="AT101" s="182"/>
      <c r="AU101" s="166"/>
      <c r="AV101" s="166"/>
      <c r="AW101" s="182" t="e">
        <f t="shared" si="90"/>
        <v>#N/A</v>
      </c>
      <c r="AX101" s="390"/>
      <c r="AZ101" s="182" t="e">
        <f t="shared" si="92"/>
        <v>#N/A</v>
      </c>
      <c r="BA101" s="390"/>
    </row>
    <row r="102" spans="2:53" ht="15.75">
      <c r="B102" s="414" t="s">
        <v>163</v>
      </c>
      <c r="C102" s="415"/>
      <c r="D102" s="415"/>
      <c r="E102" s="415"/>
      <c r="F102" s="415"/>
      <c r="G102" s="415"/>
      <c r="H102" s="415"/>
      <c r="I102" s="186"/>
      <c r="J102" s="186"/>
      <c r="K102" s="186"/>
      <c r="L102" s="186"/>
      <c r="M102" s="185"/>
      <c r="N102" s="391" t="s">
        <v>156</v>
      </c>
      <c r="O102" s="391" t="s">
        <v>105</v>
      </c>
      <c r="P102" s="413">
        <f>P82+7</f>
        <v>46175</v>
      </c>
      <c r="Q102" s="395"/>
      <c r="R102" s="395"/>
      <c r="S102" s="395"/>
      <c r="T102" s="395"/>
      <c r="U102" s="410">
        <f>P102+1</f>
        <v>46176</v>
      </c>
      <c r="V102" s="411"/>
      <c r="W102" s="411"/>
      <c r="X102" s="411"/>
      <c r="Y102" s="412"/>
      <c r="Z102" s="410">
        <f>U102+1</f>
        <v>46177</v>
      </c>
      <c r="AA102" s="411"/>
      <c r="AB102" s="411"/>
      <c r="AC102" s="411"/>
      <c r="AD102" s="412"/>
      <c r="AE102" s="410">
        <f>Z102+1</f>
        <v>46178</v>
      </c>
      <c r="AF102" s="411"/>
      <c r="AG102" s="411"/>
      <c r="AH102" s="411"/>
      <c r="AI102" s="412"/>
      <c r="AJ102" s="410">
        <f>AE102+1</f>
        <v>46179</v>
      </c>
      <c r="AK102" s="411"/>
      <c r="AL102" s="411"/>
      <c r="AM102" s="411"/>
      <c r="AN102" s="412"/>
      <c r="AO102" s="410">
        <f>AJ102+1</f>
        <v>46180</v>
      </c>
      <c r="AP102" s="411"/>
      <c r="AQ102" s="411"/>
      <c r="AR102" s="411"/>
      <c r="AS102" s="412"/>
      <c r="AT102" s="410">
        <f>AO102+1</f>
        <v>46181</v>
      </c>
      <c r="AU102" s="411"/>
      <c r="AV102" s="411"/>
      <c r="AW102" s="411"/>
      <c r="AX102" s="412"/>
    </row>
    <row r="103" spans="2:53" ht="15.75">
      <c r="B103" s="416"/>
      <c r="C103" s="416"/>
      <c r="D103" s="416"/>
      <c r="E103" s="416"/>
      <c r="F103" s="416"/>
      <c r="G103" s="416"/>
      <c r="H103" s="416"/>
      <c r="I103" s="184"/>
      <c r="J103" s="184"/>
      <c r="K103" s="184"/>
      <c r="L103" s="184"/>
      <c r="M103" s="179"/>
      <c r="N103" s="393"/>
      <c r="O103" s="393"/>
      <c r="P103" s="413" t="s">
        <v>158</v>
      </c>
      <c r="Q103" s="395"/>
      <c r="R103" s="395"/>
      <c r="S103" s="395"/>
      <c r="T103" s="395"/>
      <c r="U103" s="413" t="s">
        <v>114</v>
      </c>
      <c r="V103" s="395"/>
      <c r="W103" s="395"/>
      <c r="X103" s="395"/>
      <c r="Y103" s="395"/>
      <c r="Z103" s="413" t="s">
        <v>159</v>
      </c>
      <c r="AA103" s="395"/>
      <c r="AB103" s="395"/>
      <c r="AC103" s="395"/>
      <c r="AD103" s="395"/>
      <c r="AE103" s="413" t="s">
        <v>157</v>
      </c>
      <c r="AF103" s="395"/>
      <c r="AG103" s="395"/>
      <c r="AH103" s="395"/>
      <c r="AI103" s="395"/>
      <c r="AJ103" s="413" t="s">
        <v>160</v>
      </c>
      <c r="AK103" s="395"/>
      <c r="AL103" s="395"/>
      <c r="AM103" s="395"/>
      <c r="AN103" s="395"/>
      <c r="AO103" s="413" t="s">
        <v>115</v>
      </c>
      <c r="AP103" s="395"/>
      <c r="AQ103" s="395"/>
      <c r="AR103" s="395"/>
      <c r="AS103" s="395"/>
      <c r="AT103" s="413" t="s">
        <v>162</v>
      </c>
      <c r="AU103" s="395"/>
      <c r="AV103" s="395"/>
      <c r="AW103" s="395"/>
      <c r="AX103" s="395"/>
    </row>
    <row r="104" spans="2:53">
      <c r="B104" s="389" t="s">
        <v>154</v>
      </c>
      <c r="C104" s="389" t="s">
        <v>386</v>
      </c>
      <c r="D104" s="389"/>
      <c r="E104" s="389" t="s">
        <v>377</v>
      </c>
      <c r="F104" s="389"/>
      <c r="G104" s="389"/>
      <c r="H104" s="417" t="s">
        <v>373</v>
      </c>
      <c r="I104" s="389" t="s">
        <v>378</v>
      </c>
      <c r="J104" s="389"/>
      <c r="K104" s="389"/>
      <c r="L104" s="417" t="s">
        <v>373</v>
      </c>
      <c r="M104" s="391" t="s">
        <v>374</v>
      </c>
      <c r="N104" s="389"/>
      <c r="O104" s="389" t="s">
        <v>379</v>
      </c>
      <c r="P104" s="404" t="s">
        <v>375</v>
      </c>
      <c r="Q104" s="405"/>
      <c r="R104" s="405"/>
      <c r="S104" s="406"/>
      <c r="T104" s="389" t="s">
        <v>373</v>
      </c>
      <c r="U104" s="404" t="s">
        <v>375</v>
      </c>
      <c r="V104" s="405"/>
      <c r="W104" s="405"/>
      <c r="X104" s="406"/>
      <c r="Y104" s="389" t="s">
        <v>373</v>
      </c>
      <c r="Z104" s="404" t="s">
        <v>375</v>
      </c>
      <c r="AA104" s="405"/>
      <c r="AB104" s="405"/>
      <c r="AC104" s="406"/>
      <c r="AD104" s="389" t="s">
        <v>373</v>
      </c>
      <c r="AE104" s="404" t="s">
        <v>375</v>
      </c>
      <c r="AF104" s="405"/>
      <c r="AG104" s="405"/>
      <c r="AH104" s="406"/>
      <c r="AI104" s="389" t="s">
        <v>373</v>
      </c>
      <c r="AJ104" s="404" t="s">
        <v>375</v>
      </c>
      <c r="AK104" s="405"/>
      <c r="AL104" s="405"/>
      <c r="AM104" s="406"/>
      <c r="AN104" s="389" t="s">
        <v>373</v>
      </c>
      <c r="AO104" s="404" t="s">
        <v>375</v>
      </c>
      <c r="AP104" s="405"/>
      <c r="AQ104" s="405"/>
      <c r="AR104" s="406"/>
      <c r="AS104" s="389" t="s">
        <v>373</v>
      </c>
      <c r="AT104" s="404" t="s">
        <v>375</v>
      </c>
      <c r="AU104" s="405"/>
      <c r="AV104" s="405"/>
      <c r="AW104" s="406"/>
      <c r="AX104" s="389" t="s">
        <v>373</v>
      </c>
      <c r="BA104" s="389" t="s">
        <v>373</v>
      </c>
    </row>
    <row r="105" spans="2:53">
      <c r="B105" s="389"/>
      <c r="C105" s="389"/>
      <c r="D105" s="389"/>
      <c r="E105" s="389" t="s">
        <v>380</v>
      </c>
      <c r="F105" s="389"/>
      <c r="G105" s="389"/>
      <c r="H105" s="418"/>
      <c r="I105" s="389" t="s">
        <v>380</v>
      </c>
      <c r="J105" s="389"/>
      <c r="K105" s="389"/>
      <c r="L105" s="418"/>
      <c r="M105" s="392"/>
      <c r="N105" s="389"/>
      <c r="O105" s="389"/>
      <c r="P105" s="404" t="s">
        <v>381</v>
      </c>
      <c r="Q105" s="405"/>
      <c r="R105" s="405"/>
      <c r="S105" s="406"/>
      <c r="T105" s="389"/>
      <c r="U105" s="404" t="s">
        <v>381</v>
      </c>
      <c r="V105" s="405"/>
      <c r="W105" s="405"/>
      <c r="X105" s="406"/>
      <c r="Y105" s="389"/>
      <c r="Z105" s="404" t="s">
        <v>381</v>
      </c>
      <c r="AA105" s="405"/>
      <c r="AB105" s="405"/>
      <c r="AC105" s="406"/>
      <c r="AD105" s="389"/>
      <c r="AE105" s="404" t="s">
        <v>381</v>
      </c>
      <c r="AF105" s="405"/>
      <c r="AG105" s="405"/>
      <c r="AH105" s="406"/>
      <c r="AI105" s="389"/>
      <c r="AJ105" s="404" t="s">
        <v>381</v>
      </c>
      <c r="AK105" s="405"/>
      <c r="AL105" s="405"/>
      <c r="AM105" s="406"/>
      <c r="AN105" s="389"/>
      <c r="AO105" s="404" t="s">
        <v>381</v>
      </c>
      <c r="AP105" s="405"/>
      <c r="AQ105" s="405"/>
      <c r="AR105" s="406"/>
      <c r="AS105" s="389"/>
      <c r="AT105" s="404" t="s">
        <v>381</v>
      </c>
      <c r="AU105" s="405"/>
      <c r="AV105" s="405"/>
      <c r="AW105" s="406"/>
      <c r="AX105" s="389"/>
      <c r="BA105" s="389"/>
    </row>
    <row r="106" spans="2:53">
      <c r="B106" s="389"/>
      <c r="C106" s="389"/>
      <c r="D106" s="389"/>
      <c r="E106" s="258" t="s">
        <v>382</v>
      </c>
      <c r="F106" s="258" t="s">
        <v>383</v>
      </c>
      <c r="G106" s="258" t="s">
        <v>384</v>
      </c>
      <c r="H106" s="419"/>
      <c r="I106" s="258" t="s">
        <v>382</v>
      </c>
      <c r="J106" s="258" t="s">
        <v>383</v>
      </c>
      <c r="K106" s="258" t="s">
        <v>384</v>
      </c>
      <c r="L106" s="419"/>
      <c r="M106" s="393"/>
      <c r="N106" s="389"/>
      <c r="O106" s="389"/>
      <c r="P106" s="258" t="s">
        <v>382</v>
      </c>
      <c r="Q106" s="258" t="s">
        <v>383</v>
      </c>
      <c r="R106" s="258" t="s">
        <v>384</v>
      </c>
      <c r="S106" s="258" t="s">
        <v>374</v>
      </c>
      <c r="T106" s="389"/>
      <c r="U106" s="258" t="s">
        <v>382</v>
      </c>
      <c r="V106" s="258" t="s">
        <v>383</v>
      </c>
      <c r="W106" s="258" t="s">
        <v>384</v>
      </c>
      <c r="X106" s="258" t="s">
        <v>374</v>
      </c>
      <c r="Y106" s="389"/>
      <c r="Z106" s="258" t="s">
        <v>382</v>
      </c>
      <c r="AA106" s="258" t="s">
        <v>383</v>
      </c>
      <c r="AB106" s="258" t="s">
        <v>384</v>
      </c>
      <c r="AC106" s="258" t="s">
        <v>374</v>
      </c>
      <c r="AD106" s="389"/>
      <c r="AE106" s="258" t="s">
        <v>382</v>
      </c>
      <c r="AF106" s="258" t="s">
        <v>383</v>
      </c>
      <c r="AG106" s="258" t="s">
        <v>384</v>
      </c>
      <c r="AH106" s="258" t="s">
        <v>374</v>
      </c>
      <c r="AI106" s="389"/>
      <c r="AJ106" s="258" t="s">
        <v>382</v>
      </c>
      <c r="AK106" s="258" t="s">
        <v>383</v>
      </c>
      <c r="AL106" s="258" t="s">
        <v>384</v>
      </c>
      <c r="AM106" s="258" t="s">
        <v>374</v>
      </c>
      <c r="AN106" s="389"/>
      <c r="AO106" s="258" t="s">
        <v>382</v>
      </c>
      <c r="AP106" s="258" t="s">
        <v>383</v>
      </c>
      <c r="AQ106" s="258" t="s">
        <v>384</v>
      </c>
      <c r="AR106" s="258" t="s">
        <v>374</v>
      </c>
      <c r="AS106" s="389"/>
      <c r="AT106" s="258" t="s">
        <v>382</v>
      </c>
      <c r="AU106" s="258" t="s">
        <v>383</v>
      </c>
      <c r="AV106" s="258" t="s">
        <v>384</v>
      </c>
      <c r="AW106" s="258" t="s">
        <v>374</v>
      </c>
      <c r="AX106" s="389"/>
      <c r="AZ106" s="258" t="s">
        <v>374</v>
      </c>
      <c r="BA106" s="389"/>
    </row>
    <row r="107" spans="2:53">
      <c r="B107" s="389" t="s">
        <v>132</v>
      </c>
      <c r="C107" s="182">
        <v>1</v>
      </c>
      <c r="D107" s="203"/>
      <c r="E107" s="166"/>
      <c r="F107" s="182"/>
      <c r="G107" s="180"/>
      <c r="H107" s="401" t="e">
        <f>AVERAGE(G107:G121)</f>
        <v>#DIV/0!</v>
      </c>
      <c r="I107" s="166" t="str">
        <f t="shared" ref="I107:I120" si="97">IFERROR(AVERAGE(P107,U107,Z107,AE107,AJ107,AO107,AT107),"-")</f>
        <v>-</v>
      </c>
      <c r="J107" s="166" t="str">
        <f t="shared" ref="J107:J120" si="98">IFERROR(AVERAGE(Q107,V107,AA107,AF107,AK107,AP107,AU107),"-")</f>
        <v>-</v>
      </c>
      <c r="K107" s="180" t="str">
        <f t="shared" ref="K107:K120" si="99">IFERROR(AVERAGE(R107,W107,AB107,AG107,AL107,AQ107,AV107),"-")</f>
        <v>-</v>
      </c>
      <c r="L107" s="401" t="str">
        <f>IFERROR(AVERAGE(K107:K121),"-")</f>
        <v>-</v>
      </c>
      <c r="M107" s="181" t="e">
        <f>RANK(K107, K$107:$K$121)</f>
        <v>#VALUE!</v>
      </c>
      <c r="N107" s="389"/>
      <c r="O107" s="389"/>
      <c r="P107" s="166"/>
      <c r="Q107" s="180"/>
      <c r="R107" s="180"/>
      <c r="S107" s="182" t="e">
        <f>RANK(R107, R$107:R$121)</f>
        <v>#N/A</v>
      </c>
      <c r="T107" s="401" t="e">
        <f>AVERAGE(R107:R121)</f>
        <v>#DIV/0!</v>
      </c>
      <c r="U107" s="166"/>
      <c r="V107" s="180"/>
      <c r="W107" s="180"/>
      <c r="X107" s="182" t="e">
        <f>RANK(W107, W$107:W$121)</f>
        <v>#N/A</v>
      </c>
      <c r="Y107" s="401" t="e">
        <f>AVERAGE(W107:W121)</f>
        <v>#DIV/0!</v>
      </c>
      <c r="Z107" s="166"/>
      <c r="AA107" s="180"/>
      <c r="AB107" s="180"/>
      <c r="AC107" s="182" t="e">
        <f>RANK(AB107, AB$107:AB$121)</f>
        <v>#N/A</v>
      </c>
      <c r="AD107" s="401" t="e">
        <f>AVERAGE(AB107:AB121)</f>
        <v>#DIV/0!</v>
      </c>
      <c r="AE107" s="166"/>
      <c r="AF107" s="180"/>
      <c r="AG107" s="180"/>
      <c r="AH107" s="182" t="e">
        <f>RANK(AG107, AG$107:AG$121)</f>
        <v>#N/A</v>
      </c>
      <c r="AI107" s="401" t="e">
        <f>AVERAGE(AG107:AG121)</f>
        <v>#DIV/0!</v>
      </c>
      <c r="AJ107" s="166"/>
      <c r="AK107" s="180"/>
      <c r="AL107" s="180"/>
      <c r="AM107" s="182" t="e">
        <f>RANK(AL107, AL$107:AL$121)</f>
        <v>#N/A</v>
      </c>
      <c r="AN107" s="401" t="e">
        <f>AVERAGE(AL107:AL121)</f>
        <v>#DIV/0!</v>
      </c>
      <c r="AO107" s="166"/>
      <c r="AP107" s="180"/>
      <c r="AQ107" s="180"/>
      <c r="AR107" s="182" t="e">
        <f>RANK(AQ107, AQ$107:AQ$121)</f>
        <v>#N/A</v>
      </c>
      <c r="AS107" s="401" t="e">
        <f>AVERAGE(AQ107:AQ121)</f>
        <v>#DIV/0!</v>
      </c>
      <c r="AT107" s="166"/>
      <c r="AU107" s="180"/>
      <c r="AV107" s="180"/>
      <c r="AW107" s="182" t="e">
        <f>RANK(AV107, AV$107:AV$121)</f>
        <v>#N/A</v>
      </c>
      <c r="AX107" s="390" t="e">
        <f>AVERAGE(AV107:AV121)</f>
        <v>#DIV/0!</v>
      </c>
      <c r="AZ107" s="182" t="e">
        <f>RANK(AY107, AY$107:AY$121)</f>
        <v>#N/A</v>
      </c>
      <c r="BA107" s="390" t="e">
        <f>AVERAGE(AY107:AY121)</f>
        <v>#DIV/0!</v>
      </c>
    </row>
    <row r="108" spans="2:53">
      <c r="B108" s="395"/>
      <c r="C108" s="182">
        <v>2</v>
      </c>
      <c r="D108" s="203"/>
      <c r="E108" s="166"/>
      <c r="F108" s="182"/>
      <c r="G108" s="180"/>
      <c r="H108" s="402"/>
      <c r="I108" s="166" t="str">
        <f t="shared" si="97"/>
        <v>-</v>
      </c>
      <c r="J108" s="166" t="str">
        <f t="shared" si="98"/>
        <v>-</v>
      </c>
      <c r="K108" s="180" t="str">
        <f t="shared" si="99"/>
        <v>-</v>
      </c>
      <c r="L108" s="402"/>
      <c r="M108" s="181" t="e">
        <f>RANK(K108, K$107:$K$121)</f>
        <v>#VALUE!</v>
      </c>
      <c r="N108" s="389"/>
      <c r="O108" s="389"/>
      <c r="P108" s="182"/>
      <c r="Q108" s="180"/>
      <c r="R108" s="180"/>
      <c r="S108" s="182" t="e">
        <f t="shared" ref="S108:S121" si="100">RANK(R108, R$107:R$121)</f>
        <v>#N/A</v>
      </c>
      <c r="T108" s="402"/>
      <c r="U108" s="182"/>
      <c r="V108" s="180"/>
      <c r="W108" s="180"/>
      <c r="X108" s="182" t="e">
        <f t="shared" ref="X108:X121" si="101">RANK(W108, W$107:W$121)</f>
        <v>#N/A</v>
      </c>
      <c r="Y108" s="402"/>
      <c r="Z108" s="182"/>
      <c r="AA108" s="180"/>
      <c r="AB108" s="180"/>
      <c r="AC108" s="182" t="e">
        <f t="shared" ref="AC108:AC121" si="102">RANK(AB108, AB$107:AB$121)</f>
        <v>#N/A</v>
      </c>
      <c r="AD108" s="402"/>
      <c r="AE108" s="182"/>
      <c r="AF108" s="180"/>
      <c r="AG108" s="180"/>
      <c r="AH108" s="182" t="e">
        <f t="shared" ref="AH108:AH121" si="103">RANK(AG108, AG$107:AG$121)</f>
        <v>#N/A</v>
      </c>
      <c r="AI108" s="402"/>
      <c r="AJ108" s="182"/>
      <c r="AK108" s="180"/>
      <c r="AL108" s="180"/>
      <c r="AM108" s="182" t="e">
        <f t="shared" ref="AM108:AM121" si="104">RANK(AL108, AL$107:AL$121)</f>
        <v>#N/A</v>
      </c>
      <c r="AN108" s="402"/>
      <c r="AO108" s="182"/>
      <c r="AP108" s="180"/>
      <c r="AQ108" s="180"/>
      <c r="AR108" s="182" t="e">
        <f t="shared" ref="AR108:AR121" si="105">RANK(AQ108, AQ$107:AQ$121)</f>
        <v>#N/A</v>
      </c>
      <c r="AS108" s="402"/>
      <c r="AT108" s="182"/>
      <c r="AU108" s="180"/>
      <c r="AV108" s="180"/>
      <c r="AW108" s="182" t="e">
        <f t="shared" ref="AW108:AW121" si="106">RANK(AV108, AV$107:AV$121)</f>
        <v>#N/A</v>
      </c>
      <c r="AX108" s="390"/>
      <c r="AZ108" s="182" t="e">
        <f t="shared" ref="AZ108:AZ121" si="107">RANK(AY108, AY$107:AY$121)</f>
        <v>#N/A</v>
      </c>
      <c r="BA108" s="390"/>
    </row>
    <row r="109" spans="2:53">
      <c r="B109" s="395"/>
      <c r="C109" s="182">
        <v>3</v>
      </c>
      <c r="D109" s="203"/>
      <c r="E109" s="166"/>
      <c r="F109" s="182"/>
      <c r="G109" s="180"/>
      <c r="H109" s="402"/>
      <c r="I109" s="166" t="str">
        <f t="shared" si="97"/>
        <v>-</v>
      </c>
      <c r="J109" s="166" t="str">
        <f t="shared" si="98"/>
        <v>-</v>
      </c>
      <c r="K109" s="180" t="str">
        <f t="shared" si="99"/>
        <v>-</v>
      </c>
      <c r="L109" s="402"/>
      <c r="M109" s="181" t="e">
        <f>RANK(K109, K$107:$K$121)</f>
        <v>#VALUE!</v>
      </c>
      <c r="N109" s="389"/>
      <c r="O109" s="389"/>
      <c r="P109" s="182"/>
      <c r="Q109" s="180"/>
      <c r="R109" s="180"/>
      <c r="S109" s="182" t="e">
        <f t="shared" si="100"/>
        <v>#N/A</v>
      </c>
      <c r="T109" s="402"/>
      <c r="U109" s="182"/>
      <c r="V109" s="180"/>
      <c r="W109" s="180"/>
      <c r="X109" s="182" t="e">
        <f t="shared" si="101"/>
        <v>#N/A</v>
      </c>
      <c r="Y109" s="402"/>
      <c r="Z109" s="182"/>
      <c r="AA109" s="180"/>
      <c r="AB109" s="180"/>
      <c r="AC109" s="182" t="e">
        <f t="shared" si="102"/>
        <v>#N/A</v>
      </c>
      <c r="AD109" s="402"/>
      <c r="AE109" s="182"/>
      <c r="AF109" s="180"/>
      <c r="AG109" s="180"/>
      <c r="AH109" s="182" t="e">
        <f t="shared" si="103"/>
        <v>#N/A</v>
      </c>
      <c r="AI109" s="402"/>
      <c r="AJ109" s="182"/>
      <c r="AK109" s="180"/>
      <c r="AL109" s="180"/>
      <c r="AM109" s="182" t="e">
        <f t="shared" si="104"/>
        <v>#N/A</v>
      </c>
      <c r="AN109" s="402"/>
      <c r="AO109" s="182"/>
      <c r="AP109" s="180"/>
      <c r="AQ109" s="180"/>
      <c r="AR109" s="182" t="e">
        <f t="shared" si="105"/>
        <v>#N/A</v>
      </c>
      <c r="AS109" s="402"/>
      <c r="AT109" s="182"/>
      <c r="AU109" s="180"/>
      <c r="AV109" s="180"/>
      <c r="AW109" s="182" t="e">
        <f t="shared" si="106"/>
        <v>#N/A</v>
      </c>
      <c r="AX109" s="390"/>
      <c r="AZ109" s="182" t="e">
        <f t="shared" si="107"/>
        <v>#N/A</v>
      </c>
      <c r="BA109" s="390"/>
    </row>
    <row r="110" spans="2:53">
      <c r="B110" s="395"/>
      <c r="C110" s="182">
        <v>4</v>
      </c>
      <c r="D110" s="203"/>
      <c r="E110" s="166"/>
      <c r="F110" s="182"/>
      <c r="G110" s="180"/>
      <c r="H110" s="402"/>
      <c r="I110" s="166" t="str">
        <f t="shared" si="97"/>
        <v>-</v>
      </c>
      <c r="J110" s="166" t="str">
        <f t="shared" si="98"/>
        <v>-</v>
      </c>
      <c r="K110" s="180" t="str">
        <f t="shared" si="99"/>
        <v>-</v>
      </c>
      <c r="L110" s="402"/>
      <c r="M110" s="181" t="e">
        <f>RANK(K110, K$107:$K$121)</f>
        <v>#VALUE!</v>
      </c>
      <c r="N110" s="389"/>
      <c r="O110" s="389"/>
      <c r="P110" s="182"/>
      <c r="Q110" s="180"/>
      <c r="R110" s="180"/>
      <c r="S110" s="182" t="e">
        <f t="shared" si="100"/>
        <v>#N/A</v>
      </c>
      <c r="T110" s="402"/>
      <c r="U110" s="182"/>
      <c r="V110" s="180"/>
      <c r="W110" s="180"/>
      <c r="X110" s="182" t="e">
        <f t="shared" si="101"/>
        <v>#N/A</v>
      </c>
      <c r="Y110" s="402"/>
      <c r="Z110" s="182"/>
      <c r="AA110" s="180"/>
      <c r="AB110" s="180"/>
      <c r="AC110" s="182" t="e">
        <f t="shared" si="102"/>
        <v>#N/A</v>
      </c>
      <c r="AD110" s="402"/>
      <c r="AE110" s="182"/>
      <c r="AF110" s="180"/>
      <c r="AG110" s="180"/>
      <c r="AH110" s="182" t="e">
        <f t="shared" si="103"/>
        <v>#N/A</v>
      </c>
      <c r="AI110" s="402"/>
      <c r="AJ110" s="182"/>
      <c r="AK110" s="180"/>
      <c r="AL110" s="180"/>
      <c r="AM110" s="182" t="e">
        <f t="shared" si="104"/>
        <v>#N/A</v>
      </c>
      <c r="AN110" s="402"/>
      <c r="AO110" s="182"/>
      <c r="AP110" s="180"/>
      <c r="AQ110" s="180"/>
      <c r="AR110" s="182" t="e">
        <f t="shared" si="105"/>
        <v>#N/A</v>
      </c>
      <c r="AS110" s="402"/>
      <c r="AT110" s="182"/>
      <c r="AU110" s="180"/>
      <c r="AV110" s="180"/>
      <c r="AW110" s="182" t="e">
        <f t="shared" si="106"/>
        <v>#N/A</v>
      </c>
      <c r="AX110" s="390"/>
      <c r="AZ110" s="182" t="e">
        <f t="shared" si="107"/>
        <v>#N/A</v>
      </c>
      <c r="BA110" s="390"/>
    </row>
    <row r="111" spans="2:53">
      <c r="B111" s="395"/>
      <c r="C111" s="182">
        <v>5</v>
      </c>
      <c r="D111" s="203"/>
      <c r="E111" s="166"/>
      <c r="F111" s="182"/>
      <c r="G111" s="180"/>
      <c r="H111" s="402"/>
      <c r="I111" s="166" t="str">
        <f t="shared" si="97"/>
        <v>-</v>
      </c>
      <c r="J111" s="166" t="str">
        <f t="shared" si="98"/>
        <v>-</v>
      </c>
      <c r="K111" s="180" t="str">
        <f t="shared" si="99"/>
        <v>-</v>
      </c>
      <c r="L111" s="402"/>
      <c r="M111" s="181" t="e">
        <f>RANK(K111, K$107:$K$121)</f>
        <v>#VALUE!</v>
      </c>
      <c r="N111" s="389"/>
      <c r="O111" s="389"/>
      <c r="P111" s="182"/>
      <c r="Q111" s="180"/>
      <c r="R111" s="180"/>
      <c r="S111" s="182" t="e">
        <f t="shared" si="100"/>
        <v>#N/A</v>
      </c>
      <c r="T111" s="402"/>
      <c r="U111" s="182"/>
      <c r="V111" s="180"/>
      <c r="W111" s="180"/>
      <c r="X111" s="182" t="e">
        <f t="shared" si="101"/>
        <v>#N/A</v>
      </c>
      <c r="Y111" s="402"/>
      <c r="Z111" s="182"/>
      <c r="AA111" s="180"/>
      <c r="AB111" s="180"/>
      <c r="AC111" s="182" t="e">
        <f t="shared" si="102"/>
        <v>#N/A</v>
      </c>
      <c r="AD111" s="402"/>
      <c r="AE111" s="182"/>
      <c r="AF111" s="180"/>
      <c r="AG111" s="180"/>
      <c r="AH111" s="182" t="e">
        <f t="shared" si="103"/>
        <v>#N/A</v>
      </c>
      <c r="AI111" s="402"/>
      <c r="AJ111" s="182"/>
      <c r="AK111" s="180"/>
      <c r="AL111" s="180"/>
      <c r="AM111" s="182" t="e">
        <f t="shared" si="104"/>
        <v>#N/A</v>
      </c>
      <c r="AN111" s="402"/>
      <c r="AO111" s="182"/>
      <c r="AP111" s="180"/>
      <c r="AQ111" s="180"/>
      <c r="AR111" s="182" t="e">
        <f t="shared" si="105"/>
        <v>#N/A</v>
      </c>
      <c r="AS111" s="402"/>
      <c r="AT111" s="182"/>
      <c r="AU111" s="180"/>
      <c r="AV111" s="180"/>
      <c r="AW111" s="182" t="e">
        <f t="shared" si="106"/>
        <v>#N/A</v>
      </c>
      <c r="AX111" s="390"/>
      <c r="AZ111" s="182" t="e">
        <f t="shared" si="107"/>
        <v>#N/A</v>
      </c>
      <c r="BA111" s="390"/>
    </row>
    <row r="112" spans="2:53">
      <c r="B112" s="395"/>
      <c r="C112" s="182">
        <v>6</v>
      </c>
      <c r="D112" s="203"/>
      <c r="E112" s="166"/>
      <c r="F112" s="182"/>
      <c r="G112" s="180"/>
      <c r="H112" s="402"/>
      <c r="I112" s="166" t="str">
        <f t="shared" si="97"/>
        <v>-</v>
      </c>
      <c r="J112" s="166" t="str">
        <f t="shared" si="98"/>
        <v>-</v>
      </c>
      <c r="K112" s="180" t="str">
        <f t="shared" si="99"/>
        <v>-</v>
      </c>
      <c r="L112" s="402"/>
      <c r="M112" s="181" t="e">
        <f>RANK(K112, K$107:$K$121)</f>
        <v>#VALUE!</v>
      </c>
      <c r="N112" s="389"/>
      <c r="O112" s="389"/>
      <c r="P112" s="182"/>
      <c r="Q112" s="180"/>
      <c r="R112" s="180"/>
      <c r="S112" s="182" t="e">
        <f t="shared" si="100"/>
        <v>#N/A</v>
      </c>
      <c r="T112" s="402"/>
      <c r="U112" s="182"/>
      <c r="V112" s="180"/>
      <c r="W112" s="180"/>
      <c r="X112" s="182" t="e">
        <f t="shared" si="101"/>
        <v>#N/A</v>
      </c>
      <c r="Y112" s="402"/>
      <c r="Z112" s="182"/>
      <c r="AA112" s="180"/>
      <c r="AB112" s="180"/>
      <c r="AC112" s="182" t="e">
        <f t="shared" si="102"/>
        <v>#N/A</v>
      </c>
      <c r="AD112" s="402"/>
      <c r="AE112" s="182"/>
      <c r="AF112" s="180"/>
      <c r="AG112" s="180"/>
      <c r="AH112" s="182" t="e">
        <f t="shared" si="103"/>
        <v>#N/A</v>
      </c>
      <c r="AI112" s="402"/>
      <c r="AJ112" s="182"/>
      <c r="AK112" s="180"/>
      <c r="AL112" s="180"/>
      <c r="AM112" s="182" t="e">
        <f t="shared" si="104"/>
        <v>#N/A</v>
      </c>
      <c r="AN112" s="402"/>
      <c r="AO112" s="182"/>
      <c r="AP112" s="180"/>
      <c r="AQ112" s="180"/>
      <c r="AR112" s="182" t="e">
        <f t="shared" si="105"/>
        <v>#N/A</v>
      </c>
      <c r="AS112" s="402"/>
      <c r="AT112" s="182"/>
      <c r="AU112" s="180"/>
      <c r="AV112" s="180"/>
      <c r="AW112" s="182" t="e">
        <f t="shared" si="106"/>
        <v>#N/A</v>
      </c>
      <c r="AX112" s="390"/>
      <c r="AZ112" s="182" t="e">
        <f t="shared" si="107"/>
        <v>#N/A</v>
      </c>
      <c r="BA112" s="390"/>
    </row>
    <row r="113" spans="2:53">
      <c r="B113" s="395"/>
      <c r="C113" s="182">
        <v>7</v>
      </c>
      <c r="D113" s="203"/>
      <c r="E113" s="166"/>
      <c r="F113" s="182"/>
      <c r="G113" s="180"/>
      <c r="H113" s="402"/>
      <c r="I113" s="166" t="str">
        <f t="shared" si="97"/>
        <v>-</v>
      </c>
      <c r="J113" s="166" t="str">
        <f t="shared" si="98"/>
        <v>-</v>
      </c>
      <c r="K113" s="180" t="str">
        <f t="shared" si="99"/>
        <v>-</v>
      </c>
      <c r="L113" s="402"/>
      <c r="M113" s="181" t="e">
        <f>RANK(K113, K$107:$K$121)</f>
        <v>#VALUE!</v>
      </c>
      <c r="N113" s="389"/>
      <c r="O113" s="389"/>
      <c r="P113" s="182"/>
      <c r="Q113" s="180"/>
      <c r="R113" s="180"/>
      <c r="S113" s="182" t="e">
        <f t="shared" si="100"/>
        <v>#N/A</v>
      </c>
      <c r="T113" s="402"/>
      <c r="U113" s="182"/>
      <c r="V113" s="180"/>
      <c r="W113" s="180"/>
      <c r="X113" s="182" t="e">
        <f t="shared" si="101"/>
        <v>#N/A</v>
      </c>
      <c r="Y113" s="402"/>
      <c r="Z113" s="182"/>
      <c r="AA113" s="180"/>
      <c r="AB113" s="180"/>
      <c r="AC113" s="182" t="e">
        <f t="shared" si="102"/>
        <v>#N/A</v>
      </c>
      <c r="AD113" s="402"/>
      <c r="AE113" s="182"/>
      <c r="AF113" s="180"/>
      <c r="AG113" s="180"/>
      <c r="AH113" s="182" t="e">
        <f t="shared" si="103"/>
        <v>#N/A</v>
      </c>
      <c r="AI113" s="402"/>
      <c r="AJ113" s="182"/>
      <c r="AK113" s="180"/>
      <c r="AL113" s="180"/>
      <c r="AM113" s="182" t="e">
        <f t="shared" si="104"/>
        <v>#N/A</v>
      </c>
      <c r="AN113" s="402"/>
      <c r="AO113" s="182"/>
      <c r="AP113" s="180"/>
      <c r="AQ113" s="180"/>
      <c r="AR113" s="182" t="e">
        <f t="shared" si="105"/>
        <v>#N/A</v>
      </c>
      <c r="AS113" s="402"/>
      <c r="AT113" s="182"/>
      <c r="AU113" s="180"/>
      <c r="AV113" s="180"/>
      <c r="AW113" s="182" t="e">
        <f t="shared" si="106"/>
        <v>#N/A</v>
      </c>
      <c r="AX113" s="390"/>
      <c r="AZ113" s="182" t="e">
        <f t="shared" si="107"/>
        <v>#N/A</v>
      </c>
      <c r="BA113" s="390"/>
    </row>
    <row r="114" spans="2:53">
      <c r="B114" s="395"/>
      <c r="C114" s="182">
        <v>8</v>
      </c>
      <c r="D114" s="203"/>
      <c r="E114" s="166"/>
      <c r="F114" s="182"/>
      <c r="G114" s="180"/>
      <c r="H114" s="402"/>
      <c r="I114" s="166" t="str">
        <f t="shared" si="97"/>
        <v>-</v>
      </c>
      <c r="J114" s="166" t="str">
        <f t="shared" si="98"/>
        <v>-</v>
      </c>
      <c r="K114" s="180" t="str">
        <f t="shared" si="99"/>
        <v>-</v>
      </c>
      <c r="L114" s="402"/>
      <c r="M114" s="181" t="e">
        <f>RANK(K114, K$107:$K$121)</f>
        <v>#VALUE!</v>
      </c>
      <c r="N114" s="389"/>
      <c r="O114" s="389"/>
      <c r="P114" s="182"/>
      <c r="Q114" s="180"/>
      <c r="R114" s="180"/>
      <c r="S114" s="182" t="e">
        <f t="shared" si="100"/>
        <v>#N/A</v>
      </c>
      <c r="T114" s="402"/>
      <c r="U114" s="182"/>
      <c r="V114" s="180"/>
      <c r="W114" s="180"/>
      <c r="X114" s="182" t="e">
        <f t="shared" si="101"/>
        <v>#N/A</v>
      </c>
      <c r="Y114" s="402"/>
      <c r="Z114" s="182"/>
      <c r="AA114" s="180"/>
      <c r="AB114" s="180"/>
      <c r="AC114" s="182" t="e">
        <f t="shared" si="102"/>
        <v>#N/A</v>
      </c>
      <c r="AD114" s="402"/>
      <c r="AE114" s="182"/>
      <c r="AF114" s="180"/>
      <c r="AG114" s="180"/>
      <c r="AH114" s="182" t="e">
        <f t="shared" si="103"/>
        <v>#N/A</v>
      </c>
      <c r="AI114" s="402"/>
      <c r="AJ114" s="182"/>
      <c r="AK114" s="180"/>
      <c r="AL114" s="180"/>
      <c r="AM114" s="182" t="e">
        <f t="shared" si="104"/>
        <v>#N/A</v>
      </c>
      <c r="AN114" s="402"/>
      <c r="AO114" s="182"/>
      <c r="AP114" s="180"/>
      <c r="AQ114" s="180"/>
      <c r="AR114" s="182" t="e">
        <f t="shared" si="105"/>
        <v>#N/A</v>
      </c>
      <c r="AS114" s="402"/>
      <c r="AT114" s="182"/>
      <c r="AU114" s="180"/>
      <c r="AV114" s="180"/>
      <c r="AW114" s="182" t="e">
        <f t="shared" si="106"/>
        <v>#N/A</v>
      </c>
      <c r="AX114" s="390"/>
      <c r="AZ114" s="182" t="e">
        <f t="shared" si="107"/>
        <v>#N/A</v>
      </c>
      <c r="BA114" s="390"/>
    </row>
    <row r="115" spans="2:53">
      <c r="B115" s="395"/>
      <c r="C115" s="182">
        <v>9</v>
      </c>
      <c r="D115" s="203"/>
      <c r="E115" s="166"/>
      <c r="F115" s="182"/>
      <c r="G115" s="180"/>
      <c r="H115" s="402"/>
      <c r="I115" s="166" t="str">
        <f t="shared" si="97"/>
        <v>-</v>
      </c>
      <c r="J115" s="166" t="str">
        <f t="shared" si="98"/>
        <v>-</v>
      </c>
      <c r="K115" s="180" t="str">
        <f t="shared" si="99"/>
        <v>-</v>
      </c>
      <c r="L115" s="402"/>
      <c r="M115" s="181" t="e">
        <f>RANK(K115, K$107:$K$121)</f>
        <v>#VALUE!</v>
      </c>
      <c r="N115" s="389"/>
      <c r="O115" s="389"/>
      <c r="P115" s="182"/>
      <c r="Q115" s="180"/>
      <c r="R115" s="180"/>
      <c r="S115" s="182" t="e">
        <f t="shared" si="100"/>
        <v>#N/A</v>
      </c>
      <c r="T115" s="402"/>
      <c r="U115" s="182"/>
      <c r="V115" s="180"/>
      <c r="W115" s="180"/>
      <c r="X115" s="182" t="e">
        <f t="shared" si="101"/>
        <v>#N/A</v>
      </c>
      <c r="Y115" s="402"/>
      <c r="Z115" s="182"/>
      <c r="AA115" s="180"/>
      <c r="AB115" s="180"/>
      <c r="AC115" s="182" t="e">
        <f t="shared" si="102"/>
        <v>#N/A</v>
      </c>
      <c r="AD115" s="402"/>
      <c r="AE115" s="182"/>
      <c r="AF115" s="180"/>
      <c r="AG115" s="180"/>
      <c r="AH115" s="182" t="e">
        <f t="shared" si="103"/>
        <v>#N/A</v>
      </c>
      <c r="AI115" s="402"/>
      <c r="AJ115" s="182"/>
      <c r="AK115" s="180"/>
      <c r="AL115" s="180"/>
      <c r="AM115" s="182" t="e">
        <f t="shared" si="104"/>
        <v>#N/A</v>
      </c>
      <c r="AN115" s="402"/>
      <c r="AO115" s="182"/>
      <c r="AP115" s="180"/>
      <c r="AQ115" s="180"/>
      <c r="AR115" s="182" t="e">
        <f t="shared" si="105"/>
        <v>#N/A</v>
      </c>
      <c r="AS115" s="402"/>
      <c r="AT115" s="182"/>
      <c r="AU115" s="180"/>
      <c r="AV115" s="180"/>
      <c r="AW115" s="182" t="e">
        <f t="shared" si="106"/>
        <v>#N/A</v>
      </c>
      <c r="AX115" s="390"/>
      <c r="AZ115" s="182" t="e">
        <f t="shared" si="107"/>
        <v>#N/A</v>
      </c>
      <c r="BA115" s="390"/>
    </row>
    <row r="116" spans="2:53">
      <c r="B116" s="395"/>
      <c r="C116" s="182">
        <v>10</v>
      </c>
      <c r="D116" s="203"/>
      <c r="E116" s="166"/>
      <c r="F116" s="182"/>
      <c r="G116" s="180"/>
      <c r="H116" s="402"/>
      <c r="I116" s="166" t="str">
        <f t="shared" si="97"/>
        <v>-</v>
      </c>
      <c r="J116" s="166" t="str">
        <f t="shared" si="98"/>
        <v>-</v>
      </c>
      <c r="K116" s="180" t="str">
        <f t="shared" si="99"/>
        <v>-</v>
      </c>
      <c r="L116" s="402"/>
      <c r="M116" s="181" t="e">
        <f>RANK(K116, K$107:$K$121)</f>
        <v>#VALUE!</v>
      </c>
      <c r="N116" s="389"/>
      <c r="O116" s="389"/>
      <c r="P116" s="182"/>
      <c r="Q116" s="180"/>
      <c r="R116" s="180"/>
      <c r="S116" s="182" t="e">
        <f t="shared" si="100"/>
        <v>#N/A</v>
      </c>
      <c r="T116" s="402"/>
      <c r="U116" s="182"/>
      <c r="V116" s="180"/>
      <c r="W116" s="180"/>
      <c r="X116" s="182" t="e">
        <f t="shared" si="101"/>
        <v>#N/A</v>
      </c>
      <c r="Y116" s="402"/>
      <c r="Z116" s="182"/>
      <c r="AA116" s="180"/>
      <c r="AB116" s="180"/>
      <c r="AC116" s="182" t="e">
        <f t="shared" si="102"/>
        <v>#N/A</v>
      </c>
      <c r="AD116" s="402"/>
      <c r="AE116" s="182"/>
      <c r="AF116" s="180"/>
      <c r="AG116" s="180"/>
      <c r="AH116" s="182" t="e">
        <f t="shared" si="103"/>
        <v>#N/A</v>
      </c>
      <c r="AI116" s="402"/>
      <c r="AJ116" s="182"/>
      <c r="AK116" s="180"/>
      <c r="AL116" s="180"/>
      <c r="AM116" s="182" t="e">
        <f t="shared" si="104"/>
        <v>#N/A</v>
      </c>
      <c r="AN116" s="402"/>
      <c r="AO116" s="182"/>
      <c r="AP116" s="180"/>
      <c r="AQ116" s="180"/>
      <c r="AR116" s="182" t="e">
        <f t="shared" si="105"/>
        <v>#N/A</v>
      </c>
      <c r="AS116" s="402"/>
      <c r="AT116" s="182"/>
      <c r="AU116" s="180"/>
      <c r="AV116" s="180"/>
      <c r="AW116" s="182" t="e">
        <f t="shared" si="106"/>
        <v>#N/A</v>
      </c>
      <c r="AX116" s="390"/>
      <c r="AZ116" s="182" t="e">
        <f t="shared" si="107"/>
        <v>#N/A</v>
      </c>
      <c r="BA116" s="390"/>
    </row>
    <row r="117" spans="2:53">
      <c r="B117" s="395"/>
      <c r="C117" s="182">
        <v>11</v>
      </c>
      <c r="D117" s="203"/>
      <c r="E117" s="166"/>
      <c r="F117" s="182"/>
      <c r="G117" s="180"/>
      <c r="H117" s="402"/>
      <c r="I117" s="166" t="str">
        <f t="shared" si="97"/>
        <v>-</v>
      </c>
      <c r="J117" s="166" t="str">
        <f t="shared" si="98"/>
        <v>-</v>
      </c>
      <c r="K117" s="180" t="str">
        <f t="shared" si="99"/>
        <v>-</v>
      </c>
      <c r="L117" s="402"/>
      <c r="M117" s="181" t="e">
        <f>RANK(K117, K$107:$K$121)</f>
        <v>#VALUE!</v>
      </c>
      <c r="N117" s="389"/>
      <c r="O117" s="389"/>
      <c r="P117" s="182"/>
      <c r="Q117" s="180"/>
      <c r="R117" s="180"/>
      <c r="S117" s="182" t="e">
        <f t="shared" si="100"/>
        <v>#N/A</v>
      </c>
      <c r="T117" s="402"/>
      <c r="U117" s="182"/>
      <c r="V117" s="180"/>
      <c r="W117" s="180"/>
      <c r="X117" s="182" t="e">
        <f t="shared" si="101"/>
        <v>#N/A</v>
      </c>
      <c r="Y117" s="402"/>
      <c r="Z117" s="182"/>
      <c r="AA117" s="180"/>
      <c r="AB117" s="180"/>
      <c r="AC117" s="182" t="e">
        <f t="shared" si="102"/>
        <v>#N/A</v>
      </c>
      <c r="AD117" s="402"/>
      <c r="AE117" s="182"/>
      <c r="AF117" s="180"/>
      <c r="AG117" s="180"/>
      <c r="AH117" s="182" t="e">
        <f t="shared" si="103"/>
        <v>#N/A</v>
      </c>
      <c r="AI117" s="402"/>
      <c r="AJ117" s="182"/>
      <c r="AK117" s="180"/>
      <c r="AL117" s="180"/>
      <c r="AM117" s="182" t="e">
        <f t="shared" si="104"/>
        <v>#N/A</v>
      </c>
      <c r="AN117" s="402"/>
      <c r="AO117" s="182"/>
      <c r="AP117" s="180"/>
      <c r="AQ117" s="180"/>
      <c r="AR117" s="182" t="e">
        <f t="shared" si="105"/>
        <v>#N/A</v>
      </c>
      <c r="AS117" s="402"/>
      <c r="AT117" s="182"/>
      <c r="AU117" s="180"/>
      <c r="AV117" s="180"/>
      <c r="AW117" s="182" t="e">
        <f t="shared" si="106"/>
        <v>#N/A</v>
      </c>
      <c r="AX117" s="390"/>
      <c r="AZ117" s="182" t="e">
        <f t="shared" si="107"/>
        <v>#N/A</v>
      </c>
      <c r="BA117" s="390"/>
    </row>
    <row r="118" spans="2:53">
      <c r="B118" s="395"/>
      <c r="C118" s="182">
        <v>12</v>
      </c>
      <c r="D118" s="203"/>
      <c r="E118" s="166"/>
      <c r="F118" s="182"/>
      <c r="G118" s="180"/>
      <c r="H118" s="402"/>
      <c r="I118" s="166" t="str">
        <f t="shared" si="97"/>
        <v>-</v>
      </c>
      <c r="J118" s="166" t="str">
        <f t="shared" si="98"/>
        <v>-</v>
      </c>
      <c r="K118" s="180" t="str">
        <f t="shared" si="99"/>
        <v>-</v>
      </c>
      <c r="L118" s="402"/>
      <c r="M118" s="181" t="e">
        <f>RANK(K118, K$107:$K$121)</f>
        <v>#VALUE!</v>
      </c>
      <c r="N118" s="389"/>
      <c r="O118" s="389"/>
      <c r="P118" s="182"/>
      <c r="Q118" s="180"/>
      <c r="R118" s="180"/>
      <c r="S118" s="182" t="e">
        <f t="shared" si="100"/>
        <v>#N/A</v>
      </c>
      <c r="T118" s="402"/>
      <c r="U118" s="182"/>
      <c r="V118" s="180"/>
      <c r="W118" s="180"/>
      <c r="X118" s="182" t="e">
        <f t="shared" si="101"/>
        <v>#N/A</v>
      </c>
      <c r="Y118" s="402"/>
      <c r="Z118" s="182"/>
      <c r="AA118" s="180"/>
      <c r="AB118" s="180"/>
      <c r="AC118" s="182" t="e">
        <f t="shared" si="102"/>
        <v>#N/A</v>
      </c>
      <c r="AD118" s="402"/>
      <c r="AE118" s="182"/>
      <c r="AF118" s="180"/>
      <c r="AG118" s="180"/>
      <c r="AH118" s="182" t="e">
        <f t="shared" si="103"/>
        <v>#N/A</v>
      </c>
      <c r="AI118" s="402"/>
      <c r="AJ118" s="182"/>
      <c r="AK118" s="180"/>
      <c r="AL118" s="180"/>
      <c r="AM118" s="182" t="e">
        <f t="shared" si="104"/>
        <v>#N/A</v>
      </c>
      <c r="AN118" s="402"/>
      <c r="AO118" s="182"/>
      <c r="AP118" s="180"/>
      <c r="AQ118" s="180"/>
      <c r="AR118" s="182" t="e">
        <f t="shared" si="105"/>
        <v>#N/A</v>
      </c>
      <c r="AS118" s="402"/>
      <c r="AT118" s="182"/>
      <c r="AU118" s="180"/>
      <c r="AV118" s="180"/>
      <c r="AW118" s="182" t="e">
        <f t="shared" si="106"/>
        <v>#N/A</v>
      </c>
      <c r="AX118" s="390"/>
      <c r="AZ118" s="182" t="e">
        <f t="shared" si="107"/>
        <v>#N/A</v>
      </c>
      <c r="BA118" s="390"/>
    </row>
    <row r="119" spans="2:53">
      <c r="B119" s="395"/>
      <c r="C119" s="182">
        <v>13</v>
      </c>
      <c r="D119" s="203"/>
      <c r="E119" s="166"/>
      <c r="F119" s="182"/>
      <c r="G119" s="180"/>
      <c r="H119" s="402"/>
      <c r="I119" s="166" t="str">
        <f t="shared" si="97"/>
        <v>-</v>
      </c>
      <c r="J119" s="166" t="str">
        <f t="shared" si="98"/>
        <v>-</v>
      </c>
      <c r="K119" s="180" t="str">
        <f t="shared" si="99"/>
        <v>-</v>
      </c>
      <c r="L119" s="402"/>
      <c r="M119" s="181" t="e">
        <f>RANK(K119, K$107:$K$121)</f>
        <v>#VALUE!</v>
      </c>
      <c r="N119" s="389"/>
      <c r="O119" s="389"/>
      <c r="P119" s="182"/>
      <c r="Q119" s="180"/>
      <c r="R119" s="180"/>
      <c r="S119" s="182" t="e">
        <f t="shared" si="100"/>
        <v>#N/A</v>
      </c>
      <c r="T119" s="402"/>
      <c r="U119" s="182"/>
      <c r="V119" s="180"/>
      <c r="W119" s="180"/>
      <c r="X119" s="182" t="e">
        <f t="shared" si="101"/>
        <v>#N/A</v>
      </c>
      <c r="Y119" s="402"/>
      <c r="Z119" s="182"/>
      <c r="AA119" s="180"/>
      <c r="AB119" s="180"/>
      <c r="AC119" s="182" t="e">
        <f t="shared" si="102"/>
        <v>#N/A</v>
      </c>
      <c r="AD119" s="402"/>
      <c r="AE119" s="182"/>
      <c r="AF119" s="180"/>
      <c r="AG119" s="180"/>
      <c r="AH119" s="182" t="e">
        <f t="shared" si="103"/>
        <v>#N/A</v>
      </c>
      <c r="AI119" s="402"/>
      <c r="AJ119" s="182"/>
      <c r="AK119" s="180"/>
      <c r="AL119" s="180"/>
      <c r="AM119" s="182" t="e">
        <f t="shared" si="104"/>
        <v>#N/A</v>
      </c>
      <c r="AN119" s="402"/>
      <c r="AO119" s="182"/>
      <c r="AP119" s="180"/>
      <c r="AQ119" s="180"/>
      <c r="AR119" s="182" t="e">
        <f t="shared" si="105"/>
        <v>#N/A</v>
      </c>
      <c r="AS119" s="402"/>
      <c r="AT119" s="182"/>
      <c r="AU119" s="180"/>
      <c r="AV119" s="180"/>
      <c r="AW119" s="182" t="e">
        <f t="shared" si="106"/>
        <v>#N/A</v>
      </c>
      <c r="AX119" s="390"/>
      <c r="AZ119" s="182" t="e">
        <f t="shared" si="107"/>
        <v>#N/A</v>
      </c>
      <c r="BA119" s="390"/>
    </row>
    <row r="120" spans="2:53">
      <c r="B120" s="395"/>
      <c r="C120" s="182">
        <v>14</v>
      </c>
      <c r="D120" s="203"/>
      <c r="E120" s="166"/>
      <c r="F120" s="182"/>
      <c r="G120" s="180"/>
      <c r="H120" s="402"/>
      <c r="I120" s="166" t="str">
        <f t="shared" si="97"/>
        <v>-</v>
      </c>
      <c r="J120" s="166" t="str">
        <f t="shared" si="98"/>
        <v>-</v>
      </c>
      <c r="K120" s="180" t="str">
        <f t="shared" si="99"/>
        <v>-</v>
      </c>
      <c r="L120" s="402"/>
      <c r="M120" s="181" t="e">
        <f>RANK(K120, K$107:$K$121)</f>
        <v>#VALUE!</v>
      </c>
      <c r="N120" s="389"/>
      <c r="O120" s="389"/>
      <c r="P120" s="182"/>
      <c r="Q120" s="180"/>
      <c r="R120" s="180"/>
      <c r="S120" s="182" t="e">
        <f t="shared" si="100"/>
        <v>#N/A</v>
      </c>
      <c r="T120" s="402"/>
      <c r="U120" s="182"/>
      <c r="V120" s="180"/>
      <c r="W120" s="180"/>
      <c r="X120" s="182" t="e">
        <f t="shared" si="101"/>
        <v>#N/A</v>
      </c>
      <c r="Y120" s="402"/>
      <c r="Z120" s="182"/>
      <c r="AA120" s="180"/>
      <c r="AB120" s="180"/>
      <c r="AC120" s="182" t="e">
        <f t="shared" si="102"/>
        <v>#N/A</v>
      </c>
      <c r="AD120" s="402"/>
      <c r="AE120" s="182"/>
      <c r="AF120" s="180"/>
      <c r="AG120" s="180"/>
      <c r="AH120" s="182" t="e">
        <f t="shared" si="103"/>
        <v>#N/A</v>
      </c>
      <c r="AI120" s="402"/>
      <c r="AJ120" s="182"/>
      <c r="AK120" s="180"/>
      <c r="AL120" s="180"/>
      <c r="AM120" s="182" t="e">
        <f t="shared" si="104"/>
        <v>#N/A</v>
      </c>
      <c r="AN120" s="402"/>
      <c r="AO120" s="182"/>
      <c r="AP120" s="180"/>
      <c r="AQ120" s="180"/>
      <c r="AR120" s="182" t="e">
        <f t="shared" si="105"/>
        <v>#N/A</v>
      </c>
      <c r="AS120" s="402"/>
      <c r="AT120" s="182"/>
      <c r="AU120" s="180"/>
      <c r="AV120" s="180"/>
      <c r="AW120" s="182" t="e">
        <f t="shared" si="106"/>
        <v>#N/A</v>
      </c>
      <c r="AX120" s="390"/>
      <c r="AZ120" s="182" t="e">
        <f t="shared" si="107"/>
        <v>#N/A</v>
      </c>
      <c r="BA120" s="390"/>
    </row>
    <row r="121" spans="2:53">
      <c r="B121" s="395"/>
      <c r="C121" s="182">
        <v>15</v>
      </c>
      <c r="D121" s="203"/>
      <c r="E121" s="166"/>
      <c r="F121" s="182"/>
      <c r="G121" s="180"/>
      <c r="H121" s="403"/>
      <c r="I121" s="182"/>
      <c r="J121" s="182"/>
      <c r="K121" s="182"/>
      <c r="L121" s="403"/>
      <c r="M121" s="181" t="e">
        <f>RANK(K121, K$107:$K$121)</f>
        <v>#N/A</v>
      </c>
      <c r="N121" s="389"/>
      <c r="O121" s="389"/>
      <c r="P121" s="182"/>
      <c r="Q121" s="180"/>
      <c r="R121" s="180"/>
      <c r="S121" s="182" t="e">
        <f t="shared" si="100"/>
        <v>#N/A</v>
      </c>
      <c r="T121" s="403"/>
      <c r="U121" s="182"/>
      <c r="V121" s="180"/>
      <c r="W121" s="180"/>
      <c r="X121" s="182" t="e">
        <f t="shared" si="101"/>
        <v>#N/A</v>
      </c>
      <c r="Y121" s="403"/>
      <c r="Z121" s="182"/>
      <c r="AA121" s="180"/>
      <c r="AB121" s="180"/>
      <c r="AC121" s="182" t="e">
        <f t="shared" si="102"/>
        <v>#N/A</v>
      </c>
      <c r="AD121" s="403"/>
      <c r="AE121" s="182"/>
      <c r="AF121" s="180"/>
      <c r="AG121" s="180"/>
      <c r="AH121" s="182" t="e">
        <f t="shared" si="103"/>
        <v>#N/A</v>
      </c>
      <c r="AI121" s="403"/>
      <c r="AJ121" s="182"/>
      <c r="AK121" s="180"/>
      <c r="AL121" s="180"/>
      <c r="AM121" s="182" t="e">
        <f t="shared" si="104"/>
        <v>#N/A</v>
      </c>
      <c r="AN121" s="403"/>
      <c r="AO121" s="182"/>
      <c r="AP121" s="180"/>
      <c r="AQ121" s="180"/>
      <c r="AR121" s="182" t="e">
        <f t="shared" si="105"/>
        <v>#N/A</v>
      </c>
      <c r="AS121" s="403"/>
      <c r="AT121" s="182"/>
      <c r="AU121" s="180"/>
      <c r="AV121" s="180"/>
      <c r="AW121" s="182" t="e">
        <f t="shared" si="106"/>
        <v>#N/A</v>
      </c>
      <c r="AX121" s="390"/>
      <c r="AZ121" s="182" t="e">
        <f t="shared" si="107"/>
        <v>#N/A</v>
      </c>
      <c r="BA121" s="390"/>
    </row>
    <row r="123" spans="2:53" ht="15.75">
      <c r="B123" s="397" t="s">
        <v>486</v>
      </c>
      <c r="C123" s="398"/>
      <c r="D123" s="398"/>
      <c r="E123" s="398"/>
      <c r="F123" s="398"/>
      <c r="G123" s="398"/>
      <c r="H123" s="398"/>
      <c r="I123" s="273"/>
      <c r="J123" s="273"/>
      <c r="K123" s="273"/>
      <c r="L123" s="273"/>
      <c r="M123" s="274"/>
    </row>
    <row r="124" spans="2:53" ht="15.75">
      <c r="B124" s="399"/>
      <c r="C124" s="399"/>
      <c r="D124" s="399"/>
      <c r="E124" s="399"/>
      <c r="F124" s="399"/>
      <c r="G124" s="399"/>
      <c r="H124" s="399"/>
      <c r="I124" s="275"/>
      <c r="J124" s="275"/>
      <c r="K124" s="275"/>
      <c r="L124" s="275"/>
      <c r="M124" s="276"/>
    </row>
    <row r="125" spans="2:53">
      <c r="B125" s="389" t="s">
        <v>487</v>
      </c>
      <c r="C125" s="389" t="s">
        <v>488</v>
      </c>
      <c r="D125" s="389"/>
      <c r="E125" s="389" t="s">
        <v>489</v>
      </c>
      <c r="F125" s="389"/>
      <c r="G125" s="389"/>
      <c r="H125" s="417" t="s">
        <v>490</v>
      </c>
      <c r="I125" s="400" t="s">
        <v>491</v>
      </c>
      <c r="J125" s="400"/>
      <c r="K125" s="400"/>
      <c r="L125" s="490" t="s">
        <v>490</v>
      </c>
      <c r="M125" s="493" t="s">
        <v>492</v>
      </c>
    </row>
    <row r="126" spans="2:53">
      <c r="B126" s="389"/>
      <c r="C126" s="389"/>
      <c r="D126" s="389"/>
      <c r="E126" s="389" t="s">
        <v>493</v>
      </c>
      <c r="F126" s="389"/>
      <c r="G126" s="389"/>
      <c r="H126" s="418"/>
      <c r="I126" s="400" t="s">
        <v>493</v>
      </c>
      <c r="J126" s="400"/>
      <c r="K126" s="400"/>
      <c r="L126" s="491"/>
      <c r="M126" s="494"/>
    </row>
    <row r="127" spans="2:53">
      <c r="B127" s="389"/>
      <c r="C127" s="389"/>
      <c r="D127" s="389"/>
      <c r="E127" s="258" t="s">
        <v>494</v>
      </c>
      <c r="F127" s="258" t="s">
        <v>495</v>
      </c>
      <c r="G127" s="258" t="s">
        <v>496</v>
      </c>
      <c r="H127" s="419"/>
      <c r="I127" s="277" t="s">
        <v>494</v>
      </c>
      <c r="J127" s="277" t="s">
        <v>495</v>
      </c>
      <c r="K127" s="277" t="s">
        <v>496</v>
      </c>
      <c r="L127" s="492"/>
      <c r="M127" s="495"/>
    </row>
    <row r="128" spans="2:53">
      <c r="B128" s="389" t="s">
        <v>502</v>
      </c>
      <c r="C128" s="182">
        <v>1</v>
      </c>
      <c r="D128" s="203"/>
      <c r="E128" s="166"/>
      <c r="F128" s="182"/>
      <c r="G128" s="180"/>
      <c r="H128" s="401" t="e">
        <f>AVERAGE(G128:G142)</f>
        <v>#DIV/0!</v>
      </c>
      <c r="I128" s="166" t="e">
        <f t="shared" ref="I128:J135" si="108">AVERAGEIF($D$7:$D$121,$D128,I$7:I$121)</f>
        <v>#DIV/0!</v>
      </c>
      <c r="J128" s="166" t="e">
        <f t="shared" si="108"/>
        <v>#DIV/0!</v>
      </c>
      <c r="K128" s="166" t="e">
        <f t="shared" ref="K128:K135" si="109">AVERAGEIF($D$7:$D$121,$D128,K$7:K$121)</f>
        <v>#DIV/0!</v>
      </c>
      <c r="L128" s="487" t="e">
        <f>AVERAGE(K128:K142)</f>
        <v>#DIV/0!</v>
      </c>
      <c r="M128" s="166" t="e">
        <f>RANK(K128, K$128:$K$142)</f>
        <v>#DIV/0!</v>
      </c>
    </row>
    <row r="129" spans="2:39">
      <c r="B129" s="395"/>
      <c r="C129" s="182">
        <v>2</v>
      </c>
      <c r="D129" s="203"/>
      <c r="E129" s="166"/>
      <c r="F129" s="182"/>
      <c r="G129" s="180"/>
      <c r="H129" s="402"/>
      <c r="I129" s="166" t="e">
        <f t="shared" si="108"/>
        <v>#DIV/0!</v>
      </c>
      <c r="J129" s="166" t="e">
        <f t="shared" si="108"/>
        <v>#DIV/0!</v>
      </c>
      <c r="K129" s="166" t="e">
        <f t="shared" si="109"/>
        <v>#DIV/0!</v>
      </c>
      <c r="L129" s="488"/>
      <c r="M129" s="166" t="e">
        <f>RANK(K129, K$128:$K$142)</f>
        <v>#DIV/0!</v>
      </c>
      <c r="N129" s="103"/>
      <c r="O129" s="103"/>
      <c r="P129" s="103"/>
      <c r="Q129" s="103"/>
      <c r="R129" s="103"/>
      <c r="S129" s="103"/>
      <c r="T129" s="103"/>
      <c r="X129" s="103"/>
      <c r="AC129" s="103"/>
      <c r="AH129" s="103"/>
      <c r="AM129" s="103"/>
    </row>
    <row r="130" spans="2:39">
      <c r="B130" s="395"/>
      <c r="C130" s="182">
        <v>3</v>
      </c>
      <c r="D130" s="203"/>
      <c r="E130" s="166"/>
      <c r="F130" s="182"/>
      <c r="G130" s="180"/>
      <c r="H130" s="402"/>
      <c r="I130" s="166" t="e">
        <f t="shared" si="108"/>
        <v>#DIV/0!</v>
      </c>
      <c r="J130" s="166" t="e">
        <f t="shared" si="108"/>
        <v>#DIV/0!</v>
      </c>
      <c r="K130" s="166" t="e">
        <f t="shared" si="109"/>
        <v>#DIV/0!</v>
      </c>
      <c r="L130" s="488"/>
      <c r="M130" s="166" t="e">
        <f>RANK(K130, K$128:$K$142)</f>
        <v>#DIV/0!</v>
      </c>
      <c r="N130" s="103"/>
      <c r="O130" s="103"/>
      <c r="P130" s="103"/>
      <c r="Q130" s="103"/>
      <c r="R130" s="103"/>
      <c r="S130" s="103"/>
      <c r="T130" s="103"/>
      <c r="X130" s="103"/>
      <c r="AC130" s="103"/>
      <c r="AH130" s="103"/>
      <c r="AM130" s="103"/>
    </row>
    <row r="131" spans="2:39">
      <c r="B131" s="395"/>
      <c r="C131" s="182">
        <v>4</v>
      </c>
      <c r="D131" s="203"/>
      <c r="E131" s="166"/>
      <c r="F131" s="182"/>
      <c r="G131" s="180"/>
      <c r="H131" s="402"/>
      <c r="I131" s="166" t="e">
        <f t="shared" si="108"/>
        <v>#DIV/0!</v>
      </c>
      <c r="J131" s="166" t="e">
        <f t="shared" si="108"/>
        <v>#DIV/0!</v>
      </c>
      <c r="K131" s="166" t="e">
        <f t="shared" si="109"/>
        <v>#DIV/0!</v>
      </c>
      <c r="L131" s="488"/>
      <c r="M131" s="166" t="e">
        <f>RANK(K131, K$128:$K$142)</f>
        <v>#DIV/0!</v>
      </c>
      <c r="N131" s="103"/>
      <c r="O131" s="103"/>
      <c r="P131" s="103"/>
      <c r="Q131" s="103"/>
      <c r="R131" s="103"/>
      <c r="S131" s="103"/>
      <c r="T131" s="103"/>
      <c r="X131" s="103"/>
      <c r="AC131" s="103"/>
      <c r="AH131" s="103"/>
      <c r="AM131" s="103"/>
    </row>
    <row r="132" spans="2:39">
      <c r="B132" s="395"/>
      <c r="C132" s="182">
        <v>5</v>
      </c>
      <c r="D132" s="203"/>
      <c r="E132" s="166"/>
      <c r="F132" s="182"/>
      <c r="G132" s="180"/>
      <c r="H132" s="402"/>
      <c r="I132" s="166" t="e">
        <f t="shared" si="108"/>
        <v>#DIV/0!</v>
      </c>
      <c r="J132" s="166" t="e">
        <f t="shared" si="108"/>
        <v>#DIV/0!</v>
      </c>
      <c r="K132" s="166" t="e">
        <f t="shared" si="109"/>
        <v>#DIV/0!</v>
      </c>
      <c r="L132" s="488"/>
      <c r="M132" s="166" t="e">
        <f>RANK(K132, K$128:$K$142)</f>
        <v>#DIV/0!</v>
      </c>
      <c r="N132" s="103"/>
      <c r="O132" s="103"/>
      <c r="P132" s="103"/>
      <c r="Q132" s="103"/>
      <c r="R132" s="103"/>
      <c r="S132" s="103"/>
      <c r="T132" s="103"/>
      <c r="X132" s="103"/>
      <c r="AC132" s="103"/>
      <c r="AH132" s="103"/>
      <c r="AM132" s="103"/>
    </row>
    <row r="133" spans="2:39">
      <c r="B133" s="395"/>
      <c r="C133" s="182">
        <v>6</v>
      </c>
      <c r="D133" s="278"/>
      <c r="E133" s="166"/>
      <c r="F133" s="182"/>
      <c r="G133" s="180"/>
      <c r="H133" s="402"/>
      <c r="I133" s="166" t="e">
        <f t="shared" si="108"/>
        <v>#DIV/0!</v>
      </c>
      <c r="J133" s="166" t="e">
        <f t="shared" si="108"/>
        <v>#DIV/0!</v>
      </c>
      <c r="K133" s="166" t="e">
        <f t="shared" si="109"/>
        <v>#DIV/0!</v>
      </c>
      <c r="L133" s="488"/>
      <c r="M133" s="166" t="e">
        <f>RANK(K133, K$128:$K$142)</f>
        <v>#DIV/0!</v>
      </c>
      <c r="N133" s="103"/>
      <c r="O133" s="103"/>
      <c r="P133" s="103"/>
      <c r="Q133" s="103"/>
      <c r="R133" s="103"/>
      <c r="S133" s="103"/>
      <c r="T133" s="103"/>
      <c r="X133" s="103"/>
      <c r="AC133" s="103"/>
      <c r="AH133" s="103"/>
      <c r="AM133" s="103"/>
    </row>
    <row r="134" spans="2:39">
      <c r="B134" s="395"/>
      <c r="C134" s="182">
        <v>7</v>
      </c>
      <c r="D134" s="203"/>
      <c r="E134" s="166"/>
      <c r="F134" s="182"/>
      <c r="G134" s="180"/>
      <c r="H134" s="402"/>
      <c r="I134" s="166" t="e">
        <f t="shared" si="108"/>
        <v>#DIV/0!</v>
      </c>
      <c r="J134" s="166" t="e">
        <f t="shared" si="108"/>
        <v>#DIV/0!</v>
      </c>
      <c r="K134" s="166" t="e">
        <f t="shared" si="109"/>
        <v>#DIV/0!</v>
      </c>
      <c r="L134" s="488"/>
      <c r="M134" s="166" t="e">
        <f>RANK(K134, K$128:$K$142)</f>
        <v>#DIV/0!</v>
      </c>
      <c r="N134" s="103"/>
      <c r="O134" s="103"/>
      <c r="P134" s="103"/>
      <c r="Q134" s="103"/>
      <c r="R134" s="103"/>
      <c r="S134" s="103"/>
      <c r="T134" s="103"/>
      <c r="X134" s="103"/>
      <c r="AC134" s="103"/>
      <c r="AH134" s="103"/>
      <c r="AM134" s="103"/>
    </row>
    <row r="135" spans="2:39">
      <c r="B135" s="395"/>
      <c r="C135" s="182">
        <v>8</v>
      </c>
      <c r="D135" s="203"/>
      <c r="E135" s="166"/>
      <c r="F135" s="182"/>
      <c r="G135" s="180"/>
      <c r="H135" s="402"/>
      <c r="I135" s="166" t="e">
        <f t="shared" si="108"/>
        <v>#DIV/0!</v>
      </c>
      <c r="J135" s="166" t="e">
        <f t="shared" si="108"/>
        <v>#DIV/0!</v>
      </c>
      <c r="K135" s="166" t="e">
        <f t="shared" si="109"/>
        <v>#DIV/0!</v>
      </c>
      <c r="L135" s="488"/>
      <c r="M135" s="166" t="e">
        <f>RANK(K135, K$128:$K$142)</f>
        <v>#DIV/0!</v>
      </c>
      <c r="N135" s="103"/>
      <c r="O135" s="103"/>
      <c r="P135" s="103"/>
      <c r="Q135" s="103"/>
      <c r="R135" s="103"/>
      <c r="S135" s="103"/>
      <c r="T135" s="103"/>
      <c r="X135" s="103"/>
      <c r="AC135" s="103"/>
      <c r="AH135" s="103"/>
      <c r="AM135" s="103"/>
    </row>
    <row r="136" spans="2:39">
      <c r="B136" s="395"/>
      <c r="C136" s="182">
        <v>9</v>
      </c>
      <c r="D136" s="203"/>
      <c r="E136" s="182"/>
      <c r="F136" s="182"/>
      <c r="G136" s="182"/>
      <c r="H136" s="402"/>
      <c r="I136" s="166"/>
      <c r="J136" s="166"/>
      <c r="K136" s="166"/>
      <c r="L136" s="488"/>
      <c r="M136" s="166" t="e">
        <f>RANK(K136, K$128:$K$142)</f>
        <v>#DIV/0!</v>
      </c>
      <c r="N136" s="103"/>
      <c r="O136" s="103"/>
      <c r="P136" s="103"/>
      <c r="Q136" s="103"/>
      <c r="R136" s="103"/>
      <c r="S136" s="103"/>
      <c r="T136" s="103"/>
      <c r="X136" s="103"/>
      <c r="AC136" s="103"/>
      <c r="AH136" s="103"/>
      <c r="AM136" s="103"/>
    </row>
    <row r="137" spans="2:39">
      <c r="B137" s="395"/>
      <c r="C137" s="182">
        <v>10</v>
      </c>
      <c r="D137" s="203"/>
      <c r="E137" s="182"/>
      <c r="F137" s="182"/>
      <c r="G137" s="182"/>
      <c r="H137" s="402"/>
      <c r="I137" s="166"/>
      <c r="J137" s="166"/>
      <c r="K137" s="166"/>
      <c r="L137" s="488"/>
      <c r="M137" s="166" t="e">
        <f>RANK(K137, K$128:$K$142)</f>
        <v>#DIV/0!</v>
      </c>
      <c r="N137" s="103"/>
      <c r="O137" s="103"/>
      <c r="P137" s="103"/>
      <c r="Q137" s="103"/>
      <c r="R137" s="103"/>
      <c r="S137" s="103"/>
      <c r="T137" s="103"/>
      <c r="X137" s="103"/>
      <c r="AC137" s="103"/>
      <c r="AH137" s="103"/>
      <c r="AM137" s="103"/>
    </row>
    <row r="138" spans="2:39">
      <c r="B138" s="395"/>
      <c r="C138" s="182">
        <v>11</v>
      </c>
      <c r="D138" s="203"/>
      <c r="E138" s="182"/>
      <c r="F138" s="182"/>
      <c r="G138" s="182"/>
      <c r="H138" s="402"/>
      <c r="I138" s="166"/>
      <c r="J138" s="166"/>
      <c r="K138" s="166"/>
      <c r="L138" s="488"/>
      <c r="M138" s="166" t="e">
        <f>RANK(K138, K$128:$K$142)</f>
        <v>#DIV/0!</v>
      </c>
      <c r="N138" s="103"/>
      <c r="O138" s="103"/>
      <c r="P138" s="103"/>
      <c r="Q138" s="103"/>
      <c r="R138" s="103"/>
      <c r="S138" s="103"/>
      <c r="T138" s="103"/>
      <c r="X138" s="103"/>
      <c r="AC138" s="103"/>
      <c r="AH138" s="103"/>
      <c r="AM138" s="103"/>
    </row>
    <row r="139" spans="2:39">
      <c r="B139" s="395"/>
      <c r="C139" s="182">
        <v>12</v>
      </c>
      <c r="D139" s="203"/>
      <c r="E139" s="182"/>
      <c r="F139" s="182"/>
      <c r="G139" s="182"/>
      <c r="H139" s="402"/>
      <c r="I139" s="166"/>
      <c r="J139" s="166"/>
      <c r="K139" s="166"/>
      <c r="L139" s="488"/>
      <c r="M139" s="166" t="e">
        <f>RANK(K139, K$128:$K$142)</f>
        <v>#DIV/0!</v>
      </c>
      <c r="N139" s="103"/>
      <c r="O139" s="103"/>
      <c r="P139" s="103"/>
      <c r="Q139" s="103"/>
      <c r="R139" s="103"/>
      <c r="S139" s="103"/>
      <c r="T139" s="103"/>
      <c r="X139" s="103"/>
      <c r="AC139" s="103"/>
      <c r="AH139" s="103"/>
      <c r="AM139" s="103"/>
    </row>
    <row r="140" spans="2:39">
      <c r="B140" s="395"/>
      <c r="C140" s="182">
        <v>13</v>
      </c>
      <c r="D140" s="203"/>
      <c r="E140" s="182"/>
      <c r="F140" s="182"/>
      <c r="G140" s="182"/>
      <c r="H140" s="402"/>
      <c r="I140" s="166"/>
      <c r="J140" s="166"/>
      <c r="K140" s="166"/>
      <c r="L140" s="488"/>
      <c r="M140" s="166" t="e">
        <f>RANK(K140, K$128:$K$142)</f>
        <v>#DIV/0!</v>
      </c>
      <c r="N140" s="103"/>
      <c r="O140" s="103"/>
      <c r="P140" s="103"/>
      <c r="Q140" s="103"/>
      <c r="R140" s="103"/>
      <c r="S140" s="103"/>
      <c r="T140" s="103"/>
      <c r="X140" s="103"/>
      <c r="AC140" s="103"/>
      <c r="AH140" s="103"/>
      <c r="AM140" s="103"/>
    </row>
    <row r="141" spans="2:39">
      <c r="B141" s="395"/>
      <c r="C141" s="182">
        <v>14</v>
      </c>
      <c r="D141" s="203"/>
      <c r="E141" s="182"/>
      <c r="F141" s="182"/>
      <c r="G141" s="182"/>
      <c r="H141" s="402"/>
      <c r="I141" s="166"/>
      <c r="J141" s="166"/>
      <c r="K141" s="166"/>
      <c r="L141" s="488"/>
      <c r="M141" s="166" t="e">
        <f>RANK(K141, K$128:$K$142)</f>
        <v>#DIV/0!</v>
      </c>
      <c r="N141" s="103"/>
      <c r="O141" s="103"/>
      <c r="P141" s="103"/>
      <c r="Q141" s="103"/>
      <c r="R141" s="103"/>
      <c r="S141" s="103"/>
      <c r="T141" s="103"/>
      <c r="X141" s="103"/>
      <c r="AC141" s="103"/>
      <c r="AH141" s="103"/>
      <c r="AM141" s="103"/>
    </row>
    <row r="142" spans="2:39">
      <c r="B142" s="395"/>
      <c r="C142" s="182">
        <v>15</v>
      </c>
      <c r="D142" s="203"/>
      <c r="E142" s="182"/>
      <c r="F142" s="182"/>
      <c r="G142" s="182"/>
      <c r="H142" s="403"/>
      <c r="I142" s="166"/>
      <c r="J142" s="166"/>
      <c r="K142" s="166"/>
      <c r="L142" s="489"/>
      <c r="M142" s="166" t="e">
        <f>RANK(K142, K$128:$K$142)</f>
        <v>#DIV/0!</v>
      </c>
      <c r="N142" s="103"/>
      <c r="O142" s="103"/>
      <c r="P142" s="103"/>
      <c r="Q142" s="103"/>
      <c r="R142" s="103"/>
      <c r="S142" s="103"/>
      <c r="T142" s="103"/>
      <c r="X142" s="103"/>
      <c r="AC142" s="103"/>
      <c r="AH142" s="103"/>
      <c r="AM142" s="103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BA142"/>
  <sheetViews>
    <sheetView topLeftCell="A73" zoomScale="55" zoomScaleNormal="55" workbookViewId="0">
      <pane xSplit="15" topLeftCell="P1" activePane="topRight" state="frozen"/>
      <selection activeCell="M7" sqref="M7:M21"/>
      <selection pane="topRight" activeCell="P93" sqref="P93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51" width="8.85546875" style="103"/>
    <col min="52" max="52" width="5.42578125" style="103" customWidth="1"/>
    <col min="53" max="53" width="13.140625" style="103" customWidth="1"/>
    <col min="54" max="16384" width="8.85546875" style="103"/>
  </cols>
  <sheetData>
    <row r="1" spans="1:53" ht="24">
      <c r="A1" s="74"/>
      <c r="B1" s="198" t="s">
        <v>314</v>
      </c>
      <c r="C1" s="197">
        <f>AVERAGE(L7,L27,L47,L67,L87,L107)</f>
        <v>85.811320900999178</v>
      </c>
    </row>
    <row r="2" spans="1:53" ht="15.75">
      <c r="A2" s="79"/>
      <c r="B2" s="414" t="s">
        <v>163</v>
      </c>
      <c r="C2" s="414"/>
      <c r="D2" s="414"/>
      <c r="E2" s="414"/>
      <c r="F2" s="414"/>
      <c r="G2" s="414"/>
      <c r="H2" s="414"/>
      <c r="I2" s="183"/>
      <c r="J2" s="183"/>
      <c r="K2" s="183"/>
      <c r="L2" s="183"/>
      <c r="M2" s="178"/>
      <c r="N2" s="391" t="s">
        <v>156</v>
      </c>
      <c r="O2" s="391" t="s">
        <v>155</v>
      </c>
      <c r="P2" s="421">
        <v>46140</v>
      </c>
      <c r="Q2" s="422"/>
      <c r="R2" s="422"/>
      <c r="S2" s="422"/>
      <c r="T2" s="423"/>
      <c r="U2" s="413">
        <f>P2+1</f>
        <v>46141</v>
      </c>
      <c r="V2" s="395"/>
      <c r="W2" s="395"/>
      <c r="X2" s="395"/>
      <c r="Y2" s="395"/>
      <c r="Z2" s="413">
        <f>U2+1</f>
        <v>46142</v>
      </c>
      <c r="AA2" s="395"/>
      <c r="AB2" s="395"/>
      <c r="AC2" s="395"/>
      <c r="AD2" s="395"/>
      <c r="AE2" s="413">
        <f>Z2+1</f>
        <v>46143</v>
      </c>
      <c r="AF2" s="395"/>
      <c r="AG2" s="395"/>
      <c r="AH2" s="395"/>
      <c r="AI2" s="395"/>
      <c r="AJ2" s="413">
        <f>AE2+1</f>
        <v>46144</v>
      </c>
      <c r="AK2" s="395"/>
      <c r="AL2" s="395"/>
      <c r="AM2" s="395"/>
      <c r="AN2" s="395"/>
      <c r="AO2" s="413">
        <f>AJ2+1</f>
        <v>46145</v>
      </c>
      <c r="AP2" s="395"/>
      <c r="AQ2" s="395"/>
      <c r="AR2" s="395"/>
      <c r="AS2" s="395"/>
      <c r="AT2" s="410">
        <f>AO2+1</f>
        <v>46146</v>
      </c>
      <c r="AU2" s="411"/>
      <c r="AV2" s="411"/>
      <c r="AW2" s="411"/>
      <c r="AX2" s="412"/>
    </row>
    <row r="3" spans="1:53" ht="15.75">
      <c r="A3" s="79"/>
      <c r="B3" s="420"/>
      <c r="C3" s="420"/>
      <c r="D3" s="420"/>
      <c r="E3" s="420"/>
      <c r="F3" s="420"/>
      <c r="G3" s="420"/>
      <c r="H3" s="420"/>
      <c r="I3" s="184"/>
      <c r="J3" s="184"/>
      <c r="K3" s="184"/>
      <c r="L3" s="184"/>
      <c r="M3" s="179"/>
      <c r="N3" s="393"/>
      <c r="O3" s="393"/>
      <c r="P3" s="410" t="s">
        <v>158</v>
      </c>
      <c r="Q3" s="411"/>
      <c r="R3" s="411"/>
      <c r="S3" s="411"/>
      <c r="T3" s="412"/>
      <c r="U3" s="410" t="s">
        <v>114</v>
      </c>
      <c r="V3" s="411"/>
      <c r="W3" s="411"/>
      <c r="X3" s="411"/>
      <c r="Y3" s="412"/>
      <c r="Z3" s="410" t="s">
        <v>159</v>
      </c>
      <c r="AA3" s="411"/>
      <c r="AB3" s="411"/>
      <c r="AC3" s="411"/>
      <c r="AD3" s="412"/>
      <c r="AE3" s="410" t="s">
        <v>157</v>
      </c>
      <c r="AF3" s="411"/>
      <c r="AG3" s="411"/>
      <c r="AH3" s="411"/>
      <c r="AI3" s="412"/>
      <c r="AJ3" s="410" t="s">
        <v>160</v>
      </c>
      <c r="AK3" s="411"/>
      <c r="AL3" s="411"/>
      <c r="AM3" s="411"/>
      <c r="AN3" s="412"/>
      <c r="AO3" s="410" t="s">
        <v>161</v>
      </c>
      <c r="AP3" s="411"/>
      <c r="AQ3" s="411"/>
      <c r="AR3" s="411"/>
      <c r="AS3" s="412"/>
      <c r="AT3" s="410" t="s">
        <v>162</v>
      </c>
      <c r="AU3" s="411"/>
      <c r="AV3" s="411"/>
      <c r="AW3" s="411"/>
      <c r="AX3" s="412"/>
    </row>
    <row r="4" spans="1:53" ht="14.25">
      <c r="A4" s="79"/>
      <c r="B4" s="389" t="s">
        <v>555</v>
      </c>
      <c r="C4" s="389" t="s">
        <v>386</v>
      </c>
      <c r="D4" s="389"/>
      <c r="E4" s="389" t="s">
        <v>377</v>
      </c>
      <c r="F4" s="389"/>
      <c r="G4" s="389"/>
      <c r="H4" s="417" t="s">
        <v>373</v>
      </c>
      <c r="I4" s="389" t="s">
        <v>378</v>
      </c>
      <c r="J4" s="389"/>
      <c r="K4" s="389"/>
      <c r="L4" s="417" t="s">
        <v>373</v>
      </c>
      <c r="M4" s="391" t="s">
        <v>374</v>
      </c>
      <c r="N4" s="389"/>
      <c r="O4" s="389" t="s">
        <v>379</v>
      </c>
      <c r="P4" s="404" t="s">
        <v>375</v>
      </c>
      <c r="Q4" s="405"/>
      <c r="R4" s="405"/>
      <c r="S4" s="406"/>
      <c r="T4" s="389" t="s">
        <v>373</v>
      </c>
      <c r="U4" s="404" t="s">
        <v>375</v>
      </c>
      <c r="V4" s="405"/>
      <c r="W4" s="405"/>
      <c r="X4" s="406"/>
      <c r="Y4" s="389" t="s">
        <v>373</v>
      </c>
      <c r="Z4" s="404" t="s">
        <v>375</v>
      </c>
      <c r="AA4" s="405"/>
      <c r="AB4" s="405"/>
      <c r="AC4" s="406"/>
      <c r="AD4" s="389" t="s">
        <v>373</v>
      </c>
      <c r="AE4" s="404" t="s">
        <v>375</v>
      </c>
      <c r="AF4" s="405"/>
      <c r="AG4" s="405"/>
      <c r="AH4" s="406"/>
      <c r="AI4" s="389" t="s">
        <v>373</v>
      </c>
      <c r="AJ4" s="404" t="s">
        <v>375</v>
      </c>
      <c r="AK4" s="405"/>
      <c r="AL4" s="405"/>
      <c r="AM4" s="406"/>
      <c r="AN4" s="389" t="s">
        <v>373</v>
      </c>
      <c r="AO4" s="404" t="s">
        <v>375</v>
      </c>
      <c r="AP4" s="405"/>
      <c r="AQ4" s="405"/>
      <c r="AR4" s="406"/>
      <c r="AS4" s="389" t="s">
        <v>373</v>
      </c>
      <c r="AT4" s="404" t="s">
        <v>375</v>
      </c>
      <c r="AU4" s="405"/>
      <c r="AV4" s="405"/>
      <c r="AW4" s="406"/>
      <c r="AX4" s="389" t="s">
        <v>373</v>
      </c>
      <c r="BA4" s="389" t="s">
        <v>373</v>
      </c>
    </row>
    <row r="5" spans="1:53" ht="14.25">
      <c r="A5" s="79"/>
      <c r="B5" s="389"/>
      <c r="C5" s="389"/>
      <c r="D5" s="389"/>
      <c r="E5" s="389" t="s">
        <v>380</v>
      </c>
      <c r="F5" s="389"/>
      <c r="G5" s="389"/>
      <c r="H5" s="418"/>
      <c r="I5" s="389" t="s">
        <v>380</v>
      </c>
      <c r="J5" s="389"/>
      <c r="K5" s="389"/>
      <c r="L5" s="418"/>
      <c r="M5" s="392"/>
      <c r="N5" s="389"/>
      <c r="O5" s="389"/>
      <c r="P5" s="404" t="s">
        <v>381</v>
      </c>
      <c r="Q5" s="405"/>
      <c r="R5" s="405"/>
      <c r="S5" s="406"/>
      <c r="T5" s="389"/>
      <c r="U5" s="404" t="s">
        <v>381</v>
      </c>
      <c r="V5" s="405"/>
      <c r="W5" s="405"/>
      <c r="X5" s="406"/>
      <c r="Y5" s="389"/>
      <c r="Z5" s="404" t="s">
        <v>381</v>
      </c>
      <c r="AA5" s="405"/>
      <c r="AB5" s="405"/>
      <c r="AC5" s="406"/>
      <c r="AD5" s="389"/>
      <c r="AE5" s="404" t="s">
        <v>381</v>
      </c>
      <c r="AF5" s="405"/>
      <c r="AG5" s="405"/>
      <c r="AH5" s="406"/>
      <c r="AI5" s="389"/>
      <c r="AJ5" s="404" t="s">
        <v>381</v>
      </c>
      <c r="AK5" s="405"/>
      <c r="AL5" s="405"/>
      <c r="AM5" s="406"/>
      <c r="AN5" s="389"/>
      <c r="AO5" s="404" t="s">
        <v>381</v>
      </c>
      <c r="AP5" s="405"/>
      <c r="AQ5" s="405"/>
      <c r="AR5" s="406"/>
      <c r="AS5" s="389"/>
      <c r="AT5" s="404" t="s">
        <v>381</v>
      </c>
      <c r="AU5" s="405"/>
      <c r="AV5" s="405"/>
      <c r="AW5" s="406"/>
      <c r="AX5" s="389"/>
      <c r="BA5" s="389"/>
    </row>
    <row r="6" spans="1:53" ht="14.25">
      <c r="A6" s="77"/>
      <c r="B6" s="389"/>
      <c r="C6" s="389"/>
      <c r="D6" s="389"/>
      <c r="E6" s="258" t="s">
        <v>382</v>
      </c>
      <c r="F6" s="258" t="s">
        <v>383</v>
      </c>
      <c r="G6" s="258" t="s">
        <v>384</v>
      </c>
      <c r="H6" s="419"/>
      <c r="I6" s="258" t="s">
        <v>382</v>
      </c>
      <c r="J6" s="258" t="s">
        <v>383</v>
      </c>
      <c r="K6" s="258" t="s">
        <v>384</v>
      </c>
      <c r="L6" s="419"/>
      <c r="M6" s="393"/>
      <c r="N6" s="389"/>
      <c r="O6" s="389"/>
      <c r="P6" s="258" t="s">
        <v>382</v>
      </c>
      <c r="Q6" s="258" t="s">
        <v>383</v>
      </c>
      <c r="R6" s="258" t="s">
        <v>384</v>
      </c>
      <c r="S6" s="258" t="s">
        <v>374</v>
      </c>
      <c r="T6" s="389"/>
      <c r="U6" s="258" t="s">
        <v>382</v>
      </c>
      <c r="V6" s="258" t="s">
        <v>383</v>
      </c>
      <c r="W6" s="258" t="s">
        <v>384</v>
      </c>
      <c r="X6" s="258" t="s">
        <v>374</v>
      </c>
      <c r="Y6" s="389"/>
      <c r="Z6" s="258" t="s">
        <v>382</v>
      </c>
      <c r="AA6" s="258" t="s">
        <v>383</v>
      </c>
      <c r="AB6" s="258" t="s">
        <v>384</v>
      </c>
      <c r="AC6" s="258" t="s">
        <v>374</v>
      </c>
      <c r="AD6" s="389"/>
      <c r="AE6" s="258" t="s">
        <v>382</v>
      </c>
      <c r="AF6" s="258" t="s">
        <v>383</v>
      </c>
      <c r="AG6" s="258" t="s">
        <v>384</v>
      </c>
      <c r="AH6" s="258" t="s">
        <v>374</v>
      </c>
      <c r="AI6" s="389"/>
      <c r="AJ6" s="258" t="s">
        <v>382</v>
      </c>
      <c r="AK6" s="258" t="s">
        <v>383</v>
      </c>
      <c r="AL6" s="258" t="s">
        <v>384</v>
      </c>
      <c r="AM6" s="258" t="s">
        <v>374</v>
      </c>
      <c r="AN6" s="389"/>
      <c r="AO6" s="258" t="s">
        <v>382</v>
      </c>
      <c r="AP6" s="258" t="s">
        <v>383</v>
      </c>
      <c r="AQ6" s="258" t="s">
        <v>384</v>
      </c>
      <c r="AR6" s="258" t="s">
        <v>374</v>
      </c>
      <c r="AS6" s="389"/>
      <c r="AT6" s="258" t="s">
        <v>382</v>
      </c>
      <c r="AU6" s="258" t="s">
        <v>383</v>
      </c>
      <c r="AV6" s="258" t="s">
        <v>384</v>
      </c>
      <c r="AW6" s="258" t="s">
        <v>374</v>
      </c>
      <c r="AX6" s="389"/>
      <c r="AZ6" s="258" t="s">
        <v>374</v>
      </c>
      <c r="BA6" s="389"/>
    </row>
    <row r="7" spans="1:53" ht="14.25">
      <c r="A7" s="79"/>
      <c r="B7" s="389" t="s">
        <v>135</v>
      </c>
      <c r="C7" s="182">
        <v>1</v>
      </c>
      <c r="D7" s="203" t="s">
        <v>526</v>
      </c>
      <c r="E7" s="166">
        <v>14</v>
      </c>
      <c r="F7" s="182">
        <v>1500</v>
      </c>
      <c r="G7" s="180">
        <v>107.1</v>
      </c>
      <c r="H7" s="401">
        <f>AVERAGE(G7:G21)</f>
        <v>100.13333333333333</v>
      </c>
      <c r="I7" s="166">
        <f t="shared" ref="I7:I20" si="0">IFERROR(AVERAGE(P7,U7,Z7,AE7,AJ7,AO7,AT7),"-")</f>
        <v>13.857142857142858</v>
      </c>
      <c r="J7" s="166">
        <f t="shared" ref="J7:J20" si="1">IFERROR(AVERAGE(Q7,V7,AA7,AF7,AK7,AP7,AU7),"-")</f>
        <v>1232.6819727891145</v>
      </c>
      <c r="K7" s="180">
        <f t="shared" ref="K7:K20" si="2">IFERROR(AVERAGE(R7,W7,AB7,AG7,AL7,AQ7,AV7),"-")</f>
        <v>89.042432907228729</v>
      </c>
      <c r="L7" s="401">
        <f>IFERROR(AVERAGE(K7:K21),"-")</f>
        <v>84.627176513924994</v>
      </c>
      <c r="M7" s="181">
        <f>RANK(K7, K$7:$K$21)</f>
        <v>1</v>
      </c>
      <c r="N7" s="389"/>
      <c r="O7" s="389"/>
      <c r="P7" s="182">
        <v>13</v>
      </c>
      <c r="Q7" s="166">
        <v>1265.9999999999995</v>
      </c>
      <c r="R7" s="166">
        <v>97.384615384615344</v>
      </c>
      <c r="S7" s="166">
        <f t="shared" ref="S7:S21" si="3">RANK(R7, R$7:R$21)</f>
        <v>1</v>
      </c>
      <c r="T7" s="500">
        <f t="shared" ref="T7" si="4">AVERAGE(R7:R21)</f>
        <v>86.786715097954016</v>
      </c>
      <c r="U7" s="182">
        <v>14</v>
      </c>
      <c r="V7" s="166">
        <v>1241.2499999999982</v>
      </c>
      <c r="W7" s="166">
        <v>88.66071428571415</v>
      </c>
      <c r="X7" s="166">
        <f t="shared" ref="X7:X21" si="5">RANK(W7, W$7:W$21)</f>
        <v>1</v>
      </c>
      <c r="Y7" s="500">
        <f t="shared" ref="Y7" si="6">AVERAGE(W7:W21)</f>
        <v>83.815259731692137</v>
      </c>
      <c r="Z7" s="182">
        <v>14</v>
      </c>
      <c r="AA7" s="166">
        <v>1259.9999999999973</v>
      </c>
      <c r="AB7" s="166">
        <v>89.999999999999801</v>
      </c>
      <c r="AC7" s="166">
        <f t="shared" ref="AC7:AC21" si="7">RANK(AB7, AB$7:AB$21)</f>
        <v>1</v>
      </c>
      <c r="AD7" s="500">
        <f t="shared" ref="AD7" si="8">AVERAGE(AB7:AB21)</f>
        <v>84.969573759153946</v>
      </c>
      <c r="AE7" s="182">
        <v>14</v>
      </c>
      <c r="AF7" s="166">
        <v>1207.9999999999977</v>
      </c>
      <c r="AG7" s="166">
        <v>86.285714285714121</v>
      </c>
      <c r="AH7" s="166">
        <f t="shared" ref="AH7:AH21" si="9">RANK(AG7, AG$7:AG$21)</f>
        <v>2</v>
      </c>
      <c r="AI7" s="500">
        <f t="shared" ref="AI7" si="10">AVERAGE(AG7:AG21)</f>
        <v>84.295569771320942</v>
      </c>
      <c r="AJ7" s="182">
        <v>14</v>
      </c>
      <c r="AK7" s="166">
        <v>1223.9999999999995</v>
      </c>
      <c r="AL7" s="166">
        <v>87.428571428571402</v>
      </c>
      <c r="AM7" s="166">
        <f t="shared" ref="AM7:AM21" si="11">RANK(AL7, AL$7:AL$21)</f>
        <v>2</v>
      </c>
      <c r="AN7" s="500">
        <f t="shared" ref="AN7" si="12">AVERAGE(AL7:AL21)</f>
        <v>85.093295509826802</v>
      </c>
      <c r="AO7" s="182">
        <v>14</v>
      </c>
      <c r="AP7" s="166">
        <v>1206.6666666666658</v>
      </c>
      <c r="AQ7" s="166">
        <v>86.190476190476133</v>
      </c>
      <c r="AR7" s="166">
        <f t="shared" ref="AR7:AR21" si="13">RANK(AQ7, AQ$7:AQ$21)</f>
        <v>3</v>
      </c>
      <c r="AS7" s="500">
        <f t="shared" ref="AS7" si="14">AVERAGE(AQ7:AQ21)</f>
        <v>83.926991371307267</v>
      </c>
      <c r="AT7" s="182">
        <v>14</v>
      </c>
      <c r="AU7" s="166">
        <v>1222.8571428571424</v>
      </c>
      <c r="AV7" s="166">
        <v>87.346938775510168</v>
      </c>
      <c r="AW7" s="166">
        <f t="shared" ref="AW7:AW21" si="15">RANK(AV7, AV$7:AV$21)</f>
        <v>1</v>
      </c>
      <c r="AX7" s="500">
        <f t="shared" ref="AX7" si="16">AVERAGE(AV7:AV21)</f>
        <v>83.502830356219761</v>
      </c>
      <c r="AZ7" s="166" t="e">
        <f t="shared" ref="AZ7:AZ21" si="17">RANK(AY7, AY$7:AY$21)</f>
        <v>#N/A</v>
      </c>
      <c r="BA7" s="500" t="e">
        <f t="shared" ref="BA7" si="18">AVERAGE(AY7:AY21)</f>
        <v>#DIV/0!</v>
      </c>
    </row>
    <row r="8" spans="1:53" ht="15" customHeight="1">
      <c r="A8" s="79"/>
      <c r="B8" s="395"/>
      <c r="C8" s="182">
        <v>2</v>
      </c>
      <c r="D8" s="203" t="s">
        <v>539</v>
      </c>
      <c r="E8" s="166">
        <v>16</v>
      </c>
      <c r="F8" s="182">
        <v>1636</v>
      </c>
      <c r="G8" s="180">
        <v>102.3</v>
      </c>
      <c r="H8" s="402"/>
      <c r="I8" s="166">
        <f t="shared" si="0"/>
        <v>17</v>
      </c>
      <c r="J8" s="166">
        <f t="shared" si="1"/>
        <v>1461.8758567461314</v>
      </c>
      <c r="K8" s="180">
        <f t="shared" si="2"/>
        <v>85.992697455654792</v>
      </c>
      <c r="L8" s="402"/>
      <c r="M8" s="181">
        <f>RANK(K8, K$7:$K$21)</f>
        <v>3</v>
      </c>
      <c r="N8" s="389"/>
      <c r="O8" s="389"/>
      <c r="P8" s="182">
        <v>17</v>
      </c>
      <c r="Q8" s="166">
        <v>1475.6065573770486</v>
      </c>
      <c r="R8" s="166">
        <v>86.800385728061684</v>
      </c>
      <c r="S8" s="166">
        <f t="shared" si="3"/>
        <v>5</v>
      </c>
      <c r="T8" s="501"/>
      <c r="U8" s="182">
        <v>17</v>
      </c>
      <c r="V8" s="166">
        <v>1433.8461538461547</v>
      </c>
      <c r="W8" s="166">
        <v>84.343891402714988</v>
      </c>
      <c r="X8" s="166">
        <f t="shared" si="5"/>
        <v>4</v>
      </c>
      <c r="Y8" s="501"/>
      <c r="Z8" s="182">
        <v>17</v>
      </c>
      <c r="AA8" s="166">
        <v>1478.1818181818189</v>
      </c>
      <c r="AB8" s="166">
        <v>86.951871657754054</v>
      </c>
      <c r="AC8" s="166">
        <f t="shared" si="7"/>
        <v>2</v>
      </c>
      <c r="AD8" s="501"/>
      <c r="AE8" s="182">
        <v>17</v>
      </c>
      <c r="AF8" s="166">
        <v>1466.2499999999995</v>
      </c>
      <c r="AG8" s="166">
        <v>86.249999999999972</v>
      </c>
      <c r="AH8" s="166">
        <f t="shared" si="9"/>
        <v>3</v>
      </c>
      <c r="AI8" s="501"/>
      <c r="AJ8" s="182">
        <v>17</v>
      </c>
      <c r="AK8" s="166">
        <v>1448.5714285714289</v>
      </c>
      <c r="AL8" s="166">
        <v>85.21008403361347</v>
      </c>
      <c r="AM8" s="166">
        <f t="shared" si="11"/>
        <v>5</v>
      </c>
      <c r="AN8" s="501"/>
      <c r="AO8" s="182">
        <v>17</v>
      </c>
      <c r="AP8" s="166">
        <v>1480.8791208791201</v>
      </c>
      <c r="AQ8" s="166">
        <v>87.110536522301189</v>
      </c>
      <c r="AR8" s="166">
        <f t="shared" si="13"/>
        <v>2</v>
      </c>
      <c r="AS8" s="501"/>
      <c r="AT8" s="182">
        <v>17</v>
      </c>
      <c r="AU8" s="166">
        <v>1449.7959183673472</v>
      </c>
      <c r="AV8" s="166">
        <v>85.282112845138073</v>
      </c>
      <c r="AW8" s="166">
        <f t="shared" si="15"/>
        <v>3</v>
      </c>
      <c r="AX8" s="501"/>
      <c r="AZ8" s="166" t="e">
        <f t="shared" si="17"/>
        <v>#N/A</v>
      </c>
      <c r="BA8" s="501"/>
    </row>
    <row r="9" spans="1:53" ht="14.25">
      <c r="A9" s="79"/>
      <c r="B9" s="395"/>
      <c r="C9" s="182">
        <v>3</v>
      </c>
      <c r="D9" s="203" t="s">
        <v>640</v>
      </c>
      <c r="E9" s="166">
        <v>17</v>
      </c>
      <c r="F9" s="182">
        <v>1500</v>
      </c>
      <c r="G9" s="180">
        <v>88.2</v>
      </c>
      <c r="H9" s="402"/>
      <c r="I9" s="166">
        <f t="shared" si="0"/>
        <v>17</v>
      </c>
      <c r="J9" s="166">
        <f t="shared" si="1"/>
        <v>1461.8580718043102</v>
      </c>
      <c r="K9" s="180">
        <f t="shared" si="2"/>
        <v>85.991651282606469</v>
      </c>
      <c r="L9" s="402"/>
      <c r="M9" s="181">
        <f>RANK(K9, K$7:$K$21)</f>
        <v>4</v>
      </c>
      <c r="N9" s="389"/>
      <c r="O9" s="389"/>
      <c r="P9" s="182">
        <v>17</v>
      </c>
      <c r="Q9" s="166">
        <v>1475.8095238095236</v>
      </c>
      <c r="R9" s="166">
        <v>86.812324929971979</v>
      </c>
      <c r="S9" s="166">
        <f t="shared" si="3"/>
        <v>4</v>
      </c>
      <c r="T9" s="501"/>
      <c r="U9" s="182">
        <v>17</v>
      </c>
      <c r="V9" s="166">
        <v>1471.2000000000005</v>
      </c>
      <c r="W9" s="166">
        <v>86.541176470588269</v>
      </c>
      <c r="X9" s="166">
        <f t="shared" si="5"/>
        <v>3</v>
      </c>
      <c r="Y9" s="501"/>
      <c r="Z9" s="182">
        <v>17</v>
      </c>
      <c r="AA9" s="166">
        <v>1449.6610169491528</v>
      </c>
      <c r="AB9" s="166">
        <v>85.274177467597227</v>
      </c>
      <c r="AC9" s="166">
        <f t="shared" si="7"/>
        <v>4</v>
      </c>
      <c r="AD9" s="501"/>
      <c r="AE9" s="182">
        <v>17</v>
      </c>
      <c r="AF9" s="166">
        <v>1445.238095238095</v>
      </c>
      <c r="AG9" s="166">
        <v>85.014005602240886</v>
      </c>
      <c r="AH9" s="166">
        <f t="shared" si="9"/>
        <v>5</v>
      </c>
      <c r="AI9" s="501"/>
      <c r="AJ9" s="182">
        <v>17</v>
      </c>
      <c r="AK9" s="166">
        <v>1471.3235294117649</v>
      </c>
      <c r="AL9" s="166">
        <v>86.548442906574408</v>
      </c>
      <c r="AM9" s="166">
        <f t="shared" si="11"/>
        <v>3</v>
      </c>
      <c r="AN9" s="501"/>
      <c r="AO9" s="182">
        <v>17</v>
      </c>
      <c r="AP9" s="166">
        <v>1462.2439024390244</v>
      </c>
      <c r="AQ9" s="166">
        <v>86.014347202295554</v>
      </c>
      <c r="AR9" s="166">
        <f t="shared" si="13"/>
        <v>4</v>
      </c>
      <c r="AS9" s="501"/>
      <c r="AT9" s="182">
        <v>17</v>
      </c>
      <c r="AU9" s="166">
        <v>1457.5304347826088</v>
      </c>
      <c r="AV9" s="166">
        <v>85.73708439897699</v>
      </c>
      <c r="AW9" s="166">
        <f t="shared" si="15"/>
        <v>2</v>
      </c>
      <c r="AX9" s="501"/>
      <c r="AZ9" s="166" t="e">
        <f t="shared" si="17"/>
        <v>#N/A</v>
      </c>
      <c r="BA9" s="501"/>
    </row>
    <row r="10" spans="1:53" ht="14.25">
      <c r="A10" s="79"/>
      <c r="B10" s="395"/>
      <c r="C10" s="182">
        <v>4</v>
      </c>
      <c r="D10" s="203" t="s">
        <v>649</v>
      </c>
      <c r="E10" s="166">
        <v>16</v>
      </c>
      <c r="F10" s="182">
        <v>1500</v>
      </c>
      <c r="G10" s="180">
        <v>93.8</v>
      </c>
      <c r="H10" s="402"/>
      <c r="I10" s="166">
        <f t="shared" si="0"/>
        <v>16.857142857142858</v>
      </c>
      <c r="J10" s="166">
        <f t="shared" si="1"/>
        <v>1285.9147019094016</v>
      </c>
      <c r="K10" s="180">
        <f t="shared" si="2"/>
        <v>76.312242440115</v>
      </c>
      <c r="L10" s="402"/>
      <c r="M10" s="181">
        <f>RANK(K10, K$7:$K$21)</f>
        <v>6</v>
      </c>
      <c r="N10" s="389"/>
      <c r="O10" s="389"/>
      <c r="P10" s="182">
        <v>17</v>
      </c>
      <c r="Q10" s="166">
        <v>1274.3823529411761</v>
      </c>
      <c r="R10" s="166">
        <v>74.96366782006919</v>
      </c>
      <c r="S10" s="166">
        <f t="shared" si="3"/>
        <v>6</v>
      </c>
      <c r="T10" s="501"/>
      <c r="U10" s="182">
        <v>17</v>
      </c>
      <c r="V10" s="166">
        <v>1280.7954545454545</v>
      </c>
      <c r="W10" s="166">
        <v>75.340909090909093</v>
      </c>
      <c r="X10" s="166">
        <f t="shared" si="5"/>
        <v>6</v>
      </c>
      <c r="Y10" s="501"/>
      <c r="Z10" s="182">
        <v>16</v>
      </c>
      <c r="AA10" s="166">
        <v>1276.062992125984</v>
      </c>
      <c r="AB10" s="166">
        <v>79.753937007874001</v>
      </c>
      <c r="AC10" s="166">
        <f t="shared" si="7"/>
        <v>6</v>
      </c>
      <c r="AD10" s="501"/>
      <c r="AE10" s="182">
        <v>17</v>
      </c>
      <c r="AF10" s="166">
        <v>1279.0322580645156</v>
      </c>
      <c r="AG10" s="166">
        <v>75.237191650853859</v>
      </c>
      <c r="AH10" s="166">
        <f t="shared" si="9"/>
        <v>6</v>
      </c>
      <c r="AI10" s="501"/>
      <c r="AJ10" s="182">
        <v>17</v>
      </c>
      <c r="AK10" s="166">
        <v>1295.8064516129036</v>
      </c>
      <c r="AL10" s="166">
        <v>76.223908918406096</v>
      </c>
      <c r="AM10" s="166">
        <f t="shared" si="11"/>
        <v>6</v>
      </c>
      <c r="AN10" s="501"/>
      <c r="AO10" s="182">
        <v>17</v>
      </c>
      <c r="AP10" s="166">
        <v>1303.3526011560698</v>
      </c>
      <c r="AQ10" s="166">
        <v>76.667800068004112</v>
      </c>
      <c r="AR10" s="166">
        <f t="shared" si="13"/>
        <v>6</v>
      </c>
      <c r="AS10" s="501"/>
      <c r="AT10" s="182">
        <v>17</v>
      </c>
      <c r="AU10" s="166">
        <v>1291.9708029197072</v>
      </c>
      <c r="AV10" s="166">
        <v>75.998282524688662</v>
      </c>
      <c r="AW10" s="166">
        <f t="shared" si="15"/>
        <v>6</v>
      </c>
      <c r="AX10" s="501"/>
      <c r="AZ10" s="166" t="e">
        <f t="shared" si="17"/>
        <v>#N/A</v>
      </c>
      <c r="BA10" s="501"/>
    </row>
    <row r="11" spans="1:53" ht="14.25">
      <c r="A11" s="79"/>
      <c r="B11" s="395"/>
      <c r="C11" s="182">
        <v>5</v>
      </c>
      <c r="D11" s="203" t="s">
        <v>637</v>
      </c>
      <c r="E11" s="166">
        <v>15</v>
      </c>
      <c r="F11" s="182">
        <v>1500</v>
      </c>
      <c r="G11" s="180">
        <v>107.1</v>
      </c>
      <c r="H11" s="402"/>
      <c r="I11" s="166">
        <f t="shared" si="0"/>
        <v>15.285714285714286</v>
      </c>
      <c r="J11" s="166">
        <f t="shared" si="1"/>
        <v>1323.8298448738115</v>
      </c>
      <c r="K11" s="180">
        <f t="shared" si="2"/>
        <v>86.647799182063622</v>
      </c>
      <c r="L11" s="402"/>
      <c r="M11" s="181">
        <f>RANK(K11, K$7:$K$21)</f>
        <v>2</v>
      </c>
      <c r="N11" s="389"/>
      <c r="O11" s="389"/>
      <c r="P11" s="182">
        <v>15</v>
      </c>
      <c r="Q11" s="166">
        <v>1317.7445255474454</v>
      </c>
      <c r="R11" s="166">
        <v>87.849635036496366</v>
      </c>
      <c r="S11" s="166">
        <f t="shared" si="3"/>
        <v>2</v>
      </c>
      <c r="T11" s="501"/>
      <c r="U11" s="182">
        <v>15</v>
      </c>
      <c r="V11" s="166">
        <v>1309.2857142857147</v>
      </c>
      <c r="W11" s="166">
        <v>87.285714285714306</v>
      </c>
      <c r="X11" s="166">
        <f t="shared" si="5"/>
        <v>2</v>
      </c>
      <c r="Y11" s="501"/>
      <c r="Z11" s="182">
        <v>15</v>
      </c>
      <c r="AA11" s="166">
        <v>1298.9702970297035</v>
      </c>
      <c r="AB11" s="166">
        <v>86.598019801980229</v>
      </c>
      <c r="AC11" s="166">
        <f t="shared" si="7"/>
        <v>3</v>
      </c>
      <c r="AD11" s="501"/>
      <c r="AE11" s="182">
        <v>15</v>
      </c>
      <c r="AF11" s="166">
        <v>1309.3398058252435</v>
      </c>
      <c r="AG11" s="166">
        <v>87.289320388349566</v>
      </c>
      <c r="AH11" s="166">
        <f t="shared" si="9"/>
        <v>1</v>
      </c>
      <c r="AI11" s="501"/>
      <c r="AJ11" s="182">
        <v>15</v>
      </c>
      <c r="AK11" s="166">
        <v>1330.8285714285712</v>
      </c>
      <c r="AL11" s="166">
        <v>88.721904761904753</v>
      </c>
      <c r="AM11" s="166">
        <f t="shared" si="11"/>
        <v>1</v>
      </c>
      <c r="AN11" s="501"/>
      <c r="AO11" s="182">
        <v>16</v>
      </c>
      <c r="AP11" s="166">
        <v>1398.040000000002</v>
      </c>
      <c r="AQ11" s="166">
        <v>87.377500000000126</v>
      </c>
      <c r="AR11" s="166">
        <f t="shared" si="13"/>
        <v>1</v>
      </c>
      <c r="AS11" s="501"/>
      <c r="AT11" s="182">
        <v>16</v>
      </c>
      <c r="AU11" s="166">
        <v>1302.5999999999997</v>
      </c>
      <c r="AV11" s="166">
        <v>81.41249999999998</v>
      </c>
      <c r="AW11" s="166">
        <f t="shared" si="15"/>
        <v>5</v>
      </c>
      <c r="AX11" s="501"/>
      <c r="AZ11" s="166" t="e">
        <f t="shared" si="17"/>
        <v>#N/A</v>
      </c>
      <c r="BA11" s="501"/>
    </row>
    <row r="12" spans="1:53" ht="14.25">
      <c r="A12" s="79"/>
      <c r="B12" s="395"/>
      <c r="C12" s="182">
        <v>6</v>
      </c>
      <c r="D12" s="203" t="s">
        <v>655</v>
      </c>
      <c r="E12" s="166">
        <v>17</v>
      </c>
      <c r="F12" s="182">
        <v>1636</v>
      </c>
      <c r="G12" s="180">
        <v>102.3</v>
      </c>
      <c r="H12" s="402"/>
      <c r="I12" s="166">
        <f t="shared" si="0"/>
        <v>17.428571428571427</v>
      </c>
      <c r="J12" s="166">
        <f t="shared" si="1"/>
        <v>1458.7902771155532</v>
      </c>
      <c r="K12" s="180">
        <f t="shared" si="2"/>
        <v>83.776235815881293</v>
      </c>
      <c r="L12" s="402"/>
      <c r="M12" s="181">
        <f>RANK(K12, K$7:$K$21)</f>
        <v>5</v>
      </c>
      <c r="N12" s="389"/>
      <c r="O12" s="389"/>
      <c r="P12" s="182">
        <v>17</v>
      </c>
      <c r="Q12" s="166">
        <v>1477.4642487046631</v>
      </c>
      <c r="R12" s="166">
        <v>86.909661688509587</v>
      </c>
      <c r="S12" s="166">
        <f t="shared" si="3"/>
        <v>3</v>
      </c>
      <c r="T12" s="501"/>
      <c r="U12" s="182">
        <v>18</v>
      </c>
      <c r="V12" s="166">
        <v>1452.9447513812156</v>
      </c>
      <c r="W12" s="166">
        <v>80.719152854511975</v>
      </c>
      <c r="X12" s="166">
        <f t="shared" si="5"/>
        <v>5</v>
      </c>
      <c r="Y12" s="501"/>
      <c r="Z12" s="182">
        <v>18</v>
      </c>
      <c r="AA12" s="166">
        <v>1462.3098591549297</v>
      </c>
      <c r="AB12" s="166">
        <v>81.239436619718319</v>
      </c>
      <c r="AC12" s="166">
        <f t="shared" si="7"/>
        <v>5</v>
      </c>
      <c r="AD12" s="501"/>
      <c r="AE12" s="182">
        <v>17</v>
      </c>
      <c r="AF12" s="166">
        <v>1456.8521739130433</v>
      </c>
      <c r="AG12" s="166">
        <v>85.697186700767247</v>
      </c>
      <c r="AH12" s="166">
        <f t="shared" si="9"/>
        <v>4</v>
      </c>
      <c r="AI12" s="501"/>
      <c r="AJ12" s="182">
        <v>17</v>
      </c>
      <c r="AK12" s="166">
        <v>1469.2566371681417</v>
      </c>
      <c r="AL12" s="166">
        <v>86.426861009890686</v>
      </c>
      <c r="AM12" s="166">
        <f t="shared" si="11"/>
        <v>4</v>
      </c>
      <c r="AN12" s="501"/>
      <c r="AO12" s="182">
        <v>18</v>
      </c>
      <c r="AP12" s="166">
        <v>1443.6231884057972</v>
      </c>
      <c r="AQ12" s="166">
        <v>80.201288244766516</v>
      </c>
      <c r="AR12" s="166">
        <f t="shared" si="13"/>
        <v>5</v>
      </c>
      <c r="AS12" s="501"/>
      <c r="AT12" s="182">
        <v>17</v>
      </c>
      <c r="AU12" s="166">
        <v>1449.0810810810808</v>
      </c>
      <c r="AV12" s="166">
        <v>85.240063593004749</v>
      </c>
      <c r="AW12" s="166">
        <f t="shared" si="15"/>
        <v>4</v>
      </c>
      <c r="AX12" s="501"/>
      <c r="AZ12" s="166" t="e">
        <f t="shared" si="17"/>
        <v>#N/A</v>
      </c>
      <c r="BA12" s="501"/>
    </row>
    <row r="13" spans="1:53" ht="14.25">
      <c r="A13" s="79"/>
      <c r="B13" s="395"/>
      <c r="C13" s="182">
        <v>7</v>
      </c>
      <c r="D13" s="203"/>
      <c r="E13" s="166"/>
      <c r="F13" s="182"/>
      <c r="G13" s="180"/>
      <c r="H13" s="402"/>
      <c r="I13" s="166" t="str">
        <f t="shared" si="0"/>
        <v>-</v>
      </c>
      <c r="J13" s="166" t="str">
        <f t="shared" si="1"/>
        <v>-</v>
      </c>
      <c r="K13" s="180" t="str">
        <f t="shared" si="2"/>
        <v>-</v>
      </c>
      <c r="L13" s="402"/>
      <c r="M13" s="181" t="e">
        <f>RANK(K13, K$7:$K$21)</f>
        <v>#VALUE!</v>
      </c>
      <c r="N13" s="389"/>
      <c r="O13" s="389"/>
      <c r="P13" s="182" t="s">
        <v>634</v>
      </c>
      <c r="Q13" s="166" t="s">
        <v>634</v>
      </c>
      <c r="R13" s="166" t="s">
        <v>634</v>
      </c>
      <c r="S13" s="166" t="e">
        <f t="shared" si="3"/>
        <v>#VALUE!</v>
      </c>
      <c r="T13" s="501"/>
      <c r="U13" s="182" t="s">
        <v>634</v>
      </c>
      <c r="V13" s="166" t="s">
        <v>634</v>
      </c>
      <c r="W13" s="166" t="s">
        <v>634</v>
      </c>
      <c r="X13" s="166" t="e">
        <f t="shared" si="5"/>
        <v>#VALUE!</v>
      </c>
      <c r="Y13" s="501"/>
      <c r="Z13" s="182" t="s">
        <v>634</v>
      </c>
      <c r="AA13" s="166" t="s">
        <v>634</v>
      </c>
      <c r="AB13" s="166" t="s">
        <v>634</v>
      </c>
      <c r="AC13" s="166" t="e">
        <f t="shared" si="7"/>
        <v>#VALUE!</v>
      </c>
      <c r="AD13" s="501"/>
      <c r="AE13" s="182" t="s">
        <v>634</v>
      </c>
      <c r="AF13" s="166" t="s">
        <v>634</v>
      </c>
      <c r="AG13" s="166" t="s">
        <v>634</v>
      </c>
      <c r="AH13" s="166" t="e">
        <f t="shared" si="9"/>
        <v>#VALUE!</v>
      </c>
      <c r="AI13" s="501"/>
      <c r="AJ13" s="182" t="s">
        <v>634</v>
      </c>
      <c r="AK13" s="166" t="s">
        <v>634</v>
      </c>
      <c r="AL13" s="166" t="s">
        <v>634</v>
      </c>
      <c r="AM13" s="166" t="e">
        <f t="shared" si="11"/>
        <v>#VALUE!</v>
      </c>
      <c r="AN13" s="501"/>
      <c r="AO13" s="182" t="s">
        <v>634</v>
      </c>
      <c r="AP13" s="166" t="s">
        <v>634</v>
      </c>
      <c r="AQ13" s="166" t="s">
        <v>634</v>
      </c>
      <c r="AR13" s="166" t="e">
        <f t="shared" si="13"/>
        <v>#VALUE!</v>
      </c>
      <c r="AS13" s="501"/>
      <c r="AT13" s="182" t="s">
        <v>634</v>
      </c>
      <c r="AU13" s="166" t="s">
        <v>634</v>
      </c>
      <c r="AV13" s="166" t="s">
        <v>634</v>
      </c>
      <c r="AW13" s="166" t="e">
        <f t="shared" si="15"/>
        <v>#VALUE!</v>
      </c>
      <c r="AX13" s="501"/>
      <c r="AZ13" s="166" t="e">
        <f t="shared" si="17"/>
        <v>#N/A</v>
      </c>
      <c r="BA13" s="501"/>
    </row>
    <row r="14" spans="1:53" ht="14.25">
      <c r="A14" s="79"/>
      <c r="B14" s="395"/>
      <c r="C14" s="182">
        <v>8</v>
      </c>
      <c r="D14" s="203"/>
      <c r="E14" s="166"/>
      <c r="F14" s="182"/>
      <c r="G14" s="180"/>
      <c r="H14" s="402"/>
      <c r="I14" s="166" t="str">
        <f t="shared" si="0"/>
        <v>-</v>
      </c>
      <c r="J14" s="166" t="str">
        <f t="shared" si="1"/>
        <v>-</v>
      </c>
      <c r="K14" s="180" t="str">
        <f t="shared" si="2"/>
        <v>-</v>
      </c>
      <c r="L14" s="402"/>
      <c r="M14" s="181" t="e">
        <f>RANK(K14, K$7:$K$21)</f>
        <v>#VALUE!</v>
      </c>
      <c r="N14" s="389"/>
      <c r="O14" s="389"/>
      <c r="P14" s="182" t="s">
        <v>634</v>
      </c>
      <c r="Q14" s="166" t="s">
        <v>634</v>
      </c>
      <c r="R14" s="166" t="s">
        <v>634</v>
      </c>
      <c r="S14" s="166" t="e">
        <f t="shared" si="3"/>
        <v>#VALUE!</v>
      </c>
      <c r="T14" s="501"/>
      <c r="U14" s="182" t="s">
        <v>634</v>
      </c>
      <c r="V14" s="166" t="s">
        <v>634</v>
      </c>
      <c r="W14" s="166" t="s">
        <v>634</v>
      </c>
      <c r="X14" s="166" t="e">
        <f t="shared" si="5"/>
        <v>#VALUE!</v>
      </c>
      <c r="Y14" s="501"/>
      <c r="Z14" s="182" t="s">
        <v>634</v>
      </c>
      <c r="AA14" s="166" t="s">
        <v>634</v>
      </c>
      <c r="AB14" s="166" t="s">
        <v>634</v>
      </c>
      <c r="AC14" s="166" t="e">
        <f t="shared" si="7"/>
        <v>#VALUE!</v>
      </c>
      <c r="AD14" s="501"/>
      <c r="AE14" s="182" t="s">
        <v>634</v>
      </c>
      <c r="AF14" s="166" t="s">
        <v>634</v>
      </c>
      <c r="AG14" s="166" t="s">
        <v>634</v>
      </c>
      <c r="AH14" s="166" t="e">
        <f t="shared" si="9"/>
        <v>#VALUE!</v>
      </c>
      <c r="AI14" s="501"/>
      <c r="AJ14" s="182" t="s">
        <v>634</v>
      </c>
      <c r="AK14" s="166" t="s">
        <v>634</v>
      </c>
      <c r="AL14" s="166" t="s">
        <v>634</v>
      </c>
      <c r="AM14" s="166" t="e">
        <f t="shared" si="11"/>
        <v>#VALUE!</v>
      </c>
      <c r="AN14" s="501"/>
      <c r="AO14" s="182" t="s">
        <v>634</v>
      </c>
      <c r="AP14" s="166" t="s">
        <v>634</v>
      </c>
      <c r="AQ14" s="166" t="s">
        <v>634</v>
      </c>
      <c r="AR14" s="166" t="e">
        <f t="shared" si="13"/>
        <v>#VALUE!</v>
      </c>
      <c r="AS14" s="501"/>
      <c r="AT14" s="182" t="s">
        <v>634</v>
      </c>
      <c r="AU14" s="166" t="s">
        <v>634</v>
      </c>
      <c r="AV14" s="166" t="s">
        <v>634</v>
      </c>
      <c r="AW14" s="166" t="e">
        <f t="shared" si="15"/>
        <v>#VALUE!</v>
      </c>
      <c r="AX14" s="501"/>
      <c r="AZ14" s="166" t="e">
        <f t="shared" si="17"/>
        <v>#N/A</v>
      </c>
      <c r="BA14" s="501"/>
    </row>
    <row r="15" spans="1:53" ht="14.25">
      <c r="A15" s="79"/>
      <c r="B15" s="395"/>
      <c r="C15" s="182">
        <v>9</v>
      </c>
      <c r="D15" s="203"/>
      <c r="E15" s="166"/>
      <c r="F15" s="182"/>
      <c r="G15" s="180"/>
      <c r="H15" s="402"/>
      <c r="I15" s="166" t="str">
        <f t="shared" si="0"/>
        <v>-</v>
      </c>
      <c r="J15" s="166" t="str">
        <f t="shared" si="1"/>
        <v>-</v>
      </c>
      <c r="K15" s="180" t="str">
        <f t="shared" si="2"/>
        <v>-</v>
      </c>
      <c r="L15" s="402"/>
      <c r="M15" s="181" t="e">
        <f>RANK(K15, K$7:$K$21)</f>
        <v>#VALUE!</v>
      </c>
      <c r="N15" s="389"/>
      <c r="O15" s="389"/>
      <c r="P15" s="182" t="s">
        <v>634</v>
      </c>
      <c r="Q15" s="166" t="s">
        <v>634</v>
      </c>
      <c r="R15" s="166" t="s">
        <v>634</v>
      </c>
      <c r="S15" s="166" t="e">
        <f t="shared" si="3"/>
        <v>#VALUE!</v>
      </c>
      <c r="T15" s="501"/>
      <c r="U15" s="182" t="s">
        <v>634</v>
      </c>
      <c r="V15" s="166" t="s">
        <v>634</v>
      </c>
      <c r="W15" s="166" t="s">
        <v>634</v>
      </c>
      <c r="X15" s="166" t="e">
        <f t="shared" si="5"/>
        <v>#VALUE!</v>
      </c>
      <c r="Y15" s="501"/>
      <c r="Z15" s="182" t="s">
        <v>634</v>
      </c>
      <c r="AA15" s="166" t="s">
        <v>634</v>
      </c>
      <c r="AB15" s="166" t="s">
        <v>634</v>
      </c>
      <c r="AC15" s="166" t="e">
        <f t="shared" si="7"/>
        <v>#VALUE!</v>
      </c>
      <c r="AD15" s="501"/>
      <c r="AE15" s="182" t="s">
        <v>634</v>
      </c>
      <c r="AF15" s="166" t="s">
        <v>634</v>
      </c>
      <c r="AG15" s="166" t="s">
        <v>634</v>
      </c>
      <c r="AH15" s="166" t="e">
        <f t="shared" si="9"/>
        <v>#VALUE!</v>
      </c>
      <c r="AI15" s="501"/>
      <c r="AJ15" s="182" t="s">
        <v>634</v>
      </c>
      <c r="AK15" s="166" t="s">
        <v>634</v>
      </c>
      <c r="AL15" s="166" t="s">
        <v>634</v>
      </c>
      <c r="AM15" s="166" t="e">
        <f t="shared" si="11"/>
        <v>#VALUE!</v>
      </c>
      <c r="AN15" s="501"/>
      <c r="AO15" s="182" t="s">
        <v>634</v>
      </c>
      <c r="AP15" s="166" t="s">
        <v>634</v>
      </c>
      <c r="AQ15" s="166" t="s">
        <v>634</v>
      </c>
      <c r="AR15" s="166" t="e">
        <f t="shared" si="13"/>
        <v>#VALUE!</v>
      </c>
      <c r="AS15" s="501"/>
      <c r="AT15" s="182" t="s">
        <v>634</v>
      </c>
      <c r="AU15" s="166" t="s">
        <v>634</v>
      </c>
      <c r="AV15" s="166" t="s">
        <v>634</v>
      </c>
      <c r="AW15" s="166" t="e">
        <f t="shared" si="15"/>
        <v>#VALUE!</v>
      </c>
      <c r="AX15" s="501"/>
      <c r="AZ15" s="166" t="e">
        <f t="shared" si="17"/>
        <v>#N/A</v>
      </c>
      <c r="BA15" s="501"/>
    </row>
    <row r="16" spans="1:53" ht="14.25">
      <c r="A16" s="79"/>
      <c r="B16" s="395"/>
      <c r="C16" s="182">
        <v>10</v>
      </c>
      <c r="D16" s="203"/>
      <c r="E16" s="166"/>
      <c r="F16" s="182"/>
      <c r="G16" s="180"/>
      <c r="H16" s="402"/>
      <c r="I16" s="166" t="str">
        <f t="shared" si="0"/>
        <v>-</v>
      </c>
      <c r="J16" s="166" t="str">
        <f t="shared" si="1"/>
        <v>-</v>
      </c>
      <c r="K16" s="180" t="str">
        <f t="shared" si="2"/>
        <v>-</v>
      </c>
      <c r="L16" s="402"/>
      <c r="M16" s="181" t="e">
        <f>RANK(K16, K$7:$K$21)</f>
        <v>#VALUE!</v>
      </c>
      <c r="N16" s="389"/>
      <c r="O16" s="389"/>
      <c r="P16" s="182" t="s">
        <v>634</v>
      </c>
      <c r="Q16" s="166" t="s">
        <v>634</v>
      </c>
      <c r="R16" s="166" t="s">
        <v>634</v>
      </c>
      <c r="S16" s="166" t="e">
        <f t="shared" si="3"/>
        <v>#VALUE!</v>
      </c>
      <c r="T16" s="501"/>
      <c r="U16" s="182" t="s">
        <v>634</v>
      </c>
      <c r="V16" s="166" t="s">
        <v>634</v>
      </c>
      <c r="W16" s="166" t="s">
        <v>634</v>
      </c>
      <c r="X16" s="166" t="e">
        <f t="shared" si="5"/>
        <v>#VALUE!</v>
      </c>
      <c r="Y16" s="501"/>
      <c r="Z16" s="182" t="s">
        <v>634</v>
      </c>
      <c r="AA16" s="166" t="s">
        <v>634</v>
      </c>
      <c r="AB16" s="166" t="s">
        <v>634</v>
      </c>
      <c r="AC16" s="166" t="e">
        <f t="shared" si="7"/>
        <v>#VALUE!</v>
      </c>
      <c r="AD16" s="501"/>
      <c r="AE16" s="182" t="s">
        <v>634</v>
      </c>
      <c r="AF16" s="166" t="s">
        <v>634</v>
      </c>
      <c r="AG16" s="166" t="s">
        <v>634</v>
      </c>
      <c r="AH16" s="166" t="e">
        <f t="shared" si="9"/>
        <v>#VALUE!</v>
      </c>
      <c r="AI16" s="501"/>
      <c r="AJ16" s="182" t="s">
        <v>634</v>
      </c>
      <c r="AK16" s="166" t="s">
        <v>634</v>
      </c>
      <c r="AL16" s="166" t="s">
        <v>634</v>
      </c>
      <c r="AM16" s="166" t="e">
        <f t="shared" si="11"/>
        <v>#VALUE!</v>
      </c>
      <c r="AN16" s="501"/>
      <c r="AO16" s="182" t="s">
        <v>634</v>
      </c>
      <c r="AP16" s="166" t="s">
        <v>634</v>
      </c>
      <c r="AQ16" s="166" t="s">
        <v>634</v>
      </c>
      <c r="AR16" s="166" t="e">
        <f t="shared" si="13"/>
        <v>#VALUE!</v>
      </c>
      <c r="AS16" s="501"/>
      <c r="AT16" s="182" t="s">
        <v>634</v>
      </c>
      <c r="AU16" s="166" t="s">
        <v>634</v>
      </c>
      <c r="AV16" s="166" t="s">
        <v>634</v>
      </c>
      <c r="AW16" s="166" t="e">
        <f t="shared" si="15"/>
        <v>#VALUE!</v>
      </c>
      <c r="AX16" s="501"/>
      <c r="AZ16" s="166" t="e">
        <f t="shared" si="17"/>
        <v>#N/A</v>
      </c>
      <c r="BA16" s="501"/>
    </row>
    <row r="17" spans="2:53">
      <c r="B17" s="395"/>
      <c r="C17" s="182">
        <v>11</v>
      </c>
      <c r="D17" s="203"/>
      <c r="E17" s="166"/>
      <c r="F17" s="182"/>
      <c r="G17" s="180"/>
      <c r="H17" s="402"/>
      <c r="I17" s="166" t="str">
        <f t="shared" si="0"/>
        <v>-</v>
      </c>
      <c r="J17" s="166" t="str">
        <f t="shared" si="1"/>
        <v>-</v>
      </c>
      <c r="K17" s="180" t="str">
        <f t="shared" si="2"/>
        <v>-</v>
      </c>
      <c r="L17" s="402"/>
      <c r="M17" s="181" t="e">
        <f>RANK(K17, K$7:$K$21)</f>
        <v>#VALUE!</v>
      </c>
      <c r="N17" s="389"/>
      <c r="O17" s="389"/>
      <c r="P17" s="182" t="s">
        <v>634</v>
      </c>
      <c r="Q17" s="166" t="s">
        <v>634</v>
      </c>
      <c r="R17" s="166" t="s">
        <v>634</v>
      </c>
      <c r="S17" s="166" t="e">
        <f t="shared" si="3"/>
        <v>#VALUE!</v>
      </c>
      <c r="T17" s="501"/>
      <c r="U17" s="182" t="s">
        <v>634</v>
      </c>
      <c r="V17" s="166" t="s">
        <v>634</v>
      </c>
      <c r="W17" s="166" t="s">
        <v>634</v>
      </c>
      <c r="X17" s="166" t="e">
        <f t="shared" si="5"/>
        <v>#VALUE!</v>
      </c>
      <c r="Y17" s="501"/>
      <c r="Z17" s="182" t="s">
        <v>634</v>
      </c>
      <c r="AA17" s="166" t="s">
        <v>634</v>
      </c>
      <c r="AB17" s="166" t="s">
        <v>634</v>
      </c>
      <c r="AC17" s="166" t="e">
        <f t="shared" si="7"/>
        <v>#VALUE!</v>
      </c>
      <c r="AD17" s="501"/>
      <c r="AE17" s="182" t="s">
        <v>634</v>
      </c>
      <c r="AF17" s="166" t="s">
        <v>634</v>
      </c>
      <c r="AG17" s="166" t="s">
        <v>634</v>
      </c>
      <c r="AH17" s="166" t="e">
        <f t="shared" si="9"/>
        <v>#VALUE!</v>
      </c>
      <c r="AI17" s="501"/>
      <c r="AJ17" s="182" t="s">
        <v>634</v>
      </c>
      <c r="AK17" s="166" t="s">
        <v>634</v>
      </c>
      <c r="AL17" s="166" t="s">
        <v>634</v>
      </c>
      <c r="AM17" s="166" t="e">
        <f t="shared" si="11"/>
        <v>#VALUE!</v>
      </c>
      <c r="AN17" s="501"/>
      <c r="AO17" s="182" t="s">
        <v>634</v>
      </c>
      <c r="AP17" s="166" t="s">
        <v>634</v>
      </c>
      <c r="AQ17" s="166" t="s">
        <v>634</v>
      </c>
      <c r="AR17" s="166" t="e">
        <f t="shared" si="13"/>
        <v>#VALUE!</v>
      </c>
      <c r="AS17" s="501"/>
      <c r="AT17" s="182" t="s">
        <v>634</v>
      </c>
      <c r="AU17" s="166" t="s">
        <v>634</v>
      </c>
      <c r="AV17" s="166" t="s">
        <v>634</v>
      </c>
      <c r="AW17" s="166" t="e">
        <f t="shared" si="15"/>
        <v>#VALUE!</v>
      </c>
      <c r="AX17" s="501"/>
      <c r="AZ17" s="166" t="e">
        <f t="shared" si="17"/>
        <v>#N/A</v>
      </c>
      <c r="BA17" s="501"/>
    </row>
    <row r="18" spans="2:53">
      <c r="B18" s="395"/>
      <c r="C18" s="182">
        <v>12</v>
      </c>
      <c r="D18" s="203"/>
      <c r="E18" s="166"/>
      <c r="F18" s="182"/>
      <c r="G18" s="180"/>
      <c r="H18" s="402"/>
      <c r="I18" s="166" t="str">
        <f t="shared" si="0"/>
        <v>-</v>
      </c>
      <c r="J18" s="166" t="str">
        <f t="shared" si="1"/>
        <v>-</v>
      </c>
      <c r="K18" s="180" t="str">
        <f t="shared" si="2"/>
        <v>-</v>
      </c>
      <c r="L18" s="402"/>
      <c r="M18" s="181" t="e">
        <f>RANK(K18, K$7:$K$21)</f>
        <v>#VALUE!</v>
      </c>
      <c r="N18" s="389"/>
      <c r="O18" s="389"/>
      <c r="P18" s="182" t="s">
        <v>634</v>
      </c>
      <c r="Q18" s="166" t="s">
        <v>634</v>
      </c>
      <c r="R18" s="166" t="s">
        <v>634</v>
      </c>
      <c r="S18" s="166" t="e">
        <f t="shared" si="3"/>
        <v>#VALUE!</v>
      </c>
      <c r="T18" s="501"/>
      <c r="U18" s="182" t="s">
        <v>634</v>
      </c>
      <c r="V18" s="166" t="s">
        <v>634</v>
      </c>
      <c r="W18" s="166" t="s">
        <v>634</v>
      </c>
      <c r="X18" s="166" t="e">
        <f t="shared" si="5"/>
        <v>#VALUE!</v>
      </c>
      <c r="Y18" s="501"/>
      <c r="Z18" s="182" t="s">
        <v>634</v>
      </c>
      <c r="AA18" s="166" t="s">
        <v>634</v>
      </c>
      <c r="AB18" s="166" t="s">
        <v>634</v>
      </c>
      <c r="AC18" s="166" t="e">
        <f t="shared" si="7"/>
        <v>#VALUE!</v>
      </c>
      <c r="AD18" s="501"/>
      <c r="AE18" s="182" t="s">
        <v>634</v>
      </c>
      <c r="AF18" s="166" t="s">
        <v>634</v>
      </c>
      <c r="AG18" s="166" t="s">
        <v>634</v>
      </c>
      <c r="AH18" s="166" t="e">
        <f t="shared" si="9"/>
        <v>#VALUE!</v>
      </c>
      <c r="AI18" s="501"/>
      <c r="AJ18" s="182" t="s">
        <v>634</v>
      </c>
      <c r="AK18" s="166" t="s">
        <v>634</v>
      </c>
      <c r="AL18" s="166" t="s">
        <v>634</v>
      </c>
      <c r="AM18" s="166" t="e">
        <f t="shared" si="11"/>
        <v>#VALUE!</v>
      </c>
      <c r="AN18" s="501"/>
      <c r="AO18" s="182" t="s">
        <v>634</v>
      </c>
      <c r="AP18" s="166" t="s">
        <v>634</v>
      </c>
      <c r="AQ18" s="166" t="s">
        <v>634</v>
      </c>
      <c r="AR18" s="166" t="e">
        <f t="shared" si="13"/>
        <v>#VALUE!</v>
      </c>
      <c r="AS18" s="501"/>
      <c r="AT18" s="182"/>
      <c r="AU18" s="166"/>
      <c r="AV18" s="166"/>
      <c r="AW18" s="166" t="e">
        <f t="shared" si="15"/>
        <v>#N/A</v>
      </c>
      <c r="AX18" s="501"/>
      <c r="AZ18" s="166" t="e">
        <f t="shared" si="17"/>
        <v>#N/A</v>
      </c>
      <c r="BA18" s="501"/>
    </row>
    <row r="19" spans="2:53">
      <c r="B19" s="395"/>
      <c r="C19" s="182">
        <v>13</v>
      </c>
      <c r="D19" s="203"/>
      <c r="E19" s="166"/>
      <c r="F19" s="182"/>
      <c r="G19" s="180"/>
      <c r="H19" s="402"/>
      <c r="I19" s="166" t="str">
        <f t="shared" si="0"/>
        <v>-</v>
      </c>
      <c r="J19" s="166" t="str">
        <f t="shared" si="1"/>
        <v>-</v>
      </c>
      <c r="K19" s="180" t="str">
        <f t="shared" si="2"/>
        <v>-</v>
      </c>
      <c r="L19" s="402"/>
      <c r="M19" s="181" t="e">
        <f>RANK(K19, K$7:$K$21)</f>
        <v>#VALUE!</v>
      </c>
      <c r="N19" s="389"/>
      <c r="O19" s="389"/>
      <c r="P19" s="182" t="s">
        <v>634</v>
      </c>
      <c r="Q19" s="166" t="s">
        <v>634</v>
      </c>
      <c r="R19" s="166" t="s">
        <v>634</v>
      </c>
      <c r="S19" s="166" t="e">
        <f t="shared" si="3"/>
        <v>#VALUE!</v>
      </c>
      <c r="T19" s="501"/>
      <c r="U19" s="182" t="s">
        <v>634</v>
      </c>
      <c r="V19" s="166" t="s">
        <v>634</v>
      </c>
      <c r="W19" s="166" t="s">
        <v>634</v>
      </c>
      <c r="X19" s="166" t="e">
        <f t="shared" si="5"/>
        <v>#VALUE!</v>
      </c>
      <c r="Y19" s="501"/>
      <c r="Z19" s="182" t="s">
        <v>634</v>
      </c>
      <c r="AA19" s="166" t="s">
        <v>634</v>
      </c>
      <c r="AB19" s="166" t="s">
        <v>634</v>
      </c>
      <c r="AC19" s="166" t="e">
        <f t="shared" si="7"/>
        <v>#VALUE!</v>
      </c>
      <c r="AD19" s="501"/>
      <c r="AE19" s="182" t="s">
        <v>634</v>
      </c>
      <c r="AF19" s="166" t="s">
        <v>634</v>
      </c>
      <c r="AG19" s="166" t="s">
        <v>634</v>
      </c>
      <c r="AH19" s="166" t="e">
        <f t="shared" si="9"/>
        <v>#VALUE!</v>
      </c>
      <c r="AI19" s="501"/>
      <c r="AJ19" s="182" t="s">
        <v>634</v>
      </c>
      <c r="AK19" s="166" t="s">
        <v>634</v>
      </c>
      <c r="AL19" s="166" t="s">
        <v>634</v>
      </c>
      <c r="AM19" s="166" t="e">
        <f t="shared" si="11"/>
        <v>#VALUE!</v>
      </c>
      <c r="AN19" s="501"/>
      <c r="AO19" s="182" t="s">
        <v>634</v>
      </c>
      <c r="AP19" s="166" t="s">
        <v>634</v>
      </c>
      <c r="AQ19" s="166" t="s">
        <v>634</v>
      </c>
      <c r="AR19" s="166" t="e">
        <f t="shared" si="13"/>
        <v>#VALUE!</v>
      </c>
      <c r="AS19" s="501"/>
      <c r="AT19" s="166"/>
      <c r="AU19" s="166"/>
      <c r="AV19" s="166"/>
      <c r="AW19" s="166" t="e">
        <f t="shared" si="15"/>
        <v>#N/A</v>
      </c>
      <c r="AX19" s="501"/>
      <c r="AZ19" s="166" t="e">
        <f t="shared" si="17"/>
        <v>#N/A</v>
      </c>
      <c r="BA19" s="501"/>
    </row>
    <row r="20" spans="2:53">
      <c r="B20" s="395"/>
      <c r="C20" s="182">
        <v>14</v>
      </c>
      <c r="D20" s="203"/>
      <c r="E20" s="166"/>
      <c r="F20" s="182"/>
      <c r="G20" s="180"/>
      <c r="H20" s="402"/>
      <c r="I20" s="166" t="str">
        <f t="shared" si="0"/>
        <v>-</v>
      </c>
      <c r="J20" s="166" t="str">
        <f t="shared" si="1"/>
        <v>-</v>
      </c>
      <c r="K20" s="180" t="str">
        <f t="shared" si="2"/>
        <v>-</v>
      </c>
      <c r="L20" s="402"/>
      <c r="M20" s="181" t="e">
        <f>RANK(K20, K$7:$K$21)</f>
        <v>#VALUE!</v>
      </c>
      <c r="N20" s="389"/>
      <c r="O20" s="389"/>
      <c r="P20" s="182" t="s">
        <v>634</v>
      </c>
      <c r="Q20" s="166" t="s">
        <v>634</v>
      </c>
      <c r="R20" s="166" t="s">
        <v>634</v>
      </c>
      <c r="S20" s="166" t="e">
        <f t="shared" si="3"/>
        <v>#VALUE!</v>
      </c>
      <c r="T20" s="501"/>
      <c r="U20" s="182" t="s">
        <v>634</v>
      </c>
      <c r="V20" s="166" t="s">
        <v>634</v>
      </c>
      <c r="W20" s="166" t="s">
        <v>634</v>
      </c>
      <c r="X20" s="166" t="e">
        <f t="shared" si="5"/>
        <v>#VALUE!</v>
      </c>
      <c r="Y20" s="501"/>
      <c r="Z20" s="182" t="s">
        <v>634</v>
      </c>
      <c r="AA20" s="166" t="s">
        <v>634</v>
      </c>
      <c r="AB20" s="166" t="s">
        <v>634</v>
      </c>
      <c r="AC20" s="166" t="e">
        <f t="shared" si="7"/>
        <v>#VALUE!</v>
      </c>
      <c r="AD20" s="501"/>
      <c r="AE20" s="182" t="s">
        <v>634</v>
      </c>
      <c r="AF20" s="166" t="s">
        <v>634</v>
      </c>
      <c r="AG20" s="166" t="s">
        <v>634</v>
      </c>
      <c r="AH20" s="166" t="e">
        <f t="shared" si="9"/>
        <v>#VALUE!</v>
      </c>
      <c r="AI20" s="501"/>
      <c r="AJ20" s="182" t="s">
        <v>634</v>
      </c>
      <c r="AK20" s="166" t="s">
        <v>634</v>
      </c>
      <c r="AL20" s="166" t="s">
        <v>634</v>
      </c>
      <c r="AM20" s="166" t="e">
        <f t="shared" si="11"/>
        <v>#VALUE!</v>
      </c>
      <c r="AN20" s="501"/>
      <c r="AO20" s="182" t="s">
        <v>634</v>
      </c>
      <c r="AP20" s="166" t="s">
        <v>634</v>
      </c>
      <c r="AQ20" s="166" t="s">
        <v>634</v>
      </c>
      <c r="AR20" s="166" t="e">
        <f t="shared" si="13"/>
        <v>#VALUE!</v>
      </c>
      <c r="AS20" s="501"/>
      <c r="AT20" s="166"/>
      <c r="AU20" s="166"/>
      <c r="AV20" s="166"/>
      <c r="AW20" s="166" t="e">
        <f t="shared" si="15"/>
        <v>#N/A</v>
      </c>
      <c r="AX20" s="501"/>
      <c r="AZ20" s="166" t="e">
        <f t="shared" si="17"/>
        <v>#N/A</v>
      </c>
      <c r="BA20" s="501"/>
    </row>
    <row r="21" spans="2:53">
      <c r="B21" s="395"/>
      <c r="C21" s="182">
        <v>15</v>
      </c>
      <c r="D21" s="203"/>
      <c r="E21" s="166"/>
      <c r="F21" s="182"/>
      <c r="G21" s="180"/>
      <c r="H21" s="403"/>
      <c r="I21" s="182"/>
      <c r="J21" s="182"/>
      <c r="K21" s="182"/>
      <c r="L21" s="403"/>
      <c r="M21" s="181" t="e">
        <f>RANK(K21, K$7:$K$21)</f>
        <v>#N/A</v>
      </c>
      <c r="N21" s="389"/>
      <c r="O21" s="389"/>
      <c r="P21" s="182" t="s">
        <v>634</v>
      </c>
      <c r="Q21" s="166" t="s">
        <v>634</v>
      </c>
      <c r="R21" s="166" t="s">
        <v>634</v>
      </c>
      <c r="S21" s="166" t="e">
        <f t="shared" si="3"/>
        <v>#VALUE!</v>
      </c>
      <c r="T21" s="502"/>
      <c r="U21" s="182" t="s">
        <v>634</v>
      </c>
      <c r="V21" s="166" t="s">
        <v>634</v>
      </c>
      <c r="W21" s="166" t="s">
        <v>634</v>
      </c>
      <c r="X21" s="166" t="e">
        <f t="shared" si="5"/>
        <v>#VALUE!</v>
      </c>
      <c r="Y21" s="502"/>
      <c r="Z21" s="182" t="s">
        <v>634</v>
      </c>
      <c r="AA21" s="166" t="s">
        <v>634</v>
      </c>
      <c r="AB21" s="166" t="s">
        <v>634</v>
      </c>
      <c r="AC21" s="166" t="e">
        <f t="shared" si="7"/>
        <v>#VALUE!</v>
      </c>
      <c r="AD21" s="502"/>
      <c r="AE21" s="182" t="s">
        <v>634</v>
      </c>
      <c r="AF21" s="166" t="s">
        <v>634</v>
      </c>
      <c r="AG21" s="166" t="s">
        <v>634</v>
      </c>
      <c r="AH21" s="166" t="e">
        <f t="shared" si="9"/>
        <v>#VALUE!</v>
      </c>
      <c r="AI21" s="502"/>
      <c r="AJ21" s="182" t="s">
        <v>634</v>
      </c>
      <c r="AK21" s="166" t="s">
        <v>634</v>
      </c>
      <c r="AL21" s="166" t="s">
        <v>634</v>
      </c>
      <c r="AM21" s="166" t="e">
        <f t="shared" si="11"/>
        <v>#VALUE!</v>
      </c>
      <c r="AN21" s="502"/>
      <c r="AO21" s="182" t="s">
        <v>634</v>
      </c>
      <c r="AP21" s="166" t="s">
        <v>634</v>
      </c>
      <c r="AQ21" s="166" t="s">
        <v>634</v>
      </c>
      <c r="AR21" s="166" t="e">
        <f t="shared" si="13"/>
        <v>#VALUE!</v>
      </c>
      <c r="AS21" s="502"/>
      <c r="AT21" s="166"/>
      <c r="AU21" s="166"/>
      <c r="AV21" s="166"/>
      <c r="AW21" s="166" t="e">
        <f t="shared" si="15"/>
        <v>#N/A</v>
      </c>
      <c r="AX21" s="502"/>
      <c r="AZ21" s="166" t="e">
        <f t="shared" si="17"/>
        <v>#N/A</v>
      </c>
      <c r="BA21" s="502"/>
    </row>
    <row r="22" spans="2:53" ht="15.75">
      <c r="B22" s="424" t="s">
        <v>163</v>
      </c>
      <c r="C22" s="425"/>
      <c r="D22" s="425"/>
      <c r="E22" s="425"/>
      <c r="F22" s="425"/>
      <c r="G22" s="425"/>
      <c r="H22" s="425"/>
      <c r="I22" s="183"/>
      <c r="J22" s="183"/>
      <c r="K22" s="183"/>
      <c r="L22" s="183"/>
      <c r="M22" s="178"/>
      <c r="N22" s="391" t="s">
        <v>156</v>
      </c>
      <c r="O22" s="391" t="s">
        <v>105</v>
      </c>
      <c r="P22" s="413">
        <f>P2+7</f>
        <v>46147</v>
      </c>
      <c r="Q22" s="395"/>
      <c r="R22" s="395"/>
      <c r="S22" s="395"/>
      <c r="T22" s="395"/>
      <c r="U22" s="410">
        <f>P22+1</f>
        <v>46148</v>
      </c>
      <c r="V22" s="411"/>
      <c r="W22" s="411"/>
      <c r="X22" s="411"/>
      <c r="Y22" s="412"/>
      <c r="Z22" s="410">
        <f>U22+1</f>
        <v>46149</v>
      </c>
      <c r="AA22" s="411"/>
      <c r="AB22" s="411"/>
      <c r="AC22" s="411"/>
      <c r="AD22" s="412"/>
      <c r="AE22" s="410">
        <f>Z22+1</f>
        <v>46150</v>
      </c>
      <c r="AF22" s="411"/>
      <c r="AG22" s="411"/>
      <c r="AH22" s="411"/>
      <c r="AI22" s="412"/>
      <c r="AJ22" s="410">
        <f>AE22+1</f>
        <v>46151</v>
      </c>
      <c r="AK22" s="411"/>
      <c r="AL22" s="411"/>
      <c r="AM22" s="411"/>
      <c r="AN22" s="412"/>
      <c r="AO22" s="410">
        <f>AJ22+1</f>
        <v>46152</v>
      </c>
      <c r="AP22" s="411"/>
      <c r="AQ22" s="411"/>
      <c r="AR22" s="411"/>
      <c r="AS22" s="412"/>
      <c r="AT22" s="410">
        <f>AO22+1</f>
        <v>46153</v>
      </c>
      <c r="AU22" s="411"/>
      <c r="AV22" s="411"/>
      <c r="AW22" s="411"/>
      <c r="AX22" s="412"/>
    </row>
    <row r="23" spans="2:53" ht="15.75">
      <c r="B23" s="416"/>
      <c r="C23" s="416"/>
      <c r="D23" s="416"/>
      <c r="E23" s="416"/>
      <c r="F23" s="416"/>
      <c r="G23" s="416"/>
      <c r="H23" s="416"/>
      <c r="I23" s="184"/>
      <c r="J23" s="184"/>
      <c r="K23" s="184"/>
      <c r="L23" s="184"/>
      <c r="M23" s="179"/>
      <c r="N23" s="393"/>
      <c r="O23" s="393"/>
      <c r="P23" s="413" t="s">
        <v>318</v>
      </c>
      <c r="Q23" s="395"/>
      <c r="R23" s="395"/>
      <c r="S23" s="395"/>
      <c r="T23" s="395"/>
      <c r="U23" s="413" t="s">
        <v>319</v>
      </c>
      <c r="V23" s="395"/>
      <c r="W23" s="395"/>
      <c r="X23" s="395"/>
      <c r="Y23" s="395"/>
      <c r="Z23" s="413" t="s">
        <v>320</v>
      </c>
      <c r="AA23" s="395"/>
      <c r="AB23" s="395"/>
      <c r="AC23" s="395"/>
      <c r="AD23" s="395"/>
      <c r="AE23" s="413" t="s">
        <v>321</v>
      </c>
      <c r="AF23" s="395"/>
      <c r="AG23" s="395"/>
      <c r="AH23" s="395"/>
      <c r="AI23" s="395"/>
      <c r="AJ23" s="413" t="s">
        <v>322</v>
      </c>
      <c r="AK23" s="395"/>
      <c r="AL23" s="395"/>
      <c r="AM23" s="395"/>
      <c r="AN23" s="395"/>
      <c r="AO23" s="413" t="s">
        <v>323</v>
      </c>
      <c r="AP23" s="395"/>
      <c r="AQ23" s="395"/>
      <c r="AR23" s="395"/>
      <c r="AS23" s="395"/>
      <c r="AT23" s="413" t="s">
        <v>324</v>
      </c>
      <c r="AU23" s="395"/>
      <c r="AV23" s="395"/>
      <c r="AW23" s="395"/>
      <c r="AX23" s="395"/>
    </row>
    <row r="24" spans="2:53">
      <c r="B24" s="389" t="s">
        <v>376</v>
      </c>
      <c r="C24" s="389" t="s">
        <v>556</v>
      </c>
      <c r="D24" s="389"/>
      <c r="E24" s="389" t="s">
        <v>557</v>
      </c>
      <c r="F24" s="389"/>
      <c r="G24" s="389"/>
      <c r="H24" s="417" t="s">
        <v>558</v>
      </c>
      <c r="I24" s="389" t="s">
        <v>559</v>
      </c>
      <c r="J24" s="389"/>
      <c r="K24" s="389"/>
      <c r="L24" s="417" t="s">
        <v>373</v>
      </c>
      <c r="M24" s="391" t="s">
        <v>560</v>
      </c>
      <c r="N24" s="389"/>
      <c r="O24" s="389" t="s">
        <v>561</v>
      </c>
      <c r="P24" s="404" t="s">
        <v>375</v>
      </c>
      <c r="Q24" s="405"/>
      <c r="R24" s="405"/>
      <c r="S24" s="406"/>
      <c r="T24" s="389" t="s">
        <v>373</v>
      </c>
      <c r="U24" s="404" t="s">
        <v>375</v>
      </c>
      <c r="V24" s="405"/>
      <c r="W24" s="405"/>
      <c r="X24" s="406"/>
      <c r="Y24" s="389" t="s">
        <v>373</v>
      </c>
      <c r="Z24" s="404" t="s">
        <v>375</v>
      </c>
      <c r="AA24" s="405"/>
      <c r="AB24" s="405"/>
      <c r="AC24" s="406"/>
      <c r="AD24" s="389" t="s">
        <v>373</v>
      </c>
      <c r="AE24" s="404" t="s">
        <v>375</v>
      </c>
      <c r="AF24" s="405"/>
      <c r="AG24" s="405"/>
      <c r="AH24" s="406"/>
      <c r="AI24" s="389" t="s">
        <v>373</v>
      </c>
      <c r="AJ24" s="404" t="s">
        <v>375</v>
      </c>
      <c r="AK24" s="405"/>
      <c r="AL24" s="405"/>
      <c r="AM24" s="406"/>
      <c r="AN24" s="389" t="s">
        <v>373</v>
      </c>
      <c r="AO24" s="404" t="s">
        <v>375</v>
      </c>
      <c r="AP24" s="405"/>
      <c r="AQ24" s="405"/>
      <c r="AR24" s="406"/>
      <c r="AS24" s="389" t="s">
        <v>373</v>
      </c>
      <c r="AT24" s="404" t="s">
        <v>375</v>
      </c>
      <c r="AU24" s="405"/>
      <c r="AV24" s="405"/>
      <c r="AW24" s="406"/>
      <c r="AX24" s="389" t="s">
        <v>373</v>
      </c>
      <c r="BA24" s="389" t="s">
        <v>373</v>
      </c>
    </row>
    <row r="25" spans="2:53">
      <c r="B25" s="389"/>
      <c r="C25" s="389"/>
      <c r="D25" s="389"/>
      <c r="E25" s="389" t="s">
        <v>562</v>
      </c>
      <c r="F25" s="389"/>
      <c r="G25" s="389"/>
      <c r="H25" s="418"/>
      <c r="I25" s="389" t="s">
        <v>562</v>
      </c>
      <c r="J25" s="389"/>
      <c r="K25" s="389"/>
      <c r="L25" s="418"/>
      <c r="M25" s="392"/>
      <c r="N25" s="389"/>
      <c r="O25" s="389"/>
      <c r="P25" s="404" t="s">
        <v>381</v>
      </c>
      <c r="Q25" s="405"/>
      <c r="R25" s="405"/>
      <c r="S25" s="406"/>
      <c r="T25" s="389"/>
      <c r="U25" s="404" t="s">
        <v>381</v>
      </c>
      <c r="V25" s="405"/>
      <c r="W25" s="405"/>
      <c r="X25" s="406"/>
      <c r="Y25" s="389"/>
      <c r="Z25" s="404" t="s">
        <v>381</v>
      </c>
      <c r="AA25" s="405"/>
      <c r="AB25" s="405"/>
      <c r="AC25" s="406"/>
      <c r="AD25" s="389"/>
      <c r="AE25" s="404" t="s">
        <v>381</v>
      </c>
      <c r="AF25" s="405"/>
      <c r="AG25" s="405"/>
      <c r="AH25" s="406"/>
      <c r="AI25" s="389"/>
      <c r="AJ25" s="404" t="s">
        <v>381</v>
      </c>
      <c r="AK25" s="405"/>
      <c r="AL25" s="405"/>
      <c r="AM25" s="406"/>
      <c r="AN25" s="389"/>
      <c r="AO25" s="404" t="s">
        <v>381</v>
      </c>
      <c r="AP25" s="405"/>
      <c r="AQ25" s="405"/>
      <c r="AR25" s="406"/>
      <c r="AS25" s="389"/>
      <c r="AT25" s="404" t="s">
        <v>381</v>
      </c>
      <c r="AU25" s="405"/>
      <c r="AV25" s="405"/>
      <c r="AW25" s="406"/>
      <c r="AX25" s="389"/>
      <c r="BA25" s="389"/>
    </row>
    <row r="26" spans="2:53">
      <c r="B26" s="389"/>
      <c r="C26" s="389"/>
      <c r="D26" s="389"/>
      <c r="E26" s="258" t="s">
        <v>563</v>
      </c>
      <c r="F26" s="258" t="s">
        <v>564</v>
      </c>
      <c r="G26" s="258" t="s">
        <v>565</v>
      </c>
      <c r="H26" s="419"/>
      <c r="I26" s="258" t="s">
        <v>563</v>
      </c>
      <c r="J26" s="258" t="s">
        <v>564</v>
      </c>
      <c r="K26" s="258" t="s">
        <v>565</v>
      </c>
      <c r="L26" s="419"/>
      <c r="M26" s="393"/>
      <c r="N26" s="389"/>
      <c r="O26" s="389"/>
      <c r="P26" s="258" t="s">
        <v>382</v>
      </c>
      <c r="Q26" s="258" t="s">
        <v>383</v>
      </c>
      <c r="R26" s="258" t="s">
        <v>384</v>
      </c>
      <c r="S26" s="258" t="s">
        <v>374</v>
      </c>
      <c r="T26" s="389"/>
      <c r="U26" s="258" t="s">
        <v>382</v>
      </c>
      <c r="V26" s="258" t="s">
        <v>383</v>
      </c>
      <c r="W26" s="258" t="s">
        <v>384</v>
      </c>
      <c r="X26" s="258" t="s">
        <v>374</v>
      </c>
      <c r="Y26" s="389"/>
      <c r="Z26" s="258" t="s">
        <v>382</v>
      </c>
      <c r="AA26" s="258" t="s">
        <v>383</v>
      </c>
      <c r="AB26" s="258" t="s">
        <v>384</v>
      </c>
      <c r="AC26" s="258" t="s">
        <v>374</v>
      </c>
      <c r="AD26" s="389"/>
      <c r="AE26" s="258" t="s">
        <v>382</v>
      </c>
      <c r="AF26" s="258" t="s">
        <v>383</v>
      </c>
      <c r="AG26" s="258" t="s">
        <v>384</v>
      </c>
      <c r="AH26" s="258" t="s">
        <v>374</v>
      </c>
      <c r="AI26" s="389"/>
      <c r="AJ26" s="258" t="s">
        <v>382</v>
      </c>
      <c r="AK26" s="258" t="s">
        <v>383</v>
      </c>
      <c r="AL26" s="258" t="s">
        <v>384</v>
      </c>
      <c r="AM26" s="258" t="s">
        <v>374</v>
      </c>
      <c r="AN26" s="389"/>
      <c r="AO26" s="258" t="s">
        <v>382</v>
      </c>
      <c r="AP26" s="258" t="s">
        <v>383</v>
      </c>
      <c r="AQ26" s="258" t="s">
        <v>384</v>
      </c>
      <c r="AR26" s="258" t="s">
        <v>374</v>
      </c>
      <c r="AS26" s="389"/>
      <c r="AT26" s="258" t="s">
        <v>382</v>
      </c>
      <c r="AU26" s="258" t="s">
        <v>383</v>
      </c>
      <c r="AV26" s="258" t="s">
        <v>384</v>
      </c>
      <c r="AW26" s="258" t="s">
        <v>374</v>
      </c>
      <c r="AX26" s="389"/>
      <c r="AZ26" s="258" t="s">
        <v>374</v>
      </c>
      <c r="BA26" s="389"/>
    </row>
    <row r="27" spans="2:53">
      <c r="B27" s="389" t="s">
        <v>388</v>
      </c>
      <c r="C27" s="182">
        <v>1</v>
      </c>
      <c r="D27" s="203" t="s">
        <v>663</v>
      </c>
      <c r="E27" s="166">
        <v>14</v>
      </c>
      <c r="F27" s="182">
        <v>1500</v>
      </c>
      <c r="G27" s="180">
        <v>107.1</v>
      </c>
      <c r="H27" s="401">
        <f>AVERAGE(G27:G41)</f>
        <v>100.13333333333333</v>
      </c>
      <c r="I27" s="166">
        <f t="shared" ref="I27:I40" si="19">IFERROR(AVERAGE(P27,U27,Z27,AE27,AJ27,AO27,AT27),"-")</f>
        <v>14</v>
      </c>
      <c r="J27" s="166">
        <f t="shared" ref="J27:J40" si="20">IFERROR(AVERAGE(Q27,V27,AA27,AF27,AK27,AP27,AU27),"-")</f>
        <v>1462.624393843842</v>
      </c>
      <c r="K27" s="180">
        <f t="shared" ref="K27:K40" si="21">IFERROR(AVERAGE(R27,W27,AB27,AG27,AL27,AQ27,AV27),"-")</f>
        <v>104.47317098884587</v>
      </c>
      <c r="L27" s="401">
        <f>IFERROR(AVERAGE(K27:K41),"-")</f>
        <v>83.940279299304976</v>
      </c>
      <c r="M27" s="166">
        <f>RANK(K27, K$24:$K$41)</f>
        <v>1</v>
      </c>
      <c r="N27" s="389"/>
      <c r="O27" s="389"/>
      <c r="P27" s="182">
        <v>14</v>
      </c>
      <c r="Q27" s="166">
        <v>1442.2622950819684</v>
      </c>
      <c r="R27" s="166">
        <v>103.01873536299775</v>
      </c>
      <c r="S27" s="166">
        <f>RANK(R27, R$24:R$41)</f>
        <v>1</v>
      </c>
      <c r="T27" s="396">
        <f>AVERAGE(R27:R41)</f>
        <v>82.26544312889591</v>
      </c>
      <c r="U27" s="182">
        <v>14</v>
      </c>
      <c r="V27" s="166">
        <v>1456.588235294116</v>
      </c>
      <c r="W27" s="166">
        <v>104.04201680672257</v>
      </c>
      <c r="X27" s="166">
        <f>RANK(W27, W$24:W$41)</f>
        <v>1</v>
      </c>
      <c r="Y27" s="390">
        <f>AVERAGE(W27:W41)</f>
        <v>83.035996535306523</v>
      </c>
      <c r="Z27" s="182">
        <v>14</v>
      </c>
      <c r="AA27" s="166">
        <v>1485.8425531914897</v>
      </c>
      <c r="AB27" s="166">
        <v>106.13161094224927</v>
      </c>
      <c r="AC27" s="166">
        <f>RANK(AB27, AB$24:AB$41)</f>
        <v>1</v>
      </c>
      <c r="AD27" s="390">
        <f>AVERAGE(AB27:AB41)</f>
        <v>85.518792442215272</v>
      </c>
      <c r="AE27" s="182">
        <v>14</v>
      </c>
      <c r="AF27" s="166">
        <v>1484.6264150943405</v>
      </c>
      <c r="AG27" s="166">
        <v>106.04474393531004</v>
      </c>
      <c r="AH27" s="166">
        <f>RANK(AG27, AG$24:AG$41)</f>
        <v>1</v>
      </c>
      <c r="AI27" s="390">
        <f>AVERAGE(AG27:AG41)</f>
        <v>84.087044599806518</v>
      </c>
      <c r="AJ27" s="182">
        <v>14</v>
      </c>
      <c r="AK27" s="166">
        <v>1470.4411764705883</v>
      </c>
      <c r="AL27" s="166">
        <v>105.03151260504202</v>
      </c>
      <c r="AM27" s="166">
        <f>RANK(AL27, AL$24:AL$41)</f>
        <v>1</v>
      </c>
      <c r="AN27" s="390">
        <f>AVERAGE(AL27:AL41)</f>
        <v>84.618654903380246</v>
      </c>
      <c r="AO27" s="182">
        <v>14</v>
      </c>
      <c r="AP27" s="166">
        <v>1453.6353982300886</v>
      </c>
      <c r="AQ27" s="166">
        <v>103.83109987357776</v>
      </c>
      <c r="AR27" s="166">
        <f>RANK(AQ27, AQ$24:AQ$41)</f>
        <v>1</v>
      </c>
      <c r="AS27" s="396">
        <f>AVERAGE(AQ27:AQ41)</f>
        <v>83.279844653203213</v>
      </c>
      <c r="AT27" s="166">
        <v>14</v>
      </c>
      <c r="AU27" s="166">
        <v>1444.9746835443029</v>
      </c>
      <c r="AV27" s="166">
        <v>103.21247739602164</v>
      </c>
      <c r="AW27" s="166">
        <f>RANK(AV27, AV$24:AV$41)</f>
        <v>1</v>
      </c>
      <c r="AX27" s="499">
        <f>AVERAGE(AV27:AV41)</f>
        <v>84.776178832327119</v>
      </c>
      <c r="AZ27" s="182" t="e">
        <f t="shared" ref="AZ27:AZ41" si="22">RANK(AY27, AY$27:AY$41)</f>
        <v>#N/A</v>
      </c>
      <c r="BA27" s="384" t="e">
        <f t="shared" ref="BA27" si="23">AVERAGE(AY27:AY41)</f>
        <v>#DIV/0!</v>
      </c>
    </row>
    <row r="28" spans="2:53">
      <c r="B28" s="395"/>
      <c r="C28" s="182">
        <v>2</v>
      </c>
      <c r="D28" s="203" t="s">
        <v>539</v>
      </c>
      <c r="E28" s="166">
        <v>16</v>
      </c>
      <c r="F28" s="182">
        <v>1636</v>
      </c>
      <c r="G28" s="180">
        <v>102.3</v>
      </c>
      <c r="H28" s="402"/>
      <c r="I28" s="166">
        <f t="shared" si="19"/>
        <v>17</v>
      </c>
      <c r="J28" s="166">
        <f t="shared" si="20"/>
        <v>1410.7793061876432</v>
      </c>
      <c r="K28" s="180">
        <f t="shared" si="21"/>
        <v>82.987018011037847</v>
      </c>
      <c r="L28" s="402"/>
      <c r="M28" s="166">
        <f>RANK(K28, K$24:$K$41)</f>
        <v>2</v>
      </c>
      <c r="N28" s="389"/>
      <c r="O28" s="389"/>
      <c r="P28" s="182">
        <v>17</v>
      </c>
      <c r="Q28" s="166">
        <v>1424</v>
      </c>
      <c r="R28" s="166">
        <v>83.764705882352942</v>
      </c>
      <c r="S28" s="166">
        <f t="shared" ref="S28:S41" si="24">RANK(R28, R$24:R$41)</f>
        <v>2</v>
      </c>
      <c r="T28" s="396"/>
      <c r="U28" s="182">
        <v>17</v>
      </c>
      <c r="V28" s="166">
        <v>1385.3932584269662</v>
      </c>
      <c r="W28" s="166">
        <v>81.493721083939192</v>
      </c>
      <c r="X28" s="166">
        <f t="shared" ref="X28:X41" si="25">RANK(W28, W$24:W$41)</f>
        <v>2</v>
      </c>
      <c r="Y28" s="390"/>
      <c r="Z28" s="182">
        <v>17</v>
      </c>
      <c r="AA28" s="166">
        <v>1424.4444444444446</v>
      </c>
      <c r="AB28" s="166">
        <v>83.790849673202615</v>
      </c>
      <c r="AC28" s="166">
        <f t="shared" ref="AC28:AC41" si="26">RANK(AB28, AB$24:AB$41)</f>
        <v>3</v>
      </c>
      <c r="AD28" s="390"/>
      <c r="AE28" s="182">
        <v>17</v>
      </c>
      <c r="AF28" s="166">
        <v>1405.3125000000007</v>
      </c>
      <c r="AG28" s="166">
        <v>82.665441176470623</v>
      </c>
      <c r="AH28" s="166">
        <f t="shared" ref="AH28:AH41" si="27">RANK(AG28, AG$24:AG$41)</f>
        <v>2</v>
      </c>
      <c r="AI28" s="390"/>
      <c r="AJ28" s="182">
        <v>17</v>
      </c>
      <c r="AK28" s="166">
        <v>1390.1408450704228</v>
      </c>
      <c r="AL28" s="166">
        <v>81.77299088649545</v>
      </c>
      <c r="AM28" s="166">
        <f t="shared" ref="AM28:AM41" si="28">RANK(AL28, AL$24:AL$41)</f>
        <v>4</v>
      </c>
      <c r="AN28" s="390"/>
      <c r="AO28" s="182">
        <v>17</v>
      </c>
      <c r="AP28" s="166">
        <v>1413.2608695652175</v>
      </c>
      <c r="AQ28" s="166">
        <v>83.132992327365741</v>
      </c>
      <c r="AR28" s="166">
        <f t="shared" ref="AR28:AR41" si="29">RANK(AQ28, AQ$24:AQ$41)</f>
        <v>2</v>
      </c>
      <c r="AS28" s="396"/>
      <c r="AT28" s="166">
        <v>17</v>
      </c>
      <c r="AU28" s="166">
        <v>1432.9032258064512</v>
      </c>
      <c r="AV28" s="166">
        <v>84.288425047438309</v>
      </c>
      <c r="AW28" s="166">
        <f t="shared" ref="AW28:AW41" si="30">RANK(AV28, AV$24:AV$41)</f>
        <v>2</v>
      </c>
      <c r="AX28" s="499"/>
      <c r="AZ28" s="182" t="e">
        <f t="shared" si="22"/>
        <v>#N/A</v>
      </c>
      <c r="BA28" s="385"/>
    </row>
    <row r="29" spans="2:53">
      <c r="B29" s="395"/>
      <c r="C29" s="182">
        <v>3</v>
      </c>
      <c r="D29" s="203" t="s">
        <v>640</v>
      </c>
      <c r="E29" s="166">
        <v>17</v>
      </c>
      <c r="F29" s="182">
        <v>1500</v>
      </c>
      <c r="G29" s="180">
        <v>88.2</v>
      </c>
      <c r="H29" s="402"/>
      <c r="I29" s="166">
        <f t="shared" si="19"/>
        <v>17</v>
      </c>
      <c r="J29" s="166">
        <f t="shared" si="20"/>
        <v>1359.5060356530632</v>
      </c>
      <c r="K29" s="180">
        <f t="shared" si="21"/>
        <v>79.970943273709594</v>
      </c>
      <c r="L29" s="402"/>
      <c r="M29" s="166">
        <f>RANK(K29, K$24:$K$41)</f>
        <v>4</v>
      </c>
      <c r="N29" s="389"/>
      <c r="O29" s="389"/>
      <c r="P29" s="182">
        <v>17</v>
      </c>
      <c r="Q29" s="166">
        <v>1342.9302325581393</v>
      </c>
      <c r="R29" s="166">
        <v>78.995896032831723</v>
      </c>
      <c r="S29" s="166">
        <f t="shared" si="24"/>
        <v>3</v>
      </c>
      <c r="T29" s="396"/>
      <c r="U29" s="182">
        <v>17</v>
      </c>
      <c r="V29" s="166">
        <v>1375.7339449541282</v>
      </c>
      <c r="W29" s="166">
        <v>80.925526173772255</v>
      </c>
      <c r="X29" s="166">
        <f t="shared" si="25"/>
        <v>4</v>
      </c>
      <c r="Y29" s="390"/>
      <c r="Z29" s="182">
        <v>17</v>
      </c>
      <c r="AA29" s="166">
        <v>1372.9514563106793</v>
      </c>
      <c r="AB29" s="166">
        <v>80.761850371216426</v>
      </c>
      <c r="AC29" s="166">
        <f t="shared" si="26"/>
        <v>4</v>
      </c>
      <c r="AD29" s="390"/>
      <c r="AE29" s="182">
        <v>17</v>
      </c>
      <c r="AF29" s="166">
        <v>1354.3636363636369</v>
      </c>
      <c r="AG29" s="166">
        <v>79.668449197860994</v>
      </c>
      <c r="AH29" s="166">
        <f t="shared" si="27"/>
        <v>4</v>
      </c>
      <c r="AI29" s="390"/>
      <c r="AJ29" s="182">
        <v>17</v>
      </c>
      <c r="AK29" s="166">
        <v>1357.04854368932</v>
      </c>
      <c r="AL29" s="166">
        <v>79.826384922901184</v>
      </c>
      <c r="AM29" s="166">
        <f t="shared" si="28"/>
        <v>5</v>
      </c>
      <c r="AN29" s="390"/>
      <c r="AO29" s="182">
        <v>17</v>
      </c>
      <c r="AP29" s="166">
        <v>1351.1811023622045</v>
      </c>
      <c r="AQ29" s="166">
        <v>79.481241315423787</v>
      </c>
      <c r="AR29" s="166">
        <f t="shared" si="29"/>
        <v>4</v>
      </c>
      <c r="AS29" s="396"/>
      <c r="AT29" s="166">
        <v>17</v>
      </c>
      <c r="AU29" s="166">
        <v>1362.3333333333335</v>
      </c>
      <c r="AV29" s="166">
        <v>80.137254901960787</v>
      </c>
      <c r="AW29" s="166">
        <f t="shared" si="30"/>
        <v>4</v>
      </c>
      <c r="AX29" s="499"/>
      <c r="AZ29" s="182" t="e">
        <f t="shared" si="22"/>
        <v>#N/A</v>
      </c>
      <c r="BA29" s="385"/>
    </row>
    <row r="30" spans="2:53">
      <c r="B30" s="395"/>
      <c r="C30" s="182">
        <v>4</v>
      </c>
      <c r="D30" s="203" t="s">
        <v>649</v>
      </c>
      <c r="E30" s="166">
        <v>16</v>
      </c>
      <c r="F30" s="182">
        <v>1500</v>
      </c>
      <c r="G30" s="180">
        <v>93.8</v>
      </c>
      <c r="H30" s="402"/>
      <c r="I30" s="166">
        <f t="shared" si="19"/>
        <v>16.571428571428573</v>
      </c>
      <c r="J30" s="166">
        <f t="shared" si="20"/>
        <v>1268.154650762536</v>
      </c>
      <c r="K30" s="180">
        <f t="shared" si="21"/>
        <v>76.488519541456199</v>
      </c>
      <c r="L30" s="402"/>
      <c r="M30" s="166">
        <f>RANK(K30, K$24:$K$41)</f>
        <v>6</v>
      </c>
      <c r="N30" s="389"/>
      <c r="O30" s="389"/>
      <c r="P30" s="182">
        <v>16</v>
      </c>
      <c r="Q30" s="166">
        <v>1173.7425742574251</v>
      </c>
      <c r="R30" s="166">
        <v>73.358910891089067</v>
      </c>
      <c r="S30" s="166">
        <f t="shared" si="24"/>
        <v>6</v>
      </c>
      <c r="T30" s="396"/>
      <c r="U30" s="182">
        <v>16</v>
      </c>
      <c r="V30" s="166">
        <v>1166.2018348623851</v>
      </c>
      <c r="W30" s="166">
        <v>72.88761467889907</v>
      </c>
      <c r="X30" s="166">
        <f t="shared" si="25"/>
        <v>6</v>
      </c>
      <c r="Y30" s="390"/>
      <c r="Z30" s="182">
        <v>17</v>
      </c>
      <c r="AA30" s="166">
        <v>1298.6746987951801</v>
      </c>
      <c r="AB30" s="166">
        <v>76.392629340892952</v>
      </c>
      <c r="AC30" s="166">
        <f t="shared" si="26"/>
        <v>6</v>
      </c>
      <c r="AD30" s="390"/>
      <c r="AE30" s="182">
        <v>17</v>
      </c>
      <c r="AF30" s="166">
        <v>1307.6470588235286</v>
      </c>
      <c r="AG30" s="166">
        <v>76.920415224913441</v>
      </c>
      <c r="AH30" s="166">
        <f t="shared" si="27"/>
        <v>6</v>
      </c>
      <c r="AI30" s="390"/>
      <c r="AJ30" s="182">
        <v>17</v>
      </c>
      <c r="AK30" s="166">
        <v>1419.1071428571418</v>
      </c>
      <c r="AL30" s="166">
        <v>83.476890756302453</v>
      </c>
      <c r="AM30" s="166">
        <f t="shared" si="28"/>
        <v>2</v>
      </c>
      <c r="AN30" s="390"/>
      <c r="AO30" s="182">
        <v>17</v>
      </c>
      <c r="AP30" s="166">
        <v>1250.8333333333328</v>
      </c>
      <c r="AQ30" s="166">
        <v>73.578431372548991</v>
      </c>
      <c r="AR30" s="166">
        <f t="shared" si="29"/>
        <v>6</v>
      </c>
      <c r="AS30" s="396"/>
      <c r="AT30" s="166">
        <v>16</v>
      </c>
      <c r="AU30" s="166">
        <v>1260.8759124087583</v>
      </c>
      <c r="AV30" s="166">
        <v>78.804744525547392</v>
      </c>
      <c r="AW30" s="166">
        <f t="shared" si="30"/>
        <v>6</v>
      </c>
      <c r="AX30" s="499"/>
      <c r="AZ30" s="182" t="e">
        <f t="shared" si="22"/>
        <v>#N/A</v>
      </c>
      <c r="BA30" s="385"/>
    </row>
    <row r="31" spans="2:53">
      <c r="B31" s="395"/>
      <c r="C31" s="182">
        <v>5</v>
      </c>
      <c r="D31" s="203" t="s">
        <v>637</v>
      </c>
      <c r="E31" s="166">
        <v>15</v>
      </c>
      <c r="F31" s="182">
        <v>1500</v>
      </c>
      <c r="G31" s="180">
        <v>107.1</v>
      </c>
      <c r="H31" s="402"/>
      <c r="I31" s="166">
        <f t="shared" si="19"/>
        <v>15.857142857142858</v>
      </c>
      <c r="J31" s="166">
        <f t="shared" si="20"/>
        <v>1300.0735190050029</v>
      </c>
      <c r="K31" s="180">
        <f t="shared" si="21"/>
        <v>82.037302663760201</v>
      </c>
      <c r="L31" s="402"/>
      <c r="M31" s="166">
        <f>RANK(K31, K$24:$K$41)</f>
        <v>3</v>
      </c>
      <c r="N31" s="389"/>
      <c r="O31" s="389"/>
      <c r="P31" s="182">
        <v>16</v>
      </c>
      <c r="Q31" s="166">
        <v>1258.8415841584165</v>
      </c>
      <c r="R31" s="166">
        <v>78.67759900990103</v>
      </c>
      <c r="S31" s="166">
        <f t="shared" si="24"/>
        <v>4</v>
      </c>
      <c r="T31" s="396"/>
      <c r="U31" s="182">
        <v>16</v>
      </c>
      <c r="V31" s="166">
        <v>1243.1999999999998</v>
      </c>
      <c r="W31" s="166">
        <v>77.699999999999989</v>
      </c>
      <c r="X31" s="166">
        <f t="shared" si="25"/>
        <v>5</v>
      </c>
      <c r="Y31" s="390"/>
      <c r="Z31" s="182">
        <v>15</v>
      </c>
      <c r="AA31" s="166">
        <v>1314.9489795918371</v>
      </c>
      <c r="AB31" s="166">
        <v>87.663265306122469</v>
      </c>
      <c r="AC31" s="166">
        <f t="shared" si="26"/>
        <v>2</v>
      </c>
      <c r="AD31" s="390"/>
      <c r="AE31" s="182">
        <v>16</v>
      </c>
      <c r="AF31" s="166">
        <v>1315.1797752808989</v>
      </c>
      <c r="AG31" s="166">
        <v>82.198735955056179</v>
      </c>
      <c r="AH31" s="166">
        <f t="shared" si="27"/>
        <v>3</v>
      </c>
      <c r="AI31" s="390"/>
      <c r="AJ31" s="182">
        <v>16</v>
      </c>
      <c r="AK31" s="166">
        <v>1325.617021276596</v>
      </c>
      <c r="AL31" s="166">
        <v>82.85106382978725</v>
      </c>
      <c r="AM31" s="166">
        <f t="shared" si="28"/>
        <v>3</v>
      </c>
      <c r="AN31" s="390"/>
      <c r="AO31" s="182">
        <v>16</v>
      </c>
      <c r="AP31" s="166">
        <v>1323.8181818181813</v>
      </c>
      <c r="AQ31" s="166">
        <v>82.738636363636331</v>
      </c>
      <c r="AR31" s="166">
        <f t="shared" si="29"/>
        <v>3</v>
      </c>
      <c r="AS31" s="396"/>
      <c r="AT31" s="166">
        <v>16</v>
      </c>
      <c r="AU31" s="166">
        <v>1318.9090909090903</v>
      </c>
      <c r="AV31" s="166">
        <v>82.431818181818144</v>
      </c>
      <c r="AW31" s="166">
        <f t="shared" si="30"/>
        <v>3</v>
      </c>
      <c r="AX31" s="499"/>
      <c r="AZ31" s="182" t="e">
        <f t="shared" si="22"/>
        <v>#N/A</v>
      </c>
      <c r="BA31" s="385"/>
    </row>
    <row r="32" spans="2:53">
      <c r="B32" s="395"/>
      <c r="C32" s="182">
        <v>6</v>
      </c>
      <c r="D32" s="203" t="s">
        <v>655</v>
      </c>
      <c r="E32" s="166">
        <v>17</v>
      </c>
      <c r="F32" s="182">
        <v>1636</v>
      </c>
      <c r="G32" s="180">
        <v>102.3</v>
      </c>
      <c r="H32" s="402"/>
      <c r="I32" s="166">
        <f t="shared" si="19"/>
        <v>17.714285714285715</v>
      </c>
      <c r="J32" s="166">
        <f t="shared" si="20"/>
        <v>1375.3322046478363</v>
      </c>
      <c r="K32" s="180">
        <f t="shared" si="21"/>
        <v>77.68472131702012</v>
      </c>
      <c r="L32" s="402"/>
      <c r="M32" s="166">
        <f>RANK(K32, K$24:$K$41)</f>
        <v>5</v>
      </c>
      <c r="N32" s="389"/>
      <c r="O32" s="389"/>
      <c r="P32" s="182">
        <v>18</v>
      </c>
      <c r="Q32" s="166">
        <v>1363.9826086956525</v>
      </c>
      <c r="R32" s="166">
        <v>75.776811594202911</v>
      </c>
      <c r="S32" s="166">
        <f t="shared" si="24"/>
        <v>5</v>
      </c>
      <c r="T32" s="396"/>
      <c r="U32" s="182">
        <v>17</v>
      </c>
      <c r="V32" s="166">
        <v>1379.840707964602</v>
      </c>
      <c r="W32" s="166">
        <v>81.167100468505993</v>
      </c>
      <c r="X32" s="166">
        <f t="shared" si="25"/>
        <v>3</v>
      </c>
      <c r="Y32" s="390"/>
      <c r="Z32" s="182">
        <v>18</v>
      </c>
      <c r="AA32" s="166">
        <v>1410.7058823529417</v>
      </c>
      <c r="AB32" s="166">
        <v>78.372549019607874</v>
      </c>
      <c r="AC32" s="166">
        <f t="shared" si="26"/>
        <v>5</v>
      </c>
      <c r="AD32" s="390"/>
      <c r="AE32" s="182">
        <v>18</v>
      </c>
      <c r="AF32" s="166">
        <v>1386.4406779661017</v>
      </c>
      <c r="AG32" s="166">
        <v>77.024482109227876</v>
      </c>
      <c r="AH32" s="166">
        <f t="shared" si="27"/>
        <v>5</v>
      </c>
      <c r="AI32" s="390"/>
      <c r="AJ32" s="182">
        <v>18</v>
      </c>
      <c r="AK32" s="166">
        <v>1345.5555555555554</v>
      </c>
      <c r="AL32" s="166">
        <v>74.753086419753075</v>
      </c>
      <c r="AM32" s="166">
        <f t="shared" si="28"/>
        <v>6</v>
      </c>
      <c r="AN32" s="390"/>
      <c r="AO32" s="182">
        <v>18</v>
      </c>
      <c r="AP32" s="166">
        <v>1384.4999999999998</v>
      </c>
      <c r="AQ32" s="166">
        <v>76.916666666666657</v>
      </c>
      <c r="AR32" s="166">
        <f t="shared" si="29"/>
        <v>5</v>
      </c>
      <c r="AS32" s="396"/>
      <c r="AT32" s="166">
        <v>17</v>
      </c>
      <c r="AU32" s="166">
        <v>1356.3000000000002</v>
      </c>
      <c r="AV32" s="166">
        <v>79.782352941176484</v>
      </c>
      <c r="AW32" s="166">
        <f t="shared" si="30"/>
        <v>5</v>
      </c>
      <c r="AX32" s="499"/>
      <c r="AZ32" s="182" t="e">
        <f t="shared" si="22"/>
        <v>#N/A</v>
      </c>
      <c r="BA32" s="385"/>
    </row>
    <row r="33" spans="2:53">
      <c r="B33" s="395"/>
      <c r="C33" s="182">
        <v>7</v>
      </c>
      <c r="D33" s="203"/>
      <c r="E33" s="166"/>
      <c r="F33" s="182"/>
      <c r="G33" s="180"/>
      <c r="H33" s="402"/>
      <c r="I33" s="166" t="str">
        <f t="shared" si="19"/>
        <v>-</v>
      </c>
      <c r="J33" s="166" t="str">
        <f t="shared" si="20"/>
        <v>-</v>
      </c>
      <c r="K33" s="180" t="str">
        <f t="shared" si="21"/>
        <v>-</v>
      </c>
      <c r="L33" s="402"/>
      <c r="M33" s="166" t="e">
        <f>RANK(K33, K$24:$K$41)</f>
        <v>#VALUE!</v>
      </c>
      <c r="N33" s="389"/>
      <c r="O33" s="389"/>
      <c r="P33" s="182"/>
      <c r="Q33" s="166"/>
      <c r="R33" s="166"/>
      <c r="S33" s="166" t="e">
        <f t="shared" si="24"/>
        <v>#N/A</v>
      </c>
      <c r="T33" s="396"/>
      <c r="U33" s="182"/>
      <c r="V33" s="166"/>
      <c r="W33" s="166"/>
      <c r="X33" s="166" t="e">
        <f t="shared" si="25"/>
        <v>#N/A</v>
      </c>
      <c r="Y33" s="390"/>
      <c r="Z33" s="182"/>
      <c r="AA33" s="166"/>
      <c r="AB33" s="166"/>
      <c r="AC33" s="166" t="e">
        <f t="shared" si="26"/>
        <v>#N/A</v>
      </c>
      <c r="AD33" s="390"/>
      <c r="AE33" s="182"/>
      <c r="AF33" s="166"/>
      <c r="AG33" s="166"/>
      <c r="AH33" s="166" t="e">
        <f t="shared" si="27"/>
        <v>#N/A</v>
      </c>
      <c r="AI33" s="390"/>
      <c r="AJ33" s="182"/>
      <c r="AK33" s="166"/>
      <c r="AL33" s="166"/>
      <c r="AM33" s="166" t="e">
        <f t="shared" si="28"/>
        <v>#N/A</v>
      </c>
      <c r="AN33" s="390"/>
      <c r="AO33" s="182"/>
      <c r="AP33" s="166"/>
      <c r="AQ33" s="166"/>
      <c r="AR33" s="166" t="e">
        <f t="shared" si="29"/>
        <v>#N/A</v>
      </c>
      <c r="AS33" s="396"/>
      <c r="AT33" s="166"/>
      <c r="AU33" s="166"/>
      <c r="AV33" s="166"/>
      <c r="AW33" s="166" t="e">
        <f t="shared" si="30"/>
        <v>#N/A</v>
      </c>
      <c r="AX33" s="499"/>
      <c r="AZ33" s="182" t="e">
        <f t="shared" si="22"/>
        <v>#N/A</v>
      </c>
      <c r="BA33" s="385"/>
    </row>
    <row r="34" spans="2:53">
      <c r="B34" s="395"/>
      <c r="C34" s="182">
        <v>8</v>
      </c>
      <c r="D34" s="203"/>
      <c r="E34" s="166"/>
      <c r="F34" s="182"/>
      <c r="G34" s="180"/>
      <c r="H34" s="402"/>
      <c r="I34" s="166" t="str">
        <f t="shared" si="19"/>
        <v>-</v>
      </c>
      <c r="J34" s="166" t="str">
        <f t="shared" si="20"/>
        <v>-</v>
      </c>
      <c r="K34" s="180" t="str">
        <f t="shared" si="21"/>
        <v>-</v>
      </c>
      <c r="L34" s="402"/>
      <c r="M34" s="166" t="e">
        <f>RANK(K34, K$24:$K$41)</f>
        <v>#VALUE!</v>
      </c>
      <c r="N34" s="389"/>
      <c r="O34" s="389"/>
      <c r="P34" s="182"/>
      <c r="Q34" s="166"/>
      <c r="R34" s="166"/>
      <c r="S34" s="166" t="e">
        <f t="shared" si="24"/>
        <v>#N/A</v>
      </c>
      <c r="T34" s="396"/>
      <c r="U34" s="182"/>
      <c r="V34" s="166"/>
      <c r="W34" s="166"/>
      <c r="X34" s="166" t="e">
        <f t="shared" si="25"/>
        <v>#N/A</v>
      </c>
      <c r="Y34" s="390"/>
      <c r="Z34" s="182"/>
      <c r="AA34" s="166"/>
      <c r="AB34" s="166"/>
      <c r="AC34" s="166" t="e">
        <f t="shared" si="26"/>
        <v>#N/A</v>
      </c>
      <c r="AD34" s="390"/>
      <c r="AE34" s="182"/>
      <c r="AF34" s="166"/>
      <c r="AG34" s="166"/>
      <c r="AH34" s="166" t="e">
        <f t="shared" si="27"/>
        <v>#N/A</v>
      </c>
      <c r="AI34" s="390"/>
      <c r="AJ34" s="182"/>
      <c r="AK34" s="166"/>
      <c r="AL34" s="166"/>
      <c r="AM34" s="166" t="e">
        <f t="shared" si="28"/>
        <v>#N/A</v>
      </c>
      <c r="AN34" s="390"/>
      <c r="AO34" s="182"/>
      <c r="AP34" s="166"/>
      <c r="AQ34" s="166"/>
      <c r="AR34" s="166" t="e">
        <f t="shared" si="29"/>
        <v>#N/A</v>
      </c>
      <c r="AS34" s="396"/>
      <c r="AT34" s="166"/>
      <c r="AU34" s="166"/>
      <c r="AV34" s="166"/>
      <c r="AW34" s="166" t="e">
        <f t="shared" si="30"/>
        <v>#N/A</v>
      </c>
      <c r="AX34" s="499"/>
      <c r="AZ34" s="182" t="e">
        <f t="shared" si="22"/>
        <v>#N/A</v>
      </c>
      <c r="BA34" s="385"/>
    </row>
    <row r="35" spans="2:53">
      <c r="B35" s="395"/>
      <c r="C35" s="182">
        <v>9</v>
      </c>
      <c r="D35" s="203"/>
      <c r="E35" s="166"/>
      <c r="F35" s="182"/>
      <c r="G35" s="180"/>
      <c r="H35" s="402"/>
      <c r="I35" s="166" t="str">
        <f t="shared" si="19"/>
        <v>-</v>
      </c>
      <c r="J35" s="166" t="str">
        <f t="shared" si="20"/>
        <v>-</v>
      </c>
      <c r="K35" s="180" t="str">
        <f t="shared" si="21"/>
        <v>-</v>
      </c>
      <c r="L35" s="402"/>
      <c r="M35" s="166" t="e">
        <f>RANK(K35, K$24:$K$41)</f>
        <v>#VALUE!</v>
      </c>
      <c r="N35" s="389"/>
      <c r="O35" s="389"/>
      <c r="P35" s="182"/>
      <c r="Q35" s="166"/>
      <c r="R35" s="166"/>
      <c r="S35" s="166" t="e">
        <f t="shared" si="24"/>
        <v>#N/A</v>
      </c>
      <c r="T35" s="396"/>
      <c r="U35" s="182"/>
      <c r="V35" s="166"/>
      <c r="W35" s="166"/>
      <c r="X35" s="166" t="e">
        <f t="shared" si="25"/>
        <v>#N/A</v>
      </c>
      <c r="Y35" s="390"/>
      <c r="Z35" s="182"/>
      <c r="AA35" s="166"/>
      <c r="AB35" s="166"/>
      <c r="AC35" s="166" t="e">
        <f t="shared" si="26"/>
        <v>#N/A</v>
      </c>
      <c r="AD35" s="390"/>
      <c r="AE35" s="182"/>
      <c r="AF35" s="166"/>
      <c r="AG35" s="166"/>
      <c r="AH35" s="166" t="e">
        <f t="shared" si="27"/>
        <v>#N/A</v>
      </c>
      <c r="AI35" s="390"/>
      <c r="AJ35" s="182"/>
      <c r="AK35" s="166"/>
      <c r="AL35" s="166"/>
      <c r="AM35" s="166" t="e">
        <f t="shared" si="28"/>
        <v>#N/A</v>
      </c>
      <c r="AN35" s="390"/>
      <c r="AO35" s="182"/>
      <c r="AP35" s="166"/>
      <c r="AQ35" s="166"/>
      <c r="AR35" s="166" t="e">
        <f t="shared" si="29"/>
        <v>#N/A</v>
      </c>
      <c r="AS35" s="396"/>
      <c r="AT35" s="166"/>
      <c r="AU35" s="166"/>
      <c r="AV35" s="166"/>
      <c r="AW35" s="166" t="e">
        <f t="shared" si="30"/>
        <v>#N/A</v>
      </c>
      <c r="AX35" s="499"/>
      <c r="AZ35" s="182" t="e">
        <f t="shared" si="22"/>
        <v>#N/A</v>
      </c>
      <c r="BA35" s="385"/>
    </row>
    <row r="36" spans="2:53">
      <c r="B36" s="395"/>
      <c r="C36" s="182">
        <v>10</v>
      </c>
      <c r="D36" s="203"/>
      <c r="E36" s="166"/>
      <c r="F36" s="182"/>
      <c r="G36" s="180"/>
      <c r="H36" s="402"/>
      <c r="I36" s="166" t="str">
        <f t="shared" si="19"/>
        <v>-</v>
      </c>
      <c r="J36" s="166" t="str">
        <f t="shared" si="20"/>
        <v>-</v>
      </c>
      <c r="K36" s="180" t="str">
        <f t="shared" si="21"/>
        <v>-</v>
      </c>
      <c r="L36" s="402"/>
      <c r="M36" s="166" t="e">
        <f>RANK(K36, K$24:$K$41)</f>
        <v>#VALUE!</v>
      </c>
      <c r="N36" s="389"/>
      <c r="O36" s="389"/>
      <c r="P36" s="182"/>
      <c r="Q36" s="166"/>
      <c r="R36" s="166"/>
      <c r="S36" s="166" t="e">
        <f t="shared" si="24"/>
        <v>#N/A</v>
      </c>
      <c r="T36" s="396"/>
      <c r="U36" s="182"/>
      <c r="V36" s="166"/>
      <c r="W36" s="166"/>
      <c r="X36" s="166" t="e">
        <f t="shared" si="25"/>
        <v>#N/A</v>
      </c>
      <c r="Y36" s="390"/>
      <c r="Z36" s="182"/>
      <c r="AA36" s="166"/>
      <c r="AB36" s="166"/>
      <c r="AC36" s="166" t="e">
        <f t="shared" si="26"/>
        <v>#N/A</v>
      </c>
      <c r="AD36" s="390"/>
      <c r="AE36" s="182"/>
      <c r="AF36" s="166"/>
      <c r="AG36" s="166"/>
      <c r="AH36" s="166" t="e">
        <f t="shared" si="27"/>
        <v>#N/A</v>
      </c>
      <c r="AI36" s="390"/>
      <c r="AJ36" s="182"/>
      <c r="AK36" s="166"/>
      <c r="AL36" s="166"/>
      <c r="AM36" s="166" t="e">
        <f t="shared" si="28"/>
        <v>#N/A</v>
      </c>
      <c r="AN36" s="390"/>
      <c r="AO36" s="182"/>
      <c r="AP36" s="166"/>
      <c r="AQ36" s="166"/>
      <c r="AR36" s="166" t="e">
        <f t="shared" si="29"/>
        <v>#N/A</v>
      </c>
      <c r="AS36" s="396"/>
      <c r="AT36" s="166"/>
      <c r="AU36" s="166"/>
      <c r="AV36" s="166"/>
      <c r="AW36" s="166" t="e">
        <f t="shared" si="30"/>
        <v>#N/A</v>
      </c>
      <c r="AX36" s="499"/>
      <c r="AZ36" s="182" t="e">
        <f t="shared" si="22"/>
        <v>#N/A</v>
      </c>
      <c r="BA36" s="385"/>
    </row>
    <row r="37" spans="2:53">
      <c r="B37" s="395"/>
      <c r="C37" s="182">
        <v>11</v>
      </c>
      <c r="D37" s="203"/>
      <c r="E37" s="166"/>
      <c r="F37" s="182"/>
      <c r="G37" s="180"/>
      <c r="H37" s="402"/>
      <c r="I37" s="166" t="str">
        <f t="shared" si="19"/>
        <v>-</v>
      </c>
      <c r="J37" s="166" t="str">
        <f t="shared" si="20"/>
        <v>-</v>
      </c>
      <c r="K37" s="180" t="str">
        <f t="shared" si="21"/>
        <v>-</v>
      </c>
      <c r="L37" s="402"/>
      <c r="M37" s="166" t="e">
        <f>RANK(K37, K$24:$K$41)</f>
        <v>#VALUE!</v>
      </c>
      <c r="N37" s="389"/>
      <c r="O37" s="389"/>
      <c r="P37" s="182"/>
      <c r="Q37" s="166"/>
      <c r="R37" s="166"/>
      <c r="S37" s="166" t="e">
        <f t="shared" si="24"/>
        <v>#N/A</v>
      </c>
      <c r="T37" s="396"/>
      <c r="U37" s="182"/>
      <c r="V37" s="166"/>
      <c r="W37" s="166"/>
      <c r="X37" s="166" t="e">
        <f t="shared" si="25"/>
        <v>#N/A</v>
      </c>
      <c r="Y37" s="390"/>
      <c r="Z37" s="182"/>
      <c r="AA37" s="166"/>
      <c r="AB37" s="166"/>
      <c r="AC37" s="166" t="e">
        <f t="shared" si="26"/>
        <v>#N/A</v>
      </c>
      <c r="AD37" s="390"/>
      <c r="AE37" s="182"/>
      <c r="AF37" s="166"/>
      <c r="AG37" s="166"/>
      <c r="AH37" s="166" t="e">
        <f t="shared" si="27"/>
        <v>#N/A</v>
      </c>
      <c r="AI37" s="390"/>
      <c r="AJ37" s="182"/>
      <c r="AK37" s="166"/>
      <c r="AL37" s="166"/>
      <c r="AM37" s="166" t="e">
        <f t="shared" si="28"/>
        <v>#N/A</v>
      </c>
      <c r="AN37" s="390"/>
      <c r="AO37" s="182"/>
      <c r="AP37" s="166"/>
      <c r="AQ37" s="166"/>
      <c r="AR37" s="166" t="e">
        <f t="shared" si="29"/>
        <v>#N/A</v>
      </c>
      <c r="AS37" s="396"/>
      <c r="AT37" s="166"/>
      <c r="AU37" s="166"/>
      <c r="AV37" s="166"/>
      <c r="AW37" s="166" t="e">
        <f t="shared" si="30"/>
        <v>#N/A</v>
      </c>
      <c r="AX37" s="499"/>
      <c r="AZ37" s="182" t="e">
        <f t="shared" si="22"/>
        <v>#N/A</v>
      </c>
      <c r="BA37" s="385"/>
    </row>
    <row r="38" spans="2:53">
      <c r="B38" s="395"/>
      <c r="C38" s="182">
        <v>12</v>
      </c>
      <c r="D38" s="203"/>
      <c r="E38" s="166"/>
      <c r="F38" s="182"/>
      <c r="G38" s="180"/>
      <c r="H38" s="402"/>
      <c r="I38" s="166" t="str">
        <f t="shared" si="19"/>
        <v>-</v>
      </c>
      <c r="J38" s="166" t="str">
        <f t="shared" si="20"/>
        <v>-</v>
      </c>
      <c r="K38" s="180" t="str">
        <f t="shared" si="21"/>
        <v>-</v>
      </c>
      <c r="L38" s="402"/>
      <c r="M38" s="166" t="e">
        <f>RANK(K38, K$24:$K$41)</f>
        <v>#VALUE!</v>
      </c>
      <c r="N38" s="389"/>
      <c r="O38" s="389"/>
      <c r="P38" s="182"/>
      <c r="Q38" s="166"/>
      <c r="R38" s="166"/>
      <c r="S38" s="166" t="e">
        <f t="shared" si="24"/>
        <v>#N/A</v>
      </c>
      <c r="T38" s="396"/>
      <c r="U38" s="182"/>
      <c r="V38" s="166"/>
      <c r="W38" s="166"/>
      <c r="X38" s="166" t="e">
        <f t="shared" si="25"/>
        <v>#N/A</v>
      </c>
      <c r="Y38" s="390"/>
      <c r="Z38" s="182"/>
      <c r="AA38" s="166"/>
      <c r="AB38" s="166"/>
      <c r="AC38" s="166" t="e">
        <f t="shared" si="26"/>
        <v>#N/A</v>
      </c>
      <c r="AD38" s="390"/>
      <c r="AE38" s="182"/>
      <c r="AF38" s="166"/>
      <c r="AG38" s="166"/>
      <c r="AH38" s="166" t="e">
        <f t="shared" si="27"/>
        <v>#N/A</v>
      </c>
      <c r="AI38" s="390"/>
      <c r="AJ38" s="182"/>
      <c r="AK38" s="166"/>
      <c r="AL38" s="166"/>
      <c r="AM38" s="166" t="e">
        <f t="shared" si="28"/>
        <v>#N/A</v>
      </c>
      <c r="AN38" s="390"/>
      <c r="AO38" s="182"/>
      <c r="AP38" s="166"/>
      <c r="AQ38" s="166"/>
      <c r="AR38" s="166" t="e">
        <f t="shared" si="29"/>
        <v>#N/A</v>
      </c>
      <c r="AS38" s="396"/>
      <c r="AT38" s="166"/>
      <c r="AU38" s="166"/>
      <c r="AV38" s="166"/>
      <c r="AW38" s="166" t="e">
        <f t="shared" si="30"/>
        <v>#N/A</v>
      </c>
      <c r="AX38" s="499"/>
      <c r="AZ38" s="182" t="e">
        <f t="shared" si="22"/>
        <v>#N/A</v>
      </c>
      <c r="BA38" s="385"/>
    </row>
    <row r="39" spans="2:53">
      <c r="B39" s="395"/>
      <c r="C39" s="182">
        <v>13</v>
      </c>
      <c r="D39" s="203"/>
      <c r="E39" s="166"/>
      <c r="F39" s="182"/>
      <c r="G39" s="180"/>
      <c r="H39" s="402"/>
      <c r="I39" s="166" t="str">
        <f t="shared" si="19"/>
        <v>-</v>
      </c>
      <c r="J39" s="166" t="str">
        <f t="shared" si="20"/>
        <v>-</v>
      </c>
      <c r="K39" s="180" t="str">
        <f t="shared" si="21"/>
        <v>-</v>
      </c>
      <c r="L39" s="402"/>
      <c r="M39" s="166" t="e">
        <f>RANK(K39, K$24:$K$41)</f>
        <v>#VALUE!</v>
      </c>
      <c r="N39" s="389"/>
      <c r="O39" s="389"/>
      <c r="P39" s="182"/>
      <c r="Q39" s="166"/>
      <c r="R39" s="166"/>
      <c r="S39" s="166" t="e">
        <f t="shared" si="24"/>
        <v>#N/A</v>
      </c>
      <c r="T39" s="396"/>
      <c r="U39" s="182"/>
      <c r="V39" s="166"/>
      <c r="W39" s="166"/>
      <c r="X39" s="166" t="e">
        <f t="shared" si="25"/>
        <v>#N/A</v>
      </c>
      <c r="Y39" s="390"/>
      <c r="Z39" s="182"/>
      <c r="AA39" s="166"/>
      <c r="AB39" s="166"/>
      <c r="AC39" s="166" t="e">
        <f t="shared" si="26"/>
        <v>#N/A</v>
      </c>
      <c r="AD39" s="390"/>
      <c r="AE39" s="182"/>
      <c r="AF39" s="166"/>
      <c r="AG39" s="166"/>
      <c r="AH39" s="166" t="e">
        <f t="shared" si="27"/>
        <v>#N/A</v>
      </c>
      <c r="AI39" s="390"/>
      <c r="AJ39" s="182"/>
      <c r="AK39" s="166"/>
      <c r="AL39" s="166"/>
      <c r="AM39" s="166" t="e">
        <f t="shared" si="28"/>
        <v>#N/A</v>
      </c>
      <c r="AN39" s="390"/>
      <c r="AO39" s="182"/>
      <c r="AP39" s="166"/>
      <c r="AQ39" s="166"/>
      <c r="AR39" s="166" t="e">
        <f t="shared" si="29"/>
        <v>#N/A</v>
      </c>
      <c r="AS39" s="396"/>
      <c r="AT39" s="166"/>
      <c r="AU39" s="166"/>
      <c r="AV39" s="166"/>
      <c r="AW39" s="166" t="e">
        <f t="shared" si="30"/>
        <v>#N/A</v>
      </c>
      <c r="AX39" s="499"/>
      <c r="AZ39" s="182" t="e">
        <f t="shared" si="22"/>
        <v>#N/A</v>
      </c>
      <c r="BA39" s="385"/>
    </row>
    <row r="40" spans="2:53">
      <c r="B40" s="395"/>
      <c r="C40" s="182">
        <v>14</v>
      </c>
      <c r="D40" s="203"/>
      <c r="E40" s="166"/>
      <c r="F40" s="182"/>
      <c r="G40" s="180"/>
      <c r="H40" s="402"/>
      <c r="I40" s="166" t="str">
        <f t="shared" si="19"/>
        <v>-</v>
      </c>
      <c r="J40" s="166" t="str">
        <f t="shared" si="20"/>
        <v>-</v>
      </c>
      <c r="K40" s="180" t="str">
        <f t="shared" si="21"/>
        <v>-</v>
      </c>
      <c r="L40" s="402"/>
      <c r="M40" s="166" t="e">
        <f>RANK(K40, K$24:$K$41)</f>
        <v>#VALUE!</v>
      </c>
      <c r="N40" s="389"/>
      <c r="O40" s="389"/>
      <c r="P40" s="182"/>
      <c r="Q40" s="166"/>
      <c r="R40" s="166"/>
      <c r="S40" s="166" t="e">
        <f t="shared" si="24"/>
        <v>#N/A</v>
      </c>
      <c r="T40" s="396"/>
      <c r="U40" s="182"/>
      <c r="V40" s="166"/>
      <c r="W40" s="166"/>
      <c r="X40" s="166" t="e">
        <f t="shared" si="25"/>
        <v>#N/A</v>
      </c>
      <c r="Y40" s="390"/>
      <c r="Z40" s="182"/>
      <c r="AA40" s="166"/>
      <c r="AB40" s="166"/>
      <c r="AC40" s="166" t="e">
        <f t="shared" si="26"/>
        <v>#N/A</v>
      </c>
      <c r="AD40" s="390"/>
      <c r="AE40" s="182"/>
      <c r="AF40" s="166"/>
      <c r="AG40" s="166"/>
      <c r="AH40" s="166" t="e">
        <f t="shared" si="27"/>
        <v>#N/A</v>
      </c>
      <c r="AI40" s="390"/>
      <c r="AJ40" s="182"/>
      <c r="AK40" s="166"/>
      <c r="AL40" s="166"/>
      <c r="AM40" s="166" t="e">
        <f t="shared" si="28"/>
        <v>#N/A</v>
      </c>
      <c r="AN40" s="390"/>
      <c r="AO40" s="182"/>
      <c r="AP40" s="166"/>
      <c r="AQ40" s="166"/>
      <c r="AR40" s="166" t="e">
        <f t="shared" si="29"/>
        <v>#N/A</v>
      </c>
      <c r="AS40" s="396"/>
      <c r="AT40" s="166"/>
      <c r="AU40" s="166"/>
      <c r="AV40" s="166"/>
      <c r="AW40" s="166" t="e">
        <f t="shared" si="30"/>
        <v>#N/A</v>
      </c>
      <c r="AX40" s="499"/>
      <c r="AZ40" s="182" t="e">
        <f t="shared" si="22"/>
        <v>#N/A</v>
      </c>
      <c r="BA40" s="385"/>
    </row>
    <row r="41" spans="2:53">
      <c r="B41" s="395"/>
      <c r="C41" s="182">
        <v>15</v>
      </c>
      <c r="D41" s="203"/>
      <c r="E41" s="166"/>
      <c r="F41" s="182"/>
      <c r="G41" s="180"/>
      <c r="H41" s="403"/>
      <c r="I41" s="182"/>
      <c r="J41" s="182"/>
      <c r="K41" s="182"/>
      <c r="L41" s="403"/>
      <c r="M41" s="166" t="e">
        <f>RANK(K41, K$24:$K$41)</f>
        <v>#N/A</v>
      </c>
      <c r="N41" s="389"/>
      <c r="O41" s="389"/>
      <c r="P41" s="182"/>
      <c r="Q41" s="166"/>
      <c r="R41" s="166"/>
      <c r="S41" s="166" t="e">
        <f t="shared" si="24"/>
        <v>#N/A</v>
      </c>
      <c r="T41" s="396"/>
      <c r="U41" s="182"/>
      <c r="V41" s="166"/>
      <c r="W41" s="166"/>
      <c r="X41" s="166" t="e">
        <f t="shared" si="25"/>
        <v>#N/A</v>
      </c>
      <c r="Y41" s="390"/>
      <c r="Z41" s="182"/>
      <c r="AA41" s="166"/>
      <c r="AB41" s="166"/>
      <c r="AC41" s="166" t="e">
        <f t="shared" si="26"/>
        <v>#N/A</v>
      </c>
      <c r="AD41" s="390"/>
      <c r="AE41" s="182"/>
      <c r="AF41" s="166"/>
      <c r="AG41" s="166"/>
      <c r="AH41" s="166" t="e">
        <f t="shared" si="27"/>
        <v>#N/A</v>
      </c>
      <c r="AI41" s="390"/>
      <c r="AJ41" s="182"/>
      <c r="AK41" s="166"/>
      <c r="AL41" s="166"/>
      <c r="AM41" s="166" t="e">
        <f t="shared" si="28"/>
        <v>#N/A</v>
      </c>
      <c r="AN41" s="390"/>
      <c r="AO41" s="182"/>
      <c r="AP41" s="166"/>
      <c r="AQ41" s="166"/>
      <c r="AR41" s="166" t="e">
        <f t="shared" si="29"/>
        <v>#N/A</v>
      </c>
      <c r="AS41" s="396"/>
      <c r="AT41" s="166"/>
      <c r="AU41" s="166"/>
      <c r="AV41" s="166"/>
      <c r="AW41" s="166" t="e">
        <f t="shared" si="30"/>
        <v>#N/A</v>
      </c>
      <c r="AX41" s="499"/>
      <c r="AZ41" s="182" t="e">
        <f t="shared" si="22"/>
        <v>#N/A</v>
      </c>
      <c r="BA41" s="386"/>
    </row>
    <row r="42" spans="2:53" ht="15.75">
      <c r="B42" s="424" t="s">
        <v>163</v>
      </c>
      <c r="C42" s="425"/>
      <c r="D42" s="425"/>
      <c r="E42" s="425"/>
      <c r="F42" s="425"/>
      <c r="G42" s="425"/>
      <c r="H42" s="425"/>
      <c r="I42" s="186"/>
      <c r="J42" s="183"/>
      <c r="K42" s="186"/>
      <c r="L42" s="186"/>
      <c r="M42" s="178"/>
      <c r="N42" s="391" t="s">
        <v>156</v>
      </c>
      <c r="O42" s="391" t="s">
        <v>105</v>
      </c>
      <c r="P42" s="413">
        <f>P22+7</f>
        <v>46154</v>
      </c>
      <c r="Q42" s="395"/>
      <c r="R42" s="395"/>
      <c r="S42" s="395"/>
      <c r="T42" s="395"/>
      <c r="U42" s="410">
        <f>P42+1</f>
        <v>46155</v>
      </c>
      <c r="V42" s="411"/>
      <c r="W42" s="411"/>
      <c r="X42" s="411"/>
      <c r="Y42" s="412"/>
      <c r="Z42" s="410">
        <f>U42+1</f>
        <v>46156</v>
      </c>
      <c r="AA42" s="411"/>
      <c r="AB42" s="411"/>
      <c r="AC42" s="411"/>
      <c r="AD42" s="412"/>
      <c r="AE42" s="410">
        <f>Z42+1</f>
        <v>46157</v>
      </c>
      <c r="AF42" s="411"/>
      <c r="AG42" s="411"/>
      <c r="AH42" s="411"/>
      <c r="AI42" s="412"/>
      <c r="AJ42" s="410">
        <f>AE42+1</f>
        <v>46158</v>
      </c>
      <c r="AK42" s="411"/>
      <c r="AL42" s="411"/>
      <c r="AM42" s="411"/>
      <c r="AN42" s="412"/>
      <c r="AO42" s="410">
        <f>AJ42+1</f>
        <v>46159</v>
      </c>
      <c r="AP42" s="411"/>
      <c r="AQ42" s="411"/>
      <c r="AR42" s="411"/>
      <c r="AS42" s="412"/>
      <c r="AT42" s="410">
        <f>AO42+1</f>
        <v>46160</v>
      </c>
      <c r="AU42" s="411"/>
      <c r="AV42" s="411"/>
      <c r="AW42" s="411"/>
      <c r="AX42" s="412"/>
    </row>
    <row r="43" spans="2:53" ht="15.75">
      <c r="B43" s="416"/>
      <c r="C43" s="416"/>
      <c r="D43" s="416"/>
      <c r="E43" s="416"/>
      <c r="F43" s="416"/>
      <c r="G43" s="416"/>
      <c r="H43" s="416"/>
      <c r="I43" s="184"/>
      <c r="J43" s="184"/>
      <c r="K43" s="184"/>
      <c r="L43" s="184"/>
      <c r="M43" s="179"/>
      <c r="N43" s="393"/>
      <c r="O43" s="393"/>
      <c r="P43" s="413" t="s">
        <v>318</v>
      </c>
      <c r="Q43" s="395"/>
      <c r="R43" s="395"/>
      <c r="S43" s="395"/>
      <c r="T43" s="395"/>
      <c r="U43" s="413" t="s">
        <v>319</v>
      </c>
      <c r="V43" s="395"/>
      <c r="W43" s="395"/>
      <c r="X43" s="395"/>
      <c r="Y43" s="395"/>
      <c r="Z43" s="413" t="s">
        <v>320</v>
      </c>
      <c r="AA43" s="395"/>
      <c r="AB43" s="395"/>
      <c r="AC43" s="395"/>
      <c r="AD43" s="395"/>
      <c r="AE43" s="413" t="s">
        <v>321</v>
      </c>
      <c r="AF43" s="395"/>
      <c r="AG43" s="395"/>
      <c r="AH43" s="395"/>
      <c r="AI43" s="395"/>
      <c r="AJ43" s="413" t="s">
        <v>322</v>
      </c>
      <c r="AK43" s="395"/>
      <c r="AL43" s="395"/>
      <c r="AM43" s="395"/>
      <c r="AN43" s="395"/>
      <c r="AO43" s="413" t="s">
        <v>323</v>
      </c>
      <c r="AP43" s="395"/>
      <c r="AQ43" s="395"/>
      <c r="AR43" s="395"/>
      <c r="AS43" s="395"/>
      <c r="AT43" s="413" t="s">
        <v>324</v>
      </c>
      <c r="AU43" s="395"/>
      <c r="AV43" s="395"/>
      <c r="AW43" s="395"/>
      <c r="AX43" s="395"/>
    </row>
    <row r="44" spans="2:53">
      <c r="B44" s="389" t="s">
        <v>376</v>
      </c>
      <c r="C44" s="389" t="s">
        <v>556</v>
      </c>
      <c r="D44" s="389"/>
      <c r="E44" s="389" t="s">
        <v>557</v>
      </c>
      <c r="F44" s="389"/>
      <c r="G44" s="389"/>
      <c r="H44" s="417" t="s">
        <v>558</v>
      </c>
      <c r="I44" s="389" t="s">
        <v>559</v>
      </c>
      <c r="J44" s="389"/>
      <c r="K44" s="389"/>
      <c r="L44" s="417" t="s">
        <v>373</v>
      </c>
      <c r="M44" s="391" t="s">
        <v>560</v>
      </c>
      <c r="N44" s="389"/>
      <c r="O44" s="389" t="s">
        <v>561</v>
      </c>
      <c r="P44" s="404" t="s">
        <v>375</v>
      </c>
      <c r="Q44" s="405"/>
      <c r="R44" s="405"/>
      <c r="S44" s="406"/>
      <c r="T44" s="389" t="s">
        <v>373</v>
      </c>
      <c r="U44" s="404" t="s">
        <v>375</v>
      </c>
      <c r="V44" s="405"/>
      <c r="W44" s="405"/>
      <c r="X44" s="406"/>
      <c r="Y44" s="389" t="s">
        <v>373</v>
      </c>
      <c r="Z44" s="404" t="s">
        <v>375</v>
      </c>
      <c r="AA44" s="405"/>
      <c r="AB44" s="405"/>
      <c r="AC44" s="406"/>
      <c r="AD44" s="389" t="s">
        <v>373</v>
      </c>
      <c r="AE44" s="404" t="s">
        <v>375</v>
      </c>
      <c r="AF44" s="405"/>
      <c r="AG44" s="405"/>
      <c r="AH44" s="406"/>
      <c r="AI44" s="389" t="s">
        <v>373</v>
      </c>
      <c r="AJ44" s="404" t="s">
        <v>375</v>
      </c>
      <c r="AK44" s="405"/>
      <c r="AL44" s="405"/>
      <c r="AM44" s="406"/>
      <c r="AN44" s="389" t="s">
        <v>373</v>
      </c>
      <c r="AO44" s="404" t="s">
        <v>375</v>
      </c>
      <c r="AP44" s="405"/>
      <c r="AQ44" s="405"/>
      <c r="AR44" s="406"/>
      <c r="AS44" s="389" t="s">
        <v>373</v>
      </c>
      <c r="AT44" s="404" t="s">
        <v>375</v>
      </c>
      <c r="AU44" s="405"/>
      <c r="AV44" s="405"/>
      <c r="AW44" s="406"/>
      <c r="AX44" s="389" t="s">
        <v>373</v>
      </c>
      <c r="BA44" s="389" t="s">
        <v>373</v>
      </c>
    </row>
    <row r="45" spans="2:53">
      <c r="B45" s="389"/>
      <c r="C45" s="389"/>
      <c r="D45" s="389"/>
      <c r="E45" s="389" t="s">
        <v>562</v>
      </c>
      <c r="F45" s="389"/>
      <c r="G45" s="389"/>
      <c r="H45" s="418"/>
      <c r="I45" s="389" t="s">
        <v>562</v>
      </c>
      <c r="J45" s="389"/>
      <c r="K45" s="389"/>
      <c r="L45" s="418"/>
      <c r="M45" s="392"/>
      <c r="N45" s="389"/>
      <c r="O45" s="389"/>
      <c r="P45" s="404" t="s">
        <v>381</v>
      </c>
      <c r="Q45" s="405"/>
      <c r="R45" s="405"/>
      <c r="S45" s="406"/>
      <c r="T45" s="389"/>
      <c r="U45" s="404" t="s">
        <v>381</v>
      </c>
      <c r="V45" s="405"/>
      <c r="W45" s="405"/>
      <c r="X45" s="406"/>
      <c r="Y45" s="389"/>
      <c r="Z45" s="404" t="s">
        <v>381</v>
      </c>
      <c r="AA45" s="405"/>
      <c r="AB45" s="405"/>
      <c r="AC45" s="406"/>
      <c r="AD45" s="389"/>
      <c r="AE45" s="404" t="s">
        <v>381</v>
      </c>
      <c r="AF45" s="405"/>
      <c r="AG45" s="405"/>
      <c r="AH45" s="406"/>
      <c r="AI45" s="389"/>
      <c r="AJ45" s="404" t="s">
        <v>381</v>
      </c>
      <c r="AK45" s="405"/>
      <c r="AL45" s="405"/>
      <c r="AM45" s="406"/>
      <c r="AN45" s="389"/>
      <c r="AO45" s="404" t="s">
        <v>381</v>
      </c>
      <c r="AP45" s="405"/>
      <c r="AQ45" s="405"/>
      <c r="AR45" s="406"/>
      <c r="AS45" s="389"/>
      <c r="AT45" s="404" t="s">
        <v>381</v>
      </c>
      <c r="AU45" s="405"/>
      <c r="AV45" s="405"/>
      <c r="AW45" s="406"/>
      <c r="AX45" s="389"/>
      <c r="BA45" s="389"/>
    </row>
    <row r="46" spans="2:53">
      <c r="B46" s="389"/>
      <c r="C46" s="389"/>
      <c r="D46" s="389"/>
      <c r="E46" s="258" t="s">
        <v>563</v>
      </c>
      <c r="F46" s="258" t="s">
        <v>564</v>
      </c>
      <c r="G46" s="258" t="s">
        <v>565</v>
      </c>
      <c r="H46" s="419"/>
      <c r="I46" s="258" t="s">
        <v>563</v>
      </c>
      <c r="J46" s="258" t="s">
        <v>564</v>
      </c>
      <c r="K46" s="258" t="s">
        <v>565</v>
      </c>
      <c r="L46" s="419"/>
      <c r="M46" s="393"/>
      <c r="N46" s="389"/>
      <c r="O46" s="389"/>
      <c r="P46" s="258" t="s">
        <v>382</v>
      </c>
      <c r="Q46" s="258" t="s">
        <v>383</v>
      </c>
      <c r="R46" s="258" t="s">
        <v>384</v>
      </c>
      <c r="S46" s="258" t="s">
        <v>374</v>
      </c>
      <c r="T46" s="389"/>
      <c r="U46" s="258" t="s">
        <v>382</v>
      </c>
      <c r="V46" s="258" t="s">
        <v>383</v>
      </c>
      <c r="W46" s="258" t="s">
        <v>384</v>
      </c>
      <c r="X46" s="258" t="s">
        <v>374</v>
      </c>
      <c r="Y46" s="389"/>
      <c r="Z46" s="258" t="s">
        <v>382</v>
      </c>
      <c r="AA46" s="258" t="s">
        <v>383</v>
      </c>
      <c r="AB46" s="258" t="s">
        <v>384</v>
      </c>
      <c r="AC46" s="258" t="s">
        <v>374</v>
      </c>
      <c r="AD46" s="389"/>
      <c r="AE46" s="258" t="s">
        <v>382</v>
      </c>
      <c r="AF46" s="258" t="s">
        <v>383</v>
      </c>
      <c r="AG46" s="258" t="s">
        <v>384</v>
      </c>
      <c r="AH46" s="258" t="s">
        <v>374</v>
      </c>
      <c r="AI46" s="389"/>
      <c r="AJ46" s="258" t="s">
        <v>382</v>
      </c>
      <c r="AK46" s="258" t="s">
        <v>383</v>
      </c>
      <c r="AL46" s="258" t="s">
        <v>384</v>
      </c>
      <c r="AM46" s="258" t="s">
        <v>374</v>
      </c>
      <c r="AN46" s="389"/>
      <c r="AO46" s="258" t="s">
        <v>382</v>
      </c>
      <c r="AP46" s="258" t="s">
        <v>383</v>
      </c>
      <c r="AQ46" s="258" t="s">
        <v>384</v>
      </c>
      <c r="AR46" s="258" t="s">
        <v>374</v>
      </c>
      <c r="AS46" s="389"/>
      <c r="AT46" s="258" t="s">
        <v>382</v>
      </c>
      <c r="AU46" s="258" t="s">
        <v>383</v>
      </c>
      <c r="AV46" s="258" t="s">
        <v>384</v>
      </c>
      <c r="AW46" s="258" t="s">
        <v>374</v>
      </c>
      <c r="AX46" s="389"/>
      <c r="AZ46" s="258" t="s">
        <v>591</v>
      </c>
      <c r="BA46" s="389"/>
    </row>
    <row r="47" spans="2:53">
      <c r="B47" s="389" t="s">
        <v>388</v>
      </c>
      <c r="C47" s="182">
        <v>1</v>
      </c>
      <c r="D47" s="203" t="s">
        <v>663</v>
      </c>
      <c r="E47" s="166">
        <v>14</v>
      </c>
      <c r="F47" s="182">
        <v>1500</v>
      </c>
      <c r="G47" s="180">
        <v>107.1</v>
      </c>
      <c r="H47" s="401">
        <f>AVERAGE(G47:G61)</f>
        <v>100.13333333333333</v>
      </c>
      <c r="I47" s="166">
        <f t="shared" ref="I47:I60" si="31">IFERROR(AVERAGE(P47,U47,Z47,AE47,AJ47,AO47,AT47),"-")</f>
        <v>14</v>
      </c>
      <c r="J47" s="166">
        <f t="shared" ref="J47:J60" si="32">IFERROR(AVERAGE(Q47,V47,AA47,AF47,AK47,AP47,AU47),"-")</f>
        <v>1460.1255633363107</v>
      </c>
      <c r="K47" s="180">
        <f t="shared" ref="K47:K60" si="33">IFERROR(AVERAGE(R47,W47,AB47,AG47,AL47,AQ47,AV47),"-")</f>
        <v>104.29468309545078</v>
      </c>
      <c r="L47" s="401">
        <f>IFERROR(AVERAGE(K47:K61),"-")</f>
        <v>87.806373789692387</v>
      </c>
      <c r="M47" s="166">
        <f>RANK(K47, K$47:$K$61)</f>
        <v>1</v>
      </c>
      <c r="N47" s="389"/>
      <c r="O47" s="389"/>
      <c r="P47" s="182">
        <v>14</v>
      </c>
      <c r="Q47" s="166">
        <v>1441.1803278688519</v>
      </c>
      <c r="R47" s="166">
        <v>102.94145199063227</v>
      </c>
      <c r="S47" s="182">
        <f t="shared" ref="S47:S61" si="34">RANK(R47, R$47:R$61)</f>
        <v>1</v>
      </c>
      <c r="T47" s="384">
        <f t="shared" ref="T47" si="35">AVERAGE(R47:R61)</f>
        <v>87.371408483463611</v>
      </c>
      <c r="U47" s="182">
        <v>14</v>
      </c>
      <c r="V47" s="166">
        <v>1464.3380281690143</v>
      </c>
      <c r="W47" s="166">
        <v>104.59557344064388</v>
      </c>
      <c r="X47" s="182">
        <f t="shared" ref="X47:X61" si="36">RANK(W47, W$47:W$61)</f>
        <v>1</v>
      </c>
      <c r="Y47" s="384">
        <f t="shared" ref="Y47" si="37">AVERAGE(W47:W61)</f>
        <v>87.094653460343352</v>
      </c>
      <c r="Z47" s="182">
        <v>14</v>
      </c>
      <c r="AA47" s="166">
        <v>1452.2637362637363</v>
      </c>
      <c r="AB47" s="166">
        <v>103.73312401883831</v>
      </c>
      <c r="AC47" s="182">
        <f t="shared" ref="AC47:AC61" si="38">RANK(AB47, AB$47:AB$61)</f>
        <v>1</v>
      </c>
      <c r="AD47" s="384">
        <f t="shared" ref="AD47" si="39">AVERAGE(AB47:AB61)</f>
        <v>88.490048941615839</v>
      </c>
      <c r="AE47" s="182">
        <v>14</v>
      </c>
      <c r="AF47" s="166">
        <v>1471.7288135593212</v>
      </c>
      <c r="AG47" s="166">
        <v>105.12348668280866</v>
      </c>
      <c r="AH47" s="182">
        <f t="shared" ref="AH47:AH61" si="40">RANK(AG47, AG$47:AG$61)</f>
        <v>1</v>
      </c>
      <c r="AI47" s="384">
        <f t="shared" ref="AI47" si="41">AVERAGE(AG47:AG61)</f>
        <v>87.695168731480635</v>
      </c>
      <c r="AJ47" s="182">
        <v>14</v>
      </c>
      <c r="AK47" s="166">
        <v>1443.0422535211271</v>
      </c>
      <c r="AL47" s="166">
        <v>103.07444668008051</v>
      </c>
      <c r="AM47" s="182">
        <f t="shared" ref="AM47:AM61" si="42">RANK(AL47, AL$47:AL$61)</f>
        <v>1</v>
      </c>
      <c r="AN47" s="384">
        <f t="shared" ref="AN47" si="43">AVERAGE(AL47:AL61)</f>
        <v>88.065618363799786</v>
      </c>
      <c r="AO47" s="182">
        <v>14</v>
      </c>
      <c r="AP47" s="166">
        <v>1474.6829268292677</v>
      </c>
      <c r="AQ47" s="166">
        <v>105.33449477351913</v>
      </c>
      <c r="AR47" s="182">
        <f t="shared" ref="AR47:AR61" si="44">RANK(AQ47, AQ$47:AQ$61)</f>
        <v>1</v>
      </c>
      <c r="AS47" s="384">
        <f t="shared" ref="AS47" si="45">AVERAGE(AQ47:AQ61)</f>
        <v>88.644607606516672</v>
      </c>
      <c r="AT47" s="182">
        <v>14</v>
      </c>
      <c r="AU47" s="166">
        <v>1473.6428571428567</v>
      </c>
      <c r="AV47" s="166">
        <v>105.26020408163262</v>
      </c>
      <c r="AW47" s="182">
        <f t="shared" ref="AW47:AW61" si="46">RANK(AV47, AV$47:AV$61)</f>
        <v>1</v>
      </c>
      <c r="AX47" s="384">
        <f t="shared" ref="AX47" si="47">AVERAGE(AV47:AV61)</f>
        <v>87.28311094062677</v>
      </c>
      <c r="AZ47" s="182" t="e">
        <f t="shared" ref="AZ47:AZ61" si="48">RANK(AY47, AY$47:AY$61)</f>
        <v>#N/A</v>
      </c>
      <c r="BA47" s="426" t="e">
        <f t="shared" ref="BA47" si="49">AVERAGE(AY47:AY61)</f>
        <v>#DIV/0!</v>
      </c>
    </row>
    <row r="48" spans="2:53">
      <c r="B48" s="395"/>
      <c r="C48" s="182">
        <v>2</v>
      </c>
      <c r="D48" s="203" t="s">
        <v>539</v>
      </c>
      <c r="E48" s="166">
        <v>16</v>
      </c>
      <c r="F48" s="182">
        <v>1636</v>
      </c>
      <c r="G48" s="180">
        <v>102.3</v>
      </c>
      <c r="H48" s="402"/>
      <c r="I48" s="166">
        <f t="shared" si="31"/>
        <v>16.857142857142858</v>
      </c>
      <c r="J48" s="166">
        <f t="shared" si="32"/>
        <v>1425.8077671486994</v>
      </c>
      <c r="K48" s="180">
        <f t="shared" si="33"/>
        <v>84.625596947122375</v>
      </c>
      <c r="L48" s="402"/>
      <c r="M48" s="166">
        <f>RANK(K48, K$47:$K$61)</f>
        <v>3</v>
      </c>
      <c r="N48" s="389"/>
      <c r="O48" s="389"/>
      <c r="P48" s="182">
        <v>17</v>
      </c>
      <c r="Q48" s="166">
        <v>1428.8372093023254</v>
      </c>
      <c r="R48" s="166">
        <v>84.049247606019136</v>
      </c>
      <c r="S48" s="182">
        <f t="shared" si="34"/>
        <v>4</v>
      </c>
      <c r="T48" s="385"/>
      <c r="U48" s="182">
        <v>17</v>
      </c>
      <c r="V48" s="166">
        <v>1419.3333333333333</v>
      </c>
      <c r="W48" s="166">
        <v>83.490196078431367</v>
      </c>
      <c r="X48" s="182">
        <f t="shared" si="36"/>
        <v>4</v>
      </c>
      <c r="Y48" s="385"/>
      <c r="Z48" s="182">
        <v>17</v>
      </c>
      <c r="AA48" s="166">
        <v>1439.2500000000007</v>
      </c>
      <c r="AB48" s="166">
        <v>84.661764705882391</v>
      </c>
      <c r="AC48" s="182">
        <f t="shared" si="38"/>
        <v>4</v>
      </c>
      <c r="AD48" s="385"/>
      <c r="AE48" s="182">
        <v>17</v>
      </c>
      <c r="AF48" s="166">
        <v>1393.8461538461536</v>
      </c>
      <c r="AG48" s="166">
        <v>81.990950226244323</v>
      </c>
      <c r="AH48" s="182">
        <f t="shared" si="40"/>
        <v>4</v>
      </c>
      <c r="AI48" s="385"/>
      <c r="AJ48" s="182">
        <v>17</v>
      </c>
      <c r="AK48" s="166">
        <v>1416.3380281690136</v>
      </c>
      <c r="AL48" s="166">
        <v>83.314001657000802</v>
      </c>
      <c r="AM48" s="182">
        <f t="shared" si="42"/>
        <v>4</v>
      </c>
      <c r="AN48" s="385"/>
      <c r="AO48" s="182">
        <v>16</v>
      </c>
      <c r="AP48" s="166">
        <v>1436.6666666666658</v>
      </c>
      <c r="AQ48" s="166">
        <v>89.791666666666615</v>
      </c>
      <c r="AR48" s="182">
        <f t="shared" si="44"/>
        <v>3</v>
      </c>
      <c r="AS48" s="385"/>
      <c r="AT48" s="182">
        <v>17</v>
      </c>
      <c r="AU48" s="166">
        <v>1446.3829787234038</v>
      </c>
      <c r="AV48" s="166">
        <v>85.081351689611992</v>
      </c>
      <c r="AW48" s="182">
        <f t="shared" si="46"/>
        <v>3</v>
      </c>
      <c r="AX48" s="385"/>
      <c r="AZ48" s="182" t="e">
        <f t="shared" si="48"/>
        <v>#N/A</v>
      </c>
      <c r="BA48" s="427"/>
    </row>
    <row r="49" spans="2:53">
      <c r="B49" s="395"/>
      <c r="C49" s="182">
        <v>3</v>
      </c>
      <c r="D49" s="203" t="s">
        <v>640</v>
      </c>
      <c r="E49" s="166">
        <v>17</v>
      </c>
      <c r="F49" s="182">
        <v>1500</v>
      </c>
      <c r="G49" s="180">
        <v>88.2</v>
      </c>
      <c r="H49" s="402"/>
      <c r="I49" s="166">
        <f t="shared" si="31"/>
        <v>17</v>
      </c>
      <c r="J49" s="166">
        <f t="shared" si="32"/>
        <v>1429.5296351868105</v>
      </c>
      <c r="K49" s="180">
        <f t="shared" si="33"/>
        <v>84.089978540400594</v>
      </c>
      <c r="L49" s="402"/>
      <c r="M49" s="166">
        <f>RANK(K49, K$47:$K$61)</f>
        <v>4</v>
      </c>
      <c r="N49" s="389"/>
      <c r="O49" s="389"/>
      <c r="P49" s="182">
        <v>17</v>
      </c>
      <c r="Q49" s="166">
        <v>1432.0194174757289</v>
      </c>
      <c r="R49" s="166">
        <v>84.236436322101696</v>
      </c>
      <c r="S49" s="182">
        <f t="shared" si="34"/>
        <v>3</v>
      </c>
      <c r="T49" s="385"/>
      <c r="U49" s="182">
        <v>17</v>
      </c>
      <c r="V49" s="166">
        <v>1433.545454545455</v>
      </c>
      <c r="W49" s="166">
        <v>84.32620320855618</v>
      </c>
      <c r="X49" s="182">
        <f t="shared" si="36"/>
        <v>3</v>
      </c>
      <c r="Y49" s="385"/>
      <c r="Z49" s="182">
        <v>17</v>
      </c>
      <c r="AA49" s="166">
        <v>1446.1855670103096</v>
      </c>
      <c r="AB49" s="166">
        <v>85.069739235900556</v>
      </c>
      <c r="AC49" s="182">
        <f t="shared" si="38"/>
        <v>3</v>
      </c>
      <c r="AD49" s="385"/>
      <c r="AE49" s="182">
        <v>17</v>
      </c>
      <c r="AF49" s="166">
        <v>1415.655172413793</v>
      </c>
      <c r="AG49" s="166">
        <v>83.273833671399586</v>
      </c>
      <c r="AH49" s="182">
        <f t="shared" si="40"/>
        <v>3</v>
      </c>
      <c r="AI49" s="385"/>
      <c r="AJ49" s="182">
        <v>17</v>
      </c>
      <c r="AK49" s="166">
        <v>1439.1</v>
      </c>
      <c r="AL49" s="166">
        <v>84.652941176470577</v>
      </c>
      <c r="AM49" s="182">
        <f t="shared" si="42"/>
        <v>3</v>
      </c>
      <c r="AN49" s="385"/>
      <c r="AO49" s="182">
        <v>17</v>
      </c>
      <c r="AP49" s="166">
        <v>1417.954128440367</v>
      </c>
      <c r="AQ49" s="166">
        <v>83.409066378845111</v>
      </c>
      <c r="AR49" s="182">
        <f t="shared" si="44"/>
        <v>4</v>
      </c>
      <c r="AS49" s="385"/>
      <c r="AT49" s="182">
        <v>17</v>
      </c>
      <c r="AU49" s="166">
        <v>1422.2477064220182</v>
      </c>
      <c r="AV49" s="166">
        <v>83.66162978953048</v>
      </c>
      <c r="AW49" s="182">
        <f t="shared" si="46"/>
        <v>4</v>
      </c>
      <c r="AX49" s="385"/>
      <c r="AZ49" s="182" t="e">
        <f t="shared" si="48"/>
        <v>#N/A</v>
      </c>
      <c r="BA49" s="427"/>
    </row>
    <row r="50" spans="2:53">
      <c r="B50" s="395"/>
      <c r="C50" s="182">
        <v>4</v>
      </c>
      <c r="D50" s="203" t="s">
        <v>649</v>
      </c>
      <c r="E50" s="166">
        <v>16</v>
      </c>
      <c r="F50" s="182">
        <v>1500</v>
      </c>
      <c r="G50" s="180">
        <v>93.8</v>
      </c>
      <c r="H50" s="402"/>
      <c r="I50" s="166">
        <f t="shared" si="31"/>
        <v>17</v>
      </c>
      <c r="J50" s="166">
        <f t="shared" si="32"/>
        <v>1358.5460182889751</v>
      </c>
      <c r="K50" s="180">
        <f t="shared" si="33"/>
        <v>79.914471664057373</v>
      </c>
      <c r="L50" s="402"/>
      <c r="M50" s="166">
        <f>RANK(K50, K$47:$K$61)</f>
        <v>6</v>
      </c>
      <c r="N50" s="389"/>
      <c r="O50" s="389"/>
      <c r="P50" s="182">
        <v>17</v>
      </c>
      <c r="Q50" s="166">
        <v>1362.2950819672133</v>
      </c>
      <c r="R50" s="166">
        <v>80.135004821600774</v>
      </c>
      <c r="S50" s="182">
        <f t="shared" si="34"/>
        <v>5</v>
      </c>
      <c r="T50" s="385"/>
      <c r="U50" s="182">
        <v>17</v>
      </c>
      <c r="V50" s="166">
        <v>1349.7637795275587</v>
      </c>
      <c r="W50" s="166">
        <v>79.39786938397404</v>
      </c>
      <c r="X50" s="182">
        <f t="shared" si="36"/>
        <v>6</v>
      </c>
      <c r="Y50" s="385"/>
      <c r="Z50" s="182">
        <v>17</v>
      </c>
      <c r="AA50" s="166">
        <v>1374.8275862068967</v>
      </c>
      <c r="AB50" s="166">
        <v>80.872210953346865</v>
      </c>
      <c r="AC50" s="182">
        <f t="shared" si="38"/>
        <v>6</v>
      </c>
      <c r="AD50" s="385"/>
      <c r="AE50" s="182">
        <v>17</v>
      </c>
      <c r="AF50" s="166">
        <v>1339.0099009900985</v>
      </c>
      <c r="AG50" s="166">
        <v>78.765288293535207</v>
      </c>
      <c r="AH50" s="182">
        <f t="shared" si="40"/>
        <v>6</v>
      </c>
      <c r="AI50" s="385"/>
      <c r="AJ50" s="182">
        <v>17</v>
      </c>
      <c r="AK50" s="166">
        <v>1369.69696969697</v>
      </c>
      <c r="AL50" s="166">
        <v>80.570409982174709</v>
      </c>
      <c r="AM50" s="182">
        <f t="shared" si="42"/>
        <v>6</v>
      </c>
      <c r="AN50" s="385"/>
      <c r="AO50" s="182">
        <v>17</v>
      </c>
      <c r="AP50" s="166">
        <v>1365.8823529411768</v>
      </c>
      <c r="AQ50" s="166">
        <v>80.346020761245697</v>
      </c>
      <c r="AR50" s="182">
        <f t="shared" si="44"/>
        <v>6</v>
      </c>
      <c r="AS50" s="385"/>
      <c r="AT50" s="182">
        <v>17</v>
      </c>
      <c r="AU50" s="166">
        <v>1348.3464566929131</v>
      </c>
      <c r="AV50" s="166">
        <v>79.314497452524293</v>
      </c>
      <c r="AW50" s="182">
        <f t="shared" si="46"/>
        <v>6</v>
      </c>
      <c r="AX50" s="385"/>
      <c r="AZ50" s="182" t="e">
        <f t="shared" si="48"/>
        <v>#N/A</v>
      </c>
      <c r="BA50" s="427"/>
    </row>
    <row r="51" spans="2:53">
      <c r="B51" s="395"/>
      <c r="C51" s="182">
        <v>5</v>
      </c>
      <c r="D51" s="203" t="s">
        <v>637</v>
      </c>
      <c r="E51" s="166">
        <v>15</v>
      </c>
      <c r="F51" s="182">
        <v>1500</v>
      </c>
      <c r="G51" s="180">
        <v>107.1</v>
      </c>
      <c r="H51" s="402"/>
      <c r="I51" s="166">
        <f t="shared" si="31"/>
        <v>15.428571428571429</v>
      </c>
      <c r="J51" s="166">
        <f t="shared" si="32"/>
        <v>1428.910735023909</v>
      </c>
      <c r="K51" s="180">
        <f t="shared" si="33"/>
        <v>92.707667826830047</v>
      </c>
      <c r="L51" s="402"/>
      <c r="M51" s="166">
        <f>RANK(K51, K$47:$K$61)</f>
        <v>2</v>
      </c>
      <c r="N51" s="389"/>
      <c r="O51" s="389"/>
      <c r="P51" s="182">
        <v>15</v>
      </c>
      <c r="Q51" s="166">
        <v>1426.5240641711225</v>
      </c>
      <c r="R51" s="166">
        <v>95.101604278074831</v>
      </c>
      <c r="S51" s="182">
        <f t="shared" si="34"/>
        <v>2</v>
      </c>
      <c r="T51" s="385"/>
      <c r="U51" s="182">
        <v>16</v>
      </c>
      <c r="V51" s="166">
        <v>1413.8547486033526</v>
      </c>
      <c r="W51" s="166">
        <v>88.365921787709539</v>
      </c>
      <c r="X51" s="182">
        <f t="shared" si="36"/>
        <v>2</v>
      </c>
      <c r="Y51" s="385"/>
      <c r="Z51" s="182">
        <v>15</v>
      </c>
      <c r="AA51" s="166">
        <v>1427.3885350318471</v>
      </c>
      <c r="AB51" s="166">
        <v>95.159235668789805</v>
      </c>
      <c r="AC51" s="182">
        <f t="shared" si="38"/>
        <v>2</v>
      </c>
      <c r="AD51" s="385"/>
      <c r="AE51" s="182">
        <v>15</v>
      </c>
      <c r="AF51" s="166">
        <v>1435.9459459459465</v>
      </c>
      <c r="AG51" s="166">
        <v>95.729729729729769</v>
      </c>
      <c r="AH51" s="182">
        <f t="shared" si="40"/>
        <v>2</v>
      </c>
      <c r="AI51" s="385"/>
      <c r="AJ51" s="182">
        <v>15</v>
      </c>
      <c r="AK51" s="166">
        <v>1423.3962264150944</v>
      </c>
      <c r="AL51" s="166">
        <v>94.893081761006286</v>
      </c>
      <c r="AM51" s="182">
        <f t="shared" si="42"/>
        <v>2</v>
      </c>
      <c r="AN51" s="385"/>
      <c r="AO51" s="182">
        <v>16</v>
      </c>
      <c r="AP51" s="166">
        <v>1447.5</v>
      </c>
      <c r="AQ51" s="166">
        <v>90.46875</v>
      </c>
      <c r="AR51" s="182">
        <f t="shared" si="44"/>
        <v>2</v>
      </c>
      <c r="AS51" s="385"/>
      <c r="AT51" s="182">
        <v>16</v>
      </c>
      <c r="AU51" s="166">
        <v>1427.7656250000007</v>
      </c>
      <c r="AV51" s="166">
        <v>89.235351562500043</v>
      </c>
      <c r="AW51" s="182">
        <f t="shared" si="46"/>
        <v>2</v>
      </c>
      <c r="AX51" s="385"/>
      <c r="AZ51" s="182" t="e">
        <f t="shared" si="48"/>
        <v>#N/A</v>
      </c>
      <c r="BA51" s="427"/>
    </row>
    <row r="52" spans="2:53">
      <c r="B52" s="395"/>
      <c r="C52" s="182">
        <v>6</v>
      </c>
      <c r="D52" s="203" t="s">
        <v>655</v>
      </c>
      <c r="E52" s="166">
        <v>17</v>
      </c>
      <c r="F52" s="182">
        <v>1636</v>
      </c>
      <c r="G52" s="180">
        <v>102.3</v>
      </c>
      <c r="H52" s="402"/>
      <c r="I52" s="166">
        <f t="shared" si="31"/>
        <v>17.142857142857142</v>
      </c>
      <c r="J52" s="166">
        <f t="shared" si="32"/>
        <v>1391.6086029904623</v>
      </c>
      <c r="K52" s="180">
        <f t="shared" si="33"/>
        <v>81.205844664293139</v>
      </c>
      <c r="L52" s="402"/>
      <c r="M52" s="166">
        <f>RANK(K52, K$47:$K$61)</f>
        <v>5</v>
      </c>
      <c r="N52" s="389"/>
      <c r="O52" s="389"/>
      <c r="P52" s="182">
        <v>18</v>
      </c>
      <c r="Q52" s="166">
        <v>1399.7647058823532</v>
      </c>
      <c r="R52" s="166">
        <v>77.764705882352956</v>
      </c>
      <c r="S52" s="182">
        <f t="shared" si="34"/>
        <v>6</v>
      </c>
      <c r="T52" s="385"/>
      <c r="U52" s="182">
        <v>17</v>
      </c>
      <c r="V52" s="166">
        <v>1400.6666666666663</v>
      </c>
      <c r="W52" s="166">
        <v>82.392156862745082</v>
      </c>
      <c r="X52" s="182">
        <f t="shared" si="36"/>
        <v>5</v>
      </c>
      <c r="Y52" s="385"/>
      <c r="Z52" s="182">
        <v>17</v>
      </c>
      <c r="AA52" s="166">
        <v>1384.5517241379312</v>
      </c>
      <c r="AB52" s="166">
        <v>81.444219066937123</v>
      </c>
      <c r="AC52" s="182">
        <f t="shared" si="38"/>
        <v>5</v>
      </c>
      <c r="AD52" s="385"/>
      <c r="AE52" s="182">
        <v>17</v>
      </c>
      <c r="AF52" s="166">
        <v>1381.8913043478262</v>
      </c>
      <c r="AG52" s="166">
        <v>81.28772378516625</v>
      </c>
      <c r="AH52" s="182">
        <f t="shared" si="40"/>
        <v>5</v>
      </c>
      <c r="AI52" s="385"/>
      <c r="AJ52" s="182">
        <v>17</v>
      </c>
      <c r="AK52" s="166">
        <v>1392.110091743119</v>
      </c>
      <c r="AL52" s="166">
        <v>81.888828926065827</v>
      </c>
      <c r="AM52" s="182">
        <f t="shared" si="42"/>
        <v>5</v>
      </c>
      <c r="AN52" s="385"/>
      <c r="AO52" s="182">
        <v>17</v>
      </c>
      <c r="AP52" s="166">
        <v>1402.7999999999993</v>
      </c>
      <c r="AQ52" s="166">
        <v>82.517647058823485</v>
      </c>
      <c r="AR52" s="182">
        <f t="shared" si="44"/>
        <v>5</v>
      </c>
      <c r="AS52" s="385"/>
      <c r="AT52" s="182">
        <v>17</v>
      </c>
      <c r="AU52" s="166">
        <v>1379.4757281553402</v>
      </c>
      <c r="AV52" s="166">
        <v>81.14563106796119</v>
      </c>
      <c r="AW52" s="182">
        <f t="shared" si="46"/>
        <v>5</v>
      </c>
      <c r="AX52" s="385"/>
      <c r="AZ52" s="182" t="e">
        <f t="shared" si="48"/>
        <v>#N/A</v>
      </c>
      <c r="BA52" s="427"/>
    </row>
    <row r="53" spans="2:53">
      <c r="B53" s="395"/>
      <c r="C53" s="182">
        <v>7</v>
      </c>
      <c r="D53" s="203"/>
      <c r="E53" s="166"/>
      <c r="F53" s="182"/>
      <c r="G53" s="180"/>
      <c r="H53" s="402"/>
      <c r="I53" s="166" t="str">
        <f t="shared" si="31"/>
        <v>-</v>
      </c>
      <c r="J53" s="166" t="str">
        <f t="shared" si="32"/>
        <v>-</v>
      </c>
      <c r="K53" s="180" t="str">
        <f t="shared" si="33"/>
        <v>-</v>
      </c>
      <c r="L53" s="402"/>
      <c r="M53" s="166" t="e">
        <f>RANK(K53, K$47:$K$61)</f>
        <v>#VALUE!</v>
      </c>
      <c r="N53" s="389"/>
      <c r="O53" s="389"/>
      <c r="P53" s="182" t="s">
        <v>634</v>
      </c>
      <c r="Q53" s="166" t="s">
        <v>634</v>
      </c>
      <c r="R53" s="166" t="s">
        <v>634</v>
      </c>
      <c r="S53" s="182" t="e">
        <f t="shared" si="34"/>
        <v>#VALUE!</v>
      </c>
      <c r="T53" s="385"/>
      <c r="U53" s="182" t="s">
        <v>634</v>
      </c>
      <c r="V53" s="166" t="s">
        <v>634</v>
      </c>
      <c r="W53" s="166" t="s">
        <v>634</v>
      </c>
      <c r="X53" s="182" t="e">
        <f t="shared" si="36"/>
        <v>#VALUE!</v>
      </c>
      <c r="Y53" s="385"/>
      <c r="Z53" s="182" t="s">
        <v>634</v>
      </c>
      <c r="AA53" s="166" t="s">
        <v>634</v>
      </c>
      <c r="AB53" s="166" t="s">
        <v>634</v>
      </c>
      <c r="AC53" s="182" t="e">
        <f t="shared" si="38"/>
        <v>#VALUE!</v>
      </c>
      <c r="AD53" s="385"/>
      <c r="AE53" s="182" t="s">
        <v>634</v>
      </c>
      <c r="AF53" s="166" t="s">
        <v>634</v>
      </c>
      <c r="AG53" s="166" t="s">
        <v>634</v>
      </c>
      <c r="AH53" s="182" t="e">
        <f t="shared" si="40"/>
        <v>#VALUE!</v>
      </c>
      <c r="AI53" s="385"/>
      <c r="AJ53" s="182" t="s">
        <v>634</v>
      </c>
      <c r="AK53" s="166" t="s">
        <v>634</v>
      </c>
      <c r="AL53" s="166" t="s">
        <v>634</v>
      </c>
      <c r="AM53" s="182" t="e">
        <f t="shared" si="42"/>
        <v>#VALUE!</v>
      </c>
      <c r="AN53" s="385"/>
      <c r="AO53" s="182" t="s">
        <v>634</v>
      </c>
      <c r="AP53" s="166" t="s">
        <v>634</v>
      </c>
      <c r="AQ53" s="166" t="s">
        <v>634</v>
      </c>
      <c r="AR53" s="182" t="e">
        <f t="shared" si="44"/>
        <v>#VALUE!</v>
      </c>
      <c r="AS53" s="385"/>
      <c r="AT53" s="182" t="s">
        <v>634</v>
      </c>
      <c r="AU53" s="166" t="s">
        <v>634</v>
      </c>
      <c r="AV53" s="166" t="s">
        <v>634</v>
      </c>
      <c r="AW53" s="182" t="e">
        <f t="shared" si="46"/>
        <v>#VALUE!</v>
      </c>
      <c r="AX53" s="385"/>
      <c r="AZ53" s="182" t="e">
        <f t="shared" si="48"/>
        <v>#N/A</v>
      </c>
      <c r="BA53" s="427"/>
    </row>
    <row r="54" spans="2:53">
      <c r="B54" s="395"/>
      <c r="C54" s="182">
        <v>8</v>
      </c>
      <c r="D54" s="203"/>
      <c r="E54" s="166"/>
      <c r="F54" s="182"/>
      <c r="G54" s="180"/>
      <c r="H54" s="402"/>
      <c r="I54" s="166" t="str">
        <f t="shared" si="31"/>
        <v>-</v>
      </c>
      <c r="J54" s="166" t="str">
        <f t="shared" si="32"/>
        <v>-</v>
      </c>
      <c r="K54" s="180" t="str">
        <f t="shared" si="33"/>
        <v>-</v>
      </c>
      <c r="L54" s="402"/>
      <c r="M54" s="166" t="e">
        <f>RANK(K54, K$47:$K$61)</f>
        <v>#VALUE!</v>
      </c>
      <c r="N54" s="389"/>
      <c r="O54" s="389"/>
      <c r="P54" s="182" t="s">
        <v>634</v>
      </c>
      <c r="Q54" s="166" t="s">
        <v>634</v>
      </c>
      <c r="R54" s="166" t="s">
        <v>634</v>
      </c>
      <c r="S54" s="182" t="e">
        <f t="shared" si="34"/>
        <v>#VALUE!</v>
      </c>
      <c r="T54" s="385"/>
      <c r="U54" s="182" t="s">
        <v>634</v>
      </c>
      <c r="V54" s="166" t="s">
        <v>634</v>
      </c>
      <c r="W54" s="166" t="s">
        <v>634</v>
      </c>
      <c r="X54" s="182" t="e">
        <f t="shared" si="36"/>
        <v>#VALUE!</v>
      </c>
      <c r="Y54" s="385"/>
      <c r="Z54" s="182" t="s">
        <v>634</v>
      </c>
      <c r="AA54" s="166" t="s">
        <v>634</v>
      </c>
      <c r="AB54" s="166" t="s">
        <v>634</v>
      </c>
      <c r="AC54" s="182" t="e">
        <f t="shared" si="38"/>
        <v>#VALUE!</v>
      </c>
      <c r="AD54" s="385"/>
      <c r="AE54" s="182" t="s">
        <v>634</v>
      </c>
      <c r="AF54" s="166" t="s">
        <v>634</v>
      </c>
      <c r="AG54" s="166" t="s">
        <v>634</v>
      </c>
      <c r="AH54" s="182" t="e">
        <f t="shared" si="40"/>
        <v>#VALUE!</v>
      </c>
      <c r="AI54" s="385"/>
      <c r="AJ54" s="182" t="s">
        <v>634</v>
      </c>
      <c r="AK54" s="166" t="s">
        <v>634</v>
      </c>
      <c r="AL54" s="166" t="s">
        <v>634</v>
      </c>
      <c r="AM54" s="182" t="e">
        <f t="shared" si="42"/>
        <v>#VALUE!</v>
      </c>
      <c r="AN54" s="385"/>
      <c r="AO54" s="182" t="s">
        <v>634</v>
      </c>
      <c r="AP54" s="166" t="s">
        <v>634</v>
      </c>
      <c r="AQ54" s="166" t="s">
        <v>634</v>
      </c>
      <c r="AR54" s="182" t="e">
        <f t="shared" si="44"/>
        <v>#VALUE!</v>
      </c>
      <c r="AS54" s="385"/>
      <c r="AT54" s="182" t="s">
        <v>634</v>
      </c>
      <c r="AU54" s="166" t="s">
        <v>634</v>
      </c>
      <c r="AV54" s="166" t="s">
        <v>634</v>
      </c>
      <c r="AW54" s="182" t="e">
        <f t="shared" si="46"/>
        <v>#VALUE!</v>
      </c>
      <c r="AX54" s="385"/>
      <c r="AZ54" s="182" t="e">
        <f t="shared" si="48"/>
        <v>#N/A</v>
      </c>
      <c r="BA54" s="427"/>
    </row>
    <row r="55" spans="2:53">
      <c r="B55" s="395"/>
      <c r="C55" s="182">
        <v>9</v>
      </c>
      <c r="D55" s="203"/>
      <c r="E55" s="166"/>
      <c r="F55" s="182"/>
      <c r="G55" s="180"/>
      <c r="H55" s="402"/>
      <c r="I55" s="166" t="str">
        <f t="shared" si="31"/>
        <v>-</v>
      </c>
      <c r="J55" s="166" t="str">
        <f t="shared" si="32"/>
        <v>-</v>
      </c>
      <c r="K55" s="180" t="str">
        <f t="shared" si="33"/>
        <v>-</v>
      </c>
      <c r="L55" s="402"/>
      <c r="M55" s="166" t="e">
        <f>RANK(K55, K$47:$K$61)</f>
        <v>#VALUE!</v>
      </c>
      <c r="N55" s="389"/>
      <c r="O55" s="389"/>
      <c r="P55" s="182" t="s">
        <v>634</v>
      </c>
      <c r="Q55" s="166" t="s">
        <v>634</v>
      </c>
      <c r="R55" s="166" t="s">
        <v>634</v>
      </c>
      <c r="S55" s="182" t="e">
        <f t="shared" si="34"/>
        <v>#VALUE!</v>
      </c>
      <c r="T55" s="385"/>
      <c r="U55" s="182" t="s">
        <v>634</v>
      </c>
      <c r="V55" s="166" t="s">
        <v>634</v>
      </c>
      <c r="W55" s="166" t="s">
        <v>634</v>
      </c>
      <c r="X55" s="182" t="e">
        <f t="shared" si="36"/>
        <v>#VALUE!</v>
      </c>
      <c r="Y55" s="385"/>
      <c r="Z55" s="182" t="s">
        <v>634</v>
      </c>
      <c r="AA55" s="166" t="s">
        <v>634</v>
      </c>
      <c r="AB55" s="166" t="s">
        <v>634</v>
      </c>
      <c r="AC55" s="182" t="e">
        <f t="shared" si="38"/>
        <v>#VALUE!</v>
      </c>
      <c r="AD55" s="385"/>
      <c r="AE55" s="182" t="s">
        <v>634</v>
      </c>
      <c r="AF55" s="166" t="s">
        <v>634</v>
      </c>
      <c r="AG55" s="166" t="s">
        <v>634</v>
      </c>
      <c r="AH55" s="182" t="e">
        <f t="shared" si="40"/>
        <v>#VALUE!</v>
      </c>
      <c r="AI55" s="385"/>
      <c r="AJ55" s="182" t="s">
        <v>634</v>
      </c>
      <c r="AK55" s="166" t="s">
        <v>634</v>
      </c>
      <c r="AL55" s="166" t="s">
        <v>634</v>
      </c>
      <c r="AM55" s="182" t="e">
        <f t="shared" si="42"/>
        <v>#VALUE!</v>
      </c>
      <c r="AN55" s="385"/>
      <c r="AO55" s="182" t="s">
        <v>634</v>
      </c>
      <c r="AP55" s="166" t="s">
        <v>634</v>
      </c>
      <c r="AQ55" s="166" t="s">
        <v>634</v>
      </c>
      <c r="AR55" s="182" t="e">
        <f t="shared" si="44"/>
        <v>#VALUE!</v>
      </c>
      <c r="AS55" s="385"/>
      <c r="AT55" s="182" t="s">
        <v>634</v>
      </c>
      <c r="AU55" s="166" t="s">
        <v>634</v>
      </c>
      <c r="AV55" s="166" t="s">
        <v>634</v>
      </c>
      <c r="AW55" s="182" t="e">
        <f t="shared" si="46"/>
        <v>#VALUE!</v>
      </c>
      <c r="AX55" s="385"/>
      <c r="AZ55" s="182" t="e">
        <f t="shared" si="48"/>
        <v>#N/A</v>
      </c>
      <c r="BA55" s="427"/>
    </row>
    <row r="56" spans="2:53">
      <c r="B56" s="395"/>
      <c r="C56" s="182">
        <v>10</v>
      </c>
      <c r="D56" s="203"/>
      <c r="E56" s="166"/>
      <c r="F56" s="182"/>
      <c r="G56" s="180"/>
      <c r="H56" s="402"/>
      <c r="I56" s="166" t="str">
        <f t="shared" si="31"/>
        <v>-</v>
      </c>
      <c r="J56" s="166" t="str">
        <f t="shared" si="32"/>
        <v>-</v>
      </c>
      <c r="K56" s="180" t="str">
        <f t="shared" si="33"/>
        <v>-</v>
      </c>
      <c r="L56" s="402"/>
      <c r="M56" s="166" t="e">
        <f>RANK(K56, K$47:$K$61)</f>
        <v>#VALUE!</v>
      </c>
      <c r="N56" s="389"/>
      <c r="O56" s="389"/>
      <c r="P56" s="182" t="s">
        <v>634</v>
      </c>
      <c r="Q56" s="166" t="s">
        <v>634</v>
      </c>
      <c r="R56" s="166" t="s">
        <v>634</v>
      </c>
      <c r="S56" s="182" t="e">
        <f t="shared" si="34"/>
        <v>#VALUE!</v>
      </c>
      <c r="T56" s="385"/>
      <c r="U56" s="182" t="s">
        <v>634</v>
      </c>
      <c r="V56" s="166" t="s">
        <v>634</v>
      </c>
      <c r="W56" s="166" t="s">
        <v>634</v>
      </c>
      <c r="X56" s="182" t="e">
        <f t="shared" si="36"/>
        <v>#VALUE!</v>
      </c>
      <c r="Y56" s="385"/>
      <c r="Z56" s="182" t="s">
        <v>634</v>
      </c>
      <c r="AA56" s="166" t="s">
        <v>634</v>
      </c>
      <c r="AB56" s="166" t="s">
        <v>634</v>
      </c>
      <c r="AC56" s="182" t="e">
        <f t="shared" si="38"/>
        <v>#VALUE!</v>
      </c>
      <c r="AD56" s="385"/>
      <c r="AE56" s="182" t="s">
        <v>634</v>
      </c>
      <c r="AF56" s="166" t="s">
        <v>634</v>
      </c>
      <c r="AG56" s="166" t="s">
        <v>634</v>
      </c>
      <c r="AH56" s="182" t="e">
        <f t="shared" si="40"/>
        <v>#VALUE!</v>
      </c>
      <c r="AI56" s="385"/>
      <c r="AJ56" s="182" t="s">
        <v>634</v>
      </c>
      <c r="AK56" s="166" t="s">
        <v>634</v>
      </c>
      <c r="AL56" s="166" t="s">
        <v>634</v>
      </c>
      <c r="AM56" s="182" t="e">
        <f t="shared" si="42"/>
        <v>#VALUE!</v>
      </c>
      <c r="AN56" s="385"/>
      <c r="AO56" s="182" t="s">
        <v>634</v>
      </c>
      <c r="AP56" s="166" t="s">
        <v>634</v>
      </c>
      <c r="AQ56" s="166" t="s">
        <v>634</v>
      </c>
      <c r="AR56" s="182" t="e">
        <f t="shared" si="44"/>
        <v>#VALUE!</v>
      </c>
      <c r="AS56" s="385"/>
      <c r="AT56" s="182" t="s">
        <v>634</v>
      </c>
      <c r="AU56" s="166" t="s">
        <v>634</v>
      </c>
      <c r="AV56" s="166" t="s">
        <v>634</v>
      </c>
      <c r="AW56" s="182" t="e">
        <f t="shared" si="46"/>
        <v>#VALUE!</v>
      </c>
      <c r="AX56" s="385"/>
      <c r="AZ56" s="182" t="e">
        <f t="shared" si="48"/>
        <v>#N/A</v>
      </c>
      <c r="BA56" s="427"/>
    </row>
    <row r="57" spans="2:53">
      <c r="B57" s="395"/>
      <c r="C57" s="182">
        <v>11</v>
      </c>
      <c r="D57" s="203"/>
      <c r="E57" s="166"/>
      <c r="F57" s="182"/>
      <c r="G57" s="180"/>
      <c r="H57" s="402"/>
      <c r="I57" s="166" t="str">
        <f t="shared" si="31"/>
        <v>-</v>
      </c>
      <c r="J57" s="166" t="str">
        <f t="shared" si="32"/>
        <v>-</v>
      </c>
      <c r="K57" s="180" t="str">
        <f t="shared" si="33"/>
        <v>-</v>
      </c>
      <c r="L57" s="402"/>
      <c r="M57" s="166" t="e">
        <f>RANK(K57, K$47:$K$61)</f>
        <v>#VALUE!</v>
      </c>
      <c r="N57" s="389"/>
      <c r="O57" s="389"/>
      <c r="P57" s="182" t="s">
        <v>634</v>
      </c>
      <c r="Q57" s="166" t="s">
        <v>634</v>
      </c>
      <c r="R57" s="166" t="s">
        <v>634</v>
      </c>
      <c r="S57" s="182" t="e">
        <f t="shared" si="34"/>
        <v>#VALUE!</v>
      </c>
      <c r="T57" s="385"/>
      <c r="U57" s="182" t="s">
        <v>634</v>
      </c>
      <c r="V57" s="166" t="s">
        <v>634</v>
      </c>
      <c r="W57" s="166" t="s">
        <v>634</v>
      </c>
      <c r="X57" s="182" t="e">
        <f t="shared" si="36"/>
        <v>#VALUE!</v>
      </c>
      <c r="Y57" s="385"/>
      <c r="Z57" s="182" t="s">
        <v>634</v>
      </c>
      <c r="AA57" s="166" t="s">
        <v>634</v>
      </c>
      <c r="AB57" s="166" t="s">
        <v>634</v>
      </c>
      <c r="AC57" s="182" t="e">
        <f t="shared" si="38"/>
        <v>#VALUE!</v>
      </c>
      <c r="AD57" s="385"/>
      <c r="AE57" s="182" t="s">
        <v>634</v>
      </c>
      <c r="AF57" s="166" t="s">
        <v>634</v>
      </c>
      <c r="AG57" s="166" t="s">
        <v>634</v>
      </c>
      <c r="AH57" s="182" t="e">
        <f t="shared" si="40"/>
        <v>#VALUE!</v>
      </c>
      <c r="AI57" s="385"/>
      <c r="AJ57" s="182" t="s">
        <v>634</v>
      </c>
      <c r="AK57" s="166" t="s">
        <v>634</v>
      </c>
      <c r="AL57" s="166" t="s">
        <v>634</v>
      </c>
      <c r="AM57" s="182" t="e">
        <f t="shared" si="42"/>
        <v>#VALUE!</v>
      </c>
      <c r="AN57" s="385"/>
      <c r="AO57" s="182" t="s">
        <v>634</v>
      </c>
      <c r="AP57" s="166" t="s">
        <v>634</v>
      </c>
      <c r="AQ57" s="166" t="s">
        <v>634</v>
      </c>
      <c r="AR57" s="182" t="e">
        <f t="shared" si="44"/>
        <v>#VALUE!</v>
      </c>
      <c r="AS57" s="385"/>
      <c r="AT57" s="182" t="s">
        <v>634</v>
      </c>
      <c r="AU57" s="166" t="s">
        <v>634</v>
      </c>
      <c r="AV57" s="166" t="s">
        <v>634</v>
      </c>
      <c r="AW57" s="182" t="e">
        <f t="shared" si="46"/>
        <v>#VALUE!</v>
      </c>
      <c r="AX57" s="385"/>
      <c r="AZ57" s="182" t="e">
        <f t="shared" si="48"/>
        <v>#N/A</v>
      </c>
      <c r="BA57" s="427"/>
    </row>
    <row r="58" spans="2:53">
      <c r="B58" s="395"/>
      <c r="C58" s="182">
        <v>12</v>
      </c>
      <c r="D58" s="203"/>
      <c r="E58" s="166"/>
      <c r="F58" s="182"/>
      <c r="G58" s="180"/>
      <c r="H58" s="402"/>
      <c r="I58" s="166" t="str">
        <f t="shared" si="31"/>
        <v>-</v>
      </c>
      <c r="J58" s="166" t="str">
        <f t="shared" si="32"/>
        <v>-</v>
      </c>
      <c r="K58" s="180" t="str">
        <f t="shared" si="33"/>
        <v>-</v>
      </c>
      <c r="L58" s="402"/>
      <c r="M58" s="166" t="e">
        <f>RANK(K58, K$47:$K$61)</f>
        <v>#VALUE!</v>
      </c>
      <c r="N58" s="389"/>
      <c r="O58" s="389"/>
      <c r="P58" s="182" t="s">
        <v>634</v>
      </c>
      <c r="Q58" s="166" t="s">
        <v>634</v>
      </c>
      <c r="R58" s="166" t="s">
        <v>634</v>
      </c>
      <c r="S58" s="182" t="e">
        <f t="shared" si="34"/>
        <v>#VALUE!</v>
      </c>
      <c r="T58" s="385"/>
      <c r="U58" s="182" t="s">
        <v>634</v>
      </c>
      <c r="V58" s="166" t="s">
        <v>634</v>
      </c>
      <c r="W58" s="166" t="s">
        <v>634</v>
      </c>
      <c r="X58" s="182" t="e">
        <f t="shared" si="36"/>
        <v>#VALUE!</v>
      </c>
      <c r="Y58" s="385"/>
      <c r="Z58" s="182" t="s">
        <v>634</v>
      </c>
      <c r="AA58" s="166" t="s">
        <v>634</v>
      </c>
      <c r="AB58" s="166" t="s">
        <v>634</v>
      </c>
      <c r="AC58" s="182" t="e">
        <f t="shared" si="38"/>
        <v>#VALUE!</v>
      </c>
      <c r="AD58" s="385"/>
      <c r="AE58" s="182" t="s">
        <v>634</v>
      </c>
      <c r="AF58" s="166" t="s">
        <v>634</v>
      </c>
      <c r="AG58" s="166" t="s">
        <v>634</v>
      </c>
      <c r="AH58" s="182" t="e">
        <f t="shared" si="40"/>
        <v>#VALUE!</v>
      </c>
      <c r="AI58" s="385"/>
      <c r="AJ58" s="182" t="s">
        <v>634</v>
      </c>
      <c r="AK58" s="166" t="s">
        <v>634</v>
      </c>
      <c r="AL58" s="166" t="s">
        <v>634</v>
      </c>
      <c r="AM58" s="182" t="e">
        <f t="shared" si="42"/>
        <v>#VALUE!</v>
      </c>
      <c r="AN58" s="385"/>
      <c r="AO58" s="182" t="s">
        <v>634</v>
      </c>
      <c r="AP58" s="166" t="s">
        <v>634</v>
      </c>
      <c r="AQ58" s="166" t="s">
        <v>634</v>
      </c>
      <c r="AR58" s="182" t="e">
        <f t="shared" si="44"/>
        <v>#VALUE!</v>
      </c>
      <c r="AS58" s="385"/>
      <c r="AT58" s="182" t="s">
        <v>634</v>
      </c>
      <c r="AU58" s="166" t="s">
        <v>634</v>
      </c>
      <c r="AV58" s="166" t="s">
        <v>634</v>
      </c>
      <c r="AW58" s="182" t="e">
        <f t="shared" si="46"/>
        <v>#VALUE!</v>
      </c>
      <c r="AX58" s="385"/>
      <c r="AZ58" s="182" t="e">
        <f t="shared" si="48"/>
        <v>#N/A</v>
      </c>
      <c r="BA58" s="427"/>
    </row>
    <row r="59" spans="2:53">
      <c r="B59" s="395"/>
      <c r="C59" s="182">
        <v>13</v>
      </c>
      <c r="D59" s="203"/>
      <c r="E59" s="166"/>
      <c r="F59" s="182"/>
      <c r="G59" s="180"/>
      <c r="H59" s="402"/>
      <c r="I59" s="166" t="str">
        <f t="shared" si="31"/>
        <v>-</v>
      </c>
      <c r="J59" s="166" t="str">
        <f t="shared" si="32"/>
        <v>-</v>
      </c>
      <c r="K59" s="180" t="str">
        <f t="shared" si="33"/>
        <v>-</v>
      </c>
      <c r="L59" s="402"/>
      <c r="M59" s="166" t="e">
        <f>RANK(K59, K$47:$K$61)</f>
        <v>#VALUE!</v>
      </c>
      <c r="N59" s="389"/>
      <c r="O59" s="389"/>
      <c r="P59" s="182" t="s">
        <v>634</v>
      </c>
      <c r="Q59" s="166" t="s">
        <v>634</v>
      </c>
      <c r="R59" s="166" t="s">
        <v>634</v>
      </c>
      <c r="S59" s="182" t="e">
        <f t="shared" si="34"/>
        <v>#VALUE!</v>
      </c>
      <c r="T59" s="385"/>
      <c r="U59" s="182" t="s">
        <v>634</v>
      </c>
      <c r="V59" s="166" t="s">
        <v>634</v>
      </c>
      <c r="W59" s="166" t="s">
        <v>634</v>
      </c>
      <c r="X59" s="182" t="e">
        <f t="shared" si="36"/>
        <v>#VALUE!</v>
      </c>
      <c r="Y59" s="385"/>
      <c r="Z59" s="182" t="s">
        <v>634</v>
      </c>
      <c r="AA59" s="166" t="s">
        <v>634</v>
      </c>
      <c r="AB59" s="166" t="s">
        <v>634</v>
      </c>
      <c r="AC59" s="182" t="e">
        <f t="shared" si="38"/>
        <v>#VALUE!</v>
      </c>
      <c r="AD59" s="385"/>
      <c r="AE59" s="182" t="s">
        <v>634</v>
      </c>
      <c r="AF59" s="166" t="s">
        <v>634</v>
      </c>
      <c r="AG59" s="166" t="s">
        <v>634</v>
      </c>
      <c r="AH59" s="182" t="e">
        <f t="shared" si="40"/>
        <v>#VALUE!</v>
      </c>
      <c r="AI59" s="385"/>
      <c r="AJ59" s="182" t="s">
        <v>634</v>
      </c>
      <c r="AK59" s="166" t="s">
        <v>634</v>
      </c>
      <c r="AL59" s="166" t="s">
        <v>634</v>
      </c>
      <c r="AM59" s="182" t="e">
        <f t="shared" si="42"/>
        <v>#VALUE!</v>
      </c>
      <c r="AN59" s="385"/>
      <c r="AO59" s="182" t="s">
        <v>634</v>
      </c>
      <c r="AP59" s="166" t="s">
        <v>634</v>
      </c>
      <c r="AQ59" s="166" t="s">
        <v>634</v>
      </c>
      <c r="AR59" s="182" t="e">
        <f t="shared" si="44"/>
        <v>#VALUE!</v>
      </c>
      <c r="AS59" s="385"/>
      <c r="AT59" s="182" t="s">
        <v>634</v>
      </c>
      <c r="AU59" s="166" t="s">
        <v>634</v>
      </c>
      <c r="AV59" s="166" t="s">
        <v>634</v>
      </c>
      <c r="AW59" s="182" t="e">
        <f t="shared" si="46"/>
        <v>#VALUE!</v>
      </c>
      <c r="AX59" s="385"/>
      <c r="AZ59" s="182" t="e">
        <f t="shared" si="48"/>
        <v>#N/A</v>
      </c>
      <c r="BA59" s="427"/>
    </row>
    <row r="60" spans="2:53">
      <c r="B60" s="395"/>
      <c r="C60" s="182">
        <v>14</v>
      </c>
      <c r="D60" s="203"/>
      <c r="E60" s="166"/>
      <c r="F60" s="182"/>
      <c r="G60" s="180"/>
      <c r="H60" s="402"/>
      <c r="I60" s="166" t="str">
        <f t="shared" si="31"/>
        <v>-</v>
      </c>
      <c r="J60" s="166" t="str">
        <f t="shared" si="32"/>
        <v>-</v>
      </c>
      <c r="K60" s="180" t="str">
        <f t="shared" si="33"/>
        <v>-</v>
      </c>
      <c r="L60" s="402"/>
      <c r="M60" s="166" t="e">
        <f>RANK(K60, K$47:$K$61)</f>
        <v>#VALUE!</v>
      </c>
      <c r="N60" s="389"/>
      <c r="O60" s="389"/>
      <c r="P60" s="182" t="s">
        <v>634</v>
      </c>
      <c r="Q60" s="166" t="s">
        <v>634</v>
      </c>
      <c r="R60" s="166" t="s">
        <v>634</v>
      </c>
      <c r="S60" s="182" t="e">
        <f t="shared" si="34"/>
        <v>#VALUE!</v>
      </c>
      <c r="T60" s="385"/>
      <c r="U60" s="182" t="s">
        <v>634</v>
      </c>
      <c r="V60" s="166" t="s">
        <v>634</v>
      </c>
      <c r="W60" s="166" t="s">
        <v>634</v>
      </c>
      <c r="X60" s="182" t="e">
        <f t="shared" si="36"/>
        <v>#VALUE!</v>
      </c>
      <c r="Y60" s="385"/>
      <c r="Z60" s="182" t="s">
        <v>634</v>
      </c>
      <c r="AA60" s="166" t="s">
        <v>634</v>
      </c>
      <c r="AB60" s="166" t="s">
        <v>634</v>
      </c>
      <c r="AC60" s="182" t="e">
        <f t="shared" si="38"/>
        <v>#VALUE!</v>
      </c>
      <c r="AD60" s="385"/>
      <c r="AE60" s="182" t="s">
        <v>634</v>
      </c>
      <c r="AF60" s="166" t="s">
        <v>634</v>
      </c>
      <c r="AG60" s="166" t="s">
        <v>634</v>
      </c>
      <c r="AH60" s="182" t="e">
        <f t="shared" si="40"/>
        <v>#VALUE!</v>
      </c>
      <c r="AI60" s="385"/>
      <c r="AJ60" s="182" t="s">
        <v>634</v>
      </c>
      <c r="AK60" s="166" t="s">
        <v>634</v>
      </c>
      <c r="AL60" s="166" t="s">
        <v>634</v>
      </c>
      <c r="AM60" s="182" t="e">
        <f t="shared" si="42"/>
        <v>#VALUE!</v>
      </c>
      <c r="AN60" s="385"/>
      <c r="AO60" s="182" t="s">
        <v>634</v>
      </c>
      <c r="AP60" s="166" t="s">
        <v>634</v>
      </c>
      <c r="AQ60" s="166" t="s">
        <v>634</v>
      </c>
      <c r="AR60" s="182" t="e">
        <f t="shared" si="44"/>
        <v>#VALUE!</v>
      </c>
      <c r="AS60" s="385"/>
      <c r="AT60" s="182" t="s">
        <v>634</v>
      </c>
      <c r="AU60" s="166" t="s">
        <v>634</v>
      </c>
      <c r="AV60" s="166" t="s">
        <v>634</v>
      </c>
      <c r="AW60" s="182" t="e">
        <f t="shared" si="46"/>
        <v>#VALUE!</v>
      </c>
      <c r="AX60" s="385"/>
      <c r="AZ60" s="182" t="e">
        <f t="shared" si="48"/>
        <v>#N/A</v>
      </c>
      <c r="BA60" s="427"/>
    </row>
    <row r="61" spans="2:53">
      <c r="B61" s="395"/>
      <c r="C61" s="182">
        <v>15</v>
      </c>
      <c r="D61" s="203"/>
      <c r="E61" s="166"/>
      <c r="F61" s="182"/>
      <c r="G61" s="180"/>
      <c r="H61" s="403"/>
      <c r="I61" s="182"/>
      <c r="J61" s="182"/>
      <c r="K61" s="182"/>
      <c r="L61" s="403"/>
      <c r="M61" s="166" t="e">
        <f>RANK(K61, K$47:$K$61)</f>
        <v>#N/A</v>
      </c>
      <c r="N61" s="389"/>
      <c r="O61" s="389"/>
      <c r="P61" s="182" t="s">
        <v>634</v>
      </c>
      <c r="Q61" s="166" t="s">
        <v>634</v>
      </c>
      <c r="R61" s="166" t="s">
        <v>634</v>
      </c>
      <c r="S61" s="182" t="e">
        <f t="shared" si="34"/>
        <v>#VALUE!</v>
      </c>
      <c r="T61" s="386"/>
      <c r="U61" s="182" t="s">
        <v>634</v>
      </c>
      <c r="V61" s="166" t="s">
        <v>634</v>
      </c>
      <c r="W61" s="166" t="s">
        <v>634</v>
      </c>
      <c r="X61" s="182" t="e">
        <f t="shared" si="36"/>
        <v>#VALUE!</v>
      </c>
      <c r="Y61" s="386"/>
      <c r="Z61" s="182" t="s">
        <v>634</v>
      </c>
      <c r="AA61" s="166" t="s">
        <v>634</v>
      </c>
      <c r="AB61" s="166" t="s">
        <v>634</v>
      </c>
      <c r="AC61" s="182" t="e">
        <f t="shared" si="38"/>
        <v>#VALUE!</v>
      </c>
      <c r="AD61" s="386"/>
      <c r="AE61" s="182" t="s">
        <v>634</v>
      </c>
      <c r="AF61" s="166" t="s">
        <v>634</v>
      </c>
      <c r="AG61" s="166" t="s">
        <v>634</v>
      </c>
      <c r="AH61" s="182" t="e">
        <f t="shared" si="40"/>
        <v>#VALUE!</v>
      </c>
      <c r="AI61" s="386"/>
      <c r="AJ61" s="182" t="s">
        <v>634</v>
      </c>
      <c r="AK61" s="166" t="s">
        <v>634</v>
      </c>
      <c r="AL61" s="166" t="s">
        <v>634</v>
      </c>
      <c r="AM61" s="182" t="e">
        <f t="shared" si="42"/>
        <v>#VALUE!</v>
      </c>
      <c r="AN61" s="386"/>
      <c r="AO61" s="182" t="s">
        <v>634</v>
      </c>
      <c r="AP61" s="166" t="s">
        <v>634</v>
      </c>
      <c r="AQ61" s="166" t="s">
        <v>634</v>
      </c>
      <c r="AR61" s="182" t="e">
        <f t="shared" si="44"/>
        <v>#VALUE!</v>
      </c>
      <c r="AS61" s="386"/>
      <c r="AT61" s="182" t="s">
        <v>634</v>
      </c>
      <c r="AU61" s="166" t="s">
        <v>634</v>
      </c>
      <c r="AV61" s="166" t="s">
        <v>634</v>
      </c>
      <c r="AW61" s="182" t="e">
        <f t="shared" si="46"/>
        <v>#VALUE!</v>
      </c>
      <c r="AX61" s="386"/>
      <c r="AZ61" s="182" t="e">
        <f t="shared" si="48"/>
        <v>#N/A</v>
      </c>
      <c r="BA61" s="428"/>
    </row>
    <row r="62" spans="2:53" ht="15.75">
      <c r="B62" s="414" t="s">
        <v>163</v>
      </c>
      <c r="C62" s="415"/>
      <c r="D62" s="415"/>
      <c r="E62" s="415"/>
      <c r="F62" s="415"/>
      <c r="G62" s="415"/>
      <c r="H62" s="415"/>
      <c r="I62" s="186"/>
      <c r="J62" s="186"/>
      <c r="K62" s="186"/>
      <c r="L62" s="186"/>
      <c r="M62" s="185"/>
      <c r="N62" s="391" t="s">
        <v>156</v>
      </c>
      <c r="O62" s="391" t="s">
        <v>105</v>
      </c>
      <c r="P62" s="413">
        <f>P42+7</f>
        <v>46161</v>
      </c>
      <c r="Q62" s="395"/>
      <c r="R62" s="395"/>
      <c r="S62" s="395"/>
      <c r="T62" s="395"/>
      <c r="U62" s="410">
        <f>P62+1</f>
        <v>46162</v>
      </c>
      <c r="V62" s="411"/>
      <c r="W62" s="411"/>
      <c r="X62" s="411"/>
      <c r="Y62" s="412"/>
      <c r="Z62" s="410">
        <f>U62+1</f>
        <v>46163</v>
      </c>
      <c r="AA62" s="411"/>
      <c r="AB62" s="411"/>
      <c r="AC62" s="411"/>
      <c r="AD62" s="412"/>
      <c r="AE62" s="410">
        <f>Z62+1</f>
        <v>46164</v>
      </c>
      <c r="AF62" s="411"/>
      <c r="AG62" s="411"/>
      <c r="AH62" s="411"/>
      <c r="AI62" s="412"/>
      <c r="AJ62" s="410">
        <f>AE62+1</f>
        <v>46165</v>
      </c>
      <c r="AK62" s="411"/>
      <c r="AL62" s="411"/>
      <c r="AM62" s="411"/>
      <c r="AN62" s="412"/>
      <c r="AO62" s="410">
        <f>AJ62+1</f>
        <v>46166</v>
      </c>
      <c r="AP62" s="411"/>
      <c r="AQ62" s="411"/>
      <c r="AR62" s="411"/>
      <c r="AS62" s="412"/>
      <c r="AT62" s="410">
        <f>AO62+1</f>
        <v>46167</v>
      </c>
      <c r="AU62" s="411"/>
      <c r="AV62" s="411"/>
      <c r="AW62" s="411"/>
      <c r="AX62" s="412"/>
    </row>
    <row r="63" spans="2:53" ht="15.75">
      <c r="B63" s="416"/>
      <c r="C63" s="416"/>
      <c r="D63" s="416"/>
      <c r="E63" s="416"/>
      <c r="F63" s="416"/>
      <c r="G63" s="416"/>
      <c r="H63" s="416"/>
      <c r="I63" s="184"/>
      <c r="J63" s="184"/>
      <c r="K63" s="184"/>
      <c r="L63" s="184"/>
      <c r="M63" s="179"/>
      <c r="N63" s="393"/>
      <c r="O63" s="393"/>
      <c r="P63" s="413" t="s">
        <v>318</v>
      </c>
      <c r="Q63" s="395"/>
      <c r="R63" s="395"/>
      <c r="S63" s="395"/>
      <c r="T63" s="395"/>
      <c r="U63" s="413" t="s">
        <v>319</v>
      </c>
      <c r="V63" s="395"/>
      <c r="W63" s="395"/>
      <c r="X63" s="395"/>
      <c r="Y63" s="395"/>
      <c r="Z63" s="413" t="s">
        <v>320</v>
      </c>
      <c r="AA63" s="395"/>
      <c r="AB63" s="395"/>
      <c r="AC63" s="395"/>
      <c r="AD63" s="395"/>
      <c r="AE63" s="413" t="s">
        <v>321</v>
      </c>
      <c r="AF63" s="395"/>
      <c r="AG63" s="395"/>
      <c r="AH63" s="395"/>
      <c r="AI63" s="395"/>
      <c r="AJ63" s="413" t="s">
        <v>322</v>
      </c>
      <c r="AK63" s="395"/>
      <c r="AL63" s="395"/>
      <c r="AM63" s="395"/>
      <c r="AN63" s="395"/>
      <c r="AO63" s="413" t="s">
        <v>323</v>
      </c>
      <c r="AP63" s="395"/>
      <c r="AQ63" s="395"/>
      <c r="AR63" s="395"/>
      <c r="AS63" s="395"/>
      <c r="AT63" s="413" t="s">
        <v>324</v>
      </c>
      <c r="AU63" s="395"/>
      <c r="AV63" s="395"/>
      <c r="AW63" s="395"/>
      <c r="AX63" s="395"/>
    </row>
    <row r="64" spans="2:53">
      <c r="B64" s="389" t="s">
        <v>376</v>
      </c>
      <c r="C64" s="389" t="s">
        <v>556</v>
      </c>
      <c r="D64" s="389"/>
      <c r="E64" s="389" t="s">
        <v>557</v>
      </c>
      <c r="F64" s="389"/>
      <c r="G64" s="389"/>
      <c r="H64" s="417" t="s">
        <v>558</v>
      </c>
      <c r="I64" s="389" t="s">
        <v>559</v>
      </c>
      <c r="J64" s="389"/>
      <c r="K64" s="389"/>
      <c r="L64" s="417" t="s">
        <v>373</v>
      </c>
      <c r="M64" s="391" t="s">
        <v>560</v>
      </c>
      <c r="N64" s="389"/>
      <c r="O64" s="389" t="s">
        <v>561</v>
      </c>
      <c r="P64" s="404" t="s">
        <v>375</v>
      </c>
      <c r="Q64" s="405"/>
      <c r="R64" s="405"/>
      <c r="S64" s="406"/>
      <c r="T64" s="389" t="s">
        <v>373</v>
      </c>
      <c r="U64" s="404" t="s">
        <v>375</v>
      </c>
      <c r="V64" s="405"/>
      <c r="W64" s="405"/>
      <c r="X64" s="406"/>
      <c r="Y64" s="389" t="s">
        <v>373</v>
      </c>
      <c r="Z64" s="404" t="s">
        <v>375</v>
      </c>
      <c r="AA64" s="405"/>
      <c r="AB64" s="405"/>
      <c r="AC64" s="406"/>
      <c r="AD64" s="389" t="s">
        <v>373</v>
      </c>
      <c r="AE64" s="404" t="s">
        <v>375</v>
      </c>
      <c r="AF64" s="405"/>
      <c r="AG64" s="405"/>
      <c r="AH64" s="406"/>
      <c r="AI64" s="389" t="s">
        <v>373</v>
      </c>
      <c r="AJ64" s="404" t="s">
        <v>375</v>
      </c>
      <c r="AK64" s="405"/>
      <c r="AL64" s="405"/>
      <c r="AM64" s="406"/>
      <c r="AN64" s="389" t="s">
        <v>373</v>
      </c>
      <c r="AO64" s="404" t="s">
        <v>375</v>
      </c>
      <c r="AP64" s="405"/>
      <c r="AQ64" s="405"/>
      <c r="AR64" s="406"/>
      <c r="AS64" s="389" t="s">
        <v>373</v>
      </c>
      <c r="AT64" s="404" t="s">
        <v>375</v>
      </c>
      <c r="AU64" s="405"/>
      <c r="AV64" s="405"/>
      <c r="AW64" s="406"/>
      <c r="AX64" s="389" t="s">
        <v>373</v>
      </c>
      <c r="BA64" s="389" t="s">
        <v>373</v>
      </c>
    </row>
    <row r="65" spans="2:53">
      <c r="B65" s="389"/>
      <c r="C65" s="389"/>
      <c r="D65" s="389"/>
      <c r="E65" s="389" t="s">
        <v>562</v>
      </c>
      <c r="F65" s="389"/>
      <c r="G65" s="389"/>
      <c r="H65" s="418"/>
      <c r="I65" s="389" t="s">
        <v>562</v>
      </c>
      <c r="J65" s="389"/>
      <c r="K65" s="389"/>
      <c r="L65" s="418"/>
      <c r="M65" s="392"/>
      <c r="N65" s="389"/>
      <c r="O65" s="389"/>
      <c r="P65" s="404" t="s">
        <v>381</v>
      </c>
      <c r="Q65" s="405"/>
      <c r="R65" s="405"/>
      <c r="S65" s="406"/>
      <c r="T65" s="389"/>
      <c r="U65" s="404" t="s">
        <v>381</v>
      </c>
      <c r="V65" s="405"/>
      <c r="W65" s="405"/>
      <c r="X65" s="406"/>
      <c r="Y65" s="389"/>
      <c r="Z65" s="404" t="s">
        <v>381</v>
      </c>
      <c r="AA65" s="405"/>
      <c r="AB65" s="405"/>
      <c r="AC65" s="406"/>
      <c r="AD65" s="389"/>
      <c r="AE65" s="404" t="s">
        <v>381</v>
      </c>
      <c r="AF65" s="405"/>
      <c r="AG65" s="405"/>
      <c r="AH65" s="406"/>
      <c r="AI65" s="389"/>
      <c r="AJ65" s="404" t="s">
        <v>381</v>
      </c>
      <c r="AK65" s="405"/>
      <c r="AL65" s="405"/>
      <c r="AM65" s="406"/>
      <c r="AN65" s="389"/>
      <c r="AO65" s="404" t="s">
        <v>381</v>
      </c>
      <c r="AP65" s="405"/>
      <c r="AQ65" s="405"/>
      <c r="AR65" s="406"/>
      <c r="AS65" s="389"/>
      <c r="AT65" s="404" t="s">
        <v>381</v>
      </c>
      <c r="AU65" s="405"/>
      <c r="AV65" s="405"/>
      <c r="AW65" s="406"/>
      <c r="AX65" s="389"/>
      <c r="BA65" s="389"/>
    </row>
    <row r="66" spans="2:53">
      <c r="B66" s="389"/>
      <c r="C66" s="389"/>
      <c r="D66" s="389"/>
      <c r="E66" s="258" t="s">
        <v>563</v>
      </c>
      <c r="F66" s="258" t="s">
        <v>564</v>
      </c>
      <c r="G66" s="258" t="s">
        <v>565</v>
      </c>
      <c r="H66" s="419"/>
      <c r="I66" s="258" t="s">
        <v>563</v>
      </c>
      <c r="J66" s="258" t="s">
        <v>564</v>
      </c>
      <c r="K66" s="258" t="s">
        <v>565</v>
      </c>
      <c r="L66" s="419"/>
      <c r="M66" s="393"/>
      <c r="N66" s="389"/>
      <c r="O66" s="389"/>
      <c r="P66" s="258" t="s">
        <v>382</v>
      </c>
      <c r="Q66" s="258" t="s">
        <v>383</v>
      </c>
      <c r="R66" s="258" t="s">
        <v>384</v>
      </c>
      <c r="S66" s="258" t="s">
        <v>374</v>
      </c>
      <c r="T66" s="389"/>
      <c r="U66" s="258" t="s">
        <v>382</v>
      </c>
      <c r="V66" s="258" t="s">
        <v>383</v>
      </c>
      <c r="W66" s="258" t="s">
        <v>384</v>
      </c>
      <c r="X66" s="258" t="s">
        <v>374</v>
      </c>
      <c r="Y66" s="389"/>
      <c r="Z66" s="258" t="s">
        <v>382</v>
      </c>
      <c r="AA66" s="258" t="s">
        <v>383</v>
      </c>
      <c r="AB66" s="258" t="s">
        <v>384</v>
      </c>
      <c r="AC66" s="258" t="s">
        <v>374</v>
      </c>
      <c r="AD66" s="389"/>
      <c r="AE66" s="258" t="s">
        <v>382</v>
      </c>
      <c r="AF66" s="258" t="s">
        <v>383</v>
      </c>
      <c r="AG66" s="258" t="s">
        <v>384</v>
      </c>
      <c r="AH66" s="258" t="s">
        <v>374</v>
      </c>
      <c r="AI66" s="389"/>
      <c r="AJ66" s="258" t="s">
        <v>382</v>
      </c>
      <c r="AK66" s="258" t="s">
        <v>383</v>
      </c>
      <c r="AL66" s="258" t="s">
        <v>384</v>
      </c>
      <c r="AM66" s="258" t="s">
        <v>374</v>
      </c>
      <c r="AN66" s="389"/>
      <c r="AO66" s="258" t="s">
        <v>382</v>
      </c>
      <c r="AP66" s="258" t="s">
        <v>383</v>
      </c>
      <c r="AQ66" s="258" t="s">
        <v>384</v>
      </c>
      <c r="AR66" s="258" t="s">
        <v>374</v>
      </c>
      <c r="AS66" s="389"/>
      <c r="AT66" s="258" t="s">
        <v>382</v>
      </c>
      <c r="AU66" s="258" t="s">
        <v>383</v>
      </c>
      <c r="AV66" s="258" t="s">
        <v>384</v>
      </c>
      <c r="AW66" s="258" t="s">
        <v>374</v>
      </c>
      <c r="AX66" s="389"/>
      <c r="AZ66" s="258" t="s">
        <v>374</v>
      </c>
      <c r="BA66" s="389"/>
    </row>
    <row r="67" spans="2:53">
      <c r="B67" s="389" t="s">
        <v>388</v>
      </c>
      <c r="C67" s="182">
        <v>1</v>
      </c>
      <c r="D67" s="203" t="s">
        <v>663</v>
      </c>
      <c r="E67" s="166">
        <v>14</v>
      </c>
      <c r="F67" s="182">
        <v>1500</v>
      </c>
      <c r="G67" s="180">
        <v>107.1</v>
      </c>
      <c r="H67" s="401">
        <f>AVERAGE(G67:G81)</f>
        <v>100.13333333333333</v>
      </c>
      <c r="I67" s="166">
        <f t="shared" ref="I67:I80" si="50">IFERROR(AVERAGE(P67,U67,Z67,AE67,AJ67,AO67,AT67),"-")</f>
        <v>14</v>
      </c>
      <c r="J67" s="166">
        <f t="shared" ref="J67:J80" si="51">IFERROR(AVERAGE(Q67,V67,AA67,AF67,AK67,AP67,AU67),"-")</f>
        <v>1480.7947968303711</v>
      </c>
      <c r="K67" s="180">
        <f t="shared" ref="K67:K80" si="52">IFERROR(AVERAGE(R67,W67,AB67,AG67,AL67,AQ67,AV67),"-")</f>
        <v>105.77105691645508</v>
      </c>
      <c r="L67" s="401">
        <f>IFERROR(AVERAGE(K67:K81),"-")</f>
        <v>87.162355592295171</v>
      </c>
      <c r="M67" s="166">
        <f>RANK(K67, K$67:$K$81)</f>
        <v>1</v>
      </c>
      <c r="N67" s="389"/>
      <c r="O67" s="389"/>
      <c r="P67" s="182">
        <v>14</v>
      </c>
      <c r="Q67" s="166">
        <v>1492.478873239437</v>
      </c>
      <c r="R67" s="166">
        <v>106.60563380281693</v>
      </c>
      <c r="S67" s="182">
        <f t="shared" ref="S67:S81" si="53">RANK(R67, R$67:R$81)</f>
        <v>1</v>
      </c>
      <c r="T67" s="384">
        <f t="shared" ref="T67" si="54">AVERAGE(R67:R81)</f>
        <v>86.720278606213185</v>
      </c>
      <c r="U67" s="182">
        <v>14</v>
      </c>
      <c r="V67" s="166">
        <v>1466.7721518987335</v>
      </c>
      <c r="W67" s="166">
        <v>104.76943942133811</v>
      </c>
      <c r="X67" s="182">
        <f t="shared" ref="X67:X81" si="55">RANK(W67, W$67:W$81)</f>
        <v>1</v>
      </c>
      <c r="Y67" s="384">
        <f t="shared" ref="Y67" si="56">AVERAGE(W67:W81)</f>
        <v>86.901812767321076</v>
      </c>
      <c r="Z67" s="182">
        <v>14</v>
      </c>
      <c r="AA67" s="166">
        <v>1466.7721518987335</v>
      </c>
      <c r="AB67" s="166">
        <v>104.76943942133811</v>
      </c>
      <c r="AC67" s="182">
        <f t="shared" ref="AC67:AC81" si="57">RANK(AB67, AB$67:AB$81)</f>
        <v>1</v>
      </c>
      <c r="AD67" s="384">
        <f t="shared" ref="AD67" si="58">AVERAGE(AB67:AB81)</f>
        <v>88.678410502612834</v>
      </c>
      <c r="AE67" s="182">
        <v>14</v>
      </c>
      <c r="AF67" s="166">
        <v>1485.5769230769224</v>
      </c>
      <c r="AG67" s="166">
        <v>106.11263736263732</v>
      </c>
      <c r="AH67" s="182">
        <f t="shared" ref="AH67:AH81" si="59">RANK(AG67, AG$67:AG$81)</f>
        <v>1</v>
      </c>
      <c r="AI67" s="384">
        <f t="shared" ref="AI67" si="60">AVERAGE(AG67:AG81)</f>
        <v>86.093400881353588</v>
      </c>
      <c r="AJ67" s="182">
        <v>14</v>
      </c>
      <c r="AK67" s="166">
        <v>1485.5769230769224</v>
      </c>
      <c r="AL67" s="166">
        <v>106.11263736263732</v>
      </c>
      <c r="AM67" s="182">
        <f t="shared" ref="AM67:AM81" si="61">RANK(AL67, AL$67:AL$81)</f>
        <v>1</v>
      </c>
      <c r="AN67" s="384">
        <f t="shared" ref="AN67" si="62">AVERAGE(AL67:AL81)</f>
        <v>86.069296530219603</v>
      </c>
      <c r="AO67" s="182">
        <v>14</v>
      </c>
      <c r="AP67" s="166">
        <v>1474.8571428571424</v>
      </c>
      <c r="AQ67" s="166">
        <v>105.34693877551017</v>
      </c>
      <c r="AR67" s="182">
        <f t="shared" ref="AR67:AR81" si="63">RANK(AQ67, AQ$67:AQ$81)</f>
        <v>1</v>
      </c>
      <c r="AS67" s="384">
        <f t="shared" ref="AS67" si="64">AVERAGE(AQ67:AQ81)</f>
        <v>87.528179718844754</v>
      </c>
      <c r="AT67" s="182">
        <v>14</v>
      </c>
      <c r="AU67" s="166">
        <v>1493.5294117647065</v>
      </c>
      <c r="AV67" s="166">
        <v>106.68067226890761</v>
      </c>
      <c r="AW67" s="182">
        <f t="shared" ref="AW67:AW81" si="65">RANK(AV67, AV$67:AV$81)</f>
        <v>1</v>
      </c>
      <c r="AX67" s="384">
        <f t="shared" ref="AX67" si="66">AVERAGE(AV67:AV81)</f>
        <v>89.474919393193687</v>
      </c>
      <c r="AZ67" s="182" t="e">
        <f t="shared" ref="AZ67:AZ81" si="67">RANK(AY67, AY$67:AY$81)</f>
        <v>#N/A</v>
      </c>
      <c r="BA67" s="426" t="e">
        <f t="shared" ref="BA67" si="68">AVERAGE(AY67:AY81)</f>
        <v>#DIV/0!</v>
      </c>
    </row>
    <row r="68" spans="2:53">
      <c r="B68" s="395"/>
      <c r="C68" s="182">
        <v>2</v>
      </c>
      <c r="D68" s="203" t="s">
        <v>539</v>
      </c>
      <c r="E68" s="166">
        <v>16</v>
      </c>
      <c r="F68" s="182">
        <v>1636</v>
      </c>
      <c r="G68" s="180">
        <v>102.3</v>
      </c>
      <c r="H68" s="402"/>
      <c r="I68" s="166">
        <f t="shared" si="50"/>
        <v>16.714285714285715</v>
      </c>
      <c r="J68" s="166">
        <f t="shared" si="51"/>
        <v>1452.8363208032818</v>
      </c>
      <c r="K68" s="180">
        <f t="shared" si="52"/>
        <v>87.012786599078396</v>
      </c>
      <c r="L68" s="402"/>
      <c r="M68" s="166">
        <f>RANK(K68, K$67:$K$81)</f>
        <v>2</v>
      </c>
      <c r="N68" s="389"/>
      <c r="O68" s="389"/>
      <c r="P68" s="182">
        <v>17</v>
      </c>
      <c r="Q68" s="166">
        <v>1467.5294117647056</v>
      </c>
      <c r="R68" s="166">
        <v>86.32525951557092</v>
      </c>
      <c r="S68" s="182">
        <f t="shared" si="53"/>
        <v>2</v>
      </c>
      <c r="T68" s="385"/>
      <c r="U68" s="182">
        <v>16</v>
      </c>
      <c r="V68" s="166">
        <v>1438.4615384615377</v>
      </c>
      <c r="W68" s="166">
        <v>89.903846153846104</v>
      </c>
      <c r="X68" s="182">
        <f t="shared" si="55"/>
        <v>2</v>
      </c>
      <c r="Y68" s="385"/>
      <c r="Z68" s="182">
        <v>16</v>
      </c>
      <c r="AA68" s="166">
        <v>1516.2162162162169</v>
      </c>
      <c r="AB68" s="166">
        <v>94.763513513513558</v>
      </c>
      <c r="AC68" s="182">
        <f t="shared" si="57"/>
        <v>2</v>
      </c>
      <c r="AD68" s="385"/>
      <c r="AE68" s="182">
        <v>17</v>
      </c>
      <c r="AF68" s="166">
        <v>1431.4285714285725</v>
      </c>
      <c r="AG68" s="166">
        <v>84.201680672268964</v>
      </c>
      <c r="AH68" s="182">
        <f t="shared" si="59"/>
        <v>2</v>
      </c>
      <c r="AI68" s="385"/>
      <c r="AJ68" s="182">
        <v>17</v>
      </c>
      <c r="AK68" s="166">
        <v>1452.1874999999995</v>
      </c>
      <c r="AL68" s="166">
        <v>85.42279411764703</v>
      </c>
      <c r="AM68" s="182">
        <f t="shared" si="61"/>
        <v>3</v>
      </c>
      <c r="AN68" s="385"/>
      <c r="AO68" s="182">
        <v>17</v>
      </c>
      <c r="AP68" s="166">
        <v>1440.6976744186045</v>
      </c>
      <c r="AQ68" s="166">
        <v>84.7469220246238</v>
      </c>
      <c r="AR68" s="182">
        <f t="shared" si="63"/>
        <v>4</v>
      </c>
      <c r="AS68" s="385"/>
      <c r="AT68" s="182">
        <v>17</v>
      </c>
      <c r="AU68" s="166">
        <v>1423.3333333333333</v>
      </c>
      <c r="AV68" s="166">
        <v>83.725490196078425</v>
      </c>
      <c r="AW68" s="182">
        <f t="shared" si="65"/>
        <v>3</v>
      </c>
      <c r="AX68" s="385"/>
      <c r="AZ68" s="182" t="e">
        <f t="shared" si="67"/>
        <v>#N/A</v>
      </c>
      <c r="BA68" s="427"/>
    </row>
    <row r="69" spans="2:53">
      <c r="B69" s="395"/>
      <c r="C69" s="182">
        <v>3</v>
      </c>
      <c r="D69" s="203" t="s">
        <v>640</v>
      </c>
      <c r="E69" s="166">
        <v>17</v>
      </c>
      <c r="F69" s="182">
        <v>1500</v>
      </c>
      <c r="G69" s="180">
        <v>88.2</v>
      </c>
      <c r="H69" s="402"/>
      <c r="I69" s="166">
        <f t="shared" si="50"/>
        <v>17.2</v>
      </c>
      <c r="J69" s="166">
        <f t="shared" si="51"/>
        <v>1453.8539401881949</v>
      </c>
      <c r="K69" s="180">
        <f t="shared" si="52"/>
        <v>84.512121794941706</v>
      </c>
      <c r="L69" s="402"/>
      <c r="M69" s="166">
        <f>RANK(K69, K$67:$K$81)</f>
        <v>4</v>
      </c>
      <c r="N69" s="389"/>
      <c r="O69" s="389"/>
      <c r="P69" s="182">
        <v>17</v>
      </c>
      <c r="Q69" s="166">
        <v>1452.7152317880791</v>
      </c>
      <c r="R69" s="166">
        <v>85.453837164004653</v>
      </c>
      <c r="S69" s="182">
        <f t="shared" si="53"/>
        <v>3</v>
      </c>
      <c r="T69" s="385"/>
      <c r="U69" s="182">
        <v>17</v>
      </c>
      <c r="V69" s="166">
        <v>1435.3846153846157</v>
      </c>
      <c r="W69" s="166">
        <v>84.434389140271506</v>
      </c>
      <c r="X69" s="182">
        <f t="shared" si="55"/>
        <v>3</v>
      </c>
      <c r="Y69" s="385"/>
      <c r="Z69" s="182">
        <v>18</v>
      </c>
      <c r="AA69" s="166">
        <v>1543.3082706766918</v>
      </c>
      <c r="AB69" s="166">
        <v>85.739348370927317</v>
      </c>
      <c r="AC69" s="182">
        <f t="shared" si="57"/>
        <v>4</v>
      </c>
      <c r="AD69" s="385"/>
      <c r="AE69" s="182">
        <v>17</v>
      </c>
      <c r="AF69" s="166">
        <v>1425.2631578947369</v>
      </c>
      <c r="AG69" s="166">
        <v>83.839009287925705</v>
      </c>
      <c r="AH69" s="182">
        <f t="shared" si="59"/>
        <v>3</v>
      </c>
      <c r="AI69" s="385"/>
      <c r="AJ69" s="182">
        <v>17</v>
      </c>
      <c r="AK69" s="166">
        <v>1412.59842519685</v>
      </c>
      <c r="AL69" s="166">
        <v>83.094025011579419</v>
      </c>
      <c r="AM69" s="182">
        <f t="shared" si="61"/>
        <v>4</v>
      </c>
      <c r="AN69" s="385"/>
      <c r="AO69" s="182"/>
      <c r="AP69" s="166"/>
      <c r="AQ69" s="166"/>
      <c r="AR69" s="182" t="e">
        <f t="shared" si="63"/>
        <v>#N/A</v>
      </c>
      <c r="AS69" s="385"/>
      <c r="AT69" s="182"/>
      <c r="AU69" s="166"/>
      <c r="AV69" s="166"/>
      <c r="AW69" s="182" t="e">
        <f t="shared" si="65"/>
        <v>#N/A</v>
      </c>
      <c r="AX69" s="385"/>
      <c r="AZ69" s="182" t="e">
        <f t="shared" si="67"/>
        <v>#N/A</v>
      </c>
      <c r="BA69" s="427"/>
    </row>
    <row r="70" spans="2:53">
      <c r="B70" s="395"/>
      <c r="C70" s="182">
        <v>4</v>
      </c>
      <c r="D70" s="203" t="s">
        <v>649</v>
      </c>
      <c r="E70" s="166">
        <v>16</v>
      </c>
      <c r="F70" s="182">
        <v>1500</v>
      </c>
      <c r="G70" s="180">
        <v>93.8</v>
      </c>
      <c r="H70" s="402"/>
      <c r="I70" s="166">
        <f t="shared" si="50"/>
        <v>17.285714285714285</v>
      </c>
      <c r="J70" s="166">
        <f t="shared" si="51"/>
        <v>1415.3260032325059</v>
      </c>
      <c r="K70" s="180">
        <f t="shared" si="52"/>
        <v>81.967812006019003</v>
      </c>
      <c r="L70" s="402"/>
      <c r="M70" s="166">
        <f>RANK(K70, K$67:$K$81)</f>
        <v>5</v>
      </c>
      <c r="N70" s="389"/>
      <c r="O70" s="389"/>
      <c r="P70" s="182">
        <v>17</v>
      </c>
      <c r="Q70" s="166">
        <v>1422.1643835616442</v>
      </c>
      <c r="R70" s="166">
        <v>83.656728444802596</v>
      </c>
      <c r="S70" s="182">
        <f t="shared" si="53"/>
        <v>4</v>
      </c>
      <c r="T70" s="385"/>
      <c r="U70" s="182">
        <v>17</v>
      </c>
      <c r="V70" s="166">
        <v>1403.300970873787</v>
      </c>
      <c r="W70" s="166">
        <v>82.547115933752181</v>
      </c>
      <c r="X70" s="182">
        <f t="shared" si="55"/>
        <v>4</v>
      </c>
      <c r="Y70" s="385"/>
      <c r="Z70" s="182">
        <v>17</v>
      </c>
      <c r="AA70" s="166">
        <v>1490.1030927835056</v>
      </c>
      <c r="AB70" s="166">
        <v>87.653123104912098</v>
      </c>
      <c r="AC70" s="182">
        <f t="shared" si="57"/>
        <v>3</v>
      </c>
      <c r="AD70" s="385"/>
      <c r="AE70" s="182">
        <v>17</v>
      </c>
      <c r="AF70" s="166">
        <v>1421.0958904109593</v>
      </c>
      <c r="AG70" s="166">
        <v>83.593875906527018</v>
      </c>
      <c r="AH70" s="182">
        <f t="shared" si="59"/>
        <v>4</v>
      </c>
      <c r="AI70" s="385"/>
      <c r="AJ70" s="182">
        <v>18</v>
      </c>
      <c r="AK70" s="166">
        <v>1379.3258426966293</v>
      </c>
      <c r="AL70" s="166">
        <v>76.629213483146074</v>
      </c>
      <c r="AM70" s="182">
        <f t="shared" si="61"/>
        <v>6</v>
      </c>
      <c r="AN70" s="385"/>
      <c r="AO70" s="182">
        <v>18</v>
      </c>
      <c r="AP70" s="166">
        <v>1376.6972477064219</v>
      </c>
      <c r="AQ70" s="166">
        <v>76.483180428134546</v>
      </c>
      <c r="AR70" s="182">
        <f t="shared" si="63"/>
        <v>5</v>
      </c>
      <c r="AS70" s="385"/>
      <c r="AT70" s="182">
        <v>17</v>
      </c>
      <c r="AU70" s="166">
        <v>1414.5945945945946</v>
      </c>
      <c r="AV70" s="166">
        <v>83.211446740858506</v>
      </c>
      <c r="AW70" s="182">
        <f t="shared" si="65"/>
        <v>4</v>
      </c>
      <c r="AX70" s="385"/>
      <c r="AZ70" s="182" t="e">
        <f t="shared" si="67"/>
        <v>#N/A</v>
      </c>
      <c r="BA70" s="427"/>
    </row>
    <row r="71" spans="2:53">
      <c r="B71" s="395"/>
      <c r="C71" s="182">
        <v>5</v>
      </c>
      <c r="D71" s="203" t="s">
        <v>637</v>
      </c>
      <c r="E71" s="166">
        <v>15</v>
      </c>
      <c r="F71" s="182">
        <v>1500</v>
      </c>
      <c r="G71" s="180">
        <v>107.1</v>
      </c>
      <c r="H71" s="402"/>
      <c r="I71" s="166">
        <f t="shared" si="50"/>
        <v>15.714285714285714</v>
      </c>
      <c r="J71" s="166">
        <f t="shared" si="51"/>
        <v>1327.0220406309729</v>
      </c>
      <c r="K71" s="180">
        <f t="shared" si="52"/>
        <v>84.535087187271458</v>
      </c>
      <c r="L71" s="402"/>
      <c r="M71" s="166">
        <f>RANK(K71, K$67:$K$81)</f>
        <v>3</v>
      </c>
      <c r="N71" s="389"/>
      <c r="O71" s="389"/>
      <c r="P71" s="182">
        <v>16</v>
      </c>
      <c r="Q71" s="166">
        <v>1307.4749999999999</v>
      </c>
      <c r="R71" s="166">
        <v>81.717187499999994</v>
      </c>
      <c r="S71" s="182">
        <f t="shared" si="53"/>
        <v>5</v>
      </c>
      <c r="T71" s="385"/>
      <c r="U71" s="182">
        <v>16</v>
      </c>
      <c r="V71" s="166">
        <v>1320.4844720496903</v>
      </c>
      <c r="W71" s="166">
        <v>82.530279503105646</v>
      </c>
      <c r="X71" s="182">
        <f t="shared" si="55"/>
        <v>5</v>
      </c>
      <c r="Y71" s="385"/>
      <c r="Z71" s="182">
        <v>16</v>
      </c>
      <c r="AA71" s="166">
        <v>1307.7931034482758</v>
      </c>
      <c r="AB71" s="166">
        <v>81.737068965517238</v>
      </c>
      <c r="AC71" s="182">
        <f t="shared" si="57"/>
        <v>5</v>
      </c>
      <c r="AD71" s="385"/>
      <c r="AE71" s="182">
        <v>16</v>
      </c>
      <c r="AF71" s="166">
        <v>1298.0377358490562</v>
      </c>
      <c r="AG71" s="166">
        <v>81.12735849056601</v>
      </c>
      <c r="AH71" s="182">
        <f t="shared" si="59"/>
        <v>5</v>
      </c>
      <c r="AI71" s="385"/>
      <c r="AJ71" s="182">
        <v>15</v>
      </c>
      <c r="AK71" s="166">
        <v>1321.1896551724155</v>
      </c>
      <c r="AL71" s="166">
        <v>88.079310344827704</v>
      </c>
      <c r="AM71" s="182">
        <f t="shared" si="61"/>
        <v>2</v>
      </c>
      <c r="AN71" s="385"/>
      <c r="AO71" s="182">
        <v>16</v>
      </c>
      <c r="AP71" s="166">
        <v>1373.7317647058831</v>
      </c>
      <c r="AQ71" s="166">
        <v>85.858235294117691</v>
      </c>
      <c r="AR71" s="182">
        <f t="shared" si="63"/>
        <v>2</v>
      </c>
      <c r="AS71" s="385"/>
      <c r="AT71" s="182">
        <v>15</v>
      </c>
      <c r="AU71" s="166">
        <v>1360.4425531914897</v>
      </c>
      <c r="AV71" s="166">
        <v>90.696170212765978</v>
      </c>
      <c r="AW71" s="182">
        <f t="shared" si="65"/>
        <v>2</v>
      </c>
      <c r="AX71" s="385"/>
      <c r="AZ71" s="182" t="e">
        <f t="shared" si="67"/>
        <v>#N/A</v>
      </c>
      <c r="BA71" s="427"/>
    </row>
    <row r="72" spans="2:53">
      <c r="B72" s="395"/>
      <c r="C72" s="182">
        <v>6</v>
      </c>
      <c r="D72" s="203" t="s">
        <v>655</v>
      </c>
      <c r="E72" s="166">
        <v>17</v>
      </c>
      <c r="F72" s="182">
        <v>1636</v>
      </c>
      <c r="G72" s="180">
        <v>102.3</v>
      </c>
      <c r="H72" s="402"/>
      <c r="I72" s="166">
        <f t="shared" si="50"/>
        <v>17</v>
      </c>
      <c r="J72" s="166">
        <f t="shared" si="51"/>
        <v>1345.9795738500911</v>
      </c>
      <c r="K72" s="180">
        <f t="shared" si="52"/>
        <v>79.175269050005369</v>
      </c>
      <c r="L72" s="402"/>
      <c r="M72" s="166">
        <f>RANK(K72, K$67:$K$81)</f>
        <v>6</v>
      </c>
      <c r="N72" s="389"/>
      <c r="O72" s="389"/>
      <c r="P72" s="182">
        <v>17</v>
      </c>
      <c r="Q72" s="166">
        <v>1301.5714285714287</v>
      </c>
      <c r="R72" s="166">
        <v>76.563025210084035</v>
      </c>
      <c r="S72" s="182">
        <f t="shared" si="53"/>
        <v>6</v>
      </c>
      <c r="T72" s="385"/>
      <c r="U72" s="182">
        <v>17</v>
      </c>
      <c r="V72" s="166">
        <v>1312.8387096774195</v>
      </c>
      <c r="W72" s="166">
        <v>77.225806451612911</v>
      </c>
      <c r="X72" s="182">
        <f t="shared" si="55"/>
        <v>6</v>
      </c>
      <c r="Y72" s="385"/>
      <c r="Z72" s="182">
        <v>17</v>
      </c>
      <c r="AA72" s="166">
        <v>1315.935483870968</v>
      </c>
      <c r="AB72" s="166">
        <v>77.407969639468703</v>
      </c>
      <c r="AC72" s="182">
        <f t="shared" si="57"/>
        <v>6</v>
      </c>
      <c r="AD72" s="385"/>
      <c r="AE72" s="182">
        <v>17</v>
      </c>
      <c r="AF72" s="166">
        <v>1320.6593406593406</v>
      </c>
      <c r="AG72" s="166">
        <v>77.685843568196503</v>
      </c>
      <c r="AH72" s="182">
        <f t="shared" si="59"/>
        <v>6</v>
      </c>
      <c r="AI72" s="385"/>
      <c r="AJ72" s="182">
        <v>17</v>
      </c>
      <c r="AK72" s="166">
        <v>1310.3225806451603</v>
      </c>
      <c r="AL72" s="166">
        <v>77.077798861480019</v>
      </c>
      <c r="AM72" s="182">
        <f t="shared" si="61"/>
        <v>5</v>
      </c>
      <c r="AN72" s="385"/>
      <c r="AO72" s="182">
        <v>17</v>
      </c>
      <c r="AP72" s="166">
        <v>1448.4955752212391</v>
      </c>
      <c r="AQ72" s="166">
        <v>85.205622071837595</v>
      </c>
      <c r="AR72" s="182">
        <f t="shared" si="63"/>
        <v>3</v>
      </c>
      <c r="AS72" s="385"/>
      <c r="AT72" s="182">
        <v>17</v>
      </c>
      <c r="AU72" s="166">
        <v>1412.033898305084</v>
      </c>
      <c r="AV72" s="166">
        <v>83.060817547357885</v>
      </c>
      <c r="AW72" s="182">
        <f t="shared" si="65"/>
        <v>5</v>
      </c>
      <c r="AX72" s="385"/>
      <c r="AZ72" s="182" t="e">
        <f t="shared" si="67"/>
        <v>#N/A</v>
      </c>
      <c r="BA72" s="427"/>
    </row>
    <row r="73" spans="2:53">
      <c r="B73" s="395"/>
      <c r="C73" s="182">
        <v>7</v>
      </c>
      <c r="D73" s="203"/>
      <c r="E73" s="166"/>
      <c r="F73" s="182"/>
      <c r="G73" s="180"/>
      <c r="H73" s="402"/>
      <c r="I73" s="166" t="str">
        <f t="shared" si="50"/>
        <v>-</v>
      </c>
      <c r="J73" s="166" t="str">
        <f t="shared" si="51"/>
        <v>-</v>
      </c>
      <c r="K73" s="180" t="str">
        <f t="shared" si="52"/>
        <v>-</v>
      </c>
      <c r="L73" s="402"/>
      <c r="M73" s="166" t="e">
        <f>RANK(K73, K$67:$K$81)</f>
        <v>#VALUE!</v>
      </c>
      <c r="N73" s="389"/>
      <c r="O73" s="389"/>
      <c r="P73" s="182" t="s">
        <v>634</v>
      </c>
      <c r="Q73" s="166" t="s">
        <v>634</v>
      </c>
      <c r="R73" s="166" t="s">
        <v>634</v>
      </c>
      <c r="S73" s="182" t="e">
        <f t="shared" si="53"/>
        <v>#VALUE!</v>
      </c>
      <c r="T73" s="385"/>
      <c r="U73" s="182" t="s">
        <v>634</v>
      </c>
      <c r="V73" s="166" t="s">
        <v>634</v>
      </c>
      <c r="W73" s="166" t="s">
        <v>634</v>
      </c>
      <c r="X73" s="182" t="e">
        <f t="shared" si="55"/>
        <v>#VALUE!</v>
      </c>
      <c r="Y73" s="385"/>
      <c r="Z73" s="182" t="s">
        <v>634</v>
      </c>
      <c r="AA73" s="166" t="s">
        <v>634</v>
      </c>
      <c r="AB73" s="166" t="s">
        <v>634</v>
      </c>
      <c r="AC73" s="182" t="e">
        <f t="shared" si="57"/>
        <v>#VALUE!</v>
      </c>
      <c r="AD73" s="385"/>
      <c r="AE73" s="182" t="s">
        <v>634</v>
      </c>
      <c r="AF73" s="166" t="s">
        <v>634</v>
      </c>
      <c r="AG73" s="166" t="s">
        <v>634</v>
      </c>
      <c r="AH73" s="182" t="e">
        <f t="shared" si="59"/>
        <v>#VALUE!</v>
      </c>
      <c r="AI73" s="385"/>
      <c r="AJ73" s="182" t="s">
        <v>634</v>
      </c>
      <c r="AK73" s="166" t="s">
        <v>634</v>
      </c>
      <c r="AL73" s="166" t="s">
        <v>634</v>
      </c>
      <c r="AM73" s="182" t="e">
        <f t="shared" si="61"/>
        <v>#VALUE!</v>
      </c>
      <c r="AN73" s="385"/>
      <c r="AO73" s="182" t="s">
        <v>634</v>
      </c>
      <c r="AP73" s="166" t="s">
        <v>634</v>
      </c>
      <c r="AQ73" s="166" t="s">
        <v>634</v>
      </c>
      <c r="AR73" s="182" t="e">
        <f t="shared" si="63"/>
        <v>#VALUE!</v>
      </c>
      <c r="AS73" s="385"/>
      <c r="AT73" s="182" t="s">
        <v>634</v>
      </c>
      <c r="AU73" s="166" t="s">
        <v>634</v>
      </c>
      <c r="AV73" s="166" t="s">
        <v>634</v>
      </c>
      <c r="AW73" s="182" t="e">
        <f t="shared" si="65"/>
        <v>#VALUE!</v>
      </c>
      <c r="AX73" s="385"/>
      <c r="AZ73" s="182" t="e">
        <f t="shared" si="67"/>
        <v>#N/A</v>
      </c>
      <c r="BA73" s="427"/>
    </row>
    <row r="74" spans="2:53">
      <c r="B74" s="395"/>
      <c r="C74" s="182">
        <v>8</v>
      </c>
      <c r="D74" s="203"/>
      <c r="E74" s="166"/>
      <c r="F74" s="182"/>
      <c r="G74" s="180"/>
      <c r="H74" s="402"/>
      <c r="I74" s="166" t="str">
        <f t="shared" si="50"/>
        <v>-</v>
      </c>
      <c r="J74" s="166" t="str">
        <f t="shared" si="51"/>
        <v>-</v>
      </c>
      <c r="K74" s="180" t="str">
        <f t="shared" si="52"/>
        <v>-</v>
      </c>
      <c r="L74" s="402"/>
      <c r="M74" s="166" t="e">
        <f>RANK(K74, K$67:$K$81)</f>
        <v>#VALUE!</v>
      </c>
      <c r="N74" s="389"/>
      <c r="O74" s="389"/>
      <c r="P74" s="182" t="s">
        <v>634</v>
      </c>
      <c r="Q74" s="166" t="s">
        <v>634</v>
      </c>
      <c r="R74" s="166" t="s">
        <v>634</v>
      </c>
      <c r="S74" s="182" t="e">
        <f t="shared" si="53"/>
        <v>#VALUE!</v>
      </c>
      <c r="T74" s="385"/>
      <c r="U74" s="182" t="s">
        <v>634</v>
      </c>
      <c r="V74" s="166" t="s">
        <v>634</v>
      </c>
      <c r="W74" s="166" t="s">
        <v>634</v>
      </c>
      <c r="X74" s="182" t="e">
        <f t="shared" si="55"/>
        <v>#VALUE!</v>
      </c>
      <c r="Y74" s="385"/>
      <c r="Z74" s="182" t="s">
        <v>634</v>
      </c>
      <c r="AA74" s="166" t="s">
        <v>634</v>
      </c>
      <c r="AB74" s="166" t="s">
        <v>634</v>
      </c>
      <c r="AC74" s="182" t="e">
        <f t="shared" si="57"/>
        <v>#VALUE!</v>
      </c>
      <c r="AD74" s="385"/>
      <c r="AE74" s="182" t="s">
        <v>634</v>
      </c>
      <c r="AF74" s="166" t="s">
        <v>634</v>
      </c>
      <c r="AG74" s="166" t="s">
        <v>634</v>
      </c>
      <c r="AH74" s="182" t="e">
        <f t="shared" si="59"/>
        <v>#VALUE!</v>
      </c>
      <c r="AI74" s="385"/>
      <c r="AJ74" s="182" t="s">
        <v>634</v>
      </c>
      <c r="AK74" s="166" t="s">
        <v>634</v>
      </c>
      <c r="AL74" s="166" t="s">
        <v>634</v>
      </c>
      <c r="AM74" s="182" t="e">
        <f t="shared" si="61"/>
        <v>#VALUE!</v>
      </c>
      <c r="AN74" s="385"/>
      <c r="AO74" s="182" t="s">
        <v>634</v>
      </c>
      <c r="AP74" s="166" t="s">
        <v>634</v>
      </c>
      <c r="AQ74" s="166" t="s">
        <v>634</v>
      </c>
      <c r="AR74" s="182" t="e">
        <f t="shared" si="63"/>
        <v>#VALUE!</v>
      </c>
      <c r="AS74" s="385"/>
      <c r="AT74" s="182" t="s">
        <v>634</v>
      </c>
      <c r="AU74" s="166" t="s">
        <v>634</v>
      </c>
      <c r="AV74" s="166" t="s">
        <v>634</v>
      </c>
      <c r="AW74" s="182" t="e">
        <f t="shared" si="65"/>
        <v>#VALUE!</v>
      </c>
      <c r="AX74" s="385"/>
      <c r="AZ74" s="182" t="e">
        <f t="shared" si="67"/>
        <v>#N/A</v>
      </c>
      <c r="BA74" s="427"/>
    </row>
    <row r="75" spans="2:53">
      <c r="B75" s="395"/>
      <c r="C75" s="182">
        <v>9</v>
      </c>
      <c r="D75" s="203"/>
      <c r="E75" s="166"/>
      <c r="F75" s="182"/>
      <c r="G75" s="180"/>
      <c r="H75" s="402"/>
      <c r="I75" s="166" t="str">
        <f t="shared" si="50"/>
        <v>-</v>
      </c>
      <c r="J75" s="166" t="str">
        <f t="shared" si="51"/>
        <v>-</v>
      </c>
      <c r="K75" s="180" t="str">
        <f t="shared" si="52"/>
        <v>-</v>
      </c>
      <c r="L75" s="402"/>
      <c r="M75" s="166" t="e">
        <f>RANK(K75, K$67:$K$81)</f>
        <v>#VALUE!</v>
      </c>
      <c r="N75" s="389"/>
      <c r="O75" s="389"/>
      <c r="P75" s="182" t="s">
        <v>634</v>
      </c>
      <c r="Q75" s="166" t="s">
        <v>634</v>
      </c>
      <c r="R75" s="166" t="s">
        <v>634</v>
      </c>
      <c r="S75" s="182" t="e">
        <f t="shared" si="53"/>
        <v>#VALUE!</v>
      </c>
      <c r="T75" s="385"/>
      <c r="U75" s="182" t="s">
        <v>634</v>
      </c>
      <c r="V75" s="166" t="s">
        <v>634</v>
      </c>
      <c r="W75" s="166" t="s">
        <v>634</v>
      </c>
      <c r="X75" s="182" t="e">
        <f t="shared" si="55"/>
        <v>#VALUE!</v>
      </c>
      <c r="Y75" s="385"/>
      <c r="Z75" s="182" t="s">
        <v>634</v>
      </c>
      <c r="AA75" s="166" t="s">
        <v>634</v>
      </c>
      <c r="AB75" s="166" t="s">
        <v>634</v>
      </c>
      <c r="AC75" s="182" t="e">
        <f t="shared" si="57"/>
        <v>#VALUE!</v>
      </c>
      <c r="AD75" s="385"/>
      <c r="AE75" s="182" t="s">
        <v>634</v>
      </c>
      <c r="AF75" s="166" t="s">
        <v>634</v>
      </c>
      <c r="AG75" s="166" t="s">
        <v>634</v>
      </c>
      <c r="AH75" s="182" t="e">
        <f t="shared" si="59"/>
        <v>#VALUE!</v>
      </c>
      <c r="AI75" s="385"/>
      <c r="AJ75" s="182" t="s">
        <v>634</v>
      </c>
      <c r="AK75" s="166" t="s">
        <v>634</v>
      </c>
      <c r="AL75" s="166" t="s">
        <v>634</v>
      </c>
      <c r="AM75" s="182" t="e">
        <f t="shared" si="61"/>
        <v>#VALUE!</v>
      </c>
      <c r="AN75" s="385"/>
      <c r="AO75" s="182" t="s">
        <v>634</v>
      </c>
      <c r="AP75" s="166" t="s">
        <v>634</v>
      </c>
      <c r="AQ75" s="166" t="s">
        <v>634</v>
      </c>
      <c r="AR75" s="182" t="e">
        <f t="shared" si="63"/>
        <v>#VALUE!</v>
      </c>
      <c r="AS75" s="385"/>
      <c r="AT75" s="182" t="s">
        <v>634</v>
      </c>
      <c r="AU75" s="166" t="s">
        <v>634</v>
      </c>
      <c r="AV75" s="166" t="s">
        <v>634</v>
      </c>
      <c r="AW75" s="182" t="e">
        <f t="shared" si="65"/>
        <v>#VALUE!</v>
      </c>
      <c r="AX75" s="385"/>
      <c r="AZ75" s="182" t="e">
        <f t="shared" si="67"/>
        <v>#N/A</v>
      </c>
      <c r="BA75" s="427"/>
    </row>
    <row r="76" spans="2:53">
      <c r="B76" s="395"/>
      <c r="C76" s="182">
        <v>10</v>
      </c>
      <c r="D76" s="203"/>
      <c r="E76" s="166"/>
      <c r="F76" s="182"/>
      <c r="G76" s="180"/>
      <c r="H76" s="402"/>
      <c r="I76" s="166" t="str">
        <f t="shared" si="50"/>
        <v>-</v>
      </c>
      <c r="J76" s="166" t="str">
        <f t="shared" si="51"/>
        <v>-</v>
      </c>
      <c r="K76" s="180" t="str">
        <f t="shared" si="52"/>
        <v>-</v>
      </c>
      <c r="L76" s="402"/>
      <c r="M76" s="166" t="e">
        <f>RANK(K76, K$67:$K$81)</f>
        <v>#VALUE!</v>
      </c>
      <c r="N76" s="389"/>
      <c r="O76" s="389"/>
      <c r="P76" s="182" t="s">
        <v>634</v>
      </c>
      <c r="Q76" s="166" t="s">
        <v>634</v>
      </c>
      <c r="R76" s="166" t="s">
        <v>634</v>
      </c>
      <c r="S76" s="182" t="e">
        <f t="shared" si="53"/>
        <v>#VALUE!</v>
      </c>
      <c r="T76" s="385"/>
      <c r="U76" s="182" t="s">
        <v>634</v>
      </c>
      <c r="V76" s="166" t="s">
        <v>634</v>
      </c>
      <c r="W76" s="166" t="s">
        <v>634</v>
      </c>
      <c r="X76" s="182" t="e">
        <f t="shared" si="55"/>
        <v>#VALUE!</v>
      </c>
      <c r="Y76" s="385"/>
      <c r="Z76" s="182" t="s">
        <v>634</v>
      </c>
      <c r="AA76" s="166" t="s">
        <v>634</v>
      </c>
      <c r="AB76" s="166" t="s">
        <v>634</v>
      </c>
      <c r="AC76" s="182" t="e">
        <f t="shared" si="57"/>
        <v>#VALUE!</v>
      </c>
      <c r="AD76" s="385"/>
      <c r="AE76" s="182" t="s">
        <v>634</v>
      </c>
      <c r="AF76" s="166" t="s">
        <v>634</v>
      </c>
      <c r="AG76" s="166" t="s">
        <v>634</v>
      </c>
      <c r="AH76" s="182" t="e">
        <f t="shared" si="59"/>
        <v>#VALUE!</v>
      </c>
      <c r="AI76" s="385"/>
      <c r="AJ76" s="182" t="s">
        <v>634</v>
      </c>
      <c r="AK76" s="166" t="s">
        <v>634</v>
      </c>
      <c r="AL76" s="166" t="s">
        <v>634</v>
      </c>
      <c r="AM76" s="182" t="e">
        <f t="shared" si="61"/>
        <v>#VALUE!</v>
      </c>
      <c r="AN76" s="385"/>
      <c r="AO76" s="182" t="s">
        <v>634</v>
      </c>
      <c r="AP76" s="166" t="s">
        <v>634</v>
      </c>
      <c r="AQ76" s="166" t="s">
        <v>634</v>
      </c>
      <c r="AR76" s="182" t="e">
        <f t="shared" si="63"/>
        <v>#VALUE!</v>
      </c>
      <c r="AS76" s="385"/>
      <c r="AT76" s="182" t="s">
        <v>634</v>
      </c>
      <c r="AU76" s="166" t="s">
        <v>634</v>
      </c>
      <c r="AV76" s="166" t="s">
        <v>634</v>
      </c>
      <c r="AW76" s="182" t="e">
        <f t="shared" si="65"/>
        <v>#VALUE!</v>
      </c>
      <c r="AX76" s="385"/>
      <c r="AZ76" s="182" t="e">
        <f t="shared" si="67"/>
        <v>#N/A</v>
      </c>
      <c r="BA76" s="427"/>
    </row>
    <row r="77" spans="2:53">
      <c r="B77" s="395"/>
      <c r="C77" s="182">
        <v>11</v>
      </c>
      <c r="D77" s="203"/>
      <c r="E77" s="166"/>
      <c r="F77" s="182"/>
      <c r="G77" s="180"/>
      <c r="H77" s="402"/>
      <c r="I77" s="166" t="str">
        <f t="shared" si="50"/>
        <v>-</v>
      </c>
      <c r="J77" s="166" t="str">
        <f t="shared" si="51"/>
        <v>-</v>
      </c>
      <c r="K77" s="180" t="str">
        <f t="shared" si="52"/>
        <v>-</v>
      </c>
      <c r="L77" s="402"/>
      <c r="M77" s="166" t="e">
        <f>RANK(K77, K$67:$K$81)</f>
        <v>#VALUE!</v>
      </c>
      <c r="N77" s="389"/>
      <c r="O77" s="389"/>
      <c r="P77" s="182" t="s">
        <v>634</v>
      </c>
      <c r="Q77" s="166" t="s">
        <v>634</v>
      </c>
      <c r="R77" s="166" t="s">
        <v>634</v>
      </c>
      <c r="S77" s="182" t="e">
        <f t="shared" si="53"/>
        <v>#VALUE!</v>
      </c>
      <c r="T77" s="385"/>
      <c r="U77" s="182" t="s">
        <v>634</v>
      </c>
      <c r="V77" s="166" t="s">
        <v>634</v>
      </c>
      <c r="W77" s="166" t="s">
        <v>634</v>
      </c>
      <c r="X77" s="182" t="e">
        <f t="shared" si="55"/>
        <v>#VALUE!</v>
      </c>
      <c r="Y77" s="385"/>
      <c r="Z77" s="182" t="s">
        <v>634</v>
      </c>
      <c r="AA77" s="166" t="s">
        <v>634</v>
      </c>
      <c r="AB77" s="166" t="s">
        <v>634</v>
      </c>
      <c r="AC77" s="182" t="e">
        <f t="shared" si="57"/>
        <v>#VALUE!</v>
      </c>
      <c r="AD77" s="385"/>
      <c r="AE77" s="182" t="s">
        <v>634</v>
      </c>
      <c r="AF77" s="166" t="s">
        <v>634</v>
      </c>
      <c r="AG77" s="166" t="s">
        <v>634</v>
      </c>
      <c r="AH77" s="182" t="e">
        <f t="shared" si="59"/>
        <v>#VALUE!</v>
      </c>
      <c r="AI77" s="385"/>
      <c r="AJ77" s="182" t="s">
        <v>634</v>
      </c>
      <c r="AK77" s="166" t="s">
        <v>634</v>
      </c>
      <c r="AL77" s="166" t="s">
        <v>634</v>
      </c>
      <c r="AM77" s="182" t="e">
        <f t="shared" si="61"/>
        <v>#VALUE!</v>
      </c>
      <c r="AN77" s="385"/>
      <c r="AO77" s="182" t="s">
        <v>634</v>
      </c>
      <c r="AP77" s="166" t="s">
        <v>634</v>
      </c>
      <c r="AQ77" s="166" t="s">
        <v>634</v>
      </c>
      <c r="AR77" s="182" t="e">
        <f t="shared" si="63"/>
        <v>#VALUE!</v>
      </c>
      <c r="AS77" s="385"/>
      <c r="AT77" s="182" t="s">
        <v>634</v>
      </c>
      <c r="AU77" s="166" t="s">
        <v>634</v>
      </c>
      <c r="AV77" s="166" t="s">
        <v>634</v>
      </c>
      <c r="AW77" s="182" t="e">
        <f t="shared" si="65"/>
        <v>#VALUE!</v>
      </c>
      <c r="AX77" s="385"/>
      <c r="AZ77" s="182" t="e">
        <f t="shared" si="67"/>
        <v>#N/A</v>
      </c>
      <c r="BA77" s="427"/>
    </row>
    <row r="78" spans="2:53">
      <c r="B78" s="395"/>
      <c r="C78" s="182">
        <v>12</v>
      </c>
      <c r="D78" s="203"/>
      <c r="E78" s="166"/>
      <c r="F78" s="182"/>
      <c r="G78" s="180"/>
      <c r="H78" s="402"/>
      <c r="I78" s="166" t="str">
        <f t="shared" si="50"/>
        <v>-</v>
      </c>
      <c r="J78" s="166" t="str">
        <f t="shared" si="51"/>
        <v>-</v>
      </c>
      <c r="K78" s="180" t="str">
        <f t="shared" si="52"/>
        <v>-</v>
      </c>
      <c r="L78" s="402"/>
      <c r="M78" s="166" t="e">
        <f>RANK(K78, K$67:$K$81)</f>
        <v>#VALUE!</v>
      </c>
      <c r="N78" s="389"/>
      <c r="O78" s="389"/>
      <c r="P78" s="182" t="s">
        <v>634</v>
      </c>
      <c r="Q78" s="166" t="s">
        <v>634</v>
      </c>
      <c r="R78" s="166" t="s">
        <v>634</v>
      </c>
      <c r="S78" s="182" t="e">
        <f t="shared" si="53"/>
        <v>#VALUE!</v>
      </c>
      <c r="T78" s="385"/>
      <c r="U78" s="182" t="s">
        <v>634</v>
      </c>
      <c r="V78" s="166" t="s">
        <v>634</v>
      </c>
      <c r="W78" s="166" t="s">
        <v>634</v>
      </c>
      <c r="X78" s="182" t="e">
        <f t="shared" si="55"/>
        <v>#VALUE!</v>
      </c>
      <c r="Y78" s="385"/>
      <c r="Z78" s="182" t="s">
        <v>634</v>
      </c>
      <c r="AA78" s="166" t="s">
        <v>634</v>
      </c>
      <c r="AB78" s="166" t="s">
        <v>634</v>
      </c>
      <c r="AC78" s="182" t="e">
        <f t="shared" si="57"/>
        <v>#VALUE!</v>
      </c>
      <c r="AD78" s="385"/>
      <c r="AE78" s="182" t="s">
        <v>634</v>
      </c>
      <c r="AF78" s="166" t="s">
        <v>634</v>
      </c>
      <c r="AG78" s="166" t="s">
        <v>634</v>
      </c>
      <c r="AH78" s="182" t="e">
        <f t="shared" si="59"/>
        <v>#VALUE!</v>
      </c>
      <c r="AI78" s="385"/>
      <c r="AJ78" s="182" t="s">
        <v>634</v>
      </c>
      <c r="AK78" s="166" t="s">
        <v>634</v>
      </c>
      <c r="AL78" s="166" t="s">
        <v>634</v>
      </c>
      <c r="AM78" s="182" t="e">
        <f t="shared" si="61"/>
        <v>#VALUE!</v>
      </c>
      <c r="AN78" s="385"/>
      <c r="AO78" s="182" t="s">
        <v>634</v>
      </c>
      <c r="AP78" s="166" t="s">
        <v>634</v>
      </c>
      <c r="AQ78" s="166" t="s">
        <v>634</v>
      </c>
      <c r="AR78" s="182" t="e">
        <f t="shared" si="63"/>
        <v>#VALUE!</v>
      </c>
      <c r="AS78" s="385"/>
      <c r="AT78" s="182" t="s">
        <v>634</v>
      </c>
      <c r="AU78" s="166" t="s">
        <v>634</v>
      </c>
      <c r="AV78" s="166" t="s">
        <v>634</v>
      </c>
      <c r="AW78" s="182" t="e">
        <f t="shared" si="65"/>
        <v>#VALUE!</v>
      </c>
      <c r="AX78" s="385"/>
      <c r="AZ78" s="182" t="e">
        <f t="shared" si="67"/>
        <v>#N/A</v>
      </c>
      <c r="BA78" s="427"/>
    </row>
    <row r="79" spans="2:53">
      <c r="B79" s="395"/>
      <c r="C79" s="182">
        <v>13</v>
      </c>
      <c r="D79" s="203"/>
      <c r="E79" s="166"/>
      <c r="F79" s="182"/>
      <c r="G79" s="180"/>
      <c r="H79" s="402"/>
      <c r="I79" s="166" t="str">
        <f t="shared" si="50"/>
        <v>-</v>
      </c>
      <c r="J79" s="166" t="str">
        <f t="shared" si="51"/>
        <v>-</v>
      </c>
      <c r="K79" s="180" t="str">
        <f t="shared" si="52"/>
        <v>-</v>
      </c>
      <c r="L79" s="402"/>
      <c r="M79" s="166" t="e">
        <f>RANK(K79, K$67:$K$81)</f>
        <v>#VALUE!</v>
      </c>
      <c r="N79" s="389"/>
      <c r="O79" s="389"/>
      <c r="P79" s="182" t="s">
        <v>634</v>
      </c>
      <c r="Q79" s="166" t="s">
        <v>634</v>
      </c>
      <c r="R79" s="166" t="s">
        <v>634</v>
      </c>
      <c r="S79" s="182" t="e">
        <f t="shared" si="53"/>
        <v>#VALUE!</v>
      </c>
      <c r="T79" s="385"/>
      <c r="U79" s="182" t="s">
        <v>634</v>
      </c>
      <c r="V79" s="166" t="s">
        <v>634</v>
      </c>
      <c r="W79" s="166" t="s">
        <v>634</v>
      </c>
      <c r="X79" s="182" t="e">
        <f t="shared" si="55"/>
        <v>#VALUE!</v>
      </c>
      <c r="Y79" s="385"/>
      <c r="Z79" s="182" t="s">
        <v>634</v>
      </c>
      <c r="AA79" s="166" t="s">
        <v>634</v>
      </c>
      <c r="AB79" s="166" t="s">
        <v>634</v>
      </c>
      <c r="AC79" s="182" t="e">
        <f t="shared" si="57"/>
        <v>#VALUE!</v>
      </c>
      <c r="AD79" s="385"/>
      <c r="AE79" s="182" t="s">
        <v>634</v>
      </c>
      <c r="AF79" s="166" t="s">
        <v>634</v>
      </c>
      <c r="AG79" s="166" t="s">
        <v>634</v>
      </c>
      <c r="AH79" s="182" t="e">
        <f t="shared" si="59"/>
        <v>#VALUE!</v>
      </c>
      <c r="AI79" s="385"/>
      <c r="AJ79" s="182" t="s">
        <v>634</v>
      </c>
      <c r="AK79" s="166" t="s">
        <v>634</v>
      </c>
      <c r="AL79" s="166" t="s">
        <v>634</v>
      </c>
      <c r="AM79" s="182" t="e">
        <f t="shared" si="61"/>
        <v>#VALUE!</v>
      </c>
      <c r="AN79" s="385"/>
      <c r="AO79" s="182" t="s">
        <v>634</v>
      </c>
      <c r="AP79" s="166" t="s">
        <v>634</v>
      </c>
      <c r="AQ79" s="166" t="s">
        <v>634</v>
      </c>
      <c r="AR79" s="182" t="e">
        <f t="shared" si="63"/>
        <v>#VALUE!</v>
      </c>
      <c r="AS79" s="385"/>
      <c r="AT79" s="182" t="s">
        <v>634</v>
      </c>
      <c r="AU79" s="166" t="s">
        <v>634</v>
      </c>
      <c r="AV79" s="166" t="s">
        <v>634</v>
      </c>
      <c r="AW79" s="182" t="e">
        <f t="shared" si="65"/>
        <v>#VALUE!</v>
      </c>
      <c r="AX79" s="385"/>
      <c r="AZ79" s="182" t="e">
        <f t="shared" si="67"/>
        <v>#N/A</v>
      </c>
      <c r="BA79" s="427"/>
    </row>
    <row r="80" spans="2:53">
      <c r="B80" s="395"/>
      <c r="C80" s="182">
        <v>14</v>
      </c>
      <c r="D80" s="203"/>
      <c r="E80" s="166"/>
      <c r="F80" s="182"/>
      <c r="G80" s="180"/>
      <c r="H80" s="402"/>
      <c r="I80" s="166" t="str">
        <f t="shared" si="50"/>
        <v>-</v>
      </c>
      <c r="J80" s="166" t="str">
        <f t="shared" si="51"/>
        <v>-</v>
      </c>
      <c r="K80" s="180" t="str">
        <f t="shared" si="52"/>
        <v>-</v>
      </c>
      <c r="L80" s="402"/>
      <c r="M80" s="166" t="e">
        <f>RANK(K80, K$67:$K$81)</f>
        <v>#VALUE!</v>
      </c>
      <c r="N80" s="389"/>
      <c r="O80" s="389"/>
      <c r="P80" s="182" t="s">
        <v>634</v>
      </c>
      <c r="Q80" s="166" t="s">
        <v>634</v>
      </c>
      <c r="R80" s="166" t="s">
        <v>634</v>
      </c>
      <c r="S80" s="182" t="e">
        <f t="shared" si="53"/>
        <v>#VALUE!</v>
      </c>
      <c r="T80" s="385"/>
      <c r="U80" s="182" t="s">
        <v>634</v>
      </c>
      <c r="V80" s="166" t="s">
        <v>634</v>
      </c>
      <c r="W80" s="166" t="s">
        <v>634</v>
      </c>
      <c r="X80" s="182" t="e">
        <f t="shared" si="55"/>
        <v>#VALUE!</v>
      </c>
      <c r="Y80" s="385"/>
      <c r="Z80" s="182" t="s">
        <v>634</v>
      </c>
      <c r="AA80" s="166" t="s">
        <v>634</v>
      </c>
      <c r="AB80" s="166" t="s">
        <v>634</v>
      </c>
      <c r="AC80" s="182" t="e">
        <f t="shared" si="57"/>
        <v>#VALUE!</v>
      </c>
      <c r="AD80" s="385"/>
      <c r="AE80" s="182" t="s">
        <v>634</v>
      </c>
      <c r="AF80" s="166" t="s">
        <v>634</v>
      </c>
      <c r="AG80" s="166" t="s">
        <v>634</v>
      </c>
      <c r="AH80" s="182" t="e">
        <f t="shared" si="59"/>
        <v>#VALUE!</v>
      </c>
      <c r="AI80" s="385"/>
      <c r="AJ80" s="182" t="s">
        <v>634</v>
      </c>
      <c r="AK80" s="166" t="s">
        <v>634</v>
      </c>
      <c r="AL80" s="166" t="s">
        <v>634</v>
      </c>
      <c r="AM80" s="182" t="e">
        <f t="shared" si="61"/>
        <v>#VALUE!</v>
      </c>
      <c r="AN80" s="385"/>
      <c r="AO80" s="182" t="s">
        <v>634</v>
      </c>
      <c r="AP80" s="166" t="s">
        <v>634</v>
      </c>
      <c r="AQ80" s="166" t="s">
        <v>634</v>
      </c>
      <c r="AR80" s="182" t="e">
        <f t="shared" si="63"/>
        <v>#VALUE!</v>
      </c>
      <c r="AS80" s="385"/>
      <c r="AT80" s="182" t="s">
        <v>634</v>
      </c>
      <c r="AU80" s="166" t="s">
        <v>634</v>
      </c>
      <c r="AV80" s="166" t="s">
        <v>634</v>
      </c>
      <c r="AW80" s="182" t="e">
        <f t="shared" si="65"/>
        <v>#VALUE!</v>
      </c>
      <c r="AX80" s="385"/>
      <c r="AZ80" s="182" t="e">
        <f t="shared" si="67"/>
        <v>#N/A</v>
      </c>
      <c r="BA80" s="427"/>
    </row>
    <row r="81" spans="2:53">
      <c r="B81" s="395"/>
      <c r="C81" s="182">
        <v>15</v>
      </c>
      <c r="D81" s="203"/>
      <c r="E81" s="166"/>
      <c r="F81" s="182"/>
      <c r="G81" s="180"/>
      <c r="H81" s="403"/>
      <c r="I81" s="182"/>
      <c r="J81" s="182"/>
      <c r="K81" s="182"/>
      <c r="L81" s="403"/>
      <c r="M81" s="166" t="e">
        <f>RANK(K81, K$67:$K$81)</f>
        <v>#N/A</v>
      </c>
      <c r="N81" s="389"/>
      <c r="O81" s="389"/>
      <c r="P81" s="182" t="s">
        <v>634</v>
      </c>
      <c r="Q81" s="166" t="s">
        <v>634</v>
      </c>
      <c r="R81" s="166" t="s">
        <v>634</v>
      </c>
      <c r="S81" s="182" t="e">
        <f t="shared" si="53"/>
        <v>#VALUE!</v>
      </c>
      <c r="T81" s="386"/>
      <c r="U81" s="182" t="s">
        <v>634</v>
      </c>
      <c r="V81" s="166" t="s">
        <v>634</v>
      </c>
      <c r="W81" s="166" t="s">
        <v>634</v>
      </c>
      <c r="X81" s="182" t="e">
        <f t="shared" si="55"/>
        <v>#VALUE!</v>
      </c>
      <c r="Y81" s="386"/>
      <c r="Z81" s="182" t="s">
        <v>634</v>
      </c>
      <c r="AA81" s="166" t="s">
        <v>634</v>
      </c>
      <c r="AB81" s="166" t="s">
        <v>634</v>
      </c>
      <c r="AC81" s="182" t="e">
        <f t="shared" si="57"/>
        <v>#VALUE!</v>
      </c>
      <c r="AD81" s="386"/>
      <c r="AE81" s="182" t="s">
        <v>634</v>
      </c>
      <c r="AF81" s="166" t="s">
        <v>634</v>
      </c>
      <c r="AG81" s="166" t="s">
        <v>634</v>
      </c>
      <c r="AH81" s="182" t="e">
        <f t="shared" si="59"/>
        <v>#VALUE!</v>
      </c>
      <c r="AI81" s="386"/>
      <c r="AJ81" s="182" t="s">
        <v>634</v>
      </c>
      <c r="AK81" s="166" t="s">
        <v>634</v>
      </c>
      <c r="AL81" s="166" t="s">
        <v>634</v>
      </c>
      <c r="AM81" s="182" t="e">
        <f t="shared" si="61"/>
        <v>#VALUE!</v>
      </c>
      <c r="AN81" s="386"/>
      <c r="AO81" s="182" t="s">
        <v>634</v>
      </c>
      <c r="AP81" s="166" t="s">
        <v>634</v>
      </c>
      <c r="AQ81" s="166" t="s">
        <v>634</v>
      </c>
      <c r="AR81" s="182" t="e">
        <f t="shared" si="63"/>
        <v>#VALUE!</v>
      </c>
      <c r="AS81" s="386"/>
      <c r="AT81" s="182" t="s">
        <v>634</v>
      </c>
      <c r="AU81" s="166" t="s">
        <v>634</v>
      </c>
      <c r="AV81" s="166" t="s">
        <v>634</v>
      </c>
      <c r="AW81" s="182" t="e">
        <f t="shared" si="65"/>
        <v>#VALUE!</v>
      </c>
      <c r="AX81" s="386"/>
      <c r="AZ81" s="182" t="e">
        <f t="shared" si="67"/>
        <v>#N/A</v>
      </c>
      <c r="BA81" s="428"/>
    </row>
    <row r="82" spans="2:53" ht="15.75">
      <c r="B82" s="414" t="s">
        <v>163</v>
      </c>
      <c r="C82" s="415"/>
      <c r="D82" s="415"/>
      <c r="E82" s="415"/>
      <c r="F82" s="415"/>
      <c r="G82" s="415"/>
      <c r="H82" s="415"/>
      <c r="I82" s="186"/>
      <c r="J82" s="186"/>
      <c r="K82" s="186"/>
      <c r="L82" s="186"/>
      <c r="M82" s="185"/>
      <c r="N82" s="391" t="s">
        <v>156</v>
      </c>
      <c r="O82" s="391" t="s">
        <v>105</v>
      </c>
      <c r="P82" s="413">
        <f>P62+7</f>
        <v>46168</v>
      </c>
      <c r="Q82" s="395"/>
      <c r="R82" s="395"/>
      <c r="S82" s="395"/>
      <c r="T82" s="395"/>
      <c r="U82" s="410">
        <f>P82+1</f>
        <v>46169</v>
      </c>
      <c r="V82" s="411"/>
      <c r="W82" s="411"/>
      <c r="X82" s="411"/>
      <c r="Y82" s="412"/>
      <c r="Z82" s="410">
        <f>U82+1</f>
        <v>46170</v>
      </c>
      <c r="AA82" s="411"/>
      <c r="AB82" s="411"/>
      <c r="AC82" s="411"/>
      <c r="AD82" s="412"/>
      <c r="AE82" s="410">
        <f>Z82+1</f>
        <v>46171</v>
      </c>
      <c r="AF82" s="411"/>
      <c r="AG82" s="411"/>
      <c r="AH82" s="411"/>
      <c r="AI82" s="412"/>
      <c r="AJ82" s="410">
        <f>AE82+1</f>
        <v>46172</v>
      </c>
      <c r="AK82" s="411"/>
      <c r="AL82" s="411"/>
      <c r="AM82" s="411"/>
      <c r="AN82" s="412"/>
      <c r="AO82" s="410">
        <f>AJ82+1</f>
        <v>46173</v>
      </c>
      <c r="AP82" s="411"/>
      <c r="AQ82" s="411"/>
      <c r="AR82" s="411"/>
      <c r="AS82" s="412"/>
      <c r="AT82" s="410">
        <f>AO82+1</f>
        <v>46174</v>
      </c>
      <c r="AU82" s="411"/>
      <c r="AV82" s="411"/>
      <c r="AW82" s="411"/>
      <c r="AX82" s="412"/>
    </row>
    <row r="83" spans="2:53" ht="15.75">
      <c r="B83" s="416"/>
      <c r="C83" s="416"/>
      <c r="D83" s="416"/>
      <c r="E83" s="416"/>
      <c r="F83" s="416"/>
      <c r="G83" s="416"/>
      <c r="H83" s="416"/>
      <c r="I83" s="184"/>
      <c r="J83" s="184"/>
      <c r="K83" s="184"/>
      <c r="L83" s="184"/>
      <c r="M83" s="179"/>
      <c r="N83" s="393"/>
      <c r="O83" s="393"/>
      <c r="P83" s="413" t="s">
        <v>318</v>
      </c>
      <c r="Q83" s="395"/>
      <c r="R83" s="395"/>
      <c r="S83" s="395"/>
      <c r="T83" s="395"/>
      <c r="U83" s="413" t="s">
        <v>319</v>
      </c>
      <c r="V83" s="395"/>
      <c r="W83" s="395"/>
      <c r="X83" s="395"/>
      <c r="Y83" s="395"/>
      <c r="Z83" s="413" t="s">
        <v>320</v>
      </c>
      <c r="AA83" s="395"/>
      <c r="AB83" s="395"/>
      <c r="AC83" s="395"/>
      <c r="AD83" s="395"/>
      <c r="AE83" s="413" t="s">
        <v>321</v>
      </c>
      <c r="AF83" s="395"/>
      <c r="AG83" s="395"/>
      <c r="AH83" s="395"/>
      <c r="AI83" s="395"/>
      <c r="AJ83" s="413" t="s">
        <v>322</v>
      </c>
      <c r="AK83" s="395"/>
      <c r="AL83" s="395"/>
      <c r="AM83" s="395"/>
      <c r="AN83" s="395"/>
      <c r="AO83" s="413" t="s">
        <v>323</v>
      </c>
      <c r="AP83" s="395"/>
      <c r="AQ83" s="395"/>
      <c r="AR83" s="395"/>
      <c r="AS83" s="395"/>
      <c r="AT83" s="413" t="s">
        <v>324</v>
      </c>
      <c r="AU83" s="395"/>
      <c r="AV83" s="395"/>
      <c r="AW83" s="395"/>
      <c r="AX83" s="395"/>
    </row>
    <row r="84" spans="2:53">
      <c r="B84" s="389" t="s">
        <v>401</v>
      </c>
      <c r="C84" s="389" t="s">
        <v>556</v>
      </c>
      <c r="D84" s="389"/>
      <c r="E84" s="389" t="s">
        <v>557</v>
      </c>
      <c r="F84" s="389"/>
      <c r="G84" s="389"/>
      <c r="H84" s="417" t="s">
        <v>558</v>
      </c>
      <c r="I84" s="389" t="s">
        <v>559</v>
      </c>
      <c r="J84" s="389"/>
      <c r="K84" s="389"/>
      <c r="L84" s="417" t="s">
        <v>373</v>
      </c>
      <c r="M84" s="391" t="s">
        <v>560</v>
      </c>
      <c r="N84" s="389"/>
      <c r="O84" s="389" t="s">
        <v>561</v>
      </c>
      <c r="P84" s="404" t="s">
        <v>375</v>
      </c>
      <c r="Q84" s="405"/>
      <c r="R84" s="405"/>
      <c r="S84" s="406"/>
      <c r="T84" s="389" t="s">
        <v>373</v>
      </c>
      <c r="U84" s="404" t="s">
        <v>375</v>
      </c>
      <c r="V84" s="405"/>
      <c r="W84" s="405"/>
      <c r="X84" s="406"/>
      <c r="Y84" s="389" t="s">
        <v>373</v>
      </c>
      <c r="Z84" s="404" t="s">
        <v>375</v>
      </c>
      <c r="AA84" s="405"/>
      <c r="AB84" s="405"/>
      <c r="AC84" s="406"/>
      <c r="AD84" s="389" t="s">
        <v>373</v>
      </c>
      <c r="AE84" s="404" t="s">
        <v>375</v>
      </c>
      <c r="AF84" s="405"/>
      <c r="AG84" s="405"/>
      <c r="AH84" s="406"/>
      <c r="AI84" s="389" t="s">
        <v>373</v>
      </c>
      <c r="AJ84" s="404" t="s">
        <v>375</v>
      </c>
      <c r="AK84" s="405"/>
      <c r="AL84" s="405"/>
      <c r="AM84" s="406"/>
      <c r="AN84" s="389" t="s">
        <v>373</v>
      </c>
      <c r="AO84" s="404" t="s">
        <v>375</v>
      </c>
      <c r="AP84" s="405"/>
      <c r="AQ84" s="405"/>
      <c r="AR84" s="406"/>
      <c r="AS84" s="389" t="s">
        <v>373</v>
      </c>
      <c r="AT84" s="404" t="s">
        <v>375</v>
      </c>
      <c r="AU84" s="405"/>
      <c r="AV84" s="405"/>
      <c r="AW84" s="406"/>
      <c r="AX84" s="389" t="s">
        <v>373</v>
      </c>
      <c r="BA84" s="389" t="s">
        <v>373</v>
      </c>
    </row>
    <row r="85" spans="2:53">
      <c r="B85" s="389"/>
      <c r="C85" s="389"/>
      <c r="D85" s="389"/>
      <c r="E85" s="389" t="s">
        <v>562</v>
      </c>
      <c r="F85" s="389"/>
      <c r="G85" s="389"/>
      <c r="H85" s="418"/>
      <c r="I85" s="389" t="s">
        <v>562</v>
      </c>
      <c r="J85" s="389"/>
      <c r="K85" s="389"/>
      <c r="L85" s="418"/>
      <c r="M85" s="392"/>
      <c r="N85" s="389"/>
      <c r="O85" s="389"/>
      <c r="P85" s="404" t="s">
        <v>381</v>
      </c>
      <c r="Q85" s="405"/>
      <c r="R85" s="405"/>
      <c r="S85" s="406"/>
      <c r="T85" s="389"/>
      <c r="U85" s="404" t="s">
        <v>381</v>
      </c>
      <c r="V85" s="405"/>
      <c r="W85" s="405"/>
      <c r="X85" s="406"/>
      <c r="Y85" s="389"/>
      <c r="Z85" s="404" t="s">
        <v>381</v>
      </c>
      <c r="AA85" s="405"/>
      <c r="AB85" s="405"/>
      <c r="AC85" s="406"/>
      <c r="AD85" s="389"/>
      <c r="AE85" s="404" t="s">
        <v>381</v>
      </c>
      <c r="AF85" s="405"/>
      <c r="AG85" s="405"/>
      <c r="AH85" s="406"/>
      <c r="AI85" s="389"/>
      <c r="AJ85" s="404" t="s">
        <v>381</v>
      </c>
      <c r="AK85" s="405"/>
      <c r="AL85" s="405"/>
      <c r="AM85" s="406"/>
      <c r="AN85" s="389"/>
      <c r="AO85" s="404" t="s">
        <v>381</v>
      </c>
      <c r="AP85" s="405"/>
      <c r="AQ85" s="405"/>
      <c r="AR85" s="406"/>
      <c r="AS85" s="389"/>
      <c r="AT85" s="404" t="s">
        <v>381</v>
      </c>
      <c r="AU85" s="405"/>
      <c r="AV85" s="405"/>
      <c r="AW85" s="406"/>
      <c r="AX85" s="389"/>
      <c r="BA85" s="389"/>
    </row>
    <row r="86" spans="2:53">
      <c r="B86" s="389"/>
      <c r="C86" s="389"/>
      <c r="D86" s="389"/>
      <c r="E86" s="258" t="s">
        <v>563</v>
      </c>
      <c r="F86" s="258" t="s">
        <v>564</v>
      </c>
      <c r="G86" s="258" t="s">
        <v>565</v>
      </c>
      <c r="H86" s="419"/>
      <c r="I86" s="258" t="s">
        <v>563</v>
      </c>
      <c r="J86" s="258" t="s">
        <v>564</v>
      </c>
      <c r="K86" s="258" t="s">
        <v>565</v>
      </c>
      <c r="L86" s="419"/>
      <c r="M86" s="393"/>
      <c r="N86" s="389"/>
      <c r="O86" s="389"/>
      <c r="P86" s="258" t="s">
        <v>382</v>
      </c>
      <c r="Q86" s="258" t="s">
        <v>383</v>
      </c>
      <c r="R86" s="258" t="s">
        <v>384</v>
      </c>
      <c r="S86" s="258" t="s">
        <v>374</v>
      </c>
      <c r="T86" s="389"/>
      <c r="U86" s="258" t="s">
        <v>382</v>
      </c>
      <c r="V86" s="258" t="s">
        <v>383</v>
      </c>
      <c r="W86" s="258" t="s">
        <v>384</v>
      </c>
      <c r="X86" s="258" t="s">
        <v>374</v>
      </c>
      <c r="Y86" s="389"/>
      <c r="Z86" s="258" t="s">
        <v>382</v>
      </c>
      <c r="AA86" s="258" t="s">
        <v>383</v>
      </c>
      <c r="AB86" s="258" t="s">
        <v>384</v>
      </c>
      <c r="AC86" s="258" t="s">
        <v>374</v>
      </c>
      <c r="AD86" s="389"/>
      <c r="AE86" s="258" t="s">
        <v>382</v>
      </c>
      <c r="AF86" s="258" t="s">
        <v>383</v>
      </c>
      <c r="AG86" s="258" t="s">
        <v>384</v>
      </c>
      <c r="AH86" s="258" t="s">
        <v>374</v>
      </c>
      <c r="AI86" s="389"/>
      <c r="AJ86" s="258" t="s">
        <v>382</v>
      </c>
      <c r="AK86" s="258" t="s">
        <v>383</v>
      </c>
      <c r="AL86" s="258" t="s">
        <v>384</v>
      </c>
      <c r="AM86" s="258" t="s">
        <v>374</v>
      </c>
      <c r="AN86" s="389"/>
      <c r="AO86" s="258" t="s">
        <v>382</v>
      </c>
      <c r="AP86" s="258" t="s">
        <v>383</v>
      </c>
      <c r="AQ86" s="258" t="s">
        <v>384</v>
      </c>
      <c r="AR86" s="258" t="s">
        <v>374</v>
      </c>
      <c r="AS86" s="389"/>
      <c r="AT86" s="258" t="s">
        <v>382</v>
      </c>
      <c r="AU86" s="258" t="s">
        <v>383</v>
      </c>
      <c r="AV86" s="258" t="s">
        <v>384</v>
      </c>
      <c r="AW86" s="258" t="s">
        <v>374</v>
      </c>
      <c r="AX86" s="389"/>
      <c r="AZ86" s="258" t="s">
        <v>374</v>
      </c>
      <c r="BA86" s="389"/>
    </row>
    <row r="87" spans="2:53">
      <c r="B87" s="389" t="s">
        <v>418</v>
      </c>
      <c r="C87" s="182">
        <v>1</v>
      </c>
      <c r="D87" s="203" t="s">
        <v>663</v>
      </c>
      <c r="E87" s="166">
        <v>14</v>
      </c>
      <c r="F87" s="182">
        <v>1500</v>
      </c>
      <c r="G87" s="180">
        <v>107.14285714285714</v>
      </c>
      <c r="H87" s="401">
        <f>AVERAGE(G87:G101)</f>
        <v>96.992396958783516</v>
      </c>
      <c r="I87" s="166">
        <f t="shared" ref="I87:I100" si="69">IFERROR(AVERAGE(P87,U87,Z87,AE87,AJ87,AO87,AT87),"-")</f>
        <v>14</v>
      </c>
      <c r="J87" s="166">
        <f t="shared" ref="J87:J100" si="70">IFERROR(AVERAGE(Q87,V87,AA87,AF87,AK87,AP87,AU87),"-")</f>
        <v>1485.0096676540836</v>
      </c>
      <c r="K87" s="180">
        <f t="shared" ref="K87:K100" si="71">IFERROR(AVERAGE(R87,W87,AB87,AG87,AL87,AQ87,AV87),"-")</f>
        <v>106.07211911814882</v>
      </c>
      <c r="L87" s="401">
        <f>IFERROR(AVERAGE(K87:K101),"-")</f>
        <v>85.520419309778418</v>
      </c>
      <c r="M87" s="166">
        <f>RANK(K87, K$87:$K$101)</f>
        <v>1</v>
      </c>
      <c r="N87" s="389"/>
      <c r="O87" s="389"/>
      <c r="P87" s="182">
        <v>14</v>
      </c>
      <c r="Q87" s="166">
        <v>1471.1111111111104</v>
      </c>
      <c r="R87" s="166">
        <v>105.07936507936503</v>
      </c>
      <c r="S87" s="182">
        <f t="shared" ref="S87:S101" si="72">RANK(R87, R$87:R$101)</f>
        <v>1</v>
      </c>
      <c r="T87" s="390">
        <f t="shared" ref="T87" si="73">AVERAGE(R87:R101)</f>
        <v>85.579309041682578</v>
      </c>
      <c r="U87" s="182">
        <v>14</v>
      </c>
      <c r="V87" s="166">
        <v>1480.2439024390237</v>
      </c>
      <c r="W87" s="166">
        <v>105.73170731707312</v>
      </c>
      <c r="X87" s="182">
        <f t="shared" ref="X87:X101" si="74">RANK(W87, W$87:W$101)</f>
        <v>1</v>
      </c>
      <c r="Y87" s="390">
        <f t="shared" ref="Y87" si="75">AVERAGE(W87:W101)</f>
        <v>85.073356994869343</v>
      </c>
      <c r="Z87" s="182">
        <v>14</v>
      </c>
      <c r="AA87" s="166">
        <v>1490.5263157894742</v>
      </c>
      <c r="AB87" s="166">
        <v>106.46616541353387</v>
      </c>
      <c r="AC87" s="182">
        <f t="shared" ref="AC87:AC101" si="76">RANK(AB87, AB$87:AB$101)</f>
        <v>1</v>
      </c>
      <c r="AD87" s="390">
        <f t="shared" ref="AD87" si="77">AVERAGE(AB87:AB101)</f>
        <v>86.026033750516618</v>
      </c>
      <c r="AE87" s="182">
        <v>14</v>
      </c>
      <c r="AF87" s="166">
        <v>1491.0810810810817</v>
      </c>
      <c r="AG87" s="166">
        <v>106.50579150579155</v>
      </c>
      <c r="AH87" s="182">
        <f t="shared" ref="AH87:AH101" si="78">RANK(AG87, AG$87:AG$101)</f>
        <v>1</v>
      </c>
      <c r="AI87" s="390">
        <f t="shared" ref="AI87" si="79">AVERAGE(AG87:AG101)</f>
        <v>85.306113215706162</v>
      </c>
      <c r="AJ87" s="182">
        <v>14</v>
      </c>
      <c r="AK87" s="166">
        <v>1499.9999999999995</v>
      </c>
      <c r="AL87" s="166">
        <v>107.14285714285711</v>
      </c>
      <c r="AM87" s="182">
        <f t="shared" ref="AM87:AM101" si="80">RANK(AL87, AL$87:AL$101)</f>
        <v>1</v>
      </c>
      <c r="AN87" s="390">
        <f t="shared" ref="AN87" si="81">AVERAGE(AL87:AL101)</f>
        <v>85.823889950584274</v>
      </c>
      <c r="AO87" s="182">
        <v>14</v>
      </c>
      <c r="AP87" s="166">
        <v>1474.1052631578948</v>
      </c>
      <c r="AQ87" s="166">
        <v>105.29323308270678</v>
      </c>
      <c r="AR87" s="182">
        <f t="shared" ref="AR87:AR101" si="82">RANK(AQ87, AQ$87:AQ$101)</f>
        <v>1</v>
      </c>
      <c r="AS87" s="390">
        <f t="shared" ref="AS87" si="83">AVERAGE(AQ87:AQ101)</f>
        <v>85.120148500725008</v>
      </c>
      <c r="AT87" s="182">
        <v>14</v>
      </c>
      <c r="AU87" s="166">
        <v>1487.9999999999995</v>
      </c>
      <c r="AV87" s="166">
        <v>106.28571428571425</v>
      </c>
      <c r="AW87" s="182">
        <f t="shared" ref="AW87:AW101" si="84">RANK(AV87, AV$87:AV$101)</f>
        <v>1</v>
      </c>
      <c r="AX87" s="390">
        <f t="shared" ref="AX87" si="85">AVERAGE(AV87:AV101)</f>
        <v>85.714083714364932</v>
      </c>
      <c r="AZ87" s="182" t="e">
        <f t="shared" ref="AZ87:AZ101" si="86">RANK(AY87, AY$87:AY$101)</f>
        <v>#N/A</v>
      </c>
      <c r="BA87" s="390" t="e">
        <f t="shared" ref="BA87" si="87">AVERAGE(AY87:AY101)</f>
        <v>#DIV/0!</v>
      </c>
    </row>
    <row r="88" spans="2:53">
      <c r="B88" s="395"/>
      <c r="C88" s="182">
        <v>2</v>
      </c>
      <c r="D88" s="203" t="s">
        <v>539</v>
      </c>
      <c r="E88" s="166">
        <v>16</v>
      </c>
      <c r="F88" s="182">
        <v>1636</v>
      </c>
      <c r="G88" s="180">
        <v>102.25</v>
      </c>
      <c r="H88" s="402"/>
      <c r="I88" s="166">
        <f t="shared" si="69"/>
        <v>17</v>
      </c>
      <c r="J88" s="166">
        <f t="shared" si="70"/>
        <v>1433.3147430638655</v>
      </c>
      <c r="K88" s="180">
        <f t="shared" si="71"/>
        <v>84.312631944933273</v>
      </c>
      <c r="L88" s="402"/>
      <c r="M88" s="166">
        <f>RANK(K88, K$87:$K$101)</f>
        <v>3</v>
      </c>
      <c r="N88" s="389"/>
      <c r="O88" s="389"/>
      <c r="P88" s="182">
        <v>17</v>
      </c>
      <c r="Q88" s="166">
        <v>1436.1702127659578</v>
      </c>
      <c r="R88" s="166">
        <v>84.480600750938692</v>
      </c>
      <c r="S88" s="182">
        <f t="shared" si="72"/>
        <v>3</v>
      </c>
      <c r="T88" s="390"/>
      <c r="U88" s="182">
        <v>17</v>
      </c>
      <c r="V88" s="166">
        <v>1430.6133333333335</v>
      </c>
      <c r="W88" s="166">
        <v>84.153725490196081</v>
      </c>
      <c r="X88" s="182">
        <f t="shared" si="74"/>
        <v>3</v>
      </c>
      <c r="Y88" s="390"/>
      <c r="Z88" s="182">
        <v>17</v>
      </c>
      <c r="AA88" s="166">
        <v>1439.3720930232555</v>
      </c>
      <c r="AB88" s="166">
        <v>84.668946648426797</v>
      </c>
      <c r="AC88" s="182">
        <f t="shared" si="76"/>
        <v>3</v>
      </c>
      <c r="AD88" s="390"/>
      <c r="AE88" s="182">
        <v>17</v>
      </c>
      <c r="AF88" s="166">
        <v>1417.4999999999995</v>
      </c>
      <c r="AG88" s="166">
        <v>83.38235294117645</v>
      </c>
      <c r="AH88" s="182">
        <f t="shared" si="78"/>
        <v>3</v>
      </c>
      <c r="AI88" s="390"/>
      <c r="AJ88" s="182">
        <v>17</v>
      </c>
      <c r="AK88" s="166">
        <v>1445.2608695652173</v>
      </c>
      <c r="AL88" s="166">
        <v>85.015345268542191</v>
      </c>
      <c r="AM88" s="182">
        <f t="shared" si="80"/>
        <v>4</v>
      </c>
      <c r="AN88" s="390"/>
      <c r="AO88" s="182">
        <v>17</v>
      </c>
      <c r="AP88" s="166">
        <v>1429.6438356164388</v>
      </c>
      <c r="AQ88" s="166">
        <v>84.096696212731686</v>
      </c>
      <c r="AR88" s="182">
        <f t="shared" si="82"/>
        <v>4</v>
      </c>
      <c r="AS88" s="390"/>
      <c r="AT88" s="182">
        <v>17</v>
      </c>
      <c r="AU88" s="166">
        <v>1434.6428571428576</v>
      </c>
      <c r="AV88" s="166">
        <v>84.390756302521027</v>
      </c>
      <c r="AW88" s="182">
        <f t="shared" si="84"/>
        <v>3</v>
      </c>
      <c r="AX88" s="390"/>
      <c r="AZ88" s="182" t="e">
        <f t="shared" si="86"/>
        <v>#N/A</v>
      </c>
      <c r="BA88" s="390"/>
    </row>
    <row r="89" spans="2:53">
      <c r="B89" s="395"/>
      <c r="C89" s="182">
        <v>3</v>
      </c>
      <c r="D89" s="203" t="s">
        <v>649</v>
      </c>
      <c r="E89" s="166">
        <v>16</v>
      </c>
      <c r="F89" s="182">
        <v>1500</v>
      </c>
      <c r="G89" s="180">
        <v>93.75</v>
      </c>
      <c r="H89" s="402"/>
      <c r="I89" s="166">
        <f t="shared" si="69"/>
        <v>17</v>
      </c>
      <c r="J89" s="166">
        <f t="shared" si="70"/>
        <v>1392.2802197285712</v>
      </c>
      <c r="K89" s="180">
        <f t="shared" si="71"/>
        <v>81.898836454621829</v>
      </c>
      <c r="L89" s="402"/>
      <c r="M89" s="166">
        <f>RANK(K89, K$87:$K$101)</f>
        <v>5</v>
      </c>
      <c r="N89" s="389"/>
      <c r="O89" s="389"/>
      <c r="P89" s="182">
        <v>17</v>
      </c>
      <c r="Q89" s="166">
        <v>1402.0819672131142</v>
      </c>
      <c r="R89" s="166">
        <v>82.475409836065538</v>
      </c>
      <c r="S89" s="182">
        <f t="shared" si="72"/>
        <v>4</v>
      </c>
      <c r="T89" s="390"/>
      <c r="U89" s="182">
        <v>17</v>
      </c>
      <c r="V89" s="166">
        <v>1400.7499999999993</v>
      </c>
      <c r="W89" s="166">
        <v>82.397058823529377</v>
      </c>
      <c r="X89" s="182">
        <f t="shared" si="74"/>
        <v>4</v>
      </c>
      <c r="Y89" s="390"/>
      <c r="Z89" s="182">
        <v>17</v>
      </c>
      <c r="AA89" s="166">
        <v>1382.7894736842118</v>
      </c>
      <c r="AB89" s="166">
        <v>81.340557275541869</v>
      </c>
      <c r="AC89" s="182">
        <f t="shared" si="76"/>
        <v>6</v>
      </c>
      <c r="AD89" s="390"/>
      <c r="AE89" s="182">
        <v>17</v>
      </c>
      <c r="AF89" s="166">
        <v>1372.1632653061231</v>
      </c>
      <c r="AG89" s="166">
        <v>80.715486194477833</v>
      </c>
      <c r="AH89" s="182">
        <f t="shared" si="78"/>
        <v>5</v>
      </c>
      <c r="AI89" s="390"/>
      <c r="AJ89" s="182">
        <v>17</v>
      </c>
      <c r="AK89" s="166">
        <v>1394.5862068965509</v>
      </c>
      <c r="AL89" s="166">
        <v>82.034482758620641</v>
      </c>
      <c r="AM89" s="182">
        <f t="shared" si="80"/>
        <v>5</v>
      </c>
      <c r="AN89" s="390"/>
      <c r="AO89" s="182">
        <v>17</v>
      </c>
      <c r="AP89" s="166">
        <v>1403.3906249999998</v>
      </c>
      <c r="AQ89" s="166">
        <v>82.552389705882334</v>
      </c>
      <c r="AR89" s="182">
        <f t="shared" si="82"/>
        <v>5</v>
      </c>
      <c r="AS89" s="390"/>
      <c r="AT89" s="182">
        <v>17</v>
      </c>
      <c r="AU89" s="166">
        <v>1390.1999999999996</v>
      </c>
      <c r="AV89" s="166">
        <v>81.77647058823527</v>
      </c>
      <c r="AW89" s="182">
        <f t="shared" si="84"/>
        <v>5</v>
      </c>
      <c r="AX89" s="390"/>
      <c r="AZ89" s="182" t="e">
        <f t="shared" si="86"/>
        <v>#N/A</v>
      </c>
      <c r="BA89" s="390"/>
    </row>
    <row r="90" spans="2:53">
      <c r="B90" s="395"/>
      <c r="C90" s="182">
        <v>4</v>
      </c>
      <c r="D90" s="203" t="s">
        <v>637</v>
      </c>
      <c r="E90" s="166">
        <v>15</v>
      </c>
      <c r="F90" s="182">
        <v>1500</v>
      </c>
      <c r="G90" s="180">
        <v>100</v>
      </c>
      <c r="H90" s="402"/>
      <c r="I90" s="166">
        <f t="shared" si="69"/>
        <v>15.142857142857142</v>
      </c>
      <c r="J90" s="166">
        <f t="shared" si="70"/>
        <v>1322.5192087332089</v>
      </c>
      <c r="K90" s="180">
        <f t="shared" si="71"/>
        <v>87.387762063695419</v>
      </c>
      <c r="L90" s="402"/>
      <c r="M90" s="166">
        <f>RANK(K90, K$87:$K$101)</f>
        <v>2</v>
      </c>
      <c r="N90" s="389"/>
      <c r="O90" s="389"/>
      <c r="P90" s="182">
        <v>16</v>
      </c>
      <c r="Q90" s="166">
        <v>1310.7111111111101</v>
      </c>
      <c r="R90" s="166">
        <v>81.91944444444438</v>
      </c>
      <c r="S90" s="182">
        <f t="shared" si="72"/>
        <v>6</v>
      </c>
      <c r="T90" s="390"/>
      <c r="U90" s="182">
        <v>15</v>
      </c>
      <c r="V90" s="166">
        <v>1331.1570247933887</v>
      </c>
      <c r="W90" s="166">
        <v>88.743801652892586</v>
      </c>
      <c r="X90" s="182">
        <f t="shared" si="74"/>
        <v>2</v>
      </c>
      <c r="Y90" s="390"/>
      <c r="Z90" s="182">
        <v>15</v>
      </c>
      <c r="AA90" s="166">
        <v>1328.2054054054051</v>
      </c>
      <c r="AB90" s="166">
        <v>88.547027027027013</v>
      </c>
      <c r="AC90" s="182">
        <f t="shared" si="76"/>
        <v>2</v>
      </c>
      <c r="AD90" s="390"/>
      <c r="AE90" s="182">
        <v>15</v>
      </c>
      <c r="AF90" s="166">
        <v>1333.4911242603553</v>
      </c>
      <c r="AG90" s="166">
        <v>88.899408284023679</v>
      </c>
      <c r="AH90" s="182">
        <f t="shared" si="78"/>
        <v>2</v>
      </c>
      <c r="AI90" s="390"/>
      <c r="AJ90" s="182">
        <v>15</v>
      </c>
      <c r="AK90" s="166">
        <v>1318.4293193717276</v>
      </c>
      <c r="AL90" s="166">
        <v>87.895287958115176</v>
      </c>
      <c r="AM90" s="182">
        <f t="shared" si="80"/>
        <v>2</v>
      </c>
      <c r="AN90" s="390"/>
      <c r="AO90" s="182">
        <v>15</v>
      </c>
      <c r="AP90" s="166">
        <v>1314.9333333333334</v>
      </c>
      <c r="AQ90" s="166">
        <v>87.662222222222226</v>
      </c>
      <c r="AR90" s="182">
        <f t="shared" si="82"/>
        <v>2</v>
      </c>
      <c r="AS90" s="390"/>
      <c r="AT90" s="182">
        <v>15</v>
      </c>
      <c r="AU90" s="166">
        <v>1320.707142857143</v>
      </c>
      <c r="AV90" s="166">
        <v>88.047142857142873</v>
      </c>
      <c r="AW90" s="182">
        <f t="shared" si="84"/>
        <v>2</v>
      </c>
      <c r="AX90" s="390"/>
      <c r="AZ90" s="182" t="e">
        <f t="shared" si="86"/>
        <v>#N/A</v>
      </c>
      <c r="BA90" s="390"/>
    </row>
    <row r="91" spans="2:53">
      <c r="B91" s="395"/>
      <c r="C91" s="182">
        <v>5</v>
      </c>
      <c r="D91" s="203" t="s">
        <v>655</v>
      </c>
      <c r="E91" s="166">
        <v>17</v>
      </c>
      <c r="F91" s="182">
        <v>1636</v>
      </c>
      <c r="G91" s="180">
        <v>96.235294117647058</v>
      </c>
      <c r="H91" s="402"/>
      <c r="I91" s="166">
        <f t="shared" si="69"/>
        <v>17</v>
      </c>
      <c r="J91" s="166">
        <f t="shared" si="70"/>
        <v>1306.8059290298838</v>
      </c>
      <c r="K91" s="180">
        <f t="shared" si="71"/>
        <v>76.870937001757866</v>
      </c>
      <c r="L91" s="402"/>
      <c r="M91" s="166">
        <f>RANK(K91, K$87:$K$101)</f>
        <v>7</v>
      </c>
      <c r="N91" s="389"/>
      <c r="O91" s="389"/>
      <c r="P91" s="182">
        <v>17</v>
      </c>
      <c r="Q91" s="166">
        <v>1319.4174757281558</v>
      </c>
      <c r="R91" s="166">
        <v>77.612792689891521</v>
      </c>
      <c r="S91" s="182">
        <f t="shared" si="72"/>
        <v>7</v>
      </c>
      <c r="T91" s="390"/>
      <c r="U91" s="182">
        <v>17</v>
      </c>
      <c r="V91" s="166">
        <v>1301.6326530612248</v>
      </c>
      <c r="W91" s="166">
        <v>76.566626650660282</v>
      </c>
      <c r="X91" s="182">
        <f t="shared" si="74"/>
        <v>7</v>
      </c>
      <c r="Y91" s="390"/>
      <c r="Z91" s="182">
        <v>17</v>
      </c>
      <c r="AA91" s="166">
        <v>1299.1578947368423</v>
      </c>
      <c r="AB91" s="166">
        <v>76.421052631578959</v>
      </c>
      <c r="AC91" s="182">
        <f t="shared" si="76"/>
        <v>7</v>
      </c>
      <c r="AD91" s="390"/>
      <c r="AE91" s="182">
        <v>17</v>
      </c>
      <c r="AF91" s="166">
        <v>1324.3373493975901</v>
      </c>
      <c r="AG91" s="166">
        <v>77.902197023387657</v>
      </c>
      <c r="AH91" s="182">
        <f t="shared" si="78"/>
        <v>6</v>
      </c>
      <c r="AI91" s="390"/>
      <c r="AJ91" s="182">
        <v>17</v>
      </c>
      <c r="AK91" s="166">
        <v>1309.4845360824747</v>
      </c>
      <c r="AL91" s="166">
        <v>77.028502122498509</v>
      </c>
      <c r="AM91" s="182">
        <f t="shared" si="80"/>
        <v>6</v>
      </c>
      <c r="AN91" s="390"/>
      <c r="AO91" s="182">
        <v>17</v>
      </c>
      <c r="AP91" s="166">
        <v>1293.3333333333333</v>
      </c>
      <c r="AQ91" s="166">
        <v>76.078431372549019</v>
      </c>
      <c r="AR91" s="182">
        <f t="shared" si="82"/>
        <v>6</v>
      </c>
      <c r="AS91" s="390"/>
      <c r="AT91" s="182">
        <v>17</v>
      </c>
      <c r="AU91" s="166">
        <v>1300.2782608695654</v>
      </c>
      <c r="AV91" s="166">
        <v>76.486956521739145</v>
      </c>
      <c r="AW91" s="182">
        <f t="shared" si="84"/>
        <v>7</v>
      </c>
      <c r="AX91" s="390"/>
      <c r="AZ91" s="182" t="e">
        <f t="shared" si="86"/>
        <v>#N/A</v>
      </c>
      <c r="BA91" s="390"/>
    </row>
    <row r="92" spans="2:53">
      <c r="B92" s="395"/>
      <c r="C92" s="182">
        <v>6</v>
      </c>
      <c r="D92" s="203" t="s">
        <v>737</v>
      </c>
      <c r="E92" s="166">
        <v>18</v>
      </c>
      <c r="F92" s="182">
        <v>1500</v>
      </c>
      <c r="G92" s="180">
        <v>83.333333333333329</v>
      </c>
      <c r="H92" s="402"/>
      <c r="I92" s="166">
        <f t="shared" si="69"/>
        <v>17.571428571428573</v>
      </c>
      <c r="J92" s="166">
        <f t="shared" si="70"/>
        <v>1378.8771277568117</v>
      </c>
      <c r="K92" s="180">
        <f t="shared" si="71"/>
        <v>78.540605464795661</v>
      </c>
      <c r="L92" s="402"/>
      <c r="M92" s="166">
        <f>RANK(K92, K$87:$K$101)</f>
        <v>6</v>
      </c>
      <c r="N92" s="389"/>
      <c r="O92" s="389"/>
      <c r="P92" s="182">
        <v>17</v>
      </c>
      <c r="Q92" s="166">
        <v>1398.9350649350654</v>
      </c>
      <c r="R92" s="166">
        <v>82.290297937356783</v>
      </c>
      <c r="S92" s="182">
        <f t="shared" si="72"/>
        <v>5</v>
      </c>
      <c r="T92" s="390"/>
      <c r="U92" s="182">
        <v>18</v>
      </c>
      <c r="V92" s="166">
        <v>1388.0704225352115</v>
      </c>
      <c r="W92" s="166">
        <v>77.115023474178415</v>
      </c>
      <c r="X92" s="182">
        <f t="shared" si="74"/>
        <v>6</v>
      </c>
      <c r="Y92" s="390"/>
      <c r="Z92" s="182">
        <v>17</v>
      </c>
      <c r="AA92" s="166">
        <v>1390.6438356164385</v>
      </c>
      <c r="AB92" s="166">
        <v>81.80257856567286</v>
      </c>
      <c r="AC92" s="182">
        <f t="shared" si="76"/>
        <v>5</v>
      </c>
      <c r="AD92" s="390"/>
      <c r="AE92" s="182">
        <v>18</v>
      </c>
      <c r="AF92" s="166">
        <v>1378.5230769230775</v>
      </c>
      <c r="AG92" s="166">
        <v>76.584615384615418</v>
      </c>
      <c r="AH92" s="182">
        <f t="shared" si="78"/>
        <v>7</v>
      </c>
      <c r="AI92" s="390"/>
      <c r="AJ92" s="182">
        <v>18</v>
      </c>
      <c r="AK92" s="166">
        <v>1374.24</v>
      </c>
      <c r="AL92" s="166">
        <v>76.346666666666664</v>
      </c>
      <c r="AM92" s="182">
        <f t="shared" si="80"/>
        <v>7</v>
      </c>
      <c r="AN92" s="390"/>
      <c r="AO92" s="182">
        <v>18</v>
      </c>
      <c r="AP92" s="166">
        <v>1363.7076923076918</v>
      </c>
      <c r="AQ92" s="166">
        <v>75.761538461538436</v>
      </c>
      <c r="AR92" s="182">
        <f t="shared" si="82"/>
        <v>7</v>
      </c>
      <c r="AS92" s="390"/>
      <c r="AT92" s="182">
        <v>17</v>
      </c>
      <c r="AU92" s="166">
        <v>1358.0198019801974</v>
      </c>
      <c r="AV92" s="166">
        <v>79.883517763541022</v>
      </c>
      <c r="AW92" s="182">
        <f t="shared" si="84"/>
        <v>6</v>
      </c>
      <c r="AX92" s="390"/>
      <c r="AZ92" s="182" t="e">
        <f t="shared" si="86"/>
        <v>#N/A</v>
      </c>
      <c r="BA92" s="390"/>
    </row>
    <row r="93" spans="2:53">
      <c r="B93" s="395"/>
      <c r="C93" s="182">
        <v>7</v>
      </c>
      <c r="D93" s="203" t="s">
        <v>755</v>
      </c>
      <c r="E93" s="166">
        <v>17</v>
      </c>
      <c r="F93" s="182">
        <v>1636</v>
      </c>
      <c r="G93" s="180">
        <v>96.235294117647058</v>
      </c>
      <c r="H93" s="402"/>
      <c r="I93" s="166">
        <f t="shared" si="69"/>
        <v>17.142857142857142</v>
      </c>
      <c r="J93" s="166">
        <f t="shared" si="70"/>
        <v>1432.0643838420833</v>
      </c>
      <c r="K93" s="180">
        <f t="shared" si="71"/>
        <v>83.560043120496033</v>
      </c>
      <c r="L93" s="402"/>
      <c r="M93" s="166">
        <f>RANK(K93, K$87:$K$101)</f>
        <v>4</v>
      </c>
      <c r="N93" s="389"/>
      <c r="O93" s="389"/>
      <c r="P93" s="182">
        <v>17</v>
      </c>
      <c r="Q93" s="166">
        <v>1448.3532934131738</v>
      </c>
      <c r="R93" s="166">
        <v>85.197252553716112</v>
      </c>
      <c r="S93" s="182">
        <f t="shared" si="72"/>
        <v>2</v>
      </c>
      <c r="T93" s="390"/>
      <c r="U93" s="182">
        <v>18</v>
      </c>
      <c r="V93" s="166">
        <v>1454.5</v>
      </c>
      <c r="W93" s="166">
        <v>80.805555555555557</v>
      </c>
      <c r="X93" s="182">
        <f t="shared" si="74"/>
        <v>5</v>
      </c>
      <c r="Y93" s="390"/>
      <c r="Z93" s="182">
        <v>17</v>
      </c>
      <c r="AA93" s="166">
        <v>1409.9104477611929</v>
      </c>
      <c r="AB93" s="166">
        <v>82.935908691834882</v>
      </c>
      <c r="AC93" s="182">
        <f t="shared" si="76"/>
        <v>4</v>
      </c>
      <c r="AD93" s="390"/>
      <c r="AE93" s="182">
        <v>17</v>
      </c>
      <c r="AF93" s="166">
        <v>1413.5999999999995</v>
      </c>
      <c r="AG93" s="166">
        <v>83.152941176470563</v>
      </c>
      <c r="AH93" s="182">
        <f t="shared" si="78"/>
        <v>4</v>
      </c>
      <c r="AI93" s="390"/>
      <c r="AJ93" s="182">
        <v>17</v>
      </c>
      <c r="AK93" s="166">
        <v>1450.1694915254238</v>
      </c>
      <c r="AL93" s="166">
        <v>85.30408773678964</v>
      </c>
      <c r="AM93" s="182">
        <f t="shared" si="80"/>
        <v>3</v>
      </c>
      <c r="AN93" s="390"/>
      <c r="AO93" s="182">
        <v>17</v>
      </c>
      <c r="AP93" s="166">
        <v>1434.7409836065569</v>
      </c>
      <c r="AQ93" s="166">
        <v>84.396528447444524</v>
      </c>
      <c r="AR93" s="182">
        <f t="shared" si="82"/>
        <v>3</v>
      </c>
      <c r="AS93" s="390"/>
      <c r="AT93" s="182">
        <v>17</v>
      </c>
      <c r="AU93" s="166">
        <v>1413.1764705882358</v>
      </c>
      <c r="AV93" s="166">
        <v>83.128027681660924</v>
      </c>
      <c r="AW93" s="182">
        <f t="shared" si="84"/>
        <v>4</v>
      </c>
      <c r="AX93" s="390"/>
      <c r="AZ93" s="182" t="e">
        <f t="shared" si="86"/>
        <v>#N/A</v>
      </c>
      <c r="BA93" s="390"/>
    </row>
    <row r="94" spans="2:53">
      <c r="B94" s="395"/>
      <c r="C94" s="182">
        <v>8</v>
      </c>
      <c r="D94" s="203"/>
      <c r="E94" s="166"/>
      <c r="F94" s="182"/>
      <c r="G94" s="180"/>
      <c r="H94" s="402"/>
      <c r="I94" s="166" t="str">
        <f t="shared" si="69"/>
        <v>-</v>
      </c>
      <c r="J94" s="166" t="str">
        <f t="shared" si="70"/>
        <v>-</v>
      </c>
      <c r="K94" s="180" t="str">
        <f t="shared" si="71"/>
        <v>-</v>
      </c>
      <c r="L94" s="402"/>
      <c r="M94" s="166" t="e">
        <f>RANK(K94, K$87:$K$101)</f>
        <v>#VALUE!</v>
      </c>
      <c r="N94" s="389"/>
      <c r="O94" s="389"/>
      <c r="P94" s="182"/>
      <c r="Q94" s="166"/>
      <c r="R94" s="166"/>
      <c r="S94" s="182" t="e">
        <f t="shared" si="72"/>
        <v>#N/A</v>
      </c>
      <c r="T94" s="390"/>
      <c r="U94" s="182"/>
      <c r="V94" s="166"/>
      <c r="W94" s="166"/>
      <c r="X94" s="182" t="e">
        <f t="shared" si="74"/>
        <v>#N/A</v>
      </c>
      <c r="Y94" s="390"/>
      <c r="Z94" s="182"/>
      <c r="AA94" s="166"/>
      <c r="AB94" s="166"/>
      <c r="AC94" s="182" t="e">
        <f t="shared" si="76"/>
        <v>#N/A</v>
      </c>
      <c r="AD94" s="390"/>
      <c r="AE94" s="182"/>
      <c r="AF94" s="166"/>
      <c r="AG94" s="166"/>
      <c r="AH94" s="182" t="e">
        <f t="shared" si="78"/>
        <v>#N/A</v>
      </c>
      <c r="AI94" s="390"/>
      <c r="AJ94" s="182"/>
      <c r="AK94" s="166"/>
      <c r="AL94" s="166"/>
      <c r="AM94" s="182" t="e">
        <f t="shared" si="80"/>
        <v>#N/A</v>
      </c>
      <c r="AN94" s="390"/>
      <c r="AO94" s="182"/>
      <c r="AP94" s="166"/>
      <c r="AQ94" s="166"/>
      <c r="AR94" s="182" t="e">
        <f t="shared" si="82"/>
        <v>#N/A</v>
      </c>
      <c r="AS94" s="390"/>
      <c r="AT94" s="182"/>
      <c r="AU94" s="166"/>
      <c r="AV94" s="166"/>
      <c r="AW94" s="182" t="e">
        <f t="shared" si="84"/>
        <v>#N/A</v>
      </c>
      <c r="AX94" s="390"/>
      <c r="AZ94" s="182" t="e">
        <f t="shared" si="86"/>
        <v>#N/A</v>
      </c>
      <c r="BA94" s="390"/>
    </row>
    <row r="95" spans="2:53">
      <c r="B95" s="395"/>
      <c r="C95" s="182">
        <v>9</v>
      </c>
      <c r="D95" s="203"/>
      <c r="E95" s="166"/>
      <c r="F95" s="182"/>
      <c r="G95" s="180"/>
      <c r="H95" s="402"/>
      <c r="I95" s="166" t="str">
        <f t="shared" si="69"/>
        <v>-</v>
      </c>
      <c r="J95" s="166" t="str">
        <f t="shared" si="70"/>
        <v>-</v>
      </c>
      <c r="K95" s="180" t="str">
        <f t="shared" si="71"/>
        <v>-</v>
      </c>
      <c r="L95" s="402"/>
      <c r="M95" s="166" t="e">
        <f>RANK(K95, K$87:$K$101)</f>
        <v>#VALUE!</v>
      </c>
      <c r="N95" s="389"/>
      <c r="O95" s="389"/>
      <c r="P95" s="182"/>
      <c r="Q95" s="166"/>
      <c r="R95" s="166"/>
      <c r="S95" s="182" t="e">
        <f t="shared" si="72"/>
        <v>#N/A</v>
      </c>
      <c r="T95" s="390"/>
      <c r="U95" s="182"/>
      <c r="V95" s="166"/>
      <c r="W95" s="166"/>
      <c r="X95" s="182" t="e">
        <f t="shared" si="74"/>
        <v>#N/A</v>
      </c>
      <c r="Y95" s="390"/>
      <c r="Z95" s="182"/>
      <c r="AA95" s="166"/>
      <c r="AB95" s="166"/>
      <c r="AC95" s="182" t="e">
        <f t="shared" si="76"/>
        <v>#N/A</v>
      </c>
      <c r="AD95" s="390"/>
      <c r="AE95" s="182"/>
      <c r="AF95" s="166"/>
      <c r="AG95" s="166"/>
      <c r="AH95" s="182" t="e">
        <f t="shared" si="78"/>
        <v>#N/A</v>
      </c>
      <c r="AI95" s="390"/>
      <c r="AJ95" s="182"/>
      <c r="AK95" s="166"/>
      <c r="AL95" s="166"/>
      <c r="AM95" s="182" t="e">
        <f t="shared" si="80"/>
        <v>#N/A</v>
      </c>
      <c r="AN95" s="390"/>
      <c r="AO95" s="182"/>
      <c r="AP95" s="166"/>
      <c r="AQ95" s="166"/>
      <c r="AR95" s="182" t="e">
        <f t="shared" si="82"/>
        <v>#N/A</v>
      </c>
      <c r="AS95" s="390"/>
      <c r="AT95" s="182"/>
      <c r="AU95" s="166"/>
      <c r="AV95" s="166"/>
      <c r="AW95" s="182" t="e">
        <f t="shared" si="84"/>
        <v>#N/A</v>
      </c>
      <c r="AX95" s="390"/>
      <c r="AZ95" s="182" t="e">
        <f t="shared" si="86"/>
        <v>#N/A</v>
      </c>
      <c r="BA95" s="390"/>
    </row>
    <row r="96" spans="2:53">
      <c r="B96" s="395"/>
      <c r="C96" s="182">
        <v>10</v>
      </c>
      <c r="D96" s="203"/>
      <c r="E96" s="166"/>
      <c r="F96" s="182"/>
      <c r="G96" s="180"/>
      <c r="H96" s="402"/>
      <c r="I96" s="166" t="str">
        <f t="shared" si="69"/>
        <v>-</v>
      </c>
      <c r="J96" s="166" t="str">
        <f t="shared" si="70"/>
        <v>-</v>
      </c>
      <c r="K96" s="180" t="str">
        <f t="shared" si="71"/>
        <v>-</v>
      </c>
      <c r="L96" s="402"/>
      <c r="M96" s="166" t="e">
        <f>RANK(K96, K$87:$K$101)</f>
        <v>#VALUE!</v>
      </c>
      <c r="N96" s="389"/>
      <c r="O96" s="389"/>
      <c r="P96" s="182"/>
      <c r="Q96" s="166"/>
      <c r="R96" s="166"/>
      <c r="S96" s="182" t="e">
        <f t="shared" si="72"/>
        <v>#N/A</v>
      </c>
      <c r="T96" s="390"/>
      <c r="U96" s="182"/>
      <c r="V96" s="166"/>
      <c r="W96" s="166"/>
      <c r="X96" s="182" t="e">
        <f t="shared" si="74"/>
        <v>#N/A</v>
      </c>
      <c r="Y96" s="390"/>
      <c r="Z96" s="182"/>
      <c r="AA96" s="166"/>
      <c r="AB96" s="166"/>
      <c r="AC96" s="182" t="e">
        <f t="shared" si="76"/>
        <v>#N/A</v>
      </c>
      <c r="AD96" s="390"/>
      <c r="AE96" s="182"/>
      <c r="AF96" s="166"/>
      <c r="AG96" s="166"/>
      <c r="AH96" s="182" t="e">
        <f t="shared" si="78"/>
        <v>#N/A</v>
      </c>
      <c r="AI96" s="390"/>
      <c r="AJ96" s="182"/>
      <c r="AK96" s="166"/>
      <c r="AL96" s="166"/>
      <c r="AM96" s="182" t="e">
        <f t="shared" si="80"/>
        <v>#N/A</v>
      </c>
      <c r="AN96" s="390"/>
      <c r="AO96" s="182"/>
      <c r="AP96" s="166"/>
      <c r="AQ96" s="166"/>
      <c r="AR96" s="182" t="e">
        <f t="shared" si="82"/>
        <v>#N/A</v>
      </c>
      <c r="AS96" s="390"/>
      <c r="AT96" s="182"/>
      <c r="AU96" s="166"/>
      <c r="AV96" s="166"/>
      <c r="AW96" s="182" t="e">
        <f t="shared" si="84"/>
        <v>#N/A</v>
      </c>
      <c r="AX96" s="390"/>
      <c r="AZ96" s="182" t="e">
        <f t="shared" si="86"/>
        <v>#N/A</v>
      </c>
      <c r="BA96" s="390"/>
    </row>
    <row r="97" spans="2:53">
      <c r="B97" s="395"/>
      <c r="C97" s="182">
        <v>11</v>
      </c>
      <c r="D97" s="203"/>
      <c r="E97" s="166"/>
      <c r="F97" s="182"/>
      <c r="G97" s="180"/>
      <c r="H97" s="402"/>
      <c r="I97" s="166" t="str">
        <f t="shared" si="69"/>
        <v>-</v>
      </c>
      <c r="J97" s="166" t="str">
        <f t="shared" si="70"/>
        <v>-</v>
      </c>
      <c r="K97" s="180" t="str">
        <f t="shared" si="71"/>
        <v>-</v>
      </c>
      <c r="L97" s="402"/>
      <c r="M97" s="166" t="e">
        <f>RANK(K97, K$87:$K$101)</f>
        <v>#VALUE!</v>
      </c>
      <c r="N97" s="389"/>
      <c r="O97" s="389"/>
      <c r="P97" s="182"/>
      <c r="Q97" s="166"/>
      <c r="R97" s="166"/>
      <c r="S97" s="182" t="e">
        <f t="shared" si="72"/>
        <v>#N/A</v>
      </c>
      <c r="T97" s="390"/>
      <c r="U97" s="182"/>
      <c r="V97" s="166"/>
      <c r="W97" s="166"/>
      <c r="X97" s="182" t="e">
        <f t="shared" si="74"/>
        <v>#N/A</v>
      </c>
      <c r="Y97" s="390"/>
      <c r="Z97" s="182"/>
      <c r="AA97" s="166"/>
      <c r="AB97" s="166"/>
      <c r="AC97" s="182" t="e">
        <f t="shared" si="76"/>
        <v>#N/A</v>
      </c>
      <c r="AD97" s="390"/>
      <c r="AE97" s="182"/>
      <c r="AF97" s="166"/>
      <c r="AG97" s="166"/>
      <c r="AH97" s="182" t="e">
        <f t="shared" si="78"/>
        <v>#N/A</v>
      </c>
      <c r="AI97" s="390"/>
      <c r="AJ97" s="182"/>
      <c r="AK97" s="166"/>
      <c r="AL97" s="166"/>
      <c r="AM97" s="182" t="e">
        <f t="shared" si="80"/>
        <v>#N/A</v>
      </c>
      <c r="AN97" s="390"/>
      <c r="AO97" s="182"/>
      <c r="AP97" s="166"/>
      <c r="AQ97" s="166"/>
      <c r="AR97" s="182" t="e">
        <f t="shared" si="82"/>
        <v>#N/A</v>
      </c>
      <c r="AS97" s="390"/>
      <c r="AT97" s="182"/>
      <c r="AU97" s="166"/>
      <c r="AV97" s="166"/>
      <c r="AW97" s="182" t="e">
        <f t="shared" si="84"/>
        <v>#N/A</v>
      </c>
      <c r="AX97" s="390"/>
      <c r="AZ97" s="182" t="e">
        <f t="shared" si="86"/>
        <v>#N/A</v>
      </c>
      <c r="BA97" s="390"/>
    </row>
    <row r="98" spans="2:53">
      <c r="B98" s="395"/>
      <c r="C98" s="182">
        <v>12</v>
      </c>
      <c r="D98" s="203"/>
      <c r="E98" s="166"/>
      <c r="F98" s="182"/>
      <c r="G98" s="180"/>
      <c r="H98" s="402"/>
      <c r="I98" s="166" t="str">
        <f t="shared" si="69"/>
        <v>-</v>
      </c>
      <c r="J98" s="166" t="str">
        <f t="shared" si="70"/>
        <v>-</v>
      </c>
      <c r="K98" s="180" t="str">
        <f t="shared" si="71"/>
        <v>-</v>
      </c>
      <c r="L98" s="402"/>
      <c r="M98" s="166" t="e">
        <f>RANK(K98, K$87:$K$101)</f>
        <v>#VALUE!</v>
      </c>
      <c r="N98" s="389"/>
      <c r="O98" s="389"/>
      <c r="P98" s="182"/>
      <c r="Q98" s="166"/>
      <c r="R98" s="166"/>
      <c r="S98" s="182" t="e">
        <f t="shared" si="72"/>
        <v>#N/A</v>
      </c>
      <c r="T98" s="390"/>
      <c r="U98" s="182"/>
      <c r="V98" s="166"/>
      <c r="W98" s="166"/>
      <c r="X98" s="182" t="e">
        <f t="shared" si="74"/>
        <v>#N/A</v>
      </c>
      <c r="Y98" s="390"/>
      <c r="Z98" s="182"/>
      <c r="AA98" s="166"/>
      <c r="AB98" s="166"/>
      <c r="AC98" s="182" t="e">
        <f t="shared" si="76"/>
        <v>#N/A</v>
      </c>
      <c r="AD98" s="390"/>
      <c r="AE98" s="182"/>
      <c r="AF98" s="166"/>
      <c r="AG98" s="166"/>
      <c r="AH98" s="182" t="e">
        <f t="shared" si="78"/>
        <v>#N/A</v>
      </c>
      <c r="AI98" s="390"/>
      <c r="AJ98" s="182"/>
      <c r="AK98" s="166"/>
      <c r="AL98" s="166"/>
      <c r="AM98" s="182" t="e">
        <f t="shared" si="80"/>
        <v>#N/A</v>
      </c>
      <c r="AN98" s="390"/>
      <c r="AO98" s="182"/>
      <c r="AP98" s="166"/>
      <c r="AQ98" s="166"/>
      <c r="AR98" s="182" t="e">
        <f t="shared" si="82"/>
        <v>#N/A</v>
      </c>
      <c r="AS98" s="390"/>
      <c r="AT98" s="182"/>
      <c r="AU98" s="166"/>
      <c r="AV98" s="166"/>
      <c r="AW98" s="182" t="e">
        <f t="shared" si="84"/>
        <v>#N/A</v>
      </c>
      <c r="AX98" s="390"/>
      <c r="AZ98" s="182" t="e">
        <f t="shared" si="86"/>
        <v>#N/A</v>
      </c>
      <c r="BA98" s="390"/>
    </row>
    <row r="99" spans="2:53">
      <c r="B99" s="395"/>
      <c r="C99" s="182">
        <v>13</v>
      </c>
      <c r="D99" s="203"/>
      <c r="E99" s="166"/>
      <c r="F99" s="182"/>
      <c r="G99" s="180"/>
      <c r="H99" s="402"/>
      <c r="I99" s="166" t="str">
        <f t="shared" si="69"/>
        <v>-</v>
      </c>
      <c r="J99" s="166" t="str">
        <f t="shared" si="70"/>
        <v>-</v>
      </c>
      <c r="K99" s="180" t="str">
        <f t="shared" si="71"/>
        <v>-</v>
      </c>
      <c r="L99" s="402"/>
      <c r="M99" s="166" t="e">
        <f>RANK(K99, K$87:$K$101)</f>
        <v>#VALUE!</v>
      </c>
      <c r="N99" s="389"/>
      <c r="O99" s="389"/>
      <c r="P99" s="182"/>
      <c r="Q99" s="166"/>
      <c r="R99" s="166"/>
      <c r="S99" s="182" t="e">
        <f t="shared" si="72"/>
        <v>#N/A</v>
      </c>
      <c r="T99" s="390"/>
      <c r="U99" s="182"/>
      <c r="V99" s="166"/>
      <c r="W99" s="166"/>
      <c r="X99" s="182" t="e">
        <f t="shared" si="74"/>
        <v>#N/A</v>
      </c>
      <c r="Y99" s="390"/>
      <c r="Z99" s="182"/>
      <c r="AA99" s="166"/>
      <c r="AB99" s="166"/>
      <c r="AC99" s="182" t="e">
        <f t="shared" si="76"/>
        <v>#N/A</v>
      </c>
      <c r="AD99" s="390"/>
      <c r="AE99" s="182"/>
      <c r="AF99" s="166"/>
      <c r="AG99" s="166"/>
      <c r="AH99" s="182" t="e">
        <f t="shared" si="78"/>
        <v>#N/A</v>
      </c>
      <c r="AI99" s="390"/>
      <c r="AJ99" s="182"/>
      <c r="AK99" s="166"/>
      <c r="AL99" s="166"/>
      <c r="AM99" s="182" t="e">
        <f t="shared" si="80"/>
        <v>#N/A</v>
      </c>
      <c r="AN99" s="390"/>
      <c r="AO99" s="182"/>
      <c r="AP99" s="166"/>
      <c r="AQ99" s="166"/>
      <c r="AR99" s="182" t="e">
        <f t="shared" si="82"/>
        <v>#N/A</v>
      </c>
      <c r="AS99" s="390"/>
      <c r="AT99" s="182"/>
      <c r="AU99" s="166"/>
      <c r="AV99" s="166"/>
      <c r="AW99" s="182" t="e">
        <f t="shared" si="84"/>
        <v>#N/A</v>
      </c>
      <c r="AX99" s="390"/>
      <c r="AZ99" s="182" t="e">
        <f t="shared" si="86"/>
        <v>#N/A</v>
      </c>
      <c r="BA99" s="390"/>
    </row>
    <row r="100" spans="2:53">
      <c r="B100" s="395"/>
      <c r="C100" s="182">
        <v>14</v>
      </c>
      <c r="D100" s="203"/>
      <c r="E100" s="166"/>
      <c r="F100" s="182"/>
      <c r="G100" s="180"/>
      <c r="H100" s="402"/>
      <c r="I100" s="166" t="str">
        <f t="shared" si="69"/>
        <v>-</v>
      </c>
      <c r="J100" s="166" t="str">
        <f t="shared" si="70"/>
        <v>-</v>
      </c>
      <c r="K100" s="180" t="str">
        <f t="shared" si="71"/>
        <v>-</v>
      </c>
      <c r="L100" s="402"/>
      <c r="M100" s="166" t="e">
        <f>RANK(K100, K$87:$K$101)</f>
        <v>#VALUE!</v>
      </c>
      <c r="N100" s="389"/>
      <c r="O100" s="389"/>
      <c r="P100" s="182"/>
      <c r="Q100" s="166"/>
      <c r="R100" s="166"/>
      <c r="S100" s="182" t="e">
        <f t="shared" si="72"/>
        <v>#N/A</v>
      </c>
      <c r="T100" s="390"/>
      <c r="U100" s="182"/>
      <c r="V100" s="166"/>
      <c r="W100" s="166"/>
      <c r="X100" s="182" t="e">
        <f t="shared" si="74"/>
        <v>#N/A</v>
      </c>
      <c r="Y100" s="390"/>
      <c r="Z100" s="182"/>
      <c r="AA100" s="166"/>
      <c r="AB100" s="166"/>
      <c r="AC100" s="182" t="e">
        <f t="shared" si="76"/>
        <v>#N/A</v>
      </c>
      <c r="AD100" s="390"/>
      <c r="AE100" s="182"/>
      <c r="AF100" s="166"/>
      <c r="AG100" s="166"/>
      <c r="AH100" s="182" t="e">
        <f t="shared" si="78"/>
        <v>#N/A</v>
      </c>
      <c r="AI100" s="390"/>
      <c r="AJ100" s="182"/>
      <c r="AK100" s="166"/>
      <c r="AL100" s="166"/>
      <c r="AM100" s="182" t="e">
        <f t="shared" si="80"/>
        <v>#N/A</v>
      </c>
      <c r="AN100" s="390"/>
      <c r="AO100" s="182"/>
      <c r="AP100" s="166"/>
      <c r="AQ100" s="166"/>
      <c r="AR100" s="182" t="e">
        <f t="shared" si="82"/>
        <v>#N/A</v>
      </c>
      <c r="AS100" s="390"/>
      <c r="AT100" s="182"/>
      <c r="AU100" s="166"/>
      <c r="AV100" s="166"/>
      <c r="AW100" s="182" t="e">
        <f t="shared" si="84"/>
        <v>#N/A</v>
      </c>
      <c r="AX100" s="390"/>
      <c r="AZ100" s="182" t="e">
        <f t="shared" si="86"/>
        <v>#N/A</v>
      </c>
      <c r="BA100" s="390"/>
    </row>
    <row r="101" spans="2:53">
      <c r="B101" s="395"/>
      <c r="C101" s="182">
        <v>15</v>
      </c>
      <c r="D101" s="203"/>
      <c r="E101" s="166"/>
      <c r="F101" s="182"/>
      <c r="G101" s="180"/>
      <c r="H101" s="403"/>
      <c r="I101" s="182"/>
      <c r="J101" s="182"/>
      <c r="K101" s="182"/>
      <c r="L101" s="403"/>
      <c r="M101" s="166" t="e">
        <f>RANK(K101, K$87:$K$101)</f>
        <v>#N/A</v>
      </c>
      <c r="N101" s="389"/>
      <c r="O101" s="389"/>
      <c r="P101" s="182"/>
      <c r="Q101" s="166"/>
      <c r="R101" s="166"/>
      <c r="S101" s="182" t="e">
        <f t="shared" si="72"/>
        <v>#N/A</v>
      </c>
      <c r="T101" s="390"/>
      <c r="U101" s="182"/>
      <c r="V101" s="166"/>
      <c r="W101" s="166"/>
      <c r="X101" s="182" t="e">
        <f t="shared" si="74"/>
        <v>#N/A</v>
      </c>
      <c r="Y101" s="390"/>
      <c r="Z101" s="182"/>
      <c r="AA101" s="166"/>
      <c r="AB101" s="166"/>
      <c r="AC101" s="182" t="e">
        <f t="shared" si="76"/>
        <v>#N/A</v>
      </c>
      <c r="AD101" s="390"/>
      <c r="AE101" s="182"/>
      <c r="AF101" s="166"/>
      <c r="AG101" s="166"/>
      <c r="AH101" s="182" t="e">
        <f t="shared" si="78"/>
        <v>#N/A</v>
      </c>
      <c r="AI101" s="390"/>
      <c r="AJ101" s="182"/>
      <c r="AK101" s="166"/>
      <c r="AL101" s="166"/>
      <c r="AM101" s="182" t="e">
        <f t="shared" si="80"/>
        <v>#N/A</v>
      </c>
      <c r="AN101" s="390"/>
      <c r="AO101" s="182"/>
      <c r="AP101" s="166"/>
      <c r="AQ101" s="166"/>
      <c r="AR101" s="182" t="e">
        <f t="shared" si="82"/>
        <v>#N/A</v>
      </c>
      <c r="AS101" s="390"/>
      <c r="AT101" s="182"/>
      <c r="AU101" s="166"/>
      <c r="AV101" s="166"/>
      <c r="AW101" s="182" t="e">
        <f t="shared" si="84"/>
        <v>#N/A</v>
      </c>
      <c r="AX101" s="390"/>
      <c r="AZ101" s="182" t="e">
        <f t="shared" si="86"/>
        <v>#N/A</v>
      </c>
      <c r="BA101" s="390"/>
    </row>
    <row r="102" spans="2:53" ht="15.75">
      <c r="B102" s="414" t="s">
        <v>163</v>
      </c>
      <c r="C102" s="415"/>
      <c r="D102" s="415"/>
      <c r="E102" s="415"/>
      <c r="F102" s="415"/>
      <c r="G102" s="415"/>
      <c r="H102" s="415"/>
      <c r="I102" s="186"/>
      <c r="J102" s="186"/>
      <c r="K102" s="186"/>
      <c r="L102" s="186"/>
      <c r="M102" s="185"/>
      <c r="N102" s="391" t="s">
        <v>156</v>
      </c>
      <c r="O102" s="391" t="s">
        <v>105</v>
      </c>
      <c r="P102" s="413">
        <f>P82+7</f>
        <v>46175</v>
      </c>
      <c r="Q102" s="395"/>
      <c r="R102" s="395"/>
      <c r="S102" s="395"/>
      <c r="T102" s="395"/>
      <c r="U102" s="410">
        <f>P102+1</f>
        <v>46176</v>
      </c>
      <c r="V102" s="411"/>
      <c r="W102" s="411"/>
      <c r="X102" s="411"/>
      <c r="Y102" s="412"/>
      <c r="Z102" s="410">
        <f>U102+1</f>
        <v>46177</v>
      </c>
      <c r="AA102" s="411"/>
      <c r="AB102" s="411"/>
      <c r="AC102" s="411"/>
      <c r="AD102" s="412"/>
      <c r="AE102" s="410">
        <f>Z102+1</f>
        <v>46178</v>
      </c>
      <c r="AF102" s="411"/>
      <c r="AG102" s="411"/>
      <c r="AH102" s="411"/>
      <c r="AI102" s="412"/>
      <c r="AJ102" s="410">
        <f>AE102+1</f>
        <v>46179</v>
      </c>
      <c r="AK102" s="411"/>
      <c r="AL102" s="411"/>
      <c r="AM102" s="411"/>
      <c r="AN102" s="412"/>
      <c r="AO102" s="410">
        <f>AJ102+1</f>
        <v>46180</v>
      </c>
      <c r="AP102" s="411"/>
      <c r="AQ102" s="411"/>
      <c r="AR102" s="411"/>
      <c r="AS102" s="412"/>
      <c r="AT102" s="410">
        <f>AO102+1</f>
        <v>46181</v>
      </c>
      <c r="AU102" s="411"/>
      <c r="AV102" s="411"/>
      <c r="AW102" s="411"/>
      <c r="AX102" s="412"/>
    </row>
    <row r="103" spans="2:53" ht="15.75">
      <c r="B103" s="416"/>
      <c r="C103" s="416"/>
      <c r="D103" s="416"/>
      <c r="E103" s="416"/>
      <c r="F103" s="416"/>
      <c r="G103" s="416"/>
      <c r="H103" s="416"/>
      <c r="I103" s="184"/>
      <c r="J103" s="184"/>
      <c r="K103" s="184"/>
      <c r="L103" s="184"/>
      <c r="M103" s="179"/>
      <c r="N103" s="393"/>
      <c r="O103" s="393"/>
      <c r="P103" s="413" t="s">
        <v>158</v>
      </c>
      <c r="Q103" s="395"/>
      <c r="R103" s="395"/>
      <c r="S103" s="395"/>
      <c r="T103" s="395"/>
      <c r="U103" s="413" t="s">
        <v>114</v>
      </c>
      <c r="V103" s="395"/>
      <c r="W103" s="395"/>
      <c r="X103" s="395"/>
      <c r="Y103" s="395"/>
      <c r="Z103" s="413" t="s">
        <v>159</v>
      </c>
      <c r="AA103" s="395"/>
      <c r="AB103" s="395"/>
      <c r="AC103" s="395"/>
      <c r="AD103" s="395"/>
      <c r="AE103" s="413" t="s">
        <v>157</v>
      </c>
      <c r="AF103" s="395"/>
      <c r="AG103" s="395"/>
      <c r="AH103" s="395"/>
      <c r="AI103" s="395"/>
      <c r="AJ103" s="413" t="s">
        <v>160</v>
      </c>
      <c r="AK103" s="395"/>
      <c r="AL103" s="395"/>
      <c r="AM103" s="395"/>
      <c r="AN103" s="395"/>
      <c r="AO103" s="413" t="s">
        <v>115</v>
      </c>
      <c r="AP103" s="395"/>
      <c r="AQ103" s="395"/>
      <c r="AR103" s="395"/>
      <c r="AS103" s="395"/>
      <c r="AT103" s="413" t="s">
        <v>162</v>
      </c>
      <c r="AU103" s="395"/>
      <c r="AV103" s="395"/>
      <c r="AW103" s="395"/>
      <c r="AX103" s="395"/>
    </row>
    <row r="104" spans="2:53">
      <c r="B104" s="389" t="s">
        <v>555</v>
      </c>
      <c r="C104" s="389" t="s">
        <v>556</v>
      </c>
      <c r="D104" s="389"/>
      <c r="E104" s="389" t="s">
        <v>557</v>
      </c>
      <c r="F104" s="389"/>
      <c r="G104" s="389"/>
      <c r="H104" s="417" t="s">
        <v>558</v>
      </c>
      <c r="I104" s="389" t="s">
        <v>559</v>
      </c>
      <c r="J104" s="389"/>
      <c r="K104" s="389"/>
      <c r="L104" s="417" t="s">
        <v>373</v>
      </c>
      <c r="M104" s="391" t="s">
        <v>560</v>
      </c>
      <c r="N104" s="389"/>
      <c r="O104" s="389" t="s">
        <v>561</v>
      </c>
      <c r="P104" s="404" t="s">
        <v>547</v>
      </c>
      <c r="Q104" s="405"/>
      <c r="R104" s="405"/>
      <c r="S104" s="406"/>
      <c r="T104" s="389" t="s">
        <v>543</v>
      </c>
      <c r="U104" s="404" t="s">
        <v>547</v>
      </c>
      <c r="V104" s="405"/>
      <c r="W104" s="405"/>
      <c r="X104" s="406"/>
      <c r="Y104" s="389" t="s">
        <v>543</v>
      </c>
      <c r="Z104" s="404" t="s">
        <v>547</v>
      </c>
      <c r="AA104" s="405"/>
      <c r="AB104" s="405"/>
      <c r="AC104" s="406"/>
      <c r="AD104" s="389" t="s">
        <v>543</v>
      </c>
      <c r="AE104" s="404" t="s">
        <v>547</v>
      </c>
      <c r="AF104" s="405"/>
      <c r="AG104" s="405"/>
      <c r="AH104" s="406"/>
      <c r="AI104" s="389" t="s">
        <v>543</v>
      </c>
      <c r="AJ104" s="404" t="s">
        <v>547</v>
      </c>
      <c r="AK104" s="405"/>
      <c r="AL104" s="405"/>
      <c r="AM104" s="406"/>
      <c r="AN104" s="389" t="s">
        <v>543</v>
      </c>
      <c r="AO104" s="404" t="s">
        <v>547</v>
      </c>
      <c r="AP104" s="405"/>
      <c r="AQ104" s="405"/>
      <c r="AR104" s="406"/>
      <c r="AS104" s="389" t="s">
        <v>543</v>
      </c>
      <c r="AT104" s="404" t="s">
        <v>547</v>
      </c>
      <c r="AU104" s="405"/>
      <c r="AV104" s="405"/>
      <c r="AW104" s="406"/>
      <c r="AX104" s="389" t="s">
        <v>543</v>
      </c>
      <c r="BA104" s="389" t="s">
        <v>373</v>
      </c>
    </row>
    <row r="105" spans="2:53">
      <c r="B105" s="389"/>
      <c r="C105" s="389"/>
      <c r="D105" s="389"/>
      <c r="E105" s="389" t="s">
        <v>562</v>
      </c>
      <c r="F105" s="389"/>
      <c r="G105" s="389"/>
      <c r="H105" s="418"/>
      <c r="I105" s="389" t="s">
        <v>562</v>
      </c>
      <c r="J105" s="389"/>
      <c r="K105" s="389"/>
      <c r="L105" s="418"/>
      <c r="M105" s="392"/>
      <c r="N105" s="389"/>
      <c r="O105" s="389"/>
      <c r="P105" s="404" t="s">
        <v>549</v>
      </c>
      <c r="Q105" s="405"/>
      <c r="R105" s="405"/>
      <c r="S105" s="406"/>
      <c r="T105" s="389"/>
      <c r="U105" s="404" t="s">
        <v>549</v>
      </c>
      <c r="V105" s="405"/>
      <c r="W105" s="405"/>
      <c r="X105" s="406"/>
      <c r="Y105" s="389"/>
      <c r="Z105" s="404" t="s">
        <v>549</v>
      </c>
      <c r="AA105" s="405"/>
      <c r="AB105" s="405"/>
      <c r="AC105" s="406"/>
      <c r="AD105" s="389"/>
      <c r="AE105" s="404" t="s">
        <v>549</v>
      </c>
      <c r="AF105" s="405"/>
      <c r="AG105" s="405"/>
      <c r="AH105" s="406"/>
      <c r="AI105" s="389"/>
      <c r="AJ105" s="404" t="s">
        <v>549</v>
      </c>
      <c r="AK105" s="405"/>
      <c r="AL105" s="405"/>
      <c r="AM105" s="406"/>
      <c r="AN105" s="389"/>
      <c r="AO105" s="404" t="s">
        <v>549</v>
      </c>
      <c r="AP105" s="405"/>
      <c r="AQ105" s="405"/>
      <c r="AR105" s="406"/>
      <c r="AS105" s="389"/>
      <c r="AT105" s="404" t="s">
        <v>549</v>
      </c>
      <c r="AU105" s="405"/>
      <c r="AV105" s="405"/>
      <c r="AW105" s="406"/>
      <c r="AX105" s="389"/>
      <c r="BA105" s="389"/>
    </row>
    <row r="106" spans="2:53">
      <c r="B106" s="389"/>
      <c r="C106" s="389"/>
      <c r="D106" s="389"/>
      <c r="E106" s="258" t="s">
        <v>563</v>
      </c>
      <c r="F106" s="258" t="s">
        <v>564</v>
      </c>
      <c r="G106" s="258" t="s">
        <v>565</v>
      </c>
      <c r="H106" s="419"/>
      <c r="I106" s="258" t="s">
        <v>563</v>
      </c>
      <c r="J106" s="258" t="s">
        <v>564</v>
      </c>
      <c r="K106" s="258" t="s">
        <v>565</v>
      </c>
      <c r="L106" s="419"/>
      <c r="M106" s="393"/>
      <c r="N106" s="389"/>
      <c r="O106" s="389"/>
      <c r="P106" s="258" t="s">
        <v>550</v>
      </c>
      <c r="Q106" s="258" t="s">
        <v>551</v>
      </c>
      <c r="R106" s="258" t="s">
        <v>552</v>
      </c>
      <c r="S106" s="258" t="s">
        <v>545</v>
      </c>
      <c r="T106" s="389"/>
      <c r="U106" s="258" t="s">
        <v>550</v>
      </c>
      <c r="V106" s="258" t="s">
        <v>551</v>
      </c>
      <c r="W106" s="258" t="s">
        <v>552</v>
      </c>
      <c r="X106" s="258" t="s">
        <v>545</v>
      </c>
      <c r="Y106" s="389"/>
      <c r="Z106" s="258" t="s">
        <v>550</v>
      </c>
      <c r="AA106" s="258" t="s">
        <v>551</v>
      </c>
      <c r="AB106" s="258" t="s">
        <v>552</v>
      </c>
      <c r="AC106" s="258" t="s">
        <v>545</v>
      </c>
      <c r="AD106" s="389"/>
      <c r="AE106" s="258" t="s">
        <v>550</v>
      </c>
      <c r="AF106" s="258" t="s">
        <v>551</v>
      </c>
      <c r="AG106" s="258" t="s">
        <v>552</v>
      </c>
      <c r="AH106" s="258" t="s">
        <v>545</v>
      </c>
      <c r="AI106" s="389"/>
      <c r="AJ106" s="258" t="s">
        <v>550</v>
      </c>
      <c r="AK106" s="258" t="s">
        <v>551</v>
      </c>
      <c r="AL106" s="258" t="s">
        <v>552</v>
      </c>
      <c r="AM106" s="258" t="s">
        <v>545</v>
      </c>
      <c r="AN106" s="389"/>
      <c r="AO106" s="258" t="s">
        <v>550</v>
      </c>
      <c r="AP106" s="258" t="s">
        <v>551</v>
      </c>
      <c r="AQ106" s="258" t="s">
        <v>552</v>
      </c>
      <c r="AR106" s="258" t="s">
        <v>545</v>
      </c>
      <c r="AS106" s="389"/>
      <c r="AT106" s="258" t="s">
        <v>550</v>
      </c>
      <c r="AU106" s="258" t="s">
        <v>551</v>
      </c>
      <c r="AV106" s="258" t="s">
        <v>552</v>
      </c>
      <c r="AW106" s="258" t="s">
        <v>545</v>
      </c>
      <c r="AX106" s="389"/>
      <c r="AZ106" s="258" t="s">
        <v>545</v>
      </c>
      <c r="BA106" s="389"/>
    </row>
    <row r="107" spans="2:53">
      <c r="B107" s="389" t="s">
        <v>135</v>
      </c>
      <c r="C107" s="182">
        <v>1</v>
      </c>
      <c r="D107" s="203"/>
      <c r="E107" s="166"/>
      <c r="F107" s="182"/>
      <c r="G107" s="180"/>
      <c r="H107" s="401" t="e">
        <f>AVERAGE(G107:G121)</f>
        <v>#DIV/0!</v>
      </c>
      <c r="I107" s="166" t="str">
        <f t="shared" ref="I107:I120" si="88">IFERROR(AVERAGE(P107,U107,Z107,AE107,AJ107,AO107,AT107),"-")</f>
        <v>-</v>
      </c>
      <c r="J107" s="166" t="str">
        <f t="shared" ref="J107:J120" si="89">IFERROR(AVERAGE(Q107,V107,AA107,AF107,AK107,AP107,AU107),"-")</f>
        <v>-</v>
      </c>
      <c r="K107" s="180" t="str">
        <f t="shared" ref="K107:K120" si="90">IFERROR(AVERAGE(R107,W107,AB107,AG107,AL107,AQ107,AV107),"-")</f>
        <v>-</v>
      </c>
      <c r="L107" s="401" t="str">
        <f>IFERROR(AVERAGE(K107:K121),"-")</f>
        <v>-</v>
      </c>
      <c r="M107" s="166" t="e">
        <f>RANK(K107, K$67:$K$81)</f>
        <v>#VALUE!</v>
      </c>
      <c r="N107" s="389"/>
      <c r="O107" s="389"/>
      <c r="P107" s="182"/>
      <c r="Q107" s="166"/>
      <c r="R107" s="166"/>
      <c r="S107" s="166" t="e">
        <f>RANK(R107, R$67:R$81)</f>
        <v>#N/A</v>
      </c>
      <c r="T107" s="396" t="e">
        <f>AVERAGE(R107:R121)</f>
        <v>#DIV/0!</v>
      </c>
      <c r="U107" s="182"/>
      <c r="V107" s="166"/>
      <c r="W107" s="166"/>
      <c r="X107" s="166" t="e">
        <f>RANK(W107, W$67:W$81)</f>
        <v>#N/A</v>
      </c>
      <c r="Y107" s="390" t="e">
        <f>AVERAGE(W107:W121)</f>
        <v>#DIV/0!</v>
      </c>
      <c r="Z107" s="182"/>
      <c r="AA107" s="166"/>
      <c r="AB107" s="166"/>
      <c r="AC107" s="166" t="e">
        <f>RANK(AB107, AB$67:AB$81)</f>
        <v>#N/A</v>
      </c>
      <c r="AD107" s="390" t="e">
        <f>AVERAGE(AB107:AB121)</f>
        <v>#DIV/0!</v>
      </c>
      <c r="AE107" s="182"/>
      <c r="AF107" s="166"/>
      <c r="AG107" s="166"/>
      <c r="AH107" s="166" t="e">
        <f>RANK(AG107, AG$67:AG$81)</f>
        <v>#N/A</v>
      </c>
      <c r="AI107" s="390" t="e">
        <f>AVERAGE(AG107:AG121)</f>
        <v>#DIV/0!</v>
      </c>
      <c r="AJ107" s="182"/>
      <c r="AK107" s="166"/>
      <c r="AL107" s="166"/>
      <c r="AM107" s="166" t="e">
        <f>RANK(AL107, AL$67:AL$81)</f>
        <v>#N/A</v>
      </c>
      <c r="AN107" s="390" t="e">
        <f>AVERAGE(AL107:AL121)</f>
        <v>#DIV/0!</v>
      </c>
      <c r="AO107" s="182"/>
      <c r="AP107" s="166"/>
      <c r="AQ107" s="166"/>
      <c r="AR107" s="166" t="e">
        <f>RANK(AQ107, AQ$67:AQ$81)</f>
        <v>#N/A</v>
      </c>
      <c r="AS107" s="396" t="e">
        <f>AVERAGE(AQ107:AQ121)</f>
        <v>#DIV/0!</v>
      </c>
      <c r="AT107" s="166"/>
      <c r="AU107" s="166"/>
      <c r="AV107" s="166"/>
      <c r="AW107" s="182" t="e">
        <f>RANK(AV107, AV$67:AV$81)</f>
        <v>#N/A</v>
      </c>
      <c r="AX107" s="499" t="e">
        <f>AVERAGE(AV107:AV121)</f>
        <v>#DIV/0!</v>
      </c>
      <c r="AZ107" s="182" t="e">
        <f>RANK(AY107, AY$67:AY$81)</f>
        <v>#N/A</v>
      </c>
      <c r="BA107" s="499" t="e">
        <f>AVERAGE(AY107:AY121)</f>
        <v>#DIV/0!</v>
      </c>
    </row>
    <row r="108" spans="2:53">
      <c r="B108" s="395"/>
      <c r="C108" s="182">
        <v>2</v>
      </c>
      <c r="D108" s="203"/>
      <c r="E108" s="166"/>
      <c r="F108" s="182"/>
      <c r="G108" s="180"/>
      <c r="H108" s="402"/>
      <c r="I108" s="166" t="str">
        <f t="shared" si="88"/>
        <v>-</v>
      </c>
      <c r="J108" s="166" t="str">
        <f t="shared" si="89"/>
        <v>-</v>
      </c>
      <c r="K108" s="180" t="str">
        <f t="shared" si="90"/>
        <v>-</v>
      </c>
      <c r="L108" s="402"/>
      <c r="M108" s="166" t="e">
        <f>RANK(K108, K$67:$K$81)</f>
        <v>#VALUE!</v>
      </c>
      <c r="N108" s="389"/>
      <c r="O108" s="389"/>
      <c r="P108" s="182"/>
      <c r="Q108" s="166"/>
      <c r="R108" s="166"/>
      <c r="S108" s="166" t="e">
        <f t="shared" ref="S108:S121" si="91">RANK(R108, R$67:R$81)</f>
        <v>#N/A</v>
      </c>
      <c r="T108" s="396"/>
      <c r="U108" s="182"/>
      <c r="V108" s="166"/>
      <c r="W108" s="166"/>
      <c r="X108" s="166" t="e">
        <f t="shared" ref="X108:X121" si="92">RANK(W108, W$67:W$81)</f>
        <v>#N/A</v>
      </c>
      <c r="Y108" s="390"/>
      <c r="Z108" s="182"/>
      <c r="AA108" s="166"/>
      <c r="AB108" s="166"/>
      <c r="AC108" s="166" t="e">
        <f t="shared" ref="AC108:AC121" si="93">RANK(AB108, AB$67:AB$81)</f>
        <v>#N/A</v>
      </c>
      <c r="AD108" s="390"/>
      <c r="AE108" s="182"/>
      <c r="AF108" s="166"/>
      <c r="AG108" s="166"/>
      <c r="AH108" s="166" t="e">
        <f t="shared" ref="AH108:AH121" si="94">RANK(AG108, AG$67:AG$81)</f>
        <v>#N/A</v>
      </c>
      <c r="AI108" s="390"/>
      <c r="AJ108" s="182"/>
      <c r="AK108" s="166"/>
      <c r="AL108" s="166"/>
      <c r="AM108" s="166" t="e">
        <f t="shared" ref="AM108:AM121" si="95">RANK(AL108, AL$67:AL$81)</f>
        <v>#N/A</v>
      </c>
      <c r="AN108" s="390"/>
      <c r="AO108" s="182"/>
      <c r="AP108" s="166"/>
      <c r="AQ108" s="166"/>
      <c r="AR108" s="166" t="e">
        <f t="shared" ref="AR108:AR121" si="96">RANK(AQ108, AQ$67:AQ$81)</f>
        <v>#N/A</v>
      </c>
      <c r="AS108" s="396"/>
      <c r="AT108" s="166"/>
      <c r="AU108" s="166"/>
      <c r="AV108" s="166"/>
      <c r="AW108" s="182" t="e">
        <f t="shared" ref="AW108:AW121" si="97">RANK(AV108, AV$67:AV$81)</f>
        <v>#N/A</v>
      </c>
      <c r="AX108" s="499"/>
      <c r="AZ108" s="182" t="e">
        <f t="shared" ref="AZ108:AZ121" si="98">RANK(AY108, AY$67:AY$81)</f>
        <v>#N/A</v>
      </c>
      <c r="BA108" s="499"/>
    </row>
    <row r="109" spans="2:53">
      <c r="B109" s="395"/>
      <c r="C109" s="182">
        <v>3</v>
      </c>
      <c r="D109" s="203"/>
      <c r="E109" s="166"/>
      <c r="F109" s="182"/>
      <c r="G109" s="180"/>
      <c r="H109" s="402"/>
      <c r="I109" s="166" t="str">
        <f t="shared" si="88"/>
        <v>-</v>
      </c>
      <c r="J109" s="166" t="str">
        <f t="shared" si="89"/>
        <v>-</v>
      </c>
      <c r="K109" s="180" t="str">
        <f t="shared" si="90"/>
        <v>-</v>
      </c>
      <c r="L109" s="402"/>
      <c r="M109" s="166" t="e">
        <f>RANK(K109, K$67:$K$81)</f>
        <v>#VALUE!</v>
      </c>
      <c r="N109" s="389"/>
      <c r="O109" s="389"/>
      <c r="P109" s="182"/>
      <c r="Q109" s="166"/>
      <c r="R109" s="166"/>
      <c r="S109" s="166" t="e">
        <f t="shared" si="91"/>
        <v>#N/A</v>
      </c>
      <c r="T109" s="396"/>
      <c r="U109" s="182"/>
      <c r="V109" s="166"/>
      <c r="W109" s="166"/>
      <c r="X109" s="166" t="e">
        <f t="shared" si="92"/>
        <v>#N/A</v>
      </c>
      <c r="Y109" s="390"/>
      <c r="Z109" s="182"/>
      <c r="AA109" s="166"/>
      <c r="AB109" s="166"/>
      <c r="AC109" s="166" t="e">
        <f t="shared" si="93"/>
        <v>#N/A</v>
      </c>
      <c r="AD109" s="390"/>
      <c r="AE109" s="182"/>
      <c r="AF109" s="166"/>
      <c r="AG109" s="166"/>
      <c r="AH109" s="166" t="e">
        <f t="shared" si="94"/>
        <v>#N/A</v>
      </c>
      <c r="AI109" s="390"/>
      <c r="AJ109" s="182"/>
      <c r="AK109" s="166"/>
      <c r="AL109" s="166"/>
      <c r="AM109" s="166" t="e">
        <f t="shared" si="95"/>
        <v>#N/A</v>
      </c>
      <c r="AN109" s="390"/>
      <c r="AO109" s="182"/>
      <c r="AP109" s="166"/>
      <c r="AQ109" s="166"/>
      <c r="AR109" s="166" t="e">
        <f t="shared" si="96"/>
        <v>#N/A</v>
      </c>
      <c r="AS109" s="396"/>
      <c r="AT109" s="166"/>
      <c r="AU109" s="166"/>
      <c r="AV109" s="166"/>
      <c r="AW109" s="182" t="e">
        <f t="shared" si="97"/>
        <v>#N/A</v>
      </c>
      <c r="AX109" s="499"/>
      <c r="AZ109" s="182" t="e">
        <f t="shared" si="98"/>
        <v>#N/A</v>
      </c>
      <c r="BA109" s="499"/>
    </row>
    <row r="110" spans="2:53">
      <c r="B110" s="395"/>
      <c r="C110" s="182">
        <v>4</v>
      </c>
      <c r="D110" s="203"/>
      <c r="E110" s="166"/>
      <c r="F110" s="182"/>
      <c r="G110" s="180"/>
      <c r="H110" s="402"/>
      <c r="I110" s="166" t="str">
        <f t="shared" si="88"/>
        <v>-</v>
      </c>
      <c r="J110" s="166" t="str">
        <f t="shared" si="89"/>
        <v>-</v>
      </c>
      <c r="K110" s="180" t="str">
        <f t="shared" si="90"/>
        <v>-</v>
      </c>
      <c r="L110" s="402"/>
      <c r="M110" s="166" t="e">
        <f>RANK(K110, K$67:$K$81)</f>
        <v>#VALUE!</v>
      </c>
      <c r="N110" s="389"/>
      <c r="O110" s="389"/>
      <c r="P110" s="182"/>
      <c r="Q110" s="166"/>
      <c r="R110" s="166"/>
      <c r="S110" s="166" t="e">
        <f t="shared" si="91"/>
        <v>#N/A</v>
      </c>
      <c r="T110" s="396"/>
      <c r="U110" s="182"/>
      <c r="V110" s="166"/>
      <c r="W110" s="166"/>
      <c r="X110" s="166" t="e">
        <f t="shared" si="92"/>
        <v>#N/A</v>
      </c>
      <c r="Y110" s="390"/>
      <c r="Z110" s="182"/>
      <c r="AA110" s="166"/>
      <c r="AB110" s="166"/>
      <c r="AC110" s="166" t="e">
        <f t="shared" si="93"/>
        <v>#N/A</v>
      </c>
      <c r="AD110" s="390"/>
      <c r="AE110" s="182"/>
      <c r="AF110" s="166"/>
      <c r="AG110" s="166"/>
      <c r="AH110" s="166" t="e">
        <f t="shared" si="94"/>
        <v>#N/A</v>
      </c>
      <c r="AI110" s="390"/>
      <c r="AJ110" s="182"/>
      <c r="AK110" s="166"/>
      <c r="AL110" s="166"/>
      <c r="AM110" s="166" t="e">
        <f t="shared" si="95"/>
        <v>#N/A</v>
      </c>
      <c r="AN110" s="390"/>
      <c r="AO110" s="182"/>
      <c r="AP110" s="166"/>
      <c r="AQ110" s="166"/>
      <c r="AR110" s="166" t="e">
        <f t="shared" si="96"/>
        <v>#N/A</v>
      </c>
      <c r="AS110" s="396"/>
      <c r="AT110" s="166"/>
      <c r="AU110" s="166"/>
      <c r="AV110" s="166"/>
      <c r="AW110" s="182" t="e">
        <f t="shared" si="97"/>
        <v>#N/A</v>
      </c>
      <c r="AX110" s="499"/>
      <c r="AZ110" s="182" t="e">
        <f t="shared" si="98"/>
        <v>#N/A</v>
      </c>
      <c r="BA110" s="499"/>
    </row>
    <row r="111" spans="2:53">
      <c r="B111" s="395"/>
      <c r="C111" s="182">
        <v>5</v>
      </c>
      <c r="D111" s="203"/>
      <c r="E111" s="166"/>
      <c r="F111" s="182"/>
      <c r="G111" s="180"/>
      <c r="H111" s="402"/>
      <c r="I111" s="166" t="str">
        <f t="shared" si="88"/>
        <v>-</v>
      </c>
      <c r="J111" s="166" t="str">
        <f t="shared" si="89"/>
        <v>-</v>
      </c>
      <c r="K111" s="180" t="str">
        <f t="shared" si="90"/>
        <v>-</v>
      </c>
      <c r="L111" s="402"/>
      <c r="M111" s="166" t="e">
        <f>RANK(K111, K$67:$K$81)</f>
        <v>#VALUE!</v>
      </c>
      <c r="N111" s="389"/>
      <c r="O111" s="389"/>
      <c r="P111" s="182"/>
      <c r="Q111" s="166"/>
      <c r="R111" s="166"/>
      <c r="S111" s="166" t="e">
        <f t="shared" si="91"/>
        <v>#N/A</v>
      </c>
      <c r="T111" s="396"/>
      <c r="U111" s="182"/>
      <c r="V111" s="166"/>
      <c r="W111" s="166"/>
      <c r="X111" s="166" t="e">
        <f t="shared" si="92"/>
        <v>#N/A</v>
      </c>
      <c r="Y111" s="390"/>
      <c r="Z111" s="182"/>
      <c r="AA111" s="166"/>
      <c r="AB111" s="166"/>
      <c r="AC111" s="166" t="e">
        <f t="shared" si="93"/>
        <v>#N/A</v>
      </c>
      <c r="AD111" s="390"/>
      <c r="AE111" s="182"/>
      <c r="AF111" s="166"/>
      <c r="AG111" s="166"/>
      <c r="AH111" s="166" t="e">
        <f t="shared" si="94"/>
        <v>#N/A</v>
      </c>
      <c r="AI111" s="390"/>
      <c r="AJ111" s="182"/>
      <c r="AK111" s="166"/>
      <c r="AL111" s="166"/>
      <c r="AM111" s="166" t="e">
        <f t="shared" si="95"/>
        <v>#N/A</v>
      </c>
      <c r="AN111" s="390"/>
      <c r="AO111" s="182"/>
      <c r="AP111" s="166"/>
      <c r="AQ111" s="166"/>
      <c r="AR111" s="166" t="e">
        <f t="shared" si="96"/>
        <v>#N/A</v>
      </c>
      <c r="AS111" s="396"/>
      <c r="AT111" s="166"/>
      <c r="AU111" s="166"/>
      <c r="AV111" s="166"/>
      <c r="AW111" s="182" t="e">
        <f t="shared" si="97"/>
        <v>#N/A</v>
      </c>
      <c r="AX111" s="499"/>
      <c r="AZ111" s="182" t="e">
        <f t="shared" si="98"/>
        <v>#N/A</v>
      </c>
      <c r="BA111" s="499"/>
    </row>
    <row r="112" spans="2:53">
      <c r="B112" s="395"/>
      <c r="C112" s="182">
        <v>6</v>
      </c>
      <c r="D112" s="203"/>
      <c r="E112" s="166"/>
      <c r="F112" s="182"/>
      <c r="G112" s="180"/>
      <c r="H112" s="402"/>
      <c r="I112" s="166" t="str">
        <f t="shared" si="88"/>
        <v>-</v>
      </c>
      <c r="J112" s="166" t="str">
        <f t="shared" si="89"/>
        <v>-</v>
      </c>
      <c r="K112" s="180" t="str">
        <f t="shared" si="90"/>
        <v>-</v>
      </c>
      <c r="L112" s="402"/>
      <c r="M112" s="166" t="e">
        <f>RANK(K112, K$67:$K$81)</f>
        <v>#VALUE!</v>
      </c>
      <c r="N112" s="389"/>
      <c r="O112" s="389"/>
      <c r="P112" s="182"/>
      <c r="Q112" s="166"/>
      <c r="R112" s="166"/>
      <c r="S112" s="166" t="e">
        <f t="shared" si="91"/>
        <v>#N/A</v>
      </c>
      <c r="T112" s="396"/>
      <c r="U112" s="182"/>
      <c r="V112" s="166"/>
      <c r="W112" s="166"/>
      <c r="X112" s="166" t="e">
        <f t="shared" si="92"/>
        <v>#N/A</v>
      </c>
      <c r="Y112" s="390"/>
      <c r="Z112" s="182"/>
      <c r="AA112" s="166"/>
      <c r="AB112" s="166"/>
      <c r="AC112" s="166" t="e">
        <f t="shared" si="93"/>
        <v>#N/A</v>
      </c>
      <c r="AD112" s="390"/>
      <c r="AE112" s="182"/>
      <c r="AF112" s="166"/>
      <c r="AG112" s="166"/>
      <c r="AH112" s="166" t="e">
        <f t="shared" si="94"/>
        <v>#N/A</v>
      </c>
      <c r="AI112" s="390"/>
      <c r="AJ112" s="182"/>
      <c r="AK112" s="166"/>
      <c r="AL112" s="166"/>
      <c r="AM112" s="166" t="e">
        <f t="shared" si="95"/>
        <v>#N/A</v>
      </c>
      <c r="AN112" s="390"/>
      <c r="AO112" s="182"/>
      <c r="AP112" s="166"/>
      <c r="AQ112" s="166"/>
      <c r="AR112" s="166" t="e">
        <f t="shared" si="96"/>
        <v>#N/A</v>
      </c>
      <c r="AS112" s="396"/>
      <c r="AT112" s="166"/>
      <c r="AU112" s="166"/>
      <c r="AV112" s="166"/>
      <c r="AW112" s="182" t="e">
        <f t="shared" si="97"/>
        <v>#N/A</v>
      </c>
      <c r="AX112" s="499"/>
      <c r="AZ112" s="182" t="e">
        <f t="shared" si="98"/>
        <v>#N/A</v>
      </c>
      <c r="BA112" s="499"/>
    </row>
    <row r="113" spans="2:53">
      <c r="B113" s="395"/>
      <c r="C113" s="182">
        <v>7</v>
      </c>
      <c r="D113" s="203"/>
      <c r="E113" s="166"/>
      <c r="F113" s="182"/>
      <c r="G113" s="180"/>
      <c r="H113" s="402"/>
      <c r="I113" s="166" t="str">
        <f t="shared" si="88"/>
        <v>-</v>
      </c>
      <c r="J113" s="166" t="str">
        <f t="shared" si="89"/>
        <v>-</v>
      </c>
      <c r="K113" s="180" t="str">
        <f t="shared" si="90"/>
        <v>-</v>
      </c>
      <c r="L113" s="402"/>
      <c r="M113" s="166" t="e">
        <f>RANK(K113, K$67:$K$81)</f>
        <v>#VALUE!</v>
      </c>
      <c r="N113" s="389"/>
      <c r="O113" s="389"/>
      <c r="P113" s="182"/>
      <c r="Q113" s="166"/>
      <c r="R113" s="166"/>
      <c r="S113" s="166" t="e">
        <f t="shared" si="91"/>
        <v>#N/A</v>
      </c>
      <c r="T113" s="396"/>
      <c r="U113" s="182"/>
      <c r="V113" s="166"/>
      <c r="W113" s="166"/>
      <c r="X113" s="166" t="e">
        <f t="shared" si="92"/>
        <v>#N/A</v>
      </c>
      <c r="Y113" s="390"/>
      <c r="Z113" s="182"/>
      <c r="AA113" s="166"/>
      <c r="AB113" s="166"/>
      <c r="AC113" s="166" t="e">
        <f t="shared" si="93"/>
        <v>#N/A</v>
      </c>
      <c r="AD113" s="390"/>
      <c r="AE113" s="182"/>
      <c r="AF113" s="166"/>
      <c r="AG113" s="166"/>
      <c r="AH113" s="166" t="e">
        <f t="shared" si="94"/>
        <v>#N/A</v>
      </c>
      <c r="AI113" s="390"/>
      <c r="AJ113" s="182"/>
      <c r="AK113" s="166"/>
      <c r="AL113" s="166"/>
      <c r="AM113" s="166" t="e">
        <f t="shared" si="95"/>
        <v>#N/A</v>
      </c>
      <c r="AN113" s="390"/>
      <c r="AO113" s="182"/>
      <c r="AP113" s="166"/>
      <c r="AQ113" s="166"/>
      <c r="AR113" s="166" t="e">
        <f t="shared" si="96"/>
        <v>#N/A</v>
      </c>
      <c r="AS113" s="396"/>
      <c r="AT113" s="166"/>
      <c r="AU113" s="166"/>
      <c r="AV113" s="166"/>
      <c r="AW113" s="182" t="e">
        <f t="shared" si="97"/>
        <v>#N/A</v>
      </c>
      <c r="AX113" s="499"/>
      <c r="AZ113" s="182" t="e">
        <f t="shared" si="98"/>
        <v>#N/A</v>
      </c>
      <c r="BA113" s="499"/>
    </row>
    <row r="114" spans="2:53">
      <c r="B114" s="395"/>
      <c r="C114" s="182">
        <v>8</v>
      </c>
      <c r="D114" s="203"/>
      <c r="E114" s="166"/>
      <c r="F114" s="182"/>
      <c r="G114" s="180"/>
      <c r="H114" s="402"/>
      <c r="I114" s="166" t="str">
        <f t="shared" si="88"/>
        <v>-</v>
      </c>
      <c r="J114" s="166" t="str">
        <f t="shared" si="89"/>
        <v>-</v>
      </c>
      <c r="K114" s="180" t="str">
        <f t="shared" si="90"/>
        <v>-</v>
      </c>
      <c r="L114" s="402"/>
      <c r="M114" s="166" t="e">
        <f>RANK(K114, K$67:$K$81)</f>
        <v>#VALUE!</v>
      </c>
      <c r="N114" s="389"/>
      <c r="O114" s="389"/>
      <c r="P114" s="182"/>
      <c r="Q114" s="166"/>
      <c r="R114" s="166"/>
      <c r="S114" s="166" t="e">
        <f t="shared" si="91"/>
        <v>#N/A</v>
      </c>
      <c r="T114" s="396"/>
      <c r="U114" s="182"/>
      <c r="V114" s="166"/>
      <c r="W114" s="166"/>
      <c r="X114" s="166" t="e">
        <f t="shared" si="92"/>
        <v>#N/A</v>
      </c>
      <c r="Y114" s="390"/>
      <c r="Z114" s="182"/>
      <c r="AA114" s="166"/>
      <c r="AB114" s="166"/>
      <c r="AC114" s="166" t="e">
        <f t="shared" si="93"/>
        <v>#N/A</v>
      </c>
      <c r="AD114" s="390"/>
      <c r="AE114" s="182"/>
      <c r="AF114" s="166"/>
      <c r="AG114" s="166"/>
      <c r="AH114" s="166" t="e">
        <f t="shared" si="94"/>
        <v>#N/A</v>
      </c>
      <c r="AI114" s="390"/>
      <c r="AJ114" s="182"/>
      <c r="AK114" s="166"/>
      <c r="AL114" s="166"/>
      <c r="AM114" s="166" t="e">
        <f t="shared" si="95"/>
        <v>#N/A</v>
      </c>
      <c r="AN114" s="390"/>
      <c r="AO114" s="182"/>
      <c r="AP114" s="166"/>
      <c r="AQ114" s="166"/>
      <c r="AR114" s="166" t="e">
        <f t="shared" si="96"/>
        <v>#N/A</v>
      </c>
      <c r="AS114" s="396"/>
      <c r="AT114" s="166"/>
      <c r="AU114" s="166"/>
      <c r="AV114" s="166"/>
      <c r="AW114" s="182" t="e">
        <f t="shared" si="97"/>
        <v>#N/A</v>
      </c>
      <c r="AX114" s="499"/>
      <c r="AZ114" s="182" t="e">
        <f t="shared" si="98"/>
        <v>#N/A</v>
      </c>
      <c r="BA114" s="499"/>
    </row>
    <row r="115" spans="2:53">
      <c r="B115" s="395"/>
      <c r="C115" s="182">
        <v>9</v>
      </c>
      <c r="D115" s="203"/>
      <c r="E115" s="166"/>
      <c r="F115" s="182"/>
      <c r="G115" s="180"/>
      <c r="H115" s="402"/>
      <c r="I115" s="166" t="str">
        <f t="shared" si="88"/>
        <v>-</v>
      </c>
      <c r="J115" s="166" t="str">
        <f t="shared" si="89"/>
        <v>-</v>
      </c>
      <c r="K115" s="180" t="str">
        <f t="shared" si="90"/>
        <v>-</v>
      </c>
      <c r="L115" s="402"/>
      <c r="M115" s="166" t="e">
        <f>RANK(K115, K$67:$K$81)</f>
        <v>#VALUE!</v>
      </c>
      <c r="N115" s="389"/>
      <c r="O115" s="389"/>
      <c r="P115" s="182"/>
      <c r="Q115" s="166"/>
      <c r="R115" s="166"/>
      <c r="S115" s="166" t="e">
        <f t="shared" si="91"/>
        <v>#N/A</v>
      </c>
      <c r="T115" s="396"/>
      <c r="U115" s="182"/>
      <c r="V115" s="166"/>
      <c r="W115" s="166"/>
      <c r="X115" s="166" t="e">
        <f t="shared" si="92"/>
        <v>#N/A</v>
      </c>
      <c r="Y115" s="390"/>
      <c r="Z115" s="182"/>
      <c r="AA115" s="166"/>
      <c r="AB115" s="166"/>
      <c r="AC115" s="166" t="e">
        <f t="shared" si="93"/>
        <v>#N/A</v>
      </c>
      <c r="AD115" s="390"/>
      <c r="AE115" s="182"/>
      <c r="AF115" s="166"/>
      <c r="AG115" s="166"/>
      <c r="AH115" s="166" t="e">
        <f t="shared" si="94"/>
        <v>#N/A</v>
      </c>
      <c r="AI115" s="390"/>
      <c r="AJ115" s="182"/>
      <c r="AK115" s="166"/>
      <c r="AL115" s="166"/>
      <c r="AM115" s="166" t="e">
        <f t="shared" si="95"/>
        <v>#N/A</v>
      </c>
      <c r="AN115" s="390"/>
      <c r="AO115" s="182"/>
      <c r="AP115" s="166"/>
      <c r="AQ115" s="166"/>
      <c r="AR115" s="166" t="e">
        <f t="shared" si="96"/>
        <v>#N/A</v>
      </c>
      <c r="AS115" s="396"/>
      <c r="AT115" s="166"/>
      <c r="AU115" s="166"/>
      <c r="AV115" s="166"/>
      <c r="AW115" s="182" t="e">
        <f t="shared" si="97"/>
        <v>#N/A</v>
      </c>
      <c r="AX115" s="499"/>
      <c r="AZ115" s="182" t="e">
        <f t="shared" si="98"/>
        <v>#N/A</v>
      </c>
      <c r="BA115" s="499"/>
    </row>
    <row r="116" spans="2:53">
      <c r="B116" s="395"/>
      <c r="C116" s="182">
        <v>10</v>
      </c>
      <c r="D116" s="203"/>
      <c r="E116" s="166"/>
      <c r="F116" s="182"/>
      <c r="G116" s="180"/>
      <c r="H116" s="402"/>
      <c r="I116" s="166" t="str">
        <f t="shared" si="88"/>
        <v>-</v>
      </c>
      <c r="J116" s="166" t="str">
        <f t="shared" si="89"/>
        <v>-</v>
      </c>
      <c r="K116" s="180" t="str">
        <f t="shared" si="90"/>
        <v>-</v>
      </c>
      <c r="L116" s="402"/>
      <c r="M116" s="166" t="e">
        <f>RANK(K116, K$67:$K$81)</f>
        <v>#VALUE!</v>
      </c>
      <c r="N116" s="389"/>
      <c r="O116" s="389"/>
      <c r="P116" s="182"/>
      <c r="Q116" s="166"/>
      <c r="R116" s="166"/>
      <c r="S116" s="166" t="e">
        <f t="shared" si="91"/>
        <v>#N/A</v>
      </c>
      <c r="T116" s="396"/>
      <c r="U116" s="182"/>
      <c r="V116" s="166"/>
      <c r="W116" s="166"/>
      <c r="X116" s="166" t="e">
        <f t="shared" si="92"/>
        <v>#N/A</v>
      </c>
      <c r="Y116" s="390"/>
      <c r="Z116" s="182"/>
      <c r="AA116" s="166"/>
      <c r="AB116" s="166"/>
      <c r="AC116" s="166" t="e">
        <f t="shared" si="93"/>
        <v>#N/A</v>
      </c>
      <c r="AD116" s="390"/>
      <c r="AE116" s="182"/>
      <c r="AF116" s="166"/>
      <c r="AG116" s="166"/>
      <c r="AH116" s="166" t="e">
        <f t="shared" si="94"/>
        <v>#N/A</v>
      </c>
      <c r="AI116" s="390"/>
      <c r="AJ116" s="182"/>
      <c r="AK116" s="166"/>
      <c r="AL116" s="166"/>
      <c r="AM116" s="166" t="e">
        <f t="shared" si="95"/>
        <v>#N/A</v>
      </c>
      <c r="AN116" s="390"/>
      <c r="AO116" s="182"/>
      <c r="AP116" s="166"/>
      <c r="AQ116" s="166"/>
      <c r="AR116" s="166" t="e">
        <f t="shared" si="96"/>
        <v>#N/A</v>
      </c>
      <c r="AS116" s="396"/>
      <c r="AT116" s="166"/>
      <c r="AU116" s="166"/>
      <c r="AV116" s="166"/>
      <c r="AW116" s="182" t="e">
        <f t="shared" si="97"/>
        <v>#N/A</v>
      </c>
      <c r="AX116" s="499"/>
      <c r="AZ116" s="182" t="e">
        <f t="shared" si="98"/>
        <v>#N/A</v>
      </c>
      <c r="BA116" s="499"/>
    </row>
    <row r="117" spans="2:53">
      <c r="B117" s="395"/>
      <c r="C117" s="182">
        <v>11</v>
      </c>
      <c r="D117" s="203"/>
      <c r="E117" s="166"/>
      <c r="F117" s="182"/>
      <c r="G117" s="180"/>
      <c r="H117" s="402"/>
      <c r="I117" s="166" t="str">
        <f t="shared" si="88"/>
        <v>-</v>
      </c>
      <c r="J117" s="166" t="str">
        <f t="shared" si="89"/>
        <v>-</v>
      </c>
      <c r="K117" s="180" t="str">
        <f t="shared" si="90"/>
        <v>-</v>
      </c>
      <c r="L117" s="402"/>
      <c r="M117" s="166" t="e">
        <f>RANK(K117, K$67:$K$81)</f>
        <v>#VALUE!</v>
      </c>
      <c r="N117" s="389"/>
      <c r="O117" s="389"/>
      <c r="P117" s="182"/>
      <c r="Q117" s="166"/>
      <c r="R117" s="166"/>
      <c r="S117" s="166" t="e">
        <f t="shared" si="91"/>
        <v>#N/A</v>
      </c>
      <c r="T117" s="396"/>
      <c r="U117" s="182"/>
      <c r="V117" s="166"/>
      <c r="W117" s="166"/>
      <c r="X117" s="166" t="e">
        <f t="shared" si="92"/>
        <v>#N/A</v>
      </c>
      <c r="Y117" s="390"/>
      <c r="Z117" s="182"/>
      <c r="AA117" s="166"/>
      <c r="AB117" s="166"/>
      <c r="AC117" s="166" t="e">
        <f t="shared" si="93"/>
        <v>#N/A</v>
      </c>
      <c r="AD117" s="390"/>
      <c r="AE117" s="182"/>
      <c r="AF117" s="166"/>
      <c r="AG117" s="166"/>
      <c r="AH117" s="166" t="e">
        <f t="shared" si="94"/>
        <v>#N/A</v>
      </c>
      <c r="AI117" s="390"/>
      <c r="AJ117" s="182"/>
      <c r="AK117" s="166"/>
      <c r="AL117" s="166"/>
      <c r="AM117" s="166" t="e">
        <f t="shared" si="95"/>
        <v>#N/A</v>
      </c>
      <c r="AN117" s="390"/>
      <c r="AO117" s="182"/>
      <c r="AP117" s="166"/>
      <c r="AQ117" s="166"/>
      <c r="AR117" s="166" t="e">
        <f t="shared" si="96"/>
        <v>#N/A</v>
      </c>
      <c r="AS117" s="396"/>
      <c r="AT117" s="166"/>
      <c r="AU117" s="166"/>
      <c r="AV117" s="166"/>
      <c r="AW117" s="182" t="e">
        <f t="shared" si="97"/>
        <v>#N/A</v>
      </c>
      <c r="AX117" s="499"/>
      <c r="AZ117" s="182" t="e">
        <f t="shared" si="98"/>
        <v>#N/A</v>
      </c>
      <c r="BA117" s="499"/>
    </row>
    <row r="118" spans="2:53">
      <c r="B118" s="395"/>
      <c r="C118" s="182">
        <v>12</v>
      </c>
      <c r="D118" s="203"/>
      <c r="E118" s="166"/>
      <c r="F118" s="182"/>
      <c r="G118" s="180"/>
      <c r="H118" s="402"/>
      <c r="I118" s="166" t="str">
        <f t="shared" si="88"/>
        <v>-</v>
      </c>
      <c r="J118" s="166" t="str">
        <f t="shared" si="89"/>
        <v>-</v>
      </c>
      <c r="K118" s="180" t="str">
        <f t="shared" si="90"/>
        <v>-</v>
      </c>
      <c r="L118" s="402"/>
      <c r="M118" s="166" t="e">
        <f>RANK(K118, K$67:$K$81)</f>
        <v>#VALUE!</v>
      </c>
      <c r="N118" s="389"/>
      <c r="O118" s="389"/>
      <c r="P118" s="182"/>
      <c r="Q118" s="166"/>
      <c r="R118" s="166"/>
      <c r="S118" s="166" t="e">
        <f t="shared" si="91"/>
        <v>#N/A</v>
      </c>
      <c r="T118" s="396"/>
      <c r="U118" s="182"/>
      <c r="V118" s="166"/>
      <c r="W118" s="166"/>
      <c r="X118" s="166" t="e">
        <f t="shared" si="92"/>
        <v>#N/A</v>
      </c>
      <c r="Y118" s="390"/>
      <c r="Z118" s="182"/>
      <c r="AA118" s="166"/>
      <c r="AB118" s="166"/>
      <c r="AC118" s="166" t="e">
        <f t="shared" si="93"/>
        <v>#N/A</v>
      </c>
      <c r="AD118" s="390"/>
      <c r="AE118" s="182"/>
      <c r="AF118" s="166"/>
      <c r="AG118" s="166"/>
      <c r="AH118" s="166" t="e">
        <f t="shared" si="94"/>
        <v>#N/A</v>
      </c>
      <c r="AI118" s="390"/>
      <c r="AJ118" s="182"/>
      <c r="AK118" s="166"/>
      <c r="AL118" s="166"/>
      <c r="AM118" s="166" t="e">
        <f t="shared" si="95"/>
        <v>#N/A</v>
      </c>
      <c r="AN118" s="390"/>
      <c r="AO118" s="182"/>
      <c r="AP118" s="166"/>
      <c r="AQ118" s="166"/>
      <c r="AR118" s="166" t="e">
        <f t="shared" si="96"/>
        <v>#N/A</v>
      </c>
      <c r="AS118" s="396"/>
      <c r="AT118" s="166"/>
      <c r="AU118" s="166"/>
      <c r="AV118" s="166"/>
      <c r="AW118" s="182" t="e">
        <f t="shared" si="97"/>
        <v>#N/A</v>
      </c>
      <c r="AX118" s="499"/>
      <c r="AZ118" s="182" t="e">
        <f t="shared" si="98"/>
        <v>#N/A</v>
      </c>
      <c r="BA118" s="499"/>
    </row>
    <row r="119" spans="2:53">
      <c r="B119" s="395"/>
      <c r="C119" s="182">
        <v>13</v>
      </c>
      <c r="D119" s="203"/>
      <c r="E119" s="166"/>
      <c r="F119" s="182"/>
      <c r="G119" s="180"/>
      <c r="H119" s="402"/>
      <c r="I119" s="166" t="str">
        <f t="shared" si="88"/>
        <v>-</v>
      </c>
      <c r="J119" s="166" t="str">
        <f t="shared" si="89"/>
        <v>-</v>
      </c>
      <c r="K119" s="180" t="str">
        <f t="shared" si="90"/>
        <v>-</v>
      </c>
      <c r="L119" s="402"/>
      <c r="M119" s="166" t="e">
        <f>RANK(K119, K$67:$K$81)</f>
        <v>#VALUE!</v>
      </c>
      <c r="N119" s="389"/>
      <c r="O119" s="389"/>
      <c r="P119" s="182"/>
      <c r="Q119" s="166"/>
      <c r="R119" s="166"/>
      <c r="S119" s="166" t="e">
        <f t="shared" si="91"/>
        <v>#N/A</v>
      </c>
      <c r="T119" s="396"/>
      <c r="U119" s="182"/>
      <c r="V119" s="166"/>
      <c r="W119" s="166"/>
      <c r="X119" s="166" t="e">
        <f t="shared" si="92"/>
        <v>#N/A</v>
      </c>
      <c r="Y119" s="390"/>
      <c r="Z119" s="182"/>
      <c r="AA119" s="166"/>
      <c r="AB119" s="166"/>
      <c r="AC119" s="180" t="e">
        <f t="shared" si="93"/>
        <v>#N/A</v>
      </c>
      <c r="AD119" s="390"/>
      <c r="AE119" s="182"/>
      <c r="AF119" s="166"/>
      <c r="AG119" s="166"/>
      <c r="AH119" s="166" t="e">
        <f t="shared" si="94"/>
        <v>#N/A</v>
      </c>
      <c r="AI119" s="390"/>
      <c r="AJ119" s="182"/>
      <c r="AK119" s="166"/>
      <c r="AL119" s="166"/>
      <c r="AM119" s="166" t="e">
        <f t="shared" si="95"/>
        <v>#N/A</v>
      </c>
      <c r="AN119" s="390"/>
      <c r="AO119" s="182"/>
      <c r="AP119" s="166"/>
      <c r="AQ119" s="166"/>
      <c r="AR119" s="180" t="e">
        <f t="shared" si="96"/>
        <v>#N/A</v>
      </c>
      <c r="AS119" s="396"/>
      <c r="AT119" s="166"/>
      <c r="AU119" s="166"/>
      <c r="AV119" s="166"/>
      <c r="AW119" s="182" t="e">
        <f t="shared" si="97"/>
        <v>#N/A</v>
      </c>
      <c r="AX119" s="499"/>
      <c r="AZ119" s="182" t="e">
        <f t="shared" si="98"/>
        <v>#N/A</v>
      </c>
      <c r="BA119" s="499"/>
    </row>
    <row r="120" spans="2:53">
      <c r="B120" s="395"/>
      <c r="C120" s="182">
        <v>14</v>
      </c>
      <c r="D120" s="203"/>
      <c r="E120" s="166"/>
      <c r="F120" s="182"/>
      <c r="G120" s="180"/>
      <c r="H120" s="402"/>
      <c r="I120" s="166" t="str">
        <f t="shared" si="88"/>
        <v>-</v>
      </c>
      <c r="J120" s="166" t="str">
        <f t="shared" si="89"/>
        <v>-</v>
      </c>
      <c r="K120" s="180" t="str">
        <f t="shared" si="90"/>
        <v>-</v>
      </c>
      <c r="L120" s="402"/>
      <c r="M120" s="166" t="e">
        <f>RANK(K120, K$67:$K$81)</f>
        <v>#VALUE!</v>
      </c>
      <c r="N120" s="389"/>
      <c r="O120" s="389"/>
      <c r="P120" s="182"/>
      <c r="Q120" s="166"/>
      <c r="R120" s="166"/>
      <c r="S120" s="166" t="e">
        <f t="shared" si="91"/>
        <v>#N/A</v>
      </c>
      <c r="T120" s="396"/>
      <c r="U120" s="182"/>
      <c r="V120" s="166"/>
      <c r="W120" s="166"/>
      <c r="X120" s="166" t="e">
        <f t="shared" si="92"/>
        <v>#N/A</v>
      </c>
      <c r="Y120" s="390"/>
      <c r="Z120" s="182"/>
      <c r="AA120" s="166"/>
      <c r="AB120" s="166"/>
      <c r="AC120" s="180" t="e">
        <f t="shared" si="93"/>
        <v>#N/A</v>
      </c>
      <c r="AD120" s="390"/>
      <c r="AE120" s="182"/>
      <c r="AF120" s="166"/>
      <c r="AG120" s="166"/>
      <c r="AH120" s="180" t="e">
        <f t="shared" si="94"/>
        <v>#N/A</v>
      </c>
      <c r="AI120" s="390"/>
      <c r="AJ120" s="182"/>
      <c r="AK120" s="166"/>
      <c r="AL120" s="166"/>
      <c r="AM120" s="180" t="e">
        <f t="shared" si="95"/>
        <v>#N/A</v>
      </c>
      <c r="AN120" s="390"/>
      <c r="AO120" s="182"/>
      <c r="AP120" s="166"/>
      <c r="AQ120" s="166"/>
      <c r="AR120" s="180" t="e">
        <f t="shared" si="96"/>
        <v>#N/A</v>
      </c>
      <c r="AS120" s="396"/>
      <c r="AT120" s="166"/>
      <c r="AU120" s="166"/>
      <c r="AV120" s="166"/>
      <c r="AW120" s="182" t="e">
        <f t="shared" si="97"/>
        <v>#N/A</v>
      </c>
      <c r="AX120" s="499"/>
      <c r="AZ120" s="182" t="e">
        <f t="shared" si="98"/>
        <v>#N/A</v>
      </c>
      <c r="BA120" s="499"/>
    </row>
    <row r="121" spans="2:53">
      <c r="B121" s="395"/>
      <c r="C121" s="182">
        <v>15</v>
      </c>
      <c r="D121" s="203"/>
      <c r="E121" s="166"/>
      <c r="F121" s="182"/>
      <c r="G121" s="180"/>
      <c r="H121" s="403"/>
      <c r="I121" s="182"/>
      <c r="J121" s="182"/>
      <c r="K121" s="182"/>
      <c r="L121" s="403"/>
      <c r="M121" s="166" t="e">
        <f>RANK(K121, K$67:$K$81)</f>
        <v>#N/A</v>
      </c>
      <c r="N121" s="389"/>
      <c r="O121" s="389"/>
      <c r="P121" s="182"/>
      <c r="Q121" s="166"/>
      <c r="R121" s="166"/>
      <c r="S121" s="166" t="e">
        <f t="shared" si="91"/>
        <v>#N/A</v>
      </c>
      <c r="T121" s="396"/>
      <c r="U121" s="182"/>
      <c r="V121" s="166"/>
      <c r="W121" s="166"/>
      <c r="X121" s="180" t="e">
        <f t="shared" si="92"/>
        <v>#N/A</v>
      </c>
      <c r="Y121" s="390"/>
      <c r="Z121" s="182"/>
      <c r="AA121" s="166"/>
      <c r="AB121" s="166"/>
      <c r="AC121" s="180" t="e">
        <f t="shared" si="93"/>
        <v>#N/A</v>
      </c>
      <c r="AD121" s="390"/>
      <c r="AE121" s="182"/>
      <c r="AF121" s="166"/>
      <c r="AG121" s="166"/>
      <c r="AH121" s="180" t="e">
        <f t="shared" si="94"/>
        <v>#N/A</v>
      </c>
      <c r="AI121" s="390"/>
      <c r="AJ121" s="182"/>
      <c r="AK121" s="166"/>
      <c r="AL121" s="166"/>
      <c r="AM121" s="180" t="e">
        <f t="shared" si="95"/>
        <v>#N/A</v>
      </c>
      <c r="AN121" s="390"/>
      <c r="AO121" s="182"/>
      <c r="AP121" s="166"/>
      <c r="AQ121" s="166"/>
      <c r="AR121" s="180" t="e">
        <f t="shared" si="96"/>
        <v>#N/A</v>
      </c>
      <c r="AS121" s="396"/>
      <c r="AT121" s="166"/>
      <c r="AU121" s="166"/>
      <c r="AV121" s="166"/>
      <c r="AW121" s="182" t="e">
        <f t="shared" si="97"/>
        <v>#N/A</v>
      </c>
      <c r="AX121" s="499"/>
      <c r="AZ121" s="182" t="e">
        <f t="shared" si="98"/>
        <v>#N/A</v>
      </c>
      <c r="BA121" s="499"/>
    </row>
    <row r="123" spans="2:53" ht="15.75">
      <c r="B123" s="397" t="s">
        <v>499</v>
      </c>
      <c r="C123" s="398"/>
      <c r="D123" s="398"/>
      <c r="E123" s="398"/>
      <c r="F123" s="398"/>
      <c r="G123" s="398"/>
      <c r="H123" s="398"/>
      <c r="I123" s="273"/>
      <c r="J123" s="273"/>
      <c r="K123" s="273"/>
      <c r="L123" s="273"/>
      <c r="M123" s="274"/>
    </row>
    <row r="124" spans="2:53" ht="15.75">
      <c r="B124" s="399"/>
      <c r="C124" s="399"/>
      <c r="D124" s="399"/>
      <c r="E124" s="399"/>
      <c r="F124" s="399"/>
      <c r="G124" s="399"/>
      <c r="H124" s="399"/>
      <c r="I124" s="275"/>
      <c r="J124" s="275"/>
      <c r="K124" s="275"/>
      <c r="L124" s="275"/>
      <c r="M124" s="276"/>
    </row>
    <row r="125" spans="2:53">
      <c r="B125" s="389" t="s">
        <v>154</v>
      </c>
      <c r="C125" s="389" t="s">
        <v>386</v>
      </c>
      <c r="D125" s="389"/>
      <c r="E125" s="389" t="s">
        <v>377</v>
      </c>
      <c r="F125" s="389"/>
      <c r="G125" s="389"/>
      <c r="H125" s="417" t="s">
        <v>373</v>
      </c>
      <c r="I125" s="400" t="s">
        <v>378</v>
      </c>
      <c r="J125" s="400"/>
      <c r="K125" s="400"/>
      <c r="L125" s="490" t="s">
        <v>373</v>
      </c>
      <c r="M125" s="493" t="s">
        <v>374</v>
      </c>
    </row>
    <row r="126" spans="2:53">
      <c r="B126" s="389"/>
      <c r="C126" s="389"/>
      <c r="D126" s="389"/>
      <c r="E126" s="389" t="s">
        <v>380</v>
      </c>
      <c r="F126" s="389"/>
      <c r="G126" s="389"/>
      <c r="H126" s="418"/>
      <c r="I126" s="400" t="s">
        <v>380</v>
      </c>
      <c r="J126" s="400"/>
      <c r="K126" s="400"/>
      <c r="L126" s="491"/>
      <c r="M126" s="494"/>
    </row>
    <row r="127" spans="2:53">
      <c r="B127" s="389"/>
      <c r="C127" s="389"/>
      <c r="D127" s="389"/>
      <c r="E127" s="258" t="s">
        <v>382</v>
      </c>
      <c r="F127" s="258" t="s">
        <v>383</v>
      </c>
      <c r="G127" s="258" t="s">
        <v>384</v>
      </c>
      <c r="H127" s="419"/>
      <c r="I127" s="277" t="s">
        <v>382</v>
      </c>
      <c r="J127" s="277" t="s">
        <v>383</v>
      </c>
      <c r="K127" s="277" t="s">
        <v>384</v>
      </c>
      <c r="L127" s="492"/>
      <c r="M127" s="495"/>
    </row>
    <row r="128" spans="2:53">
      <c r="B128" s="389" t="s">
        <v>388</v>
      </c>
      <c r="C128" s="182">
        <v>1</v>
      </c>
      <c r="D128" s="203"/>
      <c r="E128" s="166"/>
      <c r="F128" s="182"/>
      <c r="G128" s="180"/>
      <c r="H128" s="401" t="e">
        <f>AVERAGE(G128:G142)</f>
        <v>#DIV/0!</v>
      </c>
      <c r="I128" s="166" t="e">
        <f t="shared" ref="I128:J137" si="99">AVERAGEIF($D$7:$D$121,$D128,I$7:I$121)</f>
        <v>#DIV/0!</v>
      </c>
      <c r="J128" s="166" t="e">
        <f t="shared" si="99"/>
        <v>#DIV/0!</v>
      </c>
      <c r="K128" s="166" t="e">
        <f t="shared" ref="K128:K137" si="100">AVERAGEIF($D$7:$D$121,$D128,K$7:K$121)</f>
        <v>#DIV/0!</v>
      </c>
      <c r="L128" s="487" t="e">
        <f>AVERAGE(K128:K142)</f>
        <v>#DIV/0!</v>
      </c>
      <c r="M128" s="166" t="e">
        <f>RANK(K128, K$128:$K$142)</f>
        <v>#DIV/0!</v>
      </c>
    </row>
    <row r="129" spans="2:39">
      <c r="B129" s="395"/>
      <c r="C129" s="182">
        <v>2</v>
      </c>
      <c r="D129" s="203"/>
      <c r="E129" s="166"/>
      <c r="F129" s="182"/>
      <c r="G129" s="180"/>
      <c r="H129" s="402"/>
      <c r="I129" s="166" t="e">
        <f t="shared" si="99"/>
        <v>#DIV/0!</v>
      </c>
      <c r="J129" s="166" t="e">
        <f t="shared" si="99"/>
        <v>#DIV/0!</v>
      </c>
      <c r="K129" s="166" t="e">
        <f t="shared" si="100"/>
        <v>#DIV/0!</v>
      </c>
      <c r="L129" s="488"/>
      <c r="M129" s="166" t="e">
        <f>RANK(K129, K$128:$K$142)</f>
        <v>#DIV/0!</v>
      </c>
      <c r="N129" s="103"/>
      <c r="O129" s="103"/>
      <c r="P129" s="103"/>
      <c r="Q129" s="103"/>
      <c r="R129" s="103"/>
      <c r="S129" s="103"/>
      <c r="T129" s="103"/>
      <c r="X129" s="103"/>
      <c r="AC129" s="103"/>
      <c r="AH129" s="103"/>
      <c r="AM129" s="103"/>
    </row>
    <row r="130" spans="2:39">
      <c r="B130" s="395"/>
      <c r="C130" s="182">
        <v>3</v>
      </c>
      <c r="D130" s="203"/>
      <c r="E130" s="166"/>
      <c r="F130" s="182"/>
      <c r="G130" s="180"/>
      <c r="H130" s="402"/>
      <c r="I130" s="166" t="e">
        <f t="shared" si="99"/>
        <v>#DIV/0!</v>
      </c>
      <c r="J130" s="166" t="e">
        <f t="shared" si="99"/>
        <v>#DIV/0!</v>
      </c>
      <c r="K130" s="166" t="e">
        <f t="shared" si="100"/>
        <v>#DIV/0!</v>
      </c>
      <c r="L130" s="488"/>
      <c r="M130" s="166" t="e">
        <f>RANK(K130, K$128:$K$142)</f>
        <v>#DIV/0!</v>
      </c>
      <c r="N130" s="103"/>
      <c r="O130" s="103"/>
      <c r="P130" s="103"/>
      <c r="Q130" s="103"/>
      <c r="R130" s="103"/>
      <c r="S130" s="103"/>
      <c r="T130" s="103"/>
      <c r="X130" s="103"/>
      <c r="AC130" s="103"/>
      <c r="AH130" s="103"/>
      <c r="AM130" s="103"/>
    </row>
    <row r="131" spans="2:39">
      <c r="B131" s="395"/>
      <c r="C131" s="182">
        <v>4</v>
      </c>
      <c r="D131" s="203"/>
      <c r="E131" s="166"/>
      <c r="F131" s="182"/>
      <c r="G131" s="180"/>
      <c r="H131" s="402"/>
      <c r="I131" s="166" t="e">
        <f t="shared" si="99"/>
        <v>#DIV/0!</v>
      </c>
      <c r="J131" s="166" t="e">
        <f t="shared" si="99"/>
        <v>#DIV/0!</v>
      </c>
      <c r="K131" s="166" t="e">
        <f t="shared" si="100"/>
        <v>#DIV/0!</v>
      </c>
      <c r="L131" s="488"/>
      <c r="M131" s="166" t="e">
        <f>RANK(K131, K$128:$K$142)</f>
        <v>#DIV/0!</v>
      </c>
      <c r="N131" s="103"/>
      <c r="O131" s="103"/>
      <c r="P131" s="103"/>
      <c r="Q131" s="103"/>
      <c r="R131" s="103"/>
      <c r="S131" s="103"/>
      <c r="T131" s="103"/>
      <c r="X131" s="103"/>
      <c r="AC131" s="103"/>
      <c r="AH131" s="103"/>
      <c r="AM131" s="103"/>
    </row>
    <row r="132" spans="2:39">
      <c r="B132" s="395"/>
      <c r="C132" s="182">
        <v>5</v>
      </c>
      <c r="D132" s="203"/>
      <c r="E132" s="166"/>
      <c r="F132" s="182"/>
      <c r="G132" s="180"/>
      <c r="H132" s="402"/>
      <c r="I132" s="166" t="e">
        <f t="shared" si="99"/>
        <v>#DIV/0!</v>
      </c>
      <c r="J132" s="166" t="e">
        <f t="shared" si="99"/>
        <v>#DIV/0!</v>
      </c>
      <c r="K132" s="166" t="e">
        <f t="shared" si="100"/>
        <v>#DIV/0!</v>
      </c>
      <c r="L132" s="488"/>
      <c r="M132" s="166" t="e">
        <f>RANK(K132, K$128:$K$142)</f>
        <v>#DIV/0!</v>
      </c>
      <c r="N132" s="103"/>
      <c r="O132" s="103"/>
      <c r="P132" s="103"/>
      <c r="Q132" s="103"/>
      <c r="R132" s="103"/>
      <c r="S132" s="103"/>
      <c r="T132" s="103"/>
      <c r="X132" s="103"/>
      <c r="AC132" s="103"/>
      <c r="AH132" s="103"/>
      <c r="AM132" s="103"/>
    </row>
    <row r="133" spans="2:39">
      <c r="B133" s="395"/>
      <c r="C133" s="182">
        <v>6</v>
      </c>
      <c r="D133" s="278"/>
      <c r="E133" s="166"/>
      <c r="F133" s="182"/>
      <c r="G133" s="180"/>
      <c r="H133" s="402"/>
      <c r="I133" s="166" t="e">
        <f t="shared" si="99"/>
        <v>#DIV/0!</v>
      </c>
      <c r="J133" s="166" t="e">
        <f t="shared" si="99"/>
        <v>#DIV/0!</v>
      </c>
      <c r="K133" s="166" t="e">
        <f t="shared" si="100"/>
        <v>#DIV/0!</v>
      </c>
      <c r="L133" s="488"/>
      <c r="M133" s="166" t="e">
        <f>RANK(K133, K$128:$K$142)</f>
        <v>#DIV/0!</v>
      </c>
      <c r="N133" s="103"/>
      <c r="O133" s="103"/>
      <c r="P133" s="103"/>
      <c r="Q133" s="103"/>
      <c r="R133" s="103"/>
      <c r="S133" s="103"/>
      <c r="T133" s="103"/>
      <c r="X133" s="103"/>
      <c r="AC133" s="103"/>
      <c r="AH133" s="103"/>
      <c r="AM133" s="103"/>
    </row>
    <row r="134" spans="2:39">
      <c r="B134" s="395"/>
      <c r="C134" s="182">
        <v>7</v>
      </c>
      <c r="D134" s="203"/>
      <c r="E134" s="166"/>
      <c r="F134" s="182"/>
      <c r="G134" s="180"/>
      <c r="H134" s="402"/>
      <c r="I134" s="166" t="e">
        <f t="shared" si="99"/>
        <v>#DIV/0!</v>
      </c>
      <c r="J134" s="166" t="e">
        <f t="shared" si="99"/>
        <v>#DIV/0!</v>
      </c>
      <c r="K134" s="166" t="e">
        <f t="shared" si="100"/>
        <v>#DIV/0!</v>
      </c>
      <c r="L134" s="488"/>
      <c r="M134" s="166" t="e">
        <f>RANK(K134, K$128:$K$142)</f>
        <v>#DIV/0!</v>
      </c>
      <c r="N134" s="103"/>
      <c r="O134" s="103"/>
      <c r="P134" s="103"/>
      <c r="Q134" s="103"/>
      <c r="R134" s="103"/>
      <c r="S134" s="103"/>
      <c r="T134" s="103"/>
      <c r="X134" s="103"/>
      <c r="AC134" s="103"/>
      <c r="AH134" s="103"/>
      <c r="AM134" s="103"/>
    </row>
    <row r="135" spans="2:39">
      <c r="B135" s="395"/>
      <c r="C135" s="182">
        <v>8</v>
      </c>
      <c r="D135" s="203"/>
      <c r="E135" s="166"/>
      <c r="F135" s="182"/>
      <c r="G135" s="180"/>
      <c r="H135" s="402"/>
      <c r="I135" s="166" t="e">
        <f t="shared" si="99"/>
        <v>#DIV/0!</v>
      </c>
      <c r="J135" s="166" t="e">
        <f t="shared" si="99"/>
        <v>#DIV/0!</v>
      </c>
      <c r="K135" s="166" t="e">
        <f t="shared" si="100"/>
        <v>#DIV/0!</v>
      </c>
      <c r="L135" s="488"/>
      <c r="M135" s="166" t="e">
        <f>RANK(K135, K$128:$K$142)</f>
        <v>#DIV/0!</v>
      </c>
      <c r="N135" s="103"/>
      <c r="O135" s="103"/>
      <c r="P135" s="103"/>
      <c r="Q135" s="103"/>
      <c r="R135" s="103"/>
      <c r="S135" s="103"/>
      <c r="T135" s="103"/>
      <c r="X135" s="103"/>
      <c r="AC135" s="103"/>
      <c r="AH135" s="103"/>
      <c r="AM135" s="103"/>
    </row>
    <row r="136" spans="2:39">
      <c r="B136" s="395"/>
      <c r="C136" s="182">
        <v>9</v>
      </c>
      <c r="D136" s="203"/>
      <c r="E136" s="182"/>
      <c r="F136" s="182"/>
      <c r="G136" s="182"/>
      <c r="H136" s="402"/>
      <c r="I136" s="166" t="e">
        <f t="shared" si="99"/>
        <v>#DIV/0!</v>
      </c>
      <c r="J136" s="166" t="e">
        <f t="shared" si="99"/>
        <v>#DIV/0!</v>
      </c>
      <c r="K136" s="166" t="e">
        <f t="shared" si="100"/>
        <v>#DIV/0!</v>
      </c>
      <c r="L136" s="488"/>
      <c r="M136" s="166" t="e">
        <f>RANK(K136, K$128:$K$142)</f>
        <v>#DIV/0!</v>
      </c>
      <c r="N136" s="103"/>
      <c r="O136" s="103"/>
      <c r="P136" s="103"/>
      <c r="Q136" s="103"/>
      <c r="R136" s="103"/>
      <c r="S136" s="103"/>
      <c r="T136" s="103"/>
      <c r="X136" s="103"/>
      <c r="AC136" s="103"/>
      <c r="AH136" s="103"/>
      <c r="AM136" s="103"/>
    </row>
    <row r="137" spans="2:39">
      <c r="B137" s="395"/>
      <c r="C137" s="182">
        <v>10</v>
      </c>
      <c r="D137" s="203"/>
      <c r="E137" s="182"/>
      <c r="F137" s="182"/>
      <c r="G137" s="182"/>
      <c r="H137" s="402"/>
      <c r="I137" s="166" t="e">
        <f t="shared" si="99"/>
        <v>#DIV/0!</v>
      </c>
      <c r="J137" s="166" t="e">
        <f t="shared" si="99"/>
        <v>#DIV/0!</v>
      </c>
      <c r="K137" s="166" t="e">
        <f t="shared" si="100"/>
        <v>#DIV/0!</v>
      </c>
      <c r="L137" s="488"/>
      <c r="M137" s="166" t="e">
        <f>RANK(K137, K$128:$K$142)</f>
        <v>#DIV/0!</v>
      </c>
      <c r="N137" s="103"/>
      <c r="O137" s="103"/>
      <c r="P137" s="103"/>
      <c r="Q137" s="103"/>
      <c r="R137" s="103"/>
      <c r="S137" s="103"/>
      <c r="T137" s="103"/>
      <c r="X137" s="103"/>
      <c r="AC137" s="103"/>
      <c r="AH137" s="103"/>
      <c r="AM137" s="103"/>
    </row>
    <row r="138" spans="2:39">
      <c r="B138" s="395"/>
      <c r="C138" s="182">
        <v>11</v>
      </c>
      <c r="D138" s="203"/>
      <c r="E138" s="182"/>
      <c r="F138" s="182"/>
      <c r="G138" s="182"/>
      <c r="H138" s="402"/>
      <c r="I138" s="166"/>
      <c r="J138" s="166"/>
      <c r="K138" s="166"/>
      <c r="L138" s="488"/>
      <c r="M138" s="166" t="e">
        <f>RANK(K138, K$128:$K$142)</f>
        <v>#DIV/0!</v>
      </c>
      <c r="N138" s="103"/>
      <c r="O138" s="103"/>
      <c r="P138" s="103"/>
      <c r="Q138" s="103"/>
      <c r="R138" s="103"/>
      <c r="S138" s="103"/>
      <c r="T138" s="103"/>
      <c r="X138" s="103"/>
      <c r="AC138" s="103"/>
      <c r="AH138" s="103"/>
      <c r="AM138" s="103"/>
    </row>
    <row r="139" spans="2:39">
      <c r="B139" s="395"/>
      <c r="C139" s="182">
        <v>12</v>
      </c>
      <c r="D139" s="203"/>
      <c r="E139" s="182"/>
      <c r="F139" s="182"/>
      <c r="G139" s="182"/>
      <c r="H139" s="402"/>
      <c r="I139" s="166"/>
      <c r="J139" s="166"/>
      <c r="K139" s="166"/>
      <c r="L139" s="488"/>
      <c r="M139" s="166" t="e">
        <f>RANK(K139, K$128:$K$142)</f>
        <v>#DIV/0!</v>
      </c>
      <c r="N139" s="103"/>
      <c r="O139" s="103"/>
      <c r="P139" s="103"/>
      <c r="Q139" s="103"/>
      <c r="R139" s="103"/>
      <c r="S139" s="103"/>
      <c r="T139" s="103"/>
      <c r="X139" s="103"/>
      <c r="AC139" s="103"/>
      <c r="AH139" s="103"/>
      <c r="AM139" s="103"/>
    </row>
    <row r="140" spans="2:39">
      <c r="B140" s="395"/>
      <c r="C140" s="182">
        <v>13</v>
      </c>
      <c r="D140" s="203"/>
      <c r="E140" s="182"/>
      <c r="F140" s="182"/>
      <c r="G140" s="182"/>
      <c r="H140" s="402"/>
      <c r="I140" s="166"/>
      <c r="J140" s="166"/>
      <c r="K140" s="166"/>
      <c r="L140" s="488"/>
      <c r="M140" s="166" t="e">
        <f>RANK(K140, K$128:$K$142)</f>
        <v>#DIV/0!</v>
      </c>
      <c r="N140" s="103"/>
      <c r="O140" s="103"/>
      <c r="P140" s="103"/>
      <c r="Q140" s="103"/>
      <c r="R140" s="103"/>
      <c r="S140" s="103"/>
      <c r="T140" s="103"/>
      <c r="X140" s="103"/>
      <c r="AC140" s="103"/>
      <c r="AH140" s="103"/>
      <c r="AM140" s="103"/>
    </row>
    <row r="141" spans="2:39">
      <c r="B141" s="395"/>
      <c r="C141" s="182">
        <v>14</v>
      </c>
      <c r="D141" s="203"/>
      <c r="E141" s="182"/>
      <c r="F141" s="182"/>
      <c r="G141" s="182"/>
      <c r="H141" s="402"/>
      <c r="I141" s="166"/>
      <c r="J141" s="166"/>
      <c r="K141" s="166"/>
      <c r="L141" s="488"/>
      <c r="M141" s="166" t="e">
        <f>RANK(K141, K$128:$K$142)</f>
        <v>#DIV/0!</v>
      </c>
      <c r="N141" s="103"/>
      <c r="O141" s="103"/>
      <c r="P141" s="103"/>
      <c r="Q141" s="103"/>
      <c r="R141" s="103"/>
      <c r="S141" s="103"/>
      <c r="T141" s="103"/>
      <c r="X141" s="103"/>
      <c r="AC141" s="103"/>
      <c r="AH141" s="103"/>
      <c r="AM141" s="103"/>
    </row>
    <row r="142" spans="2:39">
      <c r="B142" s="395"/>
      <c r="C142" s="182">
        <v>15</v>
      </c>
      <c r="D142" s="203"/>
      <c r="E142" s="182"/>
      <c r="F142" s="182"/>
      <c r="G142" s="182"/>
      <c r="H142" s="403"/>
      <c r="I142" s="166"/>
      <c r="J142" s="166"/>
      <c r="K142" s="166"/>
      <c r="L142" s="489"/>
      <c r="M142" s="166" t="e">
        <f>RANK(K142, K$128:$K$142)</f>
        <v>#DIV/0!</v>
      </c>
      <c r="N142" s="103"/>
      <c r="O142" s="103"/>
      <c r="P142" s="103"/>
      <c r="Q142" s="103"/>
      <c r="R142" s="103"/>
      <c r="S142" s="103"/>
      <c r="T142" s="103"/>
      <c r="X142" s="103"/>
      <c r="AC142" s="103"/>
      <c r="AH142" s="103"/>
      <c r="AM142" s="103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BA142"/>
  <sheetViews>
    <sheetView topLeftCell="A52" zoomScale="55" zoomScaleNormal="55" workbookViewId="0">
      <pane xSplit="15" topLeftCell="P1" activePane="topRight" state="frozen"/>
      <selection activeCell="M7" sqref="M7:M21"/>
      <selection pane="topRight" activeCell="R137" sqref="R137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51" width="8.85546875" style="103"/>
    <col min="52" max="52" width="5.42578125" style="103" customWidth="1"/>
    <col min="53" max="53" width="13.140625" style="103" customWidth="1"/>
    <col min="54" max="16384" width="8.85546875" style="103"/>
  </cols>
  <sheetData>
    <row r="1" spans="1:53" ht="24">
      <c r="A1" s="74"/>
      <c r="B1" s="198" t="s">
        <v>314</v>
      </c>
      <c r="C1" s="197">
        <f>AVERAGE(L7,L27,L47,L67,L87,L107)</f>
        <v>130.93130587907257</v>
      </c>
    </row>
    <row r="2" spans="1:53" ht="15.75">
      <c r="A2" s="79"/>
      <c r="B2" s="414" t="s">
        <v>163</v>
      </c>
      <c r="C2" s="414"/>
      <c r="D2" s="414"/>
      <c r="E2" s="414"/>
      <c r="F2" s="414"/>
      <c r="G2" s="414"/>
      <c r="H2" s="414"/>
      <c r="I2" s="183"/>
      <c r="J2" s="183"/>
      <c r="K2" s="183"/>
      <c r="L2" s="183"/>
      <c r="M2" s="178"/>
      <c r="N2" s="391" t="s">
        <v>156</v>
      </c>
      <c r="O2" s="391" t="s">
        <v>155</v>
      </c>
      <c r="P2" s="421">
        <v>46140</v>
      </c>
      <c r="Q2" s="422"/>
      <c r="R2" s="422"/>
      <c r="S2" s="422"/>
      <c r="T2" s="423"/>
      <c r="U2" s="413">
        <f>P2+1</f>
        <v>46141</v>
      </c>
      <c r="V2" s="395"/>
      <c r="W2" s="395"/>
      <c r="X2" s="395"/>
      <c r="Y2" s="395"/>
      <c r="Z2" s="413">
        <f>U2+1</f>
        <v>46142</v>
      </c>
      <c r="AA2" s="395"/>
      <c r="AB2" s="395"/>
      <c r="AC2" s="395"/>
      <c r="AD2" s="395"/>
      <c r="AE2" s="413">
        <f>Z2+1</f>
        <v>46143</v>
      </c>
      <c r="AF2" s="395"/>
      <c r="AG2" s="395"/>
      <c r="AH2" s="395"/>
      <c r="AI2" s="395"/>
      <c r="AJ2" s="413">
        <f>AE2+1</f>
        <v>46144</v>
      </c>
      <c r="AK2" s="395"/>
      <c r="AL2" s="395"/>
      <c r="AM2" s="395"/>
      <c r="AN2" s="395"/>
      <c r="AO2" s="413">
        <f>AJ2+1</f>
        <v>46145</v>
      </c>
      <c r="AP2" s="395"/>
      <c r="AQ2" s="395"/>
      <c r="AR2" s="395"/>
      <c r="AS2" s="395"/>
      <c r="AT2" s="410">
        <f>AO2+1</f>
        <v>46146</v>
      </c>
      <c r="AU2" s="411"/>
      <c r="AV2" s="411"/>
      <c r="AW2" s="411"/>
      <c r="AX2" s="412"/>
    </row>
    <row r="3" spans="1:53" ht="15.75">
      <c r="A3" s="79"/>
      <c r="B3" s="420"/>
      <c r="C3" s="420"/>
      <c r="D3" s="420"/>
      <c r="E3" s="420"/>
      <c r="F3" s="420"/>
      <c r="G3" s="420"/>
      <c r="H3" s="420"/>
      <c r="I3" s="184"/>
      <c r="J3" s="184"/>
      <c r="K3" s="184"/>
      <c r="L3" s="184"/>
      <c r="M3" s="179"/>
      <c r="N3" s="393"/>
      <c r="O3" s="393"/>
      <c r="P3" s="410" t="s">
        <v>158</v>
      </c>
      <c r="Q3" s="411"/>
      <c r="R3" s="411"/>
      <c r="S3" s="411"/>
      <c r="T3" s="412"/>
      <c r="U3" s="410" t="s">
        <v>114</v>
      </c>
      <c r="V3" s="411"/>
      <c r="W3" s="411"/>
      <c r="X3" s="411"/>
      <c r="Y3" s="412"/>
      <c r="Z3" s="410" t="s">
        <v>159</v>
      </c>
      <c r="AA3" s="411"/>
      <c r="AB3" s="411"/>
      <c r="AC3" s="411"/>
      <c r="AD3" s="412"/>
      <c r="AE3" s="410" t="s">
        <v>157</v>
      </c>
      <c r="AF3" s="411"/>
      <c r="AG3" s="411"/>
      <c r="AH3" s="411"/>
      <c r="AI3" s="412"/>
      <c r="AJ3" s="410" t="s">
        <v>160</v>
      </c>
      <c r="AK3" s="411"/>
      <c r="AL3" s="411"/>
      <c r="AM3" s="411"/>
      <c r="AN3" s="412"/>
      <c r="AO3" s="410" t="s">
        <v>161</v>
      </c>
      <c r="AP3" s="411"/>
      <c r="AQ3" s="411"/>
      <c r="AR3" s="411"/>
      <c r="AS3" s="412"/>
      <c r="AT3" s="410" t="s">
        <v>162</v>
      </c>
      <c r="AU3" s="411"/>
      <c r="AV3" s="411"/>
      <c r="AW3" s="411"/>
      <c r="AX3" s="412"/>
    </row>
    <row r="4" spans="1:53" ht="14.25">
      <c r="A4" s="79"/>
      <c r="B4" s="389" t="s">
        <v>555</v>
      </c>
      <c r="C4" s="389" t="s">
        <v>386</v>
      </c>
      <c r="D4" s="389"/>
      <c r="E4" s="389" t="s">
        <v>377</v>
      </c>
      <c r="F4" s="389"/>
      <c r="G4" s="389"/>
      <c r="H4" s="417" t="s">
        <v>373</v>
      </c>
      <c r="I4" s="389" t="s">
        <v>378</v>
      </c>
      <c r="J4" s="389"/>
      <c r="K4" s="389"/>
      <c r="L4" s="417" t="s">
        <v>373</v>
      </c>
      <c r="M4" s="391" t="s">
        <v>374</v>
      </c>
      <c r="N4" s="389"/>
      <c r="O4" s="389" t="s">
        <v>379</v>
      </c>
      <c r="P4" s="404" t="s">
        <v>375</v>
      </c>
      <c r="Q4" s="405"/>
      <c r="R4" s="405"/>
      <c r="S4" s="406"/>
      <c r="T4" s="389" t="s">
        <v>373</v>
      </c>
      <c r="U4" s="404" t="s">
        <v>375</v>
      </c>
      <c r="V4" s="405"/>
      <c r="W4" s="405"/>
      <c r="X4" s="406"/>
      <c r="Y4" s="389" t="s">
        <v>373</v>
      </c>
      <c r="Z4" s="404" t="s">
        <v>375</v>
      </c>
      <c r="AA4" s="405"/>
      <c r="AB4" s="405"/>
      <c r="AC4" s="406"/>
      <c r="AD4" s="389" t="s">
        <v>373</v>
      </c>
      <c r="AE4" s="404" t="s">
        <v>375</v>
      </c>
      <c r="AF4" s="405"/>
      <c r="AG4" s="405"/>
      <c r="AH4" s="406"/>
      <c r="AI4" s="389" t="s">
        <v>373</v>
      </c>
      <c r="AJ4" s="404" t="s">
        <v>375</v>
      </c>
      <c r="AK4" s="405"/>
      <c r="AL4" s="405"/>
      <c r="AM4" s="406"/>
      <c r="AN4" s="389" t="s">
        <v>373</v>
      </c>
      <c r="AO4" s="404" t="s">
        <v>375</v>
      </c>
      <c r="AP4" s="405"/>
      <c r="AQ4" s="405"/>
      <c r="AR4" s="406"/>
      <c r="AS4" s="389" t="s">
        <v>373</v>
      </c>
      <c r="AT4" s="404" t="s">
        <v>375</v>
      </c>
      <c r="AU4" s="405"/>
      <c r="AV4" s="405"/>
      <c r="AW4" s="406"/>
      <c r="AX4" s="389" t="s">
        <v>373</v>
      </c>
      <c r="BA4" s="389" t="s">
        <v>373</v>
      </c>
    </row>
    <row r="5" spans="1:53" ht="14.25">
      <c r="A5" s="79"/>
      <c r="B5" s="389"/>
      <c r="C5" s="389"/>
      <c r="D5" s="389"/>
      <c r="E5" s="389" t="s">
        <v>380</v>
      </c>
      <c r="F5" s="389"/>
      <c r="G5" s="389"/>
      <c r="H5" s="418"/>
      <c r="I5" s="389" t="s">
        <v>380</v>
      </c>
      <c r="J5" s="389"/>
      <c r="K5" s="389"/>
      <c r="L5" s="418"/>
      <c r="M5" s="392"/>
      <c r="N5" s="389"/>
      <c r="O5" s="389"/>
      <c r="P5" s="404" t="s">
        <v>381</v>
      </c>
      <c r="Q5" s="405"/>
      <c r="R5" s="405"/>
      <c r="S5" s="406"/>
      <c r="T5" s="389"/>
      <c r="U5" s="404" t="s">
        <v>381</v>
      </c>
      <c r="V5" s="405"/>
      <c r="W5" s="405"/>
      <c r="X5" s="406"/>
      <c r="Y5" s="389"/>
      <c r="Z5" s="404" t="s">
        <v>381</v>
      </c>
      <c r="AA5" s="405"/>
      <c r="AB5" s="405"/>
      <c r="AC5" s="406"/>
      <c r="AD5" s="389"/>
      <c r="AE5" s="404" t="s">
        <v>381</v>
      </c>
      <c r="AF5" s="405"/>
      <c r="AG5" s="405"/>
      <c r="AH5" s="406"/>
      <c r="AI5" s="389"/>
      <c r="AJ5" s="404" t="s">
        <v>381</v>
      </c>
      <c r="AK5" s="405"/>
      <c r="AL5" s="405"/>
      <c r="AM5" s="406"/>
      <c r="AN5" s="389"/>
      <c r="AO5" s="404" t="s">
        <v>381</v>
      </c>
      <c r="AP5" s="405"/>
      <c r="AQ5" s="405"/>
      <c r="AR5" s="406"/>
      <c r="AS5" s="389"/>
      <c r="AT5" s="404" t="s">
        <v>381</v>
      </c>
      <c r="AU5" s="405"/>
      <c r="AV5" s="405"/>
      <c r="AW5" s="406"/>
      <c r="AX5" s="389"/>
      <c r="BA5" s="389"/>
    </row>
    <row r="6" spans="1:53" ht="14.25">
      <c r="A6" s="77"/>
      <c r="B6" s="389"/>
      <c r="C6" s="389"/>
      <c r="D6" s="389"/>
      <c r="E6" s="258" t="s">
        <v>382</v>
      </c>
      <c r="F6" s="258" t="s">
        <v>383</v>
      </c>
      <c r="G6" s="258" t="s">
        <v>384</v>
      </c>
      <c r="H6" s="419"/>
      <c r="I6" s="258" t="s">
        <v>382</v>
      </c>
      <c r="J6" s="258" t="s">
        <v>383</v>
      </c>
      <c r="K6" s="258" t="s">
        <v>384</v>
      </c>
      <c r="L6" s="419"/>
      <c r="M6" s="393"/>
      <c r="N6" s="389"/>
      <c r="O6" s="389"/>
      <c r="P6" s="258" t="s">
        <v>382</v>
      </c>
      <c r="Q6" s="258" t="s">
        <v>383</v>
      </c>
      <c r="R6" s="258" t="s">
        <v>384</v>
      </c>
      <c r="S6" s="258" t="s">
        <v>374</v>
      </c>
      <c r="T6" s="389"/>
      <c r="U6" s="258" t="s">
        <v>382</v>
      </c>
      <c r="V6" s="258" t="s">
        <v>383</v>
      </c>
      <c r="W6" s="258" t="s">
        <v>384</v>
      </c>
      <c r="X6" s="258" t="s">
        <v>374</v>
      </c>
      <c r="Y6" s="389"/>
      <c r="Z6" s="258" t="s">
        <v>382</v>
      </c>
      <c r="AA6" s="258" t="s">
        <v>383</v>
      </c>
      <c r="AB6" s="258" t="s">
        <v>384</v>
      </c>
      <c r="AC6" s="258" t="s">
        <v>374</v>
      </c>
      <c r="AD6" s="389"/>
      <c r="AE6" s="258" t="s">
        <v>382</v>
      </c>
      <c r="AF6" s="258" t="s">
        <v>383</v>
      </c>
      <c r="AG6" s="258" t="s">
        <v>384</v>
      </c>
      <c r="AH6" s="258" t="s">
        <v>374</v>
      </c>
      <c r="AI6" s="389"/>
      <c r="AJ6" s="258" t="s">
        <v>382</v>
      </c>
      <c r="AK6" s="258" t="s">
        <v>383</v>
      </c>
      <c r="AL6" s="258" t="s">
        <v>384</v>
      </c>
      <c r="AM6" s="258" t="s">
        <v>374</v>
      </c>
      <c r="AN6" s="389"/>
      <c r="AO6" s="258" t="s">
        <v>382</v>
      </c>
      <c r="AP6" s="258" t="s">
        <v>383</v>
      </c>
      <c r="AQ6" s="258" t="s">
        <v>384</v>
      </c>
      <c r="AR6" s="258" t="s">
        <v>374</v>
      </c>
      <c r="AS6" s="389"/>
      <c r="AT6" s="258" t="s">
        <v>382</v>
      </c>
      <c r="AU6" s="258" t="s">
        <v>383</v>
      </c>
      <c r="AV6" s="258" t="s">
        <v>384</v>
      </c>
      <c r="AW6" s="258" t="s">
        <v>374</v>
      </c>
      <c r="AX6" s="389"/>
      <c r="AZ6" s="258" t="s">
        <v>374</v>
      </c>
      <c r="BA6" s="389"/>
    </row>
    <row r="7" spans="1:53" ht="14.25">
      <c r="A7" s="79"/>
      <c r="B7" s="389" t="s">
        <v>136</v>
      </c>
      <c r="C7" s="182">
        <v>1</v>
      </c>
      <c r="D7" s="203" t="s">
        <v>356</v>
      </c>
      <c r="E7" s="166">
        <v>20</v>
      </c>
      <c r="F7" s="182">
        <v>2400</v>
      </c>
      <c r="G7" s="180">
        <v>120</v>
      </c>
      <c r="H7" s="401">
        <f>AVERAGE(G7:G21)</f>
        <v>153.87142857142857</v>
      </c>
      <c r="I7" s="166">
        <f t="shared" ref="I7:I20" si="0">IFERROR(AVERAGE(P7,U7,Z7,AE7,AJ7,AO7,AT7),"-")</f>
        <v>20</v>
      </c>
      <c r="J7" s="166">
        <f t="shared" ref="J7:J20" si="1">IFERROR(AVERAGE(Q7,V7,AA7,AF7,AK7,AP7,AU7),"-")</f>
        <v>2266.6536981486188</v>
      </c>
      <c r="K7" s="180">
        <f t="shared" ref="K7:K20" si="2">IFERROR(AVERAGE(R7,W7,AB7,AG7,AL7,AQ7,AV7),"-")</f>
        <v>113.33268490743095</v>
      </c>
      <c r="L7" s="401">
        <f>IFERROR(AVERAGE(K7:K21),"-")</f>
        <v>130.98098467239637</v>
      </c>
      <c r="M7" s="181">
        <f>RANK(K7, K$7:$K$21)</f>
        <v>7</v>
      </c>
      <c r="N7" s="389"/>
      <c r="O7" s="389"/>
      <c r="P7" s="182">
        <v>20</v>
      </c>
      <c r="Q7" s="166">
        <v>2234.2793296089385</v>
      </c>
      <c r="R7" s="166">
        <v>111.71396648044693</v>
      </c>
      <c r="S7" s="182">
        <f t="shared" ref="S7:S21" si="3">RANK(R7, R$7:R$21)</f>
        <v>7</v>
      </c>
      <c r="T7" s="390">
        <f t="shared" ref="T7" si="4">AVERAGE(R7:R21)</f>
        <v>131.05534535530106</v>
      </c>
      <c r="U7" s="182">
        <v>20</v>
      </c>
      <c r="V7" s="166">
        <v>2293.0000000000009</v>
      </c>
      <c r="W7" s="166">
        <v>114.65000000000005</v>
      </c>
      <c r="X7" s="182">
        <f t="shared" ref="X7:X21" si="5">RANK(W7, W$7:W$21)</f>
        <v>7</v>
      </c>
      <c r="Y7" s="390">
        <f t="shared" ref="Y7" si="6">AVERAGE(W7:W21)</f>
        <v>129.3920828338594</v>
      </c>
      <c r="Z7" s="182">
        <v>20</v>
      </c>
      <c r="AA7" s="166">
        <v>2278.5</v>
      </c>
      <c r="AB7" s="166">
        <v>113.925</v>
      </c>
      <c r="AC7" s="182">
        <f t="shared" ref="AC7:AC21" si="7">RANK(AB7, AB$7:AB$21)</f>
        <v>7</v>
      </c>
      <c r="AD7" s="390">
        <f t="shared" ref="AD7" si="8">AVERAGE(AB7:AB21)</f>
        <v>131.41386463070549</v>
      </c>
      <c r="AE7" s="182">
        <v>20</v>
      </c>
      <c r="AF7" s="166">
        <v>2253.7500000000005</v>
      </c>
      <c r="AG7" s="166">
        <v>112.68750000000003</v>
      </c>
      <c r="AH7" s="182">
        <f t="shared" ref="AH7:AH21" si="9">RANK(AG7, AG$7:AG$21)</f>
        <v>7</v>
      </c>
      <c r="AI7" s="390">
        <f t="shared" ref="AI7" si="10">AVERAGE(AG7:AG21)</f>
        <v>131.57728734618459</v>
      </c>
      <c r="AJ7" s="182">
        <v>20</v>
      </c>
      <c r="AK7" s="166">
        <v>2264.7945205479455</v>
      </c>
      <c r="AL7" s="166">
        <v>113.23972602739727</v>
      </c>
      <c r="AM7" s="182">
        <f t="shared" ref="AM7:AM21" si="11">RANK(AL7, AL$7:AL$21)</f>
        <v>7</v>
      </c>
      <c r="AN7" s="390">
        <f t="shared" ref="AN7" si="12">AVERAGE(AL7:AL21)</f>
        <v>130.10930586419721</v>
      </c>
      <c r="AO7" s="182">
        <v>20</v>
      </c>
      <c r="AP7" s="166">
        <v>2278.8349514563106</v>
      </c>
      <c r="AQ7" s="166">
        <v>113.94174757281553</v>
      </c>
      <c r="AR7" s="182">
        <f t="shared" ref="AR7:AR21" si="13">RANK(AQ7, AQ$7:AQ$21)</f>
        <v>7</v>
      </c>
      <c r="AS7" s="390">
        <f t="shared" ref="AS7" si="14">AVERAGE(AQ7:AQ21)</f>
        <v>131.9155286911222</v>
      </c>
      <c r="AT7" s="182">
        <v>20</v>
      </c>
      <c r="AU7" s="166">
        <v>2263.4170854271356</v>
      </c>
      <c r="AV7" s="166">
        <v>113.17085427135677</v>
      </c>
      <c r="AW7" s="182">
        <f t="shared" ref="AW7:AW21" si="15">RANK(AV7, AV$7:AV$21)</f>
        <v>7</v>
      </c>
      <c r="AX7" s="390">
        <f t="shared" ref="AX7" si="16">AVERAGE(AV7:AV21)</f>
        <v>131.40347798540472</v>
      </c>
      <c r="AZ7" s="182" t="e">
        <f t="shared" ref="AZ7:AZ21" si="17">RANK(AY7, AY$7:AY$21)</f>
        <v>#N/A</v>
      </c>
      <c r="BA7" s="390" t="e">
        <f t="shared" ref="BA7" si="18">AVERAGE(AY7:AY21)</f>
        <v>#DIV/0!</v>
      </c>
    </row>
    <row r="8" spans="1:53" ht="15" customHeight="1">
      <c r="A8" s="79"/>
      <c r="B8" s="395"/>
      <c r="C8" s="182">
        <v>2</v>
      </c>
      <c r="D8" s="203" t="s">
        <v>357</v>
      </c>
      <c r="E8" s="166">
        <v>18</v>
      </c>
      <c r="F8" s="182">
        <v>2700</v>
      </c>
      <c r="G8" s="180">
        <v>166.7</v>
      </c>
      <c r="H8" s="402"/>
      <c r="I8" s="166">
        <f t="shared" si="0"/>
        <v>18.857142857142858</v>
      </c>
      <c r="J8" s="166">
        <f t="shared" si="1"/>
        <v>2507.8971806430986</v>
      </c>
      <c r="K8" s="180">
        <f t="shared" si="2"/>
        <v>133.05557425272784</v>
      </c>
      <c r="L8" s="402"/>
      <c r="M8" s="181">
        <f>RANK(K8, K$7:$K$21)</f>
        <v>4</v>
      </c>
      <c r="N8" s="389"/>
      <c r="O8" s="389"/>
      <c r="P8" s="182">
        <v>19</v>
      </c>
      <c r="Q8" s="166">
        <v>2530.1694915254261</v>
      </c>
      <c r="R8" s="166">
        <v>133.16681534344349</v>
      </c>
      <c r="S8" s="182">
        <f t="shared" si="3"/>
        <v>4</v>
      </c>
      <c r="T8" s="390"/>
      <c r="U8" s="182">
        <v>19</v>
      </c>
      <c r="V8" s="166">
        <v>2514.0000000000009</v>
      </c>
      <c r="W8" s="166">
        <v>132.31578947368425</v>
      </c>
      <c r="X8" s="182">
        <f t="shared" si="5"/>
        <v>5</v>
      </c>
      <c r="Y8" s="390"/>
      <c r="Z8" s="182">
        <v>19</v>
      </c>
      <c r="AA8" s="166">
        <v>2475.8490566037749</v>
      </c>
      <c r="AB8" s="166">
        <v>130.30784508440919</v>
      </c>
      <c r="AC8" s="182">
        <f t="shared" si="7"/>
        <v>5</v>
      </c>
      <c r="AD8" s="390"/>
      <c r="AE8" s="182">
        <v>19</v>
      </c>
      <c r="AF8" s="166">
        <v>2474.9999999999973</v>
      </c>
      <c r="AG8" s="166">
        <v>130.26315789473671</v>
      </c>
      <c r="AH8" s="182">
        <f t="shared" si="9"/>
        <v>5</v>
      </c>
      <c r="AI8" s="390"/>
      <c r="AJ8" s="182">
        <v>19</v>
      </c>
      <c r="AK8" s="166">
        <v>2497.3584905660355</v>
      </c>
      <c r="AL8" s="166">
        <v>131.43992055610713</v>
      </c>
      <c r="AM8" s="182">
        <f t="shared" si="11"/>
        <v>5</v>
      </c>
      <c r="AN8" s="390"/>
      <c r="AO8" s="182">
        <v>18</v>
      </c>
      <c r="AP8" s="166">
        <v>2540.0000000000023</v>
      </c>
      <c r="AQ8" s="166">
        <v>141.11111111111123</v>
      </c>
      <c r="AR8" s="182">
        <f t="shared" si="13"/>
        <v>2</v>
      </c>
      <c r="AS8" s="390"/>
      <c r="AT8" s="182">
        <v>19</v>
      </c>
      <c r="AU8" s="166">
        <v>2522.903225806454</v>
      </c>
      <c r="AV8" s="166">
        <v>132.78438030560284</v>
      </c>
      <c r="AW8" s="182">
        <f t="shared" si="15"/>
        <v>5</v>
      </c>
      <c r="AX8" s="390"/>
      <c r="AZ8" s="182" t="e">
        <f t="shared" si="17"/>
        <v>#N/A</v>
      </c>
      <c r="BA8" s="390"/>
    </row>
    <row r="9" spans="1:53" ht="14.25">
      <c r="A9" s="79"/>
      <c r="B9" s="395"/>
      <c r="C9" s="182">
        <v>3</v>
      </c>
      <c r="D9" s="203" t="s">
        <v>358</v>
      </c>
      <c r="E9" s="166">
        <v>18</v>
      </c>
      <c r="F9" s="182">
        <v>2700</v>
      </c>
      <c r="G9" s="180">
        <v>166.7</v>
      </c>
      <c r="H9" s="402"/>
      <c r="I9" s="166">
        <f t="shared" si="0"/>
        <v>19</v>
      </c>
      <c r="J9" s="166">
        <f t="shared" si="1"/>
        <v>2537.096742032395</v>
      </c>
      <c r="K9" s="180">
        <f t="shared" si="2"/>
        <v>133.53140747538919</v>
      </c>
      <c r="L9" s="402"/>
      <c r="M9" s="181">
        <f>RANK(K9, K$7:$K$21)</f>
        <v>3</v>
      </c>
      <c r="N9" s="389"/>
      <c r="O9" s="389"/>
      <c r="P9" s="182">
        <v>19</v>
      </c>
      <c r="Q9" s="166">
        <v>2552.1428571428564</v>
      </c>
      <c r="R9" s="166">
        <v>134.32330827067665</v>
      </c>
      <c r="S9" s="182">
        <f t="shared" si="3"/>
        <v>3</v>
      </c>
      <c r="T9" s="390"/>
      <c r="U9" s="182">
        <v>19</v>
      </c>
      <c r="V9" s="166">
        <v>2559.4285714285688</v>
      </c>
      <c r="W9" s="166">
        <v>134.70676691729309</v>
      </c>
      <c r="X9" s="182">
        <f t="shared" si="5"/>
        <v>1</v>
      </c>
      <c r="Y9" s="390"/>
      <c r="Z9" s="182">
        <v>19</v>
      </c>
      <c r="AA9" s="166">
        <v>2537.1428571428546</v>
      </c>
      <c r="AB9" s="166">
        <v>133.53383458646604</v>
      </c>
      <c r="AC9" s="182">
        <f t="shared" si="7"/>
        <v>3</v>
      </c>
      <c r="AD9" s="390"/>
      <c r="AE9" s="182">
        <v>19</v>
      </c>
      <c r="AF9" s="166">
        <v>2540.9090909090937</v>
      </c>
      <c r="AG9" s="166">
        <v>133.73205741626808</v>
      </c>
      <c r="AH9" s="182">
        <f t="shared" si="9"/>
        <v>3</v>
      </c>
      <c r="AI9" s="390"/>
      <c r="AJ9" s="182">
        <v>19</v>
      </c>
      <c r="AK9" s="166">
        <v>2522.6086956521713</v>
      </c>
      <c r="AL9" s="166">
        <v>132.76887871853532</v>
      </c>
      <c r="AM9" s="182">
        <f t="shared" si="11"/>
        <v>3</v>
      </c>
      <c r="AN9" s="390"/>
      <c r="AO9" s="182">
        <v>19</v>
      </c>
      <c r="AP9" s="166">
        <v>2522.1951219512189</v>
      </c>
      <c r="AQ9" s="166">
        <v>132.7471116816431</v>
      </c>
      <c r="AR9" s="182">
        <f t="shared" si="13"/>
        <v>4</v>
      </c>
      <c r="AS9" s="390"/>
      <c r="AT9" s="182">
        <v>19</v>
      </c>
      <c r="AU9" s="166">
        <v>2525.2499999999991</v>
      </c>
      <c r="AV9" s="166">
        <v>132.90789473684205</v>
      </c>
      <c r="AW9" s="182">
        <f t="shared" si="15"/>
        <v>4</v>
      </c>
      <c r="AX9" s="390"/>
      <c r="AZ9" s="182" t="e">
        <f t="shared" si="17"/>
        <v>#N/A</v>
      </c>
      <c r="BA9" s="390"/>
    </row>
    <row r="10" spans="1:53" ht="14.25">
      <c r="A10" s="79"/>
      <c r="B10" s="395"/>
      <c r="C10" s="182">
        <v>4</v>
      </c>
      <c r="D10" s="203" t="s">
        <v>359</v>
      </c>
      <c r="E10" s="166">
        <v>19</v>
      </c>
      <c r="F10" s="182">
        <v>2700</v>
      </c>
      <c r="G10" s="180">
        <v>157.9</v>
      </c>
      <c r="H10" s="402"/>
      <c r="I10" s="166">
        <f t="shared" si="0"/>
        <v>19</v>
      </c>
      <c r="J10" s="166">
        <f t="shared" si="1"/>
        <v>2517.7306709202176</v>
      </c>
      <c r="K10" s="180">
        <f t="shared" si="2"/>
        <v>132.51214057474832</v>
      </c>
      <c r="L10" s="402"/>
      <c r="M10" s="181">
        <f>RANK(K10, K$7:$K$21)</f>
        <v>5</v>
      </c>
      <c r="N10" s="389"/>
      <c r="O10" s="389"/>
      <c r="P10" s="182">
        <v>19</v>
      </c>
      <c r="Q10" s="166">
        <v>2499.4736842105285</v>
      </c>
      <c r="R10" s="166">
        <v>131.55124653739622</v>
      </c>
      <c r="S10" s="182">
        <f t="shared" si="3"/>
        <v>5</v>
      </c>
      <c r="T10" s="390"/>
      <c r="U10" s="182">
        <v>19</v>
      </c>
      <c r="V10" s="166">
        <v>2533.0434782608695</v>
      </c>
      <c r="W10" s="166">
        <v>133.31807780320366</v>
      </c>
      <c r="X10" s="182">
        <f t="shared" si="5"/>
        <v>3</v>
      </c>
      <c r="Y10" s="390"/>
      <c r="Z10" s="182">
        <v>19</v>
      </c>
      <c r="AA10" s="166">
        <v>2524.5652173913045</v>
      </c>
      <c r="AB10" s="166">
        <v>132.87185354691076</v>
      </c>
      <c r="AC10" s="182">
        <f t="shared" si="7"/>
        <v>4</v>
      </c>
      <c r="AD10" s="390"/>
      <c r="AE10" s="182">
        <v>19</v>
      </c>
      <c r="AF10" s="166">
        <v>2510.4545454545455</v>
      </c>
      <c r="AG10" s="166">
        <v>132.12918660287082</v>
      </c>
      <c r="AH10" s="182">
        <f t="shared" si="9"/>
        <v>4</v>
      </c>
      <c r="AI10" s="390"/>
      <c r="AJ10" s="182">
        <v>19</v>
      </c>
      <c r="AK10" s="166">
        <v>2506.9565217391305</v>
      </c>
      <c r="AL10" s="166">
        <v>131.94508009153319</v>
      </c>
      <c r="AM10" s="182">
        <f t="shared" si="11"/>
        <v>4</v>
      </c>
      <c r="AN10" s="390"/>
      <c r="AO10" s="182">
        <v>19</v>
      </c>
      <c r="AP10" s="166">
        <v>2475.789473684209</v>
      </c>
      <c r="AQ10" s="166">
        <v>130.30470914127417</v>
      </c>
      <c r="AR10" s="182">
        <f t="shared" si="13"/>
        <v>5</v>
      </c>
      <c r="AS10" s="390"/>
      <c r="AT10" s="182">
        <v>19</v>
      </c>
      <c r="AU10" s="166">
        <v>2573.8317757009363</v>
      </c>
      <c r="AV10" s="166">
        <v>135.46483030004927</v>
      </c>
      <c r="AW10" s="182">
        <f t="shared" si="15"/>
        <v>3</v>
      </c>
      <c r="AX10" s="390"/>
      <c r="AZ10" s="182" t="e">
        <f t="shared" si="17"/>
        <v>#N/A</v>
      </c>
      <c r="BA10" s="390"/>
    </row>
    <row r="11" spans="1:53" ht="14.25">
      <c r="A11" s="79"/>
      <c r="B11" s="395"/>
      <c r="C11" s="182">
        <v>5</v>
      </c>
      <c r="D11" s="203" t="s">
        <v>530</v>
      </c>
      <c r="E11" s="166">
        <v>17</v>
      </c>
      <c r="F11" s="182">
        <v>2250</v>
      </c>
      <c r="G11" s="180">
        <v>132.4</v>
      </c>
      <c r="H11" s="402"/>
      <c r="I11" s="166">
        <f t="shared" si="0"/>
        <v>18</v>
      </c>
      <c r="J11" s="166">
        <f t="shared" si="1"/>
        <v>2236.9886615614741</v>
      </c>
      <c r="K11" s="180">
        <f t="shared" si="2"/>
        <v>124.27714786452636</v>
      </c>
      <c r="L11" s="402"/>
      <c r="M11" s="181">
        <f>RANK(K11, K$7:$K$21)</f>
        <v>6</v>
      </c>
      <c r="N11" s="389"/>
      <c r="O11" s="389"/>
      <c r="P11" s="182">
        <v>18</v>
      </c>
      <c r="Q11" s="166">
        <v>2243.0909090909086</v>
      </c>
      <c r="R11" s="166">
        <v>124.61616161616159</v>
      </c>
      <c r="S11" s="182">
        <f t="shared" si="3"/>
        <v>6</v>
      </c>
      <c r="T11" s="390"/>
      <c r="U11" s="182">
        <v>18</v>
      </c>
      <c r="V11" s="166">
        <v>2228.296296296297</v>
      </c>
      <c r="W11" s="166">
        <v>123.79423868312762</v>
      </c>
      <c r="X11" s="182">
        <f t="shared" si="5"/>
        <v>6</v>
      </c>
      <c r="Y11" s="390"/>
      <c r="Z11" s="182">
        <v>18</v>
      </c>
      <c r="AA11" s="166">
        <v>2258.9210526315787</v>
      </c>
      <c r="AB11" s="166">
        <v>125.49561403508771</v>
      </c>
      <c r="AC11" s="182">
        <f t="shared" si="7"/>
        <v>6</v>
      </c>
      <c r="AD11" s="390"/>
      <c r="AE11" s="182">
        <v>18</v>
      </c>
      <c r="AF11" s="166">
        <v>2238.260869565217</v>
      </c>
      <c r="AG11" s="166">
        <v>124.3478260869565</v>
      </c>
      <c r="AH11" s="182">
        <f t="shared" si="9"/>
        <v>6</v>
      </c>
      <c r="AI11" s="390"/>
      <c r="AJ11" s="182">
        <v>18</v>
      </c>
      <c r="AK11" s="166">
        <v>2232.3380281690143</v>
      </c>
      <c r="AL11" s="166">
        <v>124.01877934272301</v>
      </c>
      <c r="AM11" s="182">
        <f t="shared" si="11"/>
        <v>6</v>
      </c>
      <c r="AN11" s="390"/>
      <c r="AO11" s="182">
        <v>18</v>
      </c>
      <c r="AP11" s="166">
        <v>2235.4468085106378</v>
      </c>
      <c r="AQ11" s="166">
        <v>124.1914893617021</v>
      </c>
      <c r="AR11" s="182">
        <f t="shared" si="13"/>
        <v>6</v>
      </c>
      <c r="AS11" s="390"/>
      <c r="AT11" s="182">
        <v>18</v>
      </c>
      <c r="AU11" s="166">
        <v>2222.5666666666666</v>
      </c>
      <c r="AV11" s="166">
        <v>123.47592592592592</v>
      </c>
      <c r="AW11" s="182">
        <f t="shared" si="15"/>
        <v>6</v>
      </c>
      <c r="AX11" s="390"/>
      <c r="AZ11" s="182" t="e">
        <f t="shared" si="17"/>
        <v>#N/A</v>
      </c>
      <c r="BA11" s="390"/>
    </row>
    <row r="12" spans="1:53" ht="14.25">
      <c r="A12" s="79"/>
      <c r="B12" s="395"/>
      <c r="C12" s="182">
        <v>6</v>
      </c>
      <c r="D12" s="203" t="s">
        <v>646</v>
      </c>
      <c r="E12" s="166">
        <v>17</v>
      </c>
      <c r="F12" s="182">
        <v>2700</v>
      </c>
      <c r="G12" s="180">
        <v>166.7</v>
      </c>
      <c r="H12" s="402"/>
      <c r="I12" s="166">
        <f t="shared" si="0"/>
        <v>17.142857142857142</v>
      </c>
      <c r="J12" s="166">
        <f t="shared" si="1"/>
        <v>2396.0872775037983</v>
      </c>
      <c r="K12" s="180">
        <f t="shared" si="2"/>
        <v>139.82640093913741</v>
      </c>
      <c r="L12" s="402"/>
      <c r="M12" s="181">
        <f>RANK(K12, K$7:$K$21)</f>
        <v>2</v>
      </c>
      <c r="N12" s="389"/>
      <c r="O12" s="389"/>
      <c r="P12" s="182">
        <v>17</v>
      </c>
      <c r="Q12" s="166">
        <v>2374.6666666666665</v>
      </c>
      <c r="R12" s="166">
        <v>139.68627450980392</v>
      </c>
      <c r="S12" s="182">
        <f t="shared" si="3"/>
        <v>2</v>
      </c>
      <c r="T12" s="390"/>
      <c r="U12" s="182">
        <v>18</v>
      </c>
      <c r="V12" s="166">
        <v>2398.8461538461552</v>
      </c>
      <c r="W12" s="166">
        <v>133.26923076923083</v>
      </c>
      <c r="X12" s="182">
        <f t="shared" si="5"/>
        <v>4</v>
      </c>
      <c r="Y12" s="390"/>
      <c r="Z12" s="182">
        <v>17</v>
      </c>
      <c r="AA12" s="166">
        <v>2413.4693877551026</v>
      </c>
      <c r="AB12" s="166">
        <v>141.96878751500603</v>
      </c>
      <c r="AC12" s="182">
        <f t="shared" si="7"/>
        <v>1</v>
      </c>
      <c r="AD12" s="390"/>
      <c r="AE12" s="182">
        <v>17</v>
      </c>
      <c r="AF12" s="166">
        <v>2453.181818181818</v>
      </c>
      <c r="AG12" s="166">
        <v>144.30481283422458</v>
      </c>
      <c r="AH12" s="182">
        <f t="shared" si="9"/>
        <v>1</v>
      </c>
      <c r="AI12" s="390"/>
      <c r="AJ12" s="182">
        <v>17</v>
      </c>
      <c r="AK12" s="166">
        <v>2344.1860465116274</v>
      </c>
      <c r="AL12" s="166">
        <v>137.89329685362515</v>
      </c>
      <c r="AM12" s="182">
        <f t="shared" si="11"/>
        <v>2</v>
      </c>
      <c r="AN12" s="390"/>
      <c r="AO12" s="182">
        <v>17</v>
      </c>
      <c r="AP12" s="166">
        <v>2373.913043478261</v>
      </c>
      <c r="AQ12" s="166">
        <v>139.64194373401534</v>
      </c>
      <c r="AR12" s="182">
        <f t="shared" si="13"/>
        <v>3</v>
      </c>
      <c r="AS12" s="390"/>
      <c r="AT12" s="182">
        <v>17</v>
      </c>
      <c r="AU12" s="166">
        <v>2414.3478260869565</v>
      </c>
      <c r="AV12" s="166">
        <v>142.02046035805625</v>
      </c>
      <c r="AW12" s="182">
        <f t="shared" si="15"/>
        <v>1</v>
      </c>
      <c r="AX12" s="390"/>
      <c r="AZ12" s="182" t="e">
        <f t="shared" si="17"/>
        <v>#N/A</v>
      </c>
      <c r="BA12" s="390"/>
    </row>
    <row r="13" spans="1:53" ht="14.25">
      <c r="A13" s="79"/>
      <c r="B13" s="395"/>
      <c r="C13" s="182">
        <v>7</v>
      </c>
      <c r="D13" s="203" t="s">
        <v>662</v>
      </c>
      <c r="E13" s="166">
        <v>17</v>
      </c>
      <c r="F13" s="182">
        <v>2700</v>
      </c>
      <c r="G13" s="180">
        <v>166.7</v>
      </c>
      <c r="H13" s="402"/>
      <c r="I13" s="166">
        <f t="shared" si="0"/>
        <v>17.142857142857142</v>
      </c>
      <c r="J13" s="166">
        <f t="shared" si="1"/>
        <v>2404.7347632336309</v>
      </c>
      <c r="K13" s="180">
        <f t="shared" si="2"/>
        <v>140.33153669281461</v>
      </c>
      <c r="L13" s="402"/>
      <c r="M13" s="181">
        <f>RANK(K13, K$7:$K$21)</f>
        <v>1</v>
      </c>
      <c r="N13" s="389"/>
      <c r="O13" s="389"/>
      <c r="P13" s="182">
        <v>17</v>
      </c>
      <c r="Q13" s="166">
        <v>2419.6039603960385</v>
      </c>
      <c r="R13" s="166">
        <v>142.32964472917874</v>
      </c>
      <c r="S13" s="182">
        <f t="shared" si="3"/>
        <v>1</v>
      </c>
      <c r="T13" s="390"/>
      <c r="U13" s="182">
        <v>18</v>
      </c>
      <c r="V13" s="166">
        <v>2406.4285714285706</v>
      </c>
      <c r="W13" s="166">
        <v>133.69047619047615</v>
      </c>
      <c r="X13" s="182">
        <f t="shared" si="5"/>
        <v>2</v>
      </c>
      <c r="Y13" s="390"/>
      <c r="Z13" s="182">
        <v>17</v>
      </c>
      <c r="AA13" s="166">
        <v>2410.4999999999991</v>
      </c>
      <c r="AB13" s="166">
        <v>141.79411764705878</v>
      </c>
      <c r="AC13" s="182">
        <f t="shared" si="7"/>
        <v>2</v>
      </c>
      <c r="AD13" s="390"/>
      <c r="AE13" s="182">
        <v>17</v>
      </c>
      <c r="AF13" s="166">
        <v>2440.8000000000006</v>
      </c>
      <c r="AG13" s="166">
        <v>143.57647058823534</v>
      </c>
      <c r="AH13" s="182">
        <f t="shared" si="9"/>
        <v>2</v>
      </c>
      <c r="AI13" s="390"/>
      <c r="AJ13" s="182">
        <v>17</v>
      </c>
      <c r="AK13" s="166">
        <v>2370.810810810809</v>
      </c>
      <c r="AL13" s="166">
        <v>139.45945945945937</v>
      </c>
      <c r="AM13" s="182">
        <f t="shared" si="11"/>
        <v>1</v>
      </c>
      <c r="AN13" s="390"/>
      <c r="AO13" s="182">
        <v>17</v>
      </c>
      <c r="AP13" s="166">
        <v>2404.9999999999991</v>
      </c>
      <c r="AQ13" s="166">
        <v>141.47058823529406</v>
      </c>
      <c r="AR13" s="182">
        <f t="shared" si="13"/>
        <v>1</v>
      </c>
      <c r="AS13" s="390"/>
      <c r="AT13" s="182">
        <v>17</v>
      </c>
      <c r="AU13" s="166">
        <v>2379.9999999999986</v>
      </c>
      <c r="AV13" s="166">
        <v>139.99999999999991</v>
      </c>
      <c r="AW13" s="182">
        <f t="shared" si="15"/>
        <v>2</v>
      </c>
      <c r="AX13" s="390"/>
      <c r="AZ13" s="182" t="e">
        <f t="shared" si="17"/>
        <v>#N/A</v>
      </c>
      <c r="BA13" s="390"/>
    </row>
    <row r="14" spans="1:53" ht="14.25">
      <c r="A14" s="79"/>
      <c r="B14" s="395"/>
      <c r="C14" s="182">
        <v>8</v>
      </c>
      <c r="D14" s="203"/>
      <c r="E14" s="166"/>
      <c r="F14" s="182"/>
      <c r="G14" s="180"/>
      <c r="H14" s="402"/>
      <c r="I14" s="166" t="str">
        <f t="shared" si="0"/>
        <v>-</v>
      </c>
      <c r="J14" s="166" t="str">
        <f t="shared" si="1"/>
        <v>-</v>
      </c>
      <c r="K14" s="180" t="str">
        <f t="shared" si="2"/>
        <v>-</v>
      </c>
      <c r="L14" s="402"/>
      <c r="M14" s="181" t="e">
        <f>RANK(K14, K$7:$K$21)</f>
        <v>#VALUE!</v>
      </c>
      <c r="N14" s="389"/>
      <c r="O14" s="389"/>
      <c r="P14" s="182" t="s">
        <v>634</v>
      </c>
      <c r="Q14" s="166" t="s">
        <v>634</v>
      </c>
      <c r="R14" s="166" t="s">
        <v>634</v>
      </c>
      <c r="S14" s="182" t="e">
        <f t="shared" si="3"/>
        <v>#VALUE!</v>
      </c>
      <c r="T14" s="390"/>
      <c r="U14" s="182" t="s">
        <v>634</v>
      </c>
      <c r="V14" s="166" t="s">
        <v>634</v>
      </c>
      <c r="W14" s="166" t="s">
        <v>634</v>
      </c>
      <c r="X14" s="182" t="e">
        <f t="shared" si="5"/>
        <v>#VALUE!</v>
      </c>
      <c r="Y14" s="390"/>
      <c r="Z14" s="182" t="s">
        <v>634</v>
      </c>
      <c r="AA14" s="166" t="s">
        <v>634</v>
      </c>
      <c r="AB14" s="166" t="s">
        <v>634</v>
      </c>
      <c r="AC14" s="182" t="e">
        <f t="shared" si="7"/>
        <v>#VALUE!</v>
      </c>
      <c r="AD14" s="390"/>
      <c r="AE14" s="182" t="s">
        <v>634</v>
      </c>
      <c r="AF14" s="166" t="s">
        <v>634</v>
      </c>
      <c r="AG14" s="166" t="s">
        <v>634</v>
      </c>
      <c r="AH14" s="182" t="e">
        <f t="shared" si="9"/>
        <v>#VALUE!</v>
      </c>
      <c r="AI14" s="390"/>
      <c r="AJ14" s="182" t="s">
        <v>634</v>
      </c>
      <c r="AK14" s="166" t="s">
        <v>634</v>
      </c>
      <c r="AL14" s="166" t="s">
        <v>634</v>
      </c>
      <c r="AM14" s="182" t="e">
        <f t="shared" si="11"/>
        <v>#VALUE!</v>
      </c>
      <c r="AN14" s="390"/>
      <c r="AO14" s="182" t="s">
        <v>634</v>
      </c>
      <c r="AP14" s="166" t="s">
        <v>634</v>
      </c>
      <c r="AQ14" s="166" t="s">
        <v>634</v>
      </c>
      <c r="AR14" s="182" t="e">
        <f t="shared" si="13"/>
        <v>#VALUE!</v>
      </c>
      <c r="AS14" s="390"/>
      <c r="AT14" s="182" t="s">
        <v>634</v>
      </c>
      <c r="AU14" s="166" t="s">
        <v>634</v>
      </c>
      <c r="AV14" s="166" t="s">
        <v>634</v>
      </c>
      <c r="AW14" s="182" t="e">
        <f t="shared" si="15"/>
        <v>#VALUE!</v>
      </c>
      <c r="AX14" s="390"/>
      <c r="AZ14" s="182" t="e">
        <f t="shared" si="17"/>
        <v>#N/A</v>
      </c>
      <c r="BA14" s="390"/>
    </row>
    <row r="15" spans="1:53" ht="14.25">
      <c r="A15" s="79"/>
      <c r="B15" s="395"/>
      <c r="C15" s="182">
        <v>9</v>
      </c>
      <c r="D15" s="203"/>
      <c r="E15" s="166"/>
      <c r="F15" s="182"/>
      <c r="G15" s="180"/>
      <c r="H15" s="402"/>
      <c r="I15" s="166" t="str">
        <f t="shared" si="0"/>
        <v>-</v>
      </c>
      <c r="J15" s="166" t="str">
        <f t="shared" si="1"/>
        <v>-</v>
      </c>
      <c r="K15" s="180" t="str">
        <f t="shared" si="2"/>
        <v>-</v>
      </c>
      <c r="L15" s="402"/>
      <c r="M15" s="181" t="e">
        <f>RANK(K15, K$7:$K$21)</f>
        <v>#VALUE!</v>
      </c>
      <c r="N15" s="389"/>
      <c r="O15" s="389"/>
      <c r="P15" s="182" t="s">
        <v>634</v>
      </c>
      <c r="Q15" s="166" t="s">
        <v>634</v>
      </c>
      <c r="R15" s="166" t="s">
        <v>634</v>
      </c>
      <c r="S15" s="182" t="e">
        <f t="shared" si="3"/>
        <v>#VALUE!</v>
      </c>
      <c r="T15" s="390"/>
      <c r="U15" s="182" t="s">
        <v>634</v>
      </c>
      <c r="V15" s="166" t="s">
        <v>634</v>
      </c>
      <c r="W15" s="166" t="s">
        <v>634</v>
      </c>
      <c r="X15" s="182" t="e">
        <f t="shared" si="5"/>
        <v>#VALUE!</v>
      </c>
      <c r="Y15" s="390"/>
      <c r="Z15" s="182" t="s">
        <v>634</v>
      </c>
      <c r="AA15" s="166" t="s">
        <v>634</v>
      </c>
      <c r="AB15" s="166" t="s">
        <v>634</v>
      </c>
      <c r="AC15" s="182" t="e">
        <f t="shared" si="7"/>
        <v>#VALUE!</v>
      </c>
      <c r="AD15" s="390"/>
      <c r="AE15" s="182" t="s">
        <v>634</v>
      </c>
      <c r="AF15" s="166" t="s">
        <v>634</v>
      </c>
      <c r="AG15" s="166" t="s">
        <v>634</v>
      </c>
      <c r="AH15" s="182" t="e">
        <f t="shared" si="9"/>
        <v>#VALUE!</v>
      </c>
      <c r="AI15" s="390"/>
      <c r="AJ15" s="182" t="s">
        <v>634</v>
      </c>
      <c r="AK15" s="166" t="s">
        <v>634</v>
      </c>
      <c r="AL15" s="166" t="s">
        <v>634</v>
      </c>
      <c r="AM15" s="182" t="e">
        <f t="shared" si="11"/>
        <v>#VALUE!</v>
      </c>
      <c r="AN15" s="390"/>
      <c r="AO15" s="182" t="s">
        <v>634</v>
      </c>
      <c r="AP15" s="166" t="s">
        <v>634</v>
      </c>
      <c r="AQ15" s="166" t="s">
        <v>634</v>
      </c>
      <c r="AR15" s="182" t="e">
        <f t="shared" si="13"/>
        <v>#VALUE!</v>
      </c>
      <c r="AS15" s="390"/>
      <c r="AT15" s="182" t="s">
        <v>634</v>
      </c>
      <c r="AU15" s="166" t="s">
        <v>634</v>
      </c>
      <c r="AV15" s="166" t="s">
        <v>634</v>
      </c>
      <c r="AW15" s="182" t="e">
        <f t="shared" si="15"/>
        <v>#VALUE!</v>
      </c>
      <c r="AX15" s="390"/>
      <c r="AZ15" s="182" t="e">
        <f t="shared" si="17"/>
        <v>#N/A</v>
      </c>
      <c r="BA15" s="390"/>
    </row>
    <row r="16" spans="1:53" ht="14.25">
      <c r="A16" s="79"/>
      <c r="B16" s="395"/>
      <c r="C16" s="182">
        <v>10</v>
      </c>
      <c r="D16" s="203"/>
      <c r="E16" s="166"/>
      <c r="F16" s="182"/>
      <c r="G16" s="180"/>
      <c r="H16" s="402"/>
      <c r="I16" s="166" t="str">
        <f t="shared" si="0"/>
        <v>-</v>
      </c>
      <c r="J16" s="166" t="str">
        <f t="shared" si="1"/>
        <v>-</v>
      </c>
      <c r="K16" s="180" t="str">
        <f t="shared" si="2"/>
        <v>-</v>
      </c>
      <c r="L16" s="402"/>
      <c r="M16" s="181" t="e">
        <f>RANK(K16, K$7:$K$21)</f>
        <v>#VALUE!</v>
      </c>
      <c r="N16" s="389"/>
      <c r="O16" s="389"/>
      <c r="P16" s="182" t="s">
        <v>634</v>
      </c>
      <c r="Q16" s="166" t="s">
        <v>634</v>
      </c>
      <c r="R16" s="166" t="s">
        <v>634</v>
      </c>
      <c r="S16" s="182" t="e">
        <f t="shared" si="3"/>
        <v>#VALUE!</v>
      </c>
      <c r="T16" s="390"/>
      <c r="U16" s="182" t="s">
        <v>634</v>
      </c>
      <c r="V16" s="166" t="s">
        <v>634</v>
      </c>
      <c r="W16" s="166" t="s">
        <v>634</v>
      </c>
      <c r="X16" s="182" t="e">
        <f t="shared" si="5"/>
        <v>#VALUE!</v>
      </c>
      <c r="Y16" s="390"/>
      <c r="Z16" s="182" t="s">
        <v>634</v>
      </c>
      <c r="AA16" s="166" t="s">
        <v>634</v>
      </c>
      <c r="AB16" s="166" t="s">
        <v>634</v>
      </c>
      <c r="AC16" s="182" t="e">
        <f t="shared" si="7"/>
        <v>#VALUE!</v>
      </c>
      <c r="AD16" s="390"/>
      <c r="AE16" s="182" t="s">
        <v>634</v>
      </c>
      <c r="AF16" s="166" t="s">
        <v>634</v>
      </c>
      <c r="AG16" s="166" t="s">
        <v>634</v>
      </c>
      <c r="AH16" s="182" t="e">
        <f t="shared" si="9"/>
        <v>#VALUE!</v>
      </c>
      <c r="AI16" s="390"/>
      <c r="AJ16" s="182" t="s">
        <v>634</v>
      </c>
      <c r="AK16" s="166" t="s">
        <v>634</v>
      </c>
      <c r="AL16" s="166" t="s">
        <v>634</v>
      </c>
      <c r="AM16" s="182" t="e">
        <f t="shared" si="11"/>
        <v>#VALUE!</v>
      </c>
      <c r="AN16" s="390"/>
      <c r="AO16" s="182" t="s">
        <v>634</v>
      </c>
      <c r="AP16" s="166" t="s">
        <v>634</v>
      </c>
      <c r="AQ16" s="166" t="s">
        <v>634</v>
      </c>
      <c r="AR16" s="182" t="e">
        <f t="shared" si="13"/>
        <v>#VALUE!</v>
      </c>
      <c r="AS16" s="390"/>
      <c r="AT16" s="182" t="s">
        <v>634</v>
      </c>
      <c r="AU16" s="166" t="s">
        <v>634</v>
      </c>
      <c r="AV16" s="166" t="s">
        <v>634</v>
      </c>
      <c r="AW16" s="182" t="e">
        <f t="shared" si="15"/>
        <v>#VALUE!</v>
      </c>
      <c r="AX16" s="390"/>
      <c r="AZ16" s="182" t="e">
        <f t="shared" si="17"/>
        <v>#N/A</v>
      </c>
      <c r="BA16" s="390"/>
    </row>
    <row r="17" spans="2:53">
      <c r="B17" s="395"/>
      <c r="C17" s="182">
        <v>11</v>
      </c>
      <c r="D17" s="203"/>
      <c r="E17" s="166"/>
      <c r="F17" s="182"/>
      <c r="G17" s="180"/>
      <c r="H17" s="402"/>
      <c r="I17" s="166" t="str">
        <f t="shared" si="0"/>
        <v>-</v>
      </c>
      <c r="J17" s="166" t="str">
        <f t="shared" si="1"/>
        <v>-</v>
      </c>
      <c r="K17" s="180" t="str">
        <f t="shared" si="2"/>
        <v>-</v>
      </c>
      <c r="L17" s="402"/>
      <c r="M17" s="181" t="e">
        <f>RANK(K17, K$7:$K$21)</f>
        <v>#VALUE!</v>
      </c>
      <c r="N17" s="389"/>
      <c r="O17" s="389"/>
      <c r="P17" s="182" t="s">
        <v>634</v>
      </c>
      <c r="Q17" s="166" t="s">
        <v>634</v>
      </c>
      <c r="R17" s="166" t="s">
        <v>634</v>
      </c>
      <c r="S17" s="182" t="e">
        <f t="shared" si="3"/>
        <v>#VALUE!</v>
      </c>
      <c r="T17" s="390"/>
      <c r="U17" s="182" t="s">
        <v>634</v>
      </c>
      <c r="V17" s="166" t="s">
        <v>634</v>
      </c>
      <c r="W17" s="166" t="s">
        <v>634</v>
      </c>
      <c r="X17" s="182" t="e">
        <f t="shared" si="5"/>
        <v>#VALUE!</v>
      </c>
      <c r="Y17" s="390"/>
      <c r="Z17" s="182" t="s">
        <v>634</v>
      </c>
      <c r="AA17" s="166" t="s">
        <v>634</v>
      </c>
      <c r="AB17" s="166" t="s">
        <v>634</v>
      </c>
      <c r="AC17" s="182" t="e">
        <f t="shared" si="7"/>
        <v>#VALUE!</v>
      </c>
      <c r="AD17" s="390"/>
      <c r="AE17" s="182" t="s">
        <v>634</v>
      </c>
      <c r="AF17" s="166" t="s">
        <v>634</v>
      </c>
      <c r="AG17" s="166" t="s">
        <v>634</v>
      </c>
      <c r="AH17" s="182" t="e">
        <f t="shared" si="9"/>
        <v>#VALUE!</v>
      </c>
      <c r="AI17" s="390"/>
      <c r="AJ17" s="182" t="s">
        <v>634</v>
      </c>
      <c r="AK17" s="166" t="s">
        <v>634</v>
      </c>
      <c r="AL17" s="166" t="s">
        <v>634</v>
      </c>
      <c r="AM17" s="182" t="e">
        <f t="shared" si="11"/>
        <v>#VALUE!</v>
      </c>
      <c r="AN17" s="390"/>
      <c r="AO17" s="182" t="s">
        <v>634</v>
      </c>
      <c r="AP17" s="166" t="s">
        <v>634</v>
      </c>
      <c r="AQ17" s="166" t="s">
        <v>634</v>
      </c>
      <c r="AR17" s="182" t="e">
        <f t="shared" si="13"/>
        <v>#VALUE!</v>
      </c>
      <c r="AS17" s="390"/>
      <c r="AT17" s="182" t="s">
        <v>634</v>
      </c>
      <c r="AU17" s="166" t="s">
        <v>634</v>
      </c>
      <c r="AV17" s="166" t="s">
        <v>634</v>
      </c>
      <c r="AW17" s="182" t="e">
        <f t="shared" si="15"/>
        <v>#VALUE!</v>
      </c>
      <c r="AX17" s="390"/>
      <c r="AZ17" s="182" t="e">
        <f t="shared" si="17"/>
        <v>#N/A</v>
      </c>
      <c r="BA17" s="390"/>
    </row>
    <row r="18" spans="2:53">
      <c r="B18" s="395"/>
      <c r="C18" s="182">
        <v>12</v>
      </c>
      <c r="D18" s="203"/>
      <c r="E18" s="166"/>
      <c r="F18" s="182"/>
      <c r="G18" s="180"/>
      <c r="H18" s="402"/>
      <c r="I18" s="166" t="str">
        <f t="shared" si="0"/>
        <v>-</v>
      </c>
      <c r="J18" s="166" t="str">
        <f t="shared" si="1"/>
        <v>-</v>
      </c>
      <c r="K18" s="180" t="str">
        <f t="shared" si="2"/>
        <v>-</v>
      </c>
      <c r="L18" s="402"/>
      <c r="M18" s="181" t="e">
        <f>RANK(K18, K$7:$K$21)</f>
        <v>#VALUE!</v>
      </c>
      <c r="N18" s="389"/>
      <c r="O18" s="389"/>
      <c r="P18" s="182" t="s">
        <v>634</v>
      </c>
      <c r="Q18" s="166" t="s">
        <v>634</v>
      </c>
      <c r="R18" s="166" t="s">
        <v>634</v>
      </c>
      <c r="S18" s="182" t="e">
        <f t="shared" si="3"/>
        <v>#VALUE!</v>
      </c>
      <c r="T18" s="390"/>
      <c r="U18" s="182" t="s">
        <v>634</v>
      </c>
      <c r="V18" s="166" t="s">
        <v>634</v>
      </c>
      <c r="W18" s="166" t="s">
        <v>634</v>
      </c>
      <c r="X18" s="182" t="e">
        <f t="shared" si="5"/>
        <v>#VALUE!</v>
      </c>
      <c r="Y18" s="390"/>
      <c r="Z18" s="182" t="s">
        <v>634</v>
      </c>
      <c r="AA18" s="166" t="s">
        <v>634</v>
      </c>
      <c r="AB18" s="166" t="s">
        <v>634</v>
      </c>
      <c r="AC18" s="182" t="e">
        <f t="shared" si="7"/>
        <v>#VALUE!</v>
      </c>
      <c r="AD18" s="390"/>
      <c r="AE18" s="182" t="s">
        <v>634</v>
      </c>
      <c r="AF18" s="166" t="s">
        <v>634</v>
      </c>
      <c r="AG18" s="166" t="s">
        <v>634</v>
      </c>
      <c r="AH18" s="182" t="e">
        <f t="shared" si="9"/>
        <v>#VALUE!</v>
      </c>
      <c r="AI18" s="390"/>
      <c r="AJ18" s="182" t="s">
        <v>634</v>
      </c>
      <c r="AK18" s="166" t="s">
        <v>634</v>
      </c>
      <c r="AL18" s="166" t="s">
        <v>634</v>
      </c>
      <c r="AM18" s="182" t="e">
        <f t="shared" si="11"/>
        <v>#VALUE!</v>
      </c>
      <c r="AN18" s="390"/>
      <c r="AO18" s="182" t="s">
        <v>634</v>
      </c>
      <c r="AP18" s="166" t="s">
        <v>634</v>
      </c>
      <c r="AQ18" s="166" t="s">
        <v>634</v>
      </c>
      <c r="AR18" s="182" t="e">
        <f t="shared" si="13"/>
        <v>#VALUE!</v>
      </c>
      <c r="AS18" s="390"/>
      <c r="AT18" s="166"/>
      <c r="AU18" s="166"/>
      <c r="AV18" s="166"/>
      <c r="AW18" s="182" t="e">
        <f t="shared" si="15"/>
        <v>#N/A</v>
      </c>
      <c r="AX18" s="390"/>
      <c r="AZ18" s="182" t="e">
        <f t="shared" si="17"/>
        <v>#N/A</v>
      </c>
      <c r="BA18" s="390"/>
    </row>
    <row r="19" spans="2:53">
      <c r="B19" s="395"/>
      <c r="C19" s="182">
        <v>13</v>
      </c>
      <c r="D19" s="203"/>
      <c r="E19" s="166"/>
      <c r="F19" s="182"/>
      <c r="G19" s="180"/>
      <c r="H19" s="402"/>
      <c r="I19" s="166" t="str">
        <f t="shared" si="0"/>
        <v>-</v>
      </c>
      <c r="J19" s="166" t="str">
        <f t="shared" si="1"/>
        <v>-</v>
      </c>
      <c r="K19" s="180" t="str">
        <f t="shared" si="2"/>
        <v>-</v>
      </c>
      <c r="L19" s="402"/>
      <c r="M19" s="181" t="e">
        <f>RANK(K19, K$7:$K$21)</f>
        <v>#VALUE!</v>
      </c>
      <c r="N19" s="389"/>
      <c r="O19" s="389"/>
      <c r="P19" s="182" t="s">
        <v>634</v>
      </c>
      <c r="Q19" s="166" t="s">
        <v>634</v>
      </c>
      <c r="R19" s="166" t="s">
        <v>634</v>
      </c>
      <c r="S19" s="182" t="e">
        <f t="shared" si="3"/>
        <v>#VALUE!</v>
      </c>
      <c r="T19" s="390"/>
      <c r="U19" s="182" t="s">
        <v>634</v>
      </c>
      <c r="V19" s="166" t="s">
        <v>634</v>
      </c>
      <c r="W19" s="166" t="s">
        <v>634</v>
      </c>
      <c r="X19" s="182" t="e">
        <f t="shared" si="5"/>
        <v>#VALUE!</v>
      </c>
      <c r="Y19" s="390"/>
      <c r="Z19" s="182" t="s">
        <v>634</v>
      </c>
      <c r="AA19" s="166" t="s">
        <v>634</v>
      </c>
      <c r="AB19" s="166" t="s">
        <v>634</v>
      </c>
      <c r="AC19" s="182" t="e">
        <f t="shared" si="7"/>
        <v>#VALUE!</v>
      </c>
      <c r="AD19" s="390"/>
      <c r="AE19" s="182" t="s">
        <v>634</v>
      </c>
      <c r="AF19" s="166" t="s">
        <v>634</v>
      </c>
      <c r="AG19" s="166" t="s">
        <v>634</v>
      </c>
      <c r="AH19" s="182" t="e">
        <f t="shared" si="9"/>
        <v>#VALUE!</v>
      </c>
      <c r="AI19" s="390"/>
      <c r="AJ19" s="182" t="s">
        <v>634</v>
      </c>
      <c r="AK19" s="166" t="s">
        <v>634</v>
      </c>
      <c r="AL19" s="166" t="s">
        <v>634</v>
      </c>
      <c r="AM19" s="182" t="e">
        <f t="shared" si="11"/>
        <v>#VALUE!</v>
      </c>
      <c r="AN19" s="390"/>
      <c r="AO19" s="182" t="s">
        <v>634</v>
      </c>
      <c r="AP19" s="166" t="s">
        <v>634</v>
      </c>
      <c r="AQ19" s="166" t="s">
        <v>634</v>
      </c>
      <c r="AR19" s="182" t="e">
        <f t="shared" si="13"/>
        <v>#VALUE!</v>
      </c>
      <c r="AS19" s="390"/>
      <c r="AT19" s="166"/>
      <c r="AU19" s="166"/>
      <c r="AV19" s="166"/>
      <c r="AW19" s="182" t="e">
        <f t="shared" si="15"/>
        <v>#N/A</v>
      </c>
      <c r="AX19" s="390"/>
      <c r="AZ19" s="182" t="e">
        <f t="shared" si="17"/>
        <v>#N/A</v>
      </c>
      <c r="BA19" s="390"/>
    </row>
    <row r="20" spans="2:53">
      <c r="B20" s="395"/>
      <c r="C20" s="182">
        <v>14</v>
      </c>
      <c r="D20" s="203"/>
      <c r="E20" s="166"/>
      <c r="F20" s="182"/>
      <c r="G20" s="180"/>
      <c r="H20" s="402"/>
      <c r="I20" s="166" t="str">
        <f t="shared" si="0"/>
        <v>-</v>
      </c>
      <c r="J20" s="166" t="str">
        <f t="shared" si="1"/>
        <v>-</v>
      </c>
      <c r="K20" s="180" t="str">
        <f t="shared" si="2"/>
        <v>-</v>
      </c>
      <c r="L20" s="402"/>
      <c r="M20" s="181" t="e">
        <f>RANK(K20, K$7:$K$21)</f>
        <v>#VALUE!</v>
      </c>
      <c r="N20" s="389"/>
      <c r="O20" s="389"/>
      <c r="P20" s="182" t="s">
        <v>634</v>
      </c>
      <c r="Q20" s="166" t="s">
        <v>634</v>
      </c>
      <c r="R20" s="166" t="s">
        <v>634</v>
      </c>
      <c r="S20" s="182" t="e">
        <f t="shared" si="3"/>
        <v>#VALUE!</v>
      </c>
      <c r="T20" s="390"/>
      <c r="U20" s="182" t="s">
        <v>634</v>
      </c>
      <c r="V20" s="166" t="s">
        <v>634</v>
      </c>
      <c r="W20" s="166" t="s">
        <v>634</v>
      </c>
      <c r="X20" s="182" t="e">
        <f t="shared" si="5"/>
        <v>#VALUE!</v>
      </c>
      <c r="Y20" s="390"/>
      <c r="Z20" s="182" t="s">
        <v>634</v>
      </c>
      <c r="AA20" s="166" t="s">
        <v>634</v>
      </c>
      <c r="AB20" s="166" t="s">
        <v>634</v>
      </c>
      <c r="AC20" s="182" t="e">
        <f t="shared" si="7"/>
        <v>#VALUE!</v>
      </c>
      <c r="AD20" s="390"/>
      <c r="AE20" s="182" t="s">
        <v>634</v>
      </c>
      <c r="AF20" s="166" t="s">
        <v>634</v>
      </c>
      <c r="AG20" s="166" t="s">
        <v>634</v>
      </c>
      <c r="AH20" s="182" t="e">
        <f t="shared" si="9"/>
        <v>#VALUE!</v>
      </c>
      <c r="AI20" s="390"/>
      <c r="AJ20" s="182" t="s">
        <v>634</v>
      </c>
      <c r="AK20" s="166" t="s">
        <v>634</v>
      </c>
      <c r="AL20" s="166" t="s">
        <v>634</v>
      </c>
      <c r="AM20" s="182" t="e">
        <f t="shared" si="11"/>
        <v>#VALUE!</v>
      </c>
      <c r="AN20" s="390"/>
      <c r="AO20" s="182" t="s">
        <v>634</v>
      </c>
      <c r="AP20" s="166" t="s">
        <v>634</v>
      </c>
      <c r="AQ20" s="166" t="s">
        <v>634</v>
      </c>
      <c r="AR20" s="182" t="e">
        <f t="shared" si="13"/>
        <v>#VALUE!</v>
      </c>
      <c r="AS20" s="390"/>
      <c r="AT20" s="166"/>
      <c r="AU20" s="166"/>
      <c r="AV20" s="166"/>
      <c r="AW20" s="182" t="e">
        <f t="shared" si="15"/>
        <v>#N/A</v>
      </c>
      <c r="AX20" s="390"/>
      <c r="AZ20" s="182" t="e">
        <f t="shared" si="17"/>
        <v>#N/A</v>
      </c>
      <c r="BA20" s="390"/>
    </row>
    <row r="21" spans="2:53">
      <c r="B21" s="395"/>
      <c r="C21" s="182">
        <v>15</v>
      </c>
      <c r="D21" s="203"/>
      <c r="E21" s="166"/>
      <c r="F21" s="182"/>
      <c r="G21" s="180"/>
      <c r="H21" s="403"/>
      <c r="I21" s="182"/>
      <c r="J21" s="182"/>
      <c r="K21" s="182"/>
      <c r="L21" s="403"/>
      <c r="M21" s="181" t="e">
        <f>RANK(K21, K$7:$K$21)</f>
        <v>#N/A</v>
      </c>
      <c r="N21" s="389"/>
      <c r="O21" s="389"/>
      <c r="P21" s="182" t="s">
        <v>634</v>
      </c>
      <c r="Q21" s="166" t="s">
        <v>634</v>
      </c>
      <c r="R21" s="166" t="s">
        <v>634</v>
      </c>
      <c r="S21" s="182" t="e">
        <f t="shared" si="3"/>
        <v>#VALUE!</v>
      </c>
      <c r="T21" s="390"/>
      <c r="U21" s="182" t="s">
        <v>634</v>
      </c>
      <c r="V21" s="166" t="s">
        <v>634</v>
      </c>
      <c r="W21" s="166" t="s">
        <v>634</v>
      </c>
      <c r="X21" s="182" t="e">
        <f t="shared" si="5"/>
        <v>#VALUE!</v>
      </c>
      <c r="Y21" s="390"/>
      <c r="Z21" s="182" t="s">
        <v>634</v>
      </c>
      <c r="AA21" s="166" t="s">
        <v>634</v>
      </c>
      <c r="AB21" s="166" t="s">
        <v>634</v>
      </c>
      <c r="AC21" s="182" t="e">
        <f t="shared" si="7"/>
        <v>#VALUE!</v>
      </c>
      <c r="AD21" s="390"/>
      <c r="AE21" s="182" t="s">
        <v>634</v>
      </c>
      <c r="AF21" s="166" t="s">
        <v>634</v>
      </c>
      <c r="AG21" s="166" t="s">
        <v>634</v>
      </c>
      <c r="AH21" s="182" t="e">
        <f t="shared" si="9"/>
        <v>#VALUE!</v>
      </c>
      <c r="AI21" s="390"/>
      <c r="AJ21" s="182" t="s">
        <v>634</v>
      </c>
      <c r="AK21" s="166" t="s">
        <v>634</v>
      </c>
      <c r="AL21" s="166" t="s">
        <v>634</v>
      </c>
      <c r="AM21" s="182" t="e">
        <f t="shared" si="11"/>
        <v>#VALUE!</v>
      </c>
      <c r="AN21" s="390"/>
      <c r="AO21" s="182" t="s">
        <v>634</v>
      </c>
      <c r="AP21" s="166" t="s">
        <v>634</v>
      </c>
      <c r="AQ21" s="166" t="s">
        <v>634</v>
      </c>
      <c r="AR21" s="182" t="e">
        <f t="shared" si="13"/>
        <v>#VALUE!</v>
      </c>
      <c r="AS21" s="390"/>
      <c r="AT21" s="166"/>
      <c r="AU21" s="166"/>
      <c r="AV21" s="166"/>
      <c r="AW21" s="182" t="e">
        <f t="shared" si="15"/>
        <v>#N/A</v>
      </c>
      <c r="AX21" s="390"/>
      <c r="AZ21" s="182" t="e">
        <f t="shared" si="17"/>
        <v>#N/A</v>
      </c>
      <c r="BA21" s="390"/>
    </row>
    <row r="22" spans="2:53" ht="15.75">
      <c r="B22" s="424" t="s">
        <v>163</v>
      </c>
      <c r="C22" s="425"/>
      <c r="D22" s="425"/>
      <c r="E22" s="425"/>
      <c r="F22" s="425"/>
      <c r="G22" s="425"/>
      <c r="H22" s="425"/>
      <c r="I22" s="183"/>
      <c r="J22" s="183"/>
      <c r="K22" s="183"/>
      <c r="L22" s="183"/>
      <c r="M22" s="178"/>
      <c r="N22" s="391" t="s">
        <v>156</v>
      </c>
      <c r="O22" s="391" t="s">
        <v>105</v>
      </c>
      <c r="P22" s="413">
        <f>P2+7</f>
        <v>46147</v>
      </c>
      <c r="Q22" s="395"/>
      <c r="R22" s="395"/>
      <c r="S22" s="395"/>
      <c r="T22" s="395"/>
      <c r="U22" s="410">
        <f>P22+1</f>
        <v>46148</v>
      </c>
      <c r="V22" s="411"/>
      <c r="W22" s="411"/>
      <c r="X22" s="411"/>
      <c r="Y22" s="412"/>
      <c r="Z22" s="410">
        <f>U22+1</f>
        <v>46149</v>
      </c>
      <c r="AA22" s="411"/>
      <c r="AB22" s="411"/>
      <c r="AC22" s="411"/>
      <c r="AD22" s="412"/>
      <c r="AE22" s="410">
        <f>Z22+1</f>
        <v>46150</v>
      </c>
      <c r="AF22" s="411"/>
      <c r="AG22" s="411"/>
      <c r="AH22" s="411"/>
      <c r="AI22" s="412"/>
      <c r="AJ22" s="410">
        <f>AE22+1</f>
        <v>46151</v>
      </c>
      <c r="AK22" s="411"/>
      <c r="AL22" s="411"/>
      <c r="AM22" s="411"/>
      <c r="AN22" s="412"/>
      <c r="AO22" s="410">
        <f>AJ22+1</f>
        <v>46152</v>
      </c>
      <c r="AP22" s="411"/>
      <c r="AQ22" s="411"/>
      <c r="AR22" s="411"/>
      <c r="AS22" s="412"/>
      <c r="AT22" s="410">
        <f>AO22+1</f>
        <v>46153</v>
      </c>
      <c r="AU22" s="411"/>
      <c r="AV22" s="411"/>
      <c r="AW22" s="411"/>
      <c r="AX22" s="412"/>
    </row>
    <row r="23" spans="2:53" ht="15.75">
      <c r="B23" s="416"/>
      <c r="C23" s="416"/>
      <c r="D23" s="416"/>
      <c r="E23" s="416"/>
      <c r="F23" s="416"/>
      <c r="G23" s="416"/>
      <c r="H23" s="416"/>
      <c r="I23" s="184"/>
      <c r="J23" s="184"/>
      <c r="K23" s="184"/>
      <c r="L23" s="184"/>
      <c r="M23" s="179"/>
      <c r="N23" s="393"/>
      <c r="O23" s="393"/>
      <c r="P23" s="413" t="s">
        <v>318</v>
      </c>
      <c r="Q23" s="395"/>
      <c r="R23" s="395"/>
      <c r="S23" s="395"/>
      <c r="T23" s="395"/>
      <c r="U23" s="413" t="s">
        <v>319</v>
      </c>
      <c r="V23" s="395"/>
      <c r="W23" s="395"/>
      <c r="X23" s="395"/>
      <c r="Y23" s="395"/>
      <c r="Z23" s="413" t="s">
        <v>320</v>
      </c>
      <c r="AA23" s="395"/>
      <c r="AB23" s="395"/>
      <c r="AC23" s="395"/>
      <c r="AD23" s="395"/>
      <c r="AE23" s="413" t="s">
        <v>321</v>
      </c>
      <c r="AF23" s="395"/>
      <c r="AG23" s="395"/>
      <c r="AH23" s="395"/>
      <c r="AI23" s="395"/>
      <c r="AJ23" s="413" t="s">
        <v>322</v>
      </c>
      <c r="AK23" s="395"/>
      <c r="AL23" s="395"/>
      <c r="AM23" s="395"/>
      <c r="AN23" s="395"/>
      <c r="AO23" s="413" t="s">
        <v>323</v>
      </c>
      <c r="AP23" s="395"/>
      <c r="AQ23" s="395"/>
      <c r="AR23" s="395"/>
      <c r="AS23" s="395"/>
      <c r="AT23" s="413" t="s">
        <v>324</v>
      </c>
      <c r="AU23" s="395"/>
      <c r="AV23" s="395"/>
      <c r="AW23" s="395"/>
      <c r="AX23" s="395"/>
    </row>
    <row r="24" spans="2:53">
      <c r="B24" s="389" t="s">
        <v>154</v>
      </c>
      <c r="C24" s="389" t="s">
        <v>556</v>
      </c>
      <c r="D24" s="389"/>
      <c r="E24" s="389" t="s">
        <v>557</v>
      </c>
      <c r="F24" s="389"/>
      <c r="G24" s="389"/>
      <c r="H24" s="417" t="s">
        <v>558</v>
      </c>
      <c r="I24" s="389" t="s">
        <v>559</v>
      </c>
      <c r="J24" s="389"/>
      <c r="K24" s="389"/>
      <c r="L24" s="417" t="s">
        <v>373</v>
      </c>
      <c r="M24" s="391" t="s">
        <v>560</v>
      </c>
      <c r="N24" s="389"/>
      <c r="O24" s="389" t="s">
        <v>379</v>
      </c>
      <c r="P24" s="404" t="s">
        <v>375</v>
      </c>
      <c r="Q24" s="405"/>
      <c r="R24" s="405"/>
      <c r="S24" s="406"/>
      <c r="T24" s="389" t="s">
        <v>373</v>
      </c>
      <c r="U24" s="404" t="s">
        <v>375</v>
      </c>
      <c r="V24" s="405"/>
      <c r="W24" s="405"/>
      <c r="X24" s="406"/>
      <c r="Y24" s="389" t="s">
        <v>373</v>
      </c>
      <c r="Z24" s="404" t="s">
        <v>375</v>
      </c>
      <c r="AA24" s="405"/>
      <c r="AB24" s="405"/>
      <c r="AC24" s="406"/>
      <c r="AD24" s="389" t="s">
        <v>373</v>
      </c>
      <c r="AE24" s="404" t="s">
        <v>375</v>
      </c>
      <c r="AF24" s="405"/>
      <c r="AG24" s="405"/>
      <c r="AH24" s="406"/>
      <c r="AI24" s="389" t="s">
        <v>373</v>
      </c>
      <c r="AJ24" s="404" t="s">
        <v>375</v>
      </c>
      <c r="AK24" s="405"/>
      <c r="AL24" s="405"/>
      <c r="AM24" s="406"/>
      <c r="AN24" s="389" t="s">
        <v>373</v>
      </c>
      <c r="AO24" s="404" t="s">
        <v>375</v>
      </c>
      <c r="AP24" s="405"/>
      <c r="AQ24" s="405"/>
      <c r="AR24" s="406"/>
      <c r="AS24" s="389" t="s">
        <v>373</v>
      </c>
      <c r="AT24" s="404" t="s">
        <v>375</v>
      </c>
      <c r="AU24" s="405"/>
      <c r="AV24" s="405"/>
      <c r="AW24" s="406"/>
      <c r="AX24" s="389" t="s">
        <v>373</v>
      </c>
      <c r="BA24" s="389" t="s">
        <v>373</v>
      </c>
    </row>
    <row r="25" spans="2:53">
      <c r="B25" s="389"/>
      <c r="C25" s="389"/>
      <c r="D25" s="389"/>
      <c r="E25" s="389" t="s">
        <v>562</v>
      </c>
      <c r="F25" s="389"/>
      <c r="G25" s="389"/>
      <c r="H25" s="418"/>
      <c r="I25" s="389" t="s">
        <v>562</v>
      </c>
      <c r="J25" s="389"/>
      <c r="K25" s="389"/>
      <c r="L25" s="418"/>
      <c r="M25" s="392"/>
      <c r="N25" s="389"/>
      <c r="O25" s="389"/>
      <c r="P25" s="404" t="s">
        <v>381</v>
      </c>
      <c r="Q25" s="405"/>
      <c r="R25" s="405"/>
      <c r="S25" s="406"/>
      <c r="T25" s="389"/>
      <c r="U25" s="404" t="s">
        <v>381</v>
      </c>
      <c r="V25" s="405"/>
      <c r="W25" s="405"/>
      <c r="X25" s="406"/>
      <c r="Y25" s="389"/>
      <c r="Z25" s="404" t="s">
        <v>381</v>
      </c>
      <c r="AA25" s="405"/>
      <c r="AB25" s="405"/>
      <c r="AC25" s="406"/>
      <c r="AD25" s="389"/>
      <c r="AE25" s="404" t="s">
        <v>381</v>
      </c>
      <c r="AF25" s="405"/>
      <c r="AG25" s="405"/>
      <c r="AH25" s="406"/>
      <c r="AI25" s="389"/>
      <c r="AJ25" s="404" t="s">
        <v>381</v>
      </c>
      <c r="AK25" s="405"/>
      <c r="AL25" s="405"/>
      <c r="AM25" s="406"/>
      <c r="AN25" s="389"/>
      <c r="AO25" s="404" t="s">
        <v>381</v>
      </c>
      <c r="AP25" s="405"/>
      <c r="AQ25" s="405"/>
      <c r="AR25" s="406"/>
      <c r="AS25" s="389"/>
      <c r="AT25" s="404" t="s">
        <v>381</v>
      </c>
      <c r="AU25" s="405"/>
      <c r="AV25" s="405"/>
      <c r="AW25" s="406"/>
      <c r="AX25" s="389"/>
      <c r="BA25" s="389"/>
    </row>
    <row r="26" spans="2:53">
      <c r="B26" s="389"/>
      <c r="C26" s="389"/>
      <c r="D26" s="389"/>
      <c r="E26" s="258" t="s">
        <v>563</v>
      </c>
      <c r="F26" s="258" t="s">
        <v>564</v>
      </c>
      <c r="G26" s="258" t="s">
        <v>565</v>
      </c>
      <c r="H26" s="419"/>
      <c r="I26" s="258" t="s">
        <v>563</v>
      </c>
      <c r="J26" s="258" t="s">
        <v>564</v>
      </c>
      <c r="K26" s="258" t="s">
        <v>565</v>
      </c>
      <c r="L26" s="419"/>
      <c r="M26" s="393"/>
      <c r="N26" s="389"/>
      <c r="O26" s="389"/>
      <c r="P26" s="258" t="s">
        <v>382</v>
      </c>
      <c r="Q26" s="258" t="s">
        <v>383</v>
      </c>
      <c r="R26" s="258" t="s">
        <v>384</v>
      </c>
      <c r="S26" s="258" t="s">
        <v>374</v>
      </c>
      <c r="T26" s="389"/>
      <c r="U26" s="258" t="s">
        <v>382</v>
      </c>
      <c r="V26" s="258" t="s">
        <v>383</v>
      </c>
      <c r="W26" s="258" t="s">
        <v>384</v>
      </c>
      <c r="X26" s="258" t="s">
        <v>374</v>
      </c>
      <c r="Y26" s="389"/>
      <c r="Z26" s="258" t="s">
        <v>382</v>
      </c>
      <c r="AA26" s="258" t="s">
        <v>383</v>
      </c>
      <c r="AB26" s="258" t="s">
        <v>384</v>
      </c>
      <c r="AC26" s="258" t="s">
        <v>374</v>
      </c>
      <c r="AD26" s="389"/>
      <c r="AE26" s="258" t="s">
        <v>382</v>
      </c>
      <c r="AF26" s="258" t="s">
        <v>383</v>
      </c>
      <c r="AG26" s="258" t="s">
        <v>384</v>
      </c>
      <c r="AH26" s="258" t="s">
        <v>374</v>
      </c>
      <c r="AI26" s="389"/>
      <c r="AJ26" s="258" t="s">
        <v>382</v>
      </c>
      <c r="AK26" s="258" t="s">
        <v>383</v>
      </c>
      <c r="AL26" s="258" t="s">
        <v>384</v>
      </c>
      <c r="AM26" s="258" t="s">
        <v>374</v>
      </c>
      <c r="AN26" s="389"/>
      <c r="AO26" s="258" t="s">
        <v>382</v>
      </c>
      <c r="AP26" s="258" t="s">
        <v>383</v>
      </c>
      <c r="AQ26" s="258" t="s">
        <v>384</v>
      </c>
      <c r="AR26" s="258" t="s">
        <v>374</v>
      </c>
      <c r="AS26" s="389"/>
      <c r="AT26" s="258" t="s">
        <v>382</v>
      </c>
      <c r="AU26" s="258" t="s">
        <v>383</v>
      </c>
      <c r="AV26" s="258" t="s">
        <v>384</v>
      </c>
      <c r="AW26" s="258" t="s">
        <v>374</v>
      </c>
      <c r="AX26" s="389"/>
      <c r="AZ26" s="258" t="s">
        <v>374</v>
      </c>
      <c r="BA26" s="389"/>
    </row>
    <row r="27" spans="2:53">
      <c r="B27" s="389" t="s">
        <v>454</v>
      </c>
      <c r="C27" s="182">
        <v>1</v>
      </c>
      <c r="D27" s="203" t="s">
        <v>356</v>
      </c>
      <c r="E27" s="166">
        <v>20</v>
      </c>
      <c r="F27" s="182">
        <v>2400</v>
      </c>
      <c r="G27" s="180">
        <v>120</v>
      </c>
      <c r="H27" s="401">
        <f>AVERAGE(G27:G41)</f>
        <v>153.87142857142857</v>
      </c>
      <c r="I27" s="166">
        <f t="shared" ref="I27:I40" si="19">IFERROR(AVERAGE(P27,U27,Z27,AE27,AJ27,AO27,AT27),"-")</f>
        <v>20</v>
      </c>
      <c r="J27" s="166">
        <f t="shared" ref="J27:J40" si="20">IFERROR(AVERAGE(Q27,V27,AA27,AF27,AK27,AP27,AU27),"-")</f>
        <v>2340.1173848206099</v>
      </c>
      <c r="K27" s="180">
        <f t="shared" ref="K27:K40" si="21">IFERROR(AVERAGE(R27,W27,AB27,AG27,AL27,AQ27,AV27),"-")</f>
        <v>117.00586924103052</v>
      </c>
      <c r="L27" s="401">
        <f>IFERROR(AVERAGE(K27:K41),"-")</f>
        <v>132.35821870184301</v>
      </c>
      <c r="M27" s="166">
        <f>RANK(K27, K$24:$K$41)</f>
        <v>7</v>
      </c>
      <c r="N27" s="389"/>
      <c r="O27" s="389"/>
      <c r="P27" s="182">
        <v>20</v>
      </c>
      <c r="Q27" s="166">
        <v>2293.6421052631576</v>
      </c>
      <c r="R27" s="166">
        <v>114.68210526315788</v>
      </c>
      <c r="S27" s="182">
        <f>RANK(R27, R$24:R$41)</f>
        <v>7</v>
      </c>
      <c r="T27" s="390">
        <f>AVERAGE(R27:R41)</f>
        <v>129.69592341907645</v>
      </c>
      <c r="U27" s="182">
        <v>20</v>
      </c>
      <c r="V27" s="166">
        <v>2310.244660194176</v>
      </c>
      <c r="W27" s="166">
        <v>115.51223300970881</v>
      </c>
      <c r="X27" s="182">
        <f>RANK(W27, W$24:W$41)</f>
        <v>7</v>
      </c>
      <c r="Y27" s="390">
        <f>AVERAGE(W27:W41)</f>
        <v>132.67657369016734</v>
      </c>
      <c r="Z27" s="182">
        <v>20</v>
      </c>
      <c r="AA27" s="166">
        <v>2336.6871165644175</v>
      </c>
      <c r="AB27" s="166">
        <v>116.83435582822088</v>
      </c>
      <c r="AC27" s="182">
        <f>RANK(AB27, AB$24:AB$41)</f>
        <v>7</v>
      </c>
      <c r="AD27" s="390">
        <f>AVERAGE(AB27:AB41)</f>
        <v>132.91186559487315</v>
      </c>
      <c r="AE27" s="182">
        <v>20</v>
      </c>
      <c r="AF27" s="166">
        <v>2343.636363636364</v>
      </c>
      <c r="AG27" s="166">
        <v>117.1818181818182</v>
      </c>
      <c r="AH27" s="182">
        <f>RANK(AG27, AG$24:AG$41)</f>
        <v>7</v>
      </c>
      <c r="AI27" s="390">
        <f>AVERAGE(AG27:AG41)</f>
        <v>132.44751813107979</v>
      </c>
      <c r="AJ27" s="182">
        <v>20</v>
      </c>
      <c r="AK27" s="166">
        <v>2362.5842696629215</v>
      </c>
      <c r="AL27" s="166">
        <v>118.12921348314607</v>
      </c>
      <c r="AM27" s="182">
        <f>RANK(AL27, AL$24:AL$41)</f>
        <v>7</v>
      </c>
      <c r="AN27" s="390">
        <f>AVERAGE(AL27:AL41)</f>
        <v>132.91248041497585</v>
      </c>
      <c r="AO27" s="182">
        <v>20</v>
      </c>
      <c r="AP27" s="166">
        <v>2345.4771784232371</v>
      </c>
      <c r="AQ27" s="166">
        <v>117.27385892116186</v>
      </c>
      <c r="AR27" s="182">
        <f>RANK(AQ27, AQ$24:AQ$41)</f>
        <v>7</v>
      </c>
      <c r="AS27" s="390">
        <f>AVERAGE(AQ27:AQ41)</f>
        <v>134.00601484321064</v>
      </c>
      <c r="AT27" s="166">
        <v>20</v>
      </c>
      <c r="AU27" s="166">
        <v>2388.5500000000002</v>
      </c>
      <c r="AV27" s="166">
        <v>119.42750000000001</v>
      </c>
      <c r="AW27" s="182">
        <f>RANK(AV27, AV$24:AV$41)</f>
        <v>7</v>
      </c>
      <c r="AX27" s="390">
        <f>AVERAGE(AV27:AV41)</f>
        <v>131.85715481951775</v>
      </c>
      <c r="AZ27" s="182" t="e">
        <f t="shared" ref="AZ27:AZ41" si="22">RANK(AY27, AY$27:AY$41)</f>
        <v>#N/A</v>
      </c>
      <c r="BA27" s="384" t="e">
        <f t="shared" ref="BA27" si="23">AVERAGE(AY27:AY41)</f>
        <v>#DIV/0!</v>
      </c>
    </row>
    <row r="28" spans="2:53">
      <c r="B28" s="395"/>
      <c r="C28" s="182">
        <v>2</v>
      </c>
      <c r="D28" s="203" t="s">
        <v>357</v>
      </c>
      <c r="E28" s="166">
        <v>18</v>
      </c>
      <c r="F28" s="182">
        <v>2700</v>
      </c>
      <c r="G28" s="180">
        <v>166.7</v>
      </c>
      <c r="H28" s="402"/>
      <c r="I28" s="166">
        <f t="shared" si="19"/>
        <v>18.428571428571427</v>
      </c>
      <c r="J28" s="166">
        <f t="shared" si="20"/>
        <v>2539.6618587837415</v>
      </c>
      <c r="K28" s="180">
        <f t="shared" si="21"/>
        <v>137.90293027651913</v>
      </c>
      <c r="L28" s="402"/>
      <c r="M28" s="166">
        <f>RANK(K28, K$24:$K$41)</f>
        <v>3</v>
      </c>
      <c r="N28" s="389"/>
      <c r="O28" s="389"/>
      <c r="P28" s="182">
        <v>19</v>
      </c>
      <c r="Q28" s="166">
        <v>2524.8387096774218</v>
      </c>
      <c r="R28" s="166">
        <v>132.88624787775905</v>
      </c>
      <c r="S28" s="182">
        <f t="shared" ref="S28:S41" si="24">RANK(R28, R$24:R$41)</f>
        <v>4</v>
      </c>
      <c r="T28" s="390"/>
      <c r="U28" s="182">
        <v>18</v>
      </c>
      <c r="V28" s="166">
        <v>2519.016393442625</v>
      </c>
      <c r="W28" s="166">
        <v>139.94535519125694</v>
      </c>
      <c r="X28" s="182">
        <f t="shared" ref="X28:X41" si="25">RANK(W28, W$24:W$41)</f>
        <v>3</v>
      </c>
      <c r="Y28" s="390"/>
      <c r="Z28" s="182">
        <v>19</v>
      </c>
      <c r="AA28" s="166">
        <v>2564.7272727272743</v>
      </c>
      <c r="AB28" s="166">
        <v>134.98564593301444</v>
      </c>
      <c r="AC28" s="182">
        <f t="shared" ref="AC28:AC41" si="26">RANK(AB28, AB$24:AB$41)</f>
        <v>4</v>
      </c>
      <c r="AD28" s="390"/>
      <c r="AE28" s="182">
        <v>18</v>
      </c>
      <c r="AF28" s="166">
        <v>2537.0000000000023</v>
      </c>
      <c r="AG28" s="166">
        <v>140.94444444444457</v>
      </c>
      <c r="AH28" s="182">
        <f t="shared" ref="AH28:AH41" si="27">RANK(AG28, AG$24:AG$41)</f>
        <v>1</v>
      </c>
      <c r="AI28" s="390"/>
      <c r="AJ28" s="182">
        <v>18</v>
      </c>
      <c r="AK28" s="166">
        <v>2512.3809523809518</v>
      </c>
      <c r="AL28" s="166">
        <v>139.57671957671954</v>
      </c>
      <c r="AM28" s="182">
        <f t="shared" ref="AM28:AM41" si="28">RANK(AL28, AL$24:AL$41)</f>
        <v>2</v>
      </c>
      <c r="AN28" s="390"/>
      <c r="AO28" s="182">
        <v>18</v>
      </c>
      <c r="AP28" s="166">
        <v>2573.8235294117612</v>
      </c>
      <c r="AQ28" s="166">
        <v>142.99019607843118</v>
      </c>
      <c r="AR28" s="182">
        <f t="shared" ref="AR28:AR41" si="29">RANK(AQ28, AQ$24:AQ$41)</f>
        <v>1</v>
      </c>
      <c r="AS28" s="390"/>
      <c r="AT28" s="182">
        <v>19</v>
      </c>
      <c r="AU28" s="166">
        <v>2545.8461538461565</v>
      </c>
      <c r="AV28" s="166">
        <v>133.99190283400824</v>
      </c>
      <c r="AW28" s="182">
        <f t="shared" ref="AW28:AW41" si="30">RANK(AV28, AV$24:AV$41)</f>
        <v>3</v>
      </c>
      <c r="AX28" s="390"/>
      <c r="AZ28" s="182" t="e">
        <f t="shared" si="22"/>
        <v>#N/A</v>
      </c>
      <c r="BA28" s="385"/>
    </row>
    <row r="29" spans="2:53">
      <c r="B29" s="395"/>
      <c r="C29" s="182">
        <v>3</v>
      </c>
      <c r="D29" s="203" t="s">
        <v>358</v>
      </c>
      <c r="E29" s="166">
        <v>18</v>
      </c>
      <c r="F29" s="182">
        <v>2700</v>
      </c>
      <c r="G29" s="180">
        <v>166.7</v>
      </c>
      <c r="H29" s="402"/>
      <c r="I29" s="166">
        <f t="shared" si="19"/>
        <v>19</v>
      </c>
      <c r="J29" s="166">
        <f t="shared" si="20"/>
        <v>2535.9019466869181</v>
      </c>
      <c r="K29" s="180">
        <f t="shared" si="21"/>
        <v>133.46852350983778</v>
      </c>
      <c r="L29" s="402"/>
      <c r="M29" s="166">
        <f>RANK(K29, K$24:$K$41)</f>
        <v>5</v>
      </c>
      <c r="N29" s="389"/>
      <c r="O29" s="389"/>
      <c r="P29" s="182">
        <v>19</v>
      </c>
      <c r="Q29" s="166">
        <v>2546.0240963855413</v>
      </c>
      <c r="R29" s="166">
        <v>134.00126823081797</v>
      </c>
      <c r="S29" s="182">
        <f t="shared" si="24"/>
        <v>2</v>
      </c>
      <c r="T29" s="390"/>
      <c r="U29" s="182">
        <v>19</v>
      </c>
      <c r="V29" s="166">
        <v>2496.7499999999991</v>
      </c>
      <c r="W29" s="166">
        <v>131.40789473684205</v>
      </c>
      <c r="X29" s="182">
        <f t="shared" si="25"/>
        <v>5</v>
      </c>
      <c r="Y29" s="390"/>
      <c r="Z29" s="182">
        <v>19</v>
      </c>
      <c r="AA29" s="166">
        <v>2551.395348837209</v>
      </c>
      <c r="AB29" s="166">
        <v>134.28396572827415</v>
      </c>
      <c r="AC29" s="182">
        <f t="shared" si="26"/>
        <v>5</v>
      </c>
      <c r="AD29" s="390"/>
      <c r="AE29" s="182">
        <v>19</v>
      </c>
      <c r="AF29" s="166">
        <v>2534</v>
      </c>
      <c r="AG29" s="166">
        <v>133.36842105263159</v>
      </c>
      <c r="AH29" s="182">
        <f t="shared" si="27"/>
        <v>5</v>
      </c>
      <c r="AI29" s="390"/>
      <c r="AJ29" s="182">
        <v>19</v>
      </c>
      <c r="AK29" s="166">
        <v>2563.695652173913</v>
      </c>
      <c r="AL29" s="166">
        <v>134.93135011441646</v>
      </c>
      <c r="AM29" s="182">
        <f t="shared" si="28"/>
        <v>4</v>
      </c>
      <c r="AN29" s="390"/>
      <c r="AO29" s="182">
        <v>19</v>
      </c>
      <c r="AP29" s="166">
        <v>2558.8235294117658</v>
      </c>
      <c r="AQ29" s="166">
        <v>134.67492260061925</v>
      </c>
      <c r="AR29" s="182">
        <f t="shared" si="29"/>
        <v>4</v>
      </c>
      <c r="AS29" s="390"/>
      <c r="AT29" s="182">
        <v>19</v>
      </c>
      <c r="AU29" s="166">
        <v>2500.6250000000005</v>
      </c>
      <c r="AV29" s="166">
        <v>131.61184210526318</v>
      </c>
      <c r="AW29" s="182">
        <f t="shared" si="30"/>
        <v>5</v>
      </c>
      <c r="AX29" s="390"/>
      <c r="AZ29" s="182" t="e">
        <f t="shared" si="22"/>
        <v>#N/A</v>
      </c>
      <c r="BA29" s="385"/>
    </row>
    <row r="30" spans="2:53">
      <c r="B30" s="395"/>
      <c r="C30" s="182">
        <v>4</v>
      </c>
      <c r="D30" s="203" t="s">
        <v>359</v>
      </c>
      <c r="E30" s="166">
        <v>19</v>
      </c>
      <c r="F30" s="182">
        <v>2700</v>
      </c>
      <c r="G30" s="180">
        <v>157.9</v>
      </c>
      <c r="H30" s="402"/>
      <c r="I30" s="166">
        <f t="shared" si="19"/>
        <v>19</v>
      </c>
      <c r="J30" s="166">
        <f t="shared" si="20"/>
        <v>2537.9148765673467</v>
      </c>
      <c r="K30" s="180">
        <f t="shared" si="21"/>
        <v>133.57446718775515</v>
      </c>
      <c r="L30" s="402"/>
      <c r="M30" s="166">
        <f>RANK(K30, K$24:$K$41)</f>
        <v>4</v>
      </c>
      <c r="N30" s="389"/>
      <c r="O30" s="389"/>
      <c r="P30" s="182">
        <v>19</v>
      </c>
      <c r="Q30" s="166">
        <v>2523.1578947368439</v>
      </c>
      <c r="R30" s="166">
        <v>132.7977839335181</v>
      </c>
      <c r="S30" s="182">
        <f t="shared" si="24"/>
        <v>5</v>
      </c>
      <c r="T30" s="390"/>
      <c r="U30" s="182">
        <v>19</v>
      </c>
      <c r="V30" s="166">
        <v>2511.8644067796599</v>
      </c>
      <c r="W30" s="166">
        <v>132.20338983050843</v>
      </c>
      <c r="X30" s="182">
        <f t="shared" si="25"/>
        <v>4</v>
      </c>
      <c r="Y30" s="390"/>
      <c r="Z30" s="182">
        <v>19</v>
      </c>
      <c r="AA30" s="166">
        <v>2568.2142857142876</v>
      </c>
      <c r="AB30" s="166">
        <v>135.16917293233092</v>
      </c>
      <c r="AC30" s="182">
        <f t="shared" si="26"/>
        <v>3</v>
      </c>
      <c r="AD30" s="390"/>
      <c r="AE30" s="182">
        <v>19</v>
      </c>
      <c r="AF30" s="166">
        <v>2546.2809917355362</v>
      </c>
      <c r="AG30" s="166">
        <v>134.01478903871242</v>
      </c>
      <c r="AH30" s="182">
        <f t="shared" si="27"/>
        <v>4</v>
      </c>
      <c r="AI30" s="390"/>
      <c r="AJ30" s="182">
        <v>19</v>
      </c>
      <c r="AK30" s="166">
        <v>2557.5609756097551</v>
      </c>
      <c r="AL30" s="166">
        <v>134.60847240051342</v>
      </c>
      <c r="AM30" s="182">
        <f t="shared" si="28"/>
        <v>5</v>
      </c>
      <c r="AN30" s="390"/>
      <c r="AO30" s="182">
        <v>19</v>
      </c>
      <c r="AP30" s="166">
        <v>2556.0000000000005</v>
      </c>
      <c r="AQ30" s="166">
        <v>134.5263157894737</v>
      </c>
      <c r="AR30" s="182">
        <f t="shared" si="29"/>
        <v>5</v>
      </c>
      <c r="AS30" s="390"/>
      <c r="AT30" s="182">
        <v>19</v>
      </c>
      <c r="AU30" s="166">
        <v>2502.3255813953483</v>
      </c>
      <c r="AV30" s="166">
        <v>131.70134638922886</v>
      </c>
      <c r="AW30" s="182">
        <f t="shared" si="30"/>
        <v>4</v>
      </c>
      <c r="AX30" s="390"/>
      <c r="AZ30" s="182" t="e">
        <f t="shared" si="22"/>
        <v>#N/A</v>
      </c>
      <c r="BA30" s="385"/>
    </row>
    <row r="31" spans="2:53">
      <c r="B31" s="395"/>
      <c r="C31" s="182">
        <v>5</v>
      </c>
      <c r="D31" s="203" t="s">
        <v>530</v>
      </c>
      <c r="E31" s="166">
        <v>17</v>
      </c>
      <c r="F31" s="182">
        <v>2250</v>
      </c>
      <c r="G31" s="180">
        <v>132.4</v>
      </c>
      <c r="H31" s="402"/>
      <c r="I31" s="166">
        <f t="shared" si="19"/>
        <v>18</v>
      </c>
      <c r="J31" s="166">
        <f t="shared" si="20"/>
        <v>2228.1265386985501</v>
      </c>
      <c r="K31" s="180">
        <f t="shared" si="21"/>
        <v>123.78480770547503</v>
      </c>
      <c r="L31" s="402"/>
      <c r="M31" s="166">
        <f>RANK(K31, K$24:$K$41)</f>
        <v>6</v>
      </c>
      <c r="N31" s="389"/>
      <c r="O31" s="389"/>
      <c r="P31" s="182">
        <v>18</v>
      </c>
      <c r="Q31" s="166">
        <v>2221.304347826087</v>
      </c>
      <c r="R31" s="166">
        <v>123.40579710144928</v>
      </c>
      <c r="S31" s="182">
        <f t="shared" si="24"/>
        <v>6</v>
      </c>
      <c r="T31" s="390"/>
      <c r="U31" s="182">
        <v>18</v>
      </c>
      <c r="V31" s="166">
        <v>2221.6395348837204</v>
      </c>
      <c r="W31" s="166">
        <v>123.42441860465114</v>
      </c>
      <c r="X31" s="182">
        <f t="shared" si="25"/>
        <v>6</v>
      </c>
      <c r="Y31" s="390"/>
      <c r="Z31" s="182">
        <v>18</v>
      </c>
      <c r="AA31" s="166">
        <v>2268.5</v>
      </c>
      <c r="AB31" s="166">
        <v>126.02777777777777</v>
      </c>
      <c r="AC31" s="182">
        <f t="shared" si="26"/>
        <v>6</v>
      </c>
      <c r="AD31" s="390"/>
      <c r="AE31" s="182">
        <v>18</v>
      </c>
      <c r="AF31" s="166">
        <v>2223.4814814814822</v>
      </c>
      <c r="AG31" s="166">
        <v>123.52674897119346</v>
      </c>
      <c r="AH31" s="182">
        <f t="shared" si="27"/>
        <v>6</v>
      </c>
      <c r="AI31" s="390"/>
      <c r="AJ31" s="182">
        <v>18</v>
      </c>
      <c r="AK31" s="166">
        <v>2200.397727272727</v>
      </c>
      <c r="AL31" s="166">
        <v>122.24431818181817</v>
      </c>
      <c r="AM31" s="182">
        <f t="shared" si="28"/>
        <v>6</v>
      </c>
      <c r="AN31" s="390"/>
      <c r="AO31" s="182">
        <v>18</v>
      </c>
      <c r="AP31" s="166">
        <v>2218.0363636363631</v>
      </c>
      <c r="AQ31" s="166">
        <v>123.22424242424239</v>
      </c>
      <c r="AR31" s="182">
        <f t="shared" si="29"/>
        <v>6</v>
      </c>
      <c r="AS31" s="390"/>
      <c r="AT31" s="182">
        <v>18</v>
      </c>
      <c r="AU31" s="166">
        <v>2243.5263157894728</v>
      </c>
      <c r="AV31" s="166">
        <v>124.64035087719293</v>
      </c>
      <c r="AW31" s="182">
        <f t="shared" si="30"/>
        <v>6</v>
      </c>
      <c r="AX31" s="390"/>
      <c r="AZ31" s="182" t="e">
        <f t="shared" si="22"/>
        <v>#N/A</v>
      </c>
      <c r="BA31" s="385"/>
    </row>
    <row r="32" spans="2:53">
      <c r="B32" s="395"/>
      <c r="C32" s="182">
        <v>6</v>
      </c>
      <c r="D32" s="203" t="s">
        <v>646</v>
      </c>
      <c r="E32" s="166">
        <v>17</v>
      </c>
      <c r="F32" s="182">
        <v>2700</v>
      </c>
      <c r="G32" s="180">
        <v>166.7</v>
      </c>
      <c r="H32" s="402"/>
      <c r="I32" s="166">
        <f t="shared" si="19"/>
        <v>17.142857142857142</v>
      </c>
      <c r="J32" s="166">
        <f t="shared" si="20"/>
        <v>2401.0466584036212</v>
      </c>
      <c r="K32" s="180">
        <f t="shared" si="21"/>
        <v>140.11987717929037</v>
      </c>
      <c r="L32" s="402"/>
      <c r="M32" s="166">
        <f>RANK(K32, K$24:$K$41)</f>
        <v>2</v>
      </c>
      <c r="N32" s="389"/>
      <c r="O32" s="389"/>
      <c r="P32" s="182">
        <v>18</v>
      </c>
      <c r="Q32" s="166">
        <v>2395.1020408163272</v>
      </c>
      <c r="R32" s="166">
        <v>133.06122448979596</v>
      </c>
      <c r="S32" s="182">
        <f t="shared" si="24"/>
        <v>3</v>
      </c>
      <c r="T32" s="390"/>
      <c r="U32" s="182">
        <v>17</v>
      </c>
      <c r="V32" s="166">
        <v>2415.6000000000008</v>
      </c>
      <c r="W32" s="166">
        <v>142.09411764705888</v>
      </c>
      <c r="X32" s="182">
        <f t="shared" si="25"/>
        <v>2</v>
      </c>
      <c r="Y32" s="390"/>
      <c r="Z32" s="182">
        <v>17</v>
      </c>
      <c r="AA32" s="166">
        <v>2402.6666666666665</v>
      </c>
      <c r="AB32" s="166">
        <v>141.33333333333331</v>
      </c>
      <c r="AC32" s="182">
        <f t="shared" si="26"/>
        <v>2</v>
      </c>
      <c r="AD32" s="390"/>
      <c r="AE32" s="182">
        <v>17</v>
      </c>
      <c r="AF32" s="166">
        <v>2368.7500000000009</v>
      </c>
      <c r="AG32" s="166">
        <v>139.33823529411771</v>
      </c>
      <c r="AH32" s="182">
        <f t="shared" si="27"/>
        <v>2</v>
      </c>
      <c r="AI32" s="390"/>
      <c r="AJ32" s="182">
        <v>17</v>
      </c>
      <c r="AK32" s="166">
        <v>2407.3469387755113</v>
      </c>
      <c r="AL32" s="166">
        <v>141.60864345738301</v>
      </c>
      <c r="AM32" s="182">
        <f t="shared" si="28"/>
        <v>1</v>
      </c>
      <c r="AN32" s="390"/>
      <c r="AO32" s="182">
        <v>17</v>
      </c>
      <c r="AP32" s="166">
        <v>2427.2727272727257</v>
      </c>
      <c r="AQ32" s="166">
        <v>142.78074866310152</v>
      </c>
      <c r="AR32" s="182">
        <f t="shared" si="29"/>
        <v>2</v>
      </c>
      <c r="AS32" s="390"/>
      <c r="AT32" s="182">
        <v>17</v>
      </c>
      <c r="AU32" s="166">
        <v>2390.5882352941185</v>
      </c>
      <c r="AV32" s="166">
        <v>140.62283737024225</v>
      </c>
      <c r="AW32" s="182">
        <f t="shared" si="30"/>
        <v>2</v>
      </c>
      <c r="AX32" s="390"/>
      <c r="AZ32" s="182" t="e">
        <f t="shared" si="22"/>
        <v>#N/A</v>
      </c>
      <c r="BA32" s="385"/>
    </row>
    <row r="33" spans="2:53">
      <c r="B33" s="395"/>
      <c r="C33" s="182">
        <v>7</v>
      </c>
      <c r="D33" s="203" t="s">
        <v>662</v>
      </c>
      <c r="E33" s="166">
        <v>17</v>
      </c>
      <c r="F33" s="182">
        <v>2700</v>
      </c>
      <c r="G33" s="180">
        <v>166.7</v>
      </c>
      <c r="H33" s="402"/>
      <c r="I33" s="166">
        <f t="shared" si="19"/>
        <v>17.142857142857142</v>
      </c>
      <c r="J33" s="166">
        <f t="shared" si="20"/>
        <v>2410.6446683976005</v>
      </c>
      <c r="K33" s="180">
        <f t="shared" si="21"/>
        <v>140.65105581299301</v>
      </c>
      <c r="L33" s="402"/>
      <c r="M33" s="166">
        <f>RANK(K33, K$24:$K$41)</f>
        <v>1</v>
      </c>
      <c r="N33" s="389"/>
      <c r="O33" s="389"/>
      <c r="P33" s="182">
        <v>18</v>
      </c>
      <c r="Q33" s="166">
        <v>2466.6666666666647</v>
      </c>
      <c r="R33" s="166">
        <v>137.03703703703692</v>
      </c>
      <c r="S33" s="182">
        <f t="shared" si="24"/>
        <v>1</v>
      </c>
      <c r="T33" s="390"/>
      <c r="U33" s="182">
        <v>17</v>
      </c>
      <c r="V33" s="166">
        <v>2450.5263157894715</v>
      </c>
      <c r="W33" s="166">
        <v>144.14860681114538</v>
      </c>
      <c r="X33" s="182">
        <f t="shared" si="25"/>
        <v>1</v>
      </c>
      <c r="Y33" s="390"/>
      <c r="Z33" s="182">
        <v>17</v>
      </c>
      <c r="AA33" s="166">
        <v>2409.7297297297282</v>
      </c>
      <c r="AB33" s="166">
        <v>141.74880763116047</v>
      </c>
      <c r="AC33" s="182">
        <f t="shared" si="26"/>
        <v>1</v>
      </c>
      <c r="AD33" s="390"/>
      <c r="AE33" s="182">
        <v>17</v>
      </c>
      <c r="AF33" s="166">
        <v>2358.8888888888905</v>
      </c>
      <c r="AG33" s="166">
        <v>138.75816993464062</v>
      </c>
      <c r="AH33" s="182">
        <f t="shared" si="27"/>
        <v>3</v>
      </c>
      <c r="AI33" s="390"/>
      <c r="AJ33" s="182">
        <v>17</v>
      </c>
      <c r="AK33" s="166">
        <v>2367.9069767441856</v>
      </c>
      <c r="AL33" s="166">
        <v>139.28864569083444</v>
      </c>
      <c r="AM33" s="182">
        <f t="shared" si="28"/>
        <v>3</v>
      </c>
      <c r="AN33" s="390"/>
      <c r="AO33" s="182">
        <v>17</v>
      </c>
      <c r="AP33" s="166">
        <v>2423.7209302325577</v>
      </c>
      <c r="AQ33" s="166">
        <v>142.57181942544457</v>
      </c>
      <c r="AR33" s="182">
        <f t="shared" si="29"/>
        <v>3</v>
      </c>
      <c r="AS33" s="390"/>
      <c r="AT33" s="182">
        <v>17</v>
      </c>
      <c r="AU33" s="166">
        <v>2397.0731707317063</v>
      </c>
      <c r="AV33" s="166">
        <v>141.0043041606886</v>
      </c>
      <c r="AW33" s="182">
        <f t="shared" si="30"/>
        <v>1</v>
      </c>
      <c r="AX33" s="390"/>
      <c r="AZ33" s="182" t="e">
        <f t="shared" si="22"/>
        <v>#N/A</v>
      </c>
      <c r="BA33" s="385"/>
    </row>
    <row r="34" spans="2:53">
      <c r="B34" s="395"/>
      <c r="C34" s="182">
        <v>8</v>
      </c>
      <c r="D34" s="203"/>
      <c r="E34" s="166"/>
      <c r="F34" s="182"/>
      <c r="G34" s="180"/>
      <c r="H34" s="402"/>
      <c r="I34" s="166" t="str">
        <f t="shared" si="19"/>
        <v>-</v>
      </c>
      <c r="J34" s="166" t="str">
        <f t="shared" si="20"/>
        <v>-</v>
      </c>
      <c r="K34" s="180" t="str">
        <f t="shared" si="21"/>
        <v>-</v>
      </c>
      <c r="L34" s="402"/>
      <c r="M34" s="166" t="e">
        <f>RANK(K34, K$24:$K$41)</f>
        <v>#VALUE!</v>
      </c>
      <c r="N34" s="389"/>
      <c r="O34" s="389"/>
      <c r="P34" s="182"/>
      <c r="Q34" s="166"/>
      <c r="R34" s="166"/>
      <c r="S34" s="182" t="e">
        <f t="shared" si="24"/>
        <v>#N/A</v>
      </c>
      <c r="T34" s="390"/>
      <c r="U34" s="182"/>
      <c r="V34" s="166"/>
      <c r="W34" s="166"/>
      <c r="X34" s="182" t="e">
        <f t="shared" si="25"/>
        <v>#N/A</v>
      </c>
      <c r="Y34" s="390"/>
      <c r="Z34" s="182"/>
      <c r="AA34" s="166"/>
      <c r="AB34" s="166"/>
      <c r="AC34" s="182" t="e">
        <f t="shared" si="26"/>
        <v>#N/A</v>
      </c>
      <c r="AD34" s="390"/>
      <c r="AE34" s="182"/>
      <c r="AF34" s="166"/>
      <c r="AG34" s="166"/>
      <c r="AH34" s="182" t="e">
        <f t="shared" si="27"/>
        <v>#N/A</v>
      </c>
      <c r="AI34" s="390"/>
      <c r="AJ34" s="182"/>
      <c r="AK34" s="166"/>
      <c r="AL34" s="166"/>
      <c r="AM34" s="182" t="e">
        <f t="shared" si="28"/>
        <v>#N/A</v>
      </c>
      <c r="AN34" s="390"/>
      <c r="AO34" s="182"/>
      <c r="AP34" s="166"/>
      <c r="AQ34" s="166"/>
      <c r="AR34" s="182" t="e">
        <f t="shared" si="29"/>
        <v>#N/A</v>
      </c>
      <c r="AS34" s="390"/>
      <c r="AT34" s="182"/>
      <c r="AU34" s="180"/>
      <c r="AV34" s="180"/>
      <c r="AW34" s="182" t="e">
        <f t="shared" si="30"/>
        <v>#N/A</v>
      </c>
      <c r="AX34" s="390"/>
      <c r="AZ34" s="182" t="e">
        <f t="shared" si="22"/>
        <v>#N/A</v>
      </c>
      <c r="BA34" s="385"/>
    </row>
    <row r="35" spans="2:53">
      <c r="B35" s="395"/>
      <c r="C35" s="182">
        <v>9</v>
      </c>
      <c r="D35" s="203"/>
      <c r="E35" s="166"/>
      <c r="F35" s="182"/>
      <c r="G35" s="180"/>
      <c r="H35" s="402"/>
      <c r="I35" s="166" t="str">
        <f t="shared" si="19"/>
        <v>-</v>
      </c>
      <c r="J35" s="166" t="str">
        <f t="shared" si="20"/>
        <v>-</v>
      </c>
      <c r="K35" s="180" t="str">
        <f t="shared" si="21"/>
        <v>-</v>
      </c>
      <c r="L35" s="402"/>
      <c r="M35" s="166" t="e">
        <f>RANK(K35, K$24:$K$41)</f>
        <v>#VALUE!</v>
      </c>
      <c r="N35" s="389"/>
      <c r="O35" s="389"/>
      <c r="P35" s="182"/>
      <c r="Q35" s="166"/>
      <c r="R35" s="166"/>
      <c r="S35" s="182" t="e">
        <f t="shared" si="24"/>
        <v>#N/A</v>
      </c>
      <c r="T35" s="390"/>
      <c r="U35" s="182"/>
      <c r="V35" s="166"/>
      <c r="W35" s="166"/>
      <c r="X35" s="182" t="e">
        <f t="shared" si="25"/>
        <v>#N/A</v>
      </c>
      <c r="Y35" s="390"/>
      <c r="Z35" s="182"/>
      <c r="AA35" s="166"/>
      <c r="AB35" s="166"/>
      <c r="AC35" s="182" t="e">
        <f t="shared" si="26"/>
        <v>#N/A</v>
      </c>
      <c r="AD35" s="390"/>
      <c r="AE35" s="182"/>
      <c r="AF35" s="166"/>
      <c r="AG35" s="166"/>
      <c r="AH35" s="182" t="e">
        <f t="shared" si="27"/>
        <v>#N/A</v>
      </c>
      <c r="AI35" s="390"/>
      <c r="AJ35" s="182"/>
      <c r="AK35" s="166"/>
      <c r="AL35" s="166"/>
      <c r="AM35" s="182" t="e">
        <f t="shared" si="28"/>
        <v>#N/A</v>
      </c>
      <c r="AN35" s="390"/>
      <c r="AO35" s="182"/>
      <c r="AP35" s="166"/>
      <c r="AQ35" s="166"/>
      <c r="AR35" s="182" t="e">
        <f t="shared" si="29"/>
        <v>#N/A</v>
      </c>
      <c r="AS35" s="390"/>
      <c r="AT35" s="182"/>
      <c r="AU35" s="180"/>
      <c r="AV35" s="180"/>
      <c r="AW35" s="182" t="e">
        <f t="shared" si="30"/>
        <v>#N/A</v>
      </c>
      <c r="AX35" s="390"/>
      <c r="AZ35" s="182" t="e">
        <f t="shared" si="22"/>
        <v>#N/A</v>
      </c>
      <c r="BA35" s="385"/>
    </row>
    <row r="36" spans="2:53">
      <c r="B36" s="395"/>
      <c r="C36" s="182">
        <v>10</v>
      </c>
      <c r="D36" s="203"/>
      <c r="E36" s="166"/>
      <c r="F36" s="182"/>
      <c r="G36" s="180"/>
      <c r="H36" s="402"/>
      <c r="I36" s="166" t="str">
        <f t="shared" si="19"/>
        <v>-</v>
      </c>
      <c r="J36" s="166" t="str">
        <f t="shared" si="20"/>
        <v>-</v>
      </c>
      <c r="K36" s="180" t="str">
        <f t="shared" si="21"/>
        <v>-</v>
      </c>
      <c r="L36" s="402"/>
      <c r="M36" s="166" t="e">
        <f>RANK(K36, K$24:$K$41)</f>
        <v>#VALUE!</v>
      </c>
      <c r="N36" s="389"/>
      <c r="O36" s="389"/>
      <c r="P36" s="182"/>
      <c r="Q36" s="166"/>
      <c r="R36" s="166"/>
      <c r="S36" s="182" t="e">
        <f t="shared" si="24"/>
        <v>#N/A</v>
      </c>
      <c r="T36" s="390"/>
      <c r="U36" s="182"/>
      <c r="V36" s="166"/>
      <c r="W36" s="166"/>
      <c r="X36" s="182" t="e">
        <f t="shared" si="25"/>
        <v>#N/A</v>
      </c>
      <c r="Y36" s="390"/>
      <c r="Z36" s="182"/>
      <c r="AA36" s="166"/>
      <c r="AB36" s="166"/>
      <c r="AC36" s="182" t="e">
        <f t="shared" si="26"/>
        <v>#N/A</v>
      </c>
      <c r="AD36" s="390"/>
      <c r="AE36" s="182"/>
      <c r="AF36" s="166"/>
      <c r="AG36" s="166"/>
      <c r="AH36" s="182" t="e">
        <f t="shared" si="27"/>
        <v>#N/A</v>
      </c>
      <c r="AI36" s="390"/>
      <c r="AJ36" s="182"/>
      <c r="AK36" s="166"/>
      <c r="AL36" s="166"/>
      <c r="AM36" s="182" t="e">
        <f t="shared" si="28"/>
        <v>#N/A</v>
      </c>
      <c r="AN36" s="390"/>
      <c r="AO36" s="182"/>
      <c r="AP36" s="166"/>
      <c r="AQ36" s="166"/>
      <c r="AR36" s="182" t="e">
        <f t="shared" si="29"/>
        <v>#N/A</v>
      </c>
      <c r="AS36" s="390"/>
      <c r="AT36" s="182"/>
      <c r="AU36" s="182"/>
      <c r="AV36" s="180"/>
      <c r="AW36" s="182" t="e">
        <f t="shared" si="30"/>
        <v>#N/A</v>
      </c>
      <c r="AX36" s="390"/>
      <c r="AZ36" s="182" t="e">
        <f t="shared" si="22"/>
        <v>#N/A</v>
      </c>
      <c r="BA36" s="385"/>
    </row>
    <row r="37" spans="2:53">
      <c r="B37" s="395"/>
      <c r="C37" s="182">
        <v>11</v>
      </c>
      <c r="D37" s="203"/>
      <c r="E37" s="166"/>
      <c r="F37" s="182"/>
      <c r="G37" s="180"/>
      <c r="H37" s="402"/>
      <c r="I37" s="166" t="str">
        <f t="shared" si="19"/>
        <v>-</v>
      </c>
      <c r="J37" s="166" t="str">
        <f t="shared" si="20"/>
        <v>-</v>
      </c>
      <c r="K37" s="180" t="str">
        <f t="shared" si="21"/>
        <v>-</v>
      </c>
      <c r="L37" s="402"/>
      <c r="M37" s="166" t="e">
        <f>RANK(K37, K$24:$K$41)</f>
        <v>#VALUE!</v>
      </c>
      <c r="N37" s="389"/>
      <c r="O37" s="389"/>
      <c r="P37" s="182"/>
      <c r="Q37" s="166"/>
      <c r="R37" s="166"/>
      <c r="S37" s="182" t="e">
        <f t="shared" si="24"/>
        <v>#N/A</v>
      </c>
      <c r="T37" s="390"/>
      <c r="U37" s="182"/>
      <c r="V37" s="166"/>
      <c r="W37" s="166"/>
      <c r="X37" s="182" t="e">
        <f t="shared" si="25"/>
        <v>#N/A</v>
      </c>
      <c r="Y37" s="390"/>
      <c r="Z37" s="182"/>
      <c r="AA37" s="166"/>
      <c r="AB37" s="166"/>
      <c r="AC37" s="182" t="e">
        <f t="shared" si="26"/>
        <v>#N/A</v>
      </c>
      <c r="AD37" s="390"/>
      <c r="AE37" s="182"/>
      <c r="AF37" s="166"/>
      <c r="AG37" s="166"/>
      <c r="AH37" s="182" t="e">
        <f t="shared" si="27"/>
        <v>#N/A</v>
      </c>
      <c r="AI37" s="390"/>
      <c r="AJ37" s="182"/>
      <c r="AK37" s="166"/>
      <c r="AL37" s="166"/>
      <c r="AM37" s="182" t="e">
        <f t="shared" si="28"/>
        <v>#N/A</v>
      </c>
      <c r="AN37" s="390"/>
      <c r="AO37" s="182"/>
      <c r="AP37" s="166"/>
      <c r="AQ37" s="166"/>
      <c r="AR37" s="182" t="e">
        <f t="shared" si="29"/>
        <v>#N/A</v>
      </c>
      <c r="AS37" s="390"/>
      <c r="AT37" s="182"/>
      <c r="AU37" s="182"/>
      <c r="AV37" s="182"/>
      <c r="AW37" s="182" t="e">
        <f t="shared" si="30"/>
        <v>#N/A</v>
      </c>
      <c r="AX37" s="390"/>
      <c r="AZ37" s="182" t="e">
        <f t="shared" si="22"/>
        <v>#N/A</v>
      </c>
      <c r="BA37" s="385"/>
    </row>
    <row r="38" spans="2:53">
      <c r="B38" s="395"/>
      <c r="C38" s="182">
        <v>12</v>
      </c>
      <c r="D38" s="203"/>
      <c r="E38" s="166"/>
      <c r="F38" s="182"/>
      <c r="G38" s="180"/>
      <c r="H38" s="402"/>
      <c r="I38" s="166" t="str">
        <f t="shared" si="19"/>
        <v>-</v>
      </c>
      <c r="J38" s="166" t="str">
        <f t="shared" si="20"/>
        <v>-</v>
      </c>
      <c r="K38" s="180" t="str">
        <f t="shared" si="21"/>
        <v>-</v>
      </c>
      <c r="L38" s="402"/>
      <c r="M38" s="166" t="e">
        <f>RANK(K38, K$24:$K$41)</f>
        <v>#VALUE!</v>
      </c>
      <c r="N38" s="389"/>
      <c r="O38" s="389"/>
      <c r="P38" s="182"/>
      <c r="Q38" s="166"/>
      <c r="R38" s="166"/>
      <c r="S38" s="182" t="e">
        <f t="shared" si="24"/>
        <v>#N/A</v>
      </c>
      <c r="T38" s="390"/>
      <c r="U38" s="182"/>
      <c r="V38" s="166"/>
      <c r="W38" s="166"/>
      <c r="X38" s="182" t="e">
        <f t="shared" si="25"/>
        <v>#N/A</v>
      </c>
      <c r="Y38" s="390"/>
      <c r="Z38" s="182"/>
      <c r="AA38" s="166"/>
      <c r="AB38" s="166"/>
      <c r="AC38" s="182" t="e">
        <f t="shared" si="26"/>
        <v>#N/A</v>
      </c>
      <c r="AD38" s="390"/>
      <c r="AE38" s="182"/>
      <c r="AF38" s="166"/>
      <c r="AG38" s="166"/>
      <c r="AH38" s="182" t="e">
        <f t="shared" si="27"/>
        <v>#N/A</v>
      </c>
      <c r="AI38" s="390"/>
      <c r="AJ38" s="182"/>
      <c r="AK38" s="166"/>
      <c r="AL38" s="166"/>
      <c r="AM38" s="182" t="e">
        <f t="shared" si="28"/>
        <v>#N/A</v>
      </c>
      <c r="AN38" s="390"/>
      <c r="AO38" s="182"/>
      <c r="AP38" s="166"/>
      <c r="AQ38" s="166"/>
      <c r="AR38" s="182" t="e">
        <f t="shared" si="29"/>
        <v>#N/A</v>
      </c>
      <c r="AS38" s="390"/>
      <c r="AT38" s="182"/>
      <c r="AU38" s="182"/>
      <c r="AV38" s="182"/>
      <c r="AW38" s="182" t="e">
        <f t="shared" si="30"/>
        <v>#N/A</v>
      </c>
      <c r="AX38" s="390"/>
      <c r="AZ38" s="182" t="e">
        <f t="shared" si="22"/>
        <v>#N/A</v>
      </c>
      <c r="BA38" s="385"/>
    </row>
    <row r="39" spans="2:53">
      <c r="B39" s="395"/>
      <c r="C39" s="182">
        <v>13</v>
      </c>
      <c r="D39" s="203"/>
      <c r="E39" s="166"/>
      <c r="F39" s="182"/>
      <c r="G39" s="180"/>
      <c r="H39" s="402"/>
      <c r="I39" s="166" t="str">
        <f t="shared" si="19"/>
        <v>-</v>
      </c>
      <c r="J39" s="166" t="str">
        <f t="shared" si="20"/>
        <v>-</v>
      </c>
      <c r="K39" s="180" t="str">
        <f t="shared" si="21"/>
        <v>-</v>
      </c>
      <c r="L39" s="402"/>
      <c r="M39" s="166" t="e">
        <f>RANK(K39, K$24:$K$41)</f>
        <v>#VALUE!</v>
      </c>
      <c r="N39" s="389"/>
      <c r="O39" s="389"/>
      <c r="P39" s="182"/>
      <c r="Q39" s="166"/>
      <c r="R39" s="166"/>
      <c r="S39" s="182" t="e">
        <f t="shared" si="24"/>
        <v>#N/A</v>
      </c>
      <c r="T39" s="390"/>
      <c r="U39" s="182"/>
      <c r="V39" s="166"/>
      <c r="W39" s="166"/>
      <c r="X39" s="182" t="e">
        <f t="shared" si="25"/>
        <v>#N/A</v>
      </c>
      <c r="Y39" s="390"/>
      <c r="Z39" s="182"/>
      <c r="AA39" s="166"/>
      <c r="AB39" s="166"/>
      <c r="AC39" s="182" t="e">
        <f t="shared" si="26"/>
        <v>#N/A</v>
      </c>
      <c r="AD39" s="390"/>
      <c r="AE39" s="182"/>
      <c r="AF39" s="166"/>
      <c r="AG39" s="166"/>
      <c r="AH39" s="182" t="e">
        <f t="shared" si="27"/>
        <v>#N/A</v>
      </c>
      <c r="AI39" s="390"/>
      <c r="AJ39" s="182"/>
      <c r="AK39" s="166"/>
      <c r="AL39" s="166"/>
      <c r="AM39" s="182" t="e">
        <f t="shared" si="28"/>
        <v>#N/A</v>
      </c>
      <c r="AN39" s="390"/>
      <c r="AO39" s="182"/>
      <c r="AP39" s="166"/>
      <c r="AQ39" s="166"/>
      <c r="AR39" s="182" t="e">
        <f t="shared" si="29"/>
        <v>#N/A</v>
      </c>
      <c r="AS39" s="390"/>
      <c r="AT39" s="182"/>
      <c r="AU39" s="182"/>
      <c r="AV39" s="182"/>
      <c r="AW39" s="182" t="e">
        <f t="shared" si="30"/>
        <v>#N/A</v>
      </c>
      <c r="AX39" s="390"/>
      <c r="AZ39" s="182" t="e">
        <f t="shared" si="22"/>
        <v>#N/A</v>
      </c>
      <c r="BA39" s="385"/>
    </row>
    <row r="40" spans="2:53">
      <c r="B40" s="395"/>
      <c r="C40" s="182">
        <v>14</v>
      </c>
      <c r="D40" s="203"/>
      <c r="E40" s="166"/>
      <c r="F40" s="182"/>
      <c r="G40" s="180"/>
      <c r="H40" s="402"/>
      <c r="I40" s="166" t="str">
        <f t="shared" si="19"/>
        <v>-</v>
      </c>
      <c r="J40" s="166" t="str">
        <f t="shared" si="20"/>
        <v>-</v>
      </c>
      <c r="K40" s="180" t="str">
        <f t="shared" si="21"/>
        <v>-</v>
      </c>
      <c r="L40" s="402"/>
      <c r="M40" s="166" t="e">
        <f>RANK(K40, K$24:$K$41)</f>
        <v>#VALUE!</v>
      </c>
      <c r="N40" s="389"/>
      <c r="O40" s="389"/>
      <c r="P40" s="182"/>
      <c r="Q40" s="166"/>
      <c r="R40" s="166"/>
      <c r="S40" s="182" t="e">
        <f t="shared" si="24"/>
        <v>#N/A</v>
      </c>
      <c r="T40" s="390"/>
      <c r="U40" s="182"/>
      <c r="V40" s="166"/>
      <c r="W40" s="166"/>
      <c r="X40" s="182" t="e">
        <f t="shared" si="25"/>
        <v>#N/A</v>
      </c>
      <c r="Y40" s="390"/>
      <c r="Z40" s="182"/>
      <c r="AA40" s="166"/>
      <c r="AB40" s="166"/>
      <c r="AC40" s="182" t="e">
        <f t="shared" si="26"/>
        <v>#N/A</v>
      </c>
      <c r="AD40" s="390"/>
      <c r="AE40" s="182"/>
      <c r="AF40" s="166"/>
      <c r="AG40" s="166"/>
      <c r="AH40" s="182" t="e">
        <f t="shared" si="27"/>
        <v>#N/A</v>
      </c>
      <c r="AI40" s="390"/>
      <c r="AJ40" s="182"/>
      <c r="AK40" s="166"/>
      <c r="AL40" s="166"/>
      <c r="AM40" s="182" t="e">
        <f t="shared" si="28"/>
        <v>#N/A</v>
      </c>
      <c r="AN40" s="390"/>
      <c r="AO40" s="182"/>
      <c r="AP40" s="166"/>
      <c r="AQ40" s="166"/>
      <c r="AR40" s="182" t="e">
        <f t="shared" si="29"/>
        <v>#N/A</v>
      </c>
      <c r="AS40" s="390"/>
      <c r="AT40" s="182"/>
      <c r="AU40" s="182"/>
      <c r="AV40" s="182"/>
      <c r="AW40" s="182" t="e">
        <f t="shared" si="30"/>
        <v>#N/A</v>
      </c>
      <c r="AX40" s="390"/>
      <c r="AZ40" s="182" t="e">
        <f t="shared" si="22"/>
        <v>#N/A</v>
      </c>
      <c r="BA40" s="385"/>
    </row>
    <row r="41" spans="2:53">
      <c r="B41" s="395"/>
      <c r="C41" s="182">
        <v>15</v>
      </c>
      <c r="D41" s="203"/>
      <c r="E41" s="166"/>
      <c r="F41" s="182"/>
      <c r="G41" s="180"/>
      <c r="H41" s="403"/>
      <c r="I41" s="182"/>
      <c r="J41" s="182"/>
      <c r="K41" s="182"/>
      <c r="L41" s="403"/>
      <c r="M41" s="166" t="e">
        <f>RANK(K41, K$24:$K$41)</f>
        <v>#N/A</v>
      </c>
      <c r="N41" s="389"/>
      <c r="O41" s="389"/>
      <c r="P41" s="182"/>
      <c r="Q41" s="166"/>
      <c r="R41" s="166"/>
      <c r="S41" s="182" t="e">
        <f t="shared" si="24"/>
        <v>#N/A</v>
      </c>
      <c r="T41" s="390"/>
      <c r="U41" s="182"/>
      <c r="V41" s="166"/>
      <c r="W41" s="166"/>
      <c r="X41" s="182" t="e">
        <f t="shared" si="25"/>
        <v>#N/A</v>
      </c>
      <c r="Y41" s="390"/>
      <c r="Z41" s="182"/>
      <c r="AA41" s="166"/>
      <c r="AB41" s="166"/>
      <c r="AC41" s="182" t="e">
        <f t="shared" si="26"/>
        <v>#N/A</v>
      </c>
      <c r="AD41" s="390"/>
      <c r="AE41" s="182"/>
      <c r="AF41" s="166"/>
      <c r="AG41" s="166"/>
      <c r="AH41" s="182" t="e">
        <f t="shared" si="27"/>
        <v>#N/A</v>
      </c>
      <c r="AI41" s="390"/>
      <c r="AJ41" s="182"/>
      <c r="AK41" s="166"/>
      <c r="AL41" s="166"/>
      <c r="AM41" s="182" t="e">
        <f t="shared" si="28"/>
        <v>#N/A</v>
      </c>
      <c r="AN41" s="390"/>
      <c r="AO41" s="182"/>
      <c r="AP41" s="166"/>
      <c r="AQ41" s="166"/>
      <c r="AR41" s="182" t="e">
        <f t="shared" si="29"/>
        <v>#N/A</v>
      </c>
      <c r="AS41" s="390"/>
      <c r="AT41" s="182"/>
      <c r="AU41" s="182"/>
      <c r="AV41" s="182"/>
      <c r="AW41" s="182" t="e">
        <f t="shared" si="30"/>
        <v>#N/A</v>
      </c>
      <c r="AX41" s="390"/>
      <c r="AZ41" s="182" t="e">
        <f t="shared" si="22"/>
        <v>#N/A</v>
      </c>
      <c r="BA41" s="386"/>
    </row>
    <row r="42" spans="2:53" ht="15.75">
      <c r="B42" s="424" t="s">
        <v>163</v>
      </c>
      <c r="C42" s="425"/>
      <c r="D42" s="425"/>
      <c r="E42" s="425"/>
      <c r="F42" s="425"/>
      <c r="G42" s="425"/>
      <c r="H42" s="425"/>
      <c r="I42" s="186"/>
      <c r="J42" s="183"/>
      <c r="K42" s="186"/>
      <c r="L42" s="186"/>
      <c r="M42" s="178"/>
      <c r="N42" s="391" t="s">
        <v>156</v>
      </c>
      <c r="O42" s="391" t="s">
        <v>105</v>
      </c>
      <c r="P42" s="413">
        <f>P22+7</f>
        <v>46154</v>
      </c>
      <c r="Q42" s="395"/>
      <c r="R42" s="395"/>
      <c r="S42" s="395"/>
      <c r="T42" s="395"/>
      <c r="U42" s="410">
        <f>P42+1</f>
        <v>46155</v>
      </c>
      <c r="V42" s="411"/>
      <c r="W42" s="411"/>
      <c r="X42" s="411"/>
      <c r="Y42" s="412"/>
      <c r="Z42" s="410">
        <f>U42+1</f>
        <v>46156</v>
      </c>
      <c r="AA42" s="411"/>
      <c r="AB42" s="411"/>
      <c r="AC42" s="411"/>
      <c r="AD42" s="412"/>
      <c r="AE42" s="410">
        <f>Z42+1</f>
        <v>46157</v>
      </c>
      <c r="AF42" s="411"/>
      <c r="AG42" s="411"/>
      <c r="AH42" s="411"/>
      <c r="AI42" s="412"/>
      <c r="AJ42" s="410">
        <f>AE42+1</f>
        <v>46158</v>
      </c>
      <c r="AK42" s="411"/>
      <c r="AL42" s="411"/>
      <c r="AM42" s="411"/>
      <c r="AN42" s="412"/>
      <c r="AO42" s="410">
        <f>AJ42+1</f>
        <v>46159</v>
      </c>
      <c r="AP42" s="411"/>
      <c r="AQ42" s="411"/>
      <c r="AR42" s="411"/>
      <c r="AS42" s="412"/>
      <c r="AT42" s="410">
        <f>AO42+1</f>
        <v>46160</v>
      </c>
      <c r="AU42" s="411"/>
      <c r="AV42" s="411"/>
      <c r="AW42" s="411"/>
      <c r="AX42" s="412"/>
    </row>
    <row r="43" spans="2:53" ht="15.75">
      <c r="B43" s="416"/>
      <c r="C43" s="416"/>
      <c r="D43" s="416"/>
      <c r="E43" s="416"/>
      <c r="F43" s="416"/>
      <c r="G43" s="416"/>
      <c r="H43" s="416"/>
      <c r="I43" s="184"/>
      <c r="J43" s="184"/>
      <c r="K43" s="184"/>
      <c r="L43" s="184"/>
      <c r="M43" s="179"/>
      <c r="N43" s="393"/>
      <c r="O43" s="393"/>
      <c r="P43" s="413" t="s">
        <v>318</v>
      </c>
      <c r="Q43" s="395"/>
      <c r="R43" s="395"/>
      <c r="S43" s="395"/>
      <c r="T43" s="395"/>
      <c r="U43" s="413" t="s">
        <v>319</v>
      </c>
      <c r="V43" s="395"/>
      <c r="W43" s="395"/>
      <c r="X43" s="395"/>
      <c r="Y43" s="395"/>
      <c r="Z43" s="413" t="s">
        <v>320</v>
      </c>
      <c r="AA43" s="395"/>
      <c r="AB43" s="395"/>
      <c r="AC43" s="395"/>
      <c r="AD43" s="395"/>
      <c r="AE43" s="413" t="s">
        <v>321</v>
      </c>
      <c r="AF43" s="395"/>
      <c r="AG43" s="395"/>
      <c r="AH43" s="395"/>
      <c r="AI43" s="395"/>
      <c r="AJ43" s="413" t="s">
        <v>322</v>
      </c>
      <c r="AK43" s="395"/>
      <c r="AL43" s="395"/>
      <c r="AM43" s="395"/>
      <c r="AN43" s="395"/>
      <c r="AO43" s="413" t="s">
        <v>323</v>
      </c>
      <c r="AP43" s="395"/>
      <c r="AQ43" s="395"/>
      <c r="AR43" s="395"/>
      <c r="AS43" s="395"/>
      <c r="AT43" s="413" t="s">
        <v>324</v>
      </c>
      <c r="AU43" s="395"/>
      <c r="AV43" s="395"/>
      <c r="AW43" s="395"/>
      <c r="AX43" s="395"/>
    </row>
    <row r="44" spans="2:53">
      <c r="B44" s="389" t="s">
        <v>467</v>
      </c>
      <c r="C44" s="389" t="s">
        <v>556</v>
      </c>
      <c r="D44" s="389"/>
      <c r="E44" s="389" t="s">
        <v>557</v>
      </c>
      <c r="F44" s="389"/>
      <c r="G44" s="389"/>
      <c r="H44" s="417" t="s">
        <v>558</v>
      </c>
      <c r="I44" s="389" t="s">
        <v>559</v>
      </c>
      <c r="J44" s="389"/>
      <c r="K44" s="389"/>
      <c r="L44" s="417" t="s">
        <v>373</v>
      </c>
      <c r="M44" s="391" t="s">
        <v>560</v>
      </c>
      <c r="N44" s="389"/>
      <c r="O44" s="389" t="s">
        <v>379</v>
      </c>
      <c r="P44" s="404" t="s">
        <v>375</v>
      </c>
      <c r="Q44" s="405"/>
      <c r="R44" s="405"/>
      <c r="S44" s="406"/>
      <c r="T44" s="389" t="s">
        <v>373</v>
      </c>
      <c r="U44" s="404" t="s">
        <v>375</v>
      </c>
      <c r="V44" s="405"/>
      <c r="W44" s="405"/>
      <c r="X44" s="406"/>
      <c r="Y44" s="389" t="s">
        <v>373</v>
      </c>
      <c r="Z44" s="404" t="s">
        <v>375</v>
      </c>
      <c r="AA44" s="405"/>
      <c r="AB44" s="405"/>
      <c r="AC44" s="406"/>
      <c r="AD44" s="389" t="s">
        <v>373</v>
      </c>
      <c r="AE44" s="404" t="s">
        <v>375</v>
      </c>
      <c r="AF44" s="405"/>
      <c r="AG44" s="405"/>
      <c r="AH44" s="406"/>
      <c r="AI44" s="389" t="s">
        <v>373</v>
      </c>
      <c r="AJ44" s="404" t="s">
        <v>375</v>
      </c>
      <c r="AK44" s="405"/>
      <c r="AL44" s="405"/>
      <c r="AM44" s="406"/>
      <c r="AN44" s="389" t="s">
        <v>373</v>
      </c>
      <c r="AO44" s="404" t="s">
        <v>375</v>
      </c>
      <c r="AP44" s="405"/>
      <c r="AQ44" s="405"/>
      <c r="AR44" s="406"/>
      <c r="AS44" s="389" t="s">
        <v>373</v>
      </c>
      <c r="AT44" s="404" t="s">
        <v>375</v>
      </c>
      <c r="AU44" s="405"/>
      <c r="AV44" s="405"/>
      <c r="AW44" s="406"/>
      <c r="AX44" s="389" t="s">
        <v>373</v>
      </c>
      <c r="BA44" s="389" t="s">
        <v>373</v>
      </c>
    </row>
    <row r="45" spans="2:53">
      <c r="B45" s="389"/>
      <c r="C45" s="389"/>
      <c r="D45" s="389"/>
      <c r="E45" s="389" t="s">
        <v>562</v>
      </c>
      <c r="F45" s="389"/>
      <c r="G45" s="389"/>
      <c r="H45" s="418"/>
      <c r="I45" s="389" t="s">
        <v>562</v>
      </c>
      <c r="J45" s="389"/>
      <c r="K45" s="389"/>
      <c r="L45" s="418"/>
      <c r="M45" s="392"/>
      <c r="N45" s="389"/>
      <c r="O45" s="389"/>
      <c r="P45" s="404" t="s">
        <v>381</v>
      </c>
      <c r="Q45" s="405"/>
      <c r="R45" s="405"/>
      <c r="S45" s="406"/>
      <c r="T45" s="389"/>
      <c r="U45" s="404" t="s">
        <v>381</v>
      </c>
      <c r="V45" s="405"/>
      <c r="W45" s="405"/>
      <c r="X45" s="406"/>
      <c r="Y45" s="389"/>
      <c r="Z45" s="404" t="s">
        <v>381</v>
      </c>
      <c r="AA45" s="405"/>
      <c r="AB45" s="405"/>
      <c r="AC45" s="406"/>
      <c r="AD45" s="389"/>
      <c r="AE45" s="404" t="s">
        <v>381</v>
      </c>
      <c r="AF45" s="405"/>
      <c r="AG45" s="405"/>
      <c r="AH45" s="406"/>
      <c r="AI45" s="389"/>
      <c r="AJ45" s="404" t="s">
        <v>381</v>
      </c>
      <c r="AK45" s="405"/>
      <c r="AL45" s="405"/>
      <c r="AM45" s="406"/>
      <c r="AN45" s="389"/>
      <c r="AO45" s="404" t="s">
        <v>381</v>
      </c>
      <c r="AP45" s="405"/>
      <c r="AQ45" s="405"/>
      <c r="AR45" s="406"/>
      <c r="AS45" s="389"/>
      <c r="AT45" s="404" t="s">
        <v>381</v>
      </c>
      <c r="AU45" s="405"/>
      <c r="AV45" s="405"/>
      <c r="AW45" s="406"/>
      <c r="AX45" s="389"/>
      <c r="BA45" s="389"/>
    </row>
    <row r="46" spans="2:53">
      <c r="B46" s="389"/>
      <c r="C46" s="389"/>
      <c r="D46" s="389"/>
      <c r="E46" s="258" t="s">
        <v>563</v>
      </c>
      <c r="F46" s="258" t="s">
        <v>564</v>
      </c>
      <c r="G46" s="258" t="s">
        <v>565</v>
      </c>
      <c r="H46" s="419"/>
      <c r="I46" s="258" t="s">
        <v>563</v>
      </c>
      <c r="J46" s="258" t="s">
        <v>564</v>
      </c>
      <c r="K46" s="258" t="s">
        <v>565</v>
      </c>
      <c r="L46" s="419"/>
      <c r="M46" s="393"/>
      <c r="N46" s="389"/>
      <c r="O46" s="389"/>
      <c r="P46" s="258" t="s">
        <v>382</v>
      </c>
      <c r="Q46" s="258" t="s">
        <v>383</v>
      </c>
      <c r="R46" s="258" t="s">
        <v>384</v>
      </c>
      <c r="S46" s="258" t="s">
        <v>374</v>
      </c>
      <c r="T46" s="389"/>
      <c r="U46" s="258" t="s">
        <v>382</v>
      </c>
      <c r="V46" s="258" t="s">
        <v>383</v>
      </c>
      <c r="W46" s="258" t="s">
        <v>384</v>
      </c>
      <c r="X46" s="258" t="s">
        <v>374</v>
      </c>
      <c r="Y46" s="389"/>
      <c r="Z46" s="258" t="s">
        <v>382</v>
      </c>
      <c r="AA46" s="258" t="s">
        <v>383</v>
      </c>
      <c r="AB46" s="258" t="s">
        <v>384</v>
      </c>
      <c r="AC46" s="258" t="s">
        <v>374</v>
      </c>
      <c r="AD46" s="389"/>
      <c r="AE46" s="258" t="s">
        <v>382</v>
      </c>
      <c r="AF46" s="258" t="s">
        <v>383</v>
      </c>
      <c r="AG46" s="258" t="s">
        <v>384</v>
      </c>
      <c r="AH46" s="258" t="s">
        <v>374</v>
      </c>
      <c r="AI46" s="389"/>
      <c r="AJ46" s="258" t="s">
        <v>382</v>
      </c>
      <c r="AK46" s="258" t="s">
        <v>383</v>
      </c>
      <c r="AL46" s="258" t="s">
        <v>384</v>
      </c>
      <c r="AM46" s="258" t="s">
        <v>374</v>
      </c>
      <c r="AN46" s="389"/>
      <c r="AO46" s="258" t="s">
        <v>382</v>
      </c>
      <c r="AP46" s="258" t="s">
        <v>383</v>
      </c>
      <c r="AQ46" s="258" t="s">
        <v>384</v>
      </c>
      <c r="AR46" s="258" t="s">
        <v>374</v>
      </c>
      <c r="AS46" s="389"/>
      <c r="AT46" s="258" t="s">
        <v>382</v>
      </c>
      <c r="AU46" s="258" t="s">
        <v>383</v>
      </c>
      <c r="AV46" s="258" t="s">
        <v>384</v>
      </c>
      <c r="AW46" s="258" t="s">
        <v>374</v>
      </c>
      <c r="AX46" s="389"/>
      <c r="AZ46" s="258" t="s">
        <v>591</v>
      </c>
      <c r="BA46" s="389"/>
    </row>
    <row r="47" spans="2:53">
      <c r="B47" s="389" t="s">
        <v>482</v>
      </c>
      <c r="C47" s="182">
        <v>1</v>
      </c>
      <c r="D47" s="203" t="s">
        <v>356</v>
      </c>
      <c r="E47" s="166">
        <v>20</v>
      </c>
      <c r="F47" s="182">
        <v>2400</v>
      </c>
      <c r="G47" s="180">
        <v>120</v>
      </c>
      <c r="H47" s="401">
        <f>AVERAGE(G47:G61)</f>
        <v>153.87142857142857</v>
      </c>
      <c r="I47" s="166">
        <f t="shared" ref="I47:I60" si="31">IFERROR(AVERAGE(P47,U47,Z47,AE47,AJ47,AO47,AT47),"-")</f>
        <v>20</v>
      </c>
      <c r="J47" s="166">
        <f t="shared" ref="J47:J60" si="32">IFERROR(AVERAGE(Q47,V47,AA47,AF47,AK47,AP47,AU47),"-")</f>
        <v>2252.7798887605663</v>
      </c>
      <c r="K47" s="180">
        <f t="shared" ref="K47:K60" si="33">IFERROR(AVERAGE(R47,W47,AB47,AG47,AL47,AQ47,AV47),"-")</f>
        <v>112.63899443802829</v>
      </c>
      <c r="L47" s="401">
        <f>IFERROR(AVERAGE(K47:K61),"-")</f>
        <v>128.75504391604022</v>
      </c>
      <c r="M47" s="166">
        <f>RANK(K47, K$47:$K$61)</f>
        <v>7</v>
      </c>
      <c r="N47" s="389"/>
      <c r="O47" s="389"/>
      <c r="P47" s="182">
        <v>20</v>
      </c>
      <c r="Q47" s="166">
        <v>2360.8609271523173</v>
      </c>
      <c r="R47" s="166">
        <v>118.04304635761586</v>
      </c>
      <c r="S47" s="182">
        <f t="shared" ref="S47:S61" si="34">RANK(R47, R$47:R$61)</f>
        <v>7</v>
      </c>
      <c r="T47" s="384">
        <f t="shared" ref="T47" si="35">AVERAGE(R47:R61)</f>
        <v>132.35935246040313</v>
      </c>
      <c r="U47" s="182">
        <v>20</v>
      </c>
      <c r="V47" s="166">
        <v>2259.6183206106871</v>
      </c>
      <c r="W47" s="166">
        <v>112.98091603053436</v>
      </c>
      <c r="X47" s="182">
        <f t="shared" ref="X47:X61" si="36">RANK(W47, W$47:W$61)</f>
        <v>7</v>
      </c>
      <c r="Y47" s="384">
        <f t="shared" ref="Y47" si="37">AVERAGE(W47:W61)</f>
        <v>128.25685050572662</v>
      </c>
      <c r="Z47" s="182">
        <v>20</v>
      </c>
      <c r="AA47" s="166">
        <v>2216.3428571428567</v>
      </c>
      <c r="AB47" s="166">
        <v>110.81714285714284</v>
      </c>
      <c r="AC47" s="182">
        <f t="shared" ref="AC47:AC61" si="38">RANK(AB47, AB$47:AB$61)</f>
        <v>7</v>
      </c>
      <c r="AD47" s="384">
        <f t="shared" ref="AD47" si="39">AVERAGE(AB47:AB61)</f>
        <v>127.19686935704577</v>
      </c>
      <c r="AE47" s="182">
        <v>20</v>
      </c>
      <c r="AF47" s="166">
        <v>2248.0615384615389</v>
      </c>
      <c r="AG47" s="166">
        <v>112.40307692307695</v>
      </c>
      <c r="AH47" s="182">
        <f t="shared" ref="AH47:AH61" si="40">RANK(AG47, AG$47:AG$61)</f>
        <v>7</v>
      </c>
      <c r="AI47" s="384">
        <f t="shared" ref="AI47" si="41">AVERAGE(AG47:AG61)</f>
        <v>128.02975510255678</v>
      </c>
      <c r="AJ47" s="182">
        <v>20</v>
      </c>
      <c r="AK47" s="166">
        <v>2241.0915254237293</v>
      </c>
      <c r="AL47" s="166">
        <v>112.05457627118646</v>
      </c>
      <c r="AM47" s="182">
        <f t="shared" ref="AM47:AM61" si="42">RANK(AL47, AL$47:AL$61)</f>
        <v>7</v>
      </c>
      <c r="AN47" s="384">
        <f t="shared" ref="AN47" si="43">AVERAGE(AL47:AL61)</f>
        <v>128.16946654688337</v>
      </c>
      <c r="AO47" s="182">
        <v>20</v>
      </c>
      <c r="AP47" s="166">
        <v>2234.2609756097568</v>
      </c>
      <c r="AQ47" s="166">
        <v>111.71304878048784</v>
      </c>
      <c r="AR47" s="182">
        <f t="shared" ref="AR47:AR61" si="44">RANK(AQ47, AQ$47:AQ$61)</f>
        <v>7</v>
      </c>
      <c r="AS47" s="384">
        <f t="shared" ref="AS47" si="45">AVERAGE(AQ47:AQ61)</f>
        <v>127.42170119373702</v>
      </c>
      <c r="AT47" s="182">
        <v>20</v>
      </c>
      <c r="AU47" s="166">
        <v>2209.2230769230773</v>
      </c>
      <c r="AV47" s="166">
        <v>110.46115384615386</v>
      </c>
      <c r="AW47" s="182">
        <f t="shared" ref="AW47:AW61" si="46">RANK(AV47, AV$47:AV$61)</f>
        <v>7</v>
      </c>
      <c r="AX47" s="384">
        <f t="shared" ref="AX47" si="47">AVERAGE(AV47:AV61)</f>
        <v>129.85131224592885</v>
      </c>
      <c r="AZ47" s="182" t="e">
        <f t="shared" ref="AZ47:AZ61" si="48">RANK(AY47, AY$47:AY$61)</f>
        <v>#N/A</v>
      </c>
      <c r="BA47" s="384" t="e">
        <f t="shared" ref="BA47" si="49">AVERAGE(AY47:AY61)</f>
        <v>#DIV/0!</v>
      </c>
    </row>
    <row r="48" spans="2:53">
      <c r="B48" s="395"/>
      <c r="C48" s="182">
        <v>2</v>
      </c>
      <c r="D48" s="203" t="s">
        <v>357</v>
      </c>
      <c r="E48" s="166">
        <v>18</v>
      </c>
      <c r="F48" s="182">
        <v>2700</v>
      </c>
      <c r="G48" s="180">
        <v>166.7</v>
      </c>
      <c r="H48" s="402"/>
      <c r="I48" s="166">
        <f t="shared" si="31"/>
        <v>18.857142857142858</v>
      </c>
      <c r="J48" s="166">
        <f t="shared" si="32"/>
        <v>2519.0396243355331</v>
      </c>
      <c r="K48" s="180">
        <f t="shared" si="33"/>
        <v>133.63665699472918</v>
      </c>
      <c r="L48" s="402"/>
      <c r="M48" s="166">
        <f>RANK(K48, K$47:$K$61)</f>
        <v>2</v>
      </c>
      <c r="N48" s="389"/>
      <c r="O48" s="389"/>
      <c r="P48" s="182">
        <v>19</v>
      </c>
      <c r="Q48" s="166">
        <v>2545.0000000000023</v>
      </c>
      <c r="R48" s="166">
        <v>133.94736842105274</v>
      </c>
      <c r="S48" s="182">
        <f t="shared" si="34"/>
        <v>5</v>
      </c>
      <c r="T48" s="385"/>
      <c r="U48" s="182">
        <v>19</v>
      </c>
      <c r="V48" s="166">
        <v>2504.5161290322603</v>
      </c>
      <c r="W48" s="166">
        <v>131.81663837011897</v>
      </c>
      <c r="X48" s="182">
        <f t="shared" si="36"/>
        <v>4</v>
      </c>
      <c r="Y48" s="385"/>
      <c r="Z48" s="182">
        <v>19</v>
      </c>
      <c r="AA48" s="166">
        <v>2520.9677419354862</v>
      </c>
      <c r="AB48" s="166">
        <v>132.68251273344663</v>
      </c>
      <c r="AC48" s="182">
        <f t="shared" si="38"/>
        <v>2</v>
      </c>
      <c r="AD48" s="385"/>
      <c r="AE48" s="182">
        <v>19</v>
      </c>
      <c r="AF48" s="166">
        <v>2468.7096774193569</v>
      </c>
      <c r="AG48" s="166">
        <v>129.9320882852293</v>
      </c>
      <c r="AH48" s="182">
        <f t="shared" si="40"/>
        <v>4</v>
      </c>
      <c r="AI48" s="385"/>
      <c r="AJ48" s="182">
        <v>19</v>
      </c>
      <c r="AK48" s="166">
        <v>2517.8571428571445</v>
      </c>
      <c r="AL48" s="166">
        <v>132.5187969924813</v>
      </c>
      <c r="AM48" s="182">
        <f t="shared" si="42"/>
        <v>3</v>
      </c>
      <c r="AN48" s="385"/>
      <c r="AO48" s="182">
        <v>19</v>
      </c>
      <c r="AP48" s="166">
        <v>2549.0625000000032</v>
      </c>
      <c r="AQ48" s="166">
        <v>134.16118421052647</v>
      </c>
      <c r="AR48" s="182">
        <f t="shared" si="44"/>
        <v>2</v>
      </c>
      <c r="AS48" s="385"/>
      <c r="AT48" s="182">
        <v>18</v>
      </c>
      <c r="AU48" s="166">
        <v>2527.1641791044776</v>
      </c>
      <c r="AV48" s="166">
        <v>140.39800995024876</v>
      </c>
      <c r="AW48" s="182">
        <f t="shared" si="46"/>
        <v>1</v>
      </c>
      <c r="AX48" s="385"/>
      <c r="AZ48" s="182" t="e">
        <f t="shared" si="48"/>
        <v>#N/A</v>
      </c>
      <c r="BA48" s="385"/>
    </row>
    <row r="49" spans="2:53">
      <c r="B49" s="395"/>
      <c r="C49" s="182">
        <v>3</v>
      </c>
      <c r="D49" s="203" t="s">
        <v>358</v>
      </c>
      <c r="E49" s="166">
        <v>18</v>
      </c>
      <c r="F49" s="182">
        <v>2700</v>
      </c>
      <c r="G49" s="180">
        <v>166.7</v>
      </c>
      <c r="H49" s="402"/>
      <c r="I49" s="166">
        <f t="shared" si="31"/>
        <v>19</v>
      </c>
      <c r="J49" s="166">
        <f t="shared" si="32"/>
        <v>2523.3901226532112</v>
      </c>
      <c r="K49" s="180">
        <f t="shared" si="33"/>
        <v>132.81000645543216</v>
      </c>
      <c r="L49" s="402"/>
      <c r="M49" s="166">
        <f>RANK(K49, K$47:$K$61)</f>
        <v>3</v>
      </c>
      <c r="N49" s="389"/>
      <c r="O49" s="389"/>
      <c r="P49" s="182">
        <v>19</v>
      </c>
      <c r="Q49" s="166">
        <v>2567.0454545454545</v>
      </c>
      <c r="R49" s="166">
        <v>135.10765550239233</v>
      </c>
      <c r="S49" s="182">
        <f t="shared" si="34"/>
        <v>4</v>
      </c>
      <c r="T49" s="385"/>
      <c r="U49" s="182">
        <v>19</v>
      </c>
      <c r="V49" s="166">
        <v>2537.2340425531916</v>
      </c>
      <c r="W49" s="166">
        <v>133.53863381858903</v>
      </c>
      <c r="X49" s="182">
        <f t="shared" si="36"/>
        <v>2</v>
      </c>
      <c r="Y49" s="385"/>
      <c r="Z49" s="182">
        <v>19</v>
      </c>
      <c r="AA49" s="166">
        <v>2516.6666666666665</v>
      </c>
      <c r="AB49" s="166">
        <v>132.45614035087718</v>
      </c>
      <c r="AC49" s="182">
        <f t="shared" si="38"/>
        <v>3</v>
      </c>
      <c r="AD49" s="385"/>
      <c r="AE49" s="182">
        <v>19</v>
      </c>
      <c r="AF49" s="166">
        <v>2549.1891891891873</v>
      </c>
      <c r="AG49" s="166">
        <v>134.16785206258882</v>
      </c>
      <c r="AH49" s="182">
        <f t="shared" si="40"/>
        <v>2</v>
      </c>
      <c r="AI49" s="385"/>
      <c r="AJ49" s="182">
        <v>19</v>
      </c>
      <c r="AK49" s="166">
        <v>2519.9999999999977</v>
      </c>
      <c r="AL49" s="166">
        <v>132.6315789473683</v>
      </c>
      <c r="AM49" s="182">
        <f t="shared" si="42"/>
        <v>2</v>
      </c>
      <c r="AN49" s="385"/>
      <c r="AO49" s="182">
        <v>19</v>
      </c>
      <c r="AP49" s="166">
        <v>2483.5955056179773</v>
      </c>
      <c r="AQ49" s="166">
        <v>130.71555292726197</v>
      </c>
      <c r="AR49" s="182">
        <f t="shared" si="44"/>
        <v>4</v>
      </c>
      <c r="AS49" s="385"/>
      <c r="AT49" s="182">
        <v>19</v>
      </c>
      <c r="AU49" s="166">
        <v>2490.0000000000005</v>
      </c>
      <c r="AV49" s="166">
        <v>131.0526315789474</v>
      </c>
      <c r="AW49" s="182">
        <f t="shared" si="46"/>
        <v>5</v>
      </c>
      <c r="AX49" s="385"/>
      <c r="AZ49" s="182" t="e">
        <f t="shared" si="48"/>
        <v>#N/A</v>
      </c>
      <c r="BA49" s="385"/>
    </row>
    <row r="50" spans="2:53">
      <c r="B50" s="395"/>
      <c r="C50" s="182">
        <v>4</v>
      </c>
      <c r="D50" s="203" t="s">
        <v>359</v>
      </c>
      <c r="E50" s="166">
        <v>19</v>
      </c>
      <c r="F50" s="182">
        <v>2700</v>
      </c>
      <c r="G50" s="180">
        <v>157.9</v>
      </c>
      <c r="H50" s="402"/>
      <c r="I50" s="166">
        <f t="shared" si="31"/>
        <v>19</v>
      </c>
      <c r="J50" s="166">
        <f t="shared" si="32"/>
        <v>2522.7449470172683</v>
      </c>
      <c r="K50" s="180">
        <f t="shared" si="33"/>
        <v>132.77604984301414</v>
      </c>
      <c r="L50" s="402"/>
      <c r="M50" s="166">
        <f>RANK(K50, K$47:$K$61)</f>
        <v>4</v>
      </c>
      <c r="N50" s="389"/>
      <c r="O50" s="389"/>
      <c r="P50" s="182">
        <v>19</v>
      </c>
      <c r="Q50" s="166">
        <v>2575.8974358974347</v>
      </c>
      <c r="R50" s="166">
        <v>135.57354925775971</v>
      </c>
      <c r="S50" s="182">
        <f t="shared" si="34"/>
        <v>3</v>
      </c>
      <c r="T50" s="385"/>
      <c r="U50" s="182">
        <v>19</v>
      </c>
      <c r="V50" s="166">
        <v>2530.7812499999995</v>
      </c>
      <c r="W50" s="166">
        <v>133.19901315789471</v>
      </c>
      <c r="X50" s="182">
        <f t="shared" si="36"/>
        <v>3</v>
      </c>
      <c r="Y50" s="385"/>
      <c r="Z50" s="182">
        <v>19</v>
      </c>
      <c r="AA50" s="166">
        <v>2507.3333333333335</v>
      </c>
      <c r="AB50" s="166">
        <v>131.96491228070175</v>
      </c>
      <c r="AC50" s="182">
        <f t="shared" si="38"/>
        <v>4</v>
      </c>
      <c r="AD50" s="385"/>
      <c r="AE50" s="182">
        <v>19</v>
      </c>
      <c r="AF50" s="166">
        <v>2530.9615384615395</v>
      </c>
      <c r="AG50" s="166">
        <v>133.20850202429156</v>
      </c>
      <c r="AH50" s="182">
        <f t="shared" si="40"/>
        <v>3</v>
      </c>
      <c r="AI50" s="385"/>
      <c r="AJ50" s="182">
        <v>19</v>
      </c>
      <c r="AK50" s="166">
        <v>2500.0000000000014</v>
      </c>
      <c r="AL50" s="166">
        <v>131.57894736842113</v>
      </c>
      <c r="AM50" s="182">
        <f t="shared" si="42"/>
        <v>4</v>
      </c>
      <c r="AN50" s="385"/>
      <c r="AO50" s="182">
        <v>19</v>
      </c>
      <c r="AP50" s="166">
        <v>2492.8124999999995</v>
      </c>
      <c r="AQ50" s="166">
        <v>131.20065789473682</v>
      </c>
      <c r="AR50" s="182">
        <f t="shared" si="44"/>
        <v>3</v>
      </c>
      <c r="AS50" s="385"/>
      <c r="AT50" s="182">
        <v>19</v>
      </c>
      <c r="AU50" s="166">
        <v>2521.4285714285706</v>
      </c>
      <c r="AV50" s="166">
        <v>132.70676691729318</v>
      </c>
      <c r="AW50" s="182">
        <f t="shared" si="46"/>
        <v>4</v>
      </c>
      <c r="AX50" s="385"/>
      <c r="AZ50" s="182" t="e">
        <f t="shared" si="48"/>
        <v>#N/A</v>
      </c>
      <c r="BA50" s="385"/>
    </row>
    <row r="51" spans="2:53">
      <c r="B51" s="395"/>
      <c r="C51" s="182">
        <v>5</v>
      </c>
      <c r="D51" s="203" t="s">
        <v>530</v>
      </c>
      <c r="E51" s="166">
        <v>17</v>
      </c>
      <c r="F51" s="182">
        <v>2250</v>
      </c>
      <c r="G51" s="180">
        <v>132.4</v>
      </c>
      <c r="H51" s="402"/>
      <c r="I51" s="166">
        <f t="shared" si="31"/>
        <v>18</v>
      </c>
      <c r="J51" s="166">
        <f t="shared" si="32"/>
        <v>2172.3954268806251</v>
      </c>
      <c r="K51" s="180">
        <f t="shared" si="33"/>
        <v>120.68863482670136</v>
      </c>
      <c r="L51" s="402"/>
      <c r="M51" s="166">
        <f>RANK(K51, K$47:$K$61)</f>
        <v>6</v>
      </c>
      <c r="N51" s="389"/>
      <c r="O51" s="389"/>
      <c r="P51" s="182">
        <v>18</v>
      </c>
      <c r="Q51" s="166">
        <v>2171</v>
      </c>
      <c r="R51" s="166">
        <v>120.61111111111111</v>
      </c>
      <c r="S51" s="182">
        <f t="shared" si="34"/>
        <v>6</v>
      </c>
      <c r="T51" s="385"/>
      <c r="U51" s="182">
        <v>18</v>
      </c>
      <c r="V51" s="166">
        <v>2186.215909090909</v>
      </c>
      <c r="W51" s="166">
        <v>121.45643939393939</v>
      </c>
      <c r="X51" s="182">
        <f t="shared" si="36"/>
        <v>6</v>
      </c>
      <c r="Y51" s="385"/>
      <c r="Z51" s="182">
        <v>18</v>
      </c>
      <c r="AA51" s="166">
        <v>2158</v>
      </c>
      <c r="AB51" s="166">
        <v>119.88888888888889</v>
      </c>
      <c r="AC51" s="182">
        <f t="shared" si="38"/>
        <v>6</v>
      </c>
      <c r="AD51" s="385"/>
      <c r="AE51" s="182">
        <v>18</v>
      </c>
      <c r="AF51" s="166">
        <v>2180.4137931034475</v>
      </c>
      <c r="AG51" s="166">
        <v>121.13409961685819</v>
      </c>
      <c r="AH51" s="182">
        <f t="shared" si="40"/>
        <v>6</v>
      </c>
      <c r="AI51" s="385"/>
      <c r="AJ51" s="182">
        <v>18</v>
      </c>
      <c r="AK51" s="166">
        <v>2168.7804878048787</v>
      </c>
      <c r="AL51" s="166">
        <v>120.48780487804882</v>
      </c>
      <c r="AM51" s="182">
        <f t="shared" si="42"/>
        <v>6</v>
      </c>
      <c r="AN51" s="385"/>
      <c r="AO51" s="182">
        <v>18</v>
      </c>
      <c r="AP51" s="166">
        <v>2145.3577981651383</v>
      </c>
      <c r="AQ51" s="166">
        <v>119.18654434250769</v>
      </c>
      <c r="AR51" s="182">
        <f t="shared" si="44"/>
        <v>6</v>
      </c>
      <c r="AS51" s="385"/>
      <c r="AT51" s="182">
        <v>18</v>
      </c>
      <c r="AU51" s="166">
        <v>2197.0000000000005</v>
      </c>
      <c r="AV51" s="166">
        <v>122.05555555555559</v>
      </c>
      <c r="AW51" s="182">
        <f t="shared" si="46"/>
        <v>6</v>
      </c>
      <c r="AX51" s="385"/>
      <c r="AZ51" s="182" t="e">
        <f t="shared" si="48"/>
        <v>#N/A</v>
      </c>
      <c r="BA51" s="385"/>
    </row>
    <row r="52" spans="2:53">
      <c r="B52" s="395"/>
      <c r="C52" s="182">
        <v>6</v>
      </c>
      <c r="D52" s="203" t="s">
        <v>646</v>
      </c>
      <c r="E52" s="166">
        <v>17</v>
      </c>
      <c r="F52" s="182">
        <v>2700</v>
      </c>
      <c r="G52" s="180">
        <v>166.7</v>
      </c>
      <c r="H52" s="402"/>
      <c r="I52" s="166">
        <f t="shared" si="31"/>
        <v>17.714285714285715</v>
      </c>
      <c r="J52" s="166">
        <f t="shared" si="32"/>
        <v>2334.2167684082719</v>
      </c>
      <c r="K52" s="180">
        <f t="shared" si="33"/>
        <v>131.87096083854792</v>
      </c>
      <c r="L52" s="402"/>
      <c r="M52" s="166">
        <f>RANK(K52, K$47:$K$61)</f>
        <v>5</v>
      </c>
      <c r="N52" s="389"/>
      <c r="O52" s="389"/>
      <c r="P52" s="182">
        <v>17</v>
      </c>
      <c r="Q52" s="166">
        <v>2386.9565217391305</v>
      </c>
      <c r="R52" s="166">
        <v>140.40920716112532</v>
      </c>
      <c r="S52" s="182">
        <f t="shared" si="34"/>
        <v>2</v>
      </c>
      <c r="T52" s="385"/>
      <c r="U52" s="182">
        <v>18</v>
      </c>
      <c r="V52" s="166">
        <v>2340.0000000000009</v>
      </c>
      <c r="W52" s="166">
        <v>130.00000000000006</v>
      </c>
      <c r="X52" s="182">
        <f t="shared" si="36"/>
        <v>5</v>
      </c>
      <c r="Y52" s="385"/>
      <c r="Z52" s="182">
        <v>18</v>
      </c>
      <c r="AA52" s="166">
        <v>2309.4117647058833</v>
      </c>
      <c r="AB52" s="166">
        <v>128.30065359477129</v>
      </c>
      <c r="AC52" s="182">
        <f t="shared" si="38"/>
        <v>5</v>
      </c>
      <c r="AD52" s="385"/>
      <c r="AE52" s="182">
        <v>18</v>
      </c>
      <c r="AF52" s="166">
        <v>2337.5510204081638</v>
      </c>
      <c r="AG52" s="166">
        <v>129.86394557823132</v>
      </c>
      <c r="AH52" s="182">
        <f t="shared" si="40"/>
        <v>5</v>
      </c>
      <c r="AI52" s="385"/>
      <c r="AJ52" s="182">
        <v>18</v>
      </c>
      <c r="AK52" s="166">
        <v>2330.8695652173915</v>
      </c>
      <c r="AL52" s="166">
        <v>129.49275362318841</v>
      </c>
      <c r="AM52" s="182">
        <f t="shared" si="42"/>
        <v>5</v>
      </c>
      <c r="AN52" s="385"/>
      <c r="AO52" s="182">
        <v>18</v>
      </c>
      <c r="AP52" s="166">
        <v>2325.8823529411775</v>
      </c>
      <c r="AQ52" s="166">
        <v>129.21568627450986</v>
      </c>
      <c r="AR52" s="182">
        <f t="shared" si="44"/>
        <v>5</v>
      </c>
      <c r="AS52" s="385"/>
      <c r="AT52" s="182">
        <v>17</v>
      </c>
      <c r="AU52" s="166">
        <v>2308.8461538461552</v>
      </c>
      <c r="AV52" s="166">
        <v>135.81447963800912</v>
      </c>
      <c r="AW52" s="182">
        <f t="shared" si="46"/>
        <v>3</v>
      </c>
      <c r="AX52" s="385"/>
      <c r="AZ52" s="182" t="e">
        <f t="shared" si="48"/>
        <v>#N/A</v>
      </c>
      <c r="BA52" s="385"/>
    </row>
    <row r="53" spans="2:53">
      <c r="B53" s="395"/>
      <c r="C53" s="182">
        <v>7</v>
      </c>
      <c r="D53" s="203" t="s">
        <v>662</v>
      </c>
      <c r="E53" s="166">
        <v>17</v>
      </c>
      <c r="F53" s="182">
        <v>2700</v>
      </c>
      <c r="G53" s="180">
        <v>166.7</v>
      </c>
      <c r="H53" s="402"/>
      <c r="I53" s="166">
        <f t="shared" si="31"/>
        <v>17</v>
      </c>
      <c r="J53" s="166">
        <f t="shared" si="32"/>
        <v>2326.6880682690858</v>
      </c>
      <c r="K53" s="180">
        <f t="shared" si="33"/>
        <v>136.86400401582858</v>
      </c>
      <c r="L53" s="402"/>
      <c r="M53" s="166">
        <f>RANK(K53, K$47:$K$61)</f>
        <v>1</v>
      </c>
      <c r="N53" s="389"/>
      <c r="O53" s="389"/>
      <c r="P53" s="182">
        <v>17</v>
      </c>
      <c r="Q53" s="166">
        <v>2428.0000000000023</v>
      </c>
      <c r="R53" s="166">
        <v>142.82352941176484</v>
      </c>
      <c r="S53" s="182">
        <f t="shared" si="34"/>
        <v>1</v>
      </c>
      <c r="T53" s="385"/>
      <c r="U53" s="182">
        <v>17</v>
      </c>
      <c r="V53" s="166">
        <v>2291.7073170731701</v>
      </c>
      <c r="W53" s="166">
        <v>134.80631276900999</v>
      </c>
      <c r="X53" s="182">
        <f t="shared" si="36"/>
        <v>1</v>
      </c>
      <c r="Y53" s="385"/>
      <c r="Z53" s="182">
        <v>17</v>
      </c>
      <c r="AA53" s="166">
        <v>2282.5531914893622</v>
      </c>
      <c r="AB53" s="166">
        <v>134.26783479349189</v>
      </c>
      <c r="AC53" s="182">
        <f t="shared" si="38"/>
        <v>1</v>
      </c>
      <c r="AD53" s="385"/>
      <c r="AE53" s="182">
        <v>17</v>
      </c>
      <c r="AF53" s="166">
        <v>2303.478260869565</v>
      </c>
      <c r="AG53" s="166">
        <v>135.49872122762147</v>
      </c>
      <c r="AH53" s="182">
        <f t="shared" si="40"/>
        <v>1</v>
      </c>
      <c r="AI53" s="385"/>
      <c r="AJ53" s="182">
        <v>17</v>
      </c>
      <c r="AK53" s="166">
        <v>2353.170731707316</v>
      </c>
      <c r="AL53" s="166">
        <v>138.42180774748917</v>
      </c>
      <c r="AM53" s="182">
        <f t="shared" si="42"/>
        <v>1</v>
      </c>
      <c r="AN53" s="385"/>
      <c r="AO53" s="182">
        <v>17</v>
      </c>
      <c r="AP53" s="166">
        <v>2307.9069767441856</v>
      </c>
      <c r="AQ53" s="166">
        <v>135.75923392612856</v>
      </c>
      <c r="AR53" s="182">
        <f t="shared" si="44"/>
        <v>1</v>
      </c>
      <c r="AS53" s="385"/>
      <c r="AT53" s="182">
        <v>17</v>
      </c>
      <c r="AU53" s="166">
        <v>2319.9999999999991</v>
      </c>
      <c r="AV53" s="166">
        <v>136.47058823529406</v>
      </c>
      <c r="AW53" s="182">
        <f t="shared" si="46"/>
        <v>2</v>
      </c>
      <c r="AX53" s="385"/>
      <c r="AZ53" s="182" t="e">
        <f t="shared" si="48"/>
        <v>#N/A</v>
      </c>
      <c r="BA53" s="385"/>
    </row>
    <row r="54" spans="2:53">
      <c r="B54" s="395"/>
      <c r="C54" s="182">
        <v>8</v>
      </c>
      <c r="D54" s="203"/>
      <c r="E54" s="166"/>
      <c r="F54" s="182"/>
      <c r="G54" s="180"/>
      <c r="H54" s="402"/>
      <c r="I54" s="166" t="str">
        <f t="shared" si="31"/>
        <v>-</v>
      </c>
      <c r="J54" s="166" t="str">
        <f t="shared" si="32"/>
        <v>-</v>
      </c>
      <c r="K54" s="180" t="str">
        <f t="shared" si="33"/>
        <v>-</v>
      </c>
      <c r="L54" s="402"/>
      <c r="M54" s="166" t="e">
        <f>RANK(K54, K$47:$K$61)</f>
        <v>#VALUE!</v>
      </c>
      <c r="N54" s="389"/>
      <c r="O54" s="389"/>
      <c r="P54" s="182" t="s">
        <v>634</v>
      </c>
      <c r="Q54" s="166" t="s">
        <v>634</v>
      </c>
      <c r="R54" s="166" t="s">
        <v>634</v>
      </c>
      <c r="S54" s="182" t="e">
        <f t="shared" si="34"/>
        <v>#VALUE!</v>
      </c>
      <c r="T54" s="385"/>
      <c r="U54" s="182" t="s">
        <v>634</v>
      </c>
      <c r="V54" s="166" t="s">
        <v>634</v>
      </c>
      <c r="W54" s="166" t="s">
        <v>634</v>
      </c>
      <c r="X54" s="182" t="e">
        <f t="shared" si="36"/>
        <v>#VALUE!</v>
      </c>
      <c r="Y54" s="385"/>
      <c r="Z54" s="182" t="s">
        <v>634</v>
      </c>
      <c r="AA54" s="166" t="s">
        <v>634</v>
      </c>
      <c r="AB54" s="166" t="s">
        <v>634</v>
      </c>
      <c r="AC54" s="182" t="e">
        <f t="shared" si="38"/>
        <v>#VALUE!</v>
      </c>
      <c r="AD54" s="385"/>
      <c r="AE54" s="182" t="s">
        <v>634</v>
      </c>
      <c r="AF54" s="166" t="s">
        <v>634</v>
      </c>
      <c r="AG54" s="166" t="s">
        <v>634</v>
      </c>
      <c r="AH54" s="182" t="e">
        <f t="shared" si="40"/>
        <v>#VALUE!</v>
      </c>
      <c r="AI54" s="385"/>
      <c r="AJ54" s="182" t="s">
        <v>634</v>
      </c>
      <c r="AK54" s="166" t="s">
        <v>634</v>
      </c>
      <c r="AL54" s="166" t="s">
        <v>634</v>
      </c>
      <c r="AM54" s="182" t="e">
        <f t="shared" si="42"/>
        <v>#VALUE!</v>
      </c>
      <c r="AN54" s="385"/>
      <c r="AO54" s="182" t="s">
        <v>634</v>
      </c>
      <c r="AP54" s="166" t="s">
        <v>634</v>
      </c>
      <c r="AQ54" s="166" t="s">
        <v>634</v>
      </c>
      <c r="AR54" s="182" t="e">
        <f t="shared" si="44"/>
        <v>#VALUE!</v>
      </c>
      <c r="AS54" s="385"/>
      <c r="AT54" s="182"/>
      <c r="AU54" s="166"/>
      <c r="AV54" s="166"/>
      <c r="AW54" s="182" t="e">
        <f t="shared" si="46"/>
        <v>#N/A</v>
      </c>
      <c r="AX54" s="385"/>
      <c r="AZ54" s="182" t="e">
        <f t="shared" si="48"/>
        <v>#N/A</v>
      </c>
      <c r="BA54" s="385"/>
    </row>
    <row r="55" spans="2:53">
      <c r="B55" s="395"/>
      <c r="C55" s="182">
        <v>9</v>
      </c>
      <c r="D55" s="203"/>
      <c r="E55" s="166"/>
      <c r="F55" s="182"/>
      <c r="G55" s="180"/>
      <c r="H55" s="402"/>
      <c r="I55" s="166" t="str">
        <f t="shared" si="31"/>
        <v>-</v>
      </c>
      <c r="J55" s="166" t="str">
        <f t="shared" si="32"/>
        <v>-</v>
      </c>
      <c r="K55" s="180" t="str">
        <f t="shared" si="33"/>
        <v>-</v>
      </c>
      <c r="L55" s="402"/>
      <c r="M55" s="166" t="e">
        <f>RANK(K55, K$47:$K$61)</f>
        <v>#VALUE!</v>
      </c>
      <c r="N55" s="389"/>
      <c r="O55" s="389"/>
      <c r="P55" s="182" t="s">
        <v>634</v>
      </c>
      <c r="Q55" s="166" t="s">
        <v>634</v>
      </c>
      <c r="R55" s="166" t="s">
        <v>634</v>
      </c>
      <c r="S55" s="182" t="e">
        <f t="shared" si="34"/>
        <v>#VALUE!</v>
      </c>
      <c r="T55" s="385"/>
      <c r="U55" s="182" t="s">
        <v>634</v>
      </c>
      <c r="V55" s="166" t="s">
        <v>634</v>
      </c>
      <c r="W55" s="166" t="s">
        <v>634</v>
      </c>
      <c r="X55" s="182" t="e">
        <f t="shared" si="36"/>
        <v>#VALUE!</v>
      </c>
      <c r="Y55" s="385"/>
      <c r="Z55" s="182" t="s">
        <v>634</v>
      </c>
      <c r="AA55" s="166" t="s">
        <v>634</v>
      </c>
      <c r="AB55" s="166" t="s">
        <v>634</v>
      </c>
      <c r="AC55" s="182" t="e">
        <f t="shared" si="38"/>
        <v>#VALUE!</v>
      </c>
      <c r="AD55" s="385"/>
      <c r="AE55" s="182" t="s">
        <v>634</v>
      </c>
      <c r="AF55" s="166" t="s">
        <v>634</v>
      </c>
      <c r="AG55" s="166" t="s">
        <v>634</v>
      </c>
      <c r="AH55" s="182" t="e">
        <f t="shared" si="40"/>
        <v>#VALUE!</v>
      </c>
      <c r="AI55" s="385"/>
      <c r="AJ55" s="182" t="s">
        <v>634</v>
      </c>
      <c r="AK55" s="166" t="s">
        <v>634</v>
      </c>
      <c r="AL55" s="166" t="s">
        <v>634</v>
      </c>
      <c r="AM55" s="182" t="e">
        <f t="shared" si="42"/>
        <v>#VALUE!</v>
      </c>
      <c r="AN55" s="385"/>
      <c r="AO55" s="182" t="s">
        <v>634</v>
      </c>
      <c r="AP55" s="166" t="s">
        <v>634</v>
      </c>
      <c r="AQ55" s="166" t="s">
        <v>634</v>
      </c>
      <c r="AR55" s="182" t="e">
        <f t="shared" si="44"/>
        <v>#VALUE!</v>
      </c>
      <c r="AS55" s="385"/>
      <c r="AT55" s="182"/>
      <c r="AU55" s="166"/>
      <c r="AV55" s="166"/>
      <c r="AW55" s="182" t="e">
        <f t="shared" si="46"/>
        <v>#N/A</v>
      </c>
      <c r="AX55" s="385"/>
      <c r="AZ55" s="182" t="e">
        <f t="shared" si="48"/>
        <v>#N/A</v>
      </c>
      <c r="BA55" s="385"/>
    </row>
    <row r="56" spans="2:53">
      <c r="B56" s="395"/>
      <c r="C56" s="182">
        <v>10</v>
      </c>
      <c r="D56" s="203"/>
      <c r="E56" s="166"/>
      <c r="F56" s="182"/>
      <c r="G56" s="180"/>
      <c r="H56" s="402"/>
      <c r="I56" s="166" t="str">
        <f t="shared" si="31"/>
        <v>-</v>
      </c>
      <c r="J56" s="166" t="str">
        <f t="shared" si="32"/>
        <v>-</v>
      </c>
      <c r="K56" s="180" t="str">
        <f t="shared" si="33"/>
        <v>-</v>
      </c>
      <c r="L56" s="402"/>
      <c r="M56" s="166" t="e">
        <f>RANK(K56, K$47:$K$61)</f>
        <v>#VALUE!</v>
      </c>
      <c r="N56" s="389"/>
      <c r="O56" s="389"/>
      <c r="P56" s="182" t="s">
        <v>634</v>
      </c>
      <c r="Q56" s="166" t="s">
        <v>634</v>
      </c>
      <c r="R56" s="166" t="s">
        <v>634</v>
      </c>
      <c r="S56" s="182" t="e">
        <f t="shared" si="34"/>
        <v>#VALUE!</v>
      </c>
      <c r="T56" s="385"/>
      <c r="U56" s="182" t="s">
        <v>634</v>
      </c>
      <c r="V56" s="166" t="s">
        <v>634</v>
      </c>
      <c r="W56" s="166" t="s">
        <v>634</v>
      </c>
      <c r="X56" s="182" t="e">
        <f t="shared" si="36"/>
        <v>#VALUE!</v>
      </c>
      <c r="Y56" s="385"/>
      <c r="Z56" s="182" t="s">
        <v>634</v>
      </c>
      <c r="AA56" s="166" t="s">
        <v>634</v>
      </c>
      <c r="AB56" s="166" t="s">
        <v>634</v>
      </c>
      <c r="AC56" s="182" t="e">
        <f t="shared" si="38"/>
        <v>#VALUE!</v>
      </c>
      <c r="AD56" s="385"/>
      <c r="AE56" s="182" t="s">
        <v>634</v>
      </c>
      <c r="AF56" s="166" t="s">
        <v>634</v>
      </c>
      <c r="AG56" s="166" t="s">
        <v>634</v>
      </c>
      <c r="AH56" s="182" t="e">
        <f t="shared" si="40"/>
        <v>#VALUE!</v>
      </c>
      <c r="AI56" s="385"/>
      <c r="AJ56" s="182" t="s">
        <v>634</v>
      </c>
      <c r="AK56" s="166" t="s">
        <v>634</v>
      </c>
      <c r="AL56" s="166" t="s">
        <v>634</v>
      </c>
      <c r="AM56" s="182" t="e">
        <f t="shared" si="42"/>
        <v>#VALUE!</v>
      </c>
      <c r="AN56" s="385"/>
      <c r="AO56" s="182" t="s">
        <v>634</v>
      </c>
      <c r="AP56" s="166" t="s">
        <v>634</v>
      </c>
      <c r="AQ56" s="166" t="s">
        <v>634</v>
      </c>
      <c r="AR56" s="182" t="e">
        <f t="shared" si="44"/>
        <v>#VALUE!</v>
      </c>
      <c r="AS56" s="385"/>
      <c r="AT56" s="182"/>
      <c r="AU56" s="166"/>
      <c r="AV56" s="166"/>
      <c r="AW56" s="182" t="e">
        <f t="shared" si="46"/>
        <v>#N/A</v>
      </c>
      <c r="AX56" s="385"/>
      <c r="AZ56" s="182" t="e">
        <f t="shared" si="48"/>
        <v>#N/A</v>
      </c>
      <c r="BA56" s="385"/>
    </row>
    <row r="57" spans="2:53">
      <c r="B57" s="395"/>
      <c r="C57" s="182">
        <v>11</v>
      </c>
      <c r="D57" s="203"/>
      <c r="E57" s="166"/>
      <c r="F57" s="182"/>
      <c r="G57" s="180"/>
      <c r="H57" s="402"/>
      <c r="I57" s="166" t="str">
        <f t="shared" si="31"/>
        <v>-</v>
      </c>
      <c r="J57" s="166" t="str">
        <f t="shared" si="32"/>
        <v>-</v>
      </c>
      <c r="K57" s="180" t="str">
        <f t="shared" si="33"/>
        <v>-</v>
      </c>
      <c r="L57" s="402"/>
      <c r="M57" s="166" t="e">
        <f>RANK(K57, K$47:$K$61)</f>
        <v>#VALUE!</v>
      </c>
      <c r="N57" s="389"/>
      <c r="O57" s="389"/>
      <c r="P57" s="182"/>
      <c r="Q57" s="166"/>
      <c r="R57" s="166"/>
      <c r="S57" s="182" t="e">
        <f t="shared" si="34"/>
        <v>#N/A</v>
      </c>
      <c r="T57" s="385"/>
      <c r="U57" s="182"/>
      <c r="V57" s="166"/>
      <c r="W57" s="166"/>
      <c r="X57" s="182" t="e">
        <f t="shared" si="36"/>
        <v>#N/A</v>
      </c>
      <c r="Y57" s="385"/>
      <c r="Z57" s="182"/>
      <c r="AA57" s="166"/>
      <c r="AB57" s="166"/>
      <c r="AC57" s="182" t="e">
        <f t="shared" si="38"/>
        <v>#N/A</v>
      </c>
      <c r="AD57" s="385"/>
      <c r="AE57" s="182"/>
      <c r="AF57" s="166"/>
      <c r="AG57" s="166"/>
      <c r="AH57" s="182" t="e">
        <f t="shared" si="40"/>
        <v>#N/A</v>
      </c>
      <c r="AI57" s="385"/>
      <c r="AJ57" s="182"/>
      <c r="AK57" s="166"/>
      <c r="AL57" s="166"/>
      <c r="AM57" s="182" t="e">
        <f t="shared" si="42"/>
        <v>#N/A</v>
      </c>
      <c r="AN57" s="385"/>
      <c r="AO57" s="182"/>
      <c r="AP57" s="166"/>
      <c r="AQ57" s="166"/>
      <c r="AR57" s="182" t="e">
        <f t="shared" si="44"/>
        <v>#N/A</v>
      </c>
      <c r="AS57" s="385"/>
      <c r="AT57" s="182"/>
      <c r="AU57" s="166"/>
      <c r="AV57" s="166"/>
      <c r="AW57" s="182" t="e">
        <f t="shared" si="46"/>
        <v>#N/A</v>
      </c>
      <c r="AX57" s="385"/>
      <c r="AZ57" s="182" t="e">
        <f t="shared" si="48"/>
        <v>#N/A</v>
      </c>
      <c r="BA57" s="385"/>
    </row>
    <row r="58" spans="2:53">
      <c r="B58" s="395"/>
      <c r="C58" s="182">
        <v>12</v>
      </c>
      <c r="D58" s="203"/>
      <c r="E58" s="166"/>
      <c r="F58" s="182"/>
      <c r="G58" s="180"/>
      <c r="H58" s="402"/>
      <c r="I58" s="166" t="str">
        <f t="shared" si="31"/>
        <v>-</v>
      </c>
      <c r="J58" s="166" t="str">
        <f t="shared" si="32"/>
        <v>-</v>
      </c>
      <c r="K58" s="180" t="str">
        <f t="shared" si="33"/>
        <v>-</v>
      </c>
      <c r="L58" s="402"/>
      <c r="M58" s="166" t="e">
        <f>RANK(K58, K$47:$K$61)</f>
        <v>#VALUE!</v>
      </c>
      <c r="N58" s="389"/>
      <c r="O58" s="389"/>
      <c r="P58" s="182"/>
      <c r="Q58" s="166"/>
      <c r="R58" s="166"/>
      <c r="S58" s="182" t="e">
        <f t="shared" si="34"/>
        <v>#N/A</v>
      </c>
      <c r="T58" s="385"/>
      <c r="U58" s="182"/>
      <c r="V58" s="166"/>
      <c r="W58" s="166"/>
      <c r="X58" s="182" t="e">
        <f t="shared" si="36"/>
        <v>#N/A</v>
      </c>
      <c r="Y58" s="385"/>
      <c r="Z58" s="182"/>
      <c r="AA58" s="166"/>
      <c r="AB58" s="166"/>
      <c r="AC58" s="182" t="e">
        <f t="shared" si="38"/>
        <v>#N/A</v>
      </c>
      <c r="AD58" s="385"/>
      <c r="AE58" s="182"/>
      <c r="AF58" s="166"/>
      <c r="AG58" s="166"/>
      <c r="AH58" s="182" t="e">
        <f t="shared" si="40"/>
        <v>#N/A</v>
      </c>
      <c r="AI58" s="385"/>
      <c r="AJ58" s="182"/>
      <c r="AK58" s="166"/>
      <c r="AL58" s="166"/>
      <c r="AM58" s="182" t="e">
        <f t="shared" si="42"/>
        <v>#N/A</v>
      </c>
      <c r="AN58" s="385"/>
      <c r="AO58" s="182"/>
      <c r="AP58" s="166"/>
      <c r="AQ58" s="166"/>
      <c r="AR58" s="182" t="e">
        <f t="shared" si="44"/>
        <v>#N/A</v>
      </c>
      <c r="AS58" s="385"/>
      <c r="AT58" s="182"/>
      <c r="AU58" s="166"/>
      <c r="AV58" s="166"/>
      <c r="AW58" s="182" t="e">
        <f t="shared" si="46"/>
        <v>#N/A</v>
      </c>
      <c r="AX58" s="385"/>
      <c r="AZ58" s="182" t="e">
        <f t="shared" si="48"/>
        <v>#N/A</v>
      </c>
      <c r="BA58" s="385"/>
    </row>
    <row r="59" spans="2:53">
      <c r="B59" s="395"/>
      <c r="C59" s="182">
        <v>13</v>
      </c>
      <c r="D59" s="203"/>
      <c r="E59" s="166"/>
      <c r="F59" s="182"/>
      <c r="G59" s="180"/>
      <c r="H59" s="402"/>
      <c r="I59" s="166" t="str">
        <f t="shared" si="31"/>
        <v>-</v>
      </c>
      <c r="J59" s="166" t="str">
        <f t="shared" si="32"/>
        <v>-</v>
      </c>
      <c r="K59" s="180" t="str">
        <f t="shared" si="33"/>
        <v>-</v>
      </c>
      <c r="L59" s="402"/>
      <c r="M59" s="166" t="e">
        <f>RANK(K59, K$47:$K$61)</f>
        <v>#VALUE!</v>
      </c>
      <c r="N59" s="389"/>
      <c r="O59" s="389"/>
      <c r="P59" s="182"/>
      <c r="Q59" s="166"/>
      <c r="R59" s="166"/>
      <c r="S59" s="182" t="e">
        <f t="shared" si="34"/>
        <v>#N/A</v>
      </c>
      <c r="T59" s="385"/>
      <c r="U59" s="182"/>
      <c r="V59" s="166"/>
      <c r="W59" s="166"/>
      <c r="X59" s="182" t="e">
        <f t="shared" si="36"/>
        <v>#N/A</v>
      </c>
      <c r="Y59" s="385"/>
      <c r="Z59" s="182"/>
      <c r="AA59" s="166"/>
      <c r="AB59" s="166"/>
      <c r="AC59" s="182" t="e">
        <f t="shared" si="38"/>
        <v>#N/A</v>
      </c>
      <c r="AD59" s="385"/>
      <c r="AE59" s="182"/>
      <c r="AF59" s="166"/>
      <c r="AG59" s="166"/>
      <c r="AH59" s="182" t="e">
        <f t="shared" si="40"/>
        <v>#N/A</v>
      </c>
      <c r="AI59" s="385"/>
      <c r="AJ59" s="182"/>
      <c r="AK59" s="166"/>
      <c r="AL59" s="166"/>
      <c r="AM59" s="182" t="e">
        <f t="shared" si="42"/>
        <v>#N/A</v>
      </c>
      <c r="AN59" s="385"/>
      <c r="AO59" s="182"/>
      <c r="AP59" s="166"/>
      <c r="AQ59" s="166"/>
      <c r="AR59" s="182" t="e">
        <f t="shared" si="44"/>
        <v>#N/A</v>
      </c>
      <c r="AS59" s="385"/>
      <c r="AT59" s="182"/>
      <c r="AU59" s="166"/>
      <c r="AV59" s="166"/>
      <c r="AW59" s="182" t="e">
        <f t="shared" si="46"/>
        <v>#N/A</v>
      </c>
      <c r="AX59" s="385"/>
      <c r="AZ59" s="182" t="e">
        <f t="shared" si="48"/>
        <v>#N/A</v>
      </c>
      <c r="BA59" s="385"/>
    </row>
    <row r="60" spans="2:53">
      <c r="B60" s="395"/>
      <c r="C60" s="182">
        <v>14</v>
      </c>
      <c r="D60" s="203"/>
      <c r="E60" s="166"/>
      <c r="F60" s="182"/>
      <c r="G60" s="180"/>
      <c r="H60" s="402"/>
      <c r="I60" s="166" t="str">
        <f t="shared" si="31"/>
        <v>-</v>
      </c>
      <c r="J60" s="166" t="str">
        <f t="shared" si="32"/>
        <v>-</v>
      </c>
      <c r="K60" s="180" t="str">
        <f t="shared" si="33"/>
        <v>-</v>
      </c>
      <c r="L60" s="402"/>
      <c r="M60" s="166" t="e">
        <f>RANK(K60, K$47:$K$61)</f>
        <v>#VALUE!</v>
      </c>
      <c r="N60" s="389"/>
      <c r="O60" s="389"/>
      <c r="P60" s="182"/>
      <c r="Q60" s="166"/>
      <c r="R60" s="166"/>
      <c r="S60" s="182" t="e">
        <f t="shared" si="34"/>
        <v>#N/A</v>
      </c>
      <c r="T60" s="385"/>
      <c r="U60" s="182"/>
      <c r="V60" s="166"/>
      <c r="W60" s="166"/>
      <c r="X60" s="182" t="e">
        <f t="shared" si="36"/>
        <v>#N/A</v>
      </c>
      <c r="Y60" s="385"/>
      <c r="Z60" s="182"/>
      <c r="AA60" s="166"/>
      <c r="AB60" s="166"/>
      <c r="AC60" s="182" t="e">
        <f t="shared" si="38"/>
        <v>#N/A</v>
      </c>
      <c r="AD60" s="385"/>
      <c r="AE60" s="182"/>
      <c r="AF60" s="166"/>
      <c r="AG60" s="166"/>
      <c r="AH60" s="182" t="e">
        <f t="shared" si="40"/>
        <v>#N/A</v>
      </c>
      <c r="AI60" s="385"/>
      <c r="AJ60" s="182"/>
      <c r="AK60" s="166"/>
      <c r="AL60" s="166"/>
      <c r="AM60" s="182" t="e">
        <f t="shared" si="42"/>
        <v>#N/A</v>
      </c>
      <c r="AN60" s="385"/>
      <c r="AO60" s="182"/>
      <c r="AP60" s="166"/>
      <c r="AQ60" s="166"/>
      <c r="AR60" s="182" t="e">
        <f t="shared" si="44"/>
        <v>#N/A</v>
      </c>
      <c r="AS60" s="385"/>
      <c r="AT60" s="182"/>
      <c r="AU60" s="166"/>
      <c r="AV60" s="166"/>
      <c r="AW60" s="182" t="e">
        <f t="shared" si="46"/>
        <v>#N/A</v>
      </c>
      <c r="AX60" s="385"/>
      <c r="AZ60" s="182" t="e">
        <f t="shared" si="48"/>
        <v>#N/A</v>
      </c>
      <c r="BA60" s="385"/>
    </row>
    <row r="61" spans="2:53">
      <c r="B61" s="395"/>
      <c r="C61" s="182">
        <v>15</v>
      </c>
      <c r="D61" s="203"/>
      <c r="E61" s="166"/>
      <c r="F61" s="182"/>
      <c r="G61" s="180"/>
      <c r="H61" s="403"/>
      <c r="I61" s="182"/>
      <c r="J61" s="182"/>
      <c r="K61" s="182"/>
      <c r="L61" s="403"/>
      <c r="M61" s="166" t="e">
        <f>RANK(K61, K$47:$K$61)</f>
        <v>#N/A</v>
      </c>
      <c r="N61" s="389"/>
      <c r="O61" s="389"/>
      <c r="P61" s="182"/>
      <c r="Q61" s="166"/>
      <c r="R61" s="166"/>
      <c r="S61" s="182" t="e">
        <f t="shared" si="34"/>
        <v>#N/A</v>
      </c>
      <c r="T61" s="386"/>
      <c r="U61" s="182"/>
      <c r="V61" s="166"/>
      <c r="W61" s="166"/>
      <c r="X61" s="182" t="e">
        <f t="shared" si="36"/>
        <v>#N/A</v>
      </c>
      <c r="Y61" s="386"/>
      <c r="Z61" s="182"/>
      <c r="AA61" s="166"/>
      <c r="AB61" s="166"/>
      <c r="AC61" s="182" t="e">
        <f t="shared" si="38"/>
        <v>#N/A</v>
      </c>
      <c r="AD61" s="386"/>
      <c r="AE61" s="182"/>
      <c r="AF61" s="166"/>
      <c r="AG61" s="166"/>
      <c r="AH61" s="182" t="e">
        <f t="shared" si="40"/>
        <v>#N/A</v>
      </c>
      <c r="AI61" s="386"/>
      <c r="AJ61" s="182"/>
      <c r="AK61" s="166"/>
      <c r="AL61" s="166"/>
      <c r="AM61" s="182" t="e">
        <f t="shared" si="42"/>
        <v>#N/A</v>
      </c>
      <c r="AN61" s="386"/>
      <c r="AO61" s="182"/>
      <c r="AP61" s="166"/>
      <c r="AQ61" s="166"/>
      <c r="AR61" s="182" t="e">
        <f t="shared" si="44"/>
        <v>#N/A</v>
      </c>
      <c r="AS61" s="386"/>
      <c r="AT61" s="182"/>
      <c r="AU61" s="166"/>
      <c r="AV61" s="166"/>
      <c r="AW61" s="182" t="e">
        <f t="shared" si="46"/>
        <v>#N/A</v>
      </c>
      <c r="AX61" s="386"/>
      <c r="AZ61" s="182" t="e">
        <f t="shared" si="48"/>
        <v>#N/A</v>
      </c>
      <c r="BA61" s="386"/>
    </row>
    <row r="62" spans="2:53" ht="15.75">
      <c r="B62" s="414" t="s">
        <v>163</v>
      </c>
      <c r="C62" s="415"/>
      <c r="D62" s="415"/>
      <c r="E62" s="415"/>
      <c r="F62" s="415"/>
      <c r="G62" s="415"/>
      <c r="H62" s="415"/>
      <c r="I62" s="186"/>
      <c r="J62" s="186"/>
      <c r="K62" s="186"/>
      <c r="L62" s="186"/>
      <c r="M62" s="185"/>
      <c r="N62" s="391" t="s">
        <v>156</v>
      </c>
      <c r="O62" s="391" t="s">
        <v>105</v>
      </c>
      <c r="P62" s="413">
        <f>P42+7</f>
        <v>46161</v>
      </c>
      <c r="Q62" s="395"/>
      <c r="R62" s="395"/>
      <c r="S62" s="395"/>
      <c r="T62" s="395"/>
      <c r="U62" s="410">
        <f>P62+1</f>
        <v>46162</v>
      </c>
      <c r="V62" s="411"/>
      <c r="W62" s="411"/>
      <c r="X62" s="411"/>
      <c r="Y62" s="412"/>
      <c r="Z62" s="410">
        <f>U62+1</f>
        <v>46163</v>
      </c>
      <c r="AA62" s="411"/>
      <c r="AB62" s="411"/>
      <c r="AC62" s="411"/>
      <c r="AD62" s="412"/>
      <c r="AE62" s="410">
        <f>Z62+1</f>
        <v>46164</v>
      </c>
      <c r="AF62" s="411"/>
      <c r="AG62" s="411"/>
      <c r="AH62" s="411"/>
      <c r="AI62" s="412"/>
      <c r="AJ62" s="410">
        <f>AE62+1</f>
        <v>46165</v>
      </c>
      <c r="AK62" s="411"/>
      <c r="AL62" s="411"/>
      <c r="AM62" s="411"/>
      <c r="AN62" s="412"/>
      <c r="AO62" s="410">
        <f>AJ62+1</f>
        <v>46166</v>
      </c>
      <c r="AP62" s="411"/>
      <c r="AQ62" s="411"/>
      <c r="AR62" s="411"/>
      <c r="AS62" s="412"/>
      <c r="AT62" s="410">
        <f>AO62+1</f>
        <v>46167</v>
      </c>
      <c r="AU62" s="411"/>
      <c r="AV62" s="411"/>
      <c r="AW62" s="411"/>
      <c r="AX62" s="412"/>
    </row>
    <row r="63" spans="2:53" ht="15.75">
      <c r="B63" s="416"/>
      <c r="C63" s="416"/>
      <c r="D63" s="416"/>
      <c r="E63" s="416"/>
      <c r="F63" s="416"/>
      <c r="G63" s="416"/>
      <c r="H63" s="416"/>
      <c r="I63" s="184"/>
      <c r="J63" s="184"/>
      <c r="K63" s="184"/>
      <c r="L63" s="184"/>
      <c r="M63" s="179"/>
      <c r="N63" s="393"/>
      <c r="O63" s="393"/>
      <c r="P63" s="413" t="s">
        <v>318</v>
      </c>
      <c r="Q63" s="395"/>
      <c r="R63" s="395"/>
      <c r="S63" s="395"/>
      <c r="T63" s="395"/>
      <c r="U63" s="413" t="s">
        <v>319</v>
      </c>
      <c r="V63" s="395"/>
      <c r="W63" s="395"/>
      <c r="X63" s="395"/>
      <c r="Y63" s="395"/>
      <c r="Z63" s="413" t="s">
        <v>320</v>
      </c>
      <c r="AA63" s="395"/>
      <c r="AB63" s="395"/>
      <c r="AC63" s="395"/>
      <c r="AD63" s="395"/>
      <c r="AE63" s="413" t="s">
        <v>321</v>
      </c>
      <c r="AF63" s="395"/>
      <c r="AG63" s="395"/>
      <c r="AH63" s="395"/>
      <c r="AI63" s="395"/>
      <c r="AJ63" s="413" t="s">
        <v>322</v>
      </c>
      <c r="AK63" s="395"/>
      <c r="AL63" s="395"/>
      <c r="AM63" s="395"/>
      <c r="AN63" s="395"/>
      <c r="AO63" s="413" t="s">
        <v>323</v>
      </c>
      <c r="AP63" s="395"/>
      <c r="AQ63" s="395"/>
      <c r="AR63" s="395"/>
      <c r="AS63" s="395"/>
      <c r="AT63" s="413" t="s">
        <v>324</v>
      </c>
      <c r="AU63" s="395"/>
      <c r="AV63" s="395"/>
      <c r="AW63" s="395"/>
      <c r="AX63" s="395"/>
    </row>
    <row r="64" spans="2:53">
      <c r="B64" s="389" t="s">
        <v>419</v>
      </c>
      <c r="C64" s="389" t="s">
        <v>556</v>
      </c>
      <c r="D64" s="389"/>
      <c r="E64" s="389" t="s">
        <v>557</v>
      </c>
      <c r="F64" s="389"/>
      <c r="G64" s="389"/>
      <c r="H64" s="417" t="s">
        <v>558</v>
      </c>
      <c r="I64" s="389" t="s">
        <v>559</v>
      </c>
      <c r="J64" s="389"/>
      <c r="K64" s="389"/>
      <c r="L64" s="417" t="s">
        <v>373</v>
      </c>
      <c r="M64" s="391" t="s">
        <v>560</v>
      </c>
      <c r="N64" s="389"/>
      <c r="O64" s="389" t="s">
        <v>379</v>
      </c>
      <c r="P64" s="404" t="s">
        <v>375</v>
      </c>
      <c r="Q64" s="405"/>
      <c r="R64" s="405"/>
      <c r="S64" s="406"/>
      <c r="T64" s="389" t="s">
        <v>373</v>
      </c>
      <c r="U64" s="404" t="s">
        <v>375</v>
      </c>
      <c r="V64" s="405"/>
      <c r="W64" s="405"/>
      <c r="X64" s="406"/>
      <c r="Y64" s="389" t="s">
        <v>373</v>
      </c>
      <c r="Z64" s="404" t="s">
        <v>375</v>
      </c>
      <c r="AA64" s="405"/>
      <c r="AB64" s="405"/>
      <c r="AC64" s="406"/>
      <c r="AD64" s="389" t="s">
        <v>373</v>
      </c>
      <c r="AE64" s="404" t="s">
        <v>375</v>
      </c>
      <c r="AF64" s="405"/>
      <c r="AG64" s="405"/>
      <c r="AH64" s="406"/>
      <c r="AI64" s="389" t="s">
        <v>373</v>
      </c>
      <c r="AJ64" s="404" t="s">
        <v>375</v>
      </c>
      <c r="AK64" s="405"/>
      <c r="AL64" s="405"/>
      <c r="AM64" s="406"/>
      <c r="AN64" s="389" t="s">
        <v>373</v>
      </c>
      <c r="AO64" s="404" t="s">
        <v>375</v>
      </c>
      <c r="AP64" s="405"/>
      <c r="AQ64" s="405"/>
      <c r="AR64" s="406"/>
      <c r="AS64" s="389" t="s">
        <v>373</v>
      </c>
      <c r="AT64" s="404" t="s">
        <v>375</v>
      </c>
      <c r="AU64" s="405"/>
      <c r="AV64" s="405"/>
      <c r="AW64" s="406"/>
      <c r="AX64" s="389" t="s">
        <v>373</v>
      </c>
      <c r="BA64" s="389" t="s">
        <v>373</v>
      </c>
    </row>
    <row r="65" spans="2:53">
      <c r="B65" s="389"/>
      <c r="C65" s="389"/>
      <c r="D65" s="389"/>
      <c r="E65" s="389" t="s">
        <v>562</v>
      </c>
      <c r="F65" s="389"/>
      <c r="G65" s="389"/>
      <c r="H65" s="418"/>
      <c r="I65" s="389" t="s">
        <v>562</v>
      </c>
      <c r="J65" s="389"/>
      <c r="K65" s="389"/>
      <c r="L65" s="418"/>
      <c r="M65" s="392"/>
      <c r="N65" s="389"/>
      <c r="O65" s="389"/>
      <c r="P65" s="404" t="s">
        <v>381</v>
      </c>
      <c r="Q65" s="405"/>
      <c r="R65" s="405"/>
      <c r="S65" s="406"/>
      <c r="T65" s="389"/>
      <c r="U65" s="404" t="s">
        <v>381</v>
      </c>
      <c r="V65" s="405"/>
      <c r="W65" s="405"/>
      <c r="X65" s="406"/>
      <c r="Y65" s="389"/>
      <c r="Z65" s="404" t="s">
        <v>381</v>
      </c>
      <c r="AA65" s="405"/>
      <c r="AB65" s="405"/>
      <c r="AC65" s="406"/>
      <c r="AD65" s="389"/>
      <c r="AE65" s="404" t="s">
        <v>381</v>
      </c>
      <c r="AF65" s="405"/>
      <c r="AG65" s="405"/>
      <c r="AH65" s="406"/>
      <c r="AI65" s="389"/>
      <c r="AJ65" s="404" t="s">
        <v>381</v>
      </c>
      <c r="AK65" s="405"/>
      <c r="AL65" s="405"/>
      <c r="AM65" s="406"/>
      <c r="AN65" s="389"/>
      <c r="AO65" s="404" t="s">
        <v>381</v>
      </c>
      <c r="AP65" s="405"/>
      <c r="AQ65" s="405"/>
      <c r="AR65" s="406"/>
      <c r="AS65" s="389"/>
      <c r="AT65" s="404" t="s">
        <v>381</v>
      </c>
      <c r="AU65" s="405"/>
      <c r="AV65" s="405"/>
      <c r="AW65" s="406"/>
      <c r="AX65" s="389"/>
      <c r="BA65" s="389"/>
    </row>
    <row r="66" spans="2:53">
      <c r="B66" s="389"/>
      <c r="C66" s="389"/>
      <c r="D66" s="389"/>
      <c r="E66" s="258" t="s">
        <v>563</v>
      </c>
      <c r="F66" s="258" t="s">
        <v>564</v>
      </c>
      <c r="G66" s="258" t="s">
        <v>565</v>
      </c>
      <c r="H66" s="419"/>
      <c r="I66" s="258" t="s">
        <v>563</v>
      </c>
      <c r="J66" s="258" t="s">
        <v>564</v>
      </c>
      <c r="K66" s="258" t="s">
        <v>565</v>
      </c>
      <c r="L66" s="419"/>
      <c r="M66" s="393"/>
      <c r="N66" s="389"/>
      <c r="O66" s="389"/>
      <c r="P66" s="258" t="s">
        <v>382</v>
      </c>
      <c r="Q66" s="258" t="s">
        <v>383</v>
      </c>
      <c r="R66" s="258" t="s">
        <v>384</v>
      </c>
      <c r="S66" s="258" t="s">
        <v>374</v>
      </c>
      <c r="T66" s="389"/>
      <c r="U66" s="258" t="s">
        <v>382</v>
      </c>
      <c r="V66" s="258" t="s">
        <v>383</v>
      </c>
      <c r="W66" s="258" t="s">
        <v>384</v>
      </c>
      <c r="X66" s="258" t="s">
        <v>374</v>
      </c>
      <c r="Y66" s="389"/>
      <c r="Z66" s="258" t="s">
        <v>382</v>
      </c>
      <c r="AA66" s="258" t="s">
        <v>383</v>
      </c>
      <c r="AB66" s="258" t="s">
        <v>384</v>
      </c>
      <c r="AC66" s="258" t="s">
        <v>374</v>
      </c>
      <c r="AD66" s="389"/>
      <c r="AE66" s="258" t="s">
        <v>382</v>
      </c>
      <c r="AF66" s="258" t="s">
        <v>383</v>
      </c>
      <c r="AG66" s="258" t="s">
        <v>384</v>
      </c>
      <c r="AH66" s="258" t="s">
        <v>374</v>
      </c>
      <c r="AI66" s="389"/>
      <c r="AJ66" s="258" t="s">
        <v>382</v>
      </c>
      <c r="AK66" s="258" t="s">
        <v>383</v>
      </c>
      <c r="AL66" s="258" t="s">
        <v>384</v>
      </c>
      <c r="AM66" s="258" t="s">
        <v>374</v>
      </c>
      <c r="AN66" s="389"/>
      <c r="AO66" s="258" t="s">
        <v>382</v>
      </c>
      <c r="AP66" s="258" t="s">
        <v>383</v>
      </c>
      <c r="AQ66" s="258" t="s">
        <v>384</v>
      </c>
      <c r="AR66" s="258" t="s">
        <v>374</v>
      </c>
      <c r="AS66" s="389"/>
      <c r="AT66" s="258" t="s">
        <v>382</v>
      </c>
      <c r="AU66" s="258" t="s">
        <v>383</v>
      </c>
      <c r="AV66" s="258" t="s">
        <v>384</v>
      </c>
      <c r="AW66" s="258" t="s">
        <v>374</v>
      </c>
      <c r="AX66" s="389"/>
      <c r="AZ66" s="258" t="s">
        <v>374</v>
      </c>
      <c r="BA66" s="389"/>
    </row>
    <row r="67" spans="2:53">
      <c r="B67" s="389" t="s">
        <v>436</v>
      </c>
      <c r="C67" s="182">
        <v>1</v>
      </c>
      <c r="D67" s="203" t="s">
        <v>356</v>
      </c>
      <c r="E67" s="166">
        <v>20</v>
      </c>
      <c r="F67" s="182">
        <v>2400</v>
      </c>
      <c r="G67" s="180">
        <v>120</v>
      </c>
      <c r="H67" s="401">
        <f>AVERAGE(G67:G81)</f>
        <v>153.87142857142857</v>
      </c>
      <c r="I67" s="166">
        <f t="shared" ref="I67:I80" si="50">IFERROR(AVERAGE(P67,U67,Z67,AE67,AJ67,AO67,AT67),"-")</f>
        <v>20</v>
      </c>
      <c r="J67" s="166">
        <f t="shared" ref="J67:J80" si="51">IFERROR(AVERAGE(Q67,V67,AA67,AF67,AK67,AP67,AU67),"-")</f>
        <v>2332.2378706670738</v>
      </c>
      <c r="K67" s="180">
        <f t="shared" ref="K67:K80" si="52">IFERROR(AVERAGE(R67,W67,AB67,AG67,AL67,AQ67,AV67),"-")</f>
        <v>116.61189353335367</v>
      </c>
      <c r="L67" s="401">
        <f>IFERROR(AVERAGE(K67:K81),"-")</f>
        <v>132.61485441196803</v>
      </c>
      <c r="M67" s="166">
        <f>RANK(K67, K$67:$K$81)</f>
        <v>7</v>
      </c>
      <c r="N67" s="389"/>
      <c r="O67" s="389"/>
      <c r="P67" s="182">
        <v>20</v>
      </c>
      <c r="Q67" s="166">
        <v>2337.6455696202529</v>
      </c>
      <c r="R67" s="166">
        <v>116.88227848101265</v>
      </c>
      <c r="S67" s="182">
        <f t="shared" ref="S67:S81" si="53">RANK(R67, R$67:R$81)</f>
        <v>7</v>
      </c>
      <c r="T67" s="384">
        <f t="shared" ref="T67" si="54">AVERAGE(R67:R81)</f>
        <v>135.6925124832587</v>
      </c>
      <c r="U67" s="182">
        <v>20</v>
      </c>
      <c r="V67" s="166">
        <v>2374.1489361702133</v>
      </c>
      <c r="W67" s="166">
        <v>118.70744680851067</v>
      </c>
      <c r="X67" s="182">
        <f t="shared" ref="X67:X81" si="55">RANK(W67, W$67:W$81)</f>
        <v>7</v>
      </c>
      <c r="Y67" s="384">
        <f t="shared" ref="Y67" si="56">AVERAGE(W67:W81)</f>
        <v>135.55524600778435</v>
      </c>
      <c r="Z67" s="182">
        <v>20</v>
      </c>
      <c r="AA67" s="166">
        <v>2327.6174496644308</v>
      </c>
      <c r="AB67" s="166">
        <v>116.38087248322154</v>
      </c>
      <c r="AC67" s="182">
        <f t="shared" ref="AC67:AC81" si="57">RANK(AB67, AB$67:AB$81)</f>
        <v>6</v>
      </c>
      <c r="AD67" s="384">
        <f t="shared" ref="AD67" si="58">AVERAGE(AB67:AB81)</f>
        <v>131.28258913317575</v>
      </c>
      <c r="AE67" s="182">
        <v>20</v>
      </c>
      <c r="AF67" s="166">
        <v>2324.8013245033108</v>
      </c>
      <c r="AG67" s="166">
        <v>116.24006622516553</v>
      </c>
      <c r="AH67" s="182">
        <f t="shared" ref="AH67:AH81" si="59">RANK(AG67, AG$67:AG$81)</f>
        <v>7</v>
      </c>
      <c r="AI67" s="384">
        <f t="shared" ref="AI67" si="60">AVERAGE(AG67:AG81)</f>
        <v>131.81111178767122</v>
      </c>
      <c r="AJ67" s="182">
        <v>20</v>
      </c>
      <c r="AK67" s="166">
        <v>2320.6329113924048</v>
      </c>
      <c r="AL67" s="166">
        <v>116.03164556962024</v>
      </c>
      <c r="AM67" s="182">
        <f t="shared" ref="AM67:AM81" si="61">RANK(AL67, AL$67:AL$81)</f>
        <v>7</v>
      </c>
      <c r="AN67" s="384">
        <f t="shared" ref="AN67" si="62">AVERAGE(AL67:AL81)</f>
        <v>131.82602896022061</v>
      </c>
      <c r="AO67" s="182">
        <v>20</v>
      </c>
      <c r="AP67" s="166">
        <v>2323.6111111111118</v>
      </c>
      <c r="AQ67" s="166">
        <v>116.18055555555559</v>
      </c>
      <c r="AR67" s="182">
        <f t="shared" ref="AR67:AR81" si="63">RANK(AQ67, AQ$67:AQ$81)</f>
        <v>7</v>
      </c>
      <c r="AS67" s="384">
        <f t="shared" ref="AS67" si="64">AVERAGE(AQ67:AQ81)</f>
        <v>131.67185695528386</v>
      </c>
      <c r="AT67" s="182">
        <v>20</v>
      </c>
      <c r="AU67" s="166">
        <v>2317.2077922077924</v>
      </c>
      <c r="AV67" s="166">
        <v>115.86038961038962</v>
      </c>
      <c r="AW67" s="182">
        <f t="shared" ref="AW67:AW81" si="65">RANK(AV67, AV$67:AV$81)</f>
        <v>7</v>
      </c>
      <c r="AX67" s="384">
        <f t="shared" ref="AX67" si="66">AVERAGE(AV67:AV81)</f>
        <v>130.46463555638178</v>
      </c>
      <c r="AZ67" s="182" t="e">
        <f t="shared" ref="AZ67:AZ81" si="67">RANK(AY67, AY$67:AY$81)</f>
        <v>#N/A</v>
      </c>
      <c r="BA67" s="384" t="e">
        <f t="shared" ref="BA67" si="68">AVERAGE(AY67:AY81)</f>
        <v>#DIV/0!</v>
      </c>
    </row>
    <row r="68" spans="2:53">
      <c r="B68" s="395"/>
      <c r="C68" s="182">
        <v>2</v>
      </c>
      <c r="D68" s="203" t="s">
        <v>357</v>
      </c>
      <c r="E68" s="166">
        <v>18</v>
      </c>
      <c r="F68" s="182">
        <v>2700</v>
      </c>
      <c r="G68" s="180">
        <v>166.7</v>
      </c>
      <c r="H68" s="402"/>
      <c r="I68" s="166">
        <f t="shared" si="50"/>
        <v>19</v>
      </c>
      <c r="J68" s="166">
        <f t="shared" si="51"/>
        <v>2610.8029845293081</v>
      </c>
      <c r="K68" s="180">
        <f t="shared" si="52"/>
        <v>137.41068339627935</v>
      </c>
      <c r="L68" s="402"/>
      <c r="M68" s="166">
        <f>RANK(K68, K$67:$K$81)</f>
        <v>3</v>
      </c>
      <c r="N68" s="389"/>
      <c r="O68" s="389"/>
      <c r="P68" s="182">
        <v>19</v>
      </c>
      <c r="Q68" s="166">
        <v>2663.9999999999995</v>
      </c>
      <c r="R68" s="166">
        <v>140.21052631578945</v>
      </c>
      <c r="S68" s="182">
        <f t="shared" si="53"/>
        <v>4</v>
      </c>
      <c r="T68" s="385"/>
      <c r="U68" s="182">
        <v>19</v>
      </c>
      <c r="V68" s="166">
        <v>2653.333333333333</v>
      </c>
      <c r="W68" s="166">
        <v>139.64912280701753</v>
      </c>
      <c r="X68" s="182">
        <f t="shared" si="55"/>
        <v>4</v>
      </c>
      <c r="Y68" s="385"/>
      <c r="Z68" s="182">
        <v>19</v>
      </c>
      <c r="AA68" s="166">
        <v>2654.1176470588234</v>
      </c>
      <c r="AB68" s="166">
        <v>139.69040247678018</v>
      </c>
      <c r="AC68" s="182">
        <f t="shared" si="57"/>
        <v>2</v>
      </c>
      <c r="AD68" s="385"/>
      <c r="AE68" s="182">
        <v>19</v>
      </c>
      <c r="AF68" s="166">
        <v>2628.3582089552237</v>
      </c>
      <c r="AG68" s="166">
        <v>138.33464257659071</v>
      </c>
      <c r="AH68" s="182">
        <f t="shared" si="59"/>
        <v>3</v>
      </c>
      <c r="AI68" s="385"/>
      <c r="AJ68" s="182">
        <v>19</v>
      </c>
      <c r="AK68" s="166">
        <v>2589.166666666667</v>
      </c>
      <c r="AL68" s="166">
        <v>136.27192982456143</v>
      </c>
      <c r="AM68" s="182">
        <f t="shared" si="61"/>
        <v>3</v>
      </c>
      <c r="AN68" s="385"/>
      <c r="AO68" s="182">
        <v>19</v>
      </c>
      <c r="AP68" s="166">
        <v>2569.2537313432836</v>
      </c>
      <c r="AQ68" s="166">
        <v>135.22388059701493</v>
      </c>
      <c r="AR68" s="182">
        <f t="shared" si="63"/>
        <v>4</v>
      </c>
      <c r="AS68" s="385"/>
      <c r="AT68" s="182">
        <v>19</v>
      </c>
      <c r="AU68" s="166">
        <v>2517.3913043478237</v>
      </c>
      <c r="AV68" s="166">
        <v>132.49427917620125</v>
      </c>
      <c r="AW68" s="182">
        <f t="shared" si="65"/>
        <v>4</v>
      </c>
      <c r="AX68" s="385"/>
      <c r="AZ68" s="182" t="e">
        <f t="shared" si="67"/>
        <v>#N/A</v>
      </c>
      <c r="BA68" s="385"/>
    </row>
    <row r="69" spans="2:53">
      <c r="B69" s="395"/>
      <c r="C69" s="182">
        <v>3</v>
      </c>
      <c r="D69" s="203" t="s">
        <v>358</v>
      </c>
      <c r="E69" s="166">
        <v>18</v>
      </c>
      <c r="F69" s="182">
        <v>2700</v>
      </c>
      <c r="G69" s="180">
        <v>166.7</v>
      </c>
      <c r="H69" s="402"/>
      <c r="I69" s="166">
        <f t="shared" si="50"/>
        <v>18.857142857142858</v>
      </c>
      <c r="J69" s="166">
        <f t="shared" si="51"/>
        <v>2474.9245856108341</v>
      </c>
      <c r="K69" s="180">
        <f t="shared" si="52"/>
        <v>131.23067684261594</v>
      </c>
      <c r="L69" s="402"/>
      <c r="M69" s="166">
        <f>RANK(K69, K$67:$K$81)</f>
        <v>5</v>
      </c>
      <c r="N69" s="389"/>
      <c r="O69" s="389"/>
      <c r="P69" s="182">
        <v>19</v>
      </c>
      <c r="Q69" s="166">
        <v>2679.7752808988762</v>
      </c>
      <c r="R69" s="166">
        <v>141.04080425783559</v>
      </c>
      <c r="S69" s="182">
        <f t="shared" si="53"/>
        <v>3</v>
      </c>
      <c r="T69" s="385"/>
      <c r="U69" s="182">
        <v>19</v>
      </c>
      <c r="V69" s="166">
        <v>2669.318181818182</v>
      </c>
      <c r="W69" s="166">
        <v>140.49043062200957</v>
      </c>
      <c r="X69" s="182">
        <f t="shared" si="55"/>
        <v>3</v>
      </c>
      <c r="Y69" s="385"/>
      <c r="Z69" s="182">
        <v>18</v>
      </c>
      <c r="AA69" s="166">
        <v>2325.7425742574264</v>
      </c>
      <c r="AB69" s="166">
        <v>129.20792079207925</v>
      </c>
      <c r="AC69" s="182">
        <f t="shared" si="57"/>
        <v>5</v>
      </c>
      <c r="AD69" s="385"/>
      <c r="AE69" s="182">
        <v>19</v>
      </c>
      <c r="AF69" s="166">
        <v>2377.3584905660391</v>
      </c>
      <c r="AG69" s="166">
        <v>125.1241310824231</v>
      </c>
      <c r="AH69" s="182">
        <f t="shared" si="59"/>
        <v>5</v>
      </c>
      <c r="AI69" s="385"/>
      <c r="AJ69" s="182">
        <v>19</v>
      </c>
      <c r="AK69" s="166">
        <v>2472.6605504587174</v>
      </c>
      <c r="AL69" s="166">
        <v>130.14002897151144</v>
      </c>
      <c r="AM69" s="182">
        <f t="shared" si="61"/>
        <v>5</v>
      </c>
      <c r="AN69" s="385"/>
      <c r="AO69" s="182">
        <v>19</v>
      </c>
      <c r="AP69" s="166">
        <v>2423.6170212765965</v>
      </c>
      <c r="AQ69" s="166">
        <v>127.55879059350508</v>
      </c>
      <c r="AR69" s="182">
        <f t="shared" si="63"/>
        <v>5</v>
      </c>
      <c r="AS69" s="385"/>
      <c r="AT69" s="182">
        <v>19</v>
      </c>
      <c r="AU69" s="166">
        <v>2376.0000000000005</v>
      </c>
      <c r="AV69" s="166">
        <v>125.0526315789474</v>
      </c>
      <c r="AW69" s="182">
        <f t="shared" si="65"/>
        <v>5</v>
      </c>
      <c r="AX69" s="385"/>
      <c r="AZ69" s="182" t="e">
        <f t="shared" si="67"/>
        <v>#N/A</v>
      </c>
      <c r="BA69" s="385"/>
    </row>
    <row r="70" spans="2:53">
      <c r="B70" s="395"/>
      <c r="C70" s="182">
        <v>4</v>
      </c>
      <c r="D70" s="203" t="s">
        <v>359</v>
      </c>
      <c r="E70" s="166">
        <v>19</v>
      </c>
      <c r="F70" s="182">
        <v>2700</v>
      </c>
      <c r="G70" s="180">
        <v>157.9</v>
      </c>
      <c r="H70" s="402"/>
      <c r="I70" s="166">
        <f t="shared" si="50"/>
        <v>19</v>
      </c>
      <c r="J70" s="166">
        <f t="shared" si="51"/>
        <v>2607.5889059235128</v>
      </c>
      <c r="K70" s="180">
        <f t="shared" si="52"/>
        <v>137.24152136439542</v>
      </c>
      <c r="L70" s="402"/>
      <c r="M70" s="166">
        <f>RANK(K70, K$67:$K$81)</f>
        <v>4</v>
      </c>
      <c r="N70" s="389"/>
      <c r="O70" s="389"/>
      <c r="P70" s="182">
        <v>19</v>
      </c>
      <c r="Q70" s="166">
        <v>2634.7199999999993</v>
      </c>
      <c r="R70" s="166">
        <v>138.66947368421049</v>
      </c>
      <c r="S70" s="182">
        <f t="shared" si="53"/>
        <v>5</v>
      </c>
      <c r="T70" s="385"/>
      <c r="U70" s="182">
        <v>19</v>
      </c>
      <c r="V70" s="166">
        <v>2644.6153846153838</v>
      </c>
      <c r="W70" s="166">
        <v>139.19028340080968</v>
      </c>
      <c r="X70" s="182">
        <f t="shared" si="55"/>
        <v>5</v>
      </c>
      <c r="Y70" s="385"/>
      <c r="Z70" s="182">
        <v>19</v>
      </c>
      <c r="AA70" s="166">
        <v>2624.6399999999994</v>
      </c>
      <c r="AB70" s="166">
        <v>138.13894736842101</v>
      </c>
      <c r="AC70" s="182">
        <f t="shared" si="57"/>
        <v>4</v>
      </c>
      <c r="AD70" s="385"/>
      <c r="AE70" s="182">
        <v>19</v>
      </c>
      <c r="AF70" s="166">
        <v>2604.3609022556393</v>
      </c>
      <c r="AG70" s="166">
        <v>137.07162643450732</v>
      </c>
      <c r="AH70" s="182">
        <f t="shared" si="59"/>
        <v>4</v>
      </c>
      <c r="AI70" s="385"/>
      <c r="AJ70" s="182">
        <v>19</v>
      </c>
      <c r="AK70" s="166">
        <v>2577.4100719424459</v>
      </c>
      <c r="AL70" s="166">
        <v>135.65316168118136</v>
      </c>
      <c r="AM70" s="182">
        <f t="shared" si="61"/>
        <v>4</v>
      </c>
      <c r="AN70" s="385"/>
      <c r="AO70" s="182">
        <v>19</v>
      </c>
      <c r="AP70" s="166">
        <v>2570.9243697478978</v>
      </c>
      <c r="AQ70" s="166">
        <v>135.31180893409987</v>
      </c>
      <c r="AR70" s="182">
        <f t="shared" si="63"/>
        <v>3</v>
      </c>
      <c r="AS70" s="385"/>
      <c r="AT70" s="182">
        <v>19</v>
      </c>
      <c r="AU70" s="166">
        <v>2596.4516129032249</v>
      </c>
      <c r="AV70" s="166">
        <v>136.65534804753815</v>
      </c>
      <c r="AW70" s="182">
        <f t="shared" si="65"/>
        <v>3</v>
      </c>
      <c r="AX70" s="385"/>
      <c r="AZ70" s="182" t="e">
        <f t="shared" si="67"/>
        <v>#N/A</v>
      </c>
      <c r="BA70" s="385"/>
    </row>
    <row r="71" spans="2:53">
      <c r="B71" s="395"/>
      <c r="C71" s="182">
        <v>5</v>
      </c>
      <c r="D71" s="203" t="s">
        <v>530</v>
      </c>
      <c r="E71" s="166">
        <v>17</v>
      </c>
      <c r="F71" s="182">
        <v>2250</v>
      </c>
      <c r="G71" s="180">
        <v>132.4</v>
      </c>
      <c r="H71" s="402"/>
      <c r="I71" s="166">
        <f t="shared" si="50"/>
        <v>18</v>
      </c>
      <c r="J71" s="166">
        <f t="shared" si="51"/>
        <v>2175.6877865783308</v>
      </c>
      <c r="K71" s="180">
        <f t="shared" si="52"/>
        <v>120.87154369879615</v>
      </c>
      <c r="L71" s="402"/>
      <c r="M71" s="166">
        <f>RANK(K71, K$67:$K$81)</f>
        <v>6</v>
      </c>
      <c r="N71" s="389"/>
      <c r="O71" s="389"/>
      <c r="P71" s="182">
        <v>18</v>
      </c>
      <c r="Q71" s="166">
        <v>2225.2500000000005</v>
      </c>
      <c r="R71" s="166">
        <v>123.62500000000003</v>
      </c>
      <c r="S71" s="182">
        <f t="shared" si="53"/>
        <v>6</v>
      </c>
      <c r="T71" s="385"/>
      <c r="U71" s="182">
        <v>18</v>
      </c>
      <c r="V71" s="166">
        <v>2197.6310679611647</v>
      </c>
      <c r="W71" s="166">
        <v>122.09061488673137</v>
      </c>
      <c r="X71" s="182">
        <f t="shared" si="55"/>
        <v>6</v>
      </c>
      <c r="Y71" s="385"/>
      <c r="Z71" s="182">
        <v>18</v>
      </c>
      <c r="AA71" s="166">
        <v>2039.2432432432431</v>
      </c>
      <c r="AB71" s="166">
        <v>113.29129129129129</v>
      </c>
      <c r="AC71" s="182">
        <f t="shared" si="57"/>
        <v>7</v>
      </c>
      <c r="AD71" s="385"/>
      <c r="AE71" s="182">
        <v>18</v>
      </c>
      <c r="AF71" s="166">
        <v>2212.3980582524277</v>
      </c>
      <c r="AG71" s="166">
        <v>122.91100323624599</v>
      </c>
      <c r="AH71" s="182">
        <f t="shared" si="59"/>
        <v>6</v>
      </c>
      <c r="AI71" s="385"/>
      <c r="AJ71" s="182">
        <v>18</v>
      </c>
      <c r="AK71" s="166">
        <v>2203.1517857142858</v>
      </c>
      <c r="AL71" s="166">
        <v>122.39732142857143</v>
      </c>
      <c r="AM71" s="182">
        <f t="shared" si="61"/>
        <v>6</v>
      </c>
      <c r="AN71" s="385"/>
      <c r="AO71" s="182">
        <v>18</v>
      </c>
      <c r="AP71" s="166">
        <v>2201.6666666666661</v>
      </c>
      <c r="AQ71" s="166">
        <v>122.31481481481478</v>
      </c>
      <c r="AR71" s="182">
        <f t="shared" si="63"/>
        <v>6</v>
      </c>
      <c r="AS71" s="385"/>
      <c r="AT71" s="182">
        <v>18</v>
      </c>
      <c r="AU71" s="166">
        <v>2150.4736842105262</v>
      </c>
      <c r="AV71" s="166">
        <v>119.47076023391813</v>
      </c>
      <c r="AW71" s="182">
        <f t="shared" si="65"/>
        <v>6</v>
      </c>
      <c r="AX71" s="385"/>
      <c r="AZ71" s="182" t="e">
        <f t="shared" si="67"/>
        <v>#N/A</v>
      </c>
      <c r="BA71" s="385"/>
    </row>
    <row r="72" spans="2:53">
      <c r="B72" s="395"/>
      <c r="C72" s="182">
        <v>6</v>
      </c>
      <c r="D72" s="203" t="s">
        <v>646</v>
      </c>
      <c r="E72" s="166">
        <v>17</v>
      </c>
      <c r="F72" s="182">
        <v>2700</v>
      </c>
      <c r="G72" s="180">
        <v>166.7</v>
      </c>
      <c r="H72" s="402"/>
      <c r="I72" s="166">
        <f t="shared" si="50"/>
        <v>17</v>
      </c>
      <c r="J72" s="166">
        <f t="shared" si="51"/>
        <v>2436.0357266918932</v>
      </c>
      <c r="K72" s="180">
        <f t="shared" si="52"/>
        <v>143.29621921717018</v>
      </c>
      <c r="L72" s="402"/>
      <c r="M72" s="166">
        <f>RANK(K72, K$67:$K$81)</f>
        <v>1</v>
      </c>
      <c r="N72" s="389"/>
      <c r="O72" s="389"/>
      <c r="P72" s="182">
        <v>17</v>
      </c>
      <c r="Q72" s="166">
        <v>2477.5000000000009</v>
      </c>
      <c r="R72" s="166">
        <v>145.7352941176471</v>
      </c>
      <c r="S72" s="182">
        <f t="shared" si="53"/>
        <v>1</v>
      </c>
      <c r="T72" s="385"/>
      <c r="U72" s="182">
        <v>17</v>
      </c>
      <c r="V72" s="166">
        <v>2474.4000000000005</v>
      </c>
      <c r="W72" s="166">
        <v>145.55294117647063</v>
      </c>
      <c r="X72" s="182">
        <f t="shared" si="55"/>
        <v>1</v>
      </c>
      <c r="Y72" s="385"/>
      <c r="Z72" s="182">
        <v>17</v>
      </c>
      <c r="AA72" s="166">
        <v>2449.7872340425538</v>
      </c>
      <c r="AB72" s="166">
        <v>144.10513141426787</v>
      </c>
      <c r="AC72" s="182">
        <f t="shared" si="57"/>
        <v>1</v>
      </c>
      <c r="AD72" s="385"/>
      <c r="AE72" s="182">
        <v>17</v>
      </c>
      <c r="AF72" s="166">
        <v>2425.5319148936173</v>
      </c>
      <c r="AG72" s="166">
        <v>142.67834793491866</v>
      </c>
      <c r="AH72" s="182">
        <f t="shared" si="59"/>
        <v>1</v>
      </c>
      <c r="AI72" s="385"/>
      <c r="AJ72" s="182">
        <v>17</v>
      </c>
      <c r="AK72" s="166">
        <v>2404.8979591836742</v>
      </c>
      <c r="AL72" s="166">
        <v>141.46458583433377</v>
      </c>
      <c r="AM72" s="182">
        <f t="shared" si="61"/>
        <v>1</v>
      </c>
      <c r="AN72" s="385"/>
      <c r="AO72" s="182">
        <v>17</v>
      </c>
      <c r="AP72" s="166">
        <v>2406.3829787234044</v>
      </c>
      <c r="AQ72" s="166">
        <v>141.55193992490615</v>
      </c>
      <c r="AR72" s="182">
        <f t="shared" si="63"/>
        <v>2</v>
      </c>
      <c r="AS72" s="385"/>
      <c r="AT72" s="182">
        <v>17</v>
      </c>
      <c r="AU72" s="166">
        <v>2413.7500000000009</v>
      </c>
      <c r="AV72" s="166">
        <v>141.9852941176471</v>
      </c>
      <c r="AW72" s="182">
        <f t="shared" si="65"/>
        <v>1</v>
      </c>
      <c r="AX72" s="385"/>
      <c r="AZ72" s="182" t="e">
        <f t="shared" si="67"/>
        <v>#N/A</v>
      </c>
      <c r="BA72" s="385"/>
    </row>
    <row r="73" spans="2:53">
      <c r="B73" s="395"/>
      <c r="C73" s="182">
        <v>7</v>
      </c>
      <c r="D73" s="203" t="s">
        <v>662</v>
      </c>
      <c r="E73" s="166">
        <v>17</v>
      </c>
      <c r="F73" s="182">
        <v>2700</v>
      </c>
      <c r="G73" s="180">
        <v>166.7</v>
      </c>
      <c r="H73" s="402"/>
      <c r="I73" s="166">
        <f t="shared" si="50"/>
        <v>17</v>
      </c>
      <c r="J73" s="166">
        <f t="shared" si="51"/>
        <v>2407.9045281298158</v>
      </c>
      <c r="K73" s="180">
        <f t="shared" si="52"/>
        <v>141.64144283116562</v>
      </c>
      <c r="L73" s="402"/>
      <c r="M73" s="166">
        <f>RANK(K73, K$67:$K$81)</f>
        <v>2</v>
      </c>
      <c r="N73" s="389"/>
      <c r="O73" s="389"/>
      <c r="P73" s="182">
        <v>17</v>
      </c>
      <c r="Q73" s="166">
        <v>2442.6315789473665</v>
      </c>
      <c r="R73" s="166">
        <v>143.68421052631567</v>
      </c>
      <c r="S73" s="182">
        <f t="shared" si="53"/>
        <v>2</v>
      </c>
      <c r="T73" s="385"/>
      <c r="U73" s="182">
        <v>17</v>
      </c>
      <c r="V73" s="166">
        <v>2434.4999999999991</v>
      </c>
      <c r="W73" s="166">
        <v>143.20588235294113</v>
      </c>
      <c r="X73" s="182">
        <f t="shared" si="55"/>
        <v>2</v>
      </c>
      <c r="Y73" s="385"/>
      <c r="Z73" s="182">
        <v>17</v>
      </c>
      <c r="AA73" s="166">
        <v>2348.7804878048773</v>
      </c>
      <c r="AB73" s="166">
        <v>138.16355810616926</v>
      </c>
      <c r="AC73" s="182">
        <f t="shared" si="57"/>
        <v>3</v>
      </c>
      <c r="AD73" s="385"/>
      <c r="AE73" s="182">
        <v>17</v>
      </c>
      <c r="AF73" s="166">
        <v>2385.4054054054036</v>
      </c>
      <c r="AG73" s="166">
        <v>140.31796502384728</v>
      </c>
      <c r="AH73" s="182">
        <f t="shared" si="59"/>
        <v>2</v>
      </c>
      <c r="AI73" s="385"/>
      <c r="AJ73" s="182">
        <v>17</v>
      </c>
      <c r="AK73" s="166">
        <v>2393.9999999999991</v>
      </c>
      <c r="AL73" s="166">
        <v>140.82352941176464</v>
      </c>
      <c r="AM73" s="182">
        <f t="shared" si="61"/>
        <v>2</v>
      </c>
      <c r="AN73" s="385"/>
      <c r="AO73" s="182">
        <v>17</v>
      </c>
      <c r="AP73" s="166">
        <v>2440.5405405405386</v>
      </c>
      <c r="AQ73" s="166">
        <v>143.56120826709051</v>
      </c>
      <c r="AR73" s="182">
        <f t="shared" si="63"/>
        <v>1</v>
      </c>
      <c r="AS73" s="385"/>
      <c r="AT73" s="182">
        <v>17</v>
      </c>
      <c r="AU73" s="166">
        <v>2409.4736842105244</v>
      </c>
      <c r="AV73" s="166">
        <v>141.73374613003085</v>
      </c>
      <c r="AW73" s="182">
        <f t="shared" si="65"/>
        <v>2</v>
      </c>
      <c r="AX73" s="385"/>
      <c r="AZ73" s="182" t="e">
        <f t="shared" si="67"/>
        <v>#N/A</v>
      </c>
      <c r="BA73" s="385"/>
    </row>
    <row r="74" spans="2:53">
      <c r="B74" s="395"/>
      <c r="C74" s="182">
        <v>8</v>
      </c>
      <c r="D74" s="203"/>
      <c r="E74" s="166"/>
      <c r="F74" s="182"/>
      <c r="G74" s="180"/>
      <c r="H74" s="402"/>
      <c r="I74" s="166" t="str">
        <f t="shared" si="50"/>
        <v>-</v>
      </c>
      <c r="J74" s="166" t="str">
        <f t="shared" si="51"/>
        <v>-</v>
      </c>
      <c r="K74" s="180" t="str">
        <f t="shared" si="52"/>
        <v>-</v>
      </c>
      <c r="L74" s="402"/>
      <c r="M74" s="166" t="e">
        <f>RANK(K74, K$67:$K$81)</f>
        <v>#VALUE!</v>
      </c>
      <c r="N74" s="389"/>
      <c r="O74" s="389"/>
      <c r="P74" s="182" t="s">
        <v>634</v>
      </c>
      <c r="Q74" s="166" t="s">
        <v>634</v>
      </c>
      <c r="R74" s="166" t="s">
        <v>634</v>
      </c>
      <c r="S74" s="182" t="e">
        <f t="shared" si="53"/>
        <v>#VALUE!</v>
      </c>
      <c r="T74" s="385"/>
      <c r="U74" s="182" t="s">
        <v>634</v>
      </c>
      <c r="V74" s="166" t="s">
        <v>634</v>
      </c>
      <c r="W74" s="166" t="s">
        <v>634</v>
      </c>
      <c r="X74" s="182" t="e">
        <f t="shared" si="55"/>
        <v>#VALUE!</v>
      </c>
      <c r="Y74" s="385"/>
      <c r="Z74" s="182" t="s">
        <v>634</v>
      </c>
      <c r="AA74" s="166" t="s">
        <v>634</v>
      </c>
      <c r="AB74" s="166" t="s">
        <v>634</v>
      </c>
      <c r="AC74" s="182" t="e">
        <f t="shared" si="57"/>
        <v>#VALUE!</v>
      </c>
      <c r="AD74" s="385"/>
      <c r="AE74" s="182" t="s">
        <v>634</v>
      </c>
      <c r="AF74" s="166" t="s">
        <v>634</v>
      </c>
      <c r="AG74" s="166" t="s">
        <v>634</v>
      </c>
      <c r="AH74" s="182" t="e">
        <f t="shared" si="59"/>
        <v>#VALUE!</v>
      </c>
      <c r="AI74" s="385"/>
      <c r="AJ74" s="182" t="s">
        <v>634</v>
      </c>
      <c r="AK74" s="166" t="s">
        <v>634</v>
      </c>
      <c r="AL74" s="166" t="s">
        <v>634</v>
      </c>
      <c r="AM74" s="182" t="e">
        <f t="shared" si="61"/>
        <v>#VALUE!</v>
      </c>
      <c r="AN74" s="385"/>
      <c r="AO74" s="182" t="s">
        <v>634</v>
      </c>
      <c r="AP74" s="166" t="s">
        <v>634</v>
      </c>
      <c r="AQ74" s="166" t="s">
        <v>634</v>
      </c>
      <c r="AR74" s="182" t="e">
        <f t="shared" si="63"/>
        <v>#VALUE!</v>
      </c>
      <c r="AS74" s="385"/>
      <c r="AT74" s="182" t="s">
        <v>634</v>
      </c>
      <c r="AU74" s="166" t="s">
        <v>634</v>
      </c>
      <c r="AV74" s="166" t="s">
        <v>634</v>
      </c>
      <c r="AW74" s="182" t="e">
        <f t="shared" si="65"/>
        <v>#VALUE!</v>
      </c>
      <c r="AX74" s="385"/>
      <c r="AZ74" s="182" t="e">
        <f t="shared" si="67"/>
        <v>#N/A</v>
      </c>
      <c r="BA74" s="385"/>
    </row>
    <row r="75" spans="2:53">
      <c r="B75" s="395"/>
      <c r="C75" s="182">
        <v>9</v>
      </c>
      <c r="D75" s="203"/>
      <c r="E75" s="166"/>
      <c r="F75" s="182"/>
      <c r="G75" s="180"/>
      <c r="H75" s="402"/>
      <c r="I75" s="166" t="str">
        <f t="shared" si="50"/>
        <v>-</v>
      </c>
      <c r="J75" s="166" t="str">
        <f t="shared" si="51"/>
        <v>-</v>
      </c>
      <c r="K75" s="180" t="str">
        <f t="shared" si="52"/>
        <v>-</v>
      </c>
      <c r="L75" s="402"/>
      <c r="M75" s="166" t="e">
        <f>RANK(K75, K$67:$K$81)</f>
        <v>#VALUE!</v>
      </c>
      <c r="N75" s="389"/>
      <c r="O75" s="389"/>
      <c r="P75" s="182" t="s">
        <v>634</v>
      </c>
      <c r="Q75" s="166" t="s">
        <v>634</v>
      </c>
      <c r="R75" s="166" t="s">
        <v>634</v>
      </c>
      <c r="S75" s="182" t="e">
        <f t="shared" si="53"/>
        <v>#VALUE!</v>
      </c>
      <c r="T75" s="385"/>
      <c r="U75" s="182" t="s">
        <v>634</v>
      </c>
      <c r="V75" s="166" t="s">
        <v>634</v>
      </c>
      <c r="W75" s="166" t="s">
        <v>634</v>
      </c>
      <c r="X75" s="182" t="e">
        <f t="shared" si="55"/>
        <v>#VALUE!</v>
      </c>
      <c r="Y75" s="385"/>
      <c r="Z75" s="182" t="s">
        <v>634</v>
      </c>
      <c r="AA75" s="166" t="s">
        <v>634</v>
      </c>
      <c r="AB75" s="166" t="s">
        <v>634</v>
      </c>
      <c r="AC75" s="182" t="e">
        <f t="shared" si="57"/>
        <v>#VALUE!</v>
      </c>
      <c r="AD75" s="385"/>
      <c r="AE75" s="182" t="s">
        <v>634</v>
      </c>
      <c r="AF75" s="166" t="s">
        <v>634</v>
      </c>
      <c r="AG75" s="166" t="s">
        <v>634</v>
      </c>
      <c r="AH75" s="182" t="e">
        <f t="shared" si="59"/>
        <v>#VALUE!</v>
      </c>
      <c r="AI75" s="385"/>
      <c r="AJ75" s="182" t="s">
        <v>634</v>
      </c>
      <c r="AK75" s="166" t="s">
        <v>634</v>
      </c>
      <c r="AL75" s="166" t="s">
        <v>634</v>
      </c>
      <c r="AM75" s="182" t="e">
        <f t="shared" si="61"/>
        <v>#VALUE!</v>
      </c>
      <c r="AN75" s="385"/>
      <c r="AO75" s="182" t="s">
        <v>634</v>
      </c>
      <c r="AP75" s="166" t="s">
        <v>634</v>
      </c>
      <c r="AQ75" s="166" t="s">
        <v>634</v>
      </c>
      <c r="AR75" s="182" t="e">
        <f t="shared" si="63"/>
        <v>#VALUE!</v>
      </c>
      <c r="AS75" s="385"/>
      <c r="AT75" s="182" t="s">
        <v>634</v>
      </c>
      <c r="AU75" s="166" t="s">
        <v>634</v>
      </c>
      <c r="AV75" s="166" t="s">
        <v>634</v>
      </c>
      <c r="AW75" s="182" t="e">
        <f t="shared" si="65"/>
        <v>#VALUE!</v>
      </c>
      <c r="AX75" s="385"/>
      <c r="AZ75" s="182" t="e">
        <f t="shared" si="67"/>
        <v>#N/A</v>
      </c>
      <c r="BA75" s="385"/>
    </row>
    <row r="76" spans="2:53">
      <c r="B76" s="395"/>
      <c r="C76" s="182">
        <v>10</v>
      </c>
      <c r="D76" s="203"/>
      <c r="E76" s="166"/>
      <c r="F76" s="182"/>
      <c r="G76" s="180"/>
      <c r="H76" s="402"/>
      <c r="I76" s="166" t="str">
        <f t="shared" si="50"/>
        <v>-</v>
      </c>
      <c r="J76" s="166" t="str">
        <f t="shared" si="51"/>
        <v>-</v>
      </c>
      <c r="K76" s="180" t="str">
        <f t="shared" si="52"/>
        <v>-</v>
      </c>
      <c r="L76" s="402"/>
      <c r="M76" s="166" t="e">
        <f>RANK(K76, K$67:$K$81)</f>
        <v>#VALUE!</v>
      </c>
      <c r="N76" s="389"/>
      <c r="O76" s="389"/>
      <c r="P76" s="182" t="s">
        <v>634</v>
      </c>
      <c r="Q76" s="166" t="s">
        <v>634</v>
      </c>
      <c r="R76" s="166" t="s">
        <v>634</v>
      </c>
      <c r="S76" s="182" t="e">
        <f t="shared" si="53"/>
        <v>#VALUE!</v>
      </c>
      <c r="T76" s="385"/>
      <c r="U76" s="182" t="s">
        <v>634</v>
      </c>
      <c r="V76" s="166" t="s">
        <v>634</v>
      </c>
      <c r="W76" s="166" t="s">
        <v>634</v>
      </c>
      <c r="X76" s="182" t="e">
        <f t="shared" si="55"/>
        <v>#VALUE!</v>
      </c>
      <c r="Y76" s="385"/>
      <c r="Z76" s="182" t="s">
        <v>634</v>
      </c>
      <c r="AA76" s="166" t="s">
        <v>634</v>
      </c>
      <c r="AB76" s="166" t="s">
        <v>634</v>
      </c>
      <c r="AC76" s="182" t="e">
        <f t="shared" si="57"/>
        <v>#VALUE!</v>
      </c>
      <c r="AD76" s="385"/>
      <c r="AE76" s="182" t="s">
        <v>634</v>
      </c>
      <c r="AF76" s="166" t="s">
        <v>634</v>
      </c>
      <c r="AG76" s="166" t="s">
        <v>634</v>
      </c>
      <c r="AH76" s="182" t="e">
        <f t="shared" si="59"/>
        <v>#VALUE!</v>
      </c>
      <c r="AI76" s="385"/>
      <c r="AJ76" s="182" t="s">
        <v>634</v>
      </c>
      <c r="AK76" s="166" t="s">
        <v>634</v>
      </c>
      <c r="AL76" s="166" t="s">
        <v>634</v>
      </c>
      <c r="AM76" s="182" t="e">
        <f t="shared" si="61"/>
        <v>#VALUE!</v>
      </c>
      <c r="AN76" s="385"/>
      <c r="AO76" s="182" t="s">
        <v>634</v>
      </c>
      <c r="AP76" s="166" t="s">
        <v>634</v>
      </c>
      <c r="AQ76" s="166" t="s">
        <v>634</v>
      </c>
      <c r="AR76" s="182" t="e">
        <f t="shared" si="63"/>
        <v>#VALUE!</v>
      </c>
      <c r="AS76" s="385"/>
      <c r="AT76" s="182" t="s">
        <v>634</v>
      </c>
      <c r="AU76" s="166" t="s">
        <v>634</v>
      </c>
      <c r="AV76" s="166" t="s">
        <v>634</v>
      </c>
      <c r="AW76" s="182" t="e">
        <f t="shared" si="65"/>
        <v>#VALUE!</v>
      </c>
      <c r="AX76" s="385"/>
      <c r="AZ76" s="182" t="e">
        <f t="shared" si="67"/>
        <v>#N/A</v>
      </c>
      <c r="BA76" s="385"/>
    </row>
    <row r="77" spans="2:53">
      <c r="B77" s="395"/>
      <c r="C77" s="182">
        <v>11</v>
      </c>
      <c r="D77" s="203"/>
      <c r="E77" s="166"/>
      <c r="F77" s="182"/>
      <c r="G77" s="180"/>
      <c r="H77" s="402"/>
      <c r="I77" s="166" t="str">
        <f t="shared" si="50"/>
        <v>-</v>
      </c>
      <c r="J77" s="166" t="str">
        <f t="shared" si="51"/>
        <v>-</v>
      </c>
      <c r="K77" s="180" t="str">
        <f t="shared" si="52"/>
        <v>-</v>
      </c>
      <c r="L77" s="402"/>
      <c r="M77" s="166" t="e">
        <f>RANK(K77, K$67:$K$81)</f>
        <v>#VALUE!</v>
      </c>
      <c r="N77" s="389"/>
      <c r="O77" s="389"/>
      <c r="P77" s="182" t="s">
        <v>634</v>
      </c>
      <c r="Q77" s="166" t="s">
        <v>634</v>
      </c>
      <c r="R77" s="166" t="s">
        <v>634</v>
      </c>
      <c r="S77" s="182" t="e">
        <f t="shared" si="53"/>
        <v>#VALUE!</v>
      </c>
      <c r="T77" s="385"/>
      <c r="U77" s="182" t="s">
        <v>634</v>
      </c>
      <c r="V77" s="166" t="s">
        <v>634</v>
      </c>
      <c r="W77" s="166" t="s">
        <v>634</v>
      </c>
      <c r="X77" s="182" t="e">
        <f t="shared" si="55"/>
        <v>#VALUE!</v>
      </c>
      <c r="Y77" s="385"/>
      <c r="Z77" s="182" t="s">
        <v>634</v>
      </c>
      <c r="AA77" s="166" t="s">
        <v>634</v>
      </c>
      <c r="AB77" s="166" t="s">
        <v>634</v>
      </c>
      <c r="AC77" s="182" t="e">
        <f t="shared" si="57"/>
        <v>#VALUE!</v>
      </c>
      <c r="AD77" s="385"/>
      <c r="AE77" s="182" t="s">
        <v>634</v>
      </c>
      <c r="AF77" s="166" t="s">
        <v>634</v>
      </c>
      <c r="AG77" s="166" t="s">
        <v>634</v>
      </c>
      <c r="AH77" s="182" t="e">
        <f t="shared" si="59"/>
        <v>#VALUE!</v>
      </c>
      <c r="AI77" s="385"/>
      <c r="AJ77" s="182" t="s">
        <v>634</v>
      </c>
      <c r="AK77" s="166" t="s">
        <v>634</v>
      </c>
      <c r="AL77" s="166" t="s">
        <v>634</v>
      </c>
      <c r="AM77" s="182" t="e">
        <f t="shared" si="61"/>
        <v>#VALUE!</v>
      </c>
      <c r="AN77" s="385"/>
      <c r="AO77" s="182" t="s">
        <v>634</v>
      </c>
      <c r="AP77" s="166" t="s">
        <v>634</v>
      </c>
      <c r="AQ77" s="166" t="s">
        <v>634</v>
      </c>
      <c r="AR77" s="182" t="e">
        <f t="shared" si="63"/>
        <v>#VALUE!</v>
      </c>
      <c r="AS77" s="385"/>
      <c r="AT77" s="182" t="s">
        <v>634</v>
      </c>
      <c r="AU77" s="166" t="s">
        <v>634</v>
      </c>
      <c r="AV77" s="166" t="s">
        <v>634</v>
      </c>
      <c r="AW77" s="182" t="e">
        <f t="shared" si="65"/>
        <v>#VALUE!</v>
      </c>
      <c r="AX77" s="385"/>
      <c r="AZ77" s="182" t="e">
        <f t="shared" si="67"/>
        <v>#N/A</v>
      </c>
      <c r="BA77" s="385"/>
    </row>
    <row r="78" spans="2:53">
      <c r="B78" s="395"/>
      <c r="C78" s="182">
        <v>12</v>
      </c>
      <c r="D78" s="203"/>
      <c r="E78" s="166"/>
      <c r="F78" s="182"/>
      <c r="G78" s="180"/>
      <c r="H78" s="402"/>
      <c r="I78" s="166" t="str">
        <f t="shared" si="50"/>
        <v>-</v>
      </c>
      <c r="J78" s="166" t="str">
        <f t="shared" si="51"/>
        <v>-</v>
      </c>
      <c r="K78" s="180" t="str">
        <f t="shared" si="52"/>
        <v>-</v>
      </c>
      <c r="L78" s="402"/>
      <c r="M78" s="166" t="e">
        <f>RANK(K78, K$67:$K$81)</f>
        <v>#VALUE!</v>
      </c>
      <c r="N78" s="389"/>
      <c r="O78" s="389"/>
      <c r="P78" s="182" t="s">
        <v>634</v>
      </c>
      <c r="Q78" s="166" t="s">
        <v>634</v>
      </c>
      <c r="R78" s="166" t="s">
        <v>634</v>
      </c>
      <c r="S78" s="182" t="e">
        <f t="shared" si="53"/>
        <v>#VALUE!</v>
      </c>
      <c r="T78" s="385"/>
      <c r="U78" s="182" t="s">
        <v>634</v>
      </c>
      <c r="V78" s="166" t="s">
        <v>634</v>
      </c>
      <c r="W78" s="166" t="s">
        <v>634</v>
      </c>
      <c r="X78" s="182" t="e">
        <f t="shared" si="55"/>
        <v>#VALUE!</v>
      </c>
      <c r="Y78" s="385"/>
      <c r="Z78" s="182" t="s">
        <v>634</v>
      </c>
      <c r="AA78" s="166" t="s">
        <v>634</v>
      </c>
      <c r="AB78" s="166" t="s">
        <v>634</v>
      </c>
      <c r="AC78" s="182" t="e">
        <f t="shared" si="57"/>
        <v>#VALUE!</v>
      </c>
      <c r="AD78" s="385"/>
      <c r="AE78" s="182" t="s">
        <v>634</v>
      </c>
      <c r="AF78" s="166" t="s">
        <v>634</v>
      </c>
      <c r="AG78" s="166" t="s">
        <v>634</v>
      </c>
      <c r="AH78" s="182" t="e">
        <f t="shared" si="59"/>
        <v>#VALUE!</v>
      </c>
      <c r="AI78" s="385"/>
      <c r="AJ78" s="182" t="s">
        <v>634</v>
      </c>
      <c r="AK78" s="166" t="s">
        <v>634</v>
      </c>
      <c r="AL78" s="166" t="s">
        <v>634</v>
      </c>
      <c r="AM78" s="182" t="e">
        <f t="shared" si="61"/>
        <v>#VALUE!</v>
      </c>
      <c r="AN78" s="385"/>
      <c r="AO78" s="182" t="s">
        <v>634</v>
      </c>
      <c r="AP78" s="166" t="s">
        <v>634</v>
      </c>
      <c r="AQ78" s="166" t="s">
        <v>634</v>
      </c>
      <c r="AR78" s="182" t="e">
        <f t="shared" si="63"/>
        <v>#VALUE!</v>
      </c>
      <c r="AS78" s="385"/>
      <c r="AT78" s="182" t="s">
        <v>634</v>
      </c>
      <c r="AU78" s="166" t="s">
        <v>634</v>
      </c>
      <c r="AV78" s="166" t="s">
        <v>634</v>
      </c>
      <c r="AW78" s="182" t="e">
        <f t="shared" si="65"/>
        <v>#VALUE!</v>
      </c>
      <c r="AX78" s="385"/>
      <c r="AZ78" s="182" t="e">
        <f t="shared" si="67"/>
        <v>#N/A</v>
      </c>
      <c r="BA78" s="385"/>
    </row>
    <row r="79" spans="2:53">
      <c r="B79" s="395"/>
      <c r="C79" s="182">
        <v>13</v>
      </c>
      <c r="D79" s="203"/>
      <c r="E79" s="166"/>
      <c r="F79" s="182"/>
      <c r="G79" s="180"/>
      <c r="H79" s="402"/>
      <c r="I79" s="166" t="str">
        <f t="shared" si="50"/>
        <v>-</v>
      </c>
      <c r="J79" s="166" t="str">
        <f t="shared" si="51"/>
        <v>-</v>
      </c>
      <c r="K79" s="180" t="str">
        <f t="shared" si="52"/>
        <v>-</v>
      </c>
      <c r="L79" s="402"/>
      <c r="M79" s="166" t="e">
        <f>RANK(K79, K$67:$K$81)</f>
        <v>#VALUE!</v>
      </c>
      <c r="N79" s="389"/>
      <c r="O79" s="389"/>
      <c r="P79" s="182" t="s">
        <v>634</v>
      </c>
      <c r="Q79" s="166" t="s">
        <v>634</v>
      </c>
      <c r="R79" s="166" t="s">
        <v>634</v>
      </c>
      <c r="S79" s="182" t="e">
        <f t="shared" si="53"/>
        <v>#VALUE!</v>
      </c>
      <c r="T79" s="385"/>
      <c r="U79" s="182" t="s">
        <v>634</v>
      </c>
      <c r="V79" s="166" t="s">
        <v>634</v>
      </c>
      <c r="W79" s="166" t="s">
        <v>634</v>
      </c>
      <c r="X79" s="182" t="e">
        <f t="shared" si="55"/>
        <v>#VALUE!</v>
      </c>
      <c r="Y79" s="385"/>
      <c r="Z79" s="182" t="s">
        <v>634</v>
      </c>
      <c r="AA79" s="166" t="s">
        <v>634</v>
      </c>
      <c r="AB79" s="166" t="s">
        <v>634</v>
      </c>
      <c r="AC79" s="182" t="e">
        <f t="shared" si="57"/>
        <v>#VALUE!</v>
      </c>
      <c r="AD79" s="385"/>
      <c r="AE79" s="182" t="s">
        <v>634</v>
      </c>
      <c r="AF79" s="166" t="s">
        <v>634</v>
      </c>
      <c r="AG79" s="166" t="s">
        <v>634</v>
      </c>
      <c r="AH79" s="182" t="e">
        <f t="shared" si="59"/>
        <v>#VALUE!</v>
      </c>
      <c r="AI79" s="385"/>
      <c r="AJ79" s="182" t="s">
        <v>634</v>
      </c>
      <c r="AK79" s="166" t="s">
        <v>634</v>
      </c>
      <c r="AL79" s="166" t="s">
        <v>634</v>
      </c>
      <c r="AM79" s="182" t="e">
        <f t="shared" si="61"/>
        <v>#VALUE!</v>
      </c>
      <c r="AN79" s="385"/>
      <c r="AO79" s="182" t="s">
        <v>634</v>
      </c>
      <c r="AP79" s="166" t="s">
        <v>634</v>
      </c>
      <c r="AQ79" s="166" t="s">
        <v>634</v>
      </c>
      <c r="AR79" s="182" t="e">
        <f t="shared" si="63"/>
        <v>#VALUE!</v>
      </c>
      <c r="AS79" s="385"/>
      <c r="AT79" s="182" t="s">
        <v>634</v>
      </c>
      <c r="AU79" s="166" t="s">
        <v>634</v>
      </c>
      <c r="AV79" s="166" t="s">
        <v>634</v>
      </c>
      <c r="AW79" s="182" t="e">
        <f t="shared" si="65"/>
        <v>#VALUE!</v>
      </c>
      <c r="AX79" s="385"/>
      <c r="AZ79" s="182" t="e">
        <f t="shared" si="67"/>
        <v>#N/A</v>
      </c>
      <c r="BA79" s="385"/>
    </row>
    <row r="80" spans="2:53">
      <c r="B80" s="395"/>
      <c r="C80" s="182">
        <v>14</v>
      </c>
      <c r="D80" s="203"/>
      <c r="E80" s="166"/>
      <c r="F80" s="182"/>
      <c r="G80" s="180"/>
      <c r="H80" s="402"/>
      <c r="I80" s="166" t="str">
        <f t="shared" si="50"/>
        <v>-</v>
      </c>
      <c r="J80" s="166" t="str">
        <f t="shared" si="51"/>
        <v>-</v>
      </c>
      <c r="K80" s="180" t="str">
        <f t="shared" si="52"/>
        <v>-</v>
      </c>
      <c r="L80" s="402"/>
      <c r="M80" s="166" t="e">
        <f>RANK(K80, K$67:$K$81)</f>
        <v>#VALUE!</v>
      </c>
      <c r="N80" s="389"/>
      <c r="O80" s="389"/>
      <c r="P80" s="182" t="s">
        <v>634</v>
      </c>
      <c r="Q80" s="166" t="s">
        <v>634</v>
      </c>
      <c r="R80" s="166" t="s">
        <v>634</v>
      </c>
      <c r="S80" s="182" t="e">
        <f t="shared" si="53"/>
        <v>#VALUE!</v>
      </c>
      <c r="T80" s="385"/>
      <c r="U80" s="182" t="s">
        <v>634</v>
      </c>
      <c r="V80" s="166" t="s">
        <v>634</v>
      </c>
      <c r="W80" s="166" t="s">
        <v>634</v>
      </c>
      <c r="X80" s="182" t="e">
        <f t="shared" si="55"/>
        <v>#VALUE!</v>
      </c>
      <c r="Y80" s="385"/>
      <c r="Z80" s="182" t="s">
        <v>634</v>
      </c>
      <c r="AA80" s="166" t="s">
        <v>634</v>
      </c>
      <c r="AB80" s="166" t="s">
        <v>634</v>
      </c>
      <c r="AC80" s="182" t="e">
        <f t="shared" si="57"/>
        <v>#VALUE!</v>
      </c>
      <c r="AD80" s="385"/>
      <c r="AE80" s="182" t="s">
        <v>634</v>
      </c>
      <c r="AF80" s="166" t="s">
        <v>634</v>
      </c>
      <c r="AG80" s="166" t="s">
        <v>634</v>
      </c>
      <c r="AH80" s="182" t="e">
        <f t="shared" si="59"/>
        <v>#VALUE!</v>
      </c>
      <c r="AI80" s="385"/>
      <c r="AJ80" s="182" t="s">
        <v>634</v>
      </c>
      <c r="AK80" s="166" t="s">
        <v>634</v>
      </c>
      <c r="AL80" s="166" t="s">
        <v>634</v>
      </c>
      <c r="AM80" s="182" t="e">
        <f t="shared" si="61"/>
        <v>#VALUE!</v>
      </c>
      <c r="AN80" s="385"/>
      <c r="AO80" s="182" t="s">
        <v>634</v>
      </c>
      <c r="AP80" s="166" t="s">
        <v>634</v>
      </c>
      <c r="AQ80" s="166" t="s">
        <v>634</v>
      </c>
      <c r="AR80" s="182" t="e">
        <f t="shared" si="63"/>
        <v>#VALUE!</v>
      </c>
      <c r="AS80" s="385"/>
      <c r="AT80" s="182" t="s">
        <v>634</v>
      </c>
      <c r="AU80" s="166" t="s">
        <v>634</v>
      </c>
      <c r="AV80" s="166" t="s">
        <v>634</v>
      </c>
      <c r="AW80" s="182" t="e">
        <f t="shared" si="65"/>
        <v>#VALUE!</v>
      </c>
      <c r="AX80" s="385"/>
      <c r="AZ80" s="182" t="e">
        <f t="shared" si="67"/>
        <v>#N/A</v>
      </c>
      <c r="BA80" s="385"/>
    </row>
    <row r="81" spans="2:53">
      <c r="B81" s="395"/>
      <c r="C81" s="182">
        <v>15</v>
      </c>
      <c r="D81" s="203"/>
      <c r="E81" s="166"/>
      <c r="F81" s="182"/>
      <c r="G81" s="180"/>
      <c r="H81" s="403"/>
      <c r="I81" s="166" t="str">
        <f t="shared" ref="I81" si="69">IFERROR(AVERAGE(P81,U81,Z81,AE81,AJ81,AO81,AT81),"-")</f>
        <v>-</v>
      </c>
      <c r="J81" s="166" t="str">
        <f t="shared" ref="J81" si="70">IFERROR(AVERAGE(Q81,V81,AA81,AF81,AK81,AP81,AU81),"-")</f>
        <v>-</v>
      </c>
      <c r="K81" s="180" t="str">
        <f t="shared" ref="K81" si="71">IFERROR(AVERAGE(R81,W81,AB81,AG81,AL81,AQ81,AV81),"-")</f>
        <v>-</v>
      </c>
      <c r="L81" s="403"/>
      <c r="M81" s="166" t="e">
        <f>RANK(K81, K$47:$K$61)</f>
        <v>#VALUE!</v>
      </c>
      <c r="N81" s="389"/>
      <c r="O81" s="389"/>
      <c r="P81" s="182" t="s">
        <v>634</v>
      </c>
      <c r="Q81" s="166" t="s">
        <v>634</v>
      </c>
      <c r="R81" s="166" t="s">
        <v>634</v>
      </c>
      <c r="S81" s="182" t="e">
        <f t="shared" si="53"/>
        <v>#VALUE!</v>
      </c>
      <c r="T81" s="386"/>
      <c r="U81" s="182" t="s">
        <v>634</v>
      </c>
      <c r="V81" s="166" t="s">
        <v>634</v>
      </c>
      <c r="W81" s="166" t="s">
        <v>634</v>
      </c>
      <c r="X81" s="182" t="e">
        <f t="shared" si="55"/>
        <v>#VALUE!</v>
      </c>
      <c r="Y81" s="386"/>
      <c r="Z81" s="182" t="s">
        <v>634</v>
      </c>
      <c r="AA81" s="166" t="s">
        <v>634</v>
      </c>
      <c r="AB81" s="166" t="s">
        <v>634</v>
      </c>
      <c r="AC81" s="182" t="e">
        <f t="shared" si="57"/>
        <v>#VALUE!</v>
      </c>
      <c r="AD81" s="386"/>
      <c r="AE81" s="182" t="s">
        <v>634</v>
      </c>
      <c r="AF81" s="166" t="s">
        <v>634</v>
      </c>
      <c r="AG81" s="166" t="s">
        <v>634</v>
      </c>
      <c r="AH81" s="182" t="e">
        <f t="shared" si="59"/>
        <v>#VALUE!</v>
      </c>
      <c r="AI81" s="386"/>
      <c r="AJ81" s="182" t="s">
        <v>634</v>
      </c>
      <c r="AK81" s="166" t="s">
        <v>634</v>
      </c>
      <c r="AL81" s="166" t="s">
        <v>634</v>
      </c>
      <c r="AM81" s="182" t="e">
        <f t="shared" si="61"/>
        <v>#VALUE!</v>
      </c>
      <c r="AN81" s="386"/>
      <c r="AO81" s="182" t="s">
        <v>634</v>
      </c>
      <c r="AP81" s="166" t="s">
        <v>634</v>
      </c>
      <c r="AQ81" s="166" t="s">
        <v>634</v>
      </c>
      <c r="AR81" s="182" t="e">
        <f t="shared" si="63"/>
        <v>#VALUE!</v>
      </c>
      <c r="AS81" s="386"/>
      <c r="AT81" s="182" t="s">
        <v>634</v>
      </c>
      <c r="AU81" s="166" t="s">
        <v>634</v>
      </c>
      <c r="AV81" s="166" t="s">
        <v>634</v>
      </c>
      <c r="AW81" s="182" t="e">
        <f t="shared" si="65"/>
        <v>#VALUE!</v>
      </c>
      <c r="AX81" s="386"/>
      <c r="AZ81" s="182" t="e">
        <f t="shared" si="67"/>
        <v>#N/A</v>
      </c>
      <c r="BA81" s="386"/>
    </row>
    <row r="82" spans="2:53" ht="15.75">
      <c r="B82" s="414" t="s">
        <v>163</v>
      </c>
      <c r="C82" s="415"/>
      <c r="D82" s="415"/>
      <c r="E82" s="415"/>
      <c r="F82" s="415"/>
      <c r="G82" s="415"/>
      <c r="H82" s="415"/>
      <c r="I82" s="186"/>
      <c r="J82" s="186"/>
      <c r="K82" s="186"/>
      <c r="L82" s="186"/>
      <c r="M82" s="185"/>
      <c r="N82" s="391" t="s">
        <v>156</v>
      </c>
      <c r="O82" s="391" t="s">
        <v>105</v>
      </c>
      <c r="P82" s="413">
        <f>P62+7</f>
        <v>46168</v>
      </c>
      <c r="Q82" s="395"/>
      <c r="R82" s="395"/>
      <c r="S82" s="395"/>
      <c r="T82" s="395"/>
      <c r="U82" s="410">
        <f>P82+1</f>
        <v>46169</v>
      </c>
      <c r="V82" s="411"/>
      <c r="W82" s="411"/>
      <c r="X82" s="411"/>
      <c r="Y82" s="412"/>
      <c r="Z82" s="410">
        <f>U82+1</f>
        <v>46170</v>
      </c>
      <c r="AA82" s="411"/>
      <c r="AB82" s="411"/>
      <c r="AC82" s="411"/>
      <c r="AD82" s="412"/>
      <c r="AE82" s="410">
        <f>Z82+1</f>
        <v>46171</v>
      </c>
      <c r="AF82" s="411"/>
      <c r="AG82" s="411"/>
      <c r="AH82" s="411"/>
      <c r="AI82" s="412"/>
      <c r="AJ82" s="410">
        <f>AE82+1</f>
        <v>46172</v>
      </c>
      <c r="AK82" s="411"/>
      <c r="AL82" s="411"/>
      <c r="AM82" s="411"/>
      <c r="AN82" s="412"/>
      <c r="AO82" s="410">
        <f>AJ82+1</f>
        <v>46173</v>
      </c>
      <c r="AP82" s="411"/>
      <c r="AQ82" s="411"/>
      <c r="AR82" s="411"/>
      <c r="AS82" s="412"/>
      <c r="AT82" s="410">
        <f>AO82+1</f>
        <v>46174</v>
      </c>
      <c r="AU82" s="411"/>
      <c r="AV82" s="411"/>
      <c r="AW82" s="411"/>
      <c r="AX82" s="412"/>
    </row>
    <row r="83" spans="2:53" ht="15.75">
      <c r="B83" s="416"/>
      <c r="C83" s="416"/>
      <c r="D83" s="416"/>
      <c r="E83" s="416"/>
      <c r="F83" s="416"/>
      <c r="G83" s="416"/>
      <c r="H83" s="416"/>
      <c r="I83" s="184"/>
      <c r="J83" s="184"/>
      <c r="K83" s="184"/>
      <c r="L83" s="184"/>
      <c r="M83" s="179"/>
      <c r="N83" s="393"/>
      <c r="O83" s="393"/>
      <c r="P83" s="413" t="s">
        <v>318</v>
      </c>
      <c r="Q83" s="395"/>
      <c r="R83" s="395"/>
      <c r="S83" s="395"/>
      <c r="T83" s="395"/>
      <c r="U83" s="413" t="s">
        <v>319</v>
      </c>
      <c r="V83" s="395"/>
      <c r="W83" s="395"/>
      <c r="X83" s="395"/>
      <c r="Y83" s="395"/>
      <c r="Z83" s="413" t="s">
        <v>320</v>
      </c>
      <c r="AA83" s="395"/>
      <c r="AB83" s="395"/>
      <c r="AC83" s="395"/>
      <c r="AD83" s="395"/>
      <c r="AE83" s="413" t="s">
        <v>321</v>
      </c>
      <c r="AF83" s="395"/>
      <c r="AG83" s="395"/>
      <c r="AH83" s="395"/>
      <c r="AI83" s="395"/>
      <c r="AJ83" s="413" t="s">
        <v>322</v>
      </c>
      <c r="AK83" s="395"/>
      <c r="AL83" s="395"/>
      <c r="AM83" s="395"/>
      <c r="AN83" s="395"/>
      <c r="AO83" s="413" t="s">
        <v>323</v>
      </c>
      <c r="AP83" s="395"/>
      <c r="AQ83" s="395"/>
      <c r="AR83" s="395"/>
      <c r="AS83" s="395"/>
      <c r="AT83" s="413" t="s">
        <v>324</v>
      </c>
      <c r="AU83" s="395"/>
      <c r="AV83" s="395"/>
      <c r="AW83" s="395"/>
      <c r="AX83" s="395"/>
    </row>
    <row r="84" spans="2:53">
      <c r="B84" s="389" t="s">
        <v>419</v>
      </c>
      <c r="C84" s="389" t="s">
        <v>556</v>
      </c>
      <c r="D84" s="389"/>
      <c r="E84" s="389" t="s">
        <v>557</v>
      </c>
      <c r="F84" s="389"/>
      <c r="G84" s="389"/>
      <c r="H84" s="417" t="s">
        <v>558</v>
      </c>
      <c r="I84" s="389" t="s">
        <v>559</v>
      </c>
      <c r="J84" s="389"/>
      <c r="K84" s="389"/>
      <c r="L84" s="417" t="s">
        <v>373</v>
      </c>
      <c r="M84" s="391" t="s">
        <v>560</v>
      </c>
      <c r="N84" s="389"/>
      <c r="O84" s="389" t="s">
        <v>379</v>
      </c>
      <c r="P84" s="404" t="s">
        <v>375</v>
      </c>
      <c r="Q84" s="405"/>
      <c r="R84" s="405"/>
      <c r="S84" s="406"/>
      <c r="T84" s="389" t="s">
        <v>373</v>
      </c>
      <c r="U84" s="404" t="s">
        <v>375</v>
      </c>
      <c r="V84" s="405"/>
      <c r="W84" s="405"/>
      <c r="X84" s="406"/>
      <c r="Y84" s="389" t="s">
        <v>373</v>
      </c>
      <c r="Z84" s="404" t="s">
        <v>375</v>
      </c>
      <c r="AA84" s="405"/>
      <c r="AB84" s="405"/>
      <c r="AC84" s="406"/>
      <c r="AD84" s="389" t="s">
        <v>373</v>
      </c>
      <c r="AE84" s="404" t="s">
        <v>375</v>
      </c>
      <c r="AF84" s="405"/>
      <c r="AG84" s="405"/>
      <c r="AH84" s="406"/>
      <c r="AI84" s="389" t="s">
        <v>373</v>
      </c>
      <c r="AJ84" s="404" t="s">
        <v>375</v>
      </c>
      <c r="AK84" s="405"/>
      <c r="AL84" s="405"/>
      <c r="AM84" s="406"/>
      <c r="AN84" s="389" t="s">
        <v>373</v>
      </c>
      <c r="AO84" s="404" t="s">
        <v>375</v>
      </c>
      <c r="AP84" s="405"/>
      <c r="AQ84" s="405"/>
      <c r="AR84" s="406"/>
      <c r="AS84" s="389" t="s">
        <v>373</v>
      </c>
      <c r="AT84" s="404" t="s">
        <v>375</v>
      </c>
      <c r="AU84" s="405"/>
      <c r="AV84" s="405"/>
      <c r="AW84" s="406"/>
      <c r="AX84" s="389" t="s">
        <v>373</v>
      </c>
      <c r="BA84" s="389" t="s">
        <v>373</v>
      </c>
    </row>
    <row r="85" spans="2:53">
      <c r="B85" s="389"/>
      <c r="C85" s="389"/>
      <c r="D85" s="389"/>
      <c r="E85" s="389" t="s">
        <v>562</v>
      </c>
      <c r="F85" s="389"/>
      <c r="G85" s="389"/>
      <c r="H85" s="418"/>
      <c r="I85" s="389" t="s">
        <v>562</v>
      </c>
      <c r="J85" s="389"/>
      <c r="K85" s="389"/>
      <c r="L85" s="418"/>
      <c r="M85" s="392"/>
      <c r="N85" s="389"/>
      <c r="O85" s="389"/>
      <c r="P85" s="404" t="s">
        <v>381</v>
      </c>
      <c r="Q85" s="405"/>
      <c r="R85" s="405"/>
      <c r="S85" s="406"/>
      <c r="T85" s="389"/>
      <c r="U85" s="404" t="s">
        <v>381</v>
      </c>
      <c r="V85" s="405"/>
      <c r="W85" s="405"/>
      <c r="X85" s="406"/>
      <c r="Y85" s="389"/>
      <c r="Z85" s="404" t="s">
        <v>381</v>
      </c>
      <c r="AA85" s="405"/>
      <c r="AB85" s="405"/>
      <c r="AC85" s="406"/>
      <c r="AD85" s="389"/>
      <c r="AE85" s="404" t="s">
        <v>381</v>
      </c>
      <c r="AF85" s="405"/>
      <c r="AG85" s="405"/>
      <c r="AH85" s="406"/>
      <c r="AI85" s="389"/>
      <c r="AJ85" s="404" t="s">
        <v>381</v>
      </c>
      <c r="AK85" s="405"/>
      <c r="AL85" s="405"/>
      <c r="AM85" s="406"/>
      <c r="AN85" s="389"/>
      <c r="AO85" s="404" t="s">
        <v>381</v>
      </c>
      <c r="AP85" s="405"/>
      <c r="AQ85" s="405"/>
      <c r="AR85" s="406"/>
      <c r="AS85" s="389"/>
      <c r="AT85" s="404" t="s">
        <v>381</v>
      </c>
      <c r="AU85" s="405"/>
      <c r="AV85" s="405"/>
      <c r="AW85" s="406"/>
      <c r="AX85" s="389"/>
      <c r="BA85" s="389"/>
    </row>
    <row r="86" spans="2:53">
      <c r="B86" s="389"/>
      <c r="C86" s="389"/>
      <c r="D86" s="389"/>
      <c r="E86" s="258" t="s">
        <v>563</v>
      </c>
      <c r="F86" s="258" t="s">
        <v>564</v>
      </c>
      <c r="G86" s="258" t="s">
        <v>565</v>
      </c>
      <c r="H86" s="419"/>
      <c r="I86" s="258" t="s">
        <v>563</v>
      </c>
      <c r="J86" s="258" t="s">
        <v>564</v>
      </c>
      <c r="K86" s="258" t="s">
        <v>565</v>
      </c>
      <c r="L86" s="419"/>
      <c r="M86" s="393"/>
      <c r="N86" s="389"/>
      <c r="O86" s="389"/>
      <c r="P86" s="258" t="s">
        <v>382</v>
      </c>
      <c r="Q86" s="258" t="s">
        <v>383</v>
      </c>
      <c r="R86" s="258" t="s">
        <v>384</v>
      </c>
      <c r="S86" s="258" t="s">
        <v>374</v>
      </c>
      <c r="T86" s="389"/>
      <c r="U86" s="258" t="s">
        <v>382</v>
      </c>
      <c r="V86" s="258" t="s">
        <v>383</v>
      </c>
      <c r="W86" s="258" t="s">
        <v>384</v>
      </c>
      <c r="X86" s="258" t="s">
        <v>374</v>
      </c>
      <c r="Y86" s="389"/>
      <c r="Z86" s="258" t="s">
        <v>382</v>
      </c>
      <c r="AA86" s="258" t="s">
        <v>383</v>
      </c>
      <c r="AB86" s="258" t="s">
        <v>384</v>
      </c>
      <c r="AC86" s="258" t="s">
        <v>374</v>
      </c>
      <c r="AD86" s="389"/>
      <c r="AE86" s="258" t="s">
        <v>382</v>
      </c>
      <c r="AF86" s="258" t="s">
        <v>383</v>
      </c>
      <c r="AG86" s="258" t="s">
        <v>384</v>
      </c>
      <c r="AH86" s="258" t="s">
        <v>374</v>
      </c>
      <c r="AI86" s="389"/>
      <c r="AJ86" s="258" t="s">
        <v>382</v>
      </c>
      <c r="AK86" s="258" t="s">
        <v>383</v>
      </c>
      <c r="AL86" s="258" t="s">
        <v>384</v>
      </c>
      <c r="AM86" s="258" t="s">
        <v>374</v>
      </c>
      <c r="AN86" s="389"/>
      <c r="AO86" s="258" t="s">
        <v>382</v>
      </c>
      <c r="AP86" s="258" t="s">
        <v>383</v>
      </c>
      <c r="AQ86" s="258" t="s">
        <v>384</v>
      </c>
      <c r="AR86" s="258" t="s">
        <v>374</v>
      </c>
      <c r="AS86" s="389"/>
      <c r="AT86" s="258" t="s">
        <v>382</v>
      </c>
      <c r="AU86" s="258" t="s">
        <v>383</v>
      </c>
      <c r="AV86" s="258" t="s">
        <v>384</v>
      </c>
      <c r="AW86" s="258" t="s">
        <v>374</v>
      </c>
      <c r="AX86" s="389"/>
      <c r="AZ86" s="258" t="s">
        <v>374</v>
      </c>
      <c r="BA86" s="389"/>
    </row>
    <row r="87" spans="2:53">
      <c r="B87" s="389" t="s">
        <v>436</v>
      </c>
      <c r="C87" s="182">
        <v>1</v>
      </c>
      <c r="D87" s="203" t="s">
        <v>356</v>
      </c>
      <c r="E87" s="166">
        <v>20</v>
      </c>
      <c r="F87" s="182">
        <v>2400</v>
      </c>
      <c r="G87" s="180">
        <v>120</v>
      </c>
      <c r="H87" s="401">
        <f>AVERAGE(G87:G101)</f>
        <v>144.91801398922141</v>
      </c>
      <c r="I87" s="166">
        <f t="shared" ref="I87:I100" si="72">IFERROR(AVERAGE(P87,U87,Z87,AE87,AJ87,AO87,AT87),"-")</f>
        <v>20</v>
      </c>
      <c r="J87" s="166">
        <f t="shared" ref="J87:J100" si="73">IFERROR(AVERAGE(Q87,V87,AA87,AF87,AK87,AP87,AU87),"-")</f>
        <v>2346.4478436835639</v>
      </c>
      <c r="K87" s="180">
        <f t="shared" ref="K87:K100" si="74">IFERROR(AVERAGE(R87,W87,AB87,AG87,AL87,AQ87,AV87),"-")</f>
        <v>117.32239218417818</v>
      </c>
      <c r="L87" s="401">
        <f>IFERROR(AVERAGE(K87:K101),"-")</f>
        <v>129.9474276931152</v>
      </c>
      <c r="M87" s="166">
        <f>RANK(K87, K$87:$K$101)</f>
        <v>9</v>
      </c>
      <c r="N87" s="389"/>
      <c r="O87" s="389"/>
      <c r="P87" s="182">
        <v>20</v>
      </c>
      <c r="Q87" s="166">
        <v>2365.0344827586214</v>
      </c>
      <c r="R87" s="166">
        <v>118.25172413793106</v>
      </c>
      <c r="S87" s="182">
        <f t="shared" ref="S87:S101" si="75">RANK(R87, R$87:R$101)</f>
        <v>8</v>
      </c>
      <c r="T87" s="390">
        <f t="shared" ref="T87" si="76">AVERAGE(R87:R101)</f>
        <v>127.24446203445716</v>
      </c>
      <c r="U87" s="182">
        <v>20</v>
      </c>
      <c r="V87" s="166">
        <v>2345.006511627907</v>
      </c>
      <c r="W87" s="166">
        <v>117.25032558139534</v>
      </c>
      <c r="X87" s="182">
        <f t="shared" ref="X87:X101" si="77">RANK(W87, W$87:W$101)</f>
        <v>9</v>
      </c>
      <c r="Y87" s="390">
        <f t="shared" ref="Y87" si="78">AVERAGE(W87:W101)</f>
        <v>130.33655096223495</v>
      </c>
      <c r="Z87" s="182">
        <v>20</v>
      </c>
      <c r="AA87" s="166">
        <v>2339.1272727272726</v>
      </c>
      <c r="AB87" s="166">
        <v>116.95636363636363</v>
      </c>
      <c r="AC87" s="182">
        <f t="shared" ref="AC87:AC101" si="79">RANK(AB87, AB$87:AB$101)</f>
        <v>9</v>
      </c>
      <c r="AD87" s="390">
        <f t="shared" ref="AD87" si="80">AVERAGE(AB87:AB101)</f>
        <v>129.45928327099321</v>
      </c>
      <c r="AE87" s="182">
        <v>20</v>
      </c>
      <c r="AF87" s="166">
        <v>2338.3723404255325</v>
      </c>
      <c r="AG87" s="166">
        <v>116.91861702127662</v>
      </c>
      <c r="AH87" s="182">
        <f t="shared" ref="AH87:AH101" si="81">RANK(AG87, AG$87:AG$101)</f>
        <v>9</v>
      </c>
      <c r="AI87" s="390">
        <f t="shared" ref="AI87" si="82">AVERAGE(AG87:AG101)</f>
        <v>130.857016671851</v>
      </c>
      <c r="AJ87" s="182">
        <v>20</v>
      </c>
      <c r="AK87" s="166">
        <v>2329.2499999999991</v>
      </c>
      <c r="AL87" s="166">
        <v>116.46249999999995</v>
      </c>
      <c r="AM87" s="182">
        <f t="shared" ref="AM87:AM101" si="83">RANK(AL87, AL$87:AL$101)</f>
        <v>9</v>
      </c>
      <c r="AN87" s="390">
        <f t="shared" ref="AN87" si="84">AVERAGE(AL87:AL101)</f>
        <v>130.19033055465536</v>
      </c>
      <c r="AO87" s="182">
        <v>20</v>
      </c>
      <c r="AP87" s="166">
        <v>2340.6250000000005</v>
      </c>
      <c r="AQ87" s="166">
        <v>117.03125000000003</v>
      </c>
      <c r="AR87" s="182">
        <f t="shared" ref="AR87:AR101" si="85">RANK(AQ87, AQ$87:AQ$101)</f>
        <v>9</v>
      </c>
      <c r="AS87" s="390">
        <f t="shared" ref="AS87" si="86">AVERAGE(AQ87:AQ101)</f>
        <v>130.48581149983576</v>
      </c>
      <c r="AT87" s="182">
        <v>20</v>
      </c>
      <c r="AU87" s="166">
        <v>2367.7192982456136</v>
      </c>
      <c r="AV87" s="166">
        <v>118.38596491228068</v>
      </c>
      <c r="AW87" s="182">
        <f t="shared" ref="AW87:AW101" si="87">RANK(AV87, AV$87:AV$101)</f>
        <v>9</v>
      </c>
      <c r="AX87" s="390">
        <f t="shared" ref="AX87" si="88">AVERAGE(AV87:AV101)</f>
        <v>131.05853885777913</v>
      </c>
      <c r="AZ87" s="182" t="e">
        <f t="shared" ref="AZ87:AZ101" si="89">RANK(AY87, AY$87:AY$101)</f>
        <v>#N/A</v>
      </c>
      <c r="BA87" s="390" t="e">
        <f t="shared" ref="BA87" si="90">AVERAGE(AY87:AY101)</f>
        <v>#DIV/0!</v>
      </c>
    </row>
    <row r="88" spans="2:53">
      <c r="B88" s="395"/>
      <c r="C88" s="182">
        <v>2</v>
      </c>
      <c r="D88" s="203" t="s">
        <v>357</v>
      </c>
      <c r="E88" s="166">
        <v>18</v>
      </c>
      <c r="F88" s="182">
        <v>2700</v>
      </c>
      <c r="G88" s="180">
        <v>150</v>
      </c>
      <c r="H88" s="402"/>
      <c r="I88" s="166">
        <f t="shared" si="72"/>
        <v>19</v>
      </c>
      <c r="J88" s="166">
        <f t="shared" si="73"/>
        <v>2559.1114470652042</v>
      </c>
      <c r="K88" s="180">
        <f t="shared" si="74"/>
        <v>134.69007616132654</v>
      </c>
      <c r="L88" s="402"/>
      <c r="M88" s="166">
        <f>RANK(K88, K$87:$K$101)</f>
        <v>4</v>
      </c>
      <c r="N88" s="389"/>
      <c r="O88" s="389"/>
      <c r="P88" s="182">
        <v>19</v>
      </c>
      <c r="Q88" s="166">
        <v>2514.9295774647894</v>
      </c>
      <c r="R88" s="166">
        <v>132.36471460340996</v>
      </c>
      <c r="S88" s="182">
        <f t="shared" si="75"/>
        <v>5</v>
      </c>
      <c r="T88" s="390"/>
      <c r="U88" s="182">
        <v>19</v>
      </c>
      <c r="V88" s="166">
        <v>2528.3720930232553</v>
      </c>
      <c r="W88" s="166">
        <v>133.0722154222766</v>
      </c>
      <c r="X88" s="182">
        <f t="shared" si="77"/>
        <v>5</v>
      </c>
      <c r="Y88" s="390"/>
      <c r="Z88" s="182">
        <v>19</v>
      </c>
      <c r="AA88" s="166">
        <v>2538.409090909091</v>
      </c>
      <c r="AB88" s="166">
        <v>133.60047846889952</v>
      </c>
      <c r="AC88" s="182">
        <f t="shared" si="79"/>
        <v>4</v>
      </c>
      <c r="AD88" s="390"/>
      <c r="AE88" s="182">
        <v>19</v>
      </c>
      <c r="AF88" s="166">
        <v>2600.4545454545455</v>
      </c>
      <c r="AG88" s="166">
        <v>136.86602870813397</v>
      </c>
      <c r="AH88" s="182">
        <f t="shared" si="81"/>
        <v>4</v>
      </c>
      <c r="AI88" s="390"/>
      <c r="AJ88" s="182">
        <v>19</v>
      </c>
      <c r="AK88" s="166">
        <v>2577.9310344827582</v>
      </c>
      <c r="AL88" s="166">
        <v>135.68058076225043</v>
      </c>
      <c r="AM88" s="182">
        <f t="shared" si="83"/>
        <v>4</v>
      </c>
      <c r="AN88" s="390"/>
      <c r="AO88" s="182">
        <v>19</v>
      </c>
      <c r="AP88" s="166">
        <v>2590.1123595505615</v>
      </c>
      <c r="AQ88" s="166">
        <v>136.32170313424007</v>
      </c>
      <c r="AR88" s="182">
        <f t="shared" si="85"/>
        <v>4</v>
      </c>
      <c r="AS88" s="390"/>
      <c r="AT88" s="182">
        <v>19</v>
      </c>
      <c r="AU88" s="166">
        <v>2563.5714285714303</v>
      </c>
      <c r="AV88" s="166">
        <v>134.92481203007529</v>
      </c>
      <c r="AW88" s="182">
        <f t="shared" si="87"/>
        <v>4</v>
      </c>
      <c r="AX88" s="390"/>
      <c r="AZ88" s="182" t="e">
        <f t="shared" si="89"/>
        <v>#N/A</v>
      </c>
      <c r="BA88" s="390"/>
    </row>
    <row r="89" spans="2:53">
      <c r="B89" s="395"/>
      <c r="C89" s="182">
        <v>3</v>
      </c>
      <c r="D89" s="203" t="s">
        <v>358</v>
      </c>
      <c r="E89" s="166">
        <v>18</v>
      </c>
      <c r="F89" s="182">
        <v>2700</v>
      </c>
      <c r="G89" s="180">
        <v>150</v>
      </c>
      <c r="H89" s="402"/>
      <c r="I89" s="166">
        <f t="shared" si="72"/>
        <v>19</v>
      </c>
      <c r="J89" s="166">
        <f t="shared" si="73"/>
        <v>2448.561936993071</v>
      </c>
      <c r="K89" s="180">
        <f t="shared" si="74"/>
        <v>128.87168089437216</v>
      </c>
      <c r="L89" s="402"/>
      <c r="M89" s="166">
        <f>RANK(K89, K$87:$K$101)</f>
        <v>5</v>
      </c>
      <c r="N89" s="389"/>
      <c r="O89" s="389"/>
      <c r="P89" s="182">
        <v>19</v>
      </c>
      <c r="Q89" s="166">
        <v>2566.304347826087</v>
      </c>
      <c r="R89" s="166">
        <v>135.06864988558354</v>
      </c>
      <c r="S89" s="182">
        <f t="shared" si="75"/>
        <v>2</v>
      </c>
      <c r="T89" s="390"/>
      <c r="U89" s="182">
        <v>19</v>
      </c>
      <c r="V89" s="166">
        <v>2546.0000000000009</v>
      </c>
      <c r="W89" s="166">
        <v>134.00000000000006</v>
      </c>
      <c r="X89" s="182">
        <f t="shared" si="77"/>
        <v>4</v>
      </c>
      <c r="Y89" s="390"/>
      <c r="Z89" s="182">
        <v>19</v>
      </c>
      <c r="AA89" s="166">
        <v>2407.5590551181099</v>
      </c>
      <c r="AB89" s="166">
        <v>126.71363447990052</v>
      </c>
      <c r="AC89" s="182">
        <f t="shared" si="79"/>
        <v>5</v>
      </c>
      <c r="AD89" s="390"/>
      <c r="AE89" s="182">
        <v>19</v>
      </c>
      <c r="AF89" s="166">
        <v>2408.9552238805973</v>
      </c>
      <c r="AG89" s="166">
        <v>126.78711704634722</v>
      </c>
      <c r="AH89" s="182">
        <f t="shared" si="81"/>
        <v>6</v>
      </c>
      <c r="AI89" s="390"/>
      <c r="AJ89" s="182">
        <v>19</v>
      </c>
      <c r="AK89" s="166">
        <v>2381.5384615384628</v>
      </c>
      <c r="AL89" s="166">
        <v>125.34412955465594</v>
      </c>
      <c r="AM89" s="182">
        <f t="shared" si="83"/>
        <v>6</v>
      </c>
      <c r="AN89" s="390"/>
      <c r="AO89" s="182">
        <v>19</v>
      </c>
      <c r="AP89" s="166">
        <v>2438.4000000000015</v>
      </c>
      <c r="AQ89" s="166">
        <v>128.33684210526323</v>
      </c>
      <c r="AR89" s="182">
        <f t="shared" si="85"/>
        <v>5</v>
      </c>
      <c r="AS89" s="390"/>
      <c r="AT89" s="182">
        <v>19</v>
      </c>
      <c r="AU89" s="166">
        <v>2391.1764705882365</v>
      </c>
      <c r="AV89" s="166">
        <v>125.85139318885456</v>
      </c>
      <c r="AW89" s="182">
        <f t="shared" si="87"/>
        <v>6</v>
      </c>
      <c r="AX89" s="390"/>
      <c r="AZ89" s="182" t="e">
        <f t="shared" si="89"/>
        <v>#N/A</v>
      </c>
      <c r="BA89" s="390"/>
    </row>
    <row r="90" spans="2:53">
      <c r="B90" s="395"/>
      <c r="C90" s="182">
        <v>4</v>
      </c>
      <c r="D90" s="203" t="s">
        <v>359</v>
      </c>
      <c r="E90" s="166">
        <v>19</v>
      </c>
      <c r="F90" s="182">
        <v>2700</v>
      </c>
      <c r="G90" s="180">
        <v>142.10526315789474</v>
      </c>
      <c r="H90" s="402"/>
      <c r="I90" s="166">
        <f t="shared" si="72"/>
        <v>19.142857142857142</v>
      </c>
      <c r="J90" s="166">
        <f t="shared" si="73"/>
        <v>2410.8798083574002</v>
      </c>
      <c r="K90" s="180">
        <f t="shared" si="74"/>
        <v>125.9638643054094</v>
      </c>
      <c r="L90" s="402"/>
      <c r="M90" s="166">
        <f>RANK(K90, K$87:$K$101)</f>
        <v>6</v>
      </c>
      <c r="N90" s="389"/>
      <c r="O90" s="389"/>
      <c r="P90" s="182">
        <v>19</v>
      </c>
      <c r="Q90" s="166">
        <v>2305.6701030927798</v>
      </c>
      <c r="R90" s="166">
        <v>121.35105805751472</v>
      </c>
      <c r="S90" s="182">
        <f t="shared" si="75"/>
        <v>6</v>
      </c>
      <c r="T90" s="390"/>
      <c r="U90" s="182">
        <v>19</v>
      </c>
      <c r="V90" s="166">
        <v>2381.7977528089864</v>
      </c>
      <c r="W90" s="166">
        <v>125.35777646363086</v>
      </c>
      <c r="X90" s="182">
        <f t="shared" si="77"/>
        <v>6</v>
      </c>
      <c r="Y90" s="390"/>
      <c r="Z90" s="182">
        <v>20</v>
      </c>
      <c r="AA90" s="166">
        <v>2459.2941176470586</v>
      </c>
      <c r="AB90" s="166">
        <v>122.96470588235293</v>
      </c>
      <c r="AC90" s="182">
        <f t="shared" si="79"/>
        <v>6</v>
      </c>
      <c r="AD90" s="390"/>
      <c r="AE90" s="182">
        <v>19</v>
      </c>
      <c r="AF90" s="166">
        <v>2446.3333333333335</v>
      </c>
      <c r="AG90" s="166">
        <v>128.7543859649123</v>
      </c>
      <c r="AH90" s="182">
        <f t="shared" si="81"/>
        <v>5</v>
      </c>
      <c r="AI90" s="390"/>
      <c r="AJ90" s="182">
        <v>19</v>
      </c>
      <c r="AK90" s="166">
        <v>2392.4482758620675</v>
      </c>
      <c r="AL90" s="166">
        <v>125.91833030852986</v>
      </c>
      <c r="AM90" s="182">
        <f t="shared" si="83"/>
        <v>5</v>
      </c>
      <c r="AN90" s="390"/>
      <c r="AO90" s="182">
        <v>19</v>
      </c>
      <c r="AP90" s="166">
        <v>2409.604166666667</v>
      </c>
      <c r="AQ90" s="166">
        <v>126.82127192982458</v>
      </c>
      <c r="AR90" s="182">
        <f t="shared" si="85"/>
        <v>6</v>
      </c>
      <c r="AS90" s="390"/>
      <c r="AT90" s="182">
        <v>19</v>
      </c>
      <c r="AU90" s="166">
        <v>2481.0109090909109</v>
      </c>
      <c r="AV90" s="166">
        <v>130.57952153110057</v>
      </c>
      <c r="AW90" s="182">
        <f t="shared" si="87"/>
        <v>5</v>
      </c>
      <c r="AX90" s="390"/>
      <c r="AZ90" s="182" t="e">
        <f t="shared" si="89"/>
        <v>#N/A</v>
      </c>
      <c r="BA90" s="390"/>
    </row>
    <row r="91" spans="2:53">
      <c r="B91" s="395"/>
      <c r="C91" s="182">
        <v>5</v>
      </c>
      <c r="D91" s="203" t="s">
        <v>530</v>
      </c>
      <c r="E91" s="166">
        <v>17</v>
      </c>
      <c r="F91" s="182">
        <v>2250</v>
      </c>
      <c r="G91" s="180">
        <v>132.35294117647058</v>
      </c>
      <c r="H91" s="402"/>
      <c r="I91" s="166">
        <f t="shared" si="72"/>
        <v>18</v>
      </c>
      <c r="J91" s="166">
        <f t="shared" si="73"/>
        <v>2180.5629918999662</v>
      </c>
      <c r="K91" s="180">
        <f t="shared" si="74"/>
        <v>121.142388438887</v>
      </c>
      <c r="L91" s="402"/>
      <c r="M91" s="166">
        <f>RANK(K91, K$87:$K$101)</f>
        <v>7</v>
      </c>
      <c r="N91" s="389"/>
      <c r="O91" s="389"/>
      <c r="P91" s="182">
        <v>18</v>
      </c>
      <c r="Q91" s="166">
        <v>2181.965217391305</v>
      </c>
      <c r="R91" s="166">
        <v>121.22028985507251</v>
      </c>
      <c r="S91" s="182">
        <f t="shared" si="75"/>
        <v>7</v>
      </c>
      <c r="T91" s="390"/>
      <c r="U91" s="182">
        <v>18</v>
      </c>
      <c r="V91" s="166">
        <v>2212.1029411764716</v>
      </c>
      <c r="W91" s="166">
        <v>122.89460784313731</v>
      </c>
      <c r="X91" s="182">
        <f t="shared" si="77"/>
        <v>7</v>
      </c>
      <c r="Y91" s="390"/>
      <c r="Z91" s="182">
        <v>18</v>
      </c>
      <c r="AA91" s="166">
        <v>2174.454545454545</v>
      </c>
      <c r="AB91" s="166">
        <v>120.80303030303028</v>
      </c>
      <c r="AC91" s="182">
        <f t="shared" si="79"/>
        <v>7</v>
      </c>
      <c r="AD91" s="390"/>
      <c r="AE91" s="182">
        <v>18</v>
      </c>
      <c r="AF91" s="166">
        <v>2152.583333333333</v>
      </c>
      <c r="AG91" s="166">
        <v>119.58796296296295</v>
      </c>
      <c r="AH91" s="182">
        <f t="shared" si="81"/>
        <v>8</v>
      </c>
      <c r="AI91" s="390"/>
      <c r="AJ91" s="182">
        <v>18</v>
      </c>
      <c r="AK91" s="166">
        <v>2169.6480000000006</v>
      </c>
      <c r="AL91" s="166">
        <v>120.53600000000003</v>
      </c>
      <c r="AM91" s="182">
        <f t="shared" si="83"/>
        <v>8</v>
      </c>
      <c r="AN91" s="390"/>
      <c r="AO91" s="182">
        <v>18</v>
      </c>
      <c r="AP91" s="166">
        <v>2193.969924812031</v>
      </c>
      <c r="AQ91" s="166">
        <v>121.88721804511283</v>
      </c>
      <c r="AR91" s="182">
        <f t="shared" si="85"/>
        <v>7</v>
      </c>
      <c r="AS91" s="390"/>
      <c r="AT91" s="182">
        <v>18</v>
      </c>
      <c r="AU91" s="166">
        <v>2179.2169811320759</v>
      </c>
      <c r="AV91" s="166">
        <v>121.06761006289311</v>
      </c>
      <c r="AW91" s="182">
        <f t="shared" si="87"/>
        <v>7</v>
      </c>
      <c r="AX91" s="390"/>
      <c r="AZ91" s="182" t="e">
        <f t="shared" si="89"/>
        <v>#N/A</v>
      </c>
      <c r="BA91" s="390"/>
    </row>
    <row r="92" spans="2:53">
      <c r="B92" s="395"/>
      <c r="C92" s="182">
        <v>6</v>
      </c>
      <c r="D92" s="203" t="s">
        <v>646</v>
      </c>
      <c r="E92" s="166">
        <v>17</v>
      </c>
      <c r="F92" s="182">
        <v>2700</v>
      </c>
      <c r="G92" s="180">
        <v>158.8235294117647</v>
      </c>
      <c r="H92" s="402"/>
      <c r="I92" s="166">
        <f t="shared" si="72"/>
        <v>17.142857142857142</v>
      </c>
      <c r="J92" s="166">
        <f t="shared" si="73"/>
        <v>2401.4601151041884</v>
      </c>
      <c r="K92" s="180">
        <f t="shared" si="74"/>
        <v>140.12364335590343</v>
      </c>
      <c r="L92" s="402"/>
      <c r="M92" s="166">
        <f>RANK(K92, K$87:$K$101)</f>
        <v>2</v>
      </c>
      <c r="N92" s="389"/>
      <c r="O92" s="389"/>
      <c r="P92" s="182">
        <v>18</v>
      </c>
      <c r="Q92" s="166">
        <v>2439.1304347826085</v>
      </c>
      <c r="R92" s="166">
        <v>135.50724637681159</v>
      </c>
      <c r="S92" s="182">
        <f t="shared" si="75"/>
        <v>1</v>
      </c>
      <c r="T92" s="390"/>
      <c r="U92" s="182">
        <v>17</v>
      </c>
      <c r="V92" s="166">
        <v>2461.0169491525412</v>
      </c>
      <c r="W92" s="166">
        <v>144.76570289132596</v>
      </c>
      <c r="X92" s="182">
        <f t="shared" si="77"/>
        <v>1</v>
      </c>
      <c r="Y92" s="390"/>
      <c r="Z92" s="182">
        <v>17</v>
      </c>
      <c r="AA92" s="166">
        <v>2377.7419354838703</v>
      </c>
      <c r="AB92" s="166">
        <v>139.86717267552177</v>
      </c>
      <c r="AC92" s="182">
        <f t="shared" si="79"/>
        <v>3</v>
      </c>
      <c r="AD92" s="390"/>
      <c r="AE92" s="182">
        <v>17</v>
      </c>
      <c r="AF92" s="166">
        <v>2397.9661016949144</v>
      </c>
      <c r="AG92" s="166">
        <v>141.05682951146557</v>
      </c>
      <c r="AH92" s="182">
        <f t="shared" si="81"/>
        <v>3</v>
      </c>
      <c r="AI92" s="390"/>
      <c r="AJ92" s="182">
        <v>17</v>
      </c>
      <c r="AK92" s="166">
        <v>2369.9999999999991</v>
      </c>
      <c r="AL92" s="166">
        <v>139.41176470588229</v>
      </c>
      <c r="AM92" s="182">
        <f t="shared" si="83"/>
        <v>3</v>
      </c>
      <c r="AN92" s="390"/>
      <c r="AO92" s="182">
        <v>17</v>
      </c>
      <c r="AP92" s="166">
        <v>2380.6153846153838</v>
      </c>
      <c r="AQ92" s="166">
        <v>140.03619909502257</v>
      </c>
      <c r="AR92" s="182">
        <f t="shared" si="85"/>
        <v>3</v>
      </c>
      <c r="AS92" s="390"/>
      <c r="AT92" s="182">
        <v>17</v>
      </c>
      <c r="AU92" s="166">
        <v>2383.7500000000009</v>
      </c>
      <c r="AV92" s="166">
        <v>140.22058823529417</v>
      </c>
      <c r="AW92" s="182">
        <f t="shared" si="87"/>
        <v>3</v>
      </c>
      <c r="AX92" s="390"/>
      <c r="AZ92" s="182" t="e">
        <f t="shared" si="89"/>
        <v>#N/A</v>
      </c>
      <c r="BA92" s="390"/>
    </row>
    <row r="93" spans="2:53">
      <c r="B93" s="395"/>
      <c r="C93" s="182">
        <v>7</v>
      </c>
      <c r="D93" s="203" t="s">
        <v>662</v>
      </c>
      <c r="E93" s="166">
        <v>17</v>
      </c>
      <c r="F93" s="182">
        <v>2700</v>
      </c>
      <c r="G93" s="180">
        <v>158.8235294117647</v>
      </c>
      <c r="H93" s="402"/>
      <c r="I93" s="166">
        <f t="shared" si="72"/>
        <v>17.142857142857142</v>
      </c>
      <c r="J93" s="166">
        <f t="shared" si="73"/>
        <v>2416.2524408759514</v>
      </c>
      <c r="K93" s="180">
        <f t="shared" si="74"/>
        <v>141.01659070032665</v>
      </c>
      <c r="L93" s="402"/>
      <c r="M93" s="166">
        <f>RANK(K93, K$87:$K$101)</f>
        <v>1</v>
      </c>
      <c r="N93" s="389"/>
      <c r="O93" s="389"/>
      <c r="P93" s="182">
        <v>18</v>
      </c>
      <c r="Q93" s="166">
        <v>2390.2702702702686</v>
      </c>
      <c r="R93" s="166">
        <v>132.79279279279271</v>
      </c>
      <c r="S93" s="182">
        <f t="shared" si="75"/>
        <v>4</v>
      </c>
      <c r="T93" s="390"/>
      <c r="U93" s="182">
        <v>17</v>
      </c>
      <c r="V93" s="166">
        <v>2376.2500000000009</v>
      </c>
      <c r="W93" s="166">
        <v>139.77941176470594</v>
      </c>
      <c r="X93" s="182">
        <f t="shared" si="77"/>
        <v>2</v>
      </c>
      <c r="Y93" s="390"/>
      <c r="Z93" s="182">
        <v>17</v>
      </c>
      <c r="AA93" s="166">
        <v>2424.5454545454545</v>
      </c>
      <c r="AB93" s="166">
        <v>142.62032085561498</v>
      </c>
      <c r="AC93" s="182">
        <f t="shared" si="79"/>
        <v>1</v>
      </c>
      <c r="AD93" s="390"/>
      <c r="AE93" s="182">
        <v>17</v>
      </c>
      <c r="AF93" s="166">
        <v>2441.8604651162786</v>
      </c>
      <c r="AG93" s="166">
        <v>143.63885088919287</v>
      </c>
      <c r="AH93" s="182">
        <f t="shared" si="81"/>
        <v>1</v>
      </c>
      <c r="AI93" s="390"/>
      <c r="AJ93" s="182">
        <v>17</v>
      </c>
      <c r="AK93" s="166">
        <v>2426.5116279069762</v>
      </c>
      <c r="AL93" s="166">
        <v>142.73597811217508</v>
      </c>
      <c r="AM93" s="182">
        <f t="shared" si="83"/>
        <v>1</v>
      </c>
      <c r="AN93" s="390"/>
      <c r="AO93" s="182">
        <v>17</v>
      </c>
      <c r="AP93" s="166">
        <v>2407.5000000000009</v>
      </c>
      <c r="AQ93" s="166">
        <v>141.61764705882359</v>
      </c>
      <c r="AR93" s="182">
        <f t="shared" si="85"/>
        <v>2</v>
      </c>
      <c r="AS93" s="390"/>
      <c r="AT93" s="182">
        <v>17</v>
      </c>
      <c r="AU93" s="166">
        <v>2446.8292682926822</v>
      </c>
      <c r="AV93" s="166">
        <v>143.9311334289813</v>
      </c>
      <c r="AW93" s="182">
        <f t="shared" si="87"/>
        <v>1</v>
      </c>
      <c r="AX93" s="390"/>
      <c r="AZ93" s="182" t="e">
        <f t="shared" si="89"/>
        <v>#N/A</v>
      </c>
      <c r="BA93" s="390"/>
    </row>
    <row r="94" spans="2:53">
      <c r="B94" s="395"/>
      <c r="C94" s="182">
        <v>8</v>
      </c>
      <c r="D94" s="203" t="s">
        <v>743</v>
      </c>
      <c r="E94" s="166">
        <v>18</v>
      </c>
      <c r="F94" s="182">
        <v>2400</v>
      </c>
      <c r="G94" s="180">
        <v>133.33333333333334</v>
      </c>
      <c r="H94" s="402"/>
      <c r="I94" s="166">
        <f t="shared" si="72"/>
        <v>18.142857142857142</v>
      </c>
      <c r="J94" s="166">
        <f t="shared" si="73"/>
        <v>2181.9757764880751</v>
      </c>
      <c r="K94" s="180">
        <f t="shared" si="74"/>
        <v>120.30959827607103</v>
      </c>
      <c r="L94" s="402"/>
      <c r="M94" s="166">
        <f>RANK(K94, K$87:$K$101)</f>
        <v>8</v>
      </c>
      <c r="N94" s="389"/>
      <c r="O94" s="389"/>
      <c r="P94" s="182">
        <v>19</v>
      </c>
      <c r="Q94" s="166">
        <v>2181.6000000000008</v>
      </c>
      <c r="R94" s="166">
        <v>114.82105263157899</v>
      </c>
      <c r="S94" s="182">
        <f t="shared" si="75"/>
        <v>9</v>
      </c>
      <c r="T94" s="390"/>
      <c r="U94" s="182">
        <v>18</v>
      </c>
      <c r="V94" s="166">
        <v>2162.2641509433975</v>
      </c>
      <c r="W94" s="166">
        <v>120.12578616352208</v>
      </c>
      <c r="X94" s="182">
        <f t="shared" si="77"/>
        <v>8</v>
      </c>
      <c r="Y94" s="390"/>
      <c r="Z94" s="182">
        <v>18</v>
      </c>
      <c r="AA94" s="166">
        <v>2163.5294117647086</v>
      </c>
      <c r="AB94" s="166">
        <v>120.1960784313727</v>
      </c>
      <c r="AC94" s="182">
        <f t="shared" si="79"/>
        <v>8</v>
      </c>
      <c r="AD94" s="390"/>
      <c r="AE94" s="182">
        <v>18</v>
      </c>
      <c r="AF94" s="166">
        <v>2201.5384615384637</v>
      </c>
      <c r="AG94" s="166">
        <v>122.30769230769243</v>
      </c>
      <c r="AH94" s="182">
        <f t="shared" si="81"/>
        <v>7</v>
      </c>
      <c r="AI94" s="390"/>
      <c r="AJ94" s="182">
        <v>18</v>
      </c>
      <c r="AK94" s="166">
        <v>2224.8387096774213</v>
      </c>
      <c r="AL94" s="166">
        <v>123.60215053763451</v>
      </c>
      <c r="AM94" s="182">
        <f t="shared" si="83"/>
        <v>7</v>
      </c>
      <c r="AN94" s="390"/>
      <c r="AO94" s="182">
        <v>18</v>
      </c>
      <c r="AP94" s="166">
        <v>2168.0597014925347</v>
      </c>
      <c r="AQ94" s="166">
        <v>120.44776119402971</v>
      </c>
      <c r="AR94" s="182">
        <f t="shared" si="85"/>
        <v>8</v>
      </c>
      <c r="AS94" s="390"/>
      <c r="AT94" s="182">
        <v>18</v>
      </c>
      <c r="AU94" s="166">
        <v>2172.0000000000014</v>
      </c>
      <c r="AV94" s="166">
        <v>120.66666666666674</v>
      </c>
      <c r="AW94" s="182">
        <f t="shared" si="87"/>
        <v>8</v>
      </c>
      <c r="AX94" s="390"/>
      <c r="AZ94" s="182" t="e">
        <f t="shared" si="89"/>
        <v>#N/A</v>
      </c>
      <c r="BA94" s="390"/>
    </row>
    <row r="95" spans="2:53">
      <c r="B95" s="395"/>
      <c r="C95" s="182">
        <v>9</v>
      </c>
      <c r="D95" s="203" t="s">
        <v>756</v>
      </c>
      <c r="E95" s="166">
        <v>17</v>
      </c>
      <c r="F95" s="182">
        <v>2700</v>
      </c>
      <c r="G95" s="180">
        <v>158.8235294117647</v>
      </c>
      <c r="H95" s="402"/>
      <c r="I95" s="166">
        <f t="shared" si="72"/>
        <v>17.285714285714285</v>
      </c>
      <c r="J95" s="166">
        <f t="shared" si="73"/>
        <v>2419.9875625950694</v>
      </c>
      <c r="K95" s="180">
        <f t="shared" si="74"/>
        <v>140.08661492156261</v>
      </c>
      <c r="L95" s="402"/>
      <c r="M95" s="166">
        <f>RANK(K95, K$87:$K$101)</f>
        <v>3</v>
      </c>
      <c r="N95" s="389"/>
      <c r="O95" s="389"/>
      <c r="P95" s="182">
        <v>18</v>
      </c>
      <c r="Q95" s="166">
        <v>2408.8073394495459</v>
      </c>
      <c r="R95" s="166">
        <v>133.82262996941921</v>
      </c>
      <c r="S95" s="182">
        <f t="shared" si="75"/>
        <v>3</v>
      </c>
      <c r="T95" s="390"/>
      <c r="U95" s="182">
        <v>18</v>
      </c>
      <c r="V95" s="166">
        <v>2444.0963855421678</v>
      </c>
      <c r="W95" s="166">
        <v>135.78313253012044</v>
      </c>
      <c r="X95" s="182">
        <f t="shared" si="77"/>
        <v>3</v>
      </c>
      <c r="Y95" s="390"/>
      <c r="Z95" s="182">
        <v>17</v>
      </c>
      <c r="AA95" s="166">
        <v>2404</v>
      </c>
      <c r="AB95" s="166">
        <v>141.41176470588235</v>
      </c>
      <c r="AC95" s="182">
        <f t="shared" si="79"/>
        <v>2</v>
      </c>
      <c r="AD95" s="390"/>
      <c r="AE95" s="182">
        <v>17</v>
      </c>
      <c r="AF95" s="166">
        <v>2410.5263157894756</v>
      </c>
      <c r="AG95" s="166">
        <v>141.79566563467503</v>
      </c>
      <c r="AH95" s="182">
        <f t="shared" si="81"/>
        <v>2</v>
      </c>
      <c r="AI95" s="390"/>
      <c r="AJ95" s="182">
        <v>17</v>
      </c>
      <c r="AK95" s="166">
        <v>2414.3661971830961</v>
      </c>
      <c r="AL95" s="166">
        <v>142.02154101077036</v>
      </c>
      <c r="AM95" s="182">
        <f t="shared" si="83"/>
        <v>2</v>
      </c>
      <c r="AN95" s="390"/>
      <c r="AO95" s="182">
        <v>17</v>
      </c>
      <c r="AP95" s="166">
        <v>2411.8309859154906</v>
      </c>
      <c r="AQ95" s="166">
        <v>141.87241093620534</v>
      </c>
      <c r="AR95" s="182">
        <f t="shared" si="85"/>
        <v>1</v>
      </c>
      <c r="AS95" s="390"/>
      <c r="AT95" s="182">
        <v>17</v>
      </c>
      <c r="AU95" s="166">
        <v>2446.2857142857119</v>
      </c>
      <c r="AV95" s="166">
        <v>143.89915966386542</v>
      </c>
      <c r="AW95" s="182">
        <f t="shared" si="87"/>
        <v>2</v>
      </c>
      <c r="AX95" s="390"/>
      <c r="AZ95" s="182" t="e">
        <f t="shared" si="89"/>
        <v>#N/A</v>
      </c>
      <c r="BA95" s="390"/>
    </row>
    <row r="96" spans="2:53">
      <c r="B96" s="395"/>
      <c r="C96" s="182">
        <v>10</v>
      </c>
      <c r="D96" s="203"/>
      <c r="E96" s="166"/>
      <c r="F96" s="182"/>
      <c r="G96" s="180"/>
      <c r="H96" s="402"/>
      <c r="I96" s="166" t="str">
        <f t="shared" si="72"/>
        <v>-</v>
      </c>
      <c r="J96" s="166" t="str">
        <f t="shared" si="73"/>
        <v>-</v>
      </c>
      <c r="K96" s="180" t="str">
        <f t="shared" si="74"/>
        <v>-</v>
      </c>
      <c r="L96" s="402"/>
      <c r="M96" s="166" t="e">
        <f>RANK(K96, K$87:$K$101)</f>
        <v>#VALUE!</v>
      </c>
      <c r="N96" s="389"/>
      <c r="O96" s="389"/>
      <c r="P96" s="182"/>
      <c r="Q96" s="166"/>
      <c r="R96" s="166"/>
      <c r="S96" s="182" t="e">
        <f t="shared" si="75"/>
        <v>#N/A</v>
      </c>
      <c r="T96" s="390"/>
      <c r="U96" s="182"/>
      <c r="V96" s="166"/>
      <c r="W96" s="166"/>
      <c r="X96" s="182" t="e">
        <f t="shared" si="77"/>
        <v>#N/A</v>
      </c>
      <c r="Y96" s="390"/>
      <c r="Z96" s="182"/>
      <c r="AA96" s="166"/>
      <c r="AB96" s="166"/>
      <c r="AC96" s="182" t="e">
        <f t="shared" si="79"/>
        <v>#N/A</v>
      </c>
      <c r="AD96" s="390"/>
      <c r="AE96" s="182"/>
      <c r="AF96" s="166"/>
      <c r="AG96" s="166"/>
      <c r="AH96" s="182" t="e">
        <f t="shared" si="81"/>
        <v>#N/A</v>
      </c>
      <c r="AI96" s="390"/>
      <c r="AJ96" s="182"/>
      <c r="AK96" s="166"/>
      <c r="AL96" s="166"/>
      <c r="AM96" s="182" t="e">
        <f t="shared" si="83"/>
        <v>#N/A</v>
      </c>
      <c r="AN96" s="390"/>
      <c r="AO96" s="182"/>
      <c r="AP96" s="166"/>
      <c r="AQ96" s="166"/>
      <c r="AR96" s="182" t="e">
        <f t="shared" si="85"/>
        <v>#N/A</v>
      </c>
      <c r="AS96" s="390"/>
      <c r="AT96" s="182"/>
      <c r="AU96" s="166"/>
      <c r="AV96" s="166"/>
      <c r="AW96" s="182" t="e">
        <f t="shared" si="87"/>
        <v>#N/A</v>
      </c>
      <c r="AX96" s="390"/>
      <c r="AZ96" s="182" t="e">
        <f t="shared" si="89"/>
        <v>#N/A</v>
      </c>
      <c r="BA96" s="390"/>
    </row>
    <row r="97" spans="2:53">
      <c r="B97" s="395"/>
      <c r="C97" s="182">
        <v>11</v>
      </c>
      <c r="D97" s="203"/>
      <c r="E97" s="166"/>
      <c r="F97" s="182"/>
      <c r="G97" s="180"/>
      <c r="H97" s="402"/>
      <c r="I97" s="166" t="str">
        <f t="shared" si="72"/>
        <v>-</v>
      </c>
      <c r="J97" s="166" t="str">
        <f t="shared" si="73"/>
        <v>-</v>
      </c>
      <c r="K97" s="180" t="str">
        <f t="shared" si="74"/>
        <v>-</v>
      </c>
      <c r="L97" s="402"/>
      <c r="M97" s="166" t="e">
        <f>RANK(K97, K$87:$K$101)</f>
        <v>#VALUE!</v>
      </c>
      <c r="N97" s="389"/>
      <c r="O97" s="389"/>
      <c r="P97" s="182"/>
      <c r="Q97" s="166"/>
      <c r="R97" s="166"/>
      <c r="S97" s="182" t="e">
        <f t="shared" si="75"/>
        <v>#N/A</v>
      </c>
      <c r="T97" s="390"/>
      <c r="U97" s="182"/>
      <c r="V97" s="166"/>
      <c r="W97" s="166"/>
      <c r="X97" s="182" t="e">
        <f t="shared" si="77"/>
        <v>#N/A</v>
      </c>
      <c r="Y97" s="390"/>
      <c r="Z97" s="182"/>
      <c r="AA97" s="166"/>
      <c r="AB97" s="166"/>
      <c r="AC97" s="182" t="e">
        <f t="shared" si="79"/>
        <v>#N/A</v>
      </c>
      <c r="AD97" s="390"/>
      <c r="AE97" s="182"/>
      <c r="AF97" s="166"/>
      <c r="AG97" s="166"/>
      <c r="AH97" s="182" t="e">
        <f t="shared" si="81"/>
        <v>#N/A</v>
      </c>
      <c r="AI97" s="390"/>
      <c r="AJ97" s="182"/>
      <c r="AK97" s="166"/>
      <c r="AL97" s="166"/>
      <c r="AM97" s="182" t="e">
        <f t="shared" si="83"/>
        <v>#N/A</v>
      </c>
      <c r="AN97" s="390"/>
      <c r="AO97" s="182"/>
      <c r="AP97" s="166"/>
      <c r="AQ97" s="166"/>
      <c r="AR97" s="182" t="e">
        <f t="shared" si="85"/>
        <v>#N/A</v>
      </c>
      <c r="AS97" s="390"/>
      <c r="AT97" s="182"/>
      <c r="AU97" s="166"/>
      <c r="AV97" s="166"/>
      <c r="AW97" s="182" t="e">
        <f t="shared" si="87"/>
        <v>#N/A</v>
      </c>
      <c r="AX97" s="390"/>
      <c r="AZ97" s="182" t="e">
        <f t="shared" si="89"/>
        <v>#N/A</v>
      </c>
      <c r="BA97" s="390"/>
    </row>
    <row r="98" spans="2:53">
      <c r="B98" s="395"/>
      <c r="C98" s="182">
        <v>12</v>
      </c>
      <c r="D98" s="203"/>
      <c r="E98" s="166"/>
      <c r="F98" s="182"/>
      <c r="G98" s="180"/>
      <c r="H98" s="402"/>
      <c r="I98" s="166" t="str">
        <f t="shared" si="72"/>
        <v>-</v>
      </c>
      <c r="J98" s="166" t="str">
        <f t="shared" si="73"/>
        <v>-</v>
      </c>
      <c r="K98" s="180" t="str">
        <f t="shared" si="74"/>
        <v>-</v>
      </c>
      <c r="L98" s="402"/>
      <c r="M98" s="166" t="e">
        <f>RANK(K98, K$87:$K$101)</f>
        <v>#VALUE!</v>
      </c>
      <c r="N98" s="389"/>
      <c r="O98" s="389"/>
      <c r="P98" s="182"/>
      <c r="Q98" s="166"/>
      <c r="R98" s="166"/>
      <c r="S98" s="182" t="e">
        <f t="shared" si="75"/>
        <v>#N/A</v>
      </c>
      <c r="T98" s="390"/>
      <c r="U98" s="182"/>
      <c r="V98" s="166"/>
      <c r="W98" s="166"/>
      <c r="X98" s="182" t="e">
        <f t="shared" si="77"/>
        <v>#N/A</v>
      </c>
      <c r="Y98" s="390"/>
      <c r="Z98" s="182"/>
      <c r="AA98" s="166"/>
      <c r="AB98" s="166"/>
      <c r="AC98" s="182" t="e">
        <f t="shared" si="79"/>
        <v>#N/A</v>
      </c>
      <c r="AD98" s="390"/>
      <c r="AE98" s="182"/>
      <c r="AF98" s="166"/>
      <c r="AG98" s="166"/>
      <c r="AH98" s="182" t="e">
        <f t="shared" si="81"/>
        <v>#N/A</v>
      </c>
      <c r="AI98" s="390"/>
      <c r="AJ98" s="182"/>
      <c r="AK98" s="166"/>
      <c r="AL98" s="166"/>
      <c r="AM98" s="182" t="e">
        <f t="shared" si="83"/>
        <v>#N/A</v>
      </c>
      <c r="AN98" s="390"/>
      <c r="AO98" s="182"/>
      <c r="AP98" s="166"/>
      <c r="AQ98" s="166"/>
      <c r="AR98" s="182" t="e">
        <f t="shared" si="85"/>
        <v>#N/A</v>
      </c>
      <c r="AS98" s="390"/>
      <c r="AT98" s="182"/>
      <c r="AU98" s="166"/>
      <c r="AV98" s="166"/>
      <c r="AW98" s="182" t="e">
        <f t="shared" si="87"/>
        <v>#N/A</v>
      </c>
      <c r="AX98" s="390"/>
      <c r="AZ98" s="182" t="e">
        <f t="shared" si="89"/>
        <v>#N/A</v>
      </c>
      <c r="BA98" s="390"/>
    </row>
    <row r="99" spans="2:53">
      <c r="B99" s="395"/>
      <c r="C99" s="182">
        <v>13</v>
      </c>
      <c r="D99" s="203"/>
      <c r="E99" s="166"/>
      <c r="F99" s="182"/>
      <c r="G99" s="180"/>
      <c r="H99" s="402"/>
      <c r="I99" s="166" t="str">
        <f t="shared" si="72"/>
        <v>-</v>
      </c>
      <c r="J99" s="166" t="str">
        <f t="shared" si="73"/>
        <v>-</v>
      </c>
      <c r="K99" s="180" t="str">
        <f t="shared" si="74"/>
        <v>-</v>
      </c>
      <c r="L99" s="402"/>
      <c r="M99" s="166" t="e">
        <f>RANK(K99, K$87:$K$101)</f>
        <v>#VALUE!</v>
      </c>
      <c r="N99" s="389"/>
      <c r="O99" s="389"/>
      <c r="P99" s="182"/>
      <c r="Q99" s="166"/>
      <c r="R99" s="166"/>
      <c r="S99" s="182" t="e">
        <f t="shared" si="75"/>
        <v>#N/A</v>
      </c>
      <c r="T99" s="390"/>
      <c r="U99" s="182"/>
      <c r="V99" s="166"/>
      <c r="W99" s="166"/>
      <c r="X99" s="182" t="e">
        <f t="shared" si="77"/>
        <v>#N/A</v>
      </c>
      <c r="Y99" s="390"/>
      <c r="Z99" s="182"/>
      <c r="AA99" s="166"/>
      <c r="AB99" s="166"/>
      <c r="AC99" s="182" t="e">
        <f t="shared" si="79"/>
        <v>#N/A</v>
      </c>
      <c r="AD99" s="390"/>
      <c r="AE99" s="182"/>
      <c r="AF99" s="166"/>
      <c r="AG99" s="166"/>
      <c r="AH99" s="182" t="e">
        <f t="shared" si="81"/>
        <v>#N/A</v>
      </c>
      <c r="AI99" s="390"/>
      <c r="AJ99" s="182"/>
      <c r="AK99" s="166"/>
      <c r="AL99" s="166"/>
      <c r="AM99" s="182" t="e">
        <f t="shared" si="83"/>
        <v>#N/A</v>
      </c>
      <c r="AN99" s="390"/>
      <c r="AO99" s="182"/>
      <c r="AP99" s="166"/>
      <c r="AQ99" s="166"/>
      <c r="AR99" s="182" t="e">
        <f t="shared" si="85"/>
        <v>#N/A</v>
      </c>
      <c r="AS99" s="390"/>
      <c r="AT99" s="182"/>
      <c r="AU99" s="166"/>
      <c r="AV99" s="166"/>
      <c r="AW99" s="182" t="e">
        <f t="shared" si="87"/>
        <v>#N/A</v>
      </c>
      <c r="AX99" s="390"/>
      <c r="AZ99" s="182" t="e">
        <f t="shared" si="89"/>
        <v>#N/A</v>
      </c>
      <c r="BA99" s="390"/>
    </row>
    <row r="100" spans="2:53">
      <c r="B100" s="395"/>
      <c r="C100" s="182">
        <v>14</v>
      </c>
      <c r="D100" s="203"/>
      <c r="E100" s="166"/>
      <c r="F100" s="182"/>
      <c r="G100" s="180"/>
      <c r="H100" s="402"/>
      <c r="I100" s="166" t="str">
        <f t="shared" si="72"/>
        <v>-</v>
      </c>
      <c r="J100" s="166" t="str">
        <f t="shared" si="73"/>
        <v>-</v>
      </c>
      <c r="K100" s="180" t="str">
        <f t="shared" si="74"/>
        <v>-</v>
      </c>
      <c r="L100" s="402"/>
      <c r="M100" s="166" t="e">
        <f>RANK(K100, K$87:$K$101)</f>
        <v>#VALUE!</v>
      </c>
      <c r="N100" s="389"/>
      <c r="O100" s="389"/>
      <c r="P100" s="182"/>
      <c r="Q100" s="166"/>
      <c r="R100" s="166"/>
      <c r="S100" s="182" t="e">
        <f t="shared" si="75"/>
        <v>#N/A</v>
      </c>
      <c r="T100" s="390"/>
      <c r="U100" s="182"/>
      <c r="V100" s="166"/>
      <c r="W100" s="166"/>
      <c r="X100" s="182" t="e">
        <f t="shared" si="77"/>
        <v>#N/A</v>
      </c>
      <c r="Y100" s="390"/>
      <c r="Z100" s="182"/>
      <c r="AA100" s="166"/>
      <c r="AB100" s="166"/>
      <c r="AC100" s="182" t="e">
        <f t="shared" si="79"/>
        <v>#N/A</v>
      </c>
      <c r="AD100" s="390"/>
      <c r="AE100" s="182"/>
      <c r="AF100" s="166"/>
      <c r="AG100" s="166"/>
      <c r="AH100" s="182" t="e">
        <f t="shared" si="81"/>
        <v>#N/A</v>
      </c>
      <c r="AI100" s="390"/>
      <c r="AJ100" s="182"/>
      <c r="AK100" s="166"/>
      <c r="AL100" s="166"/>
      <c r="AM100" s="182" t="e">
        <f t="shared" si="83"/>
        <v>#N/A</v>
      </c>
      <c r="AN100" s="390"/>
      <c r="AO100" s="182"/>
      <c r="AP100" s="166"/>
      <c r="AQ100" s="166"/>
      <c r="AR100" s="182" t="e">
        <f t="shared" si="85"/>
        <v>#N/A</v>
      </c>
      <c r="AS100" s="390"/>
      <c r="AT100" s="182"/>
      <c r="AU100" s="166"/>
      <c r="AV100" s="166"/>
      <c r="AW100" s="182" t="e">
        <f t="shared" si="87"/>
        <v>#N/A</v>
      </c>
      <c r="AX100" s="390"/>
      <c r="AZ100" s="182" t="e">
        <f t="shared" si="89"/>
        <v>#N/A</v>
      </c>
      <c r="BA100" s="390"/>
    </row>
    <row r="101" spans="2:53">
      <c r="B101" s="395"/>
      <c r="C101" s="182">
        <v>15</v>
      </c>
      <c r="D101" s="203"/>
      <c r="E101" s="166"/>
      <c r="F101" s="182"/>
      <c r="G101" s="180"/>
      <c r="H101" s="403"/>
      <c r="I101" s="182"/>
      <c r="J101" s="182"/>
      <c r="K101" s="182"/>
      <c r="L101" s="403"/>
      <c r="M101" s="166" t="e">
        <f>RANK(K101, K$87:$K$101)</f>
        <v>#N/A</v>
      </c>
      <c r="N101" s="389"/>
      <c r="O101" s="389"/>
      <c r="P101" s="182"/>
      <c r="Q101" s="166"/>
      <c r="R101" s="166"/>
      <c r="S101" s="182" t="e">
        <f t="shared" si="75"/>
        <v>#N/A</v>
      </c>
      <c r="T101" s="390"/>
      <c r="U101" s="182"/>
      <c r="V101" s="166"/>
      <c r="W101" s="166"/>
      <c r="X101" s="182" t="e">
        <f t="shared" si="77"/>
        <v>#N/A</v>
      </c>
      <c r="Y101" s="390"/>
      <c r="Z101" s="182"/>
      <c r="AA101" s="166"/>
      <c r="AB101" s="166"/>
      <c r="AC101" s="182" t="e">
        <f t="shared" si="79"/>
        <v>#N/A</v>
      </c>
      <c r="AD101" s="390"/>
      <c r="AE101" s="182"/>
      <c r="AF101" s="166"/>
      <c r="AG101" s="166"/>
      <c r="AH101" s="182" t="e">
        <f t="shared" si="81"/>
        <v>#N/A</v>
      </c>
      <c r="AI101" s="390"/>
      <c r="AJ101" s="182"/>
      <c r="AK101" s="166"/>
      <c r="AL101" s="166"/>
      <c r="AM101" s="182" t="e">
        <f t="shared" si="83"/>
        <v>#N/A</v>
      </c>
      <c r="AN101" s="390"/>
      <c r="AO101" s="182"/>
      <c r="AP101" s="166"/>
      <c r="AQ101" s="166"/>
      <c r="AR101" s="182" t="e">
        <f t="shared" si="85"/>
        <v>#N/A</v>
      </c>
      <c r="AS101" s="390"/>
      <c r="AT101" s="182"/>
      <c r="AU101" s="166"/>
      <c r="AV101" s="166"/>
      <c r="AW101" s="182" t="e">
        <f t="shared" si="87"/>
        <v>#N/A</v>
      </c>
      <c r="AX101" s="390"/>
      <c r="AZ101" s="182" t="e">
        <f t="shared" si="89"/>
        <v>#N/A</v>
      </c>
      <c r="BA101" s="390"/>
    </row>
    <row r="102" spans="2:53" ht="15.75">
      <c r="B102" s="414" t="s">
        <v>163</v>
      </c>
      <c r="C102" s="415"/>
      <c r="D102" s="415"/>
      <c r="E102" s="415"/>
      <c r="F102" s="415"/>
      <c r="G102" s="415"/>
      <c r="H102" s="415"/>
      <c r="I102" s="186"/>
      <c r="J102" s="186"/>
      <c r="K102" s="186"/>
      <c r="L102" s="186"/>
      <c r="M102" s="185"/>
      <c r="N102" s="391" t="s">
        <v>156</v>
      </c>
      <c r="O102" s="391" t="s">
        <v>105</v>
      </c>
      <c r="P102" s="413">
        <f>P82+7</f>
        <v>46175</v>
      </c>
      <c r="Q102" s="395"/>
      <c r="R102" s="395"/>
      <c r="S102" s="395"/>
      <c r="T102" s="395"/>
      <c r="U102" s="410">
        <f>P102+1</f>
        <v>46176</v>
      </c>
      <c r="V102" s="411"/>
      <c r="W102" s="411"/>
      <c r="X102" s="411"/>
      <c r="Y102" s="412"/>
      <c r="Z102" s="410">
        <f>U102+1</f>
        <v>46177</v>
      </c>
      <c r="AA102" s="411"/>
      <c r="AB102" s="411"/>
      <c r="AC102" s="411"/>
      <c r="AD102" s="412"/>
      <c r="AE102" s="410">
        <f>Z102+1</f>
        <v>46178</v>
      </c>
      <c r="AF102" s="411"/>
      <c r="AG102" s="411"/>
      <c r="AH102" s="411"/>
      <c r="AI102" s="412"/>
      <c r="AJ102" s="410">
        <f>AE102+1</f>
        <v>46179</v>
      </c>
      <c r="AK102" s="411"/>
      <c r="AL102" s="411"/>
      <c r="AM102" s="411"/>
      <c r="AN102" s="412"/>
      <c r="AO102" s="410">
        <f>AJ102+1</f>
        <v>46180</v>
      </c>
      <c r="AP102" s="411"/>
      <c r="AQ102" s="411"/>
      <c r="AR102" s="411"/>
      <c r="AS102" s="412"/>
      <c r="AT102" s="410">
        <f>AO102+1</f>
        <v>46181</v>
      </c>
      <c r="AU102" s="411"/>
      <c r="AV102" s="411"/>
      <c r="AW102" s="411"/>
      <c r="AX102" s="412"/>
    </row>
    <row r="103" spans="2:53" ht="15.75">
      <c r="B103" s="416"/>
      <c r="C103" s="416"/>
      <c r="D103" s="416"/>
      <c r="E103" s="416"/>
      <c r="F103" s="416"/>
      <c r="G103" s="416"/>
      <c r="H103" s="416"/>
      <c r="I103" s="184"/>
      <c r="J103" s="184"/>
      <c r="K103" s="184"/>
      <c r="L103" s="184"/>
      <c r="M103" s="179"/>
      <c r="N103" s="393"/>
      <c r="O103" s="393"/>
      <c r="P103" s="413" t="s">
        <v>158</v>
      </c>
      <c r="Q103" s="395"/>
      <c r="R103" s="395"/>
      <c r="S103" s="395"/>
      <c r="T103" s="395"/>
      <c r="U103" s="413" t="s">
        <v>114</v>
      </c>
      <c r="V103" s="395"/>
      <c r="W103" s="395"/>
      <c r="X103" s="395"/>
      <c r="Y103" s="395"/>
      <c r="Z103" s="413" t="s">
        <v>159</v>
      </c>
      <c r="AA103" s="395"/>
      <c r="AB103" s="395"/>
      <c r="AC103" s="395"/>
      <c r="AD103" s="395"/>
      <c r="AE103" s="413" t="s">
        <v>157</v>
      </c>
      <c r="AF103" s="395"/>
      <c r="AG103" s="395"/>
      <c r="AH103" s="395"/>
      <c r="AI103" s="395"/>
      <c r="AJ103" s="413" t="s">
        <v>160</v>
      </c>
      <c r="AK103" s="395"/>
      <c r="AL103" s="395"/>
      <c r="AM103" s="395"/>
      <c r="AN103" s="395"/>
      <c r="AO103" s="413" t="s">
        <v>115</v>
      </c>
      <c r="AP103" s="395"/>
      <c r="AQ103" s="395"/>
      <c r="AR103" s="395"/>
      <c r="AS103" s="395"/>
      <c r="AT103" s="413" t="s">
        <v>162</v>
      </c>
      <c r="AU103" s="395"/>
      <c r="AV103" s="395"/>
      <c r="AW103" s="395"/>
      <c r="AX103" s="395"/>
    </row>
    <row r="104" spans="2:53">
      <c r="B104" s="389" t="s">
        <v>555</v>
      </c>
      <c r="C104" s="389" t="s">
        <v>556</v>
      </c>
      <c r="D104" s="389"/>
      <c r="E104" s="389" t="s">
        <v>557</v>
      </c>
      <c r="F104" s="389"/>
      <c r="G104" s="389"/>
      <c r="H104" s="417" t="s">
        <v>558</v>
      </c>
      <c r="I104" s="389" t="s">
        <v>559</v>
      </c>
      <c r="J104" s="389"/>
      <c r="K104" s="389"/>
      <c r="L104" s="417" t="s">
        <v>373</v>
      </c>
      <c r="M104" s="391" t="s">
        <v>560</v>
      </c>
      <c r="N104" s="389"/>
      <c r="O104" s="389" t="s">
        <v>546</v>
      </c>
      <c r="P104" s="404" t="s">
        <v>547</v>
      </c>
      <c r="Q104" s="405"/>
      <c r="R104" s="405"/>
      <c r="S104" s="406"/>
      <c r="T104" s="389" t="s">
        <v>543</v>
      </c>
      <c r="U104" s="404" t="s">
        <v>547</v>
      </c>
      <c r="V104" s="405"/>
      <c r="W104" s="405"/>
      <c r="X104" s="406"/>
      <c r="Y104" s="389" t="s">
        <v>543</v>
      </c>
      <c r="Z104" s="404" t="s">
        <v>547</v>
      </c>
      <c r="AA104" s="405"/>
      <c r="AB104" s="405"/>
      <c r="AC104" s="406"/>
      <c r="AD104" s="389" t="s">
        <v>543</v>
      </c>
      <c r="AE104" s="404" t="s">
        <v>547</v>
      </c>
      <c r="AF104" s="405"/>
      <c r="AG104" s="405"/>
      <c r="AH104" s="406"/>
      <c r="AI104" s="389" t="s">
        <v>543</v>
      </c>
      <c r="AJ104" s="404" t="s">
        <v>547</v>
      </c>
      <c r="AK104" s="405"/>
      <c r="AL104" s="405"/>
      <c r="AM104" s="406"/>
      <c r="AN104" s="389" t="s">
        <v>543</v>
      </c>
      <c r="AO104" s="404" t="s">
        <v>547</v>
      </c>
      <c r="AP104" s="405"/>
      <c r="AQ104" s="405"/>
      <c r="AR104" s="406"/>
      <c r="AS104" s="389" t="s">
        <v>543</v>
      </c>
      <c r="AT104" s="404" t="s">
        <v>547</v>
      </c>
      <c r="AU104" s="405"/>
      <c r="AV104" s="405"/>
      <c r="AW104" s="406"/>
      <c r="AX104" s="389" t="s">
        <v>543</v>
      </c>
      <c r="BA104" s="389" t="s">
        <v>373</v>
      </c>
    </row>
    <row r="105" spans="2:53">
      <c r="B105" s="389"/>
      <c r="C105" s="389"/>
      <c r="D105" s="389"/>
      <c r="E105" s="389" t="s">
        <v>562</v>
      </c>
      <c r="F105" s="389"/>
      <c r="G105" s="389"/>
      <c r="H105" s="418"/>
      <c r="I105" s="389" t="s">
        <v>562</v>
      </c>
      <c r="J105" s="389"/>
      <c r="K105" s="389"/>
      <c r="L105" s="418"/>
      <c r="M105" s="392"/>
      <c r="N105" s="389"/>
      <c r="O105" s="389"/>
      <c r="P105" s="404" t="s">
        <v>549</v>
      </c>
      <c r="Q105" s="405"/>
      <c r="R105" s="405"/>
      <c r="S105" s="406"/>
      <c r="T105" s="389"/>
      <c r="U105" s="404" t="s">
        <v>549</v>
      </c>
      <c r="V105" s="405"/>
      <c r="W105" s="405"/>
      <c r="X105" s="406"/>
      <c r="Y105" s="389"/>
      <c r="Z105" s="404" t="s">
        <v>549</v>
      </c>
      <c r="AA105" s="405"/>
      <c r="AB105" s="405"/>
      <c r="AC105" s="406"/>
      <c r="AD105" s="389"/>
      <c r="AE105" s="404" t="s">
        <v>549</v>
      </c>
      <c r="AF105" s="405"/>
      <c r="AG105" s="405"/>
      <c r="AH105" s="406"/>
      <c r="AI105" s="389"/>
      <c r="AJ105" s="404" t="s">
        <v>549</v>
      </c>
      <c r="AK105" s="405"/>
      <c r="AL105" s="405"/>
      <c r="AM105" s="406"/>
      <c r="AN105" s="389"/>
      <c r="AO105" s="404" t="s">
        <v>549</v>
      </c>
      <c r="AP105" s="405"/>
      <c r="AQ105" s="405"/>
      <c r="AR105" s="406"/>
      <c r="AS105" s="389"/>
      <c r="AT105" s="404" t="s">
        <v>549</v>
      </c>
      <c r="AU105" s="405"/>
      <c r="AV105" s="405"/>
      <c r="AW105" s="406"/>
      <c r="AX105" s="389"/>
      <c r="BA105" s="389"/>
    </row>
    <row r="106" spans="2:53">
      <c r="B106" s="389"/>
      <c r="C106" s="389"/>
      <c r="D106" s="389"/>
      <c r="E106" s="258" t="s">
        <v>563</v>
      </c>
      <c r="F106" s="258" t="s">
        <v>564</v>
      </c>
      <c r="G106" s="258" t="s">
        <v>565</v>
      </c>
      <c r="H106" s="419"/>
      <c r="I106" s="258" t="s">
        <v>563</v>
      </c>
      <c r="J106" s="258" t="s">
        <v>564</v>
      </c>
      <c r="K106" s="258" t="s">
        <v>565</v>
      </c>
      <c r="L106" s="419"/>
      <c r="M106" s="393"/>
      <c r="N106" s="389"/>
      <c r="O106" s="389"/>
      <c r="P106" s="258" t="s">
        <v>550</v>
      </c>
      <c r="Q106" s="258" t="s">
        <v>551</v>
      </c>
      <c r="R106" s="258" t="s">
        <v>552</v>
      </c>
      <c r="S106" s="258" t="s">
        <v>545</v>
      </c>
      <c r="T106" s="389"/>
      <c r="U106" s="258" t="s">
        <v>550</v>
      </c>
      <c r="V106" s="258" t="s">
        <v>551</v>
      </c>
      <c r="W106" s="258" t="s">
        <v>552</v>
      </c>
      <c r="X106" s="258" t="s">
        <v>545</v>
      </c>
      <c r="Y106" s="389"/>
      <c r="Z106" s="258" t="s">
        <v>550</v>
      </c>
      <c r="AA106" s="258" t="s">
        <v>551</v>
      </c>
      <c r="AB106" s="258" t="s">
        <v>552</v>
      </c>
      <c r="AC106" s="258" t="s">
        <v>545</v>
      </c>
      <c r="AD106" s="389"/>
      <c r="AE106" s="258" t="s">
        <v>550</v>
      </c>
      <c r="AF106" s="258" t="s">
        <v>551</v>
      </c>
      <c r="AG106" s="258" t="s">
        <v>552</v>
      </c>
      <c r="AH106" s="258" t="s">
        <v>545</v>
      </c>
      <c r="AI106" s="389"/>
      <c r="AJ106" s="258" t="s">
        <v>550</v>
      </c>
      <c r="AK106" s="258" t="s">
        <v>551</v>
      </c>
      <c r="AL106" s="258" t="s">
        <v>552</v>
      </c>
      <c r="AM106" s="258" t="s">
        <v>545</v>
      </c>
      <c r="AN106" s="389"/>
      <c r="AO106" s="258" t="s">
        <v>550</v>
      </c>
      <c r="AP106" s="258" t="s">
        <v>551</v>
      </c>
      <c r="AQ106" s="258" t="s">
        <v>552</v>
      </c>
      <c r="AR106" s="258" t="s">
        <v>545</v>
      </c>
      <c r="AS106" s="389"/>
      <c r="AT106" s="258" t="s">
        <v>550</v>
      </c>
      <c r="AU106" s="258" t="s">
        <v>551</v>
      </c>
      <c r="AV106" s="258" t="s">
        <v>552</v>
      </c>
      <c r="AW106" s="258" t="s">
        <v>545</v>
      </c>
      <c r="AX106" s="389"/>
      <c r="AZ106" s="258" t="s">
        <v>545</v>
      </c>
      <c r="BA106" s="389"/>
    </row>
    <row r="107" spans="2:53">
      <c r="B107" s="389" t="s">
        <v>136</v>
      </c>
      <c r="C107" s="182">
        <v>1</v>
      </c>
      <c r="D107" s="203"/>
      <c r="E107" s="166"/>
      <c r="F107" s="182"/>
      <c r="G107" s="180"/>
      <c r="H107" s="503" t="e">
        <f>AVERAGE(G107:G121)</f>
        <v>#DIV/0!</v>
      </c>
      <c r="I107" s="166" t="str">
        <f t="shared" ref="I107:I120" si="91">IFERROR(AVERAGE(P107,U107,Z107,AE107,AJ107,AO107,AT107),"-")</f>
        <v>-</v>
      </c>
      <c r="J107" s="166" t="str">
        <f t="shared" ref="J107:J120" si="92">IFERROR(AVERAGE(Q107,V107,AA107,AF107,AK107,AP107,AU107),"-")</f>
        <v>-</v>
      </c>
      <c r="K107" s="180" t="str">
        <f t="shared" ref="K107:K120" si="93">IFERROR(AVERAGE(R107,W107,AB107,AG107,AL107,AQ107,AV107),"-")</f>
        <v>-</v>
      </c>
      <c r="L107" s="401" t="str">
        <f>IFERROR(AVERAGE(K107:K121),"-")</f>
        <v>-</v>
      </c>
      <c r="M107" s="166" t="e">
        <f>RANK(K107, K$67:$K$81)</f>
        <v>#VALUE!</v>
      </c>
      <c r="N107" s="389"/>
      <c r="O107" s="389"/>
      <c r="P107" s="182"/>
      <c r="Q107" s="166"/>
      <c r="R107" s="166"/>
      <c r="S107" s="182" t="e">
        <f>RANK(R107, R$67:R$81)</f>
        <v>#N/A</v>
      </c>
      <c r="T107" s="390" t="e">
        <f>AVERAGE(R107:R121)</f>
        <v>#DIV/0!</v>
      </c>
      <c r="U107" s="182"/>
      <c r="V107" s="166"/>
      <c r="W107" s="166"/>
      <c r="X107" s="182" t="e">
        <f>RANK(W107, W$67:W$81)</f>
        <v>#N/A</v>
      </c>
      <c r="Y107" s="390" t="e">
        <f>AVERAGE(W107:W121)</f>
        <v>#DIV/0!</v>
      </c>
      <c r="Z107" s="182"/>
      <c r="AA107" s="166"/>
      <c r="AB107" s="166"/>
      <c r="AC107" s="182" t="e">
        <f>RANK(AB107, AB$67:AB$81)</f>
        <v>#N/A</v>
      </c>
      <c r="AD107" s="390" t="e">
        <f>AVERAGE(AB107:AB121)</f>
        <v>#DIV/0!</v>
      </c>
      <c r="AE107" s="182"/>
      <c r="AF107" s="166"/>
      <c r="AG107" s="166"/>
      <c r="AH107" s="182" t="e">
        <f>RANK(AG107, AG$67:AG$81)</f>
        <v>#N/A</v>
      </c>
      <c r="AI107" s="390" t="e">
        <f>AVERAGE(AG107:AG121)</f>
        <v>#DIV/0!</v>
      </c>
      <c r="AJ107" s="182"/>
      <c r="AK107" s="166"/>
      <c r="AL107" s="166"/>
      <c r="AM107" s="182" t="e">
        <f>RANK(AL107, AL$67:AL$81)</f>
        <v>#N/A</v>
      </c>
      <c r="AN107" s="390" t="e">
        <f>AVERAGE(AL107:AL121)</f>
        <v>#DIV/0!</v>
      </c>
      <c r="AO107" s="182"/>
      <c r="AP107" s="166"/>
      <c r="AQ107" s="166"/>
      <c r="AR107" s="182" t="e">
        <f>RANK(AQ107, AQ$67:AQ$81)</f>
        <v>#N/A</v>
      </c>
      <c r="AS107" s="390" t="e">
        <f>AVERAGE(AQ107:AQ121)</f>
        <v>#DIV/0!</v>
      </c>
      <c r="AT107" s="166"/>
      <c r="AU107" s="180"/>
      <c r="AV107" s="180"/>
      <c r="AW107" s="182" t="e">
        <f>RANK(AV107, AV$67:AV$81)</f>
        <v>#N/A</v>
      </c>
      <c r="AX107" s="390" t="e">
        <f>AVERAGE(AV107:AV121)</f>
        <v>#DIV/0!</v>
      </c>
      <c r="AZ107" s="182" t="e">
        <f>RANK(AY107, AY$67:AY$81)</f>
        <v>#N/A</v>
      </c>
      <c r="BA107" s="390" t="e">
        <f>AVERAGE(AY107:AY121)</f>
        <v>#DIV/0!</v>
      </c>
    </row>
    <row r="108" spans="2:53">
      <c r="B108" s="395"/>
      <c r="C108" s="182">
        <v>2</v>
      </c>
      <c r="D108" s="203"/>
      <c r="E108" s="166"/>
      <c r="F108" s="182"/>
      <c r="G108" s="180"/>
      <c r="H108" s="504"/>
      <c r="I108" s="166" t="str">
        <f t="shared" si="91"/>
        <v>-</v>
      </c>
      <c r="J108" s="166" t="str">
        <f t="shared" si="92"/>
        <v>-</v>
      </c>
      <c r="K108" s="180" t="str">
        <f t="shared" si="93"/>
        <v>-</v>
      </c>
      <c r="L108" s="402"/>
      <c r="M108" s="166" t="e">
        <f>RANK(K108, K$67:$K$81)</f>
        <v>#VALUE!</v>
      </c>
      <c r="N108" s="389"/>
      <c r="O108" s="389"/>
      <c r="P108" s="182"/>
      <c r="Q108" s="166"/>
      <c r="R108" s="166"/>
      <c r="S108" s="182" t="e">
        <f t="shared" ref="S108:S121" si="94">RANK(R108, R$67:R$81)</f>
        <v>#N/A</v>
      </c>
      <c r="T108" s="390"/>
      <c r="U108" s="182"/>
      <c r="V108" s="166"/>
      <c r="W108" s="166"/>
      <c r="X108" s="182" t="e">
        <f t="shared" ref="X108:X121" si="95">RANK(W108, W$67:W$81)</f>
        <v>#N/A</v>
      </c>
      <c r="Y108" s="390"/>
      <c r="Z108" s="182"/>
      <c r="AA108" s="166"/>
      <c r="AB108" s="166"/>
      <c r="AC108" s="182" t="e">
        <f t="shared" ref="AC108:AC121" si="96">RANK(AB108, AB$67:AB$81)</f>
        <v>#N/A</v>
      </c>
      <c r="AD108" s="390"/>
      <c r="AE108" s="182"/>
      <c r="AF108" s="166"/>
      <c r="AG108" s="166"/>
      <c r="AH108" s="182" t="e">
        <f t="shared" ref="AH108:AH121" si="97">RANK(AG108, AG$67:AG$81)</f>
        <v>#N/A</v>
      </c>
      <c r="AI108" s="390"/>
      <c r="AJ108" s="182"/>
      <c r="AK108" s="166"/>
      <c r="AL108" s="166"/>
      <c r="AM108" s="182" t="e">
        <f t="shared" ref="AM108:AM121" si="98">RANK(AL108, AL$67:AL$81)</f>
        <v>#N/A</v>
      </c>
      <c r="AN108" s="390"/>
      <c r="AO108" s="182"/>
      <c r="AP108" s="166"/>
      <c r="AQ108" s="166"/>
      <c r="AR108" s="182" t="e">
        <f t="shared" ref="AR108:AR121" si="99">RANK(AQ108, AQ$67:AQ$81)</f>
        <v>#N/A</v>
      </c>
      <c r="AS108" s="390"/>
      <c r="AT108" s="182"/>
      <c r="AU108" s="180"/>
      <c r="AV108" s="180"/>
      <c r="AW108" s="182" t="e">
        <f t="shared" ref="AW108:AW121" si="100">RANK(AV108, AV$67:AV$81)</f>
        <v>#N/A</v>
      </c>
      <c r="AX108" s="390"/>
      <c r="AZ108" s="182" t="e">
        <f t="shared" ref="AZ108:AZ121" si="101">RANK(AY108, AY$67:AY$81)</f>
        <v>#N/A</v>
      </c>
      <c r="BA108" s="390"/>
    </row>
    <row r="109" spans="2:53">
      <c r="B109" s="395"/>
      <c r="C109" s="182">
        <v>3</v>
      </c>
      <c r="D109" s="203"/>
      <c r="E109" s="166"/>
      <c r="F109" s="182"/>
      <c r="G109" s="180"/>
      <c r="H109" s="504"/>
      <c r="I109" s="166" t="str">
        <f t="shared" si="91"/>
        <v>-</v>
      </c>
      <c r="J109" s="166" t="str">
        <f t="shared" si="92"/>
        <v>-</v>
      </c>
      <c r="K109" s="180" t="str">
        <f t="shared" si="93"/>
        <v>-</v>
      </c>
      <c r="L109" s="402"/>
      <c r="M109" s="166" t="e">
        <f>RANK(K109, K$67:$K$81)</f>
        <v>#VALUE!</v>
      </c>
      <c r="N109" s="389"/>
      <c r="O109" s="389"/>
      <c r="P109" s="182"/>
      <c r="Q109" s="166"/>
      <c r="R109" s="166"/>
      <c r="S109" s="182" t="e">
        <f t="shared" si="94"/>
        <v>#N/A</v>
      </c>
      <c r="T109" s="390"/>
      <c r="U109" s="182"/>
      <c r="V109" s="166"/>
      <c r="W109" s="166"/>
      <c r="X109" s="182" t="e">
        <f t="shared" si="95"/>
        <v>#N/A</v>
      </c>
      <c r="Y109" s="390"/>
      <c r="Z109" s="182"/>
      <c r="AA109" s="166"/>
      <c r="AB109" s="166"/>
      <c r="AC109" s="182" t="e">
        <f t="shared" si="96"/>
        <v>#N/A</v>
      </c>
      <c r="AD109" s="390"/>
      <c r="AE109" s="182"/>
      <c r="AF109" s="166"/>
      <c r="AG109" s="166"/>
      <c r="AH109" s="182" t="e">
        <f t="shared" si="97"/>
        <v>#N/A</v>
      </c>
      <c r="AI109" s="390"/>
      <c r="AJ109" s="182"/>
      <c r="AK109" s="166"/>
      <c r="AL109" s="166"/>
      <c r="AM109" s="182" t="e">
        <f t="shared" si="98"/>
        <v>#N/A</v>
      </c>
      <c r="AN109" s="390"/>
      <c r="AO109" s="182"/>
      <c r="AP109" s="166"/>
      <c r="AQ109" s="166"/>
      <c r="AR109" s="182" t="e">
        <f t="shared" si="99"/>
        <v>#N/A</v>
      </c>
      <c r="AS109" s="390"/>
      <c r="AT109" s="182"/>
      <c r="AU109" s="180"/>
      <c r="AV109" s="180"/>
      <c r="AW109" s="182" t="e">
        <f t="shared" si="100"/>
        <v>#N/A</v>
      </c>
      <c r="AX109" s="390"/>
      <c r="AZ109" s="182" t="e">
        <f t="shared" si="101"/>
        <v>#N/A</v>
      </c>
      <c r="BA109" s="390"/>
    </row>
    <row r="110" spans="2:53">
      <c r="B110" s="395"/>
      <c r="C110" s="182">
        <v>4</v>
      </c>
      <c r="D110" s="203"/>
      <c r="E110" s="166"/>
      <c r="F110" s="182"/>
      <c r="G110" s="180"/>
      <c r="H110" s="504"/>
      <c r="I110" s="166" t="str">
        <f t="shared" si="91"/>
        <v>-</v>
      </c>
      <c r="J110" s="166" t="str">
        <f t="shared" si="92"/>
        <v>-</v>
      </c>
      <c r="K110" s="180" t="str">
        <f t="shared" si="93"/>
        <v>-</v>
      </c>
      <c r="L110" s="402"/>
      <c r="M110" s="166" t="e">
        <f>RANK(K110, K$67:$K$81)</f>
        <v>#VALUE!</v>
      </c>
      <c r="N110" s="389"/>
      <c r="O110" s="389"/>
      <c r="P110" s="182"/>
      <c r="Q110" s="166"/>
      <c r="R110" s="166"/>
      <c r="S110" s="182" t="e">
        <f t="shared" si="94"/>
        <v>#N/A</v>
      </c>
      <c r="T110" s="390"/>
      <c r="U110" s="182"/>
      <c r="V110" s="166"/>
      <c r="W110" s="166"/>
      <c r="X110" s="182" t="e">
        <f t="shared" si="95"/>
        <v>#N/A</v>
      </c>
      <c r="Y110" s="390"/>
      <c r="Z110" s="182"/>
      <c r="AA110" s="166"/>
      <c r="AB110" s="166"/>
      <c r="AC110" s="182" t="e">
        <f t="shared" si="96"/>
        <v>#N/A</v>
      </c>
      <c r="AD110" s="390"/>
      <c r="AE110" s="182"/>
      <c r="AF110" s="166"/>
      <c r="AG110" s="166"/>
      <c r="AH110" s="182" t="e">
        <f t="shared" si="97"/>
        <v>#N/A</v>
      </c>
      <c r="AI110" s="390"/>
      <c r="AJ110" s="182"/>
      <c r="AK110" s="166"/>
      <c r="AL110" s="166"/>
      <c r="AM110" s="182" t="e">
        <f t="shared" si="98"/>
        <v>#N/A</v>
      </c>
      <c r="AN110" s="390"/>
      <c r="AO110" s="182"/>
      <c r="AP110" s="166"/>
      <c r="AQ110" s="166"/>
      <c r="AR110" s="182" t="e">
        <f t="shared" si="99"/>
        <v>#N/A</v>
      </c>
      <c r="AS110" s="390"/>
      <c r="AT110" s="182"/>
      <c r="AU110" s="180"/>
      <c r="AV110" s="180"/>
      <c r="AW110" s="182" t="e">
        <f t="shared" si="100"/>
        <v>#N/A</v>
      </c>
      <c r="AX110" s="390"/>
      <c r="AZ110" s="182" t="e">
        <f t="shared" si="101"/>
        <v>#N/A</v>
      </c>
      <c r="BA110" s="390"/>
    </row>
    <row r="111" spans="2:53">
      <c r="B111" s="395"/>
      <c r="C111" s="182">
        <v>5</v>
      </c>
      <c r="D111" s="203"/>
      <c r="E111" s="166"/>
      <c r="F111" s="182"/>
      <c r="G111" s="180"/>
      <c r="H111" s="504"/>
      <c r="I111" s="166" t="str">
        <f t="shared" si="91"/>
        <v>-</v>
      </c>
      <c r="J111" s="166" t="str">
        <f t="shared" si="92"/>
        <v>-</v>
      </c>
      <c r="K111" s="180" t="str">
        <f t="shared" si="93"/>
        <v>-</v>
      </c>
      <c r="L111" s="402"/>
      <c r="M111" s="166" t="e">
        <f>RANK(K111, K$67:$K$81)</f>
        <v>#VALUE!</v>
      </c>
      <c r="N111" s="389"/>
      <c r="O111" s="389"/>
      <c r="P111" s="182"/>
      <c r="Q111" s="166"/>
      <c r="R111" s="166"/>
      <c r="S111" s="182" t="e">
        <f t="shared" si="94"/>
        <v>#N/A</v>
      </c>
      <c r="T111" s="390"/>
      <c r="U111" s="182"/>
      <c r="V111" s="166"/>
      <c r="W111" s="166"/>
      <c r="X111" s="182" t="e">
        <f t="shared" si="95"/>
        <v>#N/A</v>
      </c>
      <c r="Y111" s="390"/>
      <c r="Z111" s="182"/>
      <c r="AA111" s="166"/>
      <c r="AB111" s="166"/>
      <c r="AC111" s="182" t="e">
        <f t="shared" si="96"/>
        <v>#N/A</v>
      </c>
      <c r="AD111" s="390"/>
      <c r="AE111" s="182"/>
      <c r="AF111" s="166"/>
      <c r="AG111" s="166"/>
      <c r="AH111" s="182" t="e">
        <f t="shared" si="97"/>
        <v>#N/A</v>
      </c>
      <c r="AI111" s="390"/>
      <c r="AJ111" s="182"/>
      <c r="AK111" s="166"/>
      <c r="AL111" s="166"/>
      <c r="AM111" s="182" t="e">
        <f t="shared" si="98"/>
        <v>#N/A</v>
      </c>
      <c r="AN111" s="390"/>
      <c r="AO111" s="182"/>
      <c r="AP111" s="166"/>
      <c r="AQ111" s="166"/>
      <c r="AR111" s="182" t="e">
        <f t="shared" si="99"/>
        <v>#N/A</v>
      </c>
      <c r="AS111" s="390"/>
      <c r="AT111" s="182"/>
      <c r="AU111" s="180"/>
      <c r="AV111" s="180"/>
      <c r="AW111" s="182" t="e">
        <f t="shared" si="100"/>
        <v>#N/A</v>
      </c>
      <c r="AX111" s="390"/>
      <c r="AZ111" s="182" t="e">
        <f t="shared" si="101"/>
        <v>#N/A</v>
      </c>
      <c r="BA111" s="390"/>
    </row>
    <row r="112" spans="2:53">
      <c r="B112" s="395"/>
      <c r="C112" s="182">
        <v>6</v>
      </c>
      <c r="D112" s="203"/>
      <c r="E112" s="166"/>
      <c r="F112" s="182"/>
      <c r="G112" s="180"/>
      <c r="H112" s="504"/>
      <c r="I112" s="166" t="str">
        <f t="shared" si="91"/>
        <v>-</v>
      </c>
      <c r="J112" s="166" t="str">
        <f t="shared" si="92"/>
        <v>-</v>
      </c>
      <c r="K112" s="180" t="str">
        <f t="shared" si="93"/>
        <v>-</v>
      </c>
      <c r="L112" s="402"/>
      <c r="M112" s="166" t="e">
        <f>RANK(K112, K$67:$K$81)</f>
        <v>#VALUE!</v>
      </c>
      <c r="N112" s="389"/>
      <c r="O112" s="389"/>
      <c r="P112" s="182"/>
      <c r="Q112" s="166"/>
      <c r="R112" s="166"/>
      <c r="S112" s="182" t="e">
        <f t="shared" si="94"/>
        <v>#N/A</v>
      </c>
      <c r="T112" s="390"/>
      <c r="U112" s="182"/>
      <c r="V112" s="166"/>
      <c r="W112" s="166"/>
      <c r="X112" s="182" t="e">
        <f t="shared" si="95"/>
        <v>#N/A</v>
      </c>
      <c r="Y112" s="390"/>
      <c r="Z112" s="182"/>
      <c r="AA112" s="166"/>
      <c r="AB112" s="166"/>
      <c r="AC112" s="182" t="e">
        <f t="shared" si="96"/>
        <v>#N/A</v>
      </c>
      <c r="AD112" s="390"/>
      <c r="AE112" s="182"/>
      <c r="AF112" s="166"/>
      <c r="AG112" s="166"/>
      <c r="AH112" s="182" t="e">
        <f t="shared" si="97"/>
        <v>#N/A</v>
      </c>
      <c r="AI112" s="390"/>
      <c r="AJ112" s="182"/>
      <c r="AK112" s="166"/>
      <c r="AL112" s="166"/>
      <c r="AM112" s="182" t="e">
        <f t="shared" si="98"/>
        <v>#N/A</v>
      </c>
      <c r="AN112" s="390"/>
      <c r="AO112" s="182"/>
      <c r="AP112" s="166"/>
      <c r="AQ112" s="166"/>
      <c r="AR112" s="182" t="e">
        <f t="shared" si="99"/>
        <v>#N/A</v>
      </c>
      <c r="AS112" s="390"/>
      <c r="AT112" s="182"/>
      <c r="AU112" s="180"/>
      <c r="AV112" s="180"/>
      <c r="AW112" s="182" t="e">
        <f t="shared" si="100"/>
        <v>#N/A</v>
      </c>
      <c r="AX112" s="390"/>
      <c r="AZ112" s="182" t="e">
        <f t="shared" si="101"/>
        <v>#N/A</v>
      </c>
      <c r="BA112" s="390"/>
    </row>
    <row r="113" spans="2:53">
      <c r="B113" s="395"/>
      <c r="C113" s="182">
        <v>7</v>
      </c>
      <c r="D113" s="203"/>
      <c r="E113" s="166"/>
      <c r="F113" s="182"/>
      <c r="G113" s="180"/>
      <c r="H113" s="504"/>
      <c r="I113" s="166" t="str">
        <f t="shared" si="91"/>
        <v>-</v>
      </c>
      <c r="J113" s="166" t="str">
        <f t="shared" si="92"/>
        <v>-</v>
      </c>
      <c r="K113" s="180" t="str">
        <f t="shared" si="93"/>
        <v>-</v>
      </c>
      <c r="L113" s="402"/>
      <c r="M113" s="166" t="e">
        <f>RANK(K113, K$67:$K$81)</f>
        <v>#VALUE!</v>
      </c>
      <c r="N113" s="389"/>
      <c r="O113" s="389"/>
      <c r="P113" s="182"/>
      <c r="Q113" s="166"/>
      <c r="R113" s="166"/>
      <c r="S113" s="182" t="e">
        <f t="shared" si="94"/>
        <v>#N/A</v>
      </c>
      <c r="T113" s="390"/>
      <c r="U113" s="182"/>
      <c r="V113" s="166"/>
      <c r="W113" s="166"/>
      <c r="X113" s="182" t="e">
        <f t="shared" si="95"/>
        <v>#N/A</v>
      </c>
      <c r="Y113" s="390"/>
      <c r="Z113" s="182"/>
      <c r="AA113" s="166"/>
      <c r="AB113" s="166"/>
      <c r="AC113" s="182" t="e">
        <f t="shared" si="96"/>
        <v>#N/A</v>
      </c>
      <c r="AD113" s="390"/>
      <c r="AE113" s="182"/>
      <c r="AF113" s="166"/>
      <c r="AG113" s="166"/>
      <c r="AH113" s="182" t="e">
        <f t="shared" si="97"/>
        <v>#N/A</v>
      </c>
      <c r="AI113" s="390"/>
      <c r="AJ113" s="182"/>
      <c r="AK113" s="166"/>
      <c r="AL113" s="166"/>
      <c r="AM113" s="182" t="e">
        <f t="shared" si="98"/>
        <v>#N/A</v>
      </c>
      <c r="AN113" s="390"/>
      <c r="AO113" s="182"/>
      <c r="AP113" s="166"/>
      <c r="AQ113" s="166"/>
      <c r="AR113" s="182" t="e">
        <f t="shared" si="99"/>
        <v>#N/A</v>
      </c>
      <c r="AS113" s="390"/>
      <c r="AT113" s="182"/>
      <c r="AU113" s="180"/>
      <c r="AV113" s="180"/>
      <c r="AW113" s="182" t="e">
        <f t="shared" si="100"/>
        <v>#N/A</v>
      </c>
      <c r="AX113" s="390"/>
      <c r="AZ113" s="182" t="e">
        <f t="shared" si="101"/>
        <v>#N/A</v>
      </c>
      <c r="BA113" s="390"/>
    </row>
    <row r="114" spans="2:53">
      <c r="B114" s="395"/>
      <c r="C114" s="182">
        <v>8</v>
      </c>
      <c r="D114" s="203"/>
      <c r="E114" s="166"/>
      <c r="F114" s="182"/>
      <c r="G114" s="180"/>
      <c r="H114" s="504"/>
      <c r="I114" s="166" t="str">
        <f t="shared" si="91"/>
        <v>-</v>
      </c>
      <c r="J114" s="166" t="str">
        <f t="shared" si="92"/>
        <v>-</v>
      </c>
      <c r="K114" s="180" t="str">
        <f t="shared" si="93"/>
        <v>-</v>
      </c>
      <c r="L114" s="402"/>
      <c r="M114" s="166" t="e">
        <f>RANK(K114, K$67:$K$81)</f>
        <v>#VALUE!</v>
      </c>
      <c r="N114" s="389"/>
      <c r="O114" s="389"/>
      <c r="P114" s="182"/>
      <c r="Q114" s="166"/>
      <c r="R114" s="166"/>
      <c r="S114" s="182" t="e">
        <f t="shared" si="94"/>
        <v>#N/A</v>
      </c>
      <c r="T114" s="390"/>
      <c r="U114" s="182"/>
      <c r="V114" s="166"/>
      <c r="W114" s="166"/>
      <c r="X114" s="182" t="e">
        <f t="shared" si="95"/>
        <v>#N/A</v>
      </c>
      <c r="Y114" s="390"/>
      <c r="Z114" s="182"/>
      <c r="AA114" s="166"/>
      <c r="AB114" s="166"/>
      <c r="AC114" s="182" t="e">
        <f t="shared" si="96"/>
        <v>#N/A</v>
      </c>
      <c r="AD114" s="390"/>
      <c r="AE114" s="182"/>
      <c r="AF114" s="166"/>
      <c r="AG114" s="166"/>
      <c r="AH114" s="182" t="e">
        <f t="shared" si="97"/>
        <v>#N/A</v>
      </c>
      <c r="AI114" s="390"/>
      <c r="AJ114" s="182"/>
      <c r="AK114" s="166"/>
      <c r="AL114" s="166"/>
      <c r="AM114" s="182" t="e">
        <f t="shared" si="98"/>
        <v>#N/A</v>
      </c>
      <c r="AN114" s="390"/>
      <c r="AO114" s="182"/>
      <c r="AP114" s="166"/>
      <c r="AQ114" s="166"/>
      <c r="AR114" s="182" t="e">
        <f t="shared" si="99"/>
        <v>#N/A</v>
      </c>
      <c r="AS114" s="390"/>
      <c r="AT114" s="182"/>
      <c r="AU114" s="180"/>
      <c r="AV114" s="180"/>
      <c r="AW114" s="182" t="e">
        <f t="shared" si="100"/>
        <v>#N/A</v>
      </c>
      <c r="AX114" s="390"/>
      <c r="AZ114" s="182" t="e">
        <f t="shared" si="101"/>
        <v>#N/A</v>
      </c>
      <c r="BA114" s="390"/>
    </row>
    <row r="115" spans="2:53">
      <c r="B115" s="395"/>
      <c r="C115" s="182">
        <v>9</v>
      </c>
      <c r="D115" s="203"/>
      <c r="E115" s="166"/>
      <c r="F115" s="182"/>
      <c r="G115" s="180"/>
      <c r="H115" s="504"/>
      <c r="I115" s="166" t="str">
        <f t="shared" si="91"/>
        <v>-</v>
      </c>
      <c r="J115" s="166" t="str">
        <f t="shared" si="92"/>
        <v>-</v>
      </c>
      <c r="K115" s="180" t="str">
        <f t="shared" si="93"/>
        <v>-</v>
      </c>
      <c r="L115" s="402"/>
      <c r="M115" s="166" t="e">
        <f>RANK(K115, K$67:$K$81)</f>
        <v>#VALUE!</v>
      </c>
      <c r="N115" s="389"/>
      <c r="O115" s="389"/>
      <c r="P115" s="182"/>
      <c r="Q115" s="166"/>
      <c r="R115" s="166"/>
      <c r="S115" s="182" t="e">
        <f t="shared" si="94"/>
        <v>#N/A</v>
      </c>
      <c r="T115" s="390"/>
      <c r="U115" s="182"/>
      <c r="V115" s="166"/>
      <c r="W115" s="166"/>
      <c r="X115" s="182" t="e">
        <f t="shared" si="95"/>
        <v>#N/A</v>
      </c>
      <c r="Y115" s="390"/>
      <c r="Z115" s="182"/>
      <c r="AA115" s="166"/>
      <c r="AB115" s="166"/>
      <c r="AC115" s="182" t="e">
        <f t="shared" si="96"/>
        <v>#N/A</v>
      </c>
      <c r="AD115" s="390"/>
      <c r="AE115" s="182"/>
      <c r="AF115" s="166"/>
      <c r="AG115" s="166"/>
      <c r="AH115" s="182" t="e">
        <f t="shared" si="97"/>
        <v>#N/A</v>
      </c>
      <c r="AI115" s="390"/>
      <c r="AJ115" s="182"/>
      <c r="AK115" s="166"/>
      <c r="AL115" s="166"/>
      <c r="AM115" s="182" t="e">
        <f t="shared" si="98"/>
        <v>#N/A</v>
      </c>
      <c r="AN115" s="390"/>
      <c r="AO115" s="182"/>
      <c r="AP115" s="166"/>
      <c r="AQ115" s="166"/>
      <c r="AR115" s="182" t="e">
        <f t="shared" si="99"/>
        <v>#N/A</v>
      </c>
      <c r="AS115" s="390"/>
      <c r="AT115" s="182"/>
      <c r="AU115" s="180"/>
      <c r="AV115" s="180"/>
      <c r="AW115" s="182" t="e">
        <f t="shared" si="100"/>
        <v>#N/A</v>
      </c>
      <c r="AX115" s="390"/>
      <c r="AZ115" s="182" t="e">
        <f t="shared" si="101"/>
        <v>#N/A</v>
      </c>
      <c r="BA115" s="390"/>
    </row>
    <row r="116" spans="2:53">
      <c r="B116" s="395"/>
      <c r="C116" s="182">
        <v>10</v>
      </c>
      <c r="D116" s="203"/>
      <c r="E116" s="166"/>
      <c r="F116" s="182"/>
      <c r="G116" s="180"/>
      <c r="H116" s="504"/>
      <c r="I116" s="166" t="str">
        <f t="shared" si="91"/>
        <v>-</v>
      </c>
      <c r="J116" s="166" t="str">
        <f t="shared" si="92"/>
        <v>-</v>
      </c>
      <c r="K116" s="180" t="str">
        <f t="shared" si="93"/>
        <v>-</v>
      </c>
      <c r="L116" s="402"/>
      <c r="M116" s="166" t="e">
        <f>RANK(K116, K$67:$K$81)</f>
        <v>#VALUE!</v>
      </c>
      <c r="N116" s="389"/>
      <c r="O116" s="389"/>
      <c r="P116" s="182"/>
      <c r="Q116" s="166"/>
      <c r="R116" s="166"/>
      <c r="S116" s="182" t="e">
        <f t="shared" si="94"/>
        <v>#N/A</v>
      </c>
      <c r="T116" s="390"/>
      <c r="U116" s="182"/>
      <c r="V116" s="166"/>
      <c r="W116" s="166"/>
      <c r="X116" s="182" t="e">
        <f t="shared" si="95"/>
        <v>#N/A</v>
      </c>
      <c r="Y116" s="390"/>
      <c r="Z116" s="182"/>
      <c r="AA116" s="166"/>
      <c r="AB116" s="166"/>
      <c r="AC116" s="182" t="e">
        <f t="shared" si="96"/>
        <v>#N/A</v>
      </c>
      <c r="AD116" s="390"/>
      <c r="AE116" s="182"/>
      <c r="AF116" s="166"/>
      <c r="AG116" s="166"/>
      <c r="AH116" s="182" t="e">
        <f t="shared" si="97"/>
        <v>#N/A</v>
      </c>
      <c r="AI116" s="390"/>
      <c r="AJ116" s="182"/>
      <c r="AK116" s="166"/>
      <c r="AL116" s="166"/>
      <c r="AM116" s="182" t="e">
        <f t="shared" si="98"/>
        <v>#N/A</v>
      </c>
      <c r="AN116" s="390"/>
      <c r="AO116" s="182"/>
      <c r="AP116" s="166"/>
      <c r="AQ116" s="166"/>
      <c r="AR116" s="182" t="e">
        <f t="shared" si="99"/>
        <v>#N/A</v>
      </c>
      <c r="AS116" s="390"/>
      <c r="AT116" s="182"/>
      <c r="AU116" s="182"/>
      <c r="AV116" s="180"/>
      <c r="AW116" s="182" t="e">
        <f t="shared" si="100"/>
        <v>#N/A</v>
      </c>
      <c r="AX116" s="390"/>
      <c r="AZ116" s="182" t="e">
        <f t="shared" si="101"/>
        <v>#N/A</v>
      </c>
      <c r="BA116" s="390"/>
    </row>
    <row r="117" spans="2:53">
      <c r="B117" s="395"/>
      <c r="C117" s="182">
        <v>11</v>
      </c>
      <c r="D117" s="203"/>
      <c r="E117" s="166"/>
      <c r="F117" s="182"/>
      <c r="G117" s="180"/>
      <c r="H117" s="504"/>
      <c r="I117" s="166" t="str">
        <f t="shared" si="91"/>
        <v>-</v>
      </c>
      <c r="J117" s="166" t="str">
        <f t="shared" si="92"/>
        <v>-</v>
      </c>
      <c r="K117" s="180" t="str">
        <f t="shared" si="93"/>
        <v>-</v>
      </c>
      <c r="L117" s="402"/>
      <c r="M117" s="166" t="e">
        <f>RANK(K117, K$67:$K$81)</f>
        <v>#VALUE!</v>
      </c>
      <c r="N117" s="389"/>
      <c r="O117" s="389"/>
      <c r="P117" s="182"/>
      <c r="Q117" s="166"/>
      <c r="R117" s="166"/>
      <c r="S117" s="182" t="e">
        <f t="shared" si="94"/>
        <v>#N/A</v>
      </c>
      <c r="T117" s="390"/>
      <c r="U117" s="182"/>
      <c r="V117" s="166"/>
      <c r="W117" s="166"/>
      <c r="X117" s="182" t="e">
        <f t="shared" si="95"/>
        <v>#N/A</v>
      </c>
      <c r="Y117" s="390"/>
      <c r="Z117" s="182"/>
      <c r="AA117" s="166"/>
      <c r="AB117" s="166"/>
      <c r="AC117" s="182" t="e">
        <f t="shared" si="96"/>
        <v>#N/A</v>
      </c>
      <c r="AD117" s="390"/>
      <c r="AE117" s="182"/>
      <c r="AF117" s="166"/>
      <c r="AG117" s="166"/>
      <c r="AH117" s="182" t="e">
        <f t="shared" si="97"/>
        <v>#N/A</v>
      </c>
      <c r="AI117" s="390"/>
      <c r="AJ117" s="182"/>
      <c r="AK117" s="166"/>
      <c r="AL117" s="166"/>
      <c r="AM117" s="182" t="e">
        <f t="shared" si="98"/>
        <v>#N/A</v>
      </c>
      <c r="AN117" s="390"/>
      <c r="AO117" s="182"/>
      <c r="AP117" s="166"/>
      <c r="AQ117" s="166"/>
      <c r="AR117" s="182" t="e">
        <f t="shared" si="99"/>
        <v>#N/A</v>
      </c>
      <c r="AS117" s="390"/>
      <c r="AT117" s="182"/>
      <c r="AU117" s="182"/>
      <c r="AV117" s="182"/>
      <c r="AW117" s="182" t="e">
        <f t="shared" si="100"/>
        <v>#N/A</v>
      </c>
      <c r="AX117" s="390"/>
      <c r="AZ117" s="182" t="e">
        <f t="shared" si="101"/>
        <v>#N/A</v>
      </c>
      <c r="BA117" s="390"/>
    </row>
    <row r="118" spans="2:53">
      <c r="B118" s="395"/>
      <c r="C118" s="182">
        <v>12</v>
      </c>
      <c r="D118" s="203"/>
      <c r="E118" s="166"/>
      <c r="F118" s="182"/>
      <c r="G118" s="180"/>
      <c r="H118" s="504"/>
      <c r="I118" s="166" t="str">
        <f t="shared" si="91"/>
        <v>-</v>
      </c>
      <c r="J118" s="166" t="str">
        <f t="shared" si="92"/>
        <v>-</v>
      </c>
      <c r="K118" s="180" t="str">
        <f t="shared" si="93"/>
        <v>-</v>
      </c>
      <c r="L118" s="402"/>
      <c r="M118" s="166" t="e">
        <f>RANK(K118, K$67:$K$81)</f>
        <v>#VALUE!</v>
      </c>
      <c r="N118" s="389"/>
      <c r="O118" s="389"/>
      <c r="P118" s="182"/>
      <c r="Q118" s="166"/>
      <c r="R118" s="166"/>
      <c r="S118" s="182" t="e">
        <f t="shared" si="94"/>
        <v>#N/A</v>
      </c>
      <c r="T118" s="390"/>
      <c r="U118" s="182"/>
      <c r="V118" s="166"/>
      <c r="W118" s="166"/>
      <c r="X118" s="182" t="e">
        <f t="shared" si="95"/>
        <v>#N/A</v>
      </c>
      <c r="Y118" s="390"/>
      <c r="Z118" s="182"/>
      <c r="AA118" s="166"/>
      <c r="AB118" s="166"/>
      <c r="AC118" s="182" t="e">
        <f t="shared" si="96"/>
        <v>#N/A</v>
      </c>
      <c r="AD118" s="390"/>
      <c r="AE118" s="182"/>
      <c r="AF118" s="166"/>
      <c r="AG118" s="166"/>
      <c r="AH118" s="182" t="e">
        <f t="shared" si="97"/>
        <v>#N/A</v>
      </c>
      <c r="AI118" s="390"/>
      <c r="AJ118" s="182"/>
      <c r="AK118" s="166"/>
      <c r="AL118" s="166"/>
      <c r="AM118" s="182" t="e">
        <f t="shared" si="98"/>
        <v>#N/A</v>
      </c>
      <c r="AN118" s="390"/>
      <c r="AO118" s="182"/>
      <c r="AP118" s="166"/>
      <c r="AQ118" s="166"/>
      <c r="AR118" s="182" t="e">
        <f t="shared" si="99"/>
        <v>#N/A</v>
      </c>
      <c r="AS118" s="390"/>
      <c r="AT118" s="182"/>
      <c r="AU118" s="182"/>
      <c r="AV118" s="182"/>
      <c r="AW118" s="182" t="e">
        <f t="shared" si="100"/>
        <v>#N/A</v>
      </c>
      <c r="AX118" s="390"/>
      <c r="AZ118" s="182" t="e">
        <f t="shared" si="101"/>
        <v>#N/A</v>
      </c>
      <c r="BA118" s="390"/>
    </row>
    <row r="119" spans="2:53">
      <c r="B119" s="395"/>
      <c r="C119" s="182">
        <v>13</v>
      </c>
      <c r="D119" s="203"/>
      <c r="E119" s="166"/>
      <c r="F119" s="182"/>
      <c r="G119" s="180"/>
      <c r="H119" s="504"/>
      <c r="I119" s="166" t="str">
        <f t="shared" si="91"/>
        <v>-</v>
      </c>
      <c r="J119" s="166" t="str">
        <f t="shared" si="92"/>
        <v>-</v>
      </c>
      <c r="K119" s="180" t="str">
        <f t="shared" si="93"/>
        <v>-</v>
      </c>
      <c r="L119" s="402"/>
      <c r="M119" s="166" t="e">
        <f>RANK(K119, K$67:$K$81)</f>
        <v>#VALUE!</v>
      </c>
      <c r="N119" s="389"/>
      <c r="O119" s="389"/>
      <c r="P119" s="182"/>
      <c r="Q119" s="166"/>
      <c r="R119" s="166"/>
      <c r="S119" s="182" t="e">
        <f t="shared" si="94"/>
        <v>#N/A</v>
      </c>
      <c r="T119" s="390"/>
      <c r="U119" s="182"/>
      <c r="V119" s="166"/>
      <c r="W119" s="166"/>
      <c r="X119" s="182" t="e">
        <f t="shared" si="95"/>
        <v>#N/A</v>
      </c>
      <c r="Y119" s="390"/>
      <c r="Z119" s="182"/>
      <c r="AA119" s="166"/>
      <c r="AB119" s="166"/>
      <c r="AC119" s="182" t="e">
        <f t="shared" si="96"/>
        <v>#N/A</v>
      </c>
      <c r="AD119" s="390"/>
      <c r="AE119" s="182"/>
      <c r="AF119" s="166"/>
      <c r="AG119" s="166"/>
      <c r="AH119" s="182" t="e">
        <f t="shared" si="97"/>
        <v>#N/A</v>
      </c>
      <c r="AI119" s="390"/>
      <c r="AJ119" s="182"/>
      <c r="AK119" s="166"/>
      <c r="AL119" s="166"/>
      <c r="AM119" s="182" t="e">
        <f t="shared" si="98"/>
        <v>#N/A</v>
      </c>
      <c r="AN119" s="390"/>
      <c r="AO119" s="182"/>
      <c r="AP119" s="166"/>
      <c r="AQ119" s="166"/>
      <c r="AR119" s="182" t="e">
        <f t="shared" si="99"/>
        <v>#N/A</v>
      </c>
      <c r="AS119" s="390"/>
      <c r="AT119" s="182"/>
      <c r="AU119" s="182"/>
      <c r="AV119" s="182"/>
      <c r="AW119" s="182" t="e">
        <f t="shared" si="100"/>
        <v>#N/A</v>
      </c>
      <c r="AX119" s="390"/>
      <c r="AZ119" s="182" t="e">
        <f t="shared" si="101"/>
        <v>#N/A</v>
      </c>
      <c r="BA119" s="390"/>
    </row>
    <row r="120" spans="2:53">
      <c r="B120" s="395"/>
      <c r="C120" s="182">
        <v>14</v>
      </c>
      <c r="D120" s="203"/>
      <c r="E120" s="166"/>
      <c r="F120" s="182"/>
      <c r="G120" s="180"/>
      <c r="H120" s="504"/>
      <c r="I120" s="166" t="str">
        <f t="shared" si="91"/>
        <v>-</v>
      </c>
      <c r="J120" s="166" t="str">
        <f t="shared" si="92"/>
        <v>-</v>
      </c>
      <c r="K120" s="180" t="str">
        <f t="shared" si="93"/>
        <v>-</v>
      </c>
      <c r="L120" s="402"/>
      <c r="M120" s="166" t="e">
        <f>RANK(K120, K$67:$K$81)</f>
        <v>#VALUE!</v>
      </c>
      <c r="N120" s="389"/>
      <c r="O120" s="389"/>
      <c r="P120" s="182"/>
      <c r="Q120" s="166"/>
      <c r="R120" s="166"/>
      <c r="S120" s="182" t="e">
        <f t="shared" si="94"/>
        <v>#N/A</v>
      </c>
      <c r="T120" s="390"/>
      <c r="U120" s="182"/>
      <c r="V120" s="166"/>
      <c r="W120" s="166"/>
      <c r="X120" s="182" t="e">
        <f t="shared" si="95"/>
        <v>#N/A</v>
      </c>
      <c r="Y120" s="390"/>
      <c r="Z120" s="182"/>
      <c r="AA120" s="166"/>
      <c r="AB120" s="166"/>
      <c r="AC120" s="182" t="e">
        <f t="shared" si="96"/>
        <v>#N/A</v>
      </c>
      <c r="AD120" s="390"/>
      <c r="AE120" s="182"/>
      <c r="AF120" s="166"/>
      <c r="AG120" s="166"/>
      <c r="AH120" s="182" t="e">
        <f t="shared" si="97"/>
        <v>#N/A</v>
      </c>
      <c r="AI120" s="390"/>
      <c r="AJ120" s="182"/>
      <c r="AK120" s="166"/>
      <c r="AL120" s="166"/>
      <c r="AM120" s="182" t="e">
        <f t="shared" si="98"/>
        <v>#N/A</v>
      </c>
      <c r="AN120" s="390"/>
      <c r="AO120" s="182"/>
      <c r="AP120" s="166"/>
      <c r="AQ120" s="166"/>
      <c r="AR120" s="182" t="e">
        <f t="shared" si="99"/>
        <v>#N/A</v>
      </c>
      <c r="AS120" s="390"/>
      <c r="AT120" s="182"/>
      <c r="AU120" s="182"/>
      <c r="AV120" s="182"/>
      <c r="AW120" s="182" t="e">
        <f t="shared" si="100"/>
        <v>#N/A</v>
      </c>
      <c r="AX120" s="390"/>
      <c r="AZ120" s="182" t="e">
        <f t="shared" si="101"/>
        <v>#N/A</v>
      </c>
      <c r="BA120" s="390"/>
    </row>
    <row r="121" spans="2:53">
      <c r="B121" s="395"/>
      <c r="C121" s="182">
        <v>15</v>
      </c>
      <c r="D121" s="203"/>
      <c r="E121" s="166"/>
      <c r="F121" s="182"/>
      <c r="G121" s="180"/>
      <c r="H121" s="505"/>
      <c r="I121" s="182"/>
      <c r="J121" s="182"/>
      <c r="K121" s="182"/>
      <c r="L121" s="403"/>
      <c r="M121" s="166" t="e">
        <f>RANK(K121, K$47:$K$61)</f>
        <v>#N/A</v>
      </c>
      <c r="N121" s="389"/>
      <c r="O121" s="389"/>
      <c r="P121" s="182"/>
      <c r="Q121" s="166"/>
      <c r="R121" s="166"/>
      <c r="S121" s="182" t="e">
        <f t="shared" si="94"/>
        <v>#N/A</v>
      </c>
      <c r="T121" s="390"/>
      <c r="U121" s="182"/>
      <c r="V121" s="166"/>
      <c r="W121" s="166"/>
      <c r="X121" s="182" t="e">
        <f t="shared" si="95"/>
        <v>#N/A</v>
      </c>
      <c r="Y121" s="390"/>
      <c r="Z121" s="182"/>
      <c r="AA121" s="166"/>
      <c r="AB121" s="166"/>
      <c r="AC121" s="182" t="e">
        <f t="shared" si="96"/>
        <v>#N/A</v>
      </c>
      <c r="AD121" s="390"/>
      <c r="AE121" s="182"/>
      <c r="AF121" s="166"/>
      <c r="AG121" s="166"/>
      <c r="AH121" s="182" t="e">
        <f t="shared" si="97"/>
        <v>#N/A</v>
      </c>
      <c r="AI121" s="390"/>
      <c r="AJ121" s="182"/>
      <c r="AK121" s="166"/>
      <c r="AL121" s="166"/>
      <c r="AM121" s="182" t="e">
        <f t="shared" si="98"/>
        <v>#N/A</v>
      </c>
      <c r="AN121" s="390"/>
      <c r="AO121" s="182"/>
      <c r="AP121" s="166"/>
      <c r="AQ121" s="166"/>
      <c r="AR121" s="182" t="e">
        <f t="shared" si="99"/>
        <v>#N/A</v>
      </c>
      <c r="AS121" s="390"/>
      <c r="AT121" s="182"/>
      <c r="AU121" s="182"/>
      <c r="AV121" s="182"/>
      <c r="AW121" s="182" t="e">
        <f t="shared" si="100"/>
        <v>#N/A</v>
      </c>
      <c r="AX121" s="390"/>
      <c r="AZ121" s="182" t="e">
        <f t="shared" si="101"/>
        <v>#N/A</v>
      </c>
      <c r="BA121" s="390"/>
    </row>
    <row r="123" spans="2:53" ht="15.75">
      <c r="B123" s="397" t="s">
        <v>486</v>
      </c>
      <c r="C123" s="398"/>
      <c r="D123" s="398"/>
      <c r="E123" s="398"/>
      <c r="F123" s="398"/>
      <c r="G123" s="398"/>
      <c r="H123" s="398"/>
      <c r="I123" s="273"/>
      <c r="J123" s="273"/>
      <c r="K123" s="273"/>
      <c r="L123" s="273"/>
      <c r="M123" s="274"/>
    </row>
    <row r="124" spans="2:53" ht="15.75">
      <c r="B124" s="399"/>
      <c r="C124" s="399"/>
      <c r="D124" s="399"/>
      <c r="E124" s="399"/>
      <c r="F124" s="399"/>
      <c r="G124" s="399"/>
      <c r="H124" s="399"/>
      <c r="I124" s="275"/>
      <c r="J124" s="275"/>
      <c r="K124" s="275"/>
      <c r="L124" s="275"/>
      <c r="M124" s="276"/>
    </row>
    <row r="125" spans="2:53">
      <c r="B125" s="389" t="s">
        <v>487</v>
      </c>
      <c r="C125" s="389" t="s">
        <v>488</v>
      </c>
      <c r="D125" s="389"/>
      <c r="E125" s="389" t="s">
        <v>489</v>
      </c>
      <c r="F125" s="389"/>
      <c r="G125" s="389"/>
      <c r="H125" s="417" t="s">
        <v>490</v>
      </c>
      <c r="I125" s="400" t="s">
        <v>491</v>
      </c>
      <c r="J125" s="400"/>
      <c r="K125" s="400"/>
      <c r="L125" s="490" t="s">
        <v>490</v>
      </c>
      <c r="M125" s="493" t="s">
        <v>492</v>
      </c>
    </row>
    <row r="126" spans="2:53">
      <c r="B126" s="389"/>
      <c r="C126" s="389"/>
      <c r="D126" s="389"/>
      <c r="E126" s="389" t="s">
        <v>493</v>
      </c>
      <c r="F126" s="389"/>
      <c r="G126" s="389"/>
      <c r="H126" s="418"/>
      <c r="I126" s="400" t="s">
        <v>493</v>
      </c>
      <c r="J126" s="400"/>
      <c r="K126" s="400"/>
      <c r="L126" s="491"/>
      <c r="M126" s="494"/>
    </row>
    <row r="127" spans="2:53">
      <c r="B127" s="389"/>
      <c r="C127" s="389"/>
      <c r="D127" s="389"/>
      <c r="E127" s="258" t="s">
        <v>494</v>
      </c>
      <c r="F127" s="258" t="s">
        <v>495</v>
      </c>
      <c r="G127" s="258" t="s">
        <v>496</v>
      </c>
      <c r="H127" s="419"/>
      <c r="I127" s="277" t="s">
        <v>494</v>
      </c>
      <c r="J127" s="277" t="s">
        <v>495</v>
      </c>
      <c r="K127" s="277" t="s">
        <v>496</v>
      </c>
      <c r="L127" s="492"/>
      <c r="M127" s="495"/>
    </row>
    <row r="128" spans="2:53">
      <c r="B128" s="389" t="s">
        <v>503</v>
      </c>
      <c r="C128" s="182">
        <v>1</v>
      </c>
      <c r="D128" s="203"/>
      <c r="E128" s="166"/>
      <c r="F128" s="182"/>
      <c r="G128" s="180"/>
      <c r="H128" s="401" t="e">
        <f>AVERAGE(G128:G142)</f>
        <v>#DIV/0!</v>
      </c>
      <c r="I128" s="166" t="e">
        <f t="shared" ref="I128:J132" si="102">AVERAGEIF($D$7:$D$121,$D128,I$7:I$121)</f>
        <v>#DIV/0!</v>
      </c>
      <c r="J128" s="166" t="e">
        <f t="shared" si="102"/>
        <v>#DIV/0!</v>
      </c>
      <c r="K128" s="166" t="e">
        <f>AVERAGEIF($D$7:$D$121,$D128,K$7:K$121)</f>
        <v>#DIV/0!</v>
      </c>
      <c r="L128" s="487" t="e">
        <f>AVERAGE(K128:K142)</f>
        <v>#DIV/0!</v>
      </c>
      <c r="M128" s="166" t="e">
        <f>RANK(K128, K$128:$K$142)</f>
        <v>#DIV/0!</v>
      </c>
    </row>
    <row r="129" spans="2:39">
      <c r="B129" s="395"/>
      <c r="C129" s="182">
        <v>2</v>
      </c>
      <c r="D129" s="203"/>
      <c r="E129" s="166"/>
      <c r="F129" s="182"/>
      <c r="G129" s="180"/>
      <c r="H129" s="402"/>
      <c r="I129" s="166" t="e">
        <f t="shared" si="102"/>
        <v>#DIV/0!</v>
      </c>
      <c r="J129" s="166" t="e">
        <f t="shared" si="102"/>
        <v>#DIV/0!</v>
      </c>
      <c r="K129" s="166" t="e">
        <f>AVERAGEIF($D$7:$D$121,$D129,K$7:K$121)</f>
        <v>#DIV/0!</v>
      </c>
      <c r="L129" s="488"/>
      <c r="M129" s="166" t="e">
        <f>RANK(K129, K$128:$K$142)</f>
        <v>#DIV/0!</v>
      </c>
      <c r="N129" s="103"/>
      <c r="O129" s="103"/>
      <c r="P129" s="103"/>
      <c r="Q129" s="103"/>
      <c r="R129" s="103"/>
      <c r="S129" s="103"/>
      <c r="T129" s="103"/>
      <c r="X129" s="103"/>
      <c r="AC129" s="103"/>
      <c r="AH129" s="103"/>
      <c r="AM129" s="103"/>
    </row>
    <row r="130" spans="2:39">
      <c r="B130" s="395"/>
      <c r="C130" s="182">
        <v>3</v>
      </c>
      <c r="D130" s="203"/>
      <c r="E130" s="166"/>
      <c r="F130" s="182"/>
      <c r="G130" s="180"/>
      <c r="H130" s="402"/>
      <c r="I130" s="166" t="e">
        <f t="shared" si="102"/>
        <v>#DIV/0!</v>
      </c>
      <c r="J130" s="166" t="e">
        <f t="shared" si="102"/>
        <v>#DIV/0!</v>
      </c>
      <c r="K130" s="166" t="e">
        <f>AVERAGEIF($D$7:$D$121,$D130,K$7:K$121)</f>
        <v>#DIV/0!</v>
      </c>
      <c r="L130" s="488"/>
      <c r="M130" s="166" t="e">
        <f>RANK(K130, K$128:$K$142)</f>
        <v>#DIV/0!</v>
      </c>
      <c r="N130" s="103"/>
      <c r="O130" s="103"/>
      <c r="P130" s="103"/>
      <c r="Q130" s="103"/>
      <c r="R130" s="103"/>
      <c r="S130" s="103"/>
      <c r="T130" s="103"/>
      <c r="X130" s="103"/>
      <c r="AC130" s="103"/>
      <c r="AH130" s="103"/>
      <c r="AM130" s="103"/>
    </row>
    <row r="131" spans="2:39">
      <c r="B131" s="395"/>
      <c r="C131" s="182">
        <v>4</v>
      </c>
      <c r="D131" s="203"/>
      <c r="E131" s="166"/>
      <c r="F131" s="182"/>
      <c r="G131" s="180"/>
      <c r="H131" s="402"/>
      <c r="I131" s="166" t="e">
        <f t="shared" si="102"/>
        <v>#DIV/0!</v>
      </c>
      <c r="J131" s="166" t="e">
        <f t="shared" si="102"/>
        <v>#DIV/0!</v>
      </c>
      <c r="K131" s="166" t="e">
        <f>AVERAGEIF($D$7:$D$121,$D131,K$7:K$121)</f>
        <v>#DIV/0!</v>
      </c>
      <c r="L131" s="488"/>
      <c r="M131" s="166" t="e">
        <f>RANK(K131, K$128:$K$142)</f>
        <v>#DIV/0!</v>
      </c>
      <c r="N131" s="103"/>
      <c r="O131" s="103"/>
      <c r="P131" s="103"/>
      <c r="Q131" s="103"/>
      <c r="R131" s="103"/>
      <c r="S131" s="103"/>
      <c r="T131" s="103"/>
      <c r="X131" s="103"/>
      <c r="AC131" s="103"/>
      <c r="AH131" s="103"/>
      <c r="AM131" s="103"/>
    </row>
    <row r="132" spans="2:39">
      <c r="B132" s="395"/>
      <c r="C132" s="182">
        <v>5</v>
      </c>
      <c r="D132" s="203"/>
      <c r="E132" s="166"/>
      <c r="F132" s="182"/>
      <c r="G132" s="180"/>
      <c r="H132" s="402"/>
      <c r="I132" s="166" t="e">
        <f t="shared" si="102"/>
        <v>#DIV/0!</v>
      </c>
      <c r="J132" s="166" t="e">
        <f t="shared" si="102"/>
        <v>#DIV/0!</v>
      </c>
      <c r="K132" s="166" t="e">
        <f>AVERAGEIF($D$7:$D$121,$D132,K$7:K$121)</f>
        <v>#DIV/0!</v>
      </c>
      <c r="L132" s="488"/>
      <c r="M132" s="166" t="e">
        <f>RANK(K132, K$128:$K$142)</f>
        <v>#DIV/0!</v>
      </c>
      <c r="N132" s="103"/>
      <c r="O132" s="103"/>
      <c r="P132" s="103"/>
      <c r="Q132" s="103"/>
      <c r="R132" s="103"/>
      <c r="S132" s="103"/>
      <c r="T132" s="103"/>
      <c r="X132" s="103"/>
      <c r="AC132" s="103"/>
      <c r="AH132" s="103"/>
      <c r="AM132" s="103"/>
    </row>
    <row r="133" spans="2:39">
      <c r="B133" s="395"/>
      <c r="C133" s="182">
        <v>6</v>
      </c>
      <c r="D133" s="278"/>
      <c r="E133" s="166"/>
      <c r="F133" s="182"/>
      <c r="G133" s="180"/>
      <c r="H133" s="402"/>
      <c r="I133" s="166"/>
      <c r="J133" s="166"/>
      <c r="K133" s="166"/>
      <c r="L133" s="488"/>
      <c r="M133" s="166" t="e">
        <f>RANK(K133, K$128:$K$142)</f>
        <v>#DIV/0!</v>
      </c>
      <c r="N133" s="103"/>
      <c r="O133" s="103"/>
      <c r="P133" s="103"/>
      <c r="Q133" s="103"/>
      <c r="R133" s="103"/>
      <c r="S133" s="103"/>
      <c r="T133" s="103"/>
      <c r="X133" s="103"/>
      <c r="AC133" s="103"/>
      <c r="AH133" s="103"/>
      <c r="AM133" s="103"/>
    </row>
    <row r="134" spans="2:39">
      <c r="B134" s="395"/>
      <c r="C134" s="182">
        <v>7</v>
      </c>
      <c r="D134" s="203"/>
      <c r="E134" s="166"/>
      <c r="F134" s="182"/>
      <c r="G134" s="180"/>
      <c r="H134" s="402"/>
      <c r="I134" s="166"/>
      <c r="J134" s="166"/>
      <c r="K134" s="166"/>
      <c r="L134" s="488"/>
      <c r="M134" s="166" t="e">
        <f>RANK(K134, K$128:$K$142)</f>
        <v>#DIV/0!</v>
      </c>
      <c r="N134" s="103"/>
      <c r="O134" s="103"/>
      <c r="P134" s="103"/>
      <c r="Q134" s="103"/>
      <c r="R134" s="103"/>
      <c r="S134" s="103"/>
      <c r="T134" s="103"/>
      <c r="X134" s="103"/>
      <c r="AC134" s="103"/>
      <c r="AH134" s="103"/>
      <c r="AM134" s="103"/>
    </row>
    <row r="135" spans="2:39">
      <c r="B135" s="395"/>
      <c r="C135" s="182">
        <v>8</v>
      </c>
      <c r="D135" s="203"/>
      <c r="E135" s="166"/>
      <c r="F135" s="182"/>
      <c r="G135" s="180"/>
      <c r="H135" s="402"/>
      <c r="I135" s="166"/>
      <c r="J135" s="166"/>
      <c r="K135" s="166"/>
      <c r="L135" s="488"/>
      <c r="M135" s="166" t="e">
        <f>RANK(K135, K$128:$K$142)</f>
        <v>#DIV/0!</v>
      </c>
      <c r="N135" s="103"/>
      <c r="O135" s="103"/>
      <c r="P135" s="103"/>
      <c r="Q135" s="103"/>
      <c r="R135" s="103"/>
      <c r="S135" s="103"/>
      <c r="T135" s="103"/>
      <c r="X135" s="103"/>
      <c r="AC135" s="103"/>
      <c r="AH135" s="103"/>
      <c r="AM135" s="103"/>
    </row>
    <row r="136" spans="2:39">
      <c r="B136" s="395"/>
      <c r="C136" s="182">
        <v>9</v>
      </c>
      <c r="D136" s="203"/>
      <c r="E136" s="182"/>
      <c r="F136" s="182"/>
      <c r="G136" s="182"/>
      <c r="H136" s="402"/>
      <c r="I136" s="166"/>
      <c r="J136" s="166"/>
      <c r="K136" s="166"/>
      <c r="L136" s="488"/>
      <c r="M136" s="166" t="e">
        <f>RANK(K136, K$128:$K$142)</f>
        <v>#DIV/0!</v>
      </c>
      <c r="N136" s="103"/>
      <c r="O136" s="103"/>
      <c r="P136" s="103"/>
      <c r="Q136" s="103"/>
      <c r="R136" s="103"/>
      <c r="S136" s="103"/>
      <c r="T136" s="103"/>
      <c r="X136" s="103"/>
      <c r="AC136" s="103"/>
      <c r="AH136" s="103"/>
      <c r="AM136" s="103"/>
    </row>
    <row r="137" spans="2:39">
      <c r="B137" s="395"/>
      <c r="C137" s="182">
        <v>10</v>
      </c>
      <c r="D137" s="203"/>
      <c r="E137" s="182"/>
      <c r="F137" s="182"/>
      <c r="G137" s="182"/>
      <c r="H137" s="402"/>
      <c r="I137" s="166"/>
      <c r="J137" s="166"/>
      <c r="K137" s="166"/>
      <c r="L137" s="488"/>
      <c r="M137" s="166" t="e">
        <f>RANK(K137, K$128:$K$142)</f>
        <v>#DIV/0!</v>
      </c>
      <c r="N137" s="103"/>
      <c r="O137" s="103"/>
      <c r="P137" s="103"/>
      <c r="Q137" s="103"/>
      <c r="R137" s="103"/>
      <c r="S137" s="103"/>
      <c r="T137" s="103"/>
      <c r="X137" s="103"/>
      <c r="AC137" s="103"/>
      <c r="AH137" s="103"/>
      <c r="AM137" s="103"/>
    </row>
    <row r="138" spans="2:39">
      <c r="B138" s="395"/>
      <c r="C138" s="182">
        <v>11</v>
      </c>
      <c r="D138" s="203"/>
      <c r="E138" s="182"/>
      <c r="F138" s="182"/>
      <c r="G138" s="182"/>
      <c r="H138" s="402"/>
      <c r="I138" s="166"/>
      <c r="J138" s="166"/>
      <c r="K138" s="166"/>
      <c r="L138" s="488"/>
      <c r="M138" s="166" t="e">
        <f>RANK(K138, K$128:$K$142)</f>
        <v>#DIV/0!</v>
      </c>
      <c r="N138" s="103"/>
      <c r="O138" s="103"/>
      <c r="P138" s="103"/>
      <c r="Q138" s="103"/>
      <c r="R138" s="103"/>
      <c r="S138" s="103"/>
      <c r="T138" s="103"/>
      <c r="X138" s="103"/>
      <c r="AC138" s="103"/>
      <c r="AH138" s="103"/>
      <c r="AM138" s="103"/>
    </row>
    <row r="139" spans="2:39">
      <c r="B139" s="395"/>
      <c r="C139" s="182">
        <v>12</v>
      </c>
      <c r="D139" s="203"/>
      <c r="E139" s="182"/>
      <c r="F139" s="182"/>
      <c r="G139" s="182"/>
      <c r="H139" s="402"/>
      <c r="I139" s="166"/>
      <c r="J139" s="166"/>
      <c r="K139" s="166"/>
      <c r="L139" s="488"/>
      <c r="M139" s="166" t="e">
        <f>RANK(K139, K$128:$K$142)</f>
        <v>#DIV/0!</v>
      </c>
      <c r="N139" s="103"/>
      <c r="O139" s="103"/>
      <c r="P139" s="103"/>
      <c r="Q139" s="103"/>
      <c r="R139" s="103"/>
      <c r="S139" s="103"/>
      <c r="T139" s="103"/>
      <c r="X139" s="103"/>
      <c r="AC139" s="103"/>
      <c r="AH139" s="103"/>
      <c r="AM139" s="103"/>
    </row>
    <row r="140" spans="2:39">
      <c r="B140" s="395"/>
      <c r="C140" s="182">
        <v>13</v>
      </c>
      <c r="D140" s="203"/>
      <c r="E140" s="182"/>
      <c r="F140" s="182"/>
      <c r="G140" s="182"/>
      <c r="H140" s="402"/>
      <c r="I140" s="166"/>
      <c r="J140" s="166"/>
      <c r="K140" s="166"/>
      <c r="L140" s="488"/>
      <c r="M140" s="166" t="e">
        <f>RANK(K140, K$128:$K$142)</f>
        <v>#DIV/0!</v>
      </c>
      <c r="N140" s="103"/>
      <c r="O140" s="103"/>
      <c r="P140" s="103"/>
      <c r="Q140" s="103"/>
      <c r="R140" s="103"/>
      <c r="S140" s="103"/>
      <c r="T140" s="103"/>
      <c r="X140" s="103"/>
      <c r="AC140" s="103"/>
      <c r="AH140" s="103"/>
      <c r="AM140" s="103"/>
    </row>
    <row r="141" spans="2:39">
      <c r="B141" s="395"/>
      <c r="C141" s="182">
        <v>14</v>
      </c>
      <c r="D141" s="203"/>
      <c r="E141" s="182"/>
      <c r="F141" s="182"/>
      <c r="G141" s="182"/>
      <c r="H141" s="402"/>
      <c r="I141" s="166"/>
      <c r="J141" s="166"/>
      <c r="K141" s="166"/>
      <c r="L141" s="488"/>
      <c r="M141" s="166" t="e">
        <f>RANK(K141, K$128:$K$142)</f>
        <v>#DIV/0!</v>
      </c>
      <c r="N141" s="103"/>
      <c r="O141" s="103"/>
      <c r="P141" s="103"/>
      <c r="Q141" s="103"/>
      <c r="R141" s="103"/>
      <c r="S141" s="103"/>
      <c r="T141" s="103"/>
      <c r="X141" s="103"/>
      <c r="AC141" s="103"/>
      <c r="AH141" s="103"/>
      <c r="AM141" s="103"/>
    </row>
    <row r="142" spans="2:39">
      <c r="B142" s="395"/>
      <c r="C142" s="182">
        <v>15</v>
      </c>
      <c r="D142" s="203"/>
      <c r="E142" s="182"/>
      <c r="F142" s="182"/>
      <c r="G142" s="182"/>
      <c r="H142" s="403"/>
      <c r="I142" s="166"/>
      <c r="J142" s="166"/>
      <c r="K142" s="166"/>
      <c r="L142" s="489"/>
      <c r="M142" s="166" t="e">
        <f>RANK(K142, K$128:$K$142)</f>
        <v>#DIV/0!</v>
      </c>
      <c r="N142" s="103"/>
      <c r="O142" s="103"/>
      <c r="P142" s="103"/>
      <c r="Q142" s="103"/>
      <c r="R142" s="103"/>
      <c r="S142" s="103"/>
      <c r="T142" s="103"/>
      <c r="X142" s="103"/>
      <c r="AC142" s="103"/>
      <c r="AH142" s="103"/>
      <c r="AM142" s="103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BA142"/>
  <sheetViews>
    <sheetView topLeftCell="A49" zoomScale="55" zoomScaleNormal="55" workbookViewId="0">
      <pane xSplit="15" topLeftCell="P1" activePane="topRight" state="frozen"/>
      <selection activeCell="M7" sqref="M7:M21"/>
      <selection pane="topRight" activeCell="T87" sqref="T87:T101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51" width="8.85546875" style="103"/>
    <col min="52" max="52" width="5.42578125" style="103" customWidth="1"/>
    <col min="53" max="53" width="13.140625" style="103" customWidth="1"/>
    <col min="54" max="16384" width="8.85546875" style="103"/>
  </cols>
  <sheetData>
    <row r="1" spans="1:53" ht="24">
      <c r="A1" s="74"/>
      <c r="B1" s="198" t="s">
        <v>314</v>
      </c>
      <c r="C1" s="197">
        <f>AVERAGE(L7,L27,L47,L67,L87,L107)</f>
        <v>161.91154317883633</v>
      </c>
    </row>
    <row r="2" spans="1:53" ht="15.75">
      <c r="A2" s="79"/>
      <c r="B2" s="414" t="s">
        <v>163</v>
      </c>
      <c r="C2" s="414"/>
      <c r="D2" s="414"/>
      <c r="E2" s="414"/>
      <c r="F2" s="414"/>
      <c r="G2" s="414"/>
      <c r="H2" s="414"/>
      <c r="I2" s="183"/>
      <c r="J2" s="183"/>
      <c r="K2" s="183"/>
      <c r="L2" s="183"/>
      <c r="M2" s="178"/>
      <c r="N2" s="391" t="s">
        <v>156</v>
      </c>
      <c r="O2" s="391" t="s">
        <v>155</v>
      </c>
      <c r="P2" s="421">
        <v>46140</v>
      </c>
      <c r="Q2" s="422"/>
      <c r="R2" s="422"/>
      <c r="S2" s="422"/>
      <c r="T2" s="423"/>
      <c r="U2" s="413">
        <f>P2+1</f>
        <v>46141</v>
      </c>
      <c r="V2" s="395"/>
      <c r="W2" s="395"/>
      <c r="X2" s="395"/>
      <c r="Y2" s="395"/>
      <c r="Z2" s="413">
        <f>U2+1</f>
        <v>46142</v>
      </c>
      <c r="AA2" s="395"/>
      <c r="AB2" s="395"/>
      <c r="AC2" s="395"/>
      <c r="AD2" s="395"/>
      <c r="AE2" s="413">
        <f>Z2+1</f>
        <v>46143</v>
      </c>
      <c r="AF2" s="395"/>
      <c r="AG2" s="395"/>
      <c r="AH2" s="395"/>
      <c r="AI2" s="395"/>
      <c r="AJ2" s="413">
        <f>AE2+1</f>
        <v>46144</v>
      </c>
      <c r="AK2" s="395"/>
      <c r="AL2" s="395"/>
      <c r="AM2" s="395"/>
      <c r="AN2" s="395"/>
      <c r="AO2" s="413">
        <f>AJ2+1</f>
        <v>46145</v>
      </c>
      <c r="AP2" s="395"/>
      <c r="AQ2" s="395"/>
      <c r="AR2" s="395"/>
      <c r="AS2" s="395"/>
      <c r="AT2" s="410">
        <f>AO2+1</f>
        <v>46146</v>
      </c>
      <c r="AU2" s="411"/>
      <c r="AV2" s="411"/>
      <c r="AW2" s="411"/>
      <c r="AX2" s="412"/>
    </row>
    <row r="3" spans="1:53" ht="15.75">
      <c r="A3" s="79"/>
      <c r="B3" s="420"/>
      <c r="C3" s="420"/>
      <c r="D3" s="420"/>
      <c r="E3" s="420"/>
      <c r="F3" s="420"/>
      <c r="G3" s="420"/>
      <c r="H3" s="420"/>
      <c r="I3" s="184"/>
      <c r="J3" s="184"/>
      <c r="K3" s="184"/>
      <c r="L3" s="184"/>
      <c r="M3" s="179"/>
      <c r="N3" s="393"/>
      <c r="O3" s="393"/>
      <c r="P3" s="410" t="s">
        <v>158</v>
      </c>
      <c r="Q3" s="411"/>
      <c r="R3" s="411"/>
      <c r="S3" s="411"/>
      <c r="T3" s="412"/>
      <c r="U3" s="410" t="s">
        <v>114</v>
      </c>
      <c r="V3" s="411"/>
      <c r="W3" s="411"/>
      <c r="X3" s="411"/>
      <c r="Y3" s="412"/>
      <c r="Z3" s="410" t="s">
        <v>159</v>
      </c>
      <c r="AA3" s="411"/>
      <c r="AB3" s="411"/>
      <c r="AC3" s="411"/>
      <c r="AD3" s="412"/>
      <c r="AE3" s="410" t="s">
        <v>157</v>
      </c>
      <c r="AF3" s="411"/>
      <c r="AG3" s="411"/>
      <c r="AH3" s="411"/>
      <c r="AI3" s="412"/>
      <c r="AJ3" s="410" t="s">
        <v>160</v>
      </c>
      <c r="AK3" s="411"/>
      <c r="AL3" s="411"/>
      <c r="AM3" s="411"/>
      <c r="AN3" s="412"/>
      <c r="AO3" s="410" t="s">
        <v>161</v>
      </c>
      <c r="AP3" s="411"/>
      <c r="AQ3" s="411"/>
      <c r="AR3" s="411"/>
      <c r="AS3" s="412"/>
      <c r="AT3" s="410" t="s">
        <v>162</v>
      </c>
      <c r="AU3" s="411"/>
      <c r="AV3" s="411"/>
      <c r="AW3" s="411"/>
      <c r="AX3" s="412"/>
    </row>
    <row r="4" spans="1:53" ht="14.25">
      <c r="A4" s="79"/>
      <c r="B4" s="389" t="s">
        <v>555</v>
      </c>
      <c r="C4" s="389" t="s">
        <v>386</v>
      </c>
      <c r="D4" s="389"/>
      <c r="E4" s="389" t="s">
        <v>377</v>
      </c>
      <c r="F4" s="389"/>
      <c r="G4" s="389"/>
      <c r="H4" s="417" t="s">
        <v>373</v>
      </c>
      <c r="I4" s="389" t="s">
        <v>378</v>
      </c>
      <c r="J4" s="389"/>
      <c r="K4" s="389"/>
      <c r="L4" s="417" t="s">
        <v>373</v>
      </c>
      <c r="M4" s="391" t="s">
        <v>374</v>
      </c>
      <c r="N4" s="389"/>
      <c r="O4" s="389" t="s">
        <v>379</v>
      </c>
      <c r="P4" s="404" t="s">
        <v>375</v>
      </c>
      <c r="Q4" s="405"/>
      <c r="R4" s="405"/>
      <c r="S4" s="406"/>
      <c r="T4" s="389" t="s">
        <v>373</v>
      </c>
      <c r="U4" s="404" t="s">
        <v>375</v>
      </c>
      <c r="V4" s="405"/>
      <c r="W4" s="405"/>
      <c r="X4" s="406"/>
      <c r="Y4" s="389" t="s">
        <v>373</v>
      </c>
      <c r="Z4" s="404" t="s">
        <v>375</v>
      </c>
      <c r="AA4" s="405"/>
      <c r="AB4" s="405"/>
      <c r="AC4" s="406"/>
      <c r="AD4" s="389" t="s">
        <v>373</v>
      </c>
      <c r="AE4" s="404" t="s">
        <v>375</v>
      </c>
      <c r="AF4" s="405"/>
      <c r="AG4" s="405"/>
      <c r="AH4" s="406"/>
      <c r="AI4" s="389" t="s">
        <v>373</v>
      </c>
      <c r="AJ4" s="404" t="s">
        <v>375</v>
      </c>
      <c r="AK4" s="405"/>
      <c r="AL4" s="405"/>
      <c r="AM4" s="406"/>
      <c r="AN4" s="389" t="s">
        <v>373</v>
      </c>
      <c r="AO4" s="404" t="s">
        <v>375</v>
      </c>
      <c r="AP4" s="405"/>
      <c r="AQ4" s="405"/>
      <c r="AR4" s="406"/>
      <c r="AS4" s="389" t="s">
        <v>373</v>
      </c>
      <c r="AT4" s="404" t="s">
        <v>375</v>
      </c>
      <c r="AU4" s="405"/>
      <c r="AV4" s="405"/>
      <c r="AW4" s="406"/>
      <c r="AX4" s="389" t="s">
        <v>373</v>
      </c>
      <c r="BA4" s="389" t="s">
        <v>373</v>
      </c>
    </row>
    <row r="5" spans="1:53" ht="14.25">
      <c r="A5" s="79"/>
      <c r="B5" s="389"/>
      <c r="C5" s="389"/>
      <c r="D5" s="389"/>
      <c r="E5" s="389" t="s">
        <v>380</v>
      </c>
      <c r="F5" s="389"/>
      <c r="G5" s="389"/>
      <c r="H5" s="418"/>
      <c r="I5" s="389" t="s">
        <v>380</v>
      </c>
      <c r="J5" s="389"/>
      <c r="K5" s="389"/>
      <c r="L5" s="418"/>
      <c r="M5" s="392"/>
      <c r="N5" s="389"/>
      <c r="O5" s="389"/>
      <c r="P5" s="404" t="s">
        <v>381</v>
      </c>
      <c r="Q5" s="405"/>
      <c r="R5" s="405"/>
      <c r="S5" s="406"/>
      <c r="T5" s="389"/>
      <c r="U5" s="404" t="s">
        <v>381</v>
      </c>
      <c r="V5" s="405"/>
      <c r="W5" s="405"/>
      <c r="X5" s="406"/>
      <c r="Y5" s="389"/>
      <c r="Z5" s="404" t="s">
        <v>381</v>
      </c>
      <c r="AA5" s="405"/>
      <c r="AB5" s="405"/>
      <c r="AC5" s="406"/>
      <c r="AD5" s="389"/>
      <c r="AE5" s="404" t="s">
        <v>381</v>
      </c>
      <c r="AF5" s="405"/>
      <c r="AG5" s="405"/>
      <c r="AH5" s="406"/>
      <c r="AI5" s="389"/>
      <c r="AJ5" s="404" t="s">
        <v>381</v>
      </c>
      <c r="AK5" s="405"/>
      <c r="AL5" s="405"/>
      <c r="AM5" s="406"/>
      <c r="AN5" s="389"/>
      <c r="AO5" s="404" t="s">
        <v>381</v>
      </c>
      <c r="AP5" s="405"/>
      <c r="AQ5" s="405"/>
      <c r="AR5" s="406"/>
      <c r="AS5" s="389"/>
      <c r="AT5" s="404" t="s">
        <v>381</v>
      </c>
      <c r="AU5" s="405"/>
      <c r="AV5" s="405"/>
      <c r="AW5" s="406"/>
      <c r="AX5" s="389"/>
      <c r="BA5" s="389"/>
    </row>
    <row r="6" spans="1:53" ht="14.25">
      <c r="A6" s="77"/>
      <c r="B6" s="389"/>
      <c r="C6" s="389"/>
      <c r="D6" s="389"/>
      <c r="E6" s="258" t="s">
        <v>382</v>
      </c>
      <c r="F6" s="258" t="s">
        <v>383</v>
      </c>
      <c r="G6" s="258" t="s">
        <v>384</v>
      </c>
      <c r="H6" s="419"/>
      <c r="I6" s="258" t="s">
        <v>382</v>
      </c>
      <c r="J6" s="258" t="s">
        <v>383</v>
      </c>
      <c r="K6" s="258" t="s">
        <v>384</v>
      </c>
      <c r="L6" s="419"/>
      <c r="M6" s="393"/>
      <c r="N6" s="389"/>
      <c r="O6" s="389"/>
      <c r="P6" s="258" t="s">
        <v>382</v>
      </c>
      <c r="Q6" s="258" t="s">
        <v>383</v>
      </c>
      <c r="R6" s="258" t="s">
        <v>384</v>
      </c>
      <c r="S6" s="258" t="s">
        <v>374</v>
      </c>
      <c r="T6" s="389"/>
      <c r="U6" s="258" t="s">
        <v>382</v>
      </c>
      <c r="V6" s="258" t="s">
        <v>383</v>
      </c>
      <c r="W6" s="258" t="s">
        <v>384</v>
      </c>
      <c r="X6" s="258" t="s">
        <v>374</v>
      </c>
      <c r="Y6" s="389"/>
      <c r="Z6" s="258" t="s">
        <v>382</v>
      </c>
      <c r="AA6" s="258" t="s">
        <v>383</v>
      </c>
      <c r="AB6" s="258" t="s">
        <v>384</v>
      </c>
      <c r="AC6" s="258" t="s">
        <v>374</v>
      </c>
      <c r="AD6" s="389"/>
      <c r="AE6" s="258" t="s">
        <v>382</v>
      </c>
      <c r="AF6" s="258" t="s">
        <v>383</v>
      </c>
      <c r="AG6" s="258" t="s">
        <v>384</v>
      </c>
      <c r="AH6" s="258" t="s">
        <v>374</v>
      </c>
      <c r="AI6" s="389"/>
      <c r="AJ6" s="258" t="s">
        <v>382</v>
      </c>
      <c r="AK6" s="258" t="s">
        <v>383</v>
      </c>
      <c r="AL6" s="258" t="s">
        <v>384</v>
      </c>
      <c r="AM6" s="258" t="s">
        <v>374</v>
      </c>
      <c r="AN6" s="389"/>
      <c r="AO6" s="258" t="s">
        <v>382</v>
      </c>
      <c r="AP6" s="258" t="s">
        <v>383</v>
      </c>
      <c r="AQ6" s="258" t="s">
        <v>384</v>
      </c>
      <c r="AR6" s="258" t="s">
        <v>374</v>
      </c>
      <c r="AS6" s="389"/>
      <c r="AT6" s="258" t="s">
        <v>382</v>
      </c>
      <c r="AU6" s="258" t="s">
        <v>383</v>
      </c>
      <c r="AV6" s="258" t="s">
        <v>384</v>
      </c>
      <c r="AW6" s="258" t="s">
        <v>374</v>
      </c>
      <c r="AX6" s="389"/>
      <c r="AZ6" s="258" t="s">
        <v>374</v>
      </c>
      <c r="BA6" s="389"/>
    </row>
    <row r="7" spans="1:53" ht="14.25">
      <c r="A7" s="79"/>
      <c r="B7" s="389" t="s">
        <v>136</v>
      </c>
      <c r="C7" s="182">
        <v>1</v>
      </c>
      <c r="D7" s="203" t="s">
        <v>360</v>
      </c>
      <c r="E7" s="166">
        <v>7</v>
      </c>
      <c r="F7" s="182">
        <v>1500</v>
      </c>
      <c r="G7" s="180">
        <v>214.3</v>
      </c>
      <c r="H7" s="401">
        <f>AVERAGE(G7:G21)</f>
        <v>184.21428571428575</v>
      </c>
      <c r="I7" s="166">
        <f t="shared" ref="I7:I20" si="0">IFERROR(AVERAGE(P7,U7,Z7,AE7,AJ7,AO7,AT7),"-")</f>
        <v>7</v>
      </c>
      <c r="J7" s="166">
        <f t="shared" ref="J7:J20" si="1">IFERROR(AVERAGE(Q7,V7,AA7,AF7,AK7,AP7,AU7),"-")</f>
        <v>1476.1960482624743</v>
      </c>
      <c r="K7" s="180">
        <f t="shared" ref="K7:K20" si="2">IFERROR(AVERAGE(R7,W7,AB7,AG7,AL7,AQ7,AV7),"-")</f>
        <v>210.88514975178197</v>
      </c>
      <c r="L7" s="401">
        <f>IFERROR(AVERAGE(K7:K21),"-")</f>
        <v>179.52947949226444</v>
      </c>
      <c r="M7" s="181">
        <f>RANK(K7, K$7:$K$21)</f>
        <v>4</v>
      </c>
      <c r="N7" s="389"/>
      <c r="O7" s="389"/>
      <c r="P7" s="182">
        <v>7</v>
      </c>
      <c r="Q7" s="166">
        <v>1466.5116279069764</v>
      </c>
      <c r="R7" s="166">
        <v>209.50166112956805</v>
      </c>
      <c r="S7" s="182">
        <f t="shared" ref="S7:S21" si="3">RANK(R7, R$7:R$21)</f>
        <v>5</v>
      </c>
      <c r="T7" s="390">
        <f t="shared" ref="T7" si="4">AVERAGE(R7:R21)</f>
        <v>179.29371636736624</v>
      </c>
      <c r="U7" s="182">
        <v>7</v>
      </c>
      <c r="V7" s="166">
        <v>1458.0722891566268</v>
      </c>
      <c r="W7" s="166">
        <v>208.29604130808954</v>
      </c>
      <c r="X7" s="182">
        <f t="shared" ref="X7:X21" si="5">RANK(W7, W$7:W$21)</f>
        <v>4</v>
      </c>
      <c r="Y7" s="390">
        <f t="shared" ref="Y7" si="6">AVERAGE(W7:W21)</f>
        <v>177.04131544168459</v>
      </c>
      <c r="Z7" s="182">
        <v>7</v>
      </c>
      <c r="AA7" s="166">
        <v>1475.6756756756754</v>
      </c>
      <c r="AB7" s="166">
        <v>210.81081081081078</v>
      </c>
      <c r="AC7" s="182">
        <f t="shared" ref="AC7:AC21" si="7">RANK(AB7, AB$7:AB$21)</f>
        <v>4</v>
      </c>
      <c r="AD7" s="390">
        <f t="shared" ref="AD7" si="8">AVERAGE(AB7:AB21)</f>
        <v>179.50131027701258</v>
      </c>
      <c r="AE7" s="182">
        <v>7</v>
      </c>
      <c r="AF7" s="166">
        <v>1499.9999999999998</v>
      </c>
      <c r="AG7" s="166">
        <v>214.28571428571425</v>
      </c>
      <c r="AH7" s="182">
        <f t="shared" ref="AH7:AH21" si="9">RANK(AG7, AG$7:AG$21)</f>
        <v>2</v>
      </c>
      <c r="AI7" s="390">
        <f t="shared" ref="AI7" si="10">AVERAGE(AG7:AG21)</f>
        <v>179.85114250100415</v>
      </c>
      <c r="AJ7" s="182">
        <v>7</v>
      </c>
      <c r="AK7" s="166">
        <v>1484.25</v>
      </c>
      <c r="AL7" s="166">
        <v>212.03571428571428</v>
      </c>
      <c r="AM7" s="182">
        <f t="shared" ref="AM7:AM21" si="11">RANK(AL7, AL$7:AL$21)</f>
        <v>2</v>
      </c>
      <c r="AN7" s="390">
        <f t="shared" ref="AN7" si="12">AVERAGE(AL7:AL21)</f>
        <v>180.32374151103804</v>
      </c>
      <c r="AO7" s="182">
        <v>7</v>
      </c>
      <c r="AP7" s="166">
        <v>1491.5294117647063</v>
      </c>
      <c r="AQ7" s="166">
        <v>213.07563025210089</v>
      </c>
      <c r="AR7" s="182">
        <f t="shared" ref="AR7:AR21" si="13">RANK(AQ7, AQ$7:AQ$21)</f>
        <v>3</v>
      </c>
      <c r="AS7" s="390">
        <f t="shared" ref="AS7" si="14">AVERAGE(AQ7:AQ21)</f>
        <v>180.61689463963609</v>
      </c>
      <c r="AT7" s="182">
        <v>7</v>
      </c>
      <c r="AU7" s="166">
        <v>1457.3333333333333</v>
      </c>
      <c r="AV7" s="166">
        <v>208.19047619047618</v>
      </c>
      <c r="AW7" s="182">
        <f t="shared" ref="AW7:AW21" si="15">RANK(AV7, AV$7:AV$21)</f>
        <v>5</v>
      </c>
      <c r="AX7" s="390">
        <f t="shared" ref="AX7" si="16">AVERAGE(AV7:AV21)</f>
        <v>157.56845624459578</v>
      </c>
      <c r="AZ7" s="182" t="e">
        <f t="shared" ref="AZ7:AZ21" si="17">RANK(AY7, AY$7:AY$21)</f>
        <v>#N/A</v>
      </c>
      <c r="BA7" s="390" t="e">
        <f t="shared" ref="BA7" si="18">AVERAGE(AY7:AY21)</f>
        <v>#DIV/0!</v>
      </c>
    </row>
    <row r="8" spans="1:53" ht="15" customHeight="1">
      <c r="A8" s="79"/>
      <c r="B8" s="395"/>
      <c r="C8" s="182">
        <v>2</v>
      </c>
      <c r="D8" s="203" t="s">
        <v>361</v>
      </c>
      <c r="E8" s="166">
        <v>7</v>
      </c>
      <c r="F8" s="182">
        <v>1500</v>
      </c>
      <c r="G8" s="180">
        <v>214.3</v>
      </c>
      <c r="H8" s="402"/>
      <c r="I8" s="166">
        <f t="shared" si="0"/>
        <v>7</v>
      </c>
      <c r="J8" s="166">
        <f t="shared" si="1"/>
        <v>1479.4736650746631</v>
      </c>
      <c r="K8" s="180">
        <f t="shared" si="2"/>
        <v>211.35338072495185</v>
      </c>
      <c r="L8" s="402"/>
      <c r="M8" s="181">
        <f>RANK(K8, K$7:$K$21)</f>
        <v>3</v>
      </c>
      <c r="N8" s="389"/>
      <c r="O8" s="389"/>
      <c r="P8" s="182">
        <v>7</v>
      </c>
      <c r="Q8" s="166">
        <v>1494.1791044776119</v>
      </c>
      <c r="R8" s="166">
        <v>213.45415778251598</v>
      </c>
      <c r="S8" s="182">
        <f t="shared" si="3"/>
        <v>3</v>
      </c>
      <c r="T8" s="390"/>
      <c r="U8" s="182">
        <v>7</v>
      </c>
      <c r="V8" s="166">
        <v>1468.7603305785117</v>
      </c>
      <c r="W8" s="166">
        <v>209.82290436835882</v>
      </c>
      <c r="X8" s="182">
        <f t="shared" si="5"/>
        <v>3</v>
      </c>
      <c r="Y8" s="390"/>
      <c r="Z8" s="182">
        <v>7</v>
      </c>
      <c r="AA8" s="166">
        <v>1484.2105263157887</v>
      </c>
      <c r="AB8" s="166">
        <v>212.0300751879698</v>
      </c>
      <c r="AC8" s="182">
        <f t="shared" si="7"/>
        <v>3</v>
      </c>
      <c r="AD8" s="390"/>
      <c r="AE8" s="182">
        <v>7</v>
      </c>
      <c r="AF8" s="166">
        <v>1473.9823008849557</v>
      </c>
      <c r="AG8" s="166">
        <v>210.56890012642225</v>
      </c>
      <c r="AH8" s="182">
        <f t="shared" si="9"/>
        <v>4</v>
      </c>
      <c r="AI8" s="390"/>
      <c r="AJ8" s="182">
        <v>7</v>
      </c>
      <c r="AK8" s="166">
        <v>1474.4347826086957</v>
      </c>
      <c r="AL8" s="166">
        <v>210.63354037267081</v>
      </c>
      <c r="AM8" s="182">
        <f t="shared" si="11"/>
        <v>4</v>
      </c>
      <c r="AN8" s="390"/>
      <c r="AO8" s="182">
        <v>7</v>
      </c>
      <c r="AP8" s="166">
        <v>1476.0869565217392</v>
      </c>
      <c r="AQ8" s="166">
        <v>210.86956521739131</v>
      </c>
      <c r="AR8" s="182">
        <f t="shared" si="13"/>
        <v>4</v>
      </c>
      <c r="AS8" s="390"/>
      <c r="AT8" s="182">
        <v>7</v>
      </c>
      <c r="AU8" s="166">
        <v>1484.6616541353374</v>
      </c>
      <c r="AV8" s="166">
        <v>212.09452201933391</v>
      </c>
      <c r="AW8" s="182">
        <f t="shared" si="15"/>
        <v>3</v>
      </c>
      <c r="AX8" s="390"/>
      <c r="AZ8" s="182" t="e">
        <f t="shared" si="17"/>
        <v>#N/A</v>
      </c>
      <c r="BA8" s="390"/>
    </row>
    <row r="9" spans="1:53" ht="14.25">
      <c r="A9" s="79"/>
      <c r="B9" s="395"/>
      <c r="C9" s="182">
        <v>3</v>
      </c>
      <c r="D9" s="203" t="s">
        <v>331</v>
      </c>
      <c r="E9" s="166">
        <v>20</v>
      </c>
      <c r="F9" s="182">
        <v>1500</v>
      </c>
      <c r="G9" s="180">
        <v>75</v>
      </c>
      <c r="H9" s="402"/>
      <c r="I9" s="166">
        <f t="shared" si="0"/>
        <v>18.285714285714285</v>
      </c>
      <c r="J9" s="166">
        <f t="shared" si="1"/>
        <v>1314.2192450310924</v>
      </c>
      <c r="K9" s="180">
        <f t="shared" si="2"/>
        <v>71.935672342997208</v>
      </c>
      <c r="L9" s="402"/>
      <c r="M9" s="181">
        <f>RANK(K9, K$7:$K$21)</f>
        <v>7</v>
      </c>
      <c r="N9" s="389"/>
      <c r="O9" s="389"/>
      <c r="P9" s="182">
        <v>18</v>
      </c>
      <c r="Q9" s="166">
        <v>1278.3214285714266</v>
      </c>
      <c r="R9" s="166">
        <v>71.017857142857039</v>
      </c>
      <c r="S9" s="182">
        <f t="shared" si="3"/>
        <v>7</v>
      </c>
      <c r="T9" s="390"/>
      <c r="U9" s="182">
        <v>20</v>
      </c>
      <c r="V9" s="166">
        <v>1356.3999999999999</v>
      </c>
      <c r="W9" s="166">
        <v>67.819999999999993</v>
      </c>
      <c r="X9" s="182">
        <f t="shared" si="5"/>
        <v>7</v>
      </c>
      <c r="Y9" s="390"/>
      <c r="Z9" s="182">
        <v>18</v>
      </c>
      <c r="AA9" s="166">
        <v>1321.9232142857131</v>
      </c>
      <c r="AB9" s="166">
        <v>73.440178571428504</v>
      </c>
      <c r="AC9" s="182">
        <f t="shared" si="7"/>
        <v>7</v>
      </c>
      <c r="AD9" s="390"/>
      <c r="AE9" s="182">
        <v>18</v>
      </c>
      <c r="AF9" s="166">
        <v>1290.9692307692301</v>
      </c>
      <c r="AG9" s="166">
        <v>71.720512820512781</v>
      </c>
      <c r="AH9" s="182">
        <f t="shared" si="9"/>
        <v>7</v>
      </c>
      <c r="AI9" s="390"/>
      <c r="AJ9" s="182">
        <v>18</v>
      </c>
      <c r="AK9" s="166">
        <v>1331.705357142856</v>
      </c>
      <c r="AL9" s="166">
        <v>73.983630952380892</v>
      </c>
      <c r="AM9" s="182">
        <f t="shared" si="11"/>
        <v>7</v>
      </c>
      <c r="AN9" s="390"/>
      <c r="AO9" s="182">
        <v>18</v>
      </c>
      <c r="AP9" s="166">
        <v>1330.6788990825685</v>
      </c>
      <c r="AQ9" s="166">
        <v>73.926605504587144</v>
      </c>
      <c r="AR9" s="182">
        <f t="shared" si="13"/>
        <v>7</v>
      </c>
      <c r="AS9" s="390"/>
      <c r="AT9" s="182">
        <v>18</v>
      </c>
      <c r="AU9" s="166">
        <v>1289.5365853658532</v>
      </c>
      <c r="AV9" s="166">
        <v>71.640921409214059</v>
      </c>
      <c r="AW9" s="182">
        <f t="shared" si="15"/>
        <v>7</v>
      </c>
      <c r="AX9" s="390"/>
      <c r="AZ9" s="182" t="e">
        <f t="shared" si="17"/>
        <v>#N/A</v>
      </c>
      <c r="BA9" s="390"/>
    </row>
    <row r="10" spans="1:53" ht="14.25">
      <c r="A10" s="79"/>
      <c r="B10" s="395"/>
      <c r="C10" s="182">
        <v>4</v>
      </c>
      <c r="D10" s="203" t="s">
        <v>362</v>
      </c>
      <c r="E10" s="166">
        <v>16</v>
      </c>
      <c r="F10" s="182">
        <v>1440</v>
      </c>
      <c r="G10" s="180">
        <v>84.7</v>
      </c>
      <c r="H10" s="402"/>
      <c r="I10" s="166">
        <f t="shared" si="0"/>
        <v>16</v>
      </c>
      <c r="J10" s="166">
        <f t="shared" si="1"/>
        <v>1380.3845941147279</v>
      </c>
      <c r="K10" s="180">
        <f t="shared" si="2"/>
        <v>86.274037132170491</v>
      </c>
      <c r="L10" s="402"/>
      <c r="M10" s="181">
        <f>RANK(K10, K$7:$K$21)</f>
        <v>6</v>
      </c>
      <c r="N10" s="389"/>
      <c r="O10" s="389"/>
      <c r="P10" s="182">
        <v>16</v>
      </c>
      <c r="Q10" s="166">
        <v>1389.4426229508192</v>
      </c>
      <c r="R10" s="166">
        <v>86.840163934426201</v>
      </c>
      <c r="S10" s="182">
        <f t="shared" si="3"/>
        <v>6</v>
      </c>
      <c r="T10" s="390"/>
      <c r="U10" s="182">
        <v>16</v>
      </c>
      <c r="V10" s="166">
        <v>1362.6666666666672</v>
      </c>
      <c r="W10" s="166">
        <v>85.1666666666667</v>
      </c>
      <c r="X10" s="182">
        <f t="shared" si="5"/>
        <v>6</v>
      </c>
      <c r="Y10" s="390"/>
      <c r="Z10" s="182">
        <v>16</v>
      </c>
      <c r="AA10" s="166">
        <v>1379.9999999999998</v>
      </c>
      <c r="AB10" s="166">
        <v>86.249999999999986</v>
      </c>
      <c r="AC10" s="182">
        <f t="shared" si="7"/>
        <v>6</v>
      </c>
      <c r="AD10" s="390"/>
      <c r="AE10" s="182">
        <v>16</v>
      </c>
      <c r="AF10" s="166">
        <v>1374.4615384615381</v>
      </c>
      <c r="AG10" s="166">
        <v>85.903846153846132</v>
      </c>
      <c r="AH10" s="182">
        <f t="shared" si="9"/>
        <v>6</v>
      </c>
      <c r="AI10" s="390"/>
      <c r="AJ10" s="182">
        <v>16</v>
      </c>
      <c r="AK10" s="166">
        <v>1396.0000000000007</v>
      </c>
      <c r="AL10" s="166">
        <v>87.250000000000043</v>
      </c>
      <c r="AM10" s="182">
        <f t="shared" si="11"/>
        <v>6</v>
      </c>
      <c r="AN10" s="390"/>
      <c r="AO10" s="182">
        <v>16</v>
      </c>
      <c r="AP10" s="166">
        <v>1404.2857142857138</v>
      </c>
      <c r="AQ10" s="166">
        <v>87.76785714285711</v>
      </c>
      <c r="AR10" s="182">
        <f t="shared" si="13"/>
        <v>6</v>
      </c>
      <c r="AS10" s="390"/>
      <c r="AT10" s="182">
        <v>16</v>
      </c>
      <c r="AU10" s="166">
        <v>1355.8356164383565</v>
      </c>
      <c r="AV10" s="166">
        <v>84.739726027397282</v>
      </c>
      <c r="AW10" s="182">
        <f t="shared" si="15"/>
        <v>6</v>
      </c>
      <c r="AX10" s="390"/>
      <c r="AZ10" s="182" t="e">
        <f t="shared" si="17"/>
        <v>#N/A</v>
      </c>
      <c r="BA10" s="390"/>
    </row>
    <row r="11" spans="1:53" ht="14.25">
      <c r="A11" s="79"/>
      <c r="B11" s="395"/>
      <c r="C11" s="182">
        <v>5</v>
      </c>
      <c r="D11" s="203" t="s">
        <v>400</v>
      </c>
      <c r="E11" s="166">
        <v>7</v>
      </c>
      <c r="F11" s="182">
        <v>1500</v>
      </c>
      <c r="G11" s="180">
        <v>214.3</v>
      </c>
      <c r="H11" s="402"/>
      <c r="I11" s="166">
        <f t="shared" si="0"/>
        <v>7</v>
      </c>
      <c r="J11" s="166">
        <f t="shared" si="1"/>
        <v>1491.4931125551261</v>
      </c>
      <c r="K11" s="180">
        <f t="shared" si="2"/>
        <v>213.0704446507323</v>
      </c>
      <c r="L11" s="402"/>
      <c r="M11" s="181">
        <f>RANK(K11, K$7:$K$21)</f>
        <v>2</v>
      </c>
      <c r="N11" s="389"/>
      <c r="O11" s="389"/>
      <c r="P11" s="182">
        <v>7</v>
      </c>
      <c r="Q11" s="166">
        <v>1495.7142857142853</v>
      </c>
      <c r="R11" s="166">
        <v>213.67346938775503</v>
      </c>
      <c r="S11" s="182">
        <f t="shared" si="3"/>
        <v>2</v>
      </c>
      <c r="T11" s="390"/>
      <c r="U11" s="182">
        <v>7</v>
      </c>
      <c r="V11" s="166">
        <v>1496.4963503649635</v>
      </c>
      <c r="W11" s="166">
        <v>213.78519290928051</v>
      </c>
      <c r="X11" s="182">
        <f t="shared" si="5"/>
        <v>2</v>
      </c>
      <c r="Y11" s="390"/>
      <c r="Z11" s="182">
        <v>7</v>
      </c>
      <c r="AA11" s="166">
        <v>1489.4444444444441</v>
      </c>
      <c r="AB11" s="166">
        <v>212.77777777777774</v>
      </c>
      <c r="AC11" s="182">
        <f t="shared" si="7"/>
        <v>2</v>
      </c>
      <c r="AD11" s="390"/>
      <c r="AE11" s="182">
        <v>7</v>
      </c>
      <c r="AF11" s="166">
        <v>1498.3018867924525</v>
      </c>
      <c r="AG11" s="166">
        <v>214.04312668463606</v>
      </c>
      <c r="AH11" s="182">
        <f t="shared" si="9"/>
        <v>3</v>
      </c>
      <c r="AI11" s="390"/>
      <c r="AJ11" s="182">
        <v>7</v>
      </c>
      <c r="AK11" s="166">
        <v>1471.1320754716976</v>
      </c>
      <c r="AL11" s="166">
        <v>210.16172506738536</v>
      </c>
      <c r="AM11" s="182">
        <f t="shared" si="11"/>
        <v>5</v>
      </c>
      <c r="AN11" s="390"/>
      <c r="AO11" s="182">
        <v>7</v>
      </c>
      <c r="AP11" s="166">
        <v>1496.8627450980391</v>
      </c>
      <c r="AQ11" s="166">
        <v>213.8375350140056</v>
      </c>
      <c r="AR11" s="182">
        <f t="shared" si="13"/>
        <v>2</v>
      </c>
      <c r="AS11" s="390"/>
      <c r="AT11" s="182">
        <v>7</v>
      </c>
      <c r="AU11" s="166">
        <v>1492.5</v>
      </c>
      <c r="AV11" s="166">
        <v>213.21428571428572</v>
      </c>
      <c r="AW11" s="182">
        <f t="shared" si="15"/>
        <v>2</v>
      </c>
      <c r="AX11" s="390"/>
      <c r="AZ11" s="182" t="e">
        <f t="shared" si="17"/>
        <v>#N/A</v>
      </c>
      <c r="BA11" s="390"/>
    </row>
    <row r="12" spans="1:53" ht="14.25">
      <c r="A12" s="79"/>
      <c r="B12" s="395"/>
      <c r="C12" s="182">
        <v>6</v>
      </c>
      <c r="D12" s="203" t="s">
        <v>615</v>
      </c>
      <c r="E12" s="166">
        <v>6</v>
      </c>
      <c r="F12" s="182">
        <v>1636</v>
      </c>
      <c r="G12" s="180">
        <v>272.60000000000002</v>
      </c>
      <c r="H12" s="402"/>
      <c r="I12" s="166">
        <f t="shared" si="0"/>
        <v>6</v>
      </c>
      <c r="J12" s="166">
        <f t="shared" si="1"/>
        <v>1524.5559550684409</v>
      </c>
      <c r="K12" s="180">
        <f t="shared" si="2"/>
        <v>254.09265917807346</v>
      </c>
      <c r="L12" s="402"/>
      <c r="M12" s="181">
        <f>RANK(K12, K$7:$K$21)</f>
        <v>1</v>
      </c>
      <c r="N12" s="389"/>
      <c r="O12" s="389"/>
      <c r="P12" s="182">
        <v>6</v>
      </c>
      <c r="Q12" s="166">
        <v>1493.6585365853664</v>
      </c>
      <c r="R12" s="166">
        <v>248.94308943089439</v>
      </c>
      <c r="S12" s="182">
        <f t="shared" si="3"/>
        <v>1</v>
      </c>
      <c r="T12" s="390"/>
      <c r="U12" s="182">
        <v>6</v>
      </c>
      <c r="V12" s="166">
        <v>1489.0434782608697</v>
      </c>
      <c r="W12" s="166">
        <v>248.17391304347828</v>
      </c>
      <c r="X12" s="182">
        <f t="shared" si="5"/>
        <v>1</v>
      </c>
      <c r="Y12" s="390"/>
      <c r="Z12" s="182">
        <v>6</v>
      </c>
      <c r="AA12" s="166">
        <v>1513.8947368421057</v>
      </c>
      <c r="AB12" s="166">
        <v>252.31578947368428</v>
      </c>
      <c r="AC12" s="182">
        <f t="shared" si="7"/>
        <v>1</v>
      </c>
      <c r="AD12" s="390"/>
      <c r="AE12" s="182">
        <v>6</v>
      </c>
      <c r="AF12" s="166">
        <v>1538.901098901099</v>
      </c>
      <c r="AG12" s="166">
        <v>256.4835164835165</v>
      </c>
      <c r="AH12" s="182">
        <f t="shared" si="9"/>
        <v>1</v>
      </c>
      <c r="AI12" s="390"/>
      <c r="AJ12" s="182">
        <v>6</v>
      </c>
      <c r="AK12" s="166">
        <v>1540.4210526315792</v>
      </c>
      <c r="AL12" s="166">
        <v>256.73684210526318</v>
      </c>
      <c r="AM12" s="182">
        <f t="shared" si="11"/>
        <v>1</v>
      </c>
      <c r="AN12" s="390"/>
      <c r="AO12" s="182">
        <v>6</v>
      </c>
      <c r="AP12" s="166">
        <v>1541.1290322580651</v>
      </c>
      <c r="AQ12" s="166">
        <v>256.85483870967749</v>
      </c>
      <c r="AR12" s="182">
        <f t="shared" si="13"/>
        <v>1</v>
      </c>
      <c r="AS12" s="390"/>
      <c r="AT12" s="182">
        <v>6</v>
      </c>
      <c r="AU12" s="166">
        <v>1554.8437499999995</v>
      </c>
      <c r="AV12" s="166">
        <v>259.14062499999994</v>
      </c>
      <c r="AW12" s="182">
        <f t="shared" si="15"/>
        <v>1</v>
      </c>
      <c r="AX12" s="390"/>
      <c r="AZ12" s="182" t="e">
        <f t="shared" si="17"/>
        <v>#N/A</v>
      </c>
      <c r="BA12" s="390"/>
    </row>
    <row r="13" spans="1:53" ht="14.25">
      <c r="A13" s="79"/>
      <c r="B13" s="395"/>
      <c r="C13" s="182">
        <v>7</v>
      </c>
      <c r="D13" s="203" t="s">
        <v>594</v>
      </c>
      <c r="E13" s="166">
        <v>7</v>
      </c>
      <c r="F13" s="182">
        <v>1500</v>
      </c>
      <c r="G13" s="180">
        <v>214.3</v>
      </c>
      <c r="H13" s="402"/>
      <c r="I13" s="166">
        <f t="shared" si="0"/>
        <v>7</v>
      </c>
      <c r="J13" s="166">
        <f t="shared" si="1"/>
        <v>1463.6650886560067</v>
      </c>
      <c r="K13" s="180">
        <f t="shared" si="2"/>
        <v>209.0950126651438</v>
      </c>
      <c r="L13" s="402"/>
      <c r="M13" s="181">
        <f>RANK(K13, K$7:$K$21)</f>
        <v>5</v>
      </c>
      <c r="N13" s="389"/>
      <c r="O13" s="389"/>
      <c r="P13" s="182">
        <v>7</v>
      </c>
      <c r="Q13" s="166">
        <v>1481.3793103448274</v>
      </c>
      <c r="R13" s="166">
        <v>211.62561576354679</v>
      </c>
      <c r="S13" s="182">
        <f t="shared" si="3"/>
        <v>4</v>
      </c>
      <c r="T13" s="390"/>
      <c r="U13" s="182">
        <v>7</v>
      </c>
      <c r="V13" s="166">
        <v>1443.5714285714282</v>
      </c>
      <c r="W13" s="166">
        <v>206.22448979591832</v>
      </c>
      <c r="X13" s="182">
        <f t="shared" si="5"/>
        <v>5</v>
      </c>
      <c r="Y13" s="390"/>
      <c r="Z13" s="182">
        <v>7</v>
      </c>
      <c r="AA13" s="166">
        <v>1462.191780821918</v>
      </c>
      <c r="AB13" s="166">
        <v>208.88454011741686</v>
      </c>
      <c r="AC13" s="182">
        <f t="shared" si="7"/>
        <v>5</v>
      </c>
      <c r="AD13" s="390"/>
      <c r="AE13" s="182">
        <v>7</v>
      </c>
      <c r="AF13" s="166">
        <v>1441.666666666667</v>
      </c>
      <c r="AG13" s="166">
        <v>205.95238095238099</v>
      </c>
      <c r="AH13" s="182">
        <f t="shared" si="9"/>
        <v>5</v>
      </c>
      <c r="AI13" s="390"/>
      <c r="AJ13" s="182">
        <v>7</v>
      </c>
      <c r="AK13" s="166">
        <v>1480.2531645569627</v>
      </c>
      <c r="AL13" s="166">
        <v>211.46473779385181</v>
      </c>
      <c r="AM13" s="182">
        <f t="shared" si="11"/>
        <v>3</v>
      </c>
      <c r="AN13" s="390"/>
      <c r="AO13" s="182">
        <v>7</v>
      </c>
      <c r="AP13" s="166">
        <v>1455.9036144578308</v>
      </c>
      <c r="AQ13" s="166">
        <v>207.98623063683297</v>
      </c>
      <c r="AR13" s="182">
        <f t="shared" si="13"/>
        <v>5</v>
      </c>
      <c r="AS13" s="390"/>
      <c r="AT13" s="182">
        <v>7</v>
      </c>
      <c r="AU13" s="166">
        <v>1480.6896551724135</v>
      </c>
      <c r="AV13" s="166">
        <v>211.52709359605907</v>
      </c>
      <c r="AW13" s="182">
        <f t="shared" si="15"/>
        <v>4</v>
      </c>
      <c r="AX13" s="390"/>
      <c r="AZ13" s="182" t="e">
        <f t="shared" si="17"/>
        <v>#N/A</v>
      </c>
      <c r="BA13" s="390"/>
    </row>
    <row r="14" spans="1:53" ht="14.25">
      <c r="A14" s="79"/>
      <c r="B14" s="395"/>
      <c r="C14" s="182">
        <v>8</v>
      </c>
      <c r="D14" s="203"/>
      <c r="E14" s="166"/>
      <c r="F14" s="182"/>
      <c r="G14" s="180"/>
      <c r="H14" s="402"/>
      <c r="I14" s="166" t="str">
        <f t="shared" si="0"/>
        <v>-</v>
      </c>
      <c r="J14" s="166" t="str">
        <f t="shared" si="1"/>
        <v>-</v>
      </c>
      <c r="K14" s="180" t="str">
        <f t="shared" si="2"/>
        <v>-</v>
      </c>
      <c r="L14" s="402"/>
      <c r="M14" s="181" t="e">
        <f>RANK(K14, K$7:$K$21)</f>
        <v>#VALUE!</v>
      </c>
      <c r="N14" s="389"/>
      <c r="O14" s="389"/>
      <c r="P14" s="182" t="s">
        <v>634</v>
      </c>
      <c r="Q14" s="166" t="s">
        <v>634</v>
      </c>
      <c r="R14" s="166" t="s">
        <v>634</v>
      </c>
      <c r="S14" s="182" t="e">
        <f t="shared" si="3"/>
        <v>#VALUE!</v>
      </c>
      <c r="T14" s="390"/>
      <c r="U14" s="182" t="s">
        <v>634</v>
      </c>
      <c r="V14" s="166" t="s">
        <v>634</v>
      </c>
      <c r="W14" s="166" t="s">
        <v>634</v>
      </c>
      <c r="X14" s="182" t="e">
        <f t="shared" si="5"/>
        <v>#VALUE!</v>
      </c>
      <c r="Y14" s="390"/>
      <c r="Z14" s="182" t="s">
        <v>634</v>
      </c>
      <c r="AA14" s="166" t="s">
        <v>634</v>
      </c>
      <c r="AB14" s="166" t="s">
        <v>634</v>
      </c>
      <c r="AC14" s="182" t="e">
        <f t="shared" si="7"/>
        <v>#VALUE!</v>
      </c>
      <c r="AD14" s="390"/>
      <c r="AE14" s="182" t="s">
        <v>634</v>
      </c>
      <c r="AF14" s="166" t="s">
        <v>634</v>
      </c>
      <c r="AG14" s="166" t="s">
        <v>634</v>
      </c>
      <c r="AH14" s="182" t="e">
        <f t="shared" si="9"/>
        <v>#VALUE!</v>
      </c>
      <c r="AI14" s="390"/>
      <c r="AJ14" s="182" t="s">
        <v>634</v>
      </c>
      <c r="AK14" s="166" t="s">
        <v>634</v>
      </c>
      <c r="AL14" s="166" t="s">
        <v>634</v>
      </c>
      <c r="AM14" s="182" t="e">
        <f t="shared" si="11"/>
        <v>#VALUE!</v>
      </c>
      <c r="AN14" s="390"/>
      <c r="AO14" s="182" t="s">
        <v>634</v>
      </c>
      <c r="AP14" s="166" t="s">
        <v>634</v>
      </c>
      <c r="AQ14" s="166" t="s">
        <v>634</v>
      </c>
      <c r="AR14" s="182" t="e">
        <f t="shared" si="13"/>
        <v>#VALUE!</v>
      </c>
      <c r="AS14" s="390"/>
      <c r="AT14" s="182" t="s">
        <v>634</v>
      </c>
      <c r="AU14" s="166" t="s">
        <v>634</v>
      </c>
      <c r="AV14" s="166" t="s">
        <v>634</v>
      </c>
      <c r="AW14" s="182" t="e">
        <f t="shared" si="15"/>
        <v>#VALUE!</v>
      </c>
      <c r="AX14" s="390"/>
      <c r="AZ14" s="182" t="e">
        <f t="shared" si="17"/>
        <v>#N/A</v>
      </c>
      <c r="BA14" s="390"/>
    </row>
    <row r="15" spans="1:53" ht="14.25">
      <c r="A15" s="79"/>
      <c r="B15" s="395"/>
      <c r="C15" s="182">
        <v>9</v>
      </c>
      <c r="D15" s="203"/>
      <c r="E15" s="166"/>
      <c r="F15" s="182"/>
      <c r="G15" s="180"/>
      <c r="H15" s="402"/>
      <c r="I15" s="166" t="str">
        <f t="shared" si="0"/>
        <v>-</v>
      </c>
      <c r="J15" s="166" t="str">
        <f t="shared" si="1"/>
        <v>-</v>
      </c>
      <c r="K15" s="180" t="str">
        <f t="shared" si="2"/>
        <v>-</v>
      </c>
      <c r="L15" s="402"/>
      <c r="M15" s="181" t="e">
        <f>RANK(K15, K$7:$K$21)</f>
        <v>#VALUE!</v>
      </c>
      <c r="N15" s="389"/>
      <c r="O15" s="389"/>
      <c r="P15" s="182" t="s">
        <v>634</v>
      </c>
      <c r="Q15" s="166" t="s">
        <v>634</v>
      </c>
      <c r="R15" s="166" t="s">
        <v>634</v>
      </c>
      <c r="S15" s="182" t="e">
        <f t="shared" si="3"/>
        <v>#VALUE!</v>
      </c>
      <c r="T15" s="390"/>
      <c r="U15" s="182" t="s">
        <v>634</v>
      </c>
      <c r="V15" s="166" t="s">
        <v>634</v>
      </c>
      <c r="W15" s="166" t="s">
        <v>634</v>
      </c>
      <c r="X15" s="182" t="e">
        <f t="shared" si="5"/>
        <v>#VALUE!</v>
      </c>
      <c r="Y15" s="390"/>
      <c r="Z15" s="182" t="s">
        <v>634</v>
      </c>
      <c r="AA15" s="166" t="s">
        <v>634</v>
      </c>
      <c r="AB15" s="166" t="s">
        <v>634</v>
      </c>
      <c r="AC15" s="182" t="e">
        <f t="shared" si="7"/>
        <v>#VALUE!</v>
      </c>
      <c r="AD15" s="390"/>
      <c r="AE15" s="182" t="s">
        <v>634</v>
      </c>
      <c r="AF15" s="166" t="s">
        <v>634</v>
      </c>
      <c r="AG15" s="166" t="s">
        <v>634</v>
      </c>
      <c r="AH15" s="182" t="e">
        <f t="shared" si="9"/>
        <v>#VALUE!</v>
      </c>
      <c r="AI15" s="390"/>
      <c r="AJ15" s="182" t="s">
        <v>634</v>
      </c>
      <c r="AK15" s="166" t="s">
        <v>634</v>
      </c>
      <c r="AL15" s="166" t="s">
        <v>634</v>
      </c>
      <c r="AM15" s="182" t="e">
        <f t="shared" si="11"/>
        <v>#VALUE!</v>
      </c>
      <c r="AN15" s="390"/>
      <c r="AO15" s="182" t="s">
        <v>634</v>
      </c>
      <c r="AP15" s="166" t="s">
        <v>634</v>
      </c>
      <c r="AQ15" s="166" t="s">
        <v>634</v>
      </c>
      <c r="AR15" s="182" t="e">
        <f t="shared" si="13"/>
        <v>#VALUE!</v>
      </c>
      <c r="AS15" s="390"/>
      <c r="AT15" s="182" t="s">
        <v>634</v>
      </c>
      <c r="AU15" s="166" t="s">
        <v>634</v>
      </c>
      <c r="AV15" s="166" t="s">
        <v>634</v>
      </c>
      <c r="AW15" s="182" t="e">
        <f t="shared" si="15"/>
        <v>#VALUE!</v>
      </c>
      <c r="AX15" s="390"/>
      <c r="AZ15" s="182" t="e">
        <f t="shared" si="17"/>
        <v>#N/A</v>
      </c>
      <c r="BA15" s="390"/>
    </row>
    <row r="16" spans="1:53" ht="14.25">
      <c r="A16" s="79"/>
      <c r="B16" s="395"/>
      <c r="C16" s="182">
        <v>10</v>
      </c>
      <c r="D16" s="203"/>
      <c r="E16" s="166"/>
      <c r="F16" s="182"/>
      <c r="G16" s="180"/>
      <c r="H16" s="402"/>
      <c r="I16" s="166" t="str">
        <f t="shared" si="0"/>
        <v>-</v>
      </c>
      <c r="J16" s="166" t="str">
        <f t="shared" si="1"/>
        <v>-</v>
      </c>
      <c r="K16" s="180" t="str">
        <f t="shared" si="2"/>
        <v>-</v>
      </c>
      <c r="L16" s="402"/>
      <c r="M16" s="181" t="e">
        <f>RANK(K16, K$7:$K$21)</f>
        <v>#VALUE!</v>
      </c>
      <c r="N16" s="389"/>
      <c r="O16" s="389"/>
      <c r="P16" s="182" t="s">
        <v>634</v>
      </c>
      <c r="Q16" s="166" t="s">
        <v>634</v>
      </c>
      <c r="R16" s="166" t="s">
        <v>634</v>
      </c>
      <c r="S16" s="182" t="e">
        <f t="shared" si="3"/>
        <v>#VALUE!</v>
      </c>
      <c r="T16" s="390"/>
      <c r="U16" s="182" t="s">
        <v>634</v>
      </c>
      <c r="V16" s="166" t="s">
        <v>634</v>
      </c>
      <c r="W16" s="166" t="s">
        <v>634</v>
      </c>
      <c r="X16" s="182" t="e">
        <f t="shared" si="5"/>
        <v>#VALUE!</v>
      </c>
      <c r="Y16" s="390"/>
      <c r="Z16" s="182" t="s">
        <v>634</v>
      </c>
      <c r="AA16" s="166" t="s">
        <v>634</v>
      </c>
      <c r="AB16" s="166" t="s">
        <v>634</v>
      </c>
      <c r="AC16" s="182" t="e">
        <f t="shared" si="7"/>
        <v>#VALUE!</v>
      </c>
      <c r="AD16" s="390"/>
      <c r="AE16" s="182" t="s">
        <v>634</v>
      </c>
      <c r="AF16" s="166" t="s">
        <v>634</v>
      </c>
      <c r="AG16" s="166" t="s">
        <v>634</v>
      </c>
      <c r="AH16" s="182" t="e">
        <f t="shared" si="9"/>
        <v>#VALUE!</v>
      </c>
      <c r="AI16" s="390"/>
      <c r="AJ16" s="182" t="s">
        <v>634</v>
      </c>
      <c r="AK16" s="166" t="s">
        <v>634</v>
      </c>
      <c r="AL16" s="166" t="s">
        <v>634</v>
      </c>
      <c r="AM16" s="182" t="e">
        <f t="shared" si="11"/>
        <v>#VALUE!</v>
      </c>
      <c r="AN16" s="390"/>
      <c r="AO16" s="182" t="s">
        <v>634</v>
      </c>
      <c r="AP16" s="166" t="s">
        <v>634</v>
      </c>
      <c r="AQ16" s="166" t="s">
        <v>634</v>
      </c>
      <c r="AR16" s="182" t="e">
        <f t="shared" si="13"/>
        <v>#VALUE!</v>
      </c>
      <c r="AS16" s="390"/>
      <c r="AT16" s="182" t="s">
        <v>634</v>
      </c>
      <c r="AU16" s="166" t="s">
        <v>634</v>
      </c>
      <c r="AV16" s="166" t="s">
        <v>634</v>
      </c>
      <c r="AW16" s="182" t="e">
        <f t="shared" si="15"/>
        <v>#VALUE!</v>
      </c>
      <c r="AX16" s="390"/>
      <c r="AZ16" s="182" t="e">
        <f t="shared" si="17"/>
        <v>#N/A</v>
      </c>
      <c r="BA16" s="390"/>
    </row>
    <row r="17" spans="2:53">
      <c r="B17" s="395"/>
      <c r="C17" s="182">
        <v>11</v>
      </c>
      <c r="D17" s="203"/>
      <c r="E17" s="166"/>
      <c r="F17" s="182"/>
      <c r="G17" s="180"/>
      <c r="H17" s="402"/>
      <c r="I17" s="166" t="str">
        <f t="shared" si="0"/>
        <v>-</v>
      </c>
      <c r="J17" s="166" t="str">
        <f t="shared" si="1"/>
        <v>-</v>
      </c>
      <c r="K17" s="180" t="str">
        <f t="shared" si="2"/>
        <v>-</v>
      </c>
      <c r="L17" s="402"/>
      <c r="M17" s="181" t="e">
        <f>RANK(K17, K$7:$K$21)</f>
        <v>#VALUE!</v>
      </c>
      <c r="N17" s="389"/>
      <c r="O17" s="389"/>
      <c r="P17" s="182" t="s">
        <v>634</v>
      </c>
      <c r="Q17" s="166" t="s">
        <v>634</v>
      </c>
      <c r="R17" s="166" t="s">
        <v>634</v>
      </c>
      <c r="S17" s="182" t="e">
        <f t="shared" si="3"/>
        <v>#VALUE!</v>
      </c>
      <c r="T17" s="390"/>
      <c r="U17" s="182" t="s">
        <v>634</v>
      </c>
      <c r="V17" s="166" t="s">
        <v>634</v>
      </c>
      <c r="W17" s="166" t="s">
        <v>634</v>
      </c>
      <c r="X17" s="182" t="e">
        <f t="shared" si="5"/>
        <v>#VALUE!</v>
      </c>
      <c r="Y17" s="390"/>
      <c r="Z17" s="182" t="s">
        <v>634</v>
      </c>
      <c r="AA17" s="166" t="s">
        <v>634</v>
      </c>
      <c r="AB17" s="166" t="s">
        <v>634</v>
      </c>
      <c r="AC17" s="182" t="e">
        <f t="shared" si="7"/>
        <v>#VALUE!</v>
      </c>
      <c r="AD17" s="390"/>
      <c r="AE17" s="182" t="s">
        <v>634</v>
      </c>
      <c r="AF17" s="166" t="s">
        <v>634</v>
      </c>
      <c r="AG17" s="166" t="s">
        <v>634</v>
      </c>
      <c r="AH17" s="182" t="e">
        <f t="shared" si="9"/>
        <v>#VALUE!</v>
      </c>
      <c r="AI17" s="390"/>
      <c r="AJ17" s="182" t="s">
        <v>634</v>
      </c>
      <c r="AK17" s="166" t="s">
        <v>634</v>
      </c>
      <c r="AL17" s="166" t="s">
        <v>634</v>
      </c>
      <c r="AM17" s="182" t="e">
        <f t="shared" si="11"/>
        <v>#VALUE!</v>
      </c>
      <c r="AN17" s="390"/>
      <c r="AO17" s="182" t="s">
        <v>634</v>
      </c>
      <c r="AP17" s="166" t="s">
        <v>634</v>
      </c>
      <c r="AQ17" s="166" t="s">
        <v>634</v>
      </c>
      <c r="AR17" s="182" t="e">
        <f t="shared" si="13"/>
        <v>#VALUE!</v>
      </c>
      <c r="AS17" s="390"/>
      <c r="AT17" s="182" t="s">
        <v>634</v>
      </c>
      <c r="AU17" s="166" t="s">
        <v>634</v>
      </c>
      <c r="AV17" s="166" t="s">
        <v>634</v>
      </c>
      <c r="AW17" s="182" t="e">
        <f t="shared" si="15"/>
        <v>#VALUE!</v>
      </c>
      <c r="AX17" s="390"/>
      <c r="AZ17" s="182" t="e">
        <f t="shared" si="17"/>
        <v>#N/A</v>
      </c>
      <c r="BA17" s="390"/>
    </row>
    <row r="18" spans="2:53">
      <c r="B18" s="395"/>
      <c r="C18" s="182">
        <v>12</v>
      </c>
      <c r="D18" s="203"/>
      <c r="E18" s="166"/>
      <c r="F18" s="182"/>
      <c r="G18" s="180"/>
      <c r="H18" s="402"/>
      <c r="I18" s="166" t="str">
        <f t="shared" si="0"/>
        <v>-</v>
      </c>
      <c r="J18" s="166" t="str">
        <f t="shared" si="1"/>
        <v>-</v>
      </c>
      <c r="K18" s="180" t="str">
        <f t="shared" si="2"/>
        <v>-</v>
      </c>
      <c r="L18" s="402"/>
      <c r="M18" s="181" t="e">
        <f>RANK(K18, K$7:$K$21)</f>
        <v>#VALUE!</v>
      </c>
      <c r="N18" s="389"/>
      <c r="O18" s="389"/>
      <c r="P18" s="182" t="s">
        <v>634</v>
      </c>
      <c r="Q18" s="166" t="s">
        <v>634</v>
      </c>
      <c r="R18" s="166" t="s">
        <v>634</v>
      </c>
      <c r="S18" s="182" t="e">
        <f t="shared" si="3"/>
        <v>#VALUE!</v>
      </c>
      <c r="T18" s="390"/>
      <c r="U18" s="182" t="s">
        <v>634</v>
      </c>
      <c r="V18" s="166" t="s">
        <v>634</v>
      </c>
      <c r="W18" s="166" t="s">
        <v>634</v>
      </c>
      <c r="X18" s="182" t="e">
        <f t="shared" si="5"/>
        <v>#VALUE!</v>
      </c>
      <c r="Y18" s="390"/>
      <c r="Z18" s="182" t="s">
        <v>634</v>
      </c>
      <c r="AA18" s="166" t="s">
        <v>634</v>
      </c>
      <c r="AB18" s="166" t="s">
        <v>634</v>
      </c>
      <c r="AC18" s="182" t="e">
        <f t="shared" si="7"/>
        <v>#VALUE!</v>
      </c>
      <c r="AD18" s="390"/>
      <c r="AE18" s="182" t="s">
        <v>634</v>
      </c>
      <c r="AF18" s="166" t="s">
        <v>634</v>
      </c>
      <c r="AG18" s="166" t="s">
        <v>634</v>
      </c>
      <c r="AH18" s="182" t="e">
        <f t="shared" si="9"/>
        <v>#VALUE!</v>
      </c>
      <c r="AI18" s="390"/>
      <c r="AJ18" s="182" t="s">
        <v>634</v>
      </c>
      <c r="AK18" s="166" t="s">
        <v>634</v>
      </c>
      <c r="AL18" s="166" t="s">
        <v>634</v>
      </c>
      <c r="AM18" s="182" t="e">
        <f t="shared" si="11"/>
        <v>#VALUE!</v>
      </c>
      <c r="AN18" s="390"/>
      <c r="AO18" s="182" t="s">
        <v>634</v>
      </c>
      <c r="AP18" s="166" t="s">
        <v>634</v>
      </c>
      <c r="AQ18" s="166" t="s">
        <v>634</v>
      </c>
      <c r="AR18" s="182" t="e">
        <f t="shared" si="13"/>
        <v>#VALUE!</v>
      </c>
      <c r="AS18" s="390"/>
      <c r="AT18" s="182" t="s">
        <v>634</v>
      </c>
      <c r="AU18" s="166" t="s">
        <v>634</v>
      </c>
      <c r="AV18" s="166" t="s">
        <v>634</v>
      </c>
      <c r="AW18" s="182" t="e">
        <f t="shared" si="15"/>
        <v>#VALUE!</v>
      </c>
      <c r="AX18" s="390"/>
      <c r="AZ18" s="182" t="e">
        <f t="shared" si="17"/>
        <v>#N/A</v>
      </c>
      <c r="BA18" s="390"/>
    </row>
    <row r="19" spans="2:53">
      <c r="B19" s="395"/>
      <c r="C19" s="182">
        <v>13</v>
      </c>
      <c r="D19" s="203"/>
      <c r="E19" s="166"/>
      <c r="F19" s="182"/>
      <c r="G19" s="180"/>
      <c r="H19" s="402"/>
      <c r="I19" s="166" t="str">
        <f t="shared" si="0"/>
        <v>-</v>
      </c>
      <c r="J19" s="166" t="str">
        <f t="shared" si="1"/>
        <v>-</v>
      </c>
      <c r="K19" s="180" t="str">
        <f t="shared" si="2"/>
        <v>-</v>
      </c>
      <c r="L19" s="402"/>
      <c r="M19" s="181" t="e">
        <f>RANK(K19, K$7:$K$21)</f>
        <v>#VALUE!</v>
      </c>
      <c r="N19" s="389"/>
      <c r="O19" s="389"/>
      <c r="P19" s="182" t="s">
        <v>634</v>
      </c>
      <c r="Q19" s="166" t="s">
        <v>634</v>
      </c>
      <c r="R19" s="166" t="s">
        <v>634</v>
      </c>
      <c r="S19" s="182" t="e">
        <f t="shared" si="3"/>
        <v>#VALUE!</v>
      </c>
      <c r="T19" s="390"/>
      <c r="U19" s="182" t="s">
        <v>634</v>
      </c>
      <c r="V19" s="166" t="s">
        <v>634</v>
      </c>
      <c r="W19" s="166" t="s">
        <v>634</v>
      </c>
      <c r="X19" s="182" t="e">
        <f t="shared" si="5"/>
        <v>#VALUE!</v>
      </c>
      <c r="Y19" s="390"/>
      <c r="Z19" s="182" t="s">
        <v>634</v>
      </c>
      <c r="AA19" s="166" t="s">
        <v>634</v>
      </c>
      <c r="AB19" s="166" t="s">
        <v>634</v>
      </c>
      <c r="AC19" s="182" t="e">
        <f t="shared" si="7"/>
        <v>#VALUE!</v>
      </c>
      <c r="AD19" s="390"/>
      <c r="AE19" s="182" t="s">
        <v>634</v>
      </c>
      <c r="AF19" s="166" t="s">
        <v>634</v>
      </c>
      <c r="AG19" s="166" t="s">
        <v>634</v>
      </c>
      <c r="AH19" s="182" t="e">
        <f t="shared" si="9"/>
        <v>#VALUE!</v>
      </c>
      <c r="AI19" s="390"/>
      <c r="AJ19" s="182" t="s">
        <v>634</v>
      </c>
      <c r="AK19" s="166" t="s">
        <v>634</v>
      </c>
      <c r="AL19" s="166" t="s">
        <v>634</v>
      </c>
      <c r="AM19" s="182" t="e">
        <f t="shared" si="11"/>
        <v>#VALUE!</v>
      </c>
      <c r="AN19" s="390"/>
      <c r="AO19" s="182" t="s">
        <v>634</v>
      </c>
      <c r="AP19" s="166" t="s">
        <v>634</v>
      </c>
      <c r="AQ19" s="166" t="s">
        <v>634</v>
      </c>
      <c r="AR19" s="182" t="e">
        <f t="shared" si="13"/>
        <v>#VALUE!</v>
      </c>
      <c r="AS19" s="390"/>
      <c r="AT19" s="182" t="s">
        <v>634</v>
      </c>
      <c r="AU19" s="166" t="s">
        <v>634</v>
      </c>
      <c r="AV19" s="166" t="s">
        <v>634</v>
      </c>
      <c r="AW19" s="182" t="e">
        <f t="shared" si="15"/>
        <v>#VALUE!</v>
      </c>
      <c r="AX19" s="390"/>
      <c r="AZ19" s="182" t="e">
        <f t="shared" si="17"/>
        <v>#N/A</v>
      </c>
      <c r="BA19" s="390"/>
    </row>
    <row r="20" spans="2:53">
      <c r="B20" s="395"/>
      <c r="C20" s="182">
        <v>14</v>
      </c>
      <c r="D20" s="203"/>
      <c r="E20" s="166"/>
      <c r="F20" s="182"/>
      <c r="G20" s="180"/>
      <c r="H20" s="402"/>
      <c r="I20" s="166" t="str">
        <f t="shared" si="0"/>
        <v>-</v>
      </c>
      <c r="J20" s="166" t="str">
        <f t="shared" si="1"/>
        <v>-</v>
      </c>
      <c r="K20" s="180" t="str">
        <f t="shared" si="2"/>
        <v>-</v>
      </c>
      <c r="L20" s="402"/>
      <c r="M20" s="181" t="e">
        <f>RANK(K20, K$7:$K$21)</f>
        <v>#VALUE!</v>
      </c>
      <c r="N20" s="389"/>
      <c r="O20" s="389"/>
      <c r="P20" s="182" t="s">
        <v>634</v>
      </c>
      <c r="Q20" s="166" t="s">
        <v>634</v>
      </c>
      <c r="R20" s="166" t="s">
        <v>634</v>
      </c>
      <c r="S20" s="182" t="e">
        <f t="shared" si="3"/>
        <v>#VALUE!</v>
      </c>
      <c r="T20" s="390"/>
      <c r="U20" s="182" t="s">
        <v>634</v>
      </c>
      <c r="V20" s="166" t="s">
        <v>634</v>
      </c>
      <c r="W20" s="166" t="s">
        <v>634</v>
      </c>
      <c r="X20" s="182" t="e">
        <f t="shared" si="5"/>
        <v>#VALUE!</v>
      </c>
      <c r="Y20" s="390"/>
      <c r="Z20" s="182" t="s">
        <v>634</v>
      </c>
      <c r="AA20" s="166" t="s">
        <v>634</v>
      </c>
      <c r="AB20" s="166" t="s">
        <v>634</v>
      </c>
      <c r="AC20" s="182" t="e">
        <f t="shared" si="7"/>
        <v>#VALUE!</v>
      </c>
      <c r="AD20" s="390"/>
      <c r="AE20" s="182" t="s">
        <v>634</v>
      </c>
      <c r="AF20" s="166" t="s">
        <v>634</v>
      </c>
      <c r="AG20" s="166" t="s">
        <v>634</v>
      </c>
      <c r="AH20" s="182" t="e">
        <f t="shared" si="9"/>
        <v>#VALUE!</v>
      </c>
      <c r="AI20" s="390"/>
      <c r="AJ20" s="182" t="s">
        <v>634</v>
      </c>
      <c r="AK20" s="166" t="s">
        <v>634</v>
      </c>
      <c r="AL20" s="166" t="s">
        <v>634</v>
      </c>
      <c r="AM20" s="182" t="e">
        <f t="shared" si="11"/>
        <v>#VALUE!</v>
      </c>
      <c r="AN20" s="390"/>
      <c r="AO20" s="182" t="s">
        <v>634</v>
      </c>
      <c r="AP20" s="166" t="s">
        <v>634</v>
      </c>
      <c r="AQ20" s="166" t="s">
        <v>634</v>
      </c>
      <c r="AR20" s="182" t="e">
        <f t="shared" si="13"/>
        <v>#VALUE!</v>
      </c>
      <c r="AS20" s="390"/>
      <c r="AT20" s="182" t="s">
        <v>634</v>
      </c>
      <c r="AU20" s="166" t="s">
        <v>634</v>
      </c>
      <c r="AV20" s="166" t="s">
        <v>634</v>
      </c>
      <c r="AW20" s="182" t="e">
        <f t="shared" si="15"/>
        <v>#VALUE!</v>
      </c>
      <c r="AX20" s="390"/>
      <c r="AZ20" s="182" t="e">
        <f t="shared" si="17"/>
        <v>#N/A</v>
      </c>
      <c r="BA20" s="390"/>
    </row>
    <row r="21" spans="2:53">
      <c r="B21" s="395"/>
      <c r="C21" s="182">
        <v>15</v>
      </c>
      <c r="D21" s="203"/>
      <c r="E21" s="166"/>
      <c r="F21" s="182"/>
      <c r="G21" s="180"/>
      <c r="H21" s="403"/>
      <c r="I21" s="182"/>
      <c r="J21" s="182"/>
      <c r="K21" s="182"/>
      <c r="L21" s="403"/>
      <c r="M21" s="181" t="e">
        <f>RANK(K21, K$7:$K$21)</f>
        <v>#N/A</v>
      </c>
      <c r="N21" s="389"/>
      <c r="O21" s="389"/>
      <c r="P21" s="182" t="s">
        <v>634</v>
      </c>
      <c r="Q21" s="166" t="s">
        <v>634</v>
      </c>
      <c r="R21" s="166" t="s">
        <v>634</v>
      </c>
      <c r="S21" s="182" t="e">
        <f t="shared" si="3"/>
        <v>#VALUE!</v>
      </c>
      <c r="T21" s="390"/>
      <c r="U21" s="182" t="s">
        <v>634</v>
      </c>
      <c r="V21" s="166" t="s">
        <v>634</v>
      </c>
      <c r="W21" s="166" t="s">
        <v>634</v>
      </c>
      <c r="X21" s="182" t="e">
        <f t="shared" si="5"/>
        <v>#VALUE!</v>
      </c>
      <c r="Y21" s="390"/>
      <c r="Z21" s="182" t="s">
        <v>634</v>
      </c>
      <c r="AA21" s="166" t="s">
        <v>634</v>
      </c>
      <c r="AB21" s="166" t="s">
        <v>634</v>
      </c>
      <c r="AC21" s="182" t="e">
        <f t="shared" si="7"/>
        <v>#VALUE!</v>
      </c>
      <c r="AD21" s="390"/>
      <c r="AE21" s="182" t="s">
        <v>634</v>
      </c>
      <c r="AF21" s="166" t="s">
        <v>634</v>
      </c>
      <c r="AG21" s="166" t="s">
        <v>634</v>
      </c>
      <c r="AH21" s="182" t="e">
        <f t="shared" si="9"/>
        <v>#VALUE!</v>
      </c>
      <c r="AI21" s="390"/>
      <c r="AJ21" s="182" t="s">
        <v>634</v>
      </c>
      <c r="AK21" s="166" t="s">
        <v>634</v>
      </c>
      <c r="AL21" s="166" t="s">
        <v>634</v>
      </c>
      <c r="AM21" s="182" t="e">
        <f t="shared" si="11"/>
        <v>#VALUE!</v>
      </c>
      <c r="AN21" s="390"/>
      <c r="AO21" s="182" t="s">
        <v>634</v>
      </c>
      <c r="AP21" s="166" t="s">
        <v>634</v>
      </c>
      <c r="AQ21" s="166" t="s">
        <v>634</v>
      </c>
      <c r="AR21" s="182" t="e">
        <f t="shared" si="13"/>
        <v>#VALUE!</v>
      </c>
      <c r="AS21" s="390"/>
      <c r="AT21" s="166">
        <v>0</v>
      </c>
      <c r="AU21" s="166">
        <v>0</v>
      </c>
      <c r="AV21" s="166">
        <v>0</v>
      </c>
      <c r="AW21" s="182">
        <f t="shared" si="15"/>
        <v>8</v>
      </c>
      <c r="AX21" s="390"/>
      <c r="AZ21" s="182" t="e">
        <f t="shared" si="17"/>
        <v>#N/A</v>
      </c>
      <c r="BA21" s="390"/>
    </row>
    <row r="22" spans="2:53" ht="15.75">
      <c r="B22" s="424" t="s">
        <v>163</v>
      </c>
      <c r="C22" s="425"/>
      <c r="D22" s="425"/>
      <c r="E22" s="425"/>
      <c r="F22" s="425"/>
      <c r="G22" s="425"/>
      <c r="H22" s="425"/>
      <c r="I22" s="183"/>
      <c r="J22" s="183"/>
      <c r="K22" s="183"/>
      <c r="L22" s="183"/>
      <c r="M22" s="178"/>
      <c r="N22" s="391" t="s">
        <v>156</v>
      </c>
      <c r="O22" s="391" t="s">
        <v>105</v>
      </c>
      <c r="P22" s="413">
        <f>P2+7</f>
        <v>46147</v>
      </c>
      <c r="Q22" s="395"/>
      <c r="R22" s="395"/>
      <c r="S22" s="395"/>
      <c r="T22" s="395"/>
      <c r="U22" s="410">
        <f>P22+1</f>
        <v>46148</v>
      </c>
      <c r="V22" s="411"/>
      <c r="W22" s="411"/>
      <c r="X22" s="411"/>
      <c r="Y22" s="412"/>
      <c r="Z22" s="410">
        <f>U22+1</f>
        <v>46149</v>
      </c>
      <c r="AA22" s="411"/>
      <c r="AB22" s="411"/>
      <c r="AC22" s="411"/>
      <c r="AD22" s="412"/>
      <c r="AE22" s="410">
        <f>Z22+1</f>
        <v>46150</v>
      </c>
      <c r="AF22" s="411"/>
      <c r="AG22" s="411"/>
      <c r="AH22" s="411"/>
      <c r="AI22" s="412"/>
      <c r="AJ22" s="410">
        <f>AE22+1</f>
        <v>46151</v>
      </c>
      <c r="AK22" s="411"/>
      <c r="AL22" s="411"/>
      <c r="AM22" s="411"/>
      <c r="AN22" s="412"/>
      <c r="AO22" s="410">
        <f>AJ22+1</f>
        <v>46152</v>
      </c>
      <c r="AP22" s="411"/>
      <c r="AQ22" s="411"/>
      <c r="AR22" s="411"/>
      <c r="AS22" s="412"/>
      <c r="AT22" s="410">
        <f>AO22+1</f>
        <v>46153</v>
      </c>
      <c r="AU22" s="411"/>
      <c r="AV22" s="411"/>
      <c r="AW22" s="411"/>
      <c r="AX22" s="412"/>
    </row>
    <row r="23" spans="2:53" ht="15.75">
      <c r="B23" s="416"/>
      <c r="C23" s="416"/>
      <c r="D23" s="416"/>
      <c r="E23" s="416"/>
      <c r="F23" s="416"/>
      <c r="G23" s="416"/>
      <c r="H23" s="416"/>
      <c r="I23" s="184"/>
      <c r="J23" s="184"/>
      <c r="K23" s="184"/>
      <c r="L23" s="184"/>
      <c r="M23" s="179"/>
      <c r="N23" s="393"/>
      <c r="O23" s="393"/>
      <c r="P23" s="413" t="s">
        <v>318</v>
      </c>
      <c r="Q23" s="395"/>
      <c r="R23" s="395"/>
      <c r="S23" s="395"/>
      <c r="T23" s="395"/>
      <c r="U23" s="413" t="s">
        <v>319</v>
      </c>
      <c r="V23" s="395"/>
      <c r="W23" s="395"/>
      <c r="X23" s="395"/>
      <c r="Y23" s="395"/>
      <c r="Z23" s="413" t="s">
        <v>320</v>
      </c>
      <c r="AA23" s="395"/>
      <c r="AB23" s="395"/>
      <c r="AC23" s="395"/>
      <c r="AD23" s="395"/>
      <c r="AE23" s="413" t="s">
        <v>321</v>
      </c>
      <c r="AF23" s="395"/>
      <c r="AG23" s="395"/>
      <c r="AH23" s="395"/>
      <c r="AI23" s="395"/>
      <c r="AJ23" s="413" t="s">
        <v>322</v>
      </c>
      <c r="AK23" s="395"/>
      <c r="AL23" s="395"/>
      <c r="AM23" s="395"/>
      <c r="AN23" s="395"/>
      <c r="AO23" s="413" t="s">
        <v>323</v>
      </c>
      <c r="AP23" s="395"/>
      <c r="AQ23" s="395"/>
      <c r="AR23" s="395"/>
      <c r="AS23" s="395"/>
      <c r="AT23" s="413" t="s">
        <v>324</v>
      </c>
      <c r="AU23" s="395"/>
      <c r="AV23" s="395"/>
      <c r="AW23" s="395"/>
      <c r="AX23" s="395"/>
    </row>
    <row r="24" spans="2:53">
      <c r="B24" s="389" t="s">
        <v>455</v>
      </c>
      <c r="C24" s="389" t="s">
        <v>556</v>
      </c>
      <c r="D24" s="389"/>
      <c r="E24" s="389" t="s">
        <v>557</v>
      </c>
      <c r="F24" s="389"/>
      <c r="G24" s="389"/>
      <c r="H24" s="417" t="s">
        <v>558</v>
      </c>
      <c r="I24" s="389" t="s">
        <v>559</v>
      </c>
      <c r="J24" s="389"/>
      <c r="K24" s="389"/>
      <c r="L24" s="417" t="s">
        <v>373</v>
      </c>
      <c r="M24" s="391" t="s">
        <v>560</v>
      </c>
      <c r="N24" s="389"/>
      <c r="O24" s="389" t="s">
        <v>379</v>
      </c>
      <c r="P24" s="404" t="s">
        <v>375</v>
      </c>
      <c r="Q24" s="405"/>
      <c r="R24" s="405"/>
      <c r="S24" s="406"/>
      <c r="T24" s="389" t="s">
        <v>373</v>
      </c>
      <c r="U24" s="404" t="s">
        <v>375</v>
      </c>
      <c r="V24" s="405"/>
      <c r="W24" s="405"/>
      <c r="X24" s="406"/>
      <c r="Y24" s="389" t="s">
        <v>373</v>
      </c>
      <c r="Z24" s="404" t="s">
        <v>375</v>
      </c>
      <c r="AA24" s="405"/>
      <c r="AB24" s="405"/>
      <c r="AC24" s="406"/>
      <c r="AD24" s="389" t="s">
        <v>373</v>
      </c>
      <c r="AE24" s="404" t="s">
        <v>375</v>
      </c>
      <c r="AF24" s="405"/>
      <c r="AG24" s="405"/>
      <c r="AH24" s="406"/>
      <c r="AI24" s="389" t="s">
        <v>373</v>
      </c>
      <c r="AJ24" s="404" t="s">
        <v>375</v>
      </c>
      <c r="AK24" s="405"/>
      <c r="AL24" s="405"/>
      <c r="AM24" s="406"/>
      <c r="AN24" s="389" t="s">
        <v>373</v>
      </c>
      <c r="AO24" s="404" t="s">
        <v>375</v>
      </c>
      <c r="AP24" s="405"/>
      <c r="AQ24" s="405"/>
      <c r="AR24" s="406"/>
      <c r="AS24" s="389" t="s">
        <v>373</v>
      </c>
      <c r="AT24" s="404" t="s">
        <v>375</v>
      </c>
      <c r="AU24" s="405"/>
      <c r="AV24" s="405"/>
      <c r="AW24" s="406"/>
      <c r="AX24" s="389" t="s">
        <v>373</v>
      </c>
      <c r="BA24" s="389" t="s">
        <v>373</v>
      </c>
    </row>
    <row r="25" spans="2:53">
      <c r="B25" s="389"/>
      <c r="C25" s="389"/>
      <c r="D25" s="389"/>
      <c r="E25" s="389" t="s">
        <v>562</v>
      </c>
      <c r="F25" s="389"/>
      <c r="G25" s="389"/>
      <c r="H25" s="418"/>
      <c r="I25" s="389" t="s">
        <v>562</v>
      </c>
      <c r="J25" s="389"/>
      <c r="K25" s="389"/>
      <c r="L25" s="418"/>
      <c r="M25" s="392"/>
      <c r="N25" s="389"/>
      <c r="O25" s="389"/>
      <c r="P25" s="404" t="s">
        <v>381</v>
      </c>
      <c r="Q25" s="405"/>
      <c r="R25" s="405"/>
      <c r="S25" s="406"/>
      <c r="T25" s="389"/>
      <c r="U25" s="404" t="s">
        <v>381</v>
      </c>
      <c r="V25" s="405"/>
      <c r="W25" s="405"/>
      <c r="X25" s="406"/>
      <c r="Y25" s="389"/>
      <c r="Z25" s="404" t="s">
        <v>381</v>
      </c>
      <c r="AA25" s="405"/>
      <c r="AB25" s="405"/>
      <c r="AC25" s="406"/>
      <c r="AD25" s="389"/>
      <c r="AE25" s="404" t="s">
        <v>381</v>
      </c>
      <c r="AF25" s="405"/>
      <c r="AG25" s="405"/>
      <c r="AH25" s="406"/>
      <c r="AI25" s="389"/>
      <c r="AJ25" s="404" t="s">
        <v>381</v>
      </c>
      <c r="AK25" s="405"/>
      <c r="AL25" s="405"/>
      <c r="AM25" s="406"/>
      <c r="AN25" s="389"/>
      <c r="AO25" s="404" t="s">
        <v>381</v>
      </c>
      <c r="AP25" s="405"/>
      <c r="AQ25" s="405"/>
      <c r="AR25" s="406"/>
      <c r="AS25" s="389"/>
      <c r="AT25" s="404" t="s">
        <v>381</v>
      </c>
      <c r="AU25" s="405"/>
      <c r="AV25" s="405"/>
      <c r="AW25" s="406"/>
      <c r="AX25" s="389"/>
      <c r="BA25" s="389"/>
    </row>
    <row r="26" spans="2:53">
      <c r="B26" s="389"/>
      <c r="C26" s="389"/>
      <c r="D26" s="389"/>
      <c r="E26" s="258" t="s">
        <v>563</v>
      </c>
      <c r="F26" s="258" t="s">
        <v>564</v>
      </c>
      <c r="G26" s="258" t="s">
        <v>565</v>
      </c>
      <c r="H26" s="419"/>
      <c r="I26" s="258" t="s">
        <v>563</v>
      </c>
      <c r="J26" s="258" t="s">
        <v>564</v>
      </c>
      <c r="K26" s="258" t="s">
        <v>565</v>
      </c>
      <c r="L26" s="419"/>
      <c r="M26" s="393"/>
      <c r="N26" s="389"/>
      <c r="O26" s="389"/>
      <c r="P26" s="258" t="s">
        <v>382</v>
      </c>
      <c r="Q26" s="258" t="s">
        <v>383</v>
      </c>
      <c r="R26" s="258" t="s">
        <v>384</v>
      </c>
      <c r="S26" s="258" t="s">
        <v>374</v>
      </c>
      <c r="T26" s="389"/>
      <c r="U26" s="258" t="s">
        <v>382</v>
      </c>
      <c r="V26" s="258" t="s">
        <v>383</v>
      </c>
      <c r="W26" s="258" t="s">
        <v>384</v>
      </c>
      <c r="X26" s="258" t="s">
        <v>374</v>
      </c>
      <c r="Y26" s="389"/>
      <c r="Z26" s="258" t="s">
        <v>382</v>
      </c>
      <c r="AA26" s="258" t="s">
        <v>383</v>
      </c>
      <c r="AB26" s="258" t="s">
        <v>384</v>
      </c>
      <c r="AC26" s="258" t="s">
        <v>374</v>
      </c>
      <c r="AD26" s="389"/>
      <c r="AE26" s="258" t="s">
        <v>382</v>
      </c>
      <c r="AF26" s="258" t="s">
        <v>383</v>
      </c>
      <c r="AG26" s="258" t="s">
        <v>384</v>
      </c>
      <c r="AH26" s="258" t="s">
        <v>374</v>
      </c>
      <c r="AI26" s="389"/>
      <c r="AJ26" s="258" t="s">
        <v>382</v>
      </c>
      <c r="AK26" s="258" t="s">
        <v>383</v>
      </c>
      <c r="AL26" s="258" t="s">
        <v>384</v>
      </c>
      <c r="AM26" s="258" t="s">
        <v>374</v>
      </c>
      <c r="AN26" s="389"/>
      <c r="AO26" s="258" t="s">
        <v>382</v>
      </c>
      <c r="AP26" s="258" t="s">
        <v>383</v>
      </c>
      <c r="AQ26" s="258" t="s">
        <v>384</v>
      </c>
      <c r="AR26" s="258" t="s">
        <v>374</v>
      </c>
      <c r="AS26" s="389"/>
      <c r="AT26" s="258" t="s">
        <v>382</v>
      </c>
      <c r="AU26" s="258" t="s">
        <v>383</v>
      </c>
      <c r="AV26" s="258" t="s">
        <v>384</v>
      </c>
      <c r="AW26" s="258" t="s">
        <v>374</v>
      </c>
      <c r="AX26" s="389"/>
      <c r="AZ26" s="258" t="s">
        <v>374</v>
      </c>
      <c r="BA26" s="389"/>
    </row>
    <row r="27" spans="2:53">
      <c r="B27" s="389" t="s">
        <v>456</v>
      </c>
      <c r="C27" s="182">
        <v>1</v>
      </c>
      <c r="D27" s="203" t="s">
        <v>360</v>
      </c>
      <c r="E27" s="166">
        <v>7</v>
      </c>
      <c r="F27" s="182">
        <v>1500</v>
      </c>
      <c r="G27" s="180">
        <v>214.3</v>
      </c>
      <c r="H27" s="401">
        <f>AVERAGE(G27:G41)</f>
        <v>184.21428571428575</v>
      </c>
      <c r="I27" s="166">
        <f t="shared" ref="I27:I40" si="19">IFERROR(AVERAGE(P27,U27,Z27,AE27,AJ27,AO27,AT27),"-")</f>
        <v>7</v>
      </c>
      <c r="J27" s="166">
        <f t="shared" ref="J27:J40" si="20">IFERROR(AVERAGE(Q27,V27,AA27,AF27,AK27,AP27,AU27),"-")</f>
        <v>1487.4659781273281</v>
      </c>
      <c r="K27" s="180">
        <f t="shared" ref="K27:K40" si="21">IFERROR(AVERAGE(R27,W27,AB27,AG27,AL27,AQ27,AV27),"-")</f>
        <v>212.49513973247545</v>
      </c>
      <c r="L27" s="401">
        <f>IFERROR(AVERAGE(K27:K41),"-")</f>
        <v>177.80695592701596</v>
      </c>
      <c r="M27" s="166">
        <f>RANK(K27, K$24:$K$41)</f>
        <v>3</v>
      </c>
      <c r="N27" s="389"/>
      <c r="O27" s="389"/>
      <c r="P27" s="182">
        <v>7</v>
      </c>
      <c r="Q27" s="166">
        <v>1494.2553191489355</v>
      </c>
      <c r="R27" s="166">
        <v>213.46504559270508</v>
      </c>
      <c r="S27" s="182">
        <f>RANK(R27, R$24:R$41)</f>
        <v>3</v>
      </c>
      <c r="T27" s="390">
        <f>AVERAGE(R27:R41)</f>
        <v>174.48991603246307</v>
      </c>
      <c r="U27" s="182">
        <v>7</v>
      </c>
      <c r="V27" s="166">
        <v>1485.1612903225803</v>
      </c>
      <c r="W27" s="166">
        <v>212.16589861751146</v>
      </c>
      <c r="X27" s="182">
        <f>RANK(W27, W$24:W$41)</f>
        <v>4</v>
      </c>
      <c r="Y27" s="390">
        <f>AVERAGE(W27:W41)</f>
        <v>174.83073147922036</v>
      </c>
      <c r="Z27" s="182">
        <v>7</v>
      </c>
      <c r="AA27" s="166">
        <v>1487.7272727272727</v>
      </c>
      <c r="AB27" s="166">
        <v>212.53246753246754</v>
      </c>
      <c r="AC27" s="182">
        <f>RANK(AB27, AB$24:AB$41)</f>
        <v>3</v>
      </c>
      <c r="AD27" s="390">
        <f>AVERAGE(AB27:AB41)</f>
        <v>178.42372442964205</v>
      </c>
      <c r="AE27" s="182">
        <v>7</v>
      </c>
      <c r="AF27" s="166">
        <v>1488.75</v>
      </c>
      <c r="AG27" s="166">
        <v>212.67857142857142</v>
      </c>
      <c r="AH27" s="182">
        <f>RANK(AG27, AG$24:AG$41)</f>
        <v>2</v>
      </c>
      <c r="AI27" s="390">
        <f>AVERAGE(AG27:AG41)</f>
        <v>177.95502153545434</v>
      </c>
      <c r="AJ27" s="182">
        <v>7</v>
      </c>
      <c r="AK27" s="166">
        <v>1483.7647058823527</v>
      </c>
      <c r="AL27" s="166">
        <v>211.96638655462181</v>
      </c>
      <c r="AM27" s="182">
        <f>RANK(AL27, AL$24:AL$41)</f>
        <v>2</v>
      </c>
      <c r="AN27" s="390">
        <f>AVERAGE(AL27:AL41)</f>
        <v>179.38011233589029</v>
      </c>
      <c r="AO27" s="182">
        <v>7</v>
      </c>
      <c r="AP27" s="166">
        <v>1491.7241379310344</v>
      </c>
      <c r="AQ27" s="166">
        <v>213.10344827586206</v>
      </c>
      <c r="AR27" s="182">
        <f>RANK(AQ27, AQ$24:AQ$41)</f>
        <v>3</v>
      </c>
      <c r="AS27" s="390">
        <f>AVERAGE(AQ27:AQ41)</f>
        <v>179.01458024299274</v>
      </c>
      <c r="AT27" s="166">
        <v>7</v>
      </c>
      <c r="AU27" s="166">
        <v>1480.879120879121</v>
      </c>
      <c r="AV27" s="180">
        <v>211.55416012558871</v>
      </c>
      <c r="AW27" s="182">
        <f>RANK(AV27, AV$24:AV$41)</f>
        <v>4</v>
      </c>
      <c r="AX27" s="390">
        <f>AVERAGE(AV27:AV41)</f>
        <v>180.55460543344887</v>
      </c>
      <c r="AZ27" s="182" t="e">
        <f t="shared" ref="AZ27:AZ41" si="22">RANK(AY27, AY$27:AY$41)</f>
        <v>#N/A</v>
      </c>
      <c r="BA27" s="384" t="e">
        <f t="shared" ref="BA27" si="23">AVERAGE(AY27:AY41)</f>
        <v>#DIV/0!</v>
      </c>
    </row>
    <row r="28" spans="2:53">
      <c r="B28" s="395"/>
      <c r="C28" s="182">
        <v>2</v>
      </c>
      <c r="D28" s="203" t="s">
        <v>361</v>
      </c>
      <c r="E28" s="166">
        <v>7</v>
      </c>
      <c r="F28" s="182">
        <v>1500</v>
      </c>
      <c r="G28" s="180">
        <v>214.3</v>
      </c>
      <c r="H28" s="402"/>
      <c r="I28" s="166">
        <f t="shared" si="19"/>
        <v>7</v>
      </c>
      <c r="J28" s="166">
        <f t="shared" si="20"/>
        <v>1486.2549119748378</v>
      </c>
      <c r="K28" s="180">
        <f t="shared" si="21"/>
        <v>212.32213028211973</v>
      </c>
      <c r="L28" s="402"/>
      <c r="M28" s="166">
        <f>RANK(K28, K$24:$K$41)</f>
        <v>4</v>
      </c>
      <c r="N28" s="389"/>
      <c r="O28" s="389"/>
      <c r="P28" s="182">
        <v>7</v>
      </c>
      <c r="Q28" s="166">
        <v>1494.2647058823532</v>
      </c>
      <c r="R28" s="166">
        <v>213.46638655462189</v>
      </c>
      <c r="S28" s="182">
        <f t="shared" ref="S28:S41" si="24">RANK(R28, R$24:R$41)</f>
        <v>2</v>
      </c>
      <c r="T28" s="390"/>
      <c r="U28" s="182">
        <v>7</v>
      </c>
      <c r="V28" s="166">
        <v>1492.3404255319151</v>
      </c>
      <c r="W28" s="166">
        <v>213.19148936170217</v>
      </c>
      <c r="X28" s="182">
        <f t="shared" ref="X28:X41" si="25">RANK(W28, W$24:W$41)</f>
        <v>2</v>
      </c>
      <c r="Y28" s="390"/>
      <c r="Z28" s="182">
        <v>7</v>
      </c>
      <c r="AA28" s="166">
        <v>1495.182481751825</v>
      </c>
      <c r="AB28" s="166">
        <v>213.59749739311786</v>
      </c>
      <c r="AC28" s="182">
        <f t="shared" ref="AC28:AC41" si="26">RANK(AB28, AB$24:AB$41)</f>
        <v>2</v>
      </c>
      <c r="AD28" s="390"/>
      <c r="AE28" s="182">
        <v>7</v>
      </c>
      <c r="AF28" s="166">
        <v>1476.3025210084036</v>
      </c>
      <c r="AG28" s="166">
        <v>210.90036014405766</v>
      </c>
      <c r="AH28" s="182">
        <f t="shared" ref="AH28:AH41" si="27">RANK(AG28, AG$24:AG$41)</f>
        <v>4</v>
      </c>
      <c r="AI28" s="390"/>
      <c r="AJ28" s="182">
        <v>7</v>
      </c>
      <c r="AK28" s="166">
        <v>1466.1290322580639</v>
      </c>
      <c r="AL28" s="166">
        <v>209.44700460829486</v>
      </c>
      <c r="AM28" s="182">
        <f t="shared" ref="AM28:AM41" si="28">RANK(AL28, AL$24:AL$41)</f>
        <v>5</v>
      </c>
      <c r="AN28" s="390"/>
      <c r="AO28" s="182">
        <v>7</v>
      </c>
      <c r="AP28" s="166">
        <v>1473.9130434782608</v>
      </c>
      <c r="AQ28" s="166">
        <v>210.5590062111801</v>
      </c>
      <c r="AR28" s="182">
        <f t="shared" ref="AR28:AR41" si="29">RANK(AQ28, AQ$24:AQ$41)</f>
        <v>4</v>
      </c>
      <c r="AS28" s="390"/>
      <c r="AT28" s="182">
        <v>7</v>
      </c>
      <c r="AU28" s="166">
        <v>1505.6521739130435</v>
      </c>
      <c r="AV28" s="180">
        <v>215.09316770186336</v>
      </c>
      <c r="AW28" s="182">
        <f t="shared" ref="AW28:AW41" si="30">RANK(AV28, AV$24:AV$41)</f>
        <v>3</v>
      </c>
      <c r="AX28" s="390"/>
      <c r="AZ28" s="182" t="e">
        <f t="shared" si="22"/>
        <v>#N/A</v>
      </c>
      <c r="BA28" s="385"/>
    </row>
    <row r="29" spans="2:53">
      <c r="B29" s="395"/>
      <c r="C29" s="182">
        <v>3</v>
      </c>
      <c r="D29" s="203" t="s">
        <v>331</v>
      </c>
      <c r="E29" s="166">
        <v>20</v>
      </c>
      <c r="F29" s="182">
        <v>1500</v>
      </c>
      <c r="G29" s="180">
        <v>75</v>
      </c>
      <c r="H29" s="402"/>
      <c r="I29" s="166">
        <f t="shared" si="19"/>
        <v>19.714285714285715</v>
      </c>
      <c r="J29" s="166">
        <f t="shared" si="20"/>
        <v>1282.0127685056411</v>
      </c>
      <c r="K29" s="180">
        <f t="shared" si="21"/>
        <v>65.067636339648388</v>
      </c>
      <c r="L29" s="402"/>
      <c r="M29" s="166">
        <f>RANK(K29, K$24:$K$41)</f>
        <v>7</v>
      </c>
      <c r="N29" s="389"/>
      <c r="O29" s="389"/>
      <c r="P29" s="182">
        <v>19</v>
      </c>
      <c r="Q29" s="166">
        <v>1286.7272727272732</v>
      </c>
      <c r="R29" s="166">
        <v>67.722488038277532</v>
      </c>
      <c r="S29" s="182">
        <f t="shared" si="24"/>
        <v>7</v>
      </c>
      <c r="T29" s="390"/>
      <c r="U29" s="182">
        <v>19</v>
      </c>
      <c r="V29" s="166">
        <v>1285.4871794871788</v>
      </c>
      <c r="W29" s="166">
        <v>67.657219973009404</v>
      </c>
      <c r="X29" s="182">
        <f t="shared" si="25"/>
        <v>7</v>
      </c>
      <c r="Y29" s="390"/>
      <c r="Z29" s="182">
        <v>20</v>
      </c>
      <c r="AA29" s="166">
        <v>1274.1257142857141</v>
      </c>
      <c r="AB29" s="166">
        <v>63.706285714285706</v>
      </c>
      <c r="AC29" s="182">
        <f t="shared" si="26"/>
        <v>7</v>
      </c>
      <c r="AD29" s="390"/>
      <c r="AE29" s="182">
        <v>20</v>
      </c>
      <c r="AF29" s="166">
        <v>1261.2349514563105</v>
      </c>
      <c r="AG29" s="166">
        <v>63.06174757281552</v>
      </c>
      <c r="AH29" s="182">
        <f t="shared" si="27"/>
        <v>7</v>
      </c>
      <c r="AI29" s="390"/>
      <c r="AJ29" s="182">
        <v>20</v>
      </c>
      <c r="AK29" s="166">
        <v>1277.2972972972973</v>
      </c>
      <c r="AL29" s="166">
        <v>63.864864864864863</v>
      </c>
      <c r="AM29" s="182">
        <f t="shared" si="28"/>
        <v>7</v>
      </c>
      <c r="AN29" s="390"/>
      <c r="AO29" s="182">
        <v>20</v>
      </c>
      <c r="AP29" s="166">
        <v>1292.5312500000007</v>
      </c>
      <c r="AQ29" s="166">
        <v>64.626562500000034</v>
      </c>
      <c r="AR29" s="182">
        <f t="shared" si="29"/>
        <v>7</v>
      </c>
      <c r="AS29" s="390"/>
      <c r="AT29" s="182">
        <v>20</v>
      </c>
      <c r="AU29" s="166">
        <v>1296.6857142857143</v>
      </c>
      <c r="AV29" s="180">
        <v>64.834285714285713</v>
      </c>
      <c r="AW29" s="182">
        <f t="shared" si="30"/>
        <v>7</v>
      </c>
      <c r="AX29" s="390"/>
      <c r="AZ29" s="182" t="e">
        <f t="shared" si="22"/>
        <v>#N/A</v>
      </c>
      <c r="BA29" s="385"/>
    </row>
    <row r="30" spans="2:53">
      <c r="B30" s="395"/>
      <c r="C30" s="182">
        <v>4</v>
      </c>
      <c r="D30" s="203" t="s">
        <v>362</v>
      </c>
      <c r="E30" s="166">
        <v>16</v>
      </c>
      <c r="F30" s="182">
        <v>1440</v>
      </c>
      <c r="G30" s="180">
        <v>84.7</v>
      </c>
      <c r="H30" s="402"/>
      <c r="I30" s="166">
        <f t="shared" si="19"/>
        <v>16</v>
      </c>
      <c r="J30" s="166">
        <f t="shared" si="20"/>
        <v>1356.9521863629595</v>
      </c>
      <c r="K30" s="180">
        <f t="shared" si="21"/>
        <v>84.809511647684971</v>
      </c>
      <c r="L30" s="402"/>
      <c r="M30" s="166">
        <f>RANK(K30, K$24:$K$41)</f>
        <v>6</v>
      </c>
      <c r="N30" s="389"/>
      <c r="O30" s="389"/>
      <c r="P30" s="182">
        <v>16</v>
      </c>
      <c r="Q30" s="166">
        <v>1358.1971830985917</v>
      </c>
      <c r="R30" s="166">
        <v>84.887323943661983</v>
      </c>
      <c r="S30" s="182">
        <f t="shared" si="24"/>
        <v>6</v>
      </c>
      <c r="T30" s="390"/>
      <c r="U30" s="182">
        <v>16</v>
      </c>
      <c r="V30" s="166">
        <v>1370.25</v>
      </c>
      <c r="W30" s="166">
        <v>85.640625</v>
      </c>
      <c r="X30" s="182">
        <f t="shared" si="25"/>
        <v>6</v>
      </c>
      <c r="Y30" s="390"/>
      <c r="Z30" s="182">
        <v>16</v>
      </c>
      <c r="AA30" s="166">
        <v>1346.2499999999998</v>
      </c>
      <c r="AB30" s="166">
        <v>84.140624999999986</v>
      </c>
      <c r="AC30" s="182">
        <f t="shared" si="26"/>
        <v>6</v>
      </c>
      <c r="AD30" s="390"/>
      <c r="AE30" s="182">
        <v>16</v>
      </c>
      <c r="AF30" s="166">
        <v>1353.5294117647059</v>
      </c>
      <c r="AG30" s="166">
        <v>84.595588235294116</v>
      </c>
      <c r="AH30" s="182">
        <f t="shared" si="27"/>
        <v>6</v>
      </c>
      <c r="AI30" s="390"/>
      <c r="AJ30" s="182">
        <v>16</v>
      </c>
      <c r="AK30" s="166">
        <v>1365.6000000000006</v>
      </c>
      <c r="AL30" s="166">
        <v>85.350000000000037</v>
      </c>
      <c r="AM30" s="182">
        <f t="shared" si="28"/>
        <v>6</v>
      </c>
      <c r="AN30" s="390"/>
      <c r="AO30" s="182">
        <v>16</v>
      </c>
      <c r="AP30" s="166">
        <v>1349.9999999999995</v>
      </c>
      <c r="AQ30" s="166">
        <v>84.374999999999972</v>
      </c>
      <c r="AR30" s="182">
        <f t="shared" si="29"/>
        <v>6</v>
      </c>
      <c r="AS30" s="390"/>
      <c r="AT30" s="182">
        <v>16</v>
      </c>
      <c r="AU30" s="166">
        <v>1354.8387096774188</v>
      </c>
      <c r="AV30" s="180">
        <v>84.677419354838676</v>
      </c>
      <c r="AW30" s="182">
        <f t="shared" si="30"/>
        <v>6</v>
      </c>
      <c r="AX30" s="390"/>
      <c r="AZ30" s="182" t="e">
        <f t="shared" si="22"/>
        <v>#N/A</v>
      </c>
      <c r="BA30" s="385"/>
    </row>
    <row r="31" spans="2:53">
      <c r="B31" s="395"/>
      <c r="C31" s="182">
        <v>5</v>
      </c>
      <c r="D31" s="203" t="s">
        <v>400</v>
      </c>
      <c r="E31" s="166">
        <v>7</v>
      </c>
      <c r="F31" s="182">
        <v>1500</v>
      </c>
      <c r="G31" s="180">
        <v>214.3</v>
      </c>
      <c r="H31" s="402"/>
      <c r="I31" s="166">
        <f t="shared" si="19"/>
        <v>7</v>
      </c>
      <c r="J31" s="166">
        <f t="shared" si="20"/>
        <v>1489.3564493143674</v>
      </c>
      <c r="K31" s="180">
        <f t="shared" si="21"/>
        <v>212.76520704490963</v>
      </c>
      <c r="L31" s="402"/>
      <c r="M31" s="166">
        <f>RANK(K31, K$24:$K$41)</f>
        <v>2</v>
      </c>
      <c r="N31" s="389"/>
      <c r="O31" s="389"/>
      <c r="P31" s="182">
        <v>7</v>
      </c>
      <c r="Q31" s="166">
        <v>1490.3225806451615</v>
      </c>
      <c r="R31" s="166">
        <v>212.90322580645164</v>
      </c>
      <c r="S31" s="182">
        <f t="shared" si="24"/>
        <v>4</v>
      </c>
      <c r="T31" s="390"/>
      <c r="U31" s="182">
        <v>7</v>
      </c>
      <c r="V31" s="166">
        <v>1491.6556291390727</v>
      </c>
      <c r="W31" s="166">
        <v>213.09366130558183</v>
      </c>
      <c r="X31" s="182">
        <f t="shared" si="25"/>
        <v>3</v>
      </c>
      <c r="Y31" s="390"/>
      <c r="Z31" s="182">
        <v>7</v>
      </c>
      <c r="AA31" s="166">
        <v>1470.4109589041095</v>
      </c>
      <c r="AB31" s="166">
        <v>210.0587084148728</v>
      </c>
      <c r="AC31" s="182">
        <f t="shared" si="26"/>
        <v>4</v>
      </c>
      <c r="AD31" s="390"/>
      <c r="AE31" s="182">
        <v>7</v>
      </c>
      <c r="AF31" s="166">
        <v>1483.8095238095243</v>
      </c>
      <c r="AG31" s="166">
        <v>211.97278911564632</v>
      </c>
      <c r="AH31" s="182">
        <f t="shared" si="27"/>
        <v>3</v>
      </c>
      <c r="AI31" s="390"/>
      <c r="AJ31" s="182">
        <v>7</v>
      </c>
      <c r="AK31" s="166">
        <v>1483.5937500000005</v>
      </c>
      <c r="AL31" s="166">
        <v>211.94196428571436</v>
      </c>
      <c r="AM31" s="182">
        <f t="shared" si="28"/>
        <v>3</v>
      </c>
      <c r="AN31" s="390"/>
      <c r="AO31" s="182">
        <v>7</v>
      </c>
      <c r="AP31" s="166">
        <v>1498</v>
      </c>
      <c r="AQ31" s="166">
        <v>214</v>
      </c>
      <c r="AR31" s="182">
        <f t="shared" si="29"/>
        <v>2</v>
      </c>
      <c r="AS31" s="390"/>
      <c r="AT31" s="182">
        <v>7</v>
      </c>
      <c r="AU31" s="166">
        <v>1507.7027027027027</v>
      </c>
      <c r="AV31" s="180">
        <v>215.3861003861004</v>
      </c>
      <c r="AW31" s="182">
        <f t="shared" si="30"/>
        <v>2</v>
      </c>
      <c r="AX31" s="390"/>
      <c r="AZ31" s="182" t="e">
        <f t="shared" si="22"/>
        <v>#N/A</v>
      </c>
      <c r="BA31" s="385"/>
    </row>
    <row r="32" spans="2:53">
      <c r="B32" s="395"/>
      <c r="C32" s="182">
        <v>6</v>
      </c>
      <c r="D32" s="203" t="s">
        <v>615</v>
      </c>
      <c r="E32" s="166">
        <v>6</v>
      </c>
      <c r="F32" s="182">
        <v>1636</v>
      </c>
      <c r="G32" s="180">
        <v>272.60000000000002</v>
      </c>
      <c r="H32" s="402"/>
      <c r="I32" s="166">
        <f t="shared" si="19"/>
        <v>6.2857142857142856</v>
      </c>
      <c r="J32" s="166">
        <f t="shared" si="20"/>
        <v>1559.6578715792753</v>
      </c>
      <c r="K32" s="180">
        <f t="shared" si="21"/>
        <v>249.29378678633853</v>
      </c>
      <c r="L32" s="402"/>
      <c r="M32" s="166">
        <f>RANK(K32, K$24:$K$41)</f>
        <v>1</v>
      </c>
      <c r="N32" s="389"/>
      <c r="O32" s="389"/>
      <c r="P32" s="182">
        <v>7</v>
      </c>
      <c r="Q32" s="166">
        <v>1559.5238095238101</v>
      </c>
      <c r="R32" s="166">
        <v>222.78911564625858</v>
      </c>
      <c r="S32" s="182">
        <f t="shared" si="24"/>
        <v>1</v>
      </c>
      <c r="T32" s="390"/>
      <c r="U32" s="182">
        <v>7</v>
      </c>
      <c r="V32" s="166">
        <v>1571.3385826771648</v>
      </c>
      <c r="W32" s="166">
        <v>224.47694038245211</v>
      </c>
      <c r="X32" s="182">
        <f t="shared" si="25"/>
        <v>1</v>
      </c>
      <c r="Y32" s="390"/>
      <c r="Z32" s="182">
        <v>6</v>
      </c>
      <c r="AA32" s="166">
        <v>1541.6528925619839</v>
      </c>
      <c r="AB32" s="166">
        <v>256.94214876033067</v>
      </c>
      <c r="AC32" s="182">
        <f t="shared" si="26"/>
        <v>1</v>
      </c>
      <c r="AD32" s="390"/>
      <c r="AE32" s="182">
        <v>6</v>
      </c>
      <c r="AF32" s="166">
        <v>1530.8411214953269</v>
      </c>
      <c r="AG32" s="166">
        <v>255.14018691588782</v>
      </c>
      <c r="AH32" s="182">
        <f t="shared" si="27"/>
        <v>1</v>
      </c>
      <c r="AI32" s="390"/>
      <c r="AJ32" s="182">
        <v>6</v>
      </c>
      <c r="AK32" s="166">
        <v>1580.9433962264147</v>
      </c>
      <c r="AL32" s="166">
        <v>263.49056603773579</v>
      </c>
      <c r="AM32" s="182">
        <f t="shared" si="28"/>
        <v>1</v>
      </c>
      <c r="AN32" s="390"/>
      <c r="AO32" s="182">
        <v>6</v>
      </c>
      <c r="AP32" s="166">
        <v>1553.7931034482763</v>
      </c>
      <c r="AQ32" s="166">
        <v>258.96551724137936</v>
      </c>
      <c r="AR32" s="182">
        <f t="shared" si="29"/>
        <v>1</v>
      </c>
      <c r="AS32" s="390"/>
      <c r="AT32" s="182">
        <v>6</v>
      </c>
      <c r="AU32" s="166">
        <v>1579.5121951219519</v>
      </c>
      <c r="AV32" s="180">
        <v>263.25203252032532</v>
      </c>
      <c r="AW32" s="182">
        <f t="shared" si="30"/>
        <v>1</v>
      </c>
      <c r="AX32" s="390"/>
      <c r="AZ32" s="182" t="e">
        <f t="shared" si="22"/>
        <v>#N/A</v>
      </c>
      <c r="BA32" s="385"/>
    </row>
    <row r="33" spans="2:53">
      <c r="B33" s="395"/>
      <c r="C33" s="182">
        <v>7</v>
      </c>
      <c r="D33" s="203" t="s">
        <v>594</v>
      </c>
      <c r="E33" s="166">
        <v>7</v>
      </c>
      <c r="F33" s="182">
        <v>1500</v>
      </c>
      <c r="G33" s="180">
        <v>214.3</v>
      </c>
      <c r="H33" s="402"/>
      <c r="I33" s="166">
        <f t="shared" si="19"/>
        <v>7</v>
      </c>
      <c r="J33" s="166">
        <f t="shared" si="20"/>
        <v>1455.2669575915454</v>
      </c>
      <c r="K33" s="180">
        <f t="shared" si="21"/>
        <v>207.89527965593507</v>
      </c>
      <c r="L33" s="402"/>
      <c r="M33" s="166">
        <f>RANK(K33, K$24:$K$41)</f>
        <v>5</v>
      </c>
      <c r="N33" s="389"/>
      <c r="O33" s="389"/>
      <c r="P33" s="182">
        <v>7</v>
      </c>
      <c r="Q33" s="166">
        <v>1443.370786516854</v>
      </c>
      <c r="R33" s="166">
        <v>206.19582664526484</v>
      </c>
      <c r="S33" s="182">
        <f t="shared" si="24"/>
        <v>5</v>
      </c>
      <c r="T33" s="390"/>
      <c r="U33" s="182">
        <v>7</v>
      </c>
      <c r="V33" s="166">
        <v>1453.1250000000005</v>
      </c>
      <c r="W33" s="166">
        <v>207.58928571428578</v>
      </c>
      <c r="X33" s="182">
        <f t="shared" si="25"/>
        <v>5</v>
      </c>
      <c r="Y33" s="390"/>
      <c r="Z33" s="182">
        <v>7</v>
      </c>
      <c r="AA33" s="166">
        <v>1455.9183673469392</v>
      </c>
      <c r="AB33" s="166">
        <v>207.98833819241989</v>
      </c>
      <c r="AC33" s="182">
        <f t="shared" si="26"/>
        <v>5</v>
      </c>
      <c r="AD33" s="390"/>
      <c r="AE33" s="182">
        <v>7</v>
      </c>
      <c r="AF33" s="166">
        <v>1451.3513513513519</v>
      </c>
      <c r="AG33" s="166">
        <v>207.33590733590742</v>
      </c>
      <c r="AH33" s="182">
        <f t="shared" si="27"/>
        <v>5</v>
      </c>
      <c r="AI33" s="390"/>
      <c r="AJ33" s="182">
        <v>7</v>
      </c>
      <c r="AK33" s="166">
        <v>1467.2000000000007</v>
      </c>
      <c r="AL33" s="166">
        <v>209.60000000000011</v>
      </c>
      <c r="AM33" s="182">
        <f t="shared" si="28"/>
        <v>4</v>
      </c>
      <c r="AN33" s="390"/>
      <c r="AO33" s="182">
        <v>7</v>
      </c>
      <c r="AP33" s="166">
        <v>1452.3076923076931</v>
      </c>
      <c r="AQ33" s="166">
        <v>207.47252747252759</v>
      </c>
      <c r="AR33" s="182">
        <f t="shared" si="29"/>
        <v>5</v>
      </c>
      <c r="AS33" s="390"/>
      <c r="AT33" s="182">
        <v>7</v>
      </c>
      <c r="AU33" s="166">
        <v>1463.5955056179776</v>
      </c>
      <c r="AV33" s="180">
        <v>209.08507223113966</v>
      </c>
      <c r="AW33" s="182">
        <f t="shared" si="30"/>
        <v>5</v>
      </c>
      <c r="AX33" s="390"/>
      <c r="AZ33" s="182" t="e">
        <f t="shared" si="22"/>
        <v>#N/A</v>
      </c>
      <c r="BA33" s="385"/>
    </row>
    <row r="34" spans="2:53">
      <c r="B34" s="395"/>
      <c r="C34" s="182">
        <v>8</v>
      </c>
      <c r="D34" s="203"/>
      <c r="E34" s="166"/>
      <c r="F34" s="182"/>
      <c r="G34" s="180"/>
      <c r="H34" s="402"/>
      <c r="I34" s="166" t="str">
        <f t="shared" si="19"/>
        <v>-</v>
      </c>
      <c r="J34" s="166" t="str">
        <f t="shared" si="20"/>
        <v>-</v>
      </c>
      <c r="K34" s="180" t="str">
        <f t="shared" si="21"/>
        <v>-</v>
      </c>
      <c r="L34" s="402"/>
      <c r="M34" s="166" t="e">
        <f>RANK(K34, K$24:$K$41)</f>
        <v>#VALUE!</v>
      </c>
      <c r="N34" s="389"/>
      <c r="O34" s="389"/>
      <c r="P34" s="182"/>
      <c r="Q34" s="166"/>
      <c r="R34" s="166"/>
      <c r="S34" s="182" t="e">
        <f t="shared" si="24"/>
        <v>#N/A</v>
      </c>
      <c r="T34" s="390"/>
      <c r="U34" s="182"/>
      <c r="V34" s="166"/>
      <c r="W34" s="166"/>
      <c r="X34" s="182" t="e">
        <f t="shared" si="25"/>
        <v>#N/A</v>
      </c>
      <c r="Y34" s="390"/>
      <c r="Z34" s="182"/>
      <c r="AA34" s="166"/>
      <c r="AB34" s="166"/>
      <c r="AC34" s="182" t="e">
        <f t="shared" si="26"/>
        <v>#N/A</v>
      </c>
      <c r="AD34" s="390"/>
      <c r="AE34" s="182"/>
      <c r="AF34" s="166"/>
      <c r="AG34" s="166"/>
      <c r="AH34" s="182" t="e">
        <f t="shared" si="27"/>
        <v>#N/A</v>
      </c>
      <c r="AI34" s="390"/>
      <c r="AJ34" s="182"/>
      <c r="AK34" s="166"/>
      <c r="AL34" s="166"/>
      <c r="AM34" s="182" t="e">
        <f t="shared" si="28"/>
        <v>#N/A</v>
      </c>
      <c r="AN34" s="390"/>
      <c r="AO34" s="182"/>
      <c r="AP34" s="166"/>
      <c r="AQ34" s="166"/>
      <c r="AR34" s="182" t="e">
        <f t="shared" si="29"/>
        <v>#N/A</v>
      </c>
      <c r="AS34" s="390"/>
      <c r="AT34" s="182"/>
      <c r="AU34" s="166"/>
      <c r="AV34" s="180"/>
      <c r="AW34" s="182" t="e">
        <f t="shared" si="30"/>
        <v>#N/A</v>
      </c>
      <c r="AX34" s="390"/>
      <c r="AZ34" s="182" t="e">
        <f t="shared" si="22"/>
        <v>#N/A</v>
      </c>
      <c r="BA34" s="385"/>
    </row>
    <row r="35" spans="2:53">
      <c r="B35" s="395"/>
      <c r="C35" s="182">
        <v>9</v>
      </c>
      <c r="D35" s="203"/>
      <c r="E35" s="166"/>
      <c r="F35" s="182"/>
      <c r="G35" s="180"/>
      <c r="H35" s="402"/>
      <c r="I35" s="166" t="str">
        <f t="shared" si="19"/>
        <v>-</v>
      </c>
      <c r="J35" s="166" t="str">
        <f t="shared" si="20"/>
        <v>-</v>
      </c>
      <c r="K35" s="180" t="str">
        <f t="shared" si="21"/>
        <v>-</v>
      </c>
      <c r="L35" s="402"/>
      <c r="M35" s="166" t="e">
        <f>RANK(K35, K$24:$K$41)</f>
        <v>#VALUE!</v>
      </c>
      <c r="N35" s="389"/>
      <c r="O35" s="389"/>
      <c r="P35" s="182"/>
      <c r="Q35" s="166"/>
      <c r="R35" s="166"/>
      <c r="S35" s="182" t="e">
        <f t="shared" si="24"/>
        <v>#N/A</v>
      </c>
      <c r="T35" s="390"/>
      <c r="U35" s="182"/>
      <c r="V35" s="166"/>
      <c r="W35" s="166"/>
      <c r="X35" s="182" t="e">
        <f t="shared" si="25"/>
        <v>#N/A</v>
      </c>
      <c r="Y35" s="390"/>
      <c r="Z35" s="182"/>
      <c r="AA35" s="166"/>
      <c r="AB35" s="166"/>
      <c r="AC35" s="182" t="e">
        <f t="shared" si="26"/>
        <v>#N/A</v>
      </c>
      <c r="AD35" s="390"/>
      <c r="AE35" s="182"/>
      <c r="AF35" s="166"/>
      <c r="AG35" s="166"/>
      <c r="AH35" s="182" t="e">
        <f t="shared" si="27"/>
        <v>#N/A</v>
      </c>
      <c r="AI35" s="390"/>
      <c r="AJ35" s="182"/>
      <c r="AK35" s="166"/>
      <c r="AL35" s="166"/>
      <c r="AM35" s="182" t="e">
        <f t="shared" si="28"/>
        <v>#N/A</v>
      </c>
      <c r="AN35" s="390"/>
      <c r="AO35" s="182"/>
      <c r="AP35" s="166"/>
      <c r="AQ35" s="166"/>
      <c r="AR35" s="182" t="e">
        <f t="shared" si="29"/>
        <v>#N/A</v>
      </c>
      <c r="AS35" s="390"/>
      <c r="AT35" s="182"/>
      <c r="AU35" s="166"/>
      <c r="AV35" s="180"/>
      <c r="AW35" s="182" t="e">
        <f t="shared" si="30"/>
        <v>#N/A</v>
      </c>
      <c r="AX35" s="390"/>
      <c r="AZ35" s="182" t="e">
        <f t="shared" si="22"/>
        <v>#N/A</v>
      </c>
      <c r="BA35" s="385"/>
    </row>
    <row r="36" spans="2:53">
      <c r="B36" s="395"/>
      <c r="C36" s="182">
        <v>10</v>
      </c>
      <c r="D36" s="203"/>
      <c r="E36" s="166"/>
      <c r="F36" s="182"/>
      <c r="G36" s="180"/>
      <c r="H36" s="402"/>
      <c r="I36" s="166" t="str">
        <f t="shared" si="19"/>
        <v>-</v>
      </c>
      <c r="J36" s="166" t="str">
        <f t="shared" si="20"/>
        <v>-</v>
      </c>
      <c r="K36" s="180" t="str">
        <f t="shared" si="21"/>
        <v>-</v>
      </c>
      <c r="L36" s="402"/>
      <c r="M36" s="166" t="e">
        <f>RANK(K36, K$24:$K$41)</f>
        <v>#VALUE!</v>
      </c>
      <c r="N36" s="389"/>
      <c r="O36" s="389"/>
      <c r="P36" s="182"/>
      <c r="Q36" s="166"/>
      <c r="R36" s="166"/>
      <c r="S36" s="182" t="e">
        <f t="shared" si="24"/>
        <v>#N/A</v>
      </c>
      <c r="T36" s="390"/>
      <c r="U36" s="182"/>
      <c r="V36" s="166"/>
      <c r="W36" s="166"/>
      <c r="X36" s="182" t="e">
        <f t="shared" si="25"/>
        <v>#N/A</v>
      </c>
      <c r="Y36" s="390"/>
      <c r="Z36" s="182"/>
      <c r="AA36" s="166"/>
      <c r="AB36" s="166"/>
      <c r="AC36" s="182" t="e">
        <f t="shared" si="26"/>
        <v>#N/A</v>
      </c>
      <c r="AD36" s="390"/>
      <c r="AE36" s="182"/>
      <c r="AF36" s="166"/>
      <c r="AG36" s="166"/>
      <c r="AH36" s="182" t="e">
        <f t="shared" si="27"/>
        <v>#N/A</v>
      </c>
      <c r="AI36" s="390"/>
      <c r="AJ36" s="182"/>
      <c r="AK36" s="166"/>
      <c r="AL36" s="166"/>
      <c r="AM36" s="182" t="e">
        <f t="shared" si="28"/>
        <v>#N/A</v>
      </c>
      <c r="AN36" s="390"/>
      <c r="AO36" s="182"/>
      <c r="AP36" s="166"/>
      <c r="AQ36" s="166"/>
      <c r="AR36" s="182" t="e">
        <f t="shared" si="29"/>
        <v>#N/A</v>
      </c>
      <c r="AS36" s="390"/>
      <c r="AT36" s="182"/>
      <c r="AU36" s="166"/>
      <c r="AV36" s="180"/>
      <c r="AW36" s="182" t="e">
        <f t="shared" si="30"/>
        <v>#N/A</v>
      </c>
      <c r="AX36" s="390"/>
      <c r="AZ36" s="182" t="e">
        <f t="shared" si="22"/>
        <v>#N/A</v>
      </c>
      <c r="BA36" s="385"/>
    </row>
    <row r="37" spans="2:53">
      <c r="B37" s="395"/>
      <c r="C37" s="182">
        <v>11</v>
      </c>
      <c r="D37" s="203"/>
      <c r="E37" s="166"/>
      <c r="F37" s="182"/>
      <c r="G37" s="180"/>
      <c r="H37" s="402"/>
      <c r="I37" s="166" t="str">
        <f t="shared" si="19"/>
        <v>-</v>
      </c>
      <c r="J37" s="166" t="str">
        <f t="shared" si="20"/>
        <v>-</v>
      </c>
      <c r="K37" s="180" t="str">
        <f t="shared" si="21"/>
        <v>-</v>
      </c>
      <c r="L37" s="402"/>
      <c r="M37" s="166" t="e">
        <f>RANK(K37, K$24:$K$41)</f>
        <v>#VALUE!</v>
      </c>
      <c r="N37" s="389"/>
      <c r="O37" s="389"/>
      <c r="P37" s="182"/>
      <c r="Q37" s="166"/>
      <c r="R37" s="166"/>
      <c r="S37" s="182" t="e">
        <f t="shared" si="24"/>
        <v>#N/A</v>
      </c>
      <c r="T37" s="390"/>
      <c r="U37" s="182"/>
      <c r="V37" s="166"/>
      <c r="W37" s="166"/>
      <c r="X37" s="182" t="e">
        <f t="shared" si="25"/>
        <v>#N/A</v>
      </c>
      <c r="Y37" s="390"/>
      <c r="Z37" s="182"/>
      <c r="AA37" s="166"/>
      <c r="AB37" s="166"/>
      <c r="AC37" s="182" t="e">
        <f t="shared" si="26"/>
        <v>#N/A</v>
      </c>
      <c r="AD37" s="390"/>
      <c r="AE37" s="182"/>
      <c r="AF37" s="166"/>
      <c r="AG37" s="166"/>
      <c r="AH37" s="182" t="e">
        <f t="shared" si="27"/>
        <v>#N/A</v>
      </c>
      <c r="AI37" s="390"/>
      <c r="AJ37" s="182"/>
      <c r="AK37" s="166"/>
      <c r="AL37" s="166"/>
      <c r="AM37" s="182" t="e">
        <f t="shared" si="28"/>
        <v>#N/A</v>
      </c>
      <c r="AN37" s="390"/>
      <c r="AO37" s="182"/>
      <c r="AP37" s="166"/>
      <c r="AQ37" s="166"/>
      <c r="AR37" s="182" t="e">
        <f t="shared" si="29"/>
        <v>#N/A</v>
      </c>
      <c r="AS37" s="390"/>
      <c r="AT37" s="182"/>
      <c r="AU37" s="166"/>
      <c r="AV37" s="180"/>
      <c r="AW37" s="182" t="e">
        <f t="shared" si="30"/>
        <v>#N/A</v>
      </c>
      <c r="AX37" s="390"/>
      <c r="AZ37" s="182" t="e">
        <f t="shared" si="22"/>
        <v>#N/A</v>
      </c>
      <c r="BA37" s="385"/>
    </row>
    <row r="38" spans="2:53">
      <c r="B38" s="395"/>
      <c r="C38" s="182">
        <v>12</v>
      </c>
      <c r="D38" s="203"/>
      <c r="E38" s="166"/>
      <c r="F38" s="182"/>
      <c r="G38" s="180"/>
      <c r="H38" s="402"/>
      <c r="I38" s="166" t="str">
        <f t="shared" si="19"/>
        <v>-</v>
      </c>
      <c r="J38" s="166" t="str">
        <f t="shared" si="20"/>
        <v>-</v>
      </c>
      <c r="K38" s="180" t="str">
        <f t="shared" si="21"/>
        <v>-</v>
      </c>
      <c r="L38" s="402"/>
      <c r="M38" s="166" t="e">
        <f>RANK(K38, K$24:$K$41)</f>
        <v>#VALUE!</v>
      </c>
      <c r="N38" s="389"/>
      <c r="O38" s="389"/>
      <c r="P38" s="182"/>
      <c r="Q38" s="166"/>
      <c r="R38" s="166"/>
      <c r="S38" s="182" t="e">
        <f t="shared" si="24"/>
        <v>#N/A</v>
      </c>
      <c r="T38" s="390"/>
      <c r="U38" s="182"/>
      <c r="V38" s="166"/>
      <c r="W38" s="166"/>
      <c r="X38" s="182" t="e">
        <f t="shared" si="25"/>
        <v>#N/A</v>
      </c>
      <c r="Y38" s="390"/>
      <c r="Z38" s="182"/>
      <c r="AA38" s="166"/>
      <c r="AB38" s="166"/>
      <c r="AC38" s="182" t="e">
        <f t="shared" si="26"/>
        <v>#N/A</v>
      </c>
      <c r="AD38" s="390"/>
      <c r="AE38" s="182"/>
      <c r="AF38" s="166"/>
      <c r="AG38" s="166"/>
      <c r="AH38" s="182" t="e">
        <f t="shared" si="27"/>
        <v>#N/A</v>
      </c>
      <c r="AI38" s="390"/>
      <c r="AJ38" s="182"/>
      <c r="AK38" s="166"/>
      <c r="AL38" s="166"/>
      <c r="AM38" s="182" t="e">
        <f t="shared" si="28"/>
        <v>#N/A</v>
      </c>
      <c r="AN38" s="390"/>
      <c r="AO38" s="182"/>
      <c r="AP38" s="166"/>
      <c r="AQ38" s="166"/>
      <c r="AR38" s="182" t="e">
        <f t="shared" si="29"/>
        <v>#N/A</v>
      </c>
      <c r="AS38" s="390"/>
      <c r="AT38" s="182"/>
      <c r="AU38" s="166"/>
      <c r="AV38" s="180"/>
      <c r="AW38" s="182" t="e">
        <f t="shared" si="30"/>
        <v>#N/A</v>
      </c>
      <c r="AX38" s="390"/>
      <c r="AZ38" s="182" t="e">
        <f t="shared" si="22"/>
        <v>#N/A</v>
      </c>
      <c r="BA38" s="385"/>
    </row>
    <row r="39" spans="2:53">
      <c r="B39" s="395"/>
      <c r="C39" s="182">
        <v>13</v>
      </c>
      <c r="D39" s="203"/>
      <c r="E39" s="166"/>
      <c r="F39" s="182"/>
      <c r="G39" s="180"/>
      <c r="H39" s="402"/>
      <c r="I39" s="166" t="str">
        <f t="shared" si="19"/>
        <v>-</v>
      </c>
      <c r="J39" s="166" t="str">
        <f t="shared" si="20"/>
        <v>-</v>
      </c>
      <c r="K39" s="180" t="str">
        <f t="shared" si="21"/>
        <v>-</v>
      </c>
      <c r="L39" s="402"/>
      <c r="M39" s="166" t="e">
        <f>RANK(K39, K$24:$K$41)</f>
        <v>#VALUE!</v>
      </c>
      <c r="N39" s="389"/>
      <c r="O39" s="389"/>
      <c r="P39" s="182"/>
      <c r="Q39" s="166"/>
      <c r="R39" s="166"/>
      <c r="S39" s="182" t="e">
        <f t="shared" si="24"/>
        <v>#N/A</v>
      </c>
      <c r="T39" s="390"/>
      <c r="U39" s="182"/>
      <c r="V39" s="166"/>
      <c r="W39" s="166"/>
      <c r="X39" s="182" t="e">
        <f t="shared" si="25"/>
        <v>#N/A</v>
      </c>
      <c r="Y39" s="390"/>
      <c r="Z39" s="182"/>
      <c r="AA39" s="166"/>
      <c r="AB39" s="166"/>
      <c r="AC39" s="182" t="e">
        <f t="shared" si="26"/>
        <v>#N/A</v>
      </c>
      <c r="AD39" s="390"/>
      <c r="AE39" s="182"/>
      <c r="AF39" s="166"/>
      <c r="AG39" s="166"/>
      <c r="AH39" s="182" t="e">
        <f t="shared" si="27"/>
        <v>#N/A</v>
      </c>
      <c r="AI39" s="390"/>
      <c r="AJ39" s="182"/>
      <c r="AK39" s="166"/>
      <c r="AL39" s="166"/>
      <c r="AM39" s="182" t="e">
        <f t="shared" si="28"/>
        <v>#N/A</v>
      </c>
      <c r="AN39" s="390"/>
      <c r="AO39" s="182"/>
      <c r="AP39" s="166"/>
      <c r="AQ39" s="166"/>
      <c r="AR39" s="182" t="e">
        <f t="shared" si="29"/>
        <v>#N/A</v>
      </c>
      <c r="AS39" s="390"/>
      <c r="AT39" s="182"/>
      <c r="AU39" s="166"/>
      <c r="AV39" s="180"/>
      <c r="AW39" s="182" t="e">
        <f t="shared" si="30"/>
        <v>#N/A</v>
      </c>
      <c r="AX39" s="390"/>
      <c r="AZ39" s="182" t="e">
        <f t="shared" si="22"/>
        <v>#N/A</v>
      </c>
      <c r="BA39" s="385"/>
    </row>
    <row r="40" spans="2:53">
      <c r="B40" s="395"/>
      <c r="C40" s="182">
        <v>14</v>
      </c>
      <c r="D40" s="203"/>
      <c r="E40" s="166"/>
      <c r="F40" s="182"/>
      <c r="G40" s="180"/>
      <c r="H40" s="402"/>
      <c r="I40" s="166" t="str">
        <f t="shared" si="19"/>
        <v>-</v>
      </c>
      <c r="J40" s="166" t="str">
        <f t="shared" si="20"/>
        <v>-</v>
      </c>
      <c r="K40" s="180" t="str">
        <f t="shared" si="21"/>
        <v>-</v>
      </c>
      <c r="L40" s="402"/>
      <c r="M40" s="166" t="e">
        <f>RANK(K40, K$24:$K$41)</f>
        <v>#VALUE!</v>
      </c>
      <c r="N40" s="389"/>
      <c r="O40" s="389"/>
      <c r="P40" s="182"/>
      <c r="Q40" s="166"/>
      <c r="R40" s="166"/>
      <c r="S40" s="182" t="e">
        <f t="shared" si="24"/>
        <v>#N/A</v>
      </c>
      <c r="T40" s="390"/>
      <c r="U40" s="182"/>
      <c r="V40" s="166"/>
      <c r="W40" s="166"/>
      <c r="X40" s="182" t="e">
        <f t="shared" si="25"/>
        <v>#N/A</v>
      </c>
      <c r="Y40" s="390"/>
      <c r="Z40" s="182"/>
      <c r="AA40" s="166"/>
      <c r="AB40" s="166"/>
      <c r="AC40" s="182" t="e">
        <f t="shared" si="26"/>
        <v>#N/A</v>
      </c>
      <c r="AD40" s="390"/>
      <c r="AE40" s="182"/>
      <c r="AF40" s="166"/>
      <c r="AG40" s="166"/>
      <c r="AH40" s="182" t="e">
        <f t="shared" si="27"/>
        <v>#N/A</v>
      </c>
      <c r="AI40" s="390"/>
      <c r="AJ40" s="182"/>
      <c r="AK40" s="166"/>
      <c r="AL40" s="166"/>
      <c r="AM40" s="182" t="e">
        <f t="shared" si="28"/>
        <v>#N/A</v>
      </c>
      <c r="AN40" s="390"/>
      <c r="AO40" s="182"/>
      <c r="AP40" s="166"/>
      <c r="AQ40" s="166"/>
      <c r="AR40" s="182" t="e">
        <f t="shared" si="29"/>
        <v>#N/A</v>
      </c>
      <c r="AS40" s="390"/>
      <c r="AT40" s="182"/>
      <c r="AU40" s="166"/>
      <c r="AV40" s="180"/>
      <c r="AW40" s="182" t="e">
        <f t="shared" si="30"/>
        <v>#N/A</v>
      </c>
      <c r="AX40" s="390"/>
      <c r="AZ40" s="182" t="e">
        <f t="shared" si="22"/>
        <v>#N/A</v>
      </c>
      <c r="BA40" s="385"/>
    </row>
    <row r="41" spans="2:53">
      <c r="B41" s="395"/>
      <c r="C41" s="182">
        <v>15</v>
      </c>
      <c r="D41" s="203"/>
      <c r="E41" s="166"/>
      <c r="F41" s="182"/>
      <c r="G41" s="180"/>
      <c r="H41" s="403"/>
      <c r="I41" s="182"/>
      <c r="J41" s="182"/>
      <c r="K41" s="182"/>
      <c r="L41" s="403"/>
      <c r="M41" s="166" t="e">
        <f>RANK(K41, K$24:$K$41)</f>
        <v>#N/A</v>
      </c>
      <c r="N41" s="389"/>
      <c r="O41" s="389"/>
      <c r="P41" s="182"/>
      <c r="Q41" s="166"/>
      <c r="R41" s="166"/>
      <c r="S41" s="182" t="e">
        <f t="shared" si="24"/>
        <v>#N/A</v>
      </c>
      <c r="T41" s="390"/>
      <c r="U41" s="182"/>
      <c r="V41" s="166"/>
      <c r="W41" s="166"/>
      <c r="X41" s="182" t="e">
        <f t="shared" si="25"/>
        <v>#N/A</v>
      </c>
      <c r="Y41" s="390"/>
      <c r="Z41" s="182"/>
      <c r="AA41" s="166"/>
      <c r="AB41" s="166"/>
      <c r="AC41" s="182" t="e">
        <f t="shared" si="26"/>
        <v>#N/A</v>
      </c>
      <c r="AD41" s="390"/>
      <c r="AE41" s="182"/>
      <c r="AF41" s="166"/>
      <c r="AG41" s="166"/>
      <c r="AH41" s="182" t="e">
        <f t="shared" si="27"/>
        <v>#N/A</v>
      </c>
      <c r="AI41" s="390"/>
      <c r="AJ41" s="182"/>
      <c r="AK41" s="166"/>
      <c r="AL41" s="166"/>
      <c r="AM41" s="182" t="e">
        <f t="shared" si="28"/>
        <v>#N/A</v>
      </c>
      <c r="AN41" s="390"/>
      <c r="AO41" s="182"/>
      <c r="AP41" s="166"/>
      <c r="AQ41" s="166"/>
      <c r="AR41" s="182" t="e">
        <f t="shared" si="29"/>
        <v>#N/A</v>
      </c>
      <c r="AS41" s="390"/>
      <c r="AT41" s="182"/>
      <c r="AU41" s="166"/>
      <c r="AV41" s="180"/>
      <c r="AW41" s="182" t="e">
        <f t="shared" si="30"/>
        <v>#N/A</v>
      </c>
      <c r="AX41" s="390"/>
      <c r="AZ41" s="182" t="e">
        <f t="shared" si="22"/>
        <v>#N/A</v>
      </c>
      <c r="BA41" s="386"/>
    </row>
    <row r="42" spans="2:53" ht="15.75">
      <c r="B42" s="424" t="s">
        <v>163</v>
      </c>
      <c r="C42" s="425"/>
      <c r="D42" s="425"/>
      <c r="E42" s="425"/>
      <c r="F42" s="425"/>
      <c r="G42" s="425"/>
      <c r="H42" s="425"/>
      <c r="I42" s="186"/>
      <c r="J42" s="183"/>
      <c r="K42" s="186"/>
      <c r="L42" s="186"/>
      <c r="M42" s="178"/>
      <c r="N42" s="391" t="s">
        <v>156</v>
      </c>
      <c r="O42" s="391" t="s">
        <v>105</v>
      </c>
      <c r="P42" s="413">
        <f>P22+7</f>
        <v>46154</v>
      </c>
      <c r="Q42" s="395"/>
      <c r="R42" s="395"/>
      <c r="S42" s="395"/>
      <c r="T42" s="395"/>
      <c r="U42" s="410">
        <f>P42+1</f>
        <v>46155</v>
      </c>
      <c r="V42" s="411"/>
      <c r="W42" s="411"/>
      <c r="X42" s="411"/>
      <c r="Y42" s="412"/>
      <c r="Z42" s="410">
        <f>U42+1</f>
        <v>46156</v>
      </c>
      <c r="AA42" s="411"/>
      <c r="AB42" s="411"/>
      <c r="AC42" s="411"/>
      <c r="AD42" s="412"/>
      <c r="AE42" s="410">
        <f>Z42+1</f>
        <v>46157</v>
      </c>
      <c r="AF42" s="411"/>
      <c r="AG42" s="411"/>
      <c r="AH42" s="411"/>
      <c r="AI42" s="412"/>
      <c r="AJ42" s="410">
        <f>AE42+1</f>
        <v>46158</v>
      </c>
      <c r="AK42" s="411"/>
      <c r="AL42" s="411"/>
      <c r="AM42" s="411"/>
      <c r="AN42" s="412"/>
      <c r="AO42" s="410">
        <f>AJ42+1</f>
        <v>46159</v>
      </c>
      <c r="AP42" s="411"/>
      <c r="AQ42" s="411"/>
      <c r="AR42" s="411"/>
      <c r="AS42" s="412"/>
      <c r="AT42" s="410">
        <f>AO42+1</f>
        <v>46160</v>
      </c>
      <c r="AU42" s="411"/>
      <c r="AV42" s="411"/>
      <c r="AW42" s="411"/>
      <c r="AX42" s="412"/>
    </row>
    <row r="43" spans="2:53" ht="15.75">
      <c r="B43" s="416"/>
      <c r="C43" s="416"/>
      <c r="D43" s="416"/>
      <c r="E43" s="416"/>
      <c r="F43" s="416"/>
      <c r="G43" s="416"/>
      <c r="H43" s="416"/>
      <c r="I43" s="184"/>
      <c r="J43" s="184"/>
      <c r="K43" s="184"/>
      <c r="L43" s="184"/>
      <c r="M43" s="179"/>
      <c r="N43" s="393"/>
      <c r="O43" s="393"/>
      <c r="P43" s="413" t="s">
        <v>318</v>
      </c>
      <c r="Q43" s="395"/>
      <c r="R43" s="395"/>
      <c r="S43" s="395"/>
      <c r="T43" s="395"/>
      <c r="U43" s="413" t="s">
        <v>319</v>
      </c>
      <c r="V43" s="395"/>
      <c r="W43" s="395"/>
      <c r="X43" s="395"/>
      <c r="Y43" s="395"/>
      <c r="Z43" s="413" t="s">
        <v>320</v>
      </c>
      <c r="AA43" s="395"/>
      <c r="AB43" s="395"/>
      <c r="AC43" s="395"/>
      <c r="AD43" s="395"/>
      <c r="AE43" s="413" t="s">
        <v>321</v>
      </c>
      <c r="AF43" s="395"/>
      <c r="AG43" s="395"/>
      <c r="AH43" s="395"/>
      <c r="AI43" s="395"/>
      <c r="AJ43" s="413" t="s">
        <v>322</v>
      </c>
      <c r="AK43" s="395"/>
      <c r="AL43" s="395"/>
      <c r="AM43" s="395"/>
      <c r="AN43" s="395"/>
      <c r="AO43" s="413" t="s">
        <v>323</v>
      </c>
      <c r="AP43" s="395"/>
      <c r="AQ43" s="395"/>
      <c r="AR43" s="395"/>
      <c r="AS43" s="395"/>
      <c r="AT43" s="413" t="s">
        <v>324</v>
      </c>
      <c r="AU43" s="395"/>
      <c r="AV43" s="395"/>
      <c r="AW43" s="395"/>
      <c r="AX43" s="395"/>
    </row>
    <row r="44" spans="2:53">
      <c r="B44" s="389" t="s">
        <v>467</v>
      </c>
      <c r="C44" s="389" t="s">
        <v>556</v>
      </c>
      <c r="D44" s="389"/>
      <c r="E44" s="389" t="s">
        <v>557</v>
      </c>
      <c r="F44" s="389"/>
      <c r="G44" s="389"/>
      <c r="H44" s="417" t="s">
        <v>558</v>
      </c>
      <c r="I44" s="389" t="s">
        <v>559</v>
      </c>
      <c r="J44" s="389"/>
      <c r="K44" s="389"/>
      <c r="L44" s="417" t="s">
        <v>373</v>
      </c>
      <c r="M44" s="391" t="s">
        <v>560</v>
      </c>
      <c r="N44" s="389"/>
      <c r="O44" s="389" t="s">
        <v>379</v>
      </c>
      <c r="P44" s="404" t="s">
        <v>375</v>
      </c>
      <c r="Q44" s="405"/>
      <c r="R44" s="405"/>
      <c r="S44" s="406"/>
      <c r="T44" s="389" t="s">
        <v>373</v>
      </c>
      <c r="U44" s="404" t="s">
        <v>375</v>
      </c>
      <c r="V44" s="405"/>
      <c r="W44" s="405"/>
      <c r="X44" s="406"/>
      <c r="Y44" s="389" t="s">
        <v>373</v>
      </c>
      <c r="Z44" s="404" t="s">
        <v>375</v>
      </c>
      <c r="AA44" s="405"/>
      <c r="AB44" s="405"/>
      <c r="AC44" s="406"/>
      <c r="AD44" s="389" t="s">
        <v>373</v>
      </c>
      <c r="AE44" s="404" t="s">
        <v>375</v>
      </c>
      <c r="AF44" s="405"/>
      <c r="AG44" s="405"/>
      <c r="AH44" s="406"/>
      <c r="AI44" s="389" t="s">
        <v>373</v>
      </c>
      <c r="AJ44" s="404" t="s">
        <v>375</v>
      </c>
      <c r="AK44" s="405"/>
      <c r="AL44" s="405"/>
      <c r="AM44" s="406"/>
      <c r="AN44" s="389" t="s">
        <v>373</v>
      </c>
      <c r="AO44" s="404" t="s">
        <v>375</v>
      </c>
      <c r="AP44" s="405"/>
      <c r="AQ44" s="405"/>
      <c r="AR44" s="406"/>
      <c r="AS44" s="389" t="s">
        <v>373</v>
      </c>
      <c r="AT44" s="404" t="s">
        <v>375</v>
      </c>
      <c r="AU44" s="405"/>
      <c r="AV44" s="405"/>
      <c r="AW44" s="406"/>
      <c r="AX44" s="389" t="s">
        <v>373</v>
      </c>
      <c r="BA44" s="389" t="s">
        <v>373</v>
      </c>
    </row>
    <row r="45" spans="2:53">
      <c r="B45" s="389"/>
      <c r="C45" s="389"/>
      <c r="D45" s="389"/>
      <c r="E45" s="389" t="s">
        <v>562</v>
      </c>
      <c r="F45" s="389"/>
      <c r="G45" s="389"/>
      <c r="H45" s="418"/>
      <c r="I45" s="389" t="s">
        <v>562</v>
      </c>
      <c r="J45" s="389"/>
      <c r="K45" s="389"/>
      <c r="L45" s="418"/>
      <c r="M45" s="392"/>
      <c r="N45" s="389"/>
      <c r="O45" s="389"/>
      <c r="P45" s="404" t="s">
        <v>381</v>
      </c>
      <c r="Q45" s="405"/>
      <c r="R45" s="405"/>
      <c r="S45" s="406"/>
      <c r="T45" s="389"/>
      <c r="U45" s="404" t="s">
        <v>381</v>
      </c>
      <c r="V45" s="405"/>
      <c r="W45" s="405"/>
      <c r="X45" s="406"/>
      <c r="Y45" s="389"/>
      <c r="Z45" s="404" t="s">
        <v>381</v>
      </c>
      <c r="AA45" s="405"/>
      <c r="AB45" s="405"/>
      <c r="AC45" s="406"/>
      <c r="AD45" s="389"/>
      <c r="AE45" s="404" t="s">
        <v>381</v>
      </c>
      <c r="AF45" s="405"/>
      <c r="AG45" s="405"/>
      <c r="AH45" s="406"/>
      <c r="AI45" s="389"/>
      <c r="AJ45" s="404" t="s">
        <v>381</v>
      </c>
      <c r="AK45" s="405"/>
      <c r="AL45" s="405"/>
      <c r="AM45" s="406"/>
      <c r="AN45" s="389"/>
      <c r="AO45" s="404" t="s">
        <v>381</v>
      </c>
      <c r="AP45" s="405"/>
      <c r="AQ45" s="405"/>
      <c r="AR45" s="406"/>
      <c r="AS45" s="389"/>
      <c r="AT45" s="404" t="s">
        <v>381</v>
      </c>
      <c r="AU45" s="405"/>
      <c r="AV45" s="405"/>
      <c r="AW45" s="406"/>
      <c r="AX45" s="389"/>
      <c r="BA45" s="389"/>
    </row>
    <row r="46" spans="2:53">
      <c r="B46" s="389"/>
      <c r="C46" s="389"/>
      <c r="D46" s="389"/>
      <c r="E46" s="258" t="s">
        <v>563</v>
      </c>
      <c r="F46" s="258" t="s">
        <v>564</v>
      </c>
      <c r="G46" s="258" t="s">
        <v>565</v>
      </c>
      <c r="H46" s="419"/>
      <c r="I46" s="258" t="s">
        <v>563</v>
      </c>
      <c r="J46" s="258" t="s">
        <v>564</v>
      </c>
      <c r="K46" s="258" t="s">
        <v>565</v>
      </c>
      <c r="L46" s="419"/>
      <c r="M46" s="393"/>
      <c r="N46" s="389"/>
      <c r="O46" s="389"/>
      <c r="P46" s="258" t="s">
        <v>382</v>
      </c>
      <c r="Q46" s="258" t="s">
        <v>383</v>
      </c>
      <c r="R46" s="258" t="s">
        <v>384</v>
      </c>
      <c r="S46" s="258" t="s">
        <v>374</v>
      </c>
      <c r="T46" s="389"/>
      <c r="U46" s="258" t="s">
        <v>382</v>
      </c>
      <c r="V46" s="258" t="s">
        <v>383</v>
      </c>
      <c r="W46" s="258" t="s">
        <v>384</v>
      </c>
      <c r="X46" s="258" t="s">
        <v>374</v>
      </c>
      <c r="Y46" s="389"/>
      <c r="Z46" s="258" t="s">
        <v>382</v>
      </c>
      <c r="AA46" s="258" t="s">
        <v>383</v>
      </c>
      <c r="AB46" s="258" t="s">
        <v>384</v>
      </c>
      <c r="AC46" s="258" t="s">
        <v>374</v>
      </c>
      <c r="AD46" s="389"/>
      <c r="AE46" s="258" t="s">
        <v>382</v>
      </c>
      <c r="AF46" s="258" t="s">
        <v>383</v>
      </c>
      <c r="AG46" s="258" t="s">
        <v>384</v>
      </c>
      <c r="AH46" s="258" t="s">
        <v>374</v>
      </c>
      <c r="AI46" s="389"/>
      <c r="AJ46" s="258" t="s">
        <v>382</v>
      </c>
      <c r="AK46" s="258" t="s">
        <v>383</v>
      </c>
      <c r="AL46" s="258" t="s">
        <v>384</v>
      </c>
      <c r="AM46" s="258" t="s">
        <v>374</v>
      </c>
      <c r="AN46" s="389"/>
      <c r="AO46" s="258" t="s">
        <v>382</v>
      </c>
      <c r="AP46" s="258" t="s">
        <v>383</v>
      </c>
      <c r="AQ46" s="258" t="s">
        <v>384</v>
      </c>
      <c r="AR46" s="258" t="s">
        <v>374</v>
      </c>
      <c r="AS46" s="389"/>
      <c r="AT46" s="258" t="s">
        <v>382</v>
      </c>
      <c r="AU46" s="258" t="s">
        <v>383</v>
      </c>
      <c r="AV46" s="258" t="s">
        <v>384</v>
      </c>
      <c r="AW46" s="258" t="s">
        <v>374</v>
      </c>
      <c r="AX46" s="389"/>
      <c r="AZ46" s="258" t="s">
        <v>591</v>
      </c>
      <c r="BA46" s="389"/>
    </row>
    <row r="47" spans="2:53">
      <c r="B47" s="389" t="s">
        <v>483</v>
      </c>
      <c r="C47" s="182">
        <v>1</v>
      </c>
      <c r="D47" s="203" t="s">
        <v>360</v>
      </c>
      <c r="E47" s="166">
        <v>7</v>
      </c>
      <c r="F47" s="182">
        <v>1500</v>
      </c>
      <c r="G47" s="180">
        <v>214.3</v>
      </c>
      <c r="H47" s="401">
        <f>AVERAGE(G47:G61)</f>
        <v>168.32222222222222</v>
      </c>
      <c r="I47" s="166">
        <f t="shared" ref="I47:I60" si="31">IFERROR(AVERAGE(P47,U47,Z47,AE47,AJ47,AO47,AT47),"-")</f>
        <v>7</v>
      </c>
      <c r="J47" s="166">
        <f t="shared" ref="J47:J60" si="32">IFERROR(AVERAGE(Q47,V47,AA47,AF47,AK47,AP47,AU47),"-")</f>
        <v>1472.1589602261688</v>
      </c>
      <c r="K47" s="180">
        <f t="shared" ref="K47:K60" si="33">IFERROR(AVERAGE(R47,W47,AB47,AG47,AL47,AQ47,AV47),"-")</f>
        <v>210.30842288945269</v>
      </c>
      <c r="L47" s="401">
        <f>IFERROR(AVERAGE(K47:K61),"-")</f>
        <v>154.88730204926293</v>
      </c>
      <c r="M47" s="166">
        <f>RANK(K47, K$47:$K$61)</f>
        <v>1</v>
      </c>
      <c r="N47" s="389"/>
      <c r="O47" s="389"/>
      <c r="P47" s="182">
        <v>7</v>
      </c>
      <c r="Q47" s="166">
        <v>1489.6153846153841</v>
      </c>
      <c r="R47" s="166">
        <v>212.80219780219772</v>
      </c>
      <c r="S47" s="182">
        <f t="shared" ref="S47:S54" si="34">RANK(R47, R$47:R$61)</f>
        <v>1</v>
      </c>
      <c r="T47" s="384">
        <f t="shared" ref="T47" si="35">AVERAGE(R47:R61)</f>
        <v>166.2677046504121</v>
      </c>
      <c r="U47" s="182">
        <v>7</v>
      </c>
      <c r="V47" s="166">
        <v>1467.1698113207544</v>
      </c>
      <c r="W47" s="166">
        <v>209.59568733153634</v>
      </c>
      <c r="X47" s="182">
        <f t="shared" ref="X47:X54" si="36">RANK(W47, W$47:W$61)</f>
        <v>2</v>
      </c>
      <c r="Y47" s="384">
        <f t="shared" ref="Y47" si="37">AVERAGE(W47:W61)</f>
        <v>152.91810907933757</v>
      </c>
      <c r="Z47" s="182">
        <v>7</v>
      </c>
      <c r="AA47" s="166">
        <v>1480.7547169811317</v>
      </c>
      <c r="AB47" s="166">
        <v>211.53638814016168</v>
      </c>
      <c r="AC47" s="182">
        <f t="shared" ref="AC47:AC55" si="38">RANK(AB47, AB$47:AB$61)</f>
        <v>1</v>
      </c>
      <c r="AD47" s="384">
        <f t="shared" ref="AD47" si="39">AVERAGE(AB47:AB61)</f>
        <v>153.84866224316173</v>
      </c>
      <c r="AE47" s="182">
        <v>7</v>
      </c>
      <c r="AF47" s="166">
        <v>1466.3414634146336</v>
      </c>
      <c r="AG47" s="166">
        <v>209.47735191637622</v>
      </c>
      <c r="AH47" s="182">
        <f t="shared" ref="AH47:AH55" si="40">RANK(AG47, AG$47:AG$61)</f>
        <v>2</v>
      </c>
      <c r="AI47" s="384">
        <f t="shared" ref="AI47" si="41">AVERAGE(AG47:AG61)</f>
        <v>152.21690927886263</v>
      </c>
      <c r="AJ47" s="182">
        <v>7</v>
      </c>
      <c r="AK47" s="166">
        <v>1472.0930232558137</v>
      </c>
      <c r="AL47" s="166">
        <v>210.2990033222591</v>
      </c>
      <c r="AM47" s="182">
        <f t="shared" ref="AM47:AM55" si="42">RANK(AL47, AL$47:AL$61)</f>
        <v>1</v>
      </c>
      <c r="AN47" s="384">
        <f t="shared" ref="AN47" si="43">AVERAGE(AL47:AL61)</f>
        <v>153.35126877998769</v>
      </c>
      <c r="AO47" s="182">
        <v>7</v>
      </c>
      <c r="AP47" s="166">
        <v>1454.6938775510209</v>
      </c>
      <c r="AQ47" s="166">
        <v>207.81341107871728</v>
      </c>
      <c r="AR47" s="182">
        <f t="shared" ref="AR47:AR55" si="44">RANK(AQ47, AQ$47:AQ$61)</f>
        <v>4</v>
      </c>
      <c r="AS47" s="384">
        <f t="shared" ref="AS47" si="45">AVERAGE(AQ47:AQ61)</f>
        <v>152.33404274731063</v>
      </c>
      <c r="AT47" s="182">
        <v>7</v>
      </c>
      <c r="AU47" s="166">
        <v>1474.4444444444441</v>
      </c>
      <c r="AV47" s="166">
        <v>210.63492063492058</v>
      </c>
      <c r="AW47" s="182">
        <f t="shared" ref="AW47:AW55" si="46">RANK(AV47, AV$47:AV$61)</f>
        <v>2</v>
      </c>
      <c r="AX47" s="384">
        <f t="shared" ref="AX47" si="47">AVERAGE(AV47:AV61)</f>
        <v>153.27441756576815</v>
      </c>
      <c r="AZ47" s="182" t="e">
        <f t="shared" ref="AZ47:AZ61" si="48">RANK(AY47, AY$47:AY$61)</f>
        <v>#N/A</v>
      </c>
      <c r="BA47" s="384" t="e">
        <f t="shared" ref="BA47" si="49">AVERAGE(AY47:AY61)</f>
        <v>#DIV/0!</v>
      </c>
    </row>
    <row r="48" spans="2:53">
      <c r="B48" s="395"/>
      <c r="C48" s="182">
        <v>2</v>
      </c>
      <c r="D48" s="203" t="s">
        <v>361</v>
      </c>
      <c r="E48" s="166">
        <v>7</v>
      </c>
      <c r="F48" s="182">
        <v>1500</v>
      </c>
      <c r="G48" s="180">
        <v>214.3</v>
      </c>
      <c r="H48" s="402"/>
      <c r="I48" s="166">
        <f t="shared" si="31"/>
        <v>7</v>
      </c>
      <c r="J48" s="166">
        <f t="shared" si="32"/>
        <v>1469.4929530837012</v>
      </c>
      <c r="K48" s="180">
        <f t="shared" si="33"/>
        <v>209.92756472624305</v>
      </c>
      <c r="L48" s="402"/>
      <c r="M48" s="166">
        <f>RANK(K48, K$47:$K$61)</f>
        <v>2</v>
      </c>
      <c r="N48" s="389"/>
      <c r="O48" s="389"/>
      <c r="P48" s="182">
        <v>7</v>
      </c>
      <c r="Q48" s="166">
        <v>1460.0000000000005</v>
      </c>
      <c r="R48" s="166">
        <v>208.57142857142864</v>
      </c>
      <c r="S48" s="182">
        <f t="shared" si="34"/>
        <v>2</v>
      </c>
      <c r="T48" s="385"/>
      <c r="U48" s="182">
        <v>7</v>
      </c>
      <c r="V48" s="166">
        <v>1457.5182481751824</v>
      </c>
      <c r="W48" s="166">
        <v>208.21689259645464</v>
      </c>
      <c r="X48" s="182">
        <f t="shared" si="36"/>
        <v>4</v>
      </c>
      <c r="Y48" s="385"/>
      <c r="Z48" s="182">
        <v>7</v>
      </c>
      <c r="AA48" s="166">
        <v>1470</v>
      </c>
      <c r="AB48" s="166">
        <v>210</v>
      </c>
      <c r="AC48" s="182">
        <f t="shared" si="38"/>
        <v>3</v>
      </c>
      <c r="AD48" s="385"/>
      <c r="AE48" s="182">
        <v>7</v>
      </c>
      <c r="AF48" s="166">
        <v>1487.6923076923078</v>
      </c>
      <c r="AG48" s="166">
        <v>212.52747252747255</v>
      </c>
      <c r="AH48" s="182">
        <f t="shared" si="40"/>
        <v>1</v>
      </c>
      <c r="AI48" s="385"/>
      <c r="AJ48" s="182">
        <v>7</v>
      </c>
      <c r="AK48" s="166">
        <v>1471.475409836065</v>
      </c>
      <c r="AL48" s="166">
        <v>210.21077283372355</v>
      </c>
      <c r="AM48" s="182">
        <f t="shared" si="42"/>
        <v>2</v>
      </c>
      <c r="AN48" s="385"/>
      <c r="AO48" s="182">
        <v>7</v>
      </c>
      <c r="AP48" s="166">
        <v>1468</v>
      </c>
      <c r="AQ48" s="166">
        <v>209.71428571428572</v>
      </c>
      <c r="AR48" s="182">
        <f t="shared" si="44"/>
        <v>2</v>
      </c>
      <c r="AS48" s="385"/>
      <c r="AT48" s="182">
        <v>7</v>
      </c>
      <c r="AU48" s="166">
        <v>1471.7647058823532</v>
      </c>
      <c r="AV48" s="166">
        <v>210.25210084033617</v>
      </c>
      <c r="AW48" s="182">
        <f t="shared" si="46"/>
        <v>3</v>
      </c>
      <c r="AX48" s="385"/>
      <c r="AZ48" s="182" t="e">
        <f t="shared" si="48"/>
        <v>#N/A</v>
      </c>
      <c r="BA48" s="385"/>
    </row>
    <row r="49" spans="2:53">
      <c r="B49" s="395"/>
      <c r="C49" s="182">
        <v>3</v>
      </c>
      <c r="D49" s="203" t="s">
        <v>331</v>
      </c>
      <c r="E49" s="166">
        <v>20</v>
      </c>
      <c r="F49" s="182">
        <v>1500</v>
      </c>
      <c r="G49" s="180">
        <v>75</v>
      </c>
      <c r="H49" s="402"/>
      <c r="I49" s="166">
        <f t="shared" si="31"/>
        <v>18.571428571428573</v>
      </c>
      <c r="J49" s="166">
        <f t="shared" si="32"/>
        <v>1343.9419534024989</v>
      </c>
      <c r="K49" s="180">
        <f t="shared" si="33"/>
        <v>72.483791848640664</v>
      </c>
      <c r="L49" s="402"/>
      <c r="M49" s="166">
        <f>RANK(K49, K$47:$K$61)</f>
        <v>9</v>
      </c>
      <c r="N49" s="389"/>
      <c r="O49" s="389"/>
      <c r="P49" s="182">
        <v>20</v>
      </c>
      <c r="Q49" s="166">
        <v>1415.3164556962024</v>
      </c>
      <c r="R49" s="166">
        <v>70.765822784810126</v>
      </c>
      <c r="S49" s="182">
        <f t="shared" si="34"/>
        <v>9</v>
      </c>
      <c r="T49" s="385"/>
      <c r="U49" s="182">
        <v>18</v>
      </c>
      <c r="V49" s="166">
        <v>1346.1000000000004</v>
      </c>
      <c r="W49" s="166">
        <v>74.78333333333336</v>
      </c>
      <c r="X49" s="182">
        <f t="shared" si="36"/>
        <v>9</v>
      </c>
      <c r="Y49" s="385"/>
      <c r="Z49" s="182">
        <v>18</v>
      </c>
      <c r="AA49" s="166">
        <v>1363.2857142857144</v>
      </c>
      <c r="AB49" s="166">
        <v>75.738095238095241</v>
      </c>
      <c r="AC49" s="182">
        <f t="shared" si="38"/>
        <v>9</v>
      </c>
      <c r="AD49" s="385"/>
      <c r="AE49" s="182">
        <v>20</v>
      </c>
      <c r="AF49" s="166">
        <v>1331.0425531914893</v>
      </c>
      <c r="AG49" s="166">
        <v>66.552127659574467</v>
      </c>
      <c r="AH49" s="182">
        <f t="shared" si="40"/>
        <v>9</v>
      </c>
      <c r="AI49" s="385"/>
      <c r="AJ49" s="182">
        <v>18</v>
      </c>
      <c r="AK49" s="166">
        <v>1322.8163265306125</v>
      </c>
      <c r="AL49" s="166">
        <v>73.489795918367363</v>
      </c>
      <c r="AM49" s="182">
        <f t="shared" si="42"/>
        <v>9</v>
      </c>
      <c r="AN49" s="385"/>
      <c r="AO49" s="182">
        <v>18</v>
      </c>
      <c r="AP49" s="166">
        <v>1310.6666666666661</v>
      </c>
      <c r="AQ49" s="166">
        <v>72.814814814814781</v>
      </c>
      <c r="AR49" s="182">
        <f t="shared" si="44"/>
        <v>9</v>
      </c>
      <c r="AS49" s="385"/>
      <c r="AT49" s="182">
        <v>18</v>
      </c>
      <c r="AU49" s="166">
        <v>1318.3659574468088</v>
      </c>
      <c r="AV49" s="166">
        <v>73.242553191489378</v>
      </c>
      <c r="AW49" s="182">
        <f t="shared" si="46"/>
        <v>9</v>
      </c>
      <c r="AX49" s="385"/>
      <c r="AZ49" s="182" t="e">
        <f t="shared" si="48"/>
        <v>#N/A</v>
      </c>
      <c r="BA49" s="385"/>
    </row>
    <row r="50" spans="2:53">
      <c r="B50" s="395"/>
      <c r="C50" s="182">
        <v>4</v>
      </c>
      <c r="D50" s="203" t="s">
        <v>362</v>
      </c>
      <c r="E50" s="166">
        <v>16</v>
      </c>
      <c r="F50" s="182">
        <v>1440</v>
      </c>
      <c r="G50" s="180">
        <v>84.7</v>
      </c>
      <c r="H50" s="402"/>
      <c r="I50" s="166">
        <f t="shared" si="31"/>
        <v>16</v>
      </c>
      <c r="J50" s="166">
        <f t="shared" si="32"/>
        <v>1353.6297093826474</v>
      </c>
      <c r="K50" s="180">
        <f t="shared" si="33"/>
        <v>84.601856836415465</v>
      </c>
      <c r="L50" s="402"/>
      <c r="M50" s="166">
        <f>RANK(K50, K$47:$K$61)</f>
        <v>8</v>
      </c>
      <c r="N50" s="389"/>
      <c r="O50" s="389"/>
      <c r="P50" s="182">
        <v>16</v>
      </c>
      <c r="Q50" s="166">
        <v>1359.1406249999998</v>
      </c>
      <c r="R50" s="166">
        <v>84.946289062499986</v>
      </c>
      <c r="S50" s="182">
        <f t="shared" si="34"/>
        <v>8</v>
      </c>
      <c r="T50" s="385"/>
      <c r="U50" s="182">
        <v>16</v>
      </c>
      <c r="V50" s="166">
        <v>1343.5102040816332</v>
      </c>
      <c r="W50" s="166">
        <v>83.969387755102076</v>
      </c>
      <c r="X50" s="182">
        <f t="shared" si="36"/>
        <v>8</v>
      </c>
      <c r="Y50" s="385"/>
      <c r="Z50" s="182">
        <v>16</v>
      </c>
      <c r="AA50" s="166">
        <v>1372.4680851063833</v>
      </c>
      <c r="AB50" s="166">
        <v>85.779255319148959</v>
      </c>
      <c r="AC50" s="182">
        <f t="shared" si="38"/>
        <v>8</v>
      </c>
      <c r="AD50" s="385"/>
      <c r="AE50" s="182">
        <v>16</v>
      </c>
      <c r="AF50" s="166">
        <v>1346.9268292682923</v>
      </c>
      <c r="AG50" s="166">
        <v>84.182926829268268</v>
      </c>
      <c r="AH50" s="182">
        <f t="shared" si="40"/>
        <v>8</v>
      </c>
      <c r="AI50" s="385"/>
      <c r="AJ50" s="182">
        <v>16</v>
      </c>
      <c r="AK50" s="166">
        <v>1355.6400000000006</v>
      </c>
      <c r="AL50" s="166">
        <v>84.727500000000035</v>
      </c>
      <c r="AM50" s="182">
        <f t="shared" si="42"/>
        <v>8</v>
      </c>
      <c r="AN50" s="385"/>
      <c r="AO50" s="182">
        <v>16</v>
      </c>
      <c r="AP50" s="166">
        <v>1339.7222222222231</v>
      </c>
      <c r="AQ50" s="166">
        <v>83.732638888888943</v>
      </c>
      <c r="AR50" s="182">
        <f t="shared" si="44"/>
        <v>8</v>
      </c>
      <c r="AS50" s="385"/>
      <c r="AT50" s="182">
        <v>16</v>
      </c>
      <c r="AU50" s="166">
        <v>1357.9999999999995</v>
      </c>
      <c r="AV50" s="166">
        <v>84.874999999999972</v>
      </c>
      <c r="AW50" s="182">
        <f t="shared" si="46"/>
        <v>8</v>
      </c>
      <c r="AX50" s="385"/>
      <c r="AZ50" s="182" t="e">
        <f t="shared" si="48"/>
        <v>#N/A</v>
      </c>
      <c r="BA50" s="385"/>
    </row>
    <row r="51" spans="2:53">
      <c r="B51" s="395"/>
      <c r="C51" s="182">
        <v>5</v>
      </c>
      <c r="D51" s="203" t="s">
        <v>400</v>
      </c>
      <c r="E51" s="166">
        <v>7</v>
      </c>
      <c r="F51" s="182">
        <v>1500</v>
      </c>
      <c r="G51" s="180">
        <v>214.3</v>
      </c>
      <c r="H51" s="402"/>
      <c r="I51" s="166">
        <f t="shared" si="31"/>
        <v>7</v>
      </c>
      <c r="J51" s="166">
        <f t="shared" si="32"/>
        <v>1467.3471279473451</v>
      </c>
      <c r="K51" s="180">
        <f t="shared" si="33"/>
        <v>209.62101827819214</v>
      </c>
      <c r="L51" s="402"/>
      <c r="M51" s="166">
        <f>RANK(K51, K$47:$K$61)</f>
        <v>3</v>
      </c>
      <c r="N51" s="389"/>
      <c r="O51" s="389"/>
      <c r="P51" s="182">
        <v>7</v>
      </c>
      <c r="Q51" s="166">
        <v>1450</v>
      </c>
      <c r="R51" s="166">
        <v>207.14285714285714</v>
      </c>
      <c r="S51" s="182">
        <f t="shared" si="34"/>
        <v>3</v>
      </c>
      <c r="T51" s="385"/>
      <c r="U51" s="182">
        <v>7</v>
      </c>
      <c r="V51" s="166">
        <v>1470.6122448979597</v>
      </c>
      <c r="W51" s="166">
        <v>210.08746355685139</v>
      </c>
      <c r="X51" s="182">
        <f t="shared" si="36"/>
        <v>1</v>
      </c>
      <c r="Y51" s="385"/>
      <c r="Z51" s="182">
        <v>7</v>
      </c>
      <c r="AA51" s="166">
        <v>1473.8931297709923</v>
      </c>
      <c r="AB51" s="166">
        <v>210.55616139585604</v>
      </c>
      <c r="AC51" s="182">
        <f t="shared" si="38"/>
        <v>2</v>
      </c>
      <c r="AD51" s="385"/>
      <c r="AE51" s="182">
        <v>7</v>
      </c>
      <c r="AF51" s="166">
        <v>1455.9292035398237</v>
      </c>
      <c r="AG51" s="166">
        <v>207.98988621997481</v>
      </c>
      <c r="AH51" s="182">
        <f t="shared" si="40"/>
        <v>4</v>
      </c>
      <c r="AI51" s="385"/>
      <c r="AJ51" s="182">
        <v>7</v>
      </c>
      <c r="AK51" s="166">
        <v>1460.172413793103</v>
      </c>
      <c r="AL51" s="166">
        <v>208.59605911330044</v>
      </c>
      <c r="AM51" s="182">
        <f t="shared" si="42"/>
        <v>3</v>
      </c>
      <c r="AN51" s="385"/>
      <c r="AO51" s="182">
        <v>7</v>
      </c>
      <c r="AP51" s="166">
        <v>1473.6170212765956</v>
      </c>
      <c r="AQ51" s="166">
        <v>210.51671732522794</v>
      </c>
      <c r="AR51" s="182">
        <f t="shared" si="44"/>
        <v>1</v>
      </c>
      <c r="AS51" s="385"/>
      <c r="AT51" s="182">
        <v>7</v>
      </c>
      <c r="AU51" s="166">
        <v>1487.205882352941</v>
      </c>
      <c r="AV51" s="166">
        <v>212.45798319327727</v>
      </c>
      <c r="AW51" s="182">
        <f t="shared" si="46"/>
        <v>1</v>
      </c>
      <c r="AX51" s="385"/>
      <c r="AZ51" s="182" t="e">
        <f t="shared" si="48"/>
        <v>#N/A</v>
      </c>
      <c r="BA51" s="385"/>
    </row>
    <row r="52" spans="2:53">
      <c r="B52" s="395"/>
      <c r="C52" s="182">
        <v>6</v>
      </c>
      <c r="D52" s="203" t="s">
        <v>615</v>
      </c>
      <c r="E52" s="166">
        <v>12</v>
      </c>
      <c r="F52" s="182">
        <v>2000</v>
      </c>
      <c r="G52" s="180">
        <v>166</v>
      </c>
      <c r="H52" s="402"/>
      <c r="I52" s="166">
        <f t="shared" si="31"/>
        <v>12.571428571428571</v>
      </c>
      <c r="J52" s="166">
        <f t="shared" si="32"/>
        <v>1621.9165809498215</v>
      </c>
      <c r="K52" s="180">
        <f t="shared" si="33"/>
        <v>128.92240304907662</v>
      </c>
      <c r="L52" s="402"/>
      <c r="M52" s="166">
        <f>RANK(K52, K$47:$K$61)</f>
        <v>7</v>
      </c>
      <c r="N52" s="389"/>
      <c r="O52" s="389"/>
      <c r="P52" s="182">
        <v>16</v>
      </c>
      <c r="Q52" s="166">
        <v>2095.7368421052647</v>
      </c>
      <c r="R52" s="166">
        <v>130.98355263157904</v>
      </c>
      <c r="S52" s="182">
        <f t="shared" si="34"/>
        <v>7</v>
      </c>
      <c r="T52" s="385"/>
      <c r="U52" s="182">
        <v>12</v>
      </c>
      <c r="V52" s="166">
        <v>1568.7236842105269</v>
      </c>
      <c r="W52" s="166">
        <v>130.72697368421058</v>
      </c>
      <c r="X52" s="182">
        <f t="shared" si="36"/>
        <v>5</v>
      </c>
      <c r="Y52" s="385"/>
      <c r="Z52" s="182">
        <v>12</v>
      </c>
      <c r="AA52" s="166">
        <v>1525.2162162162169</v>
      </c>
      <c r="AB52" s="166">
        <v>127.10135135135141</v>
      </c>
      <c r="AC52" s="182">
        <f t="shared" si="38"/>
        <v>7</v>
      </c>
      <c r="AD52" s="385"/>
      <c r="AE52" s="182">
        <v>12</v>
      </c>
      <c r="AF52" s="166">
        <v>1540.1904761904759</v>
      </c>
      <c r="AG52" s="166">
        <v>128.34920634920633</v>
      </c>
      <c r="AH52" s="182">
        <f t="shared" si="40"/>
        <v>5</v>
      </c>
      <c r="AI52" s="385"/>
      <c r="AJ52" s="182">
        <v>12</v>
      </c>
      <c r="AK52" s="166">
        <v>1568.1774193548383</v>
      </c>
      <c r="AL52" s="166">
        <v>130.6814516129032</v>
      </c>
      <c r="AM52" s="182">
        <f t="shared" si="42"/>
        <v>6</v>
      </c>
      <c r="AN52" s="385"/>
      <c r="AO52" s="182">
        <v>12</v>
      </c>
      <c r="AP52" s="166">
        <v>1534.3714285714289</v>
      </c>
      <c r="AQ52" s="166">
        <v>127.86428571428574</v>
      </c>
      <c r="AR52" s="182">
        <f t="shared" si="44"/>
        <v>5</v>
      </c>
      <c r="AS52" s="385"/>
      <c r="AT52" s="182">
        <v>12</v>
      </c>
      <c r="AU52" s="166">
        <v>1521.0000000000007</v>
      </c>
      <c r="AV52" s="166">
        <v>126.75000000000006</v>
      </c>
      <c r="AW52" s="182">
        <f t="shared" si="46"/>
        <v>6</v>
      </c>
      <c r="AX52" s="385"/>
      <c r="AZ52" s="182" t="e">
        <f t="shared" si="48"/>
        <v>#N/A</v>
      </c>
      <c r="BA52" s="385"/>
    </row>
    <row r="53" spans="2:53">
      <c r="B53" s="395"/>
      <c r="C53" s="182">
        <v>7</v>
      </c>
      <c r="D53" s="203" t="s">
        <v>594</v>
      </c>
      <c r="E53" s="166">
        <v>7</v>
      </c>
      <c r="F53" s="182">
        <v>1500</v>
      </c>
      <c r="G53" s="180">
        <v>214.3</v>
      </c>
      <c r="H53" s="402"/>
      <c r="I53" s="166">
        <f t="shared" si="31"/>
        <v>7</v>
      </c>
      <c r="J53" s="166">
        <f t="shared" si="32"/>
        <v>1454.8809833034807</v>
      </c>
      <c r="K53" s="180">
        <f t="shared" si="33"/>
        <v>207.84014047192582</v>
      </c>
      <c r="L53" s="402"/>
      <c r="M53" s="166">
        <f>RANK(K53, K$47:$K$61)</f>
        <v>4</v>
      </c>
      <c r="N53" s="389"/>
      <c r="O53" s="389"/>
      <c r="P53" s="182">
        <v>7</v>
      </c>
      <c r="Q53" s="166">
        <v>1438.6363636363635</v>
      </c>
      <c r="R53" s="166">
        <v>205.51948051948051</v>
      </c>
      <c r="S53" s="182">
        <f t="shared" si="34"/>
        <v>4</v>
      </c>
      <c r="T53" s="385"/>
      <c r="U53" s="182">
        <v>7</v>
      </c>
      <c r="V53" s="166">
        <v>1466.8965517241377</v>
      </c>
      <c r="W53" s="166">
        <v>209.5566502463054</v>
      </c>
      <c r="X53" s="182">
        <f t="shared" si="36"/>
        <v>3</v>
      </c>
      <c r="Y53" s="385"/>
      <c r="Z53" s="182">
        <v>7</v>
      </c>
      <c r="AA53" s="166">
        <v>1464.8275862068963</v>
      </c>
      <c r="AB53" s="166">
        <v>209.26108374384233</v>
      </c>
      <c r="AC53" s="182">
        <f t="shared" si="38"/>
        <v>4</v>
      </c>
      <c r="AD53" s="385"/>
      <c r="AE53" s="182">
        <v>7</v>
      </c>
      <c r="AF53" s="166">
        <v>1463.0136986301372</v>
      </c>
      <c r="AG53" s="166">
        <v>209.00195694716245</v>
      </c>
      <c r="AH53" s="182">
        <f t="shared" si="40"/>
        <v>3</v>
      </c>
      <c r="AI53" s="385"/>
      <c r="AJ53" s="182">
        <v>7</v>
      </c>
      <c r="AK53" s="166">
        <v>1434.166666666667</v>
      </c>
      <c r="AL53" s="166">
        <v>204.88095238095244</v>
      </c>
      <c r="AM53" s="182">
        <f t="shared" si="42"/>
        <v>4</v>
      </c>
      <c r="AN53" s="385"/>
      <c r="AO53" s="182">
        <v>7</v>
      </c>
      <c r="AP53" s="166">
        <v>1458.3333333333337</v>
      </c>
      <c r="AQ53" s="166">
        <v>208.3333333333334</v>
      </c>
      <c r="AR53" s="182">
        <f t="shared" si="44"/>
        <v>3</v>
      </c>
      <c r="AS53" s="385"/>
      <c r="AT53" s="182">
        <v>7</v>
      </c>
      <c r="AU53" s="166">
        <v>1458.2926829268288</v>
      </c>
      <c r="AV53" s="166">
        <v>208.3275261324041</v>
      </c>
      <c r="AW53" s="182">
        <f t="shared" si="46"/>
        <v>4</v>
      </c>
      <c r="AX53" s="385"/>
      <c r="AZ53" s="182" t="e">
        <f t="shared" si="48"/>
        <v>#N/A</v>
      </c>
      <c r="BA53" s="385"/>
    </row>
    <row r="54" spans="2:53">
      <c r="B54" s="395"/>
      <c r="C54" s="182">
        <v>8</v>
      </c>
      <c r="D54" s="203" t="s">
        <v>734</v>
      </c>
      <c r="E54" s="166">
        <v>12</v>
      </c>
      <c r="F54" s="182">
        <v>2000</v>
      </c>
      <c r="G54" s="180">
        <v>166</v>
      </c>
      <c r="H54" s="402"/>
      <c r="I54" s="166">
        <f t="shared" si="31"/>
        <v>12.857142857142858</v>
      </c>
      <c r="J54" s="166">
        <f t="shared" si="32"/>
        <v>1759.6509749120232</v>
      </c>
      <c r="K54" s="180">
        <f t="shared" si="33"/>
        <v>133.27763726507766</v>
      </c>
      <c r="L54" s="402"/>
      <c r="M54" s="166">
        <f>RANK(K54, K$47:$K$61)</f>
        <v>6</v>
      </c>
      <c r="N54" s="389"/>
      <c r="O54" s="389"/>
      <c r="P54" s="182">
        <v>18</v>
      </c>
      <c r="Q54" s="166">
        <v>3366.7058823529219</v>
      </c>
      <c r="R54" s="166">
        <v>187.03921568627345</v>
      </c>
      <c r="S54" s="182">
        <f t="shared" si="34"/>
        <v>6</v>
      </c>
      <c r="T54" s="385"/>
      <c r="U54" s="182">
        <v>12</v>
      </c>
      <c r="V54" s="166">
        <v>1487.7452054794521</v>
      </c>
      <c r="W54" s="166">
        <v>123.97876712328768</v>
      </c>
      <c r="X54" s="182">
        <f t="shared" si="36"/>
        <v>7</v>
      </c>
      <c r="Y54" s="385"/>
      <c r="Z54" s="182">
        <v>12</v>
      </c>
      <c r="AA54" s="166">
        <v>1528.6874999999995</v>
      </c>
      <c r="AB54" s="166">
        <v>127.39062499999996</v>
      </c>
      <c r="AC54" s="182">
        <f t="shared" si="38"/>
        <v>5</v>
      </c>
      <c r="AD54" s="385"/>
      <c r="AE54" s="182">
        <v>12</v>
      </c>
      <c r="AF54" s="166">
        <v>1499.7473684210518</v>
      </c>
      <c r="AG54" s="166">
        <v>124.97894736842098</v>
      </c>
      <c r="AH54" s="182">
        <f t="shared" si="40"/>
        <v>7</v>
      </c>
      <c r="AI54" s="385"/>
      <c r="AJ54" s="182">
        <v>12</v>
      </c>
      <c r="AK54" s="166">
        <v>1478.5833333333337</v>
      </c>
      <c r="AL54" s="166">
        <v>123.21527777777781</v>
      </c>
      <c r="AM54" s="182">
        <f t="shared" si="42"/>
        <v>7</v>
      </c>
      <c r="AN54" s="385"/>
      <c r="AO54" s="182">
        <v>12</v>
      </c>
      <c r="AP54" s="166">
        <v>1482.2950819672137</v>
      </c>
      <c r="AQ54" s="166">
        <v>123.52459016393448</v>
      </c>
      <c r="AR54" s="182">
        <f t="shared" si="44"/>
        <v>7</v>
      </c>
      <c r="AS54" s="385"/>
      <c r="AT54" s="182">
        <v>12</v>
      </c>
      <c r="AU54" s="166">
        <v>1473.7924528301896</v>
      </c>
      <c r="AV54" s="166">
        <v>122.81603773584914</v>
      </c>
      <c r="AW54" s="182">
        <f t="shared" si="46"/>
        <v>7</v>
      </c>
      <c r="AX54" s="385"/>
      <c r="AZ54" s="182" t="e">
        <f t="shared" si="48"/>
        <v>#N/A</v>
      </c>
      <c r="BA54" s="385"/>
    </row>
    <row r="55" spans="2:53">
      <c r="B55" s="395"/>
      <c r="C55" s="182">
        <v>9</v>
      </c>
      <c r="D55" s="203" t="s">
        <v>735</v>
      </c>
      <c r="E55" s="166">
        <v>12</v>
      </c>
      <c r="F55" s="182">
        <v>2000</v>
      </c>
      <c r="G55" s="180">
        <v>166</v>
      </c>
      <c r="H55" s="402"/>
      <c r="I55" s="166">
        <f t="shared" si="31"/>
        <v>12.857142857142858</v>
      </c>
      <c r="J55" s="166">
        <f t="shared" si="32"/>
        <v>1805.7247377851775</v>
      </c>
      <c r="K55" s="180">
        <f t="shared" si="33"/>
        <v>137.00288307834225</v>
      </c>
      <c r="L55" s="402"/>
      <c r="M55" s="166">
        <f>RANK(K55, K$47:$K$61)</f>
        <v>5</v>
      </c>
      <c r="N55" s="389"/>
      <c r="O55" s="389"/>
      <c r="P55" s="182">
        <v>18</v>
      </c>
      <c r="Q55" s="166">
        <v>3395.4929577464795</v>
      </c>
      <c r="R55" s="166">
        <v>188.6384976525822</v>
      </c>
      <c r="S55" s="182"/>
      <c r="T55" s="385"/>
      <c r="U55" s="182">
        <v>12</v>
      </c>
      <c r="V55" s="166">
        <v>1504.1739130434783</v>
      </c>
      <c r="W55" s="166">
        <v>125.34782608695652</v>
      </c>
      <c r="X55" s="182"/>
      <c r="Y55" s="385"/>
      <c r="Z55" s="182">
        <v>12</v>
      </c>
      <c r="AA55" s="166">
        <v>1527.2999999999995</v>
      </c>
      <c r="AB55" s="166">
        <v>127.27499999999996</v>
      </c>
      <c r="AC55" s="182">
        <f t="shared" si="38"/>
        <v>6</v>
      </c>
      <c r="AD55" s="385"/>
      <c r="AE55" s="182">
        <v>12</v>
      </c>
      <c r="AF55" s="166">
        <v>1522.7076923076941</v>
      </c>
      <c r="AG55" s="166">
        <v>126.89230769230784</v>
      </c>
      <c r="AH55" s="182">
        <f t="shared" si="40"/>
        <v>6</v>
      </c>
      <c r="AI55" s="385"/>
      <c r="AJ55" s="182">
        <v>12</v>
      </c>
      <c r="AK55" s="166">
        <v>1608.7272727272632</v>
      </c>
      <c r="AL55" s="166">
        <v>134.06060606060527</v>
      </c>
      <c r="AM55" s="182">
        <f t="shared" si="42"/>
        <v>5</v>
      </c>
      <c r="AN55" s="385"/>
      <c r="AO55" s="182">
        <v>12</v>
      </c>
      <c r="AP55" s="166">
        <v>1520.3076923076917</v>
      </c>
      <c r="AQ55" s="166">
        <v>126.69230769230764</v>
      </c>
      <c r="AR55" s="182">
        <f t="shared" si="44"/>
        <v>6</v>
      </c>
      <c r="AS55" s="385"/>
      <c r="AT55" s="182">
        <v>12</v>
      </c>
      <c r="AU55" s="166">
        <v>1561.3636363636365</v>
      </c>
      <c r="AV55" s="166">
        <v>130.11363636363637</v>
      </c>
      <c r="AW55" s="182">
        <f t="shared" si="46"/>
        <v>5</v>
      </c>
      <c r="AX55" s="385"/>
      <c r="AZ55" s="182" t="e">
        <f t="shared" si="48"/>
        <v>#N/A</v>
      </c>
      <c r="BA55" s="385"/>
    </row>
    <row r="56" spans="2:53">
      <c r="B56" s="395"/>
      <c r="C56" s="182">
        <v>10</v>
      </c>
      <c r="D56" s="203"/>
      <c r="E56" s="166"/>
      <c r="F56" s="182"/>
      <c r="G56" s="180"/>
      <c r="H56" s="402"/>
      <c r="I56" s="166" t="str">
        <f t="shared" si="31"/>
        <v>-</v>
      </c>
      <c r="J56" s="166" t="str">
        <f t="shared" si="32"/>
        <v>-</v>
      </c>
      <c r="K56" s="180" t="str">
        <f t="shared" si="33"/>
        <v>-</v>
      </c>
      <c r="L56" s="402"/>
      <c r="M56" s="166" t="e">
        <f>RANK(K56, K$47:$K$61)</f>
        <v>#VALUE!</v>
      </c>
      <c r="N56" s="389"/>
      <c r="O56" s="389"/>
      <c r="P56" s="182" t="s">
        <v>634</v>
      </c>
      <c r="Q56" s="166" t="s">
        <v>634</v>
      </c>
      <c r="R56" s="166" t="s">
        <v>634</v>
      </c>
      <c r="S56" s="182"/>
      <c r="T56" s="385"/>
      <c r="U56" s="182" t="s">
        <v>634</v>
      </c>
      <c r="V56" s="166" t="s">
        <v>634</v>
      </c>
      <c r="W56" s="166" t="s">
        <v>634</v>
      </c>
      <c r="X56" s="182"/>
      <c r="Y56" s="385"/>
      <c r="Z56" s="182" t="s">
        <v>634</v>
      </c>
      <c r="AA56" s="166" t="s">
        <v>634</v>
      </c>
      <c r="AB56" s="166" t="s">
        <v>634</v>
      </c>
      <c r="AC56" s="182"/>
      <c r="AD56" s="385"/>
      <c r="AE56" s="182" t="s">
        <v>634</v>
      </c>
      <c r="AF56" s="166" t="s">
        <v>634</v>
      </c>
      <c r="AG56" s="166" t="s">
        <v>634</v>
      </c>
      <c r="AH56" s="182"/>
      <c r="AI56" s="385"/>
      <c r="AJ56" s="182" t="s">
        <v>634</v>
      </c>
      <c r="AK56" s="166" t="s">
        <v>634</v>
      </c>
      <c r="AL56" s="166" t="s">
        <v>634</v>
      </c>
      <c r="AM56" s="182"/>
      <c r="AN56" s="385"/>
      <c r="AO56" s="182" t="s">
        <v>634</v>
      </c>
      <c r="AP56" s="166" t="s">
        <v>634</v>
      </c>
      <c r="AQ56" s="166" t="s">
        <v>634</v>
      </c>
      <c r="AR56" s="182"/>
      <c r="AS56" s="385"/>
      <c r="AT56" s="182" t="s">
        <v>634</v>
      </c>
      <c r="AU56" s="166" t="s">
        <v>634</v>
      </c>
      <c r="AV56" s="166" t="s">
        <v>634</v>
      </c>
      <c r="AW56" s="182"/>
      <c r="AX56" s="385"/>
      <c r="AZ56" s="182" t="e">
        <f t="shared" si="48"/>
        <v>#N/A</v>
      </c>
      <c r="BA56" s="385"/>
    </row>
    <row r="57" spans="2:53">
      <c r="B57" s="395"/>
      <c r="C57" s="182">
        <v>11</v>
      </c>
      <c r="D57" s="203"/>
      <c r="E57" s="166"/>
      <c r="F57" s="182"/>
      <c r="G57" s="180"/>
      <c r="H57" s="402"/>
      <c r="I57" s="166" t="str">
        <f t="shared" si="31"/>
        <v>-</v>
      </c>
      <c r="J57" s="166" t="str">
        <f t="shared" si="32"/>
        <v>-</v>
      </c>
      <c r="K57" s="180" t="str">
        <f t="shared" si="33"/>
        <v>-</v>
      </c>
      <c r="L57" s="402"/>
      <c r="M57" s="166" t="e">
        <f>RANK(K57, K$47:$K$61)</f>
        <v>#VALUE!</v>
      </c>
      <c r="N57" s="389"/>
      <c r="O57" s="389"/>
      <c r="P57" s="182" t="s">
        <v>634</v>
      </c>
      <c r="Q57" s="166" t="s">
        <v>634</v>
      </c>
      <c r="R57" s="166" t="s">
        <v>634</v>
      </c>
      <c r="S57" s="182"/>
      <c r="T57" s="385"/>
      <c r="U57" s="182" t="s">
        <v>634</v>
      </c>
      <c r="V57" s="166" t="s">
        <v>634</v>
      </c>
      <c r="W57" s="166" t="s">
        <v>634</v>
      </c>
      <c r="X57" s="182"/>
      <c r="Y57" s="385"/>
      <c r="Z57" s="182" t="s">
        <v>634</v>
      </c>
      <c r="AA57" s="166" t="s">
        <v>634</v>
      </c>
      <c r="AB57" s="166" t="s">
        <v>634</v>
      </c>
      <c r="AC57" s="182"/>
      <c r="AD57" s="385"/>
      <c r="AE57" s="182" t="s">
        <v>634</v>
      </c>
      <c r="AF57" s="166" t="s">
        <v>634</v>
      </c>
      <c r="AG57" s="166" t="s">
        <v>634</v>
      </c>
      <c r="AH57" s="182"/>
      <c r="AI57" s="385"/>
      <c r="AJ57" s="182" t="s">
        <v>634</v>
      </c>
      <c r="AK57" s="166" t="s">
        <v>634</v>
      </c>
      <c r="AL57" s="166" t="s">
        <v>634</v>
      </c>
      <c r="AM57" s="182"/>
      <c r="AN57" s="385"/>
      <c r="AO57" s="182" t="s">
        <v>634</v>
      </c>
      <c r="AP57" s="166" t="s">
        <v>634</v>
      </c>
      <c r="AQ57" s="166" t="s">
        <v>634</v>
      </c>
      <c r="AR57" s="182"/>
      <c r="AS57" s="385"/>
      <c r="AT57" s="182" t="s">
        <v>634</v>
      </c>
      <c r="AU57" s="166" t="s">
        <v>634</v>
      </c>
      <c r="AV57" s="166" t="s">
        <v>634</v>
      </c>
      <c r="AW57" s="182"/>
      <c r="AX57" s="385"/>
      <c r="AZ57" s="182" t="e">
        <f t="shared" si="48"/>
        <v>#N/A</v>
      </c>
      <c r="BA57" s="385"/>
    </row>
    <row r="58" spans="2:53">
      <c r="B58" s="395"/>
      <c r="C58" s="182">
        <v>12</v>
      </c>
      <c r="D58" s="203"/>
      <c r="E58" s="166"/>
      <c r="F58" s="182"/>
      <c r="G58" s="180"/>
      <c r="H58" s="402"/>
      <c r="I58" s="166" t="str">
        <f t="shared" si="31"/>
        <v>-</v>
      </c>
      <c r="J58" s="166" t="str">
        <f t="shared" si="32"/>
        <v>-</v>
      </c>
      <c r="K58" s="180" t="str">
        <f t="shared" si="33"/>
        <v>-</v>
      </c>
      <c r="L58" s="402"/>
      <c r="M58" s="166" t="e">
        <f>RANK(K58, K$47:$K$61)</f>
        <v>#VALUE!</v>
      </c>
      <c r="N58" s="389"/>
      <c r="O58" s="389"/>
      <c r="P58" s="182" t="s">
        <v>634</v>
      </c>
      <c r="Q58" s="166" t="s">
        <v>634</v>
      </c>
      <c r="R58" s="166" t="s">
        <v>634</v>
      </c>
      <c r="S58" s="182"/>
      <c r="T58" s="385"/>
      <c r="U58" s="182" t="s">
        <v>634</v>
      </c>
      <c r="V58" s="166" t="s">
        <v>634</v>
      </c>
      <c r="W58" s="166" t="s">
        <v>634</v>
      </c>
      <c r="X58" s="182"/>
      <c r="Y58" s="385"/>
      <c r="Z58" s="182" t="s">
        <v>634</v>
      </c>
      <c r="AA58" s="166" t="s">
        <v>634</v>
      </c>
      <c r="AB58" s="166" t="s">
        <v>634</v>
      </c>
      <c r="AC58" s="182"/>
      <c r="AD58" s="385"/>
      <c r="AE58" s="182" t="s">
        <v>634</v>
      </c>
      <c r="AF58" s="166" t="s">
        <v>634</v>
      </c>
      <c r="AG58" s="166" t="s">
        <v>634</v>
      </c>
      <c r="AH58" s="182"/>
      <c r="AI58" s="385"/>
      <c r="AJ58" s="182" t="s">
        <v>634</v>
      </c>
      <c r="AK58" s="166" t="s">
        <v>634</v>
      </c>
      <c r="AL58" s="166" t="s">
        <v>634</v>
      </c>
      <c r="AM58" s="182"/>
      <c r="AN58" s="385"/>
      <c r="AO58" s="182" t="s">
        <v>634</v>
      </c>
      <c r="AP58" s="166" t="s">
        <v>634</v>
      </c>
      <c r="AQ58" s="166" t="s">
        <v>634</v>
      </c>
      <c r="AR58" s="182"/>
      <c r="AS58" s="385"/>
      <c r="AT58" s="182" t="s">
        <v>634</v>
      </c>
      <c r="AU58" s="166" t="s">
        <v>634</v>
      </c>
      <c r="AV58" s="166" t="s">
        <v>634</v>
      </c>
      <c r="AW58" s="182"/>
      <c r="AX58" s="385"/>
      <c r="AZ58" s="182" t="e">
        <f t="shared" si="48"/>
        <v>#N/A</v>
      </c>
      <c r="BA58" s="385"/>
    </row>
    <row r="59" spans="2:53">
      <c r="B59" s="395"/>
      <c r="C59" s="182">
        <v>13</v>
      </c>
      <c r="D59" s="203"/>
      <c r="E59" s="166"/>
      <c r="F59" s="182"/>
      <c r="G59" s="180"/>
      <c r="H59" s="402"/>
      <c r="I59" s="166" t="str">
        <f t="shared" si="31"/>
        <v>-</v>
      </c>
      <c r="J59" s="166" t="str">
        <f t="shared" si="32"/>
        <v>-</v>
      </c>
      <c r="K59" s="180" t="str">
        <f t="shared" si="33"/>
        <v>-</v>
      </c>
      <c r="L59" s="402"/>
      <c r="M59" s="166" t="e">
        <f>RANK(K59, K$47:$K$61)</f>
        <v>#VALUE!</v>
      </c>
      <c r="N59" s="389"/>
      <c r="O59" s="389"/>
      <c r="P59" s="182" t="s">
        <v>634</v>
      </c>
      <c r="Q59" s="166" t="s">
        <v>634</v>
      </c>
      <c r="R59" s="166" t="s">
        <v>634</v>
      </c>
      <c r="S59" s="182"/>
      <c r="T59" s="385"/>
      <c r="U59" s="182" t="s">
        <v>634</v>
      </c>
      <c r="V59" s="166" t="s">
        <v>634</v>
      </c>
      <c r="W59" s="166" t="s">
        <v>634</v>
      </c>
      <c r="X59" s="182"/>
      <c r="Y59" s="385"/>
      <c r="Z59" s="182" t="s">
        <v>634</v>
      </c>
      <c r="AA59" s="166" t="s">
        <v>634</v>
      </c>
      <c r="AB59" s="166" t="s">
        <v>634</v>
      </c>
      <c r="AC59" s="182"/>
      <c r="AD59" s="385"/>
      <c r="AE59" s="182" t="s">
        <v>634</v>
      </c>
      <c r="AF59" s="166" t="s">
        <v>634</v>
      </c>
      <c r="AG59" s="166" t="s">
        <v>634</v>
      </c>
      <c r="AH59" s="182"/>
      <c r="AI59" s="385"/>
      <c r="AJ59" s="182" t="s">
        <v>634</v>
      </c>
      <c r="AK59" s="166" t="s">
        <v>634</v>
      </c>
      <c r="AL59" s="166" t="s">
        <v>634</v>
      </c>
      <c r="AM59" s="182"/>
      <c r="AN59" s="385"/>
      <c r="AO59" s="182" t="s">
        <v>634</v>
      </c>
      <c r="AP59" s="166" t="s">
        <v>634</v>
      </c>
      <c r="AQ59" s="166" t="s">
        <v>634</v>
      </c>
      <c r="AR59" s="182"/>
      <c r="AS59" s="385"/>
      <c r="AT59" s="182" t="s">
        <v>634</v>
      </c>
      <c r="AU59" s="166" t="s">
        <v>634</v>
      </c>
      <c r="AV59" s="166" t="s">
        <v>634</v>
      </c>
      <c r="AW59" s="182"/>
      <c r="AX59" s="385"/>
      <c r="AZ59" s="182" t="e">
        <f t="shared" si="48"/>
        <v>#N/A</v>
      </c>
      <c r="BA59" s="385"/>
    </row>
    <row r="60" spans="2:53">
      <c r="B60" s="395"/>
      <c r="C60" s="182">
        <v>14</v>
      </c>
      <c r="D60" s="203"/>
      <c r="E60" s="166"/>
      <c r="F60" s="182"/>
      <c r="G60" s="180"/>
      <c r="H60" s="402"/>
      <c r="I60" s="166" t="str">
        <f t="shared" si="31"/>
        <v>-</v>
      </c>
      <c r="J60" s="166" t="str">
        <f t="shared" si="32"/>
        <v>-</v>
      </c>
      <c r="K60" s="180" t="str">
        <f t="shared" si="33"/>
        <v>-</v>
      </c>
      <c r="L60" s="402"/>
      <c r="M60" s="166" t="e">
        <f>RANK(K60, K$47:$K$61)</f>
        <v>#VALUE!</v>
      </c>
      <c r="N60" s="389"/>
      <c r="O60" s="389"/>
      <c r="P60" s="182" t="s">
        <v>634</v>
      </c>
      <c r="Q60" s="166" t="s">
        <v>634</v>
      </c>
      <c r="R60" s="166" t="s">
        <v>634</v>
      </c>
      <c r="S60" s="182"/>
      <c r="T60" s="385"/>
      <c r="U60" s="182" t="s">
        <v>634</v>
      </c>
      <c r="V60" s="166" t="s">
        <v>634</v>
      </c>
      <c r="W60" s="166" t="s">
        <v>634</v>
      </c>
      <c r="X60" s="182"/>
      <c r="Y60" s="385"/>
      <c r="Z60" s="182" t="s">
        <v>634</v>
      </c>
      <c r="AA60" s="166" t="s">
        <v>634</v>
      </c>
      <c r="AB60" s="166" t="s">
        <v>634</v>
      </c>
      <c r="AC60" s="182"/>
      <c r="AD60" s="385"/>
      <c r="AE60" s="182" t="s">
        <v>634</v>
      </c>
      <c r="AF60" s="166" t="s">
        <v>634</v>
      </c>
      <c r="AG60" s="166" t="s">
        <v>634</v>
      </c>
      <c r="AH60" s="182"/>
      <c r="AI60" s="385"/>
      <c r="AJ60" s="182" t="s">
        <v>634</v>
      </c>
      <c r="AK60" s="166" t="s">
        <v>634</v>
      </c>
      <c r="AL60" s="166" t="s">
        <v>634</v>
      </c>
      <c r="AM60" s="182"/>
      <c r="AN60" s="385"/>
      <c r="AO60" s="182" t="s">
        <v>634</v>
      </c>
      <c r="AP60" s="166" t="s">
        <v>634</v>
      </c>
      <c r="AQ60" s="166" t="s">
        <v>634</v>
      </c>
      <c r="AR60" s="182"/>
      <c r="AS60" s="385"/>
      <c r="AT60" s="182" t="s">
        <v>634</v>
      </c>
      <c r="AU60" s="166" t="s">
        <v>634</v>
      </c>
      <c r="AV60" s="166" t="s">
        <v>634</v>
      </c>
      <c r="AW60" s="182"/>
      <c r="AX60" s="385"/>
      <c r="AZ60" s="182" t="e">
        <f t="shared" si="48"/>
        <v>#N/A</v>
      </c>
      <c r="BA60" s="385"/>
    </row>
    <row r="61" spans="2:53">
      <c r="B61" s="395"/>
      <c r="C61" s="182">
        <v>15</v>
      </c>
      <c r="D61" s="203"/>
      <c r="E61" s="166"/>
      <c r="F61" s="182"/>
      <c r="G61" s="180"/>
      <c r="H61" s="403"/>
      <c r="I61" s="182"/>
      <c r="J61" s="182"/>
      <c r="K61" s="182"/>
      <c r="L61" s="403"/>
      <c r="M61" s="166" t="e">
        <f>RANK(K61, K$47:$K$61)</f>
        <v>#N/A</v>
      </c>
      <c r="N61" s="389"/>
      <c r="O61" s="389"/>
      <c r="P61" s="182" t="s">
        <v>634</v>
      </c>
      <c r="Q61" s="166" t="s">
        <v>634</v>
      </c>
      <c r="R61" s="166" t="s">
        <v>634</v>
      </c>
      <c r="S61" s="182"/>
      <c r="T61" s="386"/>
      <c r="U61" s="182" t="s">
        <v>634</v>
      </c>
      <c r="V61" s="166" t="s">
        <v>634</v>
      </c>
      <c r="W61" s="166" t="s">
        <v>634</v>
      </c>
      <c r="X61" s="182"/>
      <c r="Y61" s="386"/>
      <c r="Z61" s="182" t="s">
        <v>634</v>
      </c>
      <c r="AA61" s="166" t="s">
        <v>634</v>
      </c>
      <c r="AB61" s="166" t="s">
        <v>634</v>
      </c>
      <c r="AC61" s="182"/>
      <c r="AD61" s="386"/>
      <c r="AE61" s="182" t="s">
        <v>634</v>
      </c>
      <c r="AF61" s="166" t="s">
        <v>634</v>
      </c>
      <c r="AG61" s="166" t="s">
        <v>634</v>
      </c>
      <c r="AH61" s="182"/>
      <c r="AI61" s="386"/>
      <c r="AJ61" s="182" t="s">
        <v>634</v>
      </c>
      <c r="AK61" s="166" t="s">
        <v>634</v>
      </c>
      <c r="AL61" s="166" t="s">
        <v>634</v>
      </c>
      <c r="AM61" s="182"/>
      <c r="AN61" s="386"/>
      <c r="AO61" s="182" t="s">
        <v>634</v>
      </c>
      <c r="AP61" s="166" t="s">
        <v>634</v>
      </c>
      <c r="AQ61" s="166" t="s">
        <v>634</v>
      </c>
      <c r="AR61" s="182"/>
      <c r="AS61" s="386"/>
      <c r="AT61" s="182" t="s">
        <v>634</v>
      </c>
      <c r="AU61" s="166" t="s">
        <v>634</v>
      </c>
      <c r="AV61" s="166" t="s">
        <v>634</v>
      </c>
      <c r="AW61" s="182"/>
      <c r="AX61" s="386"/>
      <c r="AZ61" s="182" t="e">
        <f t="shared" si="48"/>
        <v>#N/A</v>
      </c>
      <c r="BA61" s="386"/>
    </row>
    <row r="62" spans="2:53" ht="15.75">
      <c r="B62" s="414" t="s">
        <v>163</v>
      </c>
      <c r="C62" s="415"/>
      <c r="D62" s="415"/>
      <c r="E62" s="415"/>
      <c r="F62" s="415"/>
      <c r="G62" s="415"/>
      <c r="H62" s="415"/>
      <c r="I62" s="186"/>
      <c r="J62" s="186"/>
      <c r="K62" s="186"/>
      <c r="L62" s="186"/>
      <c r="M62" s="185"/>
      <c r="N62" s="391" t="s">
        <v>156</v>
      </c>
      <c r="O62" s="391" t="s">
        <v>105</v>
      </c>
      <c r="P62" s="413">
        <f>P42+7</f>
        <v>46161</v>
      </c>
      <c r="Q62" s="395"/>
      <c r="R62" s="395"/>
      <c r="S62" s="395"/>
      <c r="T62" s="395"/>
      <c r="U62" s="410">
        <f>P62+1</f>
        <v>46162</v>
      </c>
      <c r="V62" s="411"/>
      <c r="W62" s="411"/>
      <c r="X62" s="411"/>
      <c r="Y62" s="412"/>
      <c r="Z62" s="410">
        <f>U62+1</f>
        <v>46163</v>
      </c>
      <c r="AA62" s="411"/>
      <c r="AB62" s="411"/>
      <c r="AC62" s="411"/>
      <c r="AD62" s="412"/>
      <c r="AE62" s="410">
        <f>Z62+1</f>
        <v>46164</v>
      </c>
      <c r="AF62" s="411"/>
      <c r="AG62" s="411"/>
      <c r="AH62" s="411"/>
      <c r="AI62" s="412"/>
      <c r="AJ62" s="410">
        <f>AE62+1</f>
        <v>46165</v>
      </c>
      <c r="AK62" s="411"/>
      <c r="AL62" s="411"/>
      <c r="AM62" s="411"/>
      <c r="AN62" s="412"/>
      <c r="AO62" s="410">
        <f>AJ62+1</f>
        <v>46166</v>
      </c>
      <c r="AP62" s="411"/>
      <c r="AQ62" s="411"/>
      <c r="AR62" s="411"/>
      <c r="AS62" s="412"/>
      <c r="AT62" s="410">
        <f>AO62+1</f>
        <v>46167</v>
      </c>
      <c r="AU62" s="411"/>
      <c r="AV62" s="411"/>
      <c r="AW62" s="411"/>
      <c r="AX62" s="412"/>
    </row>
    <row r="63" spans="2:53" ht="15.75">
      <c r="B63" s="416"/>
      <c r="C63" s="416"/>
      <c r="D63" s="416"/>
      <c r="E63" s="416"/>
      <c r="F63" s="416"/>
      <c r="G63" s="416"/>
      <c r="H63" s="416"/>
      <c r="I63" s="184"/>
      <c r="J63" s="184"/>
      <c r="K63" s="184"/>
      <c r="L63" s="184"/>
      <c r="M63" s="179"/>
      <c r="N63" s="393"/>
      <c r="O63" s="393"/>
      <c r="P63" s="413" t="s">
        <v>318</v>
      </c>
      <c r="Q63" s="395"/>
      <c r="R63" s="395"/>
      <c r="S63" s="395"/>
      <c r="T63" s="395"/>
      <c r="U63" s="413" t="s">
        <v>319</v>
      </c>
      <c r="V63" s="395"/>
      <c r="W63" s="395"/>
      <c r="X63" s="395"/>
      <c r="Y63" s="395"/>
      <c r="Z63" s="413" t="s">
        <v>320</v>
      </c>
      <c r="AA63" s="395"/>
      <c r="AB63" s="395"/>
      <c r="AC63" s="395"/>
      <c r="AD63" s="395"/>
      <c r="AE63" s="413" t="s">
        <v>321</v>
      </c>
      <c r="AF63" s="395"/>
      <c r="AG63" s="395"/>
      <c r="AH63" s="395"/>
      <c r="AI63" s="395"/>
      <c r="AJ63" s="413" t="s">
        <v>322</v>
      </c>
      <c r="AK63" s="395"/>
      <c r="AL63" s="395"/>
      <c r="AM63" s="395"/>
      <c r="AN63" s="395"/>
      <c r="AO63" s="413" t="s">
        <v>323</v>
      </c>
      <c r="AP63" s="395"/>
      <c r="AQ63" s="395"/>
      <c r="AR63" s="395"/>
      <c r="AS63" s="395"/>
      <c r="AT63" s="413" t="s">
        <v>324</v>
      </c>
      <c r="AU63" s="395"/>
      <c r="AV63" s="395"/>
      <c r="AW63" s="395"/>
      <c r="AX63" s="395"/>
    </row>
    <row r="64" spans="2:53">
      <c r="B64" s="389" t="s">
        <v>419</v>
      </c>
      <c r="C64" s="389" t="s">
        <v>556</v>
      </c>
      <c r="D64" s="389"/>
      <c r="E64" s="389" t="s">
        <v>557</v>
      </c>
      <c r="F64" s="389"/>
      <c r="G64" s="389"/>
      <c r="H64" s="417" t="s">
        <v>558</v>
      </c>
      <c r="I64" s="389" t="s">
        <v>559</v>
      </c>
      <c r="J64" s="389"/>
      <c r="K64" s="389"/>
      <c r="L64" s="417" t="s">
        <v>373</v>
      </c>
      <c r="M64" s="391" t="s">
        <v>560</v>
      </c>
      <c r="N64" s="389"/>
      <c r="O64" s="389" t="s">
        <v>379</v>
      </c>
      <c r="P64" s="404" t="s">
        <v>375</v>
      </c>
      <c r="Q64" s="405"/>
      <c r="R64" s="405"/>
      <c r="S64" s="406"/>
      <c r="T64" s="389" t="s">
        <v>373</v>
      </c>
      <c r="U64" s="404" t="s">
        <v>375</v>
      </c>
      <c r="V64" s="405"/>
      <c r="W64" s="405"/>
      <c r="X64" s="406"/>
      <c r="Y64" s="389" t="s">
        <v>373</v>
      </c>
      <c r="Z64" s="404" t="s">
        <v>375</v>
      </c>
      <c r="AA64" s="405"/>
      <c r="AB64" s="405"/>
      <c r="AC64" s="406"/>
      <c r="AD64" s="389" t="s">
        <v>373</v>
      </c>
      <c r="AE64" s="404" t="s">
        <v>375</v>
      </c>
      <c r="AF64" s="405"/>
      <c r="AG64" s="405"/>
      <c r="AH64" s="406"/>
      <c r="AI64" s="389" t="s">
        <v>373</v>
      </c>
      <c r="AJ64" s="404" t="s">
        <v>375</v>
      </c>
      <c r="AK64" s="405"/>
      <c r="AL64" s="405"/>
      <c r="AM64" s="406"/>
      <c r="AN64" s="389" t="s">
        <v>373</v>
      </c>
      <c r="AO64" s="404" t="s">
        <v>375</v>
      </c>
      <c r="AP64" s="405"/>
      <c r="AQ64" s="405"/>
      <c r="AR64" s="406"/>
      <c r="AS64" s="389" t="s">
        <v>373</v>
      </c>
      <c r="AT64" s="404" t="s">
        <v>375</v>
      </c>
      <c r="AU64" s="405"/>
      <c r="AV64" s="405"/>
      <c r="AW64" s="406"/>
      <c r="AX64" s="389" t="s">
        <v>373</v>
      </c>
      <c r="BA64" s="389" t="s">
        <v>373</v>
      </c>
    </row>
    <row r="65" spans="2:53">
      <c r="B65" s="389"/>
      <c r="C65" s="389"/>
      <c r="D65" s="389"/>
      <c r="E65" s="389" t="s">
        <v>562</v>
      </c>
      <c r="F65" s="389"/>
      <c r="G65" s="389"/>
      <c r="H65" s="418"/>
      <c r="I65" s="389" t="s">
        <v>562</v>
      </c>
      <c r="J65" s="389"/>
      <c r="K65" s="389"/>
      <c r="L65" s="418"/>
      <c r="M65" s="392"/>
      <c r="N65" s="389"/>
      <c r="O65" s="389"/>
      <c r="P65" s="404" t="s">
        <v>381</v>
      </c>
      <c r="Q65" s="405"/>
      <c r="R65" s="405"/>
      <c r="S65" s="406"/>
      <c r="T65" s="389"/>
      <c r="U65" s="404" t="s">
        <v>381</v>
      </c>
      <c r="V65" s="405"/>
      <c r="W65" s="405"/>
      <c r="X65" s="406"/>
      <c r="Y65" s="389"/>
      <c r="Z65" s="404" t="s">
        <v>381</v>
      </c>
      <c r="AA65" s="405"/>
      <c r="AB65" s="405"/>
      <c r="AC65" s="406"/>
      <c r="AD65" s="389"/>
      <c r="AE65" s="404" t="s">
        <v>381</v>
      </c>
      <c r="AF65" s="405"/>
      <c r="AG65" s="405"/>
      <c r="AH65" s="406"/>
      <c r="AI65" s="389"/>
      <c r="AJ65" s="404" t="s">
        <v>381</v>
      </c>
      <c r="AK65" s="405"/>
      <c r="AL65" s="405"/>
      <c r="AM65" s="406"/>
      <c r="AN65" s="389"/>
      <c r="AO65" s="404" t="s">
        <v>381</v>
      </c>
      <c r="AP65" s="405"/>
      <c r="AQ65" s="405"/>
      <c r="AR65" s="406"/>
      <c r="AS65" s="389"/>
      <c r="AT65" s="404" t="s">
        <v>381</v>
      </c>
      <c r="AU65" s="405"/>
      <c r="AV65" s="405"/>
      <c r="AW65" s="406"/>
      <c r="AX65" s="389"/>
      <c r="BA65" s="389"/>
    </row>
    <row r="66" spans="2:53">
      <c r="B66" s="389"/>
      <c r="C66" s="389"/>
      <c r="D66" s="389"/>
      <c r="E66" s="258" t="s">
        <v>563</v>
      </c>
      <c r="F66" s="258" t="s">
        <v>564</v>
      </c>
      <c r="G66" s="258" t="s">
        <v>565</v>
      </c>
      <c r="H66" s="419"/>
      <c r="I66" s="258" t="s">
        <v>563</v>
      </c>
      <c r="J66" s="258" t="s">
        <v>564</v>
      </c>
      <c r="K66" s="258" t="s">
        <v>565</v>
      </c>
      <c r="L66" s="419"/>
      <c r="M66" s="393"/>
      <c r="N66" s="389"/>
      <c r="O66" s="389"/>
      <c r="P66" s="258" t="s">
        <v>382</v>
      </c>
      <c r="Q66" s="258" t="s">
        <v>383</v>
      </c>
      <c r="R66" s="258" t="s">
        <v>384</v>
      </c>
      <c r="S66" s="258" t="s">
        <v>374</v>
      </c>
      <c r="T66" s="389"/>
      <c r="U66" s="258" t="s">
        <v>382</v>
      </c>
      <c r="V66" s="258" t="s">
        <v>383</v>
      </c>
      <c r="W66" s="258" t="s">
        <v>384</v>
      </c>
      <c r="X66" s="258" t="s">
        <v>374</v>
      </c>
      <c r="Y66" s="389"/>
      <c r="Z66" s="258" t="s">
        <v>382</v>
      </c>
      <c r="AA66" s="258" t="s">
        <v>383</v>
      </c>
      <c r="AB66" s="258" t="s">
        <v>384</v>
      </c>
      <c r="AC66" s="258" t="s">
        <v>374</v>
      </c>
      <c r="AD66" s="389"/>
      <c r="AE66" s="258" t="s">
        <v>382</v>
      </c>
      <c r="AF66" s="258" t="s">
        <v>383</v>
      </c>
      <c r="AG66" s="258" t="s">
        <v>384</v>
      </c>
      <c r="AH66" s="258" t="s">
        <v>374</v>
      </c>
      <c r="AI66" s="389"/>
      <c r="AJ66" s="258" t="s">
        <v>382</v>
      </c>
      <c r="AK66" s="258" t="s">
        <v>383</v>
      </c>
      <c r="AL66" s="258" t="s">
        <v>384</v>
      </c>
      <c r="AM66" s="258" t="s">
        <v>374</v>
      </c>
      <c r="AN66" s="389"/>
      <c r="AO66" s="258" t="s">
        <v>382</v>
      </c>
      <c r="AP66" s="258" t="s">
        <v>383</v>
      </c>
      <c r="AQ66" s="258" t="s">
        <v>384</v>
      </c>
      <c r="AR66" s="258" t="s">
        <v>374</v>
      </c>
      <c r="AS66" s="389"/>
      <c r="AT66" s="258" t="s">
        <v>382</v>
      </c>
      <c r="AU66" s="258" t="s">
        <v>383</v>
      </c>
      <c r="AV66" s="258" t="s">
        <v>384</v>
      </c>
      <c r="AW66" s="258" t="s">
        <v>374</v>
      </c>
      <c r="AX66" s="389"/>
      <c r="AZ66" s="258" t="s">
        <v>374</v>
      </c>
      <c r="BA66" s="389"/>
    </row>
    <row r="67" spans="2:53">
      <c r="B67" s="389" t="s">
        <v>433</v>
      </c>
      <c r="C67" s="182">
        <v>1</v>
      </c>
      <c r="D67" s="203" t="s">
        <v>360</v>
      </c>
      <c r="E67" s="166">
        <v>7</v>
      </c>
      <c r="F67" s="182">
        <v>1500</v>
      </c>
      <c r="G67" s="180">
        <v>214.3</v>
      </c>
      <c r="H67" s="401">
        <f>AVERAGE(G67:G81)</f>
        <v>168.32222222222222</v>
      </c>
      <c r="I67" s="166">
        <f t="shared" ref="I67:I80" si="50">IFERROR(AVERAGE(P67,U67,Z67,AE67,AJ67,AO67,AT67),"-")</f>
        <v>7</v>
      </c>
      <c r="J67" s="166">
        <f t="shared" ref="J67:J80" si="51">IFERROR(AVERAGE(Q67,V67,AA67,AF67,AK67,AP67,AU67),"-")</f>
        <v>1471.6516076024247</v>
      </c>
      <c r="K67" s="180">
        <f t="shared" ref="K67:K80" si="52">IFERROR(AVERAGE(R67,W67,AB67,AG67,AL67,AQ67,AV67),"-")</f>
        <v>210.23594394320352</v>
      </c>
      <c r="L67" s="401">
        <f>IFERROR(AVERAGE(K67:K81),"-")</f>
        <v>153.91805033268773</v>
      </c>
      <c r="M67" s="166">
        <f>RANK(K67, K$67:$K$81)</f>
        <v>3</v>
      </c>
      <c r="N67" s="389"/>
      <c r="O67" s="389"/>
      <c r="P67" s="182">
        <v>7</v>
      </c>
      <c r="Q67" s="166">
        <v>1471.836734693878</v>
      </c>
      <c r="R67" s="166">
        <v>210.262390670554</v>
      </c>
      <c r="S67" s="182">
        <f t="shared" ref="S67:S81" si="53">RANK(R67, R$67:R$81)</f>
        <v>3</v>
      </c>
      <c r="T67" s="384">
        <f t="shared" ref="T67" si="54">AVERAGE(R67:R81)</f>
        <v>153.26360275407865</v>
      </c>
      <c r="U67" s="182">
        <v>7</v>
      </c>
      <c r="V67" s="166">
        <v>1457.5000000000005</v>
      </c>
      <c r="W67" s="166">
        <v>208.21428571428578</v>
      </c>
      <c r="X67" s="182">
        <f t="shared" ref="X67:X81" si="55">RANK(W67, W$67:W$81)</f>
        <v>4</v>
      </c>
      <c r="Y67" s="384">
        <f t="shared" ref="Y67" si="56">AVERAGE(W67:W81)</f>
        <v>153.66510395334365</v>
      </c>
      <c r="Z67" s="182">
        <v>7</v>
      </c>
      <c r="AA67" s="166">
        <v>1496.1702127659578</v>
      </c>
      <c r="AB67" s="166">
        <v>213.73860182370825</v>
      </c>
      <c r="AC67" s="182">
        <f t="shared" ref="AC67:AC81" si="57">RANK(AB67, AB$67:AB$81)</f>
        <v>1</v>
      </c>
      <c r="AD67" s="384">
        <f t="shared" ref="AD67" si="58">AVERAGE(AB67:AB81)</f>
        <v>154.56833792946438</v>
      </c>
      <c r="AE67" s="182">
        <v>7</v>
      </c>
      <c r="AF67" s="166">
        <v>1478.4615384615392</v>
      </c>
      <c r="AG67" s="166">
        <v>211.20879120879133</v>
      </c>
      <c r="AH67" s="182">
        <f t="shared" ref="AH67:AH81" si="59">RANK(AG67, AG$67:AG$81)</f>
        <v>3</v>
      </c>
      <c r="AI67" s="384">
        <f t="shared" ref="AI67" si="60">AVERAGE(AG67:AG81)</f>
        <v>154.36709711625406</v>
      </c>
      <c r="AJ67" s="182">
        <v>7</v>
      </c>
      <c r="AK67" s="166">
        <v>1477.3333333333335</v>
      </c>
      <c r="AL67" s="166">
        <v>211.04761904761907</v>
      </c>
      <c r="AM67" s="182">
        <f t="shared" ref="AM67:AM81" si="61">RANK(AL67, AL$67:AL$81)</f>
        <v>3</v>
      </c>
      <c r="AN67" s="384">
        <f t="shared" ref="AN67" si="62">AVERAGE(AL67:AL81)</f>
        <v>154.35745179958076</v>
      </c>
      <c r="AO67" s="182">
        <v>7</v>
      </c>
      <c r="AP67" s="166">
        <v>1458.7500000000005</v>
      </c>
      <c r="AQ67" s="166">
        <v>208.3928571428572</v>
      </c>
      <c r="AR67" s="182">
        <f t="shared" ref="AR67:AR81" si="63">RANK(AQ67, AQ$67:AQ$81)</f>
        <v>4</v>
      </c>
      <c r="AS67" s="384">
        <f t="shared" ref="AS67" si="64">AVERAGE(AQ67:AQ81)</f>
        <v>153.67091807539313</v>
      </c>
      <c r="AT67" s="182">
        <v>7</v>
      </c>
      <c r="AU67" s="166">
        <v>1461.5094339622638</v>
      </c>
      <c r="AV67" s="166">
        <v>208.7870619946091</v>
      </c>
      <c r="AW67" s="182">
        <f t="shared" ref="AW67:AW81" si="65">RANK(AV67, AV$67:AV$81)</f>
        <v>3</v>
      </c>
      <c r="AX67" s="384">
        <f t="shared" ref="AX67" si="66">AVERAGE(AV67:AV81)</f>
        <v>153.53384070069956</v>
      </c>
      <c r="AZ67" s="182" t="e">
        <f t="shared" ref="AZ67:AZ81" si="67">RANK(AY67, AY$67:AY$81)</f>
        <v>#N/A</v>
      </c>
      <c r="BA67" s="384" t="e">
        <f t="shared" ref="BA67" si="68">AVERAGE(AY67:AY81)</f>
        <v>#DIV/0!</v>
      </c>
    </row>
    <row r="68" spans="2:53">
      <c r="B68" s="395"/>
      <c r="C68" s="182">
        <v>2</v>
      </c>
      <c r="D68" s="203" t="s">
        <v>361</v>
      </c>
      <c r="E68" s="166">
        <v>7</v>
      </c>
      <c r="F68" s="182">
        <v>1500</v>
      </c>
      <c r="G68" s="180">
        <v>214.3</v>
      </c>
      <c r="H68" s="402"/>
      <c r="I68" s="166">
        <f t="shared" si="50"/>
        <v>7</v>
      </c>
      <c r="J68" s="166">
        <f t="shared" si="51"/>
        <v>1484.5065733352287</v>
      </c>
      <c r="K68" s="180">
        <f t="shared" si="52"/>
        <v>212.07236761931836</v>
      </c>
      <c r="L68" s="402"/>
      <c r="M68" s="166">
        <f>RANK(K68, K$67:$K$81)</f>
        <v>2</v>
      </c>
      <c r="N68" s="389"/>
      <c r="O68" s="389"/>
      <c r="P68" s="182">
        <v>7</v>
      </c>
      <c r="Q68" s="166">
        <v>1483.5971223021584</v>
      </c>
      <c r="R68" s="166">
        <v>211.94244604316549</v>
      </c>
      <c r="S68" s="182">
        <f t="shared" si="53"/>
        <v>1</v>
      </c>
      <c r="T68" s="385"/>
      <c r="U68" s="182">
        <v>7</v>
      </c>
      <c r="V68" s="166">
        <v>1479.9999999999995</v>
      </c>
      <c r="W68" s="166">
        <v>211.42857142857136</v>
      </c>
      <c r="X68" s="182">
        <f t="shared" si="55"/>
        <v>3</v>
      </c>
      <c r="Y68" s="385"/>
      <c r="Z68" s="182">
        <v>7</v>
      </c>
      <c r="AA68" s="166">
        <v>1495.7812499999995</v>
      </c>
      <c r="AB68" s="166">
        <v>213.68303571428564</v>
      </c>
      <c r="AC68" s="182">
        <f t="shared" si="57"/>
        <v>2</v>
      </c>
      <c r="AD68" s="385"/>
      <c r="AE68" s="182">
        <v>7</v>
      </c>
      <c r="AF68" s="166">
        <v>1482.285714285714</v>
      </c>
      <c r="AG68" s="166">
        <v>211.7551020408163</v>
      </c>
      <c r="AH68" s="182">
        <f t="shared" si="59"/>
        <v>2</v>
      </c>
      <c r="AI68" s="385"/>
      <c r="AJ68" s="182">
        <v>7</v>
      </c>
      <c r="AK68" s="166">
        <v>1483.6842105263158</v>
      </c>
      <c r="AL68" s="166">
        <v>211.95488721804512</v>
      </c>
      <c r="AM68" s="182">
        <f t="shared" si="61"/>
        <v>2</v>
      </c>
      <c r="AN68" s="385"/>
      <c r="AO68" s="182">
        <v>7</v>
      </c>
      <c r="AP68" s="166">
        <v>1477.1900826446274</v>
      </c>
      <c r="AQ68" s="166">
        <v>211.02715466351819</v>
      </c>
      <c r="AR68" s="182">
        <f t="shared" si="63"/>
        <v>3</v>
      </c>
      <c r="AS68" s="385"/>
      <c r="AT68" s="182">
        <v>7</v>
      </c>
      <c r="AU68" s="166">
        <v>1489.0076335877861</v>
      </c>
      <c r="AV68" s="166">
        <v>212.71537622682658</v>
      </c>
      <c r="AW68" s="182">
        <f t="shared" si="65"/>
        <v>2</v>
      </c>
      <c r="AX68" s="385"/>
      <c r="AZ68" s="182" t="e">
        <f t="shared" si="67"/>
        <v>#N/A</v>
      </c>
      <c r="BA68" s="385"/>
    </row>
    <row r="69" spans="2:53">
      <c r="B69" s="395"/>
      <c r="C69" s="182">
        <v>3</v>
      </c>
      <c r="D69" s="203" t="s">
        <v>331</v>
      </c>
      <c r="E69" s="166">
        <v>20</v>
      </c>
      <c r="F69" s="182">
        <v>1500</v>
      </c>
      <c r="G69" s="180">
        <v>75</v>
      </c>
      <c r="H69" s="402"/>
      <c r="I69" s="166">
        <f t="shared" si="50"/>
        <v>20</v>
      </c>
      <c r="J69" s="166">
        <f t="shared" si="51"/>
        <v>1342.1761266670146</v>
      </c>
      <c r="K69" s="180">
        <f t="shared" si="52"/>
        <v>67.108806333350728</v>
      </c>
      <c r="L69" s="402"/>
      <c r="M69" s="166">
        <f>RANK(K69, K$67:$K$81)</f>
        <v>9</v>
      </c>
      <c r="N69" s="389"/>
      <c r="O69" s="389"/>
      <c r="P69" s="182">
        <v>20</v>
      </c>
      <c r="Q69" s="166">
        <v>1356.9924812030074</v>
      </c>
      <c r="R69" s="166">
        <v>67.849624060150376</v>
      </c>
      <c r="S69" s="182">
        <f t="shared" si="53"/>
        <v>9</v>
      </c>
      <c r="T69" s="385"/>
      <c r="U69" s="182">
        <v>20</v>
      </c>
      <c r="V69" s="166">
        <v>1355.1999999999998</v>
      </c>
      <c r="W69" s="166">
        <v>67.759999999999991</v>
      </c>
      <c r="X69" s="182">
        <f t="shared" si="55"/>
        <v>9</v>
      </c>
      <c r="Y69" s="385"/>
      <c r="Z69" s="182">
        <v>20</v>
      </c>
      <c r="AA69" s="166">
        <v>1335.5244755244751</v>
      </c>
      <c r="AB69" s="166">
        <v>66.776223776223759</v>
      </c>
      <c r="AC69" s="182">
        <f t="shared" si="57"/>
        <v>9</v>
      </c>
      <c r="AD69" s="385"/>
      <c r="AE69" s="182">
        <v>20</v>
      </c>
      <c r="AF69" s="166">
        <v>1346.3636363636369</v>
      </c>
      <c r="AG69" s="166">
        <v>67.318181818181841</v>
      </c>
      <c r="AH69" s="182">
        <f t="shared" si="59"/>
        <v>9</v>
      </c>
      <c r="AI69" s="385"/>
      <c r="AJ69" s="182">
        <v>20</v>
      </c>
      <c r="AK69" s="166">
        <v>1350.8571428571438</v>
      </c>
      <c r="AL69" s="166">
        <v>67.542857142857187</v>
      </c>
      <c r="AM69" s="182">
        <f t="shared" si="61"/>
        <v>9</v>
      </c>
      <c r="AN69" s="385"/>
      <c r="AO69" s="182">
        <v>20</v>
      </c>
      <c r="AP69" s="166">
        <v>1317.9522935779817</v>
      </c>
      <c r="AQ69" s="166">
        <v>65.897614678899089</v>
      </c>
      <c r="AR69" s="182">
        <f t="shared" si="63"/>
        <v>9</v>
      </c>
      <c r="AS69" s="385"/>
      <c r="AT69" s="182">
        <v>20</v>
      </c>
      <c r="AU69" s="166">
        <v>1332.3428571428574</v>
      </c>
      <c r="AV69" s="166">
        <v>66.617142857142866</v>
      </c>
      <c r="AW69" s="182">
        <f t="shared" si="65"/>
        <v>9</v>
      </c>
      <c r="AX69" s="385"/>
      <c r="AZ69" s="182" t="e">
        <f t="shared" si="67"/>
        <v>#N/A</v>
      </c>
      <c r="BA69" s="385"/>
    </row>
    <row r="70" spans="2:53">
      <c r="B70" s="395"/>
      <c r="C70" s="182">
        <v>4</v>
      </c>
      <c r="D70" s="203" t="s">
        <v>362</v>
      </c>
      <c r="E70" s="166">
        <v>16</v>
      </c>
      <c r="F70" s="182">
        <v>1440</v>
      </c>
      <c r="G70" s="180">
        <v>84.7</v>
      </c>
      <c r="H70" s="402"/>
      <c r="I70" s="166">
        <f t="shared" si="50"/>
        <v>16</v>
      </c>
      <c r="J70" s="166">
        <f t="shared" si="51"/>
        <v>1354.4356274816166</v>
      </c>
      <c r="K70" s="180">
        <f t="shared" si="52"/>
        <v>84.652226717601039</v>
      </c>
      <c r="L70" s="402"/>
      <c r="M70" s="166">
        <f>RANK(K70, K$67:$K$81)</f>
        <v>8</v>
      </c>
      <c r="N70" s="389"/>
      <c r="O70" s="389"/>
      <c r="P70" s="182">
        <v>16</v>
      </c>
      <c r="Q70" s="166">
        <v>1338.3529411764703</v>
      </c>
      <c r="R70" s="166">
        <v>83.647058823529392</v>
      </c>
      <c r="S70" s="182">
        <f t="shared" si="53"/>
        <v>8</v>
      </c>
      <c r="T70" s="385"/>
      <c r="U70" s="182">
        <v>16</v>
      </c>
      <c r="V70" s="166">
        <v>1346.9230769230776</v>
      </c>
      <c r="W70" s="166">
        <v>84.182692307692349</v>
      </c>
      <c r="X70" s="182">
        <f t="shared" si="55"/>
        <v>8</v>
      </c>
      <c r="Y70" s="385"/>
      <c r="Z70" s="182">
        <v>16</v>
      </c>
      <c r="AA70" s="166">
        <v>1339.2000000000005</v>
      </c>
      <c r="AB70" s="166">
        <v>83.700000000000031</v>
      </c>
      <c r="AC70" s="182">
        <f t="shared" si="57"/>
        <v>8</v>
      </c>
      <c r="AD70" s="385"/>
      <c r="AE70" s="182">
        <v>16</v>
      </c>
      <c r="AF70" s="166">
        <v>1375.8620689655163</v>
      </c>
      <c r="AG70" s="166">
        <v>85.991379310344769</v>
      </c>
      <c r="AH70" s="182">
        <f t="shared" si="59"/>
        <v>8</v>
      </c>
      <c r="AI70" s="385"/>
      <c r="AJ70" s="182">
        <v>16</v>
      </c>
      <c r="AK70" s="166">
        <v>1349.166666666667</v>
      </c>
      <c r="AL70" s="166">
        <v>84.322916666666686</v>
      </c>
      <c r="AM70" s="182">
        <f t="shared" si="61"/>
        <v>8</v>
      </c>
      <c r="AN70" s="385"/>
      <c r="AO70" s="182">
        <v>16</v>
      </c>
      <c r="AP70" s="166">
        <v>1366.0273972602743</v>
      </c>
      <c r="AQ70" s="166">
        <v>85.376712328767141</v>
      </c>
      <c r="AR70" s="182">
        <f t="shared" si="63"/>
        <v>8</v>
      </c>
      <c r="AS70" s="385"/>
      <c r="AT70" s="182">
        <v>16</v>
      </c>
      <c r="AU70" s="166">
        <v>1365.51724137931</v>
      </c>
      <c r="AV70" s="166">
        <v>85.344827586206875</v>
      </c>
      <c r="AW70" s="182">
        <f t="shared" si="65"/>
        <v>8</v>
      </c>
      <c r="AX70" s="385"/>
      <c r="AZ70" s="182" t="e">
        <f t="shared" si="67"/>
        <v>#N/A</v>
      </c>
      <c r="BA70" s="385"/>
    </row>
    <row r="71" spans="2:53">
      <c r="B71" s="395"/>
      <c r="C71" s="182">
        <v>5</v>
      </c>
      <c r="D71" s="203" t="s">
        <v>400</v>
      </c>
      <c r="E71" s="166">
        <v>7</v>
      </c>
      <c r="F71" s="182">
        <v>1500</v>
      </c>
      <c r="G71" s="180">
        <v>214.3</v>
      </c>
      <c r="H71" s="402"/>
      <c r="I71" s="166">
        <f t="shared" si="50"/>
        <v>7</v>
      </c>
      <c r="J71" s="166">
        <f t="shared" si="51"/>
        <v>1488.5224834147946</v>
      </c>
      <c r="K71" s="180">
        <f t="shared" si="52"/>
        <v>212.6460690592564</v>
      </c>
      <c r="L71" s="402"/>
      <c r="M71" s="166">
        <f>RANK(K71, K$67:$K$81)</f>
        <v>1</v>
      </c>
      <c r="N71" s="389"/>
      <c r="O71" s="389"/>
      <c r="P71" s="182">
        <v>7</v>
      </c>
      <c r="Q71" s="166">
        <v>1473.5664335664333</v>
      </c>
      <c r="R71" s="166">
        <v>210.50949050949046</v>
      </c>
      <c r="S71" s="182">
        <f t="shared" si="53"/>
        <v>2</v>
      </c>
      <c r="T71" s="385"/>
      <c r="U71" s="182">
        <v>7</v>
      </c>
      <c r="V71" s="166">
        <v>1484.558823529411</v>
      </c>
      <c r="W71" s="166">
        <v>212.079831932773</v>
      </c>
      <c r="X71" s="182">
        <f t="shared" si="55"/>
        <v>2</v>
      </c>
      <c r="Y71" s="385"/>
      <c r="Z71" s="182">
        <v>7</v>
      </c>
      <c r="AA71" s="166">
        <v>1479.0909090909097</v>
      </c>
      <c r="AB71" s="166">
        <v>211.29870129870139</v>
      </c>
      <c r="AC71" s="182">
        <f t="shared" si="57"/>
        <v>4</v>
      </c>
      <c r="AD71" s="385"/>
      <c r="AE71" s="182">
        <v>7</v>
      </c>
      <c r="AF71" s="166">
        <v>1489.7297297297298</v>
      </c>
      <c r="AG71" s="166">
        <v>212.81853281853282</v>
      </c>
      <c r="AH71" s="182">
        <f t="shared" si="59"/>
        <v>1</v>
      </c>
      <c r="AI71" s="385"/>
      <c r="AJ71" s="182">
        <v>7</v>
      </c>
      <c r="AK71" s="166">
        <v>1497.4358974358977</v>
      </c>
      <c r="AL71" s="166">
        <v>213.91941391941396</v>
      </c>
      <c r="AM71" s="182">
        <f t="shared" si="61"/>
        <v>1</v>
      </c>
      <c r="AN71" s="385"/>
      <c r="AO71" s="182">
        <v>7</v>
      </c>
      <c r="AP71" s="166">
        <v>1495.2755905511815</v>
      </c>
      <c r="AQ71" s="166">
        <v>213.61079865016879</v>
      </c>
      <c r="AR71" s="182">
        <f t="shared" si="63"/>
        <v>1</v>
      </c>
      <c r="AS71" s="385"/>
      <c r="AT71" s="182">
        <v>7</v>
      </c>
      <c r="AU71" s="166">
        <v>1500</v>
      </c>
      <c r="AV71" s="166">
        <v>214.28571428571428</v>
      </c>
      <c r="AW71" s="182">
        <f t="shared" si="65"/>
        <v>1</v>
      </c>
      <c r="AX71" s="385"/>
      <c r="AZ71" s="182" t="e">
        <f t="shared" si="67"/>
        <v>#N/A</v>
      </c>
      <c r="BA71" s="385"/>
    </row>
    <row r="72" spans="2:53">
      <c r="B72" s="395"/>
      <c r="C72" s="182">
        <v>6</v>
      </c>
      <c r="D72" s="203" t="s">
        <v>615</v>
      </c>
      <c r="E72" s="166">
        <v>12</v>
      </c>
      <c r="F72" s="182">
        <v>2000</v>
      </c>
      <c r="G72" s="180">
        <v>166</v>
      </c>
      <c r="H72" s="402"/>
      <c r="I72" s="166">
        <f t="shared" si="50"/>
        <v>12</v>
      </c>
      <c r="J72" s="166">
        <f t="shared" si="51"/>
        <v>1580.0423273369668</v>
      </c>
      <c r="K72" s="180">
        <f t="shared" si="52"/>
        <v>131.67019394474724</v>
      </c>
      <c r="L72" s="402"/>
      <c r="M72" s="166">
        <f>RANK(K72, K$67:$K$81)</f>
        <v>5</v>
      </c>
      <c r="N72" s="389"/>
      <c r="O72" s="389"/>
      <c r="P72" s="182">
        <v>12</v>
      </c>
      <c r="Q72" s="166">
        <v>1610.7692307692309</v>
      </c>
      <c r="R72" s="166">
        <v>134.23076923076925</v>
      </c>
      <c r="S72" s="182">
        <f t="shared" si="53"/>
        <v>5</v>
      </c>
      <c r="T72" s="385"/>
      <c r="U72" s="182">
        <v>12</v>
      </c>
      <c r="V72" s="166">
        <v>1576.4150943396223</v>
      </c>
      <c r="W72" s="166">
        <v>131.36792452830187</v>
      </c>
      <c r="X72" s="182">
        <f t="shared" si="55"/>
        <v>5</v>
      </c>
      <c r="Y72" s="385"/>
      <c r="Z72" s="182">
        <v>12</v>
      </c>
      <c r="AA72" s="166">
        <v>1597.8</v>
      </c>
      <c r="AB72" s="166">
        <v>133.15</v>
      </c>
      <c r="AC72" s="182">
        <f t="shared" si="57"/>
        <v>5</v>
      </c>
      <c r="AD72" s="385"/>
      <c r="AE72" s="182">
        <v>12</v>
      </c>
      <c r="AF72" s="166">
        <v>1557.0731707317068</v>
      </c>
      <c r="AG72" s="166">
        <v>129.75609756097558</v>
      </c>
      <c r="AH72" s="182">
        <f t="shared" si="59"/>
        <v>6</v>
      </c>
      <c r="AI72" s="385"/>
      <c r="AJ72" s="182">
        <v>12</v>
      </c>
      <c r="AK72" s="166">
        <v>1573.3333333333326</v>
      </c>
      <c r="AL72" s="166">
        <v>131.11111111111106</v>
      </c>
      <c r="AM72" s="182">
        <f t="shared" si="61"/>
        <v>5</v>
      </c>
      <c r="AN72" s="385"/>
      <c r="AO72" s="182">
        <v>12</v>
      </c>
      <c r="AP72" s="166">
        <v>1562.941176470589</v>
      </c>
      <c r="AQ72" s="166">
        <v>130.24509803921575</v>
      </c>
      <c r="AR72" s="182">
        <f t="shared" si="63"/>
        <v>5</v>
      </c>
      <c r="AS72" s="385"/>
      <c r="AT72" s="182">
        <v>12</v>
      </c>
      <c r="AU72" s="166">
        <v>1581.9642857142856</v>
      </c>
      <c r="AV72" s="166">
        <v>131.83035714285714</v>
      </c>
      <c r="AW72" s="182">
        <f t="shared" si="65"/>
        <v>5</v>
      </c>
      <c r="AX72" s="385"/>
      <c r="AZ72" s="182" t="e">
        <f t="shared" si="67"/>
        <v>#N/A</v>
      </c>
      <c r="BA72" s="385"/>
    </row>
    <row r="73" spans="2:53">
      <c r="B73" s="395"/>
      <c r="C73" s="182">
        <v>7</v>
      </c>
      <c r="D73" s="203" t="s">
        <v>594</v>
      </c>
      <c r="E73" s="166">
        <v>7</v>
      </c>
      <c r="F73" s="182">
        <v>1500</v>
      </c>
      <c r="G73" s="180">
        <v>214.3</v>
      </c>
      <c r="H73" s="402"/>
      <c r="I73" s="166">
        <f t="shared" si="50"/>
        <v>7</v>
      </c>
      <c r="J73" s="166">
        <f t="shared" si="51"/>
        <v>1468.0845161599937</v>
      </c>
      <c r="K73" s="180">
        <f t="shared" si="52"/>
        <v>209.72635945142767</v>
      </c>
      <c r="L73" s="402"/>
      <c r="M73" s="166">
        <f>RANK(K73, K$67:$K$81)</f>
        <v>4</v>
      </c>
      <c r="N73" s="389"/>
      <c r="O73" s="389"/>
      <c r="P73" s="182">
        <v>7</v>
      </c>
      <c r="Q73" s="166">
        <v>1417.1428571428567</v>
      </c>
      <c r="R73" s="166">
        <v>202.44897959183666</v>
      </c>
      <c r="S73" s="182">
        <f t="shared" si="53"/>
        <v>4</v>
      </c>
      <c r="T73" s="385"/>
      <c r="U73" s="182">
        <v>7</v>
      </c>
      <c r="V73" s="166">
        <v>1485.1948051948059</v>
      </c>
      <c r="W73" s="166">
        <v>212.17068645640083</v>
      </c>
      <c r="X73" s="182">
        <f t="shared" si="55"/>
        <v>1</v>
      </c>
      <c r="Y73" s="385"/>
      <c r="Z73" s="182">
        <v>7</v>
      </c>
      <c r="AA73" s="166">
        <v>1487.8481012658222</v>
      </c>
      <c r="AB73" s="166">
        <v>212.54972875226031</v>
      </c>
      <c r="AC73" s="182">
        <f t="shared" si="57"/>
        <v>3</v>
      </c>
      <c r="AD73" s="385"/>
      <c r="AE73" s="182">
        <v>7</v>
      </c>
      <c r="AF73" s="166">
        <v>1475.9999999999993</v>
      </c>
      <c r="AG73" s="166">
        <v>210.85714285714275</v>
      </c>
      <c r="AH73" s="182">
        <f t="shared" si="59"/>
        <v>4</v>
      </c>
      <c r="AI73" s="385"/>
      <c r="AJ73" s="182">
        <v>7</v>
      </c>
      <c r="AK73" s="166">
        <v>1470.8571428571431</v>
      </c>
      <c r="AL73" s="166">
        <v>210.12244897959187</v>
      </c>
      <c r="AM73" s="182">
        <f t="shared" si="61"/>
        <v>4</v>
      </c>
      <c r="AN73" s="385"/>
      <c r="AO73" s="182">
        <v>7</v>
      </c>
      <c r="AP73" s="166">
        <v>1490.4347826086955</v>
      </c>
      <c r="AQ73" s="166">
        <v>212.91925465838509</v>
      </c>
      <c r="AR73" s="182">
        <f t="shared" si="63"/>
        <v>2</v>
      </c>
      <c r="AS73" s="385"/>
      <c r="AT73" s="182">
        <v>7</v>
      </c>
      <c r="AU73" s="166">
        <v>1449.113924050632</v>
      </c>
      <c r="AV73" s="166">
        <v>207.01627486437602</v>
      </c>
      <c r="AW73" s="182">
        <f t="shared" si="65"/>
        <v>4</v>
      </c>
      <c r="AX73" s="385"/>
      <c r="AZ73" s="182" t="e">
        <f t="shared" si="67"/>
        <v>#N/A</v>
      </c>
      <c r="BA73" s="385"/>
    </row>
    <row r="74" spans="2:53">
      <c r="B74" s="395"/>
      <c r="C74" s="182">
        <v>8</v>
      </c>
      <c r="D74" s="203" t="s">
        <v>734</v>
      </c>
      <c r="E74" s="166">
        <v>12</v>
      </c>
      <c r="F74" s="182">
        <v>2000</v>
      </c>
      <c r="G74" s="180">
        <v>166</v>
      </c>
      <c r="H74" s="402"/>
      <c r="I74" s="166">
        <f t="shared" si="50"/>
        <v>12</v>
      </c>
      <c r="J74" s="166">
        <f t="shared" si="51"/>
        <v>1518.5712123103381</v>
      </c>
      <c r="K74" s="180">
        <f t="shared" si="52"/>
        <v>126.5476010258615</v>
      </c>
      <c r="L74" s="402"/>
      <c r="M74" s="166">
        <f>RANK(K74, K$67:$K$81)</f>
        <v>7</v>
      </c>
      <c r="N74" s="389"/>
      <c r="O74" s="389"/>
      <c r="P74" s="182">
        <v>12</v>
      </c>
      <c r="Q74" s="166">
        <v>1529.3661971830988</v>
      </c>
      <c r="R74" s="166">
        <v>127.44718309859157</v>
      </c>
      <c r="S74" s="182">
        <f t="shared" si="53"/>
        <v>7</v>
      </c>
      <c r="T74" s="385"/>
      <c r="U74" s="182">
        <v>12</v>
      </c>
      <c r="V74" s="166">
        <v>1503.2608695652175</v>
      </c>
      <c r="W74" s="166">
        <v>125.2717391304348</v>
      </c>
      <c r="X74" s="182">
        <f t="shared" si="55"/>
        <v>7</v>
      </c>
      <c r="Y74" s="385"/>
      <c r="Z74" s="182">
        <v>12</v>
      </c>
      <c r="AA74" s="166">
        <v>1514.6250000000005</v>
      </c>
      <c r="AB74" s="166">
        <v>126.21875000000004</v>
      </c>
      <c r="AC74" s="182">
        <f t="shared" si="57"/>
        <v>7</v>
      </c>
      <c r="AD74" s="385"/>
      <c r="AE74" s="182">
        <v>12</v>
      </c>
      <c r="AF74" s="166">
        <v>1512.7924528301883</v>
      </c>
      <c r="AG74" s="166">
        <v>126.06603773584902</v>
      </c>
      <c r="AH74" s="182">
        <f t="shared" si="59"/>
        <v>7</v>
      </c>
      <c r="AI74" s="385"/>
      <c r="AJ74" s="182">
        <v>12</v>
      </c>
      <c r="AK74" s="166">
        <v>1558.7368421052558</v>
      </c>
      <c r="AL74" s="166">
        <v>129.89473684210466</v>
      </c>
      <c r="AM74" s="182">
        <f t="shared" si="61"/>
        <v>6</v>
      </c>
      <c r="AN74" s="385"/>
      <c r="AO74" s="182">
        <v>12</v>
      </c>
      <c r="AP74" s="166">
        <v>1513.8103448275872</v>
      </c>
      <c r="AQ74" s="166">
        <v>126.15086206896559</v>
      </c>
      <c r="AR74" s="182">
        <f t="shared" si="63"/>
        <v>7</v>
      </c>
      <c r="AS74" s="385"/>
      <c r="AT74" s="182">
        <v>12</v>
      </c>
      <c r="AU74" s="166">
        <v>1497.4067796610179</v>
      </c>
      <c r="AV74" s="166">
        <v>124.78389830508483</v>
      </c>
      <c r="AW74" s="182">
        <f t="shared" si="65"/>
        <v>7</v>
      </c>
      <c r="AX74" s="385"/>
      <c r="AZ74" s="182" t="e">
        <f t="shared" si="67"/>
        <v>#N/A</v>
      </c>
      <c r="BA74" s="385"/>
    </row>
    <row r="75" spans="2:53">
      <c r="B75" s="395"/>
      <c r="C75" s="182">
        <v>9</v>
      </c>
      <c r="D75" s="203" t="s">
        <v>735</v>
      </c>
      <c r="E75" s="166">
        <v>12</v>
      </c>
      <c r="F75" s="182">
        <v>2000</v>
      </c>
      <c r="G75" s="180">
        <v>166</v>
      </c>
      <c r="H75" s="402"/>
      <c r="I75" s="166">
        <f t="shared" si="50"/>
        <v>12</v>
      </c>
      <c r="J75" s="166">
        <f t="shared" si="51"/>
        <v>1567.234618793078</v>
      </c>
      <c r="K75" s="180">
        <f t="shared" si="52"/>
        <v>130.60288489942315</v>
      </c>
      <c r="L75" s="402"/>
      <c r="M75" s="166">
        <f>RANK(K75, K$67:$K$81)</f>
        <v>6</v>
      </c>
      <c r="N75" s="389"/>
      <c r="O75" s="389"/>
      <c r="P75" s="182">
        <v>12</v>
      </c>
      <c r="Q75" s="166">
        <v>1572.4137931034472</v>
      </c>
      <c r="R75" s="166">
        <v>131.03448275862061</v>
      </c>
      <c r="S75" s="182">
        <f t="shared" si="53"/>
        <v>6</v>
      </c>
      <c r="T75" s="385"/>
      <c r="U75" s="182">
        <v>12</v>
      </c>
      <c r="V75" s="166">
        <v>1566.1224489795923</v>
      </c>
      <c r="W75" s="166">
        <v>130.51020408163268</v>
      </c>
      <c r="X75" s="182">
        <f t="shared" si="55"/>
        <v>6</v>
      </c>
      <c r="Y75" s="385"/>
      <c r="Z75" s="182">
        <v>12</v>
      </c>
      <c r="AA75" s="166">
        <v>1560.0000000000005</v>
      </c>
      <c r="AB75" s="166">
        <v>130.00000000000003</v>
      </c>
      <c r="AC75" s="182">
        <f t="shared" si="57"/>
        <v>6</v>
      </c>
      <c r="AD75" s="385"/>
      <c r="AE75" s="182">
        <v>12</v>
      </c>
      <c r="AF75" s="166">
        <v>1602.391304347826</v>
      </c>
      <c r="AG75" s="166">
        <v>133.53260869565216</v>
      </c>
      <c r="AH75" s="182">
        <f t="shared" si="59"/>
        <v>5</v>
      </c>
      <c r="AI75" s="385"/>
      <c r="AJ75" s="182">
        <v>12</v>
      </c>
      <c r="AK75" s="166">
        <v>1551.6129032258059</v>
      </c>
      <c r="AL75" s="166">
        <v>129.30107526881716</v>
      </c>
      <c r="AM75" s="182">
        <f t="shared" si="61"/>
        <v>7</v>
      </c>
      <c r="AN75" s="385"/>
      <c r="AO75" s="182">
        <v>12</v>
      </c>
      <c r="AP75" s="166">
        <v>1553.0149253731342</v>
      </c>
      <c r="AQ75" s="166">
        <v>129.41791044776119</v>
      </c>
      <c r="AR75" s="182">
        <f t="shared" si="63"/>
        <v>6</v>
      </c>
      <c r="AS75" s="385"/>
      <c r="AT75" s="182">
        <v>12</v>
      </c>
      <c r="AU75" s="166">
        <v>1565.0869565217392</v>
      </c>
      <c r="AV75" s="166">
        <v>130.42391304347828</v>
      </c>
      <c r="AW75" s="182">
        <f t="shared" si="65"/>
        <v>6</v>
      </c>
      <c r="AX75" s="385"/>
      <c r="AZ75" s="182" t="e">
        <f t="shared" si="67"/>
        <v>#N/A</v>
      </c>
      <c r="BA75" s="385"/>
    </row>
    <row r="76" spans="2:53">
      <c r="B76" s="395"/>
      <c r="C76" s="182">
        <v>10</v>
      </c>
      <c r="D76" s="203"/>
      <c r="E76" s="166"/>
      <c r="F76" s="182"/>
      <c r="G76" s="180"/>
      <c r="H76" s="402"/>
      <c r="I76" s="166" t="str">
        <f t="shared" si="50"/>
        <v>-</v>
      </c>
      <c r="J76" s="166" t="str">
        <f t="shared" si="51"/>
        <v>-</v>
      </c>
      <c r="K76" s="180" t="str">
        <f t="shared" si="52"/>
        <v>-</v>
      </c>
      <c r="L76" s="402"/>
      <c r="M76" s="166" t="e">
        <f>RANK(K76, K$67:$K$81)</f>
        <v>#VALUE!</v>
      </c>
      <c r="N76" s="389"/>
      <c r="O76" s="389"/>
      <c r="P76" s="182" t="s">
        <v>634</v>
      </c>
      <c r="Q76" s="166" t="s">
        <v>634</v>
      </c>
      <c r="R76" s="166" t="s">
        <v>634</v>
      </c>
      <c r="S76" s="182" t="e">
        <f t="shared" si="53"/>
        <v>#VALUE!</v>
      </c>
      <c r="T76" s="385"/>
      <c r="U76" s="182" t="s">
        <v>634</v>
      </c>
      <c r="V76" s="166" t="s">
        <v>634</v>
      </c>
      <c r="W76" s="166" t="s">
        <v>634</v>
      </c>
      <c r="X76" s="182" t="e">
        <f t="shared" si="55"/>
        <v>#VALUE!</v>
      </c>
      <c r="Y76" s="385"/>
      <c r="Z76" s="182" t="s">
        <v>634</v>
      </c>
      <c r="AA76" s="166" t="s">
        <v>634</v>
      </c>
      <c r="AB76" s="166" t="s">
        <v>634</v>
      </c>
      <c r="AC76" s="182" t="e">
        <f t="shared" si="57"/>
        <v>#VALUE!</v>
      </c>
      <c r="AD76" s="385"/>
      <c r="AE76" s="182" t="s">
        <v>634</v>
      </c>
      <c r="AF76" s="166" t="s">
        <v>634</v>
      </c>
      <c r="AG76" s="166" t="s">
        <v>634</v>
      </c>
      <c r="AH76" s="182" t="e">
        <f t="shared" si="59"/>
        <v>#VALUE!</v>
      </c>
      <c r="AI76" s="385"/>
      <c r="AJ76" s="182" t="s">
        <v>634</v>
      </c>
      <c r="AK76" s="166" t="s">
        <v>634</v>
      </c>
      <c r="AL76" s="166" t="s">
        <v>634</v>
      </c>
      <c r="AM76" s="182" t="e">
        <f t="shared" si="61"/>
        <v>#VALUE!</v>
      </c>
      <c r="AN76" s="385"/>
      <c r="AO76" s="182" t="s">
        <v>634</v>
      </c>
      <c r="AP76" s="166" t="s">
        <v>634</v>
      </c>
      <c r="AQ76" s="166" t="s">
        <v>634</v>
      </c>
      <c r="AR76" s="182" t="e">
        <f t="shared" si="63"/>
        <v>#VALUE!</v>
      </c>
      <c r="AS76" s="385"/>
      <c r="AT76" s="182" t="s">
        <v>634</v>
      </c>
      <c r="AU76" s="166" t="s">
        <v>634</v>
      </c>
      <c r="AV76" s="166" t="s">
        <v>634</v>
      </c>
      <c r="AW76" s="182" t="e">
        <f t="shared" si="65"/>
        <v>#VALUE!</v>
      </c>
      <c r="AX76" s="385"/>
      <c r="AZ76" s="182" t="e">
        <f t="shared" si="67"/>
        <v>#N/A</v>
      </c>
      <c r="BA76" s="385"/>
    </row>
    <row r="77" spans="2:53">
      <c r="B77" s="395"/>
      <c r="C77" s="182">
        <v>11</v>
      </c>
      <c r="D77" s="203"/>
      <c r="E77" s="166"/>
      <c r="F77" s="182"/>
      <c r="G77" s="180"/>
      <c r="H77" s="402"/>
      <c r="I77" s="166" t="str">
        <f t="shared" si="50"/>
        <v>-</v>
      </c>
      <c r="J77" s="166" t="str">
        <f t="shared" si="51"/>
        <v>-</v>
      </c>
      <c r="K77" s="180" t="str">
        <f t="shared" si="52"/>
        <v>-</v>
      </c>
      <c r="L77" s="402"/>
      <c r="M77" s="166" t="e">
        <f>RANK(K77, K$67:$K$81)</f>
        <v>#VALUE!</v>
      </c>
      <c r="N77" s="389"/>
      <c r="O77" s="389"/>
      <c r="P77" s="182" t="s">
        <v>634</v>
      </c>
      <c r="Q77" s="166" t="s">
        <v>634</v>
      </c>
      <c r="R77" s="166" t="s">
        <v>634</v>
      </c>
      <c r="S77" s="182" t="e">
        <f t="shared" si="53"/>
        <v>#VALUE!</v>
      </c>
      <c r="T77" s="385"/>
      <c r="U77" s="182" t="s">
        <v>634</v>
      </c>
      <c r="V77" s="166" t="s">
        <v>634</v>
      </c>
      <c r="W77" s="166" t="s">
        <v>634</v>
      </c>
      <c r="X77" s="182" t="e">
        <f t="shared" si="55"/>
        <v>#VALUE!</v>
      </c>
      <c r="Y77" s="385"/>
      <c r="Z77" s="182" t="s">
        <v>634</v>
      </c>
      <c r="AA77" s="166" t="s">
        <v>634</v>
      </c>
      <c r="AB77" s="166" t="s">
        <v>634</v>
      </c>
      <c r="AC77" s="182" t="e">
        <f t="shared" si="57"/>
        <v>#VALUE!</v>
      </c>
      <c r="AD77" s="385"/>
      <c r="AE77" s="182" t="s">
        <v>634</v>
      </c>
      <c r="AF77" s="166" t="s">
        <v>634</v>
      </c>
      <c r="AG77" s="166" t="s">
        <v>634</v>
      </c>
      <c r="AH77" s="182" t="e">
        <f t="shared" si="59"/>
        <v>#VALUE!</v>
      </c>
      <c r="AI77" s="385"/>
      <c r="AJ77" s="182" t="s">
        <v>634</v>
      </c>
      <c r="AK77" s="166" t="s">
        <v>634</v>
      </c>
      <c r="AL77" s="166" t="s">
        <v>634</v>
      </c>
      <c r="AM77" s="182" t="e">
        <f t="shared" si="61"/>
        <v>#VALUE!</v>
      </c>
      <c r="AN77" s="385"/>
      <c r="AO77" s="182" t="s">
        <v>634</v>
      </c>
      <c r="AP77" s="166" t="s">
        <v>634</v>
      </c>
      <c r="AQ77" s="166" t="s">
        <v>634</v>
      </c>
      <c r="AR77" s="182" t="e">
        <f t="shared" si="63"/>
        <v>#VALUE!</v>
      </c>
      <c r="AS77" s="385"/>
      <c r="AT77" s="182" t="s">
        <v>634</v>
      </c>
      <c r="AU77" s="166" t="s">
        <v>634</v>
      </c>
      <c r="AV77" s="166" t="s">
        <v>634</v>
      </c>
      <c r="AW77" s="182" t="e">
        <f t="shared" si="65"/>
        <v>#VALUE!</v>
      </c>
      <c r="AX77" s="385"/>
      <c r="AZ77" s="182" t="e">
        <f t="shared" si="67"/>
        <v>#N/A</v>
      </c>
      <c r="BA77" s="385"/>
    </row>
    <row r="78" spans="2:53">
      <c r="B78" s="395"/>
      <c r="C78" s="182">
        <v>12</v>
      </c>
      <c r="D78" s="203"/>
      <c r="E78" s="166"/>
      <c r="F78" s="182"/>
      <c r="G78" s="180"/>
      <c r="H78" s="402"/>
      <c r="I78" s="166" t="str">
        <f t="shared" si="50"/>
        <v>-</v>
      </c>
      <c r="J78" s="166" t="str">
        <f t="shared" si="51"/>
        <v>-</v>
      </c>
      <c r="K78" s="180" t="str">
        <f t="shared" si="52"/>
        <v>-</v>
      </c>
      <c r="L78" s="402"/>
      <c r="M78" s="166" t="e">
        <f>RANK(K78, K$67:$K$81)</f>
        <v>#VALUE!</v>
      </c>
      <c r="N78" s="389"/>
      <c r="O78" s="389"/>
      <c r="P78" s="182" t="s">
        <v>634</v>
      </c>
      <c r="Q78" s="166" t="s">
        <v>634</v>
      </c>
      <c r="R78" s="166" t="s">
        <v>634</v>
      </c>
      <c r="S78" s="182" t="e">
        <f t="shared" si="53"/>
        <v>#VALUE!</v>
      </c>
      <c r="T78" s="385"/>
      <c r="U78" s="182" t="s">
        <v>634</v>
      </c>
      <c r="V78" s="166" t="s">
        <v>634</v>
      </c>
      <c r="W78" s="166" t="s">
        <v>634</v>
      </c>
      <c r="X78" s="182" t="e">
        <f t="shared" si="55"/>
        <v>#VALUE!</v>
      </c>
      <c r="Y78" s="385"/>
      <c r="Z78" s="182" t="s">
        <v>634</v>
      </c>
      <c r="AA78" s="166" t="s">
        <v>634</v>
      </c>
      <c r="AB78" s="166" t="s">
        <v>634</v>
      </c>
      <c r="AC78" s="182" t="e">
        <f t="shared" si="57"/>
        <v>#VALUE!</v>
      </c>
      <c r="AD78" s="385"/>
      <c r="AE78" s="182" t="s">
        <v>634</v>
      </c>
      <c r="AF78" s="166" t="s">
        <v>634</v>
      </c>
      <c r="AG78" s="166" t="s">
        <v>634</v>
      </c>
      <c r="AH78" s="182" t="e">
        <f t="shared" si="59"/>
        <v>#VALUE!</v>
      </c>
      <c r="AI78" s="385"/>
      <c r="AJ78" s="182" t="s">
        <v>634</v>
      </c>
      <c r="AK78" s="166" t="s">
        <v>634</v>
      </c>
      <c r="AL78" s="166" t="s">
        <v>634</v>
      </c>
      <c r="AM78" s="182" t="e">
        <f t="shared" si="61"/>
        <v>#VALUE!</v>
      </c>
      <c r="AN78" s="385"/>
      <c r="AO78" s="182" t="s">
        <v>634</v>
      </c>
      <c r="AP78" s="166" t="s">
        <v>634</v>
      </c>
      <c r="AQ78" s="166" t="s">
        <v>634</v>
      </c>
      <c r="AR78" s="182" t="e">
        <f t="shared" si="63"/>
        <v>#VALUE!</v>
      </c>
      <c r="AS78" s="385"/>
      <c r="AT78" s="182" t="s">
        <v>634</v>
      </c>
      <c r="AU78" s="166" t="s">
        <v>634</v>
      </c>
      <c r="AV78" s="166" t="s">
        <v>634</v>
      </c>
      <c r="AW78" s="182" t="e">
        <f t="shared" si="65"/>
        <v>#VALUE!</v>
      </c>
      <c r="AX78" s="385"/>
      <c r="AZ78" s="182" t="e">
        <f t="shared" si="67"/>
        <v>#N/A</v>
      </c>
      <c r="BA78" s="385"/>
    </row>
    <row r="79" spans="2:53">
      <c r="B79" s="395"/>
      <c r="C79" s="182">
        <v>13</v>
      </c>
      <c r="D79" s="203"/>
      <c r="E79" s="166"/>
      <c r="F79" s="182"/>
      <c r="G79" s="180"/>
      <c r="H79" s="402"/>
      <c r="I79" s="166" t="str">
        <f t="shared" si="50"/>
        <v>-</v>
      </c>
      <c r="J79" s="166" t="str">
        <f t="shared" si="51"/>
        <v>-</v>
      </c>
      <c r="K79" s="180" t="str">
        <f t="shared" si="52"/>
        <v>-</v>
      </c>
      <c r="L79" s="402"/>
      <c r="M79" s="166" t="e">
        <f>RANK(K79, K$67:$K$81)</f>
        <v>#VALUE!</v>
      </c>
      <c r="N79" s="389"/>
      <c r="O79" s="389"/>
      <c r="P79" s="182" t="s">
        <v>634</v>
      </c>
      <c r="Q79" s="166" t="s">
        <v>634</v>
      </c>
      <c r="R79" s="166" t="s">
        <v>634</v>
      </c>
      <c r="S79" s="182" t="e">
        <f t="shared" si="53"/>
        <v>#VALUE!</v>
      </c>
      <c r="T79" s="385"/>
      <c r="U79" s="182" t="s">
        <v>634</v>
      </c>
      <c r="V79" s="166" t="s">
        <v>634</v>
      </c>
      <c r="W79" s="166" t="s">
        <v>634</v>
      </c>
      <c r="X79" s="182" t="e">
        <f t="shared" si="55"/>
        <v>#VALUE!</v>
      </c>
      <c r="Y79" s="385"/>
      <c r="Z79" s="182" t="s">
        <v>634</v>
      </c>
      <c r="AA79" s="166" t="s">
        <v>634</v>
      </c>
      <c r="AB79" s="166" t="s">
        <v>634</v>
      </c>
      <c r="AC79" s="182" t="e">
        <f t="shared" si="57"/>
        <v>#VALUE!</v>
      </c>
      <c r="AD79" s="385"/>
      <c r="AE79" s="182" t="s">
        <v>634</v>
      </c>
      <c r="AF79" s="166" t="s">
        <v>634</v>
      </c>
      <c r="AG79" s="166" t="s">
        <v>634</v>
      </c>
      <c r="AH79" s="182" t="e">
        <f t="shared" si="59"/>
        <v>#VALUE!</v>
      </c>
      <c r="AI79" s="385"/>
      <c r="AJ79" s="182" t="s">
        <v>634</v>
      </c>
      <c r="AK79" s="166" t="s">
        <v>634</v>
      </c>
      <c r="AL79" s="166" t="s">
        <v>634</v>
      </c>
      <c r="AM79" s="182" t="e">
        <f t="shared" si="61"/>
        <v>#VALUE!</v>
      </c>
      <c r="AN79" s="385"/>
      <c r="AO79" s="182" t="s">
        <v>634</v>
      </c>
      <c r="AP79" s="166" t="s">
        <v>634</v>
      </c>
      <c r="AQ79" s="166" t="s">
        <v>634</v>
      </c>
      <c r="AR79" s="182" t="e">
        <f t="shared" si="63"/>
        <v>#VALUE!</v>
      </c>
      <c r="AS79" s="385"/>
      <c r="AT79" s="182" t="s">
        <v>634</v>
      </c>
      <c r="AU79" s="166" t="s">
        <v>634</v>
      </c>
      <c r="AV79" s="166" t="s">
        <v>634</v>
      </c>
      <c r="AW79" s="182" t="e">
        <f t="shared" si="65"/>
        <v>#VALUE!</v>
      </c>
      <c r="AX79" s="385"/>
      <c r="AZ79" s="182" t="e">
        <f t="shared" si="67"/>
        <v>#N/A</v>
      </c>
      <c r="BA79" s="385"/>
    </row>
    <row r="80" spans="2:53">
      <c r="B80" s="395"/>
      <c r="C80" s="182">
        <v>14</v>
      </c>
      <c r="D80" s="203"/>
      <c r="E80" s="166"/>
      <c r="F80" s="182"/>
      <c r="G80" s="180"/>
      <c r="H80" s="402"/>
      <c r="I80" s="166" t="str">
        <f t="shared" si="50"/>
        <v>-</v>
      </c>
      <c r="J80" s="166" t="str">
        <f t="shared" si="51"/>
        <v>-</v>
      </c>
      <c r="K80" s="180" t="str">
        <f t="shared" si="52"/>
        <v>-</v>
      </c>
      <c r="L80" s="402"/>
      <c r="M80" s="166" t="e">
        <f>RANK(K80, K$67:$K$81)</f>
        <v>#VALUE!</v>
      </c>
      <c r="N80" s="389"/>
      <c r="O80" s="389"/>
      <c r="P80" s="182" t="s">
        <v>634</v>
      </c>
      <c r="Q80" s="166" t="s">
        <v>634</v>
      </c>
      <c r="R80" s="166" t="s">
        <v>634</v>
      </c>
      <c r="S80" s="182" t="e">
        <f t="shared" si="53"/>
        <v>#VALUE!</v>
      </c>
      <c r="T80" s="385"/>
      <c r="U80" s="182" t="s">
        <v>634</v>
      </c>
      <c r="V80" s="166" t="s">
        <v>634</v>
      </c>
      <c r="W80" s="166" t="s">
        <v>634</v>
      </c>
      <c r="X80" s="182" t="e">
        <f t="shared" si="55"/>
        <v>#VALUE!</v>
      </c>
      <c r="Y80" s="385"/>
      <c r="Z80" s="182" t="s">
        <v>634</v>
      </c>
      <c r="AA80" s="166" t="s">
        <v>634</v>
      </c>
      <c r="AB80" s="166" t="s">
        <v>634</v>
      </c>
      <c r="AC80" s="182" t="e">
        <f t="shared" si="57"/>
        <v>#VALUE!</v>
      </c>
      <c r="AD80" s="385"/>
      <c r="AE80" s="182" t="s">
        <v>634</v>
      </c>
      <c r="AF80" s="166" t="s">
        <v>634</v>
      </c>
      <c r="AG80" s="166" t="s">
        <v>634</v>
      </c>
      <c r="AH80" s="182" t="e">
        <f t="shared" si="59"/>
        <v>#VALUE!</v>
      </c>
      <c r="AI80" s="385"/>
      <c r="AJ80" s="182" t="s">
        <v>634</v>
      </c>
      <c r="AK80" s="166" t="s">
        <v>634</v>
      </c>
      <c r="AL80" s="166" t="s">
        <v>634</v>
      </c>
      <c r="AM80" s="182" t="e">
        <f t="shared" si="61"/>
        <v>#VALUE!</v>
      </c>
      <c r="AN80" s="385"/>
      <c r="AO80" s="182" t="s">
        <v>634</v>
      </c>
      <c r="AP80" s="166" t="s">
        <v>634</v>
      </c>
      <c r="AQ80" s="166" t="s">
        <v>634</v>
      </c>
      <c r="AR80" s="182" t="e">
        <f t="shared" si="63"/>
        <v>#VALUE!</v>
      </c>
      <c r="AS80" s="385"/>
      <c r="AT80" s="182" t="s">
        <v>634</v>
      </c>
      <c r="AU80" s="166" t="s">
        <v>634</v>
      </c>
      <c r="AV80" s="166" t="s">
        <v>634</v>
      </c>
      <c r="AW80" s="182" t="e">
        <f t="shared" si="65"/>
        <v>#VALUE!</v>
      </c>
      <c r="AX80" s="385"/>
      <c r="AZ80" s="182" t="e">
        <f t="shared" si="67"/>
        <v>#N/A</v>
      </c>
      <c r="BA80" s="385"/>
    </row>
    <row r="81" spans="2:53">
      <c r="B81" s="395"/>
      <c r="C81" s="182">
        <v>15</v>
      </c>
      <c r="D81" s="203"/>
      <c r="E81" s="166"/>
      <c r="F81" s="182"/>
      <c r="G81" s="180"/>
      <c r="H81" s="403"/>
      <c r="I81" s="182"/>
      <c r="J81" s="182"/>
      <c r="K81" s="182"/>
      <c r="L81" s="403"/>
      <c r="M81" s="166" t="e">
        <f>RANK(K81, K$47:$K$61)</f>
        <v>#N/A</v>
      </c>
      <c r="N81" s="389"/>
      <c r="O81" s="389"/>
      <c r="P81" s="182"/>
      <c r="Q81" s="166"/>
      <c r="R81" s="166"/>
      <c r="S81" s="182" t="e">
        <f t="shared" si="53"/>
        <v>#N/A</v>
      </c>
      <c r="T81" s="386"/>
      <c r="U81" s="182"/>
      <c r="V81" s="166"/>
      <c r="W81" s="166"/>
      <c r="X81" s="182" t="e">
        <f t="shared" si="55"/>
        <v>#N/A</v>
      </c>
      <c r="Y81" s="386"/>
      <c r="Z81" s="182"/>
      <c r="AA81" s="166"/>
      <c r="AB81" s="166"/>
      <c r="AC81" s="182" t="e">
        <f t="shared" si="57"/>
        <v>#N/A</v>
      </c>
      <c r="AD81" s="386"/>
      <c r="AE81" s="182"/>
      <c r="AF81" s="166"/>
      <c r="AG81" s="166"/>
      <c r="AH81" s="182" t="e">
        <f t="shared" si="59"/>
        <v>#N/A</v>
      </c>
      <c r="AI81" s="386"/>
      <c r="AJ81" s="182"/>
      <c r="AK81" s="166"/>
      <c r="AL81" s="166"/>
      <c r="AM81" s="182" t="e">
        <f t="shared" si="61"/>
        <v>#N/A</v>
      </c>
      <c r="AN81" s="386"/>
      <c r="AO81" s="182"/>
      <c r="AP81" s="166"/>
      <c r="AQ81" s="166"/>
      <c r="AR81" s="182" t="e">
        <f t="shared" si="63"/>
        <v>#N/A</v>
      </c>
      <c r="AS81" s="386"/>
      <c r="AT81" s="182"/>
      <c r="AU81" s="166"/>
      <c r="AV81" s="166"/>
      <c r="AW81" s="182" t="e">
        <f t="shared" si="65"/>
        <v>#N/A</v>
      </c>
      <c r="AX81" s="386"/>
      <c r="AZ81" s="182" t="e">
        <f t="shared" si="67"/>
        <v>#N/A</v>
      </c>
      <c r="BA81" s="386"/>
    </row>
    <row r="82" spans="2:53" ht="15.75">
      <c r="B82" s="414" t="s">
        <v>163</v>
      </c>
      <c r="C82" s="415"/>
      <c r="D82" s="415"/>
      <c r="E82" s="415"/>
      <c r="F82" s="415"/>
      <c r="G82" s="415"/>
      <c r="H82" s="415"/>
      <c r="I82" s="186"/>
      <c r="J82" s="186"/>
      <c r="K82" s="186"/>
      <c r="L82" s="186"/>
      <c r="M82" s="185"/>
      <c r="N82" s="391" t="s">
        <v>156</v>
      </c>
      <c r="O82" s="391" t="s">
        <v>105</v>
      </c>
      <c r="P82" s="413">
        <f>P62+7</f>
        <v>46168</v>
      </c>
      <c r="Q82" s="395"/>
      <c r="R82" s="395"/>
      <c r="S82" s="395"/>
      <c r="T82" s="395"/>
      <c r="U82" s="410">
        <f>P82+1</f>
        <v>46169</v>
      </c>
      <c r="V82" s="411"/>
      <c r="W82" s="411"/>
      <c r="X82" s="411"/>
      <c r="Y82" s="412"/>
      <c r="Z82" s="410">
        <f>U82+1</f>
        <v>46170</v>
      </c>
      <c r="AA82" s="411"/>
      <c r="AB82" s="411"/>
      <c r="AC82" s="411"/>
      <c r="AD82" s="412"/>
      <c r="AE82" s="410">
        <f>Z82+1</f>
        <v>46171</v>
      </c>
      <c r="AF82" s="411"/>
      <c r="AG82" s="411"/>
      <c r="AH82" s="411"/>
      <c r="AI82" s="412"/>
      <c r="AJ82" s="410">
        <f>AE82+1</f>
        <v>46172</v>
      </c>
      <c r="AK82" s="411"/>
      <c r="AL82" s="411"/>
      <c r="AM82" s="411"/>
      <c r="AN82" s="412"/>
      <c r="AO82" s="410">
        <f>AJ82+1</f>
        <v>46173</v>
      </c>
      <c r="AP82" s="411"/>
      <c r="AQ82" s="411"/>
      <c r="AR82" s="411"/>
      <c r="AS82" s="412"/>
      <c r="AT82" s="410">
        <f>AO82+1</f>
        <v>46174</v>
      </c>
      <c r="AU82" s="411"/>
      <c r="AV82" s="411"/>
      <c r="AW82" s="411"/>
      <c r="AX82" s="412"/>
    </row>
    <row r="83" spans="2:53" ht="15.75">
      <c r="B83" s="416"/>
      <c r="C83" s="416"/>
      <c r="D83" s="416"/>
      <c r="E83" s="416"/>
      <c r="F83" s="416"/>
      <c r="G83" s="416"/>
      <c r="H83" s="416"/>
      <c r="I83" s="184"/>
      <c r="J83" s="184"/>
      <c r="K83" s="184"/>
      <c r="L83" s="184"/>
      <c r="M83" s="179"/>
      <c r="N83" s="393"/>
      <c r="O83" s="393"/>
      <c r="P83" s="413" t="s">
        <v>318</v>
      </c>
      <c r="Q83" s="395"/>
      <c r="R83" s="395"/>
      <c r="S83" s="395"/>
      <c r="T83" s="395"/>
      <c r="U83" s="413" t="s">
        <v>319</v>
      </c>
      <c r="V83" s="395"/>
      <c r="W83" s="395"/>
      <c r="X83" s="395"/>
      <c r="Y83" s="395"/>
      <c r="Z83" s="413" t="s">
        <v>320</v>
      </c>
      <c r="AA83" s="395"/>
      <c r="AB83" s="395"/>
      <c r="AC83" s="395"/>
      <c r="AD83" s="395"/>
      <c r="AE83" s="413" t="s">
        <v>321</v>
      </c>
      <c r="AF83" s="395"/>
      <c r="AG83" s="395"/>
      <c r="AH83" s="395"/>
      <c r="AI83" s="395"/>
      <c r="AJ83" s="413" t="s">
        <v>322</v>
      </c>
      <c r="AK83" s="395"/>
      <c r="AL83" s="395"/>
      <c r="AM83" s="395"/>
      <c r="AN83" s="395"/>
      <c r="AO83" s="413" t="s">
        <v>323</v>
      </c>
      <c r="AP83" s="395"/>
      <c r="AQ83" s="395"/>
      <c r="AR83" s="395"/>
      <c r="AS83" s="395"/>
      <c r="AT83" s="413" t="s">
        <v>324</v>
      </c>
      <c r="AU83" s="395"/>
      <c r="AV83" s="395"/>
      <c r="AW83" s="395"/>
      <c r="AX83" s="395"/>
    </row>
    <row r="84" spans="2:53">
      <c r="B84" s="389" t="s">
        <v>419</v>
      </c>
      <c r="C84" s="389" t="s">
        <v>556</v>
      </c>
      <c r="D84" s="389"/>
      <c r="E84" s="389" t="s">
        <v>557</v>
      </c>
      <c r="F84" s="389"/>
      <c r="G84" s="389"/>
      <c r="H84" s="417" t="s">
        <v>558</v>
      </c>
      <c r="I84" s="389" t="s">
        <v>559</v>
      </c>
      <c r="J84" s="389"/>
      <c r="K84" s="389"/>
      <c r="L84" s="417" t="s">
        <v>373</v>
      </c>
      <c r="M84" s="391" t="s">
        <v>560</v>
      </c>
      <c r="N84" s="389"/>
      <c r="O84" s="389" t="s">
        <v>379</v>
      </c>
      <c r="P84" s="404" t="s">
        <v>375</v>
      </c>
      <c r="Q84" s="405"/>
      <c r="R84" s="405"/>
      <c r="S84" s="406"/>
      <c r="T84" s="389" t="s">
        <v>373</v>
      </c>
      <c r="U84" s="404" t="s">
        <v>375</v>
      </c>
      <c r="V84" s="405"/>
      <c r="W84" s="405"/>
      <c r="X84" s="406"/>
      <c r="Y84" s="389" t="s">
        <v>373</v>
      </c>
      <c r="Z84" s="404" t="s">
        <v>375</v>
      </c>
      <c r="AA84" s="405"/>
      <c r="AB84" s="405"/>
      <c r="AC84" s="406"/>
      <c r="AD84" s="389" t="s">
        <v>373</v>
      </c>
      <c r="AE84" s="404" t="s">
        <v>375</v>
      </c>
      <c r="AF84" s="405"/>
      <c r="AG84" s="405"/>
      <c r="AH84" s="406"/>
      <c r="AI84" s="389" t="s">
        <v>373</v>
      </c>
      <c r="AJ84" s="404" t="s">
        <v>375</v>
      </c>
      <c r="AK84" s="405"/>
      <c r="AL84" s="405"/>
      <c r="AM84" s="406"/>
      <c r="AN84" s="389" t="s">
        <v>373</v>
      </c>
      <c r="AO84" s="404" t="s">
        <v>375</v>
      </c>
      <c r="AP84" s="405"/>
      <c r="AQ84" s="405"/>
      <c r="AR84" s="406"/>
      <c r="AS84" s="389" t="s">
        <v>373</v>
      </c>
      <c r="AT84" s="404" t="s">
        <v>375</v>
      </c>
      <c r="AU84" s="405"/>
      <c r="AV84" s="405"/>
      <c r="AW84" s="406"/>
      <c r="AX84" s="389" t="s">
        <v>373</v>
      </c>
      <c r="BA84" s="389" t="s">
        <v>373</v>
      </c>
    </row>
    <row r="85" spans="2:53">
      <c r="B85" s="389"/>
      <c r="C85" s="389"/>
      <c r="D85" s="389"/>
      <c r="E85" s="389" t="s">
        <v>562</v>
      </c>
      <c r="F85" s="389"/>
      <c r="G85" s="389"/>
      <c r="H85" s="418"/>
      <c r="I85" s="389" t="s">
        <v>562</v>
      </c>
      <c r="J85" s="389"/>
      <c r="K85" s="389"/>
      <c r="L85" s="418"/>
      <c r="M85" s="392"/>
      <c r="N85" s="389"/>
      <c r="O85" s="389"/>
      <c r="P85" s="404" t="s">
        <v>381</v>
      </c>
      <c r="Q85" s="405"/>
      <c r="R85" s="405"/>
      <c r="S85" s="406"/>
      <c r="T85" s="389"/>
      <c r="U85" s="404" t="s">
        <v>381</v>
      </c>
      <c r="V85" s="405"/>
      <c r="W85" s="405"/>
      <c r="X85" s="406"/>
      <c r="Y85" s="389"/>
      <c r="Z85" s="404" t="s">
        <v>381</v>
      </c>
      <c r="AA85" s="405"/>
      <c r="AB85" s="405"/>
      <c r="AC85" s="406"/>
      <c r="AD85" s="389"/>
      <c r="AE85" s="404" t="s">
        <v>381</v>
      </c>
      <c r="AF85" s="405"/>
      <c r="AG85" s="405"/>
      <c r="AH85" s="406"/>
      <c r="AI85" s="389"/>
      <c r="AJ85" s="404" t="s">
        <v>381</v>
      </c>
      <c r="AK85" s="405"/>
      <c r="AL85" s="405"/>
      <c r="AM85" s="406"/>
      <c r="AN85" s="389"/>
      <c r="AO85" s="404" t="s">
        <v>381</v>
      </c>
      <c r="AP85" s="405"/>
      <c r="AQ85" s="405"/>
      <c r="AR85" s="406"/>
      <c r="AS85" s="389"/>
      <c r="AT85" s="404" t="s">
        <v>381</v>
      </c>
      <c r="AU85" s="405"/>
      <c r="AV85" s="405"/>
      <c r="AW85" s="406"/>
      <c r="AX85" s="389"/>
      <c r="BA85" s="389"/>
    </row>
    <row r="86" spans="2:53">
      <c r="B86" s="389"/>
      <c r="C86" s="389"/>
      <c r="D86" s="389"/>
      <c r="E86" s="258" t="s">
        <v>563</v>
      </c>
      <c r="F86" s="258" t="s">
        <v>564</v>
      </c>
      <c r="G86" s="258" t="s">
        <v>565</v>
      </c>
      <c r="H86" s="419"/>
      <c r="I86" s="258" t="s">
        <v>563</v>
      </c>
      <c r="J86" s="258" t="s">
        <v>564</v>
      </c>
      <c r="K86" s="258" t="s">
        <v>565</v>
      </c>
      <c r="L86" s="419"/>
      <c r="M86" s="393"/>
      <c r="N86" s="389"/>
      <c r="O86" s="389"/>
      <c r="P86" s="258" t="s">
        <v>382</v>
      </c>
      <c r="Q86" s="258" t="s">
        <v>383</v>
      </c>
      <c r="R86" s="258" t="s">
        <v>384</v>
      </c>
      <c r="S86" s="258" t="s">
        <v>374</v>
      </c>
      <c r="T86" s="389"/>
      <c r="U86" s="258" t="s">
        <v>382</v>
      </c>
      <c r="V86" s="258" t="s">
        <v>383</v>
      </c>
      <c r="W86" s="258" t="s">
        <v>384</v>
      </c>
      <c r="X86" s="258" t="s">
        <v>374</v>
      </c>
      <c r="Y86" s="389"/>
      <c r="Z86" s="258" t="s">
        <v>382</v>
      </c>
      <c r="AA86" s="258" t="s">
        <v>383</v>
      </c>
      <c r="AB86" s="258" t="s">
        <v>384</v>
      </c>
      <c r="AC86" s="258" t="s">
        <v>374</v>
      </c>
      <c r="AD86" s="389"/>
      <c r="AE86" s="258" t="s">
        <v>382</v>
      </c>
      <c r="AF86" s="258" t="s">
        <v>383</v>
      </c>
      <c r="AG86" s="258" t="s">
        <v>384</v>
      </c>
      <c r="AH86" s="258" t="s">
        <v>374</v>
      </c>
      <c r="AI86" s="389"/>
      <c r="AJ86" s="258" t="s">
        <v>382</v>
      </c>
      <c r="AK86" s="258" t="s">
        <v>383</v>
      </c>
      <c r="AL86" s="258" t="s">
        <v>384</v>
      </c>
      <c r="AM86" s="258" t="s">
        <v>374</v>
      </c>
      <c r="AN86" s="389"/>
      <c r="AO86" s="258" t="s">
        <v>382</v>
      </c>
      <c r="AP86" s="258" t="s">
        <v>383</v>
      </c>
      <c r="AQ86" s="258" t="s">
        <v>384</v>
      </c>
      <c r="AR86" s="258" t="s">
        <v>374</v>
      </c>
      <c r="AS86" s="389"/>
      <c r="AT86" s="258" t="s">
        <v>382</v>
      </c>
      <c r="AU86" s="258" t="s">
        <v>383</v>
      </c>
      <c r="AV86" s="258" t="s">
        <v>384</v>
      </c>
      <c r="AW86" s="258" t="s">
        <v>374</v>
      </c>
      <c r="AX86" s="389"/>
      <c r="AZ86" s="258" t="s">
        <v>374</v>
      </c>
      <c r="BA86" s="389"/>
    </row>
    <row r="87" spans="2:53">
      <c r="B87" s="389" t="s">
        <v>433</v>
      </c>
      <c r="C87" s="182">
        <v>1</v>
      </c>
      <c r="D87" s="203" t="s">
        <v>360</v>
      </c>
      <c r="E87" s="166">
        <v>7</v>
      </c>
      <c r="F87" s="182">
        <v>1500</v>
      </c>
      <c r="G87" s="180">
        <v>214.28571428571428</v>
      </c>
      <c r="H87" s="401">
        <f>AVERAGE(G87:G101)</f>
        <v>161.21428571428572</v>
      </c>
      <c r="I87" s="166">
        <f t="shared" ref="I87:I100" si="69">IFERROR(AVERAGE(P87,U87,Z87,AE87,AJ87,AO87,AT87),"-")</f>
        <v>7</v>
      </c>
      <c r="J87" s="166">
        <f t="shared" ref="J87:J100" si="70">IFERROR(AVERAGE(Q87,V87,AA87,AF87,AK87,AP87,AU87),"-")</f>
        <v>1465.1354114700464</v>
      </c>
      <c r="K87" s="180">
        <f t="shared" ref="K87:K100" si="71">IFERROR(AVERAGE(R87,W87,AB87,AG87,AL87,AQ87,AV87),"-")</f>
        <v>209.30505878143524</v>
      </c>
      <c r="L87" s="401">
        <f>IFERROR(AVERAGE(K87:K101),"-")</f>
        <v>143.41592809295065</v>
      </c>
      <c r="M87" s="166" t="e">
        <f>RANK(K87, K$67:$K$81)</f>
        <v>#N/A</v>
      </c>
      <c r="N87" s="389"/>
      <c r="O87" s="389"/>
      <c r="P87" s="182">
        <v>7</v>
      </c>
      <c r="Q87" s="166">
        <v>1492.6530612244901</v>
      </c>
      <c r="R87" s="166">
        <v>213.2361516034986</v>
      </c>
      <c r="S87" s="182">
        <f t="shared" ref="S87:S101" si="72">RANK(R87, R$87:R$101)</f>
        <v>1</v>
      </c>
      <c r="T87" s="390">
        <f t="shared" ref="T87" si="73">AVERAGE(R87:R101)</f>
        <v>144.11107497700237</v>
      </c>
      <c r="U87" s="182">
        <v>7</v>
      </c>
      <c r="V87" s="166">
        <v>1485.8823529411759</v>
      </c>
      <c r="W87" s="166">
        <v>212.26890756302512</v>
      </c>
      <c r="X87" s="182">
        <f t="shared" ref="X87:X101" si="74">RANK(W87, W$87:W$101)</f>
        <v>1</v>
      </c>
      <c r="Y87" s="390">
        <f t="shared" ref="Y87" si="75">AVERAGE(W87:W101)</f>
        <v>143.82320142476038</v>
      </c>
      <c r="Z87" s="182">
        <v>7</v>
      </c>
      <c r="AA87" s="166">
        <v>1469.9999999999993</v>
      </c>
      <c r="AB87" s="166">
        <v>209.99999999999991</v>
      </c>
      <c r="AC87" s="182">
        <f t="shared" ref="AC87:AC101" si="76">RANK(AB87, AB$87:AB$101)</f>
        <v>3</v>
      </c>
      <c r="AD87" s="390">
        <f t="shared" ref="AD87" si="77">AVERAGE(AB87:AB101)</f>
        <v>143.08047539534527</v>
      </c>
      <c r="AE87" s="182">
        <v>7</v>
      </c>
      <c r="AF87" s="166">
        <v>1444.3902439024384</v>
      </c>
      <c r="AG87" s="166">
        <v>206.34146341463406</v>
      </c>
      <c r="AH87" s="182">
        <f t="shared" ref="AH87:AH101" si="78">RANK(AG87, AG$87:AG$101)</f>
        <v>3</v>
      </c>
      <c r="AI87" s="390">
        <f t="shared" ref="AI87" si="79">AVERAGE(AG87:AG101)</f>
        <v>143.12580255586298</v>
      </c>
      <c r="AJ87" s="182">
        <v>7</v>
      </c>
      <c r="AK87" s="166">
        <v>1457.3333333333333</v>
      </c>
      <c r="AL87" s="166">
        <v>208.19047619047618</v>
      </c>
      <c r="AM87" s="182">
        <f t="shared" ref="AM87:AM101" si="80">RANK(AL87, AL$87:AL$101)</f>
        <v>3</v>
      </c>
      <c r="AN87" s="390">
        <f t="shared" ref="AN87" si="81">AVERAGE(AL87:AL101)</f>
        <v>143.65322532437719</v>
      </c>
      <c r="AO87" s="182">
        <v>7</v>
      </c>
      <c r="AP87" s="166">
        <v>1456.7999999999995</v>
      </c>
      <c r="AQ87" s="166">
        <v>208.11428571428564</v>
      </c>
      <c r="AR87" s="182">
        <f t="shared" ref="AR87:AR101" si="82">RANK(AQ87, AQ$87:AQ$101)</f>
        <v>2</v>
      </c>
      <c r="AS87" s="390">
        <f t="shared" ref="AS87" si="83">AVERAGE(AQ87:AQ101)</f>
        <v>143.02447388160959</v>
      </c>
      <c r="AT87" s="182">
        <v>7</v>
      </c>
      <c r="AU87" s="166">
        <v>1448.8888888888887</v>
      </c>
      <c r="AV87" s="166">
        <v>206.98412698412696</v>
      </c>
      <c r="AW87" s="182">
        <f t="shared" ref="AW87:AW101" si="84">RANK(AV87, AV$87:AV$101)</f>
        <v>3</v>
      </c>
      <c r="AX87" s="390">
        <f t="shared" ref="AX87" si="85">AVERAGE(AV87:AV101)</f>
        <v>143.09324309169671</v>
      </c>
      <c r="AZ87" s="182" t="e">
        <f t="shared" ref="AZ87:AZ101" si="86">RANK(AY87, AY$87:AY$101)</f>
        <v>#N/A</v>
      </c>
      <c r="BA87" s="390" t="e">
        <f t="shared" ref="BA87" si="87">AVERAGE(AY87:AY101)</f>
        <v>#DIV/0!</v>
      </c>
    </row>
    <row r="88" spans="2:53">
      <c r="B88" s="395"/>
      <c r="C88" s="182">
        <v>2</v>
      </c>
      <c r="D88" s="203" t="s">
        <v>361</v>
      </c>
      <c r="E88" s="166">
        <v>7</v>
      </c>
      <c r="F88" s="182">
        <v>1500</v>
      </c>
      <c r="G88" s="180">
        <v>214.28571428571428</v>
      </c>
      <c r="H88" s="402"/>
      <c r="I88" s="166">
        <f t="shared" si="69"/>
        <v>7</v>
      </c>
      <c r="J88" s="166">
        <f t="shared" si="70"/>
        <v>1455.2109629417921</v>
      </c>
      <c r="K88" s="180">
        <f t="shared" si="71"/>
        <v>207.88728042025605</v>
      </c>
      <c r="L88" s="402"/>
      <c r="M88" s="166" t="e">
        <f>RANK(K88, K$67:$K$81)</f>
        <v>#N/A</v>
      </c>
      <c r="N88" s="389"/>
      <c r="O88" s="389"/>
      <c r="P88" s="182">
        <v>7</v>
      </c>
      <c r="Q88" s="166">
        <v>1472.6865671641792</v>
      </c>
      <c r="R88" s="166">
        <v>210.38379530916845</v>
      </c>
      <c r="S88" s="182">
        <f t="shared" si="72"/>
        <v>3</v>
      </c>
      <c r="T88" s="390"/>
      <c r="U88" s="182">
        <v>7</v>
      </c>
      <c r="V88" s="166">
        <v>1448.6330935251792</v>
      </c>
      <c r="W88" s="166">
        <v>206.94758478931132</v>
      </c>
      <c r="X88" s="182">
        <f t="shared" si="74"/>
        <v>4</v>
      </c>
      <c r="Y88" s="390"/>
      <c r="Z88" s="182">
        <v>7</v>
      </c>
      <c r="AA88" s="166">
        <v>1471.1278195488721</v>
      </c>
      <c r="AB88" s="166">
        <v>210.16111707841031</v>
      </c>
      <c r="AC88" s="182">
        <f t="shared" si="76"/>
        <v>2</v>
      </c>
      <c r="AD88" s="390"/>
      <c r="AE88" s="182">
        <v>7</v>
      </c>
      <c r="AF88" s="166">
        <v>1442.6315789473686</v>
      </c>
      <c r="AG88" s="166">
        <v>206.0902255639098</v>
      </c>
      <c r="AH88" s="182">
        <f t="shared" si="78"/>
        <v>4</v>
      </c>
      <c r="AI88" s="390"/>
      <c r="AJ88" s="182">
        <v>7</v>
      </c>
      <c r="AK88" s="166">
        <v>1466.3157894736842</v>
      </c>
      <c r="AL88" s="166">
        <v>209.4736842105263</v>
      </c>
      <c r="AM88" s="182">
        <f t="shared" si="80"/>
        <v>2</v>
      </c>
      <c r="AN88" s="390"/>
      <c r="AO88" s="182">
        <v>7</v>
      </c>
      <c r="AP88" s="166">
        <v>1438.2733812949641</v>
      </c>
      <c r="AQ88" s="166">
        <v>205.46762589928059</v>
      </c>
      <c r="AR88" s="182">
        <f t="shared" si="82"/>
        <v>4</v>
      </c>
      <c r="AS88" s="390"/>
      <c r="AT88" s="182">
        <v>7</v>
      </c>
      <c r="AU88" s="166">
        <v>1446.8085106382982</v>
      </c>
      <c r="AV88" s="166">
        <v>206.68693009118547</v>
      </c>
      <c r="AW88" s="182">
        <f t="shared" si="84"/>
        <v>4</v>
      </c>
      <c r="AX88" s="390"/>
      <c r="AZ88" s="182" t="e">
        <f t="shared" si="86"/>
        <v>#N/A</v>
      </c>
      <c r="BA88" s="390"/>
    </row>
    <row r="89" spans="2:53">
      <c r="B89" s="395"/>
      <c r="C89" s="182">
        <v>3</v>
      </c>
      <c r="D89" s="203" t="s">
        <v>331</v>
      </c>
      <c r="E89" s="166">
        <v>20</v>
      </c>
      <c r="F89" s="182">
        <v>1500</v>
      </c>
      <c r="G89" s="180">
        <v>75</v>
      </c>
      <c r="H89" s="402"/>
      <c r="I89" s="166">
        <f t="shared" si="69"/>
        <v>18.857142857142858</v>
      </c>
      <c r="J89" s="166">
        <f t="shared" si="70"/>
        <v>1302.109380369277</v>
      </c>
      <c r="K89" s="180">
        <f t="shared" si="71"/>
        <v>69.118965216305597</v>
      </c>
      <c r="L89" s="402"/>
      <c r="M89" s="166" t="e">
        <f>RANK(K89, K$67:$K$81)</f>
        <v>#N/A</v>
      </c>
      <c r="N89" s="389"/>
      <c r="O89" s="389"/>
      <c r="P89" s="182">
        <v>20</v>
      </c>
      <c r="Q89" s="166">
        <v>1412.0547945205483</v>
      </c>
      <c r="R89" s="166">
        <v>70.602739726027409</v>
      </c>
      <c r="S89" s="182">
        <f t="shared" si="72"/>
        <v>9</v>
      </c>
      <c r="T89" s="390"/>
      <c r="U89" s="182">
        <v>20</v>
      </c>
      <c r="V89" s="166">
        <v>1335.783783783784</v>
      </c>
      <c r="W89" s="166">
        <v>66.789189189189202</v>
      </c>
      <c r="X89" s="182">
        <f t="shared" si="74"/>
        <v>10</v>
      </c>
      <c r="Y89" s="390"/>
      <c r="Z89" s="182">
        <v>20</v>
      </c>
      <c r="AA89" s="166">
        <v>1309.9218749999998</v>
      </c>
      <c r="AB89" s="166">
        <v>65.496093749999986</v>
      </c>
      <c r="AC89" s="182">
        <f t="shared" si="76"/>
        <v>10</v>
      </c>
      <c r="AD89" s="390"/>
      <c r="AE89" s="182">
        <v>18</v>
      </c>
      <c r="AF89" s="166">
        <v>1255.217391304348</v>
      </c>
      <c r="AG89" s="166">
        <v>69.734299516908223</v>
      </c>
      <c r="AH89" s="182">
        <f t="shared" si="78"/>
        <v>9</v>
      </c>
      <c r="AI89" s="390"/>
      <c r="AJ89" s="182">
        <v>18</v>
      </c>
      <c r="AK89" s="166">
        <v>1250.0689655172416</v>
      </c>
      <c r="AL89" s="166">
        <v>69.448275862068982</v>
      </c>
      <c r="AM89" s="182">
        <f t="shared" si="80"/>
        <v>10</v>
      </c>
      <c r="AN89" s="390"/>
      <c r="AO89" s="182">
        <v>18</v>
      </c>
      <c r="AP89" s="166">
        <v>1278.3688524590166</v>
      </c>
      <c r="AQ89" s="166">
        <v>71.020491803278702</v>
      </c>
      <c r="AR89" s="182">
        <f t="shared" si="82"/>
        <v>9</v>
      </c>
      <c r="AS89" s="390"/>
      <c r="AT89" s="182">
        <v>18</v>
      </c>
      <c r="AU89" s="166">
        <v>1273.3500000000004</v>
      </c>
      <c r="AV89" s="166">
        <v>70.741666666666688</v>
      </c>
      <c r="AW89" s="182">
        <f t="shared" si="84"/>
        <v>9</v>
      </c>
      <c r="AX89" s="390"/>
      <c r="AZ89" s="182" t="e">
        <f t="shared" si="86"/>
        <v>#N/A</v>
      </c>
      <c r="BA89" s="390"/>
    </row>
    <row r="90" spans="2:53">
      <c r="B90" s="395"/>
      <c r="C90" s="182">
        <v>4</v>
      </c>
      <c r="D90" s="203" t="s">
        <v>362</v>
      </c>
      <c r="E90" s="166">
        <v>16</v>
      </c>
      <c r="F90" s="182">
        <v>1440</v>
      </c>
      <c r="G90" s="180">
        <v>90</v>
      </c>
      <c r="H90" s="402"/>
      <c r="I90" s="166">
        <f t="shared" si="69"/>
        <v>16.285714285714285</v>
      </c>
      <c r="J90" s="166">
        <f t="shared" si="70"/>
        <v>1390.3373280377916</v>
      </c>
      <c r="K90" s="180">
        <f t="shared" si="71"/>
        <v>85.425330520317388</v>
      </c>
      <c r="L90" s="402"/>
      <c r="M90" s="166" t="e">
        <f>RANK(K90, K$67:$K$81)</f>
        <v>#N/A</v>
      </c>
      <c r="N90" s="389"/>
      <c r="O90" s="389"/>
      <c r="P90" s="182">
        <v>17</v>
      </c>
      <c r="Q90" s="166">
        <v>1379.7169811320762</v>
      </c>
      <c r="R90" s="166">
        <v>81.159822419533896</v>
      </c>
      <c r="S90" s="182">
        <f t="shared" si="72"/>
        <v>8</v>
      </c>
      <c r="T90" s="390"/>
      <c r="U90" s="182">
        <v>16</v>
      </c>
      <c r="V90" s="166">
        <v>1392.7333333333331</v>
      </c>
      <c r="W90" s="166">
        <v>87.04583333333332</v>
      </c>
      <c r="X90" s="182">
        <f t="shared" si="74"/>
        <v>8</v>
      </c>
      <c r="Y90" s="390"/>
      <c r="Z90" s="182">
        <v>17</v>
      </c>
      <c r="AA90" s="166">
        <v>1420.5957446808511</v>
      </c>
      <c r="AB90" s="166">
        <v>83.564455569461828</v>
      </c>
      <c r="AC90" s="182">
        <f t="shared" si="76"/>
        <v>8</v>
      </c>
      <c r="AD90" s="390"/>
      <c r="AE90" s="182">
        <v>16</v>
      </c>
      <c r="AF90" s="166">
        <v>1370.1315789473674</v>
      </c>
      <c r="AG90" s="166">
        <v>85.633223684210463</v>
      </c>
      <c r="AH90" s="182">
        <f t="shared" si="78"/>
        <v>8</v>
      </c>
      <c r="AI90" s="390"/>
      <c r="AJ90" s="182">
        <v>16</v>
      </c>
      <c r="AK90" s="166">
        <v>1382.804347826087</v>
      </c>
      <c r="AL90" s="166">
        <v>86.425271739130437</v>
      </c>
      <c r="AM90" s="182">
        <f t="shared" si="80"/>
        <v>8</v>
      </c>
      <c r="AN90" s="390"/>
      <c r="AO90" s="182">
        <v>16</v>
      </c>
      <c r="AP90" s="166">
        <v>1377.0000000000009</v>
      </c>
      <c r="AQ90" s="166">
        <v>86.062500000000057</v>
      </c>
      <c r="AR90" s="182">
        <f t="shared" si="82"/>
        <v>8</v>
      </c>
      <c r="AS90" s="390"/>
      <c r="AT90" s="182">
        <v>16</v>
      </c>
      <c r="AU90" s="166">
        <v>1409.3793103448268</v>
      </c>
      <c r="AV90" s="166">
        <v>88.086206896551673</v>
      </c>
      <c r="AW90" s="182">
        <f t="shared" si="84"/>
        <v>8</v>
      </c>
      <c r="AX90" s="390"/>
      <c r="AZ90" s="182" t="e">
        <f t="shared" si="86"/>
        <v>#N/A</v>
      </c>
      <c r="BA90" s="390"/>
    </row>
    <row r="91" spans="2:53">
      <c r="B91" s="395"/>
      <c r="C91" s="182">
        <v>5</v>
      </c>
      <c r="D91" s="203" t="s">
        <v>400</v>
      </c>
      <c r="E91" s="166">
        <v>7</v>
      </c>
      <c r="F91" s="182">
        <v>1500</v>
      </c>
      <c r="G91" s="180">
        <v>214.28571428571428</v>
      </c>
      <c r="H91" s="402"/>
      <c r="I91" s="166">
        <f t="shared" si="69"/>
        <v>7</v>
      </c>
      <c r="J91" s="166">
        <f t="shared" si="70"/>
        <v>1465.9025444104332</v>
      </c>
      <c r="K91" s="180">
        <f t="shared" si="71"/>
        <v>209.41464920149045</v>
      </c>
      <c r="L91" s="402"/>
      <c r="M91" s="166" t="e">
        <f>RANK(K91, K$67:$K$81)</f>
        <v>#N/A</v>
      </c>
      <c r="N91" s="389"/>
      <c r="O91" s="389"/>
      <c r="P91" s="182">
        <v>7</v>
      </c>
      <c r="Q91" s="166">
        <v>1466.5217391304348</v>
      </c>
      <c r="R91" s="166">
        <v>209.50310559006212</v>
      </c>
      <c r="S91" s="182">
        <f t="shared" si="72"/>
        <v>4</v>
      </c>
      <c r="T91" s="390"/>
      <c r="U91" s="182">
        <v>7</v>
      </c>
      <c r="V91" s="166">
        <v>1483.7142857142856</v>
      </c>
      <c r="W91" s="166">
        <v>211.95918367346937</v>
      </c>
      <c r="X91" s="182">
        <f t="shared" si="74"/>
        <v>2</v>
      </c>
      <c r="Y91" s="390"/>
      <c r="Z91" s="182">
        <v>7</v>
      </c>
      <c r="AA91" s="166">
        <v>1465.2631578947362</v>
      </c>
      <c r="AB91" s="166">
        <v>209.32330827067659</v>
      </c>
      <c r="AC91" s="182">
        <f t="shared" si="76"/>
        <v>4</v>
      </c>
      <c r="AD91" s="390"/>
      <c r="AE91" s="182">
        <v>7</v>
      </c>
      <c r="AF91" s="166">
        <v>1462.6890756302525</v>
      </c>
      <c r="AG91" s="166">
        <v>208.95558223289322</v>
      </c>
      <c r="AH91" s="182">
        <f t="shared" si="78"/>
        <v>2</v>
      </c>
      <c r="AI91" s="390"/>
      <c r="AJ91" s="182">
        <v>7</v>
      </c>
      <c r="AK91" s="166">
        <v>1470.9836065573772</v>
      </c>
      <c r="AL91" s="166">
        <v>210.14051522248246</v>
      </c>
      <c r="AM91" s="182">
        <f t="shared" si="80"/>
        <v>1</v>
      </c>
      <c r="AN91" s="390"/>
      <c r="AO91" s="182">
        <v>7</v>
      </c>
      <c r="AP91" s="166">
        <v>1461.1999999999998</v>
      </c>
      <c r="AQ91" s="166">
        <v>208.7428571428571</v>
      </c>
      <c r="AR91" s="182">
        <f t="shared" si="82"/>
        <v>1</v>
      </c>
      <c r="AS91" s="390"/>
      <c r="AT91" s="182">
        <v>7</v>
      </c>
      <c r="AU91" s="166">
        <v>1450.9459459459458</v>
      </c>
      <c r="AV91" s="166">
        <v>207.27799227799227</v>
      </c>
      <c r="AW91" s="182">
        <f t="shared" si="84"/>
        <v>2</v>
      </c>
      <c r="AX91" s="390"/>
      <c r="AZ91" s="182" t="e">
        <f t="shared" si="86"/>
        <v>#N/A</v>
      </c>
      <c r="BA91" s="390"/>
    </row>
    <row r="92" spans="2:53">
      <c r="B92" s="395"/>
      <c r="C92" s="182">
        <v>6</v>
      </c>
      <c r="D92" s="203" t="s">
        <v>615</v>
      </c>
      <c r="E92" s="166">
        <v>12</v>
      </c>
      <c r="F92" s="182">
        <v>2000</v>
      </c>
      <c r="G92" s="180">
        <v>166.66666666666666</v>
      </c>
      <c r="H92" s="402"/>
      <c r="I92" s="166">
        <f t="shared" si="69"/>
        <v>12</v>
      </c>
      <c r="J92" s="166">
        <f t="shared" si="70"/>
        <v>1505.6729817877583</v>
      </c>
      <c r="K92" s="180">
        <f t="shared" si="71"/>
        <v>125.47274848231316</v>
      </c>
      <c r="L92" s="402"/>
      <c r="M92" s="166" t="e">
        <f>RANK(K92, K$67:$K$81)</f>
        <v>#N/A</v>
      </c>
      <c r="N92" s="389"/>
      <c r="O92" s="389"/>
      <c r="P92" s="182">
        <v>12</v>
      </c>
      <c r="Q92" s="166">
        <v>1556.2105263157882</v>
      </c>
      <c r="R92" s="166">
        <v>129.6842105263157</v>
      </c>
      <c r="S92" s="182">
        <f t="shared" si="72"/>
        <v>5</v>
      </c>
      <c r="T92" s="390"/>
      <c r="U92" s="182">
        <v>12</v>
      </c>
      <c r="V92" s="166">
        <v>1526.1749999999995</v>
      </c>
      <c r="W92" s="166">
        <v>127.18124999999996</v>
      </c>
      <c r="X92" s="182">
        <f t="shared" si="74"/>
        <v>6</v>
      </c>
      <c r="Y92" s="390"/>
      <c r="Z92" s="182">
        <v>12</v>
      </c>
      <c r="AA92" s="166">
        <v>1456.533333333336</v>
      </c>
      <c r="AB92" s="166">
        <v>121.37777777777801</v>
      </c>
      <c r="AC92" s="182">
        <f t="shared" si="76"/>
        <v>6</v>
      </c>
      <c r="AD92" s="390"/>
      <c r="AE92" s="182">
        <v>12</v>
      </c>
      <c r="AF92" s="166">
        <v>1511.9414634146337</v>
      </c>
      <c r="AG92" s="166">
        <v>125.99512195121947</v>
      </c>
      <c r="AH92" s="182">
        <f t="shared" si="78"/>
        <v>6</v>
      </c>
      <c r="AI92" s="390"/>
      <c r="AJ92" s="182">
        <v>12</v>
      </c>
      <c r="AK92" s="166">
        <v>1512.6000000000001</v>
      </c>
      <c r="AL92" s="166">
        <v>126.05000000000001</v>
      </c>
      <c r="AM92" s="182">
        <f t="shared" si="80"/>
        <v>6</v>
      </c>
      <c r="AN92" s="390"/>
      <c r="AO92" s="182">
        <v>12</v>
      </c>
      <c r="AP92" s="166">
        <v>1502.6076923076932</v>
      </c>
      <c r="AQ92" s="166">
        <v>125.21730769230777</v>
      </c>
      <c r="AR92" s="182">
        <f t="shared" si="82"/>
        <v>6</v>
      </c>
      <c r="AS92" s="390"/>
      <c r="AT92" s="182">
        <v>12</v>
      </c>
      <c r="AU92" s="166">
        <v>1473.6428571428562</v>
      </c>
      <c r="AV92" s="166">
        <v>122.80357142857135</v>
      </c>
      <c r="AW92" s="182">
        <f t="shared" si="84"/>
        <v>6</v>
      </c>
      <c r="AX92" s="390"/>
      <c r="AZ92" s="182" t="e">
        <f t="shared" si="86"/>
        <v>#N/A</v>
      </c>
      <c r="BA92" s="390"/>
    </row>
    <row r="93" spans="2:53">
      <c r="B93" s="395"/>
      <c r="C93" s="182">
        <v>7</v>
      </c>
      <c r="D93" s="203" t="s">
        <v>594</v>
      </c>
      <c r="E93" s="166">
        <v>7</v>
      </c>
      <c r="F93" s="182">
        <v>1500</v>
      </c>
      <c r="G93" s="180">
        <v>214.28571428571428</v>
      </c>
      <c r="H93" s="402"/>
      <c r="I93" s="166">
        <f t="shared" si="69"/>
        <v>7</v>
      </c>
      <c r="J93" s="166">
        <f t="shared" si="70"/>
        <v>1466.2197974459607</v>
      </c>
      <c r="K93" s="180">
        <f t="shared" si="71"/>
        <v>209.45997106370868</v>
      </c>
      <c r="L93" s="402"/>
      <c r="M93" s="166" t="e">
        <f>RANK(K93, K$67:$K$81)</f>
        <v>#N/A</v>
      </c>
      <c r="N93" s="389"/>
      <c r="O93" s="389"/>
      <c r="P93" s="182">
        <v>7</v>
      </c>
      <c r="Q93" s="166">
        <v>1484.21052631579</v>
      </c>
      <c r="R93" s="166">
        <v>212.03007518797</v>
      </c>
      <c r="S93" s="182">
        <f t="shared" si="72"/>
        <v>2</v>
      </c>
      <c r="T93" s="390"/>
      <c r="U93" s="182">
        <v>7</v>
      </c>
      <c r="V93" s="166">
        <v>1478.7341772151906</v>
      </c>
      <c r="W93" s="166">
        <v>211.24773960217007</v>
      </c>
      <c r="X93" s="182">
        <f t="shared" si="74"/>
        <v>3</v>
      </c>
      <c r="Y93" s="390"/>
      <c r="Z93" s="182">
        <v>7</v>
      </c>
      <c r="AA93" s="166">
        <v>1477.9746835443048</v>
      </c>
      <c r="AB93" s="166">
        <v>211.13924050632926</v>
      </c>
      <c r="AC93" s="182">
        <f t="shared" si="76"/>
        <v>1</v>
      </c>
      <c r="AD93" s="390"/>
      <c r="AE93" s="182">
        <v>7</v>
      </c>
      <c r="AF93" s="166">
        <v>1466.9999999999993</v>
      </c>
      <c r="AG93" s="166">
        <v>209.57142857142847</v>
      </c>
      <c r="AH93" s="182">
        <f t="shared" si="78"/>
        <v>1</v>
      </c>
      <c r="AI93" s="390"/>
      <c r="AJ93" s="182">
        <v>7</v>
      </c>
      <c r="AK93" s="166">
        <v>1444.4117647058824</v>
      </c>
      <c r="AL93" s="166">
        <v>206.34453781512607</v>
      </c>
      <c r="AM93" s="182">
        <f t="shared" si="80"/>
        <v>4</v>
      </c>
      <c r="AN93" s="390"/>
      <c r="AO93" s="182">
        <v>7</v>
      </c>
      <c r="AP93" s="166">
        <v>1451.4705882352941</v>
      </c>
      <c r="AQ93" s="166">
        <v>207.35294117647058</v>
      </c>
      <c r="AR93" s="182">
        <f t="shared" si="82"/>
        <v>3</v>
      </c>
      <c r="AS93" s="390"/>
      <c r="AT93" s="182">
        <v>7</v>
      </c>
      <c r="AU93" s="166">
        <v>1459.7368421052638</v>
      </c>
      <c r="AV93" s="166">
        <v>208.53383458646627</v>
      </c>
      <c r="AW93" s="182">
        <f t="shared" si="84"/>
        <v>1</v>
      </c>
      <c r="AX93" s="390"/>
      <c r="AZ93" s="182" t="e">
        <f t="shared" si="86"/>
        <v>#N/A</v>
      </c>
      <c r="BA93" s="390"/>
    </row>
    <row r="94" spans="2:53">
      <c r="B94" s="395"/>
      <c r="C94" s="182">
        <v>8</v>
      </c>
      <c r="D94" s="203" t="s">
        <v>734</v>
      </c>
      <c r="E94" s="166">
        <v>12</v>
      </c>
      <c r="F94" s="182">
        <v>2000</v>
      </c>
      <c r="G94" s="180">
        <v>166.66666666666666</v>
      </c>
      <c r="H94" s="402"/>
      <c r="I94" s="166">
        <f t="shared" si="69"/>
        <v>12</v>
      </c>
      <c r="J94" s="166">
        <f t="shared" si="70"/>
        <v>1423.1407496014394</v>
      </c>
      <c r="K94" s="180">
        <f t="shared" si="71"/>
        <v>118.59506246678659</v>
      </c>
      <c r="L94" s="402"/>
      <c r="M94" s="166" t="e">
        <f>RANK(K94, K$67:$K$81)</f>
        <v>#N/A</v>
      </c>
      <c r="N94" s="389"/>
      <c r="O94" s="389"/>
      <c r="P94" s="182">
        <v>12</v>
      </c>
      <c r="Q94" s="166">
        <v>1416.2238805970151</v>
      </c>
      <c r="R94" s="166">
        <v>118.01865671641792</v>
      </c>
      <c r="S94" s="182">
        <f t="shared" si="72"/>
        <v>7</v>
      </c>
      <c r="T94" s="390"/>
      <c r="U94" s="182">
        <v>12</v>
      </c>
      <c r="V94" s="166">
        <v>1409.9583333333337</v>
      </c>
      <c r="W94" s="166">
        <v>117.49652777777781</v>
      </c>
      <c r="X94" s="182">
        <f t="shared" si="74"/>
        <v>7</v>
      </c>
      <c r="Y94" s="390"/>
      <c r="Z94" s="182">
        <v>12</v>
      </c>
      <c r="AA94" s="166">
        <v>1413.2083333333337</v>
      </c>
      <c r="AB94" s="166">
        <v>117.76736111111114</v>
      </c>
      <c r="AC94" s="182">
        <f t="shared" si="76"/>
        <v>7</v>
      </c>
      <c r="AD94" s="390"/>
      <c r="AE94" s="182">
        <v>12</v>
      </c>
      <c r="AF94" s="166">
        <v>1434.1747572815534</v>
      </c>
      <c r="AG94" s="166">
        <v>119.51456310679612</v>
      </c>
      <c r="AH94" s="182">
        <f t="shared" si="78"/>
        <v>7</v>
      </c>
      <c r="AI94" s="390"/>
      <c r="AJ94" s="182">
        <v>12</v>
      </c>
      <c r="AK94" s="166">
        <v>1430.4424778761061</v>
      </c>
      <c r="AL94" s="166">
        <v>119.20353982300884</v>
      </c>
      <c r="AM94" s="182">
        <f t="shared" si="80"/>
        <v>7</v>
      </c>
      <c r="AN94" s="390"/>
      <c r="AO94" s="182">
        <v>12</v>
      </c>
      <c r="AP94" s="166">
        <v>1419.6</v>
      </c>
      <c r="AQ94" s="166">
        <v>118.3</v>
      </c>
      <c r="AR94" s="182">
        <f t="shared" si="82"/>
        <v>7</v>
      </c>
      <c r="AS94" s="390"/>
      <c r="AT94" s="182">
        <v>12</v>
      </c>
      <c r="AU94" s="166">
        <v>1438.3774647887326</v>
      </c>
      <c r="AV94" s="166">
        <v>119.86478873239439</v>
      </c>
      <c r="AW94" s="182">
        <f t="shared" si="84"/>
        <v>7</v>
      </c>
      <c r="AX94" s="390"/>
      <c r="AZ94" s="182" t="e">
        <f t="shared" si="86"/>
        <v>#N/A</v>
      </c>
      <c r="BA94" s="390"/>
    </row>
    <row r="95" spans="2:53">
      <c r="B95" s="395"/>
      <c r="C95" s="182">
        <v>9</v>
      </c>
      <c r="D95" s="203" t="s">
        <v>735</v>
      </c>
      <c r="E95" s="166">
        <v>12</v>
      </c>
      <c r="F95" s="182">
        <v>2000</v>
      </c>
      <c r="G95" s="180">
        <v>166.66666666666666</v>
      </c>
      <c r="H95" s="402"/>
      <c r="I95" s="166">
        <f t="shared" si="69"/>
        <v>12</v>
      </c>
      <c r="J95" s="166">
        <f t="shared" si="70"/>
        <v>1553.0617094433421</v>
      </c>
      <c r="K95" s="180">
        <f t="shared" si="71"/>
        <v>129.42180912027851</v>
      </c>
      <c r="L95" s="402"/>
      <c r="M95" s="166" t="e">
        <f>RANK(K95, K$67:$K$81)</f>
        <v>#N/A</v>
      </c>
      <c r="N95" s="389"/>
      <c r="O95" s="389"/>
      <c r="P95" s="182">
        <v>12</v>
      </c>
      <c r="Q95" s="166">
        <v>1518.7714285714289</v>
      </c>
      <c r="R95" s="166">
        <v>126.56428571428575</v>
      </c>
      <c r="S95" s="182">
        <f t="shared" si="72"/>
        <v>6</v>
      </c>
      <c r="T95" s="390"/>
      <c r="U95" s="182">
        <v>12</v>
      </c>
      <c r="V95" s="166">
        <v>1529.9142857142861</v>
      </c>
      <c r="W95" s="166">
        <v>127.49285714285718</v>
      </c>
      <c r="X95" s="182">
        <f t="shared" si="74"/>
        <v>5</v>
      </c>
      <c r="Y95" s="390"/>
      <c r="Z95" s="182">
        <v>12</v>
      </c>
      <c r="AA95" s="166">
        <v>1595.5102040816332</v>
      </c>
      <c r="AB95" s="166">
        <v>132.95918367346943</v>
      </c>
      <c r="AC95" s="182">
        <f t="shared" si="76"/>
        <v>5</v>
      </c>
      <c r="AD95" s="390"/>
      <c r="AE95" s="182">
        <v>12</v>
      </c>
      <c r="AF95" s="166">
        <v>1557.2727272727273</v>
      </c>
      <c r="AG95" s="166">
        <v>129.77272727272728</v>
      </c>
      <c r="AH95" s="182">
        <f t="shared" si="78"/>
        <v>5</v>
      </c>
      <c r="AI95" s="390"/>
      <c r="AJ95" s="182">
        <v>12</v>
      </c>
      <c r="AK95" s="166">
        <v>1553.5714285714284</v>
      </c>
      <c r="AL95" s="166">
        <v>129.46428571428569</v>
      </c>
      <c r="AM95" s="182">
        <f t="shared" si="80"/>
        <v>5</v>
      </c>
      <c r="AN95" s="390"/>
      <c r="AO95" s="182">
        <v>12</v>
      </c>
      <c r="AP95" s="166">
        <v>1551.8918918918923</v>
      </c>
      <c r="AQ95" s="166">
        <v>129.32432432432435</v>
      </c>
      <c r="AR95" s="182">
        <f t="shared" si="82"/>
        <v>5</v>
      </c>
      <c r="AS95" s="390"/>
      <c r="AT95" s="182">
        <v>12</v>
      </c>
      <c r="AU95" s="166">
        <v>1564.5</v>
      </c>
      <c r="AV95" s="166">
        <v>130.375</v>
      </c>
      <c r="AW95" s="182">
        <f t="shared" si="84"/>
        <v>5</v>
      </c>
      <c r="AX95" s="390"/>
      <c r="AZ95" s="182" t="e">
        <f t="shared" si="86"/>
        <v>#N/A</v>
      </c>
      <c r="BA95" s="390"/>
    </row>
    <row r="96" spans="2:53">
      <c r="B96" s="395"/>
      <c r="C96" s="182">
        <v>10</v>
      </c>
      <c r="D96" s="203" t="s">
        <v>757</v>
      </c>
      <c r="E96" s="166">
        <v>16</v>
      </c>
      <c r="F96" s="182">
        <v>1440</v>
      </c>
      <c r="G96" s="180">
        <v>90</v>
      </c>
      <c r="H96" s="402"/>
      <c r="I96" s="166">
        <f t="shared" si="69"/>
        <v>16</v>
      </c>
      <c r="J96" s="166">
        <f t="shared" si="70"/>
        <v>1120.9344905058363</v>
      </c>
      <c r="K96" s="180">
        <f t="shared" si="71"/>
        <v>70.058405656614767</v>
      </c>
      <c r="L96" s="402"/>
      <c r="M96" s="166" t="e">
        <f>RANK(K96, K$67:$K$81)</f>
        <v>#N/A</v>
      </c>
      <c r="N96" s="389"/>
      <c r="O96" s="389"/>
      <c r="P96" s="182">
        <v>16</v>
      </c>
      <c r="Q96" s="166">
        <v>1118.8465116279069</v>
      </c>
      <c r="R96" s="166">
        <v>69.927906976744183</v>
      </c>
      <c r="S96" s="182">
        <f t="shared" si="72"/>
        <v>10</v>
      </c>
      <c r="T96" s="390"/>
      <c r="U96" s="182">
        <v>16</v>
      </c>
      <c r="V96" s="166">
        <v>1116.8470588235291</v>
      </c>
      <c r="W96" s="166">
        <v>69.802941176470569</v>
      </c>
      <c r="X96" s="182">
        <f t="shared" si="74"/>
        <v>9</v>
      </c>
      <c r="Y96" s="390"/>
      <c r="Z96" s="182">
        <v>16</v>
      </c>
      <c r="AA96" s="166">
        <v>1104.25945945946</v>
      </c>
      <c r="AB96" s="166">
        <v>69.01621621621625</v>
      </c>
      <c r="AC96" s="182">
        <f t="shared" si="76"/>
        <v>9</v>
      </c>
      <c r="AD96" s="390"/>
      <c r="AE96" s="182">
        <v>16</v>
      </c>
      <c r="AF96" s="166">
        <v>1114.3902439024387</v>
      </c>
      <c r="AG96" s="166">
        <v>69.649390243902417</v>
      </c>
      <c r="AH96" s="182">
        <f t="shared" si="78"/>
        <v>10</v>
      </c>
      <c r="AI96" s="390"/>
      <c r="AJ96" s="182">
        <v>16</v>
      </c>
      <c r="AK96" s="166">
        <v>1148.6666666666667</v>
      </c>
      <c r="AL96" s="166">
        <v>71.791666666666671</v>
      </c>
      <c r="AM96" s="182">
        <f t="shared" si="80"/>
        <v>9</v>
      </c>
      <c r="AN96" s="390"/>
      <c r="AO96" s="182">
        <v>16</v>
      </c>
      <c r="AP96" s="166">
        <v>1130.2784810126586</v>
      </c>
      <c r="AQ96" s="166">
        <v>70.642405063291164</v>
      </c>
      <c r="AR96" s="182">
        <f t="shared" si="82"/>
        <v>10</v>
      </c>
      <c r="AS96" s="390"/>
      <c r="AT96" s="182">
        <v>16</v>
      </c>
      <c r="AU96" s="166">
        <v>1113.2530120481924</v>
      </c>
      <c r="AV96" s="166">
        <v>69.578313253012027</v>
      </c>
      <c r="AW96" s="182">
        <f t="shared" si="84"/>
        <v>10</v>
      </c>
      <c r="AX96" s="390"/>
      <c r="AZ96" s="182" t="e">
        <f t="shared" si="86"/>
        <v>#N/A</v>
      </c>
      <c r="BA96" s="390"/>
    </row>
    <row r="97" spans="2:53">
      <c r="B97" s="395"/>
      <c r="C97" s="182">
        <v>11</v>
      </c>
      <c r="D97" s="203"/>
      <c r="E97" s="166"/>
      <c r="F97" s="182"/>
      <c r="G97" s="180"/>
      <c r="H97" s="402"/>
      <c r="I97" s="166" t="str">
        <f t="shared" si="69"/>
        <v>-</v>
      </c>
      <c r="J97" s="166" t="str">
        <f t="shared" si="70"/>
        <v>-</v>
      </c>
      <c r="K97" s="180" t="str">
        <f t="shared" si="71"/>
        <v>-</v>
      </c>
      <c r="L97" s="402"/>
      <c r="M97" s="166" t="e">
        <f>RANK(K97, K$67:$K$81)</f>
        <v>#VALUE!</v>
      </c>
      <c r="N97" s="389"/>
      <c r="O97" s="389"/>
      <c r="P97" s="182"/>
      <c r="Q97" s="166"/>
      <c r="R97" s="166"/>
      <c r="S97" s="182" t="e">
        <f t="shared" si="72"/>
        <v>#N/A</v>
      </c>
      <c r="T97" s="390"/>
      <c r="U97" s="182"/>
      <c r="V97" s="166"/>
      <c r="W97" s="166"/>
      <c r="X97" s="182" t="e">
        <f t="shared" si="74"/>
        <v>#N/A</v>
      </c>
      <c r="Y97" s="390"/>
      <c r="Z97" s="182"/>
      <c r="AA97" s="166"/>
      <c r="AB97" s="166"/>
      <c r="AC97" s="182" t="e">
        <f t="shared" si="76"/>
        <v>#N/A</v>
      </c>
      <c r="AD97" s="390"/>
      <c r="AE97" s="182"/>
      <c r="AF97" s="166"/>
      <c r="AG97" s="166"/>
      <c r="AH97" s="182" t="e">
        <f t="shared" si="78"/>
        <v>#N/A</v>
      </c>
      <c r="AI97" s="390"/>
      <c r="AJ97" s="182"/>
      <c r="AK97" s="166"/>
      <c r="AL97" s="166"/>
      <c r="AM97" s="182" t="e">
        <f t="shared" si="80"/>
        <v>#N/A</v>
      </c>
      <c r="AN97" s="390"/>
      <c r="AO97" s="182"/>
      <c r="AP97" s="166"/>
      <c r="AQ97" s="166"/>
      <c r="AR97" s="182" t="e">
        <f t="shared" si="82"/>
        <v>#N/A</v>
      </c>
      <c r="AS97" s="390"/>
      <c r="AT97" s="182"/>
      <c r="AU97" s="166"/>
      <c r="AV97" s="166"/>
      <c r="AW97" s="182" t="e">
        <f t="shared" si="84"/>
        <v>#N/A</v>
      </c>
      <c r="AX97" s="390"/>
      <c r="AZ97" s="182" t="e">
        <f t="shared" si="86"/>
        <v>#N/A</v>
      </c>
      <c r="BA97" s="390"/>
    </row>
    <row r="98" spans="2:53">
      <c r="B98" s="395"/>
      <c r="C98" s="182">
        <v>12</v>
      </c>
      <c r="D98" s="203"/>
      <c r="E98" s="166"/>
      <c r="F98" s="182"/>
      <c r="G98" s="180"/>
      <c r="H98" s="402"/>
      <c r="I98" s="166" t="str">
        <f t="shared" si="69"/>
        <v>-</v>
      </c>
      <c r="J98" s="166" t="str">
        <f t="shared" si="70"/>
        <v>-</v>
      </c>
      <c r="K98" s="180" t="str">
        <f t="shared" si="71"/>
        <v>-</v>
      </c>
      <c r="L98" s="402"/>
      <c r="M98" s="166" t="e">
        <f>RANK(K98, K$67:$K$81)</f>
        <v>#VALUE!</v>
      </c>
      <c r="N98" s="389"/>
      <c r="O98" s="389"/>
      <c r="P98" s="182"/>
      <c r="Q98" s="166"/>
      <c r="R98" s="166"/>
      <c r="S98" s="182" t="e">
        <f t="shared" si="72"/>
        <v>#N/A</v>
      </c>
      <c r="T98" s="390"/>
      <c r="U98" s="182"/>
      <c r="V98" s="166"/>
      <c r="W98" s="166"/>
      <c r="X98" s="182" t="e">
        <f t="shared" si="74"/>
        <v>#N/A</v>
      </c>
      <c r="Y98" s="390"/>
      <c r="Z98" s="182"/>
      <c r="AA98" s="166"/>
      <c r="AB98" s="166"/>
      <c r="AC98" s="182" t="e">
        <f t="shared" si="76"/>
        <v>#N/A</v>
      </c>
      <c r="AD98" s="390"/>
      <c r="AE98" s="182"/>
      <c r="AF98" s="166"/>
      <c r="AG98" s="166"/>
      <c r="AH98" s="182" t="e">
        <f t="shared" si="78"/>
        <v>#N/A</v>
      </c>
      <c r="AI98" s="390"/>
      <c r="AJ98" s="182"/>
      <c r="AK98" s="166"/>
      <c r="AL98" s="166"/>
      <c r="AM98" s="182" t="e">
        <f t="shared" si="80"/>
        <v>#N/A</v>
      </c>
      <c r="AN98" s="390"/>
      <c r="AO98" s="182"/>
      <c r="AP98" s="166"/>
      <c r="AQ98" s="166"/>
      <c r="AR98" s="182" t="e">
        <f t="shared" si="82"/>
        <v>#N/A</v>
      </c>
      <c r="AS98" s="390"/>
      <c r="AT98" s="182"/>
      <c r="AU98" s="166"/>
      <c r="AV98" s="166"/>
      <c r="AW98" s="182" t="e">
        <f t="shared" si="84"/>
        <v>#N/A</v>
      </c>
      <c r="AX98" s="390"/>
      <c r="AZ98" s="182" t="e">
        <f t="shared" si="86"/>
        <v>#N/A</v>
      </c>
      <c r="BA98" s="390"/>
    </row>
    <row r="99" spans="2:53">
      <c r="B99" s="395"/>
      <c r="C99" s="182">
        <v>13</v>
      </c>
      <c r="D99" s="203"/>
      <c r="E99" s="166"/>
      <c r="F99" s="182"/>
      <c r="G99" s="180"/>
      <c r="H99" s="402"/>
      <c r="I99" s="166" t="str">
        <f t="shared" si="69"/>
        <v>-</v>
      </c>
      <c r="J99" s="166" t="str">
        <f t="shared" si="70"/>
        <v>-</v>
      </c>
      <c r="K99" s="180" t="str">
        <f t="shared" si="71"/>
        <v>-</v>
      </c>
      <c r="L99" s="402"/>
      <c r="M99" s="166" t="e">
        <f>RANK(K99, K$67:$K$81)</f>
        <v>#VALUE!</v>
      </c>
      <c r="N99" s="389"/>
      <c r="O99" s="389"/>
      <c r="P99" s="182"/>
      <c r="Q99" s="166"/>
      <c r="R99" s="166"/>
      <c r="S99" s="182" t="e">
        <f t="shared" si="72"/>
        <v>#N/A</v>
      </c>
      <c r="T99" s="390"/>
      <c r="U99" s="182"/>
      <c r="V99" s="166"/>
      <c r="W99" s="166"/>
      <c r="X99" s="182" t="e">
        <f t="shared" si="74"/>
        <v>#N/A</v>
      </c>
      <c r="Y99" s="390"/>
      <c r="Z99" s="182"/>
      <c r="AA99" s="166"/>
      <c r="AB99" s="166"/>
      <c r="AC99" s="182" t="e">
        <f t="shared" si="76"/>
        <v>#N/A</v>
      </c>
      <c r="AD99" s="390"/>
      <c r="AE99" s="182"/>
      <c r="AF99" s="166"/>
      <c r="AG99" s="166"/>
      <c r="AH99" s="182" t="e">
        <f t="shared" si="78"/>
        <v>#N/A</v>
      </c>
      <c r="AI99" s="390"/>
      <c r="AJ99" s="182"/>
      <c r="AK99" s="166"/>
      <c r="AL99" s="166"/>
      <c r="AM99" s="182" t="e">
        <f t="shared" si="80"/>
        <v>#N/A</v>
      </c>
      <c r="AN99" s="390"/>
      <c r="AO99" s="182"/>
      <c r="AP99" s="166"/>
      <c r="AQ99" s="166"/>
      <c r="AR99" s="182" t="e">
        <f t="shared" si="82"/>
        <v>#N/A</v>
      </c>
      <c r="AS99" s="390"/>
      <c r="AT99" s="182"/>
      <c r="AU99" s="166"/>
      <c r="AV99" s="166"/>
      <c r="AW99" s="182" t="e">
        <f t="shared" si="84"/>
        <v>#N/A</v>
      </c>
      <c r="AX99" s="390"/>
      <c r="AZ99" s="182" t="e">
        <f t="shared" si="86"/>
        <v>#N/A</v>
      </c>
      <c r="BA99" s="390"/>
    </row>
    <row r="100" spans="2:53">
      <c r="B100" s="395"/>
      <c r="C100" s="182">
        <v>14</v>
      </c>
      <c r="D100" s="203"/>
      <c r="E100" s="166"/>
      <c r="F100" s="182"/>
      <c r="G100" s="180"/>
      <c r="H100" s="402"/>
      <c r="I100" s="166" t="str">
        <f t="shared" si="69"/>
        <v>-</v>
      </c>
      <c r="J100" s="166" t="str">
        <f t="shared" si="70"/>
        <v>-</v>
      </c>
      <c r="K100" s="180" t="str">
        <f t="shared" si="71"/>
        <v>-</v>
      </c>
      <c r="L100" s="402"/>
      <c r="M100" s="166" t="e">
        <f>RANK(K100, K$67:$K$81)</f>
        <v>#VALUE!</v>
      </c>
      <c r="N100" s="389"/>
      <c r="O100" s="389"/>
      <c r="P100" s="182"/>
      <c r="Q100" s="166"/>
      <c r="R100" s="166"/>
      <c r="S100" s="182" t="e">
        <f t="shared" si="72"/>
        <v>#N/A</v>
      </c>
      <c r="T100" s="390"/>
      <c r="U100" s="182"/>
      <c r="V100" s="166"/>
      <c r="W100" s="166"/>
      <c r="X100" s="182" t="e">
        <f t="shared" si="74"/>
        <v>#N/A</v>
      </c>
      <c r="Y100" s="390"/>
      <c r="Z100" s="182"/>
      <c r="AA100" s="166"/>
      <c r="AB100" s="166"/>
      <c r="AC100" s="182" t="e">
        <f t="shared" si="76"/>
        <v>#N/A</v>
      </c>
      <c r="AD100" s="390"/>
      <c r="AE100" s="182"/>
      <c r="AF100" s="166"/>
      <c r="AG100" s="166"/>
      <c r="AH100" s="182" t="e">
        <f t="shared" si="78"/>
        <v>#N/A</v>
      </c>
      <c r="AI100" s="390"/>
      <c r="AJ100" s="182"/>
      <c r="AK100" s="166"/>
      <c r="AL100" s="166"/>
      <c r="AM100" s="182" t="e">
        <f t="shared" si="80"/>
        <v>#N/A</v>
      </c>
      <c r="AN100" s="390"/>
      <c r="AO100" s="182"/>
      <c r="AP100" s="166"/>
      <c r="AQ100" s="166"/>
      <c r="AR100" s="182" t="e">
        <f t="shared" si="82"/>
        <v>#N/A</v>
      </c>
      <c r="AS100" s="390"/>
      <c r="AT100" s="182"/>
      <c r="AU100" s="166"/>
      <c r="AV100" s="166"/>
      <c r="AW100" s="182" t="e">
        <f t="shared" si="84"/>
        <v>#N/A</v>
      </c>
      <c r="AX100" s="390"/>
      <c r="AZ100" s="182" t="e">
        <f t="shared" si="86"/>
        <v>#N/A</v>
      </c>
      <c r="BA100" s="390"/>
    </row>
    <row r="101" spans="2:53">
      <c r="B101" s="395"/>
      <c r="C101" s="182">
        <v>15</v>
      </c>
      <c r="D101" s="203"/>
      <c r="E101" s="166"/>
      <c r="F101" s="182"/>
      <c r="G101" s="180"/>
      <c r="H101" s="403"/>
      <c r="I101" s="182"/>
      <c r="J101" s="182"/>
      <c r="K101" s="182"/>
      <c r="L101" s="403"/>
      <c r="M101" s="166" t="e">
        <f>RANK(K101, K$47:$K$61)</f>
        <v>#N/A</v>
      </c>
      <c r="N101" s="389"/>
      <c r="O101" s="389"/>
      <c r="P101" s="182"/>
      <c r="Q101" s="166"/>
      <c r="R101" s="166"/>
      <c r="S101" s="182" t="e">
        <f t="shared" si="72"/>
        <v>#N/A</v>
      </c>
      <c r="T101" s="390"/>
      <c r="U101" s="182"/>
      <c r="V101" s="166"/>
      <c r="W101" s="166"/>
      <c r="X101" s="182" t="e">
        <f t="shared" si="74"/>
        <v>#N/A</v>
      </c>
      <c r="Y101" s="390"/>
      <c r="Z101" s="182"/>
      <c r="AA101" s="166"/>
      <c r="AB101" s="166"/>
      <c r="AC101" s="182" t="e">
        <f t="shared" si="76"/>
        <v>#N/A</v>
      </c>
      <c r="AD101" s="390"/>
      <c r="AE101" s="182"/>
      <c r="AF101" s="166"/>
      <c r="AG101" s="166"/>
      <c r="AH101" s="182" t="e">
        <f t="shared" si="78"/>
        <v>#N/A</v>
      </c>
      <c r="AI101" s="390"/>
      <c r="AJ101" s="182"/>
      <c r="AK101" s="166"/>
      <c r="AL101" s="166"/>
      <c r="AM101" s="182" t="e">
        <f t="shared" si="80"/>
        <v>#N/A</v>
      </c>
      <c r="AN101" s="390"/>
      <c r="AO101" s="182"/>
      <c r="AP101" s="166"/>
      <c r="AQ101" s="166"/>
      <c r="AR101" s="182" t="e">
        <f t="shared" si="82"/>
        <v>#N/A</v>
      </c>
      <c r="AS101" s="390"/>
      <c r="AT101" s="182"/>
      <c r="AU101" s="166"/>
      <c r="AV101" s="166"/>
      <c r="AW101" s="182" t="e">
        <f t="shared" si="84"/>
        <v>#N/A</v>
      </c>
      <c r="AX101" s="390"/>
      <c r="AZ101" s="182" t="e">
        <f t="shared" si="86"/>
        <v>#N/A</v>
      </c>
      <c r="BA101" s="390"/>
    </row>
    <row r="102" spans="2:53" ht="15.75">
      <c r="B102" s="414" t="s">
        <v>163</v>
      </c>
      <c r="C102" s="415"/>
      <c r="D102" s="415"/>
      <c r="E102" s="415"/>
      <c r="F102" s="415"/>
      <c r="G102" s="415"/>
      <c r="H102" s="415"/>
      <c r="I102" s="186"/>
      <c r="J102" s="186"/>
      <c r="K102" s="186"/>
      <c r="L102" s="186"/>
      <c r="M102" s="185"/>
      <c r="N102" s="391" t="s">
        <v>156</v>
      </c>
      <c r="O102" s="391" t="s">
        <v>105</v>
      </c>
      <c r="P102" s="413">
        <f>P82+7</f>
        <v>46175</v>
      </c>
      <c r="Q102" s="395"/>
      <c r="R102" s="395"/>
      <c r="S102" s="395"/>
      <c r="T102" s="395"/>
      <c r="U102" s="410">
        <f>P102+1</f>
        <v>46176</v>
      </c>
      <c r="V102" s="411"/>
      <c r="W102" s="411"/>
      <c r="X102" s="411"/>
      <c r="Y102" s="412"/>
      <c r="Z102" s="410">
        <f>U102+1</f>
        <v>46177</v>
      </c>
      <c r="AA102" s="411"/>
      <c r="AB102" s="411"/>
      <c r="AC102" s="411"/>
      <c r="AD102" s="412"/>
      <c r="AE102" s="410">
        <f>Z102+1</f>
        <v>46178</v>
      </c>
      <c r="AF102" s="411"/>
      <c r="AG102" s="411"/>
      <c r="AH102" s="411"/>
      <c r="AI102" s="412"/>
      <c r="AJ102" s="410">
        <f>AE102+1</f>
        <v>46179</v>
      </c>
      <c r="AK102" s="411"/>
      <c r="AL102" s="411"/>
      <c r="AM102" s="411"/>
      <c r="AN102" s="412"/>
      <c r="AO102" s="410">
        <f>AJ102+1</f>
        <v>46180</v>
      </c>
      <c r="AP102" s="411"/>
      <c r="AQ102" s="411"/>
      <c r="AR102" s="411"/>
      <c r="AS102" s="412"/>
      <c r="AT102" s="410">
        <f>AO102+1</f>
        <v>46181</v>
      </c>
      <c r="AU102" s="411"/>
      <c r="AV102" s="411"/>
      <c r="AW102" s="411"/>
      <c r="AX102" s="412"/>
    </row>
    <row r="103" spans="2:53" ht="15.75">
      <c r="B103" s="416"/>
      <c r="C103" s="416"/>
      <c r="D103" s="416"/>
      <c r="E103" s="416"/>
      <c r="F103" s="416"/>
      <c r="G103" s="416"/>
      <c r="H103" s="416"/>
      <c r="I103" s="184"/>
      <c r="J103" s="184"/>
      <c r="K103" s="184"/>
      <c r="L103" s="184"/>
      <c r="M103" s="179"/>
      <c r="N103" s="393"/>
      <c r="O103" s="393"/>
      <c r="P103" s="413" t="s">
        <v>158</v>
      </c>
      <c r="Q103" s="395"/>
      <c r="R103" s="395"/>
      <c r="S103" s="395"/>
      <c r="T103" s="395"/>
      <c r="U103" s="413" t="s">
        <v>114</v>
      </c>
      <c r="V103" s="395"/>
      <c r="W103" s="395"/>
      <c r="X103" s="395"/>
      <c r="Y103" s="395"/>
      <c r="Z103" s="413" t="s">
        <v>159</v>
      </c>
      <c r="AA103" s="395"/>
      <c r="AB103" s="395"/>
      <c r="AC103" s="395"/>
      <c r="AD103" s="395"/>
      <c r="AE103" s="413" t="s">
        <v>157</v>
      </c>
      <c r="AF103" s="395"/>
      <c r="AG103" s="395"/>
      <c r="AH103" s="395"/>
      <c r="AI103" s="395"/>
      <c r="AJ103" s="413" t="s">
        <v>160</v>
      </c>
      <c r="AK103" s="395"/>
      <c r="AL103" s="395"/>
      <c r="AM103" s="395"/>
      <c r="AN103" s="395"/>
      <c r="AO103" s="413" t="s">
        <v>115</v>
      </c>
      <c r="AP103" s="395"/>
      <c r="AQ103" s="395"/>
      <c r="AR103" s="395"/>
      <c r="AS103" s="395"/>
      <c r="AT103" s="413" t="s">
        <v>162</v>
      </c>
      <c r="AU103" s="395"/>
      <c r="AV103" s="395"/>
      <c r="AW103" s="395"/>
      <c r="AX103" s="395"/>
    </row>
    <row r="104" spans="2:53">
      <c r="B104" s="389" t="s">
        <v>555</v>
      </c>
      <c r="C104" s="389" t="s">
        <v>556</v>
      </c>
      <c r="D104" s="389"/>
      <c r="E104" s="389" t="s">
        <v>557</v>
      </c>
      <c r="F104" s="389"/>
      <c r="G104" s="389"/>
      <c r="H104" s="417" t="s">
        <v>558</v>
      </c>
      <c r="I104" s="389" t="s">
        <v>559</v>
      </c>
      <c r="J104" s="389"/>
      <c r="K104" s="389"/>
      <c r="L104" s="417" t="s">
        <v>373</v>
      </c>
      <c r="M104" s="391" t="s">
        <v>560</v>
      </c>
      <c r="N104" s="389"/>
      <c r="O104" s="389" t="s">
        <v>546</v>
      </c>
      <c r="P104" s="404" t="s">
        <v>547</v>
      </c>
      <c r="Q104" s="405"/>
      <c r="R104" s="405"/>
      <c r="S104" s="406"/>
      <c r="T104" s="389" t="s">
        <v>543</v>
      </c>
      <c r="U104" s="404" t="s">
        <v>547</v>
      </c>
      <c r="V104" s="405"/>
      <c r="W104" s="405"/>
      <c r="X104" s="406"/>
      <c r="Y104" s="389" t="s">
        <v>543</v>
      </c>
      <c r="Z104" s="404" t="s">
        <v>547</v>
      </c>
      <c r="AA104" s="405"/>
      <c r="AB104" s="405"/>
      <c r="AC104" s="406"/>
      <c r="AD104" s="389" t="s">
        <v>543</v>
      </c>
      <c r="AE104" s="404" t="s">
        <v>547</v>
      </c>
      <c r="AF104" s="405"/>
      <c r="AG104" s="405"/>
      <c r="AH104" s="406"/>
      <c r="AI104" s="389" t="s">
        <v>543</v>
      </c>
      <c r="AJ104" s="404" t="s">
        <v>547</v>
      </c>
      <c r="AK104" s="405"/>
      <c r="AL104" s="405"/>
      <c r="AM104" s="406"/>
      <c r="AN104" s="389" t="s">
        <v>543</v>
      </c>
      <c r="AO104" s="404" t="s">
        <v>547</v>
      </c>
      <c r="AP104" s="405"/>
      <c r="AQ104" s="405"/>
      <c r="AR104" s="406"/>
      <c r="AS104" s="389" t="s">
        <v>543</v>
      </c>
      <c r="AT104" s="404" t="s">
        <v>547</v>
      </c>
      <c r="AU104" s="405"/>
      <c r="AV104" s="405"/>
      <c r="AW104" s="406"/>
      <c r="AX104" s="389" t="s">
        <v>543</v>
      </c>
      <c r="BA104" s="389" t="s">
        <v>373</v>
      </c>
    </row>
    <row r="105" spans="2:53">
      <c r="B105" s="389"/>
      <c r="C105" s="389"/>
      <c r="D105" s="389"/>
      <c r="E105" s="389" t="s">
        <v>562</v>
      </c>
      <c r="F105" s="389"/>
      <c r="G105" s="389"/>
      <c r="H105" s="418"/>
      <c r="I105" s="389" t="s">
        <v>562</v>
      </c>
      <c r="J105" s="389"/>
      <c r="K105" s="389"/>
      <c r="L105" s="418"/>
      <c r="M105" s="392"/>
      <c r="N105" s="389"/>
      <c r="O105" s="389"/>
      <c r="P105" s="404" t="s">
        <v>549</v>
      </c>
      <c r="Q105" s="405"/>
      <c r="R105" s="405"/>
      <c r="S105" s="406"/>
      <c r="T105" s="389"/>
      <c r="U105" s="404" t="s">
        <v>549</v>
      </c>
      <c r="V105" s="405"/>
      <c r="W105" s="405"/>
      <c r="X105" s="406"/>
      <c r="Y105" s="389"/>
      <c r="Z105" s="404" t="s">
        <v>549</v>
      </c>
      <c r="AA105" s="405"/>
      <c r="AB105" s="405"/>
      <c r="AC105" s="406"/>
      <c r="AD105" s="389"/>
      <c r="AE105" s="404" t="s">
        <v>549</v>
      </c>
      <c r="AF105" s="405"/>
      <c r="AG105" s="405"/>
      <c r="AH105" s="406"/>
      <c r="AI105" s="389"/>
      <c r="AJ105" s="404" t="s">
        <v>549</v>
      </c>
      <c r="AK105" s="405"/>
      <c r="AL105" s="405"/>
      <c r="AM105" s="406"/>
      <c r="AN105" s="389"/>
      <c r="AO105" s="404" t="s">
        <v>549</v>
      </c>
      <c r="AP105" s="405"/>
      <c r="AQ105" s="405"/>
      <c r="AR105" s="406"/>
      <c r="AS105" s="389"/>
      <c r="AT105" s="404" t="s">
        <v>549</v>
      </c>
      <c r="AU105" s="405"/>
      <c r="AV105" s="405"/>
      <c r="AW105" s="406"/>
      <c r="AX105" s="389"/>
      <c r="BA105" s="389"/>
    </row>
    <row r="106" spans="2:53">
      <c r="B106" s="389"/>
      <c r="C106" s="389"/>
      <c r="D106" s="389"/>
      <c r="E106" s="258" t="s">
        <v>563</v>
      </c>
      <c r="F106" s="258" t="s">
        <v>564</v>
      </c>
      <c r="G106" s="258" t="s">
        <v>565</v>
      </c>
      <c r="H106" s="419"/>
      <c r="I106" s="258" t="s">
        <v>563</v>
      </c>
      <c r="J106" s="258" t="s">
        <v>564</v>
      </c>
      <c r="K106" s="258" t="s">
        <v>565</v>
      </c>
      <c r="L106" s="419"/>
      <c r="M106" s="393"/>
      <c r="N106" s="389"/>
      <c r="O106" s="389"/>
      <c r="P106" s="258" t="s">
        <v>550</v>
      </c>
      <c r="Q106" s="258" t="s">
        <v>551</v>
      </c>
      <c r="R106" s="258" t="s">
        <v>552</v>
      </c>
      <c r="S106" s="258" t="s">
        <v>545</v>
      </c>
      <c r="T106" s="389"/>
      <c r="U106" s="258" t="s">
        <v>550</v>
      </c>
      <c r="V106" s="258" t="s">
        <v>551</v>
      </c>
      <c r="W106" s="258" t="s">
        <v>552</v>
      </c>
      <c r="X106" s="258" t="s">
        <v>545</v>
      </c>
      <c r="Y106" s="389"/>
      <c r="Z106" s="258" t="s">
        <v>550</v>
      </c>
      <c r="AA106" s="258" t="s">
        <v>551</v>
      </c>
      <c r="AB106" s="258" t="s">
        <v>552</v>
      </c>
      <c r="AC106" s="258" t="s">
        <v>545</v>
      </c>
      <c r="AD106" s="389"/>
      <c r="AE106" s="258" t="s">
        <v>550</v>
      </c>
      <c r="AF106" s="258" t="s">
        <v>551</v>
      </c>
      <c r="AG106" s="258" t="s">
        <v>552</v>
      </c>
      <c r="AH106" s="258" t="s">
        <v>545</v>
      </c>
      <c r="AI106" s="389"/>
      <c r="AJ106" s="258" t="s">
        <v>550</v>
      </c>
      <c r="AK106" s="258" t="s">
        <v>551</v>
      </c>
      <c r="AL106" s="258" t="s">
        <v>552</v>
      </c>
      <c r="AM106" s="258" t="s">
        <v>545</v>
      </c>
      <c r="AN106" s="389"/>
      <c r="AO106" s="258" t="s">
        <v>550</v>
      </c>
      <c r="AP106" s="258" t="s">
        <v>551</v>
      </c>
      <c r="AQ106" s="258" t="s">
        <v>552</v>
      </c>
      <c r="AR106" s="258" t="s">
        <v>545</v>
      </c>
      <c r="AS106" s="389"/>
      <c r="AT106" s="258" t="s">
        <v>550</v>
      </c>
      <c r="AU106" s="258" t="s">
        <v>551</v>
      </c>
      <c r="AV106" s="258" t="s">
        <v>552</v>
      </c>
      <c r="AW106" s="258" t="s">
        <v>545</v>
      </c>
      <c r="AX106" s="389"/>
      <c r="AZ106" s="258" t="s">
        <v>545</v>
      </c>
      <c r="BA106" s="389"/>
    </row>
    <row r="107" spans="2:53">
      <c r="B107" s="389" t="s">
        <v>136</v>
      </c>
      <c r="C107" s="182">
        <v>1</v>
      </c>
      <c r="D107" s="203"/>
      <c r="E107" s="166"/>
      <c r="F107" s="182"/>
      <c r="G107" s="180"/>
      <c r="H107" s="401" t="e">
        <f>AVERAGE(G107:G121)</f>
        <v>#DIV/0!</v>
      </c>
      <c r="I107" s="166" t="str">
        <f t="shared" ref="I107:I120" si="88">IFERROR(AVERAGE(P107,U107,Z107,AE107,AJ107,AO107,AT107),"-")</f>
        <v>-</v>
      </c>
      <c r="J107" s="166" t="str">
        <f t="shared" ref="J107:J120" si="89">IFERROR(AVERAGE(Q107,V107,AA107,AF107,AK107,AP107,AU107),"-")</f>
        <v>-</v>
      </c>
      <c r="K107" s="180" t="str">
        <f t="shared" ref="K107:K120" si="90">IFERROR(AVERAGE(R107,W107,AB107,AG107,AL107,AQ107,AV107),"-")</f>
        <v>-</v>
      </c>
      <c r="L107" s="401" t="str">
        <f>IFERROR(AVERAGE(K107:K121),"-")</f>
        <v>-</v>
      </c>
      <c r="M107" s="166" t="e">
        <f>RANK(K107, K$67:$K$81)</f>
        <v>#VALUE!</v>
      </c>
      <c r="N107" s="389"/>
      <c r="O107" s="389"/>
      <c r="P107" s="182"/>
      <c r="Q107" s="166"/>
      <c r="R107" s="166"/>
      <c r="S107" s="182" t="e">
        <f>RANK(R107, R$67:R$81)</f>
        <v>#N/A</v>
      </c>
      <c r="T107" s="390" t="e">
        <f>AVERAGE(R107:R121)</f>
        <v>#DIV/0!</v>
      </c>
      <c r="U107" s="182"/>
      <c r="V107" s="166"/>
      <c r="W107" s="166"/>
      <c r="X107" s="182" t="e">
        <f>RANK(W107, W$67:W$81)</f>
        <v>#N/A</v>
      </c>
      <c r="Y107" s="390" t="e">
        <f>AVERAGE(W107:W121)</f>
        <v>#DIV/0!</v>
      </c>
      <c r="Z107" s="182"/>
      <c r="AA107" s="166"/>
      <c r="AB107" s="166"/>
      <c r="AC107" s="182" t="e">
        <f>RANK(AB107, AB$67:AB$81)</f>
        <v>#N/A</v>
      </c>
      <c r="AD107" s="390" t="e">
        <f>AVERAGE(AB107:AB121)</f>
        <v>#DIV/0!</v>
      </c>
      <c r="AE107" s="182"/>
      <c r="AF107" s="166"/>
      <c r="AG107" s="166"/>
      <c r="AH107" s="182" t="e">
        <f>RANK(AG107, AG$67:AG$81)</f>
        <v>#N/A</v>
      </c>
      <c r="AI107" s="390" t="e">
        <f>AVERAGE(AG107:AG121)</f>
        <v>#DIV/0!</v>
      </c>
      <c r="AJ107" s="182"/>
      <c r="AK107" s="166"/>
      <c r="AL107" s="166"/>
      <c r="AM107" s="182" t="e">
        <f>RANK(AL107, AL$67:AL$81)</f>
        <v>#N/A</v>
      </c>
      <c r="AN107" s="390" t="e">
        <f>AVERAGE(AL107:AL121)</f>
        <v>#DIV/0!</v>
      </c>
      <c r="AO107" s="182"/>
      <c r="AP107" s="166"/>
      <c r="AQ107" s="166"/>
      <c r="AR107" s="182" t="e">
        <f>RANK(AQ107, AQ$67:AQ$81)</f>
        <v>#N/A</v>
      </c>
      <c r="AS107" s="390" t="e">
        <f>AVERAGE(AQ107:AQ121)</f>
        <v>#DIV/0!</v>
      </c>
      <c r="AT107" s="166"/>
      <c r="AU107" s="166"/>
      <c r="AV107" s="180"/>
      <c r="AW107" s="182" t="e">
        <f>RANK(AV107, AV$67:AV$81)</f>
        <v>#N/A</v>
      </c>
      <c r="AX107" s="390" t="e">
        <f>AVERAGE(AV107:AV121)</f>
        <v>#DIV/0!</v>
      </c>
      <c r="AZ107" s="182" t="e">
        <f>RANK(AY107, AY$67:AY$81)</f>
        <v>#N/A</v>
      </c>
      <c r="BA107" s="390" t="e">
        <f>AVERAGE(AY107:AY121)</f>
        <v>#DIV/0!</v>
      </c>
    </row>
    <row r="108" spans="2:53">
      <c r="B108" s="395"/>
      <c r="C108" s="182">
        <v>2</v>
      </c>
      <c r="D108" s="203"/>
      <c r="E108" s="166"/>
      <c r="F108" s="182"/>
      <c r="G108" s="180"/>
      <c r="H108" s="402"/>
      <c r="I108" s="166" t="str">
        <f t="shared" si="88"/>
        <v>-</v>
      </c>
      <c r="J108" s="166" t="str">
        <f t="shared" si="89"/>
        <v>-</v>
      </c>
      <c r="K108" s="180" t="str">
        <f t="shared" si="90"/>
        <v>-</v>
      </c>
      <c r="L108" s="402"/>
      <c r="M108" s="166" t="e">
        <f>RANK(K108, K$67:$K$81)</f>
        <v>#VALUE!</v>
      </c>
      <c r="N108" s="389"/>
      <c r="O108" s="389"/>
      <c r="P108" s="182"/>
      <c r="Q108" s="166"/>
      <c r="R108" s="166"/>
      <c r="S108" s="182" t="e">
        <f t="shared" ref="S108:S121" si="91">RANK(R108, R$67:R$81)</f>
        <v>#N/A</v>
      </c>
      <c r="T108" s="390"/>
      <c r="U108" s="182"/>
      <c r="V108" s="166"/>
      <c r="W108" s="166"/>
      <c r="X108" s="182" t="e">
        <f t="shared" ref="X108:X121" si="92">RANK(W108, W$67:W$81)</f>
        <v>#N/A</v>
      </c>
      <c r="Y108" s="390"/>
      <c r="Z108" s="182"/>
      <c r="AA108" s="166"/>
      <c r="AB108" s="166"/>
      <c r="AC108" s="182" t="e">
        <f t="shared" ref="AC108:AC121" si="93">RANK(AB108, AB$67:AB$81)</f>
        <v>#N/A</v>
      </c>
      <c r="AD108" s="390"/>
      <c r="AE108" s="182"/>
      <c r="AF108" s="166"/>
      <c r="AG108" s="166"/>
      <c r="AH108" s="182" t="e">
        <f t="shared" ref="AH108:AH121" si="94">RANK(AG108, AG$67:AG$81)</f>
        <v>#N/A</v>
      </c>
      <c r="AI108" s="390"/>
      <c r="AJ108" s="182"/>
      <c r="AK108" s="166"/>
      <c r="AL108" s="166"/>
      <c r="AM108" s="182" t="e">
        <f t="shared" ref="AM108:AM121" si="95">RANK(AL108, AL$67:AL$81)</f>
        <v>#N/A</v>
      </c>
      <c r="AN108" s="390"/>
      <c r="AO108" s="182"/>
      <c r="AP108" s="166"/>
      <c r="AQ108" s="166"/>
      <c r="AR108" s="182" t="e">
        <f t="shared" ref="AR108:AR121" si="96">RANK(AQ108, AQ$67:AQ$81)</f>
        <v>#N/A</v>
      </c>
      <c r="AS108" s="390"/>
      <c r="AT108" s="182"/>
      <c r="AU108" s="166"/>
      <c r="AV108" s="180"/>
      <c r="AW108" s="182" t="e">
        <f t="shared" ref="AW108:AW121" si="97">RANK(AV108, AV$67:AV$81)</f>
        <v>#N/A</v>
      </c>
      <c r="AX108" s="390"/>
      <c r="AZ108" s="182" t="e">
        <f t="shared" ref="AZ108:AZ121" si="98">RANK(AY108, AY$67:AY$81)</f>
        <v>#N/A</v>
      </c>
      <c r="BA108" s="390"/>
    </row>
    <row r="109" spans="2:53">
      <c r="B109" s="395"/>
      <c r="C109" s="182">
        <v>3</v>
      </c>
      <c r="D109" s="203"/>
      <c r="E109" s="166"/>
      <c r="F109" s="182"/>
      <c r="G109" s="180"/>
      <c r="H109" s="402"/>
      <c r="I109" s="166" t="str">
        <f t="shared" si="88"/>
        <v>-</v>
      </c>
      <c r="J109" s="166" t="str">
        <f t="shared" si="89"/>
        <v>-</v>
      </c>
      <c r="K109" s="180" t="str">
        <f t="shared" si="90"/>
        <v>-</v>
      </c>
      <c r="L109" s="402"/>
      <c r="M109" s="166" t="e">
        <f>RANK(K109, K$67:$K$81)</f>
        <v>#VALUE!</v>
      </c>
      <c r="N109" s="389"/>
      <c r="O109" s="389"/>
      <c r="P109" s="182"/>
      <c r="Q109" s="166"/>
      <c r="R109" s="166"/>
      <c r="S109" s="182" t="e">
        <f t="shared" si="91"/>
        <v>#N/A</v>
      </c>
      <c r="T109" s="390"/>
      <c r="U109" s="182"/>
      <c r="V109" s="166"/>
      <c r="W109" s="166"/>
      <c r="X109" s="182" t="e">
        <f t="shared" si="92"/>
        <v>#N/A</v>
      </c>
      <c r="Y109" s="390"/>
      <c r="Z109" s="182"/>
      <c r="AA109" s="166"/>
      <c r="AB109" s="166"/>
      <c r="AC109" s="182" t="e">
        <f t="shared" si="93"/>
        <v>#N/A</v>
      </c>
      <c r="AD109" s="390"/>
      <c r="AE109" s="182"/>
      <c r="AF109" s="166"/>
      <c r="AG109" s="166"/>
      <c r="AH109" s="182" t="e">
        <f t="shared" si="94"/>
        <v>#N/A</v>
      </c>
      <c r="AI109" s="390"/>
      <c r="AJ109" s="182"/>
      <c r="AK109" s="166"/>
      <c r="AL109" s="166"/>
      <c r="AM109" s="182" t="e">
        <f t="shared" si="95"/>
        <v>#N/A</v>
      </c>
      <c r="AN109" s="390"/>
      <c r="AO109" s="182"/>
      <c r="AP109" s="166"/>
      <c r="AQ109" s="166"/>
      <c r="AR109" s="182" t="e">
        <f t="shared" si="96"/>
        <v>#N/A</v>
      </c>
      <c r="AS109" s="390"/>
      <c r="AT109" s="182"/>
      <c r="AU109" s="166"/>
      <c r="AV109" s="180"/>
      <c r="AW109" s="182" t="e">
        <f t="shared" si="97"/>
        <v>#N/A</v>
      </c>
      <c r="AX109" s="390"/>
      <c r="AZ109" s="182" t="e">
        <f t="shared" si="98"/>
        <v>#N/A</v>
      </c>
      <c r="BA109" s="390"/>
    </row>
    <row r="110" spans="2:53">
      <c r="B110" s="395"/>
      <c r="C110" s="182">
        <v>4</v>
      </c>
      <c r="D110" s="203"/>
      <c r="E110" s="166"/>
      <c r="F110" s="182"/>
      <c r="G110" s="180"/>
      <c r="H110" s="402"/>
      <c r="I110" s="166" t="str">
        <f t="shared" si="88"/>
        <v>-</v>
      </c>
      <c r="J110" s="166" t="str">
        <f t="shared" si="89"/>
        <v>-</v>
      </c>
      <c r="K110" s="180" t="str">
        <f t="shared" si="90"/>
        <v>-</v>
      </c>
      <c r="L110" s="402"/>
      <c r="M110" s="166" t="e">
        <f>RANK(K110, K$67:$K$81)</f>
        <v>#VALUE!</v>
      </c>
      <c r="N110" s="389"/>
      <c r="O110" s="389"/>
      <c r="P110" s="182"/>
      <c r="Q110" s="166"/>
      <c r="R110" s="166"/>
      <c r="S110" s="182" t="e">
        <f t="shared" si="91"/>
        <v>#N/A</v>
      </c>
      <c r="T110" s="390"/>
      <c r="U110" s="182"/>
      <c r="V110" s="166"/>
      <c r="W110" s="166"/>
      <c r="X110" s="182" t="e">
        <f t="shared" si="92"/>
        <v>#N/A</v>
      </c>
      <c r="Y110" s="390"/>
      <c r="Z110" s="182"/>
      <c r="AA110" s="166"/>
      <c r="AB110" s="166"/>
      <c r="AC110" s="182" t="e">
        <f t="shared" si="93"/>
        <v>#N/A</v>
      </c>
      <c r="AD110" s="390"/>
      <c r="AE110" s="182"/>
      <c r="AF110" s="166"/>
      <c r="AG110" s="166"/>
      <c r="AH110" s="182" t="e">
        <f t="shared" si="94"/>
        <v>#N/A</v>
      </c>
      <c r="AI110" s="390"/>
      <c r="AJ110" s="182"/>
      <c r="AK110" s="166"/>
      <c r="AL110" s="166"/>
      <c r="AM110" s="182" t="e">
        <f t="shared" si="95"/>
        <v>#N/A</v>
      </c>
      <c r="AN110" s="390"/>
      <c r="AO110" s="182"/>
      <c r="AP110" s="166"/>
      <c r="AQ110" s="166"/>
      <c r="AR110" s="182" t="e">
        <f t="shared" si="96"/>
        <v>#N/A</v>
      </c>
      <c r="AS110" s="390"/>
      <c r="AT110" s="182"/>
      <c r="AU110" s="166"/>
      <c r="AV110" s="180"/>
      <c r="AW110" s="182" t="e">
        <f t="shared" si="97"/>
        <v>#N/A</v>
      </c>
      <c r="AX110" s="390"/>
      <c r="AZ110" s="182" t="e">
        <f t="shared" si="98"/>
        <v>#N/A</v>
      </c>
      <c r="BA110" s="390"/>
    </row>
    <row r="111" spans="2:53">
      <c r="B111" s="395"/>
      <c r="C111" s="182">
        <v>5</v>
      </c>
      <c r="D111" s="203"/>
      <c r="E111" s="166"/>
      <c r="F111" s="182"/>
      <c r="G111" s="180"/>
      <c r="H111" s="402"/>
      <c r="I111" s="166" t="str">
        <f t="shared" si="88"/>
        <v>-</v>
      </c>
      <c r="J111" s="166" t="str">
        <f t="shared" si="89"/>
        <v>-</v>
      </c>
      <c r="K111" s="180" t="str">
        <f t="shared" si="90"/>
        <v>-</v>
      </c>
      <c r="L111" s="402"/>
      <c r="M111" s="166" t="e">
        <f>RANK(K111, K$67:$K$81)</f>
        <v>#VALUE!</v>
      </c>
      <c r="N111" s="389"/>
      <c r="O111" s="389"/>
      <c r="P111" s="182"/>
      <c r="Q111" s="166"/>
      <c r="R111" s="166"/>
      <c r="S111" s="182" t="e">
        <f t="shared" si="91"/>
        <v>#N/A</v>
      </c>
      <c r="T111" s="390"/>
      <c r="U111" s="182"/>
      <c r="V111" s="166"/>
      <c r="W111" s="166"/>
      <c r="X111" s="182" t="e">
        <f t="shared" si="92"/>
        <v>#N/A</v>
      </c>
      <c r="Y111" s="390"/>
      <c r="Z111" s="182"/>
      <c r="AA111" s="166"/>
      <c r="AB111" s="166"/>
      <c r="AC111" s="182" t="e">
        <f t="shared" si="93"/>
        <v>#N/A</v>
      </c>
      <c r="AD111" s="390"/>
      <c r="AE111" s="182"/>
      <c r="AF111" s="166"/>
      <c r="AG111" s="166"/>
      <c r="AH111" s="182" t="e">
        <f t="shared" si="94"/>
        <v>#N/A</v>
      </c>
      <c r="AI111" s="390"/>
      <c r="AJ111" s="182"/>
      <c r="AK111" s="166"/>
      <c r="AL111" s="166"/>
      <c r="AM111" s="182" t="e">
        <f t="shared" si="95"/>
        <v>#N/A</v>
      </c>
      <c r="AN111" s="390"/>
      <c r="AO111" s="182"/>
      <c r="AP111" s="166"/>
      <c r="AQ111" s="166"/>
      <c r="AR111" s="182" t="e">
        <f t="shared" si="96"/>
        <v>#N/A</v>
      </c>
      <c r="AS111" s="390"/>
      <c r="AT111" s="182"/>
      <c r="AU111" s="166"/>
      <c r="AV111" s="180"/>
      <c r="AW111" s="182" t="e">
        <f t="shared" si="97"/>
        <v>#N/A</v>
      </c>
      <c r="AX111" s="390"/>
      <c r="AZ111" s="182" t="e">
        <f t="shared" si="98"/>
        <v>#N/A</v>
      </c>
      <c r="BA111" s="390"/>
    </row>
    <row r="112" spans="2:53">
      <c r="B112" s="395"/>
      <c r="C112" s="182">
        <v>6</v>
      </c>
      <c r="D112" s="203"/>
      <c r="E112" s="166"/>
      <c r="F112" s="182"/>
      <c r="G112" s="180"/>
      <c r="H112" s="402"/>
      <c r="I112" s="166" t="str">
        <f t="shared" si="88"/>
        <v>-</v>
      </c>
      <c r="J112" s="166" t="str">
        <f t="shared" si="89"/>
        <v>-</v>
      </c>
      <c r="K112" s="180" t="str">
        <f t="shared" si="90"/>
        <v>-</v>
      </c>
      <c r="L112" s="402"/>
      <c r="M112" s="166" t="e">
        <f>RANK(K112, K$67:$K$81)</f>
        <v>#VALUE!</v>
      </c>
      <c r="N112" s="389"/>
      <c r="O112" s="389"/>
      <c r="P112" s="182"/>
      <c r="Q112" s="166"/>
      <c r="R112" s="166"/>
      <c r="S112" s="182" t="e">
        <f t="shared" si="91"/>
        <v>#N/A</v>
      </c>
      <c r="T112" s="390"/>
      <c r="U112" s="182"/>
      <c r="V112" s="166"/>
      <c r="W112" s="166"/>
      <c r="X112" s="182" t="e">
        <f t="shared" si="92"/>
        <v>#N/A</v>
      </c>
      <c r="Y112" s="390"/>
      <c r="Z112" s="182"/>
      <c r="AA112" s="166"/>
      <c r="AB112" s="166"/>
      <c r="AC112" s="182" t="e">
        <f t="shared" si="93"/>
        <v>#N/A</v>
      </c>
      <c r="AD112" s="390"/>
      <c r="AE112" s="182"/>
      <c r="AF112" s="166"/>
      <c r="AG112" s="166"/>
      <c r="AH112" s="182" t="e">
        <f t="shared" si="94"/>
        <v>#N/A</v>
      </c>
      <c r="AI112" s="390"/>
      <c r="AJ112" s="182"/>
      <c r="AK112" s="166"/>
      <c r="AL112" s="166"/>
      <c r="AM112" s="182" t="e">
        <f t="shared" si="95"/>
        <v>#N/A</v>
      </c>
      <c r="AN112" s="390"/>
      <c r="AO112" s="182"/>
      <c r="AP112" s="166"/>
      <c r="AQ112" s="166"/>
      <c r="AR112" s="182" t="e">
        <f t="shared" si="96"/>
        <v>#N/A</v>
      </c>
      <c r="AS112" s="390"/>
      <c r="AT112" s="182"/>
      <c r="AU112" s="166"/>
      <c r="AV112" s="180"/>
      <c r="AW112" s="182" t="e">
        <f t="shared" si="97"/>
        <v>#N/A</v>
      </c>
      <c r="AX112" s="390"/>
      <c r="AZ112" s="182" t="e">
        <f t="shared" si="98"/>
        <v>#N/A</v>
      </c>
      <c r="BA112" s="390"/>
    </row>
    <row r="113" spans="2:53">
      <c r="B113" s="395"/>
      <c r="C113" s="182">
        <v>7</v>
      </c>
      <c r="D113" s="203"/>
      <c r="E113" s="166"/>
      <c r="F113" s="182"/>
      <c r="G113" s="180"/>
      <c r="H113" s="402"/>
      <c r="I113" s="166" t="str">
        <f t="shared" si="88"/>
        <v>-</v>
      </c>
      <c r="J113" s="166" t="str">
        <f t="shared" si="89"/>
        <v>-</v>
      </c>
      <c r="K113" s="180" t="str">
        <f t="shared" si="90"/>
        <v>-</v>
      </c>
      <c r="L113" s="402"/>
      <c r="M113" s="166" t="e">
        <f>RANK(K113, K$67:$K$81)</f>
        <v>#VALUE!</v>
      </c>
      <c r="N113" s="389"/>
      <c r="O113" s="389"/>
      <c r="P113" s="182"/>
      <c r="Q113" s="166"/>
      <c r="R113" s="166"/>
      <c r="S113" s="182" t="e">
        <f t="shared" si="91"/>
        <v>#N/A</v>
      </c>
      <c r="T113" s="390"/>
      <c r="U113" s="182"/>
      <c r="V113" s="166"/>
      <c r="W113" s="166"/>
      <c r="X113" s="182" t="e">
        <f t="shared" si="92"/>
        <v>#N/A</v>
      </c>
      <c r="Y113" s="390"/>
      <c r="Z113" s="182"/>
      <c r="AA113" s="166"/>
      <c r="AB113" s="166"/>
      <c r="AC113" s="182" t="e">
        <f t="shared" si="93"/>
        <v>#N/A</v>
      </c>
      <c r="AD113" s="390"/>
      <c r="AE113" s="182"/>
      <c r="AF113" s="166"/>
      <c r="AG113" s="166"/>
      <c r="AH113" s="182" t="e">
        <f t="shared" si="94"/>
        <v>#N/A</v>
      </c>
      <c r="AI113" s="390"/>
      <c r="AJ113" s="182"/>
      <c r="AK113" s="166"/>
      <c r="AL113" s="166"/>
      <c r="AM113" s="182" t="e">
        <f t="shared" si="95"/>
        <v>#N/A</v>
      </c>
      <c r="AN113" s="390"/>
      <c r="AO113" s="182"/>
      <c r="AP113" s="166"/>
      <c r="AQ113" s="166"/>
      <c r="AR113" s="182" t="e">
        <f t="shared" si="96"/>
        <v>#N/A</v>
      </c>
      <c r="AS113" s="390"/>
      <c r="AT113" s="182"/>
      <c r="AU113" s="166"/>
      <c r="AV113" s="180"/>
      <c r="AW113" s="182" t="e">
        <f t="shared" si="97"/>
        <v>#N/A</v>
      </c>
      <c r="AX113" s="390"/>
      <c r="AZ113" s="182" t="e">
        <f t="shared" si="98"/>
        <v>#N/A</v>
      </c>
      <c r="BA113" s="390"/>
    </row>
    <row r="114" spans="2:53">
      <c r="B114" s="395"/>
      <c r="C114" s="182">
        <v>8</v>
      </c>
      <c r="D114" s="203"/>
      <c r="E114" s="166"/>
      <c r="F114" s="182"/>
      <c r="G114" s="180"/>
      <c r="H114" s="402"/>
      <c r="I114" s="166" t="str">
        <f t="shared" si="88"/>
        <v>-</v>
      </c>
      <c r="J114" s="166" t="str">
        <f t="shared" si="89"/>
        <v>-</v>
      </c>
      <c r="K114" s="180" t="str">
        <f t="shared" si="90"/>
        <v>-</v>
      </c>
      <c r="L114" s="402"/>
      <c r="M114" s="166" t="e">
        <f>RANK(K114, K$67:$K$81)</f>
        <v>#VALUE!</v>
      </c>
      <c r="N114" s="389"/>
      <c r="O114" s="389"/>
      <c r="P114" s="182"/>
      <c r="Q114" s="166"/>
      <c r="R114" s="166"/>
      <c r="S114" s="182" t="e">
        <f t="shared" si="91"/>
        <v>#N/A</v>
      </c>
      <c r="T114" s="390"/>
      <c r="U114" s="182"/>
      <c r="V114" s="166"/>
      <c r="W114" s="166"/>
      <c r="X114" s="182" t="e">
        <f t="shared" si="92"/>
        <v>#N/A</v>
      </c>
      <c r="Y114" s="390"/>
      <c r="Z114" s="182"/>
      <c r="AA114" s="166"/>
      <c r="AB114" s="166"/>
      <c r="AC114" s="182" t="e">
        <f t="shared" si="93"/>
        <v>#N/A</v>
      </c>
      <c r="AD114" s="390"/>
      <c r="AE114" s="182"/>
      <c r="AF114" s="166"/>
      <c r="AG114" s="166"/>
      <c r="AH114" s="182" t="e">
        <f t="shared" si="94"/>
        <v>#N/A</v>
      </c>
      <c r="AI114" s="390"/>
      <c r="AJ114" s="182"/>
      <c r="AK114" s="166"/>
      <c r="AL114" s="166"/>
      <c r="AM114" s="182" t="e">
        <f t="shared" si="95"/>
        <v>#N/A</v>
      </c>
      <c r="AN114" s="390"/>
      <c r="AO114" s="182"/>
      <c r="AP114" s="166"/>
      <c r="AQ114" s="166"/>
      <c r="AR114" s="182" t="e">
        <f t="shared" si="96"/>
        <v>#N/A</v>
      </c>
      <c r="AS114" s="390"/>
      <c r="AT114" s="182"/>
      <c r="AU114" s="166"/>
      <c r="AV114" s="180"/>
      <c r="AW114" s="182" t="e">
        <f t="shared" si="97"/>
        <v>#N/A</v>
      </c>
      <c r="AX114" s="390"/>
      <c r="AZ114" s="182" t="e">
        <f t="shared" si="98"/>
        <v>#N/A</v>
      </c>
      <c r="BA114" s="390"/>
    </row>
    <row r="115" spans="2:53">
      <c r="B115" s="395"/>
      <c r="C115" s="182">
        <v>9</v>
      </c>
      <c r="D115" s="203"/>
      <c r="E115" s="166"/>
      <c r="F115" s="182"/>
      <c r="G115" s="180"/>
      <c r="H115" s="402"/>
      <c r="I115" s="166" t="str">
        <f t="shared" si="88"/>
        <v>-</v>
      </c>
      <c r="J115" s="166" t="str">
        <f t="shared" si="89"/>
        <v>-</v>
      </c>
      <c r="K115" s="180" t="str">
        <f t="shared" si="90"/>
        <v>-</v>
      </c>
      <c r="L115" s="402"/>
      <c r="M115" s="166" t="e">
        <f>RANK(K115, K$67:$K$81)</f>
        <v>#VALUE!</v>
      </c>
      <c r="N115" s="389"/>
      <c r="O115" s="389"/>
      <c r="P115" s="182"/>
      <c r="Q115" s="166"/>
      <c r="R115" s="166"/>
      <c r="S115" s="182" t="e">
        <f t="shared" si="91"/>
        <v>#N/A</v>
      </c>
      <c r="T115" s="390"/>
      <c r="U115" s="182"/>
      <c r="V115" s="166"/>
      <c r="W115" s="166"/>
      <c r="X115" s="182" t="e">
        <f t="shared" si="92"/>
        <v>#N/A</v>
      </c>
      <c r="Y115" s="390"/>
      <c r="Z115" s="182"/>
      <c r="AA115" s="166"/>
      <c r="AB115" s="166"/>
      <c r="AC115" s="182" t="e">
        <f t="shared" si="93"/>
        <v>#N/A</v>
      </c>
      <c r="AD115" s="390"/>
      <c r="AE115" s="182"/>
      <c r="AF115" s="166"/>
      <c r="AG115" s="166"/>
      <c r="AH115" s="182" t="e">
        <f t="shared" si="94"/>
        <v>#N/A</v>
      </c>
      <c r="AI115" s="390"/>
      <c r="AJ115" s="182"/>
      <c r="AK115" s="166"/>
      <c r="AL115" s="166"/>
      <c r="AM115" s="182" t="e">
        <f t="shared" si="95"/>
        <v>#N/A</v>
      </c>
      <c r="AN115" s="390"/>
      <c r="AO115" s="182"/>
      <c r="AP115" s="166"/>
      <c r="AQ115" s="166"/>
      <c r="AR115" s="182" t="e">
        <f t="shared" si="96"/>
        <v>#N/A</v>
      </c>
      <c r="AS115" s="390"/>
      <c r="AT115" s="182"/>
      <c r="AU115" s="166"/>
      <c r="AV115" s="180"/>
      <c r="AW115" s="182" t="e">
        <f t="shared" si="97"/>
        <v>#N/A</v>
      </c>
      <c r="AX115" s="390"/>
      <c r="AZ115" s="182" t="e">
        <f t="shared" si="98"/>
        <v>#N/A</v>
      </c>
      <c r="BA115" s="390"/>
    </row>
    <row r="116" spans="2:53">
      <c r="B116" s="395"/>
      <c r="C116" s="182">
        <v>10</v>
      </c>
      <c r="D116" s="203"/>
      <c r="E116" s="166"/>
      <c r="F116" s="182"/>
      <c r="G116" s="180"/>
      <c r="H116" s="402"/>
      <c r="I116" s="166" t="str">
        <f t="shared" si="88"/>
        <v>-</v>
      </c>
      <c r="J116" s="166" t="str">
        <f t="shared" si="89"/>
        <v>-</v>
      </c>
      <c r="K116" s="180" t="str">
        <f t="shared" si="90"/>
        <v>-</v>
      </c>
      <c r="L116" s="402"/>
      <c r="M116" s="166" t="e">
        <f>RANK(K116, K$67:$K$81)</f>
        <v>#VALUE!</v>
      </c>
      <c r="N116" s="389"/>
      <c r="O116" s="389"/>
      <c r="P116" s="182"/>
      <c r="Q116" s="166"/>
      <c r="R116" s="166"/>
      <c r="S116" s="182" t="e">
        <f t="shared" si="91"/>
        <v>#N/A</v>
      </c>
      <c r="T116" s="390"/>
      <c r="U116" s="182"/>
      <c r="V116" s="166"/>
      <c r="W116" s="166"/>
      <c r="X116" s="182" t="e">
        <f t="shared" si="92"/>
        <v>#N/A</v>
      </c>
      <c r="Y116" s="390"/>
      <c r="Z116" s="182"/>
      <c r="AA116" s="166"/>
      <c r="AB116" s="166"/>
      <c r="AC116" s="182" t="e">
        <f t="shared" si="93"/>
        <v>#N/A</v>
      </c>
      <c r="AD116" s="390"/>
      <c r="AE116" s="182"/>
      <c r="AF116" s="166"/>
      <c r="AG116" s="166"/>
      <c r="AH116" s="182" t="e">
        <f t="shared" si="94"/>
        <v>#N/A</v>
      </c>
      <c r="AI116" s="390"/>
      <c r="AJ116" s="182"/>
      <c r="AK116" s="166"/>
      <c r="AL116" s="166"/>
      <c r="AM116" s="182" t="e">
        <f t="shared" si="95"/>
        <v>#N/A</v>
      </c>
      <c r="AN116" s="390"/>
      <c r="AO116" s="182"/>
      <c r="AP116" s="166"/>
      <c r="AQ116" s="166"/>
      <c r="AR116" s="182" t="e">
        <f t="shared" si="96"/>
        <v>#N/A</v>
      </c>
      <c r="AS116" s="390"/>
      <c r="AT116" s="182"/>
      <c r="AU116" s="166"/>
      <c r="AV116" s="180"/>
      <c r="AW116" s="182" t="e">
        <f t="shared" si="97"/>
        <v>#N/A</v>
      </c>
      <c r="AX116" s="390"/>
      <c r="AZ116" s="182" t="e">
        <f t="shared" si="98"/>
        <v>#N/A</v>
      </c>
      <c r="BA116" s="390"/>
    </row>
    <row r="117" spans="2:53">
      <c r="B117" s="395"/>
      <c r="C117" s="182">
        <v>11</v>
      </c>
      <c r="D117" s="203"/>
      <c r="E117" s="166"/>
      <c r="F117" s="182"/>
      <c r="G117" s="180"/>
      <c r="H117" s="402"/>
      <c r="I117" s="166" t="str">
        <f t="shared" si="88"/>
        <v>-</v>
      </c>
      <c r="J117" s="166" t="str">
        <f t="shared" si="89"/>
        <v>-</v>
      </c>
      <c r="K117" s="180" t="str">
        <f t="shared" si="90"/>
        <v>-</v>
      </c>
      <c r="L117" s="402"/>
      <c r="M117" s="166" t="e">
        <f>RANK(K117, K$67:$K$81)</f>
        <v>#VALUE!</v>
      </c>
      <c r="N117" s="389"/>
      <c r="O117" s="389"/>
      <c r="P117" s="182"/>
      <c r="Q117" s="166"/>
      <c r="R117" s="166"/>
      <c r="S117" s="182" t="e">
        <f t="shared" si="91"/>
        <v>#N/A</v>
      </c>
      <c r="T117" s="390"/>
      <c r="U117" s="182"/>
      <c r="V117" s="166"/>
      <c r="W117" s="166"/>
      <c r="X117" s="182" t="e">
        <f t="shared" si="92"/>
        <v>#N/A</v>
      </c>
      <c r="Y117" s="390"/>
      <c r="Z117" s="182"/>
      <c r="AA117" s="166"/>
      <c r="AB117" s="166"/>
      <c r="AC117" s="182" t="e">
        <f t="shared" si="93"/>
        <v>#N/A</v>
      </c>
      <c r="AD117" s="390"/>
      <c r="AE117" s="182"/>
      <c r="AF117" s="166"/>
      <c r="AG117" s="166"/>
      <c r="AH117" s="182" t="e">
        <f t="shared" si="94"/>
        <v>#N/A</v>
      </c>
      <c r="AI117" s="390"/>
      <c r="AJ117" s="182"/>
      <c r="AK117" s="166"/>
      <c r="AL117" s="166"/>
      <c r="AM117" s="182" t="e">
        <f t="shared" si="95"/>
        <v>#N/A</v>
      </c>
      <c r="AN117" s="390"/>
      <c r="AO117" s="182"/>
      <c r="AP117" s="166"/>
      <c r="AQ117" s="166"/>
      <c r="AR117" s="182" t="e">
        <f t="shared" si="96"/>
        <v>#N/A</v>
      </c>
      <c r="AS117" s="390"/>
      <c r="AT117" s="182"/>
      <c r="AU117" s="166"/>
      <c r="AV117" s="180"/>
      <c r="AW117" s="182" t="e">
        <f t="shared" si="97"/>
        <v>#N/A</v>
      </c>
      <c r="AX117" s="390"/>
      <c r="AZ117" s="182" t="e">
        <f t="shared" si="98"/>
        <v>#N/A</v>
      </c>
      <c r="BA117" s="390"/>
    </row>
    <row r="118" spans="2:53">
      <c r="B118" s="395"/>
      <c r="C118" s="182">
        <v>12</v>
      </c>
      <c r="D118" s="203"/>
      <c r="E118" s="166"/>
      <c r="F118" s="182"/>
      <c r="G118" s="180"/>
      <c r="H118" s="402"/>
      <c r="I118" s="166" t="str">
        <f t="shared" si="88"/>
        <v>-</v>
      </c>
      <c r="J118" s="166" t="str">
        <f t="shared" si="89"/>
        <v>-</v>
      </c>
      <c r="K118" s="180" t="str">
        <f t="shared" si="90"/>
        <v>-</v>
      </c>
      <c r="L118" s="402"/>
      <c r="M118" s="166" t="e">
        <f>RANK(K118, K$67:$K$81)</f>
        <v>#VALUE!</v>
      </c>
      <c r="N118" s="389"/>
      <c r="O118" s="389"/>
      <c r="P118" s="182"/>
      <c r="Q118" s="166"/>
      <c r="R118" s="166"/>
      <c r="S118" s="182" t="e">
        <f t="shared" si="91"/>
        <v>#N/A</v>
      </c>
      <c r="T118" s="390"/>
      <c r="U118" s="182"/>
      <c r="V118" s="166"/>
      <c r="W118" s="166"/>
      <c r="X118" s="182" t="e">
        <f t="shared" si="92"/>
        <v>#N/A</v>
      </c>
      <c r="Y118" s="390"/>
      <c r="Z118" s="182"/>
      <c r="AA118" s="166"/>
      <c r="AB118" s="166"/>
      <c r="AC118" s="182" t="e">
        <f t="shared" si="93"/>
        <v>#N/A</v>
      </c>
      <c r="AD118" s="390"/>
      <c r="AE118" s="182"/>
      <c r="AF118" s="166"/>
      <c r="AG118" s="166"/>
      <c r="AH118" s="182" t="e">
        <f t="shared" si="94"/>
        <v>#N/A</v>
      </c>
      <c r="AI118" s="390"/>
      <c r="AJ118" s="182"/>
      <c r="AK118" s="166"/>
      <c r="AL118" s="166"/>
      <c r="AM118" s="182" t="e">
        <f t="shared" si="95"/>
        <v>#N/A</v>
      </c>
      <c r="AN118" s="390"/>
      <c r="AO118" s="182"/>
      <c r="AP118" s="166"/>
      <c r="AQ118" s="166"/>
      <c r="AR118" s="182" t="e">
        <f t="shared" si="96"/>
        <v>#N/A</v>
      </c>
      <c r="AS118" s="390"/>
      <c r="AT118" s="182"/>
      <c r="AU118" s="166"/>
      <c r="AV118" s="180"/>
      <c r="AW118" s="182" t="e">
        <f t="shared" si="97"/>
        <v>#N/A</v>
      </c>
      <c r="AX118" s="390"/>
      <c r="AZ118" s="182" t="e">
        <f t="shared" si="98"/>
        <v>#N/A</v>
      </c>
      <c r="BA118" s="390"/>
    </row>
    <row r="119" spans="2:53">
      <c r="B119" s="395"/>
      <c r="C119" s="182">
        <v>13</v>
      </c>
      <c r="D119" s="203"/>
      <c r="E119" s="166"/>
      <c r="F119" s="182"/>
      <c r="G119" s="180"/>
      <c r="H119" s="402"/>
      <c r="I119" s="166" t="str">
        <f t="shared" si="88"/>
        <v>-</v>
      </c>
      <c r="J119" s="166" t="str">
        <f t="shared" si="89"/>
        <v>-</v>
      </c>
      <c r="K119" s="180" t="str">
        <f t="shared" si="90"/>
        <v>-</v>
      </c>
      <c r="L119" s="402"/>
      <c r="M119" s="166" t="e">
        <f>RANK(K119, K$67:$K$81)</f>
        <v>#VALUE!</v>
      </c>
      <c r="N119" s="389"/>
      <c r="O119" s="389"/>
      <c r="P119" s="182"/>
      <c r="Q119" s="166"/>
      <c r="R119" s="166"/>
      <c r="S119" s="182" t="e">
        <f t="shared" si="91"/>
        <v>#N/A</v>
      </c>
      <c r="T119" s="390"/>
      <c r="U119" s="182"/>
      <c r="V119" s="166"/>
      <c r="W119" s="166"/>
      <c r="X119" s="182" t="e">
        <f t="shared" si="92"/>
        <v>#N/A</v>
      </c>
      <c r="Y119" s="390"/>
      <c r="Z119" s="182"/>
      <c r="AA119" s="166"/>
      <c r="AB119" s="166"/>
      <c r="AC119" s="182" t="e">
        <f t="shared" si="93"/>
        <v>#N/A</v>
      </c>
      <c r="AD119" s="390"/>
      <c r="AE119" s="182"/>
      <c r="AF119" s="166"/>
      <c r="AG119" s="166"/>
      <c r="AH119" s="182" t="e">
        <f t="shared" si="94"/>
        <v>#N/A</v>
      </c>
      <c r="AI119" s="390"/>
      <c r="AJ119" s="182"/>
      <c r="AK119" s="166"/>
      <c r="AL119" s="166"/>
      <c r="AM119" s="182" t="e">
        <f t="shared" si="95"/>
        <v>#N/A</v>
      </c>
      <c r="AN119" s="390"/>
      <c r="AO119" s="182"/>
      <c r="AP119" s="166"/>
      <c r="AQ119" s="166"/>
      <c r="AR119" s="182" t="e">
        <f t="shared" si="96"/>
        <v>#N/A</v>
      </c>
      <c r="AS119" s="390"/>
      <c r="AT119" s="182"/>
      <c r="AU119" s="166"/>
      <c r="AV119" s="180"/>
      <c r="AW119" s="182" t="e">
        <f t="shared" si="97"/>
        <v>#N/A</v>
      </c>
      <c r="AX119" s="390"/>
      <c r="AZ119" s="182" t="e">
        <f t="shared" si="98"/>
        <v>#N/A</v>
      </c>
      <c r="BA119" s="390"/>
    </row>
    <row r="120" spans="2:53">
      <c r="B120" s="395"/>
      <c r="C120" s="182">
        <v>14</v>
      </c>
      <c r="D120" s="203"/>
      <c r="E120" s="166"/>
      <c r="F120" s="182"/>
      <c r="G120" s="180"/>
      <c r="H120" s="402"/>
      <c r="I120" s="166" t="str">
        <f t="shared" si="88"/>
        <v>-</v>
      </c>
      <c r="J120" s="166" t="str">
        <f t="shared" si="89"/>
        <v>-</v>
      </c>
      <c r="K120" s="180" t="str">
        <f t="shared" si="90"/>
        <v>-</v>
      </c>
      <c r="L120" s="402"/>
      <c r="M120" s="166" t="e">
        <f>RANK(K120, K$67:$K$81)</f>
        <v>#VALUE!</v>
      </c>
      <c r="N120" s="389"/>
      <c r="O120" s="389"/>
      <c r="P120" s="182"/>
      <c r="Q120" s="166"/>
      <c r="R120" s="166"/>
      <c r="S120" s="182" t="e">
        <f t="shared" si="91"/>
        <v>#N/A</v>
      </c>
      <c r="T120" s="390"/>
      <c r="U120" s="182"/>
      <c r="V120" s="166"/>
      <c r="W120" s="166"/>
      <c r="X120" s="182" t="e">
        <f t="shared" si="92"/>
        <v>#N/A</v>
      </c>
      <c r="Y120" s="390"/>
      <c r="Z120" s="182"/>
      <c r="AA120" s="166"/>
      <c r="AB120" s="166"/>
      <c r="AC120" s="182" t="e">
        <f t="shared" si="93"/>
        <v>#N/A</v>
      </c>
      <c r="AD120" s="390"/>
      <c r="AE120" s="182"/>
      <c r="AF120" s="166"/>
      <c r="AG120" s="166"/>
      <c r="AH120" s="182" t="e">
        <f t="shared" si="94"/>
        <v>#N/A</v>
      </c>
      <c r="AI120" s="390"/>
      <c r="AJ120" s="182"/>
      <c r="AK120" s="166"/>
      <c r="AL120" s="166"/>
      <c r="AM120" s="182" t="e">
        <f t="shared" si="95"/>
        <v>#N/A</v>
      </c>
      <c r="AN120" s="390"/>
      <c r="AO120" s="182"/>
      <c r="AP120" s="166"/>
      <c r="AQ120" s="166"/>
      <c r="AR120" s="182" t="e">
        <f t="shared" si="96"/>
        <v>#N/A</v>
      </c>
      <c r="AS120" s="390"/>
      <c r="AT120" s="182"/>
      <c r="AU120" s="166"/>
      <c r="AV120" s="180"/>
      <c r="AW120" s="182" t="e">
        <f t="shared" si="97"/>
        <v>#N/A</v>
      </c>
      <c r="AX120" s="390"/>
      <c r="AZ120" s="182" t="e">
        <f t="shared" si="98"/>
        <v>#N/A</v>
      </c>
      <c r="BA120" s="390"/>
    </row>
    <row r="121" spans="2:53">
      <c r="B121" s="395"/>
      <c r="C121" s="182">
        <v>15</v>
      </c>
      <c r="D121" s="203"/>
      <c r="E121" s="166"/>
      <c r="F121" s="182"/>
      <c r="G121" s="180"/>
      <c r="H121" s="403"/>
      <c r="I121" s="182"/>
      <c r="J121" s="182"/>
      <c r="K121" s="182"/>
      <c r="L121" s="403"/>
      <c r="M121" s="166" t="e">
        <f>RANK(K121, K$47:$K$61)</f>
        <v>#N/A</v>
      </c>
      <c r="N121" s="389"/>
      <c r="O121" s="389"/>
      <c r="P121" s="182"/>
      <c r="Q121" s="166"/>
      <c r="R121" s="166"/>
      <c r="S121" s="182" t="e">
        <f t="shared" si="91"/>
        <v>#N/A</v>
      </c>
      <c r="T121" s="390"/>
      <c r="U121" s="182"/>
      <c r="V121" s="166"/>
      <c r="W121" s="166"/>
      <c r="X121" s="182" t="e">
        <f t="shared" si="92"/>
        <v>#N/A</v>
      </c>
      <c r="Y121" s="390"/>
      <c r="Z121" s="182"/>
      <c r="AA121" s="166"/>
      <c r="AB121" s="166"/>
      <c r="AC121" s="182" t="e">
        <f t="shared" si="93"/>
        <v>#N/A</v>
      </c>
      <c r="AD121" s="390"/>
      <c r="AE121" s="182"/>
      <c r="AF121" s="166"/>
      <c r="AG121" s="166"/>
      <c r="AH121" s="182" t="e">
        <f t="shared" si="94"/>
        <v>#N/A</v>
      </c>
      <c r="AI121" s="390"/>
      <c r="AJ121" s="182"/>
      <c r="AK121" s="166"/>
      <c r="AL121" s="166"/>
      <c r="AM121" s="182" t="e">
        <f t="shared" si="95"/>
        <v>#N/A</v>
      </c>
      <c r="AN121" s="390"/>
      <c r="AO121" s="182"/>
      <c r="AP121" s="166"/>
      <c r="AQ121" s="166"/>
      <c r="AR121" s="182" t="e">
        <f t="shared" si="96"/>
        <v>#N/A</v>
      </c>
      <c r="AS121" s="390"/>
      <c r="AT121" s="182"/>
      <c r="AU121" s="166"/>
      <c r="AV121" s="180"/>
      <c r="AW121" s="182" t="e">
        <f t="shared" si="97"/>
        <v>#N/A</v>
      </c>
      <c r="AX121" s="390"/>
      <c r="AZ121" s="182" t="e">
        <f t="shared" si="98"/>
        <v>#N/A</v>
      </c>
      <c r="BA121" s="390"/>
    </row>
    <row r="123" spans="2:53" ht="15.75">
      <c r="B123" s="397" t="s">
        <v>486</v>
      </c>
      <c r="C123" s="398"/>
      <c r="D123" s="398"/>
      <c r="E123" s="398"/>
      <c r="F123" s="398"/>
      <c r="G123" s="398"/>
      <c r="H123" s="398"/>
      <c r="I123" s="273"/>
      <c r="J123" s="273"/>
      <c r="K123" s="273"/>
      <c r="L123" s="273"/>
      <c r="M123" s="274"/>
    </row>
    <row r="124" spans="2:53" ht="15.75">
      <c r="B124" s="399"/>
      <c r="C124" s="399"/>
      <c r="D124" s="399"/>
      <c r="E124" s="399"/>
      <c r="F124" s="399"/>
      <c r="G124" s="399"/>
      <c r="H124" s="399"/>
      <c r="I124" s="275"/>
      <c r="J124" s="275"/>
      <c r="K124" s="275"/>
      <c r="L124" s="275"/>
      <c r="M124" s="276"/>
    </row>
    <row r="125" spans="2:53">
      <c r="B125" s="389" t="s">
        <v>487</v>
      </c>
      <c r="C125" s="389" t="s">
        <v>488</v>
      </c>
      <c r="D125" s="389"/>
      <c r="E125" s="389" t="s">
        <v>489</v>
      </c>
      <c r="F125" s="389"/>
      <c r="G125" s="389"/>
      <c r="H125" s="417" t="s">
        <v>490</v>
      </c>
      <c r="I125" s="400" t="s">
        <v>491</v>
      </c>
      <c r="J125" s="400"/>
      <c r="K125" s="400"/>
      <c r="L125" s="490" t="s">
        <v>490</v>
      </c>
      <c r="M125" s="493" t="s">
        <v>492</v>
      </c>
    </row>
    <row r="126" spans="2:53">
      <c r="B126" s="389"/>
      <c r="C126" s="389"/>
      <c r="D126" s="389"/>
      <c r="E126" s="389" t="s">
        <v>493</v>
      </c>
      <c r="F126" s="389"/>
      <c r="G126" s="389"/>
      <c r="H126" s="418"/>
      <c r="I126" s="400" t="s">
        <v>493</v>
      </c>
      <c r="J126" s="400"/>
      <c r="K126" s="400"/>
      <c r="L126" s="491"/>
      <c r="M126" s="494"/>
    </row>
    <row r="127" spans="2:53">
      <c r="B127" s="389"/>
      <c r="C127" s="389"/>
      <c r="D127" s="389"/>
      <c r="E127" s="258" t="s">
        <v>494</v>
      </c>
      <c r="F127" s="258" t="s">
        <v>495</v>
      </c>
      <c r="G127" s="258" t="s">
        <v>496</v>
      </c>
      <c r="H127" s="419"/>
      <c r="I127" s="277" t="s">
        <v>494</v>
      </c>
      <c r="J127" s="277" t="s">
        <v>495</v>
      </c>
      <c r="K127" s="277" t="s">
        <v>496</v>
      </c>
      <c r="L127" s="492"/>
      <c r="M127" s="495"/>
    </row>
    <row r="128" spans="2:53">
      <c r="B128" s="389" t="s">
        <v>504</v>
      </c>
      <c r="C128" s="182">
        <v>1</v>
      </c>
      <c r="D128" s="203"/>
      <c r="E128" s="166"/>
      <c r="F128" s="182"/>
      <c r="G128" s="180"/>
      <c r="H128" s="401" t="e">
        <f>AVERAGE(G128:G142)</f>
        <v>#DIV/0!</v>
      </c>
      <c r="I128" s="166" t="e">
        <f t="shared" ref="I128:J133" si="99">AVERAGEIF($D$7:$D$121,$D128,I$7:I$121)</f>
        <v>#DIV/0!</v>
      </c>
      <c r="J128" s="166" t="e">
        <f t="shared" si="99"/>
        <v>#DIV/0!</v>
      </c>
      <c r="K128" s="166" t="e">
        <f t="shared" ref="K128:K133" si="100">AVERAGEIF($D$7:$D$121,$D128,K$7:K$121)</f>
        <v>#DIV/0!</v>
      </c>
      <c r="L128" s="487" t="e">
        <f>AVERAGE(K128:K142)</f>
        <v>#DIV/0!</v>
      </c>
      <c r="M128" s="166" t="e">
        <f>RANK(K128, K$128:$K$142)</f>
        <v>#DIV/0!</v>
      </c>
    </row>
    <row r="129" spans="2:13">
      <c r="B129" s="395"/>
      <c r="C129" s="182">
        <v>2</v>
      </c>
      <c r="D129" s="203"/>
      <c r="E129" s="166"/>
      <c r="F129" s="182"/>
      <c r="G129" s="180"/>
      <c r="H129" s="402"/>
      <c r="I129" s="166" t="e">
        <f t="shared" si="99"/>
        <v>#DIV/0!</v>
      </c>
      <c r="J129" s="166" t="e">
        <f t="shared" si="99"/>
        <v>#DIV/0!</v>
      </c>
      <c r="K129" s="166" t="e">
        <f t="shared" si="100"/>
        <v>#DIV/0!</v>
      </c>
      <c r="L129" s="488"/>
      <c r="M129" s="166" t="e">
        <f>RANK(K129, K$128:$K$142)</f>
        <v>#DIV/0!</v>
      </c>
    </row>
    <row r="130" spans="2:13">
      <c r="B130" s="395"/>
      <c r="C130" s="182">
        <v>3</v>
      </c>
      <c r="D130" s="203"/>
      <c r="E130" s="166"/>
      <c r="F130" s="182"/>
      <c r="G130" s="180"/>
      <c r="H130" s="402"/>
      <c r="I130" s="166" t="e">
        <f t="shared" si="99"/>
        <v>#DIV/0!</v>
      </c>
      <c r="J130" s="166" t="e">
        <f t="shared" si="99"/>
        <v>#DIV/0!</v>
      </c>
      <c r="K130" s="166" t="e">
        <f t="shared" si="100"/>
        <v>#DIV/0!</v>
      </c>
      <c r="L130" s="488"/>
      <c r="M130" s="166" t="e">
        <f>RANK(K130, K$128:$K$142)</f>
        <v>#DIV/0!</v>
      </c>
    </row>
    <row r="131" spans="2:13">
      <c r="B131" s="395"/>
      <c r="C131" s="182">
        <v>4</v>
      </c>
      <c r="D131" s="203"/>
      <c r="E131" s="166"/>
      <c r="F131" s="182"/>
      <c r="G131" s="180"/>
      <c r="H131" s="402"/>
      <c r="I131" s="166" t="e">
        <f t="shared" si="99"/>
        <v>#DIV/0!</v>
      </c>
      <c r="J131" s="166" t="e">
        <f t="shared" si="99"/>
        <v>#DIV/0!</v>
      </c>
      <c r="K131" s="166" t="e">
        <f t="shared" si="100"/>
        <v>#DIV/0!</v>
      </c>
      <c r="L131" s="488"/>
      <c r="M131" s="166" t="e">
        <f>RANK(K131, K$128:$K$142)</f>
        <v>#DIV/0!</v>
      </c>
    </row>
    <row r="132" spans="2:13">
      <c r="B132" s="395"/>
      <c r="C132" s="182">
        <v>5</v>
      </c>
      <c r="D132" s="203"/>
      <c r="E132" s="166"/>
      <c r="F132" s="182"/>
      <c r="G132" s="180"/>
      <c r="H132" s="402"/>
      <c r="I132" s="166" t="e">
        <f t="shared" si="99"/>
        <v>#DIV/0!</v>
      </c>
      <c r="J132" s="166" t="e">
        <f t="shared" si="99"/>
        <v>#DIV/0!</v>
      </c>
      <c r="K132" s="166" t="e">
        <f t="shared" si="100"/>
        <v>#DIV/0!</v>
      </c>
      <c r="L132" s="488"/>
      <c r="M132" s="166" t="e">
        <f>RANK(K132, K$128:$K$142)</f>
        <v>#DIV/0!</v>
      </c>
    </row>
    <row r="133" spans="2:13">
      <c r="B133" s="395"/>
      <c r="C133" s="182">
        <v>6</v>
      </c>
      <c r="D133" s="278"/>
      <c r="E133" s="166"/>
      <c r="F133" s="182"/>
      <c r="G133" s="180"/>
      <c r="H133" s="402"/>
      <c r="I133" s="166" t="e">
        <f t="shared" si="99"/>
        <v>#DIV/0!</v>
      </c>
      <c r="J133" s="166" t="e">
        <f t="shared" si="99"/>
        <v>#DIV/0!</v>
      </c>
      <c r="K133" s="166" t="e">
        <f t="shared" si="100"/>
        <v>#DIV/0!</v>
      </c>
      <c r="L133" s="488"/>
      <c r="M133" s="166" t="e">
        <f>RANK(K133, K$128:$K$142)</f>
        <v>#DIV/0!</v>
      </c>
    </row>
    <row r="134" spans="2:13">
      <c r="B134" s="395"/>
      <c r="C134" s="182">
        <v>7</v>
      </c>
      <c r="D134" s="203"/>
      <c r="E134" s="166"/>
      <c r="F134" s="182"/>
      <c r="G134" s="180"/>
      <c r="H134" s="402"/>
      <c r="I134" s="166"/>
      <c r="J134" s="166"/>
      <c r="K134" s="166"/>
      <c r="L134" s="488"/>
      <c r="M134" s="166" t="e">
        <f>RANK(K134, K$128:$K$142)</f>
        <v>#DIV/0!</v>
      </c>
    </row>
    <row r="135" spans="2:13">
      <c r="B135" s="395"/>
      <c r="C135" s="182">
        <v>8</v>
      </c>
      <c r="D135" s="203"/>
      <c r="E135" s="166"/>
      <c r="F135" s="182"/>
      <c r="G135" s="180"/>
      <c r="H135" s="402"/>
      <c r="I135" s="166"/>
      <c r="J135" s="166"/>
      <c r="K135" s="166"/>
      <c r="L135" s="488"/>
      <c r="M135" s="166" t="e">
        <f>RANK(K135, K$128:$K$142)</f>
        <v>#DIV/0!</v>
      </c>
    </row>
    <row r="136" spans="2:13">
      <c r="B136" s="395"/>
      <c r="C136" s="182">
        <v>9</v>
      </c>
      <c r="D136" s="203"/>
      <c r="E136" s="182"/>
      <c r="F136" s="182"/>
      <c r="G136" s="182"/>
      <c r="H136" s="402"/>
      <c r="I136" s="166"/>
      <c r="J136" s="166"/>
      <c r="K136" s="166"/>
      <c r="L136" s="488"/>
      <c r="M136" s="166" t="e">
        <f>RANK(K136, K$128:$K$142)</f>
        <v>#DIV/0!</v>
      </c>
    </row>
    <row r="137" spans="2:13">
      <c r="B137" s="395"/>
      <c r="C137" s="182">
        <v>10</v>
      </c>
      <c r="D137" s="203"/>
      <c r="E137" s="182"/>
      <c r="F137" s="182"/>
      <c r="G137" s="182"/>
      <c r="H137" s="402"/>
      <c r="I137" s="166"/>
      <c r="J137" s="166"/>
      <c r="K137" s="166"/>
      <c r="L137" s="488"/>
      <c r="M137" s="166" t="e">
        <f>RANK(K137, K$128:$K$142)</f>
        <v>#DIV/0!</v>
      </c>
    </row>
    <row r="138" spans="2:13">
      <c r="B138" s="395"/>
      <c r="C138" s="182">
        <v>11</v>
      </c>
      <c r="D138" s="203"/>
      <c r="E138" s="182"/>
      <c r="F138" s="182"/>
      <c r="G138" s="182"/>
      <c r="H138" s="402"/>
      <c r="I138" s="166"/>
      <c r="J138" s="166"/>
      <c r="K138" s="166"/>
      <c r="L138" s="488"/>
      <c r="M138" s="166" t="e">
        <f>RANK(K138, K$128:$K$142)</f>
        <v>#DIV/0!</v>
      </c>
    </row>
    <row r="139" spans="2:13">
      <c r="B139" s="395"/>
      <c r="C139" s="182">
        <v>12</v>
      </c>
      <c r="D139" s="203"/>
      <c r="E139" s="182"/>
      <c r="F139" s="182"/>
      <c r="G139" s="182"/>
      <c r="H139" s="402"/>
      <c r="I139" s="166"/>
      <c r="J139" s="166"/>
      <c r="K139" s="166"/>
      <c r="L139" s="488"/>
      <c r="M139" s="166" t="e">
        <f>RANK(K139, K$128:$K$142)</f>
        <v>#DIV/0!</v>
      </c>
    </row>
    <row r="140" spans="2:13">
      <c r="B140" s="395"/>
      <c r="C140" s="182">
        <v>13</v>
      </c>
      <c r="D140" s="203"/>
      <c r="E140" s="182"/>
      <c r="F140" s="182"/>
      <c r="G140" s="182"/>
      <c r="H140" s="402"/>
      <c r="I140" s="166"/>
      <c r="J140" s="166"/>
      <c r="K140" s="166"/>
      <c r="L140" s="488"/>
      <c r="M140" s="166" t="e">
        <f>RANK(K140, K$128:$K$142)</f>
        <v>#DIV/0!</v>
      </c>
    </row>
    <row r="141" spans="2:13">
      <c r="B141" s="395"/>
      <c r="C141" s="182">
        <v>14</v>
      </c>
      <c r="D141" s="203"/>
      <c r="E141" s="182"/>
      <c r="F141" s="182"/>
      <c r="G141" s="182"/>
      <c r="H141" s="402"/>
      <c r="I141" s="166"/>
      <c r="J141" s="166"/>
      <c r="K141" s="166"/>
      <c r="L141" s="488"/>
      <c r="M141" s="166" t="e">
        <f>RANK(K141, K$128:$K$142)</f>
        <v>#DIV/0!</v>
      </c>
    </row>
    <row r="142" spans="2:13">
      <c r="B142" s="395"/>
      <c r="C142" s="182">
        <v>15</v>
      </c>
      <c r="D142" s="203"/>
      <c r="E142" s="182"/>
      <c r="F142" s="182"/>
      <c r="G142" s="182"/>
      <c r="H142" s="403"/>
      <c r="I142" s="166"/>
      <c r="J142" s="166"/>
      <c r="K142" s="166"/>
      <c r="L142" s="489"/>
      <c r="M142" s="166" t="e">
        <f>RANK(K142, K$128:$K$142)</f>
        <v>#DIV/0!</v>
      </c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28"/>
  <sheetViews>
    <sheetView zoomScale="85" zoomScaleNormal="85" zoomScaleSheetLayoutView="100" workbookViewId="0">
      <selection sqref="A1:L2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59" t="s">
        <v>186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115"/>
    </row>
    <row r="2" spans="1:13" s="116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</row>
    <row r="3" spans="1:13" ht="15.75" customHeight="1">
      <c r="A3" s="509" t="s">
        <v>187</v>
      </c>
      <c r="B3" s="510"/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115"/>
    </row>
    <row r="4" spans="1:13" s="116" customFormat="1" ht="15.75" customHeight="1">
      <c r="A4" s="510"/>
      <c r="B4" s="510"/>
      <c r="C4" s="510"/>
      <c r="D4" s="510"/>
      <c r="E4" s="510"/>
      <c r="F4" s="510"/>
      <c r="G4" s="510"/>
      <c r="H4" s="510"/>
      <c r="I4" s="510"/>
      <c r="J4" s="510"/>
      <c r="K4" s="510"/>
      <c r="L4" s="510"/>
    </row>
    <row r="5" spans="1:13" s="122" customFormat="1" ht="16.350000000000001" customHeight="1">
      <c r="A5" s="506" t="s">
        <v>154</v>
      </c>
      <c r="B5" s="151">
        <v>1</v>
      </c>
      <c r="C5" s="151">
        <v>2</v>
      </c>
      <c r="D5" s="143">
        <v>3</v>
      </c>
      <c r="E5" s="143">
        <v>4</v>
      </c>
      <c r="F5" s="143">
        <v>5</v>
      </c>
      <c r="G5" s="143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3" ht="16.350000000000001" customHeight="1">
      <c r="A6" s="506"/>
      <c r="B6" s="152" t="s">
        <v>188</v>
      </c>
      <c r="C6" s="152" t="s">
        <v>151</v>
      </c>
      <c r="D6" s="144" t="s">
        <v>189</v>
      </c>
      <c r="E6" s="144" t="s">
        <v>153</v>
      </c>
      <c r="F6" s="132" t="s">
        <v>133</v>
      </c>
      <c r="G6" s="145" t="s">
        <v>131</v>
      </c>
      <c r="H6" s="146" t="s">
        <v>190</v>
      </c>
      <c r="I6" s="145" t="s">
        <v>191</v>
      </c>
      <c r="J6" s="145" t="s">
        <v>137</v>
      </c>
      <c r="K6" s="142"/>
      <c r="L6" s="142"/>
    </row>
    <row r="7" spans="1:13" s="122" customFormat="1" ht="15.75" customHeight="1">
      <c r="A7" s="507" t="s">
        <v>169</v>
      </c>
      <c r="B7" s="507"/>
      <c r="C7" s="312" t="s">
        <v>392</v>
      </c>
      <c r="D7" s="507" t="s">
        <v>12</v>
      </c>
      <c r="E7" s="508"/>
      <c r="F7" s="508"/>
      <c r="G7" s="312" t="s">
        <v>46</v>
      </c>
      <c r="H7" s="312" t="s">
        <v>524</v>
      </c>
      <c r="I7" s="312" t="s">
        <v>389</v>
      </c>
      <c r="J7" s="199" t="s">
        <v>390</v>
      </c>
      <c r="K7" s="507" t="s">
        <v>391</v>
      </c>
      <c r="L7" s="508"/>
      <c r="M7" s="141"/>
    </row>
    <row r="8" spans="1:13" ht="15.75" customHeight="1">
      <c r="A8" s="506">
        <v>1</v>
      </c>
      <c r="B8" s="507" t="s">
        <v>150</v>
      </c>
      <c r="C8" s="123">
        <v>1</v>
      </c>
      <c r="D8" s="319" t="s">
        <v>339</v>
      </c>
      <c r="E8" s="310"/>
      <c r="F8" s="311"/>
      <c r="G8" s="317">
        <v>3</v>
      </c>
      <c r="H8" s="317">
        <v>3215.5940924029615</v>
      </c>
      <c r="I8" s="317">
        <v>1071.864697467654</v>
      </c>
      <c r="J8" s="218" t="s">
        <v>758</v>
      </c>
      <c r="K8" s="513" t="s">
        <v>759</v>
      </c>
      <c r="L8" s="514"/>
    </row>
    <row r="9" spans="1:13" ht="15.75" customHeight="1">
      <c r="A9" s="506"/>
      <c r="B9" s="507"/>
      <c r="C9" s="123">
        <v>2</v>
      </c>
      <c r="D9" s="316" t="s">
        <v>341</v>
      </c>
      <c r="E9" s="310"/>
      <c r="F9" s="311"/>
      <c r="G9" s="317">
        <v>3</v>
      </c>
      <c r="H9" s="317">
        <v>3196.7816431519213</v>
      </c>
      <c r="I9" s="317">
        <v>1065.5938810506404</v>
      </c>
      <c r="J9" s="218" t="s">
        <v>758</v>
      </c>
      <c r="K9" s="515"/>
      <c r="L9" s="516"/>
    </row>
    <row r="10" spans="1:13" ht="15.75" customHeight="1">
      <c r="A10" s="506"/>
      <c r="B10" s="507"/>
      <c r="C10" s="123">
        <v>3</v>
      </c>
      <c r="D10" s="319" t="s">
        <v>731</v>
      </c>
      <c r="E10" s="310"/>
      <c r="F10" s="311"/>
      <c r="G10" s="317">
        <v>3</v>
      </c>
      <c r="H10" s="317">
        <v>3196.3525327732978</v>
      </c>
      <c r="I10" s="317">
        <v>1065.450844257766</v>
      </c>
      <c r="J10" s="322" t="s">
        <v>760</v>
      </c>
      <c r="K10" s="515"/>
      <c r="L10" s="516"/>
    </row>
    <row r="11" spans="1:13" ht="15.75" customHeight="1">
      <c r="A11" s="506"/>
      <c r="B11" s="507"/>
      <c r="C11" s="123">
        <v>4</v>
      </c>
      <c r="D11" s="316" t="s">
        <v>736</v>
      </c>
      <c r="E11" s="310"/>
      <c r="F11" s="311"/>
      <c r="G11" s="317">
        <v>3</v>
      </c>
      <c r="H11" s="317">
        <v>3183.4605434331866</v>
      </c>
      <c r="I11" s="317">
        <v>1061.153514477729</v>
      </c>
      <c r="J11" s="218" t="s">
        <v>761</v>
      </c>
      <c r="K11" s="515"/>
      <c r="L11" s="516"/>
    </row>
    <row r="12" spans="1:13" ht="15.75" customHeight="1">
      <c r="A12" s="506"/>
      <c r="B12" s="507"/>
      <c r="C12" s="123">
        <v>5</v>
      </c>
      <c r="D12" s="319" t="s">
        <v>651</v>
      </c>
      <c r="E12" s="310"/>
      <c r="F12" s="311"/>
      <c r="G12" s="317">
        <v>3</v>
      </c>
      <c r="H12" s="317">
        <v>3179.6977498691745</v>
      </c>
      <c r="I12" s="317">
        <v>1059.8992499563917</v>
      </c>
      <c r="J12" s="218" t="s">
        <v>761</v>
      </c>
      <c r="K12" s="517"/>
      <c r="L12" s="518"/>
    </row>
    <row r="13" spans="1:13" ht="15.75" customHeight="1">
      <c r="A13" s="506"/>
      <c r="B13" s="507"/>
      <c r="C13" s="150" t="s">
        <v>393</v>
      </c>
      <c r="D13" s="316" t="s">
        <v>625</v>
      </c>
      <c r="E13" s="310"/>
      <c r="F13" s="311"/>
      <c r="G13" s="317">
        <v>12</v>
      </c>
      <c r="H13" s="317">
        <v>1257.3277123152923</v>
      </c>
      <c r="I13" s="317">
        <v>104.77730935960767</v>
      </c>
      <c r="J13" s="322" t="s">
        <v>760</v>
      </c>
      <c r="K13" s="511"/>
      <c r="L13" s="508"/>
    </row>
    <row r="14" spans="1:13" ht="15.75" customHeight="1">
      <c r="A14" s="506"/>
      <c r="B14" s="507"/>
      <c r="C14" s="150" t="s">
        <v>394</v>
      </c>
      <c r="D14" s="316" t="s">
        <v>661</v>
      </c>
      <c r="E14" s="310"/>
      <c r="F14" s="311"/>
      <c r="G14" s="317">
        <v>12</v>
      </c>
      <c r="H14" s="317">
        <v>1450.1640052547075</v>
      </c>
      <c r="I14" s="317">
        <v>120.84700043789226</v>
      </c>
      <c r="J14" s="217" t="s">
        <v>760</v>
      </c>
      <c r="K14" s="512"/>
      <c r="L14" s="512"/>
    </row>
    <row r="15" spans="1:13" ht="15.75" customHeight="1">
      <c r="A15" s="506"/>
      <c r="B15" s="507"/>
      <c r="C15" s="150" t="s">
        <v>434</v>
      </c>
      <c r="D15" s="316" t="s">
        <v>603</v>
      </c>
      <c r="E15" s="310"/>
      <c r="F15" s="311"/>
      <c r="G15" s="317">
        <v>4</v>
      </c>
      <c r="H15" s="317">
        <v>2791.3286467227367</v>
      </c>
      <c r="I15" s="317">
        <v>697.83216168068418</v>
      </c>
      <c r="J15" s="219" t="s">
        <v>762</v>
      </c>
      <c r="K15" s="511" t="s">
        <v>763</v>
      </c>
      <c r="L15" s="508"/>
    </row>
    <row r="16" spans="1:13" ht="15.75" customHeight="1">
      <c r="A16" s="506"/>
      <c r="B16" s="507"/>
      <c r="C16" s="150" t="s">
        <v>396</v>
      </c>
      <c r="D16" s="316" t="s">
        <v>598</v>
      </c>
      <c r="E16" s="310"/>
      <c r="F16" s="311"/>
      <c r="G16" s="317">
        <v>4</v>
      </c>
      <c r="H16" s="317">
        <v>2792.0610576574804</v>
      </c>
      <c r="I16" s="317">
        <v>698.01526441437011</v>
      </c>
      <c r="J16" s="217" t="s">
        <v>760</v>
      </c>
      <c r="K16" s="511"/>
      <c r="L16" s="508"/>
      <c r="M16" s="115"/>
    </row>
    <row r="17" spans="1:13" ht="15.75" customHeight="1">
      <c r="A17" s="506"/>
      <c r="B17" s="507"/>
      <c r="C17" s="150" t="s">
        <v>435</v>
      </c>
      <c r="D17" s="319" t="s">
        <v>599</v>
      </c>
      <c r="E17" s="310"/>
      <c r="F17" s="311"/>
      <c r="G17" s="317">
        <v>4</v>
      </c>
      <c r="H17" s="317">
        <v>2823.5142857142814</v>
      </c>
      <c r="I17" s="317">
        <v>705.87857142857035</v>
      </c>
      <c r="J17" s="218" t="s">
        <v>761</v>
      </c>
      <c r="K17" s="511" t="s">
        <v>763</v>
      </c>
      <c r="L17" s="508"/>
      <c r="M17" s="115"/>
    </row>
    <row r="18" spans="1:13" s="120" customFormat="1" ht="15.75" customHeight="1">
      <c r="A18" s="521" t="s">
        <v>169</v>
      </c>
      <c r="B18" s="521"/>
      <c r="C18" s="245" t="s">
        <v>392</v>
      </c>
      <c r="D18" s="521" t="s">
        <v>12</v>
      </c>
      <c r="E18" s="522"/>
      <c r="F18" s="522"/>
      <c r="G18" s="245" t="s">
        <v>764</v>
      </c>
      <c r="H18" s="245" t="s">
        <v>765</v>
      </c>
      <c r="I18" s="245" t="s">
        <v>766</v>
      </c>
      <c r="J18" s="199" t="s">
        <v>767</v>
      </c>
      <c r="K18" s="521" t="s">
        <v>768</v>
      </c>
      <c r="L18" s="522"/>
      <c r="M18" s="142"/>
    </row>
    <row r="19" spans="1:13" ht="15.75" customHeight="1">
      <c r="A19" s="506">
        <v>2</v>
      </c>
      <c r="B19" s="507" t="s">
        <v>151</v>
      </c>
      <c r="C19" s="123">
        <v>1</v>
      </c>
      <c r="D19" s="309" t="s">
        <v>604</v>
      </c>
      <c r="E19" s="310"/>
      <c r="F19" s="311"/>
      <c r="G19" s="317">
        <v>10</v>
      </c>
      <c r="H19" s="317">
        <v>1517.8448979591828</v>
      </c>
      <c r="I19" s="317">
        <v>151.78448979591829</v>
      </c>
      <c r="J19" s="217" t="s">
        <v>760</v>
      </c>
      <c r="K19" s="523"/>
      <c r="L19" s="520"/>
      <c r="M19" s="115"/>
    </row>
    <row r="20" spans="1:13" ht="15.75" customHeight="1">
      <c r="A20" s="506"/>
      <c r="B20" s="507"/>
      <c r="C20" s="123">
        <v>2</v>
      </c>
      <c r="D20" s="309" t="s">
        <v>645</v>
      </c>
      <c r="E20" s="310"/>
      <c r="F20" s="311"/>
      <c r="G20" s="317">
        <v>12.142857142857142</v>
      </c>
      <c r="H20" s="317">
        <v>1834.2163265306128</v>
      </c>
      <c r="I20" s="317">
        <v>151.20813710099429</v>
      </c>
      <c r="J20" s="218" t="s">
        <v>761</v>
      </c>
      <c r="K20" s="524" t="s">
        <v>769</v>
      </c>
      <c r="L20" s="525"/>
      <c r="M20" s="115"/>
    </row>
    <row r="21" spans="1:13" ht="15.75" customHeight="1">
      <c r="A21" s="506"/>
      <c r="B21" s="507"/>
      <c r="C21" s="123">
        <v>3</v>
      </c>
      <c r="D21" s="318" t="s">
        <v>644</v>
      </c>
      <c r="E21" s="310"/>
      <c r="F21" s="311"/>
      <c r="G21" s="317">
        <v>12.142857142857142</v>
      </c>
      <c r="H21" s="317">
        <v>1822.8543956043957</v>
      </c>
      <c r="I21" s="317">
        <v>150.26717032967034</v>
      </c>
      <c r="J21" s="219" t="s">
        <v>762</v>
      </c>
      <c r="K21" s="526"/>
      <c r="L21" s="527"/>
      <c r="M21" s="115"/>
    </row>
    <row r="22" spans="1:13" ht="15.75" customHeight="1">
      <c r="A22" s="506"/>
      <c r="B22" s="507"/>
      <c r="C22" s="123">
        <v>4</v>
      </c>
      <c r="D22" s="318"/>
      <c r="E22" s="310"/>
      <c r="F22" s="311"/>
      <c r="G22" s="317"/>
      <c r="H22" s="317"/>
      <c r="I22" s="317"/>
      <c r="J22" s="217"/>
      <c r="K22" s="519"/>
      <c r="L22" s="520"/>
      <c r="M22" s="115"/>
    </row>
    <row r="23" spans="1:13" ht="15.75" customHeight="1">
      <c r="A23" s="506"/>
      <c r="B23" s="507"/>
      <c r="C23" s="123">
        <v>5</v>
      </c>
      <c r="D23" s="318"/>
      <c r="E23" s="310"/>
      <c r="F23" s="311"/>
      <c r="G23" s="317"/>
      <c r="H23" s="317"/>
      <c r="I23" s="317"/>
      <c r="J23" s="217"/>
      <c r="K23" s="519"/>
      <c r="L23" s="520"/>
      <c r="M23" s="115"/>
    </row>
    <row r="24" spans="1:13" ht="15.75" customHeight="1">
      <c r="A24" s="506"/>
      <c r="B24" s="507"/>
      <c r="C24" s="150" t="s">
        <v>393</v>
      </c>
      <c r="D24" s="309"/>
      <c r="E24" s="310"/>
      <c r="F24" s="311"/>
      <c r="G24" s="317"/>
      <c r="H24" s="317"/>
      <c r="I24" s="317"/>
      <c r="J24" s="217"/>
      <c r="K24" s="523"/>
      <c r="L24" s="520"/>
      <c r="M24" s="115"/>
    </row>
    <row r="25" spans="1:13" ht="15.75" customHeight="1">
      <c r="A25" s="506"/>
      <c r="B25" s="507"/>
      <c r="C25" s="150" t="s">
        <v>394</v>
      </c>
      <c r="D25" s="309"/>
      <c r="E25" s="310"/>
      <c r="F25" s="311"/>
      <c r="G25" s="317"/>
      <c r="H25" s="317"/>
      <c r="I25" s="317"/>
      <c r="J25" s="217"/>
      <c r="K25" s="519"/>
      <c r="L25" s="520"/>
      <c r="M25" s="115"/>
    </row>
    <row r="26" spans="1:13" ht="15.75" customHeight="1">
      <c r="A26" s="506"/>
      <c r="B26" s="507"/>
      <c r="C26" s="150" t="s">
        <v>434</v>
      </c>
      <c r="E26" s="310"/>
      <c r="F26" s="311"/>
      <c r="G26" s="317"/>
      <c r="H26" s="317"/>
      <c r="I26" s="317"/>
      <c r="J26" s="149"/>
      <c r="K26" s="519"/>
      <c r="L26" s="520"/>
      <c r="M26" s="115"/>
    </row>
    <row r="27" spans="1:13" ht="15.75" customHeight="1">
      <c r="A27" s="506"/>
      <c r="B27" s="507"/>
      <c r="C27" s="150" t="s">
        <v>396</v>
      </c>
      <c r="D27" s="309"/>
      <c r="E27" s="310"/>
      <c r="F27" s="311"/>
      <c r="G27" s="317"/>
      <c r="H27" s="317"/>
      <c r="I27" s="317"/>
      <c r="J27" s="149"/>
      <c r="K27" s="519"/>
      <c r="L27" s="520"/>
      <c r="M27" s="115"/>
    </row>
    <row r="28" spans="1:13" ht="15.75" customHeight="1">
      <c r="A28" s="506"/>
      <c r="B28" s="507"/>
      <c r="C28" s="150" t="s">
        <v>435</v>
      </c>
      <c r="D28" s="309"/>
      <c r="E28" s="310"/>
      <c r="F28" s="311"/>
      <c r="G28" s="149"/>
      <c r="H28" s="149"/>
      <c r="I28" s="149"/>
      <c r="J28" s="149"/>
      <c r="K28" s="519"/>
      <c r="L28" s="520"/>
      <c r="M28" s="115"/>
    </row>
  </sheetData>
  <mergeCells count="28"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19"/>
    <mergeCell ref="K20:L21"/>
    <mergeCell ref="K13:L13"/>
    <mergeCell ref="A8:A17"/>
    <mergeCell ref="B8:B17"/>
    <mergeCell ref="K14:L14"/>
    <mergeCell ref="K15:L15"/>
    <mergeCell ref="K16:L16"/>
    <mergeCell ref="K17:L17"/>
    <mergeCell ref="K8:L12"/>
    <mergeCell ref="A1:L2"/>
    <mergeCell ref="A5:A6"/>
    <mergeCell ref="A7:B7"/>
    <mergeCell ref="D7:F7"/>
    <mergeCell ref="K7:L7"/>
    <mergeCell ref="A3:L4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M28"/>
  <sheetViews>
    <sheetView zoomScale="85" zoomScaleNormal="85" zoomScaleSheetLayoutView="100" workbookViewId="0">
      <selection activeCell="F33" sqref="F33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59" t="s">
        <v>186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115"/>
    </row>
    <row r="2" spans="1:13" s="116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</row>
    <row r="3" spans="1:13" ht="15.75" customHeight="1">
      <c r="A3" s="509" t="s">
        <v>187</v>
      </c>
      <c r="B3" s="510"/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115"/>
    </row>
    <row r="4" spans="1:13" s="116" customFormat="1" ht="15.75" customHeight="1">
      <c r="A4" s="510"/>
      <c r="B4" s="510"/>
      <c r="C4" s="510"/>
      <c r="D4" s="510"/>
      <c r="E4" s="510"/>
      <c r="F4" s="510"/>
      <c r="G4" s="510"/>
      <c r="H4" s="510"/>
      <c r="I4" s="510"/>
      <c r="J4" s="510"/>
      <c r="K4" s="510"/>
      <c r="L4" s="510"/>
    </row>
    <row r="5" spans="1:13" s="122" customFormat="1" ht="16.350000000000001" customHeight="1">
      <c r="A5" s="506" t="s">
        <v>154</v>
      </c>
      <c r="B5" s="143">
        <v>1</v>
      </c>
      <c r="C5" s="143">
        <v>2</v>
      </c>
      <c r="D5" s="151">
        <v>3</v>
      </c>
      <c r="E5" s="151">
        <v>4</v>
      </c>
      <c r="F5" s="143">
        <v>5</v>
      </c>
      <c r="G5" s="143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3" ht="16.350000000000001" customHeight="1">
      <c r="A6" s="506"/>
      <c r="B6" s="144" t="s">
        <v>188</v>
      </c>
      <c r="C6" s="144" t="s">
        <v>151</v>
      </c>
      <c r="D6" s="152" t="s">
        <v>189</v>
      </c>
      <c r="E6" s="152" t="s">
        <v>153</v>
      </c>
      <c r="F6" s="132" t="s">
        <v>133</v>
      </c>
      <c r="G6" s="145" t="s">
        <v>131</v>
      </c>
      <c r="H6" s="146" t="s">
        <v>190</v>
      </c>
      <c r="I6" s="145" t="s">
        <v>191</v>
      </c>
      <c r="J6" s="145" t="s">
        <v>137</v>
      </c>
      <c r="K6" s="142"/>
      <c r="L6" s="142"/>
    </row>
    <row r="7" spans="1:13" s="122" customFormat="1" ht="15.75" customHeight="1">
      <c r="A7" s="507" t="s">
        <v>169</v>
      </c>
      <c r="B7" s="507"/>
      <c r="C7" s="312" t="s">
        <v>392</v>
      </c>
      <c r="D7" s="507" t="s">
        <v>12</v>
      </c>
      <c r="E7" s="508"/>
      <c r="F7" s="508"/>
      <c r="G7" s="312" t="s">
        <v>583</v>
      </c>
      <c r="H7" s="312" t="s">
        <v>584</v>
      </c>
      <c r="I7" s="312" t="s">
        <v>585</v>
      </c>
      <c r="J7" s="199" t="s">
        <v>586</v>
      </c>
      <c r="K7" s="507" t="s">
        <v>587</v>
      </c>
      <c r="L7" s="508"/>
      <c r="M7" s="141"/>
    </row>
    <row r="8" spans="1:13" ht="15.75" customHeight="1">
      <c r="A8" s="506">
        <v>3</v>
      </c>
      <c r="B8" s="507" t="s">
        <v>152</v>
      </c>
      <c r="C8" s="123">
        <v>1</v>
      </c>
      <c r="D8" s="309" t="s">
        <v>364</v>
      </c>
      <c r="E8" s="310"/>
      <c r="F8" s="311"/>
      <c r="G8" s="317">
        <v>5</v>
      </c>
      <c r="H8" s="317">
        <v>2160.2334559097085</v>
      </c>
      <c r="I8" s="317">
        <v>432.0466911819417</v>
      </c>
      <c r="J8" s="218" t="s">
        <v>770</v>
      </c>
      <c r="K8" s="531" t="s">
        <v>771</v>
      </c>
      <c r="L8" s="532"/>
    </row>
    <row r="9" spans="1:13" ht="15.75" customHeight="1">
      <c r="A9" s="506"/>
      <c r="B9" s="507"/>
      <c r="C9" s="123">
        <v>2</v>
      </c>
      <c r="D9" s="309" t="s">
        <v>442</v>
      </c>
      <c r="E9" s="310"/>
      <c r="F9" s="311"/>
      <c r="G9" s="317">
        <v>5</v>
      </c>
      <c r="H9" s="317">
        <v>2157.5818470563977</v>
      </c>
      <c r="I9" s="317">
        <v>431.51636941127964</v>
      </c>
      <c r="J9" s="219" t="s">
        <v>772</v>
      </c>
      <c r="K9" s="533"/>
      <c r="L9" s="534"/>
    </row>
    <row r="10" spans="1:13" ht="15.75" customHeight="1">
      <c r="A10" s="506"/>
      <c r="B10" s="507"/>
      <c r="C10" s="123">
        <v>3</v>
      </c>
      <c r="D10" s="309" t="s">
        <v>367</v>
      </c>
      <c r="E10" s="310"/>
      <c r="F10" s="311"/>
      <c r="G10" s="317">
        <v>10</v>
      </c>
      <c r="H10" s="317">
        <v>2401.5880617175176</v>
      </c>
      <c r="I10" s="317">
        <v>240.15880617175182</v>
      </c>
      <c r="J10" s="217" t="s">
        <v>773</v>
      </c>
      <c r="K10" s="530"/>
      <c r="L10" s="522"/>
    </row>
    <row r="11" spans="1:13" ht="15.75" customHeight="1">
      <c r="A11" s="506"/>
      <c r="B11" s="507"/>
      <c r="C11" s="123">
        <v>4</v>
      </c>
      <c r="D11" s="309" t="s">
        <v>366</v>
      </c>
      <c r="E11" s="310"/>
      <c r="F11" s="311"/>
      <c r="G11" s="317">
        <v>13</v>
      </c>
      <c r="H11" s="317">
        <v>2216.8290206420616</v>
      </c>
      <c r="I11" s="317">
        <v>170.52530928015858</v>
      </c>
      <c r="J11" s="218" t="s">
        <v>770</v>
      </c>
      <c r="K11" s="535" t="s">
        <v>774</v>
      </c>
      <c r="L11" s="536"/>
    </row>
    <row r="12" spans="1:13" ht="15.75" customHeight="1">
      <c r="A12" s="506"/>
      <c r="B12" s="507"/>
      <c r="C12" s="123">
        <v>5</v>
      </c>
      <c r="D12" s="309" t="s">
        <v>605</v>
      </c>
      <c r="E12" s="310"/>
      <c r="F12" s="311"/>
      <c r="G12" s="317">
        <v>13</v>
      </c>
      <c r="H12" s="317">
        <v>2204.0151730942839</v>
      </c>
      <c r="I12" s="317">
        <v>169.5396286995603</v>
      </c>
      <c r="J12" s="219" t="s">
        <v>772</v>
      </c>
      <c r="K12" s="537"/>
      <c r="L12" s="538"/>
    </row>
    <row r="13" spans="1:13" ht="15.75" customHeight="1">
      <c r="A13" s="506"/>
      <c r="B13" s="507"/>
      <c r="C13" s="150" t="s">
        <v>393</v>
      </c>
      <c r="D13" s="309" t="s">
        <v>363</v>
      </c>
      <c r="E13" s="310"/>
      <c r="F13" s="311"/>
      <c r="G13" s="317">
        <v>13</v>
      </c>
      <c r="H13" s="317">
        <v>1258.5394736842106</v>
      </c>
      <c r="I13" s="317">
        <v>96.810728744939297</v>
      </c>
      <c r="J13" s="217" t="s">
        <v>773</v>
      </c>
      <c r="K13" s="530"/>
      <c r="L13" s="522"/>
    </row>
    <row r="14" spans="1:13" ht="15.75" customHeight="1">
      <c r="A14" s="506"/>
      <c r="B14" s="507"/>
      <c r="C14" s="150" t="s">
        <v>394</v>
      </c>
      <c r="D14" s="309" t="s">
        <v>538</v>
      </c>
      <c r="E14" s="310"/>
      <c r="F14" s="311"/>
      <c r="G14" s="317">
        <v>12</v>
      </c>
      <c r="H14" s="317">
        <v>1896.3546800149593</v>
      </c>
      <c r="I14" s="317">
        <v>158.02955666791328</v>
      </c>
      <c r="J14" s="217" t="s">
        <v>773</v>
      </c>
      <c r="K14" s="539"/>
      <c r="L14" s="522"/>
    </row>
    <row r="15" spans="1:13" ht="15.75" customHeight="1">
      <c r="A15" s="506"/>
      <c r="B15" s="507"/>
      <c r="C15" s="150" t="s">
        <v>434</v>
      </c>
      <c r="D15" s="309" t="s">
        <v>365</v>
      </c>
      <c r="E15" s="310"/>
      <c r="F15" s="311"/>
      <c r="G15" s="317">
        <v>12</v>
      </c>
      <c r="H15" s="317">
        <v>1899.2530539295037</v>
      </c>
      <c r="I15" s="317">
        <v>158.27108782745862</v>
      </c>
      <c r="J15" s="217" t="s">
        <v>773</v>
      </c>
      <c r="K15" s="539"/>
      <c r="L15" s="522"/>
    </row>
    <row r="16" spans="1:13" ht="15.75" customHeight="1">
      <c r="A16" s="506"/>
      <c r="B16" s="507"/>
      <c r="C16" s="150" t="s">
        <v>396</v>
      </c>
      <c r="D16" s="309"/>
      <c r="E16" s="310"/>
      <c r="F16" s="311"/>
      <c r="G16" s="317"/>
      <c r="H16" s="317"/>
      <c r="I16" s="317"/>
      <c r="J16" s="217"/>
      <c r="K16" s="539"/>
      <c r="L16" s="522"/>
      <c r="M16" s="115"/>
    </row>
    <row r="17" spans="1:13" ht="15.75" customHeight="1">
      <c r="A17" s="506"/>
      <c r="B17" s="507"/>
      <c r="C17" s="150" t="s">
        <v>435</v>
      </c>
      <c r="D17" s="309"/>
      <c r="E17" s="310"/>
      <c r="F17" s="311"/>
      <c r="G17" s="317"/>
      <c r="H17" s="317"/>
      <c r="I17" s="317"/>
      <c r="J17" s="217"/>
      <c r="K17" s="530"/>
      <c r="L17" s="522"/>
      <c r="M17" s="115"/>
    </row>
    <row r="18" spans="1:13" s="120" customFormat="1" ht="15.75" customHeight="1">
      <c r="A18" s="521" t="s">
        <v>169</v>
      </c>
      <c r="B18" s="521"/>
      <c r="C18" s="245" t="s">
        <v>392</v>
      </c>
      <c r="D18" s="521" t="s">
        <v>12</v>
      </c>
      <c r="E18" s="522"/>
      <c r="F18" s="522"/>
      <c r="G18" s="245" t="s">
        <v>775</v>
      </c>
      <c r="H18" s="245" t="s">
        <v>776</v>
      </c>
      <c r="I18" s="245" t="s">
        <v>777</v>
      </c>
      <c r="J18" s="199" t="s">
        <v>778</v>
      </c>
      <c r="K18" s="521" t="s">
        <v>779</v>
      </c>
      <c r="L18" s="522"/>
      <c r="M18" s="142"/>
    </row>
    <row r="19" spans="1:13" ht="15.75" customHeight="1">
      <c r="A19" s="506">
        <v>4</v>
      </c>
      <c r="B19" s="507" t="s">
        <v>153</v>
      </c>
      <c r="C19" s="123">
        <v>1</v>
      </c>
      <c r="D19" s="318" t="s">
        <v>656</v>
      </c>
      <c r="E19" s="310"/>
      <c r="F19" s="311"/>
      <c r="G19" s="317">
        <v>12.857142857142858</v>
      </c>
      <c r="H19" s="317">
        <v>1512.5915966386551</v>
      </c>
      <c r="I19" s="317">
        <v>117.71034259857785</v>
      </c>
      <c r="J19" s="217" t="s">
        <v>773</v>
      </c>
      <c r="K19" s="529"/>
      <c r="L19" s="520"/>
      <c r="M19" s="115"/>
    </row>
    <row r="20" spans="1:13" ht="15.75" customHeight="1">
      <c r="A20" s="506"/>
      <c r="B20" s="507"/>
      <c r="C20" s="123">
        <v>2</v>
      </c>
      <c r="D20" s="309"/>
      <c r="E20" s="310"/>
      <c r="F20" s="311"/>
      <c r="G20" s="317"/>
      <c r="H20" s="317"/>
      <c r="I20" s="317"/>
      <c r="J20" s="218"/>
      <c r="K20" s="519"/>
      <c r="L20" s="520"/>
      <c r="M20" s="115"/>
    </row>
    <row r="21" spans="1:13" ht="15.75" customHeight="1">
      <c r="A21" s="506"/>
      <c r="B21" s="507"/>
      <c r="C21" s="123">
        <v>3</v>
      </c>
      <c r="D21" s="318"/>
      <c r="E21" s="310"/>
      <c r="F21" s="311"/>
      <c r="G21" s="317"/>
      <c r="H21" s="317"/>
      <c r="I21" s="317"/>
      <c r="J21" s="219"/>
      <c r="K21" s="519"/>
      <c r="L21" s="520"/>
      <c r="M21" s="115"/>
    </row>
    <row r="22" spans="1:13" ht="15.75" customHeight="1">
      <c r="A22" s="506"/>
      <c r="B22" s="507"/>
      <c r="C22" s="123">
        <v>4</v>
      </c>
      <c r="D22" s="318"/>
      <c r="E22" s="310"/>
      <c r="F22" s="311"/>
      <c r="G22" s="149"/>
      <c r="H22" s="317"/>
      <c r="I22" s="317"/>
      <c r="J22" s="217"/>
      <c r="K22" s="519"/>
      <c r="L22" s="520"/>
      <c r="M22" s="115"/>
    </row>
    <row r="23" spans="1:13" ht="15.75" customHeight="1">
      <c r="A23" s="506"/>
      <c r="B23" s="507"/>
      <c r="C23" s="123">
        <v>5</v>
      </c>
      <c r="D23" s="309"/>
      <c r="E23" s="310"/>
      <c r="F23" s="311"/>
      <c r="G23" s="149"/>
      <c r="H23" s="149"/>
      <c r="I23" s="149"/>
      <c r="J23" s="149"/>
      <c r="K23" s="519"/>
      <c r="L23" s="520"/>
      <c r="M23" s="115"/>
    </row>
    <row r="24" spans="1:13" ht="15.75" customHeight="1">
      <c r="A24" s="506"/>
      <c r="B24" s="507"/>
      <c r="C24" s="150" t="s">
        <v>393</v>
      </c>
      <c r="D24" s="318"/>
      <c r="E24" s="310"/>
      <c r="F24" s="311"/>
      <c r="G24" s="317"/>
      <c r="H24" s="317"/>
      <c r="I24" s="317"/>
      <c r="J24" s="217"/>
      <c r="K24" s="528"/>
      <c r="L24" s="520"/>
      <c r="M24" s="115"/>
    </row>
    <row r="25" spans="1:13" ht="15.75" customHeight="1">
      <c r="A25" s="506"/>
      <c r="B25" s="507"/>
      <c r="C25" s="150" t="s">
        <v>394</v>
      </c>
      <c r="D25" s="309"/>
      <c r="E25" s="310"/>
      <c r="F25" s="311"/>
      <c r="G25" s="149"/>
      <c r="H25" s="149"/>
      <c r="I25" s="149"/>
      <c r="J25" s="149"/>
      <c r="K25" s="519"/>
      <c r="L25" s="520"/>
      <c r="M25" s="115"/>
    </row>
    <row r="26" spans="1:13" ht="15.75" customHeight="1">
      <c r="A26" s="506"/>
      <c r="B26" s="507"/>
      <c r="C26" s="150" t="s">
        <v>434</v>
      </c>
      <c r="D26" s="309"/>
      <c r="E26" s="310"/>
      <c r="F26" s="311"/>
      <c r="G26" s="149"/>
      <c r="H26" s="149"/>
      <c r="I26" s="149"/>
      <c r="J26" s="149"/>
      <c r="K26" s="519"/>
      <c r="L26" s="520"/>
      <c r="M26" s="115"/>
    </row>
    <row r="27" spans="1:13" ht="15.75" customHeight="1">
      <c r="A27" s="506"/>
      <c r="B27" s="507"/>
      <c r="C27" s="150" t="s">
        <v>396</v>
      </c>
      <c r="D27" s="309"/>
      <c r="E27" s="310"/>
      <c r="F27" s="311"/>
      <c r="G27" s="149"/>
      <c r="H27" s="149"/>
      <c r="I27" s="149"/>
      <c r="J27" s="149"/>
      <c r="K27" s="519"/>
      <c r="L27" s="520"/>
      <c r="M27" s="115"/>
    </row>
    <row r="28" spans="1:13" ht="15.75" customHeight="1">
      <c r="A28" s="506"/>
      <c r="B28" s="507"/>
      <c r="C28" s="150" t="s">
        <v>435</v>
      </c>
      <c r="D28" s="309"/>
      <c r="E28" s="310"/>
      <c r="F28" s="311"/>
      <c r="G28" s="149"/>
      <c r="H28" s="149"/>
      <c r="I28" s="149"/>
      <c r="J28" s="149"/>
      <c r="K28" s="519"/>
      <c r="L28" s="520"/>
      <c r="M28" s="115"/>
    </row>
  </sheetData>
  <mergeCells count="31">
    <mergeCell ref="K18:L18"/>
    <mergeCell ref="A18:B18"/>
    <mergeCell ref="B19:B28"/>
    <mergeCell ref="K13:L13"/>
    <mergeCell ref="K20:L20"/>
    <mergeCell ref="K21:L21"/>
    <mergeCell ref="A19:A28"/>
    <mergeCell ref="K25:L25"/>
    <mergeCell ref="K26:L26"/>
    <mergeCell ref="K16:L16"/>
    <mergeCell ref="K17:L17"/>
    <mergeCell ref="K28:L28"/>
    <mergeCell ref="K22:L22"/>
    <mergeCell ref="K23:L23"/>
    <mergeCell ref="K27:L27"/>
    <mergeCell ref="K24:L24"/>
    <mergeCell ref="K19:L19"/>
    <mergeCell ref="A1:L2"/>
    <mergeCell ref="A3:L4"/>
    <mergeCell ref="K10:L10"/>
    <mergeCell ref="K8:L9"/>
    <mergeCell ref="A5:A6"/>
    <mergeCell ref="A7:B7"/>
    <mergeCell ref="D7:F7"/>
    <mergeCell ref="K7:L7"/>
    <mergeCell ref="A8:A17"/>
    <mergeCell ref="K11:L12"/>
    <mergeCell ref="K14:L14"/>
    <mergeCell ref="K15:L15"/>
    <mergeCell ref="B8:B17"/>
    <mergeCell ref="D18:F1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28"/>
  <sheetViews>
    <sheetView zoomScale="90" zoomScaleNormal="90" zoomScaleSheetLayoutView="100" workbookViewId="0">
      <selection sqref="A1:L2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8" ht="15.75" customHeight="1">
      <c r="A1" s="459" t="s">
        <v>186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115"/>
    </row>
    <row r="2" spans="1:18" s="116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</row>
    <row r="3" spans="1:18" ht="15.75" customHeight="1">
      <c r="A3" s="509" t="s">
        <v>187</v>
      </c>
      <c r="B3" s="510"/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115"/>
    </row>
    <row r="4" spans="1:18" s="116" customFormat="1" ht="15.75" customHeight="1">
      <c r="A4" s="510"/>
      <c r="B4" s="510"/>
      <c r="C4" s="510"/>
      <c r="D4" s="510"/>
      <c r="E4" s="510"/>
      <c r="F4" s="510"/>
      <c r="G4" s="510"/>
      <c r="H4" s="510"/>
      <c r="I4" s="510"/>
      <c r="J4" s="510"/>
      <c r="K4" s="510"/>
      <c r="L4" s="510"/>
    </row>
    <row r="5" spans="1:18" s="122" customFormat="1" ht="16.350000000000001" customHeight="1">
      <c r="A5" s="506" t="s">
        <v>154</v>
      </c>
      <c r="B5" s="143">
        <v>1</v>
      </c>
      <c r="C5" s="143">
        <v>2</v>
      </c>
      <c r="D5" s="143">
        <v>3</v>
      </c>
      <c r="E5" s="143">
        <v>4</v>
      </c>
      <c r="F5" s="151">
        <v>5</v>
      </c>
      <c r="G5" s="151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8" ht="16.350000000000001" customHeight="1">
      <c r="A6" s="506"/>
      <c r="B6" s="144" t="s">
        <v>188</v>
      </c>
      <c r="C6" s="144" t="s">
        <v>151</v>
      </c>
      <c r="D6" s="144" t="s">
        <v>189</v>
      </c>
      <c r="E6" s="144" t="s">
        <v>153</v>
      </c>
      <c r="F6" s="153" t="s">
        <v>133</v>
      </c>
      <c r="G6" s="154" t="s">
        <v>131</v>
      </c>
      <c r="H6" s="146" t="s">
        <v>190</v>
      </c>
      <c r="I6" s="145" t="s">
        <v>191</v>
      </c>
      <c r="J6" s="145" t="s">
        <v>137</v>
      </c>
      <c r="K6" s="142"/>
      <c r="L6" s="142"/>
    </row>
    <row r="7" spans="1:18" s="122" customFormat="1" ht="15.75" customHeight="1">
      <c r="A7" s="507" t="s">
        <v>566</v>
      </c>
      <c r="B7" s="507"/>
      <c r="C7" s="312" t="s">
        <v>567</v>
      </c>
      <c r="D7" s="507" t="s">
        <v>12</v>
      </c>
      <c r="E7" s="508"/>
      <c r="F7" s="508"/>
      <c r="G7" s="312" t="s">
        <v>583</v>
      </c>
      <c r="H7" s="312" t="s">
        <v>584</v>
      </c>
      <c r="I7" s="312" t="s">
        <v>585</v>
      </c>
      <c r="J7" s="199" t="s">
        <v>586</v>
      </c>
      <c r="K7" s="507" t="s">
        <v>587</v>
      </c>
      <c r="L7" s="508"/>
      <c r="M7" s="141"/>
    </row>
    <row r="8" spans="1:18" ht="15.75" customHeight="1">
      <c r="A8" s="506">
        <v>5</v>
      </c>
      <c r="B8" s="507" t="s">
        <v>133</v>
      </c>
      <c r="C8" s="123">
        <v>1</v>
      </c>
      <c r="D8" s="321" t="s">
        <v>635</v>
      </c>
      <c r="E8" s="310"/>
      <c r="F8" s="311"/>
      <c r="G8" s="317">
        <v>6</v>
      </c>
      <c r="H8" s="317">
        <v>1464.7524102761367</v>
      </c>
      <c r="I8" s="317">
        <v>244.12540171268947</v>
      </c>
      <c r="J8" s="218" t="s">
        <v>770</v>
      </c>
      <c r="K8" s="540" t="s">
        <v>780</v>
      </c>
      <c r="L8" s="541"/>
      <c r="P8" s="228"/>
      <c r="Q8" s="228"/>
      <c r="R8" s="228"/>
    </row>
    <row r="9" spans="1:18" ht="15.75" customHeight="1">
      <c r="A9" s="506"/>
      <c r="B9" s="507"/>
      <c r="C9" s="123">
        <v>2</v>
      </c>
      <c r="D9" s="318" t="s">
        <v>346</v>
      </c>
      <c r="E9" s="310"/>
      <c r="F9" s="311"/>
      <c r="G9" s="317">
        <v>6</v>
      </c>
      <c r="H9" s="317">
        <v>1453.3133487713797</v>
      </c>
      <c r="I9" s="317">
        <v>242.21889146189662</v>
      </c>
      <c r="J9" s="219" t="s">
        <v>772</v>
      </c>
      <c r="K9" s="542"/>
      <c r="L9" s="543"/>
      <c r="P9" s="228"/>
      <c r="Q9" s="228"/>
      <c r="R9" s="228"/>
    </row>
    <row r="10" spans="1:18" ht="15.75" customHeight="1">
      <c r="A10" s="506"/>
      <c r="B10" s="507"/>
      <c r="C10" s="123">
        <v>3</v>
      </c>
      <c r="D10" s="309" t="s">
        <v>349</v>
      </c>
      <c r="E10" s="310"/>
      <c r="F10" s="311"/>
      <c r="G10" s="317">
        <v>14.571428571428571</v>
      </c>
      <c r="H10" s="317">
        <v>1300.0526275305542</v>
      </c>
      <c r="I10" s="317">
        <v>89.350048736287206</v>
      </c>
      <c r="J10" s="217" t="s">
        <v>773</v>
      </c>
      <c r="K10" s="544"/>
      <c r="L10" s="508"/>
      <c r="P10" s="228"/>
      <c r="Q10" s="228"/>
      <c r="R10" s="228"/>
    </row>
    <row r="11" spans="1:18" ht="15.75" customHeight="1">
      <c r="A11" s="506"/>
      <c r="B11" s="507"/>
      <c r="C11" s="123">
        <v>4</v>
      </c>
      <c r="D11" s="309" t="s">
        <v>611</v>
      </c>
      <c r="E11" s="310"/>
      <c r="F11" s="311"/>
      <c r="G11" s="317">
        <v>15</v>
      </c>
      <c r="H11" s="317">
        <v>1339.9999999999511</v>
      </c>
      <c r="I11" s="317">
        <v>89.333333333330074</v>
      </c>
      <c r="J11" s="218" t="s">
        <v>770</v>
      </c>
      <c r="K11" s="544" t="s">
        <v>781</v>
      </c>
      <c r="L11" s="508"/>
      <c r="P11" s="228"/>
      <c r="Q11" s="228"/>
      <c r="R11" s="228"/>
    </row>
    <row r="12" spans="1:18" ht="15.75" customHeight="1">
      <c r="A12" s="506"/>
      <c r="B12" s="507"/>
      <c r="C12" s="123">
        <v>5</v>
      </c>
      <c r="D12" s="309" t="s">
        <v>732</v>
      </c>
      <c r="E12" s="310"/>
      <c r="F12" s="311"/>
      <c r="G12" s="317">
        <v>16.142857142857142</v>
      </c>
      <c r="H12" s="317">
        <v>1391.5967567718665</v>
      </c>
      <c r="I12" s="317">
        <v>86.238190155384501</v>
      </c>
      <c r="J12" s="218" t="s">
        <v>770</v>
      </c>
      <c r="K12" s="544" t="s">
        <v>782</v>
      </c>
      <c r="L12" s="508"/>
      <c r="P12" s="228"/>
      <c r="Q12" s="228"/>
      <c r="R12" s="228"/>
    </row>
    <row r="13" spans="1:18" ht="15.75" customHeight="1">
      <c r="A13" s="506"/>
      <c r="B13" s="507"/>
      <c r="C13" s="150" t="s">
        <v>568</v>
      </c>
      <c r="D13" s="309" t="s">
        <v>660</v>
      </c>
      <c r="E13" s="310"/>
      <c r="F13" s="311"/>
      <c r="G13" s="317">
        <v>20</v>
      </c>
      <c r="H13" s="317">
        <v>1077.160419186934</v>
      </c>
      <c r="I13" s="317">
        <v>53.858020959346696</v>
      </c>
      <c r="J13" s="217" t="s">
        <v>773</v>
      </c>
      <c r="K13" s="544"/>
      <c r="L13" s="508"/>
      <c r="P13" s="228"/>
      <c r="Q13" s="228"/>
      <c r="R13" s="228"/>
    </row>
    <row r="14" spans="1:18" ht="15.75" customHeight="1">
      <c r="A14" s="506"/>
      <c r="B14" s="507"/>
      <c r="C14" s="150" t="s">
        <v>569</v>
      </c>
      <c r="D14" s="309" t="s">
        <v>579</v>
      </c>
      <c r="E14" s="310"/>
      <c r="F14" s="311"/>
      <c r="G14" s="317">
        <v>21</v>
      </c>
      <c r="H14" s="317">
        <v>1256.1541112103459</v>
      </c>
      <c r="I14" s="317">
        <v>59.816862438587904</v>
      </c>
      <c r="J14" s="219" t="s">
        <v>772</v>
      </c>
      <c r="K14" s="540" t="s">
        <v>781</v>
      </c>
      <c r="L14" s="541"/>
      <c r="P14" s="228"/>
      <c r="Q14" s="228"/>
      <c r="R14" s="228"/>
    </row>
    <row r="15" spans="1:18" ht="15.75" customHeight="1">
      <c r="A15" s="506"/>
      <c r="B15" s="507"/>
      <c r="C15" s="150" t="s">
        <v>570</v>
      </c>
      <c r="D15" s="309" t="s">
        <v>533</v>
      </c>
      <c r="E15" s="310"/>
      <c r="F15" s="311"/>
      <c r="G15" s="317">
        <v>20</v>
      </c>
      <c r="H15" s="317">
        <v>1226.5251700680269</v>
      </c>
      <c r="I15" s="317">
        <v>61.326258503401341</v>
      </c>
      <c r="J15" s="218" t="s">
        <v>770</v>
      </c>
      <c r="K15" s="542"/>
      <c r="L15" s="543"/>
      <c r="P15" s="228"/>
      <c r="Q15" s="228"/>
      <c r="R15" s="228"/>
    </row>
    <row r="16" spans="1:18" ht="15.75" customHeight="1">
      <c r="A16" s="506"/>
      <c r="B16" s="507"/>
      <c r="C16" s="150" t="s">
        <v>571</v>
      </c>
      <c r="D16" s="318" t="s">
        <v>612</v>
      </c>
      <c r="E16" s="310"/>
      <c r="F16" s="311"/>
      <c r="G16" s="317">
        <v>19</v>
      </c>
      <c r="H16" s="317">
        <v>1232.6298479845282</v>
      </c>
      <c r="I16" s="317">
        <v>64.875255157080446</v>
      </c>
      <c r="J16" s="217" t="s">
        <v>773</v>
      </c>
      <c r="K16" s="544"/>
      <c r="L16" s="508"/>
      <c r="M16" s="115"/>
      <c r="P16" s="228"/>
      <c r="Q16" s="228"/>
      <c r="R16" s="228"/>
    </row>
    <row r="17" spans="1:18" ht="15.75" customHeight="1">
      <c r="A17" s="506"/>
      <c r="B17" s="507"/>
      <c r="C17" s="150" t="s">
        <v>572</v>
      </c>
      <c r="D17" s="318" t="s">
        <v>531</v>
      </c>
      <c r="E17" s="310"/>
      <c r="F17" s="311"/>
      <c r="G17" s="317">
        <v>20</v>
      </c>
      <c r="H17" s="317">
        <v>1314.9140138106525</v>
      </c>
      <c r="I17" s="317">
        <v>65.745700690532615</v>
      </c>
      <c r="J17" s="217" t="s">
        <v>773</v>
      </c>
      <c r="K17" s="544"/>
      <c r="L17" s="508"/>
      <c r="M17" s="115"/>
      <c r="P17" s="228"/>
      <c r="Q17" s="228"/>
      <c r="R17" s="228"/>
    </row>
    <row r="18" spans="1:18" s="120" customFormat="1" ht="15.75" customHeight="1">
      <c r="A18" s="521" t="s">
        <v>566</v>
      </c>
      <c r="B18" s="521"/>
      <c r="C18" s="245" t="s">
        <v>567</v>
      </c>
      <c r="D18" s="521" t="s">
        <v>12</v>
      </c>
      <c r="E18" s="522"/>
      <c r="F18" s="522"/>
      <c r="G18" s="245" t="s">
        <v>775</v>
      </c>
      <c r="H18" s="245" t="s">
        <v>776</v>
      </c>
      <c r="I18" s="245" t="s">
        <v>777</v>
      </c>
      <c r="J18" s="199" t="s">
        <v>778</v>
      </c>
      <c r="K18" s="521" t="s">
        <v>779</v>
      </c>
      <c r="L18" s="522"/>
      <c r="M18" s="142"/>
    </row>
    <row r="19" spans="1:18" ht="15.75" customHeight="1">
      <c r="A19" s="506">
        <v>6</v>
      </c>
      <c r="B19" s="507" t="s">
        <v>131</v>
      </c>
      <c r="C19" s="123">
        <v>1</v>
      </c>
      <c r="D19" s="309" t="s">
        <v>529</v>
      </c>
      <c r="E19" s="310"/>
      <c r="F19" s="311"/>
      <c r="G19" s="317">
        <v>16.142857142857142</v>
      </c>
      <c r="H19" s="317">
        <v>1357.9725801348516</v>
      </c>
      <c r="I19" s="317">
        <v>84.154106278744038</v>
      </c>
      <c r="J19" s="217" t="s">
        <v>773</v>
      </c>
      <c r="K19" s="545"/>
      <c r="L19" s="508"/>
      <c r="M19" s="115"/>
      <c r="P19" s="228"/>
      <c r="Q19" s="228"/>
      <c r="R19" s="228"/>
    </row>
    <row r="20" spans="1:18" ht="15.75" customHeight="1">
      <c r="A20" s="506"/>
      <c r="B20" s="507"/>
      <c r="C20" s="123">
        <v>2</v>
      </c>
      <c r="D20" s="309" t="s">
        <v>638</v>
      </c>
      <c r="E20" s="310"/>
      <c r="F20" s="311"/>
      <c r="G20" s="317">
        <v>17</v>
      </c>
      <c r="H20" s="317">
        <v>1357.6335016260589</v>
      </c>
      <c r="I20" s="317">
        <v>79.860794213297595</v>
      </c>
      <c r="J20" s="217" t="s">
        <v>773</v>
      </c>
      <c r="K20" s="545"/>
      <c r="L20" s="508"/>
      <c r="M20" s="115"/>
      <c r="P20" s="228"/>
      <c r="Q20" s="228"/>
      <c r="R20" s="228"/>
    </row>
    <row r="21" spans="1:18" ht="15.75" customHeight="1">
      <c r="A21" s="506"/>
      <c r="B21" s="507"/>
      <c r="C21" s="123">
        <v>3</v>
      </c>
      <c r="D21" s="309" t="s">
        <v>352</v>
      </c>
      <c r="E21" s="310"/>
      <c r="F21" s="311"/>
      <c r="G21" s="317">
        <v>17</v>
      </c>
      <c r="H21" s="317">
        <v>1354.3255360458709</v>
      </c>
      <c r="I21" s="317">
        <v>79.666208002698298</v>
      </c>
      <c r="J21" s="217" t="s">
        <v>773</v>
      </c>
      <c r="K21" s="545"/>
      <c r="L21" s="508"/>
      <c r="M21" s="115"/>
      <c r="P21" s="228"/>
      <c r="Q21" s="228"/>
      <c r="R21" s="228"/>
    </row>
    <row r="22" spans="1:18" ht="15.75" customHeight="1">
      <c r="A22" s="506"/>
      <c r="B22" s="507"/>
      <c r="C22" s="123">
        <v>4</v>
      </c>
      <c r="D22" s="309" t="s">
        <v>733</v>
      </c>
      <c r="E22" s="310"/>
      <c r="F22" s="311"/>
      <c r="G22" s="317">
        <v>17</v>
      </c>
      <c r="H22" s="317">
        <v>1286.0602903118672</v>
      </c>
      <c r="I22" s="317">
        <v>75.650605312462773</v>
      </c>
      <c r="J22" s="217" t="s">
        <v>773</v>
      </c>
      <c r="K22" s="545"/>
      <c r="L22" s="508"/>
      <c r="M22" s="115"/>
      <c r="P22" s="228"/>
      <c r="Q22" s="228"/>
      <c r="R22" s="228"/>
    </row>
    <row r="23" spans="1:18" ht="15.75" customHeight="1">
      <c r="A23" s="506"/>
      <c r="B23" s="507"/>
      <c r="C23" s="123">
        <v>5</v>
      </c>
      <c r="D23" s="309" t="s">
        <v>350</v>
      </c>
      <c r="E23" s="310"/>
      <c r="F23" s="311"/>
      <c r="G23" s="317">
        <v>18</v>
      </c>
      <c r="H23" s="317">
        <v>1354.3394453516883</v>
      </c>
      <c r="I23" s="317">
        <v>75.241080297316003</v>
      </c>
      <c r="J23" s="217" t="s">
        <v>773</v>
      </c>
      <c r="K23" s="545"/>
      <c r="L23" s="508"/>
      <c r="M23" s="115"/>
      <c r="P23" s="228"/>
      <c r="Q23" s="228"/>
      <c r="R23" s="228"/>
    </row>
    <row r="24" spans="1:18" ht="15.75" customHeight="1">
      <c r="A24" s="506"/>
      <c r="B24" s="507"/>
      <c r="C24" s="150" t="s">
        <v>568</v>
      </c>
      <c r="D24" s="318" t="s">
        <v>631</v>
      </c>
      <c r="E24" s="310"/>
      <c r="F24" s="311"/>
      <c r="G24" s="317">
        <v>18.142857142857142</v>
      </c>
      <c r="H24" s="317">
        <v>1096.2184052662303</v>
      </c>
      <c r="I24" s="317">
        <v>60.453654093737946</v>
      </c>
      <c r="J24" s="219" t="s">
        <v>772</v>
      </c>
      <c r="K24" s="546" t="s">
        <v>781</v>
      </c>
      <c r="L24" s="547"/>
      <c r="M24" s="115"/>
      <c r="P24" s="228"/>
      <c r="Q24" s="228"/>
      <c r="R24" s="228"/>
    </row>
    <row r="25" spans="1:18" ht="15.75" customHeight="1">
      <c r="A25" s="506"/>
      <c r="B25" s="507"/>
      <c r="C25" s="150" t="s">
        <v>569</v>
      </c>
      <c r="D25" s="309" t="s">
        <v>354</v>
      </c>
      <c r="E25" s="310"/>
      <c r="F25" s="311"/>
      <c r="G25" s="317">
        <v>21</v>
      </c>
      <c r="H25" s="317">
        <v>1290.272822855208</v>
      </c>
      <c r="I25" s="317">
        <v>61.441562993105151</v>
      </c>
      <c r="J25" s="218" t="s">
        <v>770</v>
      </c>
      <c r="K25" s="542"/>
      <c r="L25" s="543"/>
      <c r="M25" s="115"/>
      <c r="P25" s="228"/>
      <c r="Q25" s="228"/>
      <c r="R25" s="228"/>
    </row>
    <row r="26" spans="1:18" ht="15.75" customHeight="1">
      <c r="A26" s="506"/>
      <c r="B26" s="507"/>
      <c r="C26" s="150" t="s">
        <v>570</v>
      </c>
      <c r="D26" s="309" t="s">
        <v>508</v>
      </c>
      <c r="E26" s="310"/>
      <c r="F26" s="311"/>
      <c r="G26" s="317">
        <v>18</v>
      </c>
      <c r="H26" s="317">
        <v>1219.2263428653057</v>
      </c>
      <c r="I26" s="317">
        <v>67.734796825850296</v>
      </c>
      <c r="J26" s="217" t="s">
        <v>773</v>
      </c>
      <c r="K26" s="545"/>
      <c r="L26" s="508"/>
      <c r="M26" s="115"/>
      <c r="P26" s="228"/>
      <c r="Q26" s="228"/>
      <c r="R26" s="228"/>
    </row>
    <row r="27" spans="1:18" ht="15.75" customHeight="1">
      <c r="A27" s="506"/>
      <c r="B27" s="507"/>
      <c r="C27" s="150" t="s">
        <v>571</v>
      </c>
      <c r="D27" s="309" t="s">
        <v>355</v>
      </c>
      <c r="E27" s="310"/>
      <c r="F27" s="311"/>
      <c r="G27" s="317">
        <v>19</v>
      </c>
      <c r="H27" s="317">
        <v>1341.5227808033162</v>
      </c>
      <c r="I27" s="317">
        <v>70.606462147542956</v>
      </c>
      <c r="J27" s="219" t="s">
        <v>772</v>
      </c>
      <c r="K27" s="546" t="s">
        <v>781</v>
      </c>
      <c r="L27" s="547"/>
      <c r="M27" s="115"/>
      <c r="P27" s="228"/>
      <c r="Q27" s="228"/>
      <c r="R27" s="228"/>
    </row>
    <row r="28" spans="1:18" ht="15.75" customHeight="1">
      <c r="A28" s="506"/>
      <c r="B28" s="507"/>
      <c r="C28" s="150" t="s">
        <v>572</v>
      </c>
      <c r="D28" s="309" t="s">
        <v>505</v>
      </c>
      <c r="E28" s="310"/>
      <c r="F28" s="311"/>
      <c r="G28" s="317">
        <v>18</v>
      </c>
      <c r="H28" s="317">
        <v>1277.2508611430053</v>
      </c>
      <c r="I28" s="317">
        <v>70.958381174611404</v>
      </c>
      <c r="J28" s="219" t="s">
        <v>772</v>
      </c>
      <c r="K28" s="542"/>
      <c r="L28" s="543"/>
      <c r="M28" s="115"/>
      <c r="P28" s="228"/>
      <c r="Q28" s="228"/>
      <c r="R28" s="228"/>
    </row>
  </sheetData>
  <mergeCells count="29">
    <mergeCell ref="K8:L9"/>
    <mergeCell ref="K13:L13"/>
    <mergeCell ref="K10:L10"/>
    <mergeCell ref="A19:A28"/>
    <mergeCell ref="A8:A17"/>
    <mergeCell ref="B8:B17"/>
    <mergeCell ref="A18:B18"/>
    <mergeCell ref="D18:F18"/>
    <mergeCell ref="B19:B28"/>
    <mergeCell ref="K11:L11"/>
    <mergeCell ref="K12:L12"/>
    <mergeCell ref="K24:L25"/>
    <mergeCell ref="K26:L26"/>
    <mergeCell ref="K27:L28"/>
    <mergeCell ref="K19:L19"/>
    <mergeCell ref="K20:L20"/>
    <mergeCell ref="A1:L2"/>
    <mergeCell ref="A3:L4"/>
    <mergeCell ref="A5:A6"/>
    <mergeCell ref="A7:B7"/>
    <mergeCell ref="D7:F7"/>
    <mergeCell ref="K7:L7"/>
    <mergeCell ref="K14:L15"/>
    <mergeCell ref="K16:L16"/>
    <mergeCell ref="K22:L22"/>
    <mergeCell ref="K23:L23"/>
    <mergeCell ref="K17:L17"/>
    <mergeCell ref="K21:L21"/>
    <mergeCell ref="K18:L1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M28"/>
  <sheetViews>
    <sheetView zoomScale="90" zoomScaleNormal="90" zoomScaleSheetLayoutView="100" workbookViewId="0">
      <selection sqref="A1:L2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59" t="s">
        <v>186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115"/>
    </row>
    <row r="2" spans="1:13" s="116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</row>
    <row r="3" spans="1:13" ht="15.75" customHeight="1">
      <c r="A3" s="509" t="s">
        <v>187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115"/>
    </row>
    <row r="4" spans="1:13" s="116" customFormat="1" ht="15.75" customHeight="1">
      <c r="A4" s="509"/>
      <c r="B4" s="509"/>
      <c r="C4" s="509"/>
      <c r="D4" s="509"/>
      <c r="E4" s="509"/>
      <c r="F4" s="509"/>
      <c r="G4" s="509"/>
      <c r="H4" s="509"/>
      <c r="I4" s="509"/>
      <c r="J4" s="509"/>
      <c r="K4" s="509"/>
      <c r="L4" s="509"/>
    </row>
    <row r="5" spans="1:13" s="122" customFormat="1" ht="16.350000000000001" customHeight="1">
      <c r="A5" s="559" t="s">
        <v>154</v>
      </c>
      <c r="B5" s="143">
        <v>1</v>
      </c>
      <c r="C5" s="143">
        <v>2</v>
      </c>
      <c r="D5" s="143">
        <v>3</v>
      </c>
      <c r="E5" s="143">
        <v>4</v>
      </c>
      <c r="F5" s="143">
        <v>5</v>
      </c>
      <c r="G5" s="143">
        <v>6</v>
      </c>
      <c r="H5" s="151">
        <v>7</v>
      </c>
      <c r="I5" s="151">
        <v>8</v>
      </c>
      <c r="J5" s="143">
        <v>9</v>
      </c>
      <c r="K5" s="141"/>
      <c r="L5" s="141"/>
      <c r="M5" s="141"/>
    </row>
    <row r="6" spans="1:13" ht="16.350000000000001" customHeight="1">
      <c r="A6" s="561"/>
      <c r="B6" s="144" t="s">
        <v>188</v>
      </c>
      <c r="C6" s="144" t="s">
        <v>151</v>
      </c>
      <c r="D6" s="144" t="s">
        <v>189</v>
      </c>
      <c r="E6" s="144" t="s">
        <v>153</v>
      </c>
      <c r="F6" s="132" t="s">
        <v>133</v>
      </c>
      <c r="G6" s="145" t="s">
        <v>131</v>
      </c>
      <c r="H6" s="152" t="s">
        <v>190</v>
      </c>
      <c r="I6" s="154" t="s">
        <v>191</v>
      </c>
      <c r="J6" s="145" t="s">
        <v>137</v>
      </c>
      <c r="K6" s="142"/>
      <c r="L6" s="142"/>
    </row>
    <row r="7" spans="1:13" s="122" customFormat="1" ht="15.75" customHeight="1">
      <c r="A7" s="569" t="s">
        <v>566</v>
      </c>
      <c r="B7" s="570"/>
      <c r="C7" s="312" t="s">
        <v>567</v>
      </c>
      <c r="D7" s="569" t="s">
        <v>12</v>
      </c>
      <c r="E7" s="571"/>
      <c r="F7" s="570"/>
      <c r="G7" s="312" t="s">
        <v>46</v>
      </c>
      <c r="H7" s="312" t="s">
        <v>588</v>
      </c>
      <c r="I7" s="312" t="s">
        <v>589</v>
      </c>
      <c r="J7" s="199" t="s">
        <v>590</v>
      </c>
      <c r="K7" s="569" t="s">
        <v>51</v>
      </c>
      <c r="L7" s="570"/>
      <c r="M7" s="141"/>
    </row>
    <row r="8" spans="1:13" ht="15.75" customHeight="1">
      <c r="A8" s="559">
        <v>7</v>
      </c>
      <c r="B8" s="562" t="s">
        <v>135</v>
      </c>
      <c r="C8" s="123">
        <v>1</v>
      </c>
      <c r="D8" s="309" t="s">
        <v>663</v>
      </c>
      <c r="E8" s="310"/>
      <c r="F8" s="311"/>
      <c r="G8" s="317">
        <v>14</v>
      </c>
      <c r="H8" s="317">
        <v>1485.0096676540836</v>
      </c>
      <c r="I8" s="317">
        <v>106.07211911814882</v>
      </c>
      <c r="J8" s="217" t="s">
        <v>773</v>
      </c>
      <c r="K8" s="567"/>
      <c r="L8" s="568"/>
    </row>
    <row r="9" spans="1:13" ht="15.75" customHeight="1">
      <c r="A9" s="560"/>
      <c r="B9" s="563"/>
      <c r="C9" s="123">
        <v>2</v>
      </c>
      <c r="D9" s="318" t="s">
        <v>637</v>
      </c>
      <c r="E9" s="310"/>
      <c r="F9" s="311"/>
      <c r="G9" s="317">
        <v>15.142857142857142</v>
      </c>
      <c r="H9" s="317">
        <v>1322.5192087332089</v>
      </c>
      <c r="I9" s="317">
        <v>87.387762063695419</v>
      </c>
      <c r="J9" s="218" t="s">
        <v>770</v>
      </c>
      <c r="K9" s="540" t="s">
        <v>781</v>
      </c>
      <c r="L9" s="541"/>
    </row>
    <row r="10" spans="1:13" ht="15.75" customHeight="1">
      <c r="A10" s="560"/>
      <c r="B10" s="563"/>
      <c r="C10" s="123">
        <v>3</v>
      </c>
      <c r="D10" s="309" t="s">
        <v>539</v>
      </c>
      <c r="E10" s="310"/>
      <c r="F10" s="311"/>
      <c r="G10" s="317">
        <v>17</v>
      </c>
      <c r="H10" s="317">
        <v>1433.3147430638655</v>
      </c>
      <c r="I10" s="317">
        <v>84.312631944933273</v>
      </c>
      <c r="J10" s="219" t="s">
        <v>772</v>
      </c>
      <c r="K10" s="542"/>
      <c r="L10" s="543"/>
    </row>
    <row r="11" spans="1:13" ht="15.75" customHeight="1">
      <c r="A11" s="560"/>
      <c r="B11" s="563"/>
      <c r="C11" s="123">
        <v>4</v>
      </c>
      <c r="D11" s="318" t="s">
        <v>783</v>
      </c>
      <c r="E11" s="310"/>
      <c r="F11" s="311"/>
      <c r="G11" s="317">
        <v>17.142857142857142</v>
      </c>
      <c r="H11" s="317">
        <v>1432.0643838420833</v>
      </c>
      <c r="I11" s="317">
        <v>83.560043120496033</v>
      </c>
      <c r="J11" s="217" t="s">
        <v>773</v>
      </c>
      <c r="K11" s="548" t="s">
        <v>784</v>
      </c>
      <c r="L11" s="549"/>
    </row>
    <row r="12" spans="1:13" ht="15.75" customHeight="1">
      <c r="A12" s="560"/>
      <c r="B12" s="563"/>
      <c r="C12" s="123">
        <v>5</v>
      </c>
      <c r="D12" s="309" t="s">
        <v>649</v>
      </c>
      <c r="E12" s="310"/>
      <c r="F12" s="311"/>
      <c r="G12" s="317">
        <v>17</v>
      </c>
      <c r="H12" s="317">
        <v>1392.2802197285712</v>
      </c>
      <c r="I12" s="317">
        <v>81.898836454621829</v>
      </c>
      <c r="J12" s="217" t="s">
        <v>773</v>
      </c>
      <c r="K12" s="548"/>
      <c r="L12" s="549"/>
    </row>
    <row r="13" spans="1:13" ht="15.75" customHeight="1">
      <c r="A13" s="560"/>
      <c r="B13" s="563"/>
      <c r="C13" s="150" t="s">
        <v>568</v>
      </c>
      <c r="D13" s="318" t="s">
        <v>655</v>
      </c>
      <c r="E13" s="310"/>
      <c r="F13" s="311"/>
      <c r="G13" s="317">
        <v>17</v>
      </c>
      <c r="H13" s="317">
        <v>1306.8059290298838</v>
      </c>
      <c r="I13" s="317">
        <v>76.870937001757866</v>
      </c>
      <c r="J13" s="217" t="s">
        <v>773</v>
      </c>
      <c r="K13" s="548"/>
      <c r="L13" s="549"/>
    </row>
    <row r="14" spans="1:13" ht="15.75" customHeight="1">
      <c r="A14" s="560"/>
      <c r="B14" s="563"/>
      <c r="C14" s="150" t="s">
        <v>569</v>
      </c>
      <c r="D14" s="309" t="s">
        <v>737</v>
      </c>
      <c r="E14" s="310"/>
      <c r="F14" s="311"/>
      <c r="G14" s="317">
        <v>17.571428571428573</v>
      </c>
      <c r="H14" s="317">
        <v>1378.8771277568117</v>
      </c>
      <c r="I14" s="317">
        <v>78.540605464795661</v>
      </c>
      <c r="J14" s="217"/>
      <c r="K14" s="572"/>
      <c r="L14" s="549"/>
    </row>
    <row r="15" spans="1:13" ht="15.75" customHeight="1">
      <c r="A15" s="560"/>
      <c r="B15" s="563"/>
      <c r="C15" s="150" t="s">
        <v>570</v>
      </c>
      <c r="D15" s="309"/>
      <c r="E15" s="310"/>
      <c r="F15" s="311"/>
      <c r="G15" s="317"/>
      <c r="H15" s="317"/>
      <c r="I15" s="317"/>
      <c r="J15" s="217"/>
      <c r="K15" s="572"/>
      <c r="L15" s="549"/>
    </row>
    <row r="16" spans="1:13" ht="15.75" customHeight="1">
      <c r="A16" s="560"/>
      <c r="B16" s="563"/>
      <c r="C16" s="150" t="s">
        <v>571</v>
      </c>
      <c r="D16" s="309"/>
      <c r="E16" s="310"/>
      <c r="F16" s="311"/>
      <c r="G16" s="317"/>
      <c r="H16" s="317"/>
      <c r="I16" s="317"/>
      <c r="J16" s="217"/>
      <c r="K16" s="572"/>
      <c r="L16" s="549"/>
      <c r="M16" s="115"/>
    </row>
    <row r="17" spans="1:13" ht="15.75" customHeight="1">
      <c r="A17" s="561"/>
      <c r="B17" s="564"/>
      <c r="C17" s="150" t="s">
        <v>572</v>
      </c>
      <c r="D17" s="309"/>
      <c r="E17" s="310"/>
      <c r="F17" s="311"/>
      <c r="G17" s="149"/>
      <c r="H17" s="149"/>
      <c r="I17" s="149"/>
      <c r="J17" s="149"/>
      <c r="K17" s="572"/>
      <c r="L17" s="549"/>
      <c r="M17" s="115"/>
    </row>
    <row r="18" spans="1:13" s="120" customFormat="1" ht="15.75" customHeight="1">
      <c r="A18" s="556" t="s">
        <v>566</v>
      </c>
      <c r="B18" s="557"/>
      <c r="C18" s="245" t="s">
        <v>567</v>
      </c>
      <c r="D18" s="556" t="s">
        <v>12</v>
      </c>
      <c r="E18" s="558"/>
      <c r="F18" s="557"/>
      <c r="G18" s="245" t="s">
        <v>775</v>
      </c>
      <c r="H18" s="245" t="s">
        <v>776</v>
      </c>
      <c r="I18" s="245" t="s">
        <v>777</v>
      </c>
      <c r="J18" s="199" t="s">
        <v>778</v>
      </c>
      <c r="K18" s="556" t="s">
        <v>779</v>
      </c>
      <c r="L18" s="557"/>
      <c r="M18" s="142"/>
    </row>
    <row r="19" spans="1:13" ht="15.75" customHeight="1">
      <c r="A19" s="559">
        <v>8</v>
      </c>
      <c r="B19" s="562" t="s">
        <v>136</v>
      </c>
      <c r="C19" s="123">
        <v>1</v>
      </c>
      <c r="D19" s="309" t="s">
        <v>662</v>
      </c>
      <c r="E19" s="310"/>
      <c r="F19" s="311"/>
      <c r="G19" s="317">
        <v>17.142857142857142</v>
      </c>
      <c r="H19" s="317">
        <v>2416.2524408759514</v>
      </c>
      <c r="I19" s="317">
        <v>141.01659070032665</v>
      </c>
      <c r="J19" s="218" t="s">
        <v>770</v>
      </c>
      <c r="K19" s="550" t="s">
        <v>785</v>
      </c>
      <c r="L19" s="551"/>
      <c r="M19" s="115"/>
    </row>
    <row r="20" spans="1:13" ht="15.75" customHeight="1">
      <c r="A20" s="560"/>
      <c r="B20" s="563"/>
      <c r="C20" s="123">
        <v>2</v>
      </c>
      <c r="D20" s="309" t="s">
        <v>646</v>
      </c>
      <c r="E20" s="310"/>
      <c r="F20" s="311"/>
      <c r="G20" s="317">
        <v>17.142857142857142</v>
      </c>
      <c r="H20" s="317">
        <v>2401.4601151041884</v>
      </c>
      <c r="I20" s="317">
        <v>140.12364335590343</v>
      </c>
      <c r="J20" s="219" t="s">
        <v>772</v>
      </c>
      <c r="K20" s="552"/>
      <c r="L20" s="553"/>
      <c r="M20" s="115"/>
    </row>
    <row r="21" spans="1:13" ht="15.75" customHeight="1">
      <c r="A21" s="560"/>
      <c r="B21" s="563"/>
      <c r="C21" s="123">
        <v>3</v>
      </c>
      <c r="D21" s="309" t="s">
        <v>756</v>
      </c>
      <c r="E21" s="310"/>
      <c r="F21" s="311"/>
      <c r="G21" s="317">
        <v>17.285714285714285</v>
      </c>
      <c r="H21" s="317">
        <v>2419.9875625950694</v>
      </c>
      <c r="I21" s="317">
        <v>140.08661492156261</v>
      </c>
      <c r="J21" s="217" t="s">
        <v>773</v>
      </c>
      <c r="K21" s="554" t="s">
        <v>786</v>
      </c>
      <c r="L21" s="555"/>
      <c r="M21" s="115"/>
    </row>
    <row r="22" spans="1:13" ht="15.75" customHeight="1">
      <c r="A22" s="560"/>
      <c r="B22" s="563"/>
      <c r="C22" s="123">
        <v>4</v>
      </c>
      <c r="D22" s="309" t="s">
        <v>357</v>
      </c>
      <c r="E22" s="310"/>
      <c r="F22" s="311"/>
      <c r="G22" s="317">
        <v>19</v>
      </c>
      <c r="H22" s="317">
        <v>2559.1114470652042</v>
      </c>
      <c r="I22" s="317">
        <v>134.69007616132654</v>
      </c>
      <c r="J22" s="217" t="s">
        <v>773</v>
      </c>
      <c r="K22" s="554"/>
      <c r="L22" s="555"/>
      <c r="M22" s="115"/>
    </row>
    <row r="23" spans="1:13" ht="15.75" customHeight="1">
      <c r="A23" s="560"/>
      <c r="B23" s="563"/>
      <c r="C23" s="123">
        <v>5</v>
      </c>
      <c r="D23" s="309" t="s">
        <v>358</v>
      </c>
      <c r="E23" s="310"/>
      <c r="F23" s="311"/>
      <c r="G23" s="317">
        <v>19</v>
      </c>
      <c r="H23" s="317">
        <v>2448.561936993071</v>
      </c>
      <c r="I23" s="317">
        <v>128.87168089437216</v>
      </c>
      <c r="J23" s="217" t="s">
        <v>773</v>
      </c>
      <c r="K23" s="554"/>
      <c r="L23" s="555"/>
      <c r="M23" s="115"/>
    </row>
    <row r="24" spans="1:13" ht="15.75" customHeight="1">
      <c r="A24" s="560"/>
      <c r="B24" s="563"/>
      <c r="C24" s="150" t="s">
        <v>568</v>
      </c>
      <c r="D24" s="309" t="s">
        <v>356</v>
      </c>
      <c r="E24" s="310"/>
      <c r="F24" s="311"/>
      <c r="G24" s="149">
        <v>20</v>
      </c>
      <c r="H24" s="317">
        <v>2346.4478436835639</v>
      </c>
      <c r="I24" s="317">
        <v>117.32239218417818</v>
      </c>
      <c r="J24" s="217" t="s">
        <v>773</v>
      </c>
      <c r="K24" s="554"/>
      <c r="L24" s="555"/>
      <c r="M24" s="115"/>
    </row>
    <row r="25" spans="1:13" ht="15.75" customHeight="1">
      <c r="A25" s="560"/>
      <c r="B25" s="563"/>
      <c r="C25" s="150" t="s">
        <v>569</v>
      </c>
      <c r="D25" s="309" t="s">
        <v>743</v>
      </c>
      <c r="E25" s="310"/>
      <c r="F25" s="311"/>
      <c r="G25" s="317">
        <v>18.142857142857142</v>
      </c>
      <c r="H25" s="317">
        <v>2181.9757764880751</v>
      </c>
      <c r="I25" s="317">
        <v>120.30959827607103</v>
      </c>
      <c r="J25" s="217" t="s">
        <v>773</v>
      </c>
      <c r="K25" s="565" t="s">
        <v>787</v>
      </c>
      <c r="L25" s="566"/>
      <c r="M25" s="115"/>
    </row>
    <row r="26" spans="1:13" ht="15.75" customHeight="1">
      <c r="A26" s="560"/>
      <c r="B26" s="563"/>
      <c r="C26" s="150" t="s">
        <v>570</v>
      </c>
      <c r="D26" s="309" t="s">
        <v>530</v>
      </c>
      <c r="E26" s="310"/>
      <c r="F26" s="311"/>
      <c r="G26" s="149">
        <v>18</v>
      </c>
      <c r="H26" s="317">
        <v>2180.5629918999662</v>
      </c>
      <c r="I26" s="317">
        <v>121.142388438887</v>
      </c>
      <c r="J26" s="217" t="s">
        <v>773</v>
      </c>
      <c r="K26" s="565"/>
      <c r="L26" s="566"/>
      <c r="M26" s="115"/>
    </row>
    <row r="27" spans="1:13" ht="15.75" customHeight="1">
      <c r="A27" s="560"/>
      <c r="B27" s="563"/>
      <c r="C27" s="150" t="s">
        <v>571</v>
      </c>
      <c r="D27" s="309" t="s">
        <v>359</v>
      </c>
      <c r="E27" s="310"/>
      <c r="F27" s="311"/>
      <c r="G27" s="317">
        <v>19.142857142857142</v>
      </c>
      <c r="H27" s="317">
        <v>2410.8798083574002</v>
      </c>
      <c r="I27" s="317">
        <v>125.9638643054094</v>
      </c>
      <c r="J27" s="217" t="s">
        <v>773</v>
      </c>
      <c r="K27" s="565"/>
      <c r="L27" s="566"/>
      <c r="M27" s="115"/>
    </row>
    <row r="28" spans="1:13" ht="15.75" customHeight="1">
      <c r="A28" s="561"/>
      <c r="B28" s="564"/>
      <c r="C28" s="150" t="s">
        <v>572</v>
      </c>
      <c r="D28" s="309"/>
      <c r="E28" s="310"/>
      <c r="F28" s="311"/>
      <c r="G28" s="149"/>
      <c r="H28" s="149"/>
      <c r="I28" s="149"/>
      <c r="J28" s="149"/>
      <c r="K28" s="565"/>
      <c r="L28" s="566"/>
      <c r="M28" s="115"/>
    </row>
  </sheetData>
  <mergeCells count="31">
    <mergeCell ref="A1:L2"/>
    <mergeCell ref="K8:L8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4:L14"/>
    <mergeCell ref="K15:L15"/>
    <mergeCell ref="K9:L10"/>
    <mergeCell ref="K11:L11"/>
    <mergeCell ref="K12:L12"/>
    <mergeCell ref="K13:L13"/>
    <mergeCell ref="K19:L20"/>
    <mergeCell ref="K21:L21"/>
    <mergeCell ref="K22:L22"/>
    <mergeCell ref="A18:B18"/>
    <mergeCell ref="D18:F18"/>
    <mergeCell ref="K18:L18"/>
    <mergeCell ref="A19:A28"/>
    <mergeCell ref="B19:B28"/>
    <mergeCell ref="K28:L28"/>
    <mergeCell ref="K24:L24"/>
    <mergeCell ref="K25:L25"/>
    <mergeCell ref="K27:L27"/>
    <mergeCell ref="K26:L26"/>
    <mergeCell ref="K23:L23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M28"/>
  <sheetViews>
    <sheetView zoomScale="70" zoomScaleNormal="70" zoomScaleSheetLayoutView="100" workbookViewId="0">
      <selection activeCell="O17" sqref="O17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59" t="s">
        <v>186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115"/>
    </row>
    <row r="2" spans="1:13" s="116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</row>
    <row r="3" spans="1:13" ht="15.75" customHeight="1">
      <c r="A3" s="509" t="s">
        <v>187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115"/>
    </row>
    <row r="4" spans="1:13" s="116" customFormat="1" ht="15.75" customHeight="1">
      <c r="A4" s="509"/>
      <c r="B4" s="509"/>
      <c r="C4" s="509"/>
      <c r="D4" s="509"/>
      <c r="E4" s="509"/>
      <c r="F4" s="509"/>
      <c r="G4" s="509"/>
      <c r="H4" s="509"/>
      <c r="I4" s="509"/>
      <c r="J4" s="509"/>
      <c r="K4" s="509"/>
      <c r="L4" s="509"/>
    </row>
    <row r="5" spans="1:13" s="122" customFormat="1" ht="16.350000000000001" customHeight="1">
      <c r="A5" s="559" t="s">
        <v>154</v>
      </c>
      <c r="B5" s="143">
        <v>1</v>
      </c>
      <c r="C5" s="143">
        <v>2</v>
      </c>
      <c r="D5" s="143">
        <v>3</v>
      </c>
      <c r="E5" s="143">
        <v>4</v>
      </c>
      <c r="F5" s="143">
        <v>5</v>
      </c>
      <c r="G5" s="143">
        <v>6</v>
      </c>
      <c r="H5" s="143">
        <v>7</v>
      </c>
      <c r="I5" s="143">
        <v>8</v>
      </c>
      <c r="J5" s="151">
        <v>9</v>
      </c>
      <c r="K5" s="141"/>
      <c r="L5" s="141"/>
      <c r="M5" s="141"/>
    </row>
    <row r="6" spans="1:13" ht="16.350000000000001" customHeight="1">
      <c r="A6" s="561"/>
      <c r="B6" s="144" t="s">
        <v>188</v>
      </c>
      <c r="C6" s="144" t="s">
        <v>151</v>
      </c>
      <c r="D6" s="144" t="s">
        <v>189</v>
      </c>
      <c r="E6" s="144" t="s">
        <v>153</v>
      </c>
      <c r="F6" s="132" t="s">
        <v>133</v>
      </c>
      <c r="G6" s="145" t="s">
        <v>131</v>
      </c>
      <c r="H6" s="146" t="s">
        <v>190</v>
      </c>
      <c r="I6" s="145" t="s">
        <v>191</v>
      </c>
      <c r="J6" s="154" t="s">
        <v>137</v>
      </c>
      <c r="K6" s="142"/>
      <c r="L6" s="142"/>
    </row>
    <row r="7" spans="1:13" s="122" customFormat="1" ht="15.75" customHeight="1">
      <c r="A7" s="569" t="s">
        <v>566</v>
      </c>
      <c r="B7" s="570"/>
      <c r="C7" s="312" t="s">
        <v>567</v>
      </c>
      <c r="D7" s="569" t="s">
        <v>12</v>
      </c>
      <c r="E7" s="571"/>
      <c r="F7" s="570"/>
      <c r="G7" s="312" t="s">
        <v>583</v>
      </c>
      <c r="H7" s="312" t="s">
        <v>584</v>
      </c>
      <c r="I7" s="312" t="s">
        <v>585</v>
      </c>
      <c r="J7" s="199" t="s">
        <v>586</v>
      </c>
      <c r="K7" s="569" t="s">
        <v>587</v>
      </c>
      <c r="L7" s="570"/>
      <c r="M7" s="141"/>
    </row>
    <row r="8" spans="1:13" ht="15.75" customHeight="1">
      <c r="A8" s="559">
        <v>9</v>
      </c>
      <c r="B8" s="562" t="s">
        <v>137</v>
      </c>
      <c r="C8" s="123">
        <v>1</v>
      </c>
      <c r="D8" s="309" t="s">
        <v>594</v>
      </c>
      <c r="E8" s="310"/>
      <c r="F8" s="311"/>
      <c r="G8" s="378">
        <v>7</v>
      </c>
      <c r="H8" s="378">
        <v>1466.2197974459607</v>
      </c>
      <c r="I8" s="378">
        <v>209.45997106370868</v>
      </c>
      <c r="J8" s="218" t="s">
        <v>770</v>
      </c>
      <c r="K8" s="513" t="s">
        <v>788</v>
      </c>
      <c r="L8" s="514"/>
    </row>
    <row r="9" spans="1:13" ht="15.75" customHeight="1">
      <c r="A9" s="560"/>
      <c r="B9" s="563"/>
      <c r="C9" s="123">
        <v>2</v>
      </c>
      <c r="D9" s="309" t="s">
        <v>400</v>
      </c>
      <c r="E9" s="310"/>
      <c r="F9" s="311"/>
      <c r="G9" s="378">
        <v>7</v>
      </c>
      <c r="H9" s="378">
        <v>1465.9025444104332</v>
      </c>
      <c r="I9" s="378">
        <v>209.41464920149045</v>
      </c>
      <c r="J9" s="219" t="s">
        <v>772</v>
      </c>
      <c r="K9" s="515"/>
      <c r="L9" s="516"/>
    </row>
    <row r="10" spans="1:13" ht="15.75" customHeight="1">
      <c r="A10" s="560"/>
      <c r="B10" s="563"/>
      <c r="C10" s="123">
        <v>3</v>
      </c>
      <c r="D10" s="309" t="s">
        <v>360</v>
      </c>
      <c r="E10" s="310"/>
      <c r="F10" s="311"/>
      <c r="G10" s="378">
        <v>7</v>
      </c>
      <c r="H10" s="378">
        <v>1465.1354114700464</v>
      </c>
      <c r="I10" s="378">
        <v>209.30505878143524</v>
      </c>
      <c r="J10" s="217" t="s">
        <v>773</v>
      </c>
      <c r="K10" s="515"/>
      <c r="L10" s="516"/>
    </row>
    <row r="11" spans="1:13" ht="15.75" customHeight="1">
      <c r="A11" s="560"/>
      <c r="B11" s="563"/>
      <c r="C11" s="123">
        <v>4</v>
      </c>
      <c r="D11" s="318" t="s">
        <v>361</v>
      </c>
      <c r="E11" s="310"/>
      <c r="F11" s="311"/>
      <c r="G11" s="378">
        <v>7</v>
      </c>
      <c r="H11" s="378">
        <v>1455.2109629417921</v>
      </c>
      <c r="I11" s="378">
        <v>207.88728042025605</v>
      </c>
      <c r="J11" s="219" t="s">
        <v>772</v>
      </c>
      <c r="K11" s="517"/>
      <c r="L11" s="518"/>
    </row>
    <row r="12" spans="1:13" ht="15.75" customHeight="1">
      <c r="A12" s="560"/>
      <c r="B12" s="563"/>
      <c r="C12" s="123">
        <v>5</v>
      </c>
      <c r="D12" s="318" t="s">
        <v>789</v>
      </c>
      <c r="E12" s="310"/>
      <c r="F12" s="311"/>
      <c r="G12" s="378">
        <v>12</v>
      </c>
      <c r="H12" s="378">
        <v>1553.0617094433421</v>
      </c>
      <c r="I12" s="378">
        <v>129.42180912027851</v>
      </c>
      <c r="J12" s="218" t="s">
        <v>770</v>
      </c>
      <c r="K12" s="582" t="s">
        <v>790</v>
      </c>
      <c r="L12" s="580"/>
    </row>
    <row r="13" spans="1:13" ht="15.75" customHeight="1">
      <c r="A13" s="560"/>
      <c r="B13" s="563"/>
      <c r="C13" s="150" t="s">
        <v>568</v>
      </c>
      <c r="D13" s="318" t="s">
        <v>791</v>
      </c>
      <c r="E13" s="310"/>
      <c r="F13" s="311"/>
      <c r="G13" s="378">
        <v>18.857142857142858</v>
      </c>
      <c r="H13" s="378">
        <v>1302.109380369277</v>
      </c>
      <c r="I13" s="378">
        <v>69.118965216305597</v>
      </c>
      <c r="J13" s="217" t="s">
        <v>773</v>
      </c>
      <c r="K13" s="581"/>
      <c r="L13" s="581"/>
    </row>
    <row r="14" spans="1:13" ht="15.75" customHeight="1">
      <c r="A14" s="560"/>
      <c r="B14" s="563"/>
      <c r="C14" s="150" t="s">
        <v>569</v>
      </c>
      <c r="D14" s="309" t="s">
        <v>757</v>
      </c>
      <c r="E14" s="310"/>
      <c r="F14" s="311"/>
      <c r="G14" s="378">
        <v>16</v>
      </c>
      <c r="H14" s="378">
        <v>1120.9344905058363</v>
      </c>
      <c r="I14" s="378">
        <v>70.058405656614767</v>
      </c>
      <c r="J14" s="217" t="s">
        <v>773</v>
      </c>
      <c r="K14" s="579" t="s">
        <v>792</v>
      </c>
      <c r="L14" s="580"/>
    </row>
    <row r="15" spans="1:13" ht="15.75" customHeight="1">
      <c r="A15" s="560"/>
      <c r="B15" s="563"/>
      <c r="C15" s="150" t="s">
        <v>570</v>
      </c>
      <c r="D15" s="309" t="s">
        <v>362</v>
      </c>
      <c r="E15" s="310"/>
      <c r="F15" s="311"/>
      <c r="G15" s="317">
        <v>16.285714285714285</v>
      </c>
      <c r="H15" s="317">
        <v>1390.3373280377916</v>
      </c>
      <c r="I15" s="317">
        <v>85.425330520317388</v>
      </c>
      <c r="J15" s="217" t="s">
        <v>773</v>
      </c>
      <c r="K15" s="579"/>
      <c r="L15" s="583"/>
    </row>
    <row r="16" spans="1:13" ht="15.75" customHeight="1">
      <c r="A16" s="560"/>
      <c r="B16" s="563"/>
      <c r="C16" s="150" t="s">
        <v>571</v>
      </c>
      <c r="D16" s="318" t="s">
        <v>793</v>
      </c>
      <c r="E16" s="310"/>
      <c r="F16" s="311"/>
      <c r="G16" s="317">
        <v>12</v>
      </c>
      <c r="H16" s="317">
        <v>1423.1407496014394</v>
      </c>
      <c r="I16" s="317">
        <v>118.59506246678659</v>
      </c>
      <c r="J16" s="219" t="s">
        <v>772</v>
      </c>
      <c r="K16" s="524" t="s">
        <v>790</v>
      </c>
      <c r="L16" s="584"/>
      <c r="M16" s="115"/>
    </row>
    <row r="17" spans="1:13" ht="15.75" customHeight="1">
      <c r="A17" s="561"/>
      <c r="B17" s="564"/>
      <c r="C17" s="150" t="s">
        <v>572</v>
      </c>
      <c r="D17" s="318" t="s">
        <v>794</v>
      </c>
      <c r="E17" s="310"/>
      <c r="F17" s="311"/>
      <c r="G17" s="149">
        <v>12</v>
      </c>
      <c r="H17" s="317">
        <v>1505.6729817877583</v>
      </c>
      <c r="I17" s="317">
        <v>125.47274848231316</v>
      </c>
      <c r="J17" s="219" t="s">
        <v>772</v>
      </c>
      <c r="K17" s="585"/>
      <c r="L17" s="586"/>
      <c r="M17" s="115"/>
    </row>
    <row r="18" spans="1:13" s="120" customFormat="1" ht="15.75" customHeight="1">
      <c r="A18" s="556" t="s">
        <v>169</v>
      </c>
      <c r="B18" s="557"/>
      <c r="C18" s="245" t="s">
        <v>392</v>
      </c>
      <c r="D18" s="556" t="s">
        <v>12</v>
      </c>
      <c r="E18" s="558"/>
      <c r="F18" s="557"/>
      <c r="G18" s="245" t="s">
        <v>626</v>
      </c>
      <c r="H18" s="245" t="s">
        <v>627</v>
      </c>
      <c r="I18" s="245" t="s">
        <v>628</v>
      </c>
      <c r="J18" s="199" t="s">
        <v>629</v>
      </c>
      <c r="K18" s="556" t="s">
        <v>630</v>
      </c>
      <c r="L18" s="557"/>
      <c r="M18" s="142"/>
    </row>
    <row r="19" spans="1:13" ht="15.75" customHeight="1">
      <c r="A19" s="559"/>
      <c r="B19" s="562"/>
      <c r="C19" s="123">
        <v>1</v>
      </c>
      <c r="D19" s="309"/>
      <c r="E19" s="310"/>
      <c r="F19" s="311"/>
      <c r="G19" s="149"/>
      <c r="H19" s="149"/>
      <c r="I19" s="149"/>
      <c r="J19" s="149"/>
      <c r="K19" s="576"/>
      <c r="L19" s="577"/>
      <c r="M19" s="115"/>
    </row>
    <row r="20" spans="1:13" ht="15.75" customHeight="1">
      <c r="A20" s="560"/>
      <c r="B20" s="563"/>
      <c r="C20" s="123">
        <v>2</v>
      </c>
      <c r="D20" s="309"/>
      <c r="E20" s="310"/>
      <c r="F20" s="311"/>
      <c r="G20" s="149"/>
      <c r="H20" s="149"/>
      <c r="I20" s="149"/>
      <c r="J20" s="149"/>
      <c r="K20" s="573"/>
      <c r="L20" s="574"/>
      <c r="M20" s="115"/>
    </row>
    <row r="21" spans="1:13" ht="15.75" customHeight="1">
      <c r="A21" s="560"/>
      <c r="B21" s="563"/>
      <c r="C21" s="123">
        <v>3</v>
      </c>
      <c r="D21" s="309"/>
      <c r="E21" s="310"/>
      <c r="F21" s="311"/>
      <c r="G21" s="149"/>
      <c r="H21" s="149"/>
      <c r="I21" s="149"/>
      <c r="J21" s="149"/>
      <c r="K21" s="573"/>
      <c r="L21" s="574"/>
      <c r="M21" s="115"/>
    </row>
    <row r="22" spans="1:13" ht="15.75" customHeight="1">
      <c r="A22" s="560"/>
      <c r="B22" s="563"/>
      <c r="C22" s="123">
        <v>4</v>
      </c>
      <c r="D22" s="573"/>
      <c r="E22" s="575"/>
      <c r="F22" s="574"/>
      <c r="G22" s="149"/>
      <c r="H22" s="149"/>
      <c r="I22" s="149"/>
      <c r="J22" s="149"/>
      <c r="K22" s="573"/>
      <c r="L22" s="574"/>
      <c r="M22" s="115"/>
    </row>
    <row r="23" spans="1:13" ht="15.75" customHeight="1">
      <c r="A23" s="560"/>
      <c r="B23" s="563"/>
      <c r="C23" s="123">
        <v>5</v>
      </c>
      <c r="D23" s="573"/>
      <c r="E23" s="575"/>
      <c r="F23" s="574"/>
      <c r="G23" s="149"/>
      <c r="H23" s="149"/>
      <c r="I23" s="149"/>
      <c r="J23" s="149"/>
      <c r="K23" s="573"/>
      <c r="L23" s="574"/>
      <c r="M23" s="115"/>
    </row>
    <row r="24" spans="1:13" ht="15.75" customHeight="1">
      <c r="A24" s="560"/>
      <c r="B24" s="563"/>
      <c r="C24" s="150" t="s">
        <v>393</v>
      </c>
      <c r="D24" s="576"/>
      <c r="E24" s="578"/>
      <c r="F24" s="577"/>
      <c r="G24" s="149"/>
      <c r="H24" s="149"/>
      <c r="I24" s="149"/>
      <c r="J24" s="149"/>
      <c r="K24" s="576"/>
      <c r="L24" s="577"/>
      <c r="M24" s="115"/>
    </row>
    <row r="25" spans="1:13" ht="15.75" customHeight="1">
      <c r="A25" s="560"/>
      <c r="B25" s="563"/>
      <c r="C25" s="150" t="s">
        <v>394</v>
      </c>
      <c r="D25" s="573"/>
      <c r="E25" s="575"/>
      <c r="F25" s="574"/>
      <c r="G25" s="149"/>
      <c r="H25" s="149"/>
      <c r="I25" s="149"/>
      <c r="J25" s="149"/>
      <c r="K25" s="573"/>
      <c r="L25" s="574"/>
      <c r="M25" s="115"/>
    </row>
    <row r="26" spans="1:13" ht="15.75" customHeight="1">
      <c r="A26" s="560"/>
      <c r="B26" s="563"/>
      <c r="C26" s="150" t="s">
        <v>395</v>
      </c>
      <c r="D26" s="573"/>
      <c r="E26" s="575"/>
      <c r="F26" s="574"/>
      <c r="G26" s="149"/>
      <c r="H26" s="149"/>
      <c r="I26" s="149"/>
      <c r="J26" s="149"/>
      <c r="K26" s="573"/>
      <c r="L26" s="574"/>
      <c r="M26" s="115"/>
    </row>
    <row r="27" spans="1:13" ht="15.75" customHeight="1">
      <c r="A27" s="560"/>
      <c r="B27" s="563"/>
      <c r="C27" s="150" t="s">
        <v>396</v>
      </c>
      <c r="D27" s="573"/>
      <c r="E27" s="575"/>
      <c r="F27" s="574"/>
      <c r="G27" s="149"/>
      <c r="H27" s="149"/>
      <c r="I27" s="149"/>
      <c r="J27" s="149"/>
      <c r="K27" s="573"/>
      <c r="L27" s="574"/>
      <c r="M27" s="115"/>
    </row>
    <row r="28" spans="1:13" ht="15.75" customHeight="1">
      <c r="A28" s="561"/>
      <c r="B28" s="564"/>
      <c r="C28" s="150" t="s">
        <v>397</v>
      </c>
      <c r="D28" s="573"/>
      <c r="E28" s="575"/>
      <c r="F28" s="574"/>
      <c r="G28" s="149"/>
      <c r="H28" s="149"/>
      <c r="I28" s="149"/>
      <c r="J28" s="149"/>
      <c r="K28" s="573"/>
      <c r="L28" s="574"/>
      <c r="M28" s="115"/>
    </row>
  </sheetData>
  <mergeCells count="36"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8:L11"/>
    <mergeCell ref="K12:L12"/>
    <mergeCell ref="K15:L15"/>
    <mergeCell ref="K16:L17"/>
    <mergeCell ref="A18:B18"/>
    <mergeCell ref="D18:F18"/>
    <mergeCell ref="K18:L18"/>
    <mergeCell ref="A19:A28"/>
    <mergeCell ref="B19:B28"/>
    <mergeCell ref="K19:L19"/>
    <mergeCell ref="K20:L20"/>
    <mergeCell ref="D28:F28"/>
    <mergeCell ref="K28:L28"/>
    <mergeCell ref="D25:F25"/>
    <mergeCell ref="D26:F26"/>
    <mergeCell ref="K26:L26"/>
    <mergeCell ref="K21:L21"/>
    <mergeCell ref="D27:F27"/>
    <mergeCell ref="K27:L27"/>
    <mergeCell ref="D22:F22"/>
    <mergeCell ref="K25:L25"/>
    <mergeCell ref="K22:L22"/>
    <mergeCell ref="D23:F23"/>
    <mergeCell ref="K24:L24"/>
    <mergeCell ref="K23:L23"/>
    <mergeCell ref="D24:F24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67" customWidth="1"/>
    <col min="2" max="2" width="14.85546875" style="167" customWidth="1"/>
    <col min="3" max="3" width="12.85546875" style="167" customWidth="1"/>
    <col min="4" max="4" width="2.5703125" style="167" customWidth="1"/>
    <col min="5" max="5" width="7.5703125" style="167" customWidth="1"/>
    <col min="6" max="6" width="12.85546875" style="167" customWidth="1"/>
    <col min="7" max="7" width="9.42578125" style="167" customWidth="1"/>
    <col min="8" max="8" width="12.85546875" style="167" customWidth="1"/>
    <col min="9" max="9" width="9.42578125" style="167" customWidth="1"/>
    <col min="10" max="10" width="12.85546875" style="167" customWidth="1"/>
    <col min="11" max="11" width="9.42578125" style="167" customWidth="1"/>
    <col min="12" max="12" width="12.85546875" style="167" customWidth="1"/>
    <col min="13" max="13" width="9.42578125" style="167" customWidth="1"/>
    <col min="14" max="16384" width="12.5703125" style="167"/>
  </cols>
  <sheetData>
    <row r="1" spans="1:13" ht="15.75" customHeight="1">
      <c r="A1" s="587" t="s">
        <v>218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</row>
    <row r="2" spans="1:13" s="168" customFormat="1" ht="15.75" customHeight="1">
      <c r="A2" s="587"/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</row>
    <row r="3" spans="1:13" ht="15.75" customHeight="1">
      <c r="A3" s="588" t="s">
        <v>219</v>
      </c>
      <c r="B3" s="588"/>
      <c r="C3" s="588"/>
      <c r="D3" s="588"/>
      <c r="E3" s="588"/>
      <c r="F3" s="588"/>
      <c r="G3" s="588"/>
      <c r="H3" s="588"/>
      <c r="I3" s="588"/>
      <c r="J3" s="588"/>
      <c r="K3" s="588"/>
      <c r="L3" s="588"/>
      <c r="M3" s="588"/>
    </row>
    <row r="4" spans="1:13" s="168" customFormat="1" ht="15.75" customHeight="1">
      <c r="A4" s="588"/>
      <c r="B4" s="588"/>
      <c r="C4" s="588"/>
      <c r="D4" s="588"/>
      <c r="E4" s="588"/>
      <c r="F4" s="588"/>
      <c r="G4" s="588"/>
      <c r="H4" s="588"/>
      <c r="I4" s="588"/>
      <c r="J4" s="588"/>
      <c r="K4" s="588"/>
      <c r="L4" s="588"/>
      <c r="M4" s="588"/>
    </row>
    <row r="5" spans="1:13" ht="15.75" customHeight="1">
      <c r="A5" s="169" t="s">
        <v>220</v>
      </c>
      <c r="B5" s="170">
        <v>212376150</v>
      </c>
    </row>
    <row r="6" spans="1:13" ht="15.75" customHeight="1">
      <c r="A6" s="589" t="s">
        <v>221</v>
      </c>
      <c r="B6" s="590" t="s">
        <v>10</v>
      </c>
      <c r="C6" s="590"/>
      <c r="D6" s="591"/>
      <c r="E6" s="589" t="s">
        <v>221</v>
      </c>
      <c r="F6" s="593">
        <v>1</v>
      </c>
      <c r="G6" s="593"/>
      <c r="H6" s="593">
        <v>2</v>
      </c>
      <c r="I6" s="593"/>
      <c r="J6" s="593">
        <v>3</v>
      </c>
      <c r="K6" s="593"/>
      <c r="L6" s="593">
        <v>4</v>
      </c>
      <c r="M6" s="593"/>
    </row>
    <row r="7" spans="1:13" ht="31.35" customHeight="1">
      <c r="A7" s="589"/>
      <c r="B7" s="590"/>
      <c r="C7" s="590"/>
      <c r="D7" s="592"/>
      <c r="E7" s="589"/>
      <c r="F7" s="595" t="s">
        <v>232</v>
      </c>
      <c r="G7" s="595"/>
      <c r="H7" s="595" t="s">
        <v>222</v>
      </c>
      <c r="I7" s="595"/>
      <c r="J7" s="595" t="s">
        <v>223</v>
      </c>
      <c r="K7" s="595"/>
      <c r="L7" s="595" t="s">
        <v>224</v>
      </c>
      <c r="M7" s="595"/>
    </row>
    <row r="8" spans="1:13" ht="15.75" customHeight="1">
      <c r="A8" s="589"/>
      <c r="B8" s="193" t="s">
        <v>11</v>
      </c>
      <c r="C8" s="193" t="s">
        <v>225</v>
      </c>
      <c r="D8" s="592"/>
      <c r="E8" s="589"/>
      <c r="F8" s="193" t="s">
        <v>11</v>
      </c>
      <c r="G8" s="193" t="s">
        <v>225</v>
      </c>
      <c r="H8" s="193" t="s">
        <v>11</v>
      </c>
      <c r="I8" s="193" t="s">
        <v>225</v>
      </c>
      <c r="J8" s="193" t="s">
        <v>11</v>
      </c>
      <c r="K8" s="193" t="s">
        <v>225</v>
      </c>
      <c r="L8" s="193" t="s">
        <v>11</v>
      </c>
      <c r="M8" s="193" t="s">
        <v>225</v>
      </c>
    </row>
    <row r="9" spans="1:13" ht="19.350000000000001" customHeight="1">
      <c r="A9" s="171" t="s">
        <v>226</v>
      </c>
      <c r="B9" s="172">
        <v>47927.00699999994</v>
      </c>
      <c r="C9" s="173">
        <f>B9/$B$5</f>
        <v>2.256703824793883E-4</v>
      </c>
      <c r="D9" s="592"/>
      <c r="E9" s="171" t="s">
        <v>226</v>
      </c>
      <c r="F9" s="174">
        <v>1423.9050000000002</v>
      </c>
      <c r="G9" s="175">
        <f>IFERROR(F9/$B$9,"")</f>
        <v>2.9709866923256903E-2</v>
      </c>
      <c r="H9" s="174">
        <v>5535.9419999999991</v>
      </c>
      <c r="I9" s="175">
        <f>IFERROR(H9/$B$9,"")</f>
        <v>0.11550777623146812</v>
      </c>
      <c r="J9" s="174">
        <v>6691.5360000000019</v>
      </c>
      <c r="K9" s="175">
        <f>IFERROR(J9/$B$9,"")</f>
        <v>0.13961931735065389</v>
      </c>
      <c r="L9" s="174">
        <v>17258.763000000006</v>
      </c>
      <c r="M9" s="175">
        <f>IFERROR(L9/$B$9,"")</f>
        <v>0.36010516993059943</v>
      </c>
    </row>
    <row r="10" spans="1:13" ht="19.350000000000001" customHeight="1">
      <c r="A10" s="176" t="s">
        <v>227</v>
      </c>
      <c r="B10" s="177">
        <v>69974.579191980054</v>
      </c>
      <c r="C10" s="173">
        <f>B10/$B$5</f>
        <v>3.2948416849999424E-4</v>
      </c>
      <c r="D10" s="592"/>
      <c r="E10" s="176" t="s">
        <v>227</v>
      </c>
      <c r="F10" s="174">
        <v>1179.8078200000007</v>
      </c>
      <c r="G10" s="175">
        <f>IFERROR(F10/$B$10,"")</f>
        <v>1.6860520400746062E-2</v>
      </c>
      <c r="H10" s="174">
        <v>3563.9139100000007</v>
      </c>
      <c r="I10" s="175">
        <f>IFERROR(H10/$B$10,"")</f>
        <v>5.0931551874319365E-2</v>
      </c>
      <c r="J10" s="174">
        <v>3130.998689999999</v>
      </c>
      <c r="K10" s="175">
        <f>IFERROR(J10/$B$10,"")</f>
        <v>4.4744801986016804E-2</v>
      </c>
      <c r="L10" s="174">
        <v>14381.948886699534</v>
      </c>
      <c r="M10" s="175">
        <f>IFERROR(L10/$B$10,"")</f>
        <v>0.20553105217312806</v>
      </c>
    </row>
    <row r="11" spans="1:13" ht="15.75" customHeight="1">
      <c r="D11" s="592"/>
      <c r="E11" s="589" t="s">
        <v>221</v>
      </c>
      <c r="F11" s="593">
        <v>5</v>
      </c>
      <c r="G11" s="593"/>
      <c r="H11" s="593">
        <v>6</v>
      </c>
      <c r="I11" s="593"/>
      <c r="J11" s="593">
        <v>7</v>
      </c>
      <c r="K11" s="593"/>
      <c r="L11" s="594">
        <v>8</v>
      </c>
      <c r="M11" s="594"/>
    </row>
    <row r="12" spans="1:13" ht="31.35" customHeight="1">
      <c r="D12" s="592"/>
      <c r="E12" s="589"/>
      <c r="F12" s="595" t="s">
        <v>228</v>
      </c>
      <c r="G12" s="595"/>
      <c r="H12" s="595" t="s">
        <v>229</v>
      </c>
      <c r="I12" s="595"/>
      <c r="J12" s="595" t="s">
        <v>230</v>
      </c>
      <c r="K12" s="595"/>
      <c r="L12" s="596" t="s">
        <v>231</v>
      </c>
      <c r="M12" s="596"/>
    </row>
    <row r="13" spans="1:13" ht="15.75" customHeight="1">
      <c r="D13" s="592"/>
      <c r="E13" s="589"/>
      <c r="F13" s="193" t="s">
        <v>11</v>
      </c>
      <c r="G13" s="193" t="s">
        <v>225</v>
      </c>
      <c r="H13" s="193" t="s">
        <v>11</v>
      </c>
      <c r="I13" s="193" t="s">
        <v>225</v>
      </c>
      <c r="J13" s="193" t="s">
        <v>11</v>
      </c>
      <c r="K13" s="193" t="s">
        <v>225</v>
      </c>
      <c r="L13" s="193" t="s">
        <v>11</v>
      </c>
      <c r="M13" s="193" t="s">
        <v>225</v>
      </c>
    </row>
    <row r="14" spans="1:13" ht="19.350000000000001" customHeight="1">
      <c r="D14" s="592"/>
      <c r="E14" s="171" t="s">
        <v>226</v>
      </c>
      <c r="F14" s="174">
        <v>12460.915000000001</v>
      </c>
      <c r="G14" s="175">
        <f>IFERROR(F14/$B$9,"")</f>
        <v>0.25999777119401629</v>
      </c>
      <c r="H14" s="174">
        <v>1494.27</v>
      </c>
      <c r="I14" s="175">
        <f>IFERROR(H14/$B$9,"")</f>
        <v>3.1178037051218365E-2</v>
      </c>
      <c r="J14" s="174">
        <v>3061.675999999999</v>
      </c>
      <c r="K14" s="175">
        <f>IFERROR(J14/$B$9,"")</f>
        <v>6.3882061318788444E-2</v>
      </c>
      <c r="L14" s="174">
        <v>0</v>
      </c>
      <c r="M14" s="175">
        <f>IFERROR(L14/$B$9,"")</f>
        <v>0</v>
      </c>
    </row>
    <row r="15" spans="1:13" ht="19.350000000000001" customHeight="1">
      <c r="D15" s="592"/>
      <c r="E15" s="176" t="s">
        <v>227</v>
      </c>
      <c r="F15" s="174">
        <v>30846.731825280494</v>
      </c>
      <c r="G15" s="175">
        <f>IFERROR(F15/$B$10,"")</f>
        <v>0.44082768601795191</v>
      </c>
      <c r="H15" s="174">
        <v>12704.309300000044</v>
      </c>
      <c r="I15" s="175">
        <f>IFERROR(H15/$B$10,"")</f>
        <v>0.18155606574131589</v>
      </c>
      <c r="J15" s="174">
        <v>3994.7131600000112</v>
      </c>
      <c r="K15" s="175">
        <f>IFERROR(J15/$B$10,"")</f>
        <v>5.7088062638293857E-2</v>
      </c>
      <c r="L15" s="174">
        <v>0</v>
      </c>
      <c r="M15" s="175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S16"/>
  <sheetViews>
    <sheetView zoomScale="110" zoomScaleNormal="110" zoomScaleSheetLayoutView="115" workbookViewId="0">
      <selection sqref="A1:M2"/>
    </sheetView>
  </sheetViews>
  <sheetFormatPr defaultColWidth="12.5703125" defaultRowHeight="15.75" customHeight="1"/>
  <cols>
    <col min="1" max="1" width="7.5703125" style="167" customWidth="1"/>
    <col min="2" max="2" width="14.85546875" style="167" customWidth="1"/>
    <col min="3" max="3" width="12.85546875" style="167" customWidth="1"/>
    <col min="4" max="4" width="2.5703125" style="167" customWidth="1"/>
    <col min="5" max="5" width="7.5703125" style="167" customWidth="1"/>
    <col min="6" max="6" width="12.85546875" style="167" customWidth="1"/>
    <col min="7" max="7" width="9.42578125" style="167" customWidth="1"/>
    <col min="8" max="8" width="12.85546875" style="167" customWidth="1"/>
    <col min="9" max="9" width="9.42578125" style="167" customWidth="1"/>
    <col min="10" max="10" width="12.85546875" style="167" customWidth="1"/>
    <col min="11" max="11" width="9.42578125" style="167" customWidth="1"/>
    <col min="12" max="12" width="12.85546875" style="167" customWidth="1"/>
    <col min="13" max="13" width="9.42578125" style="167" customWidth="1"/>
    <col min="14" max="16384" width="12.5703125" style="167"/>
  </cols>
  <sheetData>
    <row r="1" spans="1:19" ht="15.75" customHeight="1">
      <c r="A1" s="587" t="s">
        <v>218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</row>
    <row r="2" spans="1:19" s="168" customFormat="1" ht="15.75" customHeight="1">
      <c r="A2" s="587"/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</row>
    <row r="3" spans="1:19" ht="15.75" customHeight="1">
      <c r="A3" s="588" t="s">
        <v>664</v>
      </c>
      <c r="B3" s="588"/>
      <c r="C3" s="588"/>
      <c r="D3" s="588"/>
      <c r="E3" s="588"/>
      <c r="F3" s="588"/>
      <c r="G3" s="588"/>
      <c r="H3" s="588"/>
      <c r="I3" s="588"/>
      <c r="J3" s="588"/>
      <c r="K3" s="588"/>
      <c r="L3" s="588"/>
      <c r="M3" s="588"/>
    </row>
    <row r="4" spans="1:19" s="168" customFormat="1" ht="15.75" customHeight="1">
      <c r="A4" s="588"/>
      <c r="B4" s="588"/>
      <c r="C4" s="588"/>
      <c r="D4" s="588"/>
      <c r="E4" s="588"/>
      <c r="F4" s="588"/>
      <c r="G4" s="588"/>
      <c r="H4" s="588"/>
      <c r="I4" s="588"/>
      <c r="J4" s="588"/>
      <c r="K4" s="588"/>
      <c r="L4" s="588"/>
      <c r="M4" s="588"/>
    </row>
    <row r="5" spans="1:19" ht="15.75" customHeight="1" thickBot="1"/>
    <row r="6" spans="1:19" ht="15.75" customHeight="1" thickBot="1">
      <c r="A6" s="325" t="s">
        <v>795</v>
      </c>
      <c r="B6" s="326">
        <v>65939025</v>
      </c>
      <c r="C6" s="327" t="s">
        <v>796</v>
      </c>
      <c r="E6" s="604" t="s">
        <v>797</v>
      </c>
      <c r="F6" s="605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6"/>
    </row>
    <row r="7" spans="1:19" ht="15.75" customHeight="1">
      <c r="A7" s="607" t="s">
        <v>798</v>
      </c>
      <c r="B7" s="590" t="s">
        <v>10</v>
      </c>
      <c r="C7" s="608"/>
      <c r="D7" s="592"/>
      <c r="E7" s="609" t="s">
        <v>798</v>
      </c>
      <c r="F7" s="611">
        <v>1</v>
      </c>
      <c r="G7" s="612"/>
      <c r="H7" s="613">
        <v>2</v>
      </c>
      <c r="I7" s="614"/>
      <c r="J7" s="614">
        <v>3</v>
      </c>
      <c r="K7" s="615"/>
      <c r="L7" s="611">
        <v>4</v>
      </c>
      <c r="M7" s="612"/>
      <c r="N7" s="616">
        <v>5</v>
      </c>
      <c r="O7" s="617"/>
      <c r="P7" s="618">
        <v>6</v>
      </c>
      <c r="Q7" s="613"/>
      <c r="R7" s="615">
        <v>7</v>
      </c>
      <c r="S7" s="617"/>
    </row>
    <row r="8" spans="1:19" ht="15.75" customHeight="1">
      <c r="A8" s="607"/>
      <c r="B8" s="590"/>
      <c r="C8" s="608"/>
      <c r="D8" s="592"/>
      <c r="E8" s="610"/>
      <c r="F8" s="598" t="s">
        <v>799</v>
      </c>
      <c r="G8" s="599"/>
      <c r="H8" s="603" t="s">
        <v>800</v>
      </c>
      <c r="I8" s="595"/>
      <c r="J8" s="595" t="s">
        <v>801</v>
      </c>
      <c r="K8" s="597"/>
      <c r="L8" s="598" t="s">
        <v>802</v>
      </c>
      <c r="M8" s="599"/>
      <c r="N8" s="600" t="s">
        <v>803</v>
      </c>
      <c r="O8" s="601"/>
      <c r="P8" s="602" t="s">
        <v>804</v>
      </c>
      <c r="Q8" s="603"/>
      <c r="R8" s="597" t="s">
        <v>805</v>
      </c>
      <c r="S8" s="601"/>
    </row>
    <row r="9" spans="1:19" ht="15.75" customHeight="1">
      <c r="A9" s="607"/>
      <c r="B9" s="193" t="s">
        <v>11</v>
      </c>
      <c r="C9" s="377" t="s">
        <v>806</v>
      </c>
      <c r="D9" s="592"/>
      <c r="E9" s="610"/>
      <c r="F9" s="328" t="s">
        <v>11</v>
      </c>
      <c r="G9" s="377" t="s">
        <v>806</v>
      </c>
      <c r="H9" s="329" t="s">
        <v>11</v>
      </c>
      <c r="I9" s="193" t="s">
        <v>806</v>
      </c>
      <c r="J9" s="193" t="s">
        <v>11</v>
      </c>
      <c r="K9" s="330" t="s">
        <v>806</v>
      </c>
      <c r="L9" s="328" t="s">
        <v>11</v>
      </c>
      <c r="M9" s="377" t="s">
        <v>806</v>
      </c>
      <c r="N9" s="328" t="s">
        <v>11</v>
      </c>
      <c r="O9" s="377" t="s">
        <v>806</v>
      </c>
      <c r="P9" s="329" t="s">
        <v>11</v>
      </c>
      <c r="Q9" s="193" t="s">
        <v>806</v>
      </c>
      <c r="R9" s="193" t="s">
        <v>11</v>
      </c>
      <c r="S9" s="377" t="s">
        <v>806</v>
      </c>
    </row>
    <row r="10" spans="1:19" ht="15.75" customHeight="1">
      <c r="A10" s="239" t="s">
        <v>807</v>
      </c>
      <c r="B10" s="240">
        <v>159805.84200000006</v>
      </c>
      <c r="C10" s="331">
        <v>2.4235396565235848E-3</v>
      </c>
      <c r="D10" s="592"/>
      <c r="E10" s="332" t="s">
        <v>807</v>
      </c>
      <c r="F10" s="333">
        <v>0</v>
      </c>
      <c r="G10" s="242">
        <v>0</v>
      </c>
      <c r="H10" s="334">
        <v>970.28399999999999</v>
      </c>
      <c r="I10" s="175">
        <v>6.0716428627183702E-3</v>
      </c>
      <c r="J10" s="241">
        <v>994.35699999999997</v>
      </c>
      <c r="K10" s="335">
        <v>6.2222819113208613E-3</v>
      </c>
      <c r="L10" s="333">
        <v>12199.956</v>
      </c>
      <c r="M10" s="242">
        <v>7.634236550626225E-2</v>
      </c>
      <c r="N10" s="333">
        <v>4201.4519999999993</v>
      </c>
      <c r="O10" s="242">
        <v>2.6290978774105127E-2</v>
      </c>
      <c r="P10" s="334">
        <v>2229.4079999999999</v>
      </c>
      <c r="Q10" s="175">
        <v>1.3950729035300218E-2</v>
      </c>
      <c r="R10" s="241">
        <v>0</v>
      </c>
      <c r="S10" s="242">
        <v>0</v>
      </c>
    </row>
    <row r="11" spans="1:19" ht="15.75" customHeight="1" thickBot="1">
      <c r="A11" s="336" t="s">
        <v>808</v>
      </c>
      <c r="B11" s="337">
        <v>277202.05334308965</v>
      </c>
      <c r="C11" s="338">
        <v>4.2039149554166091E-3</v>
      </c>
      <c r="D11" s="592"/>
      <c r="E11" s="339" t="s">
        <v>808</v>
      </c>
      <c r="F11" s="340">
        <v>0</v>
      </c>
      <c r="G11" s="244">
        <v>0</v>
      </c>
      <c r="H11" s="340">
        <v>0</v>
      </c>
      <c r="I11" s="243">
        <v>0</v>
      </c>
      <c r="J11" s="340">
        <v>3162.29324</v>
      </c>
      <c r="K11" s="341">
        <v>1.1407899767921515E-2</v>
      </c>
      <c r="L11" s="340">
        <v>15540.613629669491</v>
      </c>
      <c r="M11" s="244">
        <v>5.6062404452809231E-2</v>
      </c>
      <c r="N11" s="340">
        <v>8853.7619499999746</v>
      </c>
      <c r="O11" s="244">
        <v>3.1939741582800545E-2</v>
      </c>
      <c r="P11" s="340">
        <v>3685.240479999999</v>
      </c>
      <c r="Q11" s="243">
        <v>1.3294419848466351E-2</v>
      </c>
      <c r="R11" s="340">
        <v>3101.8630800000115</v>
      </c>
      <c r="S11" s="244">
        <v>1.1189899362545027E-2</v>
      </c>
    </row>
    <row r="12" spans="1:19" ht="15.75" customHeight="1">
      <c r="A12" s="376"/>
      <c r="D12" s="592"/>
    </row>
    <row r="13" spans="1:19" ht="15.75" customHeight="1">
      <c r="A13" s="376"/>
      <c r="D13" s="592"/>
    </row>
    <row r="14" spans="1:19" ht="15.75" customHeight="1">
      <c r="A14" s="376"/>
      <c r="D14" s="592"/>
    </row>
    <row r="15" spans="1:19" ht="15.75" customHeight="1">
      <c r="A15" s="376"/>
      <c r="D15" s="592"/>
    </row>
    <row r="16" spans="1:19" ht="15.75" customHeight="1">
      <c r="A16" s="376"/>
      <c r="D16" s="592"/>
    </row>
  </sheetData>
  <mergeCells count="21">
    <mergeCell ref="R8:S8"/>
    <mergeCell ref="A3:M4"/>
    <mergeCell ref="E6:S6"/>
    <mergeCell ref="A7:A9"/>
    <mergeCell ref="B7:C8"/>
    <mergeCell ref="E7:E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D7:D16"/>
    <mergeCell ref="J8:K8"/>
    <mergeCell ref="L8:M8"/>
    <mergeCell ref="A1:M2"/>
    <mergeCell ref="N8:O8"/>
    <mergeCell ref="P8:Q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sqref="A1:Q2"/>
    </sheetView>
  </sheetViews>
  <sheetFormatPr defaultColWidth="12.5703125" defaultRowHeight="15.75" customHeight="1"/>
  <cols>
    <col min="1" max="1" width="5.42578125" style="115" customWidth="1"/>
    <col min="2" max="2" width="11.42578125" style="160" customWidth="1"/>
    <col min="3" max="3" width="4" style="147" customWidth="1"/>
    <col min="4" max="17" width="9.5703125" style="115" customWidth="1"/>
    <col min="18" max="16384" width="12.5703125" style="115"/>
  </cols>
  <sheetData>
    <row r="1" spans="1:17" ht="15.75" customHeight="1">
      <c r="A1" s="459" t="s">
        <v>186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</row>
    <row r="2" spans="1:17" s="116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</row>
    <row r="3" spans="1:17" ht="15.75" customHeight="1">
      <c r="A3" s="509" t="s">
        <v>192</v>
      </c>
      <c r="B3" s="510"/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</row>
    <row r="4" spans="1:17" s="116" customFormat="1" ht="15.75" customHeight="1">
      <c r="A4" s="510"/>
      <c r="B4" s="510"/>
      <c r="C4" s="510"/>
      <c r="D4" s="510"/>
      <c r="E4" s="510"/>
      <c r="F4" s="510"/>
      <c r="G4" s="510"/>
      <c r="H4" s="510"/>
      <c r="I4" s="510"/>
      <c r="J4" s="510"/>
      <c r="K4" s="510"/>
      <c r="L4" s="510"/>
      <c r="M4" s="510"/>
    </row>
    <row r="5" spans="1:17" ht="15.75" customHeight="1">
      <c r="A5" s="475" t="s">
        <v>172</v>
      </c>
      <c r="B5" s="623">
        <v>1</v>
      </c>
      <c r="C5" s="623"/>
      <c r="D5" s="623">
        <v>2</v>
      </c>
      <c r="E5" s="623"/>
      <c r="F5" s="623">
        <v>3</v>
      </c>
      <c r="G5" s="623"/>
      <c r="H5" s="506">
        <v>4</v>
      </c>
      <c r="I5" s="506"/>
      <c r="J5" s="506">
        <v>5</v>
      </c>
      <c r="K5" s="506"/>
      <c r="L5" s="506">
        <v>6</v>
      </c>
      <c r="M5" s="506"/>
      <c r="N5" s="506">
        <v>7</v>
      </c>
      <c r="O5" s="506"/>
      <c r="P5" s="506">
        <v>8</v>
      </c>
      <c r="Q5" s="506"/>
    </row>
    <row r="6" spans="1:17" ht="15.75" customHeight="1">
      <c r="A6" s="475"/>
      <c r="B6" s="624" t="s">
        <v>303</v>
      </c>
      <c r="C6" s="624"/>
      <c r="D6" s="624" t="s">
        <v>193</v>
      </c>
      <c r="E6" s="624"/>
      <c r="F6" s="624" t="s">
        <v>164</v>
      </c>
      <c r="G6" s="624"/>
      <c r="H6" s="475" t="s">
        <v>507</v>
      </c>
      <c r="I6" s="475"/>
      <c r="J6" s="475" t="s">
        <v>170</v>
      </c>
      <c r="K6" s="475"/>
      <c r="L6" s="475" t="s">
        <v>165</v>
      </c>
      <c r="M6" s="475"/>
      <c r="N6" s="475" t="s">
        <v>171</v>
      </c>
      <c r="O6" s="475"/>
      <c r="P6" s="622" t="s">
        <v>196</v>
      </c>
      <c r="Q6" s="475"/>
    </row>
    <row r="8" spans="1:17" s="122" customFormat="1" ht="15.75" customHeight="1">
      <c r="A8" s="632" t="s">
        <v>809</v>
      </c>
      <c r="B8" s="633"/>
      <c r="C8" s="381" t="s">
        <v>810</v>
      </c>
      <c r="D8" s="637" t="s">
        <v>12</v>
      </c>
      <c r="E8" s="638"/>
      <c r="F8" s="639"/>
      <c r="G8" s="379" t="s">
        <v>811</v>
      </c>
      <c r="H8" s="380"/>
      <c r="I8" s="381"/>
      <c r="J8" s="155" t="s">
        <v>812</v>
      </c>
      <c r="K8" s="155" t="s">
        <v>813</v>
      </c>
      <c r="L8" s="155" t="s">
        <v>814</v>
      </c>
      <c r="M8" s="155" t="s">
        <v>11</v>
      </c>
      <c r="N8" s="284" t="s">
        <v>815</v>
      </c>
      <c r="O8" s="630" t="s">
        <v>816</v>
      </c>
      <c r="P8" s="631"/>
    </row>
    <row r="9" spans="1:17" ht="15.75" customHeight="1">
      <c r="A9" s="559">
        <v>1</v>
      </c>
      <c r="B9" s="634" t="s">
        <v>817</v>
      </c>
      <c r="C9" s="156">
        <v>1</v>
      </c>
      <c r="D9" s="437">
        <v>0</v>
      </c>
      <c r="E9" s="628"/>
      <c r="F9" s="629"/>
      <c r="G9" s="437">
        <v>0</v>
      </c>
      <c r="H9" s="628"/>
      <c r="I9" s="629"/>
      <c r="J9" s="4">
        <v>0</v>
      </c>
      <c r="K9" s="14">
        <v>0</v>
      </c>
      <c r="L9" s="4">
        <v>0</v>
      </c>
      <c r="M9" s="342">
        <v>0</v>
      </c>
      <c r="N9" s="157"/>
      <c r="O9" s="621"/>
      <c r="P9" s="620"/>
    </row>
    <row r="10" spans="1:17" ht="15.75" customHeight="1">
      <c r="A10" s="560"/>
      <c r="B10" s="635"/>
      <c r="C10" s="156">
        <v>2</v>
      </c>
      <c r="D10" s="437">
        <v>0</v>
      </c>
      <c r="E10" s="628"/>
      <c r="F10" s="629"/>
      <c r="G10" s="437">
        <v>0</v>
      </c>
      <c r="H10" s="628"/>
      <c r="I10" s="629"/>
      <c r="J10" s="4">
        <v>0</v>
      </c>
      <c r="K10" s="14">
        <v>0</v>
      </c>
      <c r="L10" s="4">
        <v>0</v>
      </c>
      <c r="M10" s="342">
        <v>0</v>
      </c>
      <c r="N10" s="157"/>
      <c r="O10" s="621"/>
      <c r="P10" s="620"/>
    </row>
    <row r="11" spans="1:17" ht="15.75" customHeight="1">
      <c r="A11" s="560"/>
      <c r="B11" s="635"/>
      <c r="C11" s="156">
        <v>3</v>
      </c>
      <c r="D11" s="437">
        <v>0</v>
      </c>
      <c r="E11" s="628"/>
      <c r="F11" s="629"/>
      <c r="G11" s="437">
        <v>0</v>
      </c>
      <c r="H11" s="628"/>
      <c r="I11" s="629"/>
      <c r="J11" s="4">
        <v>0</v>
      </c>
      <c r="K11" s="14">
        <v>0</v>
      </c>
      <c r="L11" s="4">
        <v>0</v>
      </c>
      <c r="M11" s="342">
        <v>0</v>
      </c>
      <c r="N11" s="157"/>
      <c r="O11" s="621"/>
      <c r="P11" s="620"/>
    </row>
    <row r="12" spans="1:17" ht="15.75" customHeight="1">
      <c r="A12" s="560"/>
      <c r="B12" s="635"/>
      <c r="C12" s="156">
        <v>4</v>
      </c>
      <c r="D12" s="437">
        <v>0</v>
      </c>
      <c r="E12" s="628"/>
      <c r="F12" s="629"/>
      <c r="G12" s="437">
        <v>0</v>
      </c>
      <c r="H12" s="628"/>
      <c r="I12" s="629"/>
      <c r="J12" s="4">
        <v>0</v>
      </c>
      <c r="K12" s="14">
        <v>0</v>
      </c>
      <c r="L12" s="4">
        <v>0</v>
      </c>
      <c r="M12" s="342">
        <v>0</v>
      </c>
      <c r="N12" s="157"/>
      <c r="O12" s="621"/>
      <c r="P12" s="620"/>
    </row>
    <row r="13" spans="1:17" ht="15.75" customHeight="1" thickBot="1">
      <c r="A13" s="560"/>
      <c r="B13" s="635"/>
      <c r="C13" s="158">
        <v>5</v>
      </c>
      <c r="D13" s="437">
        <v>0</v>
      </c>
      <c r="E13" s="628"/>
      <c r="F13" s="629"/>
      <c r="G13" s="437">
        <v>0</v>
      </c>
      <c r="H13" s="628"/>
      <c r="I13" s="629"/>
      <c r="J13" s="4">
        <v>0</v>
      </c>
      <c r="K13" s="14">
        <v>0</v>
      </c>
      <c r="L13" s="4">
        <v>0</v>
      </c>
      <c r="M13" s="342">
        <v>0</v>
      </c>
      <c r="N13" s="157"/>
      <c r="O13" s="621"/>
      <c r="P13" s="620"/>
    </row>
    <row r="14" spans="1:17" ht="15.75" customHeight="1" thickTop="1" thickBot="1">
      <c r="A14" s="561"/>
      <c r="B14" s="636"/>
      <c r="C14" s="640"/>
      <c r="D14" s="641"/>
      <c r="E14" s="641"/>
      <c r="F14" s="641"/>
      <c r="G14" s="641"/>
      <c r="H14" s="641"/>
      <c r="I14" s="642"/>
      <c r="J14" s="283" t="s">
        <v>818</v>
      </c>
      <c r="K14" s="222">
        <v>0</v>
      </c>
      <c r="L14" s="283" t="s">
        <v>819</v>
      </c>
      <c r="M14" s="343">
        <v>0</v>
      </c>
      <c r="N14" s="625"/>
      <c r="O14" s="626"/>
      <c r="P14" s="627"/>
    </row>
    <row r="15" spans="1:17" ht="15.75" customHeight="1" thickTop="1"/>
    <row r="16" spans="1:17" ht="15.75" customHeight="1">
      <c r="A16" s="632" t="s">
        <v>809</v>
      </c>
      <c r="B16" s="633"/>
      <c r="C16" s="381" t="s">
        <v>810</v>
      </c>
      <c r="D16" s="637" t="s">
        <v>12</v>
      </c>
      <c r="E16" s="638"/>
      <c r="F16" s="639"/>
      <c r="G16" s="379" t="s">
        <v>811</v>
      </c>
      <c r="H16" s="380"/>
      <c r="I16" s="381"/>
      <c r="J16" s="155" t="s">
        <v>812</v>
      </c>
      <c r="K16" s="155" t="s">
        <v>813</v>
      </c>
      <c r="L16" s="155" t="s">
        <v>814</v>
      </c>
      <c r="M16" s="155" t="s">
        <v>11</v>
      </c>
      <c r="N16" s="284" t="s">
        <v>815</v>
      </c>
      <c r="O16" s="630" t="s">
        <v>816</v>
      </c>
      <c r="P16" s="631"/>
    </row>
    <row r="17" spans="1:16" ht="15.75" customHeight="1">
      <c r="A17" s="559">
        <v>2</v>
      </c>
      <c r="B17" s="634" t="s">
        <v>820</v>
      </c>
      <c r="C17" s="156">
        <v>1</v>
      </c>
      <c r="D17" s="437" t="s">
        <v>533</v>
      </c>
      <c r="E17" s="628"/>
      <c r="F17" s="629"/>
      <c r="G17" s="437" t="s">
        <v>821</v>
      </c>
      <c r="H17" s="628"/>
      <c r="I17" s="629"/>
      <c r="J17" s="4">
        <v>462.04</v>
      </c>
      <c r="K17" s="14">
        <v>3.3467202141900937E-2</v>
      </c>
      <c r="L17" s="4">
        <v>0.4</v>
      </c>
      <c r="M17" s="342">
        <v>184.81600000000003</v>
      </c>
      <c r="N17" s="157"/>
      <c r="O17" s="619" t="s">
        <v>822</v>
      </c>
      <c r="P17" s="620"/>
    </row>
    <row r="18" spans="1:16" ht="15.75" customHeight="1">
      <c r="A18" s="560"/>
      <c r="B18" s="635"/>
      <c r="C18" s="156">
        <v>2</v>
      </c>
      <c r="D18" s="437" t="s">
        <v>647</v>
      </c>
      <c r="E18" s="628"/>
      <c r="F18" s="629"/>
      <c r="G18" s="437" t="s">
        <v>823</v>
      </c>
      <c r="H18" s="628"/>
      <c r="I18" s="629"/>
      <c r="J18" s="4">
        <v>238.65</v>
      </c>
      <c r="K18" s="14">
        <v>5.9161595672751859E-2</v>
      </c>
      <c r="L18" s="4">
        <v>0.70000000000000007</v>
      </c>
      <c r="M18" s="342">
        <v>167.05500000000001</v>
      </c>
      <c r="N18" s="157"/>
      <c r="O18" s="619" t="s">
        <v>822</v>
      </c>
      <c r="P18" s="620"/>
    </row>
    <row r="19" spans="1:16" ht="15.75" customHeight="1">
      <c r="A19" s="560"/>
      <c r="B19" s="635"/>
      <c r="C19" s="156">
        <v>3</v>
      </c>
      <c r="D19" s="437">
        <v>0</v>
      </c>
      <c r="E19" s="628"/>
      <c r="F19" s="629"/>
      <c r="G19" s="437">
        <v>0</v>
      </c>
      <c r="H19" s="628"/>
      <c r="I19" s="629"/>
      <c r="J19" s="4">
        <v>0</v>
      </c>
      <c r="K19" s="14">
        <v>0</v>
      </c>
      <c r="L19" s="4">
        <v>0</v>
      </c>
      <c r="M19" s="342">
        <v>0</v>
      </c>
      <c r="N19" s="157"/>
      <c r="O19" s="621"/>
      <c r="P19" s="620"/>
    </row>
    <row r="20" spans="1:16" ht="15.75" customHeight="1">
      <c r="A20" s="560"/>
      <c r="B20" s="635"/>
      <c r="C20" s="156">
        <v>4</v>
      </c>
      <c r="D20" s="437">
        <v>0</v>
      </c>
      <c r="E20" s="628"/>
      <c r="F20" s="629"/>
      <c r="G20" s="437">
        <v>0</v>
      </c>
      <c r="H20" s="628"/>
      <c r="I20" s="629"/>
      <c r="J20" s="4">
        <v>0</v>
      </c>
      <c r="K20" s="14">
        <v>0</v>
      </c>
      <c r="L20" s="4">
        <v>0</v>
      </c>
      <c r="M20" s="342">
        <v>0</v>
      </c>
      <c r="N20" s="157"/>
      <c r="O20" s="621"/>
      <c r="P20" s="620"/>
    </row>
    <row r="21" spans="1:16" ht="15.75" customHeight="1" thickBot="1">
      <c r="A21" s="560"/>
      <c r="B21" s="635"/>
      <c r="C21" s="158">
        <v>5</v>
      </c>
      <c r="D21" s="437">
        <v>0</v>
      </c>
      <c r="E21" s="628"/>
      <c r="F21" s="629"/>
      <c r="G21" s="437">
        <v>0</v>
      </c>
      <c r="H21" s="628"/>
      <c r="I21" s="629"/>
      <c r="J21" s="4">
        <v>0</v>
      </c>
      <c r="K21" s="14">
        <v>0</v>
      </c>
      <c r="L21" s="4">
        <v>0</v>
      </c>
      <c r="M21" s="342">
        <v>0</v>
      </c>
      <c r="N21" s="159"/>
      <c r="O21" s="621"/>
      <c r="P21" s="620"/>
    </row>
    <row r="22" spans="1:16" ht="15.75" customHeight="1" thickTop="1" thickBot="1">
      <c r="A22" s="561"/>
      <c r="B22" s="636"/>
      <c r="C22" s="643"/>
      <c r="D22" s="644"/>
      <c r="E22" s="644"/>
      <c r="F22" s="644"/>
      <c r="G22" s="644"/>
      <c r="H22" s="644"/>
      <c r="I22" s="645"/>
      <c r="J22" s="283" t="s">
        <v>818</v>
      </c>
      <c r="K22" s="222">
        <v>2.2018656864872307E-3</v>
      </c>
      <c r="L22" s="283" t="s">
        <v>819</v>
      </c>
      <c r="M22" s="343">
        <v>351.87100000000004</v>
      </c>
      <c r="N22" s="625"/>
      <c r="O22" s="626"/>
      <c r="P22" s="627"/>
    </row>
    <row r="23" spans="1:16" ht="15.75" customHeight="1" thickTop="1"/>
    <row r="24" spans="1:16" ht="15.75" customHeight="1">
      <c r="A24" s="632" t="s">
        <v>809</v>
      </c>
      <c r="B24" s="633"/>
      <c r="C24" s="381" t="s">
        <v>810</v>
      </c>
      <c r="D24" s="637" t="s">
        <v>12</v>
      </c>
      <c r="E24" s="638"/>
      <c r="F24" s="639"/>
      <c r="G24" s="379" t="s">
        <v>811</v>
      </c>
      <c r="H24" s="380"/>
      <c r="I24" s="381"/>
      <c r="J24" s="155" t="s">
        <v>812</v>
      </c>
      <c r="K24" s="155" t="s">
        <v>813</v>
      </c>
      <c r="L24" s="155" t="s">
        <v>814</v>
      </c>
      <c r="M24" s="155" t="s">
        <v>11</v>
      </c>
      <c r="N24" s="284" t="s">
        <v>815</v>
      </c>
      <c r="O24" s="630" t="s">
        <v>816</v>
      </c>
      <c r="P24" s="631"/>
    </row>
    <row r="25" spans="1:16" ht="15.75" customHeight="1">
      <c r="A25" s="559">
        <v>3</v>
      </c>
      <c r="B25" s="634" t="s">
        <v>824</v>
      </c>
      <c r="C25" s="156">
        <v>1</v>
      </c>
      <c r="D25" s="437" t="s">
        <v>649</v>
      </c>
      <c r="E25" s="628"/>
      <c r="F25" s="629"/>
      <c r="G25" s="437" t="s">
        <v>653</v>
      </c>
      <c r="H25" s="628"/>
      <c r="I25" s="629"/>
      <c r="J25" s="4">
        <v>109.27</v>
      </c>
      <c r="K25" s="14">
        <v>1.5784489108702515E-2</v>
      </c>
      <c r="L25" s="4">
        <v>1.8</v>
      </c>
      <c r="M25" s="342">
        <v>196.68600000000001</v>
      </c>
      <c r="N25" s="157"/>
      <c r="O25" s="621" t="s">
        <v>825</v>
      </c>
      <c r="P25" s="620"/>
    </row>
    <row r="26" spans="1:16" ht="15.75" customHeight="1">
      <c r="A26" s="560"/>
      <c r="B26" s="635"/>
      <c r="C26" s="156">
        <v>2</v>
      </c>
      <c r="D26" s="437" t="s">
        <v>531</v>
      </c>
      <c r="E26" s="628"/>
      <c r="F26" s="629"/>
      <c r="G26" s="437" t="s">
        <v>826</v>
      </c>
      <c r="H26" s="628"/>
      <c r="I26" s="629"/>
      <c r="J26" s="4">
        <v>258.37</v>
      </c>
      <c r="K26" s="14">
        <v>2.2250476795931343E-2</v>
      </c>
      <c r="L26" s="4">
        <v>0.70000000000000007</v>
      </c>
      <c r="M26" s="342">
        <v>180.85900000000001</v>
      </c>
      <c r="N26" s="157"/>
      <c r="O26" s="621" t="s">
        <v>825</v>
      </c>
      <c r="P26" s="620"/>
    </row>
    <row r="27" spans="1:16" ht="15.75" customHeight="1">
      <c r="A27" s="560"/>
      <c r="B27" s="635"/>
      <c r="C27" s="156">
        <v>3</v>
      </c>
      <c r="D27" s="437" t="s">
        <v>637</v>
      </c>
      <c r="E27" s="628"/>
      <c r="F27" s="629"/>
      <c r="G27" s="437" t="s">
        <v>742</v>
      </c>
      <c r="H27" s="628"/>
      <c r="I27" s="629"/>
      <c r="J27" s="4">
        <v>143.99</v>
      </c>
      <c r="K27" s="14">
        <v>1.6874077198903187E-2</v>
      </c>
      <c r="L27" s="4">
        <v>1.2</v>
      </c>
      <c r="M27" s="342">
        <v>172.78800000000001</v>
      </c>
      <c r="N27" s="157"/>
      <c r="O27" s="621" t="s">
        <v>825</v>
      </c>
      <c r="P27" s="620"/>
    </row>
    <row r="28" spans="1:16" ht="15.75" customHeight="1">
      <c r="A28" s="560"/>
      <c r="B28" s="635"/>
      <c r="C28" s="156">
        <v>4</v>
      </c>
      <c r="D28" s="437" t="s">
        <v>732</v>
      </c>
      <c r="E28" s="628"/>
      <c r="F28" s="629"/>
      <c r="G28" s="437" t="s">
        <v>827</v>
      </c>
      <c r="H28" s="628"/>
      <c r="I28" s="629"/>
      <c r="J28" s="4">
        <v>71.959999999999994</v>
      </c>
      <c r="K28" s="14">
        <v>1.3723150357995225E-2</v>
      </c>
      <c r="L28" s="4">
        <v>2.2999999999999998</v>
      </c>
      <c r="M28" s="342">
        <v>165.50799999999998</v>
      </c>
      <c r="N28" s="157"/>
      <c r="O28" s="621" t="s">
        <v>825</v>
      </c>
      <c r="P28" s="620"/>
    </row>
    <row r="29" spans="1:16" ht="15.75" customHeight="1" thickBot="1">
      <c r="A29" s="560"/>
      <c r="B29" s="635"/>
      <c r="C29" s="158">
        <v>5</v>
      </c>
      <c r="D29" s="437">
        <v>0</v>
      </c>
      <c r="E29" s="628"/>
      <c r="F29" s="629"/>
      <c r="G29" s="437">
        <v>0</v>
      </c>
      <c r="H29" s="628"/>
      <c r="I29" s="629"/>
      <c r="J29" s="4">
        <v>0</v>
      </c>
      <c r="K29" s="14">
        <v>0</v>
      </c>
      <c r="L29" s="4">
        <v>0</v>
      </c>
      <c r="M29" s="342">
        <v>0</v>
      </c>
      <c r="N29" s="159"/>
      <c r="O29" s="621"/>
      <c r="P29" s="620"/>
    </row>
    <row r="30" spans="1:16" ht="15.75" customHeight="1" thickTop="1" thickBot="1">
      <c r="A30" s="561"/>
      <c r="B30" s="636"/>
      <c r="C30" s="640"/>
      <c r="D30" s="641"/>
      <c r="E30" s="641"/>
      <c r="F30" s="641"/>
      <c r="G30" s="641"/>
      <c r="H30" s="641"/>
      <c r="I30" s="642"/>
      <c r="J30" s="283" t="s">
        <v>818</v>
      </c>
      <c r="K30" s="222">
        <v>4.4794419968701756E-3</v>
      </c>
      <c r="L30" s="283" t="s">
        <v>819</v>
      </c>
      <c r="M30" s="343">
        <v>715.84100000000012</v>
      </c>
      <c r="N30" s="625"/>
      <c r="O30" s="626"/>
      <c r="P30" s="627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sqref="A1:Q2"/>
    </sheetView>
  </sheetViews>
  <sheetFormatPr defaultColWidth="12.5703125" defaultRowHeight="15.75" customHeight="1"/>
  <cols>
    <col min="1" max="1" width="5.42578125" style="2" customWidth="1"/>
    <col min="2" max="2" width="11.42578125" style="106" customWidth="1"/>
    <col min="3" max="3" width="4" style="104" customWidth="1"/>
    <col min="4" max="17" width="9.5703125" style="2" customWidth="1"/>
    <col min="18" max="16384" width="12.5703125" style="2"/>
  </cols>
  <sheetData>
    <row r="1" spans="1:17" s="115" customFormat="1" ht="15.75" customHeight="1">
      <c r="A1" s="459" t="s">
        <v>186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</row>
    <row r="2" spans="1:17" s="116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</row>
    <row r="3" spans="1:17" s="115" customFormat="1" ht="15.75" customHeight="1">
      <c r="A3" s="509" t="s">
        <v>192</v>
      </c>
      <c r="B3" s="510"/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</row>
    <row r="4" spans="1:17" s="116" customFormat="1" ht="15.75" customHeight="1">
      <c r="A4" s="510"/>
      <c r="B4" s="510"/>
      <c r="C4" s="510"/>
      <c r="D4" s="510"/>
      <c r="E4" s="510"/>
      <c r="F4" s="510"/>
      <c r="G4" s="510"/>
      <c r="H4" s="510"/>
      <c r="I4" s="510"/>
      <c r="J4" s="510"/>
      <c r="K4" s="510"/>
      <c r="L4" s="510"/>
      <c r="M4" s="510"/>
    </row>
    <row r="5" spans="1:17" s="115" customFormat="1" ht="15.75" customHeight="1">
      <c r="A5" s="475" t="s">
        <v>172</v>
      </c>
      <c r="B5" s="506">
        <v>1</v>
      </c>
      <c r="C5" s="506"/>
      <c r="D5" s="506">
        <v>2</v>
      </c>
      <c r="E5" s="506"/>
      <c r="F5" s="506">
        <v>3</v>
      </c>
      <c r="G5" s="506"/>
      <c r="H5" s="623">
        <v>4</v>
      </c>
      <c r="I5" s="623"/>
      <c r="J5" s="623">
        <v>5</v>
      </c>
      <c r="K5" s="623"/>
      <c r="L5" s="623">
        <v>6</v>
      </c>
      <c r="M5" s="623"/>
      <c r="N5" s="623">
        <v>7</v>
      </c>
      <c r="O5" s="623"/>
      <c r="P5" s="506">
        <v>8</v>
      </c>
      <c r="Q5" s="506"/>
    </row>
    <row r="6" spans="1:17" s="115" customFormat="1" ht="15.75" customHeight="1">
      <c r="A6" s="475"/>
      <c r="B6" s="475" t="s">
        <v>304</v>
      </c>
      <c r="C6" s="475"/>
      <c r="D6" s="475" t="s">
        <v>193</v>
      </c>
      <c r="E6" s="475"/>
      <c r="F6" s="475" t="s">
        <v>164</v>
      </c>
      <c r="G6" s="475"/>
      <c r="H6" s="624" t="s">
        <v>507</v>
      </c>
      <c r="I6" s="624"/>
      <c r="J6" s="624" t="s">
        <v>170</v>
      </c>
      <c r="K6" s="624"/>
      <c r="L6" s="624" t="s">
        <v>165</v>
      </c>
      <c r="M6" s="624"/>
      <c r="N6" s="624" t="s">
        <v>171</v>
      </c>
      <c r="O6" s="624"/>
      <c r="P6" s="622" t="s">
        <v>196</v>
      </c>
      <c r="Q6" s="475"/>
    </row>
    <row r="7" spans="1:17" s="115" customFormat="1" ht="15.75" customHeight="1">
      <c r="B7" s="160"/>
      <c r="C7" s="147"/>
    </row>
    <row r="8" spans="1:17" s="105" customFormat="1" ht="15.75" customHeight="1">
      <c r="A8" s="647" t="s">
        <v>809</v>
      </c>
      <c r="B8" s="648"/>
      <c r="C8" s="112" t="s">
        <v>810</v>
      </c>
      <c r="D8" s="649" t="s">
        <v>12</v>
      </c>
      <c r="E8" s="650"/>
      <c r="F8" s="651"/>
      <c r="G8" s="110" t="s">
        <v>811</v>
      </c>
      <c r="H8" s="111"/>
      <c r="I8" s="112"/>
      <c r="J8" s="109" t="s">
        <v>812</v>
      </c>
      <c r="K8" s="109" t="s">
        <v>813</v>
      </c>
      <c r="L8" s="109" t="s">
        <v>814</v>
      </c>
      <c r="M8" s="113" t="s">
        <v>11</v>
      </c>
      <c r="N8" s="284" t="s">
        <v>815</v>
      </c>
      <c r="O8" s="652" t="s">
        <v>816</v>
      </c>
      <c r="P8" s="653"/>
    </row>
    <row r="9" spans="1:17" ht="15.75" customHeight="1">
      <c r="A9" s="648">
        <v>4</v>
      </c>
      <c r="B9" s="654" t="s">
        <v>507</v>
      </c>
      <c r="C9" s="107">
        <v>1</v>
      </c>
      <c r="D9" s="437" t="s">
        <v>349</v>
      </c>
      <c r="E9" s="628"/>
      <c r="F9" s="629"/>
      <c r="G9" s="437" t="s">
        <v>828</v>
      </c>
      <c r="H9" s="628"/>
      <c r="I9" s="629"/>
      <c r="J9" s="4">
        <v>90.4</v>
      </c>
      <c r="K9" s="14">
        <v>1.0915297293006273E-2</v>
      </c>
      <c r="L9" s="4">
        <v>2.2000000000000002</v>
      </c>
      <c r="M9" s="342">
        <v>198.88000000000002</v>
      </c>
      <c r="N9" s="4"/>
      <c r="O9" s="621" t="s">
        <v>829</v>
      </c>
      <c r="P9" s="646"/>
    </row>
    <row r="10" spans="1:17" ht="15.75" customHeight="1">
      <c r="A10" s="648"/>
      <c r="B10" s="654"/>
      <c r="C10" s="107">
        <v>2</v>
      </c>
      <c r="D10" s="437" t="s">
        <v>539</v>
      </c>
      <c r="E10" s="628"/>
      <c r="F10" s="629"/>
      <c r="G10" s="437" t="s">
        <v>739</v>
      </c>
      <c r="H10" s="628"/>
      <c r="I10" s="629"/>
      <c r="J10" s="4">
        <v>240.51</v>
      </c>
      <c r="K10" s="14">
        <v>0.01</v>
      </c>
      <c r="L10" s="4">
        <v>0.8</v>
      </c>
      <c r="M10" s="342">
        <v>192.40800000000002</v>
      </c>
      <c r="N10" s="4"/>
      <c r="O10" s="621" t="s">
        <v>829</v>
      </c>
      <c r="P10" s="646"/>
    </row>
    <row r="11" spans="1:17" ht="15.75" customHeight="1">
      <c r="A11" s="648"/>
      <c r="B11" s="654"/>
      <c r="C11" s="107">
        <v>3</v>
      </c>
      <c r="D11" s="437" t="s">
        <v>333</v>
      </c>
      <c r="E11" s="628"/>
      <c r="F11" s="629"/>
      <c r="G11" s="437" t="s">
        <v>830</v>
      </c>
      <c r="H11" s="628"/>
      <c r="I11" s="629"/>
      <c r="J11" s="4">
        <v>127.66</v>
      </c>
      <c r="K11" s="14">
        <v>1.1784300169693923E-2</v>
      </c>
      <c r="L11" s="4">
        <v>1.5</v>
      </c>
      <c r="M11" s="342">
        <v>191.49</v>
      </c>
      <c r="N11" s="4"/>
      <c r="O11" s="621" t="s">
        <v>829</v>
      </c>
      <c r="P11" s="646"/>
    </row>
    <row r="12" spans="1:17" ht="15.75" customHeight="1">
      <c r="A12" s="648"/>
      <c r="B12" s="654"/>
      <c r="C12" s="107">
        <v>4</v>
      </c>
      <c r="D12" s="437" t="s">
        <v>333</v>
      </c>
      <c r="E12" s="628"/>
      <c r="F12" s="629"/>
      <c r="G12" s="437" t="s">
        <v>536</v>
      </c>
      <c r="H12" s="628"/>
      <c r="I12" s="629"/>
      <c r="J12" s="4">
        <v>111.17</v>
      </c>
      <c r="K12" s="14">
        <v>5.8202833450880231E-3</v>
      </c>
      <c r="L12" s="4">
        <v>1.7</v>
      </c>
      <c r="M12" s="342">
        <v>188.989</v>
      </c>
      <c r="N12" s="4"/>
      <c r="O12" s="621" t="s">
        <v>829</v>
      </c>
      <c r="P12" s="646"/>
    </row>
    <row r="13" spans="1:17" ht="15.75" customHeight="1" thickBot="1">
      <c r="A13" s="648"/>
      <c r="B13" s="654"/>
      <c r="C13" s="108">
        <v>5</v>
      </c>
      <c r="D13" s="437" t="s">
        <v>737</v>
      </c>
      <c r="E13" s="628"/>
      <c r="F13" s="629"/>
      <c r="G13" s="437" t="s">
        <v>740</v>
      </c>
      <c r="H13" s="628"/>
      <c r="I13" s="629"/>
      <c r="J13" s="4">
        <v>118.03</v>
      </c>
      <c r="K13" s="14">
        <v>7.2411296162201303E-3</v>
      </c>
      <c r="L13" s="4">
        <v>1.6</v>
      </c>
      <c r="M13" s="342">
        <v>188.84800000000001</v>
      </c>
      <c r="N13" s="27"/>
      <c r="O13" s="621" t="s">
        <v>829</v>
      </c>
      <c r="P13" s="646"/>
    </row>
    <row r="14" spans="1:17" ht="15.75" customHeight="1" thickTop="1" thickBot="1">
      <c r="A14" s="648"/>
      <c r="B14" s="654"/>
      <c r="C14" s="656"/>
      <c r="D14" s="656"/>
      <c r="E14" s="656"/>
      <c r="F14" s="656"/>
      <c r="G14" s="656"/>
      <c r="H14" s="656"/>
      <c r="I14" s="656"/>
      <c r="J14" s="223" t="s">
        <v>818</v>
      </c>
      <c r="K14" s="222">
        <v>6.0111381910556167E-3</v>
      </c>
      <c r="L14" s="223" t="s">
        <v>819</v>
      </c>
      <c r="M14" s="343">
        <v>960.61500000000001</v>
      </c>
      <c r="N14" s="655"/>
      <c r="O14" s="655"/>
      <c r="P14" s="655"/>
    </row>
    <row r="15" spans="1:17" ht="15.75" customHeight="1" thickTop="1"/>
    <row r="16" spans="1:17" ht="15.75" customHeight="1">
      <c r="A16" s="647" t="s">
        <v>809</v>
      </c>
      <c r="B16" s="648"/>
      <c r="C16" s="112" t="s">
        <v>810</v>
      </c>
      <c r="D16" s="649" t="s">
        <v>12</v>
      </c>
      <c r="E16" s="650"/>
      <c r="F16" s="651"/>
      <c r="G16" s="110" t="s">
        <v>811</v>
      </c>
      <c r="H16" s="111"/>
      <c r="I16" s="112"/>
      <c r="J16" s="109" t="s">
        <v>812</v>
      </c>
      <c r="K16" s="109" t="s">
        <v>813</v>
      </c>
      <c r="L16" s="109" t="s">
        <v>831</v>
      </c>
      <c r="M16" s="113" t="s">
        <v>11</v>
      </c>
      <c r="N16" s="284" t="s">
        <v>815</v>
      </c>
      <c r="O16" s="652" t="s">
        <v>816</v>
      </c>
      <c r="P16" s="653"/>
    </row>
    <row r="17" spans="1:16" ht="15.75" customHeight="1">
      <c r="A17" s="648">
        <v>5</v>
      </c>
      <c r="B17" s="657" t="s">
        <v>194</v>
      </c>
      <c r="C17" s="107">
        <v>1</v>
      </c>
      <c r="D17" s="437" t="s">
        <v>647</v>
      </c>
      <c r="E17" s="628"/>
      <c r="F17" s="629"/>
      <c r="G17" s="437" t="s">
        <v>648</v>
      </c>
      <c r="H17" s="628"/>
      <c r="I17" s="629"/>
      <c r="J17" s="4">
        <v>325.01</v>
      </c>
      <c r="K17" s="14">
        <v>1.3714285714285717E-2</v>
      </c>
      <c r="L17" s="4">
        <v>0.60000000000000009</v>
      </c>
      <c r="M17" s="342">
        <v>195.00600000000003</v>
      </c>
      <c r="N17" s="4"/>
      <c r="O17" s="621" t="s">
        <v>520</v>
      </c>
      <c r="P17" s="646"/>
    </row>
    <row r="18" spans="1:16" ht="15.75" customHeight="1">
      <c r="A18" s="648"/>
      <c r="B18" s="654"/>
      <c r="C18" s="107">
        <v>2</v>
      </c>
      <c r="D18" s="437" t="s">
        <v>329</v>
      </c>
      <c r="E18" s="628"/>
      <c r="F18" s="629"/>
      <c r="G18" s="437" t="s">
        <v>666</v>
      </c>
      <c r="H18" s="628"/>
      <c r="I18" s="629"/>
      <c r="J18" s="4">
        <v>272.74</v>
      </c>
      <c r="K18" s="14">
        <v>1.1784511784511786E-2</v>
      </c>
      <c r="L18" s="4">
        <v>0.70000000000000007</v>
      </c>
      <c r="M18" s="342">
        <v>190.91800000000003</v>
      </c>
      <c r="N18" s="4"/>
      <c r="O18" s="621" t="s">
        <v>520</v>
      </c>
      <c r="P18" s="646"/>
    </row>
    <row r="19" spans="1:16" ht="15.75" customHeight="1">
      <c r="A19" s="648"/>
      <c r="B19" s="654"/>
      <c r="C19" s="107">
        <v>3</v>
      </c>
      <c r="D19" s="437" t="s">
        <v>637</v>
      </c>
      <c r="E19" s="628"/>
      <c r="F19" s="629"/>
      <c r="G19" s="437" t="s">
        <v>741</v>
      </c>
      <c r="H19" s="628"/>
      <c r="I19" s="629"/>
      <c r="J19" s="4">
        <v>272.57</v>
      </c>
      <c r="K19" s="14">
        <v>1.2534694242994002E-2</v>
      </c>
      <c r="L19" s="4">
        <v>0.70000000000000007</v>
      </c>
      <c r="M19" s="342">
        <v>190.79900000000001</v>
      </c>
      <c r="N19" s="4"/>
      <c r="O19" s="621" t="s">
        <v>520</v>
      </c>
      <c r="P19" s="646"/>
    </row>
    <row r="20" spans="1:16" ht="15.75" customHeight="1">
      <c r="A20" s="648"/>
      <c r="B20" s="654"/>
      <c r="C20" s="107">
        <v>4</v>
      </c>
      <c r="D20" s="437" t="s">
        <v>505</v>
      </c>
      <c r="E20" s="628"/>
      <c r="F20" s="629"/>
      <c r="G20" s="437" t="s">
        <v>727</v>
      </c>
      <c r="H20" s="628"/>
      <c r="I20" s="629"/>
      <c r="J20" s="4">
        <v>237.97</v>
      </c>
      <c r="K20" s="14">
        <v>2.2544101899340589E-2</v>
      </c>
      <c r="L20" s="4">
        <v>0.8</v>
      </c>
      <c r="M20" s="342">
        <v>190.376</v>
      </c>
      <c r="N20" s="4"/>
      <c r="O20" s="621" t="s">
        <v>520</v>
      </c>
      <c r="P20" s="646"/>
    </row>
    <row r="21" spans="1:16" ht="15.75" customHeight="1" thickBot="1">
      <c r="A21" s="648"/>
      <c r="B21" s="654"/>
      <c r="C21" s="108">
        <v>5</v>
      </c>
      <c r="D21" s="437" t="s">
        <v>623</v>
      </c>
      <c r="E21" s="628"/>
      <c r="F21" s="629"/>
      <c r="G21" s="437" t="s">
        <v>624</v>
      </c>
      <c r="H21" s="628"/>
      <c r="I21" s="629"/>
      <c r="J21" s="4">
        <v>310.27999999999997</v>
      </c>
      <c r="K21" s="14">
        <v>9.8749177090190939E-3</v>
      </c>
      <c r="L21" s="4">
        <v>0.60000000000000009</v>
      </c>
      <c r="M21" s="342">
        <v>186.16800000000001</v>
      </c>
      <c r="N21" s="4"/>
      <c r="O21" s="621" t="s">
        <v>520</v>
      </c>
      <c r="P21" s="646"/>
    </row>
    <row r="22" spans="1:16" ht="15.75" customHeight="1" thickTop="1" thickBot="1">
      <c r="A22" s="648"/>
      <c r="B22" s="654"/>
      <c r="C22" s="661"/>
      <c r="D22" s="661"/>
      <c r="E22" s="661"/>
      <c r="F22" s="661"/>
      <c r="G22" s="661"/>
      <c r="H22" s="661"/>
      <c r="I22" s="662"/>
      <c r="J22" s="114" t="s">
        <v>818</v>
      </c>
      <c r="K22" s="222">
        <v>5.965157393933068E-3</v>
      </c>
      <c r="L22" s="114" t="s">
        <v>819</v>
      </c>
      <c r="M22" s="343">
        <v>953.26700000000005</v>
      </c>
      <c r="N22" s="658"/>
      <c r="O22" s="659"/>
      <c r="P22" s="660"/>
    </row>
    <row r="23" spans="1:16" ht="15.75" customHeight="1" thickTop="1"/>
    <row r="24" spans="1:16" ht="15.75" customHeight="1">
      <c r="A24" s="647" t="s">
        <v>809</v>
      </c>
      <c r="B24" s="648"/>
      <c r="C24" s="112" t="s">
        <v>810</v>
      </c>
      <c r="D24" s="649" t="s">
        <v>12</v>
      </c>
      <c r="E24" s="650"/>
      <c r="F24" s="651"/>
      <c r="G24" s="110" t="s">
        <v>811</v>
      </c>
      <c r="H24" s="111"/>
      <c r="I24" s="112"/>
      <c r="J24" s="109" t="s">
        <v>832</v>
      </c>
      <c r="K24" s="109" t="s">
        <v>813</v>
      </c>
      <c r="L24" s="109" t="s">
        <v>833</v>
      </c>
      <c r="M24" s="113" t="s">
        <v>11</v>
      </c>
      <c r="N24" s="284" t="s">
        <v>815</v>
      </c>
      <c r="O24" s="652" t="s">
        <v>816</v>
      </c>
      <c r="P24" s="653"/>
    </row>
    <row r="25" spans="1:16" ht="15.75" customHeight="1">
      <c r="A25" s="648">
        <v>6</v>
      </c>
      <c r="B25" s="657" t="s">
        <v>195</v>
      </c>
      <c r="C25" s="107">
        <v>1</v>
      </c>
      <c r="D25" s="437" t="s">
        <v>579</v>
      </c>
      <c r="E25" s="628"/>
      <c r="F25" s="629"/>
      <c r="G25" s="437" t="s">
        <v>335</v>
      </c>
      <c r="H25" s="628"/>
      <c r="I25" s="629"/>
      <c r="J25" s="4">
        <v>487.6</v>
      </c>
      <c r="K25" s="14">
        <v>1.2268433321064901E-2</v>
      </c>
      <c r="L25" s="4">
        <v>0.4</v>
      </c>
      <c r="M25" s="342">
        <v>195.04000000000002</v>
      </c>
      <c r="N25" s="4"/>
      <c r="O25" s="621" t="s">
        <v>614</v>
      </c>
      <c r="P25" s="646"/>
    </row>
    <row r="26" spans="1:16" ht="15.75" customHeight="1">
      <c r="A26" s="648"/>
      <c r="B26" s="654"/>
      <c r="C26" s="107">
        <v>2</v>
      </c>
      <c r="D26" s="437" t="s">
        <v>578</v>
      </c>
      <c r="E26" s="628"/>
      <c r="F26" s="629"/>
      <c r="G26" s="437" t="s">
        <v>665</v>
      </c>
      <c r="H26" s="628"/>
      <c r="I26" s="629"/>
      <c r="J26" s="4">
        <v>444.88</v>
      </c>
      <c r="K26" s="14">
        <v>2.3716352424997037E-2</v>
      </c>
      <c r="L26" s="4">
        <v>0.4</v>
      </c>
      <c r="M26" s="342">
        <v>177.952</v>
      </c>
      <c r="N26" s="4"/>
      <c r="O26" s="621" t="s">
        <v>614</v>
      </c>
      <c r="P26" s="646"/>
    </row>
    <row r="27" spans="1:16" ht="15.75" customHeight="1">
      <c r="A27" s="648"/>
      <c r="B27" s="654"/>
      <c r="C27" s="107">
        <v>3</v>
      </c>
      <c r="D27" s="437">
        <v>0</v>
      </c>
      <c r="E27" s="628"/>
      <c r="F27" s="629"/>
      <c r="G27" s="437">
        <v>0</v>
      </c>
      <c r="H27" s="628"/>
      <c r="I27" s="629"/>
      <c r="J27" s="4">
        <v>0</v>
      </c>
      <c r="K27" s="14">
        <v>0</v>
      </c>
      <c r="L27" s="4">
        <v>0</v>
      </c>
      <c r="M27" s="342">
        <v>0</v>
      </c>
      <c r="N27" s="4"/>
      <c r="O27" s="621"/>
      <c r="P27" s="646"/>
    </row>
    <row r="28" spans="1:16" ht="15.75" customHeight="1">
      <c r="A28" s="648"/>
      <c r="B28" s="654"/>
      <c r="C28" s="107">
        <v>4</v>
      </c>
      <c r="D28" s="437">
        <v>0</v>
      </c>
      <c r="E28" s="628"/>
      <c r="F28" s="629"/>
      <c r="G28" s="437">
        <v>0</v>
      </c>
      <c r="H28" s="628"/>
      <c r="I28" s="629"/>
      <c r="J28" s="4">
        <v>0</v>
      </c>
      <c r="K28" s="14">
        <v>0</v>
      </c>
      <c r="L28" s="4">
        <v>0</v>
      </c>
      <c r="M28" s="342">
        <v>0</v>
      </c>
      <c r="N28" s="4"/>
      <c r="O28" s="621"/>
      <c r="P28" s="646"/>
    </row>
    <row r="29" spans="1:16" ht="15.75" customHeight="1" thickBot="1">
      <c r="A29" s="648"/>
      <c r="B29" s="654"/>
      <c r="C29" s="108">
        <v>5</v>
      </c>
      <c r="D29" s="437">
        <v>0</v>
      </c>
      <c r="E29" s="628"/>
      <c r="F29" s="629"/>
      <c r="G29" s="437">
        <v>0</v>
      </c>
      <c r="H29" s="628"/>
      <c r="I29" s="629"/>
      <c r="J29" s="4">
        <v>0</v>
      </c>
      <c r="K29" s="14">
        <v>0</v>
      </c>
      <c r="L29" s="4">
        <v>0</v>
      </c>
      <c r="M29" s="342">
        <v>0</v>
      </c>
      <c r="N29" s="4"/>
      <c r="O29" s="621"/>
      <c r="P29" s="646"/>
    </row>
    <row r="30" spans="1:16" ht="15.75" customHeight="1" thickTop="1" thickBot="1">
      <c r="A30" s="648"/>
      <c r="B30" s="654"/>
      <c r="C30" s="661"/>
      <c r="D30" s="661"/>
      <c r="E30" s="661"/>
      <c r="F30" s="661"/>
      <c r="G30" s="661"/>
      <c r="H30" s="661"/>
      <c r="I30" s="662"/>
      <c r="J30" s="114" t="s">
        <v>818</v>
      </c>
      <c r="K30" s="222">
        <v>2.3340323190437547E-3</v>
      </c>
      <c r="L30" s="114" t="s">
        <v>819</v>
      </c>
      <c r="M30" s="343">
        <v>372.99200000000002</v>
      </c>
      <c r="N30" s="658"/>
      <c r="O30" s="659"/>
      <c r="P30" s="660"/>
    </row>
    <row r="31" spans="1:16" ht="15.75" customHeight="1" thickTop="1"/>
    <row r="32" spans="1:16" ht="15.75" customHeight="1">
      <c r="A32" s="647" t="s">
        <v>809</v>
      </c>
      <c r="B32" s="648"/>
      <c r="C32" s="112" t="s">
        <v>810</v>
      </c>
      <c r="D32" s="649" t="s">
        <v>12</v>
      </c>
      <c r="E32" s="650"/>
      <c r="F32" s="651"/>
      <c r="G32" s="110" t="s">
        <v>811</v>
      </c>
      <c r="H32" s="111"/>
      <c r="I32" s="112"/>
      <c r="J32" s="109" t="s">
        <v>812</v>
      </c>
      <c r="K32" s="109" t="s">
        <v>813</v>
      </c>
      <c r="L32" s="109" t="s">
        <v>814</v>
      </c>
      <c r="M32" s="113" t="s">
        <v>11</v>
      </c>
      <c r="N32" s="113" t="s">
        <v>13</v>
      </c>
      <c r="O32" s="652" t="s">
        <v>816</v>
      </c>
      <c r="P32" s="653"/>
    </row>
    <row r="33" spans="1:16" ht="15.75" customHeight="1">
      <c r="A33" s="648">
        <v>7</v>
      </c>
      <c r="B33" s="657" t="s">
        <v>834</v>
      </c>
      <c r="C33" s="107">
        <v>1</v>
      </c>
      <c r="D33" s="437" t="s">
        <v>606</v>
      </c>
      <c r="E33" s="628"/>
      <c r="F33" s="629"/>
      <c r="G33" s="437" t="s">
        <v>835</v>
      </c>
      <c r="H33" s="628"/>
      <c r="I33" s="629"/>
      <c r="J33" s="4">
        <v>930.36</v>
      </c>
      <c r="K33" s="14">
        <v>1.9342359767891684E-2</v>
      </c>
      <c r="L33" s="4">
        <v>0.2</v>
      </c>
      <c r="M33" s="342">
        <v>186.072</v>
      </c>
      <c r="N33" s="4"/>
      <c r="O33" s="621" t="s">
        <v>639</v>
      </c>
      <c r="P33" s="620"/>
    </row>
    <row r="34" spans="1:16" ht="15.75" customHeight="1">
      <c r="A34" s="648"/>
      <c r="B34" s="654"/>
      <c r="C34" s="107">
        <v>2</v>
      </c>
      <c r="D34" s="437" t="s">
        <v>651</v>
      </c>
      <c r="E34" s="628"/>
      <c r="F34" s="629"/>
      <c r="G34" s="437" t="s">
        <v>652</v>
      </c>
      <c r="H34" s="628"/>
      <c r="I34" s="629"/>
      <c r="J34" s="4">
        <v>593.27</v>
      </c>
      <c r="K34" s="14">
        <v>1.6092693916961699E-2</v>
      </c>
      <c r="L34" s="4">
        <v>0.3</v>
      </c>
      <c r="M34" s="342">
        <v>177.98099999999999</v>
      </c>
      <c r="N34" s="4"/>
      <c r="O34" s="621" t="s">
        <v>639</v>
      </c>
      <c r="P34" s="620"/>
    </row>
    <row r="35" spans="1:16" ht="15.75" customHeight="1">
      <c r="A35" s="648"/>
      <c r="B35" s="654"/>
      <c r="C35" s="107">
        <v>3</v>
      </c>
      <c r="D35" s="437" t="s">
        <v>330</v>
      </c>
      <c r="E35" s="628"/>
      <c r="F35" s="629"/>
      <c r="G35" s="437" t="s">
        <v>728</v>
      </c>
      <c r="H35" s="628"/>
      <c r="I35" s="629"/>
      <c r="J35" s="4">
        <v>1760</v>
      </c>
      <c r="K35" s="14">
        <v>4.5998160073597062E-2</v>
      </c>
      <c r="L35" s="4">
        <v>0.1</v>
      </c>
      <c r="M35" s="342">
        <v>176</v>
      </c>
      <c r="N35" s="4"/>
      <c r="O35" s="621" t="s">
        <v>639</v>
      </c>
      <c r="P35" s="620"/>
    </row>
    <row r="36" spans="1:16" ht="15.75" customHeight="1">
      <c r="A36" s="648"/>
      <c r="B36" s="654"/>
      <c r="C36" s="107">
        <v>4</v>
      </c>
      <c r="D36" s="437" t="s">
        <v>526</v>
      </c>
      <c r="E36" s="628"/>
      <c r="F36" s="629"/>
      <c r="G36" s="437" t="s">
        <v>657</v>
      </c>
      <c r="H36" s="628"/>
      <c r="I36" s="629"/>
      <c r="J36" s="4">
        <v>13.45</v>
      </c>
      <c r="K36" s="14">
        <v>3.2626427406199023E-3</v>
      </c>
      <c r="L36" s="4">
        <v>12</v>
      </c>
      <c r="M36" s="342">
        <v>161.39999999999998</v>
      </c>
      <c r="N36" s="4"/>
      <c r="O36" s="621" t="s">
        <v>836</v>
      </c>
      <c r="P36" s="646"/>
    </row>
    <row r="37" spans="1:16" ht="15.75" customHeight="1" thickBot="1">
      <c r="A37" s="648"/>
      <c r="B37" s="654"/>
      <c r="C37" s="108">
        <v>5</v>
      </c>
      <c r="D37" s="437">
        <v>0</v>
      </c>
      <c r="E37" s="628"/>
      <c r="F37" s="629"/>
      <c r="G37" s="437">
        <v>0</v>
      </c>
      <c r="H37" s="628"/>
      <c r="I37" s="629"/>
      <c r="J37" s="4">
        <v>0</v>
      </c>
      <c r="K37" s="14">
        <v>0</v>
      </c>
      <c r="L37" s="4">
        <v>0</v>
      </c>
      <c r="M37" s="342">
        <v>0</v>
      </c>
      <c r="N37" s="4"/>
      <c r="O37" s="621"/>
      <c r="P37" s="620"/>
    </row>
    <row r="38" spans="1:16" ht="15.75" customHeight="1" thickTop="1" thickBot="1">
      <c r="A38" s="648"/>
      <c r="B38" s="654"/>
      <c r="C38" s="661"/>
      <c r="D38" s="661"/>
      <c r="E38" s="661"/>
      <c r="F38" s="661"/>
      <c r="G38" s="661"/>
      <c r="H38" s="661"/>
      <c r="I38" s="662"/>
      <c r="J38" s="114" t="s">
        <v>818</v>
      </c>
      <c r="K38" s="222">
        <v>4.3894077414266229E-3</v>
      </c>
      <c r="L38" s="114" t="s">
        <v>819</v>
      </c>
      <c r="M38" s="343">
        <v>701.45299999999997</v>
      </c>
      <c r="N38" s="658"/>
      <c r="O38" s="659"/>
      <c r="P38" s="660"/>
    </row>
    <row r="39" spans="1:16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sqref="A1:Q2"/>
    </sheetView>
  </sheetViews>
  <sheetFormatPr defaultColWidth="12.5703125" defaultRowHeight="15.75" customHeight="1"/>
  <cols>
    <col min="1" max="1" width="5.42578125" style="167" customWidth="1"/>
    <col min="2" max="2" width="11.42578125" style="286" customWidth="1"/>
    <col min="3" max="3" width="4" style="287" customWidth="1"/>
    <col min="4" max="17" width="9.5703125" style="167" customWidth="1"/>
    <col min="18" max="16384" width="12.5703125" style="167"/>
  </cols>
  <sheetData>
    <row r="1" spans="1:23" ht="15.75" customHeight="1">
      <c r="A1" s="587" t="s">
        <v>510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</row>
    <row r="2" spans="1:23" s="168" customFormat="1" ht="15.75" customHeight="1">
      <c r="A2" s="587"/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  <c r="R2" s="167"/>
      <c r="S2" s="167"/>
      <c r="T2" s="167"/>
      <c r="U2" s="167"/>
      <c r="V2" s="167"/>
      <c r="W2" s="167"/>
    </row>
    <row r="3" spans="1:23" ht="15.75" customHeight="1">
      <c r="A3" s="588" t="s">
        <v>511</v>
      </c>
      <c r="B3" s="588"/>
      <c r="C3" s="588"/>
      <c r="D3" s="588"/>
      <c r="E3" s="588"/>
      <c r="F3" s="588"/>
      <c r="G3" s="588"/>
      <c r="H3" s="588"/>
      <c r="I3" s="588"/>
      <c r="J3" s="588"/>
      <c r="K3" s="588"/>
      <c r="L3" s="588"/>
      <c r="M3" s="588"/>
    </row>
    <row r="4" spans="1:23" s="168" customFormat="1" ht="15.75" customHeight="1">
      <c r="A4" s="588"/>
      <c r="B4" s="588"/>
      <c r="C4" s="588"/>
      <c r="D4" s="588"/>
      <c r="E4" s="588"/>
      <c r="F4" s="588"/>
      <c r="G4" s="588"/>
      <c r="H4" s="588"/>
      <c r="I4" s="588"/>
      <c r="J4" s="588"/>
      <c r="K4" s="588"/>
      <c r="L4" s="588"/>
      <c r="M4" s="588"/>
      <c r="R4" s="167"/>
      <c r="S4" s="167"/>
      <c r="T4" s="167"/>
      <c r="U4" s="167"/>
      <c r="V4" s="167"/>
      <c r="W4" s="167"/>
    </row>
    <row r="5" spans="1:23" ht="15.75" customHeight="1">
      <c r="A5" s="590" t="s">
        <v>509</v>
      </c>
      <c r="B5" s="663">
        <v>1</v>
      </c>
      <c r="C5" s="663"/>
      <c r="D5" s="663">
        <v>2</v>
      </c>
      <c r="E5" s="663"/>
      <c r="F5" s="663">
        <v>3</v>
      </c>
      <c r="G5" s="663"/>
      <c r="H5" s="593">
        <v>4</v>
      </c>
      <c r="I5" s="593"/>
      <c r="J5" s="593">
        <v>5</v>
      </c>
      <c r="K5" s="593"/>
      <c r="L5" s="593">
        <v>6</v>
      </c>
      <c r="M5" s="593"/>
      <c r="N5" s="593">
        <v>7</v>
      </c>
      <c r="O5" s="593"/>
      <c r="P5" s="593">
        <v>8</v>
      </c>
      <c r="Q5" s="593"/>
    </row>
    <row r="6" spans="1:23" ht="15.75" customHeight="1">
      <c r="A6" s="590"/>
      <c r="B6" s="664" t="s">
        <v>512</v>
      </c>
      <c r="C6" s="664"/>
      <c r="D6" s="664" t="s">
        <v>513</v>
      </c>
      <c r="E6" s="664"/>
      <c r="F6" s="664" t="s">
        <v>514</v>
      </c>
      <c r="G6" s="664"/>
      <c r="H6" s="665" t="s">
        <v>515</v>
      </c>
      <c r="I6" s="590"/>
      <c r="J6" s="590" t="s">
        <v>516</v>
      </c>
      <c r="K6" s="590"/>
      <c r="L6" s="590" t="s">
        <v>517</v>
      </c>
      <c r="M6" s="590"/>
      <c r="N6" s="590" t="s">
        <v>518</v>
      </c>
      <c r="O6" s="590"/>
      <c r="P6" s="665" t="s">
        <v>519</v>
      </c>
      <c r="Q6" s="590"/>
    </row>
    <row r="8" spans="1:23" s="285" customFormat="1" ht="15.75" customHeight="1">
      <c r="A8" s="632" t="s">
        <v>809</v>
      </c>
      <c r="B8" s="633"/>
      <c r="C8" s="381" t="s">
        <v>810</v>
      </c>
      <c r="D8" s="637" t="s">
        <v>12</v>
      </c>
      <c r="E8" s="638"/>
      <c r="F8" s="639"/>
      <c r="G8" s="379" t="s">
        <v>811</v>
      </c>
      <c r="H8" s="380"/>
      <c r="I8" s="381"/>
      <c r="J8" s="155" t="s">
        <v>812</v>
      </c>
      <c r="K8" s="284" t="s">
        <v>837</v>
      </c>
      <c r="L8" s="155" t="s">
        <v>814</v>
      </c>
      <c r="M8" s="155" t="s">
        <v>11</v>
      </c>
      <c r="N8" s="284" t="s">
        <v>815</v>
      </c>
      <c r="O8" s="630" t="s">
        <v>816</v>
      </c>
      <c r="P8" s="631"/>
      <c r="R8" s="167"/>
      <c r="S8" s="167"/>
      <c r="T8" s="167"/>
      <c r="U8" s="167"/>
      <c r="V8" s="167"/>
      <c r="W8" s="167"/>
    </row>
    <row r="9" spans="1:23" ht="15.75" customHeight="1">
      <c r="A9" s="559">
        <v>1</v>
      </c>
      <c r="B9" s="634" t="s">
        <v>817</v>
      </c>
      <c r="C9" s="156">
        <v>1</v>
      </c>
      <c r="D9" s="437">
        <v>0</v>
      </c>
      <c r="E9" s="628"/>
      <c r="F9" s="629"/>
      <c r="G9" s="437">
        <v>0</v>
      </c>
      <c r="H9" s="628"/>
      <c r="I9" s="629"/>
      <c r="J9" s="4">
        <v>0</v>
      </c>
      <c r="K9" s="14">
        <v>0</v>
      </c>
      <c r="L9" s="4">
        <v>0</v>
      </c>
      <c r="M9" s="342">
        <v>0</v>
      </c>
      <c r="N9" s="157"/>
      <c r="O9" s="621"/>
      <c r="P9" s="620"/>
    </row>
    <row r="10" spans="1:23" ht="15.75" customHeight="1">
      <c r="A10" s="560"/>
      <c r="B10" s="635"/>
      <c r="C10" s="156">
        <v>2</v>
      </c>
      <c r="D10" s="437">
        <v>0</v>
      </c>
      <c r="E10" s="628"/>
      <c r="F10" s="629"/>
      <c r="G10" s="437">
        <v>0</v>
      </c>
      <c r="H10" s="628"/>
      <c r="I10" s="629"/>
      <c r="J10" s="4">
        <v>0</v>
      </c>
      <c r="K10" s="14">
        <v>0</v>
      </c>
      <c r="L10" s="4">
        <v>0</v>
      </c>
      <c r="M10" s="342">
        <v>0</v>
      </c>
      <c r="N10" s="157"/>
      <c r="O10" s="621"/>
      <c r="P10" s="620"/>
    </row>
    <row r="11" spans="1:23" ht="15.75" customHeight="1">
      <c r="A11" s="560"/>
      <c r="B11" s="635"/>
      <c r="C11" s="156">
        <v>3</v>
      </c>
      <c r="D11" s="437">
        <v>0</v>
      </c>
      <c r="E11" s="628"/>
      <c r="F11" s="629"/>
      <c r="G11" s="437">
        <v>0</v>
      </c>
      <c r="H11" s="628"/>
      <c r="I11" s="629"/>
      <c r="J11" s="4">
        <v>0</v>
      </c>
      <c r="K11" s="14">
        <v>0</v>
      </c>
      <c r="L11" s="4">
        <v>0</v>
      </c>
      <c r="M11" s="342">
        <v>0</v>
      </c>
      <c r="N11" s="157"/>
      <c r="O11" s="621"/>
      <c r="P11" s="620"/>
    </row>
    <row r="12" spans="1:23" ht="15.75" customHeight="1">
      <c r="A12" s="560"/>
      <c r="B12" s="635"/>
      <c r="C12" s="156">
        <v>4</v>
      </c>
      <c r="D12" s="437">
        <v>0</v>
      </c>
      <c r="E12" s="628"/>
      <c r="F12" s="629"/>
      <c r="G12" s="437">
        <v>0</v>
      </c>
      <c r="H12" s="628"/>
      <c r="I12" s="629"/>
      <c r="J12" s="4">
        <v>0</v>
      </c>
      <c r="K12" s="14">
        <v>0</v>
      </c>
      <c r="L12" s="4">
        <v>0</v>
      </c>
      <c r="M12" s="342">
        <v>0</v>
      </c>
      <c r="N12" s="157"/>
      <c r="O12" s="621"/>
      <c r="P12" s="620"/>
    </row>
    <row r="13" spans="1:23" ht="15.75" customHeight="1" thickBot="1">
      <c r="A13" s="560"/>
      <c r="B13" s="635"/>
      <c r="C13" s="158">
        <v>5</v>
      </c>
      <c r="D13" s="437">
        <v>0</v>
      </c>
      <c r="E13" s="628"/>
      <c r="F13" s="629"/>
      <c r="G13" s="437">
        <v>0</v>
      </c>
      <c r="H13" s="628"/>
      <c r="I13" s="629"/>
      <c r="J13" s="4">
        <v>0</v>
      </c>
      <c r="K13" s="14">
        <v>0</v>
      </c>
      <c r="L13" s="4">
        <v>0</v>
      </c>
      <c r="M13" s="342">
        <v>0</v>
      </c>
      <c r="N13" s="159"/>
      <c r="O13" s="666"/>
      <c r="P13" s="667"/>
    </row>
    <row r="14" spans="1:23" ht="15.75" customHeight="1" thickTop="1" thickBot="1">
      <c r="A14" s="561"/>
      <c r="B14" s="636"/>
      <c r="C14" s="640"/>
      <c r="D14" s="641"/>
      <c r="E14" s="641"/>
      <c r="F14" s="641"/>
      <c r="G14" s="641"/>
      <c r="H14" s="641"/>
      <c r="I14" s="642"/>
      <c r="J14" s="283" t="s">
        <v>818</v>
      </c>
      <c r="K14" s="222">
        <v>0</v>
      </c>
      <c r="L14" s="283" t="s">
        <v>819</v>
      </c>
      <c r="M14" s="343">
        <v>0</v>
      </c>
      <c r="N14" s="625"/>
      <c r="O14" s="626"/>
      <c r="P14" s="627"/>
    </row>
    <row r="15" spans="1:23" ht="15.75" customHeight="1" thickTop="1">
      <c r="A15" s="115"/>
      <c r="B15" s="160"/>
      <c r="C15" s="147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</row>
    <row r="16" spans="1:23" ht="15.75" customHeight="1">
      <c r="A16" s="632" t="s">
        <v>809</v>
      </c>
      <c r="B16" s="633"/>
      <c r="C16" s="381" t="s">
        <v>810</v>
      </c>
      <c r="D16" s="637" t="s">
        <v>12</v>
      </c>
      <c r="E16" s="638"/>
      <c r="F16" s="639"/>
      <c r="G16" s="379" t="s">
        <v>811</v>
      </c>
      <c r="H16" s="380"/>
      <c r="I16" s="381"/>
      <c r="J16" s="155" t="s">
        <v>812</v>
      </c>
      <c r="K16" s="284" t="s">
        <v>837</v>
      </c>
      <c r="L16" s="155" t="s">
        <v>814</v>
      </c>
      <c r="M16" s="155" t="s">
        <v>11</v>
      </c>
      <c r="N16" s="284" t="s">
        <v>815</v>
      </c>
      <c r="O16" s="630" t="s">
        <v>816</v>
      </c>
      <c r="P16" s="631"/>
    </row>
    <row r="17" spans="1:16" ht="15.75" customHeight="1">
      <c r="A17" s="559">
        <v>2</v>
      </c>
      <c r="B17" s="634" t="s">
        <v>820</v>
      </c>
      <c r="C17" s="156">
        <v>1</v>
      </c>
      <c r="D17" s="437" t="s">
        <v>603</v>
      </c>
      <c r="E17" s="628"/>
      <c r="F17" s="629"/>
      <c r="G17" s="437" t="s">
        <v>726</v>
      </c>
      <c r="H17" s="628"/>
      <c r="I17" s="629"/>
      <c r="J17" s="4">
        <v>423.77</v>
      </c>
      <c r="K17" s="14">
        <v>0.17883120140456463</v>
      </c>
      <c r="L17" s="4">
        <v>0.71299999999999919</v>
      </c>
      <c r="M17" s="342">
        <v>302.14800999999966</v>
      </c>
      <c r="N17" s="157"/>
      <c r="O17" s="621" t="s">
        <v>838</v>
      </c>
      <c r="P17" s="620"/>
    </row>
    <row r="18" spans="1:16" ht="15.75" customHeight="1">
      <c r="A18" s="560"/>
      <c r="B18" s="635"/>
      <c r="C18" s="156">
        <v>2</v>
      </c>
      <c r="D18" s="437">
        <v>0</v>
      </c>
      <c r="E18" s="628"/>
      <c r="F18" s="629"/>
      <c r="G18" s="437">
        <v>0</v>
      </c>
      <c r="H18" s="628"/>
      <c r="I18" s="629"/>
      <c r="J18" s="4">
        <v>0</v>
      </c>
      <c r="K18" s="14">
        <v>0</v>
      </c>
      <c r="L18" s="4">
        <v>0</v>
      </c>
      <c r="M18" s="342">
        <v>0</v>
      </c>
      <c r="N18" s="157"/>
      <c r="O18" s="621"/>
      <c r="P18" s="620"/>
    </row>
    <row r="19" spans="1:16" ht="15.75" customHeight="1">
      <c r="A19" s="560"/>
      <c r="B19" s="635"/>
      <c r="C19" s="156">
        <v>3</v>
      </c>
      <c r="D19" s="437">
        <v>0</v>
      </c>
      <c r="E19" s="628"/>
      <c r="F19" s="629"/>
      <c r="G19" s="437">
        <v>0</v>
      </c>
      <c r="H19" s="628"/>
      <c r="I19" s="629"/>
      <c r="J19" s="4">
        <v>0</v>
      </c>
      <c r="K19" s="14">
        <v>0</v>
      </c>
      <c r="L19" s="4">
        <v>0</v>
      </c>
      <c r="M19" s="342">
        <v>0</v>
      </c>
      <c r="N19" s="157"/>
      <c r="O19" s="621"/>
      <c r="P19" s="620"/>
    </row>
    <row r="20" spans="1:16" ht="15.75" customHeight="1">
      <c r="A20" s="560"/>
      <c r="B20" s="635"/>
      <c r="C20" s="156">
        <v>4</v>
      </c>
      <c r="D20" s="437">
        <v>0</v>
      </c>
      <c r="E20" s="628"/>
      <c r="F20" s="629"/>
      <c r="G20" s="437">
        <v>0</v>
      </c>
      <c r="H20" s="628"/>
      <c r="I20" s="629"/>
      <c r="J20" s="4">
        <v>0</v>
      </c>
      <c r="K20" s="14">
        <v>0</v>
      </c>
      <c r="L20" s="4">
        <v>0</v>
      </c>
      <c r="M20" s="342">
        <v>0</v>
      </c>
      <c r="N20" s="157"/>
      <c r="O20" s="621"/>
      <c r="P20" s="620"/>
    </row>
    <row r="21" spans="1:16" ht="15.75" customHeight="1" thickBot="1">
      <c r="A21" s="560"/>
      <c r="B21" s="635"/>
      <c r="C21" s="158">
        <v>5</v>
      </c>
      <c r="D21" s="437">
        <v>0</v>
      </c>
      <c r="E21" s="628"/>
      <c r="F21" s="629"/>
      <c r="G21" s="437">
        <v>0</v>
      </c>
      <c r="H21" s="628"/>
      <c r="I21" s="629"/>
      <c r="J21" s="4">
        <v>0</v>
      </c>
      <c r="K21" s="14">
        <v>0</v>
      </c>
      <c r="L21" s="4">
        <v>0</v>
      </c>
      <c r="M21" s="342">
        <v>0</v>
      </c>
      <c r="N21" s="159"/>
      <c r="O21" s="621"/>
      <c r="P21" s="620"/>
    </row>
    <row r="22" spans="1:16" ht="15.75" customHeight="1" thickTop="1" thickBot="1">
      <c r="A22" s="561"/>
      <c r="B22" s="636"/>
      <c r="C22" s="643"/>
      <c r="D22" s="644"/>
      <c r="E22" s="644"/>
      <c r="F22" s="644"/>
      <c r="G22" s="644"/>
      <c r="H22" s="644"/>
      <c r="I22" s="645"/>
      <c r="J22" s="283" t="s">
        <v>818</v>
      </c>
      <c r="K22" s="222">
        <v>1.089991962022138E-3</v>
      </c>
      <c r="L22" s="283" t="s">
        <v>819</v>
      </c>
      <c r="M22" s="343">
        <v>302.14800999999966</v>
      </c>
      <c r="N22" s="625"/>
      <c r="O22" s="626"/>
      <c r="P22" s="627"/>
    </row>
    <row r="23" spans="1:16" ht="15.75" customHeight="1" thickTop="1">
      <c r="A23" s="115"/>
      <c r="B23" s="160"/>
      <c r="C23" s="147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</row>
    <row r="24" spans="1:16" ht="15.75" customHeight="1">
      <c r="A24" s="632" t="s">
        <v>809</v>
      </c>
      <c r="B24" s="633"/>
      <c r="C24" s="381" t="s">
        <v>810</v>
      </c>
      <c r="D24" s="637" t="s">
        <v>12</v>
      </c>
      <c r="E24" s="638"/>
      <c r="F24" s="639"/>
      <c r="G24" s="379" t="s">
        <v>811</v>
      </c>
      <c r="H24" s="380"/>
      <c r="I24" s="381"/>
      <c r="J24" s="155" t="s">
        <v>812</v>
      </c>
      <c r="K24" s="284" t="s">
        <v>837</v>
      </c>
      <c r="L24" s="155" t="s">
        <v>814</v>
      </c>
      <c r="M24" s="155" t="s">
        <v>11</v>
      </c>
      <c r="N24" s="284" t="s">
        <v>815</v>
      </c>
      <c r="O24" s="630" t="s">
        <v>816</v>
      </c>
      <c r="P24" s="631"/>
    </row>
    <row r="25" spans="1:16" ht="15.75" customHeight="1">
      <c r="A25" s="559">
        <v>3</v>
      </c>
      <c r="B25" s="634" t="s">
        <v>824</v>
      </c>
      <c r="C25" s="156">
        <v>1</v>
      </c>
      <c r="D25" s="437" t="s">
        <v>533</v>
      </c>
      <c r="E25" s="628"/>
      <c r="F25" s="629"/>
      <c r="G25" s="437" t="s">
        <v>821</v>
      </c>
      <c r="H25" s="628"/>
      <c r="I25" s="629"/>
      <c r="J25" s="4">
        <v>462.04</v>
      </c>
      <c r="K25" s="14">
        <v>5.4216867469879491E-2</v>
      </c>
      <c r="L25" s="4">
        <v>0.64799999999999969</v>
      </c>
      <c r="M25" s="342">
        <v>299.40191999999985</v>
      </c>
      <c r="N25" s="157"/>
      <c r="O25" s="621" t="s">
        <v>534</v>
      </c>
      <c r="P25" s="620"/>
    </row>
    <row r="26" spans="1:16" ht="15.75" customHeight="1">
      <c r="A26" s="560"/>
      <c r="B26" s="635"/>
      <c r="C26" s="156">
        <v>2</v>
      </c>
      <c r="D26" s="437" t="s">
        <v>649</v>
      </c>
      <c r="E26" s="628"/>
      <c r="F26" s="629"/>
      <c r="G26" s="437" t="s">
        <v>653</v>
      </c>
      <c r="H26" s="628"/>
      <c r="I26" s="629"/>
      <c r="J26" s="4">
        <v>109.27</v>
      </c>
      <c r="K26" s="14">
        <v>2.0882440822017907E-2</v>
      </c>
      <c r="L26" s="4">
        <v>2.5160000000000053</v>
      </c>
      <c r="M26" s="342">
        <v>274.92332000000056</v>
      </c>
      <c r="N26" s="157"/>
      <c r="O26" s="621" t="s">
        <v>534</v>
      </c>
      <c r="P26" s="620"/>
    </row>
    <row r="27" spans="1:16" ht="15.75" customHeight="1">
      <c r="A27" s="560"/>
      <c r="B27" s="635"/>
      <c r="C27" s="156">
        <v>3</v>
      </c>
      <c r="D27" s="437">
        <v>0</v>
      </c>
      <c r="E27" s="628"/>
      <c r="F27" s="629"/>
      <c r="G27" s="437">
        <v>0</v>
      </c>
      <c r="H27" s="628"/>
      <c r="I27" s="629"/>
      <c r="J27" s="4">
        <v>0</v>
      </c>
      <c r="K27" s="14">
        <v>0</v>
      </c>
      <c r="L27" s="4">
        <v>0</v>
      </c>
      <c r="M27" s="342">
        <v>0</v>
      </c>
      <c r="N27" s="157"/>
      <c r="O27" s="621"/>
      <c r="P27" s="620"/>
    </row>
    <row r="28" spans="1:16" ht="15.75" customHeight="1">
      <c r="A28" s="560"/>
      <c r="B28" s="635"/>
      <c r="C28" s="156">
        <v>4</v>
      </c>
      <c r="D28" s="437">
        <v>0</v>
      </c>
      <c r="E28" s="628"/>
      <c r="F28" s="629"/>
      <c r="G28" s="437">
        <v>0</v>
      </c>
      <c r="H28" s="628"/>
      <c r="I28" s="629"/>
      <c r="J28" s="4">
        <v>0</v>
      </c>
      <c r="K28" s="14">
        <v>0</v>
      </c>
      <c r="L28" s="4">
        <v>0</v>
      </c>
      <c r="M28" s="342">
        <v>0</v>
      </c>
      <c r="N28" s="157"/>
      <c r="O28" s="621"/>
      <c r="P28" s="620"/>
    </row>
    <row r="29" spans="1:16" ht="15.75" customHeight="1" thickBot="1">
      <c r="A29" s="560"/>
      <c r="B29" s="635"/>
      <c r="C29" s="158">
        <v>5</v>
      </c>
      <c r="D29" s="437">
        <v>0</v>
      </c>
      <c r="E29" s="628"/>
      <c r="F29" s="629"/>
      <c r="G29" s="437">
        <v>0</v>
      </c>
      <c r="H29" s="628"/>
      <c r="I29" s="629"/>
      <c r="J29" s="4">
        <v>0</v>
      </c>
      <c r="K29" s="14">
        <v>0</v>
      </c>
      <c r="L29" s="4">
        <v>0</v>
      </c>
      <c r="M29" s="342">
        <v>0</v>
      </c>
      <c r="N29" s="159"/>
      <c r="O29" s="666"/>
      <c r="P29" s="667"/>
    </row>
    <row r="30" spans="1:16" ht="15.75" customHeight="1" thickTop="1" thickBot="1">
      <c r="A30" s="561"/>
      <c r="B30" s="636"/>
      <c r="C30" s="640"/>
      <c r="D30" s="641"/>
      <c r="E30" s="641"/>
      <c r="F30" s="641"/>
      <c r="G30" s="641"/>
      <c r="H30" s="641"/>
      <c r="I30" s="642"/>
      <c r="J30" s="283" t="s">
        <v>818</v>
      </c>
      <c r="K30" s="222">
        <v>2.0718650279590999E-3</v>
      </c>
      <c r="L30" s="283" t="s">
        <v>819</v>
      </c>
      <c r="M30" s="343">
        <v>574.32524000000035</v>
      </c>
      <c r="N30" s="625"/>
      <c r="O30" s="626"/>
      <c r="P30" s="627"/>
    </row>
    <row r="31" spans="1:16" ht="15.75" customHeight="1" thickTop="1"/>
  </sheetData>
  <mergeCells count="85"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D29:F29"/>
    <mergeCell ref="G29:I29"/>
    <mergeCell ref="O29:P29"/>
    <mergeCell ref="D28:F28"/>
    <mergeCell ref="G28:I28"/>
    <mergeCell ref="O28:P28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sqref="A1:Q2"/>
    </sheetView>
  </sheetViews>
  <sheetFormatPr defaultColWidth="12.5703125" defaultRowHeight="15.75" customHeight="1"/>
  <cols>
    <col min="1" max="1" width="5.42578125" style="289" customWidth="1"/>
    <col min="2" max="2" width="11.42578125" style="290" customWidth="1"/>
    <col min="3" max="3" width="4" style="291" customWidth="1"/>
    <col min="4" max="17" width="9.5703125" style="289" customWidth="1"/>
    <col min="18" max="16384" width="12.5703125" style="289"/>
  </cols>
  <sheetData>
    <row r="1" spans="1:23" s="167" customFormat="1" ht="15.75" customHeight="1">
      <c r="A1" s="587" t="s">
        <v>510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</row>
    <row r="2" spans="1:23" s="168" customFormat="1" ht="15.75" customHeight="1">
      <c r="A2" s="587"/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</row>
    <row r="3" spans="1:23" s="167" customFormat="1" ht="15.75" customHeight="1">
      <c r="A3" s="588" t="s">
        <v>511</v>
      </c>
      <c r="B3" s="588"/>
      <c r="C3" s="588"/>
      <c r="D3" s="588"/>
      <c r="E3" s="588"/>
      <c r="F3" s="588"/>
      <c r="G3" s="588"/>
      <c r="H3" s="588"/>
      <c r="I3" s="588"/>
      <c r="J3" s="588"/>
      <c r="K3" s="588"/>
      <c r="L3" s="588"/>
      <c r="M3" s="588"/>
    </row>
    <row r="4" spans="1:23" s="168" customFormat="1" ht="15.75" customHeight="1">
      <c r="A4" s="588"/>
      <c r="B4" s="588"/>
      <c r="C4" s="588"/>
      <c r="D4" s="588"/>
      <c r="E4" s="588"/>
      <c r="F4" s="588"/>
      <c r="G4" s="588"/>
      <c r="H4" s="588"/>
      <c r="I4" s="588"/>
      <c r="J4" s="588"/>
      <c r="K4" s="588"/>
      <c r="L4" s="588"/>
      <c r="M4" s="588"/>
    </row>
    <row r="5" spans="1:23" s="167" customFormat="1" ht="15.75" customHeight="1">
      <c r="A5" s="590" t="s">
        <v>509</v>
      </c>
      <c r="B5" s="593">
        <v>1</v>
      </c>
      <c r="C5" s="593"/>
      <c r="D5" s="593">
        <v>2</v>
      </c>
      <c r="E5" s="593"/>
      <c r="F5" s="593">
        <v>3</v>
      </c>
      <c r="G5" s="593"/>
      <c r="H5" s="663">
        <v>4</v>
      </c>
      <c r="I5" s="663"/>
      <c r="J5" s="663">
        <v>5</v>
      </c>
      <c r="K5" s="663"/>
      <c r="L5" s="663">
        <v>6</v>
      </c>
      <c r="M5" s="663"/>
      <c r="N5" s="663">
        <v>7</v>
      </c>
      <c r="O5" s="663"/>
      <c r="P5" s="593">
        <v>8</v>
      </c>
      <c r="Q5" s="593"/>
    </row>
    <row r="6" spans="1:23" s="167" customFormat="1" ht="15.75" customHeight="1">
      <c r="A6" s="590"/>
      <c r="B6" s="590" t="s">
        <v>512</v>
      </c>
      <c r="C6" s="590"/>
      <c r="D6" s="590" t="s">
        <v>513</v>
      </c>
      <c r="E6" s="590"/>
      <c r="F6" s="590" t="s">
        <v>514</v>
      </c>
      <c r="G6" s="590"/>
      <c r="H6" s="668" t="s">
        <v>515</v>
      </c>
      <c r="I6" s="664"/>
      <c r="J6" s="664" t="s">
        <v>516</v>
      </c>
      <c r="K6" s="664"/>
      <c r="L6" s="664" t="s">
        <v>517</v>
      </c>
      <c r="M6" s="664"/>
      <c r="N6" s="664" t="s">
        <v>518</v>
      </c>
      <c r="O6" s="664"/>
      <c r="P6" s="665" t="s">
        <v>519</v>
      </c>
      <c r="Q6" s="590"/>
    </row>
    <row r="7" spans="1:23" s="167" customFormat="1" ht="15.75" customHeight="1">
      <c r="B7" s="286"/>
      <c r="C7" s="287"/>
    </row>
    <row r="8" spans="1:23" s="288" customFormat="1" ht="15.75" customHeight="1">
      <c r="A8" s="647" t="s">
        <v>809</v>
      </c>
      <c r="B8" s="648"/>
      <c r="C8" s="112" t="s">
        <v>810</v>
      </c>
      <c r="D8" s="649" t="s">
        <v>12</v>
      </c>
      <c r="E8" s="650"/>
      <c r="F8" s="651"/>
      <c r="G8" s="110" t="s">
        <v>811</v>
      </c>
      <c r="H8" s="111"/>
      <c r="I8" s="112"/>
      <c r="J8" s="109" t="s">
        <v>812</v>
      </c>
      <c r="K8" s="109" t="s">
        <v>837</v>
      </c>
      <c r="L8" s="109" t="s">
        <v>814</v>
      </c>
      <c r="M8" s="113" t="s">
        <v>11</v>
      </c>
      <c r="N8" s="284" t="s">
        <v>815</v>
      </c>
      <c r="O8" s="652" t="s">
        <v>816</v>
      </c>
      <c r="P8" s="653"/>
      <c r="R8" s="167"/>
      <c r="S8" s="167"/>
      <c r="T8" s="167"/>
      <c r="U8" s="167"/>
      <c r="V8" s="167"/>
      <c r="W8" s="167"/>
    </row>
    <row r="9" spans="1:23" ht="15.75" customHeight="1">
      <c r="A9" s="648">
        <v>4</v>
      </c>
      <c r="B9" s="654" t="s">
        <v>507</v>
      </c>
      <c r="C9" s="107">
        <v>1</v>
      </c>
      <c r="D9" s="437" t="s">
        <v>745</v>
      </c>
      <c r="E9" s="628"/>
      <c r="F9" s="629"/>
      <c r="G9" s="437" t="s">
        <v>746</v>
      </c>
      <c r="H9" s="628"/>
      <c r="I9" s="629"/>
      <c r="J9" s="4">
        <v>103.19</v>
      </c>
      <c r="K9" s="14">
        <v>9.6364432763908197E-3</v>
      </c>
      <c r="L9" s="4">
        <v>3.5200000000000387</v>
      </c>
      <c r="M9" s="342">
        <v>363.22880000000396</v>
      </c>
      <c r="N9" s="4"/>
      <c r="O9" s="621" t="s">
        <v>457</v>
      </c>
      <c r="P9" s="646"/>
      <c r="R9" s="167"/>
      <c r="S9" s="167"/>
      <c r="T9" s="167"/>
      <c r="U9" s="167"/>
      <c r="V9" s="167"/>
      <c r="W9" s="167"/>
    </row>
    <row r="10" spans="1:23" ht="15.75" customHeight="1">
      <c r="A10" s="648"/>
      <c r="B10" s="654"/>
      <c r="C10" s="107">
        <v>2</v>
      </c>
      <c r="D10" s="437" t="s">
        <v>349</v>
      </c>
      <c r="E10" s="628"/>
      <c r="F10" s="629"/>
      <c r="G10" s="437" t="s">
        <v>828</v>
      </c>
      <c r="H10" s="628"/>
      <c r="I10" s="629"/>
      <c r="J10" s="4">
        <v>90.4</v>
      </c>
      <c r="K10" s="14">
        <v>1.9587997142176745E-2</v>
      </c>
      <c r="L10" s="4">
        <v>3.9480000000000075</v>
      </c>
      <c r="M10" s="342">
        <v>356.89920000000069</v>
      </c>
      <c r="N10" s="4"/>
      <c r="O10" s="621" t="s">
        <v>457</v>
      </c>
      <c r="P10" s="646"/>
      <c r="R10" s="167"/>
      <c r="S10" s="167"/>
      <c r="T10" s="167"/>
      <c r="U10" s="167"/>
      <c r="V10" s="167"/>
      <c r="W10" s="167"/>
    </row>
    <row r="11" spans="1:23" ht="15.75" customHeight="1">
      <c r="A11" s="648"/>
      <c r="B11" s="654"/>
      <c r="C11" s="107">
        <v>3</v>
      </c>
      <c r="D11" s="437" t="s">
        <v>356</v>
      </c>
      <c r="E11" s="628"/>
      <c r="F11" s="629"/>
      <c r="G11" s="437" t="s">
        <v>751</v>
      </c>
      <c r="H11" s="628"/>
      <c r="I11" s="629"/>
      <c r="J11" s="4">
        <v>371.13</v>
      </c>
      <c r="K11" s="14">
        <v>4.2142323695722088E-3</v>
      </c>
      <c r="L11" s="4">
        <v>0.9480000000000075</v>
      </c>
      <c r="M11" s="342">
        <v>351.83124000000277</v>
      </c>
      <c r="N11" s="4"/>
      <c r="O11" s="621" t="s">
        <v>457</v>
      </c>
      <c r="P11" s="646"/>
      <c r="R11" s="167"/>
      <c r="S11" s="167"/>
      <c r="T11" s="167"/>
      <c r="U11" s="167"/>
      <c r="V11" s="167"/>
      <c r="W11" s="167"/>
    </row>
    <row r="12" spans="1:23" ht="15.75" customHeight="1">
      <c r="A12" s="648"/>
      <c r="B12" s="654"/>
      <c r="C12" s="107">
        <v>4</v>
      </c>
      <c r="D12" s="437" t="s">
        <v>755</v>
      </c>
      <c r="E12" s="628"/>
      <c r="F12" s="629"/>
      <c r="G12" s="437" t="s">
        <v>839</v>
      </c>
      <c r="H12" s="628"/>
      <c r="I12" s="629"/>
      <c r="J12" s="4">
        <v>125.59</v>
      </c>
      <c r="K12" s="14">
        <v>5.7435897435897665E-3</v>
      </c>
      <c r="L12" s="4">
        <v>2.8000000000000114</v>
      </c>
      <c r="M12" s="342">
        <v>351.65200000000146</v>
      </c>
      <c r="N12" s="4"/>
      <c r="O12" s="621" t="s">
        <v>457</v>
      </c>
      <c r="P12" s="646"/>
      <c r="R12" s="167"/>
      <c r="S12" s="167"/>
      <c r="T12" s="167"/>
      <c r="U12" s="167"/>
      <c r="V12" s="167"/>
      <c r="W12" s="167"/>
    </row>
    <row r="13" spans="1:23" ht="15.75" customHeight="1" thickBot="1">
      <c r="A13" s="648"/>
      <c r="B13" s="654"/>
      <c r="C13" s="108">
        <v>5</v>
      </c>
      <c r="D13" s="437" t="s">
        <v>743</v>
      </c>
      <c r="E13" s="628"/>
      <c r="F13" s="629"/>
      <c r="G13" s="437" t="s">
        <v>744</v>
      </c>
      <c r="H13" s="628"/>
      <c r="I13" s="629"/>
      <c r="J13" s="4">
        <v>361.51</v>
      </c>
      <c r="K13" s="14">
        <v>8.6657869533738659E-3</v>
      </c>
      <c r="L13" s="4">
        <v>0.95793399339899565</v>
      </c>
      <c r="M13" s="342">
        <v>346.30271795367094</v>
      </c>
      <c r="N13" s="4"/>
      <c r="O13" s="621" t="s">
        <v>457</v>
      </c>
      <c r="P13" s="646"/>
      <c r="R13" s="167"/>
      <c r="S13" s="167"/>
      <c r="T13" s="167"/>
      <c r="U13" s="167"/>
      <c r="V13" s="167"/>
      <c r="W13" s="167"/>
    </row>
    <row r="14" spans="1:23" ht="15.75" customHeight="1" thickTop="1" thickBot="1">
      <c r="A14" s="648"/>
      <c r="B14" s="654"/>
      <c r="C14" s="656"/>
      <c r="D14" s="656"/>
      <c r="E14" s="656"/>
      <c r="F14" s="656"/>
      <c r="G14" s="656"/>
      <c r="H14" s="656"/>
      <c r="I14" s="656"/>
      <c r="J14" s="223" t="s">
        <v>818</v>
      </c>
      <c r="K14" s="222">
        <v>6.3849236923331099E-3</v>
      </c>
      <c r="L14" s="223" t="s">
        <v>819</v>
      </c>
      <c r="M14" s="343">
        <v>1769.9139579536798</v>
      </c>
      <c r="N14" s="655"/>
      <c r="O14" s="655"/>
      <c r="P14" s="655"/>
      <c r="R14" s="167"/>
      <c r="S14" s="167"/>
      <c r="T14" s="167"/>
      <c r="U14" s="167"/>
      <c r="V14" s="167"/>
      <c r="W14" s="167"/>
    </row>
    <row r="15" spans="1:23" ht="15.75" customHeight="1" thickTop="1">
      <c r="A15" s="2"/>
      <c r="B15" s="106"/>
      <c r="C15" s="10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s="167"/>
      <c r="S15" s="167"/>
      <c r="T15" s="167"/>
      <c r="U15" s="167"/>
      <c r="V15" s="167"/>
      <c r="W15" s="167"/>
    </row>
    <row r="16" spans="1:23" ht="15.75" customHeight="1">
      <c r="A16" s="647" t="s">
        <v>809</v>
      </c>
      <c r="B16" s="648"/>
      <c r="C16" s="112" t="s">
        <v>810</v>
      </c>
      <c r="D16" s="649" t="s">
        <v>12</v>
      </c>
      <c r="E16" s="650"/>
      <c r="F16" s="651"/>
      <c r="G16" s="110" t="s">
        <v>811</v>
      </c>
      <c r="H16" s="111"/>
      <c r="I16" s="112"/>
      <c r="J16" s="109" t="s">
        <v>812</v>
      </c>
      <c r="K16" s="109" t="s">
        <v>837</v>
      </c>
      <c r="L16" s="109" t="s">
        <v>814</v>
      </c>
      <c r="M16" s="113" t="s">
        <v>11</v>
      </c>
      <c r="N16" s="284" t="s">
        <v>815</v>
      </c>
      <c r="O16" s="652" t="s">
        <v>816</v>
      </c>
      <c r="P16" s="653"/>
      <c r="R16" s="167"/>
      <c r="S16" s="167"/>
      <c r="T16" s="167"/>
      <c r="U16" s="167"/>
      <c r="V16" s="167"/>
      <c r="W16" s="167"/>
    </row>
    <row r="17" spans="1:23" ht="15.75" customHeight="1">
      <c r="A17" s="648">
        <v>5</v>
      </c>
      <c r="B17" s="657" t="s">
        <v>194</v>
      </c>
      <c r="C17" s="107">
        <v>1</v>
      </c>
      <c r="D17" s="437" t="s">
        <v>619</v>
      </c>
      <c r="E17" s="628"/>
      <c r="F17" s="629"/>
      <c r="G17" s="437" t="s">
        <v>620</v>
      </c>
      <c r="H17" s="628"/>
      <c r="I17" s="629"/>
      <c r="J17" s="4">
        <v>447.3</v>
      </c>
      <c r="K17" s="14">
        <v>7.350169619298917E-3</v>
      </c>
      <c r="L17" s="4">
        <v>0.78000000000000114</v>
      </c>
      <c r="M17" s="342">
        <v>348.89400000000052</v>
      </c>
      <c r="N17" s="4"/>
      <c r="O17" s="621" t="s">
        <v>520</v>
      </c>
      <c r="P17" s="620"/>
      <c r="R17" s="167"/>
      <c r="S17" s="167"/>
      <c r="T17" s="167"/>
      <c r="U17" s="167"/>
      <c r="V17" s="167"/>
      <c r="W17" s="167"/>
    </row>
    <row r="18" spans="1:23" ht="15.75" customHeight="1">
      <c r="A18" s="648"/>
      <c r="B18" s="654"/>
      <c r="C18" s="107">
        <v>2</v>
      </c>
      <c r="D18" s="437" t="s">
        <v>336</v>
      </c>
      <c r="E18" s="628"/>
      <c r="F18" s="629"/>
      <c r="G18" s="437" t="s">
        <v>582</v>
      </c>
      <c r="H18" s="628"/>
      <c r="I18" s="629"/>
      <c r="J18" s="4">
        <v>581.91999999999996</v>
      </c>
      <c r="K18" s="14">
        <v>3.887168902648775E-2</v>
      </c>
      <c r="L18" s="4">
        <v>0.5649999999999995</v>
      </c>
      <c r="M18" s="342">
        <v>328.78479999999968</v>
      </c>
      <c r="N18" s="4"/>
      <c r="O18" s="621" t="s">
        <v>520</v>
      </c>
      <c r="P18" s="620"/>
      <c r="R18" s="167"/>
      <c r="S18" s="167"/>
      <c r="T18" s="167"/>
      <c r="U18" s="167"/>
      <c r="V18" s="167"/>
      <c r="W18" s="167"/>
    </row>
    <row r="19" spans="1:23" ht="15.75" customHeight="1">
      <c r="A19" s="648"/>
      <c r="B19" s="654"/>
      <c r="C19" s="107">
        <v>3</v>
      </c>
      <c r="D19" s="437" t="s">
        <v>623</v>
      </c>
      <c r="E19" s="628"/>
      <c r="F19" s="629"/>
      <c r="G19" s="437" t="s">
        <v>624</v>
      </c>
      <c r="H19" s="628"/>
      <c r="I19" s="629"/>
      <c r="J19" s="4">
        <v>310.27999999999997</v>
      </c>
      <c r="K19" s="14">
        <v>1.711652402896641E-2</v>
      </c>
      <c r="L19" s="4">
        <v>1.0399999999999991</v>
      </c>
      <c r="M19" s="342">
        <v>322.6911999999997</v>
      </c>
      <c r="N19" s="4"/>
      <c r="O19" s="621" t="s">
        <v>520</v>
      </c>
      <c r="P19" s="620"/>
      <c r="R19" s="167"/>
      <c r="S19" s="167"/>
      <c r="T19" s="167"/>
      <c r="U19" s="167"/>
      <c r="V19" s="167"/>
      <c r="W19" s="167"/>
    </row>
    <row r="20" spans="1:23" ht="15.75" customHeight="1">
      <c r="A20" s="648"/>
      <c r="B20" s="654"/>
      <c r="C20" s="107">
        <v>4</v>
      </c>
      <c r="D20" s="437" t="s">
        <v>354</v>
      </c>
      <c r="E20" s="628"/>
      <c r="F20" s="629"/>
      <c r="G20" s="437" t="s">
        <v>372</v>
      </c>
      <c r="H20" s="628"/>
      <c r="I20" s="629"/>
      <c r="J20" s="4">
        <v>420.33</v>
      </c>
      <c r="K20" s="14">
        <v>8.9580386610088499E-3</v>
      </c>
      <c r="L20" s="4">
        <v>0.75999999999999091</v>
      </c>
      <c r="M20" s="342">
        <v>319.45079999999615</v>
      </c>
      <c r="N20" s="4"/>
      <c r="O20" s="621" t="s">
        <v>520</v>
      </c>
      <c r="P20" s="620"/>
      <c r="R20" s="167"/>
      <c r="S20" s="167"/>
      <c r="T20" s="167"/>
      <c r="U20" s="167"/>
      <c r="V20" s="167"/>
      <c r="W20" s="167"/>
    </row>
    <row r="21" spans="1:23" ht="15.75" customHeight="1" thickBot="1">
      <c r="A21" s="648"/>
      <c r="B21" s="654"/>
      <c r="C21" s="108">
        <v>5</v>
      </c>
      <c r="D21" s="437" t="s">
        <v>647</v>
      </c>
      <c r="E21" s="628"/>
      <c r="F21" s="629"/>
      <c r="G21" s="437" t="s">
        <v>648</v>
      </c>
      <c r="H21" s="628"/>
      <c r="I21" s="629"/>
      <c r="J21" s="4">
        <v>325.01</v>
      </c>
      <c r="K21" s="14">
        <v>1.8609206660137177E-2</v>
      </c>
      <c r="L21" s="4">
        <v>0.95000000000000284</v>
      </c>
      <c r="M21" s="342">
        <v>308.75950000000091</v>
      </c>
      <c r="N21" s="4"/>
      <c r="O21" s="621" t="s">
        <v>520</v>
      </c>
      <c r="P21" s="620"/>
      <c r="R21" s="167"/>
      <c r="S21" s="167"/>
      <c r="T21" s="167"/>
      <c r="U21" s="167"/>
      <c r="V21" s="167"/>
      <c r="W21" s="167"/>
    </row>
    <row r="22" spans="1:23" ht="15.75" customHeight="1" thickTop="1" thickBot="1">
      <c r="A22" s="648"/>
      <c r="B22" s="654"/>
      <c r="C22" s="661"/>
      <c r="D22" s="661"/>
      <c r="E22" s="661"/>
      <c r="F22" s="661"/>
      <c r="G22" s="661"/>
      <c r="H22" s="661"/>
      <c r="I22" s="662"/>
      <c r="J22" s="114" t="s">
        <v>818</v>
      </c>
      <c r="K22" s="222">
        <v>5.8750657881466795E-3</v>
      </c>
      <c r="L22" s="114" t="s">
        <v>819</v>
      </c>
      <c r="M22" s="343">
        <v>1628.5802999999969</v>
      </c>
      <c r="N22" s="658"/>
      <c r="O22" s="659"/>
      <c r="P22" s="660"/>
      <c r="R22" s="167"/>
      <c r="S22" s="167"/>
      <c r="T22" s="167"/>
      <c r="U22" s="167"/>
      <c r="V22" s="167"/>
      <c r="W22" s="167"/>
    </row>
    <row r="23" spans="1:23" ht="15.75" customHeight="1" thickTop="1">
      <c r="A23" s="2"/>
      <c r="B23" s="106"/>
      <c r="C23" s="10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R23" s="167"/>
      <c r="S23" s="167"/>
      <c r="T23" s="167"/>
      <c r="U23" s="167"/>
      <c r="V23" s="167"/>
      <c r="W23" s="167"/>
    </row>
    <row r="24" spans="1:23" ht="15.75" customHeight="1">
      <c r="A24" s="647" t="s">
        <v>809</v>
      </c>
      <c r="B24" s="648"/>
      <c r="C24" s="112" t="s">
        <v>810</v>
      </c>
      <c r="D24" s="649" t="s">
        <v>12</v>
      </c>
      <c r="E24" s="650"/>
      <c r="F24" s="651"/>
      <c r="G24" s="110" t="s">
        <v>811</v>
      </c>
      <c r="H24" s="111"/>
      <c r="I24" s="112"/>
      <c r="J24" s="109" t="s">
        <v>812</v>
      </c>
      <c r="K24" s="109" t="s">
        <v>837</v>
      </c>
      <c r="L24" s="109" t="s">
        <v>814</v>
      </c>
      <c r="M24" s="113" t="s">
        <v>11</v>
      </c>
      <c r="N24" s="284" t="s">
        <v>815</v>
      </c>
      <c r="O24" s="652" t="s">
        <v>816</v>
      </c>
      <c r="P24" s="653"/>
      <c r="R24" s="167"/>
      <c r="S24" s="167"/>
      <c r="T24" s="167"/>
      <c r="U24" s="167"/>
      <c r="V24" s="167"/>
      <c r="W24" s="167"/>
    </row>
    <row r="25" spans="1:23" ht="15.75" customHeight="1">
      <c r="A25" s="648">
        <v>6</v>
      </c>
      <c r="B25" s="657" t="s">
        <v>195</v>
      </c>
      <c r="C25" s="107">
        <v>1</v>
      </c>
      <c r="D25" s="437" t="s">
        <v>579</v>
      </c>
      <c r="E25" s="628"/>
      <c r="F25" s="629"/>
      <c r="G25" s="437" t="s">
        <v>335</v>
      </c>
      <c r="H25" s="628"/>
      <c r="I25" s="629"/>
      <c r="J25" s="4">
        <v>487.6</v>
      </c>
      <c r="K25" s="14">
        <v>2.5153244557176151E-2</v>
      </c>
      <c r="L25" s="4">
        <v>0.71400000000000219</v>
      </c>
      <c r="M25" s="342">
        <v>348.14640000000111</v>
      </c>
      <c r="N25" s="4"/>
      <c r="O25" s="621" t="s">
        <v>840</v>
      </c>
      <c r="P25" s="646"/>
      <c r="R25" s="167"/>
      <c r="S25" s="167"/>
      <c r="T25" s="167"/>
      <c r="U25" s="167"/>
      <c r="V25" s="167"/>
      <c r="W25" s="167"/>
    </row>
    <row r="26" spans="1:23" ht="15.75" customHeight="1">
      <c r="A26" s="648"/>
      <c r="B26" s="654"/>
      <c r="C26" s="107">
        <v>2</v>
      </c>
      <c r="D26" s="437" t="s">
        <v>578</v>
      </c>
      <c r="E26" s="628"/>
      <c r="F26" s="629"/>
      <c r="G26" s="437" t="s">
        <v>665</v>
      </c>
      <c r="H26" s="628"/>
      <c r="I26" s="629"/>
      <c r="J26" s="4">
        <v>444.88</v>
      </c>
      <c r="K26" s="14">
        <v>4.3655339187985115E-2</v>
      </c>
      <c r="L26" s="4">
        <v>0.68599999999999817</v>
      </c>
      <c r="M26" s="342">
        <v>305.1876799999992</v>
      </c>
      <c r="N26" s="4"/>
      <c r="O26" s="621" t="s">
        <v>729</v>
      </c>
      <c r="P26" s="646"/>
      <c r="R26" s="167"/>
      <c r="S26" s="167"/>
      <c r="T26" s="167"/>
      <c r="U26" s="167"/>
      <c r="V26" s="167"/>
      <c r="W26" s="167"/>
    </row>
    <row r="27" spans="1:23" ht="15.75" customHeight="1">
      <c r="A27" s="648"/>
      <c r="B27" s="654"/>
      <c r="C27" s="107">
        <v>3</v>
      </c>
      <c r="D27" s="437">
        <v>0</v>
      </c>
      <c r="E27" s="628"/>
      <c r="F27" s="629"/>
      <c r="G27" s="437">
        <v>0</v>
      </c>
      <c r="H27" s="628"/>
      <c r="I27" s="629"/>
      <c r="J27" s="4">
        <v>0</v>
      </c>
      <c r="K27" s="14">
        <v>0</v>
      </c>
      <c r="L27" s="4">
        <v>0</v>
      </c>
      <c r="M27" s="342">
        <v>0</v>
      </c>
      <c r="N27" s="4"/>
      <c r="O27" s="621"/>
      <c r="P27" s="646"/>
      <c r="R27" s="167"/>
      <c r="S27" s="167"/>
      <c r="T27" s="167"/>
      <c r="U27" s="167"/>
      <c r="V27" s="167"/>
      <c r="W27" s="167"/>
    </row>
    <row r="28" spans="1:23" ht="15.75" customHeight="1">
      <c r="A28" s="648"/>
      <c r="B28" s="654"/>
      <c r="C28" s="107">
        <v>4</v>
      </c>
      <c r="D28" s="437">
        <v>0</v>
      </c>
      <c r="E28" s="628"/>
      <c r="F28" s="629"/>
      <c r="G28" s="437">
        <v>0</v>
      </c>
      <c r="H28" s="628"/>
      <c r="I28" s="629"/>
      <c r="J28" s="4">
        <v>0</v>
      </c>
      <c r="K28" s="14">
        <v>0</v>
      </c>
      <c r="L28" s="4">
        <v>0</v>
      </c>
      <c r="M28" s="342">
        <v>0</v>
      </c>
      <c r="N28" s="4"/>
      <c r="O28" s="621"/>
      <c r="P28" s="646"/>
      <c r="R28" s="167"/>
      <c r="S28" s="167"/>
      <c r="T28" s="167"/>
      <c r="U28" s="167"/>
      <c r="V28" s="167"/>
      <c r="W28" s="167"/>
    </row>
    <row r="29" spans="1:23" ht="15.75" customHeight="1" thickBot="1">
      <c r="A29" s="648"/>
      <c r="B29" s="654"/>
      <c r="C29" s="108">
        <v>5</v>
      </c>
      <c r="D29" s="437">
        <v>0</v>
      </c>
      <c r="E29" s="628"/>
      <c r="F29" s="629"/>
      <c r="G29" s="437">
        <v>0</v>
      </c>
      <c r="H29" s="628"/>
      <c r="I29" s="629"/>
      <c r="J29" s="4">
        <v>0</v>
      </c>
      <c r="K29" s="14">
        <v>0</v>
      </c>
      <c r="L29" s="4">
        <v>0</v>
      </c>
      <c r="M29" s="342">
        <v>0</v>
      </c>
      <c r="N29" s="4"/>
      <c r="O29" s="621"/>
      <c r="P29" s="646"/>
      <c r="R29" s="167"/>
      <c r="S29" s="167"/>
      <c r="T29" s="167"/>
      <c r="U29" s="167"/>
      <c r="V29" s="167"/>
      <c r="W29" s="167"/>
    </row>
    <row r="30" spans="1:23" ht="15.75" customHeight="1" thickTop="1" thickBot="1">
      <c r="A30" s="648"/>
      <c r="B30" s="654"/>
      <c r="C30" s="661"/>
      <c r="D30" s="661"/>
      <c r="E30" s="661"/>
      <c r="F30" s="661"/>
      <c r="G30" s="661"/>
      <c r="H30" s="661"/>
      <c r="I30" s="662"/>
      <c r="J30" s="114" t="s">
        <v>818</v>
      </c>
      <c r="K30" s="222">
        <v>2.3568875919954915E-3</v>
      </c>
      <c r="L30" s="114" t="s">
        <v>819</v>
      </c>
      <c r="M30" s="343">
        <v>653.33408000000031</v>
      </c>
      <c r="N30" s="658"/>
      <c r="O30" s="659"/>
      <c r="P30" s="660"/>
      <c r="R30" s="167"/>
      <c r="S30" s="167"/>
      <c r="T30" s="167"/>
      <c r="U30" s="167"/>
      <c r="V30" s="167"/>
      <c r="W30" s="167"/>
    </row>
    <row r="31" spans="1:23" ht="15.75" customHeight="1" thickTop="1">
      <c r="A31" s="2"/>
      <c r="B31" s="106"/>
      <c r="C31" s="10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R31" s="167"/>
      <c r="S31" s="167"/>
      <c r="T31" s="167"/>
      <c r="U31" s="167"/>
      <c r="V31" s="167"/>
      <c r="W31" s="167"/>
    </row>
    <row r="32" spans="1:23" ht="15.75" customHeight="1">
      <c r="A32" s="647" t="s">
        <v>809</v>
      </c>
      <c r="B32" s="648"/>
      <c r="C32" s="112" t="s">
        <v>810</v>
      </c>
      <c r="D32" s="649" t="s">
        <v>12</v>
      </c>
      <c r="E32" s="650"/>
      <c r="F32" s="651"/>
      <c r="G32" s="110" t="s">
        <v>811</v>
      </c>
      <c r="H32" s="111"/>
      <c r="I32" s="112"/>
      <c r="J32" s="109" t="s">
        <v>812</v>
      </c>
      <c r="K32" s="109" t="s">
        <v>837</v>
      </c>
      <c r="L32" s="109" t="s">
        <v>814</v>
      </c>
      <c r="M32" s="113" t="s">
        <v>11</v>
      </c>
      <c r="N32" s="113" t="s">
        <v>13</v>
      </c>
      <c r="O32" s="652" t="s">
        <v>816</v>
      </c>
      <c r="P32" s="653"/>
      <c r="R32" s="167"/>
      <c r="S32" s="167"/>
      <c r="T32" s="167"/>
      <c r="U32" s="167"/>
      <c r="V32" s="167"/>
      <c r="W32" s="167"/>
    </row>
    <row r="33" spans="1:23" ht="15.75" customHeight="1">
      <c r="A33" s="648">
        <v>7</v>
      </c>
      <c r="B33" s="657" t="s">
        <v>834</v>
      </c>
      <c r="C33" s="107">
        <v>1</v>
      </c>
      <c r="D33" s="437" t="s">
        <v>330</v>
      </c>
      <c r="E33" s="628"/>
      <c r="F33" s="629"/>
      <c r="G33" s="437" t="s">
        <v>728</v>
      </c>
      <c r="H33" s="628"/>
      <c r="I33" s="629"/>
      <c r="J33" s="4">
        <v>1760</v>
      </c>
      <c r="K33" s="14">
        <v>0.10395584176632934</v>
      </c>
      <c r="L33" s="4">
        <v>0.22599999999999998</v>
      </c>
      <c r="M33" s="342">
        <v>397.76</v>
      </c>
      <c r="N33" s="4"/>
      <c r="O33" s="621" t="s">
        <v>841</v>
      </c>
      <c r="P33" s="646"/>
      <c r="R33" s="167"/>
      <c r="S33" s="167"/>
      <c r="T33" s="167"/>
      <c r="U33" s="167"/>
      <c r="V33" s="167"/>
      <c r="W33" s="167"/>
    </row>
    <row r="34" spans="1:23" ht="15.75" customHeight="1">
      <c r="A34" s="648"/>
      <c r="B34" s="654"/>
      <c r="C34" s="107">
        <v>2</v>
      </c>
      <c r="D34" s="437" t="s">
        <v>649</v>
      </c>
      <c r="E34" s="628"/>
      <c r="F34" s="629"/>
      <c r="G34" s="437" t="s">
        <v>667</v>
      </c>
      <c r="H34" s="628"/>
      <c r="I34" s="629"/>
      <c r="J34" s="4">
        <v>790</v>
      </c>
      <c r="K34" s="14">
        <v>6.3991488068095501E-2</v>
      </c>
      <c r="L34" s="4">
        <v>0.42100000000000026</v>
      </c>
      <c r="M34" s="342">
        <v>332.5900000000002</v>
      </c>
      <c r="N34" s="4"/>
      <c r="O34" s="621" t="s">
        <v>841</v>
      </c>
      <c r="P34" s="646"/>
      <c r="R34" s="167"/>
      <c r="S34" s="167"/>
      <c r="T34" s="167"/>
      <c r="U34" s="167"/>
      <c r="V34" s="167"/>
      <c r="W34" s="167"/>
    </row>
    <row r="35" spans="1:23" ht="15.75" customHeight="1">
      <c r="A35" s="648"/>
      <c r="B35" s="654"/>
      <c r="C35" s="107">
        <v>3</v>
      </c>
      <c r="D35" s="437" t="s">
        <v>842</v>
      </c>
      <c r="E35" s="628"/>
      <c r="F35" s="629"/>
      <c r="G35" s="437" t="s">
        <v>843</v>
      </c>
      <c r="H35" s="628"/>
      <c r="I35" s="629"/>
      <c r="J35" s="4">
        <v>1760</v>
      </c>
      <c r="K35" s="14">
        <v>5.0539466212379439E-2</v>
      </c>
      <c r="L35" s="4">
        <v>0.17800000000000038</v>
      </c>
      <c r="M35" s="342">
        <v>313.28000000000065</v>
      </c>
      <c r="N35" s="4"/>
      <c r="O35" s="621" t="s">
        <v>841</v>
      </c>
      <c r="P35" s="646"/>
      <c r="R35" s="167"/>
      <c r="S35" s="167"/>
      <c r="T35" s="167"/>
      <c r="U35" s="167"/>
      <c r="V35" s="167"/>
      <c r="W35" s="167"/>
    </row>
    <row r="36" spans="1:23" ht="15.75" customHeight="1">
      <c r="A36" s="648"/>
      <c r="B36" s="654"/>
      <c r="C36" s="107">
        <v>4</v>
      </c>
      <c r="D36" s="437" t="s">
        <v>753</v>
      </c>
      <c r="E36" s="628"/>
      <c r="F36" s="629"/>
      <c r="G36" s="437" t="s">
        <v>844</v>
      </c>
      <c r="H36" s="628"/>
      <c r="I36" s="629"/>
      <c r="J36" s="4">
        <v>1210</v>
      </c>
      <c r="K36" s="14">
        <v>9.3457943925233638E-3</v>
      </c>
      <c r="L36" s="4">
        <v>0.25</v>
      </c>
      <c r="M36" s="342">
        <v>302.5</v>
      </c>
      <c r="N36" s="4"/>
      <c r="O36" s="621" t="s">
        <v>841</v>
      </c>
      <c r="P36" s="646"/>
      <c r="R36" s="167"/>
      <c r="S36" s="167"/>
      <c r="T36" s="167"/>
      <c r="U36" s="167"/>
      <c r="V36" s="167"/>
      <c r="W36" s="167"/>
    </row>
    <row r="37" spans="1:23" ht="15.75" customHeight="1" thickBot="1">
      <c r="A37" s="648"/>
      <c r="B37" s="654"/>
      <c r="C37" s="108">
        <v>5</v>
      </c>
      <c r="D37" s="437" t="s">
        <v>331</v>
      </c>
      <c r="E37" s="628"/>
      <c r="F37" s="629"/>
      <c r="G37" s="437" t="s">
        <v>747</v>
      </c>
      <c r="H37" s="628"/>
      <c r="I37" s="629"/>
      <c r="J37" s="4">
        <v>758.19</v>
      </c>
      <c r="K37" s="14">
        <v>1.9747491097443094E-2</v>
      </c>
      <c r="L37" s="4">
        <v>0.36600000000001032</v>
      </c>
      <c r="M37" s="342">
        <v>277.49754000000786</v>
      </c>
      <c r="N37" s="4"/>
      <c r="O37" s="621" t="s">
        <v>841</v>
      </c>
      <c r="P37" s="646"/>
      <c r="R37" s="167"/>
      <c r="S37" s="167"/>
      <c r="T37" s="167"/>
      <c r="U37" s="167"/>
      <c r="V37" s="167"/>
      <c r="W37" s="167"/>
    </row>
    <row r="38" spans="1:23" ht="15.75" customHeight="1" thickTop="1" thickBot="1">
      <c r="A38" s="648"/>
      <c r="B38" s="654"/>
      <c r="C38" s="661"/>
      <c r="D38" s="661"/>
      <c r="E38" s="661"/>
      <c r="F38" s="661"/>
      <c r="G38" s="661"/>
      <c r="H38" s="661"/>
      <c r="I38" s="662"/>
      <c r="J38" s="114" t="s">
        <v>818</v>
      </c>
      <c r="K38" s="222">
        <v>5.8571988209281563E-3</v>
      </c>
      <c r="L38" s="114" t="s">
        <v>819</v>
      </c>
      <c r="M38" s="343">
        <v>1623.6275400000086</v>
      </c>
      <c r="N38" s="658"/>
      <c r="O38" s="659"/>
      <c r="P38" s="660"/>
      <c r="R38" s="167"/>
      <c r="S38" s="167"/>
      <c r="T38" s="167"/>
      <c r="U38" s="167"/>
      <c r="V38" s="167"/>
      <c r="W38" s="167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T30" sqref="T30"/>
    </sheetView>
  </sheetViews>
  <sheetFormatPr defaultColWidth="12.5703125" defaultRowHeight="15.75" customHeight="1"/>
  <cols>
    <col min="1" max="1" width="5.42578125" style="115" customWidth="1"/>
    <col min="2" max="2" width="7.85546875" style="161" customWidth="1"/>
    <col min="3" max="3" width="4" style="147" customWidth="1"/>
    <col min="4" max="17" width="8.5703125" style="115" customWidth="1"/>
    <col min="18" max="16384" width="12.5703125" style="115"/>
  </cols>
  <sheetData>
    <row r="1" spans="1:17" ht="15.75" customHeight="1">
      <c r="A1" s="459" t="s">
        <v>186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</row>
    <row r="2" spans="1:17" s="116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</row>
    <row r="3" spans="1:17" ht="15.75" customHeight="1">
      <c r="A3" s="509" t="s">
        <v>197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</row>
    <row r="4" spans="1:17" s="116" customFormat="1" ht="15.75" customHeight="1">
      <c r="A4" s="670"/>
      <c r="B4" s="670"/>
      <c r="C4" s="670"/>
      <c r="D4" s="670"/>
      <c r="E4" s="670"/>
      <c r="F4" s="670"/>
      <c r="G4" s="670"/>
      <c r="H4" s="670"/>
      <c r="I4" s="670"/>
      <c r="J4" s="670"/>
      <c r="K4" s="670"/>
      <c r="L4" s="670"/>
      <c r="M4" s="670"/>
      <c r="N4" s="670"/>
      <c r="O4" s="670"/>
      <c r="P4" s="670"/>
      <c r="Q4" s="670"/>
    </row>
    <row r="5" spans="1:17" ht="15.75" customHeight="1">
      <c r="A5" s="475" t="s">
        <v>172</v>
      </c>
      <c r="B5" s="506">
        <v>1</v>
      </c>
      <c r="C5" s="506"/>
      <c r="D5" s="506">
        <v>2</v>
      </c>
      <c r="E5" s="506"/>
      <c r="F5" s="506">
        <v>3</v>
      </c>
      <c r="G5" s="506"/>
      <c r="H5" s="506">
        <v>4</v>
      </c>
      <c r="I5" s="506"/>
      <c r="J5" s="506">
        <v>5</v>
      </c>
      <c r="K5" s="506"/>
      <c r="L5" s="506">
        <v>6</v>
      </c>
      <c r="M5" s="506"/>
      <c r="N5" s="506">
        <v>7</v>
      </c>
      <c r="O5" s="506"/>
      <c r="P5" s="623">
        <v>8</v>
      </c>
      <c r="Q5" s="623"/>
    </row>
    <row r="6" spans="1:17" ht="15.75" customHeight="1">
      <c r="A6" s="475"/>
      <c r="B6" s="475" t="s">
        <v>305</v>
      </c>
      <c r="C6" s="475"/>
      <c r="D6" s="475" t="s">
        <v>198</v>
      </c>
      <c r="E6" s="475"/>
      <c r="F6" s="475" t="s">
        <v>164</v>
      </c>
      <c r="G6" s="475"/>
      <c r="H6" s="475" t="s">
        <v>507</v>
      </c>
      <c r="I6" s="475"/>
      <c r="J6" s="475" t="s">
        <v>170</v>
      </c>
      <c r="K6" s="475"/>
      <c r="L6" s="475" t="s">
        <v>165</v>
      </c>
      <c r="M6" s="475"/>
      <c r="N6" s="475" t="s">
        <v>171</v>
      </c>
      <c r="O6" s="475"/>
      <c r="P6" s="624" t="s">
        <v>199</v>
      </c>
      <c r="Q6" s="624"/>
    </row>
    <row r="8" spans="1:17" s="122" customFormat="1" ht="15.75" customHeight="1">
      <c r="A8" s="148" t="s">
        <v>174</v>
      </c>
      <c r="B8" s="164" t="s">
        <v>18</v>
      </c>
      <c r="C8" s="671" t="s">
        <v>12</v>
      </c>
      <c r="D8" s="671"/>
      <c r="E8" s="671"/>
      <c r="F8" s="671" t="s">
        <v>53</v>
      </c>
      <c r="G8" s="671"/>
      <c r="H8" s="671"/>
      <c r="I8" s="164" t="s">
        <v>54</v>
      </c>
      <c r="J8" s="165" t="s">
        <v>19</v>
      </c>
      <c r="K8" s="164" t="s">
        <v>57</v>
      </c>
      <c r="L8" s="164" t="s">
        <v>2</v>
      </c>
      <c r="M8" s="672" t="s">
        <v>50</v>
      </c>
      <c r="N8" s="673"/>
      <c r="O8" s="673"/>
      <c r="P8" s="673"/>
      <c r="Q8" s="673"/>
    </row>
    <row r="9" spans="1:17" ht="15.75" customHeight="1">
      <c r="A9" s="671" t="s">
        <v>173</v>
      </c>
      <c r="B9" s="143">
        <v>1</v>
      </c>
      <c r="C9" s="529"/>
      <c r="D9" s="520"/>
      <c r="E9" s="520"/>
      <c r="F9" s="529"/>
      <c r="G9" s="520"/>
      <c r="H9" s="520"/>
      <c r="I9" s="149"/>
      <c r="J9" s="134"/>
      <c r="K9" s="134"/>
      <c r="L9" s="163">
        <f>K9-J9</f>
        <v>0</v>
      </c>
      <c r="M9" s="529"/>
      <c r="N9" s="529"/>
      <c r="O9" s="529"/>
      <c r="P9" s="529"/>
      <c r="Q9" s="529"/>
    </row>
    <row r="10" spans="1:17" ht="15.75" customHeight="1">
      <c r="A10" s="676"/>
      <c r="B10" s="143">
        <v>2</v>
      </c>
      <c r="C10" s="529"/>
      <c r="D10" s="520"/>
      <c r="E10" s="520"/>
      <c r="F10" s="529"/>
      <c r="G10" s="520"/>
      <c r="H10" s="520"/>
      <c r="I10" s="149"/>
      <c r="J10" s="134"/>
      <c r="K10" s="134"/>
      <c r="L10" s="163">
        <f>K10-J10</f>
        <v>0</v>
      </c>
      <c r="M10" s="529"/>
      <c r="N10" s="529"/>
      <c r="O10" s="529"/>
      <c r="P10" s="529"/>
      <c r="Q10" s="529"/>
    </row>
    <row r="11" spans="1:17" ht="15.75" customHeight="1">
      <c r="A11" s="676"/>
      <c r="B11" s="143">
        <v>3</v>
      </c>
      <c r="C11" s="529"/>
      <c r="D11" s="520"/>
      <c r="E11" s="520"/>
      <c r="F11" s="529"/>
      <c r="G11" s="520"/>
      <c r="H11" s="520"/>
      <c r="I11" s="149"/>
      <c r="J11" s="134"/>
      <c r="K11" s="134"/>
      <c r="L11" s="163">
        <f>K11-J11</f>
        <v>0</v>
      </c>
      <c r="M11" s="529"/>
      <c r="N11" s="529"/>
      <c r="O11" s="529"/>
      <c r="P11" s="529"/>
      <c r="Q11" s="529"/>
    </row>
    <row r="12" spans="1:17" ht="15.75" customHeight="1">
      <c r="A12" s="676"/>
      <c r="B12" s="143">
        <v>4</v>
      </c>
      <c r="C12" s="529"/>
      <c r="D12" s="520"/>
      <c r="E12" s="520"/>
      <c r="F12" s="529"/>
      <c r="G12" s="520"/>
      <c r="H12" s="520"/>
      <c r="I12" s="149"/>
      <c r="J12" s="134"/>
      <c r="K12" s="134"/>
      <c r="L12" s="163">
        <f>K12-J12</f>
        <v>0</v>
      </c>
      <c r="M12" s="529"/>
      <c r="N12" s="529"/>
      <c r="O12" s="529"/>
      <c r="P12" s="529"/>
      <c r="Q12" s="529"/>
    </row>
    <row r="13" spans="1:17" ht="15.75" customHeight="1">
      <c r="A13" s="676"/>
      <c r="B13" s="143">
        <v>5</v>
      </c>
      <c r="C13" s="529"/>
      <c r="D13" s="520"/>
      <c r="E13" s="520"/>
      <c r="F13" s="529"/>
      <c r="G13" s="520"/>
      <c r="H13" s="520"/>
      <c r="I13" s="149"/>
      <c r="J13" s="134"/>
      <c r="K13" s="134"/>
      <c r="L13" s="163">
        <f>K13-J13</f>
        <v>0</v>
      </c>
      <c r="M13" s="529"/>
      <c r="N13" s="529"/>
      <c r="O13" s="529"/>
      <c r="P13" s="529"/>
      <c r="Q13" s="529"/>
    </row>
    <row r="14" spans="1:17" ht="15.75" customHeight="1">
      <c r="A14" s="674"/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4"/>
      <c r="N14" s="674"/>
      <c r="O14" s="675"/>
    </row>
    <row r="15" spans="1:17" s="122" customFormat="1" ht="15.75" customHeight="1">
      <c r="A15" s="148" t="s">
        <v>174</v>
      </c>
      <c r="B15" s="148" t="s">
        <v>18</v>
      </c>
      <c r="C15" s="669" t="s">
        <v>12</v>
      </c>
      <c r="D15" s="669"/>
      <c r="E15" s="669"/>
      <c r="F15" s="669" t="s">
        <v>53</v>
      </c>
      <c r="G15" s="669"/>
      <c r="H15" s="669"/>
      <c r="I15" s="148" t="s">
        <v>54</v>
      </c>
      <c r="J15" s="162" t="s">
        <v>19</v>
      </c>
      <c r="K15" s="148" t="s">
        <v>57</v>
      </c>
      <c r="L15" s="148" t="s">
        <v>2</v>
      </c>
      <c r="M15" s="669" t="s">
        <v>50</v>
      </c>
      <c r="N15" s="669"/>
      <c r="O15" s="669"/>
      <c r="P15" s="669"/>
      <c r="Q15" s="669"/>
    </row>
    <row r="16" spans="1:17" ht="15.75" customHeight="1">
      <c r="A16" s="669" t="s">
        <v>175</v>
      </c>
      <c r="B16" s="143">
        <v>1</v>
      </c>
      <c r="C16" s="529"/>
      <c r="D16" s="520"/>
      <c r="E16" s="520"/>
      <c r="F16" s="529"/>
      <c r="G16" s="520"/>
      <c r="H16" s="520"/>
      <c r="I16" s="149"/>
      <c r="J16" s="134"/>
      <c r="K16" s="134"/>
      <c r="L16" s="163">
        <f>K16-J16</f>
        <v>0</v>
      </c>
      <c r="M16" s="529"/>
      <c r="N16" s="529"/>
      <c r="O16" s="529"/>
      <c r="P16" s="529"/>
      <c r="Q16" s="529"/>
    </row>
    <row r="17" spans="1:17" ht="15.75" customHeight="1">
      <c r="A17" s="669"/>
      <c r="B17" s="143">
        <v>2</v>
      </c>
      <c r="C17" s="529"/>
      <c r="D17" s="520"/>
      <c r="E17" s="520"/>
      <c r="F17" s="529"/>
      <c r="G17" s="520"/>
      <c r="H17" s="520"/>
      <c r="I17" s="149"/>
      <c r="J17" s="134"/>
      <c r="K17" s="134"/>
      <c r="L17" s="163">
        <f>K17-J17</f>
        <v>0</v>
      </c>
      <c r="M17" s="529"/>
      <c r="N17" s="529"/>
      <c r="O17" s="529"/>
      <c r="P17" s="529"/>
      <c r="Q17" s="529"/>
    </row>
    <row r="18" spans="1:17" ht="15.75" customHeight="1">
      <c r="A18" s="669"/>
      <c r="B18" s="143">
        <v>3</v>
      </c>
      <c r="C18" s="529"/>
      <c r="D18" s="520"/>
      <c r="E18" s="520"/>
      <c r="F18" s="529"/>
      <c r="G18" s="520"/>
      <c r="H18" s="520"/>
      <c r="I18" s="149"/>
      <c r="J18" s="134"/>
      <c r="K18" s="134"/>
      <c r="L18" s="163">
        <f>K18-J18</f>
        <v>0</v>
      </c>
      <c r="M18" s="529"/>
      <c r="N18" s="529"/>
      <c r="O18" s="529"/>
      <c r="P18" s="529"/>
      <c r="Q18" s="529"/>
    </row>
    <row r="19" spans="1:17" ht="15.75" customHeight="1">
      <c r="A19" s="669"/>
      <c r="B19" s="143">
        <v>4</v>
      </c>
      <c r="C19" s="529"/>
      <c r="D19" s="520"/>
      <c r="E19" s="520"/>
      <c r="F19" s="529"/>
      <c r="G19" s="520"/>
      <c r="H19" s="520"/>
      <c r="I19" s="149"/>
      <c r="J19" s="134"/>
      <c r="K19" s="134"/>
      <c r="L19" s="163">
        <f>K19-J19</f>
        <v>0</v>
      </c>
      <c r="M19" s="529"/>
      <c r="N19" s="529"/>
      <c r="O19" s="529"/>
      <c r="P19" s="529"/>
      <c r="Q19" s="529"/>
    </row>
    <row r="20" spans="1:17" ht="15.75" customHeight="1">
      <c r="A20" s="669"/>
      <c r="B20" s="143">
        <v>5</v>
      </c>
      <c r="C20" s="529"/>
      <c r="D20" s="520"/>
      <c r="E20" s="520"/>
      <c r="F20" s="529"/>
      <c r="G20" s="520"/>
      <c r="H20" s="520"/>
      <c r="I20" s="149"/>
      <c r="J20" s="134"/>
      <c r="K20" s="134"/>
      <c r="L20" s="163">
        <f>K20-J20</f>
        <v>0</v>
      </c>
      <c r="M20" s="529"/>
      <c r="N20" s="529"/>
      <c r="O20" s="529"/>
      <c r="P20" s="529"/>
      <c r="Q20" s="529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 tint="0.39997558519241921"/>
    <pageSetUpPr fitToPage="1"/>
  </sheetPr>
  <dimension ref="B2:AP272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2" sqref="B2:AA2"/>
    </sheetView>
  </sheetViews>
  <sheetFormatPr defaultColWidth="8.85546875" defaultRowHeight="16.5"/>
  <cols>
    <col min="1" max="1" width="8.85546875" style="292"/>
    <col min="2" max="2" width="12.42578125" style="292" customWidth="1"/>
    <col min="3" max="3" width="8.85546875" style="292"/>
    <col min="4" max="4" width="11.5703125" style="292" customWidth="1"/>
    <col min="5" max="5" width="39.28515625" style="292" bestFit="1" customWidth="1"/>
    <col min="6" max="21" width="15.7109375" style="292" customWidth="1"/>
    <col min="22" max="22" width="12.42578125" style="292" bestFit="1" customWidth="1"/>
    <col min="23" max="23" width="25.28515625" style="292" bestFit="1" customWidth="1"/>
    <col min="24" max="24" width="88.28515625" style="292" customWidth="1"/>
    <col min="25" max="25" width="117.7109375" style="292" bestFit="1" customWidth="1"/>
    <col min="26" max="26" width="7.42578125" style="292" bestFit="1" customWidth="1"/>
    <col min="27" max="27" width="69.5703125" style="292" bestFit="1" customWidth="1"/>
    <col min="28" max="28" width="11.42578125" style="292" bestFit="1" customWidth="1"/>
    <col min="29" max="29" width="21.5703125" style="292" customWidth="1"/>
    <col min="30" max="30" width="19.42578125" style="292" bestFit="1" customWidth="1"/>
    <col min="31" max="36" width="14.42578125" style="292" customWidth="1"/>
    <col min="37" max="40" width="8.85546875" style="292"/>
    <col min="41" max="41" width="20.85546875" style="292" bestFit="1" customWidth="1"/>
    <col min="42" max="42" width="8.7109375" style="292" customWidth="1"/>
    <col min="43" max="16384" width="8.85546875" style="292"/>
  </cols>
  <sheetData>
    <row r="2" spans="2:42" ht="41.1" customHeight="1">
      <c r="B2" s="679" t="s">
        <v>673</v>
      </c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  <c r="Q2" s="680"/>
      <c r="R2" s="680"/>
      <c r="S2" s="680"/>
      <c r="T2" s="680"/>
      <c r="U2" s="680"/>
      <c r="V2" s="680"/>
      <c r="W2" s="680"/>
      <c r="X2" s="680"/>
      <c r="Y2" s="680"/>
      <c r="Z2" s="680"/>
      <c r="AA2" s="680"/>
      <c r="AC2" s="293"/>
      <c r="AD2" s="293"/>
    </row>
    <row r="3" spans="2:42" ht="17.100000000000001" customHeight="1">
      <c r="B3" s="681" t="s">
        <v>674</v>
      </c>
      <c r="C3" s="682"/>
      <c r="D3" s="685" t="s">
        <v>675</v>
      </c>
      <c r="E3" s="686" t="s">
        <v>676</v>
      </c>
      <c r="F3" s="709" t="s">
        <v>677</v>
      </c>
      <c r="G3" s="704" t="s">
        <v>678</v>
      </c>
      <c r="H3" s="710" t="s">
        <v>679</v>
      </c>
      <c r="I3" s="677" t="s">
        <v>680</v>
      </c>
      <c r="J3" s="678"/>
      <c r="K3" s="677" t="s">
        <v>681</v>
      </c>
      <c r="L3" s="678"/>
      <c r="M3" s="677" t="s">
        <v>682</v>
      </c>
      <c r="N3" s="678"/>
      <c r="O3" s="677" t="s">
        <v>683</v>
      </c>
      <c r="P3" s="678"/>
      <c r="Q3" s="677" t="s">
        <v>684</v>
      </c>
      <c r="R3" s="678"/>
      <c r="S3" s="706" t="s">
        <v>685</v>
      </c>
      <c r="T3" s="707"/>
      <c r="U3" s="708"/>
      <c r="V3" s="702" t="s">
        <v>166</v>
      </c>
      <c r="W3" s="702" t="s">
        <v>686</v>
      </c>
      <c r="X3" s="702" t="s">
        <v>687</v>
      </c>
      <c r="Y3" s="702" t="s">
        <v>688</v>
      </c>
      <c r="Z3" s="702" t="s">
        <v>689</v>
      </c>
      <c r="AA3" s="704" t="s">
        <v>167</v>
      </c>
      <c r="AC3" s="687" t="s">
        <v>690</v>
      </c>
      <c r="AD3" s="688"/>
      <c r="AE3" s="688"/>
      <c r="AF3" s="688"/>
      <c r="AG3" s="688"/>
      <c r="AH3" s="688"/>
      <c r="AI3" s="688"/>
      <c r="AJ3" s="689"/>
    </row>
    <row r="4" spans="2:42">
      <c r="B4" s="683"/>
      <c r="C4" s="684"/>
      <c r="D4" s="685"/>
      <c r="E4" s="685"/>
      <c r="F4" s="709"/>
      <c r="G4" s="705"/>
      <c r="H4" s="705"/>
      <c r="I4" s="344" t="s">
        <v>691</v>
      </c>
      <c r="J4" s="345" t="s">
        <v>668</v>
      </c>
      <c r="K4" s="344" t="s">
        <v>691</v>
      </c>
      <c r="L4" s="345" t="s">
        <v>668</v>
      </c>
      <c r="M4" s="344" t="s">
        <v>691</v>
      </c>
      <c r="N4" s="345" t="s">
        <v>668</v>
      </c>
      <c r="O4" s="344" t="s">
        <v>691</v>
      </c>
      <c r="P4" s="345" t="s">
        <v>668</v>
      </c>
      <c r="Q4" s="344" t="s">
        <v>691</v>
      </c>
      <c r="R4" s="345" t="s">
        <v>668</v>
      </c>
      <c r="S4" s="344" t="s">
        <v>691</v>
      </c>
      <c r="T4" s="345" t="s">
        <v>668</v>
      </c>
      <c r="U4" s="345" t="s">
        <v>669</v>
      </c>
      <c r="V4" s="703"/>
      <c r="W4" s="703"/>
      <c r="X4" s="703"/>
      <c r="Y4" s="703"/>
      <c r="Z4" s="703"/>
      <c r="AA4" s="705"/>
      <c r="AC4" s="690"/>
      <c r="AD4" s="691"/>
      <c r="AE4" s="691"/>
      <c r="AF4" s="691"/>
      <c r="AG4" s="691"/>
      <c r="AH4" s="691"/>
      <c r="AI4" s="691"/>
      <c r="AJ4" s="692"/>
    </row>
    <row r="5" spans="2:42" s="323" customFormat="1" ht="27" customHeight="1">
      <c r="B5" s="696" t="s">
        <v>748</v>
      </c>
      <c r="C5" s="697"/>
      <c r="D5" s="294">
        <v>1</v>
      </c>
      <c r="E5" s="346" t="s">
        <v>744</v>
      </c>
      <c r="F5" s="347">
        <v>1156.8319999999999</v>
      </c>
      <c r="G5" s="295">
        <v>361.51</v>
      </c>
      <c r="H5" s="348">
        <v>792.05304290429206</v>
      </c>
      <c r="I5" s="349">
        <v>795.3594851393965</v>
      </c>
      <c r="J5" s="350">
        <v>1.0041562830288355</v>
      </c>
      <c r="K5" s="349">
        <v>798.1</v>
      </c>
      <c r="L5" s="350">
        <v>1.0076345355274883</v>
      </c>
      <c r="M5" s="349">
        <v>0</v>
      </c>
      <c r="N5" s="350">
        <v>0</v>
      </c>
      <c r="O5" s="351">
        <v>798.1</v>
      </c>
      <c r="P5" s="350">
        <v>1.0076345355274883</v>
      </c>
      <c r="Q5" s="348">
        <v>3.2</v>
      </c>
      <c r="R5" s="350">
        <v>4.0401334590752565E-3</v>
      </c>
      <c r="S5" s="351">
        <v>6.0469570957079952</v>
      </c>
      <c r="T5" s="350">
        <v>7.6345355274882532E-3</v>
      </c>
      <c r="U5" s="352">
        <v>2186.0354596693974</v>
      </c>
      <c r="V5" s="296" t="s">
        <v>326</v>
      </c>
      <c r="W5" s="296" t="s">
        <v>507</v>
      </c>
      <c r="X5" s="296" t="s">
        <v>749</v>
      </c>
      <c r="Y5" s="296" t="s">
        <v>750</v>
      </c>
      <c r="Z5" s="296">
        <v>1</v>
      </c>
      <c r="AA5" s="353" t="s">
        <v>743</v>
      </c>
      <c r="AC5" s="693"/>
      <c r="AD5" s="694"/>
      <c r="AE5" s="694"/>
      <c r="AF5" s="694"/>
      <c r="AG5" s="694"/>
      <c r="AH5" s="694"/>
      <c r="AI5" s="694"/>
      <c r="AJ5" s="695"/>
    </row>
    <row r="6" spans="2:42" s="323" customFormat="1" ht="27" customHeight="1">
      <c r="B6" s="698"/>
      <c r="C6" s="699"/>
      <c r="D6" s="294">
        <v>2</v>
      </c>
      <c r="E6" s="346" t="s">
        <v>665</v>
      </c>
      <c r="F6" s="347">
        <v>1156.6879999999999</v>
      </c>
      <c r="G6" s="295">
        <v>444.88</v>
      </c>
      <c r="H6" s="348">
        <v>114.264</v>
      </c>
      <c r="I6" s="349">
        <v>115.314889942928</v>
      </c>
      <c r="J6" s="350">
        <v>1.0093423651979705</v>
      </c>
      <c r="K6" s="349">
        <v>118.1</v>
      </c>
      <c r="L6" s="350">
        <v>1.0335713785619267</v>
      </c>
      <c r="M6" s="349">
        <v>0</v>
      </c>
      <c r="N6" s="350">
        <v>0</v>
      </c>
      <c r="O6" s="351">
        <v>118.1</v>
      </c>
      <c r="P6" s="350">
        <v>1.0335713785619267</v>
      </c>
      <c r="Q6" s="348">
        <v>2.5999999999999996</v>
      </c>
      <c r="R6" s="350">
        <v>2.2754323321431069E-2</v>
      </c>
      <c r="S6" s="351">
        <v>3.8359999999999985</v>
      </c>
      <c r="T6" s="350">
        <v>3.3571378561926754E-2</v>
      </c>
      <c r="U6" s="352">
        <v>1706.5596799999992</v>
      </c>
      <c r="V6" s="296" t="s">
        <v>328</v>
      </c>
      <c r="W6" s="296" t="s">
        <v>195</v>
      </c>
      <c r="X6" s="296" t="s">
        <v>622</v>
      </c>
      <c r="Y6" s="296" t="s">
        <v>535</v>
      </c>
      <c r="Z6" s="296">
        <v>1</v>
      </c>
      <c r="AA6" s="353" t="s">
        <v>578</v>
      </c>
      <c r="AC6" s="200" t="s">
        <v>692</v>
      </c>
      <c r="AD6" s="200" t="s">
        <v>670</v>
      </c>
      <c r="AE6" s="324" t="s">
        <v>671</v>
      </c>
      <c r="AF6" s="324" t="s">
        <v>371</v>
      </c>
      <c r="AG6" s="324" t="s">
        <v>507</v>
      </c>
      <c r="AH6" s="324" t="s">
        <v>194</v>
      </c>
      <c r="AI6" s="324" t="s">
        <v>195</v>
      </c>
      <c r="AJ6" s="324" t="s">
        <v>521</v>
      </c>
      <c r="AO6"/>
      <c r="AP6"/>
    </row>
    <row r="7" spans="2:42" s="323" customFormat="1" ht="27" customHeight="1">
      <c r="B7" s="698"/>
      <c r="C7" s="699"/>
      <c r="D7" s="294">
        <v>3</v>
      </c>
      <c r="E7" s="346" t="s">
        <v>648</v>
      </c>
      <c r="F7" s="347">
        <v>1137.5349999999999</v>
      </c>
      <c r="G7" s="295">
        <v>325.01</v>
      </c>
      <c r="H7" s="348">
        <v>346</v>
      </c>
      <c r="I7" s="349">
        <v>348.23580292473099</v>
      </c>
      <c r="J7" s="350">
        <v>1.0064435916760781</v>
      </c>
      <c r="K7" s="349">
        <v>351.5</v>
      </c>
      <c r="L7" s="350">
        <v>1.0158959537572254</v>
      </c>
      <c r="M7" s="349">
        <v>0</v>
      </c>
      <c r="N7" s="350">
        <v>0</v>
      </c>
      <c r="O7" s="351">
        <v>351.5</v>
      </c>
      <c r="P7" s="350">
        <v>1.0158959537572254</v>
      </c>
      <c r="Q7" s="348">
        <v>3.5000000000000004</v>
      </c>
      <c r="R7" s="350">
        <v>1.0115606936416187E-2</v>
      </c>
      <c r="S7" s="351">
        <v>5.4999999999999929</v>
      </c>
      <c r="T7" s="350">
        <v>1.5895953757225412E-2</v>
      </c>
      <c r="U7" s="352">
        <v>1787.554999999998</v>
      </c>
      <c r="V7" s="296" t="s">
        <v>328</v>
      </c>
      <c r="W7" s="296" t="s">
        <v>194</v>
      </c>
      <c r="X7" s="296" t="s">
        <v>621</v>
      </c>
      <c r="Y7" s="296" t="s">
        <v>535</v>
      </c>
      <c r="Z7" s="296">
        <v>1</v>
      </c>
      <c r="AA7" s="353" t="s">
        <v>647</v>
      </c>
      <c r="AC7" s="354">
        <f>SUM(Z5:Z24)</f>
        <v>20</v>
      </c>
      <c r="AD7" s="297">
        <f>SUMIF($W$5:$W$24,TRIM(AD6),$Z$5:$Z$24)</f>
        <v>0</v>
      </c>
      <c r="AE7" s="297">
        <f>SUMIF($W$5:$W$24,TRIM(AE6),$Z$5:$Z$24)</f>
        <v>1</v>
      </c>
      <c r="AF7" s="297">
        <f>SUMIF($W$5:$W$24,TRIM(AF6),$Z$5:$Z$24)</f>
        <v>1</v>
      </c>
      <c r="AG7" s="297">
        <f>SUMIF($W$5:$W$24,TRIM(AG6),$Z$5:$Z$24)</f>
        <v>12</v>
      </c>
      <c r="AH7" s="297">
        <f t="shared" ref="AH7:AI7" si="0">SUMIF($W$5:$W$24,TRIM(AH6),$Z$5:$Z$24)</f>
        <v>4</v>
      </c>
      <c r="AI7" s="297">
        <f t="shared" si="0"/>
        <v>2</v>
      </c>
      <c r="AJ7" s="297">
        <f>SUMIF($W$5:$W$24,TRIM(AJ6),$Z$5:$Z$24)</f>
        <v>0</v>
      </c>
      <c r="AO7" s="355"/>
      <c r="AP7" s="187"/>
    </row>
    <row r="8" spans="2:42" s="323" customFormat="1" ht="27" customHeight="1">
      <c r="B8" s="698"/>
      <c r="C8" s="699"/>
      <c r="D8" s="294">
        <v>4</v>
      </c>
      <c r="E8" s="346" t="s">
        <v>536</v>
      </c>
      <c r="F8" s="347">
        <v>1100.5830000000001</v>
      </c>
      <c r="G8" s="295">
        <v>111.17</v>
      </c>
      <c r="H8" s="348">
        <v>2088.5740000000001</v>
      </c>
      <c r="I8" s="349">
        <v>2098.0034079771203</v>
      </c>
      <c r="J8" s="350">
        <v>1.0045611794128992</v>
      </c>
      <c r="K8" s="349">
        <v>2106.1999999999998</v>
      </c>
      <c r="L8" s="350">
        <v>1.0084392508955871</v>
      </c>
      <c r="M8" s="349">
        <v>0</v>
      </c>
      <c r="N8" s="350">
        <v>0</v>
      </c>
      <c r="O8" s="351">
        <v>2106.1999999999998</v>
      </c>
      <c r="P8" s="350">
        <v>1.0084392508955871</v>
      </c>
      <c r="Q8" s="348">
        <v>9.9</v>
      </c>
      <c r="R8" s="350">
        <v>4.7400762434081818E-3</v>
      </c>
      <c r="S8" s="351">
        <v>17.626000000000147</v>
      </c>
      <c r="T8" s="350">
        <v>8.4392508955872022E-3</v>
      </c>
      <c r="U8" s="352">
        <v>1959.4824200000162</v>
      </c>
      <c r="V8" s="296" t="s">
        <v>326</v>
      </c>
      <c r="W8" s="296" t="s">
        <v>507</v>
      </c>
      <c r="X8" s="296" t="s">
        <v>592</v>
      </c>
      <c r="Y8" s="296" t="s">
        <v>537</v>
      </c>
      <c r="Z8" s="296">
        <v>1</v>
      </c>
      <c r="AA8" s="353" t="s">
        <v>333</v>
      </c>
      <c r="AC8" s="356" t="s">
        <v>11</v>
      </c>
      <c r="AD8" s="357">
        <f>SUMIF($W5:$W$24,TRIM(AD6),$F$5:$F$24)</f>
        <v>0</v>
      </c>
      <c r="AE8" s="357">
        <f>SUMIF($W5:$W$24,TRIM(AE6),$F$5:$F$24)</f>
        <v>970.28399999999999</v>
      </c>
      <c r="AF8" s="357">
        <f>SUMIF($W5:$W$24,TRIM(AF6),$F$5:$F$24)</f>
        <v>994.35699999999997</v>
      </c>
      <c r="AG8" s="357">
        <f>SUMIF($W5:$W$24,TRIM(AG6),$F$5:$F$24)</f>
        <v>12199.956</v>
      </c>
      <c r="AH8" s="357">
        <f>SUMIF($W5:$W$24,TRIM(AH6),$F$5:$F$24)</f>
        <v>4201.4519999999993</v>
      </c>
      <c r="AI8" s="357">
        <f>SUMIF($W5:$W$24,TRIM(AI6),$F$5:$F$24)</f>
        <v>2229.4079999999999</v>
      </c>
      <c r="AJ8" s="357">
        <f>SUMIF($W5:$W$24,TRIM(AJ6),$F$5:$F$24)</f>
        <v>0</v>
      </c>
      <c r="AO8" s="187"/>
      <c r="AP8" s="187"/>
    </row>
    <row r="9" spans="2:42" s="323" customFormat="1" ht="27" customHeight="1">
      <c r="B9" s="698"/>
      <c r="C9" s="699"/>
      <c r="D9" s="294">
        <v>5</v>
      </c>
      <c r="E9" s="346" t="s">
        <v>830</v>
      </c>
      <c r="F9" s="347">
        <v>1097.876</v>
      </c>
      <c r="G9" s="295">
        <v>127.66</v>
      </c>
      <c r="H9" s="348">
        <v>856.38400000000001</v>
      </c>
      <c r="I9" s="349">
        <v>860.24045611304518</v>
      </c>
      <c r="J9" s="350">
        <v>1.0044924258545949</v>
      </c>
      <c r="K9" s="349">
        <v>868.2</v>
      </c>
      <c r="L9" s="350">
        <v>1.0137975487631716</v>
      </c>
      <c r="M9" s="349">
        <v>0</v>
      </c>
      <c r="N9" s="350">
        <v>0</v>
      </c>
      <c r="O9" s="351">
        <v>868.2</v>
      </c>
      <c r="P9" s="350">
        <v>1.0137975487631716</v>
      </c>
      <c r="Q9" s="348">
        <v>8.6</v>
      </c>
      <c r="R9" s="350">
        <v>1.0042224049024736E-2</v>
      </c>
      <c r="S9" s="351">
        <v>11.815999999999988</v>
      </c>
      <c r="T9" s="350">
        <v>1.3797548763171647E-2</v>
      </c>
      <c r="U9" s="352">
        <v>1508.4305599999984</v>
      </c>
      <c r="V9" s="296" t="s">
        <v>326</v>
      </c>
      <c r="W9" s="296" t="s">
        <v>507</v>
      </c>
      <c r="X9" s="296" t="s">
        <v>632</v>
      </c>
      <c r="Y9" s="296" t="s">
        <v>633</v>
      </c>
      <c r="Z9" s="296">
        <v>1</v>
      </c>
      <c r="AA9" s="353" t="s">
        <v>333</v>
      </c>
      <c r="AC9" s="294" t="s">
        <v>672</v>
      </c>
      <c r="AD9" s="358">
        <f t="shared" ref="AD9:AJ9" si="1">AD7/$AC7</f>
        <v>0</v>
      </c>
      <c r="AE9" s="358">
        <f t="shared" si="1"/>
        <v>0.05</v>
      </c>
      <c r="AF9" s="358">
        <f t="shared" si="1"/>
        <v>0.05</v>
      </c>
      <c r="AG9" s="358">
        <f t="shared" si="1"/>
        <v>0.6</v>
      </c>
      <c r="AH9" s="358">
        <f t="shared" si="1"/>
        <v>0.2</v>
      </c>
      <c r="AI9" s="358">
        <f t="shared" si="1"/>
        <v>0.1</v>
      </c>
      <c r="AJ9" s="358">
        <f t="shared" si="1"/>
        <v>0</v>
      </c>
      <c r="AO9" s="187"/>
      <c r="AP9" s="187"/>
    </row>
    <row r="10" spans="2:42" s="323" customFormat="1" ht="27" customHeight="1">
      <c r="B10" s="698"/>
      <c r="C10" s="699"/>
      <c r="D10" s="294">
        <v>6</v>
      </c>
      <c r="E10" s="346" t="s">
        <v>839</v>
      </c>
      <c r="F10" s="347">
        <v>1080.0740000000001</v>
      </c>
      <c r="G10" s="295">
        <v>125.59</v>
      </c>
      <c r="H10" s="348">
        <v>2096.9</v>
      </c>
      <c r="I10" s="349">
        <v>2100.3335900566321</v>
      </c>
      <c r="J10" s="350">
        <v>1.0018327197195303</v>
      </c>
      <c r="K10" s="349">
        <v>2111.0000000000005</v>
      </c>
      <c r="L10" s="350">
        <v>1.0067242119318995</v>
      </c>
      <c r="M10" s="349">
        <v>0</v>
      </c>
      <c r="N10" s="350">
        <v>0</v>
      </c>
      <c r="O10" s="351">
        <v>2111.0000000000005</v>
      </c>
      <c r="P10" s="350">
        <v>1.0067242119318995</v>
      </c>
      <c r="Q10" s="348">
        <v>8.6</v>
      </c>
      <c r="R10" s="350">
        <v>4.1012923839954217E-3</v>
      </c>
      <c r="S10" s="351">
        <v>14.100000000000193</v>
      </c>
      <c r="T10" s="350">
        <v>6.7242119318995626E-3</v>
      </c>
      <c r="U10" s="352">
        <v>1770.8190000000245</v>
      </c>
      <c r="V10" s="296" t="s">
        <v>326</v>
      </c>
      <c r="W10" s="296" t="s">
        <v>507</v>
      </c>
      <c r="X10" s="296" t="s">
        <v>632</v>
      </c>
      <c r="Y10" s="296" t="s">
        <v>633</v>
      </c>
      <c r="Z10" s="296">
        <v>1</v>
      </c>
      <c r="AA10" s="353" t="s">
        <v>755</v>
      </c>
      <c r="AO10" s="187"/>
      <c r="AP10" s="187"/>
    </row>
    <row r="11" spans="2:42" s="323" customFormat="1" ht="27" customHeight="1">
      <c r="B11" s="698"/>
      <c r="C11" s="699"/>
      <c r="D11" s="294">
        <v>7</v>
      </c>
      <c r="E11" s="346" t="s">
        <v>335</v>
      </c>
      <c r="F11" s="347">
        <v>1072.72</v>
      </c>
      <c r="G11" s="295">
        <v>487.6</v>
      </c>
      <c r="H11" s="348">
        <v>228.34199999999998</v>
      </c>
      <c r="I11" s="349">
        <v>230.44427048725029</v>
      </c>
      <c r="J11" s="350">
        <v>1.0092408909910027</v>
      </c>
      <c r="K11" s="349">
        <v>232.39999999999998</v>
      </c>
      <c r="L11" s="350">
        <v>1.0177715882316876</v>
      </c>
      <c r="M11" s="349">
        <v>0</v>
      </c>
      <c r="N11" s="350">
        <v>0</v>
      </c>
      <c r="O11" s="351">
        <v>232.39999999999998</v>
      </c>
      <c r="P11" s="350">
        <v>1.0177715882316876</v>
      </c>
      <c r="Q11" s="348">
        <v>2.1999999999999997</v>
      </c>
      <c r="R11" s="350">
        <v>9.6346708008163192E-3</v>
      </c>
      <c r="S11" s="351">
        <v>4.0579999999999998</v>
      </c>
      <c r="T11" s="350">
        <v>1.7771588231687556E-2</v>
      </c>
      <c r="U11" s="352">
        <v>1978.6807999999999</v>
      </c>
      <c r="V11" s="296" t="s">
        <v>328</v>
      </c>
      <c r="W11" s="296" t="s">
        <v>195</v>
      </c>
      <c r="X11" s="296" t="s">
        <v>622</v>
      </c>
      <c r="Y11" s="296" t="s">
        <v>535</v>
      </c>
      <c r="Z11" s="296">
        <v>1</v>
      </c>
      <c r="AA11" s="353" t="s">
        <v>579</v>
      </c>
      <c r="AO11" s="187"/>
      <c r="AP11" s="187"/>
    </row>
    <row r="12" spans="2:42" s="323" customFormat="1" ht="27" customHeight="1">
      <c r="B12" s="698"/>
      <c r="C12" s="699"/>
      <c r="D12" s="294">
        <v>8</v>
      </c>
      <c r="E12" s="346" t="s">
        <v>372</v>
      </c>
      <c r="F12" s="347">
        <v>1050.825</v>
      </c>
      <c r="G12" s="295">
        <v>420.33</v>
      </c>
      <c r="H12" s="348">
        <v>571.16499999999996</v>
      </c>
      <c r="I12" s="349">
        <v>573.26277870305546</v>
      </c>
      <c r="J12" s="350">
        <v>1.0036965330516219</v>
      </c>
      <c r="K12" s="349">
        <v>575.49999999999989</v>
      </c>
      <c r="L12" s="350">
        <v>1.0075897507725438</v>
      </c>
      <c r="M12" s="349">
        <v>0</v>
      </c>
      <c r="N12" s="350">
        <v>0</v>
      </c>
      <c r="O12" s="351">
        <v>575.49999999999989</v>
      </c>
      <c r="P12" s="350">
        <v>1.0075897507725438</v>
      </c>
      <c r="Q12" s="348">
        <v>2.5</v>
      </c>
      <c r="R12" s="350">
        <v>4.3770188999676107E-3</v>
      </c>
      <c r="S12" s="351">
        <v>4.3349999999999653</v>
      </c>
      <c r="T12" s="350">
        <v>7.5897507725437756E-3</v>
      </c>
      <c r="U12" s="352">
        <v>1822.1305499999855</v>
      </c>
      <c r="V12" s="296" t="s">
        <v>328</v>
      </c>
      <c r="W12" s="296" t="s">
        <v>194</v>
      </c>
      <c r="X12" s="296" t="s">
        <v>621</v>
      </c>
      <c r="Y12" s="296" t="s">
        <v>535</v>
      </c>
      <c r="Z12" s="296">
        <v>1</v>
      </c>
      <c r="AA12" s="353" t="s">
        <v>354</v>
      </c>
      <c r="AO12" s="187"/>
      <c r="AP12" s="187"/>
    </row>
    <row r="13" spans="2:42" s="323" customFormat="1" ht="27" customHeight="1">
      <c r="B13" s="698"/>
      <c r="C13" s="699"/>
      <c r="D13" s="294">
        <v>9</v>
      </c>
      <c r="E13" s="346" t="s">
        <v>740</v>
      </c>
      <c r="F13" s="347">
        <v>1038.664</v>
      </c>
      <c r="G13" s="295">
        <v>118.03</v>
      </c>
      <c r="H13" s="348">
        <v>1576.1599999999999</v>
      </c>
      <c r="I13" s="349">
        <v>1580.2040544222875</v>
      </c>
      <c r="J13" s="350">
        <v>1.002681712702717</v>
      </c>
      <c r="K13" s="349">
        <v>1589.5000000000005</v>
      </c>
      <c r="L13" s="350">
        <v>1.0084636077555582</v>
      </c>
      <c r="M13" s="349">
        <v>0</v>
      </c>
      <c r="N13" s="350">
        <v>0</v>
      </c>
      <c r="O13" s="351">
        <v>1589.5000000000005</v>
      </c>
      <c r="P13" s="350">
        <v>1.0084636077555582</v>
      </c>
      <c r="Q13" s="348">
        <v>8.8000000000000007</v>
      </c>
      <c r="R13" s="350">
        <v>5.5831895239062037E-3</v>
      </c>
      <c r="S13" s="351">
        <v>13.340000000000202</v>
      </c>
      <c r="T13" s="350">
        <v>8.4636077555579406E-3</v>
      </c>
      <c r="U13" s="352">
        <v>1574.520200000024</v>
      </c>
      <c r="V13" s="296" t="s">
        <v>326</v>
      </c>
      <c r="W13" s="296" t="s">
        <v>507</v>
      </c>
      <c r="X13" s="296" t="s">
        <v>632</v>
      </c>
      <c r="Y13" s="296" t="s">
        <v>633</v>
      </c>
      <c r="Z13" s="296">
        <v>1</v>
      </c>
      <c r="AA13" s="353" t="s">
        <v>737</v>
      </c>
      <c r="AO13" s="187"/>
      <c r="AP13" s="187"/>
    </row>
    <row r="14" spans="2:42" s="323" customFormat="1" ht="27" customHeight="1">
      <c r="B14" s="698"/>
      <c r="C14" s="699"/>
      <c r="D14" s="294">
        <v>10</v>
      </c>
      <c r="E14" s="346" t="s">
        <v>666</v>
      </c>
      <c r="F14" s="347">
        <v>1036.4120000000003</v>
      </c>
      <c r="G14" s="295">
        <v>272.74</v>
      </c>
      <c r="H14" s="348">
        <v>353.07000000000005</v>
      </c>
      <c r="I14" s="349">
        <v>354.80712260940334</v>
      </c>
      <c r="J14" s="350">
        <v>1.0049628586112378</v>
      </c>
      <c r="K14" s="349">
        <v>358.9</v>
      </c>
      <c r="L14" s="350">
        <v>1.0165123063415185</v>
      </c>
      <c r="M14" s="349">
        <v>0</v>
      </c>
      <c r="N14" s="350">
        <v>0</v>
      </c>
      <c r="O14" s="351">
        <v>358.9</v>
      </c>
      <c r="P14" s="350">
        <v>1.0165123063415185</v>
      </c>
      <c r="Q14" s="348">
        <v>3.8</v>
      </c>
      <c r="R14" s="350">
        <v>1.0762738267199137E-2</v>
      </c>
      <c r="S14" s="351">
        <v>5.8299999999999983</v>
      </c>
      <c r="T14" s="350">
        <v>1.6512306341518672E-2</v>
      </c>
      <c r="U14" s="352">
        <v>1590.0741999999993</v>
      </c>
      <c r="V14" s="296" t="s">
        <v>328</v>
      </c>
      <c r="W14" s="296" t="s">
        <v>194</v>
      </c>
      <c r="X14" s="296" t="s">
        <v>621</v>
      </c>
      <c r="Y14" s="296" t="s">
        <v>535</v>
      </c>
      <c r="Z14" s="296">
        <v>1</v>
      </c>
      <c r="AA14" s="353" t="s">
        <v>329</v>
      </c>
    </row>
    <row r="15" spans="2:42" s="323" customFormat="1" ht="27" customHeight="1">
      <c r="B15" s="698"/>
      <c r="C15" s="699"/>
      <c r="D15" s="294">
        <v>11</v>
      </c>
      <c r="E15" s="346" t="s">
        <v>650</v>
      </c>
      <c r="F15" s="347">
        <v>1014.9300000000002</v>
      </c>
      <c r="G15" s="295">
        <v>144.99</v>
      </c>
      <c r="H15" s="348">
        <v>487.971</v>
      </c>
      <c r="I15" s="349">
        <v>491.93953231176062</v>
      </c>
      <c r="J15" s="350">
        <v>1.0082368980272476</v>
      </c>
      <c r="K15" s="349">
        <v>498.7</v>
      </c>
      <c r="L15" s="350">
        <v>1.0219869623399751</v>
      </c>
      <c r="M15" s="349">
        <v>0</v>
      </c>
      <c r="N15" s="350">
        <v>0</v>
      </c>
      <c r="O15" s="351">
        <v>498.7</v>
      </c>
      <c r="P15" s="350">
        <v>1.0219869623399751</v>
      </c>
      <c r="Q15" s="348">
        <v>7.0000000000000009</v>
      </c>
      <c r="R15" s="350">
        <v>1.4345114771164682E-2</v>
      </c>
      <c r="S15" s="351">
        <v>10.728999999999978</v>
      </c>
      <c r="T15" s="350">
        <v>2.1986962339975075E-2</v>
      </c>
      <c r="U15" s="352">
        <v>1555.5977099999971</v>
      </c>
      <c r="V15" s="296" t="s">
        <v>326</v>
      </c>
      <c r="W15" s="296" t="s">
        <v>507</v>
      </c>
      <c r="X15" s="296" t="s">
        <v>632</v>
      </c>
      <c r="Y15" s="296" t="s">
        <v>633</v>
      </c>
      <c r="Z15" s="296">
        <v>1</v>
      </c>
      <c r="AA15" s="353" t="s">
        <v>649</v>
      </c>
      <c r="AE15" s="298"/>
    </row>
    <row r="16" spans="2:42" s="323" customFormat="1" ht="27" customHeight="1">
      <c r="B16" s="698"/>
      <c r="C16" s="699"/>
      <c r="D16" s="294">
        <v>12</v>
      </c>
      <c r="E16" s="346" t="s">
        <v>828</v>
      </c>
      <c r="F16" s="347">
        <v>994.40000000000009</v>
      </c>
      <c r="G16" s="295">
        <v>90.4</v>
      </c>
      <c r="H16" s="348">
        <v>1277.4839999999999</v>
      </c>
      <c r="I16" s="349">
        <v>1283.8039746546569</v>
      </c>
      <c r="J16" s="350">
        <v>1.0048949238536855</v>
      </c>
      <c r="K16" s="349">
        <v>1294.5</v>
      </c>
      <c r="L16" s="350">
        <v>1.0133199319913204</v>
      </c>
      <c r="M16" s="349">
        <v>0</v>
      </c>
      <c r="N16" s="350">
        <v>0</v>
      </c>
      <c r="O16" s="351">
        <v>1294.5</v>
      </c>
      <c r="P16" s="350">
        <v>1.0133199319913204</v>
      </c>
      <c r="Q16" s="348">
        <v>11</v>
      </c>
      <c r="R16" s="350">
        <v>8.6106753587520471E-3</v>
      </c>
      <c r="S16" s="351">
        <v>17.01600000000002</v>
      </c>
      <c r="T16" s="350">
        <v>1.3319931991320455E-2</v>
      </c>
      <c r="U16" s="352">
        <v>1538.246400000002</v>
      </c>
      <c r="V16" s="296" t="s">
        <v>326</v>
      </c>
      <c r="W16" s="296" t="s">
        <v>507</v>
      </c>
      <c r="X16" s="296" t="s">
        <v>632</v>
      </c>
      <c r="Y16" s="296" t="s">
        <v>633</v>
      </c>
      <c r="Z16" s="296">
        <v>1</v>
      </c>
      <c r="AA16" s="353" t="s">
        <v>349</v>
      </c>
    </row>
    <row r="17" spans="2:27" s="323" customFormat="1" ht="27" customHeight="1">
      <c r="B17" s="698"/>
      <c r="C17" s="699"/>
      <c r="D17" s="294">
        <v>13</v>
      </c>
      <c r="E17" s="346" t="s">
        <v>653</v>
      </c>
      <c r="F17" s="347">
        <v>994.35699999999997</v>
      </c>
      <c r="G17" s="295">
        <v>109.27</v>
      </c>
      <c r="H17" s="348">
        <v>768.92399999999998</v>
      </c>
      <c r="I17" s="349">
        <v>775.06788442396351</v>
      </c>
      <c r="J17" s="350">
        <v>1.0080457418813145</v>
      </c>
      <c r="K17" s="349">
        <v>783.2</v>
      </c>
      <c r="L17" s="350">
        <v>1.0185662042022359</v>
      </c>
      <c r="M17" s="349">
        <v>0</v>
      </c>
      <c r="N17" s="350">
        <v>0</v>
      </c>
      <c r="O17" s="351">
        <v>783.2</v>
      </c>
      <c r="P17" s="350">
        <v>1.0185662042022359</v>
      </c>
      <c r="Q17" s="348">
        <v>9.1</v>
      </c>
      <c r="R17" s="350">
        <v>1.1834719686210861E-2</v>
      </c>
      <c r="S17" s="351">
        <v>14.27600000000001</v>
      </c>
      <c r="T17" s="350">
        <v>1.8566204202235866E-2</v>
      </c>
      <c r="U17" s="352">
        <v>1559.9385200000013</v>
      </c>
      <c r="V17" s="296" t="s">
        <v>332</v>
      </c>
      <c r="W17" s="296" t="s">
        <v>371</v>
      </c>
      <c r="X17" s="296" t="s">
        <v>632</v>
      </c>
      <c r="Y17" s="296" t="s">
        <v>633</v>
      </c>
      <c r="Z17" s="296">
        <v>1</v>
      </c>
      <c r="AA17" s="353" t="s">
        <v>649</v>
      </c>
    </row>
    <row r="18" spans="2:27" s="323" customFormat="1" ht="27" customHeight="1">
      <c r="B18" s="698"/>
      <c r="C18" s="699"/>
      <c r="D18" s="294">
        <v>14</v>
      </c>
      <c r="E18" s="346" t="s">
        <v>845</v>
      </c>
      <c r="F18" s="347">
        <v>979.101</v>
      </c>
      <c r="G18" s="295">
        <v>362.63</v>
      </c>
      <c r="H18" s="348">
        <v>333.56</v>
      </c>
      <c r="I18" s="349">
        <v>335.11666124651146</v>
      </c>
      <c r="J18" s="350">
        <v>1.0045996455095467</v>
      </c>
      <c r="K18" s="349">
        <v>337.90000000000003</v>
      </c>
      <c r="L18" s="350">
        <v>1.013011152416357</v>
      </c>
      <c r="M18" s="349">
        <v>0</v>
      </c>
      <c r="N18" s="350">
        <v>0</v>
      </c>
      <c r="O18" s="351">
        <v>337.90000000000003</v>
      </c>
      <c r="P18" s="350">
        <v>1.013011152416357</v>
      </c>
      <c r="Q18" s="348">
        <v>2.7</v>
      </c>
      <c r="R18" s="350">
        <v>8.0944957428948326E-3</v>
      </c>
      <c r="S18" s="351">
        <v>4.3400000000000389</v>
      </c>
      <c r="T18" s="350">
        <v>1.3011152416356994E-2</v>
      </c>
      <c r="U18" s="352">
        <v>1573.8142000000141</v>
      </c>
      <c r="V18" s="296" t="s">
        <v>326</v>
      </c>
      <c r="W18" s="296" t="s">
        <v>507</v>
      </c>
      <c r="X18" s="296" t="s">
        <v>749</v>
      </c>
      <c r="Y18" s="296" t="s">
        <v>750</v>
      </c>
      <c r="Z18" s="296">
        <v>1</v>
      </c>
      <c r="AA18" s="353" t="s">
        <v>846</v>
      </c>
    </row>
    <row r="19" spans="2:27" s="323" customFormat="1" ht="27" customHeight="1">
      <c r="B19" s="698"/>
      <c r="C19" s="699"/>
      <c r="D19" s="294">
        <v>15</v>
      </c>
      <c r="E19" s="346" t="s">
        <v>847</v>
      </c>
      <c r="F19" s="347">
        <v>976.67999999999984</v>
      </c>
      <c r="G19" s="295">
        <v>162.78</v>
      </c>
      <c r="H19" s="348">
        <v>147.46</v>
      </c>
      <c r="I19" s="349">
        <v>149.23042288242209</v>
      </c>
      <c r="J19" s="350">
        <v>1.01205842801028</v>
      </c>
      <c r="K19" s="349">
        <v>155.4</v>
      </c>
      <c r="L19" s="350">
        <v>1.053845110538451</v>
      </c>
      <c r="M19" s="349">
        <v>0</v>
      </c>
      <c r="N19" s="350">
        <v>0</v>
      </c>
      <c r="O19" s="351">
        <v>155.4</v>
      </c>
      <c r="P19" s="350">
        <v>1.053845110538451</v>
      </c>
      <c r="Q19" s="348">
        <v>6.0000000000000009</v>
      </c>
      <c r="R19" s="350">
        <v>4.0689000406890011E-2</v>
      </c>
      <c r="S19" s="351">
        <v>7.940000000000019</v>
      </c>
      <c r="T19" s="350">
        <v>5.384511053845123E-2</v>
      </c>
      <c r="U19" s="352">
        <v>1292.4732000000031</v>
      </c>
      <c r="V19" s="296" t="s">
        <v>332</v>
      </c>
      <c r="W19" s="296" t="s">
        <v>194</v>
      </c>
      <c r="X19" s="296" t="s">
        <v>621</v>
      </c>
      <c r="Y19" s="296" t="s">
        <v>535</v>
      </c>
      <c r="Z19" s="296">
        <v>1</v>
      </c>
      <c r="AA19" s="353" t="s">
        <v>636</v>
      </c>
    </row>
    <row r="20" spans="2:27" s="323" customFormat="1" ht="27" customHeight="1">
      <c r="B20" s="698"/>
      <c r="C20" s="699"/>
      <c r="D20" s="294">
        <v>16</v>
      </c>
      <c r="E20" s="346" t="s">
        <v>821</v>
      </c>
      <c r="F20" s="347">
        <v>970.28399999999999</v>
      </c>
      <c r="G20" s="295">
        <v>462.04</v>
      </c>
      <c r="H20" s="348">
        <v>74.531999999999996</v>
      </c>
      <c r="I20" s="349">
        <v>75.908219846421176</v>
      </c>
      <c r="J20" s="350">
        <v>1.0188067688402402</v>
      </c>
      <c r="K20" s="349">
        <v>78</v>
      </c>
      <c r="L20" s="350">
        <v>1.0465303493801321</v>
      </c>
      <c r="M20" s="349">
        <v>0</v>
      </c>
      <c r="N20" s="350">
        <v>0</v>
      </c>
      <c r="O20" s="351">
        <v>78</v>
      </c>
      <c r="P20" s="350">
        <v>1.0465303493801321</v>
      </c>
      <c r="Q20" s="348">
        <v>2.1</v>
      </c>
      <c r="R20" s="350">
        <v>2.8175817098695866E-2</v>
      </c>
      <c r="S20" s="351">
        <v>3.4679999999999982</v>
      </c>
      <c r="T20" s="350">
        <v>4.6530349380132001E-2</v>
      </c>
      <c r="U20" s="352">
        <v>1602.3547199999989</v>
      </c>
      <c r="V20" s="296" t="s">
        <v>332</v>
      </c>
      <c r="W20" s="296" t="s">
        <v>848</v>
      </c>
      <c r="X20" s="382" t="s">
        <v>838</v>
      </c>
      <c r="Y20" s="383" t="s">
        <v>849</v>
      </c>
      <c r="Z20" s="296">
        <v>1</v>
      </c>
      <c r="AA20" s="353" t="s">
        <v>533</v>
      </c>
    </row>
    <row r="21" spans="2:27" s="323" customFormat="1" ht="27" customHeight="1">
      <c r="B21" s="698"/>
      <c r="C21" s="699"/>
      <c r="D21" s="294">
        <v>17</v>
      </c>
      <c r="E21" s="346" t="s">
        <v>850</v>
      </c>
      <c r="F21" s="347">
        <v>956.10000000000014</v>
      </c>
      <c r="G21" s="295">
        <v>127.48</v>
      </c>
      <c r="H21" s="348">
        <v>1109.8579999999999</v>
      </c>
      <c r="I21" s="349">
        <v>1112.7444722998091</v>
      </c>
      <c r="J21" s="350">
        <v>1.0026449480674102</v>
      </c>
      <c r="K21" s="349">
        <v>1120.5</v>
      </c>
      <c r="L21" s="350">
        <v>1.0095886140389132</v>
      </c>
      <c r="M21" s="349">
        <v>0</v>
      </c>
      <c r="N21" s="350">
        <v>0</v>
      </c>
      <c r="O21" s="351">
        <v>1120.5</v>
      </c>
      <c r="P21" s="350">
        <v>1.0095886140389132</v>
      </c>
      <c r="Q21" s="348">
        <v>7.5</v>
      </c>
      <c r="R21" s="350">
        <v>6.7576212452403828E-3</v>
      </c>
      <c r="S21" s="351">
        <v>10.642000000000024</v>
      </c>
      <c r="T21" s="350">
        <v>9.5886140389131094E-3</v>
      </c>
      <c r="U21" s="352">
        <v>1356.6421600000031</v>
      </c>
      <c r="V21" s="296" t="s">
        <v>326</v>
      </c>
      <c r="W21" s="296" t="s">
        <v>507</v>
      </c>
      <c r="X21" s="296" t="s">
        <v>851</v>
      </c>
      <c r="Y21" s="296" t="s">
        <v>852</v>
      </c>
      <c r="Z21" s="296">
        <v>1</v>
      </c>
      <c r="AA21" s="353" t="s">
        <v>331</v>
      </c>
    </row>
    <row r="22" spans="2:27" s="323" customFormat="1" ht="27" customHeight="1">
      <c r="B22" s="698"/>
      <c r="C22" s="699"/>
      <c r="D22" s="294">
        <v>18</v>
      </c>
      <c r="E22" s="346" t="s">
        <v>738</v>
      </c>
      <c r="F22" s="347">
        <v>937.92</v>
      </c>
      <c r="G22" s="295">
        <v>234.48</v>
      </c>
      <c r="H22" s="348">
        <v>354.63599999999997</v>
      </c>
      <c r="I22" s="349">
        <v>357.0914475993485</v>
      </c>
      <c r="J22" s="350">
        <v>1.0068699372562635</v>
      </c>
      <c r="K22" s="349">
        <v>360.5</v>
      </c>
      <c r="L22" s="350">
        <v>1.0165352643273668</v>
      </c>
      <c r="M22" s="349">
        <v>0</v>
      </c>
      <c r="N22" s="350">
        <v>0</v>
      </c>
      <c r="O22" s="351">
        <v>360.5</v>
      </c>
      <c r="P22" s="350">
        <v>1.0165352643273668</v>
      </c>
      <c r="Q22" s="348">
        <v>4</v>
      </c>
      <c r="R22" s="350">
        <v>1.1279170755366066E-2</v>
      </c>
      <c r="S22" s="351">
        <v>5.8640000000000185</v>
      </c>
      <c r="T22" s="350">
        <v>1.6535264327366704E-2</v>
      </c>
      <c r="U22" s="352">
        <v>1374.9907200000043</v>
      </c>
      <c r="V22" s="296" t="s">
        <v>326</v>
      </c>
      <c r="W22" s="296" t="s">
        <v>507</v>
      </c>
      <c r="X22" s="383" t="s">
        <v>853</v>
      </c>
      <c r="Y22" s="296" t="s">
        <v>750</v>
      </c>
      <c r="Z22" s="296">
        <v>1</v>
      </c>
      <c r="AA22" s="353" t="s">
        <v>737</v>
      </c>
    </row>
    <row r="23" spans="2:27" s="323" customFormat="1" ht="27" customHeight="1">
      <c r="B23" s="698"/>
      <c r="C23" s="699"/>
      <c r="D23" s="294">
        <v>19</v>
      </c>
      <c r="E23" s="346" t="s">
        <v>658</v>
      </c>
      <c r="F23" s="347">
        <v>929.29200000000003</v>
      </c>
      <c r="G23" s="295">
        <v>102.12</v>
      </c>
      <c r="H23" s="348">
        <v>1492.4</v>
      </c>
      <c r="I23" s="349">
        <v>1498.5540006185763</v>
      </c>
      <c r="J23" s="350">
        <v>1.0041179330248193</v>
      </c>
      <c r="K23" s="349">
        <v>1507.9</v>
      </c>
      <c r="L23" s="350">
        <v>1.0103859555079067</v>
      </c>
      <c r="M23" s="349">
        <v>0</v>
      </c>
      <c r="N23" s="350">
        <v>0</v>
      </c>
      <c r="O23" s="351">
        <v>1507.9</v>
      </c>
      <c r="P23" s="350">
        <v>1.0103859555079067</v>
      </c>
      <c r="Q23" s="348">
        <v>9.1</v>
      </c>
      <c r="R23" s="350">
        <v>6.0975609756097554E-3</v>
      </c>
      <c r="S23" s="351">
        <v>15.500000000000028</v>
      </c>
      <c r="T23" s="350">
        <v>1.0385955507906745E-2</v>
      </c>
      <c r="U23" s="352">
        <v>1582.8600000000031</v>
      </c>
      <c r="V23" s="296" t="s">
        <v>326</v>
      </c>
      <c r="W23" s="296" t="s">
        <v>507</v>
      </c>
      <c r="X23" s="296" t="s">
        <v>592</v>
      </c>
      <c r="Y23" s="296" t="s">
        <v>537</v>
      </c>
      <c r="Z23" s="296">
        <v>1</v>
      </c>
      <c r="AA23" s="353" t="s">
        <v>655</v>
      </c>
    </row>
    <row r="24" spans="2:27" s="323" customFormat="1" ht="27" customHeight="1">
      <c r="B24" s="700"/>
      <c r="C24" s="701"/>
      <c r="D24" s="294">
        <v>20</v>
      </c>
      <c r="E24" s="346" t="s">
        <v>854</v>
      </c>
      <c r="F24" s="347">
        <v>914.18400000000008</v>
      </c>
      <c r="G24" s="295">
        <v>253.94</v>
      </c>
      <c r="H24" s="348">
        <v>358.12799999999999</v>
      </c>
      <c r="I24" s="349">
        <v>358.79949154446967</v>
      </c>
      <c r="J24" s="350">
        <v>1.001869366135749</v>
      </c>
      <c r="K24" s="349">
        <v>363.20000000000005</v>
      </c>
      <c r="L24" s="350">
        <v>1.0141625340660325</v>
      </c>
      <c r="M24" s="349">
        <v>0</v>
      </c>
      <c r="N24" s="350">
        <v>0</v>
      </c>
      <c r="O24" s="351">
        <v>363.20000000000005</v>
      </c>
      <c r="P24" s="350">
        <v>1.0141625340660325</v>
      </c>
      <c r="Q24" s="348">
        <v>3.6000000000000005</v>
      </c>
      <c r="R24" s="350">
        <v>1.0052271813429837E-2</v>
      </c>
      <c r="S24" s="351">
        <v>5.0720000000000312</v>
      </c>
      <c r="T24" s="350">
        <v>1.4162534066032344E-2</v>
      </c>
      <c r="U24" s="352">
        <v>1287.983680000008</v>
      </c>
      <c r="V24" s="296" t="s">
        <v>326</v>
      </c>
      <c r="W24" s="296" t="s">
        <v>507</v>
      </c>
      <c r="X24" s="296" t="s">
        <v>855</v>
      </c>
      <c r="Y24" s="296" t="s">
        <v>856</v>
      </c>
      <c r="Z24" s="296">
        <v>1</v>
      </c>
      <c r="AA24" s="353" t="s">
        <v>364</v>
      </c>
    </row>
    <row r="25" spans="2:27" ht="27" customHeight="1"/>
    <row r="26" spans="2:27" ht="27" customHeight="1"/>
    <row r="27" spans="2:27" ht="29.25" customHeight="1"/>
    <row r="28" spans="2:27" ht="27.95" customHeight="1"/>
    <row r="29" spans="2:27" ht="27.95" customHeight="1"/>
    <row r="30" spans="2:27" ht="27.95" customHeight="1"/>
    <row r="31" spans="2:27" ht="27.95" customHeight="1"/>
    <row r="32" spans="2:27" ht="27.95" customHeight="1"/>
    <row r="42" ht="14.1" customHeight="1"/>
    <row r="52" ht="14.1" customHeight="1"/>
    <row r="62" ht="14.1" customHeight="1"/>
    <row r="87" spans="26:26">
      <c r="Z87" s="292" t="s">
        <v>522</v>
      </c>
    </row>
    <row r="88" spans="26:26">
      <c r="Z88" s="292" t="s">
        <v>523</v>
      </c>
    </row>
    <row r="91" spans="26:26" ht="18.75" customHeight="1"/>
    <row r="92" spans="26:26" ht="14.1" customHeight="1"/>
    <row r="102" ht="14.1" customHeight="1"/>
    <row r="112" ht="14.1" customHeight="1"/>
    <row r="122" ht="14.1" customHeight="1"/>
    <row r="142" ht="14.1" customHeight="1"/>
    <row r="162" ht="14.1" customHeight="1"/>
    <row r="172" ht="14.1" customHeight="1"/>
    <row r="182" ht="14.1" customHeight="1"/>
    <row r="192" ht="14.1" customHeight="1"/>
    <row r="202" ht="14.1" customHeight="1"/>
    <row r="212" ht="14.1" customHeight="1"/>
    <row r="222" ht="14.1" customHeight="1"/>
    <row r="232" ht="14.1" customHeight="1"/>
    <row r="242" ht="14.1" customHeight="1"/>
    <row r="252" ht="14.1" customHeight="1"/>
    <row r="262" ht="14.1" customHeight="1"/>
    <row r="272" ht="14.1" customHeight="1"/>
  </sheetData>
  <mergeCells count="21">
    <mergeCell ref="AC3:AJ5"/>
    <mergeCell ref="B5:C24"/>
    <mergeCell ref="W3:W4"/>
    <mergeCell ref="X3:X4"/>
    <mergeCell ref="Y3:Y4"/>
    <mergeCell ref="Z3:Z4"/>
    <mergeCell ref="AA3:AA4"/>
    <mergeCell ref="M3:N3"/>
    <mergeCell ref="O3:P3"/>
    <mergeCell ref="Q3:R3"/>
    <mergeCell ref="S3:U3"/>
    <mergeCell ref="V3:V4"/>
    <mergeCell ref="F3:F4"/>
    <mergeCell ref="G3:G4"/>
    <mergeCell ref="H3:H4"/>
    <mergeCell ref="I3:J3"/>
    <mergeCell ref="K3:L3"/>
    <mergeCell ref="B2:AA2"/>
    <mergeCell ref="B3:C4"/>
    <mergeCell ref="D3:D4"/>
    <mergeCell ref="E3:E4"/>
  </mergeCells>
  <phoneticPr fontId="12" type="noConversion"/>
  <dataValidations disablePrompts="1" count="4">
    <dataValidation type="list" allowBlank="1" showInputMessage="1" showErrorMessage="1" sqref="T1 T25:T1048576" xr:uid="{00000000-0002-0000-1C00-000000000000}">
      <formula1>$AC$2:$AC$2</formula1>
    </dataValidation>
    <dataValidation type="list" allowBlank="1" showInputMessage="1" showErrorMessage="1" sqref="U1 U25:U1048576" xr:uid="{00000000-0002-0000-1C00-000001000000}">
      <formula1>#REF!</formula1>
    </dataValidation>
    <dataValidation type="list" allowBlank="1" showInputMessage="1" showErrorMessage="1" sqref="W5:W24" xr:uid="{00000000-0002-0000-1C00-000002000000}">
      <formula1>$AO$7:$AO$13</formula1>
    </dataValidation>
    <dataValidation type="list" allowBlank="1" showInputMessage="1" showErrorMessage="1" sqref="V5:V24" xr:uid="{00000000-0002-0000-1C00-000003000000}">
      <formula1>$AP$7:$AP$13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 tint="0.39997558519241921"/>
    <pageSetUpPr fitToPage="1"/>
  </sheetPr>
  <dimension ref="B1:AP271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2" sqref="B2:AA2"/>
    </sheetView>
  </sheetViews>
  <sheetFormatPr defaultColWidth="8.85546875" defaultRowHeight="16.5"/>
  <cols>
    <col min="1" max="1" width="8.85546875" style="292"/>
    <col min="2" max="2" width="12.42578125" style="292" customWidth="1"/>
    <col min="3" max="3" width="8.85546875" style="292"/>
    <col min="4" max="4" width="11.5703125" style="292" customWidth="1"/>
    <col min="5" max="5" width="39.28515625" style="292" bestFit="1" customWidth="1"/>
    <col min="6" max="21" width="15.7109375" style="292" customWidth="1"/>
    <col min="22" max="22" width="12.42578125" style="292" bestFit="1" customWidth="1"/>
    <col min="23" max="23" width="25.28515625" style="292" bestFit="1" customWidth="1"/>
    <col min="24" max="24" width="88.28515625" style="292" customWidth="1"/>
    <col min="25" max="25" width="117.7109375" style="292" bestFit="1" customWidth="1"/>
    <col min="26" max="26" width="7.42578125" style="292" bestFit="1" customWidth="1"/>
    <col min="27" max="27" width="69.5703125" style="292" bestFit="1" customWidth="1"/>
    <col min="28" max="28" width="11.42578125" style="292" bestFit="1" customWidth="1"/>
    <col min="29" max="29" width="21.5703125" style="292" customWidth="1"/>
    <col min="30" max="30" width="19.42578125" style="292" bestFit="1" customWidth="1"/>
    <col min="31" max="36" width="14.42578125" style="292" customWidth="1"/>
    <col min="37" max="40" width="8.85546875" style="292"/>
    <col min="41" max="41" width="20.85546875" style="292" bestFit="1" customWidth="1"/>
    <col min="42" max="16384" width="8.85546875" style="292"/>
  </cols>
  <sheetData>
    <row r="1" spans="2:42" ht="21">
      <c r="B1" s="292" t="s">
        <v>693</v>
      </c>
    </row>
    <row r="2" spans="2:42" ht="41.1" customHeight="1">
      <c r="B2" s="679" t="s">
        <v>674</v>
      </c>
      <c r="C2" s="680"/>
      <c r="D2" s="680" t="s">
        <v>694</v>
      </c>
      <c r="E2" s="680" t="s">
        <v>695</v>
      </c>
      <c r="F2" s="680" t="s">
        <v>696</v>
      </c>
      <c r="G2" s="680" t="s">
        <v>697</v>
      </c>
      <c r="H2" s="680" t="s">
        <v>698</v>
      </c>
      <c r="I2" s="680" t="s">
        <v>699</v>
      </c>
      <c r="J2" s="680"/>
      <c r="K2" s="680" t="s">
        <v>700</v>
      </c>
      <c r="L2" s="680"/>
      <c r="M2" s="680" t="s">
        <v>701</v>
      </c>
      <c r="N2" s="680"/>
      <c r="O2" s="680" t="s">
        <v>702</v>
      </c>
      <c r="P2" s="680"/>
      <c r="Q2" s="680" t="s">
        <v>703</v>
      </c>
      <c r="R2" s="680"/>
      <c r="S2" s="680"/>
      <c r="T2" s="680" t="s">
        <v>704</v>
      </c>
      <c r="U2" s="680"/>
      <c r="V2" s="680" t="s">
        <v>166</v>
      </c>
      <c r="W2" s="680" t="s">
        <v>705</v>
      </c>
      <c r="X2" s="680" t="s">
        <v>706</v>
      </c>
      <c r="Y2" s="680" t="s">
        <v>707</v>
      </c>
      <c r="Z2" s="680" t="s">
        <v>708</v>
      </c>
      <c r="AA2" s="680" t="s">
        <v>167</v>
      </c>
      <c r="AC2" s="293" t="s">
        <v>709</v>
      </c>
      <c r="AD2" s="293"/>
    </row>
    <row r="3" spans="2:42" ht="17.100000000000001" customHeight="1">
      <c r="B3" s="681" t="s">
        <v>674</v>
      </c>
      <c r="C3" s="682"/>
      <c r="D3" s="685" t="s">
        <v>675</v>
      </c>
      <c r="E3" s="686" t="s">
        <v>676</v>
      </c>
      <c r="F3" s="711" t="s">
        <v>710</v>
      </c>
      <c r="G3" s="704" t="s">
        <v>678</v>
      </c>
      <c r="H3" s="710" t="s">
        <v>679</v>
      </c>
      <c r="I3" s="677" t="s">
        <v>680</v>
      </c>
      <c r="J3" s="678"/>
      <c r="K3" s="677" t="s">
        <v>681</v>
      </c>
      <c r="L3" s="678"/>
      <c r="M3" s="677" t="s">
        <v>682</v>
      </c>
      <c r="N3" s="678"/>
      <c r="O3" s="677" t="s">
        <v>683</v>
      </c>
      <c r="P3" s="678"/>
      <c r="Q3" s="677" t="s">
        <v>684</v>
      </c>
      <c r="R3" s="712"/>
      <c r="S3" s="678"/>
      <c r="T3" s="706" t="s">
        <v>685</v>
      </c>
      <c r="U3" s="707"/>
      <c r="V3" s="702" t="s">
        <v>166</v>
      </c>
      <c r="W3" s="702" t="s">
        <v>686</v>
      </c>
      <c r="X3" s="702" t="s">
        <v>687</v>
      </c>
      <c r="Y3" s="702" t="s">
        <v>688</v>
      </c>
      <c r="Z3" s="702" t="s">
        <v>689</v>
      </c>
      <c r="AA3" s="704" t="s">
        <v>167</v>
      </c>
      <c r="AC3" s="687" t="s">
        <v>690</v>
      </c>
      <c r="AD3" s="688"/>
      <c r="AE3" s="688"/>
      <c r="AF3" s="688"/>
      <c r="AG3" s="688"/>
      <c r="AH3" s="688"/>
      <c r="AI3" s="688"/>
      <c r="AJ3" s="689"/>
    </row>
    <row r="4" spans="2:42">
      <c r="B4" s="683"/>
      <c r="C4" s="684"/>
      <c r="D4" s="685"/>
      <c r="E4" s="685"/>
      <c r="F4" s="709"/>
      <c r="G4" s="705"/>
      <c r="H4" s="705"/>
      <c r="I4" s="344" t="s">
        <v>691</v>
      </c>
      <c r="J4" s="345" t="s">
        <v>668</v>
      </c>
      <c r="K4" s="344" t="s">
        <v>691</v>
      </c>
      <c r="L4" s="345" t="s">
        <v>668</v>
      </c>
      <c r="M4" s="344" t="s">
        <v>691</v>
      </c>
      <c r="N4" s="345" t="s">
        <v>668</v>
      </c>
      <c r="O4" s="344" t="s">
        <v>691</v>
      </c>
      <c r="P4" s="345" t="s">
        <v>668</v>
      </c>
      <c r="Q4" s="344" t="s">
        <v>691</v>
      </c>
      <c r="R4" s="345" t="s">
        <v>668</v>
      </c>
      <c r="S4" s="345" t="s">
        <v>669</v>
      </c>
      <c r="T4" s="344" t="s">
        <v>691</v>
      </c>
      <c r="U4" s="345" t="s">
        <v>668</v>
      </c>
      <c r="V4" s="703"/>
      <c r="W4" s="703"/>
      <c r="X4" s="703"/>
      <c r="Y4" s="703"/>
      <c r="Z4" s="703"/>
      <c r="AA4" s="705"/>
      <c r="AC4" s="690"/>
      <c r="AD4" s="691"/>
      <c r="AE4" s="691"/>
      <c r="AF4" s="691"/>
      <c r="AG4" s="691"/>
      <c r="AH4" s="691"/>
      <c r="AI4" s="691"/>
      <c r="AJ4" s="692"/>
    </row>
    <row r="5" spans="2:42" s="323" customFormat="1" ht="27" customHeight="1">
      <c r="B5" s="696" t="s">
        <v>748</v>
      </c>
      <c r="C5" s="697"/>
      <c r="D5" s="294">
        <v>1</v>
      </c>
      <c r="E5" s="346" t="s">
        <v>744</v>
      </c>
      <c r="F5" s="352">
        <v>2186.0354596693974</v>
      </c>
      <c r="G5" s="295">
        <v>361.51</v>
      </c>
      <c r="H5" s="348">
        <v>792.05304290429206</v>
      </c>
      <c r="I5" s="349">
        <v>795.3594851393965</v>
      </c>
      <c r="J5" s="350">
        <v>1.0041562830288355</v>
      </c>
      <c r="K5" s="349">
        <v>798.1</v>
      </c>
      <c r="L5" s="350">
        <v>1.0076345355274883</v>
      </c>
      <c r="M5" s="349">
        <v>0</v>
      </c>
      <c r="N5" s="350">
        <v>0</v>
      </c>
      <c r="O5" s="351">
        <v>798.1</v>
      </c>
      <c r="P5" s="350">
        <v>1.0076345355274883</v>
      </c>
      <c r="Q5" s="348">
        <v>3.2</v>
      </c>
      <c r="R5" s="350">
        <v>4.0401334590752565E-3</v>
      </c>
      <c r="S5" s="359">
        <v>1156.8319999999999</v>
      </c>
      <c r="T5" s="351">
        <v>6.0469570957079952</v>
      </c>
      <c r="U5" s="350">
        <v>7.6027974880417647E-3</v>
      </c>
      <c r="V5" s="296" t="s">
        <v>326</v>
      </c>
      <c r="W5" s="296" t="s">
        <v>507</v>
      </c>
      <c r="X5" s="296" t="s">
        <v>749</v>
      </c>
      <c r="Y5" s="296" t="s">
        <v>750</v>
      </c>
      <c r="Z5" s="296">
        <v>1</v>
      </c>
      <c r="AA5" s="353" t="s">
        <v>743</v>
      </c>
      <c r="AC5" s="693"/>
      <c r="AD5" s="694"/>
      <c r="AE5" s="694"/>
      <c r="AF5" s="694"/>
      <c r="AG5" s="694"/>
      <c r="AH5" s="694"/>
      <c r="AI5" s="694"/>
      <c r="AJ5" s="695"/>
    </row>
    <row r="6" spans="2:42" s="323" customFormat="1" ht="27" customHeight="1">
      <c r="B6" s="698"/>
      <c r="C6" s="699"/>
      <c r="D6" s="294">
        <v>2</v>
      </c>
      <c r="E6" s="346" t="s">
        <v>620</v>
      </c>
      <c r="F6" s="352">
        <v>2111.2559999999935</v>
      </c>
      <c r="G6" s="295">
        <v>447.3</v>
      </c>
      <c r="H6" s="348">
        <v>758.68000000000006</v>
      </c>
      <c r="I6" s="349">
        <v>761.68160889615842</v>
      </c>
      <c r="J6" s="350">
        <v>1.0039615621169335</v>
      </c>
      <c r="K6" s="349">
        <v>762.80000000000007</v>
      </c>
      <c r="L6" s="350">
        <v>1.0054304845257553</v>
      </c>
      <c r="M6" s="349">
        <v>0.6</v>
      </c>
      <c r="N6" s="350">
        <v>7.9084726103231914E-4</v>
      </c>
      <c r="O6" s="351">
        <v>763.40000000000009</v>
      </c>
      <c r="P6" s="350">
        <v>1.0062213317867876</v>
      </c>
      <c r="Q6" s="348">
        <v>2</v>
      </c>
      <c r="R6" s="350">
        <v>2.6361575367743976E-3</v>
      </c>
      <c r="S6" s="359">
        <v>894.60000000000014</v>
      </c>
      <c r="T6" s="351">
        <v>4.7199999999999847</v>
      </c>
      <c r="U6" s="350">
        <v>6.1968149747507846E-3</v>
      </c>
      <c r="V6" s="296" t="s">
        <v>328</v>
      </c>
      <c r="W6" s="296" t="s">
        <v>194</v>
      </c>
      <c r="X6" s="296" t="s">
        <v>621</v>
      </c>
      <c r="Y6" s="296" t="s">
        <v>535</v>
      </c>
      <c r="Z6" s="296">
        <v>1</v>
      </c>
      <c r="AA6" s="353" t="s">
        <v>619</v>
      </c>
      <c r="AC6" s="200" t="s">
        <v>692</v>
      </c>
      <c r="AD6" s="200" t="s">
        <v>670</v>
      </c>
      <c r="AE6" s="324" t="s">
        <v>671</v>
      </c>
      <c r="AF6" s="324" t="s">
        <v>371</v>
      </c>
      <c r="AG6" s="324" t="s">
        <v>507</v>
      </c>
      <c r="AH6" s="324" t="s">
        <v>194</v>
      </c>
      <c r="AI6" s="324" t="s">
        <v>195</v>
      </c>
      <c r="AJ6" s="324" t="s">
        <v>521</v>
      </c>
      <c r="AO6"/>
      <c r="AP6"/>
    </row>
    <row r="7" spans="2:42" s="323" customFormat="1" ht="27" customHeight="1">
      <c r="B7" s="698"/>
      <c r="C7" s="699"/>
      <c r="D7" s="294">
        <v>3</v>
      </c>
      <c r="E7" s="346" t="s">
        <v>335</v>
      </c>
      <c r="F7" s="352">
        <v>1978.6807999999999</v>
      </c>
      <c r="G7" s="295">
        <v>487.6</v>
      </c>
      <c r="H7" s="348">
        <v>228.34199999999998</v>
      </c>
      <c r="I7" s="349">
        <v>230.44427048725029</v>
      </c>
      <c r="J7" s="350">
        <v>1.0092408909910027</v>
      </c>
      <c r="K7" s="349">
        <v>232.39999999999998</v>
      </c>
      <c r="L7" s="350">
        <v>1.0177715882316876</v>
      </c>
      <c r="M7" s="349">
        <v>0</v>
      </c>
      <c r="N7" s="350">
        <v>0</v>
      </c>
      <c r="O7" s="351">
        <v>232.39999999999998</v>
      </c>
      <c r="P7" s="350">
        <v>1.0177715882316876</v>
      </c>
      <c r="Q7" s="348">
        <v>2.1999999999999997</v>
      </c>
      <c r="R7" s="350">
        <v>9.6346708008163192E-3</v>
      </c>
      <c r="S7" s="359">
        <v>1072.72</v>
      </c>
      <c r="T7" s="351">
        <v>4.0579999999999998</v>
      </c>
      <c r="U7" s="350">
        <v>1.760946363048985E-2</v>
      </c>
      <c r="V7" s="296" t="s">
        <v>328</v>
      </c>
      <c r="W7" s="296" t="s">
        <v>195</v>
      </c>
      <c r="X7" s="296" t="s">
        <v>622</v>
      </c>
      <c r="Y7" s="296" t="s">
        <v>535</v>
      </c>
      <c r="Z7" s="296">
        <v>1</v>
      </c>
      <c r="AA7" s="353" t="s">
        <v>579</v>
      </c>
      <c r="AC7" s="354">
        <f>SUM(Z5:Z24)</f>
        <v>20</v>
      </c>
      <c r="AD7" s="297">
        <f>SUMIF($W$5:$W$24,TRIM(AD6),$Z$5:$Z$24)</f>
        <v>0</v>
      </c>
      <c r="AE7" s="297">
        <f t="shared" ref="AE7:AI7" si="0">SUMIF($W$5:$W$24,TRIM(AE6),$Z$5:$Z$24)</f>
        <v>0</v>
      </c>
      <c r="AF7" s="297">
        <f>SUMIF($W$5:$W$24,TRIM(AF6),$Z$5:$Z$24)</f>
        <v>2</v>
      </c>
      <c r="AG7" s="297">
        <f>SUMIF($W$5:$W$24,TRIM(AG6),$Z$5:$Z$24)</f>
        <v>9</v>
      </c>
      <c r="AH7" s="297">
        <f t="shared" si="0"/>
        <v>5</v>
      </c>
      <c r="AI7" s="297">
        <f t="shared" si="0"/>
        <v>2</v>
      </c>
      <c r="AJ7" s="297">
        <f>SUMIF($W$5:$W$24,TRIM(AJ6),$Z$5:$Z$24)</f>
        <v>2</v>
      </c>
      <c r="AO7" s="355"/>
      <c r="AP7" s="187"/>
    </row>
    <row r="8" spans="2:42" s="323" customFormat="1" ht="27" customHeight="1">
      <c r="B8" s="698"/>
      <c r="C8" s="699"/>
      <c r="D8" s="294">
        <v>4</v>
      </c>
      <c r="E8" s="346" t="s">
        <v>536</v>
      </c>
      <c r="F8" s="352">
        <v>1959.4824200000162</v>
      </c>
      <c r="G8" s="295">
        <v>111.17</v>
      </c>
      <c r="H8" s="348">
        <v>2088.5740000000001</v>
      </c>
      <c r="I8" s="349">
        <v>2098.0034079771203</v>
      </c>
      <c r="J8" s="350">
        <v>1.0045611794128992</v>
      </c>
      <c r="K8" s="349">
        <v>2106.1999999999998</v>
      </c>
      <c r="L8" s="350">
        <v>1.0084392508955871</v>
      </c>
      <c r="M8" s="349">
        <v>0</v>
      </c>
      <c r="N8" s="350">
        <v>0</v>
      </c>
      <c r="O8" s="351">
        <v>2106.1999999999998</v>
      </c>
      <c r="P8" s="350">
        <v>1.0084392508955871</v>
      </c>
      <c r="Q8" s="348">
        <v>9.9</v>
      </c>
      <c r="R8" s="350">
        <v>4.7400762434081818E-3</v>
      </c>
      <c r="S8" s="359">
        <v>1100.5830000000001</v>
      </c>
      <c r="T8" s="351">
        <v>17.626000000000147</v>
      </c>
      <c r="U8" s="350">
        <v>8.4013209573358168E-3</v>
      </c>
      <c r="V8" s="296" t="s">
        <v>326</v>
      </c>
      <c r="W8" s="296" t="s">
        <v>507</v>
      </c>
      <c r="X8" s="296" t="s">
        <v>592</v>
      </c>
      <c r="Y8" s="296" t="s">
        <v>537</v>
      </c>
      <c r="Z8" s="296">
        <v>1</v>
      </c>
      <c r="AA8" s="353" t="s">
        <v>333</v>
      </c>
      <c r="AC8" s="356" t="s">
        <v>11</v>
      </c>
      <c r="AD8" s="357">
        <f>SUMIF($W5:$W$24,TRIM(AD6),$F$5:$F$24)</f>
        <v>0</v>
      </c>
      <c r="AE8" s="357">
        <f>SUMIF($W5:$W$24,TRIM(AE6),$F$5:$F$24)</f>
        <v>0</v>
      </c>
      <c r="AF8" s="357">
        <f>SUMIF($W5:$W$24,TRIM(AF6),$F$5:$F$24)</f>
        <v>3162.29324</v>
      </c>
      <c r="AG8" s="357">
        <f>SUMIF($W5:$W$24,TRIM(AG6),$F$5:$F$24)</f>
        <v>15540.613629669491</v>
      </c>
      <c r="AH8" s="357">
        <f>SUMIF($W5:$W$24,TRIM(AH6),$F$5:$F$24)</f>
        <v>8853.7619499999746</v>
      </c>
      <c r="AI8" s="357">
        <f>SUMIF($W5:$W$24,TRIM(AI6),$F$5:$F$24)</f>
        <v>3685.240479999999</v>
      </c>
      <c r="AJ8" s="357">
        <f>SUMIF($W5:$W$24,TRIM(AJ6),$F$5:$F$24)</f>
        <v>3101.8630800000115</v>
      </c>
      <c r="AO8" s="187"/>
      <c r="AP8" s="187"/>
    </row>
    <row r="9" spans="2:42" s="323" customFormat="1" ht="27" customHeight="1">
      <c r="B9" s="698"/>
      <c r="C9" s="699"/>
      <c r="D9" s="294">
        <v>5</v>
      </c>
      <c r="E9" s="346" t="s">
        <v>372</v>
      </c>
      <c r="F9" s="352">
        <v>1822.1305499999855</v>
      </c>
      <c r="G9" s="295">
        <v>420.33</v>
      </c>
      <c r="H9" s="348">
        <v>571.16499999999996</v>
      </c>
      <c r="I9" s="349">
        <v>573.26277870305546</v>
      </c>
      <c r="J9" s="350">
        <v>1.0036965330516219</v>
      </c>
      <c r="K9" s="349">
        <v>575.49999999999989</v>
      </c>
      <c r="L9" s="350">
        <v>1.0075897507725438</v>
      </c>
      <c r="M9" s="349">
        <v>0</v>
      </c>
      <c r="N9" s="350">
        <v>0</v>
      </c>
      <c r="O9" s="351">
        <v>575.49999999999989</v>
      </c>
      <c r="P9" s="350">
        <v>1.0075897507725438</v>
      </c>
      <c r="Q9" s="348">
        <v>2.5</v>
      </c>
      <c r="R9" s="350">
        <v>4.3770188999676107E-3</v>
      </c>
      <c r="S9" s="359">
        <v>1050.825</v>
      </c>
      <c r="T9" s="351">
        <v>4.3349999999999653</v>
      </c>
      <c r="U9" s="350">
        <v>7.5619770915659832E-3</v>
      </c>
      <c r="V9" s="296" t="s">
        <v>328</v>
      </c>
      <c r="W9" s="296" t="s">
        <v>194</v>
      </c>
      <c r="X9" s="296" t="s">
        <v>622</v>
      </c>
      <c r="Y9" s="296" t="s">
        <v>535</v>
      </c>
      <c r="Z9" s="296">
        <v>1</v>
      </c>
      <c r="AA9" s="353" t="s">
        <v>354</v>
      </c>
      <c r="AC9" s="294" t="s">
        <v>672</v>
      </c>
      <c r="AD9" s="358">
        <f t="shared" ref="AD9:AJ9" si="1">AD7/$AC7</f>
        <v>0</v>
      </c>
      <c r="AE9" s="358">
        <f t="shared" si="1"/>
        <v>0</v>
      </c>
      <c r="AF9" s="358">
        <f t="shared" si="1"/>
        <v>0.1</v>
      </c>
      <c r="AG9" s="358">
        <f t="shared" si="1"/>
        <v>0.45</v>
      </c>
      <c r="AH9" s="358">
        <f t="shared" si="1"/>
        <v>0.25</v>
      </c>
      <c r="AI9" s="358">
        <f t="shared" si="1"/>
        <v>0.1</v>
      </c>
      <c r="AJ9" s="358">
        <f t="shared" si="1"/>
        <v>0.1</v>
      </c>
      <c r="AO9" s="187"/>
      <c r="AP9" s="187"/>
    </row>
    <row r="10" spans="2:42" s="323" customFormat="1" ht="27" customHeight="1">
      <c r="B10" s="698"/>
      <c r="C10" s="699"/>
      <c r="D10" s="294">
        <v>6</v>
      </c>
      <c r="E10" s="346" t="s">
        <v>751</v>
      </c>
      <c r="F10" s="352">
        <v>1799.2382400000154</v>
      </c>
      <c r="G10" s="295">
        <v>371.13</v>
      </c>
      <c r="H10" s="348">
        <v>1468.1519999999998</v>
      </c>
      <c r="I10" s="349">
        <v>1471.406076300432</v>
      </c>
      <c r="J10" s="350">
        <v>1.0022304429285593</v>
      </c>
      <c r="K10" s="349">
        <v>1470.8999999999999</v>
      </c>
      <c r="L10" s="350">
        <v>1.0018717408006801</v>
      </c>
      <c r="M10" s="349">
        <v>2.0999999999999996</v>
      </c>
      <c r="N10" s="350">
        <v>1.4303696075065797E-3</v>
      </c>
      <c r="O10" s="351">
        <v>1472.9999999999998</v>
      </c>
      <c r="P10" s="350">
        <v>1.0033021104081865</v>
      </c>
      <c r="Q10" s="348">
        <v>2</v>
      </c>
      <c r="R10" s="350">
        <v>1.3622567690538855E-3</v>
      </c>
      <c r="S10" s="359">
        <v>742.26</v>
      </c>
      <c r="T10" s="351">
        <v>4.8480000000000416</v>
      </c>
      <c r="U10" s="350">
        <v>3.2948076524119069E-3</v>
      </c>
      <c r="V10" s="296" t="s">
        <v>326</v>
      </c>
      <c r="W10" s="296" t="s">
        <v>507</v>
      </c>
      <c r="X10" s="296" t="s">
        <v>749</v>
      </c>
      <c r="Y10" s="296" t="s">
        <v>750</v>
      </c>
      <c r="Z10" s="296">
        <v>1</v>
      </c>
      <c r="AA10" s="353" t="s">
        <v>356</v>
      </c>
      <c r="AO10" s="187"/>
      <c r="AP10" s="187"/>
    </row>
    <row r="11" spans="2:42" s="323" customFormat="1" ht="27" customHeight="1">
      <c r="B11" s="698"/>
      <c r="C11" s="699"/>
      <c r="D11" s="294">
        <v>7</v>
      </c>
      <c r="E11" s="346" t="s">
        <v>648</v>
      </c>
      <c r="F11" s="352">
        <v>1787.554999999998</v>
      </c>
      <c r="G11" s="295">
        <v>325.01</v>
      </c>
      <c r="H11" s="348">
        <v>346</v>
      </c>
      <c r="I11" s="349">
        <v>348.23580292473099</v>
      </c>
      <c r="J11" s="350">
        <v>1.0064435916760781</v>
      </c>
      <c r="K11" s="349">
        <v>351.5</v>
      </c>
      <c r="L11" s="350">
        <v>1.0158959537572254</v>
      </c>
      <c r="M11" s="349">
        <v>0</v>
      </c>
      <c r="N11" s="350">
        <v>0</v>
      </c>
      <c r="O11" s="351">
        <v>351.5</v>
      </c>
      <c r="P11" s="350">
        <v>1.0158959537572254</v>
      </c>
      <c r="Q11" s="348">
        <v>3.5000000000000004</v>
      </c>
      <c r="R11" s="350">
        <v>1.0115606936416187E-2</v>
      </c>
      <c r="S11" s="359">
        <v>1137.5349999999999</v>
      </c>
      <c r="T11" s="351">
        <v>5.4999999999999929</v>
      </c>
      <c r="U11" s="350">
        <v>1.57938958424352E-2</v>
      </c>
      <c r="V11" s="296" t="s">
        <v>328</v>
      </c>
      <c r="W11" s="296" t="s">
        <v>194</v>
      </c>
      <c r="X11" s="296" t="s">
        <v>621</v>
      </c>
      <c r="Y11" s="296" t="s">
        <v>535</v>
      </c>
      <c r="Z11" s="296">
        <v>1</v>
      </c>
      <c r="AA11" s="353" t="s">
        <v>647</v>
      </c>
      <c r="AO11" s="187"/>
      <c r="AP11" s="187"/>
    </row>
    <row r="12" spans="2:42" s="323" customFormat="1" ht="27" customHeight="1">
      <c r="B12" s="698"/>
      <c r="C12" s="699"/>
      <c r="D12" s="294">
        <v>8</v>
      </c>
      <c r="E12" s="346" t="s">
        <v>839</v>
      </c>
      <c r="F12" s="352">
        <v>1770.8190000000245</v>
      </c>
      <c r="G12" s="295">
        <v>125.59</v>
      </c>
      <c r="H12" s="348">
        <v>2096.9</v>
      </c>
      <c r="I12" s="349">
        <v>2100.3335900566321</v>
      </c>
      <c r="J12" s="350">
        <v>1.0018327197195303</v>
      </c>
      <c r="K12" s="349">
        <v>2111.0000000000005</v>
      </c>
      <c r="L12" s="350">
        <v>1.0067242119318995</v>
      </c>
      <c r="M12" s="349">
        <v>0</v>
      </c>
      <c r="N12" s="350">
        <v>0</v>
      </c>
      <c r="O12" s="351">
        <v>2111.0000000000005</v>
      </c>
      <c r="P12" s="350">
        <v>1.0067242119318995</v>
      </c>
      <c r="Q12" s="348">
        <v>8.6</v>
      </c>
      <c r="R12" s="350">
        <v>4.1012923839954217E-3</v>
      </c>
      <c r="S12" s="359">
        <v>1080.0740000000001</v>
      </c>
      <c r="T12" s="351">
        <v>14.100000000000193</v>
      </c>
      <c r="U12" s="350">
        <v>6.7132193032345923E-3</v>
      </c>
      <c r="V12" s="296" t="s">
        <v>326</v>
      </c>
      <c r="W12" s="296" t="s">
        <v>507</v>
      </c>
      <c r="X12" s="296" t="s">
        <v>632</v>
      </c>
      <c r="Y12" s="296" t="s">
        <v>633</v>
      </c>
      <c r="Z12" s="296">
        <v>1</v>
      </c>
      <c r="AA12" s="353" t="s">
        <v>755</v>
      </c>
      <c r="AO12" s="187"/>
      <c r="AP12" s="187"/>
    </row>
    <row r="13" spans="2:42" s="323" customFormat="1" ht="27" customHeight="1">
      <c r="B13" s="698"/>
      <c r="C13" s="699"/>
      <c r="D13" s="294">
        <v>9</v>
      </c>
      <c r="E13" s="346" t="s">
        <v>665</v>
      </c>
      <c r="F13" s="352">
        <v>1706.5596799999992</v>
      </c>
      <c r="G13" s="295">
        <v>444.88</v>
      </c>
      <c r="H13" s="348">
        <v>114.264</v>
      </c>
      <c r="I13" s="349">
        <v>115.314889942928</v>
      </c>
      <c r="J13" s="350">
        <v>1.0093423651979705</v>
      </c>
      <c r="K13" s="349">
        <v>118.1</v>
      </c>
      <c r="L13" s="350">
        <v>1.0335713785619267</v>
      </c>
      <c r="M13" s="349">
        <v>0</v>
      </c>
      <c r="N13" s="350">
        <v>0</v>
      </c>
      <c r="O13" s="351">
        <v>118.1</v>
      </c>
      <c r="P13" s="350">
        <v>1.0335713785619267</v>
      </c>
      <c r="Q13" s="348">
        <v>2.5999999999999996</v>
      </c>
      <c r="R13" s="350">
        <v>2.2754323321431069E-2</v>
      </c>
      <c r="S13" s="359">
        <v>1156.6879999999999</v>
      </c>
      <c r="T13" s="351">
        <v>3.8359999999999985</v>
      </c>
      <c r="U13" s="350">
        <v>3.3265435208744712E-2</v>
      </c>
      <c r="V13" s="296" t="s">
        <v>328</v>
      </c>
      <c r="W13" s="296" t="s">
        <v>195</v>
      </c>
      <c r="X13" s="296" t="s">
        <v>622</v>
      </c>
      <c r="Y13" s="296" t="s">
        <v>535</v>
      </c>
      <c r="Z13" s="296">
        <v>1</v>
      </c>
      <c r="AA13" s="353" t="s">
        <v>578</v>
      </c>
      <c r="AO13" s="187"/>
      <c r="AP13" s="187"/>
    </row>
    <row r="14" spans="2:42" s="323" customFormat="1" ht="27" customHeight="1">
      <c r="B14" s="698"/>
      <c r="C14" s="699"/>
      <c r="D14" s="294">
        <v>10</v>
      </c>
      <c r="E14" s="346" t="s">
        <v>821</v>
      </c>
      <c r="F14" s="352">
        <v>1602.3547199999989</v>
      </c>
      <c r="G14" s="295">
        <v>462.04</v>
      </c>
      <c r="H14" s="348">
        <v>74.531999999999996</v>
      </c>
      <c r="I14" s="349">
        <v>75.908219846421176</v>
      </c>
      <c r="J14" s="350">
        <v>1.0188067688402402</v>
      </c>
      <c r="K14" s="349">
        <v>78</v>
      </c>
      <c r="L14" s="350">
        <v>1.0465303493801321</v>
      </c>
      <c r="M14" s="349">
        <v>0</v>
      </c>
      <c r="N14" s="350">
        <v>0</v>
      </c>
      <c r="O14" s="351">
        <v>78</v>
      </c>
      <c r="P14" s="350">
        <v>1.0465303493801321</v>
      </c>
      <c r="Q14" s="348">
        <v>2.1</v>
      </c>
      <c r="R14" s="350">
        <v>2.8175817098695866E-2</v>
      </c>
      <c r="S14" s="359">
        <v>970.28399999999999</v>
      </c>
      <c r="T14" s="351">
        <v>3.4679999999999982</v>
      </c>
      <c r="U14" s="350">
        <v>4.568675180390893E-2</v>
      </c>
      <c r="V14" s="296" t="s">
        <v>332</v>
      </c>
      <c r="W14" s="296" t="s">
        <v>371</v>
      </c>
      <c r="X14" s="296" t="s">
        <v>857</v>
      </c>
      <c r="Y14" s="296" t="s">
        <v>858</v>
      </c>
      <c r="Z14" s="296">
        <v>1</v>
      </c>
      <c r="AA14" s="353" t="s">
        <v>533</v>
      </c>
    </row>
    <row r="15" spans="2:42" s="323" customFormat="1" ht="27" customHeight="1">
      <c r="B15" s="698"/>
      <c r="C15" s="699"/>
      <c r="D15" s="294">
        <v>11</v>
      </c>
      <c r="E15" s="346" t="s">
        <v>666</v>
      </c>
      <c r="F15" s="352">
        <v>1590.0741999999993</v>
      </c>
      <c r="G15" s="295">
        <v>272.74</v>
      </c>
      <c r="H15" s="348">
        <v>353.07000000000005</v>
      </c>
      <c r="I15" s="349">
        <v>354.80712260940334</v>
      </c>
      <c r="J15" s="350">
        <v>1.0049628586112378</v>
      </c>
      <c r="K15" s="349">
        <v>358.9</v>
      </c>
      <c r="L15" s="350">
        <v>1.0165123063415185</v>
      </c>
      <c r="M15" s="349">
        <v>0</v>
      </c>
      <c r="N15" s="350">
        <v>0</v>
      </c>
      <c r="O15" s="351">
        <v>358.9</v>
      </c>
      <c r="P15" s="350">
        <v>1.0165123063415185</v>
      </c>
      <c r="Q15" s="348">
        <v>3.8</v>
      </c>
      <c r="R15" s="350">
        <v>1.0762738267199137E-2</v>
      </c>
      <c r="S15" s="359">
        <v>1036.4120000000003</v>
      </c>
      <c r="T15" s="351">
        <v>5.8299999999999983</v>
      </c>
      <c r="U15" s="350">
        <v>1.6431462697602248E-2</v>
      </c>
      <c r="V15" s="296" t="s">
        <v>328</v>
      </c>
      <c r="W15" s="296" t="s">
        <v>194</v>
      </c>
      <c r="X15" s="296" t="s">
        <v>621</v>
      </c>
      <c r="Y15" s="296" t="s">
        <v>535</v>
      </c>
      <c r="Z15" s="296">
        <v>1</v>
      </c>
      <c r="AA15" s="353" t="s">
        <v>329</v>
      </c>
      <c r="AE15" s="298"/>
    </row>
    <row r="16" spans="2:42" s="323" customFormat="1" ht="27" customHeight="1">
      <c r="B16" s="698"/>
      <c r="C16" s="699"/>
      <c r="D16" s="294">
        <v>12</v>
      </c>
      <c r="E16" s="346" t="s">
        <v>658</v>
      </c>
      <c r="F16" s="352">
        <v>1582.8600000000031</v>
      </c>
      <c r="G16" s="295">
        <v>102.12</v>
      </c>
      <c r="H16" s="348">
        <v>1492.4</v>
      </c>
      <c r="I16" s="349">
        <v>1498.5540006185763</v>
      </c>
      <c r="J16" s="350">
        <v>1.0041179330248193</v>
      </c>
      <c r="K16" s="349">
        <v>1507.9</v>
      </c>
      <c r="L16" s="350">
        <v>1.0103859555079067</v>
      </c>
      <c r="M16" s="349">
        <v>0</v>
      </c>
      <c r="N16" s="350">
        <v>0</v>
      </c>
      <c r="O16" s="351">
        <v>1507.9</v>
      </c>
      <c r="P16" s="350">
        <v>1.0103859555079067</v>
      </c>
      <c r="Q16" s="348">
        <v>9.1</v>
      </c>
      <c r="R16" s="350">
        <v>6.0975609756097554E-3</v>
      </c>
      <c r="S16" s="359">
        <v>929.29200000000003</v>
      </c>
      <c r="T16" s="351">
        <v>15.500000000000028</v>
      </c>
      <c r="U16" s="350">
        <v>1.0343304274388447E-2</v>
      </c>
      <c r="V16" s="296" t="s">
        <v>326</v>
      </c>
      <c r="W16" s="296" t="s">
        <v>507</v>
      </c>
      <c r="X16" s="296" t="s">
        <v>592</v>
      </c>
      <c r="Y16" s="296" t="s">
        <v>537</v>
      </c>
      <c r="Z16" s="296">
        <v>1</v>
      </c>
      <c r="AA16" s="353" t="s">
        <v>655</v>
      </c>
    </row>
    <row r="17" spans="2:27" s="323" customFormat="1" ht="27" customHeight="1">
      <c r="B17" s="698"/>
      <c r="C17" s="699"/>
      <c r="D17" s="294">
        <v>13</v>
      </c>
      <c r="E17" s="346" t="s">
        <v>740</v>
      </c>
      <c r="F17" s="352">
        <v>1574.520200000024</v>
      </c>
      <c r="G17" s="295">
        <v>118.03</v>
      </c>
      <c r="H17" s="348">
        <v>1576.1599999999999</v>
      </c>
      <c r="I17" s="349">
        <v>1580.2040544222875</v>
      </c>
      <c r="J17" s="350">
        <v>1.002681712702717</v>
      </c>
      <c r="K17" s="349">
        <v>1589.5000000000005</v>
      </c>
      <c r="L17" s="350">
        <v>1.0084636077555582</v>
      </c>
      <c r="M17" s="349">
        <v>0</v>
      </c>
      <c r="N17" s="350">
        <v>0</v>
      </c>
      <c r="O17" s="351">
        <v>1589.5000000000005</v>
      </c>
      <c r="P17" s="350">
        <v>1.0084636077555582</v>
      </c>
      <c r="Q17" s="348">
        <v>8.8000000000000007</v>
      </c>
      <c r="R17" s="350">
        <v>5.5831895239062037E-3</v>
      </c>
      <c r="S17" s="359">
        <v>1038.664</v>
      </c>
      <c r="T17" s="351">
        <v>13.340000000000202</v>
      </c>
      <c r="U17" s="350">
        <v>8.4419477109095396E-3</v>
      </c>
      <c r="V17" s="296" t="s">
        <v>326</v>
      </c>
      <c r="W17" s="296" t="s">
        <v>507</v>
      </c>
      <c r="X17" s="296" t="s">
        <v>632</v>
      </c>
      <c r="Y17" s="296" t="s">
        <v>633</v>
      </c>
      <c r="Z17" s="296">
        <v>1</v>
      </c>
      <c r="AA17" s="353" t="s">
        <v>737</v>
      </c>
    </row>
    <row r="18" spans="2:27" s="323" customFormat="1" ht="27" customHeight="1">
      <c r="B18" s="698"/>
      <c r="C18" s="699"/>
      <c r="D18" s="294">
        <v>14</v>
      </c>
      <c r="E18" s="346" t="s">
        <v>845</v>
      </c>
      <c r="F18" s="352">
        <v>1573.8142000000141</v>
      </c>
      <c r="G18" s="295">
        <v>362.63</v>
      </c>
      <c r="H18" s="348">
        <v>333.56</v>
      </c>
      <c r="I18" s="349">
        <v>335.11666124651146</v>
      </c>
      <c r="J18" s="350">
        <v>1.0045996455095467</v>
      </c>
      <c r="K18" s="349">
        <v>337.90000000000003</v>
      </c>
      <c r="L18" s="350">
        <v>1.013011152416357</v>
      </c>
      <c r="M18" s="349">
        <v>0</v>
      </c>
      <c r="N18" s="350">
        <v>0</v>
      </c>
      <c r="O18" s="351">
        <v>337.90000000000003</v>
      </c>
      <c r="P18" s="350">
        <v>1.013011152416357</v>
      </c>
      <c r="Q18" s="348">
        <v>2.7</v>
      </c>
      <c r="R18" s="350">
        <v>8.0944957428948326E-3</v>
      </c>
      <c r="S18" s="359">
        <v>979.101</v>
      </c>
      <c r="T18" s="351">
        <v>4.3400000000000389</v>
      </c>
      <c r="U18" s="350">
        <v>1.295071389126648E-2</v>
      </c>
      <c r="V18" s="296" t="s">
        <v>326</v>
      </c>
      <c r="W18" s="296" t="s">
        <v>507</v>
      </c>
      <c r="X18" s="296" t="s">
        <v>749</v>
      </c>
      <c r="Y18" s="296" t="s">
        <v>750</v>
      </c>
      <c r="Z18" s="296">
        <v>1</v>
      </c>
      <c r="AA18" s="353" t="s">
        <v>846</v>
      </c>
    </row>
    <row r="19" spans="2:27" s="323" customFormat="1" ht="27" customHeight="1">
      <c r="B19" s="698"/>
      <c r="C19" s="699"/>
      <c r="D19" s="294">
        <v>15</v>
      </c>
      <c r="E19" s="346" t="s">
        <v>652</v>
      </c>
      <c r="F19" s="352">
        <v>1573.3520399999993</v>
      </c>
      <c r="G19" s="295">
        <v>593.27</v>
      </c>
      <c r="H19" s="348">
        <v>118.248</v>
      </c>
      <c r="I19" s="349">
        <v>118.92172988825779</v>
      </c>
      <c r="J19" s="350">
        <v>1.0058052971517721</v>
      </c>
      <c r="K19" s="349">
        <v>120.9</v>
      </c>
      <c r="L19" s="350">
        <v>1.0224274406332454</v>
      </c>
      <c r="M19" s="349">
        <v>0</v>
      </c>
      <c r="N19" s="350">
        <v>0</v>
      </c>
      <c r="O19" s="351">
        <v>120.9</v>
      </c>
      <c r="P19" s="350">
        <v>1.0224274406332454</v>
      </c>
      <c r="Q19" s="348">
        <v>1.4</v>
      </c>
      <c r="R19" s="350">
        <v>1.1839523712874635E-2</v>
      </c>
      <c r="S19" s="359">
        <v>830.57799999999997</v>
      </c>
      <c r="T19" s="351">
        <v>2.6519999999999992</v>
      </c>
      <c r="U19" s="350">
        <v>2.2300381961243697E-2</v>
      </c>
      <c r="V19" s="296" t="s">
        <v>328</v>
      </c>
      <c r="W19" s="296" t="s">
        <v>521</v>
      </c>
      <c r="X19" s="296" t="s">
        <v>859</v>
      </c>
      <c r="Y19" s="296" t="s">
        <v>860</v>
      </c>
      <c r="Z19" s="296">
        <v>1</v>
      </c>
      <c r="AA19" s="353" t="s">
        <v>651</v>
      </c>
    </row>
    <row r="20" spans="2:27" s="323" customFormat="1" ht="27" customHeight="1">
      <c r="B20" s="698"/>
      <c r="C20" s="699"/>
      <c r="D20" s="294">
        <v>16</v>
      </c>
      <c r="E20" s="346" t="s">
        <v>653</v>
      </c>
      <c r="F20" s="352">
        <v>1559.9385200000013</v>
      </c>
      <c r="G20" s="295">
        <v>109.27</v>
      </c>
      <c r="H20" s="348">
        <v>768.92399999999998</v>
      </c>
      <c r="I20" s="349">
        <v>775.06788442396351</v>
      </c>
      <c r="J20" s="350">
        <v>1.0080457418813145</v>
      </c>
      <c r="K20" s="349">
        <v>783.2</v>
      </c>
      <c r="L20" s="350">
        <v>1.0185662042022359</v>
      </c>
      <c r="M20" s="349">
        <v>0</v>
      </c>
      <c r="N20" s="350">
        <v>0</v>
      </c>
      <c r="O20" s="351">
        <v>783.2</v>
      </c>
      <c r="P20" s="350">
        <v>1.0185662042022359</v>
      </c>
      <c r="Q20" s="348">
        <v>9.1</v>
      </c>
      <c r="R20" s="350">
        <v>1.1834719686210861E-2</v>
      </c>
      <c r="S20" s="359">
        <v>994.35699999999997</v>
      </c>
      <c r="T20" s="351">
        <v>14.27600000000001</v>
      </c>
      <c r="U20" s="350">
        <v>1.8419031786628657E-2</v>
      </c>
      <c r="V20" s="296" t="s">
        <v>332</v>
      </c>
      <c r="W20" s="296" t="s">
        <v>371</v>
      </c>
      <c r="X20" s="296" t="s">
        <v>632</v>
      </c>
      <c r="Y20" s="296" t="s">
        <v>633</v>
      </c>
      <c r="Z20" s="296">
        <v>1</v>
      </c>
      <c r="AA20" s="353" t="s">
        <v>649</v>
      </c>
    </row>
    <row r="21" spans="2:27" s="323" customFormat="1" ht="27" customHeight="1">
      <c r="B21" s="698"/>
      <c r="C21" s="699"/>
      <c r="D21" s="294">
        <v>17</v>
      </c>
      <c r="E21" s="346" t="s">
        <v>650</v>
      </c>
      <c r="F21" s="352">
        <v>1555.5977099999971</v>
      </c>
      <c r="G21" s="295">
        <v>144.99</v>
      </c>
      <c r="H21" s="348">
        <v>487.971</v>
      </c>
      <c r="I21" s="349">
        <v>491.93953231176062</v>
      </c>
      <c r="J21" s="350">
        <v>1.0082368980272476</v>
      </c>
      <c r="K21" s="349">
        <v>498.7</v>
      </c>
      <c r="L21" s="350">
        <v>1.0219869623399751</v>
      </c>
      <c r="M21" s="349">
        <v>0</v>
      </c>
      <c r="N21" s="350">
        <v>0</v>
      </c>
      <c r="O21" s="351">
        <v>498.7</v>
      </c>
      <c r="P21" s="350">
        <v>1.0219869623399751</v>
      </c>
      <c r="Q21" s="348">
        <v>7.0000000000000009</v>
      </c>
      <c r="R21" s="350">
        <v>1.4345114771164682E-2</v>
      </c>
      <c r="S21" s="359">
        <v>1014.9300000000002</v>
      </c>
      <c r="T21" s="351">
        <v>10.728999999999978</v>
      </c>
      <c r="U21" s="350">
        <v>2.1809591007214697E-2</v>
      </c>
      <c r="V21" s="296" t="s">
        <v>326</v>
      </c>
      <c r="W21" s="296" t="s">
        <v>507</v>
      </c>
      <c r="X21" s="296" t="s">
        <v>616</v>
      </c>
      <c r="Y21" s="296" t="s">
        <v>617</v>
      </c>
      <c r="Z21" s="296">
        <v>1</v>
      </c>
      <c r="AA21" s="353" t="s">
        <v>649</v>
      </c>
    </row>
    <row r="22" spans="2:27" s="323" customFormat="1" ht="27" customHeight="1">
      <c r="B22" s="698"/>
      <c r="C22" s="699"/>
      <c r="D22" s="294">
        <v>18</v>
      </c>
      <c r="E22" s="346" t="s">
        <v>741</v>
      </c>
      <c r="F22" s="352">
        <v>1542.7461999999971</v>
      </c>
      <c r="G22" s="295">
        <v>272.57</v>
      </c>
      <c r="H22" s="348">
        <v>440.94000000000005</v>
      </c>
      <c r="I22" s="349">
        <v>443.95882091046201</v>
      </c>
      <c r="J22" s="350">
        <v>1.0068161049179547</v>
      </c>
      <c r="K22" s="349">
        <v>444.6</v>
      </c>
      <c r="L22" s="350">
        <v>1.0083004490406857</v>
      </c>
      <c r="M22" s="349">
        <v>2</v>
      </c>
      <c r="N22" s="350">
        <v>4.5357645031069982E-3</v>
      </c>
      <c r="O22" s="351">
        <v>446.6</v>
      </c>
      <c r="P22" s="350">
        <v>1.0128362135437927</v>
      </c>
      <c r="Q22" s="348">
        <v>2.9000000000000004</v>
      </c>
      <c r="R22" s="350">
        <v>6.5768585295051477E-3</v>
      </c>
      <c r="S22" s="359">
        <v>790.45299999999997</v>
      </c>
      <c r="T22" s="351">
        <v>5.6599999999999895</v>
      </c>
      <c r="U22" s="350">
        <v>1.2748930156163071E-2</v>
      </c>
      <c r="V22" s="296" t="s">
        <v>328</v>
      </c>
      <c r="W22" s="296" t="s">
        <v>194</v>
      </c>
      <c r="X22" s="296" t="s">
        <v>621</v>
      </c>
      <c r="Y22" s="296" t="s">
        <v>535</v>
      </c>
      <c r="Z22" s="296">
        <v>1</v>
      </c>
      <c r="AA22" s="353" t="s">
        <v>637</v>
      </c>
    </row>
    <row r="23" spans="2:27" s="323" customFormat="1" ht="27" customHeight="1">
      <c r="B23" s="698"/>
      <c r="C23" s="699"/>
      <c r="D23" s="294">
        <v>19</v>
      </c>
      <c r="E23" s="346" t="s">
        <v>828</v>
      </c>
      <c r="F23" s="352">
        <v>1538.246400000002</v>
      </c>
      <c r="G23" s="295">
        <v>90.4</v>
      </c>
      <c r="H23" s="348">
        <v>1277.4839999999999</v>
      </c>
      <c r="I23" s="349">
        <v>1283.8039746546569</v>
      </c>
      <c r="J23" s="350">
        <v>1.0048949238536855</v>
      </c>
      <c r="K23" s="349">
        <v>1294.5</v>
      </c>
      <c r="L23" s="350">
        <v>1.0133199319913204</v>
      </c>
      <c r="M23" s="349">
        <v>0</v>
      </c>
      <c r="N23" s="350">
        <v>0</v>
      </c>
      <c r="O23" s="351">
        <v>1294.5</v>
      </c>
      <c r="P23" s="350">
        <v>1.0133199319913204</v>
      </c>
      <c r="Q23" s="348">
        <v>11</v>
      </c>
      <c r="R23" s="350">
        <v>8.6106753587520471E-3</v>
      </c>
      <c r="S23" s="359">
        <v>994.40000000000009</v>
      </c>
      <c r="T23" s="351">
        <v>17.01600000000002</v>
      </c>
      <c r="U23" s="350">
        <v>1.3254359961439846E-2</v>
      </c>
      <c r="V23" s="296" t="s">
        <v>326</v>
      </c>
      <c r="W23" s="296" t="s">
        <v>507</v>
      </c>
      <c r="X23" s="296" t="s">
        <v>632</v>
      </c>
      <c r="Y23" s="296" t="s">
        <v>633</v>
      </c>
      <c r="Z23" s="296">
        <v>1</v>
      </c>
      <c r="AA23" s="353" t="s">
        <v>349</v>
      </c>
    </row>
    <row r="24" spans="2:27" s="323" customFormat="1" ht="27" customHeight="1">
      <c r="B24" s="700"/>
      <c r="C24" s="701"/>
      <c r="D24" s="294">
        <v>20</v>
      </c>
      <c r="E24" s="346" t="s">
        <v>747</v>
      </c>
      <c r="F24" s="352">
        <v>1528.5110400000121</v>
      </c>
      <c r="G24" s="295">
        <v>758.19</v>
      </c>
      <c r="H24" s="348">
        <v>141.684</v>
      </c>
      <c r="I24" s="349">
        <v>142.04337774770531</v>
      </c>
      <c r="J24" s="350">
        <v>1.0025615707398241</v>
      </c>
      <c r="K24" s="349">
        <v>143.70000000000002</v>
      </c>
      <c r="L24" s="350">
        <v>1.0142288472939782</v>
      </c>
      <c r="M24" s="349">
        <v>0</v>
      </c>
      <c r="N24" s="350">
        <v>0</v>
      </c>
      <c r="O24" s="351">
        <v>143.70000000000002</v>
      </c>
      <c r="P24" s="350">
        <v>1.0142288472939782</v>
      </c>
      <c r="Q24" s="348">
        <v>1.2</v>
      </c>
      <c r="R24" s="350">
        <v>8.4695519607012795E-3</v>
      </c>
      <c r="S24" s="359">
        <v>909.82800000000009</v>
      </c>
      <c r="T24" s="351">
        <v>2.016000000000016</v>
      </c>
      <c r="U24" s="350">
        <v>1.4192847508743393E-2</v>
      </c>
      <c r="V24" s="296" t="s">
        <v>328</v>
      </c>
      <c r="W24" s="296" t="s">
        <v>521</v>
      </c>
      <c r="X24" s="296" t="s">
        <v>632</v>
      </c>
      <c r="Y24" s="296" t="s">
        <v>633</v>
      </c>
      <c r="Z24" s="296">
        <v>1</v>
      </c>
      <c r="AA24" s="353" t="s">
        <v>331</v>
      </c>
    </row>
    <row r="25" spans="2:27" ht="27" customHeight="1"/>
    <row r="26" spans="2:27" ht="27" customHeight="1"/>
    <row r="27" spans="2:27" ht="29.25" customHeight="1"/>
    <row r="28" spans="2:27" ht="28.5" customHeight="1"/>
    <row r="29" spans="2:27" ht="28.5" customHeight="1"/>
    <row r="30" spans="2:27" ht="28.5" customHeight="1"/>
    <row r="31" spans="2:27" ht="28.5" customHeight="1"/>
    <row r="32" spans="2:27" ht="28.5" customHeight="1"/>
    <row r="41" ht="14.1" customHeight="1"/>
    <row r="51" ht="14.1" customHeight="1"/>
    <row r="61" ht="14.1" customHeight="1"/>
    <row r="86" spans="26:26">
      <c r="Z86" s="292" t="s">
        <v>522</v>
      </c>
    </row>
    <row r="87" spans="26:26">
      <c r="Z87" s="292" t="s">
        <v>523</v>
      </c>
    </row>
    <row r="90" spans="26:26" ht="18.75" customHeight="1"/>
    <row r="91" spans="26:26" ht="14.1" customHeight="1"/>
    <row r="101" ht="14.1" customHeight="1"/>
    <row r="111" ht="14.1" customHeight="1"/>
    <row r="121" ht="14.1" customHeight="1"/>
    <row r="141" ht="14.1" customHeight="1"/>
    <row r="161" ht="14.1" customHeight="1"/>
    <row r="171" ht="14.1" customHeight="1"/>
    <row r="181" ht="14.1" customHeight="1"/>
    <row r="191" ht="14.1" customHeight="1"/>
    <row r="201" ht="14.1" customHeight="1"/>
    <row r="211" ht="14.1" customHeight="1"/>
    <row r="221" ht="14.1" customHeight="1"/>
    <row r="231" ht="14.1" customHeight="1"/>
    <row r="241" ht="14.1" customHeight="1"/>
    <row r="251" ht="14.1" customHeight="1"/>
    <row r="261" ht="14.1" customHeight="1"/>
    <row r="271" ht="14.1" customHeight="1"/>
  </sheetData>
  <mergeCells count="21">
    <mergeCell ref="B5:C24"/>
    <mergeCell ref="B2:AA2"/>
    <mergeCell ref="B3:C4"/>
    <mergeCell ref="D3:D4"/>
    <mergeCell ref="E3:E4"/>
    <mergeCell ref="F3:F4"/>
    <mergeCell ref="G3:G4"/>
    <mergeCell ref="H3:H4"/>
    <mergeCell ref="I3:J3"/>
    <mergeCell ref="K3:L3"/>
    <mergeCell ref="M3:N3"/>
    <mergeCell ref="O3:P3"/>
    <mergeCell ref="Q3:S3"/>
    <mergeCell ref="T3:U3"/>
    <mergeCell ref="V3:V4"/>
    <mergeCell ref="W3:W4"/>
    <mergeCell ref="X3:X4"/>
    <mergeCell ref="Y3:Y4"/>
    <mergeCell ref="Z3:Z4"/>
    <mergeCell ref="AA3:AA4"/>
    <mergeCell ref="AC3:AJ5"/>
  </mergeCells>
  <phoneticPr fontId="83" type="noConversion"/>
  <dataValidations count="4">
    <dataValidation type="list" allowBlank="1" showInputMessage="1" showErrorMessage="1" sqref="U25:U1048576" xr:uid="{00000000-0002-0000-1D00-000000000000}">
      <formula1>#REF!</formula1>
    </dataValidation>
    <dataValidation type="list" allowBlank="1" showInputMessage="1" showErrorMessage="1" sqref="T25:T1048576" xr:uid="{00000000-0002-0000-1D00-000001000000}">
      <formula1>$AC$1:$AC$1</formula1>
    </dataValidation>
    <dataValidation type="list" allowBlank="1" showInputMessage="1" showErrorMessage="1" sqref="V5:V24" xr:uid="{00000000-0002-0000-1D00-000002000000}">
      <formula1>$AP$7:$AP$13</formula1>
    </dataValidation>
    <dataValidation type="list" allowBlank="1" showInputMessage="1" showErrorMessage="1" sqref="W5:W24" xr:uid="{00000000-0002-0000-1D00-000003000000}">
      <formula1>$AO$7:$AO$13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 tint="0.39997558519241921"/>
  </sheetPr>
  <dimension ref="A1:I55"/>
  <sheetViews>
    <sheetView zoomScale="70" zoomScaleNormal="70" workbookViewId="0">
      <selection activeCell="O17" sqref="O17"/>
    </sheetView>
  </sheetViews>
  <sheetFormatPr defaultColWidth="8.28515625" defaultRowHeight="15"/>
  <cols>
    <col min="1" max="9" width="25.7109375" style="375" customWidth="1"/>
    <col min="10" max="16384" width="8.28515625" style="299"/>
  </cols>
  <sheetData>
    <row r="1" spans="1:9" ht="27" customHeight="1">
      <c r="A1" s="715" t="s">
        <v>711</v>
      </c>
      <c r="B1" s="716"/>
      <c r="C1" s="716"/>
      <c r="D1" s="716"/>
      <c r="E1" s="716"/>
      <c r="F1" s="716"/>
      <c r="G1" s="716"/>
      <c r="H1" s="716"/>
      <c r="I1" s="716"/>
    </row>
    <row r="2" spans="1:9" ht="16.5" customHeight="1">
      <c r="A2" s="360" t="s">
        <v>712</v>
      </c>
      <c r="B2" s="361">
        <f>SUM(C7:C37)</f>
        <v>676605.11800000037</v>
      </c>
      <c r="C2" s="360" t="s">
        <v>713</v>
      </c>
      <c r="D2" s="362">
        <f>B2/B54</f>
        <v>2.4235410393303289E-3</v>
      </c>
      <c r="E2" s="360" t="s">
        <v>714</v>
      </c>
      <c r="F2" s="361">
        <f>SUM(E7:E37)</f>
        <v>1175302.062229513</v>
      </c>
      <c r="G2" s="713" t="s">
        <v>715</v>
      </c>
      <c r="H2" s="714"/>
      <c r="I2" s="363">
        <f>F2/B54</f>
        <v>4.2098303805954826E-3</v>
      </c>
    </row>
    <row r="3" spans="1:9" ht="37.5" customHeight="1">
      <c r="A3" s="364" t="s">
        <v>716</v>
      </c>
      <c r="B3" s="364" t="s">
        <v>717</v>
      </c>
      <c r="C3" s="364" t="s">
        <v>718</v>
      </c>
      <c r="D3" s="364" t="s">
        <v>719</v>
      </c>
      <c r="E3" s="364" t="s">
        <v>720</v>
      </c>
      <c r="F3" s="364" t="s">
        <v>721</v>
      </c>
      <c r="G3" s="365" t="s">
        <v>722</v>
      </c>
      <c r="H3" s="366" t="s">
        <v>723</v>
      </c>
      <c r="I3" s="366" t="s">
        <v>724</v>
      </c>
    </row>
    <row r="4" spans="1:9" ht="18">
      <c r="A4" s="367">
        <v>46140</v>
      </c>
      <c r="B4" s="368"/>
      <c r="C4" s="369"/>
      <c r="D4" s="370" t="e">
        <f t="shared" ref="D4:D52" si="0">C4/B4</f>
        <v>#DIV/0!</v>
      </c>
      <c r="E4" s="369"/>
      <c r="F4" s="371" t="e">
        <f t="shared" ref="F4:F52" si="1">E4/B4</f>
        <v>#DIV/0!</v>
      </c>
      <c r="G4" s="717">
        <f>SUM(B4:B10)</f>
        <v>34730507</v>
      </c>
      <c r="H4" s="717">
        <f>SUM(C4:C10)</f>
        <v>84051.657000000036</v>
      </c>
      <c r="I4" s="717">
        <f>SUM(E4:E10)</f>
        <v>151698.32177130505</v>
      </c>
    </row>
    <row r="5" spans="1:9" ht="18">
      <c r="A5" s="367">
        <f>A4+1</f>
        <v>46141</v>
      </c>
      <c r="B5" s="368"/>
      <c r="C5" s="369"/>
      <c r="D5" s="370" t="e">
        <f t="shared" si="0"/>
        <v>#DIV/0!</v>
      </c>
      <c r="E5" s="369"/>
      <c r="F5" s="371" t="e">
        <f t="shared" si="1"/>
        <v>#DIV/0!</v>
      </c>
      <c r="G5" s="717"/>
      <c r="H5" s="717"/>
      <c r="I5" s="717"/>
    </row>
    <row r="6" spans="1:9" ht="18">
      <c r="A6" s="367">
        <f t="shared" ref="A6:A52" si="2">A5+1</f>
        <v>46142</v>
      </c>
      <c r="B6" s="368"/>
      <c r="C6" s="369"/>
      <c r="D6" s="370" t="e">
        <f t="shared" si="0"/>
        <v>#DIV/0!</v>
      </c>
      <c r="E6" s="369"/>
      <c r="F6" s="371" t="e">
        <f t="shared" si="1"/>
        <v>#DIV/0!</v>
      </c>
      <c r="G6" s="717"/>
      <c r="H6" s="717"/>
      <c r="I6" s="717"/>
    </row>
    <row r="7" spans="1:9" ht="18">
      <c r="A7" s="367">
        <f t="shared" si="2"/>
        <v>46143</v>
      </c>
      <c r="B7" s="368">
        <v>7354476</v>
      </c>
      <c r="C7" s="369">
        <v>17796.568000000017</v>
      </c>
      <c r="D7" s="370">
        <f t="shared" si="0"/>
        <v>2.4198281427527967E-3</v>
      </c>
      <c r="E7" s="369">
        <v>34480.459860120849</v>
      </c>
      <c r="F7" s="371">
        <f t="shared" si="1"/>
        <v>4.6883639106471827E-3</v>
      </c>
      <c r="G7" s="717"/>
      <c r="H7" s="717"/>
      <c r="I7" s="717"/>
    </row>
    <row r="8" spans="1:9" ht="18">
      <c r="A8" s="367">
        <f t="shared" si="2"/>
        <v>46144</v>
      </c>
      <c r="B8" s="368">
        <v>7703936</v>
      </c>
      <c r="C8" s="369">
        <v>18697.218000000012</v>
      </c>
      <c r="D8" s="370">
        <f t="shared" si="0"/>
        <v>2.4269695386877582E-3</v>
      </c>
      <c r="E8" s="369">
        <v>34958.657183982148</v>
      </c>
      <c r="F8" s="371">
        <f t="shared" si="1"/>
        <v>4.5377657841371146E-3</v>
      </c>
      <c r="G8" s="717"/>
      <c r="H8" s="717"/>
      <c r="I8" s="717"/>
    </row>
    <row r="9" spans="1:9" ht="18">
      <c r="A9" s="367">
        <f t="shared" si="2"/>
        <v>46145</v>
      </c>
      <c r="B9" s="368">
        <v>10123968</v>
      </c>
      <c r="C9" s="369">
        <v>24620.215</v>
      </c>
      <c r="D9" s="370">
        <f t="shared" si="0"/>
        <v>2.4318740438531612E-3</v>
      </c>
      <c r="E9" s="369">
        <v>42892.230002855948</v>
      </c>
      <c r="F9" s="371">
        <f t="shared" si="1"/>
        <v>4.2367014596308428E-3</v>
      </c>
      <c r="G9" s="717"/>
      <c r="H9" s="717"/>
      <c r="I9" s="717"/>
    </row>
    <row r="10" spans="1:9" ht="18">
      <c r="A10" s="367">
        <f t="shared" si="2"/>
        <v>46146</v>
      </c>
      <c r="B10" s="368">
        <v>9548127</v>
      </c>
      <c r="C10" s="369">
        <v>22937.656000000006</v>
      </c>
      <c r="D10" s="370">
        <f t="shared" si="0"/>
        <v>2.4023199523843792E-3</v>
      </c>
      <c r="E10" s="369">
        <v>39366.974724346102</v>
      </c>
      <c r="F10" s="371">
        <f t="shared" si="1"/>
        <v>4.1230049332550882E-3</v>
      </c>
      <c r="G10" s="717"/>
      <c r="H10" s="717"/>
      <c r="I10" s="717"/>
    </row>
    <row r="11" spans="1:9" ht="18">
      <c r="A11" s="372">
        <f t="shared" si="2"/>
        <v>46147</v>
      </c>
      <c r="B11" s="368">
        <v>9809562</v>
      </c>
      <c r="C11" s="369">
        <v>23718.027000000009</v>
      </c>
      <c r="D11" s="370">
        <f t="shared" si="0"/>
        <v>2.4178477081851371E-3</v>
      </c>
      <c r="E11" s="369">
        <v>39048.724990381736</v>
      </c>
      <c r="F11" s="371">
        <f t="shared" si="1"/>
        <v>3.980679768411855E-3</v>
      </c>
      <c r="G11" s="718">
        <f>SUM(B11:B17)</f>
        <v>62847274</v>
      </c>
      <c r="H11" s="718">
        <f>SUM(C11:C17)</f>
        <v>152678.99800000005</v>
      </c>
      <c r="I11" s="718">
        <f>SUM(E11:E17)</f>
        <v>265832.52842719236</v>
      </c>
    </row>
    <row r="12" spans="1:9" ht="18">
      <c r="A12" s="372">
        <f t="shared" si="2"/>
        <v>46148</v>
      </c>
      <c r="B12" s="368">
        <v>9009158</v>
      </c>
      <c r="C12" s="369">
        <v>21889.303000000022</v>
      </c>
      <c r="D12" s="370">
        <f t="shared" si="0"/>
        <v>2.4296724510770064E-3</v>
      </c>
      <c r="E12" s="369">
        <v>37538.407030464725</v>
      </c>
      <c r="F12" s="371">
        <f t="shared" si="1"/>
        <v>4.1666942715917208E-3</v>
      </c>
      <c r="G12" s="718"/>
      <c r="H12" s="718"/>
      <c r="I12" s="718"/>
    </row>
    <row r="13" spans="1:9" ht="18">
      <c r="A13" s="372">
        <f>A12+1</f>
        <v>46149</v>
      </c>
      <c r="B13" s="368">
        <v>8524326</v>
      </c>
      <c r="C13" s="369">
        <v>20757.306000000015</v>
      </c>
      <c r="D13" s="370">
        <f t="shared" si="0"/>
        <v>2.4350671243685441E-3</v>
      </c>
      <c r="E13" s="369">
        <v>35735.075560689198</v>
      </c>
      <c r="F13" s="371">
        <f t="shared" si="1"/>
        <v>4.1921291560985813E-3</v>
      </c>
      <c r="G13" s="718"/>
      <c r="H13" s="718"/>
      <c r="I13" s="718"/>
    </row>
    <row r="14" spans="1:9" ht="18">
      <c r="A14" s="372">
        <f t="shared" si="2"/>
        <v>46150</v>
      </c>
      <c r="B14" s="368">
        <v>7943685</v>
      </c>
      <c r="C14" s="369">
        <v>19234.794000000013</v>
      </c>
      <c r="D14" s="370">
        <f t="shared" si="0"/>
        <v>2.4213943528727552E-3</v>
      </c>
      <c r="E14" s="369">
        <v>35294.536100233687</v>
      </c>
      <c r="F14" s="371">
        <f t="shared" si="1"/>
        <v>4.4430936146427867E-3</v>
      </c>
      <c r="G14" s="718"/>
      <c r="H14" s="718"/>
      <c r="I14" s="718"/>
    </row>
    <row r="15" spans="1:9" ht="18">
      <c r="A15" s="372">
        <f t="shared" si="2"/>
        <v>46151</v>
      </c>
      <c r="B15" s="368">
        <v>8070561</v>
      </c>
      <c r="C15" s="369">
        <v>19720.489000000005</v>
      </c>
      <c r="D15" s="370">
        <f t="shared" si="0"/>
        <v>2.443509069567779E-3</v>
      </c>
      <c r="E15" s="369">
        <v>35656.35975830043</v>
      </c>
      <c r="F15" s="371">
        <f t="shared" si="1"/>
        <v>4.4180769785768835E-3</v>
      </c>
      <c r="G15" s="718"/>
      <c r="H15" s="718"/>
      <c r="I15" s="718"/>
    </row>
    <row r="16" spans="1:9" ht="18">
      <c r="A16" s="372">
        <f t="shared" si="2"/>
        <v>46152</v>
      </c>
      <c r="B16" s="368">
        <v>9698095</v>
      </c>
      <c r="C16" s="369">
        <v>23541.26400000001</v>
      </c>
      <c r="D16" s="370">
        <f t="shared" si="0"/>
        <v>2.4274111565209468E-3</v>
      </c>
      <c r="E16" s="369">
        <v>42167.852972408618</v>
      </c>
      <c r="F16" s="371">
        <f t="shared" si="1"/>
        <v>4.3480552595544404E-3</v>
      </c>
      <c r="G16" s="718"/>
      <c r="H16" s="718"/>
      <c r="I16" s="718"/>
    </row>
    <row r="17" spans="1:9" ht="18">
      <c r="A17" s="372">
        <f t="shared" si="2"/>
        <v>46153</v>
      </c>
      <c r="B17" s="368">
        <v>9791887</v>
      </c>
      <c r="C17" s="369">
        <v>23817.814999999995</v>
      </c>
      <c r="D17" s="370">
        <f t="shared" si="0"/>
        <v>2.4324029678855562E-3</v>
      </c>
      <c r="E17" s="369">
        <v>40391.572014713951</v>
      </c>
      <c r="F17" s="371">
        <f t="shared" si="1"/>
        <v>4.1250038950320757E-3</v>
      </c>
      <c r="G17" s="718"/>
      <c r="H17" s="718"/>
      <c r="I17" s="718"/>
    </row>
    <row r="18" spans="1:9" ht="18">
      <c r="A18" s="367">
        <f t="shared" si="2"/>
        <v>46154</v>
      </c>
      <c r="B18" s="368">
        <v>10338215</v>
      </c>
      <c r="C18" s="369">
        <v>25028.496999999999</v>
      </c>
      <c r="D18" s="370">
        <f t="shared" si="0"/>
        <v>2.4209689003372439E-3</v>
      </c>
      <c r="E18" s="369">
        <v>41478.928042053209</v>
      </c>
      <c r="F18" s="371">
        <f t="shared" si="1"/>
        <v>4.0121943722444551E-3</v>
      </c>
      <c r="G18" s="717">
        <f>SUM(B18:B24)</f>
        <v>63943796</v>
      </c>
      <c r="H18" s="717">
        <f>SUM(C18:C24)</f>
        <v>154603.788</v>
      </c>
      <c r="I18" s="717">
        <f>SUM(E18:E24)</f>
        <v>261747.03723926519</v>
      </c>
    </row>
    <row r="19" spans="1:9" ht="18">
      <c r="A19" s="367">
        <f t="shared" si="2"/>
        <v>46155</v>
      </c>
      <c r="B19" s="368">
        <v>9489109</v>
      </c>
      <c r="C19" s="369">
        <v>22856.741999999998</v>
      </c>
      <c r="D19" s="370">
        <f t="shared" si="0"/>
        <v>2.4087342657777458E-3</v>
      </c>
      <c r="E19" s="369">
        <v>38219.261057228228</v>
      </c>
      <c r="F19" s="371">
        <f t="shared" si="1"/>
        <v>4.0276975485504726E-3</v>
      </c>
      <c r="G19" s="717"/>
      <c r="H19" s="717"/>
      <c r="I19" s="717"/>
    </row>
    <row r="20" spans="1:9" ht="18">
      <c r="A20" s="367">
        <f t="shared" si="2"/>
        <v>46156</v>
      </c>
      <c r="B20" s="368">
        <v>8697323</v>
      </c>
      <c r="C20" s="369">
        <v>20935.635999999995</v>
      </c>
      <c r="D20" s="370">
        <f t="shared" si="0"/>
        <v>2.4071356209261164E-3</v>
      </c>
      <c r="E20" s="369">
        <v>37888.130193800876</v>
      </c>
      <c r="F20" s="371">
        <f t="shared" si="1"/>
        <v>4.3562979314210682E-3</v>
      </c>
      <c r="G20" s="717"/>
      <c r="H20" s="717"/>
      <c r="I20" s="717"/>
    </row>
    <row r="21" spans="1:9" ht="18">
      <c r="A21" s="367">
        <f t="shared" si="2"/>
        <v>46157</v>
      </c>
      <c r="B21" s="368">
        <v>7747013</v>
      </c>
      <c r="C21" s="369">
        <v>18766.38900000001</v>
      </c>
      <c r="D21" s="370">
        <f t="shared" si="0"/>
        <v>2.4224031894615394E-3</v>
      </c>
      <c r="E21" s="369">
        <v>31739.180837239597</v>
      </c>
      <c r="F21" s="371">
        <f t="shared" si="1"/>
        <v>4.096957219155253E-3</v>
      </c>
      <c r="G21" s="717"/>
      <c r="H21" s="717"/>
      <c r="I21" s="717"/>
    </row>
    <row r="22" spans="1:9" ht="18">
      <c r="A22" s="367">
        <f t="shared" si="2"/>
        <v>46158</v>
      </c>
      <c r="B22" s="368">
        <v>8066990</v>
      </c>
      <c r="C22" s="369">
        <v>19618.128999999994</v>
      </c>
      <c r="D22" s="370">
        <f t="shared" si="0"/>
        <v>2.4319019857468515E-3</v>
      </c>
      <c r="E22" s="369">
        <v>32752.259427987949</v>
      </c>
      <c r="F22" s="371">
        <f t="shared" si="1"/>
        <v>4.0600347128220008E-3</v>
      </c>
      <c r="G22" s="717"/>
      <c r="H22" s="717"/>
      <c r="I22" s="717"/>
    </row>
    <row r="23" spans="1:9" ht="18">
      <c r="A23" s="367">
        <f t="shared" si="2"/>
        <v>46159</v>
      </c>
      <c r="B23" s="368">
        <v>9834074</v>
      </c>
      <c r="C23" s="369">
        <v>23786.340000000004</v>
      </c>
      <c r="D23" s="370">
        <f t="shared" si="0"/>
        <v>2.4187676440100008E-3</v>
      </c>
      <c r="E23" s="369">
        <v>38965.774766202114</v>
      </c>
      <c r="F23" s="371">
        <f t="shared" si="1"/>
        <v>3.962322712458958E-3</v>
      </c>
      <c r="G23" s="717"/>
      <c r="H23" s="717"/>
      <c r="I23" s="717"/>
    </row>
    <row r="24" spans="1:9" ht="18">
      <c r="A24" s="367">
        <f t="shared" si="2"/>
        <v>46160</v>
      </c>
      <c r="B24" s="368">
        <v>9771072</v>
      </c>
      <c r="C24" s="369">
        <v>23612.054999999997</v>
      </c>
      <c r="D24" s="370">
        <f t="shared" si="0"/>
        <v>2.4165265592147921E-3</v>
      </c>
      <c r="E24" s="369">
        <v>40703.502914753219</v>
      </c>
      <c r="F24" s="371">
        <f t="shared" si="1"/>
        <v>4.1657151758530912E-3</v>
      </c>
      <c r="G24" s="717"/>
      <c r="H24" s="717"/>
      <c r="I24" s="717"/>
    </row>
    <row r="25" spans="1:9" ht="18">
      <c r="A25" s="372">
        <f t="shared" si="2"/>
        <v>46161</v>
      </c>
      <c r="B25" s="368">
        <v>9682132</v>
      </c>
      <c r="C25" s="369">
        <v>23534.065999999988</v>
      </c>
      <c r="D25" s="370">
        <f t="shared" si="0"/>
        <v>2.4306698152844835E-3</v>
      </c>
      <c r="E25" s="369">
        <v>39321.203986421737</v>
      </c>
      <c r="F25" s="371">
        <f t="shared" si="1"/>
        <v>4.0612133759818326E-3</v>
      </c>
      <c r="G25" s="718">
        <f>SUM(B25:B31)</f>
        <v>61296171</v>
      </c>
      <c r="H25" s="718">
        <f>SUM(C25:C31)</f>
        <v>148522.44800000003</v>
      </c>
      <c r="I25" s="718">
        <f>SUM(E25:E31)</f>
        <v>257015.37229276157</v>
      </c>
    </row>
    <row r="26" spans="1:9" ht="18">
      <c r="A26" s="372">
        <f t="shared" si="2"/>
        <v>46162</v>
      </c>
      <c r="B26" s="368">
        <v>8920843</v>
      </c>
      <c r="C26" s="369">
        <v>21483.580000000005</v>
      </c>
      <c r="D26" s="370">
        <f t="shared" si="0"/>
        <v>2.4082454987718097E-3</v>
      </c>
      <c r="E26" s="369">
        <v>37439.496886446737</v>
      </c>
      <c r="F26" s="371">
        <f t="shared" si="1"/>
        <v>4.1968563830174724E-3</v>
      </c>
      <c r="G26" s="718"/>
      <c r="H26" s="718"/>
      <c r="I26" s="718"/>
    </row>
    <row r="27" spans="1:9" ht="18">
      <c r="A27" s="372">
        <f t="shared" si="2"/>
        <v>46163</v>
      </c>
      <c r="B27" s="368">
        <v>8302357</v>
      </c>
      <c r="C27" s="369">
        <v>20015.601000000006</v>
      </c>
      <c r="D27" s="370">
        <f t="shared" si="0"/>
        <v>2.4108335741284078E-3</v>
      </c>
      <c r="E27" s="369">
        <v>36685.73006230624</v>
      </c>
      <c r="F27" s="371">
        <f t="shared" si="1"/>
        <v>4.4187126694631707E-3</v>
      </c>
      <c r="G27" s="718"/>
      <c r="H27" s="718"/>
      <c r="I27" s="718"/>
    </row>
    <row r="28" spans="1:9" ht="18">
      <c r="A28" s="372">
        <f t="shared" si="2"/>
        <v>46164</v>
      </c>
      <c r="B28" s="368">
        <v>7688338</v>
      </c>
      <c r="C28" s="369">
        <v>18697.009999999995</v>
      </c>
      <c r="D28" s="370">
        <f t="shared" si="0"/>
        <v>2.4318662889170578E-3</v>
      </c>
      <c r="E28" s="369">
        <v>32655.494872610841</v>
      </c>
      <c r="F28" s="371">
        <f t="shared" si="1"/>
        <v>4.2474062499087374E-3</v>
      </c>
      <c r="G28" s="718"/>
      <c r="H28" s="718"/>
      <c r="I28" s="718"/>
    </row>
    <row r="29" spans="1:9" ht="18">
      <c r="A29" s="372">
        <f t="shared" si="2"/>
        <v>46165</v>
      </c>
      <c r="B29" s="368">
        <v>8159526</v>
      </c>
      <c r="C29" s="369">
        <v>19864.811999999994</v>
      </c>
      <c r="D29" s="370">
        <f t="shared" si="0"/>
        <v>2.4345546542777112E-3</v>
      </c>
      <c r="E29" s="369">
        <v>33262.014399537067</v>
      </c>
      <c r="F29" s="371">
        <f t="shared" si="1"/>
        <v>4.0764640494481011E-3</v>
      </c>
      <c r="G29" s="718"/>
      <c r="H29" s="718"/>
      <c r="I29" s="718"/>
    </row>
    <row r="30" spans="1:9" ht="18">
      <c r="A30" s="372">
        <f t="shared" si="2"/>
        <v>46166</v>
      </c>
      <c r="B30" s="368">
        <v>9019023</v>
      </c>
      <c r="C30" s="369">
        <v>21710.00800000002</v>
      </c>
      <c r="D30" s="370">
        <f t="shared" si="0"/>
        <v>2.4071352296141189E-3</v>
      </c>
      <c r="E30" s="369">
        <v>36848.168095126428</v>
      </c>
      <c r="F30" s="371">
        <f t="shared" si="1"/>
        <v>4.0856052917401841E-3</v>
      </c>
      <c r="G30" s="718"/>
      <c r="H30" s="718"/>
      <c r="I30" s="718"/>
    </row>
    <row r="31" spans="1:9" ht="18">
      <c r="A31" s="372">
        <f t="shared" si="2"/>
        <v>46167</v>
      </c>
      <c r="B31" s="368">
        <v>9523952</v>
      </c>
      <c r="C31" s="369">
        <v>23217.371000000021</v>
      </c>
      <c r="D31" s="370">
        <f t="shared" si="0"/>
        <v>2.4377874856992159E-3</v>
      </c>
      <c r="E31" s="369">
        <v>40803.263990312538</v>
      </c>
      <c r="F31" s="371">
        <f t="shared" si="1"/>
        <v>4.2842786261745687E-3</v>
      </c>
      <c r="G31" s="718"/>
      <c r="H31" s="718"/>
      <c r="I31" s="718"/>
    </row>
    <row r="32" spans="1:9" ht="18">
      <c r="A32" s="367">
        <f t="shared" si="2"/>
        <v>46168</v>
      </c>
      <c r="B32" s="368">
        <v>9911969</v>
      </c>
      <c r="C32" s="369">
        <v>24077.750000000025</v>
      </c>
      <c r="D32" s="370">
        <f t="shared" si="0"/>
        <v>2.4291591307438539E-3</v>
      </c>
      <c r="E32" s="369">
        <v>40870.480046882549</v>
      </c>
      <c r="F32" s="371">
        <f t="shared" si="1"/>
        <v>4.1233462339200768E-3</v>
      </c>
      <c r="G32" s="717">
        <f>SUM(B32:B38)</f>
        <v>65939025</v>
      </c>
      <c r="H32" s="717">
        <f>SUM(C32:C38)</f>
        <v>159805.84200000006</v>
      </c>
      <c r="I32" s="717">
        <f>SUM(E32:E38)</f>
        <v>277202.05334308965</v>
      </c>
    </row>
    <row r="33" spans="1:9" ht="18">
      <c r="A33" s="367">
        <f t="shared" si="2"/>
        <v>46169</v>
      </c>
      <c r="B33" s="368">
        <v>9723654</v>
      </c>
      <c r="C33" s="369">
        <v>23753.736000000019</v>
      </c>
      <c r="D33" s="370">
        <f t="shared" si="0"/>
        <v>2.4428816574509973E-3</v>
      </c>
      <c r="E33" s="369">
        <v>41541.052866311809</v>
      </c>
      <c r="F33" s="371">
        <f t="shared" si="1"/>
        <v>4.2721648534914764E-3</v>
      </c>
      <c r="G33" s="717"/>
      <c r="H33" s="717"/>
      <c r="I33" s="717"/>
    </row>
    <row r="34" spans="1:9" ht="18">
      <c r="A34" s="367">
        <f t="shared" si="2"/>
        <v>46170</v>
      </c>
      <c r="B34" s="368">
        <v>9072400</v>
      </c>
      <c r="C34" s="369">
        <v>22036.625999999997</v>
      </c>
      <c r="D34" s="370">
        <f t="shared" si="0"/>
        <v>2.4289742515762086E-3</v>
      </c>
      <c r="E34" s="369">
        <v>39008.063085263151</v>
      </c>
      <c r="F34" s="371">
        <f t="shared" si="1"/>
        <v>4.2996410084721959E-3</v>
      </c>
      <c r="G34" s="717"/>
      <c r="H34" s="717"/>
      <c r="I34" s="717"/>
    </row>
    <row r="35" spans="1:9" ht="18">
      <c r="A35" s="367">
        <f t="shared" si="2"/>
        <v>46171</v>
      </c>
      <c r="B35" s="368">
        <v>8447568</v>
      </c>
      <c r="C35" s="369">
        <v>20297.356000000014</v>
      </c>
      <c r="D35" s="370">
        <f t="shared" si="0"/>
        <v>2.4027455002433853E-3</v>
      </c>
      <c r="E35" s="369">
        <v>36998.501043108052</v>
      </c>
      <c r="F35" s="371">
        <f t="shared" si="1"/>
        <v>4.3797813812339898E-3</v>
      </c>
      <c r="G35" s="717"/>
      <c r="H35" s="717"/>
      <c r="I35" s="717"/>
    </row>
    <row r="36" spans="1:9" ht="18">
      <c r="A36" s="367">
        <f t="shared" si="2"/>
        <v>46172</v>
      </c>
      <c r="B36" s="368">
        <v>8820596</v>
      </c>
      <c r="C36" s="369">
        <v>21360.305000000026</v>
      </c>
      <c r="D36" s="370">
        <f t="shared" si="0"/>
        <v>2.4216396488400587E-3</v>
      </c>
      <c r="E36" s="369">
        <v>38266.987521645082</v>
      </c>
      <c r="F36" s="371">
        <f t="shared" si="1"/>
        <v>4.3383675572087289E-3</v>
      </c>
      <c r="G36" s="717"/>
      <c r="H36" s="717"/>
      <c r="I36" s="717"/>
    </row>
    <row r="37" spans="1:9" ht="18">
      <c r="A37" s="367">
        <f t="shared" si="2"/>
        <v>46173</v>
      </c>
      <c r="B37" s="368">
        <v>10386449</v>
      </c>
      <c r="C37" s="369">
        <v>25222.45399999998</v>
      </c>
      <c r="D37" s="370">
        <f t="shared" si="0"/>
        <v>2.4284001201950716E-3</v>
      </c>
      <c r="E37" s="369">
        <v>42323.717935777924</v>
      </c>
      <c r="F37" s="371">
        <f t="shared" si="1"/>
        <v>4.074897776494924E-3</v>
      </c>
      <c r="G37" s="717"/>
      <c r="H37" s="717"/>
      <c r="I37" s="717"/>
    </row>
    <row r="38" spans="1:9" ht="18">
      <c r="A38" s="367">
        <f t="shared" si="2"/>
        <v>46174</v>
      </c>
      <c r="B38" s="368">
        <v>9576389</v>
      </c>
      <c r="C38" s="369">
        <v>23057.614999999994</v>
      </c>
      <c r="D38" s="370">
        <f t="shared" si="0"/>
        <v>2.4077567233327713E-3</v>
      </c>
      <c r="E38" s="369">
        <v>38193.25084410105</v>
      </c>
      <c r="F38" s="371">
        <f t="shared" si="1"/>
        <v>3.9882727032184108E-3</v>
      </c>
      <c r="G38" s="717"/>
      <c r="H38" s="717"/>
      <c r="I38" s="717"/>
    </row>
    <row r="39" spans="1:9" ht="18">
      <c r="A39" s="372">
        <f t="shared" si="2"/>
        <v>46175</v>
      </c>
      <c r="B39" s="368"/>
      <c r="C39" s="369"/>
      <c r="D39" s="370" t="e">
        <f t="shared" si="0"/>
        <v>#DIV/0!</v>
      </c>
      <c r="E39" s="369"/>
      <c r="F39" s="371" t="e">
        <f t="shared" si="1"/>
        <v>#DIV/0!</v>
      </c>
      <c r="G39" s="718">
        <f>SUM(B39:B45)</f>
        <v>0</v>
      </c>
      <c r="H39" s="718">
        <f>SUM(C39:C45)</f>
        <v>0</v>
      </c>
      <c r="I39" s="718">
        <f>SUM(E39:E45)</f>
        <v>0</v>
      </c>
    </row>
    <row r="40" spans="1:9" ht="18">
      <c r="A40" s="372">
        <f t="shared" si="2"/>
        <v>46176</v>
      </c>
      <c r="B40" s="368"/>
      <c r="C40" s="369"/>
      <c r="D40" s="370" t="e">
        <f t="shared" si="0"/>
        <v>#DIV/0!</v>
      </c>
      <c r="E40" s="369"/>
      <c r="F40" s="371" t="e">
        <f t="shared" si="1"/>
        <v>#DIV/0!</v>
      </c>
      <c r="G40" s="718"/>
      <c r="H40" s="718"/>
      <c r="I40" s="718"/>
    </row>
    <row r="41" spans="1:9" ht="18">
      <c r="A41" s="372">
        <f t="shared" si="2"/>
        <v>46177</v>
      </c>
      <c r="B41" s="368"/>
      <c r="C41" s="369"/>
      <c r="D41" s="370" t="e">
        <f t="shared" si="0"/>
        <v>#DIV/0!</v>
      </c>
      <c r="E41" s="369"/>
      <c r="F41" s="371" t="e">
        <f t="shared" si="1"/>
        <v>#DIV/0!</v>
      </c>
      <c r="G41" s="718"/>
      <c r="H41" s="718"/>
      <c r="I41" s="718"/>
    </row>
    <row r="42" spans="1:9" ht="18">
      <c r="A42" s="372">
        <f t="shared" si="2"/>
        <v>46178</v>
      </c>
      <c r="B42" s="368"/>
      <c r="C42" s="369"/>
      <c r="D42" s="370" t="e">
        <f t="shared" si="0"/>
        <v>#DIV/0!</v>
      </c>
      <c r="E42" s="369"/>
      <c r="F42" s="371" t="e">
        <f t="shared" si="1"/>
        <v>#DIV/0!</v>
      </c>
      <c r="G42" s="718"/>
      <c r="H42" s="718"/>
      <c r="I42" s="718"/>
    </row>
    <row r="43" spans="1:9" ht="18">
      <c r="A43" s="372">
        <f t="shared" si="2"/>
        <v>46179</v>
      </c>
      <c r="B43" s="368"/>
      <c r="C43" s="369"/>
      <c r="D43" s="370" t="e">
        <f t="shared" si="0"/>
        <v>#DIV/0!</v>
      </c>
      <c r="E43" s="369"/>
      <c r="F43" s="371" t="e">
        <f t="shared" si="1"/>
        <v>#DIV/0!</v>
      </c>
      <c r="G43" s="718"/>
      <c r="H43" s="718"/>
      <c r="I43" s="718"/>
    </row>
    <row r="44" spans="1:9" ht="18">
      <c r="A44" s="372">
        <f t="shared" si="2"/>
        <v>46180</v>
      </c>
      <c r="B44" s="368"/>
      <c r="C44" s="369"/>
      <c r="D44" s="370" t="e">
        <f t="shared" si="0"/>
        <v>#DIV/0!</v>
      </c>
      <c r="E44" s="369"/>
      <c r="F44" s="371" t="e">
        <f t="shared" si="1"/>
        <v>#DIV/0!</v>
      </c>
      <c r="G44" s="718"/>
      <c r="H44" s="718"/>
      <c r="I44" s="718"/>
    </row>
    <row r="45" spans="1:9" ht="18">
      <c r="A45" s="372">
        <f t="shared" si="2"/>
        <v>46181</v>
      </c>
      <c r="B45" s="368"/>
      <c r="C45" s="369"/>
      <c r="D45" s="370" t="e">
        <f t="shared" si="0"/>
        <v>#DIV/0!</v>
      </c>
      <c r="E45" s="369"/>
      <c r="F45" s="371" t="e">
        <f t="shared" si="1"/>
        <v>#DIV/0!</v>
      </c>
      <c r="G45" s="718"/>
      <c r="H45" s="718"/>
      <c r="I45" s="718"/>
    </row>
    <row r="46" spans="1:9" ht="18">
      <c r="A46" s="367">
        <f t="shared" si="2"/>
        <v>46182</v>
      </c>
      <c r="B46" s="368"/>
      <c r="C46" s="369"/>
      <c r="D46" s="370" t="e">
        <f t="shared" si="0"/>
        <v>#DIV/0!</v>
      </c>
      <c r="E46" s="369"/>
      <c r="F46" s="371" t="e">
        <f t="shared" si="1"/>
        <v>#DIV/0!</v>
      </c>
      <c r="G46" s="717">
        <f>SUM(B46:B52)</f>
        <v>0</v>
      </c>
      <c r="H46" s="717">
        <f>SUM(C46:C52)</f>
        <v>0</v>
      </c>
      <c r="I46" s="717">
        <f>SUM(E46:E52)</f>
        <v>0</v>
      </c>
    </row>
    <row r="47" spans="1:9" ht="18">
      <c r="A47" s="367">
        <f t="shared" si="2"/>
        <v>46183</v>
      </c>
      <c r="B47" s="368"/>
      <c r="C47" s="369"/>
      <c r="D47" s="370" t="e">
        <f t="shared" si="0"/>
        <v>#DIV/0!</v>
      </c>
      <c r="E47" s="369"/>
      <c r="F47" s="371" t="e">
        <f t="shared" si="1"/>
        <v>#DIV/0!</v>
      </c>
      <c r="G47" s="717"/>
      <c r="H47" s="717"/>
      <c r="I47" s="717"/>
    </row>
    <row r="48" spans="1:9" ht="18">
      <c r="A48" s="367">
        <f t="shared" si="2"/>
        <v>46184</v>
      </c>
      <c r="B48" s="368"/>
      <c r="C48" s="369"/>
      <c r="D48" s="370" t="e">
        <f t="shared" si="0"/>
        <v>#DIV/0!</v>
      </c>
      <c r="E48" s="369"/>
      <c r="F48" s="371" t="e">
        <f t="shared" si="1"/>
        <v>#DIV/0!</v>
      </c>
      <c r="G48" s="717"/>
      <c r="H48" s="717"/>
      <c r="I48" s="717"/>
    </row>
    <row r="49" spans="1:9" ht="18">
      <c r="A49" s="367">
        <f t="shared" si="2"/>
        <v>46185</v>
      </c>
      <c r="B49" s="368"/>
      <c r="C49" s="369"/>
      <c r="D49" s="370" t="e">
        <f t="shared" si="0"/>
        <v>#DIV/0!</v>
      </c>
      <c r="E49" s="369"/>
      <c r="F49" s="371" t="e">
        <f t="shared" si="1"/>
        <v>#DIV/0!</v>
      </c>
      <c r="G49" s="717"/>
      <c r="H49" s="717"/>
      <c r="I49" s="717"/>
    </row>
    <row r="50" spans="1:9" ht="18">
      <c r="A50" s="367">
        <f t="shared" si="2"/>
        <v>46186</v>
      </c>
      <c r="B50" s="368"/>
      <c r="C50" s="369"/>
      <c r="D50" s="370" t="e">
        <f t="shared" si="0"/>
        <v>#DIV/0!</v>
      </c>
      <c r="E50" s="369"/>
      <c r="F50" s="371" t="e">
        <f t="shared" si="1"/>
        <v>#DIV/0!</v>
      </c>
      <c r="G50" s="717"/>
      <c r="H50" s="717"/>
      <c r="I50" s="717"/>
    </row>
    <row r="51" spans="1:9" ht="18">
      <c r="A51" s="367">
        <f t="shared" si="2"/>
        <v>46187</v>
      </c>
      <c r="B51" s="368"/>
      <c r="C51" s="369"/>
      <c r="D51" s="370" t="e">
        <f t="shared" si="0"/>
        <v>#DIV/0!</v>
      </c>
      <c r="E51" s="369"/>
      <c r="F51" s="371" t="e">
        <f t="shared" si="1"/>
        <v>#DIV/0!</v>
      </c>
      <c r="G51" s="717"/>
      <c r="H51" s="717"/>
      <c r="I51" s="717"/>
    </row>
    <row r="52" spans="1:9" ht="18">
      <c r="A52" s="367">
        <f t="shared" si="2"/>
        <v>46188</v>
      </c>
      <c r="B52" s="368"/>
      <c r="C52" s="369"/>
      <c r="D52" s="370" t="e">
        <f t="shared" si="0"/>
        <v>#DIV/0!</v>
      </c>
      <c r="E52" s="369"/>
      <c r="F52" s="371" t="e">
        <f t="shared" si="1"/>
        <v>#DIV/0!</v>
      </c>
      <c r="G52" s="717"/>
      <c r="H52" s="717"/>
      <c r="I52" s="717"/>
    </row>
    <row r="53" spans="1:9" ht="18">
      <c r="A53" s="373"/>
      <c r="B53" s="373"/>
      <c r="C53" s="373"/>
      <c r="D53" s="373"/>
      <c r="E53" s="373"/>
      <c r="F53" s="373"/>
      <c r="G53" s="373"/>
      <c r="H53" s="373"/>
      <c r="I53" s="373"/>
    </row>
    <row r="54" spans="1:9" ht="18.75">
      <c r="A54" s="374" t="s">
        <v>725</v>
      </c>
      <c r="B54" s="368">
        <f>SUM(B7:B37)</f>
        <v>279180384</v>
      </c>
      <c r="C54" s="373"/>
      <c r="D54" s="373"/>
      <c r="E54" s="373"/>
      <c r="F54" s="373"/>
      <c r="G54" s="373"/>
      <c r="H54" s="373"/>
      <c r="I54" s="373"/>
    </row>
    <row r="55" spans="1:9" ht="18">
      <c r="A55" s="373"/>
      <c r="B55" s="373"/>
      <c r="C55" s="373"/>
      <c r="D55" s="373"/>
      <c r="E55" s="373"/>
      <c r="F55" s="373"/>
      <c r="G55" s="373"/>
      <c r="H55" s="373"/>
      <c r="I55" s="373"/>
    </row>
  </sheetData>
  <mergeCells count="23">
    <mergeCell ref="G25:G31"/>
    <mergeCell ref="H25:H31"/>
    <mergeCell ref="I25:I31"/>
    <mergeCell ref="G46:G52"/>
    <mergeCell ref="H46:H52"/>
    <mergeCell ref="I46:I52"/>
    <mergeCell ref="G32:G38"/>
    <mergeCell ref="H32:H38"/>
    <mergeCell ref="I32:I38"/>
    <mergeCell ref="G39:G45"/>
    <mergeCell ref="H39:H45"/>
    <mergeCell ref="I39:I45"/>
    <mergeCell ref="G11:G17"/>
    <mergeCell ref="H11:H17"/>
    <mergeCell ref="I11:I17"/>
    <mergeCell ref="G18:G24"/>
    <mergeCell ref="H18:H24"/>
    <mergeCell ref="I18:I24"/>
    <mergeCell ref="G2:H2"/>
    <mergeCell ref="A1:I1"/>
    <mergeCell ref="G4:G10"/>
    <mergeCell ref="H4:H10"/>
    <mergeCell ref="I4:I10"/>
  </mergeCells>
  <phoneticPr fontId="12" type="noConversion"/>
  <conditionalFormatting sqref="A4:A52">
    <cfRule type="timePeriod" dxfId="2" priority="6" timePeriod="yesterday">
      <formula>FLOOR(A4,1)=TODAY()-1</formula>
    </cfRule>
  </conditionalFormatting>
  <conditionalFormatting sqref="D4:D52">
    <cfRule type="cellIs" dxfId="1" priority="1" operator="greaterThan">
      <formula>0.0025</formula>
    </cfRule>
  </conditionalFormatting>
  <conditionalFormatting sqref="D54">
    <cfRule type="cellIs" dxfId="0" priority="8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187"/>
    <col min="3" max="3" width="14" style="187" bestFit="1" customWidth="1"/>
    <col min="4" max="4" width="0.28515625" style="187" customWidth="1"/>
    <col min="5" max="5" width="8.7109375" style="187"/>
    <col min="6" max="6" width="16.28515625" style="187" bestFit="1" customWidth="1"/>
    <col min="7" max="16384" width="8.7109375" style="187"/>
  </cols>
  <sheetData>
    <row r="2" spans="2:7" ht="15.75">
      <c r="B2" s="719" t="s">
        <v>234</v>
      </c>
      <c r="C2" s="719"/>
      <c r="D2" s="719"/>
      <c r="E2" s="719"/>
      <c r="F2" s="719"/>
    </row>
    <row r="3" spans="2:7" ht="15">
      <c r="B3" s="188" t="s">
        <v>235</v>
      </c>
      <c r="C3" s="188" t="s">
        <v>236</v>
      </c>
      <c r="D3" s="189"/>
      <c r="E3" s="188" t="s">
        <v>237</v>
      </c>
      <c r="F3" s="188" t="s">
        <v>238</v>
      </c>
      <c r="G3" s="189"/>
    </row>
    <row r="4" spans="2:7" ht="15">
      <c r="B4" s="190" t="s">
        <v>239</v>
      </c>
      <c r="C4" s="190" t="s">
        <v>240</v>
      </c>
      <c r="D4" s="189"/>
      <c r="E4" s="190" t="s">
        <v>241</v>
      </c>
      <c r="F4" s="190" t="s">
        <v>242</v>
      </c>
      <c r="G4" s="189"/>
    </row>
    <row r="5" spans="2:7" ht="15">
      <c r="B5" s="190" t="s">
        <v>243</v>
      </c>
      <c r="C5" s="190" t="s">
        <v>244</v>
      </c>
      <c r="D5" s="189"/>
      <c r="E5" s="190" t="s">
        <v>245</v>
      </c>
      <c r="F5" s="190" t="s">
        <v>246</v>
      </c>
      <c r="G5" s="189"/>
    </row>
    <row r="6" spans="2:7" ht="15">
      <c r="B6" s="190" t="s">
        <v>247</v>
      </c>
      <c r="C6" s="190" t="s">
        <v>248</v>
      </c>
      <c r="D6" s="189"/>
      <c r="E6" s="191" t="s">
        <v>249</v>
      </c>
      <c r="F6" s="191" t="s">
        <v>136</v>
      </c>
      <c r="G6" s="189"/>
    </row>
    <row r="7" spans="2:7" ht="15">
      <c r="B7" s="191" t="s">
        <v>250</v>
      </c>
      <c r="C7" s="191" t="s">
        <v>251</v>
      </c>
      <c r="D7" s="189"/>
      <c r="E7" s="190" t="s">
        <v>252</v>
      </c>
      <c r="F7" s="190" t="s">
        <v>253</v>
      </c>
      <c r="G7" s="189"/>
    </row>
    <row r="8" spans="2:7" ht="15">
      <c r="B8" s="190" t="s">
        <v>254</v>
      </c>
      <c r="C8" s="190" t="s">
        <v>255</v>
      </c>
      <c r="D8" s="189"/>
      <c r="E8" s="190" t="s">
        <v>256</v>
      </c>
      <c r="F8" s="190" t="s">
        <v>257</v>
      </c>
      <c r="G8" s="189"/>
    </row>
    <row r="9" spans="2:7" ht="15">
      <c r="B9" s="190" t="s">
        <v>258</v>
      </c>
      <c r="C9" s="190" t="s">
        <v>259</v>
      </c>
      <c r="D9" s="189"/>
      <c r="E9" s="191" t="s">
        <v>260</v>
      </c>
      <c r="F9" s="191" t="s">
        <v>135</v>
      </c>
      <c r="G9" s="189"/>
    </row>
    <row r="10" spans="2:7" ht="15">
      <c r="B10" s="190" t="s">
        <v>261</v>
      </c>
      <c r="C10" s="190" t="s">
        <v>262</v>
      </c>
      <c r="D10" s="189"/>
      <c r="E10" s="190" t="s">
        <v>263</v>
      </c>
      <c r="F10" s="190" t="s">
        <v>264</v>
      </c>
      <c r="G10" s="189"/>
    </row>
    <row r="11" spans="2:7" ht="15">
      <c r="B11" s="190" t="s">
        <v>265</v>
      </c>
      <c r="C11" s="190" t="s">
        <v>266</v>
      </c>
      <c r="D11" s="189"/>
      <c r="E11" s="190" t="s">
        <v>267</v>
      </c>
      <c r="F11" s="190" t="s">
        <v>257</v>
      </c>
      <c r="G11" s="189"/>
    </row>
    <row r="12" spans="2:7" ht="15">
      <c r="B12" s="190" t="s">
        <v>268</v>
      </c>
      <c r="C12" s="190" t="s">
        <v>269</v>
      </c>
      <c r="D12" s="189"/>
      <c r="E12" s="190" t="s">
        <v>270</v>
      </c>
      <c r="F12" s="190" t="s">
        <v>271</v>
      </c>
      <c r="G12" s="189"/>
    </row>
    <row r="13" spans="2:7" ht="15">
      <c r="B13" s="191" t="s">
        <v>272</v>
      </c>
      <c r="C13" s="191" t="s">
        <v>131</v>
      </c>
      <c r="D13" s="189"/>
      <c r="E13" s="190" t="s">
        <v>273</v>
      </c>
      <c r="F13" s="190" t="s">
        <v>274</v>
      </c>
      <c r="G13" s="189"/>
    </row>
    <row r="14" spans="2:7" ht="15">
      <c r="B14" s="190" t="s">
        <v>275</v>
      </c>
      <c r="C14" s="190" t="s">
        <v>276</v>
      </c>
      <c r="D14" s="189"/>
      <c r="E14" s="191" t="s">
        <v>277</v>
      </c>
      <c r="F14" s="191" t="s">
        <v>278</v>
      </c>
      <c r="G14" s="189"/>
    </row>
    <row r="15" spans="2:7" ht="15">
      <c r="B15" s="191" t="s">
        <v>279</v>
      </c>
      <c r="C15" s="191" t="s">
        <v>280</v>
      </c>
      <c r="D15" s="189"/>
      <c r="E15" s="190" t="s">
        <v>281</v>
      </c>
      <c r="F15" s="190" t="s">
        <v>278</v>
      </c>
      <c r="G15" s="189"/>
    </row>
    <row r="16" spans="2:7" ht="15">
      <c r="B16" s="190" t="s">
        <v>282</v>
      </c>
      <c r="C16" s="190" t="s">
        <v>283</v>
      </c>
      <c r="D16" s="189"/>
      <c r="E16" s="191" t="s">
        <v>284</v>
      </c>
      <c r="F16" s="191" t="s">
        <v>285</v>
      </c>
      <c r="G16" s="189"/>
    </row>
    <row r="17" spans="2:7" ht="15">
      <c r="B17" s="190" t="s">
        <v>286</v>
      </c>
      <c r="C17" s="190" t="s">
        <v>287</v>
      </c>
      <c r="D17" s="189"/>
      <c r="E17" s="190" t="s">
        <v>288</v>
      </c>
      <c r="F17" s="190" t="s">
        <v>289</v>
      </c>
      <c r="G17" s="189"/>
    </row>
    <row r="18" spans="2:7" ht="15">
      <c r="B18" s="190" t="s">
        <v>290</v>
      </c>
      <c r="C18" s="190" t="s">
        <v>291</v>
      </c>
      <c r="D18" s="189"/>
      <c r="E18" s="190" t="s">
        <v>292</v>
      </c>
      <c r="F18" s="190" t="s">
        <v>293</v>
      </c>
      <c r="G18" s="189"/>
    </row>
    <row r="19" spans="2:7" ht="15">
      <c r="B19" s="190" t="s">
        <v>294</v>
      </c>
      <c r="C19" s="190" t="s">
        <v>295</v>
      </c>
      <c r="D19" s="189"/>
      <c r="E19" s="190" t="s">
        <v>296</v>
      </c>
      <c r="F19" s="190" t="s">
        <v>297</v>
      </c>
      <c r="G19" s="189"/>
    </row>
    <row r="20" spans="2:7" ht="15">
      <c r="B20" s="190" t="s">
        <v>298</v>
      </c>
      <c r="C20" s="190" t="s">
        <v>299</v>
      </c>
      <c r="D20" s="189"/>
      <c r="G20" s="189"/>
    </row>
    <row r="21" spans="2:7" ht="15">
      <c r="D21" s="189"/>
      <c r="G21" s="189"/>
    </row>
    <row r="22" spans="2:7" ht="15">
      <c r="D22" s="189"/>
      <c r="G22" s="189"/>
    </row>
    <row r="23" spans="2:7" ht="15">
      <c r="D23" s="189"/>
      <c r="G23" s="189"/>
    </row>
  </sheetData>
  <mergeCells count="1">
    <mergeCell ref="B2:F2"/>
  </mergeCells>
  <phoneticPr fontId="12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具名範圍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林奕德</cp:lastModifiedBy>
  <cp:lastPrinted>2025-07-28T04:42:39Z</cp:lastPrinted>
  <dcterms:created xsi:type="dcterms:W3CDTF">2025-07-03T16:36:59Z</dcterms:created>
  <dcterms:modified xsi:type="dcterms:W3CDTF">2026-06-04T07:53:18Z</dcterms:modified>
</cp:coreProperties>
</file>